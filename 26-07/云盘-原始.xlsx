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云盘-原始" sheetId="2" r:id="rId5"/>
    <sheet name="云盘-原始（副本）" sheetId="3" r:id="rId6"/>
    <sheet name="系统-原始" sheetId="4" r:id="rId7"/>
    <sheet name="系统-原始（副本）" sheetId="5" r:id="rId8"/>
    <sheet name="整合-原始" sheetId="6" r:id="rId9"/>
    <sheet name="整合-校准（副本）" sheetId="7" r:id="rId10"/>
    <sheet name="OA名单"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2" i="7" a="true"/>
  <c r="P2" i="7" a="true"/>
  <c r="R2" i="7" a="true"/>
  <c r="U2" i="7" a="true"/>
  <c r="N159" i="7" a="true"/>
  <c r="P159" i="7" a="true"/>
  <c r="R159" i="7" a="true"/>
  <c r="T159" i="7" a="true"/>
  <c r="U159" i="7" a="true"/>
  <c r="N262" i="7" a="true"/>
  <c r="P262" i="7" a="true"/>
  <c r="R262" i="7" a="true"/>
  <c r="U262" i="7" a="true"/>
  <c r="N388" i="7" a="true"/>
  <c r="P388" i="7" a="true"/>
  <c r="R388" i="7" a="true"/>
  <c r="U388" i="7" a="true"/>
  <c r="N537" i="7" a="true"/>
  <c r="P537" i="7" a="true"/>
  <c r="R537" i="7" a="true"/>
  <c r="U537" i="7" a="true"/>
  <c r="N663" i="7" a="true"/>
  <c r="P663" i="7" a="true"/>
  <c r="R663" i="7" a="true"/>
  <c r="U663" i="7" a="true"/>
  <c r="N797" i="7" a="true"/>
  <c r="P797" i="7" a="true"/>
  <c r="R797" i="7" a="true"/>
  <c r="U797" i="7" a="true"/>
  <c r="N31" i="7" a="true"/>
  <c r="P31" i="7" a="true"/>
  <c r="R31" i="7" a="true"/>
  <c r="U31" i="7" a="true"/>
  <c r="U160" i="7" a="true"/>
  <c r="N160" i="7" a="true"/>
  <c r="P160" i="7" a="true"/>
  <c r="R160" i="7" a="true"/>
  <c r="T160" i="7" a="true"/>
  <c r="P259" i="7" a="true"/>
  <c r="R259" i="7" a="true"/>
  <c r="U259" i="7" a="true"/>
  <c r="N259" i="7" a="true"/>
  <c r="P385" i="7" a="true"/>
  <c r="R385" i="7" a="true"/>
  <c r="U385" i="7" a="true"/>
  <c r="N385" i="7" a="true"/>
  <c r="N538" i="7" a="true"/>
  <c r="P538" i="7" a="true"/>
  <c r="R538" i="7" a="true"/>
  <c r="U538" i="7" a="true"/>
  <c r="R664" i="7" a="true"/>
  <c r="U664" i="7" a="true"/>
  <c r="N664" i="7" a="true"/>
  <c r="P664" i="7" a="true"/>
  <c r="N798" i="7" a="true"/>
  <c r="P798" i="7" a="true"/>
  <c r="R798" i="7" a="true"/>
  <c r="U798" i="7" a="true"/>
  <c r="N32" i="7" a="true"/>
  <c r="P32" i="7" a="true"/>
  <c r="R32" i="7" a="true"/>
  <c r="U32" i="7" a="true"/>
  <c r="R157" i="7" a="true"/>
  <c r="T157" i="7" a="true"/>
  <c r="U157" i="7" a="true"/>
  <c r="N157" i="7" a="true"/>
  <c r="P157" i="7" a="true"/>
  <c r="N260" i="7" a="true"/>
  <c r="P260" i="7" a="true"/>
  <c r="R260" i="7" a="true"/>
  <c r="U260" i="7" a="true"/>
  <c r="R386" i="7" a="true"/>
  <c r="U386" i="7" a="true"/>
  <c r="N386" i="7" a="true"/>
  <c r="P386" i="7" a="true"/>
  <c r="N535" i="7" a="true"/>
  <c r="P535" i="7" a="true"/>
  <c r="R535" i="7" a="true"/>
  <c r="U535" i="7" a="true"/>
  <c r="N661" i="7" a="true"/>
  <c r="P661" i="7" a="true"/>
  <c r="R661" i="7" a="true"/>
  <c r="U661" i="7" a="true"/>
  <c r="N795" i="7" a="true"/>
  <c r="P795" i="7" a="true"/>
  <c r="R795" i="7" a="true"/>
  <c r="U795" i="7" a="true"/>
  <c r="N29" i="7" a="true"/>
  <c r="P29" i="7" a="true"/>
  <c r="R29" i="7" a="true"/>
  <c r="U29" i="7" a="true"/>
  <c r="R158" i="7" a="true"/>
  <c r="T158" i="7" a="true"/>
  <c r="U158" i="7" a="true"/>
  <c r="N158" i="7" a="true"/>
  <c r="P158" i="7" a="true"/>
  <c r="R257" i="7" a="true"/>
  <c r="U257" i="7" a="true"/>
  <c r="N257" i="7" a="true"/>
  <c r="P257" i="7" a="true"/>
  <c r="U415" i="7" a="true"/>
  <c r="N415" i="7" a="true"/>
  <c r="P415" i="7" a="true"/>
  <c r="R415" i="7" a="true"/>
  <c r="N536" i="7" a="true"/>
  <c r="P536" i="7" a="true"/>
  <c r="R536" i="7" a="true"/>
  <c r="U536" i="7" a="true"/>
  <c r="P662" i="7" a="true"/>
  <c r="R662" i="7" a="true"/>
  <c r="U662" i="7" a="true"/>
  <c r="N662" i="7" a="true"/>
  <c r="R796" i="7" a="true"/>
  <c r="U796" i="7" a="true"/>
  <c r="N796" i="7" a="true"/>
  <c r="P796" i="7" a="true"/>
  <c r="P30" i="7" a="true"/>
  <c r="R30" i="7" a="true"/>
  <c r="U30" i="7" a="true"/>
  <c r="N30" i="7" a="true"/>
  <c r="N155" i="7" a="true"/>
  <c r="P155" i="7" a="true"/>
  <c r="R155" i="7" a="true"/>
  <c r="T155" i="7" a="true"/>
  <c r="U155" i="7" a="true"/>
  <c r="R258" i="7" a="true"/>
  <c r="U258" i="7" a="true"/>
  <c r="N258" i="7" a="true"/>
  <c r="P258" i="7" a="true"/>
  <c r="P416" i="7" a="true"/>
  <c r="R416" i="7" a="true"/>
  <c r="U416" i="7" a="true"/>
  <c r="N416" i="7" a="true"/>
  <c r="N533" i="7" a="true"/>
  <c r="P533" i="7" a="true"/>
  <c r="R533" i="7" a="true"/>
  <c r="U533" i="7" a="true"/>
  <c r="N659" i="7" a="true"/>
  <c r="P659" i="7" a="true"/>
  <c r="R659" i="7" a="true"/>
  <c r="U659" i="7" a="true"/>
  <c r="N793" i="7" a="true"/>
  <c r="P793" i="7" a="true"/>
  <c r="R793" i="7" a="true"/>
  <c r="U793" i="7" a="true"/>
  <c r="U27" i="7" a="true"/>
  <c r="N27" i="7" a="true"/>
  <c r="P27" i="7" a="true"/>
  <c r="R27" i="7" a="true"/>
  <c r="N156" i="7" a="true"/>
  <c r="P156" i="7" a="true"/>
  <c r="R156" i="7" a="true"/>
  <c r="T156" i="7" a="true"/>
  <c r="U156" i="7" a="true"/>
  <c r="T287" i="7" a="true"/>
  <c r="U287" i="7" a="true"/>
  <c r="N287" i="7" a="true"/>
  <c r="P287" i="7" a="true"/>
  <c r="R287" i="7" a="true"/>
  <c r="N413" i="7" a="true"/>
  <c r="P413" i="7" a="true"/>
  <c r="R413" i="7" a="true"/>
  <c r="U413" i="7" a="true"/>
  <c r="N534" i="7" a="true"/>
  <c r="P534" i="7" a="true"/>
  <c r="R534" i="7" a="true"/>
  <c r="U534" i="7" a="true"/>
  <c r="U660" i="7" a="true"/>
  <c r="N660" i="7" a="true"/>
  <c r="P660" i="7" a="true"/>
  <c r="R660" i="7" a="true"/>
  <c r="T660" i="7" a="true"/>
  <c r="P794" i="7" a="true"/>
  <c r="R794" i="7" a="true"/>
  <c r="U794" i="7" a="true"/>
  <c r="N794" i="7" a="true"/>
  <c r="N28" i="7" a="true"/>
  <c r="P28" i="7" a="true"/>
  <c r="R28" i="7" a="true"/>
  <c r="U28" i="7" a="true"/>
  <c r="U153" i="7" a="true"/>
  <c r="N153" i="7" a="true"/>
  <c r="P153" i="7" a="true"/>
  <c r="R153" i="7" a="true"/>
  <c r="T153" i="7" a="true"/>
  <c r="N288" i="7" a="true"/>
  <c r="P288" i="7" a="true"/>
  <c r="R288" i="7" a="true"/>
  <c r="T288" i="7" a="true"/>
  <c r="U288" i="7" a="true"/>
  <c r="N414" i="7" a="true"/>
  <c r="P414" i="7" a="true"/>
  <c r="R414" i="7" a="true"/>
  <c r="U414" i="7" a="true"/>
  <c r="N531" i="7" a="true"/>
  <c r="P531" i="7" a="true"/>
  <c r="R531" i="7" a="true"/>
  <c r="U531" i="7" a="true"/>
  <c r="N657" i="7" a="true"/>
  <c r="P657" i="7" a="true"/>
  <c r="R657" i="7" a="true"/>
  <c r="U657" i="7" a="true"/>
  <c r="N791" i="7" a="true"/>
  <c r="P791" i="7" a="true"/>
  <c r="R791" i="7" a="true"/>
  <c r="U791" i="7" a="true"/>
  <c r="N25" i="7" a="true"/>
  <c r="P25" i="7" a="true"/>
  <c r="R25" i="7" a="true"/>
  <c r="U25" i="7" a="true"/>
  <c r="T151" i="7" a="true"/>
  <c r="U151" i="7" a="true"/>
  <c r="N151" i="7" a="true"/>
  <c r="P151" i="7" a="true"/>
  <c r="R151" i="7" a="true"/>
  <c r="U154" i="7" a="true"/>
  <c r="N154" i="7" a="true"/>
  <c r="P154" i="7" a="true"/>
  <c r="R154" i="7" a="true"/>
  <c r="T154" i="7" a="true"/>
  <c r="P285" i="7" a="true"/>
  <c r="R285" i="7" a="true"/>
  <c r="T285" i="7" a="true"/>
  <c r="U285" i="7" a="true"/>
  <c r="N285" i="7" a="true"/>
  <c r="R411" i="7" a="true"/>
  <c r="U411" i="7" a="true"/>
  <c r="N411" i="7" a="true"/>
  <c r="P411" i="7" a="true"/>
  <c r="N532" i="7" a="true"/>
  <c r="P532" i="7" a="true"/>
  <c r="R532" i="7" a="true"/>
  <c r="U532" i="7" a="true"/>
  <c r="P658" i="7" a="true"/>
  <c r="R658" i="7" a="true"/>
  <c r="U658" i="7" a="true"/>
  <c r="N658" i="7" a="true"/>
  <c r="N792" i="7" a="true"/>
  <c r="P792" i="7" a="true"/>
  <c r="R792" i="7" a="true"/>
  <c r="U792" i="7" a="true"/>
  <c r="N26" i="7" a="true"/>
  <c r="P26" i="7" a="true"/>
  <c r="R26" i="7" a="true"/>
  <c r="U26" i="7" a="true"/>
  <c r="P152" i="7" a="true"/>
  <c r="R152" i="7" a="true"/>
  <c r="T152" i="7" a="true"/>
  <c r="U152" i="7" a="true"/>
  <c r="N152" i="7" a="true"/>
  <c r="U286" i="7" a="true"/>
  <c r="N286" i="7" a="true"/>
  <c r="P286" i="7" a="true"/>
  <c r="R286" i="7" a="true"/>
  <c r="T286" i="7" a="true"/>
  <c r="P412" i="7" a="true"/>
  <c r="R412" i="7" a="true"/>
  <c r="U412" i="7" a="true"/>
  <c r="N412" i="7" a="true"/>
  <c r="U529" i="7" a="true"/>
  <c r="N529" i="7" a="true"/>
  <c r="P529" i="7" a="true"/>
  <c r="R529" i="7" a="true"/>
  <c r="N687" i="7" a="true"/>
  <c r="P687" i="7" a="true"/>
  <c r="R687" i="7" a="true"/>
  <c r="U687" i="7" a="true"/>
  <c r="R789" i="7" a="true"/>
  <c r="U789" i="7" a="true"/>
  <c r="N789" i="7" a="true"/>
  <c r="P789" i="7" a="true"/>
  <c r="N23" i="7" a="true"/>
  <c r="P23" i="7" a="true"/>
  <c r="R23" i="7" a="true"/>
  <c r="U23" i="7" a="true"/>
  <c r="N149" i="7" a="true"/>
  <c r="P149" i="7" a="true"/>
  <c r="R149" i="7" a="true"/>
  <c r="T149" i="7" a="true"/>
  <c r="U149" i="7" a="true"/>
  <c r="N283" i="7" a="true"/>
  <c r="P283" i="7" a="true"/>
  <c r="R283" i="7" a="true"/>
  <c r="U283" i="7" a="true"/>
  <c r="P409" i="7" a="true"/>
  <c r="R409" i="7" a="true"/>
  <c r="U409" i="7" a="true"/>
  <c r="N409" i="7" a="true"/>
  <c r="N530" i="7" a="true"/>
  <c r="P530" i="7" a="true"/>
  <c r="R530" i="7" a="true"/>
  <c r="U530" i="7" a="true"/>
  <c r="N688" i="7" a="true"/>
  <c r="P688" i="7" a="true"/>
  <c r="R688" i="7" a="true"/>
  <c r="U688" i="7" a="true"/>
  <c r="N790" i="7" a="true"/>
  <c r="P790" i="7" a="true"/>
  <c r="R790" i="7" a="true"/>
  <c r="U790" i="7" a="true"/>
  <c r="N24" i="7" a="true"/>
  <c r="P24" i="7" a="true"/>
  <c r="R24" i="7" a="true"/>
  <c r="U24" i="7" a="true"/>
  <c r="N150" i="7" a="true"/>
  <c r="P150" i="7" a="true"/>
  <c r="R150" i="7" a="true"/>
  <c r="T150" i="7" a="true"/>
  <c r="U150" i="7" a="true"/>
  <c r="N284" i="7" a="true"/>
  <c r="P284" i="7" a="true"/>
  <c r="R284" i="7" a="true"/>
  <c r="U284" i="7" a="true"/>
  <c r="N410" i="7" a="true"/>
  <c r="P410" i="7" a="true"/>
  <c r="R410" i="7" a="true"/>
  <c r="U410" i="7" a="true"/>
  <c r="N559" i="7" a="true"/>
  <c r="P559" i="7" a="true"/>
  <c r="R559" i="7" a="true"/>
  <c r="U559" i="7" a="true"/>
  <c r="N685" i="7" a="true"/>
  <c r="P685" i="7" a="true"/>
  <c r="R685" i="7" a="true"/>
  <c r="U685" i="7" a="true"/>
  <c r="N787" i="7" a="true"/>
  <c r="P787" i="7" a="true"/>
  <c r="R787" i="7" a="true"/>
  <c r="U787" i="7" a="true"/>
  <c r="N21" i="7" a="true"/>
  <c r="P21" i="7" a="true"/>
  <c r="R21" i="7" a="true"/>
  <c r="U21" i="7" a="true"/>
  <c r="N147" i="7" a="true"/>
  <c r="P147" i="7" a="true"/>
  <c r="R147" i="7" a="true"/>
  <c r="U147" i="7" a="true"/>
  <c r="N281" i="7" a="true"/>
  <c r="P281" i="7" a="true"/>
  <c r="R281" i="7" a="true"/>
  <c r="U281" i="7" a="true"/>
  <c r="P407" i="7" a="true"/>
  <c r="R407" i="7" a="true"/>
  <c r="U407" i="7" a="true"/>
  <c r="N407" i="7" a="true"/>
  <c r="U560" i="7" a="true"/>
  <c r="N560" i="7" a="true"/>
  <c r="P560" i="7" a="true"/>
  <c r="R560" i="7" a="true"/>
  <c r="N686" i="7" a="true"/>
  <c r="P686" i="7" a="true"/>
  <c r="R686" i="7" a="true"/>
  <c r="U686" i="7" a="true"/>
  <c r="N788" i="7" a="true"/>
  <c r="P788" i="7" a="true"/>
  <c r="R788" i="7" a="true"/>
  <c r="U788" i="7" a="true"/>
  <c r="N22" i="7" a="true"/>
  <c r="P22" i="7" a="true"/>
  <c r="R22" i="7" a="true"/>
  <c r="U22" i="7" a="true"/>
  <c r="R148" i="7" a="true"/>
  <c r="T148" i="7" a="true"/>
  <c r="U148" i="7" a="true"/>
  <c r="N148" i="7" a="true"/>
  <c r="P148" i="7" a="true"/>
  <c r="N282" i="7" a="true"/>
  <c r="P282" i="7" a="true"/>
  <c r="R282" i="7" a="true"/>
  <c r="U282" i="7" a="true"/>
  <c r="N408" i="7" a="true"/>
  <c r="P408" i="7" a="true"/>
  <c r="R408" i="7" a="true"/>
  <c r="U408" i="7" a="true"/>
  <c r="N557" i="7" a="true"/>
  <c r="P557" i="7" a="true"/>
  <c r="R557" i="7" a="true"/>
  <c r="U557" i="7" a="true"/>
  <c r="R683" i="7" a="true"/>
  <c r="T683" i="7" a="true"/>
  <c r="U683" i="7" a="true"/>
  <c r="N683" i="7" a="true"/>
  <c r="P683" i="7" a="true"/>
  <c r="N785" i="7" a="true"/>
  <c r="P785" i="7" a="true"/>
  <c r="R785" i="7" a="true"/>
  <c r="U785" i="7" a="true"/>
  <c r="N19" i="7" a="true"/>
  <c r="P19" i="7" a="true"/>
  <c r="R19" i="7" a="true"/>
  <c r="U19" i="7" a="true"/>
  <c r="T145" i="7" a="true"/>
  <c r="U145" i="7" a="true"/>
  <c r="N145" i="7" a="true"/>
  <c r="P145" i="7" a="true"/>
  <c r="R145" i="7" a="true"/>
  <c r="N279" i="7" a="true"/>
  <c r="P279" i="7" a="true"/>
  <c r="R279" i="7" a="true"/>
  <c r="U279" i="7" a="true"/>
  <c r="P405" i="7" a="true"/>
  <c r="R405" i="7" a="true"/>
  <c r="U405" i="7" a="true"/>
  <c r="N405" i="7" a="true"/>
  <c r="N558" i="7" a="true"/>
  <c r="P558" i="7" a="true"/>
  <c r="R558" i="7" a="true"/>
  <c r="U558" i="7" a="true"/>
  <c r="U684" i="7" a="true"/>
  <c r="N684" i="7" a="true"/>
  <c r="P684" i="7" a="true"/>
  <c r="R684" i="7" a="true"/>
  <c r="N786" i="7" a="true"/>
  <c r="P786" i="7" a="true"/>
  <c r="R786" i="7" a="true"/>
  <c r="U786" i="7" a="true"/>
  <c r="R20" i="7" a="true"/>
  <c r="U20" i="7" a="true"/>
  <c r="N20" i="7" a="true"/>
  <c r="P20" i="7" a="true"/>
  <c r="T146" i="7" a="true"/>
  <c r="U146" i="7" a="true"/>
  <c r="N146" i="7" a="true"/>
  <c r="P146" i="7" a="true"/>
  <c r="R146" i="7" a="true"/>
  <c r="N280" i="7" a="true"/>
  <c r="P280" i="7" a="true"/>
  <c r="R280" i="7" a="true"/>
  <c r="U280" i="7" a="true"/>
  <c r="N406" i="7" a="true"/>
  <c r="P406" i="7" a="true"/>
  <c r="R406" i="7" a="true"/>
  <c r="U406" i="7" a="true"/>
  <c r="N555" i="7" a="true"/>
  <c r="P555" i="7" a="true"/>
  <c r="R555" i="7" a="true"/>
  <c r="U555" i="7" a="true"/>
  <c r="N681" i="7" a="true"/>
  <c r="P681" i="7" a="true"/>
  <c r="R681" i="7" a="true"/>
  <c r="U681" i="7" a="true"/>
  <c r="T815" i="7" a="true"/>
  <c r="U815" i="7" a="true"/>
  <c r="N815" i="7" a="true"/>
  <c r="P815" i="7" a="true"/>
  <c r="R815" i="7" a="true"/>
  <c r="N17" i="7" a="true"/>
  <c r="P17" i="7" a="true"/>
  <c r="R17" i="7" a="true"/>
  <c r="U17" i="7" a="true"/>
  <c r="N175" i="7" a="true"/>
  <c r="P175" i="7" a="true"/>
  <c r="R175" i="7" a="true"/>
  <c r="T175" i="7" a="true"/>
  <c r="U175" i="7" a="true"/>
  <c r="R277" i="7" a="true"/>
  <c r="T277" i="7" a="true"/>
  <c r="U277" i="7" a="true"/>
  <c r="N277" i="7" a="true"/>
  <c r="P277" i="7" a="true"/>
  <c r="N403" i="7" a="true"/>
  <c r="P403" i="7" a="true"/>
  <c r="R403" i="7" a="true"/>
  <c r="T403" i="7" a="true"/>
  <c r="U403" i="7" a="true"/>
  <c r="N556" i="7" a="true"/>
  <c r="P556" i="7" a="true"/>
  <c r="R556" i="7" a="true"/>
  <c r="U556" i="7" a="true"/>
  <c r="N682" i="7" a="true"/>
  <c r="P682" i="7" a="true"/>
  <c r="R682" i="7" a="true"/>
  <c r="U682" i="7" a="true"/>
  <c r="P816" i="7" a="true"/>
  <c r="R816" i="7" a="true"/>
  <c r="T816" i="7" a="true"/>
  <c r="U816" i="7" a="true"/>
  <c r="N816" i="7" a="true"/>
  <c r="N18" i="7" a="true"/>
  <c r="P18" i="7" a="true"/>
  <c r="R18" i="7" a="true"/>
  <c r="U18" i="7" a="true"/>
  <c r="T176" i="7" a="true"/>
  <c r="U176" i="7" a="true"/>
  <c r="N176" i="7" a="true"/>
  <c r="P176" i="7" a="true"/>
  <c r="R176" i="7" a="true"/>
  <c r="N278" i="7" a="true"/>
  <c r="P278" i="7" a="true"/>
  <c r="R278" i="7" a="true"/>
  <c r="U278" i="7" a="true"/>
  <c r="N404" i="7" a="true"/>
  <c r="P404" i="7" a="true"/>
  <c r="R404" i="7" a="true"/>
  <c r="U404" i="7" a="true"/>
  <c r="N553" i="7" a="true"/>
  <c r="P553" i="7" a="true"/>
  <c r="R553" i="7" a="true"/>
  <c r="U553" i="7" a="true"/>
  <c r="P679" i="7" a="true"/>
  <c r="R679" i="7" a="true"/>
  <c r="U679" i="7" a="true"/>
  <c r="N679" i="7" a="true"/>
  <c r="N813" i="7" a="true"/>
  <c r="P813" i="7" a="true"/>
  <c r="R813" i="7" a="true"/>
  <c r="T813" i="7" a="true"/>
  <c r="U813" i="7" a="true"/>
  <c r="N47" i="7" a="true"/>
  <c r="P47" i="7" a="true"/>
  <c r="R47" i="7" a="true"/>
  <c r="T47" i="7" a="true"/>
  <c r="U47" i="7" a="true"/>
  <c r="U173" i="7" a="true"/>
  <c r="N173" i="7" a="true"/>
  <c r="P173" i="7" a="true"/>
  <c r="R173" i="7" a="true"/>
  <c r="T173" i="7" a="true"/>
  <c r="U275" i="7" a="true"/>
  <c r="N275" i="7" a="true"/>
  <c r="P275" i="7" a="true"/>
  <c r="R275" i="7" a="true"/>
  <c r="P401" i="7" a="true"/>
  <c r="R401" i="7" a="true"/>
  <c r="U401" i="7" a="true"/>
  <c r="N401" i="7" a="true"/>
  <c r="R554" i="7" a="true"/>
  <c r="U554" i="7" a="true"/>
  <c r="N554" i="7" a="true"/>
  <c r="P554" i="7" a="true"/>
  <c r="N680" i="7" a="true"/>
  <c r="P680" i="7" a="true"/>
  <c r="R680" i="7" a="true"/>
  <c r="U680" i="7" a="true"/>
  <c r="R811" i="7" a="true"/>
  <c r="U811" i="7" a="true"/>
  <c r="N811" i="7" a="true"/>
  <c r="P811" i="7" a="true"/>
  <c r="U814" i="7" a="true"/>
  <c r="N814" i="7" a="true"/>
  <c r="P814" i="7" a="true"/>
  <c r="R814" i="7" a="true"/>
  <c r="T814" i="7" a="true"/>
  <c r="R48" i="7" a="true"/>
  <c r="U48" i="7" a="true"/>
  <c r="N48" i="7" a="true"/>
  <c r="P48" i="7" a="true"/>
  <c r="P174" i="7" a="true"/>
  <c r="R174" i="7" a="true"/>
  <c r="T174" i="7" a="true"/>
  <c r="U174" i="7" a="true"/>
  <c r="N174" i="7" a="true"/>
  <c r="N276" i="7" a="true"/>
  <c r="P276" i="7" a="true"/>
  <c r="R276" i="7" a="true"/>
  <c r="U276" i="7" a="true"/>
  <c r="N402" i="7" a="true"/>
  <c r="P402" i="7" a="true"/>
  <c r="R402" i="7" a="true"/>
  <c r="U402" i="7" a="true"/>
  <c r="N551" i="7" a="true"/>
  <c r="P551" i="7" a="true"/>
  <c r="R551" i="7" a="true"/>
  <c r="U551" i="7" a="true"/>
  <c r="R677" i="7" a="true"/>
  <c r="U677" i="7" a="true"/>
  <c r="N677" i="7" a="true"/>
  <c r="P677" i="7" a="true"/>
  <c r="P812" i="7" a="true"/>
  <c r="R812" i="7" a="true"/>
  <c r="T812" i="7" a="true"/>
  <c r="U812" i="7" a="true"/>
  <c r="N812" i="7" a="true"/>
  <c r="U45" i="7" a="true"/>
  <c r="N45" i="7" a="true"/>
  <c r="P45" i="7" a="true"/>
  <c r="R45" i="7" a="true"/>
  <c r="T45" i="7" a="true"/>
  <c r="N171" i="7" a="true"/>
  <c r="P171" i="7" a="true"/>
  <c r="R171" i="7" a="true"/>
  <c r="T171" i="7" a="true"/>
  <c r="U171" i="7" a="true"/>
  <c r="N273" i="7" a="true"/>
  <c r="P273" i="7" a="true"/>
  <c r="R273" i="7" a="true"/>
  <c r="U273" i="7" a="true"/>
  <c r="N431" i="7" a="true"/>
  <c r="P431" i="7" a="true"/>
  <c r="R431" i="7" a="true"/>
  <c r="U431" i="7" a="true"/>
  <c r="N552" i="7" a="true"/>
  <c r="P552" i="7" a="true"/>
  <c r="R552" i="7" a="true"/>
  <c r="U552" i="7" a="true"/>
  <c r="P678" i="7" a="true"/>
  <c r="R678" i="7" a="true"/>
  <c r="U678" i="7" a="true"/>
  <c r="N678" i="7" a="true"/>
  <c r="N809" i="7" a="true"/>
  <c r="P809" i="7" a="true"/>
  <c r="R809" i="7" a="true"/>
  <c r="U809" i="7" a="true"/>
  <c r="N46" i="7" a="true"/>
  <c r="P46" i="7" a="true"/>
  <c r="R46" i="7" a="true"/>
  <c r="U46" i="7" a="true"/>
  <c r="U172" i="7" a="true"/>
  <c r="N172" i="7" a="true"/>
  <c r="P172" i="7" a="true"/>
  <c r="R172" i="7" a="true"/>
  <c r="N274" i="7" a="true"/>
  <c r="P274" i="7" a="true"/>
  <c r="R274" i="7" a="true"/>
  <c r="U274" i="7" a="true"/>
  <c r="U432" i="7" a="true"/>
  <c r="N432" i="7" a="true"/>
  <c r="P432" i="7" a="true"/>
  <c r="R432" i="7" a="true"/>
  <c r="U549" i="7" a="true"/>
  <c r="N549" i="7" a="true"/>
  <c r="P549" i="7" a="true"/>
  <c r="R549" i="7" a="true"/>
  <c r="N675" i="7" a="true"/>
  <c r="P675" i="7" a="true"/>
  <c r="R675" i="7" a="true"/>
  <c r="U675" i="7" a="true"/>
  <c r="N810" i="7" a="true"/>
  <c r="P810" i="7" a="true"/>
  <c r="R810" i="7" a="true"/>
  <c r="U810" i="7" a="true"/>
  <c r="N43" i="7" a="true"/>
  <c r="P43" i="7" a="true"/>
  <c r="R43" i="7" a="true"/>
  <c r="U43" i="7" a="true"/>
  <c r="T169" i="7" a="true"/>
  <c r="U169" i="7" a="true"/>
  <c r="N169" i="7" a="true"/>
  <c r="P169" i="7" a="true"/>
  <c r="R169" i="7" a="true"/>
  <c r="N303" i="7" a="true"/>
  <c r="P303" i="7" a="true"/>
  <c r="R303" i="7" a="true"/>
  <c r="U303" i="7" a="true"/>
  <c r="U429" i="7" a="true"/>
  <c r="N429" i="7" a="true"/>
  <c r="P429" i="7" a="true"/>
  <c r="R429" i="7" a="true"/>
  <c r="N550" i="7" a="true"/>
  <c r="P550" i="7" a="true"/>
  <c r="R550" i="7" a="true"/>
  <c r="U550" i="7" a="true"/>
  <c r="P676" i="7" a="true"/>
  <c r="R676" i="7" a="true"/>
  <c r="U676" i="7" a="true"/>
  <c r="N676" i="7" a="true"/>
  <c r="U807" i="7" a="true"/>
  <c r="N807" i="7" a="true"/>
  <c r="P807" i="7" a="true"/>
  <c r="R807" i="7" a="true"/>
  <c r="P44" i="7" a="true"/>
  <c r="R44" i="7" a="true"/>
  <c r="T44" i="7" a="true"/>
  <c r="U44" i="7" a="true"/>
  <c r="N44" i="7" a="true"/>
  <c r="N170" i="7" a="true"/>
  <c r="P170" i="7" a="true"/>
  <c r="R170" i="7" a="true"/>
  <c r="T170" i="7" a="true"/>
  <c r="U170" i="7" a="true"/>
  <c r="U304" i="7" a="true"/>
  <c r="N304" i="7" a="true"/>
  <c r="P304" i="7" a="true"/>
  <c r="R304" i="7" a="true"/>
  <c r="N430" i="7" a="true"/>
  <c r="P430" i="7" a="true"/>
  <c r="R430" i="7" a="true"/>
  <c r="U430" i="7" a="true"/>
  <c r="N547" i="7" a="true"/>
  <c r="P547" i="7" a="true"/>
  <c r="R547" i="7" a="true"/>
  <c r="U547" i="7" a="true"/>
  <c r="N673" i="7" a="true"/>
  <c r="P673" i="7" a="true"/>
  <c r="R673" i="7" a="true"/>
  <c r="U673" i="7" a="true"/>
  <c r="N808" i="7" a="true"/>
  <c r="P808" i="7" a="true"/>
  <c r="R808" i="7" a="true"/>
  <c r="T808" i="7" a="true"/>
  <c r="U808" i="7" a="true"/>
  <c r="R41" i="7" a="true"/>
  <c r="U41" i="7" a="true"/>
  <c r="N41" i="7" a="true"/>
  <c r="P41" i="7" a="true"/>
  <c r="R167" i="7" a="true"/>
  <c r="T167" i="7" a="true"/>
  <c r="U167" i="7" a="true"/>
  <c r="N167" i="7" a="true"/>
  <c r="P167" i="7" a="true"/>
  <c r="N301" i="7" a="true"/>
  <c r="P301" i="7" a="true"/>
  <c r="R301" i="7" a="true"/>
  <c r="U301" i="7" a="true"/>
  <c r="N427" i="7" a="true"/>
  <c r="P427" i="7" a="true"/>
  <c r="R427" i="7" a="true"/>
  <c r="U427" i="7" a="true"/>
  <c r="R548" i="7" a="true"/>
  <c r="U548" i="7" a="true"/>
  <c r="N548" i="7" a="true"/>
  <c r="P548" i="7" a="true"/>
  <c r="P674" i="7" a="true"/>
  <c r="R674" i="7" a="true"/>
  <c r="U674" i="7" a="true"/>
  <c r="N674" i="7" a="true"/>
  <c r="R805" i="7" a="true"/>
  <c r="U805" i="7" a="true"/>
  <c r="N805" i="7" a="true"/>
  <c r="P805" i="7" a="true"/>
  <c r="N42" i="7" a="true"/>
  <c r="P42" i="7" a="true"/>
  <c r="R42" i="7" a="true"/>
  <c r="U42" i="7" a="true"/>
  <c r="N168" i="7" a="true"/>
  <c r="P168" i="7" a="true"/>
  <c r="R168" i="7" a="true"/>
  <c r="T168" i="7" a="true"/>
  <c r="U168" i="7" a="true"/>
  <c r="R302" i="7" a="true"/>
  <c r="U302" i="7" a="true"/>
  <c r="N302" i="7" a="true"/>
  <c r="P302" i="7" a="true"/>
  <c r="N428" i="7" a="true"/>
  <c r="P428" i="7" a="true"/>
  <c r="R428" i="7" a="true"/>
  <c r="U428" i="7" a="true"/>
  <c r="N545" i="7" a="true"/>
  <c r="P545" i="7" a="true"/>
  <c r="R545" i="7" a="true"/>
  <c r="U545" i="7" a="true"/>
  <c r="N703" i="7" a="true"/>
  <c r="P703" i="7" a="true"/>
  <c r="R703" i="7" a="true"/>
  <c r="U703" i="7" a="true"/>
  <c r="U806" i="7" a="true"/>
  <c r="N806" i="7" a="true"/>
  <c r="P806" i="7" a="true"/>
  <c r="R806" i="7" a="true"/>
  <c r="N39" i="7" a="true"/>
  <c r="P39" i="7" a="true"/>
  <c r="R39" i="7" a="true"/>
  <c r="U39" i="7" a="true"/>
  <c r="N165" i="7" a="true"/>
  <c r="P165" i="7" a="true"/>
  <c r="R165" i="7" a="true"/>
  <c r="T165" i="7" a="true"/>
  <c r="U165" i="7" a="true"/>
  <c r="T299" i="7" a="true"/>
  <c r="U299" i="7" a="true"/>
  <c r="N299" i="7" a="true"/>
  <c r="P299" i="7" a="true"/>
  <c r="R299" i="7" a="true"/>
  <c r="R425" i="7" a="true"/>
  <c r="U425" i="7" a="true"/>
  <c r="N425" i="7" a="true"/>
  <c r="P425" i="7" a="true"/>
  <c r="U546" i="7" a="true"/>
  <c r="N546" i="7" a="true"/>
  <c r="P546" i="7" a="true"/>
  <c r="R546" i="7" a="true"/>
  <c r="R704" i="7" a="true"/>
  <c r="U704" i="7" a="true"/>
  <c r="N704" i="7" a="true"/>
  <c r="P704" i="7" a="true"/>
  <c r="U803" i="7" a="true"/>
  <c r="N803" i="7" a="true"/>
  <c r="P803" i="7" a="true"/>
  <c r="R803" i="7" a="true"/>
  <c r="N40" i="7" a="true"/>
  <c r="P40" i="7" a="true"/>
  <c r="R40" i="7" a="true"/>
  <c r="U40" i="7" a="true"/>
  <c r="N166" i="7" a="true"/>
  <c r="P166" i="7" a="true"/>
  <c r="R166" i="7" a="true"/>
  <c r="T166" i="7" a="true"/>
  <c r="U166" i="7" a="true"/>
  <c r="N300" i="7" a="true"/>
  <c r="P300" i="7" a="true"/>
  <c r="R300" i="7" a="true"/>
  <c r="U300" i="7" a="true"/>
  <c r="R426" i="7" a="true"/>
  <c r="U426" i="7" a="true"/>
  <c r="N426" i="7" a="true"/>
  <c r="P426" i="7" a="true"/>
  <c r="R575" i="7" a="true"/>
  <c r="U575" i="7" a="true"/>
  <c r="N575" i="7" a="true"/>
  <c r="P575" i="7" a="true"/>
  <c r="N701" i="7" a="true"/>
  <c r="P701" i="7" a="true"/>
  <c r="R701" i="7" a="true"/>
  <c r="U701" i="7" a="true"/>
  <c r="R804" i="7" a="true"/>
  <c r="U804" i="7" a="true"/>
  <c r="N804" i="7" a="true"/>
  <c r="P804" i="7" a="true"/>
  <c r="N37" i="7" a="true"/>
  <c r="P37" i="7" a="true"/>
  <c r="R37" i="7" a="true"/>
  <c r="U37" i="7" a="true"/>
  <c r="R163" i="7" a="true"/>
  <c r="T163" i="7" a="true"/>
  <c r="U163" i="7" a="true"/>
  <c r="N163" i="7" a="true"/>
  <c r="P163" i="7" a="true"/>
  <c r="U297" i="7" a="true"/>
  <c r="N297" i="7" a="true"/>
  <c r="P297" i="7" a="true"/>
  <c r="R297" i="7" a="true"/>
  <c r="N423" i="7" a="true"/>
  <c r="P423" i="7" a="true"/>
  <c r="R423" i="7" a="true"/>
  <c r="U423" i="7" a="true"/>
  <c r="R576" i="7" a="true"/>
  <c r="U576" i="7" a="true"/>
  <c r="N576" i="7" a="true"/>
  <c r="P576" i="7" a="true"/>
  <c r="P702" i="7" a="true"/>
  <c r="R702" i="7" a="true"/>
  <c r="U702" i="7" a="true"/>
  <c r="N702" i="7" a="true"/>
  <c r="N801" i="7" a="true"/>
  <c r="P801" i="7" a="true"/>
  <c r="R801" i="7" a="true"/>
  <c r="U801" i="7" a="true"/>
  <c r="U38" i="7" a="true"/>
  <c r="N38" i="7" a="true"/>
  <c r="P38" i="7" a="true"/>
  <c r="R38" i="7" a="true"/>
  <c r="N164" i="7" a="true"/>
  <c r="P164" i="7" a="true"/>
  <c r="R164" i="7" a="true"/>
  <c r="T164" i="7" a="true"/>
  <c r="U164" i="7" a="true"/>
  <c r="P298" i="7" a="true"/>
  <c r="R298" i="7" a="true"/>
  <c r="T298" i="7" a="true"/>
  <c r="U298" i="7" a="true"/>
  <c r="N298" i="7" a="true"/>
  <c r="R424" i="7" a="true"/>
  <c r="U424" i="7" a="true"/>
  <c r="N424" i="7" a="true"/>
  <c r="P424" i="7" a="true"/>
  <c r="P573" i="7" a="true"/>
  <c r="R573" i="7" a="true"/>
  <c r="U573" i="7" a="true"/>
  <c r="N573" i="7" a="true"/>
  <c r="N699" i="7" a="true"/>
  <c r="P699" i="7" a="true"/>
  <c r="R699" i="7" a="true"/>
  <c r="U699" i="7" a="true"/>
  <c r="N802" i="7" a="true"/>
  <c r="P802" i="7" a="true"/>
  <c r="R802" i="7" a="true"/>
  <c r="U802" i="7" a="true"/>
  <c r="P35" i="7" a="true"/>
  <c r="R35" i="7" a="true"/>
  <c r="U35" i="7" a="true"/>
  <c r="N35" i="7" a="true"/>
  <c r="N161" i="7" a="true"/>
  <c r="P161" i="7" a="true"/>
  <c r="R161" i="7" a="true"/>
  <c r="T161" i="7" a="true"/>
  <c r="U161" i="7" a="true"/>
  <c r="R295" i="7" a="true"/>
  <c r="U295" i="7" a="true"/>
  <c r="N295" i="7" a="true"/>
  <c r="P295" i="7" a="true"/>
  <c r="R421" i="7" a="true"/>
  <c r="U421" i="7" a="true"/>
  <c r="N421" i="7" a="true"/>
  <c r="P421" i="7" a="true"/>
  <c r="N574" i="7" a="true"/>
  <c r="P574" i="7" a="true"/>
  <c r="R574" i="7" a="true"/>
  <c r="U574" i="7" a="true"/>
  <c r="N700" i="7" a="true"/>
  <c r="P700" i="7" a="true"/>
  <c r="R700" i="7" a="true"/>
  <c r="U700" i="7" a="true"/>
  <c r="P831" i="7" a="true"/>
  <c r="R831" i="7" a="true"/>
  <c r="T831" i="7" a="true"/>
  <c r="U831" i="7" a="true"/>
  <c r="N831" i="7" a="true"/>
  <c r="R36" i="7" a="true"/>
  <c r="U36" i="7" a="true"/>
  <c r="N36" i="7" a="true"/>
  <c r="P36" i="7" a="true"/>
  <c r="N162" i="7" a="true"/>
  <c r="P162" i="7" a="true"/>
  <c r="R162" i="7" a="true"/>
  <c r="T162" i="7" a="true"/>
  <c r="U162" i="7" a="true"/>
  <c r="N296" i="7" a="true"/>
  <c r="P296" i="7" a="true"/>
  <c r="R296" i="7" a="true"/>
  <c r="U296" i="7" a="true"/>
  <c r="N422" i="7" a="true"/>
  <c r="P422" i="7" a="true"/>
  <c r="R422" i="7" a="true"/>
  <c r="U422" i="7" a="true"/>
  <c r="R571" i="7" a="true"/>
  <c r="U571" i="7" a="true"/>
  <c r="N571" i="7" a="true"/>
  <c r="P571" i="7" a="true"/>
  <c r="R697" i="7" a="true"/>
  <c r="U697" i="7" a="true"/>
  <c r="N697" i="7" a="true"/>
  <c r="P697" i="7" a="true"/>
  <c r="N832" i="7" a="true"/>
  <c r="P832" i="7" a="true"/>
  <c r="R832" i="7" a="true"/>
  <c r="U832" i="7" a="true"/>
  <c r="N33" i="7" a="true"/>
  <c r="P33" i="7" a="true"/>
  <c r="R33" i="7" a="true"/>
  <c r="U33" i="7" a="true"/>
  <c r="N191" i="7" a="true"/>
  <c r="P191" i="7" a="true"/>
  <c r="R191" i="7" a="true"/>
  <c r="T191" i="7" a="true"/>
  <c r="U191" i="7" a="true"/>
  <c r="U293" i="7" a="true"/>
  <c r="N293" i="7" a="true"/>
  <c r="P293" i="7" a="true"/>
  <c r="R293" i="7" a="true"/>
  <c r="T293" i="7" a="true"/>
  <c r="N419" i="7" a="true"/>
  <c r="P419" i="7" a="true"/>
  <c r="R419" i="7" a="true"/>
  <c r="U419" i="7" a="true"/>
  <c r="U572" i="7" a="true"/>
  <c r="N572" i="7" a="true"/>
  <c r="P572" i="7" a="true"/>
  <c r="R572" i="7" a="true"/>
  <c r="R698" i="7" a="true"/>
  <c r="U698" i="7" a="true"/>
  <c r="N698" i="7" a="true"/>
  <c r="P698" i="7" a="true"/>
  <c r="N829" i="7" a="true"/>
  <c r="P829" i="7" a="true"/>
  <c r="R829" i="7" a="true"/>
  <c r="U829" i="7" a="true"/>
  <c r="R34" i="7" a="true"/>
  <c r="U34" i="7" a="true"/>
  <c r="N34" i="7" a="true"/>
  <c r="P34" i="7" a="true"/>
  <c r="N192" i="7" a="true"/>
  <c r="P192" i="7" a="true"/>
  <c r="R192" i="7" a="true"/>
  <c r="T192" i="7" a="true"/>
  <c r="U192" i="7" a="true"/>
  <c r="R294" i="7" a="true"/>
  <c r="U294" i="7" a="true"/>
  <c r="N294" i="7" a="true"/>
  <c r="P294" i="7" a="true"/>
  <c r="N420" i="7" a="true"/>
  <c r="P420" i="7" a="true"/>
  <c r="R420" i="7" a="true"/>
  <c r="U420" i="7" a="true"/>
  <c r="N569" i="7" a="true"/>
  <c r="P569" i="7" a="true"/>
  <c r="R569" i="7" a="true"/>
  <c r="U569" i="7" a="true"/>
  <c r="N695" i="7" a="true"/>
  <c r="P695" i="7" a="true"/>
  <c r="R695" i="7" a="true"/>
  <c r="U695" i="7" a="true"/>
  <c r="P830" i="7" a="true"/>
  <c r="R830" i="7" a="true"/>
  <c r="U830" i="7" a="true"/>
  <c r="N830" i="7" a="true"/>
  <c r="N63" i="7" a="true"/>
  <c r="P63" i="7" a="true"/>
  <c r="R63" i="7" a="true"/>
  <c r="T63" i="7" a="true"/>
  <c r="U63" i="7" a="true"/>
  <c r="P189" i="7" a="true"/>
  <c r="R189" i="7" a="true"/>
  <c r="T189" i="7" a="true"/>
  <c r="U189" i="7" a="true"/>
  <c r="N189" i="7" a="true"/>
  <c r="N291" i="7" a="true"/>
  <c r="P291" i="7" a="true"/>
  <c r="R291" i="7" a="true"/>
  <c r="U291" i="7" a="true"/>
  <c r="N417" i="7" a="true"/>
  <c r="P417" i="7" a="true"/>
  <c r="R417" i="7" a="true"/>
  <c r="U417" i="7" a="true"/>
  <c r="N570" i="7" a="true"/>
  <c r="P570" i="7" a="true"/>
  <c r="R570" i="7" a="true"/>
  <c r="U570" i="7" a="true"/>
  <c r="U696" i="7" a="true"/>
  <c r="N696" i="7" a="true"/>
  <c r="P696" i="7" a="true"/>
  <c r="R696" i="7" a="true"/>
  <c r="R827" i="7" a="true"/>
  <c r="U827" i="7" a="true"/>
  <c r="N827" i="7" a="true"/>
  <c r="P827" i="7" a="true"/>
  <c r="U64" i="7" a="true"/>
  <c r="N64" i="7" a="true"/>
  <c r="P64" i="7" a="true"/>
  <c r="R64" i="7" a="true"/>
  <c r="T64" i="7" a="true"/>
  <c r="N190" i="7" a="true"/>
  <c r="P190" i="7" a="true"/>
  <c r="R190" i="7" a="true"/>
  <c r="T190" i="7" a="true"/>
  <c r="U190" i="7" a="true"/>
  <c r="R292" i="7" a="true"/>
  <c r="U292" i="7" a="true"/>
  <c r="N292" i="7" a="true"/>
  <c r="P292" i="7" a="true"/>
  <c r="N418" i="7" a="true"/>
  <c r="P418" i="7" a="true"/>
  <c r="R418" i="7" a="true"/>
  <c r="U418" i="7" a="true"/>
  <c r="N567" i="7" a="true"/>
  <c r="P567" i="7" a="true"/>
  <c r="R567" i="7" a="true"/>
  <c r="U567" i="7" a="true"/>
  <c r="N693" i="7" a="true"/>
  <c r="P693" i="7" a="true"/>
  <c r="R693" i="7" a="true"/>
  <c r="U693" i="7" a="true"/>
  <c r="N828" i="7" a="true"/>
  <c r="P828" i="7" a="true"/>
  <c r="R828" i="7" a="true"/>
  <c r="U828" i="7" a="true"/>
  <c r="R61" i="7" a="true"/>
  <c r="U61" i="7" a="true"/>
  <c r="N61" i="7" a="true"/>
  <c r="P61" i="7" a="true"/>
  <c r="N187" i="7" a="true"/>
  <c r="P187" i="7" a="true"/>
  <c r="R187" i="7" a="true"/>
  <c r="T187" i="7" a="true"/>
  <c r="U187" i="7" a="true"/>
  <c r="N289" i="7" a="true"/>
  <c r="P289" i="7" a="true"/>
  <c r="R289" i="7" a="true"/>
  <c r="T289" i="7" a="true"/>
  <c r="U289" i="7" a="true"/>
  <c r="R447" i="7" a="true"/>
  <c r="U447" i="7" a="true"/>
  <c r="N447" i="7" a="true"/>
  <c r="P447" i="7" a="true"/>
  <c r="N568" i="7" a="true"/>
  <c r="P568" i="7" a="true"/>
  <c r="R568" i="7" a="true"/>
  <c r="U568" i="7" a="true"/>
  <c r="P694" i="7" a="true"/>
  <c r="R694" i="7" a="true"/>
  <c r="U694" i="7" a="true"/>
  <c r="N694" i="7" a="true"/>
  <c r="N825" i="7" a="true"/>
  <c r="P825" i="7" a="true"/>
  <c r="R825" i="7" a="true"/>
  <c r="T825" i="7" a="true"/>
  <c r="U825" i="7" a="true"/>
  <c r="U62" i="7" a="true"/>
  <c r="N62" i="7" a="true"/>
  <c r="P62" i="7" a="true"/>
  <c r="R62" i="7" a="true"/>
  <c r="T62" i="7" a="true"/>
  <c r="N188" i="7" a="true"/>
  <c r="P188" i="7" a="true"/>
  <c r="R188" i="7" a="true"/>
  <c r="T188" i="7" a="true"/>
  <c r="U188" i="7" a="true"/>
  <c r="P290" i="7" a="true"/>
  <c r="R290" i="7" a="true"/>
  <c r="U290" i="7" a="true"/>
  <c r="N290" i="7" a="true"/>
  <c r="R448" i="7" a="true"/>
  <c r="U448" i="7" a="true"/>
  <c r="N448" i="7" a="true"/>
  <c r="P448" i="7" a="true"/>
  <c r="N565" i="7" a="true"/>
  <c r="P565" i="7" a="true"/>
  <c r="R565" i="7" a="true"/>
  <c r="U565" i="7" a="true"/>
  <c r="N691" i="7" a="true"/>
  <c r="P691" i="7" a="true"/>
  <c r="R691" i="7" a="true"/>
  <c r="U691" i="7" a="true"/>
  <c r="N826" i="7" a="true"/>
  <c r="P826" i="7" a="true"/>
  <c r="R826" i="7" a="true"/>
  <c r="T826" i="7" a="true"/>
  <c r="U826" i="7" a="true"/>
  <c r="U59" i="7" a="true"/>
  <c r="N59" i="7" a="true"/>
  <c r="P59" i="7" a="true"/>
  <c r="R59" i="7" a="true"/>
  <c r="T59" i="7" a="true"/>
  <c r="T185" i="7" a="true"/>
  <c r="U185" i="7" a="true"/>
  <c r="N185" i="7" a="true"/>
  <c r="P185" i="7" a="true"/>
  <c r="R185" i="7" a="true"/>
  <c r="N319" i="7" a="true"/>
  <c r="P319" i="7" a="true"/>
  <c r="R319" i="7" a="true"/>
  <c r="U319" i="7" a="true"/>
  <c r="N445" i="7" a="true"/>
  <c r="P445" i="7" a="true"/>
  <c r="R445" i="7" a="true"/>
  <c r="U445" i="7" a="true"/>
  <c r="N563" i="7" a="true"/>
  <c r="P563" i="7" a="true"/>
  <c r="R563" i="7" a="true"/>
  <c r="U563" i="7" a="true"/>
  <c r="N566" i="7" a="true"/>
  <c r="P566" i="7" a="true"/>
  <c r="R566" i="7" a="true"/>
  <c r="U566" i="7" a="true"/>
  <c r="R692" i="7" a="true"/>
  <c r="U692" i="7" a="true"/>
  <c r="N692" i="7" a="true"/>
  <c r="P692" i="7" a="true"/>
  <c r="N823" i="7" a="true"/>
  <c r="P823" i="7" a="true"/>
  <c r="R823" i="7" a="true"/>
  <c r="U823" i="7" a="true"/>
  <c r="N60" i="7" a="true"/>
  <c r="P60" i="7" a="true"/>
  <c r="R60" i="7" a="true"/>
  <c r="U60" i="7" a="true"/>
  <c r="R186" i="7" a="true"/>
  <c r="T186" i="7" a="true"/>
  <c r="U186" i="7" a="true"/>
  <c r="N186" i="7" a="true"/>
  <c r="P186" i="7" a="true"/>
  <c r="N320" i="7" a="true"/>
  <c r="P320" i="7" a="true"/>
  <c r="R320" i="7" a="true"/>
  <c r="U320" i="7" a="true"/>
  <c r="U446" i="7" a="true"/>
  <c r="N446" i="7" a="true"/>
  <c r="P446" i="7" a="true"/>
  <c r="R446" i="7" a="true"/>
  <c r="P564" i="7" a="true"/>
  <c r="R564" i="7" a="true"/>
  <c r="U564" i="7" a="true"/>
  <c r="N564" i="7" a="true"/>
  <c r="N689" i="7" a="true"/>
  <c r="P689" i="7" a="true"/>
  <c r="R689" i="7" a="true"/>
  <c r="U689" i="7" a="true"/>
  <c r="U824" i="7" a="true"/>
  <c r="N824" i="7" a="true"/>
  <c r="P824" i="7" a="true"/>
  <c r="R824" i="7" a="true"/>
  <c r="T824" i="7" a="true"/>
  <c r="N57" i="7" a="true"/>
  <c r="P57" i="7" a="true"/>
  <c r="R57" i="7" a="true"/>
  <c r="U57" i="7" a="true"/>
  <c r="N183" i="7" a="true"/>
  <c r="P183" i="7" a="true"/>
  <c r="R183" i="7" a="true"/>
  <c r="T183" i="7" a="true"/>
  <c r="U183" i="7" a="true"/>
  <c r="U317" i="7" a="true"/>
  <c r="N317" i="7" a="true"/>
  <c r="P317" i="7" a="true"/>
  <c r="R317" i="7" a="true"/>
  <c r="R443" i="7" a="true"/>
  <c r="U443" i="7" a="true"/>
  <c r="N443" i="7" a="true"/>
  <c r="P443" i="7" a="true"/>
  <c r="N561" i="7" a="true"/>
  <c r="P561" i="7" a="true"/>
  <c r="R561" i="7" a="true"/>
  <c r="U561" i="7" a="true"/>
  <c r="U690" i="7" a="true"/>
  <c r="N690" i="7" a="true"/>
  <c r="P690" i="7" a="true"/>
  <c r="R690" i="7" a="true"/>
  <c r="N821" i="7" a="true"/>
  <c r="P821" i="7" a="true"/>
  <c r="R821" i="7" a="true"/>
  <c r="T821" i="7" a="true"/>
  <c r="U821" i="7" a="true"/>
  <c r="N58" i="7" a="true"/>
  <c r="P58" i="7" a="true"/>
  <c r="R58" i="7" a="true"/>
  <c r="T58" i="7" a="true"/>
  <c r="U58" i="7" a="true"/>
  <c r="N184" i="7" a="true"/>
  <c r="P184" i="7" a="true"/>
  <c r="R184" i="7" a="true"/>
  <c r="T184" i="7" a="true"/>
  <c r="U184" i="7" a="true"/>
  <c r="R318" i="7" a="true"/>
  <c r="U318" i="7" a="true"/>
  <c r="N318" i="7" a="true"/>
  <c r="P318" i="7" a="true"/>
  <c r="N444" i="7" a="true"/>
  <c r="P444" i="7" a="true"/>
  <c r="R444" i="7" a="true"/>
  <c r="U444" i="7" a="true"/>
  <c r="N562" i="7" a="true"/>
  <c r="P562" i="7" a="true"/>
  <c r="R562" i="7" a="true"/>
  <c r="U562" i="7" a="true"/>
  <c r="P822" i="7" a="true"/>
  <c r="R822" i="7" a="true"/>
  <c r="T822" i="7" a="true"/>
  <c r="U822" i="7" a="true"/>
  <c r="N822" i="7" a="true"/>
  <c r="R55" i="7" a="true"/>
  <c r="U55" i="7" a="true"/>
  <c r="N55" i="7" a="true"/>
  <c r="P55" i="7" a="true"/>
  <c r="T181" i="7" a="true"/>
  <c r="U181" i="7" a="true"/>
  <c r="N181" i="7" a="true"/>
  <c r="P181" i="7" a="true"/>
  <c r="R181" i="7" a="true"/>
  <c r="N315" i="7" a="true"/>
  <c r="P315" i="7" a="true"/>
  <c r="R315" i="7" a="true"/>
  <c r="U315" i="7" a="true"/>
  <c r="N441" i="7" a="true"/>
  <c r="P441" i="7" a="true"/>
  <c r="R441" i="7" a="true"/>
  <c r="U441" i="7" a="true"/>
  <c r="N719" i="7" a="true"/>
  <c r="P719" i="7" a="true"/>
  <c r="R719" i="7" a="true"/>
  <c r="U719" i="7" a="true"/>
  <c r="R819" i="7" a="true"/>
  <c r="T819" i="7" a="true"/>
  <c r="U819" i="7" a="true"/>
  <c r="N819" i="7" a="true"/>
  <c r="P819" i="7" a="true"/>
  <c r="R56" i="7" a="true"/>
  <c r="U56" i="7" a="true"/>
  <c r="N56" i="7" a="true"/>
  <c r="P56" i="7" a="true"/>
  <c r="P182" i="7" a="true"/>
  <c r="R182" i="7" a="true"/>
  <c r="T182" i="7" a="true"/>
  <c r="U182" i="7" a="true"/>
  <c r="N182" i="7" a="true"/>
  <c r="N316" i="7" a="true"/>
  <c r="P316" i="7" a="true"/>
  <c r="R316" i="7" a="true"/>
  <c r="U316" i="7" a="true"/>
  <c r="N442" i="7" a="true"/>
  <c r="P442" i="7" a="true"/>
  <c r="R442" i="7" a="true"/>
  <c r="U442" i="7" a="true"/>
  <c r="P720" i="7" a="true"/>
  <c r="R720" i="7" a="true"/>
  <c r="U720" i="7" a="true"/>
  <c r="N720" i="7" a="true"/>
  <c r="R820" i="7" a="true"/>
  <c r="T820" i="7" a="true"/>
  <c r="U820" i="7" a="true"/>
  <c r="N820" i="7" a="true"/>
  <c r="P820" i="7" a="true"/>
  <c r="N53" i="7" a="true"/>
  <c r="P53" i="7" a="true"/>
  <c r="R53" i="7" a="true"/>
  <c r="U53" i="7" a="true"/>
  <c r="P179" i="7" a="true"/>
  <c r="R179" i="7" a="true"/>
  <c r="T179" i="7" a="true"/>
  <c r="U179" i="7" a="true"/>
  <c r="N179" i="7" a="true"/>
  <c r="N313" i="7" a="true"/>
  <c r="P313" i="7" a="true"/>
  <c r="R313" i="7" a="true"/>
  <c r="U313" i="7" a="true"/>
  <c r="U439" i="7" a="true"/>
  <c r="N439" i="7" a="true"/>
  <c r="P439" i="7" a="true"/>
  <c r="R439" i="7" a="true"/>
  <c r="U591" i="7" a="true"/>
  <c r="N591" i="7" a="true"/>
  <c r="P591" i="7" a="true"/>
  <c r="R591" i="7" a="true"/>
  <c r="N717" i="7" a="true"/>
  <c r="P717" i="7" a="true"/>
  <c r="R717" i="7" a="true"/>
  <c r="U717" i="7" a="true"/>
  <c r="N817" i="7" a="true"/>
  <c r="P817" i="7" a="true"/>
  <c r="R817" i="7" a="true"/>
  <c r="T817" i="7" a="true"/>
  <c r="U817" i="7" a="true"/>
  <c r="N54" i="7" a="true"/>
  <c r="P54" i="7" a="true"/>
  <c r="R54" i="7" a="true"/>
  <c r="U54" i="7" a="true"/>
  <c r="N180" i="7" a="true"/>
  <c r="P180" i="7" a="true"/>
  <c r="R180" i="7" a="true"/>
  <c r="T180" i="7" a="true"/>
  <c r="U180" i="7" a="true"/>
  <c r="N314" i="7" a="true"/>
  <c r="P314" i="7" a="true"/>
  <c r="R314" i="7" a="true"/>
  <c r="U314" i="7" a="true"/>
  <c r="P440" i="7" a="true"/>
  <c r="R440" i="7" a="true"/>
  <c r="U440" i="7" a="true"/>
  <c r="N440" i="7" a="true"/>
  <c r="U592" i="7" a="true"/>
  <c r="N592" i="7" a="true"/>
  <c r="P592" i="7" a="true"/>
  <c r="R592" i="7" a="true"/>
  <c r="P718" i="7" a="true"/>
  <c r="R718" i="7" a="true"/>
  <c r="U718" i="7" a="true"/>
  <c r="N718" i="7" a="true"/>
  <c r="U818" i="7" a="true"/>
  <c r="N818" i="7" a="true"/>
  <c r="P818" i="7" a="true"/>
  <c r="R818" i="7" a="true"/>
  <c r="T818" i="7" a="true"/>
  <c r="N51" i="7" a="true"/>
  <c r="P51" i="7" a="true"/>
  <c r="R51" i="7" a="true"/>
  <c r="T51" i="7" a="true"/>
  <c r="U51" i="7" a="true"/>
  <c r="R177" i="7" a="true"/>
  <c r="T177" i="7" a="true"/>
  <c r="U177" i="7" a="true"/>
  <c r="N177" i="7" a="true"/>
  <c r="P177" i="7" a="true"/>
  <c r="N311" i="7" a="true"/>
  <c r="P311" i="7" a="true"/>
  <c r="R311" i="7" a="true"/>
  <c r="U311" i="7" a="true"/>
  <c r="R437" i="7" a="true"/>
  <c r="U437" i="7" a="true"/>
  <c r="N437" i="7" a="true"/>
  <c r="P437" i="7" a="true"/>
  <c r="N589" i="7" a="true"/>
  <c r="P589" i="7" a="true"/>
  <c r="R589" i="7" a="true"/>
  <c r="U589" i="7" a="true"/>
  <c r="N715" i="7" a="true"/>
  <c r="P715" i="7" a="true"/>
  <c r="R715" i="7" a="true"/>
  <c r="U715" i="7" a="true"/>
  <c r="P52" i="7" a="true"/>
  <c r="R52" i="7" a="true"/>
  <c r="U52" i="7" a="true"/>
  <c r="N52" i="7" a="true"/>
  <c r="N178" i="7" a="true"/>
  <c r="P178" i="7" a="true"/>
  <c r="R178" i="7" a="true"/>
  <c r="U178" i="7" a="true"/>
  <c r="N312" i="7" a="true"/>
  <c r="P312" i="7" a="true"/>
  <c r="R312" i="7" a="true"/>
  <c r="U312" i="7" a="true"/>
  <c r="N438" i="7" a="true"/>
  <c r="P438" i="7" a="true"/>
  <c r="R438" i="7" a="true"/>
  <c r="U438" i="7" a="true"/>
  <c r="U590" i="7" a="true"/>
  <c r="N590" i="7" a="true"/>
  <c r="P590" i="7" a="true"/>
  <c r="R590" i="7" a="true"/>
  <c r="T590" i="7" a="true"/>
  <c r="N716" i="7" a="true"/>
  <c r="P716" i="7" a="true"/>
  <c r="R716" i="7" a="true"/>
  <c r="U716" i="7" a="true"/>
  <c r="P49" i="7" a="true"/>
  <c r="R49" i="7" a="true"/>
  <c r="T49" i="7" a="true"/>
  <c r="U49" i="7" a="true"/>
  <c r="N49" i="7" a="true"/>
  <c r="N309" i="7" a="true"/>
  <c r="P309" i="7" a="true"/>
  <c r="R309" i="7" a="true"/>
  <c r="U309" i="7" a="true"/>
  <c r="N310" i="7" a="true"/>
  <c r="P310" i="7" a="true"/>
  <c r="R310" i="7" a="true"/>
  <c r="U310" i="7" a="true"/>
  <c r="N435" i="7" a="true"/>
  <c r="P435" i="7" a="true"/>
  <c r="R435" i="7" a="true"/>
  <c r="U435" i="7" a="true"/>
  <c r="N587" i="7" a="true"/>
  <c r="P587" i="7" a="true"/>
  <c r="R587" i="7" a="true"/>
  <c r="U587" i="7" a="true"/>
  <c r="N713" i="7" a="true"/>
  <c r="P713" i="7" a="true"/>
  <c r="R713" i="7" a="true"/>
  <c r="U713" i="7" a="true"/>
  <c r="N50" i="7" a="true"/>
  <c r="P50" i="7" a="true"/>
  <c r="R50" i="7" a="true"/>
  <c r="U50" i="7" a="true"/>
  <c r="U307" i="7" a="true"/>
  <c r="N307" i="7" a="true"/>
  <c r="P307" i="7" a="true"/>
  <c r="R307" i="7" a="true"/>
  <c r="T307" i="7" a="true"/>
  <c r="R436" i="7" a="true"/>
  <c r="U436" i="7" a="true"/>
  <c r="N436" i="7" a="true"/>
  <c r="P436" i="7" a="true"/>
  <c r="N588" i="7" a="true"/>
  <c r="P588" i="7" a="true"/>
  <c r="R588" i="7" a="true"/>
  <c r="U588" i="7" a="true"/>
  <c r="P714" i="7" a="true"/>
  <c r="R714" i="7" a="true"/>
  <c r="U714" i="7" a="true"/>
  <c r="N714" i="7" a="true"/>
  <c r="N207" i="7" a="true"/>
  <c r="P207" i="7" a="true"/>
  <c r="R207" i="7" a="true"/>
  <c r="U207" i="7" a="true"/>
  <c r="P308" i="7" a="true"/>
  <c r="R308" i="7" a="true"/>
  <c r="U308" i="7" a="true"/>
  <c r="N308" i="7" a="true"/>
  <c r="N433" i="7" a="true"/>
  <c r="P433" i="7" a="true"/>
  <c r="R433" i="7" a="true"/>
  <c r="U433" i="7" a="true"/>
  <c r="N585" i="7" a="true"/>
  <c r="P585" i="7" a="true"/>
  <c r="R585" i="7" a="true"/>
  <c r="U585" i="7" a="true"/>
  <c r="N711" i="7" a="true"/>
  <c r="P711" i="7" a="true"/>
  <c r="R711" i="7" a="true"/>
  <c r="U711" i="7" a="true"/>
  <c r="N208" i="7" a="true"/>
  <c r="P208" i="7" a="true"/>
  <c r="R208" i="7" a="true"/>
  <c r="U208" i="7" a="true"/>
  <c r="N305" i="7" a="true"/>
  <c r="P305" i="7" a="true"/>
  <c r="R305" i="7" a="true"/>
  <c r="U305" i="7" a="true"/>
  <c r="N434" i="7" a="true"/>
  <c r="P434" i="7" a="true"/>
  <c r="R434" i="7" a="true"/>
  <c r="U434" i="7" a="true"/>
  <c r="N586" i="7" a="true"/>
  <c r="P586" i="7" a="true"/>
  <c r="R586" i="7" a="true"/>
  <c r="U586" i="7" a="true"/>
  <c r="N712" i="7" a="true"/>
  <c r="P712" i="7" a="true"/>
  <c r="R712" i="7" a="true"/>
  <c r="U712" i="7" a="true"/>
  <c r="N79" i="7" a="true"/>
  <c r="P79" i="7" a="true"/>
  <c r="R79" i="7" a="true"/>
  <c r="U79" i="7" a="true"/>
  <c r="R205" i="7" a="true"/>
  <c r="U205" i="7" a="true"/>
  <c r="N205" i="7" a="true"/>
  <c r="P205" i="7" a="true"/>
  <c r="N306" i="7" a="true"/>
  <c r="P306" i="7" a="true"/>
  <c r="R306" i="7" a="true"/>
  <c r="T306" i="7" a="true"/>
  <c r="U306" i="7" a="true"/>
  <c r="P583" i="7" a="true"/>
  <c r="R583" i="7" a="true"/>
  <c r="U583" i="7" a="true"/>
  <c r="N583" i="7" a="true"/>
  <c r="N709" i="7" a="true"/>
  <c r="P709" i="7" a="true"/>
  <c r="R709" i="7" a="true"/>
  <c r="U709" i="7" a="true"/>
  <c r="N80" i="7" a="true"/>
  <c r="P80" i="7" a="true"/>
  <c r="R80" i="7" a="true"/>
  <c r="U80" i="7" a="true"/>
  <c r="U206" i="7" a="true"/>
  <c r="N206" i="7" a="true"/>
  <c r="P206" i="7" a="true"/>
  <c r="R206" i="7" a="true"/>
  <c r="N463" i="7" a="true"/>
  <c r="P463" i="7" a="true"/>
  <c r="R463" i="7" a="true"/>
  <c r="U463" i="7" a="true"/>
  <c r="R584" i="7" a="true"/>
  <c r="U584" i="7" a="true"/>
  <c r="N584" i="7" a="true"/>
  <c r="P584" i="7" a="true"/>
  <c r="N710" i="7" a="true"/>
  <c r="P710" i="7" a="true"/>
  <c r="R710" i="7" a="true"/>
  <c r="U710" i="7" a="true"/>
  <c r="N77" i="7" a="true"/>
  <c r="P77" i="7" a="true"/>
  <c r="R77" i="7" a="true"/>
  <c r="T77" i="7" a="true"/>
  <c r="U77" i="7" a="true"/>
  <c r="U203" i="7" a="true"/>
  <c r="N203" i="7" a="true"/>
  <c r="P203" i="7" a="true"/>
  <c r="R203" i="7" a="true"/>
  <c r="U464" i="7" a="true"/>
  <c r="N464" i="7" a="true"/>
  <c r="P464" i="7" a="true"/>
  <c r="R464" i="7" a="true"/>
  <c r="N581" i="7" a="true"/>
  <c r="P581" i="7" a="true"/>
  <c r="R581" i="7" a="true"/>
  <c r="U581" i="7" a="true"/>
  <c r="N707" i="7" a="true"/>
  <c r="P707" i="7" a="true"/>
  <c r="R707" i="7" a="true"/>
  <c r="U707" i="7" a="true"/>
  <c r="T78" i="7" a="true"/>
  <c r="U78" i="7" a="true"/>
  <c r="N78" i="7" a="true"/>
  <c r="P78" i="7" a="true"/>
  <c r="R78" i="7" a="true"/>
  <c r="P204" i="7" a="true"/>
  <c r="R204" i="7" a="true"/>
  <c r="U204" i="7" a="true"/>
  <c r="N204" i="7" a="true"/>
  <c r="N335" i="7" a="true"/>
  <c r="P335" i="7" a="true"/>
  <c r="R335" i="7" a="true"/>
  <c r="T335" i="7" a="true"/>
  <c r="U335" i="7" a="true"/>
  <c r="U461" i="7" a="true"/>
  <c r="N461" i="7" a="true"/>
  <c r="P461" i="7" a="true"/>
  <c r="R461" i="7" a="true"/>
  <c r="P582" i="7" a="true"/>
  <c r="R582" i="7" a="true"/>
  <c r="U582" i="7" a="true"/>
  <c r="N582" i="7" a="true"/>
  <c r="U708" i="7" a="true"/>
  <c r="N708" i="7" a="true"/>
  <c r="P708" i="7" a="true"/>
  <c r="R708" i="7" a="true"/>
  <c r="N75" i="7" a="true"/>
  <c r="P75" i="7" a="true"/>
  <c r="R75" i="7" a="true"/>
  <c r="U75" i="7" a="true"/>
  <c r="N201" i="7" a="true"/>
  <c r="P201" i="7" a="true"/>
  <c r="R201" i="7" a="true"/>
  <c r="T201" i="7" a="true"/>
  <c r="U201" i="7" a="true"/>
  <c r="N336" i="7" a="true"/>
  <c r="P336" i="7" a="true"/>
  <c r="R336" i="7" a="true"/>
  <c r="U336" i="7" a="true"/>
  <c r="N462" i="7" a="true"/>
  <c r="P462" i="7" a="true"/>
  <c r="R462" i="7" a="true"/>
  <c r="U462" i="7" a="true"/>
  <c r="P579" i="7" a="true"/>
  <c r="R579" i="7" a="true"/>
  <c r="U579" i="7" a="true"/>
  <c r="N579" i="7" a="true"/>
  <c r="P705" i="7" a="true"/>
  <c r="R705" i="7" a="true"/>
  <c r="U705" i="7" a="true"/>
  <c r="N705" i="7" a="true"/>
  <c r="N76" i="7" a="true"/>
  <c r="P76" i="7" a="true"/>
  <c r="R76" i="7" a="true"/>
  <c r="U76" i="7" a="true"/>
  <c r="N202" i="7" a="true"/>
  <c r="P202" i="7" a="true"/>
  <c r="R202" i="7" a="true"/>
  <c r="T202" i="7" a="true"/>
  <c r="U202" i="7" a="true"/>
  <c r="R333" i="7" a="true"/>
  <c r="U333" i="7" a="true"/>
  <c r="N333" i="7" a="true"/>
  <c r="P333" i="7" a="true"/>
  <c r="P459" i="7" a="true"/>
  <c r="R459" i="7" a="true"/>
  <c r="U459" i="7" a="true"/>
  <c r="N459" i="7" a="true"/>
  <c r="N580" i="7" a="true"/>
  <c r="P580" i="7" a="true"/>
  <c r="R580" i="7" a="true"/>
  <c r="U580" i="7" a="true"/>
  <c r="N706" i="7" a="true"/>
  <c r="P706" i="7" a="true"/>
  <c r="R706" i="7" a="true"/>
  <c r="U706" i="7" a="true"/>
  <c r="P73" i="7" a="true"/>
  <c r="R73" i="7" a="true"/>
  <c r="U73" i="7" a="true"/>
  <c r="N73" i="7" a="true"/>
  <c r="P74" i="7" a="true"/>
  <c r="R74" i="7" a="true"/>
  <c r="T74" i="7" a="true"/>
  <c r="U74" i="7" a="true"/>
  <c r="N74" i="7" a="true"/>
  <c r="R199" i="7" a="true"/>
  <c r="T199" i="7" a="true"/>
  <c r="U199" i="7" a="true"/>
  <c r="N199" i="7" a="true"/>
  <c r="P199" i="7" a="true"/>
  <c r="N334" i="7" a="true"/>
  <c r="P334" i="7" a="true"/>
  <c r="R334" i="7" a="true"/>
  <c r="U334" i="7" a="true"/>
  <c r="R460" i="7" a="true"/>
  <c r="U460" i="7" a="true"/>
  <c r="N460" i="7" a="true"/>
  <c r="P460" i="7" a="true"/>
  <c r="R577" i="7" a="true"/>
  <c r="U577" i="7" a="true"/>
  <c r="N577" i="7" a="true"/>
  <c r="P577" i="7" a="true"/>
  <c r="R735" i="7" a="true"/>
  <c r="U735" i="7" a="true"/>
  <c r="N735" i="7" a="true"/>
  <c r="P735" i="7" a="true"/>
  <c r="N837" i="7" a="true"/>
  <c r="P837" i="7" a="true"/>
  <c r="R837" i="7" a="true"/>
  <c r="U837" i="7" a="true"/>
  <c r="N71" i="7" a="true"/>
  <c r="P71" i="7" a="true"/>
  <c r="R71" i="7" a="true"/>
  <c r="U71" i="7" a="true"/>
  <c r="R200" i="7" a="true"/>
  <c r="T200" i="7" a="true"/>
  <c r="U200" i="7" a="true"/>
  <c r="N200" i="7" a="true"/>
  <c r="P200" i="7" a="true"/>
  <c r="N331" i="7" a="true"/>
  <c r="P331" i="7" a="true"/>
  <c r="R331" i="7" a="true"/>
  <c r="U331" i="7" a="true"/>
  <c r="U457" i="7" a="true"/>
  <c r="N457" i="7" a="true"/>
  <c r="P457" i="7" a="true"/>
  <c r="R457" i="7" a="true"/>
  <c r="N578" i="7" a="true"/>
  <c r="P578" i="7" a="true"/>
  <c r="R578" i="7" a="true"/>
  <c r="U578" i="7" a="true"/>
  <c r="R736" i="7" a="true"/>
  <c r="U736" i="7" a="true"/>
  <c r="N736" i="7" a="true"/>
  <c r="P736" i="7" a="true"/>
  <c r="U72" i="7" a="true"/>
  <c r="N72" i="7" a="true"/>
  <c r="P72" i="7" a="true"/>
  <c r="R72" i="7" a="true"/>
  <c r="T72" i="7" a="true"/>
  <c r="N197" i="7" a="true"/>
  <c r="P197" i="7" a="true"/>
  <c r="R197" i="7" a="true"/>
  <c r="T197" i="7" a="true"/>
  <c r="U197" i="7" a="true"/>
  <c r="P332" i="7" a="true"/>
  <c r="R332" i="7" a="true"/>
  <c r="U332" i="7" a="true"/>
  <c r="N332" i="7" a="true"/>
  <c r="R458" i="7" a="true"/>
  <c r="U458" i="7" a="true"/>
  <c r="N458" i="7" a="true"/>
  <c r="P458" i="7" a="true"/>
  <c r="N607" i="7" a="true"/>
  <c r="P607" i="7" a="true"/>
  <c r="R607" i="7" a="true"/>
  <c r="U607" i="7" a="true"/>
  <c r="P733" i="7" a="true"/>
  <c r="R733" i="7" a="true"/>
  <c r="U733" i="7" a="true"/>
  <c r="N733" i="7" a="true"/>
  <c r="N835" i="7" a="true"/>
  <c r="P835" i="7" a="true"/>
  <c r="R835" i="7" a="true"/>
  <c r="U835" i="7" a="true"/>
  <c r="P69" i="7" a="true"/>
  <c r="R69" i="7" a="true"/>
  <c r="U69" i="7" a="true"/>
  <c r="N69" i="7" a="true"/>
  <c r="R198" i="7" a="true"/>
  <c r="T198" i="7" a="true"/>
  <c r="U198" i="7" a="true"/>
  <c r="N198" i="7" a="true"/>
  <c r="P198" i="7" a="true"/>
  <c r="N329" i="7" a="true"/>
  <c r="P329" i="7" a="true"/>
  <c r="R329" i="7" a="true"/>
  <c r="U329" i="7" a="true"/>
  <c r="N455" i="7" a="true"/>
  <c r="P455" i="7" a="true"/>
  <c r="R455" i="7" a="true"/>
  <c r="U455" i="7" a="true"/>
  <c r="R608" i="7" a="true"/>
  <c r="U608" i="7" a="true"/>
  <c r="N608" i="7" a="true"/>
  <c r="P608" i="7" a="true"/>
  <c r="U734" i="7" a="true"/>
  <c r="N734" i="7" a="true"/>
  <c r="P734" i="7" a="true"/>
  <c r="R734" i="7" a="true"/>
  <c r="N836" i="7" a="true"/>
  <c r="P836" i="7" a="true"/>
  <c r="R836" i="7" a="true"/>
  <c r="U836" i="7" a="true"/>
  <c r="N70" i="7" a="true"/>
  <c r="P70" i="7" a="true"/>
  <c r="R70" i="7" a="true"/>
  <c r="T70" i="7" a="true"/>
  <c r="U70" i="7" a="true"/>
  <c r="U195" i="7" a="true"/>
  <c r="N195" i="7" a="true"/>
  <c r="P195" i="7" a="true"/>
  <c r="R195" i="7" a="true"/>
  <c r="T195" i="7" a="true"/>
  <c r="N330" i="7" a="true"/>
  <c r="P330" i="7" a="true"/>
  <c r="R330" i="7" a="true"/>
  <c r="U330" i="7" a="true"/>
  <c r="P456" i="7" a="true"/>
  <c r="R456" i="7" a="true"/>
  <c r="U456" i="7" a="true"/>
  <c r="N456" i="7" a="true"/>
  <c r="N605" i="7" a="true"/>
  <c r="P605" i="7" a="true"/>
  <c r="R605" i="7" a="true"/>
  <c r="U605" i="7" a="true"/>
  <c r="P731" i="7" a="true"/>
  <c r="R731" i="7" a="true"/>
  <c r="U731" i="7" a="true"/>
  <c r="N731" i="7" a="true"/>
  <c r="N833" i="7" a="true"/>
  <c r="P833" i="7" a="true"/>
  <c r="R833" i="7" a="true"/>
  <c r="U833" i="7" a="true"/>
  <c r="U67" i="7" a="true"/>
  <c r="N67" i="7" a="true"/>
  <c r="P67" i="7" a="true"/>
  <c r="R67" i="7" a="true"/>
  <c r="T67" i="7" a="true"/>
  <c r="R196" i="7" a="true"/>
  <c r="T196" i="7" a="true"/>
  <c r="U196" i="7" a="true"/>
  <c r="N196" i="7" a="true"/>
  <c r="P196" i="7" a="true"/>
  <c r="N327" i="7" a="true"/>
  <c r="P327" i="7" a="true"/>
  <c r="R327" i="7" a="true"/>
  <c r="U327" i="7" a="true"/>
  <c r="R453" i="7" a="true"/>
  <c r="U453" i="7" a="true"/>
  <c r="N453" i="7" a="true"/>
  <c r="P453" i="7" a="true"/>
  <c r="P606" i="7" a="true"/>
  <c r="R606" i="7" a="true"/>
  <c r="U606" i="7" a="true"/>
  <c r="N606" i="7" a="true"/>
  <c r="R732" i="7" a="true"/>
  <c r="U732" i="7" a="true"/>
  <c r="N732" i="7" a="true"/>
  <c r="P732" i="7" a="true"/>
  <c r="N834" i="7" a="true"/>
  <c r="P834" i="7" a="true"/>
  <c r="R834" i="7" a="true"/>
  <c r="U834" i="7" a="true"/>
  <c r="R68" i="7" a="true"/>
  <c r="T68" i="7" a="true"/>
  <c r="U68" i="7" a="true"/>
  <c r="N68" i="7" a="true"/>
  <c r="P68" i="7" a="true"/>
  <c r="R193" i="7" a="true"/>
  <c r="T193" i="7" a="true"/>
  <c r="U193" i="7" a="true"/>
  <c r="N193" i="7" a="true"/>
  <c r="P193" i="7" a="true"/>
  <c r="N328" i="7" a="true"/>
  <c r="P328" i="7" a="true"/>
  <c r="R328" i="7" a="true"/>
  <c r="U328" i="7" a="true"/>
  <c r="N454" i="7" a="true"/>
  <c r="P454" i="7" a="true"/>
  <c r="R454" i="7" a="true"/>
  <c r="U454" i="7" a="true"/>
  <c r="R603" i="7" a="true"/>
  <c r="U603" i="7" a="true"/>
  <c r="N603" i="7" a="true"/>
  <c r="P603" i="7" a="true"/>
  <c r="U729" i="7" a="true"/>
  <c r="N729" i="7" a="true"/>
  <c r="P729" i="7" a="true"/>
  <c r="R729" i="7" a="true"/>
  <c r="N65" i="7" a="true"/>
  <c r="P65" i="7" a="true"/>
  <c r="R65" i="7" a="true"/>
  <c r="T65" i="7" a="true"/>
  <c r="U65" i="7" a="true"/>
  <c r="T194" i="7" a="true"/>
  <c r="U194" i="7" a="true"/>
  <c r="N194" i="7" a="true"/>
  <c r="P194" i="7" a="true"/>
  <c r="R194" i="7" a="true"/>
  <c r="U325" i="7" a="true"/>
  <c r="N325" i="7" a="true"/>
  <c r="P325" i="7" a="true"/>
  <c r="R325" i="7" a="true"/>
  <c r="U451" i="7" a="true"/>
  <c r="N451" i="7" a="true"/>
  <c r="P451" i="7" a="true"/>
  <c r="R451" i="7" a="true"/>
  <c r="P604" i="7" a="true"/>
  <c r="R604" i="7" a="true"/>
  <c r="U604" i="7" a="true"/>
  <c r="N604" i="7" a="true"/>
  <c r="U730" i="7" a="true"/>
  <c r="N730" i="7" a="true"/>
  <c r="P730" i="7" a="true"/>
  <c r="R730" i="7" a="true"/>
  <c r="N66" i="7" a="true"/>
  <c r="P66" i="7" a="true"/>
  <c r="R66" i="7" a="true"/>
  <c r="T66" i="7" a="true"/>
  <c r="U66" i="7" a="true"/>
  <c r="N223" i="7" a="true"/>
  <c r="P223" i="7" a="true"/>
  <c r="R223" i="7" a="true"/>
  <c r="T223" i="7" a="true"/>
  <c r="U223" i="7" a="true"/>
  <c r="R326" i="7" a="true"/>
  <c r="U326" i="7" a="true"/>
  <c r="N326" i="7" a="true"/>
  <c r="P326" i="7" a="true"/>
  <c r="N452" i="7" a="true"/>
  <c r="P452" i="7" a="true"/>
  <c r="R452" i="7" a="true"/>
  <c r="U452" i="7" a="true"/>
  <c r="N601" i="7" a="true"/>
  <c r="P601" i="7" a="true"/>
  <c r="R601" i="7" a="true"/>
  <c r="U601" i="7" a="true"/>
  <c r="U727" i="7" a="true"/>
  <c r="N727" i="7" a="true"/>
  <c r="P727" i="7" a="true"/>
  <c r="R727" i="7" a="true"/>
  <c r="N95" i="7" a="true"/>
  <c r="P95" i="7" a="true"/>
  <c r="R95" i="7" a="true"/>
  <c r="T95" i="7" a="true"/>
  <c r="U95" i="7" a="true"/>
  <c r="N224" i="7" a="true"/>
  <c r="P224" i="7" a="true"/>
  <c r="R224" i="7" a="true"/>
  <c r="U224" i="7" a="true"/>
  <c r="N323" i="7" a="true"/>
  <c r="P323" i="7" a="true"/>
  <c r="R323" i="7" a="true"/>
  <c r="U323" i="7" a="true"/>
  <c r="N449" i="7" a="true"/>
  <c r="P449" i="7" a="true"/>
  <c r="R449" i="7" a="true"/>
  <c r="U449" i="7" a="true"/>
  <c r="P602" i="7" a="true"/>
  <c r="R602" i="7" a="true"/>
  <c r="U602" i="7" a="true"/>
  <c r="N602" i="7" a="true"/>
  <c r="U728" i="7" a="true"/>
  <c r="N728" i="7" a="true"/>
  <c r="P728" i="7" a="true"/>
  <c r="R728" i="7" a="true"/>
  <c r="T96" i="7" a="true"/>
  <c r="U96" i="7" a="true"/>
  <c r="N96" i="7" a="true"/>
  <c r="P96" i="7" a="true"/>
  <c r="R96" i="7" a="true"/>
  <c r="P221" i="7" a="true"/>
  <c r="R221" i="7" a="true"/>
  <c r="U221" i="7" a="true"/>
  <c r="N221" i="7" a="true"/>
  <c r="N222" i="7" a="true"/>
  <c r="P222" i="7" a="true"/>
  <c r="R222" i="7" a="true"/>
  <c r="U222" i="7" a="true"/>
  <c r="N324" i="7" a="true"/>
  <c r="P324" i="7" a="true"/>
  <c r="R324" i="7" a="true"/>
  <c r="U324" i="7" a="true"/>
  <c r="N450" i="7" a="true"/>
  <c r="P450" i="7" a="true"/>
  <c r="R450" i="7" a="true"/>
  <c r="U450" i="7" a="true"/>
  <c r="N599" i="7" a="true"/>
  <c r="P599" i="7" a="true"/>
  <c r="R599" i="7" a="true"/>
  <c r="U599" i="7" a="true"/>
  <c r="N725" i="7" a="true"/>
  <c r="P725" i="7" a="true"/>
  <c r="R725" i="7" a="true"/>
  <c r="U725" i="7" a="true"/>
  <c r="U93" i="7" a="true"/>
  <c r="N93" i="7" a="true"/>
  <c r="P93" i="7" a="true"/>
  <c r="R93" i="7" a="true"/>
  <c r="N219" i="7" a="true"/>
  <c r="P219" i="7" a="true"/>
  <c r="R219" i="7" a="true"/>
  <c r="U219" i="7" a="true"/>
  <c r="U321" i="7" a="true"/>
  <c r="N321" i="7" a="true"/>
  <c r="P321" i="7" a="true"/>
  <c r="R321" i="7" a="true"/>
  <c r="U479" i="7" a="true"/>
  <c r="N479" i="7" a="true"/>
  <c r="P479" i="7" a="true"/>
  <c r="R479" i="7" a="true"/>
  <c r="R600" i="7" a="true"/>
  <c r="U600" i="7" a="true"/>
  <c r="N600" i="7" a="true"/>
  <c r="P600" i="7" a="true"/>
  <c r="N726" i="7" a="true"/>
  <c r="P726" i="7" a="true"/>
  <c r="R726" i="7" a="true"/>
  <c r="U726" i="7" a="true"/>
  <c r="N94" i="7" a="true"/>
  <c r="P94" i="7" a="true"/>
  <c r="R94" i="7" a="true"/>
  <c r="T94" i="7" a="true"/>
  <c r="U94" i="7" a="true"/>
  <c r="P220" i="7" a="true"/>
  <c r="R220" i="7" a="true"/>
  <c r="U220" i="7" a="true"/>
  <c r="N220" i="7" a="true"/>
  <c r="N322" i="7" a="true"/>
  <c r="P322" i="7" a="true"/>
  <c r="R322" i="7" a="true"/>
  <c r="U322" i="7" a="true"/>
  <c r="N480" i="7" a="true"/>
  <c r="P480" i="7" a="true"/>
  <c r="R480" i="7" a="true"/>
  <c r="U480" i="7" a="true"/>
  <c r="N597" i="7" a="true"/>
  <c r="P597" i="7" a="true"/>
  <c r="R597" i="7" a="true"/>
  <c r="U597" i="7" a="true"/>
  <c r="N723" i="7" a="true"/>
  <c r="P723" i="7" a="true"/>
  <c r="R723" i="7" a="true"/>
  <c r="U723" i="7" a="true"/>
  <c r="N91" i="7" a="true"/>
  <c r="P91" i="7" a="true"/>
  <c r="R91" i="7" a="true"/>
  <c r="T91" i="7" a="true"/>
  <c r="U91" i="7" a="true"/>
  <c r="N217" i="7" a="true"/>
  <c r="P217" i="7" a="true"/>
  <c r="R217" i="7" a="true"/>
  <c r="U217" i="7" a="true"/>
  <c r="P351" i="7" a="true"/>
  <c r="R351" i="7" a="true"/>
  <c r="U351" i="7" a="true"/>
  <c r="N351" i="7" a="true"/>
  <c r="R477" i="7" a="true"/>
  <c r="U477" i="7" a="true"/>
  <c r="N477" i="7" a="true"/>
  <c r="P477" i="7" a="true"/>
  <c r="N598" i="7" a="true"/>
  <c r="P598" i="7" a="true"/>
  <c r="R598" i="7" a="true"/>
  <c r="U598" i="7" a="true"/>
  <c r="N724" i="7" a="true"/>
  <c r="P724" i="7" a="true"/>
  <c r="R724" i="7" a="true"/>
  <c r="U724" i="7" a="true"/>
  <c r="R92" i="7" a="true"/>
  <c r="T92" i="7" a="true"/>
  <c r="U92" i="7" a="true"/>
  <c r="N92" i="7" a="true"/>
  <c r="P92" i="7" a="true"/>
  <c r="N218" i="7" a="true"/>
  <c r="P218" i="7" a="true"/>
  <c r="R218" i="7" a="true"/>
  <c r="U218" i="7" a="true"/>
  <c r="R352" i="7" a="true"/>
  <c r="U352" i="7" a="true"/>
  <c r="N352" i="7" a="true"/>
  <c r="P352" i="7" a="true"/>
  <c r="N478" i="7" a="true"/>
  <c r="P478" i="7" a="true"/>
  <c r="R478" i="7" a="true"/>
  <c r="U478" i="7" a="true"/>
  <c r="N595" i="7" a="true"/>
  <c r="P595" i="7" a="true"/>
  <c r="R595" i="7" a="true"/>
  <c r="U595" i="7" a="true"/>
  <c r="N721" i="7" a="true"/>
  <c r="P721" i="7" a="true"/>
  <c r="R721" i="7" a="true"/>
  <c r="U721" i="7" a="true"/>
  <c r="P89" i="7" a="true"/>
  <c r="R89" i="7" a="true"/>
  <c r="U89" i="7" a="true"/>
  <c r="N89" i="7" a="true"/>
  <c r="R215" i="7" a="true"/>
  <c r="U215" i="7" a="true"/>
  <c r="N215" i="7" a="true"/>
  <c r="P215" i="7" a="true"/>
  <c r="N349" i="7" a="true"/>
  <c r="P349" i="7" a="true"/>
  <c r="R349" i="7" a="true"/>
  <c r="U349" i="7" a="true"/>
  <c r="N475" i="7" a="true"/>
  <c r="P475" i="7" a="true"/>
  <c r="R475" i="7" a="true"/>
  <c r="U475" i="7" a="true"/>
  <c r="N596" i="7" a="true"/>
  <c r="P596" i="7" a="true"/>
  <c r="R596" i="7" a="true"/>
  <c r="U596" i="7" a="true"/>
  <c r="N722" i="7" a="true"/>
  <c r="P722" i="7" a="true"/>
  <c r="R722" i="7" a="true"/>
  <c r="U722" i="7" a="true"/>
  <c r="N90" i="7" a="true"/>
  <c r="P90" i="7" a="true"/>
  <c r="R90" i="7" a="true"/>
  <c r="T90" i="7" a="true"/>
  <c r="U90" i="7" a="true"/>
  <c r="N216" i="7" a="true"/>
  <c r="P216" i="7" a="true"/>
  <c r="R216" i="7" a="true"/>
  <c r="U216" i="7" a="true"/>
  <c r="N350" i="7" a="true"/>
  <c r="P350" i="7" a="true"/>
  <c r="R350" i="7" a="true"/>
  <c r="U350" i="7" a="true"/>
  <c r="N476" i="7" a="true"/>
  <c r="P476" i="7" a="true"/>
  <c r="R476" i="7" a="true"/>
  <c r="U476" i="7" a="true"/>
  <c r="N593" i="7" a="true"/>
  <c r="P593" i="7" a="true"/>
  <c r="R593" i="7" a="true"/>
  <c r="U593" i="7" a="true"/>
  <c r="N751" i="7" a="true"/>
  <c r="P751" i="7" a="true"/>
  <c r="R751" i="7" a="true"/>
  <c r="U751" i="7" a="true"/>
  <c r="P87" i="7" a="true"/>
  <c r="R87" i="7" a="true"/>
  <c r="T87" i="7" a="true"/>
  <c r="U87" i="7" a="true"/>
  <c r="N87" i="7" a="true"/>
  <c r="N213" i="7" a="true"/>
  <c r="P213" i="7" a="true"/>
  <c r="R213" i="7" a="true"/>
  <c r="U213" i="7" a="true"/>
  <c r="R347" i="7" a="true"/>
  <c r="U347" i="7" a="true"/>
  <c r="N347" i="7" a="true"/>
  <c r="P347" i="7" a="true"/>
  <c r="P473" i="7" a="true"/>
  <c r="R473" i="7" a="true"/>
  <c r="U473" i="7" a="true"/>
  <c r="N473" i="7" a="true"/>
  <c r="P594" i="7" a="true"/>
  <c r="R594" i="7" a="true"/>
  <c r="U594" i="7" a="true"/>
  <c r="N594" i="7" a="true"/>
  <c r="R752" i="7" a="true"/>
  <c r="U752" i="7" a="true"/>
  <c r="N752" i="7" a="true"/>
  <c r="P752" i="7" a="true"/>
  <c r="P88" i="7" a="true"/>
  <c r="R88" i="7" a="true"/>
  <c r="U88" i="7" a="true"/>
  <c r="N88" i="7" a="true"/>
  <c r="N214" i="7" a="true"/>
  <c r="P214" i="7" a="true"/>
  <c r="R214" i="7" a="true"/>
  <c r="U214" i="7" a="true"/>
  <c r="P348" i="7" a="true"/>
  <c r="R348" i="7" a="true"/>
  <c r="U348" i="7" a="true"/>
  <c r="N348" i="7" a="true"/>
  <c r="N474" i="7" a="true"/>
  <c r="P474" i="7" a="true"/>
  <c r="R474" i="7" a="true"/>
  <c r="U474" i="7" a="true"/>
  <c r="N623" i="7" a="true"/>
  <c r="P623" i="7" a="true"/>
  <c r="R623" i="7" a="true"/>
  <c r="U623" i="7" a="true"/>
  <c r="P749" i="7" a="true"/>
  <c r="R749" i="7" a="true"/>
  <c r="U749" i="7" a="true"/>
  <c r="N749" i="7" a="true"/>
  <c r="N85" i="7" a="true"/>
  <c r="P85" i="7" a="true"/>
  <c r="R85" i="7" a="true"/>
  <c r="T85" i="7" a="true"/>
  <c r="U85" i="7" a="true"/>
  <c r="N211" i="7" a="true"/>
  <c r="P211" i="7" a="true"/>
  <c r="R211" i="7" a="true"/>
  <c r="U211" i="7" a="true"/>
  <c r="P345" i="7" a="true"/>
  <c r="R345" i="7" a="true"/>
  <c r="U345" i="7" a="true"/>
  <c r="N345" i="7" a="true"/>
  <c r="P471" i="7" a="true"/>
  <c r="R471" i="7" a="true"/>
  <c r="U471" i="7" a="true"/>
  <c r="N471" i="7" a="true"/>
  <c r="N624" i="7" a="true"/>
  <c r="P624" i="7" a="true"/>
  <c r="R624" i="7" a="true"/>
  <c r="U624" i="7" a="true"/>
  <c r="P750" i="7" a="true"/>
  <c r="R750" i="7" a="true"/>
  <c r="U750" i="7" a="true"/>
  <c r="N750" i="7" a="true"/>
  <c r="N86" i="7" a="true"/>
  <c r="P86" i="7" a="true"/>
  <c r="R86" i="7" a="true"/>
  <c r="T86" i="7" a="true"/>
  <c r="U86" i="7" a="true"/>
  <c r="P212" i="7" a="true"/>
  <c r="R212" i="7" a="true"/>
  <c r="U212" i="7" a="true"/>
  <c r="N212" i="7" a="true"/>
  <c r="U346" i="7" a="true"/>
  <c r="N346" i="7" a="true"/>
  <c r="P346" i="7" a="true"/>
  <c r="R346" i="7" a="true"/>
  <c r="P472" i="7" a="true"/>
  <c r="R472" i="7" a="true"/>
  <c r="U472" i="7" a="true"/>
  <c r="N472" i="7" a="true"/>
  <c r="P621" i="7" a="true"/>
  <c r="R621" i="7" a="true"/>
  <c r="U621" i="7" a="true"/>
  <c r="N621" i="7" a="true"/>
  <c r="U747" i="7" a="true"/>
  <c r="N747" i="7" a="true"/>
  <c r="P747" i="7" a="true"/>
  <c r="R747" i="7" a="true"/>
  <c r="N83" i="7" a="true"/>
  <c r="P83" i="7" a="true"/>
  <c r="R83" i="7" a="true"/>
  <c r="T83" i="7" a="true"/>
  <c r="U83" i="7" a="true"/>
  <c r="N209" i="7" a="true"/>
  <c r="P209" i="7" a="true"/>
  <c r="R209" i="7" a="true"/>
  <c r="U209" i="7" a="true"/>
  <c r="N343" i="7" a="true"/>
  <c r="P343" i="7" a="true"/>
  <c r="R343" i="7" a="true"/>
  <c r="U343" i="7" a="true"/>
  <c r="P469" i="7" a="true"/>
  <c r="R469" i="7" a="true"/>
  <c r="U469" i="7" a="true"/>
  <c r="N469" i="7" a="true"/>
  <c r="N622" i="7" a="true"/>
  <c r="P622" i="7" a="true"/>
  <c r="R622" i="7" a="true"/>
  <c r="U622" i="7" a="true"/>
  <c r="N748" i="7" a="true"/>
  <c r="P748" i="7" a="true"/>
  <c r="R748" i="7" a="true"/>
  <c r="U748" i="7" a="true"/>
  <c r="U84" i="7" a="true"/>
  <c r="N84" i="7" a="true"/>
  <c r="P84" i="7" a="true"/>
  <c r="R84" i="7" a="true"/>
  <c r="T84" i="7" a="true"/>
  <c r="N210" i="7" a="true"/>
  <c r="P210" i="7" a="true"/>
  <c r="R210" i="7" a="true"/>
  <c r="U210" i="7" a="true"/>
  <c r="P344" i="7" a="true"/>
  <c r="R344" i="7" a="true"/>
  <c r="U344" i="7" a="true"/>
  <c r="N344" i="7" a="true"/>
  <c r="P470" i="7" a="true"/>
  <c r="R470" i="7" a="true"/>
  <c r="U470" i="7" a="true"/>
  <c r="N470" i="7" a="true"/>
  <c r="U619" i="7" a="true"/>
  <c r="N619" i="7" a="true"/>
  <c r="P619" i="7" a="true"/>
  <c r="R619" i="7" a="true"/>
  <c r="N745" i="7" a="true"/>
  <c r="P745" i="7" a="true"/>
  <c r="R745" i="7" a="true"/>
  <c r="U745" i="7" a="true"/>
  <c r="U81" i="7" a="true"/>
  <c r="N81" i="7" a="true"/>
  <c r="P81" i="7" a="true"/>
  <c r="R81" i="7" a="true"/>
  <c r="T81" i="7" a="true"/>
  <c r="N239" i="7" a="true"/>
  <c r="P239" i="7" a="true"/>
  <c r="R239" i="7" a="true"/>
  <c r="U239" i="7" a="true"/>
  <c r="N341" i="7" a="true"/>
  <c r="P341" i="7" a="true"/>
  <c r="R341" i="7" a="true"/>
  <c r="U341" i="7" a="true"/>
  <c r="U467" i="7" a="true"/>
  <c r="N467" i="7" a="true"/>
  <c r="P467" i="7" a="true"/>
  <c r="R467" i="7" a="true"/>
  <c r="R620" i="7" a="true"/>
  <c r="U620" i="7" a="true"/>
  <c r="N620" i="7" a="true"/>
  <c r="P620" i="7" a="true"/>
  <c r="N746" i="7" a="true"/>
  <c r="P746" i="7" a="true"/>
  <c r="R746" i="7" a="true"/>
  <c r="U746" i="7" a="true"/>
  <c r="R82" i="7" a="true"/>
  <c r="U82" i="7" a="true"/>
  <c r="N82" i="7" a="true"/>
  <c r="P82" i="7" a="true"/>
  <c r="N240" i="7" a="true"/>
  <c r="P240" i="7" a="true"/>
  <c r="R240" i="7" a="true"/>
  <c r="U240" i="7" a="true"/>
  <c r="N342" i="7" a="true"/>
  <c r="P342" i="7" a="true"/>
  <c r="R342" i="7" a="true"/>
  <c r="U342" i="7" a="true"/>
  <c r="N468" i="7" a="true"/>
  <c r="P468" i="7" a="true"/>
  <c r="R468" i="7" a="true"/>
  <c r="U468" i="7" a="true"/>
  <c r="N617" i="7" a="true"/>
  <c r="P617" i="7" a="true"/>
  <c r="R617" i="7" a="true"/>
  <c r="U617" i="7" a="true"/>
  <c r="N743" i="7" a="true"/>
  <c r="P743" i="7" a="true"/>
  <c r="R743" i="7" a="true"/>
  <c r="U743" i="7" a="true"/>
  <c r="N111" i="7" a="true"/>
  <c r="P111" i="7" a="true"/>
  <c r="R111" i="7" a="true"/>
  <c r="T111" i="7" a="true"/>
  <c r="U111" i="7" a="true"/>
  <c r="R237" i="7" a="true"/>
  <c r="U237" i="7" a="true"/>
  <c r="N237" i="7" a="true"/>
  <c r="P237" i="7" a="true"/>
  <c r="N339" i="7" a="true"/>
  <c r="P339" i="7" a="true"/>
  <c r="R339" i="7" a="true"/>
  <c r="U339" i="7" a="true"/>
  <c r="N465" i="7" a="true"/>
  <c r="P465" i="7" a="true"/>
  <c r="R465" i="7" a="true"/>
  <c r="U465" i="7" a="true"/>
  <c r="N618" i="7" a="true"/>
  <c r="P618" i="7" a="true"/>
  <c r="R618" i="7" a="true"/>
  <c r="U618" i="7" a="true"/>
  <c r="N744" i="7" a="true"/>
  <c r="P744" i="7" a="true"/>
  <c r="R744" i="7" a="true"/>
  <c r="U744" i="7" a="true"/>
  <c r="N112" i="7" a="true"/>
  <c r="P112" i="7" a="true"/>
  <c r="R112" i="7" a="true"/>
  <c r="T112" i="7" a="true"/>
  <c r="U112" i="7" a="true"/>
  <c r="P238" i="7" a="true"/>
  <c r="R238" i="7" a="true"/>
  <c r="T238" i="7" a="true"/>
  <c r="U238" i="7" a="true"/>
  <c r="N238" i="7" a="true"/>
  <c r="U340" i="7" a="true"/>
  <c r="N340" i="7" a="true"/>
  <c r="P340" i="7" a="true"/>
  <c r="R340" i="7" a="true"/>
  <c r="N466" i="7" a="true"/>
  <c r="P466" i="7" a="true"/>
  <c r="R466" i="7" a="true"/>
  <c r="U466" i="7" a="true"/>
  <c r="R615" i="7" a="true"/>
  <c r="U615" i="7" a="true"/>
  <c r="N615" i="7" a="true"/>
  <c r="P615" i="7" a="true"/>
  <c r="N741" i="7" a="true"/>
  <c r="P741" i="7" a="true"/>
  <c r="R741" i="7" a="true"/>
  <c r="U741" i="7" a="true"/>
  <c r="N109" i="7" a="true"/>
  <c r="P109" i="7" a="true"/>
  <c r="R109" i="7" a="true"/>
  <c r="U109" i="7" a="true"/>
  <c r="N235" i="7" a="true"/>
  <c r="P235" i="7" a="true"/>
  <c r="R235" i="7" a="true"/>
  <c r="U235" i="7" a="true"/>
  <c r="N337" i="7" a="true"/>
  <c r="P337" i="7" a="true"/>
  <c r="R337" i="7" a="true"/>
  <c r="U337" i="7" a="true"/>
  <c r="N495" i="7" a="true"/>
  <c r="P495" i="7" a="true"/>
  <c r="R495" i="7" a="true"/>
  <c r="U495" i="7" a="true"/>
  <c r="N616" i="7" a="true"/>
  <c r="P616" i="7" a="true"/>
  <c r="R616" i="7" a="true"/>
  <c r="U616" i="7" a="true"/>
  <c r="N742" i="7" a="true"/>
  <c r="P742" i="7" a="true"/>
  <c r="R742" i="7" a="true"/>
  <c r="U742" i="7" a="true"/>
  <c r="N110" i="7" a="true"/>
  <c r="P110" i="7" a="true"/>
  <c r="R110" i="7" a="true"/>
  <c r="T110" i="7" a="true"/>
  <c r="U110" i="7" a="true"/>
  <c r="N236" i="7" a="true"/>
  <c r="P236" i="7" a="true"/>
  <c r="R236" i="7" a="true"/>
  <c r="U236" i="7" a="true"/>
  <c r="N338" i="7" a="true"/>
  <c r="P338" i="7" a="true"/>
  <c r="R338" i="7" a="true"/>
  <c r="U338" i="7" a="true"/>
  <c r="N496" i="7" a="true"/>
  <c r="P496" i="7" a="true"/>
  <c r="R496" i="7" a="true"/>
  <c r="U496" i="7" a="true"/>
  <c r="N613" i="7" a="true"/>
  <c r="P613" i="7" a="true"/>
  <c r="R613" i="7" a="true"/>
  <c r="U613" i="7" a="true"/>
  <c r="R739" i="7" a="true"/>
  <c r="U739" i="7" a="true"/>
  <c r="N739" i="7" a="true"/>
  <c r="P739" i="7" a="true"/>
  <c r="R107" i="7" a="true"/>
  <c r="T107" i="7" a="true"/>
  <c r="U107" i="7" a="true"/>
  <c r="N107" i="7" a="true"/>
  <c r="P107" i="7" a="true"/>
  <c r="R233" i="7" a="true"/>
  <c r="U233" i="7" a="true"/>
  <c r="N233" i="7" a="true"/>
  <c r="P233" i="7" a="true"/>
  <c r="N367" i="7" a="true"/>
  <c r="P367" i="7" a="true"/>
  <c r="R367" i="7" a="true"/>
  <c r="U367" i="7" a="true"/>
  <c r="R493" i="7" a="true"/>
  <c r="U493" i="7" a="true"/>
  <c r="N493" i="7" a="true"/>
  <c r="P493" i="7" a="true"/>
  <c r="N614" i="7" a="true"/>
  <c r="P614" i="7" a="true"/>
  <c r="R614" i="7" a="true"/>
  <c r="U614" i="7" a="true"/>
  <c r="N740" i="7" a="true"/>
  <c r="P740" i="7" a="true"/>
  <c r="R740" i="7" a="true"/>
  <c r="U740" i="7" a="true"/>
  <c r="N108" i="7" a="true"/>
  <c r="P108" i="7" a="true"/>
  <c r="R108" i="7" a="true"/>
  <c r="U108" i="7" a="true"/>
  <c r="N234" i="7" a="true"/>
  <c r="P234" i="7" a="true"/>
  <c r="R234" i="7" a="true"/>
  <c r="U234" i="7" a="true"/>
  <c r="N368" i="7" a="true"/>
  <c r="P368" i="7" a="true"/>
  <c r="R368" i="7" a="true"/>
  <c r="U368" i="7" a="true"/>
  <c r="N494" i="7" a="true"/>
  <c r="P494" i="7" a="true"/>
  <c r="R494" i="7" a="true"/>
  <c r="U494" i="7" a="true"/>
  <c r="U611" i="7" a="true"/>
  <c r="N611" i="7" a="true"/>
  <c r="P611" i="7" a="true"/>
  <c r="R611" i="7" a="true"/>
  <c r="T611" i="7" a="true"/>
  <c r="P737" i="7" a="true"/>
  <c r="R737" i="7" a="true"/>
  <c r="U737" i="7" a="true"/>
  <c r="N737" i="7" a="true"/>
  <c r="T105" i="7" a="true"/>
  <c r="U105" i="7" a="true"/>
  <c r="N105" i="7" a="true"/>
  <c r="P105" i="7" a="true"/>
  <c r="R105" i="7" a="true"/>
  <c r="P231" i="7" a="true"/>
  <c r="R231" i="7" a="true"/>
  <c r="U231" i="7" a="true"/>
  <c r="N231" i="7" a="true"/>
  <c r="N365" i="7" a="true"/>
  <c r="P365" i="7" a="true"/>
  <c r="R365" i="7" a="true"/>
  <c r="U365" i="7" a="true"/>
  <c r="N491" i="7" a="true"/>
  <c r="P491" i="7" a="true"/>
  <c r="R491" i="7" a="true"/>
  <c r="U491" i="7" a="true"/>
  <c r="N612" i="7" a="true"/>
  <c r="P612" i="7" a="true"/>
  <c r="R612" i="7" a="true"/>
  <c r="U612" i="7" a="true"/>
  <c r="N738" i="7" a="true"/>
  <c r="P738" i="7" a="true"/>
  <c r="R738" i="7" a="true"/>
  <c r="U738" i="7" a="true"/>
  <c r="U106" i="7" a="true"/>
  <c r="N106" i="7" a="true"/>
  <c r="P106" i="7" a="true"/>
  <c r="R106" i="7" a="true"/>
  <c r="N232" i="7" a="true"/>
  <c r="P232" i="7" a="true"/>
  <c r="R232" i="7" a="true"/>
  <c r="T232" i="7" a="true"/>
  <c r="U232" i="7" a="true"/>
  <c r="P366" i="7" a="true"/>
  <c r="R366" i="7" a="true"/>
  <c r="U366" i="7" a="true"/>
  <c r="N366" i="7" a="true"/>
  <c r="N492" i="7" a="true"/>
  <c r="P492" i="7" a="true"/>
  <c r="R492" i="7" a="true"/>
  <c r="U492" i="7" a="true"/>
  <c r="N609" i="7" a="true"/>
  <c r="P609" i="7" a="true"/>
  <c r="R609" i="7" a="true"/>
  <c r="U609" i="7" a="true"/>
  <c r="N767" i="7" a="true"/>
  <c r="P767" i="7" a="true"/>
  <c r="R767" i="7" a="true"/>
  <c r="U767" i="7" a="true"/>
  <c r="N103" i="7" a="true"/>
  <c r="P103" i="7" a="true"/>
  <c r="R103" i="7" a="true"/>
  <c r="T103" i="7" a="true"/>
  <c r="U103" i="7" a="true"/>
  <c r="N229" i="7" a="true"/>
  <c r="P229" i="7" a="true"/>
  <c r="R229" i="7" a="true"/>
  <c r="U229" i="7" a="true"/>
  <c r="P363" i="7" a="true"/>
  <c r="R363" i="7" a="true"/>
  <c r="U363" i="7" a="true"/>
  <c r="N363" i="7" a="true"/>
  <c r="N489" i="7" a="true"/>
  <c r="P489" i="7" a="true"/>
  <c r="R489" i="7" a="true"/>
  <c r="U489" i="7" a="true"/>
  <c r="N610" i="7" a="true"/>
  <c r="P610" i="7" a="true"/>
  <c r="R610" i="7" a="true"/>
  <c r="U610" i="7" a="true"/>
  <c r="U768" i="7" a="true"/>
  <c r="N768" i="7" a="true"/>
  <c r="P768" i="7" a="true"/>
  <c r="R768" i="7" a="true"/>
  <c r="U104" i="7" a="true"/>
  <c r="N104" i="7" a="true"/>
  <c r="P104" i="7" a="true"/>
  <c r="R104" i="7" a="true"/>
  <c r="T104" i="7" a="true"/>
  <c r="N230" i="7" a="true"/>
  <c r="P230" i="7" a="true"/>
  <c r="R230" i="7" a="true"/>
  <c r="U230" i="7" a="true"/>
  <c r="N364" i="7" a="true"/>
  <c r="P364" i="7" a="true"/>
  <c r="R364" i="7" a="true"/>
  <c r="U364" i="7" a="true"/>
  <c r="N490" i="7" a="true"/>
  <c r="P490" i="7" a="true"/>
  <c r="R490" i="7" a="true"/>
  <c r="U490" i="7" a="true"/>
  <c r="U639" i="7" a="true"/>
  <c r="N639" i="7" a="true"/>
  <c r="P639" i="7" a="true"/>
  <c r="R639" i="7" a="true"/>
  <c r="N765" i="7" a="true"/>
  <c r="P765" i="7" a="true"/>
  <c r="R765" i="7" a="true"/>
  <c r="U765" i="7" a="true"/>
  <c r="P101" i="7" a="true"/>
  <c r="R101" i="7" a="true"/>
  <c r="T101" i="7" a="true"/>
  <c r="U101" i="7" a="true"/>
  <c r="N101" i="7" a="true"/>
  <c r="P227" i="7" a="true"/>
  <c r="R227" i="7" a="true"/>
  <c r="U227" i="7" a="true"/>
  <c r="N227" i="7" a="true"/>
  <c r="N361" i="7" a="true"/>
  <c r="P361" i="7" a="true"/>
  <c r="R361" i="7" a="true"/>
  <c r="U361" i="7" a="true"/>
  <c r="N487" i="7" a="true"/>
  <c r="P487" i="7" a="true"/>
  <c r="R487" i="7" a="true"/>
  <c r="U487" i="7" a="true"/>
  <c r="P640" i="7" a="true"/>
  <c r="R640" i="7" a="true"/>
  <c r="U640" i="7" a="true"/>
  <c r="N640" i="7" a="true"/>
  <c r="N766" i="7" a="true"/>
  <c r="P766" i="7" a="true"/>
  <c r="R766" i="7" a="true"/>
  <c r="U766" i="7" a="true"/>
  <c r="N102" i="7" a="true"/>
  <c r="P102" i="7" a="true"/>
  <c r="R102" i="7" a="true"/>
  <c r="T102" i="7" a="true"/>
  <c r="U102" i="7" a="true"/>
  <c r="N228" i="7" a="true"/>
  <c r="P228" i="7" a="true"/>
  <c r="R228" i="7" a="true"/>
  <c r="U228" i="7" a="true"/>
  <c r="R362" i="7" a="true"/>
  <c r="U362" i="7" a="true"/>
  <c r="N362" i="7" a="true"/>
  <c r="P362" i="7" a="true"/>
  <c r="N488" i="7" a="true"/>
  <c r="P488" i="7" a="true"/>
  <c r="R488" i="7" a="true"/>
  <c r="U488" i="7" a="true"/>
  <c r="P637" i="7" a="true"/>
  <c r="R637" i="7" a="true"/>
  <c r="U637" i="7" a="true"/>
  <c r="N637" i="7" a="true"/>
  <c r="N763" i="7" a="true"/>
  <c r="P763" i="7" a="true"/>
  <c r="R763" i="7" a="true"/>
  <c r="U763" i="7" a="true"/>
  <c r="N99" i="7" a="true"/>
  <c r="P99" i="7" a="true"/>
  <c r="R99" i="7" a="true"/>
  <c r="T99" i="7" a="true"/>
  <c r="U99" i="7" a="true"/>
  <c r="R225" i="7" a="true"/>
  <c r="U225" i="7" a="true"/>
  <c r="N225" i="7" a="true"/>
  <c r="P225" i="7" a="true"/>
  <c r="P359" i="7" a="true"/>
  <c r="R359" i="7" a="true"/>
  <c r="U359" i="7" a="true"/>
  <c r="N359" i="7" a="true"/>
  <c r="U485" i="7" a="true"/>
  <c r="N485" i="7" a="true"/>
  <c r="P485" i="7" a="true"/>
  <c r="R485" i="7" a="true"/>
  <c r="R638" i="7" a="true"/>
  <c r="U638" i="7" a="true"/>
  <c r="N638" i="7" a="true"/>
  <c r="P638" i="7" a="true"/>
  <c r="N764" i="7" a="true"/>
  <c r="P764" i="7" a="true"/>
  <c r="R764" i="7" a="true"/>
  <c r="U764" i="7" a="true"/>
  <c r="N100" i="7" a="true"/>
  <c r="P100" i="7" a="true"/>
  <c r="R100" i="7" a="true"/>
  <c r="U100" i="7" a="true"/>
  <c r="R226" i="7" a="true"/>
  <c r="U226" i="7" a="true"/>
  <c r="N226" i="7" a="true"/>
  <c r="P226" i="7" a="true"/>
  <c r="N360" i="7" a="true"/>
  <c r="P360" i="7" a="true"/>
  <c r="R360" i="7" a="true"/>
  <c r="U360" i="7" a="true"/>
  <c r="N486" i="7" a="true"/>
  <c r="P486" i="7" a="true"/>
  <c r="R486" i="7" a="true"/>
  <c r="U486" i="7" a="true"/>
  <c r="N635" i="7" a="true"/>
  <c r="P635" i="7" a="true"/>
  <c r="R635" i="7" a="true"/>
  <c r="U635" i="7" a="true"/>
  <c r="R761" i="7" a="true"/>
  <c r="U761" i="7" a="true"/>
  <c r="N761" i="7" a="true"/>
  <c r="P761" i="7" a="true"/>
  <c r="P97" i="7" a="true"/>
  <c r="R97" i="7" a="true"/>
  <c r="U97" i="7" a="true"/>
  <c r="N97" i="7" a="true"/>
  <c r="R255" i="7" a="true"/>
  <c r="U255" i="7" a="true"/>
  <c r="N255" i="7" a="true"/>
  <c r="P255" i="7" a="true"/>
  <c r="U357" i="7" a="true"/>
  <c r="N357" i="7" a="true"/>
  <c r="P357" i="7" a="true"/>
  <c r="R357" i="7" a="true"/>
  <c r="U483" i="7" a="true"/>
  <c r="N483" i="7" a="true"/>
  <c r="P483" i="7" a="true"/>
  <c r="R483" i="7" a="true"/>
  <c r="N633" i="7" a="true"/>
  <c r="P633" i="7" a="true"/>
  <c r="R633" i="7" a="true"/>
  <c r="U633" i="7" a="true"/>
  <c r="U636" i="7" a="true"/>
  <c r="N636" i="7" a="true"/>
  <c r="P636" i="7" a="true"/>
  <c r="R636" i="7" a="true"/>
  <c r="N762" i="7" a="true"/>
  <c r="P762" i="7" a="true"/>
  <c r="R762" i="7" a="true"/>
  <c r="U762" i="7" a="true"/>
  <c r="N98" i="7" a="true"/>
  <c r="P98" i="7" a="true"/>
  <c r="R98" i="7" a="true"/>
  <c r="T98" i="7" a="true"/>
  <c r="U98" i="7" a="true"/>
  <c r="N256" i="7" a="true"/>
  <c r="P256" i="7" a="true"/>
  <c r="R256" i="7" a="true"/>
  <c r="U256" i="7" a="true"/>
  <c r="U358" i="7" a="true"/>
  <c r="N358" i="7" a="true"/>
  <c r="P358" i="7" a="true"/>
  <c r="R358" i="7" a="true"/>
  <c r="T358" i="7" a="true"/>
  <c r="N484" i="7" a="true"/>
  <c r="P484" i="7" a="true"/>
  <c r="R484" i="7" a="true"/>
  <c r="U484" i="7" a="true"/>
  <c r="U634" i="7" a="true"/>
  <c r="N634" i="7" a="true"/>
  <c r="P634" i="7" a="true"/>
  <c r="R634" i="7" a="true"/>
  <c r="R759" i="7" a="true"/>
  <c r="U759" i="7" a="true"/>
  <c r="N759" i="7" a="true"/>
  <c r="P759" i="7" a="true"/>
  <c r="R127" i="7" a="true"/>
  <c r="U127" i="7" a="true"/>
  <c r="N127" i="7" a="true"/>
  <c r="P127" i="7" a="true"/>
  <c r="N253" i="7" a="true"/>
  <c r="P253" i="7" a="true"/>
  <c r="R253" i="7" a="true"/>
  <c r="U253" i="7" a="true"/>
  <c r="N355" i="7" a="true"/>
  <c r="P355" i="7" a="true"/>
  <c r="R355" i="7" a="true"/>
  <c r="U355" i="7" a="true"/>
  <c r="U481" i="7" a="true"/>
  <c r="N481" i="7" a="true"/>
  <c r="P481" i="7" a="true"/>
  <c r="R481" i="7" a="true"/>
  <c r="N631" i="7" a="true"/>
  <c r="P631" i="7" a="true"/>
  <c r="R631" i="7" a="true"/>
  <c r="U631" i="7" a="true"/>
  <c r="N760" i="7" a="true"/>
  <c r="P760" i="7" a="true"/>
  <c r="R760" i="7" a="true"/>
  <c r="U760" i="7" a="true"/>
  <c r="U128" i="7" a="true"/>
  <c r="N128" i="7" a="true"/>
  <c r="P128" i="7" a="true"/>
  <c r="R128" i="7" a="true"/>
  <c r="N254" i="7" a="true"/>
  <c r="P254" i="7" a="true"/>
  <c r="R254" i="7" a="true"/>
  <c r="U254" i="7" a="true"/>
  <c r="N356" i="7" a="true"/>
  <c r="P356" i="7" a="true"/>
  <c r="R356" i="7" a="true"/>
  <c r="U356" i="7" a="true"/>
  <c r="N482" i="7" a="true"/>
  <c r="P482" i="7" a="true"/>
  <c r="R482" i="7" a="true"/>
  <c r="U482" i="7" a="true"/>
  <c r="U632" i="7" a="true"/>
  <c r="N632" i="7" a="true"/>
  <c r="P632" i="7" a="true"/>
  <c r="R632" i="7" a="true"/>
  <c r="N757" i="7" a="true"/>
  <c r="P757" i="7" a="true"/>
  <c r="R757" i="7" a="true"/>
  <c r="U757" i="7" a="true"/>
  <c r="U125" i="7" a="true"/>
  <c r="N125" i="7" a="true"/>
  <c r="P125" i="7" a="true"/>
  <c r="R125" i="7" a="true"/>
  <c r="N251" i="7" a="true"/>
  <c r="P251" i="7" a="true"/>
  <c r="R251" i="7" a="true"/>
  <c r="U251" i="7" a="true"/>
  <c r="P353" i="7" a="true"/>
  <c r="R353" i="7" a="true"/>
  <c r="U353" i="7" a="true"/>
  <c r="N353" i="7" a="true"/>
  <c r="N511" i="7" a="true"/>
  <c r="P511" i="7" a="true"/>
  <c r="R511" i="7" a="true"/>
  <c r="U511" i="7" a="true"/>
  <c r="N629" i="7" a="true"/>
  <c r="P629" i="7" a="true"/>
  <c r="R629" i="7" a="true"/>
  <c r="U629" i="7" a="true"/>
  <c r="P758" i="7" a="true"/>
  <c r="R758" i="7" a="true"/>
  <c r="U758" i="7" a="true"/>
  <c r="N758" i="7" a="true"/>
  <c r="N126" i="7" a="true"/>
  <c r="P126" i="7" a="true"/>
  <c r="R126" i="7" a="true"/>
  <c r="U126" i="7" a="true"/>
  <c r="R252" i="7" a="true"/>
  <c r="U252" i="7" a="true"/>
  <c r="N252" i="7" a="true"/>
  <c r="P252" i="7" a="true"/>
  <c r="N354" i="7" a="true"/>
  <c r="P354" i="7" a="true"/>
  <c r="R354" i="7" a="true"/>
  <c r="U354" i="7" a="true"/>
  <c r="N512" i="7" a="true"/>
  <c r="P512" i="7" a="true"/>
  <c r="R512" i="7" a="true"/>
  <c r="U512" i="7" a="true"/>
  <c r="N630" i="7" a="true"/>
  <c r="P630" i="7" a="true"/>
  <c r="R630" i="7" a="true"/>
  <c r="U630" i="7" a="true"/>
  <c r="N755" i="7" a="true"/>
  <c r="P755" i="7" a="true"/>
  <c r="R755" i="7" a="true"/>
  <c r="U755" i="7" a="true"/>
  <c r="N123" i="7" a="true"/>
  <c r="P123" i="7" a="true"/>
  <c r="R123" i="7" a="true"/>
  <c r="U123" i="7" a="true"/>
  <c r="U249" i="7" a="true"/>
  <c r="N249" i="7" a="true"/>
  <c r="P249" i="7" a="true"/>
  <c r="R249" i="7" a="true"/>
  <c r="P383" i="7" a="true"/>
  <c r="R383" i="7" a="true"/>
  <c r="U383" i="7" a="true"/>
  <c r="N383" i="7" a="true"/>
  <c r="N509" i="7" a="true"/>
  <c r="P509" i="7" a="true"/>
  <c r="R509" i="7" a="true"/>
  <c r="U509" i="7" a="true"/>
  <c r="N627" i="7" a="true"/>
  <c r="P627" i="7" a="true"/>
  <c r="R627" i="7" a="true"/>
  <c r="U627" i="7" a="true"/>
  <c r="P756" i="7" a="true"/>
  <c r="R756" i="7" a="true"/>
  <c r="U756" i="7" a="true"/>
  <c r="N756" i="7" a="true"/>
  <c r="N124" i="7" a="true"/>
  <c r="P124" i="7" a="true"/>
  <c r="R124" i="7" a="true"/>
  <c r="T124" i="7" a="true"/>
  <c r="U124" i="7" a="true"/>
  <c r="N250" i="7" a="true"/>
  <c r="P250" i="7" a="true"/>
  <c r="R250" i="7" a="true"/>
  <c r="U250" i="7" a="true"/>
  <c r="N384" i="7" a="true"/>
  <c r="P384" i="7" a="true"/>
  <c r="R384" i="7" a="true"/>
  <c r="U384" i="7" a="true"/>
  <c r="N510" i="7" a="true"/>
  <c r="P510" i="7" a="true"/>
  <c r="R510" i="7" a="true"/>
  <c r="U510" i="7" a="true"/>
  <c r="N628" i="7" a="true"/>
  <c r="P628" i="7" a="true"/>
  <c r="R628" i="7" a="true"/>
  <c r="U628" i="7" a="true"/>
  <c r="P753" i="7" a="true"/>
  <c r="R753" i="7" a="true"/>
  <c r="U753" i="7" a="true"/>
  <c r="N753" i="7" a="true"/>
  <c r="N121" i="7" a="true"/>
  <c r="P121" i="7" a="true"/>
  <c r="R121" i="7" a="true"/>
  <c r="U121" i="7" a="true"/>
  <c r="N247" i="7" a="true"/>
  <c r="P247" i="7" a="true"/>
  <c r="R247" i="7" a="true"/>
  <c r="U247" i="7" a="true"/>
  <c r="N381" i="7" a="true"/>
  <c r="P381" i="7" a="true"/>
  <c r="R381" i="7" a="true"/>
  <c r="U381" i="7" a="true"/>
  <c r="N507" i="7" a="true"/>
  <c r="P507" i="7" a="true"/>
  <c r="R507" i="7" a="true"/>
  <c r="U507" i="7" a="true"/>
  <c r="N625" i="7" a="true"/>
  <c r="P625" i="7" a="true"/>
  <c r="R625" i="7" a="true"/>
  <c r="U625" i="7" a="true"/>
  <c r="N754" i="7" a="true"/>
  <c r="P754" i="7" a="true"/>
  <c r="R754" i="7" a="true"/>
  <c r="U754" i="7" a="true"/>
  <c r="N122" i="7" a="true"/>
  <c r="P122" i="7" a="true"/>
  <c r="R122" i="7" a="true"/>
  <c r="T122" i="7" a="true"/>
  <c r="U122" i="7" a="true"/>
  <c r="N248" i="7" a="true"/>
  <c r="P248" i="7" a="true"/>
  <c r="R248" i="7" a="true"/>
  <c r="U248" i="7" a="true"/>
  <c r="U382" i="7" a="true"/>
  <c r="N382" i="7" a="true"/>
  <c r="P382" i="7" a="true"/>
  <c r="R382" i="7" a="true"/>
  <c r="P508" i="7" a="true"/>
  <c r="R508" i="7" a="true"/>
  <c r="U508" i="7" a="true"/>
  <c r="N508" i="7" a="true"/>
  <c r="N626" i="7" a="true"/>
  <c r="P626" i="7" a="true"/>
  <c r="R626" i="7" a="true"/>
  <c r="U626" i="7" a="true"/>
  <c r="N655" i="7" a="true"/>
  <c r="P655" i="7" a="true"/>
  <c r="R655" i="7" a="true"/>
  <c r="U655" i="7" a="true"/>
  <c r="N119" i="7" a="true"/>
  <c r="P119" i="7" a="true"/>
  <c r="R119" i="7" a="true"/>
  <c r="U119" i="7" a="true"/>
  <c r="P245" i="7" a="true"/>
  <c r="R245" i="7" a="true"/>
  <c r="U245" i="7" a="true"/>
  <c r="N245" i="7" a="true"/>
  <c r="N379" i="7" a="true"/>
  <c r="P379" i="7" a="true"/>
  <c r="R379" i="7" a="true"/>
  <c r="U379" i="7" a="true"/>
  <c r="N380" i="7" a="true"/>
  <c r="P380" i="7" a="true"/>
  <c r="R380" i="7" a="true"/>
  <c r="U380" i="7" a="true"/>
  <c r="N505" i="7" a="true"/>
  <c r="P505" i="7" a="true"/>
  <c r="R505" i="7" a="true"/>
  <c r="U505" i="7" a="true"/>
  <c r="N527" i="7" a="true"/>
  <c r="P527" i="7" a="true"/>
  <c r="R527" i="7" a="true"/>
  <c r="U527" i="7" a="true"/>
  <c r="N653" i="7" a="true"/>
  <c r="P653" i="7" a="true"/>
  <c r="R653" i="7" a="true"/>
  <c r="U653" i="7" a="true"/>
  <c r="N656" i="7" a="true"/>
  <c r="P656" i="7" a="true"/>
  <c r="R656" i="7" a="true"/>
  <c r="U656" i="7" a="true"/>
  <c r="P120" i="7" a="true"/>
  <c r="R120" i="7" a="true"/>
  <c r="U120" i="7" a="true"/>
  <c r="N120" i="7" a="true"/>
  <c r="N246" i="7" a="true"/>
  <c r="P246" i="7" a="true"/>
  <c r="R246" i="7" a="true"/>
  <c r="U246" i="7" a="true"/>
  <c r="N377" i="7" a="true"/>
  <c r="P377" i="7" a="true"/>
  <c r="R377" i="7" a="true"/>
  <c r="U377" i="7" a="true"/>
  <c r="N506" i="7" a="true"/>
  <c r="P506" i="7" a="true"/>
  <c r="R506" i="7" a="true"/>
  <c r="U506" i="7" a="true"/>
  <c r="R528" i="7" a="true"/>
  <c r="U528" i="7" a="true"/>
  <c r="N528" i="7" a="true"/>
  <c r="P528" i="7" a="true"/>
  <c r="N654" i="7" a="true"/>
  <c r="P654" i="7" a="true"/>
  <c r="R654" i="7" a="true"/>
  <c r="U654" i="7" a="true"/>
  <c r="N117" i="7" a="true"/>
  <c r="P117" i="7" a="true"/>
  <c r="R117" i="7" a="true"/>
  <c r="U117" i="7" a="true"/>
  <c r="R243" i="7" a="true"/>
  <c r="U243" i="7" a="true"/>
  <c r="N243" i="7" a="true"/>
  <c r="P243" i="7" a="true"/>
  <c r="U378" i="7" a="true"/>
  <c r="N378" i="7" a="true"/>
  <c r="P378" i="7" a="true"/>
  <c r="R378" i="7" a="true"/>
  <c r="N503" i="7" a="true"/>
  <c r="P503" i="7" a="true"/>
  <c r="R503" i="7" a="true"/>
  <c r="U503" i="7" a="true"/>
  <c r="N525" i="7" a="true"/>
  <c r="P525" i="7" a="true"/>
  <c r="R525" i="7" a="true"/>
  <c r="U525" i="7" a="true"/>
  <c r="N651" i="7" a="true"/>
  <c r="P651" i="7" a="true"/>
  <c r="R651" i="7" a="true"/>
  <c r="U651" i="7" a="true"/>
  <c r="P118" i="7" a="true"/>
  <c r="R118" i="7" a="true"/>
  <c r="U118" i="7" a="true"/>
  <c r="N118" i="7" a="true"/>
  <c r="R244" i="7" a="true"/>
  <c r="U244" i="7" a="true"/>
  <c r="N244" i="7" a="true"/>
  <c r="P244" i="7" a="true"/>
  <c r="N375" i="7" a="true"/>
  <c r="P375" i="7" a="true"/>
  <c r="R375" i="7" a="true"/>
  <c r="U375" i="7" a="true"/>
  <c r="N504" i="7" a="true"/>
  <c r="P504" i="7" a="true"/>
  <c r="R504" i="7" a="true"/>
  <c r="U504" i="7" a="true"/>
  <c r="N526" i="7" a="true"/>
  <c r="P526" i="7" a="true"/>
  <c r="R526" i="7" a="true"/>
  <c r="U526" i="7" a="true"/>
  <c r="N652" i="7" a="true"/>
  <c r="P652" i="7" a="true"/>
  <c r="R652" i="7" a="true"/>
  <c r="U652" i="7" a="true"/>
  <c r="N115" i="7" a="true"/>
  <c r="P115" i="7" a="true"/>
  <c r="R115" i="7" a="true"/>
  <c r="U115" i="7" a="true"/>
  <c r="N241" i="7" a="true"/>
  <c r="P241" i="7" a="true"/>
  <c r="R241" i="7" a="true"/>
  <c r="U241" i="7" a="true"/>
  <c r="N376" i="7" a="true"/>
  <c r="P376" i="7" a="true"/>
  <c r="R376" i="7" a="true"/>
  <c r="U376" i="7" a="true"/>
  <c r="N501" i="7" a="true"/>
  <c r="P501" i="7" a="true"/>
  <c r="R501" i="7" a="true"/>
  <c r="U501" i="7" a="true"/>
  <c r="R523" i="7" a="true"/>
  <c r="U523" i="7" a="true"/>
  <c r="N523" i="7" a="true"/>
  <c r="P523" i="7" a="true"/>
  <c r="N649" i="7" a="true"/>
  <c r="P649" i="7" a="true"/>
  <c r="R649" i="7" a="true"/>
  <c r="U649" i="7" a="true"/>
  <c r="N783" i="7" a="true"/>
  <c r="P783" i="7" a="true"/>
  <c r="R783" i="7" a="true"/>
  <c r="U783" i="7" a="true"/>
  <c r="P116" i="7" a="true"/>
  <c r="R116" i="7" a="true"/>
  <c r="T116" i="7" a="true"/>
  <c r="U116" i="7" a="true"/>
  <c r="N116" i="7" a="true"/>
  <c r="N242" i="7" a="true"/>
  <c r="P242" i="7" a="true"/>
  <c r="R242" i="7" a="true"/>
  <c r="U242" i="7" a="true"/>
  <c r="N373" i="7" a="true"/>
  <c r="P373" i="7" a="true"/>
  <c r="R373" i="7" a="true"/>
  <c r="U373" i="7" a="true"/>
  <c r="P502" i="7" a="true"/>
  <c r="R502" i="7" a="true"/>
  <c r="U502" i="7" a="true"/>
  <c r="N502" i="7" a="true"/>
  <c r="U524" i="7" a="true"/>
  <c r="N524" i="7" a="true"/>
  <c r="P524" i="7" a="true"/>
  <c r="R524" i="7" a="true"/>
  <c r="U650" i="7" a="true"/>
  <c r="N650" i="7" a="true"/>
  <c r="P650" i="7" a="true"/>
  <c r="R650" i="7" a="true"/>
  <c r="P784" i="7" a="true"/>
  <c r="R784" i="7" a="true"/>
  <c r="U784" i="7" a="true"/>
  <c r="N784" i="7" a="true"/>
  <c r="U113" i="7" a="true"/>
  <c r="N113" i="7" a="true"/>
  <c r="P113" i="7" a="true"/>
  <c r="R113" i="7" a="true"/>
  <c r="T113" i="7" a="true"/>
  <c r="N143" i="7" a="true"/>
  <c r="P143" i="7" a="true"/>
  <c r="R143" i="7" a="true"/>
  <c r="T143" i="7" a="true"/>
  <c r="U143" i="7" a="true"/>
  <c r="N374" i="7" a="true"/>
  <c r="P374" i="7" a="true"/>
  <c r="R374" i="7" a="true"/>
  <c r="U374" i="7" a="true"/>
  <c r="N499" i="7" a="true"/>
  <c r="P499" i="7" a="true"/>
  <c r="R499" i="7" a="true"/>
  <c r="U499" i="7" a="true"/>
  <c r="N521" i="7" a="true"/>
  <c r="P521" i="7" a="true"/>
  <c r="R521" i="7" a="true"/>
  <c r="U521" i="7" a="true"/>
  <c r="N647" i="7" a="true"/>
  <c r="P647" i="7" a="true"/>
  <c r="R647" i="7" a="true"/>
  <c r="U647" i="7" a="true"/>
  <c r="N781" i="7" a="true"/>
  <c r="P781" i="7" a="true"/>
  <c r="R781" i="7" a="true"/>
  <c r="U781" i="7" a="true"/>
  <c r="T114" i="7" a="true"/>
  <c r="U114" i="7" a="true"/>
  <c r="N114" i="7" a="true"/>
  <c r="P114" i="7" a="true"/>
  <c r="R114" i="7" a="true"/>
  <c r="N144" i="7" a="true"/>
  <c r="P144" i="7" a="true"/>
  <c r="R144" i="7" a="true"/>
  <c r="T144" i="7" a="true"/>
  <c r="U144" i="7" a="true"/>
  <c r="U371" i="7" a="true"/>
  <c r="N371" i="7" a="true"/>
  <c r="P371" i="7" a="true"/>
  <c r="R371" i="7" a="true"/>
  <c r="N500" i="7" a="true"/>
  <c r="P500" i="7" a="true"/>
  <c r="R500" i="7" a="true"/>
  <c r="T500" i="7" a="true"/>
  <c r="U500" i="7" a="true"/>
  <c r="R522" i="7" a="true"/>
  <c r="U522" i="7" a="true"/>
  <c r="N522" i="7" a="true"/>
  <c r="P522" i="7" a="true"/>
  <c r="N648" i="7" a="true"/>
  <c r="P648" i="7" a="true"/>
  <c r="R648" i="7" a="true"/>
  <c r="U648" i="7" a="true"/>
  <c r="U782" i="7" a="true"/>
  <c r="N782" i="7" a="true"/>
  <c r="P782" i="7" a="true"/>
  <c r="R782" i="7" a="true"/>
  <c r="P15" i="7" a="true"/>
  <c r="R15" i="7" a="true"/>
  <c r="U15" i="7" a="true"/>
  <c r="N15" i="7" a="true"/>
  <c r="P141" i="7" a="true"/>
  <c r="R141" i="7" a="true"/>
  <c r="T141" i="7" a="true"/>
  <c r="U141" i="7" a="true"/>
  <c r="N141" i="7" a="true"/>
  <c r="U372" i="7" a="true"/>
  <c r="N372" i="7" a="true"/>
  <c r="P372" i="7" a="true"/>
  <c r="R372" i="7" a="true"/>
  <c r="U497" i="7" a="true"/>
  <c r="N497" i="7" a="true"/>
  <c r="P497" i="7" a="true"/>
  <c r="R497" i="7" a="true"/>
  <c r="N519" i="7" a="true"/>
  <c r="P519" i="7" a="true"/>
  <c r="R519" i="7" a="true"/>
  <c r="U519" i="7" a="true"/>
  <c r="N645" i="7" a="true"/>
  <c r="P645" i="7" a="true"/>
  <c r="R645" i="7" a="true"/>
  <c r="U645" i="7" a="true"/>
  <c r="N779" i="7" a="true"/>
  <c r="P779" i="7" a="true"/>
  <c r="R779" i="7" a="true"/>
  <c r="U779" i="7" a="true"/>
  <c r="N16" i="7" a="true"/>
  <c r="P16" i="7" a="true"/>
  <c r="R16" i="7" a="true"/>
  <c r="U16" i="7" a="true"/>
  <c r="T142" i="7" a="true"/>
  <c r="U142" i="7" a="true"/>
  <c r="N142" i="7" a="true"/>
  <c r="P142" i="7" a="true"/>
  <c r="R142" i="7" a="true"/>
  <c r="N369" i="7" a="true"/>
  <c r="P369" i="7" a="true"/>
  <c r="R369" i="7" a="true"/>
  <c r="U369" i="7" a="true"/>
  <c r="N498" i="7" a="true"/>
  <c r="P498" i="7" a="true"/>
  <c r="R498" i="7" a="true"/>
  <c r="U498" i="7" a="true"/>
  <c r="P520" i="7" a="true"/>
  <c r="R520" i="7" a="true"/>
  <c r="U520" i="7" a="true"/>
  <c r="N520" i="7" a="true"/>
  <c r="N646" i="7" a="true"/>
  <c r="P646" i="7" a="true"/>
  <c r="R646" i="7" a="true"/>
  <c r="U646" i="7" a="true"/>
  <c r="R780" i="7" a="true"/>
  <c r="T780" i="7" a="true"/>
  <c r="U780" i="7" a="true"/>
  <c r="N780" i="7" a="true"/>
  <c r="P780" i="7" a="true"/>
  <c r="N13" i="7" a="true"/>
  <c r="P13" i="7" a="true"/>
  <c r="R13" i="7" a="true"/>
  <c r="U13" i="7" a="true"/>
  <c r="T139" i="7" a="true"/>
  <c r="U139" i="7" a="true"/>
  <c r="N139" i="7" a="true"/>
  <c r="P139" i="7" a="true"/>
  <c r="R139" i="7" a="true"/>
  <c r="N370" i="7" a="true"/>
  <c r="P370" i="7" a="true"/>
  <c r="R370" i="7" a="true"/>
  <c r="U370" i="7" a="true"/>
  <c r="N399" i="7" a="true"/>
  <c r="P399" i="7" a="true"/>
  <c r="R399" i="7" a="true"/>
  <c r="U399" i="7" a="true"/>
  <c r="N400" i="7" a="true"/>
  <c r="P400" i="7" a="true"/>
  <c r="R400" i="7" a="true"/>
  <c r="U400" i="7" a="true"/>
  <c r="N517" i="7" a="true"/>
  <c r="P517" i="7" a="true"/>
  <c r="R517" i="7" a="true"/>
  <c r="U517" i="7" a="true"/>
  <c r="N643" i="7" a="true"/>
  <c r="P643" i="7" a="true"/>
  <c r="R643" i="7" a="true"/>
  <c r="U643" i="7" a="true"/>
  <c r="N777" i="7" a="true"/>
  <c r="P777" i="7" a="true"/>
  <c r="R777" i="7" a="true"/>
  <c r="U777" i="7" a="true"/>
  <c r="P14" i="7" a="true"/>
  <c r="R14" i="7" a="true"/>
  <c r="U14" i="7" a="true"/>
  <c r="N14" i="7" a="true"/>
  <c r="N140" i="7" a="true"/>
  <c r="P140" i="7" a="true"/>
  <c r="R140" i="7" a="true"/>
  <c r="T140" i="7" a="true"/>
  <c r="U140" i="7" a="true"/>
  <c r="R271" i="7" a="true"/>
  <c r="U271" i="7" a="true"/>
  <c r="N271" i="7" a="true"/>
  <c r="P271" i="7" a="true"/>
  <c r="R397" i="7" a="true"/>
  <c r="U397" i="7" a="true"/>
  <c r="N397" i="7" a="true"/>
  <c r="P397" i="7" a="true"/>
  <c r="N518" i="7" a="true"/>
  <c r="P518" i="7" a="true"/>
  <c r="R518" i="7" a="true"/>
  <c r="U518" i="7" a="true"/>
  <c r="P644" i="7" a="true"/>
  <c r="R644" i="7" a="true"/>
  <c r="U644" i="7" a="true"/>
  <c r="N644" i="7" a="true"/>
  <c r="P778" i="7" a="true"/>
  <c r="R778" i="7" a="true"/>
  <c r="U778" i="7" a="true"/>
  <c r="N778" i="7" a="true"/>
  <c r="P11" i="7" a="true"/>
  <c r="R11" i="7" a="true"/>
  <c r="U11" i="7" a="true"/>
  <c r="N11" i="7" a="true"/>
  <c r="N137" i="7" a="true"/>
  <c r="P137" i="7" a="true"/>
  <c r="R137" i="7" a="true"/>
  <c r="T137" i="7" a="true"/>
  <c r="U137" i="7" a="true"/>
  <c r="N272" i="7" a="true"/>
  <c r="P272" i="7" a="true"/>
  <c r="R272" i="7" a="true"/>
  <c r="U272" i="7" a="true"/>
  <c r="N398" i="7" a="true"/>
  <c r="P398" i="7" a="true"/>
  <c r="R398" i="7" a="true"/>
  <c r="U398" i="7" a="true"/>
  <c r="R515" i="7" a="true"/>
  <c r="U515" i="7" a="true"/>
  <c r="N515" i="7" a="true"/>
  <c r="P515" i="7" a="true"/>
  <c r="U641" i="7" a="true"/>
  <c r="N641" i="7" a="true"/>
  <c r="P641" i="7" a="true"/>
  <c r="R641" i="7" a="true"/>
  <c r="N775" i="7" a="true"/>
  <c r="P775" i="7" a="true"/>
  <c r="R775" i="7" a="true"/>
  <c r="U775" i="7" a="true"/>
  <c r="R12" i="7" a="true"/>
  <c r="U12" i="7" a="true"/>
  <c r="N12" i="7" a="true"/>
  <c r="P12" i="7" a="true"/>
  <c r="U138" i="7" a="true"/>
  <c r="N138" i="7" a="true"/>
  <c r="P138" i="7" a="true"/>
  <c r="R138" i="7" a="true"/>
  <c r="T138" i="7" a="true"/>
  <c r="N269" i="7" a="true"/>
  <c r="P269" i="7" a="true"/>
  <c r="R269" i="7" a="true"/>
  <c r="U269" i="7" a="true"/>
  <c r="N395" i="7" a="true"/>
  <c r="P395" i="7" a="true"/>
  <c r="R395" i="7" a="true"/>
  <c r="U395" i="7" a="true"/>
  <c r="N516" i="7" a="true"/>
  <c r="P516" i="7" a="true"/>
  <c r="R516" i="7" a="true"/>
  <c r="U516" i="7" a="true"/>
  <c r="N642" i="7" a="true"/>
  <c r="P642" i="7" a="true"/>
  <c r="R642" i="7" a="true"/>
  <c r="U642" i="7" a="true"/>
  <c r="N776" i="7" a="true"/>
  <c r="P776" i="7" a="true"/>
  <c r="R776" i="7" a="true"/>
  <c r="U776" i="7" a="true"/>
  <c r="N9" i="7" a="true"/>
  <c r="P9" i="7" a="true"/>
  <c r="R9" i="7" a="true"/>
  <c r="U9" i="7" a="true"/>
  <c r="N135" i="7" a="true"/>
  <c r="P135" i="7" a="true"/>
  <c r="R135" i="7" a="true"/>
  <c r="T135" i="7" a="true"/>
  <c r="U135" i="7" a="true"/>
  <c r="U270" i="7" a="true"/>
  <c r="N270" i="7" a="true"/>
  <c r="P270" i="7" a="true"/>
  <c r="R270" i="7" a="true"/>
  <c r="R396" i="7" a="true"/>
  <c r="U396" i="7" a="true"/>
  <c r="N396" i="7" a="true"/>
  <c r="P396" i="7" a="true"/>
  <c r="N513" i="7" a="true"/>
  <c r="P513" i="7" a="true"/>
  <c r="R513" i="7" a="true"/>
  <c r="U513" i="7" a="true"/>
  <c r="N671" i="7" a="true"/>
  <c r="P671" i="7" a="true"/>
  <c r="R671" i="7" a="true"/>
  <c r="U671" i="7" a="true"/>
  <c r="R773" i="7" a="true"/>
  <c r="U773" i="7" a="true"/>
  <c r="N773" i="7" a="true"/>
  <c r="P773" i="7" a="true"/>
  <c r="R10" i="7" a="true"/>
  <c r="U10" i="7" a="true"/>
  <c r="N10" i="7" a="true"/>
  <c r="P10" i="7" a="true"/>
  <c r="R136" i="7" a="true"/>
  <c r="T136" i="7" a="true"/>
  <c r="U136" i="7" a="true"/>
  <c r="N136" i="7" a="true"/>
  <c r="P136" i="7" a="true"/>
  <c r="N267" i="7" a="true"/>
  <c r="P267" i="7" a="true"/>
  <c r="R267" i="7" a="true"/>
  <c r="U267" i="7" a="true"/>
  <c r="P393" i="7" a="true"/>
  <c r="R393" i="7" a="true"/>
  <c r="U393" i="7" a="true"/>
  <c r="N393" i="7" a="true"/>
  <c r="U514" i="7" a="true"/>
  <c r="N514" i="7" a="true"/>
  <c r="P514" i="7" a="true"/>
  <c r="R514" i="7" a="true"/>
  <c r="P672" i="7" a="true"/>
  <c r="R672" i="7" a="true"/>
  <c r="U672" i="7" a="true"/>
  <c r="N672" i="7" a="true"/>
  <c r="N774" i="7" a="true"/>
  <c r="P774" i="7" a="true"/>
  <c r="R774" i="7" a="true"/>
  <c r="U774" i="7" a="true"/>
  <c r="P7" i="7" a="true"/>
  <c r="R7" i="7" a="true"/>
  <c r="U7" i="7" a="true"/>
  <c r="N7" i="7" a="true"/>
  <c r="N133" i="7" a="true"/>
  <c r="P133" i="7" a="true"/>
  <c r="R133" i="7" a="true"/>
  <c r="U133" i="7" a="true"/>
  <c r="N268" i="7" a="true"/>
  <c r="P268" i="7" a="true"/>
  <c r="R268" i="7" a="true"/>
  <c r="T268" i="7" a="true"/>
  <c r="U268" i="7" a="true"/>
  <c r="N394" i="7" a="true"/>
  <c r="P394" i="7" a="true"/>
  <c r="R394" i="7" a="true"/>
  <c r="U394" i="7" a="true"/>
  <c r="N543" i="7" a="true"/>
  <c r="P543" i="7" a="true"/>
  <c r="R543" i="7" a="true"/>
  <c r="U543" i="7" a="true"/>
  <c r="N669" i="7" a="true"/>
  <c r="P669" i="7" a="true"/>
  <c r="R669" i="7" a="true"/>
  <c r="U669" i="7" a="true"/>
  <c r="U771" i="7" a="true"/>
  <c r="N771" i="7" a="true"/>
  <c r="P771" i="7" a="true"/>
  <c r="R771" i="7" a="true"/>
  <c r="N8" i="7" a="true"/>
  <c r="P8" i="7" a="true"/>
  <c r="R8" i="7" a="true"/>
  <c r="U8" i="7" a="true"/>
  <c r="R134" i="7" a="true"/>
  <c r="U134" i="7" a="true"/>
  <c r="N134" i="7" a="true"/>
  <c r="P134" i="7" a="true"/>
  <c r="N265" i="7" a="true"/>
  <c r="P265" i="7" a="true"/>
  <c r="R265" i="7" a="true"/>
  <c r="U265" i="7" a="true"/>
  <c r="N391" i="7" a="true"/>
  <c r="P391" i="7" a="true"/>
  <c r="R391" i="7" a="true"/>
  <c r="U391" i="7" a="true"/>
  <c r="N544" i="7" a="true"/>
  <c r="P544" i="7" a="true"/>
  <c r="R544" i="7" a="true"/>
  <c r="U544" i="7" a="true"/>
  <c r="R670" i="7" a="true"/>
  <c r="U670" i="7" a="true"/>
  <c r="N670" i="7" a="true"/>
  <c r="P670" i="7" a="true"/>
  <c r="R772" i="7" a="true"/>
  <c r="U772" i="7" a="true"/>
  <c r="N772" i="7" a="true"/>
  <c r="P772" i="7" a="true"/>
  <c r="N5" i="7" a="true"/>
  <c r="P5" i="7" a="true"/>
  <c r="R5" i="7" a="true"/>
  <c r="U5" i="7" a="true"/>
  <c r="P131" i="7" a="true"/>
  <c r="R131" i="7" a="true"/>
  <c r="T131" i="7" a="true"/>
  <c r="U131" i="7" a="true"/>
  <c r="N131" i="7" a="true"/>
  <c r="N266" i="7" a="true"/>
  <c r="P266" i="7" a="true"/>
  <c r="R266" i="7" a="true"/>
  <c r="U266" i="7" a="true"/>
  <c r="P392" i="7" a="true"/>
  <c r="R392" i="7" a="true"/>
  <c r="U392" i="7" a="true"/>
  <c r="N392" i="7" a="true"/>
  <c r="N541" i="7" a="true"/>
  <c r="P541" i="7" a="true"/>
  <c r="R541" i="7" a="true"/>
  <c r="U541" i="7" a="true"/>
  <c r="N667" i="7" a="true"/>
  <c r="P667" i="7" a="true"/>
  <c r="R667" i="7" a="true"/>
  <c r="U667" i="7" a="true"/>
  <c r="N769" i="7" a="true"/>
  <c r="P769" i="7" a="true"/>
  <c r="R769" i="7" a="true"/>
  <c r="U769" i="7" a="true"/>
  <c r="N6" i="7" a="true"/>
  <c r="P6" i="7" a="true"/>
  <c r="R6" i="7" a="true"/>
  <c r="U6" i="7" a="true"/>
  <c r="N132" i="7" a="true"/>
  <c r="P132" i="7" a="true"/>
  <c r="R132" i="7" a="true"/>
  <c r="T132" i="7" a="true"/>
  <c r="U132" i="7" a="true"/>
  <c r="U263" i="7" a="true"/>
  <c r="N263" i="7" a="true"/>
  <c r="P263" i="7" a="true"/>
  <c r="R263" i="7" a="true"/>
  <c r="U389" i="7" a="true"/>
  <c r="N389" i="7" a="true"/>
  <c r="P389" i="7" a="true"/>
  <c r="R389" i="7" a="true"/>
  <c r="N542" i="7" a="true"/>
  <c r="P542" i="7" a="true"/>
  <c r="R542" i="7" a="true"/>
  <c r="U542" i="7" a="true"/>
  <c r="P668" i="7" a="true"/>
  <c r="R668" i="7" a="true"/>
  <c r="U668" i="7" a="true"/>
  <c r="N668" i="7" a="true"/>
  <c r="N770" i="7" a="true"/>
  <c r="P770" i="7" a="true"/>
  <c r="R770" i="7" a="true"/>
  <c r="U770" i="7" a="true"/>
  <c r="N3" i="7" a="true"/>
  <c r="P3" i="7" a="true"/>
  <c r="R3" i="7" a="true"/>
  <c r="U3" i="7" a="true"/>
  <c r="U4" i="7" a="true"/>
  <c r="N4" i="7" a="true"/>
  <c r="P4" i="7" a="true"/>
  <c r="R4" i="7" a="true"/>
  <c r="R129" i="7" a="true"/>
  <c r="T129" i="7" a="true"/>
  <c r="U129" i="7" a="true"/>
  <c r="N129" i="7" a="true"/>
  <c r="P129" i="7" a="true"/>
  <c r="P264" i="7" a="true"/>
  <c r="R264" i="7" a="true"/>
  <c r="U264" i="7" a="true"/>
  <c r="N264" i="7" a="true"/>
  <c r="U390" i="7" a="true"/>
  <c r="N390" i="7" a="true"/>
  <c r="P390" i="7" a="true"/>
  <c r="R390" i="7" a="true"/>
  <c r="P539" i="7" a="true"/>
  <c r="R539" i="7" a="true"/>
  <c r="U539" i="7" a="true"/>
  <c r="N539" i="7" a="true"/>
  <c r="U665" i="7" a="true"/>
  <c r="N665" i="7" a="true"/>
  <c r="P665" i="7" a="true"/>
  <c r="R665" i="7" a="true"/>
  <c r="U799" i="7" a="true"/>
  <c r="N799" i="7" a="true"/>
  <c r="P799" i="7" a="true"/>
  <c r="R799" i="7" a="true"/>
  <c r="N130" i="7" a="true"/>
  <c r="P130" i="7" a="true"/>
  <c r="R130" i="7" a="true"/>
  <c r="T130" i="7" a="true"/>
  <c r="U130" i="7" a="true"/>
  <c r="N261" i="7" a="true"/>
  <c r="P261" i="7" a="true"/>
  <c r="R261" i="7" a="true"/>
  <c r="U261" i="7" a="true"/>
  <c r="P387" i="7" a="true"/>
  <c r="R387" i="7" a="true"/>
  <c r="U387" i="7" a="true"/>
  <c r="N387" i="7" a="true"/>
  <c r="N540" i="7" a="true"/>
  <c r="P540" i="7" a="true"/>
  <c r="R540" i="7" a="true"/>
  <c r="U540" i="7" a="true"/>
  <c r="N666" i="7" a="true"/>
  <c r="P666" i="7" a="true"/>
  <c r="R666" i="7" a="true"/>
  <c r="U666" i="7" a="true"/>
  <c r="N800" i="7" a="true"/>
  <c r="P800" i="7" a="true"/>
  <c r="R800" i="7" a="true"/>
  <c r="U800" i="7"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<sst xmlns="http://schemas.openxmlformats.org/spreadsheetml/2006/main" count="18700" uniqueCount="18700">
  <si>
    <t xml:space="preserve">  </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</si>
  <si>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</si>
  <si>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</si>
  <si>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</si>
  <si>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</si>
  <si>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</si>
  <si>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</si>
  <si>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</si>
  <si>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</si>
  <si>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</si>
  <si>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</si>
  <si>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</si>
  <si>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</si>
  <si>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</si>
  <si>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</si>
  <si>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</si>
  <si>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</si>
  <si>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</si>
  <si>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</si>
  <si>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</si>
  <si>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</si>
  <si>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</si>
  <si>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</si>
  <si>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</si>
  <si>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</si>
  <si>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</si>
  <si>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</si>
  <si>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</si>
  <si>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</si>
  <si>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</si>
  <si>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总部演讲考核 1</t>
  </si>
  <si>
    <t xml:space="preserve">线下培训考核 5</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</si>
  <si>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</si>
  <si>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</si>
  <si>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</si>
  <si>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</si>
  <si>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</si>
  <si>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</si>
  <si>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</si>
  <si>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</si>
  <si>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</si>
  <si>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</si>
  <si>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</si>
  <si>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</si>
  <si>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</si>
  <si>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</si>
  <si>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</si>
  <si>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</si>
  <si>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</si>
  <si>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</si>
  <si>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</si>
  <si>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</si>
  <si>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</si>
  <si>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</si>
  <si>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</si>
  <si>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</si>
  <si>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</si>
  <si>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</si>
  <si>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</si>
  <si>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</si>
  <si>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</si>
  <si>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</si>
  <si>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</si>
  <si>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</si>
  <si>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</si>
  <si>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</si>
  <si>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</si>
  <si>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</si>
  <si>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</si>
  <si>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</si>
  <si>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</si>
  <si>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</si>
  <si>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</si>
  <si>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</si>
  <si>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</si>
  <si>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</si>
  <si>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</si>
  <si>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</si>
  <si>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</si>
  <si>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关键降本项目完成率指标</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</si>
  <si>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</si>
  <si>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</si>
  <si>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</si>
  <si>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成本控制指标:打样费&lt;3.9万元</t>
  </si>
  <si>
    <t xml:space="preserve">实际打样费31570元，完成率1.19</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</si>
  <si>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</si>
  <si>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</si>
  <si>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陈林文</t>
  </si>
  <si>
    <t xml:space="preserve">计划准确率：83%</t>
  </si>
  <si>
    <t xml:space="preserve">总库存目标3840.9万</t>
  </si>
  <si>
    <t xml:space="preserve">3745万</t>
  </si>
  <si>
    <t xml:space="preserve">生产订单履约目标95%</t>
  </si>
  <si>
    <t xml:space="preserve">物料报废控制在5万元内</t>
  </si>
  <si>
    <t xml:space="preserve">生产损耗控制在10万元内</t>
  </si>
  <si>
    <t xml:space="preserve">7.39万元（已确定）</t>
  </si>
  <si>
    <t xml:space="preserve">成品缺货项</t>
  </si>
  <si>
    <t xml:space="preserve">缺货扣分0.15</t>
  </si>
  <si>
    <t xml:space="preserve">朱丹萍</t>
  </si>
  <si>
    <t xml:space="preserve">降本项目目标达成率（目标37.7万）</t>
  </si>
  <si>
    <t xml:space="preserve">98.68万（已确定）</t>
  </si>
  <si>
    <t xml:space="preserve">协助其他中心公司各个部门的需求按时完成率90%</t>
  </si>
  <si>
    <t xml:space="preserve">实际按时完成率为95.83%</t>
  </si>
  <si>
    <t xml:space="preserve">市场行情监控</t>
  </si>
  <si>
    <t xml:space="preserve">平均分4.56</t>
  </si>
  <si>
    <t xml:space="preserve">郑烁纯</t>
  </si>
  <si>
    <t xml:space="preserve">供应商梯队优质率99%</t>
  </si>
  <si>
    <t xml:space="preserve">7月份100%</t>
  </si>
  <si>
    <t xml:space="preserve">质量赔付月均≤3w</t>
  </si>
  <si>
    <t xml:space="preserve">1177.92元</t>
  </si>
  <si>
    <t xml:space="preserve">产品合格率98%</t>
  </si>
  <si>
    <t xml:space="preserve">质量报废≤3w</t>
  </si>
  <si>
    <t xml:space="preserve">质量报废=0</t>
  </si>
  <si>
    <t xml:space="preserve">产品供应部合规达成率</t>
  </si>
  <si>
    <t xml:space="preserve">本月完成Q3内审及整改</t>
  </si>
  <si>
    <t xml:space="preserve">吴永星</t>
  </si>
  <si>
    <t xml:space="preserve">物流降本挑战目标达成率指标</t>
  </si>
  <si>
    <t xml:space="preserve">目标：105.7万
结果：172.8万</t>
  </si>
  <si>
    <t xml:space="preserve">物流降本基础目标</t>
  </si>
  <si>
    <t xml:space="preserve">目标：82.2万
结果：172.8万</t>
  </si>
  <si>
    <t xml:space="preserve">物流履约</t>
  </si>
  <si>
    <t xml:space="preserve">抖店不达标1，天猫不达标2，其余20达标</t>
  </si>
  <si>
    <t xml:space="preserve">关键工作指标</t>
  </si>
  <si>
    <t xml:space="preserve">库准99.97%，资产负债表正常；无压单</t>
  </si>
  <si>
    <t xml:space="preserve">黄晓莲</t>
  </si>
  <si>
    <t xml:space="preserve">抖音体验分：可麦/IRY目标80分，其他品牌90分</t>
  </si>
  <si>
    <t xml:space="preserve">目标90分
实际92分</t>
  </si>
  <si>
    <t xml:space="preserve">天猫、快手、视频号服务分目标4.7分</t>
  </si>
  <si>
    <t xml:space="preserve">体验分目标4.7分</t>
  </si>
  <si>
    <t xml:space="preserve">2026年1月份36人，目标节省人力6人，减至30人</t>
  </si>
  <si>
    <t xml:space="preserve">目标6 人
实际8人</t>
  </si>
  <si>
    <t xml:space="preserve">谢昊</t>
  </si>
  <si>
    <t xml:space="preserve">降本指标：6.3万，实际达成：7.87w元，实际达成率125%</t>
  </si>
  <si>
    <t xml:space="preserve">78781（已确定）</t>
  </si>
  <si>
    <t xml:space="preserve">安全生产</t>
  </si>
  <si>
    <t xml:space="preserve">0生产事故</t>
  </si>
  <si>
    <t xml:space="preserve">库存准确率：差异件数&lt;3500件</t>
  </si>
  <si>
    <t xml:space="preserve">3309件</t>
  </si>
  <si>
    <t xml:space="preserve">发货指标：2C错漏发</t>
  </si>
  <si>
    <t xml:space="preserve">2C错漏发率99.999%（截至 7月31，C端共计1467934单，错漏发12单）</t>
  </si>
  <si>
    <t xml:space="preserve">发货指标：压单情况</t>
  </si>
  <si>
    <t xml:space="preserve">无压单</t>
  </si>
  <si>
    <t xml:space="preserve">发货指标：2B履约率100%</t>
  </si>
  <si>
    <t xml:space="preserve">履约率100%</t>
  </si>
  <si>
    <t xml:space="preserve">王誉炫</t>
  </si>
  <si>
    <t xml:space="preserve">包材订单履约率97%</t>
  </si>
  <si>
    <t xml:space="preserve">原料订单履约率99%</t>
  </si>
  <si>
    <t xml:space="preserve">物料报废金额5万</t>
  </si>
  <si>
    <t xml:space="preserve">关键任务完成率</t>
  </si>
  <si>
    <t xml:space="preserve">1.积压包材消耗 2.积压原料消耗</t>
  </si>
  <si>
    <t xml:space="preserve">陈远连</t>
  </si>
  <si>
    <t xml:space="preserve">降本目标20.9万</t>
  </si>
  <si>
    <t xml:space="preserve">23.6万</t>
  </si>
  <si>
    <t xml:space="preserve">订单履约率目标95%</t>
  </si>
  <si>
    <t xml:space="preserve">生产损耗目标7.83万</t>
  </si>
  <si>
    <t xml:space="preserve">6.14万</t>
  </si>
  <si>
    <t xml:space="preserve">工厂安全事故目标0起</t>
  </si>
  <si>
    <t xml:space="preserve">0起</t>
  </si>
  <si>
    <t xml:space="preserve">工厂重大质量事故目标0起</t>
  </si>
  <si>
    <t xml:space="preserve">杨雄贤</t>
  </si>
  <si>
    <t xml:space="preserve">质量合格率</t>
  </si>
  <si>
    <t xml:space="preserve">库存准确率99.97%</t>
  </si>
  <si>
    <t xml:space="preserve">工厂安全事故</t>
  </si>
  <si>
    <t xml:space="preserve">工厂重大质量事故</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</si>
  <si>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</si>
  <si>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</si>
  <si>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</si>
  <si>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</si>
  <si>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</si>
  <si>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</si>
  <si>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</si>
  <si>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</si>
  <si>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</si>
  <si>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</si>
  <si>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</si>
  <si>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</si>
  <si>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</si>
  <si>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</si>
  <si>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</si>
  <si>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</si>
  <si>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</si>
  <si>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</si>
  <si>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</si>
  <si>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</si>
  <si>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</si>
  <si>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</si>
  <si>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</si>
  <si>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</si>
  <si>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</si>
  <si>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</si>
  <si>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</si>
  <si>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</si>
  <si>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</si>
  <si>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</si>
  <si>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</si>
  <si>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</si>
  <si>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</si>
  <si>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</si>
  <si>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</si>
  <si>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</si>
  <si>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</si>
  <si>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</si>
  <si>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</si>
  <si>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</si>
  <si>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</si>
  <si>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</si>
  <si>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</si>
  <si>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</si>
  <si>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</si>
  <si>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</si>
  <si>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</si>
  <si>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</si>
  <si>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</si>
  <si>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</si>
  <si>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</si>
  <si>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</si>
  <si>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</si>
  <si>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</si>
  <si>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</si>
  <si>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</si>
  <si>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</si>
  <si>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</si>
  <si>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</si>
  <si>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</si>
  <si>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</si>
  <si>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</si>
  <si>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</si>
  <si>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</si>
  <si>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</si>
  <si>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</si>
  <si>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</si>
  <si>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</si>
  <si>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</si>
  <si>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</si>
  <si>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</si>
  <si>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</si>
  <si>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</si>
  <si>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</si>
  <si>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</si>
  <si>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</si>
  <si>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</si>
  <si>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</si>
  <si>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</si>
  <si>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陈林文</t>
  </si>
  <si>
    <t xml:space="preserve">计划准确率：83%</t>
  </si>
  <si>
    <t xml:space="preserve">朱丹萍</t>
  </si>
  <si>
    <t xml:space="preserve">降本项目目标达成率（目标37.7万）</t>
  </si>
  <si>
    <t xml:space="preserve">98.68万（已确定）</t>
  </si>
  <si>
    <t xml:space="preserve">郑烁纯</t>
  </si>
  <si>
    <t xml:space="preserve">供应商梯队优质率99%</t>
  </si>
  <si>
    <t xml:space="preserve">7月份100%</t>
  </si>
  <si>
    <t xml:space="preserve">吴永星</t>
  </si>
  <si>
    <t xml:space="preserve">物流降本挑战目标达成率指标</t>
  </si>
  <si>
    <t xml:space="preserve">目标：105.7万
结果：172.8万</t>
  </si>
  <si>
    <t xml:space="preserve">黄晓莲</t>
  </si>
  <si>
    <t xml:space="preserve">抖音体验分：可麦/IRY目标80分，其他品牌90分</t>
  </si>
  <si>
    <t xml:space="preserve">目标90分
实际92分</t>
  </si>
  <si>
    <t xml:space="preserve">谢昊</t>
  </si>
  <si>
    <t xml:space="preserve">降本指标：6.3万，实际达成：7.87w元，实际达成率125%</t>
  </si>
  <si>
    <t xml:space="preserve">78781（已确定）</t>
  </si>
  <si>
    <t xml:space="preserve">王誉炫</t>
  </si>
  <si>
    <t xml:space="preserve">包材订单履约率97%</t>
  </si>
  <si>
    <t xml:space="preserve">陈远连</t>
  </si>
  <si>
    <t xml:space="preserve">降本目标20.9万</t>
  </si>
  <si>
    <t xml:space="preserve">23.6万</t>
  </si>
  <si>
    <t xml:space="preserve">杨雄贤</t>
  </si>
  <si>
    <t xml:space="preserve">质量合格率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</si>
  <si>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</si>
  <si>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</si>
  <si>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</si>
  <si>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</si>
  <si>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</si>
  <si>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</si>
  <si>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</si>
  <si>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</si>
  <si>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</si>
  <si>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</si>
  <si>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</si>
  <si>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</si>
  <si>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</si>
  <si>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</si>
  <si>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</si>
  <si>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</si>
  <si>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</si>
  <si>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</si>
  <si>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</si>
  <si>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</si>
  <si>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</si>
  <si>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</si>
  <si>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</si>
  <si>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</si>
  <si>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</si>
  <si>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</si>
  <si>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</si>
  <si>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</si>
  <si>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</si>
  <si>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</si>
  <si>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</si>
  <si>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</si>
  <si>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</si>
  <si>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</si>
  <si>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</si>
  <si>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</si>
  <si>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</si>
  <si>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生产损耗</t>
  </si>
  <si>
    <t xml:space="preserve">损耗（按照中心降损目标比例完成） (损耗金额目标（除特殊高损耗订单外），其余订单损耗总金额≤在加工厂生产的总产值占所有加工厂生产总产值比重*15万元)）</t>
  </si>
  <si>
    <t xml:space="preserve">卓多姿目标损耗额39040元，卓多姿实际损耗额5617.1元</t>
  </si>
  <si>
    <t xml:space="preserve">部门关键项目完成率</t>
  </si>
  <si>
    <t xml:space="preserve">1、中心Skill项目推进
2、AI与计划中心文档
3、新品开发流程梳理，多维表格</t>
  </si>
  <si>
    <t xml:space="preserve">1、完成中心Skill项目推进（交流会、日常问题处理、Skill考核体系文档等）。2、完成AI与计划中心文档。3、完成新品开发流程多维表格。</t>
  </si>
  <si>
    <t xml:space="preserve">FD-098593</t>
  </si>
  <si>
    <t xml:space="preserve">王妙芳</t>
  </si>
  <si>
    <t xml:space="preserve">计划准确率完成率</t>
  </si>
  <si>
    <t xml:space="preserve">准确率目标88%</t>
  </si>
  <si>
    <t xml:space="preserve">100%%%%%</t>
  </si>
  <si>
    <t xml:space="preserve">准确率完成情况是88.91%</t>
  </si>
  <si>
    <t xml:space="preserve">总库存货值目标完成率</t>
  </si>
  <si>
    <t xml:space="preserve">总库存控制在179.5万内</t>
  </si>
  <si>
    <t xml:space="preserve">179.5万元</t>
  </si>
  <si>
    <t xml:space="preserve">167万元万元</t>
  </si>
  <si>
    <t xml:space="preserve">按时准确提交</t>
  </si>
  <si>
    <t xml:space="preserve">按时按量完成</t>
  </si>
  <si>
    <t xml:space="preserve">1、月度报废
2、IRY下单量协商
3、库存管理范围与方法课件输出
4、IRY赠品降本方案输出与沟通</t>
  </si>
  <si>
    <t xml:space="preserve">88%%</t>
  </si>
  <si>
    <t xml:space="preserve">1、月度报废--已完成，已输出报废文件 2、IRY下单量协商--已完成，已确认好下单需求数量 3、库存管理范围与方法课件输出--输出后驳回，重新补充内容 4、IRY赠品降本方案输出与沟通--已完成输出，品牌需求变更</t>
  </si>
  <si>
    <t xml:space="preserve">FD-091691</t>
  </si>
  <si>
    <t xml:space="preserve">吴开智</t>
  </si>
  <si>
    <t xml:space="preserve">1750万</t>
  </si>
  <si>
    <t xml:space="preserve">1548万万万</t>
  </si>
  <si>
    <t xml:space="preserve">眼膜测试</t>
  </si>
  <si>
    <t xml:space="preserve">计划准确率81%</t>
  </si>
  <si>
    <t xml:space="preserve">FD-085087</t>
  </si>
  <si>
    <t xml:space="preserve">张璐萍</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</si>
  <si>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</si>
  <si>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</si>
  <si>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</si>
  <si>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凡岛工厂履约95%</t>
  </si>
  <si>
    <t xml:space="preserve">7月目标共106条，，履约102条，未履约4条 工厂原因：均为乳化锅损坏导致乳化延后 【WIS乳糖酸多效面膜2.0_25g×10片】 【赫系轻盈洗发水3.0 450g】 【赫系水光护发素新配方450ml（短泵头）】 其中洗发水和护发素虽然减少计划因此生产数量达标，但是因设备问题较为严重，最后一条目标我没有算履约，由此提高对设备维护的重视 非工厂原因： 【WIS焕颜透嫩紧致淡纹精华液30ml】 原料逾期</t>
  </si>
  <si>
    <t xml:space="preserve">负责加工厂损耗总金额/负责加工厂产值占本月排产生产的比重≤10万元</t>
  </si>
  <si>
    <t xml:space="preserve">6.14万元</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</si>
  <si>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</si>
  <si>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</si>
  <si>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</si>
  <si>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</si>
  <si>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</si>
  <si>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</si>
  <si>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库存水位</t>
  </si>
  <si>
    <t xml:space="preserve">851万</t>
  </si>
  <si>
    <t xml:space="preserve">960万</t>
  </si>
  <si>
    <t xml:space="preserve">30号当天库存960万，完成率89%</t>
  </si>
  <si>
    <t xml:space="preserve">预测准确率82%</t>
  </si>
  <si>
    <t xml:space="preserve">准确率70.5，换算完成率85%</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</si>
  <si>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</si>
  <si>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</si>
  <si>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</si>
  <si>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</si>
  <si>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</si>
  <si>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梦莎、美汇做货</t>
  </si>
  <si>
    <t xml:space="preserve">总目标金额5720， 实际损耗金额2119</t>
  </si>
  <si>
    <t xml:space="preserve">FD-097678</t>
  </si>
  <si>
    <t xml:space="preserve">管培生</t>
  </si>
  <si>
    <t xml:space="preserve">钟恩宝</t>
  </si>
  <si>
    <t xml:space="preserve">关键项目</t>
  </si>
  <si>
    <t xml:space="preserve">90%%%</t>
  </si>
  <si>
    <t xml:space="preserve">预测准确率</t>
  </si>
  <si>
    <t xml:space="preserve">90.33%%</t>
  </si>
  <si>
    <t xml:space="preserve">目标1150w</t>
  </si>
  <si>
    <t xml:space="preserve">1150万元</t>
  </si>
  <si>
    <t xml:space="preserve">964万元万元万元</t>
  </si>
  <si>
    <t xml:space="preserve">FD-092488</t>
  </si>
  <si>
    <t xml:space="preserve">林杜明</t>
  </si>
  <si>
    <t xml:space="preserve">沪汇加工厂履约率</t>
  </si>
  <si>
    <t xml:space="preserve">沪汇7月份履约率100%</t>
  </si>
  <si>
    <t xml:space="preserve">沪汇加工厂损耗率</t>
  </si>
  <si>
    <t xml:space="preserve">全链路成本计算</t>
  </si>
  <si>
    <t xml:space="preserve">凡岛工厂排产优化</t>
  </si>
  <si>
    <t xml:space="preserve">workbuddy课程培训</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</si>
  <si>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</si>
  <si>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</si>
  <si>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</si>
  <si>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</si>
  <si>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</si>
  <si>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</si>
  <si>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</si>
  <si>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</si>
  <si>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</si>
  <si>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</si>
  <si>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</si>
  <si>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月度考勤报表提交及时率</t>
  </si>
  <si>
    <t xml:space="preserve">7月6号前完成6月月度考勤表（初版）</t>
  </si>
  <si>
    <t xml:space="preserve">7.6完成6月月度考勤表</t>
  </si>
  <si>
    <t xml:space="preserve">三方处理及时率</t>
  </si>
  <si>
    <t xml:space="preserve">1-3个工作日内，完成三方发起</t>
  </si>
  <si>
    <t xml:space="preserve">7月处理两方/三方需求合计3人，已结束2人，流程中1人（等同学补充资料）</t>
  </si>
  <si>
    <t xml:space="preserve">竞业处理及时率</t>
  </si>
  <si>
    <t xml:space="preserve">7.7完成7月竞业打款名单；7.25前完成7月竞业跟进总结</t>
  </si>
  <si>
    <t xml:space="preserve">7.7确认7月竞业打款名单，7.24完成竞业跟进总结</t>
  </si>
  <si>
    <t xml:space="preserve">调动处理及时率</t>
  </si>
  <si>
    <t xml:space="preserve">1-2个工作日内，完成组织架构/岗位/负责人/HR经理维护更新</t>
  </si>
  <si>
    <t xml:space="preserve">例行工作准确率</t>
  </si>
  <si>
    <t xml:space="preserve">保证各项工作准确无误</t>
  </si>
  <si>
    <t xml:space="preserve">准确完成</t>
  </si>
  <si>
    <t xml:space="preserve">转正名单及结果更新准确率</t>
  </si>
  <si>
    <t xml:space="preserve">确保转正名单、考勤、结果准确</t>
  </si>
  <si>
    <t xml:space="preserve">月度考勤报表准确率</t>
  </si>
  <si>
    <t xml:space="preserve">确保月度考勤表准确</t>
  </si>
  <si>
    <t xml:space="preserve">三方处理准确率</t>
  </si>
  <si>
    <t xml:space="preserve">确保薪资、协议内容、时间等准确</t>
  </si>
  <si>
    <t xml:space="preserve">竞业处理准确率</t>
  </si>
  <si>
    <t xml:space="preserve">确保竞业金额、名单、生效周期准确</t>
  </si>
  <si>
    <t xml:space="preserve">工时更新准确率</t>
  </si>
  <si>
    <t xml:space="preserve">确认工时数据准确</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</si>
  <si>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</si>
  <si>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</si>
  <si>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</si>
  <si>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</si>
  <si>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</si>
  <si>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7.10完成</t>
  </si>
  <si>
    <t xml:space="preserve">定计划审批提交率80%</t>
  </si>
  <si>
    <t xml:space="preserve">提交73%</t>
  </si>
  <si>
    <t xml:space="preserve">季度评定数据更新及时率</t>
  </si>
  <si>
    <t xml:space="preserve">完成94%</t>
  </si>
  <si>
    <t xml:space="preserve">绩效数据更新汇总
背调 
季度评级</t>
  </si>
  <si>
    <t xml:space="preserve">绩效数据更新准确率</t>
  </si>
  <si>
    <t xml:space="preserve">背调</t>
  </si>
  <si>
    <t xml:space="preserve">季度评级跟进</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</si>
  <si>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</si>
  <si>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</si>
  <si>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</si>
  <si>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</si>
  <si>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</si>
  <si>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</si>
  <si>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</si>
  <si>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社保公积金缴纳及时率</t>
  </si>
  <si>
    <t xml:space="preserve">目标完成时间：每月25号</t>
  </si>
  <si>
    <t xml:space="preserve">"1.自有主体（80%）：7.24、7.27完成扣费 2.外区社保（20%）：7月账单按时打款"</t>
  </si>
  <si>
    <t xml:space="preserve">社保公积金补缴及时率</t>
  </si>
  <si>
    <t xml:space="preserve">1.收到税局/公积金管理局电话或补缴函的次工作日内联系补缴人 2.收到社保补缴材料及个人费用支付转账/公积金核查通知书的的10个工作日内提交补缴材料</t>
  </si>
  <si>
    <t xml:space="preserve">生育津贴处理及时率</t>
  </si>
  <si>
    <t xml:space="preserve">收到岛民申报要求5个工作日内完成申报材料提交v</t>
  </si>
  <si>
    <t xml:space="preserve">工伤申报处理及时率</t>
  </si>
  <si>
    <t xml:space="preserve">收到岛民工伤报备当日在社保局完成报备；收到岛民工伤报备后30个工作日内完成工伤申报材料提交</t>
  </si>
  <si>
    <t xml:space="preserve">1、入职薪资登记准确率 2、花名册及OA岛民档案信息准确率 3、社保公积金增减员名单准确率 4、社保公积金在册名单更新准确率</t>
  </si>
  <si>
    <t xml:space="preserve">入职薪资登记准确率</t>
  </si>
  <si>
    <t xml:space="preserve">准确无误</t>
  </si>
  <si>
    <t xml:space="preserve">无误</t>
  </si>
  <si>
    <t xml:space="preserve">花名册及OA岛民档案信息准确率</t>
  </si>
  <si>
    <t xml:space="preserve">社保公积金增减员名单准确率</t>
  </si>
  <si>
    <t xml:space="preserve">"6人转社保，单工伤未及时减员 这6人属于6月二次增员操作的系统增员，同时6月共享盘在册转多维表格在册，导出时未正确筛选字段，导致未匹配到需要单工伤减员 解决：1.更新多维表格的同时做好excel在册，方便自己每月匹配增减员 2.当月社保在册整理完毕，再进行匹配完整的社保在册名单进行增减员单工伤"</t>
  </si>
  <si>
    <t xml:space="preserve">社保公积金在册名单更新准确率</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</si>
  <si>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</si>
  <si>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</si>
  <si>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</si>
  <si>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</si>
  <si>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</si>
  <si>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</si>
  <si>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</si>
  <si>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2026年调薪方案</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</si>
  <si>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</si>
  <si>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</si>
  <si>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</si>
  <si>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</si>
  <si>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</si>
  <si>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交付质量完成率</t>
  </si>
  <si>
    <t xml:space="preserve">完成绩效数据例行分析&amp;绩效系统数据分析校准or识别规则输出</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</si>
  <si>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</si>
  <si>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</si>
  <si>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</si>
  <si>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</si>
  <si>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</si>
  <si>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</si>
  <si>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员工关系审批及时率</t>
  </si>
  <si>
    <t xml:space="preserve">及时跟进员工关系处理</t>
  </si>
  <si>
    <t xml:space="preserve">实际员工关系审批及时率为80%</t>
  </si>
  <si>
    <t xml:space="preserve">关键工作完成率</t>
  </si>
  <si>
    <t xml:space="preserve">2026年7月已入职应届毕业生岛民转签劳动合同安排、员工关系类Skill开发</t>
  </si>
  <si>
    <t xml:space="preserve">FD-155628</t>
  </si>
  <si>
    <t xml:space="preserve">杨宁</t>
  </si>
  <si>
    <t xml:space="preserve">人岗匹配Q3分析报告 + 优化方案</t>
  </si>
  <si>
    <t xml:space="preserve">人岗匹配优化方案3.0+人才评估体系思考2.0</t>
  </si>
  <si>
    <t xml:space="preserve">岗位文件管理机制</t>
  </si>
  <si>
    <t xml:space="preserve">岗位相关文件更新机制流程</t>
  </si>
  <si>
    <t xml:space="preserve">外包供应商过渡</t>
  </si>
  <si>
    <t xml:space="preserve">外包供应商招聘接入测试+小猎合同续签</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</si>
  <si>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</si>
  <si>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</si>
  <si>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</si>
  <si>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</si>
  <si>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</si>
  <si>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</si>
  <si>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</si>
  <si>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可麦400g设计升级3.0
设计通过总监</t>
  </si>
  <si>
    <t xml:space="preserve">MVE气垫+彩盒设计（年轻时尚方向）
设计定版（通过总监），下推打样</t>
  </si>
  <si>
    <t xml:space="preserve">FD-080197</t>
  </si>
  <si>
    <t xml:space="preserve">邓力欣</t>
  </si>
  <si>
    <t xml:space="preserve">100&amp;</t>
  </si>
  <si>
    <t xml:space="preserve">FD-088054</t>
  </si>
  <si>
    <t xml:space="preserve">余楚薰</t>
  </si>
  <si>
    <t xml:space="preserve">可麦400g设计升级
3.0设计通过总监</t>
  </si>
  <si>
    <t xml:space="preserve">日常产品工单完成率</t>
  </si>
  <si>
    <t xml:space="preserve">MVE气垫+彩盒设计(年轻时尚方向)设计定版(通过总监)，下推打样</t>
  </si>
  <si>
    <t xml:space="preserve">40%%%</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</si>
  <si>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</si>
  <si>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</si>
  <si>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</si>
  <si>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</si>
  <si>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</si>
  <si>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可麦400g设计升级 设计通过总监</t>
  </si>
  <si>
    <t xml:space="preserve">日常平面工单完成率</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</si>
  <si>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</si>
  <si>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</si>
  <si>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</si>
  <si>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</si>
  <si>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</si>
  <si>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</si>
  <si>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可麦主品设计升级</t>
  </si>
  <si>
    <t xml:space="preserve">完成进度10%</t>
  </si>
  <si>
    <t xml:space="preserve">日常平面工单完成率 100%（含直播间、创意图等）</t>
  </si>
  <si>
    <t xml:space="preserve">完成直播间、手卡、日常主图、动画等</t>
  </si>
  <si>
    <t xml:space="preserve">FD-084304</t>
  </si>
  <si>
    <t xml:space="preserve">苏秋英</t>
  </si>
  <si>
    <t xml:space="preserve">IRY日常平面工单完成率 100%</t>
  </si>
  <si>
    <t xml:space="preserve">100%%</t>
  </si>
  <si>
    <t xml:space="preserve">活动主图自动化套图-AI工作流</t>
  </si>
  <si>
    <t xml:space="preserve">7月活动+推文*4</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</si>
  <si>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</si>
  <si>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</si>
  <si>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</si>
  <si>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</si>
  <si>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</si>
  <si>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</si>
  <si>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</si>
  <si>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</si>
  <si>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</si>
  <si>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管理类培训-优质授课</t>
  </si>
  <si>
    <t xml:space="preserve">优秀授课率100%(权重70%)</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</si>
  <si>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</si>
  <si>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</si>
  <si>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</si>
  <si>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</si>
  <si>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</si>
  <si>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</si>
  <si>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</si>
  <si>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人资考核落地执行率</t>
  </si>
  <si>
    <t xml:space="preserve">考核落地执行率=当月实际考核设计落地数/当月考核设计落地目标数*100%</t>
  </si>
  <si>
    <t xml:space="preserve">完成部门考核100%</t>
  </si>
  <si>
    <t xml:space="preserve">市场考核落地执行率</t>
  </si>
  <si>
    <t xml:space="preserve">品牌管理考核落地执行率</t>
  </si>
  <si>
    <t xml:space="preserve">项目类及其他关键工作</t>
  </si>
  <si>
    <t xml:space="preserve">AI公开课</t>
  </si>
  <si>
    <t xml:space="preserve">skill部门大赛</t>
  </si>
  <si>
    <t xml:space="preserve">全员培训</t>
  </si>
  <si>
    <t xml:space="preserve">学时完成率100% 优质授课率63% 总体完成得分：0.8</t>
  </si>
  <si>
    <t xml:space="preserve">4小时</t>
  </si>
  <si>
    <t xml:space="preserve">学时完成率100% 优质授课率63% 总体完成得分：0.8小时</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</si>
  <si>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</si>
  <si>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</si>
  <si>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</si>
  <si>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</si>
  <si>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</si>
  <si>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</si>
  <si>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</si>
  <si>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岗位实战技能竞技赛</t>
  </si>
  <si>
    <t xml:space="preserve">FanDo Skill 搭建技能竞技赛顺利组织至公司初赛</t>
  </si>
  <si>
    <t xml:space="preserve">顺利将赛程推进至公司初赛，并宣发完成</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</si>
  <si>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</si>
  <si>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</si>
  <si>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</si>
  <si>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</si>
  <si>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</si>
  <si>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</si>
  <si>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</si>
  <si>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</si>
  <si>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</si>
  <si>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部门日活率</t>
  </si>
  <si>
    <t xml:space="preserve">部门日活率达到80%</t>
  </si>
  <si>
    <t xml:space="preserve">部门人均token消耗</t>
  </si>
  <si>
    <t xml:space="preserve">部门人均token消耗达到1500万</t>
  </si>
  <si>
    <t xml:space="preserve">1500万</t>
  </si>
  <si>
    <t xml:space="preserve">2335.39万</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</si>
  <si>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</si>
  <si>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</si>
  <si>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</si>
  <si>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</si>
  <si>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</si>
  <si>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</si>
  <si>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</si>
  <si>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</si>
  <si>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新人主播入职</t>
  </si>
  <si>
    <t xml:space="preserve">1人</t>
  </si>
  <si>
    <t xml:space="preserve">入职1主播</t>
  </si>
  <si>
    <t xml:space="preserve">FD-223714</t>
  </si>
  <si>
    <t xml:space="preserve">叶森莹</t>
  </si>
  <si>
    <t xml:space="preserve">营销段高价值可复用的SKILL</t>
  </si>
  <si>
    <t xml:space="preserve">18个个</t>
  </si>
  <si>
    <t xml:space="preserve">品牌营销部使用Fando日活率</t>
  </si>
  <si>
    <t xml:space="preserve">品牌营销部使用Fando人均token消耗量</t>
  </si>
  <si>
    <t xml:space="preserve">1648.81万</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</si>
  <si>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</si>
  <si>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</si>
  <si>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</si>
  <si>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</si>
  <si>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</si>
  <si>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</si>
  <si>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</si>
  <si>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项目功能如期达标</t>
  </si>
  <si>
    <t xml:space="preserve">【AI微医生】持续优化工作流+SKILL，出现问题当天解决</t>
  </si>
  <si>
    <t xml:space="preserve">新增动态调整赠品skill；活动skill新增活动商品代下单脚本；退款skill补充前置判断条件；新增skill版本管理</t>
  </si>
  <si>
    <t xml:space="preserve">【AI微医生】根据本月项目规划，按时完成开发任务并上线测试</t>
  </si>
  <si>
    <t xml:space="preserve">完成后台skill库/护肤知识库/优惠券库开发；前端后台新增crm/企微模拟用户消息功能/聊天发送框；新增企微客户活动增删标签逻辑；新粉Agent上下文估算与压缩器；重构crm/企微/新粉复购AI端代码相关部分代码；开发微医生根数据B端</t>
  </si>
  <si>
    <t xml:space="preserve">【AI微医生】1-120D复购指数</t>
  </si>
  <si>
    <t xml:space="preserve">【1-120D】 总复购指数0.33【精英池:0.9】</t>
  </si>
  <si>
    <t xml:space="preserve">【AI微医生】广告占比</t>
  </si>
  <si>
    <t xml:space="preserve">AI: 51.5%(按粉单80算) 【精英 池:49.7%】</t>
  </si>
  <si>
    <t xml:space="preserve">FD-229844</t>
  </si>
  <si>
    <t xml:space="preserve">许阳</t>
  </si>
  <si>
    <t xml:space="preserve">AI：24H-13.12% 【精英池：24H-10.85%】</t>
  </si>
  <si>
    <t xml:space="preserve">【1-120D】总-0.33 【精英池：0.9】</t>
  </si>
  <si>
    <t xml:space="preserve">AI：51.5%（按粉单80算） 【精英池：49.7%】</t>
  </si>
  <si>
    <t xml:space="preserve">有效决议贡献</t>
  </si>
  <si>
    <t xml:space="preserve">【AI微医生】每周产出一份本周问题分析以及价值发现优化点</t>
  </si>
  <si>
    <t xml:space="preserve">完成每周问题分析和数据分析，产出7月数据分析文档</t>
  </si>
  <si>
    <t xml:space="preserve">【AI微医生】推动至少一个动作落地并有效，产出详细的测试SOP和数据佐证</t>
  </si>
  <si>
    <t xml:space="preserve">1. 撰写灵活活动激活方案并落地；回复率趋于4%左右，第一次上线当天活动销售额1160元，整月灵活活动销售额3686元； 2. 优化新粉推链接逻辑； 3. 新粉商用规划方案； 4. D计划聊天存档工具； 5. 探索并设计主体不一致企微、公众号好友关联方案并验证可行性；</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</si>
  <si>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</si>
  <si>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</si>
  <si>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</si>
  <si>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</si>
  <si>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</si>
  <si>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【AI微医生复购】复购指数0.8</t>
  </si>
  <si>
    <t xml:space="preserve">1. 观察复购聊天记录及时排查问题反馈给开发同事处理 2. 优化更新skill：效果疑虑、拒绝促单、延时、激活、生活关怀 3. 萝岗接待模型换glm-5.2 4. 增加灵活活动模块，上线及优化 5. 增加暑期宠粉商品 6. 企微小希莉枫、小希莉歆（小希莉岛）移交真人接待 7. 增加下单后总结聊天记录看是否需要给订单备注、改地址 8. 长期维护新增激活skill，"long-term-activation"</t>
  </si>
  <si>
    <t xml:space="preserve">【AI微医生】广告占比90%</t>
  </si>
  <si>
    <t xml:space="preserve">广告占比51.5%</t>
  </si>
  <si>
    <t xml:space="preserve">【AI微医生】推动至少一个动作落地并有效,产出详细的测试SOP和数据佐证</t>
  </si>
  <si>
    <t xml:space="preserve">每周完成数据分析+聊天记录问题分析+总结讨论新的优化方向</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</si>
  <si>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</si>
  <si>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FD-224360</t>
  </si>
  <si>
    <t xml:space="preserve">余粤</t>
  </si>
  <si>
    <t xml:space="preserve">【AI微医生】扣退后24H新粉转化率</t>
  </si>
  <si>
    <t xml:space="preserve">【AI微医生】关键工作
持续优化工作流+Skill接待，出现问题当天内解决</t>
  </si>
  <si>
    <t xml:space="preserve">【AI微医生】关键工作
根据本月项目规划，按时完成开发任务并上线测试</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</si>
  <si>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</si>
  <si>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</si>
  <si>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</si>
  <si>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</si>
  <si>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</si>
  <si>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</si>
  <si>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</si>
  <si>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</si>
  <si>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传播效果</t>
  </si>
  <si>
    <t xml:space="preserve">雇主品牌综合页面自主铺设帖子进入前30数量为10条</t>
  </si>
  <si>
    <t xml:space="preserve">TOP30的笔记中有15条为自主铺设笔记。</t>
  </si>
  <si>
    <t xml:space="preserve">FD-181227</t>
  </si>
  <si>
    <t xml:space="preserve">杨颖晖</t>
  </si>
  <si>
    <t xml:space="preserve">KONO KOC小红书合作</t>
  </si>
  <si>
    <t xml:space="preserve">笔记合作量：实际 100，目标 90，达成率 111.11% 笔记收片量：实际 86，目标 90，达成率 95.56%</t>
  </si>
  <si>
    <t xml:space="preserve">7月KONO品牌传播</t>
  </si>
  <si>
    <t xml:space="preserve">根号C图文稿件8.6发布，视频稿件需修改后发布，小红书品宣海报已完成发布</t>
  </si>
  <si>
    <t xml:space="preserve">KONO品牌综合页面自主铺设帖子进入前30数量为10条</t>
  </si>
  <si>
    <t xml:space="preserve">10条</t>
  </si>
  <si>
    <t xml:space="preserve">10-13条</t>
  </si>
  <si>
    <t xml:space="preserve">总计前30条内自主铺设约占10-13条</t>
  </si>
  <si>
    <t xml:space="preserve">IRY品牌综合页面自主铺设帖子进入前30数量为8条</t>
  </si>
  <si>
    <t xml:space="preserve">8条</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</si>
  <si>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</si>
  <si>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</si>
  <si>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</si>
  <si>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</si>
  <si>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赫系小红书广场铺设前30条中10条为自主铺设内容</t>
  </si>
  <si>
    <t xml:space="preserve">已完成，由于赫系品牌较高的小红书合作内容量，自主铺设内容保持差异化以及适当的比例即可，不必追求绝对数量，应追求整体效果；赫系相关广场整体保持全为合作/自主内容，#赫系好运 本月TOP30内共有9条笔记为自主铺设笔记，8条为过往达人合作内容，#赫系词条下本月TOP30内有8条笔记为最新达人合作笔记；#赫系洗发水 本月TOP30内共有8条笔记为达人合作笔记；</t>
  </si>
  <si>
    <t xml:space="preserve">WIS隐形水润面膜3.0升级事件传播，总曝光达25W</t>
  </si>
  <si>
    <t xml:space="preserve">由于传播方案调整，总体预估曝光量实际为16.5w，已达标；由于网媒传播内容，无法回收统计曝光量，以geo收入率代替曝光达标，发稿收入13/16；三平台官号内容总曝光为公众号0.4w，微博3.3w，小红书0.2w，合计3.9w，预估达标；置换合作目前收片情况33/50，曝光10w，预估全部数据后总曝光达15w，预估达标，ROI达标；总体预估曝光18w</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</si>
  <si>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</si>
  <si>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</si>
  <si>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</si>
  <si>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</si>
  <si>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</si>
  <si>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</si>
  <si>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举报脚本成功率</t>
  </si>
  <si>
    <t xml:space="preserve">维护并优化违规内容举报与投诉处理脚本（含自动化流程），监控脚本调用成功率与处理时效，排查失败原因并迭代修复，定期输出成功率数据与优化建议，提高品牌舆情处理效率</t>
  </si>
  <si>
    <t xml:space="preserve">外包有效收录成本合理性</t>
  </si>
  <si>
    <t xml:space="preserve">评估外包工作在有效场景下的成本占比与合理性，建立成本评估模型，定期对标市场行情，以及对外包过往链接的存活追溯，有效控制成本</t>
  </si>
  <si>
    <t xml:space="preserve">自养矩阵账号健康度</t>
  </si>
  <si>
    <t xml:space="preserve">管理企业自有新媒体矩阵账号，监测各账号活跃度、内容合规性、互动数据及风险状态，建立健康度评分体系，及时处置异常账号，保障矩阵稳定运营</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</si>
  <si>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</si>
  <si>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</si>
  <si>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</si>
  <si>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</si>
  <si>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</si>
  <si>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</si>
  <si>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当月friction次数 ≤ 1 次</t>
  </si>
  <si>
    <t xml:space="preserve">1次</t>
  </si>
  <si>
    <t xml:space="preserve">0次</t>
  </si>
  <si>
    <t xml:space="preserve">政府事项完成率 = （按时提交率 + 一次性通过率） / 2≥95%</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</si>
  <si>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</si>
  <si>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</si>
  <si>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</si>
  <si>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</si>
  <si>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</si>
  <si>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</si>
  <si>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</si>
  <si>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</si>
  <si>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质量合格率</t>
  </si>
  <si>
    <t xml:space="preserve">质量合格批次实际完成数量：以每月最后1日前出货批次为准（以金蝶收料通知单条数为准）</t>
  </si>
  <si>
    <t xml:space="preserve">合计送货411个批次，无异常。</t>
  </si>
  <si>
    <t xml:space="preserve">重大关键项目</t>
  </si>
  <si>
    <t xml:space="preserve">原料库存分析：
1.积压原料处理进度根据原料库存分析最新系统,重新输出、整理
2.内部会议确认每款原料的负责人&amp;跟进方向(处理方法)
3.原料消耗:供应&amp;计划</t>
  </si>
  <si>
    <t xml:space="preserve">3个</t>
  </si>
  <si>
    <t xml:space="preserve">都完成</t>
  </si>
  <si>
    <t xml:space="preserve">原料库存分析：
1.过期原料报废清单输出
2.确认报废原因&amp;责任方</t>
  </si>
  <si>
    <t xml:space="preserve">2个</t>
  </si>
  <si>
    <t xml:space="preserve">原料核算2.0
1.联系it沟通增加项目板块
2.确认项目落地时间&amp;配合测试</t>
  </si>
  <si>
    <t xml:space="preserve">FD-080606</t>
  </si>
  <si>
    <t xml:space="preserve">龙美莹</t>
  </si>
  <si>
    <t xml:space="preserve">本月目标</t>
  </si>
  <si>
    <t xml:space="preserve">送货总条数231，未履约1条</t>
  </si>
  <si>
    <t xml:space="preserve">供应季度复盘会</t>
  </si>
  <si>
    <t xml:space="preserve">质量合格率100%</t>
  </si>
  <si>
    <t xml:space="preserve">总条数231条，1条未合格，退货重做</t>
  </si>
  <si>
    <t xml:space="preserve">模具模具管理</t>
  </si>
  <si>
    <t xml:space="preserve">积压包材报废输出</t>
  </si>
  <si>
    <t xml:space="preserve">积压包材消耗处理</t>
  </si>
  <si>
    <t xml:space="preserve">1、金冠-隐形水润经典款24片 2、雅纯-隐形水润经典款十片3、从化-KONO经典洗护套装（彩盒）</t>
  </si>
  <si>
    <t xml:space="preserve">FD-153639</t>
  </si>
  <si>
    <t xml:space="preserve">翁承梅</t>
  </si>
  <si>
    <t xml:space="preserve">订单履约率</t>
  </si>
  <si>
    <t xml:space="preserve">包材积压管理</t>
  </si>
  <si>
    <t xml:space="preserve">赫系护发素返松</t>
  </si>
  <si>
    <t xml:space="preserve">包材签样管理</t>
  </si>
  <si>
    <t xml:space="preserve">FD-097865</t>
  </si>
  <si>
    <t xml:space="preserve">曾静柔</t>
  </si>
  <si>
    <t xml:space="preserve">订单履约率99%</t>
  </si>
  <si>
    <t xml:space="preserve">物料库存清单
1.更新物料库存清单数据:加工厂&amp;供应商处库存
2.汇总表&amp;明细表;跟计划确认,新的物料消耗就以这一版(6/22)为准
7/11要整理完数据
7/20前跟计划共识新版数据启用</t>
  </si>
  <si>
    <t xml:space="preserve">1.新旧交替清仓
2.包材储备</t>
  </si>
  <si>
    <t xml:space="preserve">包材组订单履约率计算优化</t>
  </si>
  <si>
    <t xml:space="preserve">不干胶损耗</t>
  </si>
  <si>
    <t xml:space="preserve">囤货数据&amp;实盘
1.供应中心内部研讨供应商实盘安排
2.搭建供应中心内部库存进出</t>
  </si>
  <si>
    <t xml:space="preserve">FD-098144</t>
  </si>
  <si>
    <t xml:space="preserve">李红菊</t>
  </si>
  <si>
    <t xml:space="preserve">1、供应中心物料管理库
搭建供应中心内部库存进出表</t>
  </si>
  <si>
    <t xml:space="preserve">99.46%%</t>
  </si>
  <si>
    <t xml:space="preserve">2、订单管理系统
七月底完成关单确认</t>
  </si>
  <si>
    <t xml:space="preserve">3、膜袋历史下单记录数据分析</t>
  </si>
  <si>
    <t xml:space="preserve">FD-095713</t>
  </si>
  <si>
    <t xml:space="preserve">刘星瑶</t>
  </si>
  <si>
    <t xml:space="preserve">Q3原料下单异常预警</t>
  </si>
  <si>
    <t xml:space="preserve">质量合格率=本月出货合格批次/本月出货总批次</t>
  </si>
  <si>
    <t xml:space="preserve">构建原料-加工厂协同表</t>
  </si>
  <si>
    <t xml:space="preserve">积压原料跟进</t>
  </si>
  <si>
    <t xml:space="preserve">雅纯撤场原料仓包材仓选址</t>
  </si>
  <si>
    <t xml:space="preserve">FD-096436</t>
  </si>
  <si>
    <t xml:space="preserve">林江龙</t>
  </si>
  <si>
    <t xml:space="preserve">原料订单履约率100%</t>
  </si>
  <si>
    <t xml:space="preserve">报废物料处理</t>
  </si>
  <si>
    <t xml:space="preserve">报废物料处理已完成</t>
  </si>
  <si>
    <t xml:space="preserve">包材订单履约率100%</t>
  </si>
  <si>
    <t xml:space="preserve">报废流程教学</t>
  </si>
  <si>
    <t xml:space="preserve">100人</t>
  </si>
  <si>
    <t xml:space="preserve">报废流程教学已完成</t>
  </si>
  <si>
    <t xml:space="preserve">积压原料处理</t>
  </si>
  <si>
    <t xml:space="preserve">积压原料处理已完成</t>
  </si>
  <si>
    <t xml:space="preserve">FD-221937</t>
  </si>
  <si>
    <t xml:space="preserve">AI效率流程部-AI效率流程E中心</t>
  </si>
  <si>
    <t xml:space="preserve">刘铎</t>
  </si>
  <si>
    <t xml:space="preserve">【AI效率流程E中心】绩效方案（fando推广+其他项目版）</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</si>
  <si>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</si>
  <si>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</si>
  <si>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项目功能按需完成开发</t>
  </si>
  <si>
    <t xml:space="preserve">1. 客服平台新功能开发和旧模块迭代 2. 协助斑头雁AI客服测试 3. 飞鸽和天猫通知逻辑优化 4. 飞鸽国补版本开发 5. AI端开发：Functioncall异常兜底、转人工逻辑修复、漏发工作流优化等</t>
  </si>
  <si>
    <t xml:space="preserve">日活人数80%（线下渠道部日活人数50%）</t>
  </si>
  <si>
    <t xml:space="preserve">财务部：19/31=87.7% 品牌管理部：18/22=81.8% 线下渠道部：17/49=34.7%</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</si>
  <si>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</si>
  <si>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</si>
  <si>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</si>
  <si>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</si>
  <si>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</si>
  <si>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</si>
  <si>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</si>
  <si>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</si>
  <si>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</si>
  <si>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</si>
  <si>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眼膜销售目标</t>
  </si>
  <si>
    <t xml:space="preserve">37.42万元</t>
  </si>
  <si>
    <t xml:space="preserve">美白系列等新品销售目标</t>
  </si>
  <si>
    <t xml:space="preserve">70万元</t>
  </si>
  <si>
    <t xml:space="preserve">54.72万元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</si>
  <si>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</si>
  <si>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</si>
  <si>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</si>
  <si>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</si>
  <si>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</si>
  <si>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</si>
  <si>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</si>
  <si>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</si>
  <si>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</si>
  <si>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运营利润率</t>
  </si>
  <si>
    <t xml:space="preserve">shopee越南</t>
  </si>
  <si>
    <t xml:space="preserve">亚马逊</t>
  </si>
  <si>
    <t xml:space="preserve">160000元</t>
  </si>
  <si>
    <t xml:space="preserve">123445元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</si>
  <si>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</si>
  <si>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</si>
  <si>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</si>
  <si>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</si>
  <si>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</si>
  <si>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</si>
  <si>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</si>
  <si>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</si>
  <si>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</si>
  <si>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</si>
  <si>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</si>
  <si>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</si>
  <si>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</si>
  <si>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</si>
  <si>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</si>
  <si>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</si>
  <si>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测出新大投框架</t>
  </si>
  <si>
    <t xml:space="preserve">tt美区测出新大投框架，投放100美金+，roi 1.5</t>
  </si>
  <si>
    <t xml:space="preserve">0个</t>
  </si>
  <si>
    <t xml:space="preserve">FD-216450</t>
  </si>
  <si>
    <t xml:space="preserve">蔡沛心</t>
  </si>
  <si>
    <t xml:space="preserve">6/7月自产素材 GMV≥20000元 50%</t>
  </si>
  <si>
    <t xml:space="preserve">20000元</t>
  </si>
  <si>
    <t xml:space="preserve">35615元</t>
  </si>
  <si>
    <t xml:space="preserve">7月新发布达人短视频 GMV≥20000元</t>
  </si>
  <si>
    <t xml:space="preserve">26885元</t>
  </si>
  <si>
    <t xml:space="preserve">完成达人短视频共计25条素材发布目标</t>
  </si>
  <si>
    <t xml:space="preserve">25条</t>
  </si>
  <si>
    <t xml:space="preserve">12条</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</si>
  <si>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</si>
  <si>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</si>
  <si>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</si>
  <si>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</si>
  <si>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</si>
  <si>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</si>
  <si>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</si>
  <si>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【AI客服】维护如期达成
【AI外呼】如期完成开发</t>
  </si>
  <si>
    <t xml:space="preserve">外呼开发已完成；客服维护已完成</t>
  </si>
  <si>
    <t xml:space="preserve">【视频BI看板】按需辅助业务部门完成开发</t>
  </si>
  <si>
    <t xml:space="preserve">视频BI开发已完成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</si>
  <si>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</si>
  <si>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</si>
  <si>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</si>
  <si>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</si>
  <si>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</si>
  <si>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</si>
  <si>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</si>
  <si>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代理商返点变化&amp;政策拆解;</t>
  </si>
  <si>
    <t xml:space="preserve">项目板块指标-方案1</t>
  </si>
  <si>
    <t xml:space="preserve">电商线上分销 成功接入新机构</t>
  </si>
  <si>
    <t xml:space="preserve">0%%%</t>
  </si>
  <si>
    <t xml:space="preserve">实际完成签约0家 但是对内打通分销发货体系 ；帮助分销主管理清分销脉络；</t>
  </si>
  <si>
    <t xml:space="preserve">协助搭建完整分销管理体系-输出完整报告-和总监对齐</t>
  </si>
  <si>
    <t xml:space="preserve">项目板块指标-方案2</t>
  </si>
  <si>
    <t xml:space="preserve">项目需求</t>
  </si>
  <si>
    <t xml:space="preserve">100%%%%</t>
  </si>
  <si>
    <t xml:space="preserve">①KONO新品代播需求 独自开发两家 长期合作 ②达播场地需求对接</t>
  </si>
  <si>
    <t xml:space="preserve">素材机构资源开发</t>
  </si>
  <si>
    <t xml:space="preserve">WIS水润面膜AI素材 合作渔悦轻舟 KONO视频号 AI混剪 合作云顶</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</si>
  <si>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</si>
  <si>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</si>
  <si>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</si>
  <si>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本月目标:可麦快手自营(除达人分发)GSV:20w,费比考核要求:38%(净成交ROI2.63)
(该项红线:ROI1.8.若触发红线，则该项不得分)
(得分上限1.4)
该项完成率=60%GSV完成率+40%R0I达成度
1GSV完成率=实际GSV/目标GSV
2ROI达成率
ROI&gt;2.63, 得分1.2; ROI 2.4s ROI ≤2.63, 得分1; ROI2.1 ≤ ROI &lt;2.4, 得分0.8, ROI 1.8 &lt; ROI &lt;2.1, 得分0.6</t>
  </si>
  <si>
    <t xml:space="preserve">根据财报情况，退后GSV：14.7W，ROI ：2.13%</t>
  </si>
  <si>
    <t xml:space="preserve">电商线上分销(得分上限1.2)
[主品牌]成功接入新机构(合同签订为准)+0.6分/家;
[新品牌]成功接入新机构(合同签订为准)+0.3分/家;
红线:主品牌未合作，则该项得分不超过0.6分</t>
  </si>
  <si>
    <t xml:space="preserve">0%%</t>
  </si>
  <si>
    <t xml:space="preserve">50%数量:资源库数量超50家
代运营/代播/打品资源库-资源开拓与梳理(得分上限1)
50%资源库质量:明确资源地区、过往合作情况、擅长业务、平台、合作模式、资源迭代标准、其他备注信息</t>
  </si>
  <si>
    <t xml:space="preserve">素材机构资源开发-(得分上限1)承接日常拍摄需求，个人新接入合作至少3家新【ai生成类】机构</t>
  </si>
  <si>
    <t xml:space="preserve">7月新增合作需求剧饱饱，3条AI视频，7200，因客观需求原因未有新增需求，做部分折算</t>
  </si>
  <si>
    <t xml:space="preserve">FD-050705</t>
  </si>
  <si>
    <t xml:space="preserve">谷春炎</t>
  </si>
  <si>
    <t xml:space="preserve">兼职人员管理业务板块指标-方案2</t>
  </si>
  <si>
    <t xml:space="preserve">模特/主播/助播流程优化</t>
  </si>
  <si>
    <t xml:space="preserve">兼职管理组-新资源开发数量指标</t>
  </si>
  <si>
    <t xml:space="preserve">新资源开拓(以同组得分为准)</t>
  </si>
  <si>
    <t xml:space="preserve">同组为准</t>
  </si>
  <si>
    <t xml:space="preserve">组织媒体&amp;代理复盘-输出有价值的情报报告(共同指标,得分上限1.2)
聚焦:1各平台信息&amp;机会点;2代理商返点变化&amp;政策拆解;3代理深入合作模式&amp;机会</t>
  </si>
  <si>
    <t xml:space="preserve">主动推进至少1条情报信息落地执行,即1分;经总监判断有重要要长期价值,即1.2分</t>
  </si>
  <si>
    <t xml:space="preserve">项目需求(得分上限1.2)
主要:魔渍&amp;墨雪-代运营,是否接入符合品牌要求供应商,并推进合作。
接入1家,0.6;接入2家;0.8,接入3家,1;
个人获取重要权益(经总监判断),额外+0.2</t>
  </si>
  <si>
    <t xml:space="preserve">FD-054477</t>
  </si>
  <si>
    <t xml:space="preserve">数据助理</t>
  </si>
  <si>
    <t xml:space="preserve">王家雯</t>
  </si>
  <si>
    <t xml:space="preserve">市场拓展部-资源开拓中心-数据助理</t>
  </si>
  <si>
    <t xml:space="preserve">数据助理-业绩考核</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</si>
  <si>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</si>
  <si>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</si>
  <si>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</si>
  <si>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</si>
  <si>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任务安排完成度</t>
  </si>
  <si>
    <t xml:space="preserve">实际工作完成情况</t>
  </si>
  <si>
    <t xml:space="preserve">紧急需求响应及时，能有效协助需求的完成与解决</t>
  </si>
  <si>
    <t xml:space="preserve">数据助理-上级考核</t>
  </si>
  <si>
    <t xml:space="preserve">数据助理-基础考核</t>
  </si>
  <si>
    <t xml:space="preserve">公司价值观</t>
  </si>
  <si>
    <t xml:space="preserve">是否符合公司价值观</t>
  </si>
  <si>
    <t xml:space="preserve">责任意识</t>
  </si>
  <si>
    <t xml:space="preserve">是否及时处理业务部门紧急需求</t>
  </si>
  <si>
    <t xml:space="preserve">团队意识</t>
  </si>
  <si>
    <t xml:space="preserve">是否会参与公司/部门/中心组织的活动、培训、会议等</t>
  </si>
  <si>
    <t xml:space="preserve">主动参加，不缺席，能在会议上发言或提出有价值的思路且实践后能达到较好的结果</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</si>
  <si>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</si>
  <si>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</si>
  <si>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</si>
  <si>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</si>
  <si>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</si>
  <si>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</si>
  <si>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</si>
  <si>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</si>
  <si>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</si>
  <si>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兼职管理组-兼职人员需求完成率</t>
  </si>
  <si>
    <t xml:space="preserve">由部门/对接部门（营销部门、电商部门）提起的寻找符合要求兼职人员的任务需求，需求包括但不限于兼职主播/助播/模特等。由直属上级制定每项任务要求完成时间。</t>
  </si>
  <si>
    <t xml:space="preserve">兼职管理组-例行工作执行达成率</t>
  </si>
  <si>
    <t xml:space="preserve">例行工作，由岗位例行工作量表要求每月/每周/每日需要固定执行的任务，包括请款、合同签署、合同盖章、回收发票等。例行工作量表会根据每月实际情况进行调整。</t>
  </si>
  <si>
    <t xml:space="preserve">①新资源：过往未发生合作的新的模特和兼职主播，以及未建联果的新助播。需要持续开发新的资源，并签订合同达成合作初次合作，其中兼职主播需要符合成本和质量要求，新助播需要入库。模特需是野生模特，如有外包机构模特单独报备计算。
②开发成功的标准：签订年度框架协议或者本月内达成初次合作，需要明确入库（提供详细信息）
评级标准按照上表，根据月底合作或签订数量进行核算，数量得分标准随实际情况会存在月度调整</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</si>
  <si>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</si>
  <si>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</si>
  <si>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</si>
  <si>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</si>
  <si>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</si>
  <si>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</si>
  <si>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</si>
  <si>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</si>
  <si>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壁垒构建项目</t>
  </si>
  <si>
    <t xml:space="preserve">环五肽人群测试及斑马鱼数据分析</t>
  </si>
  <si>
    <t xml:space="preserve">7.24完成环五肽抗衰人群测试，7.29完成斑马鱼抗衰数据分析</t>
  </si>
  <si>
    <t xml:space="preserve">团队贡献分享</t>
  </si>
  <si>
    <t xml:space="preserve">靶点数据挖掘中心团队分享</t>
  </si>
  <si>
    <t xml:space="preserve">7.20完成一次靶点数据挖掘中心团队分享</t>
  </si>
  <si>
    <t xml:space="preserve">FD-238128</t>
  </si>
  <si>
    <t xml:space="preserve">张立青</t>
  </si>
  <si>
    <t xml:space="preserve">技术开发项目</t>
  </si>
  <si>
    <t xml:space="preserve">7月28日前完成蓬松度测试方法学优化，建立稳定可靠的评价体系</t>
  </si>
  <si>
    <t xml:space="preserve">7月28日前完成江南大学阳离子原料复测及应用评估</t>
  </si>
  <si>
    <t xml:space="preserve">7月28日前完成东雄阳离子原料溶解方法确定，以及可以使用的分子量测试结果提供给到华测</t>
  </si>
  <si>
    <t xml:space="preserve">7 月 28 日前完成内部技术分享</t>
  </si>
  <si>
    <t xml:space="preserve">FD-235981</t>
  </si>
  <si>
    <t xml:space="preserve">蒋孟坪</t>
  </si>
  <si>
    <t xml:space="preserve">7.28前完成KONO香氛洗发水升级方案</t>
  </si>
  <si>
    <t xml:space="preserve">完成调研和香精筛选，项目中止</t>
  </si>
  <si>
    <t xml:space="preserve">7.28前完成智能响应透皮递送技术功效验证</t>
  </si>
  <si>
    <t xml:space="preserve">功效检测已完成</t>
  </si>
  <si>
    <t xml:space="preserve">7.28前完成WIS产品升级核心定制原料的系统验证与落地</t>
  </si>
  <si>
    <t xml:space="preserve">已完成资料归档</t>
  </si>
  <si>
    <t xml:space="preserve">7.28前完成团队知识分享</t>
  </si>
  <si>
    <t xml:space="preserve">已完成分享</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</si>
  <si>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</si>
  <si>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</si>
  <si>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</si>
  <si>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</si>
  <si>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</si>
  <si>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</si>
  <si>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</si>
  <si>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方案策划</t>
  </si>
  <si>
    <t xml:space="preserve">一、KONO洗发水POD（蓬松）
1. 挖掘KONO洗发水的POD，给出实验demo建议
2. 制作KONO蓬松技术可视化素材
二、前端卖点赋能
1. 厘清从“产品技术文档”到“最前端宣传”的转化路径。
2. 探讨科传介入“卖点提炼会”必要性；督促向最前端交付完整物料包（手卡/记录/原文档）。</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</si>
  <si>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</si>
  <si>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</si>
  <si>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</si>
  <si>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</si>
  <si>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</si>
  <si>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</si>
  <si>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</si>
  <si>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</si>
  <si>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</si>
  <si>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团队关键工作-其他</t>
  </si>
  <si>
    <t xml:space="preserve">团队完成2个星图fando工作流搭建，并运用工作流产出1位成交＞10w的达人素材</t>
  </si>
  <si>
    <t xml:space="preserve">6个封顶 个人：创意，强种草脚本 团队：脚本打分，达人筛选，分镜，达人打分</t>
  </si>
  <si>
    <t xml:space="preserve">整体支付ROI＞2.25（ 低于2.25此项清零）</t>
  </si>
  <si>
    <t xml:space="preserve">2.25roi</t>
  </si>
  <si>
    <t xml:space="preserve">2.26roi</t>
  </si>
  <si>
    <t xml:space="preserve">团队产出3条直播全域混剪成交＞5w的达人二创素材（月末需交付达人二创框架库2.0）</t>
  </si>
  <si>
    <t xml:space="preserve">3条</t>
  </si>
  <si>
    <t xml:space="preserve">FD-038821</t>
  </si>
  <si>
    <t xml:space="preserve">陈秋汛</t>
  </si>
  <si>
    <t xml:space="preserve">个人GSV达成率得分</t>
  </si>
  <si>
    <t xml:space="preserve">达人成交GSV70w（计划净成交＜2.1总ROI＜2.1不纳入计算）</t>
  </si>
  <si>
    <t xml:space="preserve">59万元</t>
  </si>
  <si>
    <t xml:space="preserve">二创大投完成率</t>
  </si>
  <si>
    <t xml:space="preserve">直播间达人混剪成交10w</t>
  </si>
  <si>
    <t xml:space="preserve">10万元</t>
  </si>
  <si>
    <t xml:space="preserve">3.2万元</t>
  </si>
  <si>
    <t xml:space="preserve">Fando工作流一个</t>
  </si>
  <si>
    <t xml:space="preserve">1个</t>
  </si>
  <si>
    <t xml:space="preserve">FD-030061</t>
  </si>
  <si>
    <t xml:space="preserve">林亦菲</t>
  </si>
  <si>
    <t xml:space="preserve">成交20w</t>
  </si>
  <si>
    <t xml:space="preserve">20万元</t>
  </si>
  <si>
    <t xml:space="preserve">16.4938万元</t>
  </si>
  <si>
    <t xml:space="preserve">KOC扣退销售额70w</t>
  </si>
  <si>
    <t xml:space="preserve">74.1143万元</t>
  </si>
  <si>
    <t xml:space="preserve">KOC净成交ROI＞2.05</t>
  </si>
  <si>
    <t xml:space="preserve">完成FANDO AI工作流搭建，跑出3条成交＞5万的AI素材</t>
  </si>
  <si>
    <t xml:space="preserve">FD-034631</t>
  </si>
  <si>
    <t xml:space="preserve">朱晴</t>
  </si>
  <si>
    <t xml:space="preserve">个人达人GSV70w</t>
  </si>
  <si>
    <t xml:space="preserve">13.65万元</t>
  </si>
  <si>
    <t xml:space="preserve">FanDo工作流搭建
星图达人打分录入skill</t>
  </si>
  <si>
    <t xml:space="preserve">已完成skill搭建</t>
  </si>
  <si>
    <t xml:space="preserve">达人混剪GSV成交10w</t>
  </si>
  <si>
    <t xml:space="preserve">0.62万元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</si>
  <si>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</si>
  <si>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</si>
  <si>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</si>
  <si>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</si>
  <si>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</si>
  <si>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</si>
  <si>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</si>
  <si>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广告占比52%</t>
  </si>
  <si>
    <t xml:space="preserve">7月视频号总成交：1750720.56；总消耗：825836.41</t>
  </si>
  <si>
    <t xml:space="preserve">上新广告素材600条</t>
  </si>
  <si>
    <t xml:space="preserve">600条</t>
  </si>
  <si>
    <t xml:space="preserve">7月份素材上新546条；</t>
  </si>
  <si>
    <t xml:space="preserve">搭建FANDO工作流，跑出3条成交＞5w的素材</t>
  </si>
  <si>
    <t xml:space="preserve">搭建批量替换产品和自动创建数字人skill但是需要走fando路线；未能产出爆量素材</t>
  </si>
  <si>
    <t xml:space="preserve">OD-005497</t>
  </si>
  <si>
    <t xml:space="preserve">营销策划</t>
  </si>
  <si>
    <t xml:space="preserve">曾秀芬</t>
  </si>
  <si>
    <t xml:space="preserve">创新B营销策划绩效方案</t>
  </si>
  <si>
    <t xml:space="preserve">15万元</t>
  </si>
  <si>
    <t xml:space="preserve">75.45万元</t>
  </si>
  <si>
    <t xml:space="preserve">个人有效片段完成率</t>
  </si>
  <si>
    <t xml:space="preserve">产出2条单条成交＞5w的AI素材</t>
  </si>
  <si>
    <t xml:space="preserve">OD-000819</t>
  </si>
  <si>
    <t xml:space="preserve">彭于宴</t>
  </si>
  <si>
    <t xml:space="preserve">个人GSV达成15W</t>
  </si>
  <si>
    <t xml:space="preserve">15W</t>
  </si>
  <si>
    <t xml:space="preserve">59.2W</t>
  </si>
  <si>
    <t xml:space="preserve">4条</t>
  </si>
  <si>
    <t xml:space="preserve">OD-003105</t>
  </si>
  <si>
    <t xml:space="preserve">邢维琪</t>
  </si>
  <si>
    <t xml:space="preserve">73万元</t>
  </si>
  <si>
    <t xml:space="preserve">大于70w</t>
  </si>
  <si>
    <t xml:space="preserve">小于2.05</t>
  </si>
  <si>
    <t xml:space="preserve">新增计划300条</t>
  </si>
  <si>
    <t xml:space="preserve">300个</t>
  </si>
  <si>
    <t xml:space="preserve">新建计划大于300条以上</t>
  </si>
  <si>
    <t xml:space="preserve">合作发布10个微付费KOC</t>
  </si>
  <si>
    <t xml:space="preserve">10个</t>
  </si>
  <si>
    <t xml:space="preserve">交片只有2个</t>
  </si>
  <si>
    <t xml:space="preserve">OD-004552</t>
  </si>
  <si>
    <t xml:space="preserve">邓小妹</t>
  </si>
  <si>
    <t xml:space="preserve">GSV15w</t>
  </si>
  <si>
    <t xml:space="preserve">24.6万元</t>
  </si>
  <si>
    <t xml:space="preserve">0条</t>
  </si>
  <si>
    <t xml:space="preserve">OD-008726</t>
  </si>
  <si>
    <t xml:space="preserve">王陈陈</t>
  </si>
  <si>
    <t xml:space="preserve">GSV10w</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</si>
  <si>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</si>
  <si>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</si>
  <si>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</si>
  <si>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</si>
  <si>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</si>
  <si>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</si>
  <si>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</si>
  <si>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</si>
  <si>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5万元</t>
  </si>
  <si>
    <t xml:space="preserve">0.027万元</t>
  </si>
  <si>
    <t xml:space="preserve">OD-001875</t>
  </si>
  <si>
    <t xml:space="preserve">吴培鑫</t>
  </si>
  <si>
    <t xml:space="preserve">KPI指标: GSV10w</t>
  </si>
  <si>
    <t xml:space="preserve">3.1万元</t>
  </si>
  <si>
    <t xml:space="preserve">KPI指标: 产出2条单条成交&gt;5w的AI素材</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</si>
  <si>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</si>
  <si>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</si>
  <si>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</si>
  <si>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</si>
  <si>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</si>
  <si>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</si>
  <si>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</si>
  <si>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</si>
  <si>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</si>
  <si>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2. 新方案提出-50%：例行提案20%，至少一个可落地方案总监通过30%（结合通过次数与落地时效评估）</t>
  </si>
  <si>
    <t xml:space="preserve">用户体验优化</t>
  </si>
  <si>
    <t xml:space="preserve">用户体验方案落地与持续挖掘</t>
  </si>
  <si>
    <t xml:space="preserve">设计通过，但是用户体验未进行有效落地</t>
  </si>
  <si>
    <t xml:space="preserve">1. 已明确方案-50%：（纸箱与400g外观升级）根据项目甘特图计算完成率</t>
  </si>
  <si>
    <t xml:space="preserve">可麦云柔卖点升级</t>
  </si>
  <si>
    <t xml:space="preserve">提案通过，但是缺少香味渠道测试方案</t>
  </si>
  <si>
    <t xml:space="preserve">1. 例行提案：40%</t>
  </si>
  <si>
    <t xml:space="preserve">2. 提案总监通过：60%（结合通过轮次评估）</t>
  </si>
  <si>
    <t xml:space="preserve">FD-081018</t>
  </si>
  <si>
    <t xml:space="preserve">廖佳睿</t>
  </si>
  <si>
    <t xml:space="preserve">可麦品牌宣讲会</t>
  </si>
  <si>
    <t xml:space="preserve">品牌宣讲会资料准备&amp;对齐</t>
  </si>
  <si>
    <t xml:space="preserve">确定宣讲会的结构、流程、内容，并制作讲稿&amp;ppt，与上级对齐后通过</t>
  </si>
  <si>
    <t xml:space="preserve">各端口有效宣讲</t>
  </si>
  <si>
    <t xml:space="preserve">本月在相关端口展开品牌记忆点宣讲会，建立可麦品牌统一认知。会后问卷调研对可麦品牌的了解&amp;信任度提升。</t>
  </si>
  <si>
    <t xml:space="preserve">“活参元”品牌记忆点落地&amp;监测</t>
  </si>
  <si>
    <t xml:space="preserve">统筹&amp;规划各端口落地记忆点任务</t>
  </si>
  <si>
    <t xml:space="preserve">协助端口任务资料准备，例如brief，活参元讲解图，详情页优化升级</t>
  </si>
  <si>
    <t xml:space="preserve">端口任务效果监测</t>
  </si>
  <si>
    <t xml:space="preserve">跟进端口任务落地情况（指标），本月会奢享款负评变化，评估主要优化部分的效果</t>
  </si>
  <si>
    <t xml:space="preserve">可麦香味优化</t>
  </si>
  <si>
    <t xml:space="preserve">修改现用香氛名称</t>
  </si>
  <si>
    <t xml:space="preserve">收集大家对现有香的意向，拟写更具宣传效果&amp;吸引效果的名称</t>
  </si>
  <si>
    <t xml:space="preserve">筛选出香味偏好度高&amp;与品牌宣传方向更匹配的香氛</t>
  </si>
  <si>
    <t xml:space="preserve">推动按时落地</t>
  </si>
  <si>
    <t xml:space="preserve">上级决策通过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</si>
  <si>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</si>
  <si>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</si>
  <si>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</si>
  <si>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</si>
  <si>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</si>
  <si>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</si>
  <si>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</si>
  <si>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</si>
  <si>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非主推品库存安全达标率</t>
  </si>
  <si>
    <t xml:space="preserve">针对非主推品满足基本安全库存数量</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</si>
  <si>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</si>
  <si>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1. 系统梳理一份产能分析报告：50%（上级评估质量打分），需包含：
 需求趋势：根据渠道、SKU进行评估与预测（下半年，可结合前端信息预测）；
 产能现状与待落地规划情况：原料、包材、耗材、加工厂、仓网；（要考虑到风险，比如原料版块的独有原料）
 产能扩充方向（要结合成本最优化的目标）及甘特图规划（目前明确且具体可落地执行的规划）
2. 中心内召开讨论，评估报告结论的合理性与分工：50%【参会人员打分评价】</t>
  </si>
  <si>
    <t xml:space="preserve">1. 前期调研与数据收集； 2. 报告撰写与修改； 3. 汇报。</t>
  </si>
  <si>
    <t xml:space="preserve">系统梳理产能分析报告</t>
  </si>
  <si>
    <t xml:space="preserve">中心内讨论与评估报告合理性并分工</t>
  </si>
  <si>
    <t xml:space="preserve">降本增效指标</t>
  </si>
  <si>
    <t xml:space="preserve">1. 成品-60%：与前端共同梳理消耗规划与方向。列出明确消耗规划
2. 包材-40%：沟通报废or回收（或其他方案），评估落地性</t>
  </si>
  <si>
    <t xml:space="preserve">可麦成品消耗规划</t>
  </si>
  <si>
    <t xml:space="preserve">1. 当前库存1.3万左右，主要在拼多多渠道消耗，预计一周消耗完。 2. 沪汇27.8万，消耗机制为两洗、一洗一护、两洗一护，预计8月中下旬消耗完。</t>
  </si>
  <si>
    <t xml:space="preserve">可麦包材消耗方案</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</si>
  <si>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</si>
  <si>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</si>
  <si>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</si>
  <si>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</si>
  <si>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</si>
  <si>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1. 鑫凯泵头议价（50%）：0.4—80%，0.39—90%，0.38—100%
2. 泵头换拧盖（50%）：主导三种形式的测试，验证落地可行性</t>
  </si>
  <si>
    <t xml:space="preserve">.鑫凯泵头议价0.38 2.旋盖暂停推进，千秋盖，翻盖已更新报价，设计评估效果与旋盖接近（项目统筹不够）</t>
  </si>
  <si>
    <t xml:space="preserve">鑫凯泵头议价</t>
  </si>
  <si>
    <t xml:space="preserve">0.4—80%，0.39—90%，0.38—100%</t>
  </si>
  <si>
    <t xml:space="preserve">泵头换拧盖</t>
  </si>
  <si>
    <t xml:space="preserve">主导三种形式的测试，验证落地可行性</t>
  </si>
  <si>
    <t xml:space="preserve">市场情报分析</t>
  </si>
  <si>
    <t xml:space="preserve">输出一份《核心物料供应市场分析——主要围绕包材和加工》，在中心内进行分享，并针对潜在风险发出至少一次“预警”
内容要求（70%）：
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
提出有价值的预警或机会点（30%）：
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</si>
  <si>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文档已输出 内容覆盖目前成本占比前三包材 提出纸箱锁价，塑料议价机会点</t>
  </si>
  <si>
    <t xml:space="preserve">核心物料供应市场分析——主要围绕包材和加工》内容要求</t>
  </si>
  <si>
    <t xml:space="preserve">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t>
  </si>
  <si>
    <t xml:space="preserve">提出有价值的预警或机会点</t>
  </si>
  <si>
    <t xml:space="preserve">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</si>
  <si>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</si>
  <si>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</si>
  <si>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</si>
  <si>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</si>
  <si>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</si>
  <si>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非主推品保持安全库存</t>
  </si>
  <si>
    <t xml:space="preserve">广州周边洗护加工厂开发</t>
  </si>
  <si>
    <t xml:space="preserve">1、前期建联加工厂，美续加工费单价0.5元不含运，但当前产能不满足，预计11月新厂投入使用，后续可跟进。2、新建联加工厂：鑫莹荣，产能满足，单价0.65需再度议价。3、库内供应商黄山荷秀。</t>
  </si>
  <si>
    <t xml:space="preserve">可行降本方案</t>
  </si>
  <si>
    <t xml:space="preserve">1、前期建联加工厂，美续加工费单价0.5元不含运，但当前产能不满足，预计11月新厂投入使用，后续可跟进。2、新建联加工厂：鑫莹荣，产能满足，单价0.65需再度议价。黄山荷琇和沪汇完成成本核算，有降本空间，但当前沪汇产能能满足，且降本空间不大，后续安徽有新的云仓计划或者沪汇产能受限的时候可进行继续推进开发</t>
  </si>
  <si>
    <t xml:space="preserve">方案推动率</t>
  </si>
  <si>
    <t xml:space="preserve">1、持续建联加工厂，美续、鑫莹荣当前无法推进。2、黄山荷琇和沪汇完成成本核算，有降本空间，但当前沪汇产能能满足，且降本空间不大，后续安徽有新的云仓计划或者沪汇产能受限的时候可进行继续推进开发</t>
  </si>
  <si>
    <t xml:space="preserve">魔渍墨雪积压物料消耗方案</t>
  </si>
  <si>
    <t xml:space="preserve">成品：1、开展与前端的研讨会，方向：捐赠、线下零售特惠渠道、线上特惠渠道；2、分销清货，推动完成荣庆仓库存排查，推动洗护沐状态确认与洗护沐套盒分销；3、资源置换;已梳理成品数据按照优先级对接心雨。包材：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</si>
  <si>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成品</t>
  </si>
  <si>
    <t xml:space="preserve">与前端共同梳理消耗规划与方向。列出明确消耗规划【回收处理】</t>
  </si>
  <si>
    <t xml:space="preserve">1、开展与前端的研讨会，方向：捐赠、线下零售特惠渠道、线上特惠渠道；2、分销清货，推动完成荣庆仓库存排查，推动洗护沐状态确认与洗护沐套盒分销；3、资源置换;梳理成品数据按照优先级对接心雨</t>
  </si>
  <si>
    <t xml:space="preserve">包材</t>
  </si>
  <si>
    <t xml:space="preserve">沟通原供应商报废or回收（或其他区别于供应部的方案），评估落地性</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</si>
  <si>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</si>
  <si>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</si>
  <si>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</si>
  <si>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</si>
  <si>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</si>
  <si>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</si>
  <si>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</si>
  <si>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</si>
  <si>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</si>
  <si>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关键物料安全库存达标率</t>
  </si>
  <si>
    <t xml:space="preserve">订单准时交付率</t>
  </si>
  <si>
    <t xml:space="preserve">可麦、魔渍、墨雪的包材、耗材的订单准时交付</t>
  </si>
  <si>
    <t xml:space="preserve">7月交期完成率87%，19条包材16条按期</t>
  </si>
  <si>
    <t xml:space="preserve">OD-001988</t>
  </si>
  <si>
    <t xml:space="preserve">黄林欣</t>
  </si>
  <si>
    <t xml:space="preserve">可麦独有原料监控</t>
  </si>
  <si>
    <t xml:space="preserve">资产负债表按时提交，每月物料监控有序完成</t>
  </si>
  <si>
    <t xml:space="preserve">准时提交</t>
  </si>
  <si>
    <t xml:space="preserve">原料准时交付率、成品准时交付率</t>
  </si>
  <si>
    <t xml:space="preserve">MVE试产原料延期送达，准时率95。</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</si>
  <si>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</si>
  <si>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</si>
  <si>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</si>
  <si>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</si>
  <si>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</si>
  <si>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</si>
  <si>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</si>
  <si>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达到Fando学习后可以自动出具行政财报</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</si>
  <si>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</si>
  <si>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</si>
  <si>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</si>
  <si>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</si>
  <si>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</si>
  <si>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</si>
  <si>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</si>
  <si>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</si>
  <si>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利润额目标完成率【达播】</t>
  </si>
  <si>
    <t xml:space="preserve">WIS达播利润额</t>
  </si>
  <si>
    <t xml:space="preserve">300000元</t>
  </si>
  <si>
    <t xml:space="preserve">-242441.3744元</t>
  </si>
  <si>
    <t xml:space="preserve">新开拓积分目标完成率【达播】</t>
  </si>
  <si>
    <t xml:space="preserve">新拓达人上播积分</t>
  </si>
  <si>
    <t xml:space="preserve">5分</t>
  </si>
  <si>
    <t xml:space="preserve">4分</t>
  </si>
  <si>
    <t xml:space="preserve">FD-154390</t>
  </si>
  <si>
    <t xml:space="preserve">慎轩</t>
  </si>
  <si>
    <t xml:space="preserve">赫系达播GSV</t>
  </si>
  <si>
    <t xml:space="preserve">400000元</t>
  </si>
  <si>
    <t xml:space="preserve">99500.76元</t>
  </si>
  <si>
    <t xml:space="preserve">赫系达播利润额</t>
  </si>
  <si>
    <t xml:space="preserve">48000元</t>
  </si>
  <si>
    <t xml:space="preserve">0元</t>
  </si>
  <si>
    <t xml:space="preserve">0.7分</t>
  </si>
  <si>
    <t xml:space="preserve">FD-058439</t>
  </si>
  <si>
    <t xml:space="preserve">赵麒翔</t>
  </si>
  <si>
    <t xml:space="preserve">KONO销售额</t>
  </si>
  <si>
    <t xml:space="preserve">650000元</t>
  </si>
  <si>
    <t xml:space="preserve">731596.7元</t>
  </si>
  <si>
    <t xml:space="preserve">KONO达播利润额</t>
  </si>
  <si>
    <t xml:space="preserve">58500元</t>
  </si>
  <si>
    <t xml:space="preserve">197075.5961元</t>
  </si>
  <si>
    <t xml:space="preserve">2分</t>
  </si>
  <si>
    <t xml:space="preserve">FD-054520</t>
  </si>
  <si>
    <t xml:space="preserve">商务PR</t>
  </si>
  <si>
    <t xml:space="preserve">李暄</t>
  </si>
  <si>
    <t xml:space="preserve">赫系GSV</t>
  </si>
  <si>
    <t xml:space="preserve">500000元</t>
  </si>
  <si>
    <t xml:space="preserve">400059.93元</t>
  </si>
  <si>
    <t xml:space="preserve">赫系利润额</t>
  </si>
  <si>
    <t xml:space="preserve">60000元</t>
  </si>
  <si>
    <t xml:space="preserve">94286.92472元</t>
  </si>
  <si>
    <t xml:space="preserve">新开拓达人上播积分</t>
  </si>
  <si>
    <t xml:space="preserve">3分</t>
  </si>
  <si>
    <t xml:space="preserve">2.5分</t>
  </si>
  <si>
    <t xml:space="preserve">FD-052083</t>
  </si>
  <si>
    <t xml:space="preserve">许敏丽</t>
  </si>
  <si>
    <t xml:space="preserve">KONO达播GSV</t>
  </si>
  <si>
    <t xml:space="preserve">260626.5元</t>
  </si>
  <si>
    <t xml:space="preserve">36000元</t>
  </si>
  <si>
    <t xml:space="preserve">22618.14782元</t>
  </si>
  <si>
    <t xml:space="preserve">FD-061817</t>
  </si>
  <si>
    <t xml:space="preserve">付文雅</t>
  </si>
  <si>
    <t xml:space="preserve">201714元</t>
  </si>
  <si>
    <t xml:space="preserve">65000元</t>
  </si>
  <si>
    <t xml:space="preserve">-15281.31802元</t>
  </si>
  <si>
    <t xml:space="preserve">FD-067782</t>
  </si>
  <si>
    <t xml:space="preserve">劳浩桓</t>
  </si>
  <si>
    <t xml:space="preserve">赫系&amp;WIS达播GSV</t>
  </si>
  <si>
    <t xml:space="preserve">100000元</t>
  </si>
  <si>
    <t xml:space="preserve">50475.3元</t>
  </si>
  <si>
    <t xml:space="preserve">赫系&amp;WIS达播利润额</t>
  </si>
  <si>
    <t xml:space="preserve">16000元</t>
  </si>
  <si>
    <t xml:space="preserve">-1030.528728元</t>
  </si>
  <si>
    <t xml:space="preserve">1.2分</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</si>
  <si>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</si>
  <si>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</si>
  <si>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</si>
  <si>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</si>
  <si>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</si>
  <si>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</si>
  <si>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</si>
  <si>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利润额目标完成率【日播】</t>
  </si>
  <si>
    <t xml:space="preserve">赫系日播利润额</t>
  </si>
  <si>
    <t xml:space="preserve">512806.4522元</t>
  </si>
  <si>
    <t xml:space="preserve">新开拓任务完成率【日播】</t>
  </si>
  <si>
    <t xml:space="preserve">新拓日播机构数量</t>
  </si>
  <si>
    <t xml:space="preserve">FD-060719</t>
  </si>
  <si>
    <t xml:space="preserve">郑若蓥</t>
  </si>
  <si>
    <t xml:space="preserve">WIS日播GSV</t>
  </si>
  <si>
    <t xml:space="preserve">1300000元</t>
  </si>
  <si>
    <t xml:space="preserve">1169390元</t>
  </si>
  <si>
    <t xml:space="preserve">WIS日播利润额</t>
  </si>
  <si>
    <t xml:space="preserve">91000元</t>
  </si>
  <si>
    <t xml:space="preserve">47663.32157元</t>
  </si>
  <si>
    <t xml:space="preserve">FD-057312</t>
  </si>
  <si>
    <t xml:space="preserve">张子晗</t>
  </si>
  <si>
    <t xml:space="preserve">组长绩效考核方案V3</t>
  </si>
  <si>
    <t xml:space="preserve">GSV目标完成率【组长】</t>
  </si>
  <si>
    <t xml:space="preserve">1500000元</t>
  </si>
  <si>
    <t xml:space="preserve">1368869元</t>
  </si>
  <si>
    <t xml:space="preserve">利润额目标完成率【组长】</t>
  </si>
  <si>
    <t xml:space="preserve">KONO利润额</t>
  </si>
  <si>
    <t xml:space="preserve">115000元</t>
  </si>
  <si>
    <t xml:space="preserve">77204元</t>
  </si>
  <si>
    <t xml:space="preserve">战略专项目标完成率【组长】</t>
  </si>
  <si>
    <t xml:space="preserve">抖音/视频号/小红书新拓产出</t>
  </si>
  <si>
    <t xml:space="preserve">200000元</t>
  </si>
  <si>
    <t xml:space="preserve">169156.51元</t>
  </si>
  <si>
    <t xml:space="preserve">FD-050397</t>
  </si>
  <si>
    <t xml:space="preserve">肖茹梦</t>
  </si>
  <si>
    <t xml:space="preserve">赫系销售额</t>
  </si>
  <si>
    <t xml:space="preserve">4500000元</t>
  </si>
  <si>
    <t xml:space="preserve">4757312.708元</t>
  </si>
  <si>
    <t xml:space="preserve">679793.1714元</t>
  </si>
  <si>
    <t xml:space="preserve">打品产出</t>
  </si>
  <si>
    <t xml:space="preserve">15240.7元</t>
  </si>
  <si>
    <t xml:space="preserve">FD-055641</t>
  </si>
  <si>
    <t xml:space="preserve">戴琼瑶</t>
  </si>
  <si>
    <t xml:space="preserve">WIS销售额</t>
  </si>
  <si>
    <t xml:space="preserve">2500000元</t>
  </si>
  <si>
    <t xml:space="preserve">1759105元</t>
  </si>
  <si>
    <t xml:space="preserve">WIS小组利润额</t>
  </si>
  <si>
    <t xml:space="preserve">175000元</t>
  </si>
  <si>
    <t xml:space="preserve">268737.43元</t>
  </si>
  <si>
    <t xml:space="preserve">落地一场专场，品牌利润率&gt;0%</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</si>
  <si>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</si>
  <si>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</si>
  <si>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</si>
  <si>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</si>
  <si>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</si>
  <si>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</si>
  <si>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</si>
  <si>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有效建议数</t>
  </si>
  <si>
    <t xml:space="preserve">建议内容：IRY敏感词汇表、合规标准统一梳理、共识</t>
  </si>
  <si>
    <t xml:space="preserve">风险识别有效率</t>
  </si>
  <si>
    <t xml:space="preserve">1. IRY支付宝走私人账号问题</t>
  </si>
  <si>
    <t xml:space="preserve">内控检查覆盖率</t>
  </si>
  <si>
    <t xml:space="preserve">检查内控点数量</t>
  </si>
  <si>
    <t xml:space="preserve">20个</t>
  </si>
  <si>
    <t xml:space="preserve">季度汇报文档评分</t>
  </si>
  <si>
    <t xml:space="preserve">季度报告文档</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</si>
  <si>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</si>
  <si>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</si>
  <si>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</si>
  <si>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</si>
  <si>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</si>
  <si>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</si>
  <si>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</si>
  <si>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</si>
  <si>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</si>
  <si>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战略项目完成率</t>
  </si>
  <si>
    <t xml:space="preserve">人资行政部根数据初版验收与存储</t>
  </si>
  <si>
    <t xml:space="preserve">除薪酬等敏感信息外，已完成存储与验收</t>
  </si>
  <si>
    <t xml:space="preserve">所负责部门营业额完成率</t>
  </si>
  <si>
    <t xml:space="preserve">营业额目标20195.0万</t>
  </si>
  <si>
    <t xml:space="preserve">28008.0万</t>
  </si>
  <si>
    <t xml:space="preserve">共识传播指标</t>
  </si>
  <si>
    <t xml:space="preserve">所负责部门AI化程度</t>
  </si>
  <si>
    <t xml:space="preserve">因目前AI化评估分数暂未出，AI化评估数据取自7月21日公布的结果，目标取自评估第一名分数（51.47分）：赫系31.2分，市场27.26分，人资22.91分，新品牌15分，KONO31.3分，均分25.5</t>
  </si>
  <si>
    <t xml:space="preserve">FD-010340</t>
  </si>
  <si>
    <t xml:space="preserve">总经理助理</t>
  </si>
  <si>
    <t xml:space="preserve">王伊瑄</t>
  </si>
  <si>
    <t xml:space="preserve">高管团建</t>
  </si>
  <si>
    <t xml:space="preserve">落地总经办Skill技能大赛</t>
  </si>
  <si>
    <t xml:space="preserve">已完成4个中心落地和部门赛举办</t>
  </si>
  <si>
    <t xml:space="preserve">交付稳定、高质、可复用的文章视频化skill</t>
  </si>
  <si>
    <t xml:space="preserve">仅完成了PPT风（一键把文档转有配音、有动效的视频）；AI数字人风未完成，【待请款libtv】</t>
  </si>
  <si>
    <t xml:space="preserve">关键工作闭环执行率</t>
  </si>
  <si>
    <t xml:space="preserve">根数据建设（投资/公关/wteam 共同）
1条AI视频精品（公关模块）</t>
  </si>
  <si>
    <t xml:space="preserve">AI视频精品未完成；根数据，公关和投资完成逐字稿梳理，公关完成根数据整理，其余均未完成</t>
  </si>
  <si>
    <t xml:space="preserve">FD-046307</t>
  </si>
  <si>
    <t xml:space="preserve">李奥宇</t>
  </si>
  <si>
    <t xml:space="preserve">有效决议梳理</t>
  </si>
  <si>
    <t xml:space="preserve">助理团队能力及凝聚力提升方案</t>
  </si>
  <si>
    <t xml:space="preserve">助理体系的AI工作流优化方案</t>
  </si>
  <si>
    <t xml:space="preserve">FD-179378</t>
  </si>
  <si>
    <t xml:space="preserve">顾问</t>
  </si>
  <si>
    <t xml:space="preserve">高璐</t>
  </si>
  <si>
    <t xml:space="preserve">1. 根数据品牌营销完成应用</t>
  </si>
  <si>
    <t xml:space="preserve">存储调用不达预期, 未全部完成</t>
  </si>
  <si>
    <t xml:space="preserve">ODI 启动</t>
  </si>
  <si>
    <t xml:space="preserve">完成启动，团队组建，建联律所，中介机构，盘活已交7万预付款，明确项目风险</t>
  </si>
  <si>
    <t xml:space="preserve">海外正清启动并制定明确计划</t>
  </si>
  <si>
    <t xml:space="preserve">启动正清，推动共识100% 合规，建立工作排期，拉群推动</t>
  </si>
  <si>
    <t xml:space="preserve">AI 通用课程设置</t>
  </si>
  <si>
    <t xml:space="preserve">共识通用课程安排，8月8日全公司AI 通用培训</t>
  </si>
  <si>
    <t xml:space="preserve">Skill 开发可复用</t>
  </si>
  <si>
    <t xml:space="preserve">搭建 business update skill， 自动抓取会议逐字稿，总结，价值判断，预警，支持每周工作更新</t>
  </si>
  <si>
    <t xml:space="preserve">所负责部门KPI完成率</t>
  </si>
  <si>
    <t xml:space="preserve">部门KPI</t>
  </si>
  <si>
    <t xml:space="preserve">供应部 1.28 研究院 1.36 凡岛大学 0.89 AI 效率流程部 0.82 IRY 1.14 财务部 0.56  平均 1.01</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</si>
  <si>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</si>
  <si>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</si>
  <si>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</si>
  <si>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</si>
  <si>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三个营销部门根数据试点
部门AI化程度评估体系
WIS AI IP形象落地+ WIS 中文名</t>
  </si>
  <si>
    <t xml:space="preserve">三个营销部门根数据试点：未完成应用80%；部门AI化程度评估体：7月目标完成100%；WIS AI IP形象落地+ WIS 中文名:90%</t>
  </si>
  <si>
    <t xml:space="preserve">跟进营销部门AI教学博主视频学习
AI效率流程部实操研讨会落地</t>
  </si>
  <si>
    <t xml:space="preserve">跟进营销部门AI教学博主视频学习：三部门均落地2门以上；AI效率流程部实操研讨会落地：完成。</t>
  </si>
  <si>
    <t xml:space="preserve">有效可复用的skill数量</t>
  </si>
  <si>
    <t xml:space="preserve">关键工作自动抓取；定计划准备文档</t>
  </si>
  <si>
    <t xml:space="preserve">所负责部门营业完成率</t>
  </si>
  <si>
    <t xml:space="preserve">目标：212486000，实际：226476582</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</si>
  <si>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</si>
  <si>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</si>
  <si>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</si>
  <si>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</si>
  <si>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电商、线下、海外三部门营业额完成率</t>
  </si>
  <si>
    <t xml:space="preserve">具体评分参考附件，低于80%的部门已乘系数</t>
  </si>
  <si>
    <t xml:space="preserve">产品AI工作流梳理及中枢平台构建-阶段1：构建符合业务需求的工作流及平台框架，上线可用</t>
  </si>
  <si>
    <t xml:space="preserve">产品AI工作流及中枢平台超额完成阶段性目标，已搭建产品经理可使用的平台且框架完整：元造AI产品智造平台项目文档如附件所示 平台线上版本链接：https://app.fandow.top/fd-076406/yuanzao-platform/；该平台完整度及开发进度领先于盘古平台，后续会与盘古平台进行功能整合，并构建公司统一产品工作流系统</t>
  </si>
  <si>
    <t xml:space="preserve">赫系电商渠道增长率达到10%</t>
  </si>
  <si>
    <t xml:space="preserve">从部门7月KPI表格中取数</t>
  </si>
  <si>
    <t xml:space="preserve">线下OTO渠道拓展方案完稿</t>
  </si>
  <si>
    <t xml:space="preserve">OTO渠道拓展方案已完成，且与部门总监核对，待8月与黎总进行共识</t>
  </si>
  <si>
    <t xml:space="preserve">电商渠道双十一全链路运营方案优化</t>
  </si>
  <si>
    <t xml:space="preserve">电商渠道双十一全链路运营方案完稿并与电商发展部总监共识</t>
  </si>
  <si>
    <t xml:space="preserve">线上分销拓展高级经理到岗及渠道运作流程初步构建</t>
  </si>
  <si>
    <t xml:space="preserve">线上分销拓展高级经理已到岗并完成渠道运作流程初步梳理，已完成测算分销财务模型，渠道授权开店，供应链出货等流程构建</t>
  </si>
  <si>
    <t xml:space="preserve">完成1门针对业务部门的AI优质课程（评分大于4.7分）</t>
  </si>
  <si>
    <t xml:space="preserve">线下1门AI培训达到优质课程标准，具体参看凡岛大学确认，最终得分5.0分</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</si>
  <si>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</si>
  <si>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</si>
  <si>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</si>
  <si>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</si>
  <si>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</si>
  <si>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</si>
  <si>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</si>
  <si>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</si>
  <si>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</si>
  <si>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</si>
  <si>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</si>
  <si>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</si>
  <si>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</si>
  <si>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</si>
  <si>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</si>
  <si>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</si>
  <si>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</si>
  <si>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</si>
  <si>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</si>
  <si>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</si>
  <si>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</si>
  <si>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</si>
  <si>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</si>
  <si>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</si>
  <si>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</si>
  <si>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</si>
  <si>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</si>
  <si>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</si>
  <si>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</si>
  <si>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</si>
  <si>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</si>
  <si>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</si>
  <si>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</si>
  <si>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</si>
  <si>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</si>
  <si>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</si>
  <si>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</si>
  <si>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</si>
  <si>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</si>
  <si>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27届校招物料：完成8月做货前置准备</t>
  </si>
  <si>
    <t xml:space="preserve">已完成除岗位需求外所有物料输出</t>
  </si>
  <si>
    <t xml:space="preserve">两/三方签约or转正实习</t>
  </si>
  <si>
    <t xml:space="preserve">转正实习研发实习生面试通过4人或接受1人</t>
  </si>
  <si>
    <t xml:space="preserve">0.5人</t>
  </si>
  <si>
    <t xml:space="preserve">面试通过1人，部门需求取消</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</si>
  <si>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</si>
  <si>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</si>
  <si>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</si>
  <si>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</si>
  <si>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</si>
  <si>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其他关键工作</t>
  </si>
  <si>
    <t xml:space="preserve">海外mapping</t>
  </si>
  <si>
    <t xml:space="preserve">OD-006463</t>
  </si>
  <si>
    <t xml:space="preserve">郭万玥</t>
  </si>
  <si>
    <t xml:space="preserve">社招：视频编辑入职2 市场入职1</t>
  </si>
  <si>
    <t xml:space="preserve">2.5个</t>
  </si>
  <si>
    <t xml:space="preserve">1.1个</t>
  </si>
  <si>
    <t xml:space="preserve">视频编辑入职1</t>
  </si>
  <si>
    <t xml:space="preserve">OD招聘</t>
  </si>
  <si>
    <t xml:space="preserve">营销策划6 合规1</t>
  </si>
  <si>
    <t xml:space="preserve">7个</t>
  </si>
  <si>
    <t xml:space="preserve">合规专员入职1 营销策划入职2</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</si>
  <si>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</si>
  <si>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</si>
  <si>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</si>
  <si>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</si>
  <si>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</si>
  <si>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</si>
  <si>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电商发展部-电商经理京东渠道-终面4个</t>
  </si>
  <si>
    <t xml:space="preserve">电商经理-京东渠道-李逸浩；完成终面，但未通过</t>
  </si>
  <si>
    <t xml:space="preserve">OD-004025</t>
  </si>
  <si>
    <t xml:space="preserve">雷雅燕</t>
  </si>
  <si>
    <t xml:space="preserve">AIBP入职1 产品设计师到面4 从化人资入职0.5</t>
  </si>
  <si>
    <t xml:space="preserve">5.5个</t>
  </si>
  <si>
    <t xml:space="preserve">无</t>
  </si>
  <si>
    <t xml:space="preserve">OD招聘5个 营销策划 合规专员1个</t>
  </si>
  <si>
    <t xml:space="preserve">营销策划入职2</t>
  </si>
  <si>
    <t xml:space="preserve">FD-154287</t>
  </si>
  <si>
    <t xml:space="preserve">招聘BP</t>
  </si>
  <si>
    <t xml:space="preserve">涂欣瑶</t>
  </si>
  <si>
    <t xml:space="preserve">OD岗位招聘完成率85%</t>
  </si>
  <si>
    <t xml:space="preserve">OD岗位共入职48人，需求数共56人。</t>
  </si>
  <si>
    <t xml:space="preserve">日常实习生招聘</t>
  </si>
  <si>
    <t xml:space="preserve">日常实习生招聘完成率90%</t>
  </si>
  <si>
    <t xml:space="preserve">日常实习共入职10，需求发起时间早于7月25日的需求数为12</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</si>
  <si>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</si>
  <si>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</si>
  <si>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</si>
  <si>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</si>
  <si>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</si>
  <si>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</si>
  <si>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</si>
  <si>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线下赫系开拓KA/CS/新零售/零食店/便利店等系统（门店不少于5家）数、代理商/服务商，以出货为准</t>
  </si>
  <si>
    <t xml:space="preserve">POS目标完成率</t>
  </si>
  <si>
    <t xml:space="preserve">线下赫系入驻系统活动落地场次（系统门店数需≥5）</t>
  </si>
  <si>
    <t xml:space="preserve">4次</t>
  </si>
  <si>
    <t xml:space="preserve">11次</t>
  </si>
  <si>
    <t xml:space="preserve">出货目标完成率</t>
  </si>
  <si>
    <t xml:space="preserve">月度营收</t>
  </si>
  <si>
    <t xml:space="preserve">58万</t>
  </si>
  <si>
    <t xml:space="preserve">39.1万</t>
  </si>
  <si>
    <t xml:space="preserve">利润【额】目标达成率</t>
  </si>
  <si>
    <t xml:space="preserve">利润额</t>
  </si>
  <si>
    <t xml:space="preserve">-10万</t>
  </si>
  <si>
    <t xml:space="preserve">-14.9万</t>
  </si>
  <si>
    <t xml:space="preserve">FD-071235</t>
  </si>
  <si>
    <t xml:space="preserve">线下渠道部-KONO-KONO销售A中心-华中区</t>
  </si>
  <si>
    <t xml:space="preserve">零售高级经理</t>
  </si>
  <si>
    <t xml:space="preserve">夏雨</t>
  </si>
  <si>
    <t xml:space="preserve">当月出货金额（包含当月产生的新品上新、夏季活动对应营收金额）</t>
  </si>
  <si>
    <t xml:space="preserve">140W</t>
  </si>
  <si>
    <t xml:space="preserve">114.7W</t>
  </si>
  <si>
    <t xml:space="preserve">W</t>
  </si>
  <si>
    <t xml:space="preserve">夏季活动相关出货金额</t>
  </si>
  <si>
    <t xml:space="preserve">30W</t>
  </si>
  <si>
    <t xml:space="preserve">112.9W</t>
  </si>
  <si>
    <t xml:space="preserve">-10W</t>
  </si>
  <si>
    <t xml:space="preserve">-32.2W</t>
  </si>
  <si>
    <t xml:space="preserve">季返/年返签订金额达成率</t>
  </si>
  <si>
    <t xml:space="preserve">Q3季返签订金额</t>
  </si>
  <si>
    <t xml:space="preserve">450W</t>
  </si>
  <si>
    <t xml:space="preserve">490W</t>
  </si>
  <si>
    <t xml:space="preserve">FD-076917</t>
  </si>
  <si>
    <t xml:space="preserve">线下渠道部-WIS-WIS销售A中心-西南区</t>
  </si>
  <si>
    <t xml:space="preserve">任轩</t>
  </si>
  <si>
    <t xml:space="preserve">126万元</t>
  </si>
  <si>
    <t xml:space="preserve">917000万元</t>
  </si>
  <si>
    <t xml:space="preserve">账期客户回款完成率</t>
  </si>
  <si>
    <t xml:space="preserve">134.9万元</t>
  </si>
  <si>
    <t xml:space="preserve">43.8万元</t>
  </si>
  <si>
    <t xml:space="preserve">利润【率】目标达成率</t>
  </si>
  <si>
    <t xml:space="preserve">夏日活动提报3个</t>
  </si>
  <si>
    <t xml:space="preserve">月度关键工作达成率</t>
  </si>
  <si>
    <t xml:space="preserve">新品出货5000</t>
  </si>
  <si>
    <t xml:space="preserve">0.5万元</t>
  </si>
  <si>
    <t xml:space="preserve">0万元</t>
  </si>
  <si>
    <t xml:space="preserve">FD-077316</t>
  </si>
  <si>
    <t xml:space="preserve">线下渠道部-KONO-KONO销售A中心-西南区</t>
  </si>
  <si>
    <t xml:space="preserve">张莹</t>
  </si>
  <si>
    <t xml:space="preserve">230万</t>
  </si>
  <si>
    <t xml:space="preserve">131.9万</t>
  </si>
  <si>
    <t xml:space="preserve">-13万</t>
  </si>
  <si>
    <t xml:space="preserve">-260000万</t>
  </si>
  <si>
    <t xml:space="preserve">Q3</t>
  </si>
  <si>
    <t xml:space="preserve">750万</t>
  </si>
  <si>
    <t xml:space="preserve">680万</t>
  </si>
  <si>
    <t xml:space="preserve">60万</t>
  </si>
  <si>
    <t xml:space="preserve">100.1万</t>
  </si>
  <si>
    <t xml:space="preserve">FD-074107</t>
  </si>
  <si>
    <t xml:space="preserve">线下渠道部-WIS-WIS销售B中心</t>
  </si>
  <si>
    <t xml:space="preserve">华珊</t>
  </si>
  <si>
    <t xml:space="preserve">300万</t>
  </si>
  <si>
    <t xml:space="preserve">278.7万</t>
  </si>
  <si>
    <t xml:space="preserve">新品出货金额</t>
  </si>
  <si>
    <t xml:space="preserve">4.2万</t>
  </si>
  <si>
    <t xml:space="preserve">29317.15万</t>
  </si>
  <si>
    <t xml:space="preserve">开拓新签目标达成率</t>
  </si>
  <si>
    <t xml:space="preserve">开拓新签</t>
  </si>
  <si>
    <t xml:space="preserve">FD-072100</t>
  </si>
  <si>
    <t xml:space="preserve">线下渠道部-渠道运作中心</t>
  </si>
  <si>
    <t xml:space="preserve">中台战略负责人</t>
  </si>
  <si>
    <t xml:space="preserve">白茜</t>
  </si>
  <si>
    <t xml:space="preserve">-72.6万元</t>
  </si>
  <si>
    <t xml:space="preserve">-146万元</t>
  </si>
  <si>
    <t xml:space="preserve">WIS新品出货额</t>
  </si>
  <si>
    <t xml:space="preserve">5.7万元</t>
  </si>
  <si>
    <t xml:space="preserve">4.18万元</t>
  </si>
  <si>
    <t xml:space="preserve">输出线下KONO新零售新品上市政策方案</t>
  </si>
  <si>
    <t xml:space="preserve">OTO服务商合作方案确定、货盘和预开拓目标客户确认、合作合同签署、投流运营方案确认</t>
  </si>
  <si>
    <t xml:space="preserve">商务团队专业技能考核按规划完成</t>
  </si>
  <si>
    <t xml:space="preserve">FD-075526</t>
  </si>
  <si>
    <t xml:space="preserve">线下渠道部-WIS-WIS销售A中心-华东区</t>
  </si>
  <si>
    <t xml:space="preserve">夏星泽</t>
  </si>
  <si>
    <t xml:space="preserve">168万元</t>
  </si>
  <si>
    <t xml:space="preserve">1030000万元</t>
  </si>
  <si>
    <t xml:space="preserve">278.3万元</t>
  </si>
  <si>
    <t xml:space="preserve">959000万元</t>
  </si>
  <si>
    <t xml:space="preserve">夏季活动提报系统</t>
  </si>
  <si>
    <t xml:space="preserve">FD-071553</t>
  </si>
  <si>
    <t xml:space="preserve">线下渠道部-KONO-KONO销售B中心</t>
  </si>
  <si>
    <t xml:space="preserve">李慧琳</t>
  </si>
  <si>
    <t xml:space="preserve">140万元</t>
  </si>
  <si>
    <t xml:space="preserve">103.4万元</t>
  </si>
  <si>
    <t xml:space="preserve">-30万元</t>
  </si>
  <si>
    <t xml:space="preserve">-19.5万元</t>
  </si>
  <si>
    <t xml:space="preserve">开拓系统2个</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</si>
  <si>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</si>
  <si>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</si>
  <si>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</si>
  <si>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</si>
  <si>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</si>
  <si>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</si>
  <si>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</si>
  <si>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cs渠道客户开拓</t>
  </si>
  <si>
    <t xml:space="preserve">利润率</t>
  </si>
  <si>
    <t xml:space="preserve">季度目标签订完成率</t>
  </si>
  <si>
    <t xml:space="preserve">150万元</t>
  </si>
  <si>
    <t xml:space="preserve">1250000万元</t>
  </si>
  <si>
    <t xml:space="preserve">FD-070181</t>
  </si>
  <si>
    <t xml:space="preserve">线下渠道部-WIS-WIS销售A中心-华南区</t>
  </si>
  <si>
    <t xml:space="preserve">梁倩雯</t>
  </si>
  <si>
    <t xml:space="preserve">160万元</t>
  </si>
  <si>
    <t xml:space="preserve">80.5万元</t>
  </si>
  <si>
    <t xml:space="preserve">91.3万元</t>
  </si>
  <si>
    <t xml:space="preserve">98.7万元</t>
  </si>
  <si>
    <t xml:space="preserve">夏季活动提报系统数量</t>
  </si>
  <si>
    <t xml:space="preserve">新品出货金额（夏季活动的三款）</t>
  </si>
  <si>
    <t xml:space="preserve">5000元</t>
  </si>
  <si>
    <t xml:space="preserve">7628.5元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</si>
  <si>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</si>
  <si>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</si>
  <si>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</si>
  <si>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</si>
  <si>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利润率目标达到2%</t>
  </si>
  <si>
    <t xml:space="preserve">收入达103.5万</t>
  </si>
  <si>
    <t xml:space="preserve">FD-072096</t>
  </si>
  <si>
    <t xml:space="preserve">许颖欣</t>
  </si>
  <si>
    <t xml:space="preserve">出货</t>
  </si>
  <si>
    <t xml:space="preserve">85万</t>
  </si>
  <si>
    <t xml:space="preserve">56.6万</t>
  </si>
  <si>
    <t xml:space="preserve">名创/永辉上新一款SKU</t>
  </si>
  <si>
    <t xml:space="preserve">孩子王出货</t>
  </si>
  <si>
    <t xml:space="preserve">FD-071008</t>
  </si>
  <si>
    <t xml:space="preserve">大客户商务经理</t>
  </si>
  <si>
    <t xml:space="preserve">付昭华</t>
  </si>
  <si>
    <t xml:space="preserve">POS</t>
  </si>
  <si>
    <t xml:space="preserve">134.5万</t>
  </si>
  <si>
    <t xml:space="preserve">129.1万</t>
  </si>
  <si>
    <t xml:space="preserve">完成1个新客户开拓并出货
KR1:建联新客户并完成政策洽谈30%
KR2:确认合同条款并完成合同签订30%
KR3:完成新品建档并出货40%</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</si>
  <si>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</si>
  <si>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</si>
  <si>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</si>
  <si>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</si>
  <si>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</si>
  <si>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</si>
  <si>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</si>
  <si>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</si>
  <si>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</si>
  <si>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报废控制-QE-20260420</t>
  </si>
  <si>
    <t xml:space="preserve">每月报废金额控制目标在0元</t>
  </si>
  <si>
    <t xml:space="preserve">供应商优质率-QE-20260420</t>
  </si>
  <si>
    <t xml:space="preserve">每月供应商评级为A级和B级的供应商数量总和/每月参与评级供应商数量总和</t>
  </si>
  <si>
    <t xml:space="preserve">关键项目完成率</t>
  </si>
  <si>
    <t xml:space="preserve">每月进行重点项目任务评分与目标评分的占比</t>
  </si>
  <si>
    <t xml:space="preserve">9.5分</t>
  </si>
  <si>
    <t xml:space="preserve">FD-098323</t>
  </si>
  <si>
    <t xml:space="preserve">何建杰</t>
  </si>
  <si>
    <t xml:space="preserve">部门全面合规 30%
眼部资质、屈臣氏资质申办 20%
中心培训 10%
工厂质量提升 20%
假货追溯及一体码设备优化 20%</t>
  </si>
  <si>
    <t xml:space="preserve">部门全面合规30%--7.7 眼部资质、屈臣氏资质申办20%--7.075 中心培训10%--7.168 工厂质量提升20%--7.225 假货追溯及一体码设备优化项目20%--7.82</t>
  </si>
  <si>
    <t xml:space="preserve">异常新增管理</t>
  </si>
  <si>
    <t xml:space="preserve">异常1份</t>
  </si>
  <si>
    <t xml:space="preserve">报废金额控制</t>
  </si>
  <si>
    <t xml:space="preserve">0元元</t>
  </si>
  <si>
    <t xml:space="preserve">报废金额为0</t>
  </si>
  <si>
    <t xml:space="preserve">供应商优质率</t>
  </si>
  <si>
    <t xml:space="preserve">C级供应商为0，优质率100%</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</si>
  <si>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</si>
  <si>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</si>
  <si>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</si>
  <si>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</si>
  <si>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</si>
  <si>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品控负评率20260420</t>
  </si>
  <si>
    <t xml:space="preserve">负责WIS品牌负评率，处理存在/激增的质量异常问题</t>
  </si>
  <si>
    <t xml:space="preserve">1.18%%</t>
  </si>
  <si>
    <t xml:space="preserve">质量监督贡献率20260420</t>
  </si>
  <si>
    <t xml:space="preserve">对当月做货超20批的加工厂进行现场监督，发现并解决质量异常问题，保证产品质量</t>
  </si>
  <si>
    <t xml:space="preserve">平均：6.525 个人：6.24 贡献率：95.6%</t>
  </si>
  <si>
    <t xml:space="preserve">0异常-QA-20260420</t>
  </si>
  <si>
    <t xml:space="preserve">部门关键项目，降低/杜绝物料流通过程中的质量异常——每月原料模块无异常</t>
  </si>
  <si>
    <t xml:space="preserve">新增一款异常，由品控抽检发现，不计入异常</t>
  </si>
  <si>
    <t xml:space="preserve">匹配部门 / 中心的核心目标 / 痛点，支撑部门/中心核心工作推进</t>
  </si>
  <si>
    <t xml:space="preserve">FD-092929</t>
  </si>
  <si>
    <t xml:space="preserve">肖承祥</t>
  </si>
  <si>
    <t xml:space="preserve">包材板块0异常</t>
  </si>
  <si>
    <t xml:space="preserve">包括质量监督过程中通过检验报告审核、批记录审核、现场监督等形式发现的异常及已解决、待解决的部分。</t>
  </si>
  <si>
    <t xml:space="preserve">现场监督实际贡献率：108.794336593198%</t>
  </si>
  <si>
    <t xml:space="preserve">1、负评率=所包含维度负评数/评价总数
2、单品牌负评完成率=100%+（当月目标负评率-当月实际负评率）/当月目标负评率=得分</t>
  </si>
  <si>
    <t xml:space="preserve">1.497%%%%</t>
  </si>
  <si>
    <t xml:space="preserve">KONO7月负评率=1.51%，目标值=3%。实际完成完成率149.7%</t>
  </si>
  <si>
    <t xml:space="preserve">KONO≥40%</t>
  </si>
  <si>
    <t xml:space="preserve">合计5条，剩余3条为控油香氛200g、祛屑奢享4连包、控油奢护4连包 待处理，8月争取处理完结；已完成2条质量异常锁库</t>
  </si>
  <si>
    <t xml:space="preserve">凡岛工厂质量提升 30%
塑料周转箱项目10%
FANDO项目开发40%
KONO去收膜研究20%</t>
  </si>
  <si>
    <t xml:space="preserve">凡岛工厂质量提升 30%7.225 塑料周转箱项目10%7 FANDO项目开发40%8.075 KONO去收膜研究20%7.55</t>
  </si>
  <si>
    <t xml:space="preserve">FD-098166</t>
  </si>
  <si>
    <t xml:space="preserve">李巧丽</t>
  </si>
  <si>
    <t xml:space="preserve">抽检完成率-驻外/OD-20260420</t>
  </si>
  <si>
    <t xml:space="preserve">纸箱抽检完成率</t>
  </si>
  <si>
    <t xml:space="preserve">42/42=100%</t>
  </si>
  <si>
    <t xml:space="preserve">质量问题检出率-驻外-20260420</t>
  </si>
  <si>
    <t xml:space="preserve">纸箱</t>
  </si>
  <si>
    <t xml:space="preserve">16/42=30.95%</t>
  </si>
  <si>
    <t xml:space="preserve">库内成品</t>
  </si>
  <si>
    <t xml:space="preserve">15/62=24.19%</t>
  </si>
  <si>
    <t xml:space="preserve">库内异常锁库完结率≥30%</t>
  </si>
  <si>
    <t xml:space="preserve">12/34=35.29%</t>
  </si>
  <si>
    <t xml:space="preserve">按照绩效方案要求推进</t>
  </si>
  <si>
    <t xml:space="preserve">人均：6.525 个人得分：7.099 贡献率=108.79%</t>
  </si>
  <si>
    <t xml:space="preserve">库内赠品排查 25%
塑料周转箱替代专项 25%
加工厂打码质量排查 25%
打包方式排查与更新 25%</t>
  </si>
  <si>
    <t xml:space="preserve">87.48%%</t>
  </si>
  <si>
    <t xml:space="preserve">（7.425*0.25+7.2*0.25+7*0.25+7*0.25）*1.1/9=87.47%</t>
  </si>
  <si>
    <t xml:space="preserve">FD-099696</t>
  </si>
  <si>
    <t xml:space="preserve">谭娇</t>
  </si>
  <si>
    <t xml:space="preserve">关键项目评分≥9.5分</t>
  </si>
  <si>
    <t xml:space="preserve">（8.075*40%+7.82*30%＋7.425*30%）/9.5*100%=82.14%</t>
  </si>
  <si>
    <t xml:space="preserve">新增0异常</t>
  </si>
  <si>
    <t xml:space="preserve">成品新增异常2项</t>
  </si>
  <si>
    <t xml:space="preserve">赫系异常完结锁库率≥60%</t>
  </si>
  <si>
    <t xml:space="preserve">83.33%%</t>
  </si>
  <si>
    <t xml:space="preserve">7.1异常锁库4批；7.2异常锁库2批</t>
  </si>
  <si>
    <t xml:space="preserve">现场监督完成率100%</t>
  </si>
  <si>
    <t xml:space="preserve">卓多姿现场监督完成率95.57%</t>
  </si>
  <si>
    <t xml:space="preserve">赫系负评率≤1.5%</t>
  </si>
  <si>
    <t xml:space="preserve">126.67%%%</t>
  </si>
  <si>
    <t xml:space="preserve">7月份赫系负评1.1%</t>
  </si>
  <si>
    <t xml:space="preserve">FD-097315</t>
  </si>
  <si>
    <t xml:space="preserve">刘佳俊</t>
  </si>
  <si>
    <t xml:space="preserve">42/42</t>
  </si>
  <si>
    <t xml:space="preserve">13/42</t>
  </si>
  <si>
    <t xml:space="preserve">异常拦截</t>
  </si>
  <si>
    <t xml:space="preserve">15/62</t>
  </si>
  <si>
    <t xml:space="preserve">团队总分：19.575 人均：6.525 个人得分：7.099 贡献率=108.79%</t>
  </si>
  <si>
    <t xml:space="preserve">库内赠品排查 40%；塑料周转箱替代专项 20%；加工厂打码质量排查 20%；打包方式排查与更新 20%</t>
  </si>
  <si>
    <t xml:space="preserve">（7.425*0.2+7.2*0.2+7*0.4+7*0.2）*1.1/9=87.08</t>
  </si>
  <si>
    <t xml:space="preserve">12/34</t>
  </si>
  <si>
    <t xml:space="preserve">FD-096262</t>
  </si>
  <si>
    <t xml:space="preserve">姜佩弦</t>
  </si>
  <si>
    <t xml:space="preserve">当月异常报告新增数</t>
  </si>
  <si>
    <t xml:space="preserve">现场监督</t>
  </si>
  <si>
    <t xml:space="preserve">赫系负评率</t>
  </si>
  <si>
    <t xml:space="preserve">1.1%%%%</t>
  </si>
  <si>
    <t xml:space="preserve">赫系赋活发膜料体发黄排查40%
加工厂打码质量排查30%
FANDO项目开发30%</t>
  </si>
  <si>
    <t xml:space="preserve">(7.82*0.4+7.425*0.3+8.075*0.3)*1/9.5*100%=81.87%</t>
  </si>
  <si>
    <t xml:space="preserve">完成率=实际异常锁库完结率/目标异常锁库完结率*100%</t>
  </si>
  <si>
    <t xml:space="preserve">50%%</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</si>
  <si>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</si>
  <si>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</si>
  <si>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</si>
  <si>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</si>
  <si>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</si>
  <si>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赫系赋活发膜料体发黄排查 30%
加工厂打码质量排查 20%
打包机制输出流程及仓库执行规范化20%
KONO去膜测试 10%
FANDO项目推进 20%</t>
  </si>
  <si>
    <t xml:space="preserve">（8.075*0.2+7.82*0.3+7.2*0.2+7.55*0.1+7.425*0.2）*1.2=9.1692</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</si>
  <si>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</si>
  <si>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</si>
  <si>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</si>
  <si>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</si>
  <si>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</si>
  <si>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</si>
  <si>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</si>
  <si>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</si>
  <si>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全品牌数据追踪、渠道费用精细化管控体系维护、数据日常维护</t>
  </si>
  <si>
    <t xml:space="preserve">日常数据维护，数据更新表格：https://jqx28l0j4lx.feishu.cn/sheets/JTK0sU2xLhMLJft4C38ch7xJnbc?sheet=hNZPw1</t>
  </si>
  <si>
    <t xml:space="preserve">活动数据更新的skill落地</t>
  </si>
  <si>
    <t xml:space="preserve">完成了数据更新SKILL。发送链接给AI，自动获取表格填写内容。通过对话完成信息录入。</t>
  </si>
  <si>
    <t xml:space="preserve">全品牌数据追踪的skill落地</t>
  </si>
  <si>
    <t xml:space="preserve">完成了全品牌数据追踪SKILL，定期自动获取数据更新至飞书表格，看板获取数据实现实时更新</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</si>
  <si>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</si>
  <si>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</si>
  <si>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</si>
  <si>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</si>
  <si>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</si>
  <si>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</si>
  <si>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</si>
  <si>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</si>
  <si>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</si>
  <si>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活动支持考核</t>
  </si>
  <si>
    <t xml:space="preserve">目标活动支持3场，Pos目标为前六个月pos
的平均值</t>
  </si>
  <si>
    <t xml:space="preserve">3场</t>
  </si>
  <si>
    <t xml:space="preserve">目标51476 实际完成 58521</t>
  </si>
  <si>
    <t xml:space="preserve">培训支持考核</t>
  </si>
  <si>
    <t xml:space="preserve">门店贴柜培训0.08/家十线上培训0.12每场＋集中培训0.3，总目标得分不低于1</t>
  </si>
  <si>
    <t xml:space="preserve">1.5分</t>
  </si>
  <si>
    <t xml:space="preserve">目标 18 家实际完成 21 家</t>
  </si>
  <si>
    <t xml:space="preserve">FD-070643</t>
  </si>
  <si>
    <t xml:space="preserve">罗静文</t>
  </si>
  <si>
    <t xml:space="preserve">18场</t>
  </si>
  <si>
    <t xml:space="preserve">23场</t>
  </si>
  <si>
    <t xml:space="preserve">19场</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</si>
  <si>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</si>
  <si>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</si>
  <si>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</si>
  <si>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</si>
  <si>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</si>
  <si>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</si>
  <si>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</si>
  <si>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</si>
  <si>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推动WIS7-9月夏季活动落地,实现WIS7月活动提报系统数（(A中心每个主管至少提报3个）</t>
  </si>
  <si>
    <t xml:space="preserve">9个</t>
  </si>
  <si>
    <t xml:space="preserve">17个</t>
  </si>
  <si>
    <t xml:space="preserve">KONO夏季活动出货金额(7月)</t>
  </si>
  <si>
    <t xml:space="preserve">1200000元</t>
  </si>
  <si>
    <t xml:space="preserve">2360000元</t>
  </si>
  <si>
    <t xml:space="preserve">推动KONO7-9月夏季活动落地,实现KONO7月活动提报系统数量(AC中心每个主管至少提报2个）</t>
  </si>
  <si>
    <t xml:space="preserve">27个</t>
  </si>
  <si>
    <t xml:space="preserve">xx方案/策略/体系的搭建或方案产出-定性指标</t>
  </si>
  <si>
    <t xml:space="preserve">输出KONO新零售系列新品上新活动宣发和落地动销方案</t>
  </si>
  <si>
    <t xml:space="preserve">KONO、WIS、赫系中秋国庆方案内容前期资料准备完成(每个品牌5%）</t>
  </si>
  <si>
    <t xml:space="preserve">FD-071550</t>
  </si>
  <si>
    <t xml:space="preserve">市场监察经理</t>
  </si>
  <si>
    <t xml:space="preserve">贺昕</t>
  </si>
  <si>
    <t xml:space="preserve">线下渠道部-渠道运作中心-市场监察经理2604</t>
  </si>
  <si>
    <t xml:space="preserve">WIS稽查窜货线下下架率</t>
  </si>
  <si>
    <t xml:space="preserve">WIS稽查窜货线上店铺链接下架率</t>
  </si>
  <si>
    <t xml:space="preserve">渠道运作中心—关键工作达成-定性</t>
  </si>
  <si>
    <t xml:space="preserve">稽查全国重点10大城市批发市场</t>
  </si>
  <si>
    <t xml:space="preserve">已完成稽查任务</t>
  </si>
  <si>
    <t xml:space="preserve">当月批发市场稽查货物回传率</t>
  </si>
  <si>
    <t xml:space="preserve">当月批发市场未发现WIS产品</t>
  </si>
  <si>
    <t xml:space="preserve">输出月度《渠道秩序治理月报》</t>
  </si>
  <si>
    <t xml:space="preserve">已完成月报</t>
  </si>
  <si>
    <t xml:space="preserve">Fando的skill探索</t>
  </si>
  <si>
    <t xml:space="preserve">因网关问题，压缩包暂时无法导出，后补</t>
  </si>
  <si>
    <t xml:space="preserve">FD-077703</t>
  </si>
  <si>
    <t xml:space="preserve">蓝文阳</t>
  </si>
  <si>
    <t xml:space="preserve">KONO稽查窜货线下下架率</t>
  </si>
  <si>
    <t xml:space="preserve">KONO线下下架率100%</t>
  </si>
  <si>
    <t xml:space="preserve">KONO稽查窜货线上店铺链接下架率</t>
  </si>
  <si>
    <t xml:space="preserve">KONO线上下架率82.22%</t>
  </si>
  <si>
    <t xml:space="preserve">已完成重点批发市场稽查</t>
  </si>
  <si>
    <t xml:space="preserve">已验收当月批发市场稽查货物回传</t>
  </si>
  <si>
    <t xml:space="preserve">FD-076294</t>
  </si>
  <si>
    <t xml:space="preserve">业务助理</t>
  </si>
  <si>
    <t xml:space="preserve">陈冰纯</t>
  </si>
  <si>
    <t xml:space="preserve">线下渠道部-渠道运作中心-客户助理2604</t>
  </si>
  <si>
    <t xml:space="preserve">渠道运作中心-例行工作达成率</t>
  </si>
  <si>
    <t xml:space="preserve">OD-002787</t>
  </si>
  <si>
    <t xml:space="preserve">客户助理</t>
  </si>
  <si>
    <t xml:space="preserve">邓淑贤</t>
  </si>
  <si>
    <t xml:space="preserve">关键工作达成</t>
  </si>
  <si>
    <t xml:space="preserve">例行工作</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</si>
  <si>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</si>
  <si>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</si>
  <si>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</si>
  <si>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</si>
  <si>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</si>
  <si>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</si>
  <si>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</si>
  <si>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40.7万元</t>
  </si>
  <si>
    <t xml:space="preserve">1.7万元</t>
  </si>
  <si>
    <t xml:space="preserve">8.5万元</t>
  </si>
  <si>
    <t xml:space="preserve">162万元</t>
  </si>
  <si>
    <t xml:space="preserve">区域利润额</t>
  </si>
  <si>
    <t xml:space="preserve">-10万元</t>
  </si>
  <si>
    <t xml:space="preserve">-32W万元</t>
  </si>
  <si>
    <t xml:space="preserve">FD-071472</t>
  </si>
  <si>
    <t xml:space="preserve">张巍</t>
  </si>
  <si>
    <t xml:space="preserve">50万</t>
  </si>
  <si>
    <t xml:space="preserve">56.7万</t>
  </si>
  <si>
    <t xml:space="preserve">夏季相关活动出货</t>
  </si>
  <si>
    <t xml:space="preserve">10万</t>
  </si>
  <si>
    <t xml:space="preserve">52万</t>
  </si>
  <si>
    <t xml:space="preserve">新品出货</t>
  </si>
  <si>
    <t xml:space="preserve">1.7万</t>
  </si>
  <si>
    <t xml:space="preserve">5.4万</t>
  </si>
  <si>
    <t xml:space="preserve">150万</t>
  </si>
  <si>
    <t xml:space="preserve">175万</t>
  </si>
  <si>
    <t xml:space="preserve">-32.2万</t>
  </si>
  <si>
    <t xml:space="preserve">FD-070799</t>
  </si>
  <si>
    <t xml:space="preserve">线下渠道部-KONO-KONO销售A中心-西北区</t>
  </si>
  <si>
    <t xml:space="preserve">高玉凤</t>
  </si>
  <si>
    <t xml:space="preserve">当月出货额</t>
  </si>
  <si>
    <t xml:space="preserve">39.6万元</t>
  </si>
  <si>
    <t xml:space="preserve">20.2万元</t>
  </si>
  <si>
    <t xml:space="preserve">3.8万元</t>
  </si>
  <si>
    <t xml:space="preserve">153万元</t>
  </si>
  <si>
    <t xml:space="preserve">-32.2万元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</si>
  <si>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</si>
  <si>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</si>
  <si>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</si>
  <si>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</si>
  <si>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</si>
  <si>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</si>
  <si>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</si>
  <si>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</si>
  <si>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</si>
  <si>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凡岛工厂的精益管理(降本)梳理总结</t>
  </si>
  <si>
    <t xml:space="preserve">完成了对历史各个工厂降本项目经验的总结，但评估后认为不适合用于VSM帮助外部工厂降本，更多适用于内部传承</t>
  </si>
  <si>
    <t xml:space="preserve">电商堡赔偿洽谈供应商同意赔偿即可</t>
  </si>
  <si>
    <t xml:space="preserve">已完成，经过两轮谈判，最终电商堡同意赔偿金额2.8万元，高于业务部门期望，结算协议已盖章签字，待对账打款</t>
  </si>
  <si>
    <t xml:space="preserve">成本分析师-新降本发现方向指标</t>
  </si>
  <si>
    <t xml:space="preserve">价值发现指标,降本5w/万(10-12月）</t>
  </si>
  <si>
    <t xml:space="preserve">已完成，发现了赋活发膜装箱的排箱方式可优化，使箱规从45提升到53，经测算月降本2100元</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</si>
  <si>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</si>
  <si>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</si>
  <si>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</si>
  <si>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</si>
  <si>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</si>
  <si>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</si>
  <si>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</si>
  <si>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帐号采买:发布账号需求-账号选定-走合同-沟通垫付-请款</t>
  </si>
  <si>
    <t xml:space="preserve">及时的发送账号采买需求，在需求期内完成账号的采买任务</t>
  </si>
  <si>
    <t xml:space="preserve">检测需求:需求下达-调整检查项目-下推报价-送样-出报告-沟通报告问题-出正本</t>
  </si>
  <si>
    <t xml:space="preserve">及时向机构下发检测需求，高效精准的向需求发反馈机构报价</t>
  </si>
  <si>
    <t xml:space="preserve">相关供应商的合同签订</t>
  </si>
  <si>
    <t xml:space="preserve">按时完成合同提需表里的合同签订需求</t>
  </si>
  <si>
    <t xml:space="preserve">月底处理相关检测机构以及耗材采买的请款对账</t>
  </si>
  <si>
    <t xml:space="preserve">月底按时完成供应商的请款对账需求</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</si>
  <si>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</si>
  <si>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</si>
  <si>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</si>
  <si>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</si>
  <si>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</si>
  <si>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</si>
  <si>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采购经理-货品成本降本挑战目标达成率指标</t>
  </si>
  <si>
    <t xml:space="preserve">3W</t>
  </si>
  <si>
    <t xml:space="preserve">24.2W</t>
  </si>
  <si>
    <t xml:space="preserve">采购经理-关键项目落地指标</t>
  </si>
  <si>
    <t xml:space="preserve">关键项目1 彩盒成本分析模型使用培训手册</t>
  </si>
  <si>
    <t xml:space="preserve">每月依据实际情况制定当月关键项目及目标及完成率的计算方式</t>
  </si>
  <si>
    <t xml:space="preserve">关键项目2WIS3个项目完成品牌确认、价值量计算、立项规划并推进(如有(1)</t>
  </si>
  <si>
    <t xml:space="preserve">眼膜完成第一次恒远下单,隐形水润凡岛上机测试和品控测试通过</t>
  </si>
  <si>
    <t xml:space="preserve">面膜合格，眼膜未完成</t>
  </si>
  <si>
    <t xml:space="preserve">FD-096061</t>
  </si>
  <si>
    <t xml:space="preserve">黄振明</t>
  </si>
  <si>
    <t xml:space="preserve">35.9万元</t>
  </si>
  <si>
    <t xml:space="preserve">52.3万元</t>
  </si>
  <si>
    <t xml:space="preserve">1.5万元</t>
  </si>
  <si>
    <t xml:space="preserve">16.4万元</t>
  </si>
  <si>
    <t xml:space="preserve">KONO去防伪标项目</t>
  </si>
  <si>
    <t xml:space="preserve">与KONO品牌确定防伪形式，计算清楚项目价值量，制定项目推进规划（如有）</t>
  </si>
  <si>
    <t xml:space="preserve">完成项目价值量核算及推进</t>
  </si>
  <si>
    <t xml:space="preserve">通过高级考核</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</si>
  <si>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</si>
  <si>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</si>
  <si>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FD-093485</t>
  </si>
  <si>
    <t xml:space="preserve">利志鹏</t>
  </si>
  <si>
    <t xml:space="preserve">5.53万</t>
  </si>
  <si>
    <t xml:space="preserve">2万</t>
  </si>
  <si>
    <t xml:space="preserve">彩盒封口贴计算价值量,确认技术问题的解决方案</t>
  </si>
  <si>
    <t xml:space="preserve">苯氧乙醇完成中试生产</t>
  </si>
  <si>
    <t xml:space="preserve">KONO奢护100q瓶子改软管,确定品牌意见,完成打样与品控测试(如有)</t>
  </si>
  <si>
    <t xml:space="preserve">FD-096682</t>
  </si>
  <si>
    <t xml:space="preserve">巫文鑫</t>
  </si>
  <si>
    <t xml:space="preserve">落地降本金额</t>
  </si>
  <si>
    <t xml:space="preserve">28.8万元</t>
  </si>
  <si>
    <t xml:space="preserve">60.8万</t>
  </si>
  <si>
    <t xml:space="preserve">落地降本金额60.8万元</t>
  </si>
  <si>
    <t xml:space="preserve">挑战落地降本金额</t>
  </si>
  <si>
    <t xml:space="preserve">32万元</t>
  </si>
  <si>
    <t xml:space="preserve">当月降本基础目标28.8万元，当月降本挑战目标5万元，实际降本完成60.8万元，60.8-28.8=32万元</t>
  </si>
  <si>
    <t xml:space="preserve">项目跟进落地</t>
  </si>
  <si>
    <t xml:space="preserve">卓多姿眼膜加工费议价0.88</t>
  </si>
  <si>
    <t xml:space="preserve">0.88元</t>
  </si>
  <si>
    <t xml:space="preserve">0.85元</t>
  </si>
  <si>
    <t xml:space="preserve">实际眼膜议价为0.85元</t>
  </si>
  <si>
    <t xml:space="preserve">晟泽眼膜瓶子vsm完成议价,单价降本0.02</t>
  </si>
  <si>
    <t xml:space="preserve">0.02元</t>
  </si>
  <si>
    <t xml:space="preserve">眼膜瓶子vsm议价，单价降低0.02元</t>
  </si>
  <si>
    <t xml:space="preserve">通过</t>
  </si>
  <si>
    <t xml:space="preserve">FD-078673</t>
  </si>
  <si>
    <t xml:space="preserve">刘家骏</t>
  </si>
  <si>
    <t xml:space="preserve">泵头降本</t>
  </si>
  <si>
    <t xml:space="preserve">-0.9W</t>
  </si>
  <si>
    <t xml:space="preserve">0.5W</t>
  </si>
  <si>
    <t xml:space="preserve">中通合同签订并确认眼膜单价及后续合作规划</t>
  </si>
  <si>
    <t xml:space="preserve">关键项目1</t>
  </si>
  <si>
    <t xml:space="preserve">深海次抛切换华泽，落地兼容性测试并完成损耗协议签订</t>
  </si>
  <si>
    <t xml:space="preserve">物流议价</t>
  </si>
  <si>
    <t xml:space="preserve">FD-096315</t>
  </si>
  <si>
    <t xml:space="preserve">白羽桐</t>
  </si>
  <si>
    <t xml:space="preserve">控涨2.1w</t>
  </si>
  <si>
    <t xml:space="preserve">-2.1w</t>
  </si>
  <si>
    <t xml:space="preserve">挑战目标1w</t>
  </si>
  <si>
    <t xml:space="preserve">1w</t>
  </si>
  <si>
    <t xml:space="preserve">凡岛工厂维修完成谈判</t>
  </si>
  <si>
    <t xml:space="preserve">已完成谈判</t>
  </si>
  <si>
    <t xml:space="preserve">关键项目2</t>
  </si>
  <si>
    <t xml:space="preserve">凝颜乳完成盖子修模，完成打样和品控测试+品牌确认效果</t>
  </si>
  <si>
    <t xml:space="preserve">预计31号完成</t>
  </si>
  <si>
    <t xml:space="preserve">关键项目3</t>
  </si>
  <si>
    <t xml:space="preserve">深海次抛降本方向跟进完成样品确认和价值量计算</t>
  </si>
  <si>
    <t xml:space="preserve">已确认</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</si>
  <si>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</si>
  <si>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</si>
  <si>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</si>
  <si>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</si>
  <si>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</si>
  <si>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</si>
  <si>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</si>
  <si>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</si>
  <si>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产品开发数量</t>
  </si>
  <si>
    <t xml:space="preserve">决策文档*2（WIS光感焕亮美白面膜、WIS光感调色面膜）</t>
  </si>
  <si>
    <t xml:space="preserve">输出决策文档*2</t>
  </si>
  <si>
    <t xml:space="preserve">FD-107532</t>
  </si>
  <si>
    <t xml:space="preserve">研发工程师</t>
  </si>
  <si>
    <t xml:space="preserve">王嘉俊</t>
  </si>
  <si>
    <t xml:space="preserve">完成两款产品配方开发并输出对应文档</t>
  </si>
  <si>
    <t xml:space="preserve">完成三款产品配方确版，决策文档输出</t>
  </si>
  <si>
    <t xml:space="preserve">完成+WIS+ 多肽紧致溯龄面膜2.0配方开发</t>
  </si>
  <si>
    <t xml:space="preserve">膜布选定，脸型供应商正在打样，项目立项时间：6月26日（膜布筛选、拿样打样时间不计入），配方确版时间：7月24日</t>
  </si>
  <si>
    <t xml:space="preserve">完成+WIS+ 隐形水润面膜4.0配方开发</t>
  </si>
  <si>
    <t xml:space="preserve">确版（立项时间：项目立项时间：6月23日，确版时间：7月1号）</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</si>
  <si>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</si>
  <si>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</si>
  <si>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</si>
  <si>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</si>
  <si>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完成WIS眼部抗皱精华油的开发</t>
  </si>
  <si>
    <t xml:space="preserve">完成1项产品开发</t>
  </si>
  <si>
    <t xml:space="preserve">FD-237574</t>
  </si>
  <si>
    <t xml:space="preserve">魏可凡</t>
  </si>
  <si>
    <t xml:space="preserve">开发产品数：2个常规品</t>
  </si>
  <si>
    <t xml:space="preserve">已确版，输出决策文档</t>
  </si>
  <si>
    <t xml:space="preserve">赫系玻尿酸洗发水；KOKNO 青提沐浴露</t>
  </si>
  <si>
    <t xml:space="preserve">FD-231037</t>
  </si>
  <si>
    <t xml:space="preserve">张杨</t>
  </si>
  <si>
    <t xml:space="preserve">KONO 卡厘紫水晶双护滋养精华霜</t>
  </si>
  <si>
    <t xml:space="preserve">已完成并输出决策文档https://jqx28l0j4lx.feishu.cn/docx/IrihdymT8osPNTxfzpycQPQqnnf</t>
  </si>
  <si>
    <t xml:space="preserve">赫系香氛洗发水(雪松&amp;茶香)</t>
  </si>
  <si>
    <t xml:space="preserve">已完成并输出决策文档https://jqx28l0j4lx.feishu.cn/docx/AUbjdN43co2ApexEFkZcaMblnRc</t>
  </si>
  <si>
    <t xml:space="preserve">赫系青少年专研洗发水</t>
  </si>
  <si>
    <t xml:space="preserve">已确版并输出决策文档https://jqx28l0j4lx.feishu.cn/wiki/JzzJwx9c8iRNNGkK3DVcDEH8ncf?from=from_parent_docx</t>
  </si>
  <si>
    <t xml:space="preserve">KONO 卡厘紫水晶双护滋养精华霜，赫系香氛洗发水(雪松&amp;茶香)，赫系青少年专研洗发水</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</si>
  <si>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</si>
  <si>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</si>
  <si>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</si>
  <si>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</si>
  <si>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</si>
  <si>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配方按计划完成开发和确版</t>
  </si>
  <si>
    <t xml:space="preserve">以确版为准</t>
  </si>
  <si>
    <t xml:space="preserve">FD-233637</t>
  </si>
  <si>
    <t xml:space="preserve">罗锦委</t>
  </si>
  <si>
    <t xml:space="preserve">赫系赋活发膜（好运限定）</t>
  </si>
  <si>
    <t xml:space="preserve">待总监试用最终确认</t>
  </si>
  <si>
    <t xml:space="preserve">苯甲酸钠的替换</t>
  </si>
  <si>
    <t xml:space="preserve">已打样测试，需后续持续观察稳定性结果</t>
  </si>
  <si>
    <t xml:space="preserve">常规品一个，原料替换一个</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</si>
  <si>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</si>
  <si>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</si>
  <si>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</si>
  <si>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</si>
  <si>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</si>
  <si>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</si>
  <si>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</si>
  <si>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质量合规体系运转有效性</t>
  </si>
  <si>
    <t xml:space="preserve">跟进实习生完成原料标准、半成品、成品标准制定与修改；跟进外观设计专利工作；跟进凡动Skill开发
子指标：
1. 跟进实习生常态化完成制定与修改原料标准文件、半成品、成品标准文件与包材标准文件；
2. 搭建外观设计专利内外部业务流，对内搭建多维表格和线性审批流，统筹品牌、总经办、采购、设计等多端口跨部门协作，对外沟通外包机构专利申请流程
3. 推进凡岛Skill开发。完成包含文件输出类与自动化类在内的4个Skill的开发。前者为工厂版配方转化初版Skill和详情页审批Skill，后者为商品条码申请与发布Skill和产品数字化归档那个Skill。其中，产品数字化归档Skill具有高复用率，已在内部推广。</t>
  </si>
  <si>
    <t xml:space="preserve">完成质量体系标准文件常态化维护；外观专利首个申请项目推进中——紫水晶发膜；电子标签试点已成功公示</t>
  </si>
  <si>
    <t xml:space="preserve">FD-237871</t>
  </si>
  <si>
    <t xml:space="preserve">林明朗</t>
  </si>
  <si>
    <t xml:space="preserve">1、新增原料标准：20份 2、修订原料标准：4份 3、新增成品和半成品标准：8份 4、修订成品和半成品标准：7份 5、修订包材标准：1份 6、开展质量管理体系培训（一期）</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</si>
  <si>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</si>
  <si>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</si>
  <si>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</si>
  <si>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</si>
  <si>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</si>
  <si>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原料标准制作20份，修订原料标准文件4份，产品半成品制作8份，修订成品半成品7份，修订包材一份，原料标准文件制作已完成可稳定复用，成品半成品标准制作已完成可稳定复用。</t>
  </si>
  <si>
    <t xml:space="preserve">FD-231862</t>
  </si>
  <si>
    <t xml:space="preserve">李楚杰</t>
  </si>
  <si>
    <t xml:space="preserve">配方转化与常九送检</t>
  </si>
  <si>
    <t xml:space="preserve">完成4款产品常九送检</t>
  </si>
  <si>
    <t xml:space="preserve">学习打样，独立完成5个配方以上的打样</t>
  </si>
  <si>
    <t xml:space="preserve">完成10个配方打样</t>
  </si>
  <si>
    <t xml:space="preserve">Fando探索与工作流程优化</t>
  </si>
  <si>
    <t xml:space="preserve">开发配方设计自动化，打样投料工艺梳理skill</t>
  </si>
  <si>
    <t xml:space="preserve">FD-233989</t>
  </si>
  <si>
    <t xml:space="preserve">廖文惠</t>
  </si>
  <si>
    <t xml:space="preserve">熟悉公司文化、部门职责与工作流程</t>
  </si>
  <si>
    <t xml:space="preserve">已经熟悉部门人员情况、公司文化、部门职责和工作流程</t>
  </si>
  <si>
    <t xml:space="preserve">学习配方基础知识，掌握慕可代码检索系统</t>
  </si>
  <si>
    <t xml:space="preserve">已经学习配方基础知识，掌握慕可代码检索系统</t>
  </si>
  <si>
    <t xml:space="preserve">学习打样操作，完成基础配方打样</t>
  </si>
  <si>
    <t xml:space="preserve">已经学习打样操作，完成基础配方打样</t>
  </si>
  <si>
    <t xml:space="preserve">参与稳定性测试工作</t>
  </si>
  <si>
    <t xml:space="preserve">参与稳定性测试</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</si>
  <si>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</si>
  <si>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</si>
  <si>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</si>
  <si>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</si>
  <si>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</si>
  <si>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</si>
  <si>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</si>
  <si>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</si>
  <si>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</si>
  <si>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大堂公区管理</t>
  </si>
  <si>
    <t xml:space="preserve">完成每日巡检日志</t>
  </si>
  <si>
    <t xml:space="preserve">快递支出符合每月预算</t>
  </si>
  <si>
    <t xml:space="preserve">月度支出符合预算。快递7月目标预算18000元，预估支出15657.22元，7月预估剩余预算2342.78元。剩余预算转至下月使用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</si>
  <si>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</si>
  <si>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</si>
  <si>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</si>
  <si>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</si>
  <si>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</si>
  <si>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完成财报整理，损耗率标准为±1%</t>
  </si>
  <si>
    <t xml:space="preserve">已完成，7月损耗率0.13%</t>
  </si>
  <si>
    <t xml:space="preserve">支出在预算内</t>
  </si>
  <si>
    <t xml:space="preserve">已完成，7月目标预算75708.15元，实际请款金额为9619元</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</si>
  <si>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</si>
  <si>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</si>
  <si>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</si>
  <si>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</si>
  <si>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</si>
  <si>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</si>
  <si>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</si>
  <si>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</si>
  <si>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</si>
  <si>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</si>
  <si>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</si>
  <si>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</si>
  <si>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</si>
  <si>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</si>
  <si>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</si>
  <si>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</si>
  <si>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</si>
  <si>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</si>
  <si>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</si>
  <si>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</si>
  <si>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</si>
  <si>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</si>
  <si>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</si>
  <si>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</si>
  <si>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</si>
  <si>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</si>
  <si>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</si>
  <si>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</si>
  <si>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</si>
  <si>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</si>
  <si>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</si>
  <si>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</si>
  <si>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</si>
  <si>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行政支出在预算之内，总部日常故障报修事宜</t>
  </si>
  <si>
    <t xml:space="preserve">已完成总部7月检查报修总部报修行政支出在预算之内。7月楼栋消杀费用预算为28278元，7月1-25号无支出，25-30号预估支出12649元，3，4月物业工程费用还没支出，剩余15628.873元转存下月使用。7月车辆管理预算为13812元，实际支出为11249.82元，剩余2562.18元，转存下个月使用</t>
  </si>
  <si>
    <t xml:space="preserve">复原供应商议价</t>
  </si>
  <si>
    <t xml:space="preserve">已完成，因供应商价格前面已经降低了好几轮，价格最低的两个供应商都没有再降低的空间。</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</si>
  <si>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</si>
  <si>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</si>
  <si>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</si>
  <si>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</si>
  <si>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</si>
  <si>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7月支出在预算内，完成预算文档</t>
  </si>
  <si>
    <t xml:space="preserve">已完成。7月通讯支出共49405.14元，比上月降本2477.42元；7月预算53296.795元，剩余预算3891.655元，近期手机卡需求增加，剩余预算需要转存至下月使用。 7月票务预估支出48133.33元，7.1-7.27实际消耗262994.54元，后续3天预计支出50000元；总计7月预估支出31299.54元，剩余预算312994.54元，转存至后续支出。</t>
  </si>
  <si>
    <t xml:space="preserve">完成中秋礼盒需求文档，对接产品设计中心、产品供应部完成立项，7月完成定稿</t>
  </si>
  <si>
    <t xml:space="preserve">已完成项目前期启动准备工作。</t>
  </si>
  <si>
    <t xml:space="preserve">手机卡全面盘点，在公司范围内通过易盘点下盘点单（2-3个部门）</t>
  </si>
  <si>
    <t xml:space="preserve">已完成。已盘218个手机号码，完成率93.1%；未盘14条全在市场拓展部，需要进一步确认手机号归属。</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</si>
  <si>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</si>
  <si>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</si>
  <si>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</si>
  <si>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</si>
  <si>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</si>
  <si>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周年庆文化衫和徽章确定供应商</t>
  </si>
  <si>
    <t xml:space="preserve">文化衫企业文化经理跟进中，徽章已完成三家比价，两家寄样，初步确定云妍阁</t>
  </si>
  <si>
    <t xml:space="preserve">行政预算得分绩效指标</t>
  </si>
  <si>
    <t xml:space="preserve">月度支出符合预算</t>
  </si>
  <si>
    <t xml:space="preserve">固定资产采购：7月预算80502元，7月实际支出11438元；剩余预算69064元，转存至下月支出。 日常采购：7月预算53900元，7月京东采购预计支出34952.94元（其中21697.09为后面几天预估支出），7月京东日常采购支出5593.79元，合计支出40549.73元；剩余预算13353.27元，转存至下月支出。</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</si>
  <si>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</si>
  <si>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</si>
  <si>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</si>
  <si>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</si>
  <si>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</si>
  <si>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桌面端设备排障；网络满意度4.53分</t>
  </si>
  <si>
    <t xml:space="preserve">1. 桌面端设备排障已完成： 7月共计提交工单44条，共完成44条 2. 26年7月网络服务满意度调查问卷总结 网络满意度问卷得分：4.38 共计收到50条评分，平均分为4.4分。</t>
  </si>
  <si>
    <t xml:space="preserve">网费及设备维修费控制在预算内</t>
  </si>
  <si>
    <t xml:space="preserve">已完成： 1. 网费预算33538：总部电信网费预算为22299；联通网费预算4642；东塔搬迁回来电信网费6597元。 实际支出为33,538.5：电信：28896.5；联通4642。超出0.5为宽带卡产生费用，网费本身无超出预算。 2. 电子设备维修费预算15000，实际支出3736元。剩余预算11,264转至下月。</t>
  </si>
  <si>
    <t xml:space="preserve">FD-150949</t>
  </si>
  <si>
    <t xml:space="preserve">唐怡敏</t>
  </si>
  <si>
    <t xml:space="preserve">完成行政中心财报</t>
  </si>
  <si>
    <t xml:space="preserve">负责板块工作支出未超出预算</t>
  </si>
  <si>
    <t xml:space="preserve">完成工作交接</t>
  </si>
  <si>
    <t xml:space="preserve">餐务工作交际未按要求完成</t>
  </si>
  <si>
    <t xml:space="preserve">FD-154190</t>
  </si>
  <si>
    <t xml:space="preserve">陈垣润</t>
  </si>
  <si>
    <t xml:space="preserve">管理层餐厅问卷填写达到10份且分数达到4.45分</t>
  </si>
  <si>
    <t xml:space="preserve">管理层问卷填写数量10份，分数4.51分，已按目标完成</t>
  </si>
  <si>
    <t xml:space="preserve">岛民餐厅问卷满意度达到4.35分</t>
  </si>
  <si>
    <t xml:space="preserve">岛民餐厅问卷69份，分数4.07分，未达到目标</t>
  </si>
  <si>
    <t xml:space="preserve">餐务支出在预算内</t>
  </si>
  <si>
    <t xml:space="preserve">2楼餐厅：本月预算586518元，实际预计支出586418元（已请款，总监未审核），剩余预算0元 13楼餐厅：7月预算为119015.69元，7月1-27号实际支出25834.74元（两次线上采购采购21875.74元、6月房租5月水电网费3959元），7月27-31号预估支出85849.95元（潮鑫6月结算单80948.25元、6月及7月煤气3220元、今牛3月份维修未结清费用500元、鸿利机电维修未结清费用1181.7元），整个月预计支出111684.69元，预计剩余7331元转存至下月使用。支出在预算之内，已完成目标。</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</si>
  <si>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</si>
  <si>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</si>
  <si>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</si>
  <si>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</si>
  <si>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</si>
  <si>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完成Q2优秀员工表彰视频全流程制作，打造正向企业文化宣传内容，树立员工榜样，完成成片输出并发布。</t>
  </si>
  <si>
    <t xml:space="preserve">已发布</t>
  </si>
  <si>
    <t xml:space="preserve">完成周年庆文化衫定制前期筹备，设计定稿，筛选优质供应商，获取实物样品并完成对比评测，为后续定款、定价、量产提供依据。</t>
  </si>
  <si>
    <t xml:space="preserve">已完成文化衫徽章设计定稿、供应商选择。</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</si>
  <si>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</si>
  <si>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</si>
  <si>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</si>
  <si>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</si>
  <si>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</si>
  <si>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</si>
  <si>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合同管理：根据业务部门需要或法务发现，修改、更新合同模板并上传到合同模板库。</t>
  </si>
  <si>
    <t xml:space="preserve">已完成，7月完成合同模板更新上传5份，其中市场部2份，产品供应部、线下渠道部、海外事业部各一份。</t>
  </si>
  <si>
    <t xml:space="preserve">诉讼案件：
- 响应业务部门诉讼需求；
- 7.10前完成上海楠欧案调解方案敲定开庭（从化区法院）；
- 完成【盛丰物流】案诉讼材料盖章并发起网上立案；
- 跟进杭州柒昇案，确保收到最后一期款项；
- 跟进【上海量之本】（王一楠）案调解进度。</t>
  </si>
  <si>
    <t xml:space="preserve">- 已达成上海楠欧案调解方案并已经回款； - 跟进【上海量之本】（王一楠）案调解，并已向法官申请延期排期审理； - 完成电商堡偷工减料纠纷结算协议签署； - 完成【盛丰物流】案网上立案。 - 杭州柒昇案最后一笔款项已收到；</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</si>
  <si>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</si>
  <si>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</si>
  <si>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</si>
  <si>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</si>
  <si>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</si>
  <si>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</si>
  <si>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</si>
  <si>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</si>
  <si>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拼多多3分钟回复率</t>
  </si>
  <si>
    <t xml:space="preserve">拼多多店铺三分钟回复率＞99%</t>
  </si>
  <si>
    <t xml:space="preserve">考核店铺21个，5个店铺不达标</t>
  </si>
  <si>
    <t xml:space="preserve">客服满意度</t>
  </si>
  <si>
    <t xml:space="preserve">抖音客服满意度≥91%</t>
  </si>
  <si>
    <t xml:space="preserve">其他平台客服满意度（除抖音客服外）</t>
  </si>
  <si>
    <t xml:space="preserve">客服满意度：95%</t>
  </si>
  <si>
    <t xml:space="preserve">机器人回复率</t>
  </si>
  <si>
    <t xml:space="preserve">各品牌拼多多机器人接待占比</t>
  </si>
  <si>
    <t xml:space="preserve">拼多多机器人接待占比56%</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</si>
  <si>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</si>
  <si>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</si>
  <si>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</si>
  <si>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</si>
  <si>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</si>
  <si>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</si>
  <si>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达标店铺/总店铺数量</t>
  </si>
  <si>
    <t xml:space="preserve">80%%</t>
  </si>
  <si>
    <t xml:space="preserve">抖音客服满意度；完成率=达标店铺/总店铺数量</t>
  </si>
  <si>
    <t xml:space="preserve">91%%</t>
  </si>
  <si>
    <t xml:space="preserve">其他平台客服满意度</t>
  </si>
  <si>
    <t xml:space="preserve">95%%</t>
  </si>
  <si>
    <t xml:space="preserve">各品牌拼多多机器人回复率</t>
  </si>
  <si>
    <t xml:space="preserve">56%%</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</si>
  <si>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</si>
  <si>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</si>
  <si>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</si>
  <si>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</si>
  <si>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</si>
  <si>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拼多多店铺三分钟回复率＞99%
完成率=达标店铺/总店铺数量</t>
  </si>
  <si>
    <t xml:space="preserve">共计36个店铺，达标店铺28个，完成率78%</t>
  </si>
  <si>
    <t xml:space="preserve">抖音客服满意度≥91%
完成率=达标店铺/总店铺数量</t>
  </si>
  <si>
    <t xml:space="preserve">其他平台客服满意度
（≥95%）：100%
（92%，94%）：70%
（90%，91%）：50%
（90%以下）：0%</t>
  </si>
  <si>
    <t xml:space="preserve">抖音服务体验分</t>
  </si>
  <si>
    <t xml:space="preserve">抖音日均服务分98
完成率=达标店铺/总店铺数量</t>
  </si>
  <si>
    <t xml:space="preserve">98分</t>
  </si>
  <si>
    <t xml:space="preserve">86分</t>
  </si>
  <si>
    <t xml:space="preserve">"共计7个店铺，达标店铺5个，完成率100% KONO：97 WIS：98 赫系：99 可麦：99 墨雪：99 IRY：97(固定分数) 魔渍 ：100"</t>
  </si>
  <si>
    <t xml:space="preserve">FD-098633</t>
  </si>
  <si>
    <t xml:space="preserve">莫秋霞</t>
  </si>
  <si>
    <t xml:space="preserve">抖音店铺均响时间≤14秒</t>
  </si>
  <si>
    <t xml:space="preserve">12秒</t>
  </si>
  <si>
    <t xml:space="preserve">5个店铺不达标，考核店铺21个</t>
  </si>
  <si>
    <t xml:space="preserve">评价总量：1453 总满意量：1381 满意度：95%</t>
  </si>
  <si>
    <t xml:space="preserve">抖音日均服务分98</t>
  </si>
  <si>
    <t xml:space="preserve">75分</t>
  </si>
  <si>
    <t xml:space="preserve">KONO:97分 WIS：98分 可麦：99分 IRY：97分（求助率指标0%，因订单量不够分数固定）</t>
  </si>
  <si>
    <t xml:space="preserve">FD-099682</t>
  </si>
  <si>
    <t xml:space="preserve">何卫珊</t>
  </si>
  <si>
    <t xml:space="preserve">客服专员-发货&amp;评价维护</t>
  </si>
  <si>
    <t xml:space="preserve">中差评举报成功量</t>
  </si>
  <si>
    <t xml:space="preserve">拼多多差评举报量</t>
  </si>
  <si>
    <t xml:space="preserve">中差评处理成功率</t>
  </si>
  <si>
    <t xml:space="preserve">评价举报成功率</t>
  </si>
  <si>
    <t xml:space="preserve">67.38%%%</t>
  </si>
  <si>
    <t xml:space="preserve">评价回复率</t>
  </si>
  <si>
    <t xml:space="preserve">当月评价回复率</t>
  </si>
  <si>
    <t xml:space="preserve">评价维护需求完成率</t>
  </si>
  <si>
    <t xml:space="preserve">补单需求完成率</t>
  </si>
  <si>
    <t xml:space="preserve">FD-098102</t>
  </si>
  <si>
    <t xml:space="preserve">夏润利</t>
  </si>
  <si>
    <t xml:space="preserve">发货及时率</t>
  </si>
  <si>
    <t xml:space="preserve">7月25日当天有4笔订单未及 时完成%</t>
  </si>
  <si>
    <t xml:space="preserve">店铺24小时揽收率</t>
  </si>
  <si>
    <t xml:space="preserve">异常单处理量</t>
  </si>
  <si>
    <t xml:space="preserve">1249笔</t>
  </si>
  <si>
    <t xml:space="preserve">天猫超市:99.69% 唯品会:99.04%</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</si>
  <si>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</si>
  <si>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</si>
  <si>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</si>
  <si>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</si>
  <si>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</si>
  <si>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打假维权案件推进</t>
  </si>
  <si>
    <t xml:space="preserve">已完成 1、截至7月25日，打假维权供应商需盖章的文件已申请用印。 2、7月17日，配合公安完成KONO假货鉴定。 3、7月22日，参与德之馨案件庭前会议。 4、7月23日，与安盾线下就WIS品牌假货溯源案件议价，降低近35%案件前期成本，增加40%后期赔偿款分成。7月24日已拟定合作合同第一版。7月30日确定合同最终版并申请盖章。 5、7月打假诉讼收款总计403042元。</t>
  </si>
  <si>
    <t xml:space="preserve">诉讼证据材料收集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</si>
  <si>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</si>
  <si>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</si>
  <si>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</si>
  <si>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</si>
  <si>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</si>
  <si>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</si>
  <si>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</si>
  <si>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</si>
  <si>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工单处理及时率</t>
  </si>
  <si>
    <t xml:space="preserve">退款时长达标率</t>
  </si>
  <si>
    <t xml:space="preserve">95.6%%</t>
  </si>
  <si>
    <t xml:space="preserve">退款处理量</t>
  </si>
  <si>
    <t xml:space="preserve">退款量</t>
  </si>
  <si>
    <t xml:space="preserve">FD-090598</t>
  </si>
  <si>
    <t xml:space="preserve">仇碧颜</t>
  </si>
  <si>
    <t xml:space="preserve">退款量：16199笔</t>
  </si>
  <si>
    <t xml:space="preserve">FD-097008</t>
  </si>
  <si>
    <t xml:space="preserve">陈肖颜</t>
  </si>
  <si>
    <t xml:space="preserve">70分</t>
  </si>
  <si>
    <t xml:space="preserve">FD-091079</t>
  </si>
  <si>
    <t xml:space="preserve">郭瑶</t>
  </si>
  <si>
    <t xml:space="preserve">平台求助率</t>
  </si>
  <si>
    <t xml:space="preserve">退款时长</t>
  </si>
  <si>
    <t xml:space="preserve">FD-096836</t>
  </si>
  <si>
    <t xml:space="preserve">邓小兰</t>
  </si>
  <si>
    <t xml:space="preserve">70%%%%</t>
  </si>
  <si>
    <t xml:space="preserve">负责店铺工单未处理,回复超时0</t>
  </si>
  <si>
    <t xml:space="preserve">当月各个店铺退款瞬时完成率</t>
  </si>
  <si>
    <t xml:space="preserve">96.30%%</t>
  </si>
  <si>
    <t xml:space="preserve">当月个人处理退款、工单、投诉量、交易截图量、品退单豁免、售后赔付件理赔数量</t>
  </si>
  <si>
    <t xml:space="preserve">15000个</t>
  </si>
  <si>
    <t xml:space="preserve">FD-095375</t>
  </si>
  <si>
    <t xml:space="preserve">巫超雄</t>
  </si>
  <si>
    <t xml:space="preserve">客服-接待（通用）</t>
  </si>
  <si>
    <t xml:space="preserve">售后处理率</t>
  </si>
  <si>
    <t xml:space="preserve">19%%</t>
  </si>
  <si>
    <t xml:space="preserve">13S</t>
  </si>
  <si>
    <t xml:space="preserve">11SS</t>
  </si>
  <si>
    <t xml:space="preserve">满意度</t>
  </si>
  <si>
    <t xml:space="preserve">96%%</t>
  </si>
  <si>
    <t xml:space="preserve">FD-095372</t>
  </si>
  <si>
    <t xml:space="preserve">欧彩珍</t>
  </si>
  <si>
    <t xml:space="preserve">售后登记</t>
  </si>
  <si>
    <t xml:space="preserve">37%%</t>
  </si>
  <si>
    <t xml:space="preserve">均响</t>
  </si>
  <si>
    <t xml:space="preserve">13s</t>
  </si>
  <si>
    <t xml:space="preserve">14sss</t>
  </si>
  <si>
    <t xml:space="preserve">FD-099107</t>
  </si>
  <si>
    <t xml:space="preserve">黄燕玲</t>
  </si>
  <si>
    <t xml:space="preserve">13秒</t>
  </si>
  <si>
    <t xml:space="preserve">FD-095145</t>
  </si>
  <si>
    <t xml:space="preserve">陈月怡</t>
  </si>
  <si>
    <t xml:space="preserve">FD-099565</t>
  </si>
  <si>
    <t xml:space="preserve">温颖妍</t>
  </si>
  <si>
    <t xml:space="preserve">49%%</t>
  </si>
  <si>
    <t xml:space="preserve">13ss</t>
  </si>
  <si>
    <t xml:space="preserve">94%%</t>
  </si>
  <si>
    <t xml:space="preserve">FD-093331</t>
  </si>
  <si>
    <t xml:space="preserve">甘燕平</t>
  </si>
  <si>
    <t xml:space="preserve">FD-098475</t>
  </si>
  <si>
    <t xml:space="preserve">陆贤慧</t>
  </si>
  <si>
    <t xml:space="preserve">15秒</t>
  </si>
  <si>
    <t xml:space="preserve">FD-095600</t>
  </si>
  <si>
    <t xml:space="preserve">李颖妍</t>
  </si>
  <si>
    <t xml:space="preserve">FD-098975</t>
  </si>
  <si>
    <t xml:space="preserve">邓泽丽</t>
  </si>
  <si>
    <t xml:space="preserve">11s</t>
  </si>
  <si>
    <t xml:space="preserve">FD-092596</t>
  </si>
  <si>
    <t xml:space="preserve">简韵</t>
  </si>
  <si>
    <t xml:space="preserve">响应时长</t>
  </si>
  <si>
    <t xml:space="preserve">17s</t>
  </si>
  <si>
    <t xml:space="preserve">微信视频号回复率</t>
  </si>
  <si>
    <t xml:space="preserve">FD-091587</t>
  </si>
  <si>
    <t xml:space="preserve">李美美</t>
  </si>
  <si>
    <t xml:space="preserve">售后登记量</t>
  </si>
  <si>
    <t xml:space="preserve">12s</t>
  </si>
  <si>
    <t xml:space="preserve">FD-090581</t>
  </si>
  <si>
    <t xml:space="preserve">梁嘉琪</t>
  </si>
  <si>
    <t xml:space="preserve">平均响应时长：14秒</t>
  </si>
  <si>
    <t xml:space="preserve">FD-091042</t>
  </si>
  <si>
    <t xml:space="preserve">李秋静</t>
  </si>
  <si>
    <t xml:space="preserve">30%%</t>
  </si>
  <si>
    <t xml:space="preserve">40%%</t>
  </si>
  <si>
    <t xml:space="preserve">18%%</t>
  </si>
  <si>
    <t xml:space="preserve">FD-091806</t>
  </si>
  <si>
    <t xml:space="preserve">谭颖</t>
  </si>
  <si>
    <t xml:space="preserve">25%%</t>
  </si>
  <si>
    <t xml:space="preserve">FD-097461</t>
  </si>
  <si>
    <t xml:space="preserve">陈晨</t>
  </si>
  <si>
    <t xml:space="preserve">售后</t>
  </si>
  <si>
    <t xml:space="preserve">回复</t>
  </si>
  <si>
    <t xml:space="preserve">FD-093313</t>
  </si>
  <si>
    <t xml:space="preserve">陈玉夏</t>
  </si>
  <si>
    <t xml:space="preserve">17秒</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</si>
  <si>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</si>
  <si>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</si>
  <si>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</si>
  <si>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</si>
  <si>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</si>
  <si>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</si>
  <si>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</si>
  <si>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关键链接/店铺下架率</t>
  </si>
  <si>
    <t xml:space="preserve">抖音</t>
  </si>
  <si>
    <t xml:space="preserve">WIS完成80%，KONO完成76.9%，赫系完成率100%</t>
  </si>
  <si>
    <t xml:space="preserve">KONO下架</t>
  </si>
  <si>
    <t xml:space="preserve">下架店铺</t>
  </si>
  <si>
    <t xml:space="preserve">13个</t>
  </si>
  <si>
    <t xml:space="preserve">完成10个</t>
  </si>
  <si>
    <t xml:space="preserve">WIS下架</t>
  </si>
  <si>
    <t xml:space="preserve">完成8个</t>
  </si>
  <si>
    <t xml:space="preserve">赫系下架</t>
  </si>
  <si>
    <t xml:space="preserve">快手</t>
  </si>
  <si>
    <t xml:space="preserve">下架链接</t>
  </si>
  <si>
    <t xml:space="preserve">7月实习生招聘和培训
快手权重根据链接数量调整剩余11%调整为当月实习生招聘和培训</t>
  </si>
  <si>
    <t xml:space="preserve">完成招聘，未完成培训</t>
  </si>
  <si>
    <t xml:space="preserve">实习生培训</t>
  </si>
  <si>
    <t xml:space="preserve">上手和独立完成拼多多打假业务</t>
  </si>
  <si>
    <t xml:space="preserve">0.5分</t>
  </si>
  <si>
    <t xml:space="preserve">未完成</t>
  </si>
  <si>
    <t xml:space="preserve">实习生招聘</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</si>
  <si>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</si>
  <si>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</si>
  <si>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</si>
  <si>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</si>
  <si>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</si>
  <si>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京东平台关键链接打击下架50条</t>
  </si>
  <si>
    <t xml:space="preserve">50条</t>
  </si>
  <si>
    <t xml:space="preserve">实际完成38条</t>
  </si>
  <si>
    <t xml:space="preserve">15条</t>
  </si>
  <si>
    <t xml:space="preserve">实际完成15条</t>
  </si>
  <si>
    <t xml:space="preserve">实际下架3条</t>
  </si>
  <si>
    <t xml:space="preserve">20条</t>
  </si>
  <si>
    <t xml:space="preserve">实际下架20条</t>
  </si>
  <si>
    <t xml:space="preserve">淘宝平台假货链接打击下架60条</t>
  </si>
  <si>
    <t xml:space="preserve">60条</t>
  </si>
  <si>
    <t xml:space="preserve">实际完成57条</t>
  </si>
  <si>
    <t xml:space="preserve">5条</t>
  </si>
  <si>
    <t xml:space="preserve">实际下架5条</t>
  </si>
  <si>
    <t xml:space="preserve">实际下架2条</t>
  </si>
  <si>
    <t xml:space="preserve">实际下架50条</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</si>
  <si>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</si>
  <si>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</si>
  <si>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</si>
  <si>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</si>
  <si>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</si>
  <si>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</si>
  <si>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</si>
  <si>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</si>
  <si>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本月响应度高，工作完成准确到位，产出高质</t>
  </si>
  <si>
    <t xml:space="preserve">中心负责人评分</t>
  </si>
  <si>
    <t xml:space="preserve">每日必做清单（巡检、数据登记、视频发布等）的完成情况；是否按SOP要求执行工作，有无违规操作或流程偏差；是否主动发现问题、提出改进建议、承担额外任务</t>
  </si>
  <si>
    <t xml:space="preserve">本月积极探索AI，产出可在同渠道复用的视频上传skill；任务完成高质高效</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</si>
  <si>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</si>
  <si>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</si>
  <si>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</si>
  <si>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在活动中配合很好，及时响应，对接无阻碍；处理问题积极，做事认真负责</t>
  </si>
  <si>
    <t xml:space="preserve">本月fando推进产出可复用于渠道内的淘客定向数据汇报skill，工作反馈积极，完成任务高质高效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</si>
  <si>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</si>
  <si>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</si>
  <si>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</si>
  <si>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</si>
  <si>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</si>
  <si>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</si>
  <si>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工作完成高质高效，完成拓展团长沟通策略，提报CPS活动</t>
  </si>
  <si>
    <t xml:space="preserve">每日必做清单(巡检、数据登记、视频发布等)的完成情况;是否按SOP要求执行工作，有无违规操作或流程偏差;是否主动发现问题、提出改进建议、承担额外任务</t>
  </si>
  <si>
    <t xml:space="preserve">本月 Fando 项目落地效果稍显落后，工作上可进一步提升自主探索力度，结合京东渠道特性深挖新思路，推动项目取得更好落地效果。</t>
  </si>
  <si>
    <t xml:space="preserve">关键工作 完成日常作业提报 每日对接京东侧人员，保证提报品价格不受其他渠道影响，且符合低价规范</t>
  </si>
  <si>
    <t xml:space="preserve">每日对接京东侧人员提报促销活动，营销活动，满减等优惠券，保证提报品价格不影响其他渠道经营，且符合底价规范</t>
  </si>
  <si>
    <t xml:space="preserve">关键工作 物流费比7% 通过物流精细化管理与调控，实现物流成本与上月持平</t>
  </si>
  <si>
    <t xml:space="preserve">0.9分</t>
  </si>
  <si>
    <t xml:space="preserve">完成，调货情况正常仓储相对健康，平衡了补货和压仓的风险，既保证了日常店铺运营也保障了日常库存稳定，但因滞销限采原因7月调货次数较多，调货花费较多</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</si>
  <si>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</si>
  <si>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</si>
  <si>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</si>
  <si>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</si>
  <si>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对业务熟悉，带教新人认真，在协作板块需加强反馈和细致程度</t>
  </si>
  <si>
    <t xml:space="preserve">本月 Fando 项目推进较为停滞，暂无新产出，项目阶段性目标未达成。但在SOP梳理工作上较为细致，能够完整梳理流程节点，沉淀标准化文档</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</si>
  <si>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</si>
  <si>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</si>
  <si>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</si>
  <si>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视频剪辑探索方向进行更多的摸索，多进行进度的同步</t>
  </si>
  <si>
    <t xml:space="preserve">AI探索进度稍滞后，进度跟进和反馈需加强</t>
  </si>
  <si>
    <t xml:space="preserve">每日自剪视频5条，AI混剪25条，筛选有效素材，拆解测试方向</t>
  </si>
  <si>
    <t xml:space="preserve">两个店铺，每日共计50条，包括节假日60条，不得出现店铺停投，否则绩效归0；流量卡的投放</t>
  </si>
  <si>
    <t xml:space="preserve">执行效率与准确性（如视频发布数量、巡店完成率、数据登记错误率等）</t>
  </si>
  <si>
    <t xml:space="preserve">0.96分</t>
  </si>
  <si>
    <t xml:space="preserve">OD-009539</t>
  </si>
  <si>
    <t xml:space="preserve">郑依曼</t>
  </si>
  <si>
    <t xml:space="preserve">有突发情况会及时报备，沟通协作能力强，在Fando的研究中有实际的skill产出。下个月可以继续优化Fando skill，使AI工具能够跨品牌通同，实现重复性sop的统一。</t>
  </si>
  <si>
    <t xml:space="preserve">在 Fando 工具探索上具备独立思考与自主想法，独立完成 SOP 梳理工作，能够高效、高质量落地各项工作任务，执行力表现良好。</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</si>
  <si>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</si>
  <si>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</si>
  <si>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</si>
  <si>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</si>
  <si>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</si>
  <si>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很好，继续保持！</t>
  </si>
  <si>
    <t xml:space="preserve">视频剪辑成果仍有进一步打磨提升空间；8 月将承接拼多多相关剪辑工作，望继续沉淀优化，再接再厉。</t>
  </si>
  <si>
    <t xml:space="preserve">OD-002176</t>
  </si>
  <si>
    <t xml:space="preserve">卢梅玲</t>
  </si>
  <si>
    <t xml:space="preserve">做事相对较细心，有责任感；8月可提高工作流推进的自主意识，更顺畅地辅助店长完成基础工作</t>
  </si>
  <si>
    <t xml:space="preserve">光合平台维护:确保每日光合视频上传15条以上(不含周末),月优质视频数量占比20%以上
(优质视频占比不达标则按该项完成率乘系数,优质达标系数=1-(目标占比-实际占比)*100%))</t>
  </si>
  <si>
    <t xml:space="preserve">0.84分</t>
  </si>
  <si>
    <t xml:space="preserve">一周产出5张创意图，20张</t>
  </si>
  <si>
    <t xml:space="preserve">OD-000799</t>
  </si>
  <si>
    <t xml:space="preserve">林妙华</t>
  </si>
  <si>
    <t xml:space="preserve">工作状态稳定，下月可以尝试梳理0元的SOP~</t>
  </si>
  <si>
    <t xml:space="preserve">优势：在Fando的探索上有自主的想法，能够准确完成SOP梳理，执行力较强。 待提升：AI 探索层面可进一步更加积极主动，跳出既定任务，前置发现业务潜在问题，并同步配套可行的解决思路。</t>
  </si>
  <si>
    <t xml:space="preserve">每日必做清单(巡检、数据登记、视频发布等)的完成情况;是否按SOP要求执行工作，有无违规操作或流程偏差;是否主动发现问题、提出改进建议</t>
  </si>
  <si>
    <t xml:space="preserve">OD-002925</t>
  </si>
  <si>
    <t xml:space="preserve">张小蝶</t>
  </si>
  <si>
    <t xml:space="preserve">投放余额监控 百补在线监控 掉标申诉时效 多多视频发布合规性</t>
  </si>
  <si>
    <t xml:space="preserve">认真负责响应及时</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</si>
  <si>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</si>
  <si>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OD-008900</t>
  </si>
  <si>
    <t xml:space="preserve">黄玉容</t>
  </si>
  <si>
    <t xml:space="preserve">完成任务及时高效高质，继续保持！</t>
  </si>
  <si>
    <t xml:space="preserve">在 AI 探索这块可以再主动一些，可以往前多想一步，主动去发现业务里存在的问题</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</si>
  <si>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</si>
  <si>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</si>
  <si>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</si>
  <si>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</si>
  <si>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1.反馈不积极，任何事项都需要追问进度 2.事情完成度低 3.整体态度消极</t>
  </si>
  <si>
    <t xml:space="preserve">待提升：AI探索不够积极主动，暂未产出有效落地内容；部分业务事项跟进不及时，需强化主动跟进意识，做到事项及时闭环；</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</si>
  <si>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</si>
  <si>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</si>
  <si>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</si>
  <si>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</si>
  <si>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</si>
  <si>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工作响应程度高，交办事项能够及时反馈。但工作细心度仍需加强，注意规避同类问题重复发生！</t>
  </si>
  <si>
    <t xml:space="preserve">本月fando探索较为积极，后续可挖掘其他可复用产出落地；需要进一步提升自主思考能力，减少被动执行。</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</si>
  <si>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</si>
  <si>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</si>
  <si>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</si>
  <si>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</si>
  <si>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工作熟悉度流畅度很好，完成质量可以再提高些</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</si>
  <si>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</si>
  <si>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</si>
  <si>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</si>
  <si>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</si>
  <si>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</si>
  <si>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</si>
  <si>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</si>
  <si>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</si>
  <si>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广告费比</t>
  </si>
  <si>
    <t xml:space="preserve">拼多多渠道总投放占比36%</t>
  </si>
  <si>
    <t xml:space="preserve">财务统计数据为：36.44%</t>
  </si>
  <si>
    <t xml:space="preserve">平台体验分算法</t>
  </si>
  <si>
    <t xml:space="preserve">提出至少1个抖店体验分优化的方案，成本优于人工邀评并测试有效</t>
  </si>
  <si>
    <t xml:space="preserve">（有测试，但对于整店体验分提升没有明显的变化；）抖店评价有礼成本显著优于人工邀评，且测试有效：人工邀评7.5元/个好评，日均邀评280个，日均成本2100；2元返现2元/个，日均产出好评同样约280个，日均成本560元，可节约成本约1540/天</t>
  </si>
  <si>
    <t xml:space="preserve">可麦天猫月销8万，利润率0%</t>
  </si>
  <si>
    <t xml:space="preserve">销售额：91394/80000=1.13 利润率33.27%（无任何投放操作，利润率只作为基准值）</t>
  </si>
  <si>
    <t xml:space="preserve">OD-002484</t>
  </si>
  <si>
    <t xml:space="preserve">曹扬华</t>
  </si>
  <si>
    <t xml:space="preserve">其他指标</t>
  </si>
  <si>
    <t xml:space="preserve">可麦全平台的日常运营工作保证和数据支持</t>
  </si>
  <si>
    <t xml:space="preserve">提出至少1个体验分优化的方案，成本优于人工邀评并测试有效</t>
  </si>
  <si>
    <t xml:space="preserve">提出方案，原因邀评方式可能纯在风险，未合作（拼多多讲出了差评举报是90天的）</t>
  </si>
  <si>
    <t xml:space="preserve">协助完成创意图提需和机制测试，突破拼多多渠道日销8万</t>
  </si>
  <si>
    <t xml:space="preserve">创意图提需已完成，机制测试已完成，突破销售额未达目标</t>
  </si>
  <si>
    <t xml:space="preserve">FD-084958</t>
  </si>
  <si>
    <t xml:space="preserve">电商经理</t>
  </si>
  <si>
    <t xml:space="preserve">范泽轩</t>
  </si>
  <si>
    <t xml:space="preserve">墨雪抖音连续3天销售额超3.5万</t>
  </si>
  <si>
    <t xml:space="preserve">三天销售额17659.81，19286.85，17982.62</t>
  </si>
  <si>
    <t xml:space="preserve">墨雪抖音有一条消耗5000，ROI 2.2的素材</t>
  </si>
  <si>
    <t xml:space="preserve">图片素材最高消耗9,763.85，ROI 2.6，视频素材最高消耗8,343，ROI 2.1，ROI维达2.2</t>
  </si>
  <si>
    <t xml:space="preserve">魔渍抖音连续3天销售额超0.8万</t>
  </si>
  <si>
    <t xml:space="preserve">两天8000，一天7000</t>
  </si>
  <si>
    <t xml:space="preserve">魔渍抖音有一条消耗3000，ROI 2.2的素材</t>
  </si>
  <si>
    <t xml:space="preserve">AIGC素材消耗6,747.27，ROI 2.03，ROI未达2.2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</si>
  <si>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</si>
  <si>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</si>
  <si>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</si>
  <si>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</si>
  <si>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</si>
  <si>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</si>
  <si>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</si>
  <si>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</si>
  <si>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低成交店铺完成清理；</t>
  </si>
  <si>
    <t xml:space="preserve">低成交店铺数据及关店、开店流程都有梳理，但后面店铺不关闭了，任务中止（清理出具，但未有较好的建议）</t>
  </si>
  <si>
    <t xml:space="preserve">协助墨雪和魔渍店铺连续3天分别突破日销3.5万和0.8万</t>
  </si>
  <si>
    <t xml:space="preserve">墨雪有连续三天销售额均值1.76万，魔渍有两天8000、一天7000（按7000标准值算）</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</si>
  <si>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</si>
  <si>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</si>
  <si>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</si>
  <si>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</si>
  <si>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</si>
  <si>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</si>
  <si>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</si>
  <si>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</si>
  <si>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</si>
  <si>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</si>
  <si>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</si>
  <si>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</si>
  <si>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</si>
  <si>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自产素材费用花费效率</t>
  </si>
  <si>
    <t xml:space="preserve">自产素材费用花费效率 ROI≥1.8</t>
  </si>
  <si>
    <t xml:space="preserve">自产大投素材产出</t>
  </si>
  <si>
    <t xml:space="preserve">产出大投素材*3</t>
  </si>
  <si>
    <t xml:space="preserve">FD-023018</t>
  </si>
  <si>
    <t xml:space="preserve">视频编辑</t>
  </si>
  <si>
    <t xml:space="preserve">陈广聪</t>
  </si>
  <si>
    <t xml:space="preserve">个人折算后成交额达100w</t>
  </si>
  <si>
    <t xml:space="preserve">100万元</t>
  </si>
  <si>
    <t xml:space="preserve">达标</t>
  </si>
  <si>
    <t xml:space="preserve">面膜单条成交&gt;10万，眼膜/凝颜单条成交&gt;5万，微针单条成交&gt;3万，AI素材单条成交&gt;2万（全品类）</t>
  </si>
  <si>
    <t xml:space="preserve">6条</t>
  </si>
  <si>
    <t xml:space="preserve">自产素材剪辑完成情况</t>
  </si>
  <si>
    <t xml:space="preserve">按时交付4个版本</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</si>
  <si>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</si>
  <si>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</si>
  <si>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</si>
  <si>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</si>
  <si>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</si>
  <si>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</si>
  <si>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拍摄难点突破及创新</t>
  </si>
  <si>
    <t xml:space="preserve">面膜/眼膜单条成交&gt;10万，次抛/微针单条成交&gt;5万，燕窝/凝颜单条成交&gt;3万</t>
  </si>
  <si>
    <t xml:space="preserve">5个</t>
  </si>
  <si>
    <t xml:space="preserve">FD-026487</t>
  </si>
  <si>
    <t xml:space="preserve">何金芝</t>
  </si>
  <si>
    <t xml:space="preserve">自产创意方向突破及大投素材产出：眼膜/面膜单条新素材成交&gt;10万，次抛/微针单条素材成交&gt;5万，燕窝&gt;3万</t>
  </si>
  <si>
    <t xml:space="preserve">微针4条大于5万，眼膜5条大于10万</t>
  </si>
  <si>
    <t xml:space="preserve">退后业绩目标140万</t>
  </si>
  <si>
    <t xml:space="preserve">141.5万元万元万元</t>
  </si>
  <si>
    <t xml:space="preserve">141.5万元</t>
  </si>
  <si>
    <t xml:space="preserve">自产总花费ROI&gt;1.7，AIroi&gt;1.8</t>
  </si>
  <si>
    <t xml:space="preserve">自产总花费ROI 2.45，AIroi 2.15</t>
  </si>
  <si>
    <t xml:space="preserve">FD-027130</t>
  </si>
  <si>
    <t xml:space="preserve">马鸿涛</t>
  </si>
  <si>
    <t xml:space="preserve">个人总成交额目标140w</t>
  </si>
  <si>
    <t xml:space="preserve">212.9342万元万元</t>
  </si>
  <si>
    <t xml:space="preserve">自产花费ROI&gt;1.7，AI素材ROI&gt;2</t>
  </si>
  <si>
    <t xml:space="preserve">1.9865%%%</t>
  </si>
  <si>
    <t xml:space="preserve">自产创新方向及大投素材产出</t>
  </si>
  <si>
    <t xml:space="preserve">创新/AI方向大投素材产出*3</t>
  </si>
  <si>
    <t xml:space="preserve">7条</t>
  </si>
  <si>
    <t xml:space="preserve">FD-027853</t>
  </si>
  <si>
    <t xml:space="preserve">曾颖</t>
  </si>
  <si>
    <t xml:space="preserve">以WIS全品类各平台（千川/视频号）的个人素材扣退成交额为准，折算规则参考绩效方案。</t>
  </si>
  <si>
    <t xml:space="preserve">103万元万元</t>
  </si>
  <si>
    <t xml:space="preserve">按档期交付四个版本，超时视为未完成</t>
  </si>
  <si>
    <t xml:space="preserve">FD-020772</t>
  </si>
  <si>
    <t xml:space="preserve">陈俞婷</t>
  </si>
  <si>
    <t xml:space="preserve">8.72814万元</t>
  </si>
  <si>
    <t xml:space="preserve">面膜单条成交&gt;10万，眼膜/凝颜单条成交&gt;5万，微针单条成交&gt;3万</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</si>
  <si>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</si>
  <si>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</si>
  <si>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</si>
  <si>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</si>
  <si>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</si>
  <si>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</si>
  <si>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</si>
  <si>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</si>
  <si>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</si>
  <si>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</si>
  <si>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研究院716526.56元</t>
  </si>
  <si>
    <t xml:space="preserve">71.652656万元</t>
  </si>
  <si>
    <t xml:space="preserve">730673.94万元</t>
  </si>
  <si>
    <t xml:space="preserve">活力提升</t>
  </si>
  <si>
    <t xml:space="preserve">研究院提升0.2h（以8.64h为基础）</t>
  </si>
  <si>
    <t xml:space="preserve">供应部提升0.07h（以8.81h为基础）</t>
  </si>
  <si>
    <t xml:space="preserve">关键工作2.0</t>
  </si>
  <si>
    <t xml:space="preserve">SKILL推进-面谈完成率-8人</t>
  </si>
  <si>
    <t xml:space="preserve">SKILL推进-AI激励方案完成</t>
  </si>
  <si>
    <t xml:space="preserve">方案已经通过审核</t>
  </si>
  <si>
    <t xml:space="preserve">FD-156080</t>
  </si>
  <si>
    <t xml:space="preserve">刘敏娜</t>
  </si>
  <si>
    <t xml:space="preserve">人资行政部：1295125.36</t>
  </si>
  <si>
    <t xml:space="preserve">1295125.36元</t>
  </si>
  <si>
    <t xml:space="preserve">1289007.63元</t>
  </si>
  <si>
    <t xml:space="preserve">AI活力提升0.1h</t>
  </si>
  <si>
    <t xml:space="preserve">员工关系2.0</t>
  </si>
  <si>
    <t xml:space="preserve">周期内员工关系</t>
  </si>
  <si>
    <t xml:space="preserve">【skill推进】50%面谈完成率+50%AI激励方案完成</t>
  </si>
  <si>
    <t xml:space="preserve">面谈完成8人；AI激励方案完成</t>
  </si>
  <si>
    <t xml:space="preserve">AI：1300215.76</t>
  </si>
  <si>
    <t xml:space="preserve">1300215.76元</t>
  </si>
  <si>
    <t xml:space="preserve">1138645.41元</t>
  </si>
  <si>
    <t xml:space="preserve">FD-157065</t>
  </si>
  <si>
    <t xml:space="preserve">霍雨佳</t>
  </si>
  <si>
    <t xml:space="preserve">市场7.20前商务PR迭代2人，广告7.30前摄像师迭代2人</t>
  </si>
  <si>
    <t xml:space="preserve">4人</t>
  </si>
  <si>
    <t xml:space="preserve">市场新品牌顺利交接</t>
  </si>
  <si>
    <t xml:space="preserve">目标179.5万</t>
  </si>
  <si>
    <t xml:space="preserve">179.73万元</t>
  </si>
  <si>
    <t xml:space="preserve">50%面谈完成率+50%AI激励方案完成</t>
  </si>
  <si>
    <t xml:space="preserve">FD-150605</t>
  </si>
  <si>
    <t xml:space="preserve">时敏</t>
  </si>
  <si>
    <t xml:space="preserve">电商发展部1955865.36元</t>
  </si>
  <si>
    <t xml:space="preserve">电商发展部活力提升0.06h（以8.39h为基础）</t>
  </si>
  <si>
    <t xml:space="preserve">设计助理7.25前迭代2人</t>
  </si>
  <si>
    <t xml:space="preserve">1. 设计助理@黎宜汶 7.24离职 2. 设计助理@李可 7.25离职</t>
  </si>
  <si>
    <t xml:space="preserve">9人面谈已完成，AI激励方案总监未审核</t>
  </si>
  <si>
    <t xml:space="preserve">凡岛大学221722.76元</t>
  </si>
  <si>
    <t xml:space="preserve">FD-151649</t>
  </si>
  <si>
    <t xml:space="preserve">钱含韵</t>
  </si>
  <si>
    <t xml:space="preserve">【人力预算】品牌营销部2705290.95元</t>
  </si>
  <si>
    <t xml:space="preserve">面谈8+AI激励方案完成+氛围营造</t>
  </si>
  <si>
    <t xml:space="preserve">【Fando项目】按规定时间点推进各项事情</t>
  </si>
  <si>
    <t xml:space="preserve">【活力提升】品营提升0.11h（以8.69h为基础）</t>
  </si>
  <si>
    <t xml:space="preserve">FD-151167</t>
  </si>
  <si>
    <t xml:space="preserve">李宁</t>
  </si>
  <si>
    <t xml:space="preserve">线下渠道部1245292.32元</t>
  </si>
  <si>
    <t xml:space="preserve">5，3</t>
  </si>
  <si>
    <t xml:space="preserve">线下有开展实操会议和奖金激励</t>
  </si>
  <si>
    <t xml:space="preserve">财务部活力提升0.05h</t>
  </si>
  <si>
    <t xml:space="preserve">0.05h</t>
  </si>
  <si>
    <t xml:space="preserve">0.21h</t>
  </si>
  <si>
    <t xml:space="preserve">财务部7.31前迭代2人（D级）</t>
  </si>
  <si>
    <t xml:space="preserve">财务部548487.08元</t>
  </si>
  <si>
    <t xml:space="preserve">FD-150574</t>
  </si>
  <si>
    <t xml:space="preserve">阮可莹</t>
  </si>
  <si>
    <t xml:space="preserve">品牌创意部1832058.48元</t>
  </si>
  <si>
    <t xml:space="preserve">183.2万元</t>
  </si>
  <si>
    <t xml:space="preserve">169.6万元</t>
  </si>
  <si>
    <t xml:space="preserve">营销经理7.20前迭代1人,7.25前迭代1人，7.31前迭代1人（D级）</t>
  </si>
  <si>
    <t xml:space="preserve">一人7.16离职，两人7.31离职</t>
  </si>
  <si>
    <t xml:space="preserve">总经办1037765.63元</t>
  </si>
  <si>
    <t xml:space="preserve">103.7万元</t>
  </si>
  <si>
    <t xml:space="preserve">预测支出1008458.17元万元</t>
  </si>
  <si>
    <t xml:space="preserve">品牌创意部人才培养--完成部门通用课程设计</t>
  </si>
  <si>
    <t xml:space="preserve">已完成品创新人培训营、AI全员培训课程搭建并落地</t>
  </si>
  <si>
    <t xml:space="preserve">品牌创意部人才培养--7月培训课程100%落地</t>
  </si>
  <si>
    <t xml:space="preserve">落地4门新人培训+7门AI培训</t>
  </si>
  <si>
    <t xml:space="preserve">skill推进--完成fando面谈8人</t>
  </si>
  <si>
    <t xml:space="preserve">完成10人面谈</t>
  </si>
  <si>
    <t xml:space="preserve">skill推进--AI激励方案完成提交</t>
  </si>
  <si>
    <t xml:space="preserve">AI激励方案已提交</t>
  </si>
  <si>
    <t xml:space="preserve">FD-155005</t>
  </si>
  <si>
    <t xml:space="preserve">陈氏红琼</t>
  </si>
  <si>
    <t xml:space="preserve">梳理海外事业部整体编制与人力预算</t>
  </si>
  <si>
    <t xml:space="preserve">已完成%</t>
  </si>
  <si>
    <t xml:space="preserve">招聘：越南分部：商务专员：1人，实习生：4人，主播/主播：2人</t>
  </si>
  <si>
    <t xml:space="preserve">薪酬体系管理</t>
  </si>
  <si>
    <t xml:space="preserve">- 主播工作记录沟通；
- 8月续约合同沟通；</t>
  </si>
  <si>
    <t xml:space="preserve">越南公司共识文档</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</si>
  <si>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</si>
  <si>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</si>
  <si>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</si>
  <si>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</si>
  <si>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</si>
  <si>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</si>
  <si>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</si>
  <si>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</si>
  <si>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</si>
  <si>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团队成长管理（主播教练）</t>
  </si>
  <si>
    <t xml:space="preserve">成功培养3名普通主播（输送进入上层直播间并留存≥2周）</t>
  </si>
  <si>
    <t xml:space="preserve">罗梓欣 宋怡琳 陈怡伶</t>
  </si>
  <si>
    <t xml:space="preserve">直播间日常管理-直播内容策划（小场）（主播教练）-爆发系数</t>
  </si>
  <si>
    <t xml:space="preserve">70%测试得出2个或以上有效可复用内容策划</t>
  </si>
  <si>
    <t xml:space="preserve">已完成 世界杯内容场，大于日常平销，后续测试新品无法推进内容场次</t>
  </si>
  <si>
    <t xml:space="preserve">直播间日常管理-直播间呈现有效更新（主播教练）</t>
  </si>
  <si>
    <t xml:space="preserve">30%沟通稿全面更新≥2次（需过审，结合新赠品）</t>
  </si>
  <si>
    <t xml:space="preserve">FD-028493</t>
  </si>
  <si>
    <t xml:space="preserve">李爽</t>
  </si>
  <si>
    <t xml:space="preserve">38.1万元</t>
  </si>
  <si>
    <t xml:space="preserve">成功培养2名普通主播（输送进入上层直播间并留存≥2周）</t>
  </si>
  <si>
    <t xml:space="preserve">蒋珂、陈怡伶、罗梓欣、宋怡琳</t>
  </si>
  <si>
    <t xml:space="preserve">30%沟通稿全面更新≥2次（需过审，结合新赠品）+ 70%测试得出2个或以上有效可复用内容策划</t>
  </si>
  <si>
    <t xml:space="preserve">世界杯场次时销/转化高于平均.+新稿件撰写（次抛+轮播）</t>
  </si>
  <si>
    <t xml:space="preserve">FD-023807</t>
  </si>
  <si>
    <t xml:space="preserve">梁瑜涵</t>
  </si>
  <si>
    <t xml:space="preserve">直播间GSV≥1105 万</t>
  </si>
  <si>
    <t xml:space="preserve">实际完成543.9万</t>
  </si>
  <si>
    <t xml:space="preserve">人员管理-主播培养（主播教练）</t>
  </si>
  <si>
    <t xml:space="preserve">完成3名，惠敏、赵媛、晓茏</t>
  </si>
  <si>
    <t xml:space="preserve">沟通稿全面更新2次，测试出2个有效内容场，且测试深蓝+金色色调有效</t>
  </si>
  <si>
    <t xml:space="preserve">FD-026339</t>
  </si>
  <si>
    <t xml:space="preserve">鲍敏纳</t>
  </si>
  <si>
    <t xml:space="preserve">视频号渠道直播间GSV≥195万</t>
  </si>
  <si>
    <t xml:space="preserve">195万</t>
  </si>
  <si>
    <t xml:space="preserve">143.7万</t>
  </si>
  <si>
    <t xml:space="preserve">化妆师管理</t>
  </si>
  <si>
    <t xml:space="preserve">完成化妆师招聘，推进一名新人化妆师曾恩彤入职</t>
  </si>
  <si>
    <t xml:space="preserve">培养胡琳琳和王明玥从四级直播间（护肤未关闭前）陆续轮转至三级和二级直播间，已满两周。</t>
  </si>
  <si>
    <t xml:space="preserve">直播间日常管理-直播内容策划（小场）（主播教练）-创新策划落地</t>
  </si>
  <si>
    <t xml:space="preserve">1. 背景可复用：采用红金色全封闭室背景，放大主播画面占比，突出亲近感。2. 沟通稿可复用：停止同播抖音，采用更加大胆和大白话的话术进行测试，整体gmv平均拉升46%</t>
  </si>
  <si>
    <t xml:space="preserve">2次</t>
  </si>
  <si>
    <t xml:space="preserve">3次</t>
  </si>
  <si>
    <t xml:space="preserve">结合视频号渠道的测品需求，全面更新燕窝面膜、微针面膜和次抛精华的沟通稿件</t>
  </si>
  <si>
    <t xml:space="preserve">FD-024035</t>
  </si>
  <si>
    <t xml:space="preserve">曾泳淇</t>
  </si>
  <si>
    <t xml:space="preserve">直播间GSV≥1014万</t>
  </si>
  <si>
    <t xml:space="preserve">1014万</t>
  </si>
  <si>
    <t xml:space="preserve">759.2万</t>
  </si>
  <si>
    <t xml:space="preserve">持续优化3.0版水光肽面膜上新节奏、物料和主播状态，7月底实现高爆发 同步上新上新官和推荐官场域，爆发系数在1.5以上</t>
  </si>
  <si>
    <t xml:space="preserve">1名普通主播排名进入前3≥1周</t>
  </si>
  <si>
    <t xml:space="preserve">赵媛进入前三（目前持续第二）林惠敏进入前三（目前持续第三）</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</si>
  <si>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</si>
  <si>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</si>
  <si>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</si>
  <si>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</si>
  <si>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</si>
  <si>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</si>
  <si>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</si>
  <si>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及时响应且解决次数/总突发事件数</t>
  </si>
  <si>
    <t xml:space="preserve">播间异常反馈处理30次，均已及时有效处理</t>
  </si>
  <si>
    <t xml:space="preserve">直播助理培训（运维）</t>
  </si>
  <si>
    <t xml:space="preserve">实际培训人数/当月入职新助理人数</t>
  </si>
  <si>
    <t xml:space="preserve">本月入职助理0人，主要培训为线上培训</t>
  </si>
  <si>
    <t xml:space="preserve">关键工作（运维）</t>
  </si>
  <si>
    <t xml:space="preserve">配合视频中心完成自产拍摄</t>
  </si>
  <si>
    <t xml:space="preserve">本月拍摄2场8条自产引流稿件</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</si>
  <si>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</si>
  <si>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</si>
  <si>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</si>
  <si>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</si>
  <si>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</si>
  <si>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</si>
  <si>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</si>
  <si>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</si>
  <si>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</si>
  <si>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末位面谈完成率</t>
  </si>
  <si>
    <t xml:space="preserve">对绩效排名末尾助理面谈，提出问题并解决 完成率=实际完成数量/目标数量，目标每月定计划时进行确认</t>
  </si>
  <si>
    <t xml:space="preserve">直播间日常管理（中助）</t>
  </si>
  <si>
    <t xml:space="preserve">50%判罚规避完成率+50%直播间管理（前端视觉呈现监督、及时处理直播间异常）</t>
  </si>
  <si>
    <t xml:space="preserve">7月因为主播口播夸大售后问题有判罚情况，直播间视觉正常呈现</t>
  </si>
  <si>
    <t xml:space="preserve">人员编制管理（中助）</t>
  </si>
  <si>
    <t xml:space="preserve">50%常态化招聘面试+50%新助理入职培训孵化(在人员空缺或待优化时完成)</t>
  </si>
  <si>
    <t xml:space="preserve">常态化招聘面试 进行中。【品牌精选助理编制7 人,在职7人】 【优选助理编制 5人,在职6人】</t>
  </si>
  <si>
    <t xml:space="preserve">FD-023150</t>
  </si>
  <si>
    <t xml:space="preserve">叶铭康</t>
  </si>
  <si>
    <t xml:space="preserve">50%助理复盘+50%末位面谈</t>
  </si>
  <si>
    <t xml:space="preserve">助理复盘保持每周进行中，末位淘汰在7月末正常进行，官旗、王鸥各淘汰一名助理</t>
  </si>
  <si>
    <t xml:space="preserve">直播间管理（日常跟踪监测直播间助理、直播间视觉呈现效果、处理突发异常反馈）</t>
  </si>
  <si>
    <t xml:space="preserve">官旗、王鸥直播间7月暂无重大违规。 直播间视觉管理每日进行，特殊异常情况也有及时进行处理。整体有稳定进行</t>
  </si>
  <si>
    <t xml:space="preserve">因7月初护肤直播间关闭，助理分配至各个直播间，因此短暂超编，本月暂无安排面试。 末尾淘汰后最终人员编制情况稳定。【官旗助理编制7人，在职7人】 【王鸥助理编制5人，在职5人】</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</si>
  <si>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</si>
  <si>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</si>
  <si>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</si>
  <si>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</si>
  <si>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</si>
  <si>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</si>
  <si>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</si>
  <si>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供应商开发指标</t>
  </si>
  <si>
    <t xml:space="preserve">供应商开发</t>
  </si>
  <si>
    <t xml:space="preserve">需求完成率</t>
  </si>
  <si>
    <t xml:space="preserve">市场调研指标</t>
  </si>
  <si>
    <t xml:space="preserve">包括但不限于：供应商图谱、主题调研报告、市场行情分析</t>
  </si>
  <si>
    <t xml:space="preserve">FD-093555</t>
  </si>
  <si>
    <t xml:space="preserve">宋金南</t>
  </si>
  <si>
    <t xml:space="preserve">降本目标达成率</t>
  </si>
  <si>
    <t xml:space="preserve">FD-098100</t>
  </si>
  <si>
    <t xml:space="preserve">张思源</t>
  </si>
  <si>
    <t xml:space="preserve">银金达膜袋辅助议价（无降本）、艾利辅助（未落地）、日期码（未落地）</t>
  </si>
  <si>
    <t xml:space="preserve">原料代采代购合作模式</t>
  </si>
  <si>
    <t xml:space="preserve">项目无进展，过程不理想</t>
  </si>
  <si>
    <t xml:space="preserve">护肤加工厂寻源</t>
  </si>
  <si>
    <t xml:space="preserve">项目取消</t>
  </si>
  <si>
    <t xml:space="preserve">水运调度</t>
  </si>
  <si>
    <t xml:space="preserve">取消</t>
  </si>
  <si>
    <t xml:space="preserve">铁路运输</t>
  </si>
  <si>
    <t xml:space="preserve">待引入供应商</t>
  </si>
  <si>
    <t xml:space="preserve">WMS系统开发</t>
  </si>
  <si>
    <t xml:space="preserve">引入</t>
  </si>
  <si>
    <t xml:space="preserve">广州快递反内卷现状调研</t>
  </si>
  <si>
    <t xml:space="preserve">荷琇洗护链测算</t>
  </si>
  <si>
    <t xml:space="preserve">无优势</t>
  </si>
  <si>
    <t xml:space="preserve">内托供应商二轮开发</t>
  </si>
  <si>
    <t xml:space="preserve">引入杰坤</t>
  </si>
  <si>
    <t xml:space="preserve">WIS紧致提拉眼霜包材开发</t>
  </si>
  <si>
    <t xml:space="preserve">周转箱项目跟进</t>
  </si>
  <si>
    <t xml:space="preserve">进度不理想，未进行多方共识或项目价值量评估</t>
  </si>
  <si>
    <t xml:space="preserve">历史寻源表格整理</t>
  </si>
  <si>
    <t xml:space="preserve">完成补充，但不完整</t>
  </si>
  <si>
    <t xml:space="preserve">未进行优化</t>
  </si>
  <si>
    <t xml:space="preserve">FD-091451</t>
  </si>
  <si>
    <t xml:space="preserve">刘言钰</t>
  </si>
  <si>
    <t xml:space="preserve">粉碎机寻源</t>
  </si>
  <si>
    <t xml:space="preserve">叉车回收处理渠道商</t>
  </si>
  <si>
    <t xml:space="preserve">护肤加工厂寻源-辅助</t>
  </si>
  <si>
    <t xml:space="preserve">水疗杯寻源-辅助</t>
  </si>
  <si>
    <t xml:space="preserve">确认祥顺</t>
  </si>
  <si>
    <t xml:space="preserve">KONO季节限定赠品-香卡香挂</t>
  </si>
  <si>
    <t xml:space="preserve">KONO 卡厘沙龙旅行套网纱包</t>
  </si>
  <si>
    <t xml:space="preserve">线下渠道冰袖</t>
  </si>
  <si>
    <t xml:space="preserve">wis美容仪</t>
  </si>
  <si>
    <t xml:space="preserve">生化培养箱寻源</t>
  </si>
  <si>
    <t xml:space="preserve">ipdf包装展供应商储备</t>
  </si>
  <si>
    <t xml:space="preserve">中心AI工作</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</si>
  <si>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</si>
  <si>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</si>
  <si>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</si>
  <si>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</si>
  <si>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</si>
  <si>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</si>
  <si>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</si>
  <si>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</si>
  <si>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赫系双层水光蛋白喷雾7.15提交备案</t>
  </si>
  <si>
    <t xml:space="preserve">7.7已提交备案</t>
  </si>
  <si>
    <t xml:space="preserve">赫系二硫化硒洗发水2.0 330g 7.23下成品大货订单</t>
  </si>
  <si>
    <t xml:space="preserve">7.16已下成品大货单</t>
  </si>
  <si>
    <t xml:space="preserve">赫系鎏光护发精华油7.15下不干胶、泵头大货订单</t>
  </si>
  <si>
    <t xml:space="preserve">7.7已下泵头大货订单，7.10已下不干胶大货订单</t>
  </si>
  <si>
    <t xml:space="preserve">WIS美白次抛7.28试产完成</t>
  </si>
  <si>
    <t xml:space="preserve">7.21试产完成</t>
  </si>
  <si>
    <t xml:space="preserve">FD-080758</t>
  </si>
  <si>
    <t xml:space="preserve">蒋晴</t>
  </si>
  <si>
    <t xml:space="preserve">KONO秋500ml7.31大货出货</t>
  </si>
  <si>
    <t xml:space="preserve">7.27到仓</t>
  </si>
  <si>
    <t xml:space="preserve">WIS多肽紧致溯龄面膜7.15提交备案</t>
  </si>
  <si>
    <t xml:space="preserve">7.14提交备案，7.17备案完成</t>
  </si>
  <si>
    <t xml:space="preserve">关键工作</t>
  </si>
  <si>
    <t xml:space="preserve">KONO夏50g，8g大货7.20出货</t>
  </si>
  <si>
    <t xml:space="preserve">7.14出货4.4万</t>
  </si>
  <si>
    <t xml:space="preserve">海外DAV眼膜7.31出货</t>
  </si>
  <si>
    <t xml:space="preserve">7.29到仓</t>
  </si>
  <si>
    <t xml:space="preserve">赫系沁润沐浴露470ml7.31灌包完成</t>
  </si>
  <si>
    <t xml:space="preserve">7.31灌包完成</t>
  </si>
  <si>
    <t xml:space="preserve">FD-079493</t>
  </si>
  <si>
    <t xml:space="preserve">刘乃瑶</t>
  </si>
  <si>
    <t xml:space="preserve">KONO免洗洗发水软管版 7.20前下大货订单</t>
  </si>
  <si>
    <t xml:space="preserve">KONO 橘光焕活精油，7.15提交备案</t>
  </si>
  <si>
    <t xml:space="preserve">KONO卡厘轻盈系列（控油+去屑）7.17提交备案</t>
  </si>
  <si>
    <t xml:space="preserve">WIS玻色因紧致面膜，7.10下打样订单</t>
  </si>
  <si>
    <t xml:space="preserve">KONO角蛋白发膜60ml 7.15下大货订单</t>
  </si>
  <si>
    <t xml:space="preserve">FD-094205</t>
  </si>
  <si>
    <t xml:space="preserve">杨文霞</t>
  </si>
  <si>
    <t xml:space="preserve">KONO 卡厘控油蓬松洗发水2.0 7.30出货</t>
  </si>
  <si>
    <t xml:space="preserve">WIS七夕礼盒7.30打样完成</t>
  </si>
  <si>
    <t xml:space="preserve">三文鱼面膜ODM7.25提交备案</t>
  </si>
  <si>
    <t xml:space="preserve">KONO 卡厘控油蓬松洗发水2.0 7.30完成200和280ml备案图</t>
  </si>
  <si>
    <t xml:space="preserve">赫系控油蓬松打底水7.31打样完成</t>
  </si>
  <si>
    <t xml:space="preserve">FD-091127</t>
  </si>
  <si>
    <t xml:space="preserve">张昊</t>
  </si>
  <si>
    <t xml:space="preserve">7.29前完成柔感2.0出货</t>
  </si>
  <si>
    <t xml:space="preserve">7.30前完成赋活发膜3.0出货</t>
  </si>
  <si>
    <t xml:space="preserve">7.28前完成IRY软膜试产原料&amp;包材配送</t>
  </si>
  <si>
    <t xml:space="preserve">7.20前完成WIS洁面泥实物确版</t>
  </si>
  <si>
    <t xml:space="preserve">7.31前完成赫系香氛洗发水茶香版本下大货订单</t>
  </si>
  <si>
    <t xml:space="preserve">FD-099551</t>
  </si>
  <si>
    <t xml:space="preserve">郑诗怡</t>
  </si>
  <si>
    <t xml:space="preserve">完成项目管理初期培训</t>
  </si>
  <si>
    <t xml:space="preserve">完成项目风险管理培训</t>
  </si>
  <si>
    <t xml:space="preserve">完成项目沟通管理培训</t>
  </si>
  <si>
    <t xml:space="preserve">完成金蝶使用培训</t>
  </si>
  <si>
    <t xml:space="preserve">FD-074794</t>
  </si>
  <si>
    <t xml:space="preserve">罗莉</t>
  </si>
  <si>
    <t xml:space="preserve">40万</t>
  </si>
  <si>
    <t xml:space="preserve">15.8万</t>
  </si>
  <si>
    <t xml:space="preserve">第三季度目标</t>
  </si>
  <si>
    <t xml:space="preserve">夏季活动出货金额</t>
  </si>
  <si>
    <t xml:space="preserve">利润</t>
  </si>
  <si>
    <t xml:space="preserve">FD-079716</t>
  </si>
  <si>
    <t xml:space="preserve">孙靖凯</t>
  </si>
  <si>
    <t xml:space="preserve">26.4万元</t>
  </si>
  <si>
    <t xml:space="preserve">季度返利</t>
  </si>
  <si>
    <t xml:space="preserve">290万元</t>
  </si>
  <si>
    <t xml:space="preserve">240万元</t>
  </si>
  <si>
    <t xml:space="preserve">夏季活动出货</t>
  </si>
  <si>
    <t xml:space="preserve">17.4万元</t>
  </si>
  <si>
    <t xml:space="preserve">-13万元</t>
  </si>
  <si>
    <t xml:space="preserve">-26.4万元</t>
  </si>
  <si>
    <t xml:space="preserve">FD-073151</t>
  </si>
  <si>
    <t xml:space="preserve">线下渠道部-KONO-KONO销售A中心-华南区</t>
  </si>
  <si>
    <t xml:space="preserve">马艳</t>
  </si>
  <si>
    <t xml:space="preserve">28.2万</t>
  </si>
  <si>
    <t xml:space="preserve">第三季度返利</t>
  </si>
  <si>
    <t xml:space="preserve">130万</t>
  </si>
  <si>
    <t xml:space="preserve">120万</t>
  </si>
  <si>
    <t xml:space="preserve">12.5万</t>
  </si>
  <si>
    <t xml:space="preserve">21.4万</t>
  </si>
  <si>
    <t xml:space="preserve">新品出货额</t>
  </si>
  <si>
    <t xml:space="preserve">0万</t>
  </si>
  <si>
    <t xml:space="preserve">-26.4万</t>
  </si>
  <si>
    <t xml:space="preserve">FD-079634</t>
  </si>
  <si>
    <t xml:space="preserve">线下渠道部-KONO-KONO销售A中心-华北区</t>
  </si>
  <si>
    <t xml:space="preserve">张冰</t>
  </si>
  <si>
    <t xml:space="preserve">总出货金额</t>
  </si>
  <si>
    <t xml:space="preserve">50万元</t>
  </si>
  <si>
    <t xml:space="preserve">49.7万元</t>
  </si>
  <si>
    <t xml:space="preserve">170万元</t>
  </si>
  <si>
    <t xml:space="preserve">12.5万元</t>
  </si>
  <si>
    <t xml:space="preserve">41.1万元</t>
  </si>
  <si>
    <t xml:space="preserve">新品上新出货金额</t>
  </si>
  <si>
    <t xml:space="preserve">12万元</t>
  </si>
  <si>
    <t xml:space="preserve">FD-078857</t>
  </si>
  <si>
    <t xml:space="preserve">线下渠道部-KONO-KONO销售A中心-东北区</t>
  </si>
  <si>
    <t xml:space="preserve">何诗童</t>
  </si>
  <si>
    <t xml:space="preserve">30万</t>
  </si>
  <si>
    <t xml:space="preserve">11.8万</t>
  </si>
  <si>
    <t xml:space="preserve">70万</t>
  </si>
  <si>
    <t xml:space="preserve">75万</t>
  </si>
  <si>
    <t xml:space="preserve">2.7万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</si>
  <si>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</si>
  <si>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</si>
  <si>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</si>
  <si>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</si>
  <si>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</si>
  <si>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</si>
  <si>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</si>
  <si>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单目标，降本、增效类</t>
  </si>
  <si>
    <t xml:space="preserve">利润目标</t>
  </si>
  <si>
    <t xml:space="preserve">20万</t>
  </si>
  <si>
    <t xml:space="preserve">收入（降本增效）</t>
  </si>
  <si>
    <t xml:space="preserve">25万</t>
  </si>
  <si>
    <t xml:space="preserve">47.3万</t>
  </si>
  <si>
    <t xml:space="preserve">FD-101501</t>
  </si>
  <si>
    <t xml:space="preserve">李桃</t>
  </si>
  <si>
    <t xml:space="preserve">定性类关键工作，如关键单品、研究节点、重点设计项目</t>
  </si>
  <si>
    <t xml:space="preserve">完成环5肽的通路验证实验</t>
  </si>
  <si>
    <t xml:space="preserve">完成靶向包裹技术调试与配方确定</t>
  </si>
  <si>
    <t xml:space="preserve">完成侧柏超分子提取工艺开发</t>
  </si>
  <si>
    <t xml:space="preserve">技术交流分享</t>
  </si>
  <si>
    <t xml:space="preserve">FD-108201</t>
  </si>
  <si>
    <t xml:space="preserve">凡岛研究院-产品设计中心</t>
  </si>
  <si>
    <t xml:space="preserve">设计高级经理</t>
  </si>
  <si>
    <t xml:space="preserve">王思潼</t>
  </si>
  <si>
    <t xml:space="preserve">凡岛2026中秋礼盒</t>
  </si>
  <si>
    <t xml:space="preserve">WIS调色面膜礼盒</t>
  </si>
  <si>
    <t xml:space="preserve">图稿制作维护货损率0%</t>
  </si>
  <si>
    <t xml:space="preserve">产品设计逾期率</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</si>
  <si>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</si>
  <si>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</si>
  <si>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</si>
  <si>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</si>
  <si>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</si>
  <si>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岗位招聘计划完成率</t>
  </si>
  <si>
    <t xml:space="preserve">个人主播+助理入职4人</t>
  </si>
  <si>
    <t xml:space="preserve">岗位招聘质量得分</t>
  </si>
  <si>
    <t xml:space="preserve">三个全部通过</t>
  </si>
  <si>
    <t xml:space="preserve">OD-001008</t>
  </si>
  <si>
    <t xml:space="preserve">王巧微</t>
  </si>
  <si>
    <t xml:space="preserve">主播+助理入职4人</t>
  </si>
  <si>
    <t xml:space="preserve">当月入职4，下月待入职1</t>
  </si>
  <si>
    <t xml:space="preserve">社招+运维入职2人</t>
  </si>
  <si>
    <t xml:space="preserve">FD-151227</t>
  </si>
  <si>
    <t xml:space="preserve">直播BP</t>
  </si>
  <si>
    <t xml:space="preserve">梁晨</t>
  </si>
  <si>
    <t xml:space="preserve">业务协同分享</t>
  </si>
  <si>
    <t xml:space="preserve">主播市场调研</t>
  </si>
  <si>
    <t xml:space="preserve">高级主播试播2人</t>
  </si>
  <si>
    <t xml:space="preserve">新人主播入职1人</t>
  </si>
  <si>
    <t xml:space="preserve">OD-006285</t>
  </si>
  <si>
    <t xml:space="preserve">马茵桐</t>
  </si>
  <si>
    <t xml:space="preserve">招聘实战技能竞技赛</t>
  </si>
  <si>
    <t xml:space="preserve">个人主播+助理入职6人</t>
  </si>
  <si>
    <t xml:space="preserve">当月入职7，下月待入职2</t>
  </si>
  <si>
    <t xml:space="preserve">入职7，通过6</t>
  </si>
  <si>
    <t xml:space="preserve">FD-159340</t>
  </si>
  <si>
    <t xml:space="preserve">李双凝</t>
  </si>
  <si>
    <t xml:space="preserve">化妆师招聘待入职1人</t>
  </si>
  <si>
    <t xml:space="preserve">高级主播试播1人</t>
  </si>
  <si>
    <t xml:space="preserve">SX-004970</t>
  </si>
  <si>
    <t xml:space="preserve">招聘实习生</t>
  </si>
  <si>
    <t xml:space="preserve">李梓恒</t>
  </si>
  <si>
    <t xml:space="preserve">【直播招聘中心】-新人主播-招聘实习生</t>
  </si>
  <si>
    <t xml:space="preserve">实习生招聘结果</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</si>
  <si>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</si>
  <si>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</si>
  <si>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</si>
  <si>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</si>
  <si>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</si>
  <si>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</si>
  <si>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</si>
  <si>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</si>
  <si>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</si>
  <si>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</si>
  <si>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</si>
  <si>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</si>
  <si>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关键事项指标-计划助理</t>
  </si>
  <si>
    <t xml:space="preserve">WMS仓库库存的自动更新-Fando agent 自动化</t>
  </si>
  <si>
    <t xml:space="preserve">90%%</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</si>
  <si>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</si>
  <si>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</si>
  <si>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</si>
  <si>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</si>
  <si>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</si>
  <si>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</si>
  <si>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</si>
  <si>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总库存目标达标</t>
  </si>
  <si>
    <t xml:space="preserve">3840.9万元</t>
  </si>
  <si>
    <t xml:space="preserve">3745万元</t>
  </si>
  <si>
    <t xml:space="preserve">生产损耗金额指标</t>
  </si>
  <si>
    <t xml:space="preserve">生产损耗金额完成目标</t>
  </si>
  <si>
    <t xml:space="preserve">7.39万元</t>
  </si>
  <si>
    <t xml:space="preserve">报废金额指标</t>
  </si>
  <si>
    <t xml:space="preserve">报废金额完成目标</t>
  </si>
  <si>
    <t xml:space="preserve">0万元万元</t>
  </si>
  <si>
    <t xml:space="preserve">生产履约</t>
  </si>
  <si>
    <t xml:space="preserve">生产履约完成目标</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</si>
  <si>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</si>
  <si>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</si>
  <si>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</si>
  <si>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</si>
  <si>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</si>
  <si>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</si>
  <si>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货品成本降本挑战目标达成率指标</t>
  </si>
  <si>
    <t xml:space="preserve">完成13w降本金额</t>
  </si>
  <si>
    <t xml:space="preserve">78w</t>
  </si>
  <si>
    <t xml:space="preserve">季度指标</t>
  </si>
  <si>
    <t xml:space="preserve">关键降本项目完成率指标</t>
  </si>
  <si>
    <t xml:space="preserve">1. 极兔燃油费下降：从0.07议价到0.06，本月降本约0.2w；预计后续整月0.5w/月，预估降本2.5w/年 2. 圆通燃油费下降：从0.10议到0.08，本月降本约2w元，预计后续整月1-2w/月，预估降本7.5w/年 3. 杭九原价续签：按照7月体量，预计杭州分配35万单，控涨6w/月 4. 顺丰和广荣包车议价，降本0.3w/月，预估降本1.5w/月 5. 贵阳仓议价，拦截费议价降本5.6w/年；退货运费议价降本1w/月，预估12w/年 已落地合计降本29w/年，控涨6w/月</t>
  </si>
  <si>
    <t xml:space="preserve">凡岛工厂维修谈判</t>
  </si>
  <si>
    <t xml:space="preserve">完成谈判，三方完成施工工期共识</t>
  </si>
  <si>
    <t xml:space="preserve">塑料瓶、彩盒、不干胶成本分析模型</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</si>
  <si>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</si>
  <si>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</si>
  <si>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</si>
  <si>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</si>
  <si>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</si>
  <si>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</si>
  <si>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</si>
  <si>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</si>
  <si>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其他渠道服务分指标</t>
  </si>
  <si>
    <t xml:space="preserve">体验分目标4.7分</t>
  </si>
  <si>
    <t xml:space="preserve">4.7分</t>
  </si>
  <si>
    <t xml:space="preserve">100%分</t>
  </si>
  <si>
    <t xml:space="preserve">抖音体验分指标</t>
  </si>
  <si>
    <t xml:space="preserve">可麦/IRY目标80分，其他品牌90分</t>
  </si>
  <si>
    <t xml:space="preserve">90分</t>
  </si>
  <si>
    <t xml:space="preserve">92分</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</si>
  <si>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</si>
  <si>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</si>
  <si>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</si>
  <si>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</si>
  <si>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</si>
  <si>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</si>
  <si>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</si>
  <si>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t>
  </si>
  <si>
    <t xml:space="preserve">打样费&lt;3.9万元</t>
  </si>
  <si>
    <t xml:space="preserve">39000元</t>
  </si>
  <si>
    <t xml:space="preserve">31570元</t>
  </si>
  <si>
    <t xml:space="preserve">实际打样费31570元，完成率1.19</t>
  </si>
  <si>
    <t xml:space="preserve">新品开发指标</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</si>
  <si>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</si>
  <si>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</si>
  <si>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</si>
  <si>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</si>
  <si>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</si>
  <si>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</si>
  <si>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</si>
  <si>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</si>
  <si>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成品合格率</t>
  </si>
  <si>
    <t xml:space="preserve">产品供应部合规达成率</t>
  </si>
  <si>
    <t xml:space="preserve">本月完成Q3内审及整改</t>
  </si>
  <si>
    <t xml:space="preserve">质量报废成本</t>
  </si>
  <si>
    <t xml:space="preserve">控制报废</t>
  </si>
  <si>
    <t xml:space="preserve">质量赔付</t>
  </si>
  <si>
    <t xml:space="preserve">控制客诉赔付及货损</t>
  </si>
  <si>
    <t xml:space="preserve">30000元</t>
  </si>
  <si>
    <t xml:space="preserve">1177.92元</t>
  </si>
  <si>
    <t xml:space="preserve">FD-077506</t>
  </si>
  <si>
    <t xml:space="preserve">寻源高级经理</t>
  </si>
  <si>
    <t xml:space="preserve">朱丹萍</t>
  </si>
  <si>
    <t xml:space="preserve">产品供应部-寻源中心-寻源高级经理绩效方案2604</t>
  </si>
  <si>
    <t xml:space="preserve">降本金额目标达成率</t>
  </si>
  <si>
    <t xml:space="preserve">37.7万元</t>
  </si>
  <si>
    <t xml:space="preserve">98.6806万元</t>
  </si>
  <si>
    <t xml:space="preserve">行情分析得分</t>
  </si>
  <si>
    <t xml:space="preserve">协助其他中心/公司各个部门的需求按时完成率</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</si>
  <si>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</si>
  <si>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</si>
  <si>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</si>
  <si>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</si>
  <si>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</si>
  <si>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</si>
  <si>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7月发布达人5位：李大猛子、庸俗故事、樱桃、宁海宁海、婚后这七年</t>
  </si>
  <si>
    <t xml:space="preserve">星图-新增合作有效账号量</t>
  </si>
  <si>
    <t xml:space="preserve">新有效达人账号＞4个（原片成交＞15w）</t>
  </si>
  <si>
    <t xml:space="preserve">有效达人3位：庸俗故事，宁海宁海、樱桃持续成交</t>
  </si>
  <si>
    <t xml:space="preserve">星图-GSV-团队短视频</t>
  </si>
  <si>
    <t xml:space="preserve">统筹可麦星图项目GSV＞360w</t>
  </si>
  <si>
    <t xml:space="preserve">3790379万元</t>
  </si>
  <si>
    <t xml:space="preserve">星图项目gsv：3790379 - 抖音成交2753958 - 视频号成交246134 - 快手成交168603 - 直播间投放成交367869 - 小李琳抖店（新店）成交253815</t>
  </si>
  <si>
    <t xml:space="preserve">星图-CPM</t>
  </si>
  <si>
    <t xml:space="preserve">星图情报分析Skill落地（有效性＞80%）</t>
  </si>
  <si>
    <t xml:space="preserve">已完成7个完整文档，对应skill已整理生成，可直接复用，维度已覆盖：大盘、品牌、达人、机构</t>
  </si>
  <si>
    <t xml:space="preserve">FD-059697</t>
  </si>
  <si>
    <t xml:space="preserve">黎雨婷</t>
  </si>
  <si>
    <t xml:space="preserve">KOC-新增合作有效账号量-付费</t>
  </si>
  <si>
    <t xml:space="preserve">新有效达人账号&gt;20(原片成交&gt;2000)</t>
  </si>
  <si>
    <t xml:space="preserve">19个</t>
  </si>
  <si>
    <t xml:space="preserve">KOC-GSV-团队短视频付费</t>
  </si>
  <si>
    <t xml:space="preserve">统筹付费赫系洗发水项目GSV&gt;160w</t>
  </si>
  <si>
    <t xml:space="preserve">130万元</t>
  </si>
  <si>
    <t xml:space="preserve">KOC-GSV-团队短视频纯佣</t>
  </si>
  <si>
    <t xml:space="preserve">输出付费KOC项目与MCN机构合作调研报告(以主管审核为准)</t>
  </si>
  <si>
    <t xml:space="preserve">KOC-账号合作量-付费</t>
  </si>
  <si>
    <t xml:space="preserve">付费KOC发布数&gt;80</t>
  </si>
  <si>
    <t xml:space="preserve">80条</t>
  </si>
  <si>
    <t xml:space="preserve">110条</t>
  </si>
  <si>
    <t xml:space="preserve">FD-058602</t>
  </si>
  <si>
    <t xml:space="preserve">权思韵</t>
  </si>
  <si>
    <t xml:space="preserve">可麦新付费koc成交大于1w的数量&gt;2个</t>
  </si>
  <si>
    <t xml:space="preserve">付费成交大于1w为0个</t>
  </si>
  <si>
    <t xml:space="preserve">KOC-账号合作量-纯佣</t>
  </si>
  <si>
    <t xml:space="preserve">可麦纯佣收片&gt;800条</t>
  </si>
  <si>
    <t xml:space="preserve">800条</t>
  </si>
  <si>
    <t xml:space="preserve">1640条</t>
  </si>
  <si>
    <t xml:space="preserve">纯佣收片1640条</t>
  </si>
  <si>
    <t xml:space="preserve">KOC-新增合作有效账号量-纯佣</t>
  </si>
  <si>
    <t xml:space="preserve">新有效达人账号&gt;20个(原片成交&gt;2000,自运营&gt;1w)</t>
  </si>
  <si>
    <t xml:space="preserve">15个</t>
  </si>
  <si>
    <t xml:space="preserve">新有效达人账号15个</t>
  </si>
  <si>
    <t xml:space="preserve">统筹可麦KOC项目GSV&gt;70w(以抖店导单为准)</t>
  </si>
  <si>
    <t xml:space="preserve">73.86万元</t>
  </si>
  <si>
    <t xml:space="preserve">扣退后GSV=73.86万元</t>
  </si>
  <si>
    <t xml:space="preserve">统筹测试达人与跑量达人更新&lt;2天需求达成100%(以营销反馈为准）</t>
  </si>
  <si>
    <t xml:space="preserve">测试达人与高跑量达人需求达成，s级达人七月出片160条，a级达人七月出片135条</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</si>
  <si>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</si>
  <si>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</si>
  <si>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</si>
  <si>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</si>
  <si>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</si>
  <si>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</si>
  <si>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</si>
  <si>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</si>
  <si>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</si>
  <si>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素材成交额</t>
  </si>
  <si>
    <t xml:space="preserve">发膜新素材成交50w（含营销策划）</t>
  </si>
  <si>
    <t xml:space="preserve">46.56万元</t>
  </si>
  <si>
    <t xml:space="preserve">发膜自营短视频月销270w，roi 2.6</t>
  </si>
  <si>
    <t xml:space="preserve">270万元</t>
  </si>
  <si>
    <t xml:space="preserve">219.28万元</t>
  </si>
  <si>
    <t xml:space="preserve">roi2.73</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</si>
  <si>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</si>
  <si>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</si>
  <si>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</si>
  <si>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</si>
  <si>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</si>
  <si>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</si>
  <si>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达人成交额（KOC）</t>
  </si>
  <si>
    <t xml:space="preserve">新达人总成交40w</t>
  </si>
  <si>
    <t xml:space="preserve">28.23万元</t>
  </si>
  <si>
    <t xml:space="preserve">旧达人成交额增量达到20%,若掉量超10%则清零</t>
  </si>
  <si>
    <t xml:space="preserve">129.48万元</t>
  </si>
  <si>
    <t xml:space="preserve">105.5万元</t>
  </si>
  <si>
    <t xml:space="preserve">管理项目完成情况</t>
  </si>
  <si>
    <t xml:space="preserve">付费koc项目利润率-15%</t>
  </si>
  <si>
    <t xml:space="preserve">得分按照业务项得分计算</t>
  </si>
  <si>
    <t xml:space="preserve">FD-038918</t>
  </si>
  <si>
    <t xml:space="preserve">敖艺萱</t>
  </si>
  <si>
    <t xml:space="preserve">项目费比</t>
  </si>
  <si>
    <t xml:space="preserve">项目扣退后成交160w,费比目标55%,超出2%则该项清零</t>
  </si>
  <si>
    <t xml:space="preserve">新产出KOC达人挂车成交7.5万</t>
  </si>
  <si>
    <t xml:space="preserve">7.5万元</t>
  </si>
  <si>
    <t xml:space="preserve">2.72413万元</t>
  </si>
  <si>
    <t xml:space="preserve">推进二合的旧达人增量达到20%,若掉量超10%则清零</t>
  </si>
  <si>
    <t xml:space="preserve">29.52万元</t>
  </si>
  <si>
    <t xml:space="preserve">7月成交固定：295245.22 6月成交固定：204969.47 增量：90,275.75 占比：0.44</t>
  </si>
  <si>
    <t xml:space="preserve">付费koc项目扣退后总成交160w,扣退后费比55.5%</t>
  </si>
  <si>
    <t xml:space="preserve">7.13-7.31新合作达人在7.13-7.31的成交额为5w</t>
  </si>
  <si>
    <t xml:space="preserve">0.33万元</t>
  </si>
  <si>
    <t xml:space="preserve">FD-049372</t>
  </si>
  <si>
    <t xml:space="preserve">汪清莹</t>
  </si>
  <si>
    <t xml:space="preserve">6.20-7.19新产出素材在7.1-7.31的成交额为40w</t>
  </si>
  <si>
    <t xml:space="preserve">18.510769万元</t>
  </si>
  <si>
    <t xml:space="preserve">抖店发膜成交额1200w,利润率目标-3.4%</t>
  </si>
  <si>
    <t xml:space="preserve">1223.8万元万元</t>
  </si>
  <si>
    <t xml:space="preserve">FD-049763</t>
  </si>
  <si>
    <t xml:space="preserve">戚俊杰</t>
  </si>
  <si>
    <t xml:space="preserve">成交额：抖店发膜成交1200w，利润率-3.4%</t>
  </si>
  <si>
    <t xml:space="preserve">混剪新素材成交额50w</t>
  </si>
  <si>
    <t xml:space="preserve">31.4万元</t>
  </si>
  <si>
    <t xml:space="preserve">新达人素材成交25w</t>
  </si>
  <si>
    <t xml:space="preserve">25万元</t>
  </si>
  <si>
    <t xml:space="preserve">16.83万元</t>
  </si>
  <si>
    <t xml:space="preserve">旧达人成交额增量达到20%,若掉量超10%则清零，6月旧达人总成交64w，则7月旧达人总成交目标为76.8w，底线为57.6w</t>
  </si>
  <si>
    <t xml:space="preserve">76.8万元</t>
  </si>
  <si>
    <t xml:space="preserve">60.4万元</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</si>
  <si>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</si>
  <si>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</si>
  <si>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</si>
  <si>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</si>
  <si>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</si>
  <si>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</si>
  <si>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315万元</t>
  </si>
  <si>
    <t xml:space="preserve">【结果指标】个人素材月度GSV</t>
  </si>
  <si>
    <t xml:space="preserve">小组素材成交GSV60万（个人50万）</t>
  </si>
  <si>
    <t xml:space="preserve">【过程指标】混剪素材数量</t>
  </si>
  <si>
    <t xml:space="preserve">值班*4+非值班*7+自产提需*3</t>
  </si>
  <si>
    <t xml:space="preserve">157条</t>
  </si>
  <si>
    <t xml:space="preserve">90%条</t>
  </si>
  <si>
    <t xml:space="preserve">素材成交额≥5万*1</t>
  </si>
  <si>
    <t xml:space="preserve">1条</t>
  </si>
  <si>
    <t xml:space="preserve">【其他】值班计划搭建完成率</t>
  </si>
  <si>
    <t xml:space="preserve">日常值班、价值观、影响力、新机会点的发掘</t>
  </si>
  <si>
    <t xml:space="preserve">OD-006480</t>
  </si>
  <si>
    <t xml:space="preserve">黄思柔</t>
  </si>
  <si>
    <t xml:space="preserve">团队素材成交GSV60万（个人55万）</t>
  </si>
  <si>
    <t xml:space="preserve">192条</t>
  </si>
  <si>
    <t xml:space="preserve">OD-008379</t>
  </si>
  <si>
    <t xml:space="preserve">郑翼鸣</t>
  </si>
  <si>
    <t xml:space="preserve">30万元</t>
  </si>
  <si>
    <t xml:space="preserve">6.44万元</t>
  </si>
  <si>
    <t xml:space="preserve">154条</t>
  </si>
  <si>
    <t xml:space="preserve">168条</t>
  </si>
  <si>
    <t xml:space="preserve">OD-002026</t>
  </si>
  <si>
    <t xml:space="preserve">吴静文</t>
  </si>
  <si>
    <t xml:space="preserve">315万万元</t>
  </si>
  <si>
    <t xml:space="preserve">298515万元</t>
  </si>
  <si>
    <t xml:space="preserve">值班*4+非值班*7</t>
  </si>
  <si>
    <t xml:space="preserve">151条</t>
  </si>
  <si>
    <t xml:space="preserve">145条</t>
  </si>
  <si>
    <t xml:space="preserve">OD-008698</t>
  </si>
  <si>
    <t xml:space="preserve">林良康</t>
  </si>
  <si>
    <t xml:space="preserve">1.67万元</t>
  </si>
  <si>
    <t xml:space="preserve">值班*4+非值班*7+过渡期一周*5</t>
  </si>
  <si>
    <t xml:space="preserve">118条</t>
  </si>
  <si>
    <t xml:space="preserve">125条</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</si>
  <si>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</si>
  <si>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</si>
  <si>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</si>
  <si>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</si>
  <si>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</si>
  <si>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</si>
  <si>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</si>
  <si>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人资行政价值创造类关键工作</t>
  </si>
  <si>
    <t xml:space="preserve">营销策划分析</t>
  </si>
  <si>
    <t xml:space="preserve">完成方案</t>
  </si>
  <si>
    <t xml:space="preserve">人资行政管理基础覆盖类关键工作</t>
  </si>
  <si>
    <t xml:space="preserve">公司半年度绩效访谈-完成访谈、数据处理、AI输出初版报告</t>
  </si>
  <si>
    <t xml:space="preserve">完成72岛民，23位主管访谈；完成初版分析报告</t>
  </si>
  <si>
    <t xml:space="preserve">FD-159908</t>
  </si>
  <si>
    <t xml:space="preserve">HR高级经理</t>
  </si>
  <si>
    <t xml:space="preserve">邹梦婉</t>
  </si>
  <si>
    <t xml:space="preserve">活力状态</t>
  </si>
  <si>
    <t xml:space="preserve">8.6小时</t>
  </si>
  <si>
    <t xml:space="preserve">8.7小时</t>
  </si>
  <si>
    <t xml:space="preserve">D级人员迭代100%（25个）</t>
  </si>
  <si>
    <t xml:space="preserve">25人</t>
  </si>
  <si>
    <t xml:space="preserve">20人</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</si>
  <si>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</si>
  <si>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</si>
  <si>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</si>
  <si>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</si>
  <si>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</si>
  <si>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</si>
  <si>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</si>
  <si>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关键岗位：营销经理入职2人，电商经理入职3人</t>
  </si>
  <si>
    <t xml:space="preserve">5人人</t>
  </si>
  <si>
    <t xml:space="preserve">重点岗位小结：总需求5，已入职5.</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</si>
  <si>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</si>
  <si>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</si>
  <si>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</si>
  <si>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</si>
  <si>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</si>
  <si>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</si>
  <si>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满意度评分--4月最新版</t>
  </si>
  <si>
    <t xml:space="preserve">中心各项问卷均分4.4分</t>
  </si>
  <si>
    <t xml:space="preserve">平均分4.338</t>
  </si>
  <si>
    <t xml:space="preserve">完成中秋礼盒项目设计方案</t>
  </si>
  <si>
    <t xml:space="preserve">中秋礼盒设计项目过审</t>
  </si>
  <si>
    <t xml:space="preserve">FD-155452</t>
  </si>
  <si>
    <t xml:space="preserve">人资行政部-从化中心</t>
  </si>
  <si>
    <t xml:space="preserve">人资行政高级经理</t>
  </si>
  <si>
    <t xml:space="preserve">王慧怡</t>
  </si>
  <si>
    <t xml:space="preserve">生产组长1、质量安全负责人1、设备技术员 1</t>
  </si>
  <si>
    <t xml:space="preserve">临时工降本</t>
  </si>
  <si>
    <t xml:space="preserve">0.6万元</t>
  </si>
  <si>
    <t xml:space="preserve">季度评级&amp;固定资产回收</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</si>
  <si>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</si>
  <si>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</si>
  <si>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</si>
  <si>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</si>
  <si>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</si>
  <si>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</si>
  <si>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高级管理岗位有效推荐</t>
  </si>
  <si>
    <t xml:space="preserve">16人</t>
  </si>
  <si>
    <t xml:space="preserve">涉及多个岗位完成16人</t>
  </si>
  <si>
    <t xml:space="preserve">高级经理到面4</t>
  </si>
  <si>
    <t xml:space="preserve">FD-158754</t>
  </si>
  <si>
    <t xml:space="preserve">直播招聘高级经理</t>
  </si>
  <si>
    <t xml:space="preserve">崔思然</t>
  </si>
  <si>
    <t xml:space="preserve">调岗全发</t>
  </si>
  <si>
    <t xml:space="preserve">FD-098685</t>
  </si>
  <si>
    <t xml:space="preserve">供应链高级经理</t>
  </si>
  <si>
    <t xml:space="preserve">王誉炫</t>
  </si>
  <si>
    <t xml:space="preserve">产品供应部-供应中心-供应高级经理2607</t>
  </si>
  <si>
    <t xml:space="preserve">物料报废</t>
  </si>
  <si>
    <t xml:space="preserve">包材订单履约指标</t>
  </si>
  <si>
    <t xml:space="preserve">原料履约率指标</t>
  </si>
  <si>
    <t xml:space="preserve">关键任务完成率</t>
  </si>
  <si>
    <t xml:space="preserve">1.积压包材消耗
2.积压原料消耗</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</si>
  <si>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</si>
  <si>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</si>
  <si>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</si>
  <si>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</si>
  <si>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</si>
  <si>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</si>
  <si>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</si>
  <si>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</si>
  <si>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物流履约指标</t>
  </si>
  <si>
    <t xml:space="preserve">抖店：共7
天猫：共7
快手：共4
2B：共5，98%</t>
  </si>
  <si>
    <t xml:space="preserve">抖店不达标1，天猫不达标2，其余20达标</t>
  </si>
  <si>
    <t xml:space="preserve">高级经理-季度指标</t>
  </si>
  <si>
    <t xml:space="preserve">人员技能考核完成率</t>
  </si>
  <si>
    <t xml:space="preserve">知识点输出完成率</t>
  </si>
  <si>
    <t xml:space="preserve">人才培养指标完成率</t>
  </si>
  <si>
    <t xml:space="preserve">物流降本挑战目标达成率指标</t>
  </si>
  <si>
    <t xml:space="preserve">降本挑战目标</t>
  </si>
  <si>
    <t xml:space="preserve">105.7万元</t>
  </si>
  <si>
    <t xml:space="preserve">172.8万元</t>
  </si>
  <si>
    <t xml:space="preserve">物流降本指标</t>
  </si>
  <si>
    <t xml:space="preserve">降本基础目标</t>
  </si>
  <si>
    <t xml:space="preserve">82.2万元</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</si>
  <si>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</si>
  <si>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</si>
  <si>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</si>
  <si>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</si>
  <si>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</si>
  <si>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</si>
  <si>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</si>
  <si>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素材GSV</t>
  </si>
  <si>
    <t xml:space="preserve">【结果指标】小组混剪素材产出GSV100w
其中，水润眼膜GSV*1，次抛GSV*1.5，燕窝、美白针GSV*3</t>
  </si>
  <si>
    <t xml:space="preserve">4139706.33万元</t>
  </si>
  <si>
    <t xml:space="preserve">【结果指标】小组产出新大投文案GSV5w+开头2条</t>
  </si>
  <si>
    <t xml:space="preserve">其他（值班）</t>
  </si>
  <si>
    <t xml:space="preserve">【其余】日常值班、价值观、影响力、新机会点的发掘（上级评分）</t>
  </si>
  <si>
    <t xml:space="preserve">OD-008197</t>
  </si>
  <si>
    <t xml:space="preserve">冯梦丽</t>
  </si>
  <si>
    <t xml:space="preserve">702,559.89万元</t>
  </si>
  <si>
    <t xml:space="preserve">"【结果指标】小组混剪素材产出GSV100w
其中，水润眼膜GSV*1，次抛GSV*1.5，燕窝、美白针GSV*3"</t>
  </si>
  <si>
    <t xml:space="preserve">3,568,195.47万元</t>
  </si>
  <si>
    <t xml:space="preserve">创新内容</t>
  </si>
  <si>
    <t xml:space="preserve">OD-000847</t>
  </si>
  <si>
    <t xml:space="preserve">梁华铮</t>
  </si>
  <si>
    <t xml:space="preserve">421,678.25万元</t>
  </si>
  <si>
    <t xml:space="preserve">897,624.31万元</t>
  </si>
  <si>
    <t xml:space="preserve">SQ-008193</t>
  </si>
  <si>
    <t xml:space="preserve">营销策划实习生</t>
  </si>
  <si>
    <t xml:space="preserve">刘萌萌</t>
  </si>
  <si>
    <t xml:space="preserve">619,433.64万元</t>
  </si>
  <si>
    <t xml:space="preserve">"【结果指标】个人混剪素材产出GSV20w
其中，水润眼膜GSV*1，次抛GSV*1.5，燕窝、美白针GSV*3"</t>
  </si>
  <si>
    <t xml:space="preserve">2227569.72万元</t>
  </si>
  <si>
    <t xml:space="preserve">【结果指标】个人产出新大投文案GSV5w+开头1条</t>
  </si>
  <si>
    <t xml:space="preserve">OD-009167</t>
  </si>
  <si>
    <t xml:space="preserve">韦中营</t>
  </si>
  <si>
    <t xml:space="preserve">【结果指标】个人混剪素材产出GSV20w
其中，水润眼膜GSV*1，次抛GSV*1.5，燕窝、美白针GSV*3"</t>
  </si>
  <si>
    <t xml:space="preserve">20元</t>
  </si>
  <si>
    <t xml:space="preserve">1,540,483.03元</t>
  </si>
  <si>
    <t xml:space="preserve">OD-007281</t>
  </si>
  <si>
    <t xml:space="preserve">段雪</t>
  </si>
  <si>
    <t xml:space="preserve">702559.89万元</t>
  </si>
  <si>
    <t xml:space="preserve">【结果指标】个人混剪素材产出GSV20w
其中，水润眼膜GSV*1，次抛GSV*1.5，燕窝、美白针GSV*3</t>
  </si>
  <si>
    <t xml:space="preserve">863321.23万元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</si>
  <si>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</si>
  <si>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</si>
  <si>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</si>
  <si>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</si>
  <si>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</si>
  <si>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</si>
  <si>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数据库表设计：
品牌创意部、品牌营销部、广告策划部、线下渠道部</t>
  </si>
  <si>
    <t xml:space="preserve">分库映射规则设计：
品牌创意部、品牌营销部、广告策划部、线下渠道部</t>
  </si>
  <si>
    <t xml:space="preserve">D计划项目管理</t>
  </si>
  <si>
    <t xml:space="preserve">FD-227908</t>
  </si>
  <si>
    <t xml:space="preserve">罗焯航</t>
  </si>
  <si>
    <t xml:space="preserve">定时获取D计划品牌营销部、广告策划部的星图平台根数据</t>
  </si>
  <si>
    <t xml:space="preserve">定时获取D计划品牌营销部、广告策划部的抖加平台根数据</t>
  </si>
  <si>
    <t xml:space="preserve">rpa定时获取D计划品牌营销部、广告策划部、广告创意部的海豚智投平台根数据</t>
  </si>
  <si>
    <t xml:space="preserve">rpa定时获取D计划品牌营销部、广告策划部的微信罗盘平台根数据</t>
  </si>
  <si>
    <t xml:space="preserve">rpa定时获取D计划品牌营销部、广告策划部的巨量营销平台竞价投放、品牌投放根数据</t>
  </si>
  <si>
    <t xml:space="preserve">rpa定时获取D计划线下部门的三福平台根数据</t>
  </si>
  <si>
    <t xml:space="preserve">定时获取D计划品牌营销部、广告策划部、品牌创意部的抖店、微信小店平台订单类根数据</t>
  </si>
  <si>
    <t xml:space="preserve">构建D计划rpa部分项目的初步框架</t>
  </si>
  <si>
    <t xml:space="preserve">FD-229977</t>
  </si>
  <si>
    <t xml:space="preserve">刘雄昊</t>
  </si>
  <si>
    <t xml:space="preserve">D计划项目开发</t>
  </si>
  <si>
    <t xml:space="preserve">数据验收正常，补全历史数据</t>
  </si>
  <si>
    <t xml:space="preserve">91%%%</t>
  </si>
  <si>
    <t xml:space="preserve">FD-224398</t>
  </si>
  <si>
    <t xml:space="preserve">蔡灿</t>
  </si>
  <si>
    <t xml:space="preserve">及时响应并解决财报系统反馈群内月财报出现的问题</t>
  </si>
  <si>
    <t xml:space="preserve">D计划品牌营销部推进：
1.梳理根数据的获取路径和完成鉴权逻辑编写；
2.完成品牌营销部根数据的获取、存储；
3.推进品牌营销部根数据的应用；</t>
  </si>
  <si>
    <t xml:space="preserve">D计划品牌创意部推进： 
1.梳理根数据的获取路径和完成鉴权逻辑编写； 
2.完成品牌创意部根数据的获取、存储；</t>
  </si>
  <si>
    <t xml:space="preserve">D计划广告策划部推进： 
1.梳理根数据的获取路径和完成鉴权逻辑编写； 
2.完成广告策划部根数据的获取、存储；</t>
  </si>
  <si>
    <t xml:space="preserve">管理D计划整体开发进度，设计D计划项目结构</t>
  </si>
  <si>
    <t xml:space="preserve">跟进D计划线下渠道部和电商发展部的开发进度</t>
  </si>
  <si>
    <t xml:space="preserve">FD-222573</t>
  </si>
  <si>
    <t xml:space="preserve">运维工程师</t>
  </si>
  <si>
    <t xml:space="preserve">陈化冰</t>
  </si>
  <si>
    <t xml:space="preserve">及时响应并处理运维工单，解决大家的问题，本月完成工单205单，平均耗时0.2小时</t>
  </si>
  <si>
    <t xml:space="preserve">完成服务器自动部署项目skill的搭建及优化，以及部署鉴权服务</t>
  </si>
  <si>
    <t xml:space="preserve">成功完成让岛民在服务器自动部署项目，并解决岛民在项目部署中存在的问题</t>
  </si>
  <si>
    <t xml:space="preserve">FD-221053</t>
  </si>
  <si>
    <t xml:space="preserve">陈洪彪</t>
  </si>
  <si>
    <t xml:space="preserve">品创、广策、品营、线下的D计划项目推进</t>
  </si>
  <si>
    <t xml:space="preserve">完成90%</t>
  </si>
  <si>
    <t xml:space="preserve">品创、广策、品营、线下的D计划项目如期达标</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</si>
  <si>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</si>
  <si>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</si>
  <si>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</si>
  <si>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</si>
  <si>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</si>
  <si>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</si>
  <si>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</si>
  <si>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</si>
  <si>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</si>
  <si>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阅读曝光量</t>
  </si>
  <si>
    <t xml:space="preserve">曝光CPM≤8
阅读CPM≤30</t>
  </si>
  <si>
    <t xml:space="preserve">曝光CPM 6.90 阅读CPM 56.971</t>
  </si>
  <si>
    <t xml:space="preserve">曝光CPM 6.90 阅读CPM 56.97</t>
  </si>
  <si>
    <t xml:space="preserve">账号合作量</t>
  </si>
  <si>
    <t xml:space="preserve">赫系+KONO+可麦+WIS</t>
  </si>
  <si>
    <t xml:space="preserve">340条</t>
  </si>
  <si>
    <t xml:space="preserve">369条</t>
  </si>
  <si>
    <t xml:space="preserve">赫系 水上置换 207/200 水下置换 2 KONO 100/90 可麦 10 WIS 50/50</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</si>
  <si>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</si>
  <si>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</si>
  <si>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</si>
  <si>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</si>
  <si>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</si>
  <si>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</si>
  <si>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</si>
  <si>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小红书所负责达人：曝光cpm≤10；阅读cpm≤30</t>
  </si>
  <si>
    <t xml:space="preserve">1、曝光 CPM：目标≤10，实际 6.90 完成率 = 10÷6.90≈144.93% 2、阅读 CPM：目标≤30，实际 56.97 完成率 = 30÷56.97≈52.66% 3、两项权重各 50%，综合完成率 综合完成率 = 144.93%×0.5+52.66%×0.5≈98.80%</t>
  </si>
  <si>
    <t xml:space="preserve">完成《从事艺人经纪挺好的》阅读并在团队内分享</t>
  </si>
  <si>
    <t xml:space="preserve">已完成阅读并产出阅读心得以及分享</t>
  </si>
  <si>
    <t xml:space="preserve">顺利跟进本月所有合作拍摄落地</t>
  </si>
  <si>
    <t xml:space="preserve">已跟进所有合作的合同、请款事项</t>
  </si>
  <si>
    <t xml:space="preserve">完成一次模拟谈判</t>
  </si>
  <si>
    <t xml:space="preserve">已完成模拟谈判并复盘</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</si>
  <si>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</si>
  <si>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</si>
  <si>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</si>
  <si>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</si>
  <si>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</si>
  <si>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</si>
  <si>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</si>
  <si>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</si>
  <si>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主播招聘迭代完成率得分</t>
  </si>
  <si>
    <t xml:space="preserve">招聘：1、迭代：1</t>
  </si>
  <si>
    <t xml:space="preserve">新主播培养结果得分</t>
  </si>
  <si>
    <t xml:space="preserve">赵晴第3 李楚晴第4</t>
  </si>
  <si>
    <t xml:space="preserve">6名</t>
  </si>
  <si>
    <t xml:space="preserve">3名</t>
  </si>
  <si>
    <t xml:space="preserve">实际ROI&gt;目标ROI85%的时段占比90%以上</t>
  </si>
  <si>
    <t xml:space="preserve">FD-038090</t>
  </si>
  <si>
    <t xml:space="preserve">马连婧</t>
  </si>
  <si>
    <t xml:space="preserve">310万元</t>
  </si>
  <si>
    <t xml:space="preserve">1491,334.29万元</t>
  </si>
  <si>
    <t xml:space="preserve">kono精选直播间GSV1491,334.29</t>
  </si>
  <si>
    <t xml:space="preserve">招聘1，迭代1</t>
  </si>
  <si>
    <t xml:space="preserve">精选直播间已完成本月招聘（薛欣榕）和迭代（陈敏如）</t>
  </si>
  <si>
    <t xml:space="preserve">培养新主播进直播间排名第4名</t>
  </si>
  <si>
    <t xml:space="preserve">薛欣榕精选排名第4名</t>
  </si>
  <si>
    <t xml:space="preserve">直播间正常运行得分</t>
  </si>
  <si>
    <t xml:space="preserve">ROI异常时段管控，ROI&gt;目标ROI85%的时段占比90%以上</t>
  </si>
  <si>
    <t xml:space="preserve">最终实现73.4%</t>
  </si>
  <si>
    <t xml:space="preserve">FD-033430</t>
  </si>
  <si>
    <t xml:space="preserve">傅若萱</t>
  </si>
  <si>
    <t xml:space="preserve">直播间7月GSV279万元</t>
  </si>
  <si>
    <t xml:space="preserve">279万元</t>
  </si>
  <si>
    <t xml:space="preserve">190.62万元</t>
  </si>
  <si>
    <t xml:space="preserve">GSV190.62万元</t>
  </si>
  <si>
    <t xml:space="preserve">招聘1人，迭代1人</t>
  </si>
  <si>
    <t xml:space="preserve">招聘2人（胡一菲，王佳怡），迭代杨心铭</t>
  </si>
  <si>
    <t xml:space="preserve">新主播进入前四名</t>
  </si>
  <si>
    <t xml:space="preserve">KONO官旗新人主播郝圣悦销售额7月排名第四</t>
  </si>
  <si>
    <t xml:space="preserve">直播间正常运行，减少ROI异常时段，正常时段达到90%</t>
  </si>
  <si>
    <t xml:space="preserve">65%达标</t>
  </si>
  <si>
    <t xml:space="preserve">FD-030877</t>
  </si>
  <si>
    <t xml:space="preserve">陈柏名</t>
  </si>
  <si>
    <t xml:space="preserve">日常运营</t>
  </si>
  <si>
    <t xml:space="preserve">无出错并准时准确完成日常运营</t>
  </si>
  <si>
    <t xml:space="preserve">检查点监督</t>
  </si>
  <si>
    <t xml:space="preserve">主播与助理的日常检查点督察与记录公示</t>
  </si>
  <si>
    <t xml:space="preserve">未出现不合格</t>
  </si>
  <si>
    <t xml:space="preserve">助理复盘培训提升</t>
  </si>
  <si>
    <t xml:space="preserve">助理入职培训与复盘或技能提升</t>
  </si>
  <si>
    <t xml:space="preserve">进行3次及以上助理复盘或培训并形成文档，3名新助理，于淼，罗媛媛，杨欣娅岗位须知、运维培训、违禁词和跟播演绎考试皆为通过，进入跟播考核周并顺利通过进入试用期，</t>
  </si>
  <si>
    <t xml:space="preserve">大场响应和资源配置</t>
  </si>
  <si>
    <t xml:space="preserve">及时响应大场直播需求，并合理安排人员及资产，确保项目正常运作</t>
  </si>
  <si>
    <t xml:space="preserve">无出错并准时准确完成要求</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</si>
  <si>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</si>
  <si>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</si>
  <si>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</si>
  <si>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</si>
  <si>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</si>
  <si>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</si>
  <si>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</si>
  <si>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</si>
  <si>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消耗达成指标</t>
  </si>
  <si>
    <t xml:space="preserve">天猫广告消耗50w，费比35%，红线费比36.5%</t>
  </si>
  <si>
    <t xml:space="preserve">49.36万元</t>
  </si>
  <si>
    <t xml:space="preserve">大投素材目标完成率</t>
  </si>
  <si>
    <t xml:space="preserve">7月产出新创意图成交3w</t>
  </si>
  <si>
    <t xml:space="preserve">3万元</t>
  </si>
  <si>
    <t xml:space="preserve">5.8万元</t>
  </si>
  <si>
    <t xml:space="preserve">货品经营成交完成率</t>
  </si>
  <si>
    <t xml:space="preserve">轻盈450主链月成交额55w</t>
  </si>
  <si>
    <t xml:space="preserve">55万元</t>
  </si>
  <si>
    <t xml:space="preserve">40.2万元</t>
  </si>
  <si>
    <t xml:space="preserve">FD-064727</t>
  </si>
  <si>
    <t xml:space="preserve">肖钦月</t>
  </si>
  <si>
    <t xml:space="preserve">所负责渠道收入小计125w</t>
  </si>
  <si>
    <t xml:space="preserve">125万元</t>
  </si>
  <si>
    <t xml:space="preserve">124.9万元</t>
  </si>
  <si>
    <t xml:space="preserve">京东63.7万，唯品会61.2万</t>
  </si>
  <si>
    <t xml:space="preserve">渠道利润率完成率4.27</t>
  </si>
  <si>
    <t xml:space="preserve">京东渠道底线利润额11w</t>
  </si>
  <si>
    <t xml:space="preserve">11万元</t>
  </si>
  <si>
    <t xml:space="preserve">11.3万元</t>
  </si>
  <si>
    <t xml:space="preserve">唯品会渠道底线利润额8w</t>
  </si>
  <si>
    <t xml:space="preserve">12.9万元</t>
  </si>
  <si>
    <t xml:space="preserve">京东两洗一护轻盈成交拉升至18w</t>
  </si>
  <si>
    <t xml:space="preserve">18万元</t>
  </si>
  <si>
    <t xml:space="preserve">13.87万元</t>
  </si>
  <si>
    <t xml:space="preserve">狂秒资源位成交3w</t>
  </si>
  <si>
    <t xml:space="preserve">FD-044596</t>
  </si>
  <si>
    <t xml:space="preserve">余筝</t>
  </si>
  <si>
    <t xml:space="preserve">快手渠道销售额350w</t>
  </si>
  <si>
    <t xml:space="preserve">350万元</t>
  </si>
  <si>
    <t xml:space="preserve">392.1万元</t>
  </si>
  <si>
    <t xml:space="preserve">快手渠道销售额392.1w</t>
  </si>
  <si>
    <t xml:space="preserve">快手渠道底线利润额2.5w</t>
  </si>
  <si>
    <t xml:space="preserve">2.5万元</t>
  </si>
  <si>
    <t xml:space="preserve">2.2万元</t>
  </si>
  <si>
    <t xml:space="preserve">快手渠道利润额2.2w</t>
  </si>
  <si>
    <t xml:space="preserve">素材总消耗指标</t>
  </si>
  <si>
    <t xml:space="preserve">6.20-7.30产出的混剪素材,在快手7月成交25w</t>
  </si>
  <si>
    <t xml:space="preserve">35.5万元</t>
  </si>
  <si>
    <t xml:space="preserve">6.20-7.30产出的混剪素材,在快手7月成交35.5w</t>
  </si>
  <si>
    <t xml:space="preserve">独立用AI工具0-1产出所需要的画面,所产出AI开头/AI为主体的素材成交5W</t>
  </si>
  <si>
    <t xml:space="preserve">0.02万元</t>
  </si>
  <si>
    <t xml:space="preserve">独立用AI工具0-1产出所需要的画面,所产出AI开头/AI为主体的素材成交0.02W</t>
  </si>
  <si>
    <t xml:space="preserve">FD-065164</t>
  </si>
  <si>
    <t xml:space="preserve">龚云强</t>
  </si>
  <si>
    <t xml:space="preserve">快手渠道销售额350万</t>
  </si>
  <si>
    <t xml:space="preserve">392万元</t>
  </si>
  <si>
    <t xml:space="preserve">快手渠道底线利润额2.5万</t>
  </si>
  <si>
    <t xml:space="preserve">6.20-7.30产出的混剪素材,在快手7月成交10万</t>
  </si>
  <si>
    <t xml:space="preserve">0.53万元</t>
  </si>
  <si>
    <t xml:space="preserve">独立用AI工具0-1产出所需要的画面,所产出AI开头/AI为主体的素材成交5万</t>
  </si>
  <si>
    <t xml:space="preserve">0.21万元</t>
  </si>
  <si>
    <t xml:space="preserve">FD-064603</t>
  </si>
  <si>
    <t xml:space="preserve">李志锋</t>
  </si>
  <si>
    <t xml:space="preserve">天猫渠道销售额145w</t>
  </si>
  <si>
    <t xml:space="preserve">137.4万元</t>
  </si>
  <si>
    <t xml:space="preserve">7月目标145万，实际完成137.4万</t>
  </si>
  <si>
    <t xml:space="preserve">关键词板块消耗16w，RO11.8（3天未次点击归因）</t>
  </si>
  <si>
    <t xml:space="preserve">16万元</t>
  </si>
  <si>
    <t xml:space="preserve">16.5万元</t>
  </si>
  <si>
    <t xml:space="preserve">7月关键词花费16.5万，3天归因，roi：1.87</t>
  </si>
  <si>
    <t xml:space="preserve">ROI达成指标</t>
  </si>
  <si>
    <t xml:space="preserve">关键词板块消耗16w，RO11.8（3天未次点击归因</t>
  </si>
  <si>
    <t xml:space="preserve">7月关键词推广roi：1.87</t>
  </si>
  <si>
    <t xml:space="preserve">关键工作达成-月度</t>
  </si>
  <si>
    <t xml:space="preserve">关键工作：天猫店铺会员体系搭建，7.30前输出方案并完成搭建</t>
  </si>
  <si>
    <t xml:space="preserve">会员体系搭建已完成</t>
  </si>
  <si>
    <t xml:space="preserve">店铺内轻盈链接调整优化，轻盈450主链接日销连续3天突破2W</t>
  </si>
  <si>
    <t xml:space="preserve">6万元</t>
  </si>
  <si>
    <t xml:space="preserve">4.5万元</t>
  </si>
  <si>
    <t xml:space="preserve">连续3日峰值日均1.5w</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</si>
  <si>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</si>
  <si>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</si>
  <si>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</si>
  <si>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</si>
  <si>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</si>
  <si>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上级评价</t>
  </si>
  <si>
    <t xml:space="preserve">个人价值观
本月是否严格遵守直播间相关规章制度、企业文化，言论、行为
是否给团队团队带来正向影响，不做违纪等行为，不传播负能量
团队协作
积极配合上级交代的工作，主动配合调整方案，保障各项工作完成质量
全月妆造评价
本月完成妆造的整体美观程度评价
内控检查不达标一次扣除0.1分，扣除上限0.3分</t>
  </si>
  <si>
    <t xml:space="preserve">上播妆造数</t>
  </si>
  <si>
    <t xml:space="preserve">根据化妆师每日妆造主播收集表统计</t>
  </si>
  <si>
    <t xml:space="preserve">上播妆造创新</t>
  </si>
  <si>
    <t xml:space="preserve">每月推出新主题妆容，包括但不限于大场妆造、节日妆、IP联名妆、热点仿妆等，新妆容方案并被主播/团队采纳</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</si>
  <si>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</si>
  <si>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</si>
  <si>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</si>
  <si>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</si>
  <si>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</si>
  <si>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</si>
  <si>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</si>
  <si>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</si>
  <si>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</si>
  <si>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</si>
  <si>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</si>
  <si>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独立用AI工具0-1产出所需要的新画面，所产出AI开头/AI 主体的素材总成交2W</t>
  </si>
  <si>
    <t xml:space="preserve">0-1产出所产出AI开头/AI主体累计成交：29798.45</t>
  </si>
  <si>
    <t xml:space="preserve">6.20-7.31新产出2条2W成交以上的素材</t>
  </si>
  <si>
    <t xml:space="preserve">实际完成3条（0702娜帕蒂卡秦海璐复刻-AI璐军恩伦蓉如-hzx.mp4，0703广州塔香蓬-AI璐军恩伦蓉如-hzx.mp4，0630复刻发膜周末约会-璐军恩伦蓉如-hzx.mp4）</t>
  </si>
  <si>
    <t xml:space="preserve">月度出片数完成率</t>
  </si>
  <si>
    <t xml:space="preserve">平均每日上传产出视烦8-10条，（22工作日*8，176-220）</t>
  </si>
  <si>
    <t xml:space="preserve">176条</t>
  </si>
  <si>
    <t xml:space="preserve">206条</t>
  </si>
  <si>
    <t xml:space="preserve">7月总产出素材数量206条</t>
  </si>
  <si>
    <t xml:space="preserve">OD-005652</t>
  </si>
  <si>
    <t xml:space="preserve">陈永琪</t>
  </si>
  <si>
    <t xml:space="preserve">6.20-7.31产出的混剪素材，在快手7月成交10w</t>
  </si>
  <si>
    <t xml:space="preserve">32.9万元</t>
  </si>
  <si>
    <t xml:space="preserve">已超额完成素材成交指标</t>
  </si>
  <si>
    <t xml:space="preserve">独立用AI工具0-1产出所需要的新画面，所产出AI开头/AI 主体的素材总成交1W</t>
  </si>
  <si>
    <t xml:space="preserve">1万元</t>
  </si>
  <si>
    <t xml:space="preserve">未完成素材成交额指标</t>
  </si>
  <si>
    <t xml:space="preserve">根据值班SOP和投放检查点，准确完成每日值班调控和素材上传工作</t>
  </si>
  <si>
    <t xml:space="preserve">素材上传数量有扣分点</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</si>
  <si>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</si>
  <si>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</si>
  <si>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</si>
  <si>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</si>
  <si>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</si>
  <si>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</si>
  <si>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</si>
  <si>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</si>
  <si>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</si>
  <si>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营销高级经理/中心负责人利润率目标达成</t>
  </si>
  <si>
    <t xml:space="preserve">含预缴利润率 -9.5%</t>
  </si>
  <si>
    <t xml:space="preserve">营销高级经理/中心负责人关键工作达成</t>
  </si>
  <si>
    <t xml:space="preserve">AI一创素材成交 150 万</t>
  </si>
  <si>
    <t xml:space="preserve">产出一条成交大于50w的新内容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</si>
  <si>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</si>
  <si>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</si>
  <si>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</si>
  <si>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</si>
  <si>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</si>
  <si>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</si>
  <si>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含预缴利润率 -3.16%</t>
  </si>
  <si>
    <t xml:space="preserve">视领号产出6条10W以上成交素材</t>
  </si>
  <si>
    <t xml:space="preserve">视颁号AI素材成交超过50W</t>
  </si>
  <si>
    <t xml:space="preserve">65.59万元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</si>
  <si>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</si>
  <si>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</si>
  <si>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</si>
  <si>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</si>
  <si>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</si>
  <si>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</si>
  <si>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</si>
  <si>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赫系星品主播培养目标</t>
  </si>
  <si>
    <t xml:space="preserve">赫系星品新增一名资源位前三主播，或月绩效前三（第四完成50%）</t>
  </si>
  <si>
    <t xml:space="preserve">凯悦第三</t>
  </si>
  <si>
    <t xml:space="preserve">直播间有效内容场</t>
  </si>
  <si>
    <t xml:space="preserve">内容场GMV总增长50w</t>
  </si>
  <si>
    <t xml:space="preserve">46.8w万元</t>
  </si>
  <si>
    <t xml:space="preserve">直播高级经理关键工作达成</t>
  </si>
  <si>
    <t xml:space="preserve">播放量</t>
  </si>
  <si>
    <t xml:space="preserve">15万</t>
  </si>
  <si>
    <t xml:space="preserve">3.4w万</t>
  </si>
  <si>
    <t xml:space="preserve">IP化成交</t>
  </si>
  <si>
    <t xml:space="preserve">18w万元</t>
  </si>
  <si>
    <t xml:space="preserve">FD-048014</t>
  </si>
  <si>
    <t xml:space="preserve">陈志歌</t>
  </si>
  <si>
    <t xml:space="preserve">发膜抖店销售额1200w</t>
  </si>
  <si>
    <t xml:space="preserve">利润率-3.2%</t>
  </si>
  <si>
    <t xml:space="preserve">付费koc成交20w+大投计划1条</t>
  </si>
  <si>
    <t xml:space="preserve">全域新素材成交300w</t>
  </si>
  <si>
    <t xml:space="preserve">300万元</t>
  </si>
  <si>
    <t xml:space="preserve">388.5万元</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</si>
  <si>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</si>
  <si>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</si>
  <si>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</si>
  <si>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</si>
  <si>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</si>
  <si>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</si>
  <si>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</si>
  <si>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二创-创新项</t>
  </si>
  <si>
    <t xml:space="preserve">四条创新文案</t>
  </si>
  <si>
    <t xml:space="preserve">FD-029514</t>
  </si>
  <si>
    <t xml:space="preserve">张鑫露</t>
  </si>
  <si>
    <t xml:space="preserve">【结果指标】小组混剪素材产出微信豆GSV330w</t>
  </si>
  <si>
    <t xml:space="preserve">【结果指标】产出新大投文案8w+开头3条</t>
  </si>
  <si>
    <t xml:space="preserve">0条条条</t>
  </si>
  <si>
    <t xml:space="preserve">例行工作检查点</t>
  </si>
  <si>
    <t xml:space="preserve">【其余】日常值班、价值观、影响力、新机会点的发掘</t>
  </si>
  <si>
    <t xml:space="preserve">OD-004267</t>
  </si>
  <si>
    <t xml:space="preserve">陈静诗</t>
  </si>
  <si>
    <t xml:space="preserve">772.6万元万元</t>
  </si>
  <si>
    <t xml:space="preserve">【结果指标】产出3条新大投文案8w+开头</t>
  </si>
  <si>
    <t xml:space="preserve">10%%</t>
  </si>
  <si>
    <t xml:space="preserve">OD-007771</t>
  </si>
  <si>
    <t xml:space="preserve">陈国权</t>
  </si>
  <si>
    <t xml:space="preserve">个人混剪素材达110wGSV</t>
  </si>
  <si>
    <t xml:space="preserve">110万元</t>
  </si>
  <si>
    <t xml:space="preserve">344.69万元</t>
  </si>
  <si>
    <t xml:space="preserve">产出三条新文案开头成交达到8w</t>
  </si>
  <si>
    <t xml:space="preserve">日常工作值班</t>
  </si>
  <si>
    <t xml:space="preserve">FD-028451</t>
  </si>
  <si>
    <t xml:space="preserve">向可可</t>
  </si>
  <si>
    <t xml:space="preserve">个人混剪素材产出110万</t>
  </si>
  <si>
    <t xml:space="preserve">10824556.49%%%</t>
  </si>
  <si>
    <t xml:space="preserve">3条8万以上创新文案素材</t>
  </si>
  <si>
    <t xml:space="preserve">1条条</t>
  </si>
  <si>
    <t xml:space="preserve">值班等</t>
  </si>
  <si>
    <t xml:space="preserve">全部完成</t>
  </si>
  <si>
    <t xml:space="preserve">OD-008682</t>
  </si>
  <si>
    <t xml:space="preserve">肖绮雯</t>
  </si>
  <si>
    <t xml:space="preserve">个人混剪素材产出微信豆GSV85w</t>
  </si>
  <si>
    <t xml:space="preserve">85万元</t>
  </si>
  <si>
    <t xml:space="preserve">84.637226万元</t>
  </si>
  <si>
    <t xml:space="preserve">8w+新文案2条</t>
  </si>
  <si>
    <t xml:space="preserve">OD-001161</t>
  </si>
  <si>
    <t xml:space="preserve">林建宇</t>
  </si>
  <si>
    <t xml:space="preserve">个人混剪素材产出微信豆110W</t>
  </si>
  <si>
    <t xml:space="preserve">57%%</t>
  </si>
  <si>
    <t xml:space="preserve">产出三条新大投8w加开头</t>
  </si>
  <si>
    <t xml:space="preserve">0条条</t>
  </si>
  <si>
    <t xml:space="preserve">FD-020954</t>
  </si>
  <si>
    <t xml:space="preserve">陈凯涛</t>
  </si>
  <si>
    <t xml:space="preserve">产出新大投文案8w+开头3条</t>
  </si>
  <si>
    <t xml:space="preserve">2条条</t>
  </si>
  <si>
    <t xml:space="preserve">个人混剪素材产出微信豆GSV110w</t>
  </si>
  <si>
    <t xml:space="preserve">543.6万元</t>
  </si>
  <si>
    <t xml:space="preserve">OD-008959</t>
  </si>
  <si>
    <t xml:space="preserve">陈胜晨</t>
  </si>
  <si>
    <t xml:space="preserve">53万元万元万元</t>
  </si>
  <si>
    <t xml:space="preserve">创新文案</t>
  </si>
  <si>
    <t xml:space="preserve">FD-028577</t>
  </si>
  <si>
    <t xml:space="preserve">施钰荧</t>
  </si>
  <si>
    <t xml:space="preserve">gsv</t>
  </si>
  <si>
    <t xml:space="preserve">93.9万元</t>
  </si>
  <si>
    <t xml:space="preserve">创新</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</si>
  <si>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</si>
  <si>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</si>
  <si>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</si>
  <si>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</si>
  <si>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</si>
  <si>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</si>
  <si>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</si>
  <si>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</si>
  <si>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AI测试GSV</t>
  </si>
  <si>
    <t xml:space="preserve">【结果指标】AI测试原片直接贡献GSV*1+开头贡献GSV*0.5 50w</t>
  </si>
  <si>
    <t xml:space="preserve">50w</t>
  </si>
  <si>
    <t xml:space="preserve">32.219049w</t>
  </si>
  <si>
    <t xml:space="preserve">一创-落地数量</t>
  </si>
  <si>
    <t xml:space="preserve">【结果指标】落地达人数量2位</t>
  </si>
  <si>
    <t xml:space="preserve">7月合作达人“时尚奶奶团美少女英子”1人</t>
  </si>
  <si>
    <t xml:space="preserve">过审达人数量</t>
  </si>
  <si>
    <t xml:space="preserve">【过程指标】填表过审达人数量150位</t>
  </si>
  <si>
    <t xml:space="preserve">150人</t>
  </si>
  <si>
    <t xml:space="preserve">113人</t>
  </si>
  <si>
    <t xml:space="preserve">7月份总共筛选达人237人，过审达人113人</t>
  </si>
  <si>
    <t xml:space="preserve">SQ-006620</t>
  </si>
  <si>
    <t xml:space="preserve">傅瑶</t>
  </si>
  <si>
    <t xml:space="preserve">0.0712w</t>
  </si>
  <si>
    <t xml:space="preserve">测试达人开头是否有效</t>
  </si>
  <si>
    <t xml:space="preserve">155.9w</t>
  </si>
  <si>
    <t xml:space="preserve">找达人并建联落地</t>
  </si>
  <si>
    <t xml:space="preserve">已分发</t>
  </si>
  <si>
    <t xml:space="preserve">KOC成交额</t>
  </si>
  <si>
    <t xml:space="preserve">成交额5w</t>
  </si>
  <si>
    <t xml:space="preserve">0.3万元</t>
  </si>
  <si>
    <t xml:space="preserve">OD-000761</t>
  </si>
  <si>
    <t xml:space="preserve">王煜</t>
  </si>
  <si>
    <t xml:space="preserve">【结果指标】落地/跟进达人原片GSV*1+混剪GSV*0.5 15w</t>
  </si>
  <si>
    <t xml:space="preserve">0w</t>
  </si>
  <si>
    <t xml:space="preserve">53.3ww</t>
  </si>
  <si>
    <t xml:space="preserve">150个</t>
  </si>
  <si>
    <t xml:space="preserve">72个</t>
  </si>
  <si>
    <t xml:space="preserve">FD-066576</t>
  </si>
  <si>
    <t xml:space="preserve">电商发展部-KONO渠道A中心</t>
  </si>
  <si>
    <t xml:space="preserve">张正豪</t>
  </si>
  <si>
    <t xml:space="preserve">211万元</t>
  </si>
  <si>
    <t xml:space="preserve">186.6万元</t>
  </si>
  <si>
    <t xml:space="preserve">美妆经典柔顺/经典控油成交</t>
  </si>
  <si>
    <t xml:space="preserve">65万元</t>
  </si>
  <si>
    <t xml:space="preserve">68.1万元</t>
  </si>
  <si>
    <t xml:space="preserve">新店成交</t>
  </si>
  <si>
    <t xml:space="preserve">9.864万元</t>
  </si>
  <si>
    <t xml:space="preserve">FD-061629</t>
  </si>
  <si>
    <t xml:space="preserve">张婷婷</t>
  </si>
  <si>
    <t xml:space="preserve">天猫销售额140w</t>
  </si>
  <si>
    <t xml:space="preserve">158.26万元</t>
  </si>
  <si>
    <t xml:space="preserve">天猫销售额1582630.16</t>
  </si>
  <si>
    <t xml:space="preserve">京东销售额134w</t>
  </si>
  <si>
    <t xml:space="preserve">134万元</t>
  </si>
  <si>
    <t xml:space="preserve">100.01万元</t>
  </si>
  <si>
    <t xml:space="preserve">京东收入小计1000116.04</t>
  </si>
  <si>
    <t xml:space="preserve">天猫利润额14w</t>
  </si>
  <si>
    <t xml:space="preserve">14万元</t>
  </si>
  <si>
    <t xml:space="preserve">17.82万元</t>
  </si>
  <si>
    <t xml:space="preserve">天猫利润额178204.77，利润额120%以上完成率*1.5</t>
  </si>
  <si>
    <t xml:space="preserve">京东利润额8w</t>
  </si>
  <si>
    <t xml:space="preserve">7.56万元</t>
  </si>
  <si>
    <t xml:space="preserve">京东利润额&lt;100%完成率*0</t>
  </si>
  <si>
    <t xml:space="preserve">京东广告消耗40w,1日总ROI2.4</t>
  </si>
  <si>
    <t xml:space="preserve">21.76万元</t>
  </si>
  <si>
    <t xml:space="preserve">京东广告消耗21.76w,1日总ROI2.44（ROI=(527470.69+3741.93)/(215824.19+1751.58)=2.44）</t>
  </si>
  <si>
    <t xml:space="preserve">淘客渠道正常机制成交25w</t>
  </si>
  <si>
    <t xml:space="preserve">37.13万元</t>
  </si>
  <si>
    <t xml:space="preserve">淘客渠道正常机制成交37.13w</t>
  </si>
  <si>
    <t xml:space="preserve">FD-067173</t>
  </si>
  <si>
    <t xml:space="preserve">张颖</t>
  </si>
  <si>
    <t xml:space="preserve">快手销售额</t>
  </si>
  <si>
    <t xml:space="preserve">9.63万元</t>
  </si>
  <si>
    <t xml:space="preserve">得物销售额17w，利润额0.5w</t>
  </si>
  <si>
    <t xml:space="preserve">17万元</t>
  </si>
  <si>
    <t xml:space="preserve">14.67万元</t>
  </si>
  <si>
    <t xml:space="preserve">快手消耗10w，费比50%</t>
  </si>
  <si>
    <t xml:space="preserve">5.32万元</t>
  </si>
  <si>
    <t xml:space="preserve">费比55%</t>
  </si>
  <si>
    <t xml:space="preserve">得物山茶花成交</t>
  </si>
  <si>
    <t xml:space="preserve">1.47万元</t>
  </si>
  <si>
    <t xml:space="preserve">FD-063046</t>
  </si>
  <si>
    <t xml:space="preserve">李培贤</t>
  </si>
  <si>
    <t xml:space="preserve">拼多多销售额211w</t>
  </si>
  <si>
    <t xml:space="preserve">利润额8w</t>
  </si>
  <si>
    <t xml:space="preserve">新店总成交30w</t>
  </si>
  <si>
    <t xml:space="preserve">个人素材月曝光量2400w</t>
  </si>
  <si>
    <t xml:space="preserve">2400万</t>
  </si>
  <si>
    <t xml:space="preserve">1531万</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</si>
  <si>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</si>
  <si>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</si>
  <si>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</si>
  <si>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</si>
  <si>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</si>
  <si>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</si>
  <si>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产品包装组统筹达标率</t>
  </si>
  <si>
    <t xml:space="preserve">产品组完成率</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</si>
  <si>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</si>
  <si>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</si>
  <si>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</si>
  <si>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</si>
  <si>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</si>
  <si>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</si>
  <si>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</si>
  <si>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请款及时率和失误率</t>
  </si>
  <si>
    <t xml:space="preserve">对私、供应商、渠道请款已全部检查附件无误后请款</t>
  </si>
  <si>
    <t xml:space="preserve">任务由100%的OA请款构成，实际无误请款附件已全部请款，满意率为100%</t>
  </si>
  <si>
    <t xml:space="preserve">非销售订单申请及时率</t>
  </si>
  <si>
    <t xml:space="preserve">非销售订单已全部申请发出</t>
  </si>
  <si>
    <t xml:space="preserve">任务由100%的非销售订单构成，满意率为100%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</si>
  <si>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</si>
  <si>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</si>
  <si>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</si>
  <si>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</si>
  <si>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</si>
  <si>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</si>
  <si>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</si>
  <si>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KOC高佣/投流模块成交GSV指标</t>
  </si>
  <si>
    <t xml:space="preserve">KOC高佣/低佣投流GSV 30w 高佣成交比例需≥35%</t>
  </si>
  <si>
    <t xml:space="preserve">30.154万万</t>
  </si>
  <si>
    <t xml:space="preserve">GMV：301549.16，高佣成交比例＞35%</t>
  </si>
  <si>
    <t xml:space="preserve">上播x个GSV≥xw账号</t>
  </si>
  <si>
    <t xml:space="preserve">推进上播2个达人 单个产出GSV≥4w</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</si>
  <si>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</si>
  <si>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</si>
  <si>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</si>
  <si>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</si>
  <si>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</si>
  <si>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</si>
  <si>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内容场策划增量</t>
  </si>
  <si>
    <t xml:space="preserve">赫系星品内容场创新总增量 25W</t>
  </si>
  <si>
    <t xml:space="preserve">28.9万元</t>
  </si>
  <si>
    <t xml:space="preserve">截至7月30日，赫系星品内容场总时长74H，总增量28.9W＋ 男老板场总增量8.6W＋ 女老板场总增量3.6W＋ 洗假发场总增量16.4W＋</t>
  </si>
  <si>
    <t xml:space="preserve">主播IP化推进</t>
  </si>
  <si>
    <t xml:space="preserve">主播IP化每周推进（剪辑视频、创意提出）</t>
  </si>
  <si>
    <t xml:space="preserve">剪辑全域视频3条；寻找抖音热点</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</si>
  <si>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</si>
  <si>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</si>
  <si>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</si>
  <si>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</si>
  <si>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</si>
  <si>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</si>
  <si>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IP化主播素材开头/中段点击高峰总净成交</t>
  </si>
  <si>
    <t xml:space="preserve">视频号直播策划单场成交1K</t>
  </si>
  <si>
    <t xml:space="preserve">IP化账号曝光</t>
  </si>
  <si>
    <t xml:space="preserve">视频号全月发布数8条（不含违规/隐藏），生成人设视频20%</t>
  </si>
  <si>
    <t xml:space="preserve">包含2条AI人设视频</t>
  </si>
  <si>
    <t xml:space="preserve">FD-040207</t>
  </si>
  <si>
    <t xml:space="preserve">周鳞</t>
  </si>
  <si>
    <t xml:space="preserve">每周帮忙剪辑全域素材两条、对接主播拍摄素材</t>
  </si>
  <si>
    <t xml:space="preserve">每周帮忙剪辑全域素材两条、对接主播拍摄素材——全部完成</t>
  </si>
  <si>
    <t xml:space="preserve">培养新主播：
赫系星品：第一资源位（1.2）；第二资源位（1.1）；第三资源位（1）；第四资源位（0.7）；第五资源位（0.2）；
赫系防脱：月销售额第一（0.2）；月销售额第二（0.1）。</t>
  </si>
  <si>
    <t xml:space="preserve">完成——赫系防脱：培养1名新主播月销售额第一0.2；培养1名新主播月销售额第二0.1，完成目标30%</t>
  </si>
  <si>
    <t xml:space="preserve">7月内容场总增量需完成25W</t>
  </si>
  <si>
    <t xml:space="preserve">17.8万元</t>
  </si>
  <si>
    <t xml:space="preserve">7月内容场总增量17.8W➕，完成目标71%</t>
  </si>
  <si>
    <t xml:space="preserve">FD-027772</t>
  </si>
  <si>
    <t xml:space="preserve">罗雪原</t>
  </si>
  <si>
    <t xml:space="preserve">主页视频+直播曝光达到100000</t>
  </si>
  <si>
    <t xml:space="preserve">100000次</t>
  </si>
  <si>
    <t xml:space="preserve">180446次次次</t>
  </si>
  <si>
    <t xml:space="preserve">抖音直播成交20000</t>
  </si>
  <si>
    <t xml:space="preserve">2.54209万元</t>
  </si>
  <si>
    <t xml:space="preserve">月发布主页视频10条</t>
  </si>
  <si>
    <t xml:space="preserve">9条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</si>
  <si>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</si>
  <si>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</si>
  <si>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</si>
  <si>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</si>
  <si>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</si>
  <si>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</si>
  <si>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</si>
  <si>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直播间设备维护管理得分</t>
  </si>
  <si>
    <t xml:space="preserve">直播间硬件设备维护，无异常损坏</t>
  </si>
  <si>
    <t xml:space="preserve">无设备损坏</t>
  </si>
  <si>
    <t xml:space="preserve">助理培训</t>
  </si>
  <si>
    <t xml:space="preserve">每周培训并创新培训课程</t>
  </si>
  <si>
    <t xml:space="preserve">每周举办助理培训，并在7月进行设备链接考核</t>
  </si>
  <si>
    <t xml:space="preserve">配合直播，剪辑要求</t>
  </si>
  <si>
    <t xml:space="preserve">帮忙调整IP直播间灯光设备，辅助IP正常直播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</si>
  <si>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</si>
  <si>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</si>
  <si>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</si>
  <si>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</si>
  <si>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</si>
  <si>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关键工作完成率-关键项目类</t>
  </si>
  <si>
    <t xml:space="preserve">从化仓及周转箱管理</t>
  </si>
  <si>
    <t xml:space="preserve">耗材管理项目</t>
  </si>
  <si>
    <t xml:space="preserve">降本方案落地</t>
  </si>
  <si>
    <t xml:space="preserve">管理制度完善</t>
  </si>
  <si>
    <t xml:space="preserve">中心管理工作评分</t>
  </si>
  <si>
    <t xml:space="preserve">FD-076879</t>
  </si>
  <si>
    <t xml:space="preserve">物流经理</t>
  </si>
  <si>
    <t xml:space="preserve">王雪桐</t>
  </si>
  <si>
    <t xml:space="preserve">2C例行工作 "从化圆通、极兔、顺丰、京东管理，每月赔付核实，跟进KPI及复盘会议；
从化仓快递、杭州仓京东日常异常处理跟进；
以体验分不达标/影响销售投诉/压单为准，定位为快递责任，每次异常绩效-20%"</t>
  </si>
  <si>
    <t xml:space="preserve">"1、完成从化仓快递运营及快递管理工作，完成KPI填写及复盘会议7.10 从化圆通Q2运营复盘报告 7.8 从化仓极兔Q2运营复盘会 2、完成6月圆通、极兔、顺丰、京东平台赔付及正逆向丢件核实，已计入账单 4、优化快递发货量监控，每周更新 快递发货量月度监控，生成监控面板https://app.fandow.top/fd-076879/shipment-monitor/"</t>
  </si>
  <si>
    <t xml:space="preserve">IT事项管理 "1、OMS库准后续跟进：2B板块验收跟进、耗材验收时间确认
2、OMS优化项目7月跟进：预估发货重量推进；对账自动化落地验收（7月至少保证快递+仓库可落地）；预计新增2B一件代发批量修改
3、Q3 IT预计支出，7.15输出"</t>
  </si>
  <si>
    <t xml:space="preserve">"1、OMS库准项目2B/2C全仓流水同步验证通过，可结项（耗材验收预计Q3） 202606 OMS库准项目验收文档 2、OMS优化7月项目2C预估发货重量、2C预估重量修正、OMS打标策略定时功能优化、仓库定时功能优化、圆通物流轨迹均已完成优化，定时功能待验收物流中心OMS改进需求 3、对账自动化完成开发及生产环境测试，目前可完成快递+仓库运费计算，导出明细待8月优化 4、Q3 IT预计支出已输出26年OMS全面升级项目 "</t>
  </si>
  <si>
    <t xml:space="preserve">圆通客退件落地 推进从化圆通客退件包揽，分析分车次运输不同品牌可行性，跟进试行效果验证</t>
  </si>
  <si>
    <t xml:space="preserve">"1、圆通客退件包揽补充协议已输出，待审核 2、推进从化圆通客退件包揽协议落地，预期8月上旬开展试行 圆通包揽客退件补充协议2.0.docx"</t>
  </si>
  <si>
    <t xml:space="preserve">关闭单减少项目 "1、调整物流单号回传时间；
2、分析延后OMS自动审单时间，监测拦截件退款率变化"</t>
  </si>
  <si>
    <t xml:space="preserve">"1、已完成延后OMS自动审单时间方案，待监测拦截件退款率变化 2、沟通仓库通知揽收前进行数据清洗，避免混杂关闭单数据，具体执行方案输出中"</t>
  </si>
  <si>
    <t xml:space="preserve">从化快递降价 "油价下调，确认拿到议价结果，至少下月调整；
形成油价监控例行工作"</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</si>
  <si>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</si>
  <si>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物流降本指标 考核降本达成</t>
  </si>
  <si>
    <t xml:space="preserve">FD-093926</t>
  </si>
  <si>
    <t xml:space="preserve">邓婉思</t>
  </si>
  <si>
    <t xml:space="preserve">库存周转及发货指标</t>
  </si>
  <si>
    <t xml:space="preserve">库存调度异常指标</t>
  </si>
  <si>
    <t xml:space="preserve">调度业务梳理规范</t>
  </si>
  <si>
    <t xml:space="preserve">库存调度降本落地</t>
  </si>
  <si>
    <t xml:space="preserve">打包规范合规</t>
  </si>
  <si>
    <t xml:space="preserve">FD-093013</t>
  </si>
  <si>
    <t xml:space="preserve">柯洁</t>
  </si>
  <si>
    <t xml:space="preserve">2C例行工作
从化仓、杭州仓和贵阳仓运营，资产负债表按时按量，账单核对，次品管理跟进，资产管理，KPI及复盘，库准99.97%达标；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</si>
  <si>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1. 杭州仓：运营无异常，资产负债表按时提交，账单也已完成核对，赔付已核实完成且计入账单，KPI已达标 2. 贵阳仓：运营无异常，资产负债表按时提交，账单也已完成核对，赔付已核实完成且计入账单，KPI走件及时率未达标贵阳仓6月复盘报告 3. 从化仓：2C仓库KPI已达标"</t>
  </si>
  <si>
    <t xml:space="preserve">审单、打单及做单、揽收规范
输出物流、客服、仓库、快递 在 审单、打单及做单、揽收的规范；输出VSM，包括图示、泳道图
需包括监控指标和手段，比如揽收异常监控
完成规范需研讨、中心内共识、中心外共识，最终落地</t>
  </si>
  <si>
    <t xml:space="preserve">"加分：启动落地 1. 2C发货链路VSM绘制完成 2. 规范初版已撰写完成2C发货链路VSM及规范 "</t>
  </si>
  <si>
    <t xml:space="preserve">WMS项目评估
从化仓更换WMS统筹，提需、评估、确认、落地</t>
  </si>
  <si>
    <t xml:space="preserve">"1. 已完成旺店通功能评估及初步功能测试 WMS系统功能需求收集及解决方案 2. 合同已签署，OA归档并打款31-产品供应部-20260722-北京掌上先机网络科技有限公司.pdf 3. 规划方案已出02-【mksw】WMS项目实施主计划v1.0.1.xls 4. 系统对接中：员工配置、货区配置、快手平台授权、OMS测试仓配置、出入库单测试、2C订单测试、快手可麦推单发货测试"</t>
  </si>
  <si>
    <t xml:space="preserve">仓网华东仓统筹推进
1. 推进杭州九号仓续签至10月
2. 确认华东仓网切换方案</t>
  </si>
  <si>
    <t xml:space="preserve">"1. 杭州原价续签到10.31 2. 华东储备服务仓8月线下看仓考察"</t>
  </si>
  <si>
    <t xml:space="preserve">合作仓降本
确认贵阳仓-0.05议价结果和生效时间</t>
  </si>
  <si>
    <t xml:space="preserve">"1. 贵阳仓：拦截费减免，退货运费降至0.5元/kg 2. 杭州仓：6月账单可麦400g2瓶装机制操作费按0.5-1KG计算，金额减免约2.6W"</t>
  </si>
  <si>
    <t xml:space="preserve">物流降本指标
考核降本达成</t>
  </si>
  <si>
    <t xml:space="preserve">FD-098104</t>
  </si>
  <si>
    <t xml:space="preserve">武子超</t>
  </si>
  <si>
    <t xml:space="preserve">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</si>
  <si>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异常闭环</t>
  </si>
  <si>
    <t xml:space="preserve">仓网规划通用优化流程搭建
建立非线性整数规划模型，实现仓网规划实现自动化决策，确保流程操作可复用。</t>
  </si>
  <si>
    <t xml:space="preserve">未完全完成，有价值发现，额外推进耗材管理系统</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</si>
  <si>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</si>
  <si>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未完全完成</t>
  </si>
  <si>
    <t xml:space="preserve">Q3降本项目行动规划
VSM（与实地盘点关联，其他仓次之）；单库位、带板运输时车辆的空间利用率提升（赫系5层变6层）；填充物降本规划（不同品类、材质的测试与推进）</t>
  </si>
  <si>
    <t xml:space="preserve">未完全开展，周转箱规划推进中</t>
  </si>
  <si>
    <t xml:space="preserve">物流中心SOP深化
对物流中心各项关键工作的SOP进行梳理，确定其中可自动化的部分并设计自动化方案与排期。</t>
  </si>
  <si>
    <t xml:space="preserve">FD-091245</t>
  </si>
  <si>
    <t xml:space="preserve">刘凯</t>
  </si>
  <si>
    <t xml:space="preserve">2C例行工作"花都仓运营，资产负债表按时按量，账单核对，次品管理跟进，资产管理，KPI及复盘，库准99.97%达标；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</si>
  <si>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库存数据、次品数据盘查解决 1、花都仓：花都仓运营正常，账单核对完成待审核，赔付纳入账单。7月库准率99.69%，揽收及时率、错漏发率 KPI 未达标，6-7 月罚款合并结算；期初库存偏差通过实地盘点修正，完成专项复盘并形成库存异常处理手册。7.24 花都仓6月运营复盘报告 库存盘点库准异常处理手册 "</t>
  </si>
  <si>
    <t xml:space="preserve">花都仓仓租降本，花都仓仓租降本，导向花都仓单量增加/广西发货</t>
  </si>
  <si>
    <t xml:space="preserve">明确花都仓仓租降本核心导向，梳理单量提升、广西异地发货两大降本路径，初步规划仓租优化落地方向。花都仓、广西仓测算对比</t>
  </si>
  <si>
    <t xml:space="preserve">审单、打单及做单、揽收规范"输出物流、客服、仓库、快递 在 审单、打单及做单、揽收的规范；输出VSM，包括图示、泳道图
需包括监控指标和手段，比如揽收异常监控
完成规范需研讨、中心内共识、中心外共识，最终落地"</t>
  </si>
  <si>
    <t xml:space="preserve">"加分：启动落地 1、审单 - 打单做单 - 揽收链路 VSM、泳道图绘制完成 2、初稿编制完成2C发货链路VSM及规范 "</t>
  </si>
  <si>
    <t xml:space="preserve">售后管理售后链路规范完善，推进落地，包括流程、系统部分，输出执行和监控结果</t>
  </si>
  <si>
    <t xml:space="preserve">售后链路规范筹备梳理，摸排现有流程，拟输出配套文档，制定执行标准与监控方案推进落地。售后全链路管理制度 3.0</t>
  </si>
  <si>
    <t xml:space="preserve">衡水仓撤仓衡水仓撤仓，确保6.30前撤完；确保资产安全，制定消耗计划和目标</t>
  </si>
  <si>
    <t xml:space="preserve">纸箱回收新供应商已寻源，新合同修订内审完毕，等候对方盖章回传，后续到仓回收。</t>
  </si>
  <si>
    <t xml:space="preserve">物流降本指标考核降本达成</t>
  </si>
  <si>
    <t xml:space="preserve">FD-095594</t>
  </si>
  <si>
    <t xml:space="preserve">梁柱耀</t>
  </si>
  <si>
    <t xml:space="preserve">物流中心自动化规划
"对物流中心各模块所有SOP进行梳理，确定其中可自动化的部分并设计自动化方案与排期，确认各部分的价值，价值体现为工时优化/效果提升；
中心每位同事均需要输出一个SKILL，均需要每天使用FANDO，输出规划；
补充：中心规划是线的规划，如体验分的监控到分析的闭环；同事们的SKILL可以是点，比如只能数据监控或只做分析"</t>
  </si>
  <si>
    <t xml:space="preserve">"1. 根据各板块SOP输出自动化泳道图、确认初步排期 2. 完善物流体验分智能监控分析、实现异常闭环的探索，已实现日均两小时的工时优化 3. 协助完成中心自动化规划，助力同事自动化开发 4. 已完成中心与部门的AI化培训，中心培训评分4.938 5. 已指导祥伊SKill开发并完成验收和后续开发方向"</t>
  </si>
  <si>
    <t xml:space="preserve">填充物管理项目
填充物管理规划，包括进销存管理、报废管理；制度落地</t>
  </si>
  <si>
    <t xml:space="preserve">"1. 完成填充物制度的初版撰写，根据意见多次修改 2. 根据确认过后的现场盘点操作更新制度盘点要求 3. 将拟定的供应商考核制度和现有考核制度相结合、实现填充物供应商考核"</t>
  </si>
  <si>
    <t xml:space="preserve">自动化运维及支持
自动化无异常运转，提供自动化支持或数据支持</t>
  </si>
  <si>
    <t xml:space="preserve">完成已开发自动化持续的每日维护、确保程序正常运行、数据正常流转</t>
  </si>
  <si>
    <t xml:space="preserve">自动化落地
最低要求体验分分析，加一个项目，结果为工时优化/效果提升</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</si>
  <si>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</si>
  <si>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流程优化</t>
  </si>
  <si>
    <t xml:space="preserve">OD-009907</t>
  </si>
  <si>
    <t xml:space="preserve">物流专员</t>
  </si>
  <si>
    <t xml:space="preserve">石向阳</t>
  </si>
  <si>
    <t xml:space="preserve">物流中心绩效方案2605（专员）</t>
  </si>
  <si>
    <t xml:space="preserve">耗材业务管理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</si>
  <si>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持续监控耗材库存周转，库存周转达标率基本满足要求。出现 1 次珠光膜气泡袋缺货，已紧急协调供应商补货</t>
  </si>
  <si>
    <t xml:space="preserve">对账管理 
中通、顺丰零担、华夏龙物流、耗材账单，未完成每个绩效-20%
核对账单，打回重做超过1次，每次扣20%
"</t>
  </si>
  <si>
    <t xml:space="preserve">中通历史账单待与供应商确认赔付情况，华夏龙账单待复核，其余账单均已完成已打款无异常</t>
  </si>
  <si>
    <t xml:space="preserve">售后管理 
2B售后业务、2C售后数据统筹，每次异常绩效-50%；体验分监控</t>
  </si>
  <si>
    <t xml:space="preserve">2B售后已交接，2C售后6月上已完成待统计看板总结，6月下数据已处理完毕。体验分监控无异常</t>
  </si>
  <si>
    <t xml:space="preserve">资产负债表 
目标99.97%；各类资产提前统筹、异常解决、按时保质交付；每次异常绩效-20%</t>
  </si>
  <si>
    <t xml:space="preserve">资产负债表按时交付无异常，成品库准率99.97%</t>
  </si>
  <si>
    <t xml:space="preserve">签单回传100%落实 
SOP执行；电子、纸质100%回传，确保财务资金追溯；往期追溯，上月中到本月中回传率100%考核</t>
  </si>
  <si>
    <t xml:space="preserve">速通，荣庆7月电子回单10号前上传完毕；顺丰纸质单待订单完结后回寄，月中前完成；跨越华夏龙纸质已寄回</t>
  </si>
  <si>
    <t xml:space="preserve">OD-009202</t>
  </si>
  <si>
    <t xml:space="preserve">伍熙</t>
  </si>
  <si>
    <t xml:space="preserve">2B履约率拉升
破损错漏发未按时分析报告：每300单允许1单异常，超出1单扣20%；
每次投诉/异常未及时完结绩效-20%</t>
  </si>
  <si>
    <t xml:space="preserve">2B业务管理
"供应商复盘、破损错漏发未按时分析报告、异常解决；每次投诉/异常未及时完结绩效-20%
仓库及物流商KPI考核、供应商月度复盘；及时打款
资产负债表正常输出</t>
  </si>
  <si>
    <t xml:space="preserve">海外供应商评估
调度供应商评估引进</t>
  </si>
  <si>
    <t xml:space="preserve">海外业务管理
海外正常供货，异常及时跟进完结，投诉1单扣20%</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</si>
  <si>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</si>
  <si>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2B送货物流降本落地
送货物流正常启用切换50%原订单，华夏龙退场</t>
  </si>
  <si>
    <t xml:space="preserve">中心SOP优化项目
"2B组知识库搭建与流程优化，2B基础知识补充
完成知识点：2B履约异常解决方法"</t>
  </si>
  <si>
    <t xml:space="preserve">OD-008155</t>
  </si>
  <si>
    <t xml:space="preserve">姚灿铭</t>
  </si>
  <si>
    <t xml:space="preserve">奋进、正直、自我批判、以用户为中心”</t>
  </si>
  <si>
    <t xml:space="preserve">“奋进、正直、自我批判、以用户为中心”</t>
  </si>
  <si>
    <t xml:space="preserve">2B售后
"订单异常-20%/单
售后数据差异绝对值每-1%，则-20%"</t>
  </si>
  <si>
    <t xml:space="preserve">申请退货数量15095，实际接受数量15095，差异均已同步确认，确认实现闭环，订单差异率=0%</t>
  </si>
  <si>
    <t xml:space="preserve">对账管理
圆通快递、顺丰快递、京东快递、极兔快递、跨越零担、顺丰大件、菜鸟、九号仓、顺丰大件历史账单，及时请款打款，未完成每个绩效-20%</t>
  </si>
  <si>
    <t xml:space="preserve">账单均已核实并完成请款，除了极兔账单已核对未审核</t>
  </si>
  <si>
    <t xml:space="preserve">账单反复次数
核对账单，打回重做超过1次，每次扣20%</t>
  </si>
  <si>
    <t xml:space="preserve">圆通6月账单有修改</t>
  </si>
  <si>
    <t xml:space="preserve">历史账单清理
带教实习生完成8个历史账单核对</t>
  </si>
  <si>
    <t xml:space="preserve">中通6月赔付金额待确认</t>
  </si>
  <si>
    <t xml:space="preserve">OMS系统优化项目
"对账自动化优化项目立项确认报价
2C板块完结，其余板块确认规划时间，7.15"</t>
  </si>
  <si>
    <t xml:space="preserve">自动对账已能实现录入信息且自动计算价格与差异，未完全完成</t>
  </si>
  <si>
    <t xml:space="preserve">对账文档优化
每个款项均记录初始和最终的文件、金额，补充26年所有账单记录</t>
  </si>
  <si>
    <t xml:space="preserve">已全部完成</t>
  </si>
  <si>
    <t xml:space="preserve">OD-003221</t>
  </si>
  <si>
    <t xml:space="preserve">高颖禧</t>
  </si>
  <si>
    <t xml:space="preserve">异常高发，持续及时响应需求及异常</t>
  </si>
  <si>
    <t xml:space="preserve">海内外调度管理</t>
  </si>
  <si>
    <t xml:space="preserve">物流供应商管理</t>
  </si>
  <si>
    <t xml:space="preserve">FD-076847</t>
  </si>
  <si>
    <t xml:space="preserve">蒋冰清</t>
  </si>
  <si>
    <t xml:space="preserve">线下渠道部-WIS销售A中心-CS商务经理、管培生2606</t>
  </si>
  <si>
    <t xml:space="preserve">21.9万元</t>
  </si>
  <si>
    <t xml:space="preserve">回款</t>
  </si>
  <si>
    <t xml:space="preserve">41.3万元</t>
  </si>
  <si>
    <t xml:space="preserve">2500元</t>
  </si>
  <si>
    <t xml:space="preserve">3861元</t>
  </si>
  <si>
    <t xml:space="preserve">夏季新品活动</t>
  </si>
  <si>
    <t xml:space="preserve">FD-072418</t>
  </si>
  <si>
    <t xml:space="preserve">线下渠道部-WIS-WIS销售A中心-华中区</t>
  </si>
  <si>
    <t xml:space="preserve">马诗瑾</t>
  </si>
  <si>
    <t xml:space="preserve">月度出货</t>
  </si>
  <si>
    <t xml:space="preserve">55.3万元</t>
  </si>
  <si>
    <t xml:space="preserve">利润率完成情况</t>
  </si>
  <si>
    <t xml:space="preserve">账期客户回款</t>
  </si>
  <si>
    <t xml:space="preserve">57万元</t>
  </si>
  <si>
    <t xml:space="preserve">4625.2元</t>
  </si>
  <si>
    <t xml:space="preserve">活动提报指标达成率</t>
  </si>
  <si>
    <t xml:space="preserve">夏日活动提报</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</si>
  <si>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</si>
  <si>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</si>
  <si>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</si>
  <si>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</si>
  <si>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</si>
  <si>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</si>
  <si>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单品当月销售额</t>
  </si>
  <si>
    <t xml:space="preserve">发膜单品成交150w，roi在2.15以上</t>
  </si>
  <si>
    <t xml:space="preserve">77.8万元</t>
  </si>
  <si>
    <t xml:space="preserve">roi达标</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</si>
  <si>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</si>
  <si>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</si>
  <si>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</si>
  <si>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</si>
  <si>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</si>
  <si>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轻盈微信豆项目7月面板销售额660W，赔付后ROI2.1以上,项目冲减费比52%以内</t>
  </si>
  <si>
    <t xml:space="preserve">成交367.7万，冲减后ROI 2.17,冲减后费比46.07%</t>
  </si>
  <si>
    <t xml:space="preserve">用AI工具0-1产出所需要的画面,路径可道选(自己用网站换口型or或提需给AI编导),所产出的AI开头/原创AI含量超30%的素材成交15W（6.20-8.3发布的素材，在7.1-8.3的成交金额）</t>
  </si>
  <si>
    <t xml:space="preserve">微信豆473031.58，ADQ15955.8，总成交488987.38，完成率325.99%，得分1.5</t>
  </si>
  <si>
    <t xml:space="preserve">跟策划进行提需配合产出,7月产出2条成交5W以上素材（6.20-8.3发布的素材，在7.1-8.3的成交金额）</t>
  </si>
  <si>
    <t xml:space="preserve">微信豆：头痒头发油的你，怎么能错过这个！ ZT-R A 成交76656.31，幸亏没有着急买洗发水，这次总算赶上 R-ZT A 成交50652.2，都超过5w，总成交127308.51，加上AI01素材0.125的系数，总成交是143222.0738，完成率超120%,得分1.5</t>
  </si>
  <si>
    <t xml:space="preserve">FD-083091</t>
  </si>
  <si>
    <t xml:space="preserve">姚雪</t>
  </si>
  <si>
    <t xml:space="preserve">OD团队管理&amp;培训,OD团队本月产出素材总成交150W</t>
  </si>
  <si>
    <t xml:space="preserve">116.1万元</t>
  </si>
  <si>
    <t xml:space="preserve">轻盈微信豆项目7月面板销售额660W,赔付后舌ROI2.1以上,冲减费比52.1%以内。</t>
  </si>
  <si>
    <t xml:space="preserve">660万元</t>
  </si>
  <si>
    <t xml:space="preserve">376.7万元</t>
  </si>
  <si>
    <t xml:space="preserve">关键工作-定量</t>
  </si>
  <si>
    <t xml:space="preserve">导中心用AI工具0-1产出所需要的画面,路径可选(自己用网站换口型or或提需给Al编导),中心所产出的AI开头/原创AI含量超30%的素材成交50W。</t>
  </si>
  <si>
    <t xml:space="preserve">65.6万元</t>
  </si>
  <si>
    <t xml:space="preserve">中心所产出的AI开头/原创AI含量超30%的素材成交65.6W。</t>
  </si>
  <si>
    <t xml:space="preserve">FD-045208</t>
  </si>
  <si>
    <t xml:space="preserve">俞文鑫</t>
  </si>
  <si>
    <t xml:space="preserve">6.20-7.31产出的素材微信豆+抖店成交30W</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</si>
  <si>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</si>
  <si>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</si>
  <si>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7月防脱视频号【总退后成交-ADQ】+抖店 退后成交150W，项目费比55%以内</t>
  </si>
  <si>
    <t xml:space="preserve">54.9万元</t>
  </si>
  <si>
    <t xml:space="preserve">总成交549000，费比57.56%.（根据规则费比差值，得分*0.6）</t>
  </si>
  <si>
    <t xml:space="preserve">引导中心用AI工具0-1产出所需要的画面,路径可选(自己用网站换口型or或提需给AI编导),中心所产出的AI开头/原创AI含量超30%的素材成交8W</t>
  </si>
  <si>
    <t xml:space="preserve">23万元</t>
  </si>
  <si>
    <t xml:space="preserve">完成230234.87</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</si>
  <si>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</si>
  <si>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</si>
  <si>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</si>
  <si>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</si>
  <si>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项目整体：轻盈微信豆项目7月面板销售额660W，赔付后ROI2.15以上</t>
  </si>
  <si>
    <t xml:space="preserve">31号前2位达人推进到脚本终稿</t>
  </si>
  <si>
    <t xml:space="preserve">用AI工具0-1产出所需要的画面，所产出的AI开头/原创AI含量超30%的素材成交5W。</t>
  </si>
  <si>
    <t xml:space="preserve">FD-049772</t>
  </si>
  <si>
    <t xml:space="preserve">陈月华</t>
  </si>
  <si>
    <t xml:space="preserve">ADQ轻盈面板成交340w；回传转化ROI2.15</t>
  </si>
  <si>
    <t xml:space="preserve">340万元</t>
  </si>
  <si>
    <t xml:space="preserve">249.3万元</t>
  </si>
  <si>
    <t xml:space="preserve">ROI2.10</t>
  </si>
  <si>
    <t xml:space="preserve">ADQ发膜面板成交35w；目标回传转化ROI2.1</t>
  </si>
  <si>
    <t xml:space="preserve">35万元</t>
  </si>
  <si>
    <t xml:space="preserve">18.5万元</t>
  </si>
  <si>
    <t xml:space="preserve">实际完成ROI2.01</t>
  </si>
  <si>
    <t xml:space="preserve">ADQ防脱面板成交30w；回传转化ROI1.9</t>
  </si>
  <si>
    <t xml:space="preserve">23.1万元</t>
  </si>
  <si>
    <t xml:space="preserve">ROI1.62</t>
  </si>
  <si>
    <t xml:space="preserve">FD-096977</t>
  </si>
  <si>
    <t xml:space="preserve">行政专员</t>
  </si>
  <si>
    <t xml:space="preserve">廖树清</t>
  </si>
  <si>
    <t xml:space="preserve">人资行政部-从化中心-行政专员</t>
  </si>
  <si>
    <t xml:space="preserve">物资管理安全性</t>
  </si>
  <si>
    <t xml:space="preserve">考勤核对及时与准确</t>
  </si>
  <si>
    <t xml:space="preserve">报表录入准确性</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</si>
  <si>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</si>
  <si>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</si>
  <si>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</si>
  <si>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</si>
  <si>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</si>
  <si>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</si>
  <si>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</si>
  <si>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招聘目标</t>
  </si>
  <si>
    <t xml:space="preserve">设备技术员招聘</t>
  </si>
  <si>
    <t xml:space="preserve">0人</t>
  </si>
  <si>
    <t xml:space="preserve">质量安全负责人约面</t>
  </si>
  <si>
    <t xml:space="preserve">基础工作跟进类</t>
  </si>
  <si>
    <t xml:space="preserve">半年度评级</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</si>
  <si>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</si>
  <si>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</si>
  <si>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</si>
  <si>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</si>
  <si>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</si>
  <si>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</si>
  <si>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</si>
  <si>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</si>
  <si>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</si>
  <si>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174.25万元</t>
  </si>
  <si>
    <t xml:space="preserve">ROI2.12＜2.15，ROI差值＜=0.05，得分*0.9</t>
  </si>
  <si>
    <t xml:space="preserve">2.所负责的防脱直播户7月成交15W,ROI1.9,日销1W后ROI需要逐步拉到2</t>
  </si>
  <si>
    <t xml:space="preserve">1.95万元</t>
  </si>
  <si>
    <t xml:space="preserve">ROI差值大于0.15，得分*0</t>
  </si>
  <si>
    <t xml:space="preserve">6.20-7.31期间产出的新素材成交30W(轻盈+防脱）</t>
  </si>
  <si>
    <t xml:space="preserve">27.93万元</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</si>
  <si>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</si>
  <si>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</si>
  <si>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</si>
  <si>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</si>
  <si>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</si>
  <si>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</si>
  <si>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考核项2:6.20-7.31产出混剪素材成交50W</t>
  </si>
  <si>
    <t xml:space="preserve">446,504.83625元</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</si>
  <si>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</si>
  <si>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</si>
  <si>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</si>
  <si>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</si>
  <si>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</si>
  <si>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探索微信豆直播投放，不限单品，微信豆直播7月成交15w,ROI不低于2</t>
  </si>
  <si>
    <t xml:space="preserve">1.6703万元万元</t>
  </si>
  <si>
    <t xml:space="preserve">微信豆直播7月总成交16703.5元，自行计算得roi为1.72</t>
  </si>
  <si>
    <t xml:space="preserve">7月轻盈小店广告累计成交40w</t>
  </si>
  <si>
    <t xml:space="preserve">26.9905万元</t>
  </si>
  <si>
    <t xml:space="preserve">7月轻盈小店广告累计成交269905.8元</t>
  </si>
  <si>
    <t xml:space="preserve">OD-004808</t>
  </si>
  <si>
    <t xml:space="preserve">宁心如</t>
  </si>
  <si>
    <t xml:space="preserve">7月发膜微信豆个人搭建计划面板成交75W</t>
  </si>
  <si>
    <t xml:space="preserve">75万元</t>
  </si>
  <si>
    <t xml:space="preserve">408239.16万元</t>
  </si>
  <si>
    <t xml:space="preserve">6.20-7.31产出的素材微信豆成交35W</t>
  </si>
  <si>
    <t xml:space="preserve">194008.7025万元</t>
  </si>
  <si>
    <t xml:space="preserve">ai素材63892.5*1.125+122129.64</t>
  </si>
  <si>
    <t xml:space="preserve">7月小店广告发膜累计成交10w</t>
  </si>
  <si>
    <t xml:space="preserve">76759.9万元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</si>
  <si>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</si>
  <si>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</si>
  <si>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</si>
  <si>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</si>
  <si>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</si>
  <si>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</si>
  <si>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.20-7.31产出混剪素材成交50W</t>
  </si>
  <si>
    <t xml:space="preserve">58万元</t>
  </si>
  <si>
    <t xml:space="preserve">OD-005766</t>
  </si>
  <si>
    <t xml:space="preserve">谭颂韶</t>
  </si>
  <si>
    <t xml:space="preserve">AI素材交付率95%以上</t>
  </si>
  <si>
    <t xml:space="preserve">所有单品产出AI01素材7月成交金额</t>
  </si>
  <si>
    <t xml:space="preserve">34万元</t>
  </si>
  <si>
    <t xml:space="preserve">搭建提升工作效率skill</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</si>
  <si>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</si>
  <si>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</si>
  <si>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</si>
  <si>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考核项2，素材产出:满足日均打包在打包6条,前置储备休息日素材每日发6条。
结果导向：6.20-7.31产出的素材微信豆、抖店成交30W（AI0-1素材结算时×系数1.125）</t>
  </si>
  <si>
    <t xml:space="preserve">69960.31万元</t>
  </si>
  <si>
    <t xml:space="preserve">考核项3:6.20-7.31产出2条5W成交以上素材或4条3W以上素材</t>
  </si>
  <si>
    <t xml:space="preserve">OD-006181</t>
  </si>
  <si>
    <t xml:space="preserve">陈紫茵</t>
  </si>
  <si>
    <t xml:space="preserve">34.369万元</t>
  </si>
  <si>
    <t xml:space="preserve">28.08万元</t>
  </si>
  <si>
    <t xml:space="preserve">AI素材：9296.4*1.125+270363.6</t>
  </si>
  <si>
    <t xml:space="preserve">7月小店广告发膜累计成交10W</t>
  </si>
  <si>
    <t xml:space="preserve">7.676万元</t>
  </si>
  <si>
    <t xml:space="preserve">OD-009357</t>
  </si>
  <si>
    <t xml:space="preserve">黄钰霞</t>
  </si>
  <si>
    <t xml:space="preserve">视频混剪</t>
  </si>
  <si>
    <t xml:space="preserve">143条</t>
  </si>
  <si>
    <t xml:space="preserve">素材成交额30万</t>
  </si>
  <si>
    <t xml:space="preserve">8.887451万元</t>
  </si>
  <si>
    <t xml:space="preserve">OD-002994</t>
  </si>
  <si>
    <t xml:space="preserve">郑义奔</t>
  </si>
  <si>
    <t xml:space="preserve">1.所负责的轻盈(直购+直播)、防脱直购户7月面板成交90W,转化回传ROI2.15</t>
  </si>
  <si>
    <t xml:space="preserve">38.81万元</t>
  </si>
  <si>
    <t xml:space="preserve">2.所负责的发膜户7月成交35W,ROI2.1</t>
  </si>
  <si>
    <t xml:space="preserve">18.48万元</t>
  </si>
  <si>
    <t xml:space="preserve">3.6.20-7.31期间产出的新素材成交30W(轻盈+防脱)</t>
  </si>
  <si>
    <t xml:space="preserve">OD-000246</t>
  </si>
  <si>
    <t xml:space="preserve">黄金平</t>
  </si>
  <si>
    <t xml:space="preserve">非值班日完成小店广告素材更新，可以取用ADQ素材
结果导向：7月轻盈小店广告累计成交40w</t>
  </si>
  <si>
    <t xml:space="preserve">26.99万元</t>
  </si>
  <si>
    <t xml:space="preserve">跟进分发的KOC微信豆加投，KOC/达人加投本月成交5w</t>
  </si>
  <si>
    <t xml:space="preserve">完成视频号排发，按照值班规则进行加热关键工作，评论区维护。
结果导向：7月1-31号所建的微信豆计划退前成交330w,正常出价计划-赔付后ROI2.1以上，优惠券无浪费情况。</t>
  </si>
  <si>
    <t xml:space="preserve">140.5万元</t>
  </si>
  <si>
    <t xml:space="preserve">OD-002173</t>
  </si>
  <si>
    <t xml:space="preserve">赵良武</t>
  </si>
  <si>
    <t xml:space="preserve">7.6日起,每个工作日日均打包收片7条素材。22个工作日,收片154条。</t>
  </si>
  <si>
    <t xml:space="preserve">84条</t>
  </si>
  <si>
    <t xml:space="preserve">6.20-7.31产出混剪素材成交30W</t>
  </si>
  <si>
    <t xml:space="preserve">4.034万元</t>
  </si>
  <si>
    <t xml:space="preserve">OD-003624</t>
  </si>
  <si>
    <t xml:space="preserve">刘权广</t>
  </si>
  <si>
    <t xml:space="preserve">7.6日起，每个工作日日均打包收片7条素材。22个工作日，收片154条。</t>
  </si>
  <si>
    <t xml:space="preserve">77条</t>
  </si>
  <si>
    <t xml:space="preserve">6.20-7.31产出混剪素材成交30W。</t>
  </si>
  <si>
    <t xml:space="preserve">0.88万元</t>
  </si>
  <si>
    <t xml:space="preserve">OD-000393</t>
  </si>
  <si>
    <t xml:space="preserve">庄佳璇</t>
  </si>
  <si>
    <t xml:space="preserve">所负责的轻盈(直购+直播)+防脱直购账户7月面板成交100W,转化回传ROI2.15</t>
  </si>
  <si>
    <t xml:space="preserve">roi2.10972503，成交金额：500664.1元</t>
  </si>
  <si>
    <t xml:space="preserve">所负责的防脱直播户7月成交15W,ROI1.9,日销1W后ROI需要逐步拉到2</t>
  </si>
  <si>
    <t xml:space="preserve">1.1万元</t>
  </si>
  <si>
    <t xml:space="preserve">roi0.827803316，成交金额：11496.4元</t>
  </si>
  <si>
    <t xml:space="preserve">6.20-7.31期间产出的新素材成交30W(轻盈+防脱</t>
  </si>
  <si>
    <t xml:space="preserve">1.33433万元</t>
  </si>
  <si>
    <t xml:space="preserve">成交金额：13343.3</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</si>
  <si>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</si>
  <si>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</si>
  <si>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</si>
  <si>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"考核项2，素材产出：满足日均打包在打包6条，前置储备休息日素材每日发6条。
结果导向：6.20-7.31产出的素材微信豆、抖店成交10W。【AI0-1素材结算时✖️系数1.125】"</t>
  </si>
  <si>
    <t xml:space="preserve">1.27万元</t>
  </si>
  <si>
    <t xml:space="preserve">考核项3：6.20-7.31产出1条5W成交以上素材或2条3W以上素材</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</si>
  <si>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</si>
  <si>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</si>
  <si>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</si>
  <si>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</si>
  <si>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</si>
  <si>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</si>
  <si>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</si>
  <si>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</si>
  <si>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</si>
  <si>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</si>
  <si>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50%票务处理+50%大数据库支持</t>
  </si>
  <si>
    <t xml:space="preserve">票务处理95%+大数据库支持100%</t>
  </si>
  <si>
    <t xml:space="preserve">专项分析质量</t>
  </si>
  <si>
    <t xml:space="preserve">null</t>
  </si>
  <si>
    <t xml:space="preserve">FD-178394</t>
  </si>
  <si>
    <t xml:space="preserve">赵婉晴</t>
  </si>
  <si>
    <t xml:space="preserve">7月WIS线上财报解读</t>
  </si>
  <si>
    <t xml:space="preserve">品牌渠道利润达成完成度</t>
  </si>
  <si>
    <t xml:space="preserve">月度滚动预测，线上营收利润率预估准确性</t>
  </si>
  <si>
    <t xml:space="preserve">专项分析-电商平台运营卡片分析</t>
  </si>
  <si>
    <t xml:space="preserve">FD-172210</t>
  </si>
  <si>
    <t xml:space="preserve">周欣蕊</t>
  </si>
  <si>
    <t xml:space="preserve">WIS 10% 新品牌30%</t>
  </si>
  <si>
    <t xml:space="preserve">WIS+可麦</t>
  </si>
  <si>
    <t xml:space="preserve">WIS及新品牌工作交接</t>
  </si>
  <si>
    <t xml:space="preserve">FD-174878</t>
  </si>
  <si>
    <t xml:space="preserve">徐婕</t>
  </si>
  <si>
    <t xml:space="preserve">WIS线下、IRY 财报解读</t>
  </si>
  <si>
    <t xml:space="preserve">50%每周复盘+30%调控建议+20%预估准确率</t>
  </si>
  <si>
    <t xml:space="preserve">京东平台运营分析</t>
  </si>
  <si>
    <t xml:space="preserve">FD-174877</t>
  </si>
  <si>
    <t xml:space="preserve">毛璇</t>
  </si>
  <si>
    <t xml:space="preserve">FD-175040</t>
  </si>
  <si>
    <t xml:space="preserve">张立军</t>
  </si>
  <si>
    <t xml:space="preserve">50%建议提出采纳+50%上级评估</t>
  </si>
  <si>
    <t xml:space="preserve">专项分析</t>
  </si>
  <si>
    <t xml:space="preserve">FD-171299</t>
  </si>
  <si>
    <t xml:space="preserve">李卓朋</t>
  </si>
  <si>
    <t xml:space="preserve">财报解读</t>
  </si>
  <si>
    <t xml:space="preserve">蒸汽发生器跟踪</t>
  </si>
  <si>
    <t xml:space="preserve">FD-175999</t>
  </si>
  <si>
    <t xml:space="preserve">杨懿萱</t>
  </si>
  <si>
    <t xml:space="preserve">FD-174634</t>
  </si>
  <si>
    <t xml:space="preserve">曾飞燕</t>
  </si>
  <si>
    <t xml:space="preserve">月度预测</t>
  </si>
  <si>
    <t xml:space="preserve">专项输出</t>
  </si>
  <si>
    <t xml:space="preserve">FD-172589</t>
  </si>
  <si>
    <t xml:space="preserve">宋霄宇</t>
  </si>
  <si>
    <t xml:space="preserve">6月财报分析质量</t>
  </si>
  <si>
    <t xml:space="preserve">月末财报预估准确性</t>
  </si>
  <si>
    <t xml:space="preserve">专项分析报告质量</t>
  </si>
  <si>
    <t xml:space="preserve">FD-176838</t>
  </si>
  <si>
    <t xml:space="preserve">何鑫</t>
  </si>
  <si>
    <t xml:space="preserve">财报解读及建议</t>
  </si>
  <si>
    <t xml:space="preserve">定计划财报出具</t>
  </si>
  <si>
    <t xml:space="preserve">FD-171271</t>
  </si>
  <si>
    <t xml:space="preserve">皮惠玲</t>
  </si>
  <si>
    <t xml:space="preserve">墨雪魔渍财报解读</t>
  </si>
  <si>
    <t xml:space="preserve">月度滚动预算</t>
  </si>
  <si>
    <t xml:space="preserve">电商平台运营卡片</t>
  </si>
  <si>
    <t xml:space="preserve">FD-172129</t>
  </si>
  <si>
    <t xml:space="preserve">宋兆卿</t>
  </si>
  <si>
    <t xml:space="preserve">6月正式版财报核算及时性</t>
  </si>
  <si>
    <t xml:space="preserve">6月正式版财报底稿核算准确性</t>
  </si>
  <si>
    <t xml:space="preserve">单品财报拆分底稿输出及时性</t>
  </si>
  <si>
    <t xml:space="preserve">单品财报拆分底稿输出准确性</t>
  </si>
  <si>
    <t xml:space="preserve">滚动预算输出及时性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</si>
  <si>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</si>
  <si>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</si>
  <si>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</si>
  <si>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</si>
  <si>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</si>
  <si>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</si>
  <si>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</si>
  <si>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</si>
  <si>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例行工作达成率（破价拉黑、每日拉取数据、发送数据、KOC寄样投流、建链接）</t>
  </si>
  <si>
    <t xml:space="preserve">辅助团队完成一些例行事项(如合同寄送、归档、打印、破价监控等等</t>
  </si>
  <si>
    <t xml:space="preserve">OD-008305</t>
  </si>
  <si>
    <t xml:space="preserve">郭嘉珊</t>
  </si>
  <si>
    <t xml:space="preserve">品牌创意部-赫系营销C中心-营销策划岗位绩效考核方案</t>
  </si>
  <si>
    <t xml:space="preserve">226671.01万元</t>
  </si>
  <si>
    <t xml:space="preserve">素材数量（混剪营销策划）</t>
  </si>
  <si>
    <t xml:space="preserve">180条</t>
  </si>
  <si>
    <t xml:space="preserve">OD-006530</t>
  </si>
  <si>
    <t xml:space="preserve">岑雪莹</t>
  </si>
  <si>
    <t xml:space="preserve">160条</t>
  </si>
  <si>
    <t xml:space="preserve">101条</t>
  </si>
  <si>
    <t xml:space="preserve">40w</t>
  </si>
  <si>
    <t xml:space="preserve">36826.6万元</t>
  </si>
  <si>
    <t xml:space="preserve">OD-000527</t>
  </si>
  <si>
    <t xml:space="preserve">施丽芬</t>
  </si>
  <si>
    <t xml:space="preserve">7月份素材数量125条</t>
  </si>
  <si>
    <t xml:space="preserve">82条</t>
  </si>
  <si>
    <t xml:space="preserve">3.35852万元</t>
  </si>
  <si>
    <t xml:space="preserve">OD-001899</t>
  </si>
  <si>
    <t xml:space="preserve">陈家榕</t>
  </si>
  <si>
    <t xml:space="preserve">7月付费koc项目扣退后成交160w</t>
  </si>
  <si>
    <t xml:space="preserve">132.8万元</t>
  </si>
  <si>
    <t xml:space="preserve">live-自然月维度新合作的live达人成交额为8w</t>
  </si>
  <si>
    <t xml:space="preserve">5.7,584万元</t>
  </si>
  <si>
    <t xml:space="preserve">关键工作-新自运营账号成交额3w</t>
  </si>
  <si>
    <t xml:space="preserve">0.2594万元</t>
  </si>
  <si>
    <t xml:space="preserve">执行项（内容营销策划）</t>
  </si>
  <si>
    <t xml:space="preserve">脚本分发；投流计划；数据统计；评论维护；收片（不低于60条正片）；新发布koc及时上传全域等</t>
  </si>
  <si>
    <t xml:space="preserve">270条</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</si>
  <si>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</si>
  <si>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</si>
  <si>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</si>
  <si>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</si>
  <si>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</si>
  <si>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</si>
  <si>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</si>
  <si>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</si>
  <si>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</si>
  <si>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</si>
  <si>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</si>
  <si>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</si>
  <si>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</si>
  <si>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</si>
  <si>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承接达播资源，7月确定开播档期3个（月末转为配合先锋项目组AI项目落地）</t>
  </si>
  <si>
    <t xml:space="preserve">项目顺利落地</t>
  </si>
  <si>
    <t xml:space="preserve">koc7月份总GMV1w元</t>
  </si>
  <si>
    <t xml:space="preserve">10.66万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</si>
  <si>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</si>
  <si>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</si>
  <si>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</si>
  <si>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</si>
  <si>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</si>
  <si>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</si>
  <si>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</si>
  <si>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</si>
  <si>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</si>
  <si>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</si>
  <si>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</si>
  <si>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</si>
  <si>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</si>
  <si>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</si>
  <si>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赫系付费KOC发布数＞80</t>
  </si>
  <si>
    <t xml:space="preserve">80个</t>
  </si>
  <si>
    <t xml:space="preserve">116.6个</t>
  </si>
  <si>
    <t xml:space="preserve">新合作有效账号（原片成交＞2000）20个</t>
  </si>
  <si>
    <t xml:space="preserve">24个</t>
  </si>
  <si>
    <t xml:space="preserve">KOC-GSV-个人短视频付费</t>
  </si>
  <si>
    <t xml:space="preserve">赫系付费洗发水新达人GMV＞15w，旧达人GMV＞40w</t>
  </si>
  <si>
    <t xml:space="preserve">新达人8.85w，旧达人35.46w万元</t>
  </si>
  <si>
    <t xml:space="preserve">赫系付费发膜新达人GMV＞10w，旧达人GMV＞30w</t>
  </si>
  <si>
    <t xml:space="preserve">新达人15.76w，旧达人9.2w万元</t>
  </si>
  <si>
    <t xml:space="preserve">FD-054028</t>
  </si>
  <si>
    <t xml:space="preserve">虞雯锜</t>
  </si>
  <si>
    <t xml:space="preserve">统筹赫系纯佣KOC项目GSV</t>
  </si>
  <si>
    <t xml:space="preserve">612645.75万元</t>
  </si>
  <si>
    <t xml:space="preserve">赫系纯佣收片</t>
  </si>
  <si>
    <t xml:space="preserve">1189条</t>
  </si>
  <si>
    <t xml:space="preserve">新合作纯佣有效账号（原片成交＞1000）</t>
  </si>
  <si>
    <t xml:space="preserve">赫系自运营合作数</t>
  </si>
  <si>
    <t xml:space="preserve">FD-057280</t>
  </si>
  <si>
    <t xml:space="preserve">刘芸菲</t>
  </si>
  <si>
    <t xml:space="preserve">新有效达人账号＞20个（原片成交＞2000）</t>
  </si>
  <si>
    <t xml:space="preserve">14个</t>
  </si>
  <si>
    <t xml:space="preserve">赫系付费发膜新达人GMV＞15w，旧达人GMV＞40w</t>
  </si>
  <si>
    <t xml:space="preserve">313028.07万元</t>
  </si>
  <si>
    <t xml:space="preserve">新达人62973.8w，旧达人250054.27w</t>
  </si>
  <si>
    <t xml:space="preserve">赫系付费洗发水新达人GMV＞10w，旧达人GMV＞30w</t>
  </si>
  <si>
    <t xml:space="preserve">35726.75万元</t>
  </si>
  <si>
    <t xml:space="preserve">新达人35721.43w,旧达人5.32w</t>
  </si>
  <si>
    <t xml:space="preserve">77.4条</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</si>
  <si>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</si>
  <si>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</si>
  <si>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</si>
  <si>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</si>
  <si>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</si>
  <si>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</si>
  <si>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项目效果-6月</t>
  </si>
  <si>
    <t xml:space="preserve">管理后台迭代更新，数据错误率0%，凡小助响应时长小于等于1min</t>
  </si>
  <si>
    <t xml:space="preserve">1.凡小助功能开发；2.deepseek长任务终端问题排查；3.登录右下加展示工号与权限 4.用量概览日活逻辑修改 6.趋势分析等折现统计图悬浮显示问好去除 7.模型分析最高模型费用副标题修改为模型费用 8.多模态新增环比数据</t>
  </si>
  <si>
    <t xml:space="preserve">文档库建设：用户工作空间可视化+数据上报、会议纪要可视化</t>
  </si>
  <si>
    <t xml:space="preserve">FD-226421</t>
  </si>
  <si>
    <t xml:space="preserve">黄超杰</t>
  </si>
  <si>
    <t xml:space="preserve">本月负责功能按节点完成方案评审/测试通过/上线/验收</t>
  </si>
  <si>
    <t xml:space="preserve">1. 完成数据上报后台存储链路功能，数据上传率100%，丢包率0%
2. FanDo客户端聊天界面简洁性优化
3. 完成ToDoList任务列表功能功能，提高模型在长任务上的准确性</t>
  </si>
  <si>
    <t xml:space="preserve">FanDo性能优化，客户端问题导致的错误</t>
  </si>
  <si>
    <t xml:space="preserve">FD-221470</t>
  </si>
  <si>
    <t xml:space="preserve">刘柏廷</t>
  </si>
  <si>
    <t xml:space="preserve">1.建设凡岛开放平台在FanDo端的MCP连接器，稳定调用
2.会议纪要功能（触发式）开发完成，稳定使用，会议纪要存储率100%，无丢失</t>
  </si>
  <si>
    <t xml:space="preserve">凡动推广复盘表问题（平台端）解决率100%
 因客户端问题导致的错误（如聊天记录显示、模型参数、上下文压缩）为0</t>
  </si>
  <si>
    <t xml:space="preserve">FD-221661</t>
  </si>
  <si>
    <t xml:space="preserve">梁朝辉</t>
  </si>
  <si>
    <t xml:space="preserve">项目收入</t>
  </si>
  <si>
    <t xml:space="preserve">结果指标： FanDo系统持续运营与深度推广
7月token（用户侧）达1800亿</t>
  </si>
  <si>
    <t xml:space="preserve">FanDo性能持续优化</t>
  </si>
  <si>
    <t xml:space="preserve">模型稳定性修复 聊天记录稳定性、飞鼠实时消息同步链路优化 后端服务请求链路重构、存储升级、上传链路优化、exec工具修复</t>
  </si>
  <si>
    <t xml:space="preserve">FanDo前端UI重构</t>
  </si>
  <si>
    <t xml:space="preserve">skill策略重构 前端UI重构、一键更新、markdown 定时任务修复 通知中心铃铛、弹窗 browser-bridge</t>
  </si>
  <si>
    <t xml:space="preserve">FD-224477</t>
  </si>
  <si>
    <t xml:space="preserve">黄怀民</t>
  </si>
  <si>
    <t xml:space="preserve">3. 建设凡岛开放平台在FanDo端的MCP连接器，稳定调用</t>
  </si>
  <si>
    <t xml:space="preserve">会议纪要功能（触发式）开发完成，稳定使用，会议纪要存储率100%，无丢失</t>
  </si>
  <si>
    <t xml:space="preserve">会议纪要功能（实时式）完成demo建设</t>
  </si>
  <si>
    <t xml:space="preserve">FD-222398</t>
  </si>
  <si>
    <t xml:space="preserve">王砺</t>
  </si>
  <si>
    <t xml:space="preserve">持续迭代管理后台，保障数据准确性与凡小助响应效率。</t>
  </si>
  <si>
    <t xml:space="preserve">推动凡岛开放平台在FanDo端建设MCP连接器，形成稳定调用链路。</t>
  </si>
  <si>
    <t xml:space="preserve">完成触发式会议纪要功能并保障稳定使用；推进实时式会议纪要Demo建设。</t>
  </si>
  <si>
    <t xml:space="preserve">探索Codex、Claude Code等优秀Agent框架的实现模式，识别可在FanDo复用的能力。</t>
  </si>
  <si>
    <t xml:space="preserve">FD-226705</t>
  </si>
  <si>
    <t xml:space="preserve">王婧怡</t>
  </si>
  <si>
    <t xml:space="preserve">FanDo衍生功能开发：
1. 完成数据上报优化方案撰写，推进落地
2. FanDo知识库前端设计及落地
3. 知小助方案设计，推进落地
4. FanDo前端优化</t>
  </si>
  <si>
    <t xml:space="preserve">FanDo性能持续优化：
1. 协助解决电商发展部使用FanDo过程中的问题
2. 管理后台测试跟进
3. fando用户使用体验反馈
4. browser工具</t>
  </si>
  <si>
    <t xml:space="preserve">SX-003214</t>
  </si>
  <si>
    <t xml:space="preserve">测试实习生</t>
  </si>
  <si>
    <t xml:space="preserve">陶伟豪</t>
  </si>
  <si>
    <t xml:space="preserve">1800亿</t>
  </si>
  <si>
    <t xml:space="preserve">1600亿</t>
  </si>
  <si>
    <t xml:space="preserve">围绕项目方向形成可落地的调研结论/决议建议</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</si>
  <si>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</si>
  <si>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</si>
  <si>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</si>
  <si>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</si>
  <si>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</si>
  <si>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</si>
  <si>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销售额相关指标</t>
  </si>
  <si>
    <t xml:space="preserve">新粉销售额150w</t>
  </si>
  <si>
    <t xml:space="preserve">154.4万元</t>
  </si>
  <si>
    <t xml:space="preserve">151.6万元</t>
  </si>
  <si>
    <t xml:space="preserve">关键工作达成-定量</t>
  </si>
  <si>
    <t xml:space="preserve">3条素材投放量＞12w</t>
  </si>
  <si>
    <t xml:space="preserve">1条素材（机车公主）投放量12w以上</t>
  </si>
  <si>
    <t xml:space="preserve">产出月消耗大于10wAI素材</t>
  </si>
  <si>
    <t xml:space="preserve">AI杨迪生日开头</t>
  </si>
  <si>
    <t xml:space="preserve">FD-030640</t>
  </si>
  <si>
    <t xml:space="preserve">广告策划部-营销C中心</t>
  </si>
  <si>
    <t xml:space="preserve">王思怡</t>
  </si>
  <si>
    <t xml:space="preserve">目标成交</t>
  </si>
  <si>
    <t xml:space="preserve">93万元</t>
  </si>
  <si>
    <t xml:space="preserve">119万元</t>
  </si>
  <si>
    <t xml:space="preserve">利润率相关指标</t>
  </si>
  <si>
    <t xml:space="preserve">明星57万</t>
  </si>
  <si>
    <t xml:space="preserve">17.5万元</t>
  </si>
  <si>
    <t xml:space="preserve">3条突破12万</t>
  </si>
  <si>
    <t xml:space="preserve">FD-031435</t>
  </si>
  <si>
    <t xml:space="preserve">李慧娟</t>
  </si>
  <si>
    <t xml:space="preserve">1117万（抖音、快手、视频号）</t>
  </si>
  <si>
    <t xml:space="preserve">1117万元</t>
  </si>
  <si>
    <t xml:space="preserve">1176万元万元</t>
  </si>
  <si>
    <t xml:space="preserve">利润率-19.02%，利润额-213万 "利润额没超时考核利润率完成度，完成度＜60%即为0；利润额超了直接为0。利润率完成度=1+（实际值-目标值）/丨目标值丨*100%"</t>
  </si>
  <si>
    <t xml:space="preserve">-15.01%%</t>
  </si>
  <si>
    <t xml:space="preserve">明星总成交150万（包含原片和混剪）</t>
  </si>
  <si>
    <t xml:space="preserve">"新开发3个新有效达人（首次合作）（产生一条3日成交＞12万且ROI大于1的素材）"</t>
  </si>
  <si>
    <t xml:space="preserve">3个个</t>
  </si>
  <si>
    <t xml:space="preserve">FD-036124</t>
  </si>
  <si>
    <t xml:space="preserve">唐基翔</t>
  </si>
  <si>
    <t xml:space="preserve">GSV124万</t>
  </si>
  <si>
    <t xml:space="preserve">124万元</t>
  </si>
  <si>
    <t xml:space="preserve">220万元</t>
  </si>
  <si>
    <t xml:space="preserve">利润率-11.43%</t>
  </si>
  <si>
    <t xml:space="preserve">明星素材突破，明星混剪素材成交79万(不包含原片)</t>
  </si>
  <si>
    <t xml:space="preserve">79万元</t>
  </si>
  <si>
    <t xml:space="preserve">135.02万元</t>
  </si>
  <si>
    <t xml:space="preserve">KOC+达播成交20万</t>
  </si>
  <si>
    <t xml:space="preserve">10.66万万元</t>
  </si>
  <si>
    <t xml:space="preserve">koc成交10.66万，达播0。</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</si>
  <si>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</si>
  <si>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</si>
  <si>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</si>
  <si>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</si>
  <si>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</si>
  <si>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</si>
  <si>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利润率-24.95%,利润额-222万</t>
  </si>
  <si>
    <t xml:space="preserve">-222万元</t>
  </si>
  <si>
    <t xml:space="preserve">-149.6万元</t>
  </si>
  <si>
    <t xml:space="preserve">经典：-60万，沙龙：-62.2万，可麦：-27.4万 整体净利率：-20.19%</t>
  </si>
  <si>
    <t xml:space="preserve">直播间转化稳定性：所有直播间实际ROI&gt;目标ROI85%的时段占比·90%以上(不含2-5点凌晨班）</t>
  </si>
  <si>
    <t xml:space="preserve">沙龙：65%，经典：73.4% ，可麦：83.7%</t>
  </si>
  <si>
    <t xml:space="preserve">新人主播培养：新培养出3名单直播间排名进入前6的主播(直播间大排名）</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</si>
  <si>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</si>
  <si>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</si>
  <si>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</si>
  <si>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</si>
  <si>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</si>
  <si>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</si>
  <si>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</si>
  <si>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达人总ROI&gt;0.8</t>
  </si>
  <si>
    <t xml:space="preserve">未达到60%</t>
  </si>
  <si>
    <t xml:space="preserve">单条突破12万成交/曝光&gt;10万(原片或混剪都可)</t>
  </si>
  <si>
    <t xml:space="preserve">关键工作达成-定性</t>
  </si>
  <si>
    <t xml:space="preserve">上线1个明星,且该明星产出1条单条成交&gt;12万的素材
上线完成度记为50%,达成单条爆款完成度记为100%</t>
  </si>
  <si>
    <t xml:space="preserve">杨雪完成上线，但没有大投产出</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</si>
  <si>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</si>
  <si>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</si>
  <si>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</si>
  <si>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</si>
  <si>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</si>
  <si>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</si>
  <si>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新合作有效账号(原片成交&gt;2000)10个</t>
  </si>
  <si>
    <t xml:space="preserve">优化中心工作流程SOP&gt;3</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</si>
  <si>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</si>
  <si>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</si>
  <si>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</si>
  <si>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</si>
  <si>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</si>
  <si>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KOC-关键项目/情报</t>
  </si>
  <si>
    <t xml:space="preserve">视频号情报分析</t>
  </si>
  <si>
    <t xml:space="preserve">输出视频号现有情况分析报告</t>
  </si>
  <si>
    <t xml:space="preserve">完成中心合同请款需求处理</t>
  </si>
  <si>
    <t xml:space="preserve">SX-006993</t>
  </si>
  <si>
    <t xml:space="preserve">庄茜妍</t>
  </si>
  <si>
    <t xml:space="preserve">付费KOC发布数</t>
  </si>
  <si>
    <t xml:space="preserve">纯佣收片</t>
  </si>
  <si>
    <t xml:space="preserve">500个</t>
  </si>
  <si>
    <t xml:space="preserve">434个</t>
  </si>
  <si>
    <t xml:space="preserve">新合作纯佣有效账号</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</si>
  <si>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</si>
  <si>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</si>
  <si>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</si>
  <si>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</si>
  <si>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</si>
  <si>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</si>
  <si>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Skill的探索以及落地</t>
  </si>
  <si>
    <t xml:space="preserve">完成至少1个明星中心业务场景skill，并投入实际工作试用</t>
  </si>
  <si>
    <t xml:space="preserve">https://jqx28l0j4lx.feishu.cn/docx/Pyj6dvl2ZosLDLxPKpWczpUYnid</t>
  </si>
  <si>
    <t xml:space="preserve">合作结果（转化）指标</t>
  </si>
  <si>
    <t xml:space="preserve">每个负责项目与品牌高级经理确认转化，7月实际转化结果达到确认目标的100%</t>
  </si>
  <si>
    <t xml:space="preserve">李勤勤12w/6个月，3个月投放金额为235w，远超营销盈利点</t>
  </si>
  <si>
    <t xml:space="preserve">价值创造指标</t>
  </si>
  <si>
    <t xml:space="preserve">申报2个实际落地的价值创造案例，重点围绕低成本合作，特殊权益，稀缺资源或可复制合作方法</t>
  </si>
  <si>
    <t xml:space="preserve">何赛飞可合作，赫系推进 王鸥续约一年制+赠送信息流合作 ，WIS推进 邓亚萍 翻包合作 KONO推进</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</si>
  <si>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</si>
  <si>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</si>
  <si>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</si>
  <si>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</si>
  <si>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完成至少1个明星中心业务场景Skill，并投入实际工作试用</t>
  </si>
  <si>
    <t xml:space="preserve">https://jqx28l0j4lx.feishu.cn/docx/ZwDTdlrTpooXU4x1hfpc8sC7nth</t>
  </si>
  <si>
    <t xml:space="preserve">王艳</t>
  </si>
  <si>
    <t xml:space="preserve">申报2个实际落地的价值创造案例，重点围绕低成本合作、特殊权益、稀缺资源或可复制合作方法</t>
  </si>
  <si>
    <t xml:space="preserve">https://jqx28l0j4lx.feishu.cn/wiki/Xa0ow710ii1T2BkfT7VcoZ6Dn1b</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</si>
  <si>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</si>
  <si>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</si>
  <si>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</si>
  <si>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</si>
  <si>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</si>
  <si>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</si>
  <si>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项目节点完成情况</t>
  </si>
  <si>
    <t xml:space="preserve">产品/营销提案</t>
  </si>
  <si>
    <t xml:space="preserve">茶花香颂340ml洗发水
柔顺340ml洗发水
香氛系列香卡提案
KONO水光旅行套装</t>
  </si>
  <si>
    <t xml:space="preserve">茶花香颂340ml洗发水 柔顺340ml洗发水 香氛系列香卡提案 KONO水光旅行套装 月桂初醒详情页</t>
  </si>
  <si>
    <t xml:space="preserve">品牌利润额目标完成率</t>
  </si>
  <si>
    <t xml:space="preserve">102万元</t>
  </si>
  <si>
    <t xml:space="preserve">7.3万元</t>
  </si>
  <si>
    <t xml:space="preserve">品牌营收目标完成率</t>
  </si>
  <si>
    <t xml:space="preserve">2558.5万元</t>
  </si>
  <si>
    <t xml:space="preserve">2273万元</t>
  </si>
  <si>
    <t xml:space="preserve">FD-079823</t>
  </si>
  <si>
    <t xml:space="preserve">蒋佳媛</t>
  </si>
  <si>
    <t xml:space="preserve">渠道评价满分</t>
  </si>
  <si>
    <t xml:space="preserve">1项工作延后3天内完成（二硫化硒备案）</t>
  </si>
  <si>
    <t xml:space="preserve">- 控油奢护详情页KONO 卡厘控油奢护洗发水-详情页设计需求-抖店
- 免洗洗发书详情页KONO 卡厘控油蓬松免洗洗发水-详情页设计需求
- 头皮调理系列ppt头皮调理系列ppt提需文档</t>
  </si>
  <si>
    <t xml:space="preserve">7月品牌营收目标：2558.5万，实际营收：2273万 完成率89%
利润额目标：102万，实际利润额：7.3万 完成率7.2%</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</si>
  <si>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</si>
  <si>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</si>
  <si>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</si>
  <si>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</si>
  <si>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</si>
  <si>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</si>
  <si>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</si>
  <si>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种草向AI明星画面被应用产出成交10w+数量达到4个</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</si>
  <si>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</si>
  <si>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项目月扣退后销售额目标完成率</t>
  </si>
  <si>
    <t xml:space="preserve">项目扣退后成交3300w，利润率目标-9.5%，利润率超出-10.45%则该项清零，且KPI完成度*80%，超出-11.4%则该项清零，且KPI完成度*60%</t>
  </si>
  <si>
    <t xml:space="preserve">3917.03497400132万元</t>
  </si>
  <si>
    <t xml:space="preserve">FD-043279</t>
  </si>
  <si>
    <t xml:space="preserve">陈昱桦</t>
  </si>
  <si>
    <t xml:space="preserve">0→1产出画面个人成交70w（仅限文生视频，利益点成交封顶35w）</t>
  </si>
  <si>
    <t xml:space="preserve">112万元</t>
  </si>
  <si>
    <t xml:space="preserve">产品镜独立成片/片段作为开头成交超3w的素材数量达到4条并沉淀出有效的方法论，完成中心同事培训，培训得分＞4.7（得分系数计算，完成培训且得分达标则该项x1.2）</t>
  </si>
  <si>
    <t xml:space="preserve">FD-040484</t>
  </si>
  <si>
    <t xml:space="preserve">曾微微</t>
  </si>
  <si>
    <t xml:space="preserve">个人新素材GMV230w</t>
  </si>
  <si>
    <t xml:space="preserve">511.74万元</t>
  </si>
  <si>
    <t xml:space="preserve">AIlive成交超3w的素材数量达到4条并沉淀出有效的方法论，完成中心同事培训，培训得分＞4.7（得分系数计算，完成培训且得分达标则该项x1.2）</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</si>
  <si>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</si>
  <si>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</si>
  <si>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</si>
  <si>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个人新素材GMV115w</t>
  </si>
  <si>
    <t xml:space="preserve">115万元</t>
  </si>
  <si>
    <t xml:space="preserve">7.2w万元</t>
  </si>
  <si>
    <t xml:space="preserve">新自营KOC整体成交3w</t>
  </si>
  <si>
    <t xml:space="preserve">0.7w万元</t>
  </si>
  <si>
    <t xml:space="preserve">项目扣退后成交3300w,利润率目标-9.5%,利润率超出-10.45%则该项
清零,且KPI完成度*80%,超出-11.4%则该项清零,且KPI完成度*60%</t>
  </si>
  <si>
    <t xml:space="preserve">3900w万元</t>
  </si>
  <si>
    <t xml:space="preserve">0→1产出画面个人成交35w(仅限文生视频,利益点成交封顶17.5w)</t>
  </si>
  <si>
    <t xml:space="preserve">17.5w万元</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</si>
  <si>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</si>
  <si>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</si>
  <si>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</si>
  <si>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</si>
  <si>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</si>
  <si>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</si>
  <si>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</si>
  <si>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</si>
  <si>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</si>
  <si>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</si>
  <si>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</si>
  <si>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</si>
  <si>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</si>
  <si>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</si>
  <si>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</si>
  <si>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</si>
  <si>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</si>
  <si>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</si>
  <si>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</si>
  <si>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</si>
  <si>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</si>
  <si>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</si>
  <si>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</si>
  <si>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</si>
  <si>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</si>
  <si>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</si>
  <si>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</si>
  <si>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</si>
  <si>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</si>
  <si>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新产出KOC达人挂车成交</t>
  </si>
  <si>
    <t xml:space="preserve">3.9万元</t>
  </si>
  <si>
    <t xml:space="preserve">6.2万元</t>
  </si>
  <si>
    <t xml:space="preserve">纯佣项目扣退前成交30w，扣退前成交24.9w</t>
  </si>
  <si>
    <t xml:space="preserve">24.9万元</t>
  </si>
  <si>
    <t xml:space="preserve">32.76万元</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</si>
  <si>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</si>
  <si>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</si>
  <si>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</si>
  <si>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</si>
  <si>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</si>
  <si>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</si>
  <si>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旧达人维护成交61万（15个）508377.4*1.2</t>
  </si>
  <si>
    <t xml:space="preserve">61万元</t>
  </si>
  <si>
    <t xml:space="preserve">460193.68万元</t>
  </si>
  <si>
    <t xml:space="preserve">旧达人一共15位，整体成交额547849.62，扣退后460193.68，大投达人美姿姿追live意愿低，是殷悦阿不愿意追live，一部分六月份旧达人二合流程慢，并且是在月中之后才开始起跑，</t>
  </si>
  <si>
    <t xml:space="preserve">付费koc项目执行项完成率</t>
  </si>
  <si>
    <t xml:space="preserve">执行项：执行带教达人维护策略;脚本分发;计划调控;数据统计；评论维护；新发布KOC及时上传全域等</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</si>
  <si>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</si>
  <si>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</si>
  <si>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</si>
  <si>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</si>
  <si>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</si>
  <si>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</si>
  <si>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</si>
  <si>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项目扣退后成交161.3w，费比58.48%;费比超出清零</t>
  </si>
  <si>
    <t xml:space="preserve">全月星图投产比目标1.3;成交低于20w,完成率*1,成交20w以上,完成率
*1.2</t>
  </si>
  <si>
    <t xml:space="preserve">成交1.93w</t>
  </si>
  <si>
    <t xml:space="preserve">推进二合的旧达人增量达到13.34%,若掉量超6.66%则清零</t>
  </si>
  <si>
    <t xml:space="preserve">6月达人成交13.64w，7月旧达人成交11.22w；融市场分析</t>
  </si>
  <si>
    <t xml:space="preserve">新产出KOC达人挂车成交12万</t>
  </si>
  <si>
    <t xml:space="preserve">koc挂车成交183765.07</t>
  </si>
  <si>
    <t xml:space="preserve">FD-045959</t>
  </si>
  <si>
    <t xml:space="preserve">吕嘉瑶</t>
  </si>
  <si>
    <t xml:space="preserve">项目扣退后成交160w，费比目标55%，超出2%则该项清零</t>
  </si>
  <si>
    <t xml:space="preserve">80188.5万元</t>
  </si>
  <si>
    <t xml:space="preserve">新达人成交80188.5</t>
  </si>
  <si>
    <t xml:space="preserve">推进二合的旧达人增量达到20%，若掉量超10%则清零</t>
  </si>
  <si>
    <t xml:space="preserve">增量15.2%</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</si>
  <si>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</si>
  <si>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</si>
  <si>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</si>
  <si>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</si>
  <si>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</si>
  <si>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</si>
  <si>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直播助理-直播间正常运行</t>
  </si>
  <si>
    <t xml:space="preserve">直播间正常运作率</t>
  </si>
  <si>
    <t xml:space="preserve">直播助理-上级评价</t>
  </si>
  <si>
    <t xml:space="preserve">上级根据价值观表现给分</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</si>
  <si>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</si>
  <si>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</si>
  <si>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</si>
  <si>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</si>
  <si>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</si>
  <si>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</si>
  <si>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</si>
  <si>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</si>
  <si>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</si>
  <si>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</si>
  <si>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</si>
  <si>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</si>
  <si>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</si>
  <si>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</si>
  <si>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</si>
  <si>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</si>
  <si>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</si>
  <si>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</si>
  <si>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</si>
  <si>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</si>
  <si>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</si>
  <si>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</si>
  <si>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</si>
  <si>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</si>
  <si>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</si>
  <si>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</si>
  <si>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</si>
  <si>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</si>
  <si>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</si>
  <si>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</si>
  <si>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</si>
  <si>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</si>
  <si>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</si>
  <si>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</si>
  <si>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培养新人主播在主播大排名中进入前12名</t>
  </si>
  <si>
    <t xml:space="preserve">辅助直播中心运行</t>
  </si>
  <si>
    <t xml:space="preserve">新人主播培训文档撰写完成</t>
  </si>
  <si>
    <t xml:space="preserve">视频制作和投放</t>
  </si>
  <si>
    <t xml:space="preserve">预计产出24条，实际产出10条</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</si>
  <si>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</si>
  <si>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</si>
  <si>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</si>
  <si>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</si>
  <si>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</si>
  <si>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</si>
  <si>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</si>
  <si>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抖店经典系列利润率完成情况</t>
  </si>
  <si>
    <t xml:space="preserve">考核预缴后利润率情况，最大亏损额132.7万。</t>
  </si>
  <si>
    <t xml:space="preserve">亏损额127万，未超最大亏损额</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</si>
  <si>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</si>
  <si>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</si>
  <si>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</si>
  <si>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</si>
  <si>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</si>
  <si>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</si>
  <si>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</si>
  <si>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</si>
  <si>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</si>
  <si>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出片量指标（纯佣）</t>
  </si>
  <si>
    <t xml:space="preserve">纯佣出片</t>
  </si>
  <si>
    <t xml:space="preserve">760条</t>
  </si>
  <si>
    <t xml:space="preserve">1339条</t>
  </si>
  <si>
    <t xml:space="preserve">WIS 219;KONO 1120</t>
  </si>
  <si>
    <t xml:space="preserve">合作推进（付费）</t>
  </si>
  <si>
    <t xml:space="preserve">347个付费合作</t>
  </si>
  <si>
    <t xml:space="preserve">KONO抖音付费146；KONO视频号100；IRY 163；WIS抖音112；WIS视频号11</t>
  </si>
  <si>
    <t xml:space="preserve">Skill探索与落地</t>
  </si>
  <si>
    <t xml:space="preserve">完成情况
分值
完成2个可复用Skill，已稳定试用，能提升效率或减少遗漏，并沉淀说明文档
1
完成1个Skill并试用，能解决明确业务问题
0.8
仅完成方案、Prompt或流程设计，未进入真实业务试用
0.4
无产出
0</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</si>
  <si>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</si>
  <si>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</si>
  <si>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</si>
  <si>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</si>
  <si>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</si>
  <si>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</si>
  <si>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利润率完成率</t>
  </si>
  <si>
    <t xml:space="preserve">预缴品牌费后-6.89%</t>
  </si>
  <si>
    <t xml:space="preserve">目标ROI 2.63，实际达成2.146，以ROI达成率做折算</t>
  </si>
  <si>
    <t xml:space="preserve">媒体/代理复盘</t>
  </si>
  <si>
    <t xml:space="preserve">7月目标：输出一份媒体/代理复盘报告，覆盖平台机会、代理返点变化、政策拆解、深度合作模式和竞品合作信息。</t>
  </si>
  <si>
    <t xml:space="preserve">完成2个资源开拓中心业务场景Skill，并在真实工作中试用。</t>
  </si>
  <si>
    <t xml:space="preserve">FD-058430</t>
  </si>
  <si>
    <t xml:space="preserve">王琪</t>
  </si>
  <si>
    <t xml:space="preserve">可麦达播GSV</t>
  </si>
  <si>
    <t xml:space="preserve">7月目标：170W，5.5%</t>
  </si>
  <si>
    <t xml:space="preserve">155.7万元</t>
  </si>
  <si>
    <t xml:space="preserve">7月目标：：主播占比20%</t>
  </si>
  <si>
    <t xml:space="preserve">36.5万元</t>
  </si>
  <si>
    <t xml:space="preserve">FD-054711</t>
  </si>
  <si>
    <t xml:space="preserve">苏静微</t>
  </si>
  <si>
    <t xml:space="preserve">GMV完成率=实际GMV/目标GMV</t>
  </si>
  <si>
    <t xml:space="preserve">793万元</t>
  </si>
  <si>
    <t xml:space="preserve">777万元</t>
  </si>
  <si>
    <t xml:space="preserve">出片完成率=出片量/目标出片量</t>
  </si>
  <si>
    <t xml:space="preserve">1240条</t>
  </si>
  <si>
    <t xml:space="preserve">7384条</t>
  </si>
  <si>
    <t xml:space="preserve">合作推进完成率=合作推进数/目标合作数</t>
  </si>
  <si>
    <t xml:space="preserve">完成2个先锋中心业务场景Skill，并在真实业务中试用。</t>
  </si>
  <si>
    <t xml:space="preserve">1、KOL筛选skill落地（亦秋金奖）2、ai寄样检查skill落地</t>
  </si>
  <si>
    <t xml:space="preserve">FD-054205</t>
  </si>
  <si>
    <t xml:space="preserve">林锦斌</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</si>
  <si>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</si>
  <si>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</si>
  <si>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明星合作数量</t>
  </si>
  <si>
    <t xml:space="preserve">- 7月目标：（待品牌中心确定）预计3个
- 考核周期：自然月
- 完成率=实际完成数/目标完成数</t>
  </si>
  <si>
    <t xml:space="preserve">7月推进合作- WISx李颖、WISx林心如、WISx王鸥、KONOx杨雪</t>
  </si>
  <si>
    <t xml:space="preserve">AI明星素材合规使用的探索</t>
  </si>
  <si>
    <t xml:space="preserve">- 7月目标：完成AI明星素材合规使用机制初版，并完成至少1个实际业务场景试点
- 考核周期：自然月
- 考核方向：围绕明星肖像、姓名、声音、历史合作素材、授权范围、生成式AI二创等场景，建立可执行的合规判断和使用流程
- 得分规则：单项得分上限1.2</t>
  </si>
  <si>
    <t xml:space="preserve">本月KONO围绕杨雪的AI项目展开合作，12W/3个月，15条素材产出，目前5条已交付，投放中</t>
  </si>
  <si>
    <t xml:space="preserve">转化结果指标</t>
  </si>
  <si>
    <t xml:space="preserve">- 7月目标：需要跟品牌确认 (对齐口径：品牌中心——营销高级经理KPI）
- 考核周期：自然月
- 完成率=实际完成数/目标完成数</t>
  </si>
  <si>
    <t xml:space="preserve">1、王艳实际GMV 50W，营销预期单月60W</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</si>
  <si>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</si>
  <si>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</si>
  <si>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</si>
  <si>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</si>
  <si>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</si>
  <si>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</si>
  <si>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</si>
  <si>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</si>
  <si>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</si>
  <si>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</si>
  <si>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墨雪 GSV指标</t>
  </si>
  <si>
    <t xml:space="preserve">墨雪GMV指标</t>
  </si>
  <si>
    <t xml:space="preserve">64.7万元</t>
  </si>
  <si>
    <t xml:space="preserve">数据来源财务BP</t>
  </si>
  <si>
    <t xml:space="preserve">线上全渠道利润率</t>
  </si>
  <si>
    <t xml:space="preserve">1. 数据分析与经营复盘 — 55%
2. 商品上架与活动运营 -45%</t>
  </si>
  <si>
    <t xml:space="preserve">完成第一条。第二条未进行就工作交接</t>
  </si>
  <si>
    <t xml:space="preserve">可麦拼多多指标</t>
  </si>
  <si>
    <t xml:space="preserve">可麦拼多多GSV190万，利润率2.07%</t>
  </si>
  <si>
    <t xml:space="preserve">收入194.9万，利润率5.59%</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</si>
  <si>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</si>
  <si>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</si>
  <si>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</si>
  <si>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</si>
  <si>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</si>
  <si>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个人7月混剪净成交10万
GMV：90728
得分：0.907</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</si>
  <si>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</si>
  <si>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</si>
  <si>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</si>
  <si>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</si>
  <si>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</si>
  <si>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</si>
  <si>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</si>
  <si>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</si>
  <si>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</si>
  <si>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</si>
  <si>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</si>
  <si>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</si>
  <si>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</si>
  <si>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</si>
  <si>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</si>
  <si>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</si>
  <si>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</si>
  <si>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</si>
  <si>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</si>
  <si>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</si>
  <si>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</si>
  <si>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</si>
  <si>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</si>
  <si>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</si>
  <si>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</si>
  <si>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</si>
  <si>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</si>
  <si>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</si>
  <si>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</si>
  <si>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</si>
  <si>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</si>
  <si>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</si>
  <si>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私域内容分发</t>
  </si>
  <si>
    <t xml:space="preserve">私域商城文案宣发撰写</t>
  </si>
  <si>
    <t xml:space="preserve">已完成私域内容宣发方案制定，8月首周开始试行。完成率100%。</t>
  </si>
  <si>
    <t xml:space="preserve">详情页整改工作</t>
  </si>
  <si>
    <t xml:space="preserve">7月完成所有在流程中的详情页整改（8个），以设计确版、合规审核通过，可以上线为标准。</t>
  </si>
  <si>
    <t xml:space="preserve">100个</t>
  </si>
  <si>
    <t xml:space="preserve">本月完成8个详情页定稿上线（经典200ml合规、角蛋白发膜、仲夏之柚、北国雪松、云感系列、水光2.0、控油蓬松2.0、经典柔顺芭乐）；1个已提需排期至8月（经典旅行套组）。完成率100%。</t>
  </si>
  <si>
    <t xml:space="preserve">详情页数据监测</t>
  </si>
  <si>
    <t xml:space="preserve">已上线详情页数据监测报告</t>
  </si>
  <si>
    <t xml:space="preserve">已完成3份数据分析报告（角蛋白发膜、仲夏之柚、北国雪松），对比更换前后数据表现，形成"优化→上线→数据验证→再优化"闭环。完成率100%。</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</si>
  <si>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</si>
  <si>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</si>
  <si>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</si>
  <si>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</si>
  <si>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</si>
  <si>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</si>
  <si>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</si>
  <si>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线下渠道对接及工作推进</t>
  </si>
  <si>
    <t xml:space="preserve">7月完成线下现有渠道系统、人员、产品梳理,并推
进线下产品、项目等相关事项落地完成</t>
  </si>
  <si>
    <t xml:space="preserve">1、线下现有渠道、人员、产品梳理，已提交分析报告； 2、OTC渠道已开始对接，建议推进包销品合作</t>
  </si>
  <si>
    <t xml:space="preserve">视频号达播推进</t>
  </si>
  <si>
    <t xml:space="preserve">7月梳理完成视频号达播机制,推进视频号达播正常开播。</t>
  </si>
  <si>
    <t xml:space="preserve">大码设计师koko、卷卷的毛、亚珍夫妇、香雅老师试品中，孙天舒、何院长建联寄样</t>
  </si>
  <si>
    <t xml:space="preserve">机制盘点与货盘建立</t>
  </si>
  <si>
    <t xml:space="preserve">7月对全渠道所有机制盘点(目前有600+个产品机
制,收回机制,需要控制在400个以内),并建立全平台
达播机制&amp;货盘。</t>
  </si>
  <si>
    <t xml:space="preserve">1、重要渠道已盘点5-6月份店铺机制，同步已在店铺下架繁琐、破价、大促等特殊机制，保留当月活动/日常的常规机制，抖店、天猫、PDD渠道已确认云仓货盘，每月定期盘点上月公斤段超重机制、已下架机制，减轻供应链机制数量； 2、7月可优化公斤段已同步渠道优化机制，以及供应链操作规范； 3、《KONO卡厘组合机制定价标准规则》已确认并发布； 4、新机制提报SOP以及对应审批流已创建，已输出BI看板。</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</si>
  <si>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</si>
  <si>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</si>
  <si>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</si>
  <si>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</si>
  <si>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</si>
  <si>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</si>
  <si>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</si>
  <si>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</si>
  <si>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高级经理任职资格SKILL探索</t>
  </si>
  <si>
    <t xml:space="preserve">FD-152084</t>
  </si>
  <si>
    <t xml:space="preserve">昌品达</t>
  </si>
  <si>
    <t xml:space="preserve">电商人岗匹配率保持100%，S-Project人岗匹配率保持90%</t>
  </si>
  <si>
    <t xml:space="preserve">电商人岗匹配率88%，S-Project人岗匹配率82%</t>
  </si>
  <si>
    <t xml:space="preserve">强化训练授课得分4.5及以上</t>
  </si>
  <si>
    <t xml:space="preserve">skill探索落地2个完成，强化训练得分4.5以上未完成，有一节得分4.44</t>
  </si>
  <si>
    <t xml:space="preserve">FD-010578</t>
  </si>
  <si>
    <t xml:space="preserve">杨钰婷</t>
  </si>
  <si>
    <t xml:space="preserve">线下渠道部、产品供应部、凡岛研究院干部匹配-优秀率30%，匹配-良好率60%，匹配-合格率100%</t>
  </si>
  <si>
    <t xml:space="preserve">78.44%%</t>
  </si>
  <si>
    <t xml:space="preserve">1. 干部胜任力依据梳理40%
2. Q2荣誉表彰大会落地与复盘0%</t>
  </si>
  <si>
    <t xml:space="preserve">已输出干部胜任力评估优化方案（1.0）</t>
  </si>
  <si>
    <t xml:space="preserve">FD-019312</t>
  </si>
  <si>
    <t xml:space="preserve">张彤</t>
  </si>
  <si>
    <t xml:space="preserve">新品牌干部匹配-良好率达到60%；市场匹配-优秀率达到15%；AI干部匹配-优秀率达到33%，人资行政部干部匹配-良好率达到60%</t>
  </si>
  <si>
    <t xml:space="preserve">预备队配备率达到100%（上月是44.6%，本月是45.8%，提升1.2%），本月提升5%</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</si>
  <si>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</si>
  <si>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</si>
  <si>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</si>
  <si>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</si>
  <si>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</si>
  <si>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</si>
  <si>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</si>
  <si>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品牌当月销售额目标指标</t>
  </si>
  <si>
    <t xml:space="preserve">7月销售额目标7292.7万元</t>
  </si>
  <si>
    <t xml:space="preserve">105.66%%</t>
  </si>
  <si>
    <t xml:space="preserve">7月实际销售额7705.6万元</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</si>
  <si>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</si>
  <si>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</si>
  <si>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</si>
  <si>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</si>
  <si>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</si>
  <si>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</si>
  <si>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</si>
  <si>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</si>
  <si>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负责部门：人资行政部、凡岛大学、公共事务与品牌传播部、市场部、总经办、新品牌。 目标：每个中心有至少2个稳定可用sikll</t>
  </si>
  <si>
    <t xml:space="preserve">一共16个中心，其中未完成的中心有5个（明星、媒介、新品牌3个中心）</t>
  </si>
  <si>
    <t xml:space="preserve">项目效果指标</t>
  </si>
  <si>
    <t xml:space="preserve">AI寻聘项目，截止到月底，AI寻聘达到真人基准（除主播、猎聘高级岗），近3天有效简历量占比为80%以上（除主播、猎聘高级岗）</t>
  </si>
  <si>
    <t xml:space="preserve">AI模块97，真人HR69，共占比68%</t>
  </si>
  <si>
    <t xml:space="preserve">中心财报收入指标</t>
  </si>
  <si>
    <t xml:space="preserve">完成收入5w</t>
  </si>
  <si>
    <t xml:space="preserve">FD-162537</t>
  </si>
  <si>
    <t xml:space="preserve">胡玮锨</t>
  </si>
  <si>
    <t xml:space="preserve">AI微医生广告占比</t>
  </si>
  <si>
    <t xml:space="preserve">广告策划部、品牌营销部、品牌创意部日人均token用量</t>
  </si>
  <si>
    <t xml:space="preserve">1977.66万</t>
  </si>
  <si>
    <t xml:space="preserve">广告策划部2335万；品牌营销部1648万；品牌创意部1950万</t>
  </si>
  <si>
    <t xml:space="preserve">广告策划部日活率</t>
  </si>
  <si>
    <t xml:space="preserve">广告策划部80.59%</t>
  </si>
  <si>
    <t xml:space="preserve">品牌营销部、品牌创意部日活率</t>
  </si>
  <si>
    <t xml:space="preserve">品牌营销部63.66%，品牌创意部56.96%</t>
  </si>
  <si>
    <t xml:space="preserve">整个营销模块落地、稳定运行高价值、可复用的skill数量</t>
  </si>
  <si>
    <t xml:space="preserve">一共完成18个场景下营销端可复用的skill</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</si>
  <si>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</si>
  <si>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</si>
  <si>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</si>
  <si>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</si>
  <si>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服务器部署skill探索
skill开发完成并持续优化和提供答疑运维服务
预计下周进行整体系统开发，提高skill整体链路可用性
7月达成效果：可被早会使用</t>
  </si>
  <si>
    <t xml:space="preserve">完成非用户部署意外情况早报场景的使用</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</si>
  <si>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</si>
  <si>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</si>
  <si>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</si>
  <si>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</si>
  <si>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客户Token用量与活跃度：7月B端客户（除s-project）总Token消耗达60亿</t>
  </si>
  <si>
    <t xml:space="preserve">60亿</t>
  </si>
  <si>
    <t xml:space="preserve">69亿</t>
  </si>
  <si>
    <t xml:space="preserve">B端客户排除欣芝妍和测试外，总token用量69.0246 亿</t>
  </si>
  <si>
    <t xml:space="preserve">7月客户平均DAU达40人</t>
  </si>
  <si>
    <t xml:space="preserve">40人</t>
  </si>
  <si>
    <t xml:space="preserve">38人</t>
  </si>
  <si>
    <t xml:space="preserve">排除欣芝妍和测试外，B端用户平均 DAU：38.06 人/天</t>
  </si>
  <si>
    <t xml:space="preserve">产品质量与稳定性：1. 版本发布后24小时内无P0级Bug，严重影响客户使用/体验。例如晓岚提出。
2. 客户反馈问题修复率≥90%，问题记录文档。
3. 管理后台数据错误率≤1%，有用户反馈
4. 凡小助响应时长≤3min
5. 充值功能上线后无资金对账异常
扣分制，总分1分，出现以上情况扣0.1分。</t>
  </si>
  <si>
    <t xml:space="preserve">B 端项目排期中 bug fix 共 13 项，已完成 8 项、待开始 5 项，客户反馈问题解决率为 61.5%，低于 90% 目标，此项扣 0.1 分</t>
  </si>
  <si>
    <t xml:space="preserve">客户问题响应时长≤3小时</t>
  </si>
  <si>
    <t xml:space="preserve">3小时</t>
  </si>
  <si>
    <t xml:space="preserve">小于3小时响应</t>
  </si>
  <si>
    <t xml:space="preserve">FD-221756</t>
  </si>
  <si>
    <t xml:space="preserve">周磊</t>
  </si>
  <si>
    <t xml:space="preserve">AI客服2w，AI外呼2w</t>
  </si>
  <si>
    <t xml:space="preserve">AI客服2w</t>
  </si>
  <si>
    <t xml:space="preserve">AI外呼 - 多品牌综合邀评成功率</t>
  </si>
  <si>
    <t xml:space="preserve">token目标负责部门:财务部、品牌管理部、线下渠道部
目标:当日人均token消耗量2000万,日活人数80%。(线下渠道部:当日人均token消耗量1200万,日活人数50%)</t>
  </si>
  <si>
    <t xml:space="preserve">财务部：2073w 品牌管理部：2571w 线下渠道部：814w 财务部：19/31=87.7% 品牌管理部：18/22=81.8% 线下渠道部：17/49=34.7%</t>
  </si>
  <si>
    <t xml:space="preserve">FD-224758</t>
  </si>
  <si>
    <t xml:space="preserve">刘昕怡</t>
  </si>
  <si>
    <t xml:space="preserve">1800亿token</t>
  </si>
  <si>
    <t xml:space="preserve">3600亿token</t>
  </si>
  <si>
    <t xml:space="preserve">凡动推广复盘表问题（平台端）解决率100%
1. 因客户端问题导致的错误（如聊天记录显示、模型参数、上下文压缩）为0
2. 模型端、openclaw端产生的问题形成统一归因与解决方案来提升用户体验</t>
  </si>
  <si>
    <t xml:space="preserve">1. 完成数据上报全链路功能，数据上传率100%，丢包率0%
2. 管理后台迭代更新，数据错误率0%，凡小助响应时长小于等于1min
3. 建设凡岛开放平台在FanDo端的MCP连接器，稳定调用
4. 知识库建设：用户工作空间可视化+数据上报、会议纪要可视化
5. FanDo客户端简洁性与易用性达到行业水准
6. 会议纪要功能（触发式）开发完成，稳定使用，会议纪要存储率100%，无丢失
7. 会议纪要功能（实时式）完成demo建设</t>
  </si>
  <si>
    <t xml:space="preserve">FD-194904</t>
  </si>
  <si>
    <t xml:space="preserve">李姝灿</t>
  </si>
  <si>
    <t xml:space="preserve">产品经理考核方案</t>
  </si>
  <si>
    <t xml:space="preserve">7月实际利润率8.13%</t>
  </si>
  <si>
    <t xml:space="preserve">7月目标销售额7292.7万元</t>
  </si>
  <si>
    <t xml:space="preserve">产品经理-旧品优化-指标</t>
  </si>
  <si>
    <t xml:space="preserve">旧品优化目标得分0.3</t>
  </si>
  <si>
    <t xml:space="preserve">旧品优化实际得分0.1</t>
  </si>
  <si>
    <t xml:space="preserve">产品经理-新品开发-指标</t>
  </si>
  <si>
    <t xml:space="preserve">新品开发目标得分1.6</t>
  </si>
  <si>
    <t xml:space="preserve">新品开发实际得分1.3</t>
  </si>
  <si>
    <t xml:space="preserve">FD-098414</t>
  </si>
  <si>
    <t xml:space="preserve">韩佳华</t>
  </si>
  <si>
    <t xml:space="preserve">7292.7万元</t>
  </si>
  <si>
    <t xml:space="preserve">旧品优化目标得分1.1分</t>
  </si>
  <si>
    <t xml:space="preserve">1.1分</t>
  </si>
  <si>
    <t xml:space="preserve">新品开发目标得分1.5分</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</si>
  <si>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</si>
  <si>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</si>
  <si>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</si>
  <si>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</si>
  <si>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</si>
  <si>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</si>
  <si>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3018743.4万元</t>
  </si>
  <si>
    <t xml:space="preserve">个人或小组关键工作完成率</t>
  </si>
  <si>
    <t xml:space="preserve">OD-003119</t>
  </si>
  <si>
    <t xml:space="preserve">刘启骏</t>
  </si>
  <si>
    <t xml:space="preserve">个人GSV</t>
  </si>
  <si>
    <t xml:space="preserve">52.24万元</t>
  </si>
  <si>
    <t xml:space="preserve">自主创新素材</t>
  </si>
  <si>
    <t xml:space="preserve">FD-022726</t>
  </si>
  <si>
    <t xml:space="preserve">余毅雄</t>
  </si>
  <si>
    <t xml:space="preserve">团队销售额300w</t>
  </si>
  <si>
    <t xml:space="preserve">213万元</t>
  </si>
  <si>
    <t xml:space="preserve">新文案单条GSV对于等于3条</t>
  </si>
  <si>
    <t xml:space="preserve">SX-004332</t>
  </si>
  <si>
    <t xml:space="preserve">陈玉蝶</t>
  </si>
  <si>
    <t xml:space="preserve">个人新文案创新单条GSV大于等于5w</t>
  </si>
  <si>
    <t xml:space="preserve">FD-023670</t>
  </si>
  <si>
    <t xml:space="preserve">蒲冠彰</t>
  </si>
  <si>
    <t xml:space="preserve">扣退后300万销售额</t>
  </si>
  <si>
    <t xml:space="preserve">244万元</t>
  </si>
  <si>
    <t xml:space="preserve">3条有效文案，成交≥5万</t>
  </si>
  <si>
    <t xml:space="preserve">1条条条</t>
  </si>
  <si>
    <t xml:space="preserve">谁能拒绝一年一次的一折面膜呢</t>
  </si>
  <si>
    <t xml:space="preserve">OD-008782</t>
  </si>
  <si>
    <t xml:space="preserve">黄丽玲</t>
  </si>
  <si>
    <t xml:space="preserve">产出3条【文案创新】素材GMV≥8w</t>
  </si>
  <si>
    <t xml:space="preserve">个人成交额</t>
  </si>
  <si>
    <t xml:space="preserve">1969622.33万元</t>
  </si>
  <si>
    <t xml:space="preserve">FD-024480</t>
  </si>
  <si>
    <t xml:space="preserve">白璐</t>
  </si>
  <si>
    <t xml:space="preserve">1万元万元万元</t>
  </si>
  <si>
    <t xml:space="preserve">3条条</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</si>
  <si>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</si>
  <si>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</si>
  <si>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</si>
  <si>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</si>
  <si>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</si>
  <si>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</si>
  <si>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</si>
  <si>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</si>
  <si>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</si>
  <si>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剧情脚本撰写条数</t>
  </si>
  <si>
    <t xml:space="preserve">2条眼膜次抛转化剧情，1条水润曝光剧情</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</si>
  <si>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</si>
  <si>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</si>
  <si>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</si>
  <si>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</si>
  <si>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</si>
  <si>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</si>
  <si>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</si>
  <si>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混剪上线数量：50条</t>
  </si>
  <si>
    <t xml:space="preserve">KOC素材制作数量</t>
  </si>
  <si>
    <t xml:space="preserve">KOC素材制作数量：3条（60s以上）</t>
  </si>
  <si>
    <t xml:space="preserve">产品镜素材制作数量</t>
  </si>
  <si>
    <t xml:space="preserve">产品镜制作：5条（15s以上）</t>
  </si>
  <si>
    <t xml:space="preserve">OD-003615</t>
  </si>
  <si>
    <t xml:space="preserve">肖瑞欢</t>
  </si>
  <si>
    <t xml:space="preserve">主页live图发布数量</t>
  </si>
  <si>
    <t xml:space="preserve">混剪上线数量</t>
  </si>
  <si>
    <t xml:space="preserve">37条</t>
  </si>
  <si>
    <t xml:space="preserve">产品镜制作</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</si>
  <si>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</si>
  <si>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</si>
  <si>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</si>
  <si>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</si>
  <si>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</si>
  <si>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IP人物资产库搭建</t>
  </si>
  <si>
    <t xml:space="preserve">梳理沉淀 IP 角色形象、人设、素材资料，搭建标准化可复用的 IP 人物数字资产库</t>
  </si>
  <si>
    <t xml:space="preserve">2批</t>
  </si>
  <si>
    <t xml:space="preserve">已完成本次梳理沉淀 IP 角色形象、人设等搭建标准化可复用的 IP 人物数字资产库</t>
  </si>
  <si>
    <t xml:space="preserve">FD-021099</t>
  </si>
  <si>
    <t xml:space="preserve">古广妹</t>
  </si>
  <si>
    <t xml:space="preserve">64条</t>
  </si>
  <si>
    <t xml:space="preserve">24条</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</si>
  <si>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</si>
  <si>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</si>
  <si>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</si>
  <si>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</si>
  <si>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</si>
  <si>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</si>
  <si>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</si>
  <si>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</si>
  <si>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</si>
  <si>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</si>
  <si>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</si>
  <si>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</si>
  <si>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</si>
  <si>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</si>
  <si>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</si>
  <si>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</si>
  <si>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</si>
  <si>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</si>
  <si>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</si>
  <si>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</si>
  <si>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</si>
  <si>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</si>
  <si>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</si>
  <si>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</si>
  <si>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</si>
  <si>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</si>
  <si>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</si>
  <si>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</si>
  <si>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</si>
  <si>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</si>
  <si>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</si>
  <si>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</si>
  <si>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</si>
  <si>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</si>
  <si>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</si>
  <si>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</si>
  <si>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</si>
  <si>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</si>
  <si>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</si>
  <si>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</si>
  <si>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</si>
  <si>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</si>
  <si>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</si>
  <si>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</si>
  <si>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</si>
  <si>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</si>
  <si>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</si>
  <si>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</si>
  <si>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</si>
  <si>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</si>
  <si>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</si>
  <si>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</si>
  <si>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</si>
  <si>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</si>
  <si>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</si>
  <si>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</si>
  <si>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</si>
  <si>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FD-032947</t>
  </si>
  <si>
    <t xml:space="preserve">许如雪</t>
  </si>
  <si>
    <t xml:space="preserve">OD-008801</t>
  </si>
  <si>
    <t xml:space="preserve">戴鑫怡</t>
  </si>
  <si>
    <t xml:space="preserve">FD-051163</t>
  </si>
  <si>
    <t xml:space="preserve">林文婷</t>
  </si>
  <si>
    <t xml:space="preserve">推进上播2名新主播 单个产出GSV≥4w （剔除蛋蛋相关成交）</t>
  </si>
  <si>
    <t xml:space="preserve">可麦达播项目总GMV</t>
  </si>
  <si>
    <t xml:space="preserve">统筹团队KOC低佣投流GSV达35w（含直播） ROI达2</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</si>
  <si>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</si>
  <si>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</si>
  <si>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</si>
  <si>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</si>
  <si>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【AI生图】按需完成项目功能开发</t>
  </si>
  <si>
    <t xml:space="preserve">1.修复无法正确遍历产品白底图的bug;2.更新KONO白底图库；3.开发用于测试prompt的分支；4.测试新中转站moyu的效果及稳定性等，并形成报告；5.响应业务的需求反馈，排查报错，定位原因</t>
  </si>
  <si>
    <t xml:space="preserve">【供应部D计划】按需完成项目功能开发</t>
  </si>
  <si>
    <t xml:space="preserve">完成供应部入库单、2c出库记录、售后退换货三项根数据的梳理和入库，现已完成测试并上线</t>
  </si>
  <si>
    <t xml:space="preserve">FD-152958</t>
  </si>
  <si>
    <t xml:space="preserve">综合行政经理</t>
  </si>
  <si>
    <t xml:space="preserve">覃海凤</t>
  </si>
  <si>
    <t xml:space="preserve">总部、分部办公环境检查合格</t>
  </si>
  <si>
    <t xml:space="preserve">85%，总部7月部门内控不合格</t>
  </si>
  <si>
    <t xml:space="preserve">完成固定资产月度抽盘-财务部</t>
  </si>
  <si>
    <t xml:space="preserve">已完成。</t>
  </si>
  <si>
    <t xml:space="preserve">完成总部主机易盘点账实相符</t>
  </si>
  <si>
    <t xml:space="preserve">已完成，目前易盘点空闲主机49台，1101仓库库存37台，1月报废无编码主机6台，6楼行政空闲4台，4楼品营无编码一台，王维直播间无编码一台，本月底完成标签补贴工作。</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</si>
  <si>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</si>
  <si>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</si>
  <si>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</si>
  <si>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</si>
  <si>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</si>
  <si>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</si>
  <si>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</si>
  <si>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</si>
  <si>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设计质量（设计师）</t>
  </si>
  <si>
    <t xml:space="preserve">上级评分1.2 ，业务评分1.1，；平均分1.16</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</si>
  <si>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</si>
  <si>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</si>
  <si>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</si>
  <si>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</si>
  <si>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上级评分1.2 ，业务评分1.2；平均分1.2</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</si>
  <si>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</si>
  <si>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</si>
  <si>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</si>
  <si>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</si>
  <si>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上级评分1.5，业务评分1.5；平均分1.5</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</si>
  <si>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</si>
  <si>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</si>
  <si>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</si>
  <si>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</si>
  <si>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</si>
  <si>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</si>
  <si>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</si>
  <si>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上级评分1.2 ，业务评分1.3；平均分1.24</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</si>
  <si>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</si>
  <si>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</si>
  <si>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</si>
  <si>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</si>
  <si>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上级评分1.2 ，业务评分1.2，；平均分1.2</t>
  </si>
  <si>
    <t xml:space="preserve">FD-124271</t>
  </si>
  <si>
    <t xml:space="preserve">卢健儿</t>
  </si>
  <si>
    <t xml:space="preserve">39.8分</t>
  </si>
  <si>
    <t xml:space="preserve">上级评分1.5 ，业务评分1.5；平均分1.5</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</si>
  <si>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</si>
  <si>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</si>
  <si>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</si>
  <si>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</si>
  <si>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</si>
  <si>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</si>
  <si>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</si>
  <si>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上级评分1.1 ，业务评分1.2，；平均分1.14</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</si>
  <si>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</si>
  <si>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</si>
  <si>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</si>
  <si>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</si>
  <si>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</si>
  <si>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</si>
  <si>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</si>
  <si>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</si>
  <si>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</si>
  <si>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</si>
  <si>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</si>
  <si>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</si>
  <si>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</si>
  <si>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</si>
  <si>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</si>
  <si>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</si>
  <si>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设计质量目标达成率（设计助理）</t>
  </si>
  <si>
    <t xml:space="preserve">实际得分6</t>
  </si>
  <si>
    <t xml:space="preserve">6分</t>
  </si>
  <si>
    <t xml:space="preserve">业务协作满意度（设计助理）</t>
  </si>
  <si>
    <t xml:space="preserve">实际得分5</t>
  </si>
  <si>
    <t xml:space="preserve">OD-001680</t>
  </si>
  <si>
    <t xml:space="preserve">龚伟胜</t>
  </si>
  <si>
    <t xml:space="preserve">实际得分513分</t>
  </si>
  <si>
    <t xml:space="preserve">513分</t>
  </si>
  <si>
    <t xml:space="preserve">实际得分21分</t>
  </si>
  <si>
    <t xml:space="preserve">22分</t>
  </si>
  <si>
    <t xml:space="preserve">21分</t>
  </si>
  <si>
    <t xml:space="preserve">实际得分4.75分</t>
  </si>
  <si>
    <t xml:space="preserve">完成率95%</t>
  </si>
  <si>
    <t xml:space="preserve">OD-001536</t>
  </si>
  <si>
    <t xml:space="preserve">彭钊楠</t>
  </si>
  <si>
    <t xml:space="preserve">拼多多以及天猫的投放图需求</t>
  </si>
  <si>
    <t xml:space="preserve">670分</t>
  </si>
  <si>
    <t xml:space="preserve">实际得分4.67</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</si>
  <si>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</si>
  <si>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</si>
  <si>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</si>
  <si>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</si>
  <si>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</si>
  <si>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</si>
  <si>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</si>
  <si>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推进AI数字人直播合作落地并产出测试结果复盘文档</t>
  </si>
  <si>
    <t xml:space="preserve">可麦星图新增定档达人数＞3</t>
  </si>
  <si>
    <t xml:space="preserve">统筹落地情报分析Skill并成功输出一份高质量星图市场情报（以经理审核为准）</t>
  </si>
  <si>
    <t xml:space="preserve">FD-033502</t>
  </si>
  <si>
    <t xml:space="preserve">夏牧原</t>
  </si>
  <si>
    <t xml:space="preserve">7月合作达人发片数</t>
  </si>
  <si>
    <t xml:space="preserve">100条</t>
  </si>
  <si>
    <t xml:space="preserve">111条</t>
  </si>
  <si>
    <t xml:space="preserve">单品出片量</t>
  </si>
  <si>
    <t xml:space="preserve">KOC-GMV-个人短视频</t>
  </si>
  <si>
    <t xml:space="preserve">赫系付费新达人GMV&gt;30w,旧达人GMV&gt;50w</t>
  </si>
  <si>
    <t xml:space="preserve">50.62万元</t>
  </si>
  <si>
    <t xml:space="preserve">KOC-新增合作有效账号量-短视频</t>
  </si>
  <si>
    <t xml:space="preserve">新有效达人账号&gt;30个(原片成交&gt;2000）</t>
  </si>
  <si>
    <t xml:space="preserve">30个</t>
  </si>
  <si>
    <t xml:space="preserve">统筹视频号项目需求100%达成(合作达人10位）</t>
  </si>
  <si>
    <t xml:space="preserve">FD-050886</t>
  </si>
  <si>
    <t xml:space="preserve">张卓雅</t>
  </si>
  <si>
    <t xml:space="preserve">赫系付费KOC发布数＞30</t>
  </si>
  <si>
    <t xml:space="preserve">新有效达人账号＞10个</t>
  </si>
  <si>
    <t xml:space="preserve">付费赫系发膜项目GSV＞160w</t>
  </si>
  <si>
    <t xml:space="preserve">设计中心网页并成功稳定运行80%以上（以主管评审为准）</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</si>
  <si>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</si>
  <si>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</si>
  <si>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</si>
  <si>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</si>
  <si>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</si>
  <si>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</si>
  <si>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OMS_MCP_订单查询接口(包含各个子页面tab)</t>
  </si>
  <si>
    <t xml:space="preserve">2C包裹理论重量修正</t>
  </si>
  <si>
    <t xml:space="preserve">防伪防窜/OMS/新防伪系统等线上问题处理</t>
  </si>
  <si>
    <t xml:space="preserve">OMS_MCP_货品管理查询接口(包含各个子页面tab)</t>
  </si>
  <si>
    <t xml:space="preserve">OMS_MCP_店铺管理查询接口(包含各个子页面tab)</t>
  </si>
  <si>
    <t xml:space="preserve">OMS_MCP_物流管理查询接口(包含各个子页面tab)</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</si>
  <si>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</si>
  <si>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</si>
  <si>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</si>
  <si>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</si>
  <si>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产品供应部AI化：
1. 完成和传授业务Skill
2. OMS的MCP</t>
  </si>
  <si>
    <t xml:space="preserve">1. 及时指导业务方的skill问题梳理与解决 2. OMS的MCP已成功上线并已被业务使用</t>
  </si>
  <si>
    <t xml:space="preserve">1. 万里牛系统对接
2. 有赞系统对接</t>
  </si>
  <si>
    <t xml:space="preserve">1. 完成万里牛系统方案梳理以及对应的替代方案梳理 2. 有赞系统按要求推进</t>
  </si>
  <si>
    <t xml:space="preserve">FD-223417</t>
  </si>
  <si>
    <t xml:space="preserve">黄俊鹞</t>
  </si>
  <si>
    <t xml:space="preserve">金蝶MCP-供应部</t>
  </si>
  <si>
    <t xml:space="preserve">金蝶MCP已交付并实际投入使用</t>
  </si>
  <si>
    <t xml:space="preserve">供应部根计划</t>
  </si>
  <si>
    <t xml:space="preserve">供应部金蝶相关根数据全部搭建完成</t>
  </si>
  <si>
    <t xml:space="preserve">Fando推广</t>
  </si>
  <si>
    <t xml:space="preserve">供应部高优skill全部搭建完成，负责中心日活人数达总人数90%</t>
  </si>
  <si>
    <t xml:space="preserve">FD-221172</t>
  </si>
  <si>
    <t xml:space="preserve">自动对账系统正式上线及验收优化</t>
  </si>
  <si>
    <t xml:space="preserve">内部系统MCP项目—金蝶MCP</t>
  </si>
  <si>
    <t xml:space="preserve">D计划项目</t>
  </si>
  <si>
    <t xml:space="preserve">OMS系统新需求实现与迭代优化</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</si>
  <si>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</si>
  <si>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</si>
  <si>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</si>
  <si>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</si>
  <si>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</si>
  <si>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</si>
  <si>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</si>
  <si>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</si>
  <si>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</si>
  <si>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FD-039770</t>
  </si>
  <si>
    <t xml:space="preserve">王雨铭</t>
  </si>
  <si>
    <t xml:space="preserve">所负责创意当月直接成交</t>
  </si>
  <si>
    <t xml:space="preserve">成交</t>
  </si>
  <si>
    <t xml:space="preserve">434万元</t>
  </si>
  <si>
    <t xml:space="preserve">319万元</t>
  </si>
  <si>
    <t xml:space="preserve">利润率和明星成交</t>
  </si>
  <si>
    <t xml:space="preserve">54万元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</si>
  <si>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</si>
  <si>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</si>
  <si>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</si>
  <si>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</si>
  <si>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</si>
  <si>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</si>
  <si>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</si>
  <si>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</si>
  <si>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</si>
  <si>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</si>
  <si>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</si>
  <si>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</si>
  <si>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</si>
  <si>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</si>
  <si>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</si>
  <si>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</si>
  <si>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</si>
  <si>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</si>
  <si>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</si>
  <si>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</si>
  <si>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</si>
  <si>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</si>
  <si>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</si>
  <si>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</si>
  <si>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</si>
  <si>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</si>
  <si>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</si>
  <si>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</si>
  <si>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</si>
  <si>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</si>
  <si>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</si>
  <si>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</si>
  <si>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</si>
  <si>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</si>
  <si>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</si>
  <si>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</si>
  <si>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</si>
  <si>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</si>
  <si>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</si>
  <si>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</si>
  <si>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</si>
  <si>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</si>
  <si>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</si>
  <si>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</si>
  <si>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</si>
  <si>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</si>
  <si>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</si>
  <si>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</si>
  <si>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</si>
  <si>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</si>
  <si>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</si>
  <si>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</si>
  <si>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</si>
  <si>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</si>
  <si>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7月轻盈系列利润率目标4.5%</t>
  </si>
  <si>
    <t xml:space="preserve">产出有效创意图*8</t>
  </si>
  <si>
    <t xml:space="preserve">8张</t>
  </si>
  <si>
    <t xml:space="preserve">5张</t>
  </si>
  <si>
    <t xml:space="preserve">香氛日销突破2w且持续3天及以上</t>
  </si>
  <si>
    <t xml:space="preserve">FD-064267</t>
  </si>
  <si>
    <t xml:space="preserve">安雨彤</t>
  </si>
  <si>
    <t xml:space="preserve">羽感系列目标销售额240w
柔感系列目标销售额40w</t>
  </si>
  <si>
    <t xml:space="preserve">228.4万元</t>
  </si>
  <si>
    <t xml:space="preserve">羽感系列利润率目标2.8%</t>
  </si>
  <si>
    <t xml:space="preserve">有效创意图*30</t>
  </si>
  <si>
    <t xml:space="preserve">30张</t>
  </si>
  <si>
    <t xml:space="preserve">26张</t>
  </si>
  <si>
    <t xml:space="preserve">柔感日销突破2w且持续3天及以上</t>
  </si>
  <si>
    <t xml:space="preserve">未达成</t>
  </si>
  <si>
    <t xml:space="preserve">FD-068641</t>
  </si>
  <si>
    <t xml:space="preserve">秦琳雅</t>
  </si>
  <si>
    <t xml:space="preserve">1洗目标销售额80w</t>
  </si>
  <si>
    <t xml:space="preserve">72万元</t>
  </si>
  <si>
    <t xml:space="preserve">2洗1护1旅日销突破1w且持续3天以上</t>
  </si>
  <si>
    <t xml:space="preserve">最高日销gmv 6.37k</t>
  </si>
  <si>
    <t xml:space="preserve">护750单链接日销突破1w且持续3天及以上</t>
  </si>
  <si>
    <t xml:space="preserve">最高日销gmv 4.3k</t>
  </si>
  <si>
    <t xml:space="preserve">有效创意图*10</t>
  </si>
  <si>
    <t xml:space="preserve">10张</t>
  </si>
  <si>
    <t xml:space="preserve">16张</t>
  </si>
  <si>
    <t xml:space="preserve">FD-066598</t>
  </si>
  <si>
    <t xml:space="preserve">傅则</t>
  </si>
  <si>
    <t xml:space="preserve">发膜系列目标销售额70w</t>
  </si>
  <si>
    <t xml:space="preserve">发膜系列利润率目标10%</t>
  </si>
  <si>
    <t xml:space="preserve">发膜次级链接日销突破8k且持续3天及以上
黑松露链接日销突破4k且持续3天及以上</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</si>
  <si>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</si>
  <si>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</si>
  <si>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</si>
  <si>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</si>
  <si>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</si>
  <si>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</si>
  <si>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WIS京东渠道利润率完成率：</t>
  </si>
  <si>
    <t xml:space="preserve">17%7</t>
  </si>
  <si>
    <t xml:space="preserve">WIS京东货品经营成交完成率：水润34、玻尿酸15、玻尿酸30合计成交15万+</t>
  </si>
  <si>
    <t xml:space="preserve">15.0万万</t>
  </si>
  <si>
    <t xml:space="preserve">16.2万</t>
  </si>
  <si>
    <t xml:space="preserve">WIS京东ROI达成指标：自营广告ROI优化，常规推广（关键词和人群）ROI目标2.98</t>
  </si>
  <si>
    <t xml:space="preserve">2.98无</t>
  </si>
  <si>
    <t xml:space="preserve">FD-060002</t>
  </si>
  <si>
    <t xml:space="preserve">舒婷婷</t>
  </si>
  <si>
    <t xml:space="preserve">WIS拼多多渠道整体销售额完成率：</t>
  </si>
  <si>
    <t xml:space="preserve">160.0万万</t>
  </si>
  <si>
    <t xml:space="preserve">152.3万</t>
  </si>
  <si>
    <t xml:space="preserve">WIS拼多多渠道底线利润额：美妆利润额18万（不达成为0）</t>
  </si>
  <si>
    <t xml:space="preserve">18.0万万</t>
  </si>
  <si>
    <t xml:space="preserve">23.8万</t>
  </si>
  <si>
    <t xml:space="preserve">WIS拼多多关键工作达成：关键工作：皮傲宁洁面单日日销突破8k+</t>
  </si>
  <si>
    <t xml:space="preserve">8000无</t>
  </si>
  <si>
    <t xml:space="preserve">WIS拼多多大投素材目标完成率：产出2张成交≥1万的创意图</t>
  </si>
  <si>
    <t xml:space="preserve">2张</t>
  </si>
  <si>
    <t xml:space="preserve">FD-065188</t>
  </si>
  <si>
    <t xml:space="preserve">任玉沿</t>
  </si>
  <si>
    <t xml:space="preserve">WIS京东货品经营成交完成率：京东渠道场域成交目标70万（百补秒杀换购试用立减等）</t>
  </si>
  <si>
    <t xml:space="preserve">70.0万万</t>
  </si>
  <si>
    <t xml:space="preserve">102.7万</t>
  </si>
  <si>
    <t xml:space="preserve">WIS京东货品经营成交完成率：小样换购顺买试用等派发1万件</t>
  </si>
  <si>
    <t xml:space="preserve">1.0万万</t>
  </si>
  <si>
    <t xml:space="preserve">0.5万</t>
  </si>
  <si>
    <t xml:space="preserve">FD-068681</t>
  </si>
  <si>
    <t xml:space="preserve">孟昉瑞</t>
  </si>
  <si>
    <t xml:space="preserve">WIS唯品会渠道整体销售额完成率：</t>
  </si>
  <si>
    <t xml:space="preserve">140.0万万</t>
  </si>
  <si>
    <t xml:space="preserve">116.5万</t>
  </si>
  <si>
    <t xml:space="preserve">WIS唯品会渠道利润率完成率：</t>
  </si>
  <si>
    <t xml:space="preserve">货品经营利润率完成率</t>
  </si>
  <si>
    <t xml:space="preserve">WIS唯品会货品经营成交完成率：水润品线销售额50w（6月60w）</t>
  </si>
  <si>
    <t xml:space="preserve">50.0万万</t>
  </si>
  <si>
    <t xml:space="preserve">48.8万</t>
  </si>
  <si>
    <t xml:space="preserve">目标链接孵化完成率</t>
  </si>
  <si>
    <t xml:space="preserve">WIS唯品会目标链接孵化完成率：新链接单日销售额破千（俩天）</t>
  </si>
  <si>
    <t xml:space="preserve">FD-068941</t>
  </si>
  <si>
    <t xml:space="preserve">李祥顺</t>
  </si>
  <si>
    <t xml:space="preserve">WIS天猫超市渠道整体销售额完成率：</t>
  </si>
  <si>
    <t xml:space="preserve">49.3万</t>
  </si>
  <si>
    <t xml:space="preserve">WIS天猫超市渠道利润率完成率：</t>
  </si>
  <si>
    <t xml:space="preserve">KONO天猫超市渠道整体销售额完成率：</t>
  </si>
  <si>
    <t xml:space="preserve">35.0万万</t>
  </si>
  <si>
    <t xml:space="preserve">26.6万</t>
  </si>
  <si>
    <t xml:space="preserve">KONO天猫超市渠道底线利润额：</t>
  </si>
  <si>
    <t xml:space="preserve">5.0万万</t>
  </si>
  <si>
    <t xml:space="preserve">7.8万</t>
  </si>
  <si>
    <t xml:space="preserve">赫系天猫超市渠道整体销售额完成率：</t>
  </si>
  <si>
    <t xml:space="preserve">8.0万万</t>
  </si>
  <si>
    <t xml:space="preserve">10.9万</t>
  </si>
  <si>
    <t xml:space="preserve">赫系天猫超市渠道底线利润额：</t>
  </si>
  <si>
    <t xml:space="preserve">2.5万万</t>
  </si>
  <si>
    <t xml:space="preserve">5.2万</t>
  </si>
  <si>
    <t xml:space="preserve">FD-068700</t>
  </si>
  <si>
    <t xml:space="preserve">米博</t>
  </si>
  <si>
    <t xml:space="preserve">WIS微信私域渠道整体销售额完成率：</t>
  </si>
  <si>
    <t xml:space="preserve">25.0万万</t>
  </si>
  <si>
    <t xml:space="preserve">22.6万</t>
  </si>
  <si>
    <t xml:space="preserve">WIS微信私域渠道利润率完成率：</t>
  </si>
  <si>
    <t xml:space="preserve">OD-000127</t>
  </si>
  <si>
    <t xml:space="preserve">请款对账员</t>
  </si>
  <si>
    <t xml:space="preserve">罗杨佳</t>
  </si>
  <si>
    <t xml:space="preserve">请款及时率</t>
  </si>
  <si>
    <t xml:space="preserve">所有7月需请款全部达成</t>
  </si>
  <si>
    <t xml:space="preserve">财务报表提交及时性</t>
  </si>
  <si>
    <t xml:space="preserve">按时提交绩效得分:15
延迟1个工作日提交绩效得分:12
延迟2个工作日提交绩效得分:9
延迟3个工作日提交绩效得分:0</t>
  </si>
  <si>
    <t xml:space="preserve">财务报表提交准确性</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</si>
  <si>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</si>
  <si>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</si>
  <si>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</si>
  <si>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</si>
  <si>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</si>
  <si>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</si>
  <si>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</si>
  <si>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护肤顾问-推荐秒杀年卡金额</t>
  </si>
  <si>
    <t xml:space="preserve">秒杀年卡推荐金额3588</t>
  </si>
  <si>
    <t xml:space="preserve">3588无</t>
  </si>
  <si>
    <t xml:space="preserve">护肤顾问-推荐普通年卡金额</t>
  </si>
  <si>
    <t xml:space="preserve">普通年卡推荐金额2400</t>
  </si>
  <si>
    <t xml:space="preserve">2400无</t>
  </si>
  <si>
    <t xml:space="preserve">护肤顾问-企微客户留存率</t>
  </si>
  <si>
    <t xml:space="preserve">留存率</t>
  </si>
  <si>
    <t xml:space="preserve">100%无</t>
  </si>
  <si>
    <t xml:space="preserve">护肤顾问-协同性</t>
  </si>
  <si>
    <t xml:space="preserve">协同性</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</si>
  <si>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</si>
  <si>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</si>
  <si>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</si>
  <si>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</si>
  <si>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</si>
  <si>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</si>
  <si>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达成新品SKU出货数</t>
  </si>
  <si>
    <t xml:space="preserve">新开拓系统出货</t>
  </si>
  <si>
    <t xml:space="preserve">0.57万元</t>
  </si>
  <si>
    <t xml:space="preserve">MINISO系统出货</t>
  </si>
  <si>
    <t xml:space="preserve">1.2万元</t>
  </si>
  <si>
    <t xml:space="preserve">1.834万元</t>
  </si>
  <si>
    <t xml:space="preserve">康美彤出货</t>
  </si>
  <si>
    <t xml:space="preserve">华南大润发系统营收</t>
  </si>
  <si>
    <t xml:space="preserve">23.18万元</t>
  </si>
  <si>
    <t xml:space="preserve">华东大润发营收</t>
  </si>
  <si>
    <t xml:space="preserve">56万元</t>
  </si>
  <si>
    <t xml:space="preserve">53.75万元</t>
  </si>
  <si>
    <t xml:space="preserve">华东、华南大润发新增爆破率超过30%的门店</t>
  </si>
  <si>
    <t xml:space="preserve">50家</t>
  </si>
  <si>
    <t xml:space="preserve">75家</t>
  </si>
  <si>
    <t xml:space="preserve">个人综合利润额</t>
  </si>
  <si>
    <t xml:space="preserve">-12万元</t>
  </si>
  <si>
    <t xml:space="preserve">-10.83万元</t>
  </si>
  <si>
    <t xml:space="preserve">FD-077452</t>
  </si>
  <si>
    <t xml:space="preserve">张渘浚</t>
  </si>
  <si>
    <t xml:space="preserve">沃尔玛：该客户出货13万</t>
  </si>
  <si>
    <t xml:space="preserve">13万元</t>
  </si>
  <si>
    <t xml:space="preserve">未出货</t>
  </si>
  <si>
    <t xml:space="preserve">沃尔玛系统pos：36万</t>
  </si>
  <si>
    <t xml:space="preserve">36万元</t>
  </si>
  <si>
    <t xml:space="preserve">银座pos9万</t>
  </si>
  <si>
    <t xml:space="preserve">9万元</t>
  </si>
  <si>
    <t xml:space="preserve">4520万元</t>
  </si>
  <si>
    <t xml:space="preserve">天虹系统营收4.5万</t>
  </si>
  <si>
    <t xml:space="preserve">4.3万元</t>
  </si>
  <si>
    <t xml:space="preserve">达成10家爆破率超30%的门店，（完成率封顶150%）</t>
  </si>
  <si>
    <t xml:space="preserve">10家</t>
  </si>
  <si>
    <t xml:space="preserve">7家</t>
  </si>
  <si>
    <t xml:space="preserve">-8万</t>
  </si>
  <si>
    <t xml:space="preserve">-8万元</t>
  </si>
  <si>
    <t xml:space="preserve">-4万元</t>
  </si>
  <si>
    <t xml:space="preserve">新品进场(客户出货即为达成,不出货即为没有达成）</t>
  </si>
  <si>
    <t xml:space="preserve">FD-070512</t>
  </si>
  <si>
    <t xml:space="preserve">郑祖钦</t>
  </si>
  <si>
    <t xml:space="preserve">永辉（线下）该系统POS</t>
  </si>
  <si>
    <t xml:space="preserve">1.018万元</t>
  </si>
  <si>
    <t xml:space="preserve">永辉（线上)拿到选品结果（以采购微信沟通结果的截图为结果）</t>
  </si>
  <si>
    <t xml:space="preserve">东方福利网该系统营收</t>
  </si>
  <si>
    <t xml:space="preserve">5.0547万元</t>
  </si>
  <si>
    <t xml:space="preserve">东方福利网套盒团购达成（出货即为达成，不出货即为没有达成)</t>
  </si>
  <si>
    <t xml:space="preserve">京喜通该系统出货</t>
  </si>
  <si>
    <t xml:space="preserve">2.9009万元</t>
  </si>
  <si>
    <t xml:space="preserve">松鼠便利店该系统出货</t>
  </si>
  <si>
    <t xml:space="preserve">9.9845万元</t>
  </si>
  <si>
    <t xml:space="preserve">搜集采购对渠道的产品需求（生成文档，完成文档并且经过与主管核对即为达成100%，否则其他情况即为未达成）</t>
  </si>
  <si>
    <t xml:space="preserve">所有系统利润额</t>
  </si>
  <si>
    <t xml:space="preserve">-5.173万元</t>
  </si>
  <si>
    <t xml:space="preserve">FD-168752</t>
  </si>
  <si>
    <t xml:space="preserve">黄俊炎</t>
  </si>
  <si>
    <t xml:space="preserve">AI效率流程部-B中心通用绩效方案</t>
  </si>
  <si>
    <t xml:space="preserve">7月B端客户（除欣芝妍和测试）总Token消耗达60亿</t>
  </si>
  <si>
    <t xml:space="preserve">7月B端客户（除欣芝妍和测试）平均DAU达40人</t>
  </si>
  <si>
    <t xml:space="preserve">代码开发与任务完成情况：按时完成任务，无重大Bug，积极承担开发任务，勇于挑战技术难题</t>
  </si>
  <si>
    <t xml:space="preserve">总体完成情况良好，后续可以减少下Bug错误率</t>
  </si>
  <si>
    <t xml:space="preserve">FD-169260</t>
  </si>
  <si>
    <t xml:space="preserve">陈广耀</t>
  </si>
  <si>
    <t xml:space="preserve">总体情况良好，后续可挑战AI和高难度任务</t>
  </si>
  <si>
    <t xml:space="preserve">FD-222869</t>
  </si>
  <si>
    <t xml:space="preserve">余孜婕</t>
  </si>
  <si>
    <t xml:space="preserve">方案、团队协作与任务完成情况：按时完成任务，无重大逻辑错误和协作阻碍，勇于创新，对项目负责</t>
  </si>
  <si>
    <t xml:space="preserve">基本表现良好，后续可加强效率部分</t>
  </si>
  <si>
    <t xml:space="preserve">FD-220144</t>
  </si>
  <si>
    <t xml:space="preserve">盛思婕</t>
  </si>
  <si>
    <t xml:space="preserve">任务基本完成良好</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</si>
  <si>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</si>
  <si>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</si>
  <si>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</si>
  <si>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</si>
  <si>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7月B端客户（除欣芝妍和测试）总Token消耗</t>
  </si>
  <si>
    <t xml:space="preserve">7月B端客户（除欣芝妍和测试）平均DAU</t>
  </si>
  <si>
    <t xml:space="preserve">FD-229153</t>
  </si>
  <si>
    <t xml:space="preserve">吴灏楠</t>
  </si>
  <si>
    <t xml:space="preserve">任务基本完成良好，勇于挑战，后续可加强细节思考，风险及时汇报</t>
  </si>
  <si>
    <t xml:space="preserve">FD-229588</t>
  </si>
  <si>
    <t xml:space="preserve">何金伟</t>
  </si>
  <si>
    <t xml:space="preserve">任务基本完成良好，表现较为积极，后续可以多加强深度思考</t>
  </si>
  <si>
    <t xml:space="preserve">FD-066250</t>
  </si>
  <si>
    <t xml:space="preserve">电商发展部-WIS渠道B中心</t>
  </si>
  <si>
    <t xml:space="preserve">赵宇卓</t>
  </si>
  <si>
    <t xml:space="preserve">超级短视频推广消耗15w
(ROI2.6-3,完成率*1)
(ROI3-3.2,完成率*1.2)
(ROI3.2+,完成率*1.5)</t>
  </si>
  <si>
    <t xml:space="preserve">6.4万</t>
  </si>
  <si>
    <t xml:space="preserve">淘客成交45w</t>
  </si>
  <si>
    <t xml:space="preserve">45.0万万</t>
  </si>
  <si>
    <t xml:space="preserve">35.6万</t>
  </si>
  <si>
    <t xml:space="preserve">黑晶面膜成交5w</t>
  </si>
  <si>
    <t xml:space="preserve">11.2万</t>
  </si>
  <si>
    <t xml:space="preserve">直播成交20w</t>
  </si>
  <si>
    <t xml:space="preserve">20.0万万</t>
  </si>
  <si>
    <t xml:space="preserve">19.1万</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</si>
  <si>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</si>
  <si>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</si>
  <si>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</si>
  <si>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</si>
  <si>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</si>
  <si>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WS天猫渠道整体销售额完成率：百补秒杀场域成交金额307万</t>
  </si>
  <si>
    <t xml:space="preserve">307.0万万</t>
  </si>
  <si>
    <t xml:space="preserve">227.1万</t>
  </si>
  <si>
    <t xml:space="preserve">WS天猫货品经营成交完成率：肌活喷雾成交3万</t>
  </si>
  <si>
    <t xml:space="preserve">3.0万万</t>
  </si>
  <si>
    <t xml:space="preserve">0.8万</t>
  </si>
  <si>
    <t xml:space="preserve">WS天猫大投素材目标完成率：关键工作:创意图产出3张成交&gt;2万的新素材</t>
  </si>
  <si>
    <t xml:space="preserve">3张</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</si>
  <si>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</si>
  <si>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</si>
  <si>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</si>
  <si>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</si>
  <si>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</si>
  <si>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WIS天猫货品经营成交完成率：玻尿酸主链成交70万(生e经取数)</t>
  </si>
  <si>
    <t xml:space="preserve">58.6万</t>
  </si>
  <si>
    <t xml:space="preserve">WIS天猫货品经营成交完成率：眼膜主链成交50万(生e经取数)</t>
  </si>
  <si>
    <t xml:space="preserve">47.1万</t>
  </si>
  <si>
    <t xml:space="preserve">OD-004940</t>
  </si>
  <si>
    <t xml:space="preserve">方怡晶</t>
  </si>
  <si>
    <t xml:space="preserve">电商发展部-WIS渠道B中心-营销策划</t>
  </si>
  <si>
    <t xml:space="preserve">快手销售额26万</t>
  </si>
  <si>
    <t xml:space="preserve">260000万</t>
  </si>
  <si>
    <t xml:space="preserve">利润率0%</t>
  </si>
  <si>
    <t xml:space="preserve">素材数量完成</t>
  </si>
  <si>
    <t xml:space="preserve">达人分发数量15条</t>
  </si>
  <si>
    <t xml:space="preserve">成交3k+素材2条</t>
  </si>
  <si>
    <t xml:space="preserve">OD-000937</t>
  </si>
  <si>
    <t xml:space="preserve">黄佩贤</t>
  </si>
  <si>
    <t xml:space="preserve">素材成交额指标得分</t>
  </si>
  <si>
    <t xml:space="preserve">个人自产素材总成交3万(含各版块个人素材消耗总计)</t>
  </si>
  <si>
    <t xml:space="preserve">3万万</t>
  </si>
  <si>
    <t xml:space="preserve">产出一条成交大于5K的素材</t>
  </si>
  <si>
    <t xml:space="preserve">个人产出素材数量192条</t>
  </si>
  <si>
    <t xml:space="preserve">视频改卡云管家视频下载上传例行工作完成</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</si>
  <si>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</si>
  <si>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</si>
  <si>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</si>
  <si>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</si>
  <si>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</si>
  <si>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</si>
  <si>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</si>
  <si>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</si>
  <si>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</si>
  <si>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</si>
  <si>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部门认证考核执行100%</t>
  </si>
  <si>
    <t xml:space="preserve">本季度应安排认证的人次中，实际已参加考核的人次占比。</t>
  </si>
  <si>
    <t xml:space="preserve">部门KPI完成率</t>
  </si>
  <si>
    <t xml:space="preserve">部门利润率、总降本金额、专业技能</t>
  </si>
  <si>
    <t xml:space="preserve">部门利润率完成率144.66%，总降本金额完成211.93%，专业技能说明完成率160%，总得分1.28</t>
  </si>
  <si>
    <t xml:space="preserve">各中心关键工作达成率</t>
  </si>
  <si>
    <t xml:space="preserve">1、下半年包材、原料备货
2、完成积压原料生胶混合物的转卖
3、完成总部所有中心合规项目摸查，识别风险项目</t>
  </si>
  <si>
    <t xml:space="preserve">1、下半年包材、原料备货——已完成 2、完成积压原料生胶混合物的转卖 ——已完成3、完成总部所有中心合规项目摸查，识别风险项目——已完成</t>
  </si>
  <si>
    <t xml:space="preserve">下半年包材、原料备货</t>
  </si>
  <si>
    <t xml:space="preserve">完成下半年包材和原料备货实现控涨目标</t>
  </si>
  <si>
    <t xml:space="preserve">1. 包材：备货物料为量大的塑料瓶、泵头、软管、膜袋 2. 原料：备货物料为棕榈仁油、石油、硅相关大料</t>
  </si>
  <si>
    <t xml:space="preserve">完成积压原料生胶混合物的转卖</t>
  </si>
  <si>
    <t xml:space="preserve">可售卖汇总：41桶（ 7790kg ） 挽回合计金额：95817元</t>
  </si>
  <si>
    <t xml:space="preserve">各中心合规摸查</t>
  </si>
  <si>
    <t xml:space="preserve">完成总部所有中心合规项目摸查，识别风险项目</t>
  </si>
  <si>
    <t xml:space="preserve">已完成总部所有中心摸查，识别6项风险项目并跟进完成整改</t>
  </si>
  <si>
    <t xml:space="preserve">FD-109059</t>
  </si>
  <si>
    <t xml:space="preserve">蔡爱存</t>
  </si>
  <si>
    <t xml:space="preserve">部门收入110万
部门利润率≥0%</t>
  </si>
  <si>
    <t xml:space="preserve">部门收入：140.8万 利润14.8%</t>
  </si>
  <si>
    <t xml:space="preserve">推动各中心skill工作流搭建
各中心根数据梳理</t>
  </si>
  <si>
    <t xml:space="preserve">各中心SKILL目标均搭建完成、根数据梳理完成-待AI同事录入</t>
  </si>
  <si>
    <t xml:space="preserve">推动各中心skill工作流搭建</t>
  </si>
  <si>
    <t xml:space="preserve">各中心根数据梳理</t>
  </si>
  <si>
    <t xml:space="preserve">部门关键工作达成率</t>
  </si>
  <si>
    <t xml:space="preserve">1、推进降本项目落地（中试卡点解决）
2、科学传播，提升内部、外部影响力
3、AI 包装设计
4、部门AI先锋项目设计
5、部门根数据梳理</t>
  </si>
  <si>
    <t xml:space="preserve">1、推进降本项目落地（中试卡点解决）-未解决 2、科学传播，提升内部、外部影响力-已完成与各品牌共识并输出文档，8月执行 3、AI 包装设计-已完成AI第一轮提案-品牌选择；待开展第二轮优化 4、部门AI先锋项目-已完成 5、部门根数据梳理-已完成个</t>
  </si>
  <si>
    <t xml:space="preserve">FD-061477</t>
  </si>
  <si>
    <t xml:space="preserve">电商发展部</t>
  </si>
  <si>
    <t xml:space="preserve">王海若</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</si>
  <si>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</si>
  <si>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</si>
  <si>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线上分销管理</t>
  </si>
  <si>
    <t xml:space="preserve">视频号素材获取探索</t>
  </si>
  <si>
    <t xml:space="preserve">电商发展部Fando skill竞技大赛</t>
  </si>
  <si>
    <t xml:space="preserve">部门Q3季度大团建&amp;Q2季度荣誉表彰</t>
  </si>
  <si>
    <t xml:space="preserve">FD-013711</t>
  </si>
  <si>
    <t xml:space="preserve">人资行政部</t>
  </si>
  <si>
    <t xml:space="preserve">覃镜晓</t>
  </si>
  <si>
    <t xml:space="preserve">总监早报BI看板 根数据 AI先锋项目</t>
  </si>
  <si>
    <t xml:space="preserve">部门内控 团建 中秋礼盒</t>
  </si>
  <si>
    <t xml:space="preserve">团建</t>
  </si>
  <si>
    <t xml:space="preserve">a说明</t>
  </si>
  <si>
    <t xml:space="preserve">部门内控</t>
  </si>
  <si>
    <t xml:space="preserve">中秋礼盒+VPN</t>
  </si>
  <si>
    <t xml:space="preserve">同总监一致</t>
  </si>
  <si>
    <t xml:space="preserve">初级+中级</t>
  </si>
  <si>
    <t xml:space="preserve">初级考核达成100%</t>
  </si>
  <si>
    <t xml:space="preserve">中级考核验收100%</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</si>
  <si>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</si>
  <si>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</si>
  <si>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</si>
  <si>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</si>
  <si>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季度计划完成的所有技能项的初级+中级+高级考核设计中，推动所有考核设计完成并通过业务校准；推动本季度应安排认证的人次与实际已参加考核的人次保持一致。</t>
  </si>
  <si>
    <t xml:space="preserve">7月营收目标 2558.5万元，利润率目标4%（102万）</t>
  </si>
  <si>
    <t xml:space="preserve">完成情况来自总经办-丁小恬</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</si>
  <si>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</si>
  <si>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</si>
  <si>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</si>
  <si>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品牌创意中心KPI完成率</t>
  </si>
  <si>
    <t xml:space="preserve">品牌管理中心KPI完成率</t>
  </si>
  <si>
    <t xml:space="preserve">设计中心KPI完成率</t>
  </si>
  <si>
    <t xml:space="preserve">资源开拓中心KPI完成率</t>
  </si>
  <si>
    <t xml:space="preserve">可麦达播KPI完成率</t>
  </si>
  <si>
    <t xml:space="preserve">先锋中心KPI完成率</t>
  </si>
  <si>
    <t xml:space="preserve">明星中心KPI完成率</t>
  </si>
  <si>
    <t xml:space="preserve">媒介中心KPI完成率</t>
  </si>
  <si>
    <t xml:space="preserve">1. 新品牌GMV
2 新品牌利润率
3. 市场部GMV
4. 市场部利润率
5. 市场部专业技能水平</t>
  </si>
  <si>
    <t xml:space="preserve">FD-150472</t>
  </si>
  <si>
    <t xml:space="preserve">谭丹</t>
  </si>
  <si>
    <t xml:space="preserve">1、日报归档
2、部门skill沉淀和推进
3、部门知识树沉淀
4、根数据推进
5、先锋项目推进</t>
  </si>
  <si>
    <t xml:space="preserve">赫系渠道突破、kono新品推进、wis产品立项和优化、oto服务商跟进</t>
  </si>
  <si>
    <t xml:space="preserve">赫系渠道突破、kono新品推进</t>
  </si>
  <si>
    <t xml:space="preserve">wis产品立项和优化、oto服务商跟进</t>
  </si>
  <si>
    <t xml:space="preserve">初中高级考核设计完备100%、
本季度应安排认证的人次中，实际已参加考核的人次占比。</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</si>
  <si>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</si>
  <si>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</si>
  <si>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</si>
  <si>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</si>
  <si>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</si>
  <si>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</si>
  <si>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</si>
  <si>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各业务中心定计划会议内容框架优化</t>
  </si>
  <si>
    <t xml:space="preserve">调整各业务中心定计划内容框架的侧重，并于当月定计划会议中落实</t>
  </si>
  <si>
    <t xml:space="preserve">调整各业务中心定计划内容框架的侧重，并于当月定计划会议中落实，当月定计划会议的开展以品牌总监确认过的内容框架进行开展</t>
  </si>
  <si>
    <t xml:space="preserve">渠道提需新品开发sop</t>
  </si>
  <si>
    <t xml:space="preserve">输出渠道提需新品开发sop文档</t>
  </si>
  <si>
    <t xml:space="preserve">输出渠道提需新品开发sop文档，明确渠道提需新品开发的职责划分，并与品牌总监和各端口共识</t>
  </si>
  <si>
    <t xml:space="preserve">赫系在开发项目做货周期盘点</t>
  </si>
  <si>
    <t xml:space="preserve">输出赫系在开发项目做货周期盘点文档</t>
  </si>
  <si>
    <t xml:space="preserve">输出赫系在开发项目做货周期盘点文档，明确各个在开发项目做货周期及最低做货数量，提供做货依据</t>
  </si>
  <si>
    <t xml:space="preserve">目标：初中高级考核设计完备100%，部门认证考核执行100%</t>
  </si>
  <si>
    <t xml:space="preserve">本月品牌管理部初中高级考核设计完备100%，部门认证考核执行100%</t>
  </si>
  <si>
    <t xml:space="preserve">7月营收目标7292.7万元，7月利润率目标7.68%</t>
  </si>
  <si>
    <t xml:space="preserve">7月品牌实际营收7705.6万元，7月品牌实际利润率8.13%</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</si>
  <si>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</si>
  <si>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</si>
  <si>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</si>
  <si>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</si>
  <si>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WIS营销关键工作，共三项，详见复合指标明细。</t>
  </si>
  <si>
    <t xml:space="preserve">营销管理自动化</t>
  </si>
  <si>
    <t xml:space="preserve">达人矩阵健康化</t>
  </si>
  <si>
    <t xml:space="preserve">新品双渠道突破</t>
  </si>
  <si>
    <t xml:space="preserve">品牌营销部部门KPI，考核项如下：
营业额 4847.00万 
利润率 -12.08%（亏损585.6万）</t>
  </si>
  <si>
    <t xml:space="preserve">营业额 5756万 利润率 -7.48%</t>
  </si>
  <si>
    <t xml:space="preserve">FD-010463</t>
  </si>
  <si>
    <t xml:space="preserve">AI效率流程部</t>
  </si>
  <si>
    <t xml:space="preserve">李静晗</t>
  </si>
  <si>
    <t xml:space="preserve">D计划项目达成目标</t>
  </si>
  <si>
    <t xml:space="preserve">目标:各部门人均token消耗量2000万，日活人数80%
目标:各部门每个中心有至少2个稳定可用sikll</t>
  </si>
  <si>
    <t xml:space="preserve">目标:各部门人均token消耗量2000万，日活人数80%</t>
  </si>
  <si>
    <t xml:space="preserve">FD-013392</t>
  </si>
  <si>
    <t xml:space="preserve">品牌创意部</t>
  </si>
  <si>
    <t xml:space="preserve">林睿媛</t>
  </si>
  <si>
    <t xml:space="preserve">AI一创课程培训</t>
  </si>
  <si>
    <t xml:space="preserve">5次</t>
  </si>
  <si>
    <t xml:space="preserve">7次</t>
  </si>
  <si>
    <t xml:space="preserve">部门销售额5596.1w，利润率-6.45%</t>
  </si>
  <si>
    <t xml:space="preserve">销售额5867.9w；利润率-5.15%</t>
  </si>
  <si>
    <t xml:space="preserve">1.策划与落地Q2荣誉表彰&amp;Q3团建；
2.部门Fando Skill竞技大赛成功举办</t>
  </si>
  <si>
    <t xml:space="preserve">1.圆满举办；2.成功举办，1人进入公司决赛</t>
  </si>
  <si>
    <t xml:space="preserve">Q2荣誉表彰&amp;Q3团建</t>
  </si>
  <si>
    <t xml:space="preserve">部门Fando Skill竞技大赛</t>
  </si>
  <si>
    <t xml:space="preserve">FD-015295</t>
  </si>
  <si>
    <t xml:space="preserve">广告策划部</t>
  </si>
  <si>
    <t xml:space="preserve">段欣</t>
  </si>
  <si>
    <t xml:space="preserve">早报AI自动化
SKILL竟技大赛
根数据梳理
部门AI先锋项目
先进AI博主教学视频培训</t>
  </si>
  <si>
    <t xml:space="preserve">营销A中心：1、广告24小时新粉ROI提升至0.73以上2、混剪团队转AI团队后的AI素材产出&amp;AI—创意素材有效产出；3、达人素材多类型合作，创新类型出片情况&amp;效果4、视频号的投放
营销C中心：1、明星素材的利用效率及混剪成交2、AI素材产出效益，本中心产出的AI素材成交与AI工作流搭建3、KOC发布数量，内容质量提升及成交
营销D中心：1、明星素材的利用效率及混剪成交2、AI素材产出效益，本中心产出的AI素材成交与AI工作流搭建3、KOC发布数量，内容质量提升及成交
创新B中心：1、明星素材的利用效率及混剪成交2、AI素材产出效益，本中心产出的AI素材成交与AI工作流搭建3、新有效达人的开拓
创新C中心：1、明星素材的利用效率及混剪成交2、AI素材产出效益，本中心产出的AI素材成交与AI工作流搭建3、KOC&amp;达播进度及成交
创意中心：1、合作3个明星2、AI—创成片大投素材/大曝光素材产出：单条成交&gt;12万/单条曝光&gt;10万（非混剪）3、达人合作效果的提升：发布数量、内容质量、AI达人自运营
直播A中心：1、提升直播间ROI稳定性：直播间沟通的迭代优化2、主播轮转体系的优化升级与主播的迭代轮转3、主播培养体系的搭建</t>
  </si>
  <si>
    <t xml:space="preserve">目标营业额2950.5万
目标利润率-13.5%</t>
  </si>
  <si>
    <t xml:space="preserve">FD-104179</t>
  </si>
  <si>
    <t xml:space="preserve">资深产品设计师</t>
  </si>
  <si>
    <t xml:space="preserve">关玉贝</t>
  </si>
  <si>
    <t xml:space="preserve">产品设计中心-月度绩效方案</t>
  </si>
  <si>
    <t xml:space="preserve">例行</t>
  </si>
  <si>
    <t xml:space="preserve">项目时效</t>
  </si>
  <si>
    <t xml:space="preserve">WIS调色面膜-礼盒</t>
  </si>
  <si>
    <t xml:space="preserve">打样质量</t>
  </si>
  <si>
    <t xml:space="preserve">赫系防脱打样</t>
  </si>
  <si>
    <t xml:space="preserve">FD-103052</t>
  </si>
  <si>
    <t xml:space="preserve">李志扬</t>
  </si>
  <si>
    <t xml:space="preserve">赫系控油蓬松打底水</t>
  </si>
  <si>
    <t xml:space="preserve">赫系青少年系列设计</t>
  </si>
  <si>
    <t xml:space="preserve">FD-237186</t>
  </si>
  <si>
    <t xml:space="preserve">张雯</t>
  </si>
  <si>
    <t xml:space="preserve">赫系茶香洗发水</t>
  </si>
  <si>
    <t xml:space="preserve">越南礼盒&amp;海韵套组</t>
  </si>
  <si>
    <t xml:space="preserve">FD-239901</t>
  </si>
  <si>
    <t xml:space="preserve">林晔希</t>
  </si>
  <si>
    <t xml:space="preserve">kono加热直发梳礼盒
kono季节限定香卡</t>
  </si>
  <si>
    <t xml:space="preserve">设计已确版</t>
  </si>
  <si>
    <t xml:space="preserve">WIS情人节礼盒&amp;KONO水光旅行套装</t>
  </si>
  <si>
    <t xml:space="preserve">FD-234560</t>
  </si>
  <si>
    <t xml:space="preserve">曾紫杨</t>
  </si>
  <si>
    <t xml:space="preserve">设计质量</t>
  </si>
  <si>
    <t xml:space="preserve">中秋礼盒+冰箱贴设计</t>
  </si>
  <si>
    <t xml:space="preserve">WIS玻色因膜袋打样跟色</t>
  </si>
  <si>
    <t xml:space="preserve">FD-235531</t>
  </si>
  <si>
    <t xml:space="preserve">陈莹莹</t>
  </si>
  <si>
    <t xml:space="preserve">赫系赋活发膜-玫
瑰</t>
  </si>
  <si>
    <t xml:space="preserve">WIS眼油更换-WIS美容仪外盒设计</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</si>
  <si>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</si>
  <si>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</si>
  <si>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</si>
  <si>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</si>
  <si>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</si>
  <si>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</si>
  <si>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</si>
  <si>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</si>
  <si>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</si>
  <si>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</si>
  <si>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</si>
  <si>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</si>
  <si>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</si>
  <si>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</si>
  <si>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品牌利润率</t>
  </si>
  <si>
    <t xml:space="preserve">品牌整体利润率</t>
  </si>
  <si>
    <t xml:space="preserve">渠道营收</t>
  </si>
  <si>
    <t xml:space="preserve">渠道总营收</t>
  </si>
  <si>
    <t xml:space="preserve">3908万元</t>
  </si>
  <si>
    <t xml:space="preserve">5183.7万元</t>
  </si>
  <si>
    <t xml:space="preserve">渠道利润率</t>
  </si>
  <si>
    <t xml:space="preserve">渠道整体利润率</t>
  </si>
  <si>
    <t xml:space="preserve">新品GSV</t>
  </si>
  <si>
    <t xml:space="preserve">2000万元</t>
  </si>
  <si>
    <t xml:space="preserve">新渠道新系统GSV</t>
  </si>
  <si>
    <t xml:space="preserve">10.8万元</t>
  </si>
  <si>
    <t xml:space="preserve">OD-001464</t>
  </si>
  <si>
    <t xml:space="preserve">产品设计助理</t>
  </si>
  <si>
    <t xml:space="preserve">何诗雨</t>
  </si>
  <si>
    <t xml:space="preserve">产品设计助理-月度绩效方案</t>
  </si>
  <si>
    <t xml:space="preserve">图稿管理项目考核</t>
  </si>
  <si>
    <t xml:space="preserve">图稿管理</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</si>
  <si>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</si>
  <si>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</si>
  <si>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</si>
  <si>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</si>
  <si>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</si>
  <si>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</si>
  <si>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妆造突破（化妆师）</t>
  </si>
  <si>
    <t xml:space="preserve">上级评分（化妆师）</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</si>
  <si>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</si>
  <si>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</si>
  <si>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</si>
  <si>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</si>
  <si>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</si>
  <si>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</si>
  <si>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</si>
  <si>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</si>
  <si>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</si>
  <si>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</si>
  <si>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</si>
  <si>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</si>
  <si>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</si>
  <si>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</si>
  <si>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</si>
  <si>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</si>
  <si>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</si>
  <si>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</si>
  <si>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</si>
  <si>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</si>
  <si>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</si>
  <si>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</si>
  <si>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</si>
  <si>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</si>
  <si>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</si>
  <si>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</si>
  <si>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</si>
  <si>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</si>
  <si>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</si>
  <si>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</si>
  <si>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</si>
  <si>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</si>
  <si>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</si>
  <si>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</si>
  <si>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</si>
  <si>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</si>
  <si>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</si>
  <si>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</si>
  <si>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</si>
  <si>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</si>
  <si>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</si>
  <si>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</si>
  <si>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</si>
  <si>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</si>
  <si>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</si>
  <si>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</si>
  <si>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</si>
  <si>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</si>
  <si>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直播助理日常运营</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</si>
  <si>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</si>
  <si>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</si>
  <si>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</si>
  <si>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</si>
  <si>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</si>
  <si>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</si>
  <si>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</si>
  <si>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</si>
  <si>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</si>
  <si>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</si>
  <si>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</si>
  <si>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</si>
  <si>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</si>
  <si>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</si>
  <si>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</si>
  <si>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</si>
  <si>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</si>
  <si>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</si>
  <si>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</si>
  <si>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</si>
  <si>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</si>
  <si>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</si>
  <si>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</si>
  <si>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</si>
  <si>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</si>
  <si>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</si>
  <si>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直播间妆造视觉优化</t>
  </si>
  <si>
    <t xml:space="preserve">主播妆造数</t>
  </si>
  <si>
    <t xml:space="preserve">化妆师主播评价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</si>
  <si>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</si>
  <si>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</si>
  <si>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</si>
  <si>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</si>
  <si>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</si>
  <si>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</si>
  <si>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</si>
  <si>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</si>
  <si>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投产比目标完成率</t>
  </si>
  <si>
    <t xml:space="preserve">部门AI一创课程落地，至少落地3场评分＞4.7的课程</t>
  </si>
  <si>
    <t xml:space="preserve">AI剧情全域成交15w，并沉淀出有效的方法论，完成中心同事培训，培训得分＞4.7（得分系数计算，完成培训且得分达标则该项x1.2））</t>
  </si>
  <si>
    <t xml:space="preserve">15.0万</t>
  </si>
  <si>
    <t xml:space="preserve">OD-006083</t>
  </si>
  <si>
    <t xml:space="preserve">陈金燕</t>
  </si>
  <si>
    <t xml:space="preserve">180万</t>
  </si>
  <si>
    <t xml:space="preserve">OD-003583</t>
  </si>
  <si>
    <t xml:space="preserve">夏小龙</t>
  </si>
  <si>
    <t xml:space="preserve">FD-045567</t>
  </si>
  <si>
    <t xml:space="preserve">刘旭昊</t>
  </si>
  <si>
    <t xml:space="preserve">0→1产出画面个人成交40w（20万封顶）</t>
  </si>
  <si>
    <t xml:space="preserve">40.0万</t>
  </si>
  <si>
    <t xml:space="preserve">各AI一创SOP梳理与优化（确定几个内容方向，同事真实使用下产生的成交数据，大家的评价打分，价值实用性，部门内技术指导执行项）</t>
  </si>
  <si>
    <t xml:space="preserve">1.0万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</si>
  <si>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</si>
  <si>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</si>
  <si>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</si>
  <si>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</si>
  <si>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</si>
  <si>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</si>
  <si>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</si>
  <si>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商品全域经典链接及全店托管成交</t>
  </si>
  <si>
    <t xml:space="preserve">459.7万元</t>
  </si>
  <si>
    <t xml:space="preserve">关键工作-项目类/大投类</t>
  </si>
  <si>
    <t xml:space="preserve">新koc及优化片段消耗</t>
  </si>
  <si>
    <t xml:space="preserve">7.9万元</t>
  </si>
  <si>
    <t xml:space="preserve">FD-032514</t>
  </si>
  <si>
    <t xml:space="preserve">个人素材消耗。
计算6月26日～7月31日上传素材数据。</t>
  </si>
  <si>
    <t xml:space="preserve">3.5万元</t>
  </si>
  <si>
    <t xml:space="preserve">团队素材消耗。
计算6月26日～7月31日上传素材数据。</t>
  </si>
  <si>
    <t xml:space="preserve">356606.00万元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</si>
  <si>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</si>
  <si>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</si>
  <si>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</si>
  <si>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</si>
  <si>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</si>
  <si>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</si>
  <si>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</si>
  <si>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例行工作：【纯佣KOC审核+投流】</t>
  </si>
  <si>
    <t xml:space="preserve">完成纯佣KOC值班时候对于纯佣KOC的审核和投流工作</t>
  </si>
  <si>
    <t xml:space="preserve">OD-007393</t>
  </si>
  <si>
    <t xml:space="preserve">钟远镇</t>
  </si>
  <si>
    <t xml:space="preserve">4.57万元</t>
  </si>
  <si>
    <t xml:space="preserve">OD-006060</t>
  </si>
  <si>
    <t xml:space="preserve">张占英</t>
  </si>
  <si>
    <t xml:space="preserve">7月新上商品卡消耗2万</t>
  </si>
  <si>
    <t xml:space="preserve">例行工作：KOC+短视频模块管理</t>
  </si>
  <si>
    <t xml:space="preserve">个人KOC原片及优化消耗4万</t>
  </si>
  <si>
    <t xml:space="preserve">OD-006598</t>
  </si>
  <si>
    <t xml:space="preserve">杜钰晨</t>
  </si>
  <si>
    <t xml:space="preserve">个人素材消耗</t>
  </si>
  <si>
    <t xml:space="preserve">纯佣KOC审核+投流</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</si>
  <si>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</si>
  <si>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</si>
  <si>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</si>
  <si>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</si>
  <si>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</si>
  <si>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</si>
  <si>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</si>
  <si>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</si>
  <si>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例行工作:【纯佣KOC审核+投流]</t>
  </si>
  <si>
    <t xml:space="preserve">FD-159074</t>
  </si>
  <si>
    <t xml:space="preserve">白雅姿</t>
  </si>
  <si>
    <t xml:space="preserve">渠道支持中心绩效考核方案-6.1</t>
  </si>
  <si>
    <t xml:space="preserve">WIS：抖店商品卡销售额350w</t>
  </si>
  <si>
    <t xml:space="preserve">KONO：抖店商品卡销售额200w</t>
  </si>
  <si>
    <t xml:space="preserve">赫系：抖店商品卡销售400w</t>
  </si>
  <si>
    <t xml:space="preserve">WIS、KONO、赫系抖店货号设置、优惠券设置等运营策略不得出错,客服对接群反馈抖店运营策略错误次数为0，每个品牌权重为5%</t>
  </si>
  <si>
    <t xml:space="preserve">抖店WIS、KONO、赫系店铺体验分全月90分维持25天以上,不得低于90分;店铺扣分违规(4分及以上);公司资损小于2k(否则当月绩效清0)，每个品牌权重为5%</t>
  </si>
  <si>
    <t xml:space="preserve">快手WIS、KONO、赫系店铺体验分全月不得低于4.5;店铺扣分违规(4分及以上);公司资损小于2k，每个品牌权重为5%</t>
  </si>
  <si>
    <t xml:space="preserve">关键工作：抖店商品卡运营路径分析报告输出</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</si>
  <si>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</si>
  <si>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</si>
  <si>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</si>
  <si>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</si>
  <si>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1. 梳理顽固店铺主体：依托企查查、工商信息，梳理违规店铺主体、法人、持股关联关系，搭建拼多多窜货分销网络链路；联动市场部获取企查查账号及主体核查方法论，结合AI工具批量爬取工商信息，溯源隐藏店铺、反复横跳店铺的关联主体，锁定线下窜货源头。</t>
  </si>
  <si>
    <t xml:space="preserve">完成顽固店铺梳理以及线上非授权店铺主体汇总：https://jqx28l0j4lx.feishu.cn/wiki/Lb1ow7QVYipn9QkfmMtcp0DYnhc 发现我司线下合作代理商1家（已停止合作）</t>
  </si>
  <si>
    <t xml:space="preserve">支持中心每人每周探索1-2个碎片化高频工作skill</t>
  </si>
  <si>
    <t xml:space="preserve">【（探索总数-待开发）/探索总数=30/32】附skill管理表：https://jqx28l0j4lx.feishu.cn/wiki/KW2xw2uHui4hGJktehacvwp7nPd?table=tblMTVTpvZSo0Ux7&amp;view=vewDJIPmKv探索进度：目前探索32个，稳定运行21个，待完善9个，待开发2个（各渠道知识库问答、主图提需） 渠道运营： ①唯品-商品管控日报【稳定运行】 ②天猫百亿补贴自动催审/查询【稳定运行】 ③多多竟对数据、榜单数据更新【稳定运行】 ④掌大自动巡检填写发货【稳定运行】 ⑤通用：淘客定向数据拉取/淘客活动报名【稳定运行】、OMS查库存/批次库存【稳定运行】 ⑥抖音自动检查链接在架情况【稳定运行】 ⑦店铺百补在途检查【稳定运行】 ⑧唯品警灯工单巡查【稳定运行】 ⑨唯品商品星级数量【稳定运行】 ⑩唯品库存检查【稳定运行】 ⑪多多单店单链接视频上传数量及过审情况【稳定运行】 ⑫投诉报表汇报【稳定运行】 ⑬主图提需-设计模版自动填写（弃用） ⑭视频类：视频批量转尺寸/分辨率【稳定运行】、水印检测【稳定运行】；打假： ①自动生成律师函图片【稳定运行】 ②批量制作鉴定报告【待完善，批量调试】 ③打假采买报销表制作（待完善，无法嵌入图片） ④抖音进度自动核查【稳定运行】、拼多多投诉进度自动核查（待完善） ⑤拼多多WIS平台投诉自动填写模板【稳定运行】 ⑥打假采买报销单申报&amp;A4排版打印【稳定运行】 ⑦自动分析店铺购买地址及账号风险性（待完善） 货号： ①组合货号自动通知【稳定运行】 ②每日货号机制巡查【稳定运行】 ③货号自动创建（已实现自动创建+聊天框通知完成创建，近期fando偶发性忘记规则，待完善）</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</si>
  <si>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</si>
  <si>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</si>
  <si>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</si>
  <si>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</si>
  <si>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</si>
  <si>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WIS、KONO、赫系线下双节大促主题档陈列设计方案</t>
  </si>
  <si>
    <t xml:space="preserve">已完成：KONO全套物料设计（货架+1方活动+4方美陈）、WIS货架设计、赫系货架设计 未完成：赫系货堆设计</t>
  </si>
  <si>
    <t xml:space="preserve">FD-050136</t>
  </si>
  <si>
    <t xml:space="preserve">吕沿融</t>
  </si>
  <si>
    <t xml:space="preserve">市场高级经理绩效考核方案-6.1</t>
  </si>
  <si>
    <t xml:space="preserve">销售额</t>
  </si>
  <si>
    <t xml:space="preserve">WIS达播销售额453w</t>
  </si>
  <si>
    <t xml:space="preserve">WIS利润率-16%</t>
  </si>
  <si>
    <t xml:space="preserve">赫系达播销售额440w</t>
  </si>
  <si>
    <t xml:space="preserve">赫系利润率2.5%</t>
  </si>
  <si>
    <t xml:space="preserve">KONO销售额150w</t>
  </si>
  <si>
    <t xml:space="preserve">KONO利润率 -13.51%</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</si>
  <si>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</si>
  <si>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</si>
  <si>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</si>
  <si>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</si>
  <si>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</si>
  <si>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</si>
  <si>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</si>
  <si>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</si>
  <si>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渠道增量价值发现排名得分</t>
  </si>
  <si>
    <t xml:space="preserve">赋值</t>
  </si>
  <si>
    <t xml:space="preserve">渠道底线利润额完成率得分</t>
  </si>
  <si>
    <t xml:space="preserve">底线利润额目标80万</t>
  </si>
  <si>
    <t xml:space="preserve">85.31107万元</t>
  </si>
  <si>
    <t xml:space="preserve">FD-049145</t>
  </si>
  <si>
    <t xml:space="preserve">李林岭</t>
  </si>
  <si>
    <t xml:space="preserve">各渠道销售额</t>
  </si>
  <si>
    <t xml:space="preserve">583万元</t>
  </si>
  <si>
    <t xml:space="preserve">544万元</t>
  </si>
  <si>
    <t xml:space="preserve">各渠道加总利润额</t>
  </si>
  <si>
    <t xml:space="preserve">37万元</t>
  </si>
  <si>
    <t xml:space="preserve">46.4万元</t>
  </si>
  <si>
    <t xml:space="preserve">382,712.33 +京东派样成本80934</t>
  </si>
  <si>
    <t xml:space="preserve">FD-064578</t>
  </si>
  <si>
    <t xml:space="preserve">方思媛</t>
  </si>
  <si>
    <t xml:space="preserve">拼多多销售额目标680万</t>
  </si>
  <si>
    <t xml:space="preserve">680万元</t>
  </si>
  <si>
    <t xml:space="preserve">657.8万元</t>
  </si>
  <si>
    <t xml:space="preserve">拼多多利润额目标24w</t>
  </si>
  <si>
    <t xml:space="preserve">24万元</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</si>
  <si>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</si>
  <si>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</si>
  <si>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</si>
  <si>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</si>
  <si>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</si>
  <si>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</si>
  <si>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所负责渠道利润额32.5w</t>
  </si>
  <si>
    <t xml:space="preserve">32.5万元</t>
  </si>
  <si>
    <t xml:space="preserve">42.2万元</t>
  </si>
  <si>
    <t xml:space="preserve">实际完成42.2(快手2.2w，天猫8.85w，京东11.3w，唯品13w，小渠道6.3w)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</si>
  <si>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</si>
  <si>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</si>
  <si>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</si>
  <si>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</si>
  <si>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</si>
  <si>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</si>
  <si>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唯品会利润额5.5w</t>
  </si>
  <si>
    <t xml:space="preserve">5.5万元</t>
  </si>
  <si>
    <t xml:space="preserve">目标利润额5.5万，实际完成7.3万，本项完成率100%</t>
  </si>
  <si>
    <t xml:space="preserve">茶花系列销售额10w</t>
  </si>
  <si>
    <t xml:space="preserve">4.4万元</t>
  </si>
  <si>
    <t xml:space="preserve">目标销售额10万，实际完成4.4万，本项完成率44%</t>
  </si>
  <si>
    <t xml:space="preserve">新培养3条，日销1k+达成5天的链接，一条1/3</t>
  </si>
  <si>
    <t xml:space="preserve">共培养2条日销1K+链接，分别为：经典3-4瓶囤货装，平均日销1.5K，日销1K+天数为9；经典400ml日销1K+天数为6；</t>
  </si>
  <si>
    <t xml:space="preserve">FD-160302</t>
  </si>
  <si>
    <t xml:space="preserve">郭俊贤</t>
  </si>
  <si>
    <t xml:space="preserve">【AI效率流程A中心】绩效方案-6月</t>
  </si>
  <si>
    <t xml:space="preserve">人资行政部 SKILL 开展协助 人资行政部人均token消耗量2000万</t>
  </si>
  <si>
    <t xml:space="preserve">D计划 根数据（人资）</t>
  </si>
  <si>
    <t xml:space="preserve">CRM-新媒体商城迁移有赞（旧数据迁移部分）</t>
  </si>
  <si>
    <t xml:space="preserve">OA请款、退款 支付宝打款导入、导出调整</t>
  </si>
  <si>
    <t xml:space="preserve">HRM-人事管理：年假优化（OA制度条例部分）</t>
  </si>
  <si>
    <t xml:space="preserve">FANDO协作：招聘系统简历AGENT接口/离职人员查询接口</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</si>
  <si>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</si>
  <si>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</si>
  <si>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</si>
  <si>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</si>
  <si>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【AIHR】完成功能交付上线并正常使用(异地上架、简历ageent重构、岗位规划优化、作品集流程优化、AIHR管理后台调整、知识库管理模块、AIHR本地部署封装)</t>
  </si>
  <si>
    <t xml:space="preserve">FD-224246</t>
  </si>
  <si>
    <t xml:space="preserve">郑成豪</t>
  </si>
  <si>
    <t xml:space="preserve">截止到本月，整体有效简历覆盖率达到80%（标准：月底前抽样3天，计算岗位占比情况）</t>
  </si>
  <si>
    <t xml:space="preserve">完成功能交付上线并正常使用（异地上架、简历ageent重构、岗位规划优化、作品集流程优化、AIHR管理后台调整、知识库管理模块、AIHR本地部署封装）</t>
  </si>
  <si>
    <t xml:space="preserve">岗位规划 已完成优化上线 现过渡阶段未启用 6.5/7=0.93</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</si>
  <si>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</si>
  <si>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</si>
  <si>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</si>
  <si>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</si>
  <si>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D计划项目飞书云文档部分按时上线</t>
  </si>
  <si>
    <t xml:space="preserve">项目按时完成上线，部分云文档因涉密未进行导入。</t>
  </si>
  <si>
    <t xml:space="preserve">FD-024217</t>
  </si>
  <si>
    <t xml:space="preserve">杨雯</t>
  </si>
  <si>
    <t xml:space="preserve">品牌管理部WIS品牌中心-营销高级经理绩效考核方案</t>
  </si>
  <si>
    <t xml:space="preserve">抖店GMV</t>
  </si>
  <si>
    <t xml:space="preserve">3297万元</t>
  </si>
  <si>
    <t xml:space="preserve">2291万元</t>
  </si>
  <si>
    <t xml:space="preserve">抖店利润率</t>
  </si>
  <si>
    <t xml:space="preserve">OD-003714</t>
  </si>
  <si>
    <t xml:space="preserve">莫宁</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</si>
  <si>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</si>
  <si>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</si>
  <si>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</si>
  <si>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</si>
  <si>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</si>
  <si>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</si>
  <si>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高级经理岗位终面到面1人</t>
  </si>
  <si>
    <t xml:space="preserve">2.岗位猎聘目标完成率</t>
  </si>
  <si>
    <t xml:space="preserve">负责岗位待入职/入职2人</t>
  </si>
  <si>
    <t xml:space="preserve">负责岗位有效推荐12人</t>
  </si>
  <si>
    <t xml:space="preserve">12人</t>
  </si>
  <si>
    <t xml:space="preserve">7人</t>
  </si>
  <si>
    <t xml:space="preserve">4.Mapping目标完成率-报到</t>
  </si>
  <si>
    <t xml:space="preserve">协助社招完成海外Mapping</t>
  </si>
  <si>
    <t xml:space="preserve">个人有效推荐6人</t>
  </si>
  <si>
    <t xml:space="preserve">7.2人</t>
  </si>
  <si>
    <t xml:space="preserve">FD-156267</t>
  </si>
  <si>
    <t xml:space="preserve">谢焕琳</t>
  </si>
  <si>
    <t xml:space="preserve">高级管理岗位终面到面</t>
  </si>
  <si>
    <t xml:space="preserve">高级经理岗位终面到面</t>
  </si>
  <si>
    <t xml:space="preserve">个人有效推荐</t>
  </si>
  <si>
    <t xml:space="preserve">2.5人</t>
  </si>
  <si>
    <t xml:space="preserve">负责岗位待入职/入职</t>
  </si>
  <si>
    <t xml:space="preserve">负责岗位有效推荐</t>
  </si>
  <si>
    <t xml:space="preserve">14人</t>
  </si>
  <si>
    <t xml:space="preserve">FD-019471</t>
  </si>
  <si>
    <t xml:space="preserve">李宣萱</t>
  </si>
  <si>
    <t xml:space="preserve">高级岗管理位终面到面2人</t>
  </si>
  <si>
    <t xml:space="preserve">个人有效推荐6份</t>
  </si>
  <si>
    <t xml:space="preserve">3.7人</t>
  </si>
  <si>
    <t xml:space="preserve">有效推荐目标达成14人</t>
  </si>
  <si>
    <t xml:space="preserve">6.关键工作完成率</t>
  </si>
  <si>
    <t xml:space="preserve">供应商有效推荐2份</t>
  </si>
  <si>
    <t xml:space="preserve">有效推荐</t>
  </si>
  <si>
    <t xml:space="preserve">全国日化行业mapping</t>
  </si>
  <si>
    <t xml:space="preserve">完成报告并进行终期验收</t>
  </si>
  <si>
    <t xml:space="preserve">FD-153889</t>
  </si>
  <si>
    <t xml:space="preserve">张佳仪</t>
  </si>
  <si>
    <t xml:space="preserve">6.2人</t>
  </si>
  <si>
    <t xml:space="preserve">FD-152075</t>
  </si>
  <si>
    <t xml:space="preserve">欧阳欣悦</t>
  </si>
  <si>
    <t xml:space="preserve">任一岗位终面到面1人</t>
  </si>
  <si>
    <t xml:space="preserve">任一岗位有效推荐6人</t>
  </si>
  <si>
    <t xml:space="preserve">5.9人</t>
  </si>
  <si>
    <t xml:space="preserve">供应商一份有效推荐</t>
  </si>
  <si>
    <t xml:space="preserve">交付进度</t>
  </si>
  <si>
    <t xml:space="preserve">FD-155770</t>
  </si>
  <si>
    <t xml:space="preserve">行政运营专员</t>
  </si>
  <si>
    <t xml:space="preserve">任佳慧</t>
  </si>
  <si>
    <t xml:space="preserve">合同审查建档skill开发</t>
  </si>
  <si>
    <t xml:space="preserve">凡岛企业微信认证</t>
  </si>
  <si>
    <t xml:space="preserve">结算单审核流程优化</t>
  </si>
  <si>
    <t xml:space="preserve">FD-112745</t>
  </si>
  <si>
    <t xml:space="preserve">吴佳怡</t>
  </si>
  <si>
    <t xml:space="preserve">品牌管理部WIS品牌中心-产品经理绩效考核方案</t>
  </si>
  <si>
    <t xml:space="preserve">品牌线下渠道营收及利润率完成情况</t>
  </si>
  <si>
    <t xml:space="preserve">产品提案</t>
  </si>
  <si>
    <t xml:space="preserve">黑晶面膜、线下彩盒、温和洁面提案已通过</t>
  </si>
  <si>
    <t xml:space="preserve">项目节点完成率</t>
  </si>
  <si>
    <t xml:space="preserve">项目上市进度</t>
  </si>
  <si>
    <t xml:space="preserve">产品策划</t>
  </si>
  <si>
    <t xml:space="preserve">单品眼膜关键动作</t>
  </si>
  <si>
    <t xml:space="preserve">OD-004512</t>
  </si>
  <si>
    <t xml:space="preserve">彭坤豫</t>
  </si>
  <si>
    <t xml:space="preserve">100万</t>
  </si>
  <si>
    <t xml:space="preserve">【结果指标】个人混剪素材产出GSV20w 其中，水润眼膜GSV*1，次抛GSV*1.5，燕窝、美白针GSV*3</t>
  </si>
  <si>
    <t xml:space="preserve">燕窝项目组任务</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</si>
  <si>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</si>
  <si>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</si>
  <si>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</si>
  <si>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</si>
  <si>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</si>
  <si>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</si>
  <si>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</si>
  <si>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线上电商渠道业绩</t>
  </si>
  <si>
    <t xml:space="preserve">渠道开品提案</t>
  </si>
  <si>
    <t xml:space="preserve">产品交付</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</si>
  <si>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</si>
  <si>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</si>
  <si>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</si>
  <si>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</si>
  <si>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负责部门:产品供应部、凡岛研究院、海外事业部
目标:当日人均token消耗量2000万,日活人数80%</t>
  </si>
  <si>
    <t xml:space="preserve">产品供应部：47/65 人均2206W
凡岛研究院：19/30 人均2923W
海外事业部：4/10 人均3592W</t>
  </si>
  <si>
    <t xml:space="preserve">已完成：
预估包裹重量变更 11050
订单打标策略定时变更 3900
仓库定时启用 2600</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</si>
  <si>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</si>
  <si>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</si>
  <si>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</si>
  <si>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</si>
  <si>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</si>
  <si>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直播无异常运作（直播助理）</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</si>
  <si>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</si>
  <si>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</si>
  <si>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</si>
  <si>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</si>
  <si>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</si>
  <si>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</si>
  <si>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</si>
  <si>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</si>
  <si>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</si>
  <si>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</si>
  <si>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</si>
  <si>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</si>
  <si>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</si>
  <si>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</si>
  <si>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</si>
  <si>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</si>
  <si>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</si>
  <si>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</si>
  <si>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</si>
  <si>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</si>
  <si>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</si>
  <si>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</si>
  <si>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</si>
  <si>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</si>
  <si>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</si>
  <si>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</si>
  <si>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</si>
  <si>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</si>
  <si>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</si>
  <si>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</si>
  <si>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</si>
  <si>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</si>
  <si>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</si>
  <si>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</si>
  <si>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</si>
  <si>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</si>
  <si>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</si>
  <si>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</si>
  <si>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</si>
  <si>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</si>
  <si>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</si>
  <si>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</si>
  <si>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</si>
  <si>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</si>
  <si>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</si>
  <si>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</si>
  <si>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</si>
  <si>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</si>
  <si>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</si>
  <si>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</si>
  <si>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</si>
  <si>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</si>
  <si>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</si>
  <si>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</si>
  <si>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</si>
  <si>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</si>
  <si>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</si>
  <si>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</si>
  <si>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</si>
  <si>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</si>
  <si>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</si>
  <si>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</si>
  <si>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</si>
  <si>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</si>
  <si>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</si>
  <si>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</si>
  <si>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</si>
  <si>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</si>
  <si>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独立用AI工具0-1产出所需要的新画面，所产出AI开头/AI为主体的素材总成交1W</t>
  </si>
  <si>
    <t xml:space="preserve">有1日素材上传数量不足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</si>
  <si>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</si>
  <si>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</si>
  <si>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</si>
  <si>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</si>
  <si>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</si>
  <si>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</si>
  <si>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</si>
  <si>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</si>
  <si>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</si>
  <si>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</si>
  <si>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</si>
  <si>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</si>
  <si>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</si>
  <si>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</si>
  <si>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</si>
  <si>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</si>
  <si>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</si>
  <si>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</si>
  <si>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</si>
  <si>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</si>
  <si>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</si>
  <si>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</si>
  <si>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</si>
  <si>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</si>
  <si>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</si>
  <si>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</si>
  <si>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</si>
  <si>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</si>
  <si>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</si>
  <si>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</si>
  <si>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</si>
  <si>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</si>
  <si>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</si>
  <si>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</si>
  <si>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</si>
  <si>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</si>
  <si>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</si>
  <si>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</si>
  <si>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</si>
  <si>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</si>
  <si>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</si>
  <si>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</si>
  <si>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</si>
  <si>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</si>
  <si>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</si>
  <si>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</si>
  <si>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</si>
  <si>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</si>
  <si>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</si>
  <si>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</si>
  <si>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</si>
  <si>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</si>
  <si>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</si>
  <si>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完成绩效计算优化，保障线上问题</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</si>
  <si>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</si>
  <si>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</si>
  <si>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</si>
  <si>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</si>
  <si>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</si>
  <si>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</si>
  <si>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付款指令提交并完成核账</t>
  </si>
  <si>
    <t xml:space="preserve">无出现人为失误
均按时上传</t>
  </si>
  <si>
    <t xml:space="preserve">审核OA请款</t>
  </si>
  <si>
    <t xml:space="preserve">均按时审核
https://jqx28l0j4lx.feishu.cn/docx/K9bsdmvKIonCeHxHdACcTCmMn8d</t>
  </si>
  <si>
    <t xml:space="preserve">付款执行月度分析及汇报</t>
  </si>
  <si>
    <t xml:space="preserve">https://jqx28l0j4lx.feishu.cn/docx/AqXGdY3P2odCruxF2zyczxlon6b?from=from_parent_docx</t>
  </si>
  <si>
    <t xml:space="preserve">纸质对账单整理</t>
  </si>
  <si>
    <t xml:space="preserve">6月对账单已整理，7月对账单待区分打款情况</t>
  </si>
  <si>
    <t xml:space="preserve">OA请款及收款财务处理</t>
  </si>
  <si>
    <t xml:space="preserve">均当月完成</t>
  </si>
  <si>
    <t xml:space="preserve">AI请款审批项目</t>
  </si>
  <si>
    <t xml:space="preserve">7.1上线全面落地使用，7.11上线最新优化内容
b.和人工审核一致率：91%
- AI共审核：383条
- 通过率：91%（通过243条+通过有风险105条）
- 不通过率：9%（跳过35条）</t>
  </si>
  <si>
    <t xml:space="preserve">搭建SKILL技能共享库</t>
  </si>
  <si>
    <t xml:space="preserve">已输出5个部门SKILL，并且已统计各模块最想自动化的场景</t>
  </si>
  <si>
    <t xml:space="preserve">FANDO-工作流SKILL</t>
  </si>
  <si>
    <t xml:space="preserve">已输出7个</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</si>
  <si>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</si>
  <si>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</si>
  <si>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</si>
  <si>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</si>
  <si>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费用报销分析与解读</t>
  </si>
  <si>
    <t xml:space="preserve">按时完成并汇报，本月继续优化AI初审，提高审核通过率5%；</t>
  </si>
  <si>
    <t xml:space="preserve">科目余额核查</t>
  </si>
  <si>
    <t xml:space="preserve">本月完成部分其他应付款科目（包括各主体间应付、线下保证金等）的核查；应付账款（包括应付采购款，应付暂估款未核查完毕）---fando基础核查</t>
  </si>
  <si>
    <t xml:space="preserve">费用报销及其请款入账</t>
  </si>
  <si>
    <t xml:space="preserve">本月按时按质完成费用报销-26.6两个批次账务：计划在下月和炳钦交接这部分内容</t>
  </si>
  <si>
    <t xml:space="preserve">费用报销-AI初审项目、无纸化优化项目</t>
  </si>
  <si>
    <t xml:space="preserve">AI初审首次有效审核率79%，转人工工率21%；无纸化项目完成流程梳理及文档攥写</t>
  </si>
  <si>
    <t xml:space="preserve">报销登记表核查及更新</t>
  </si>
  <si>
    <t xml:space="preserve">及时、准确完成报销登记表的核查</t>
  </si>
  <si>
    <t xml:space="preserve">本月按时、按量、按质完成7个skill的生成并实践运用于相应的具体工作项中</t>
  </si>
  <si>
    <t xml:space="preserve">报销：本月完成交接报销相关的所有审核、审批等；入账相关考虑工作量及接受度等问题，本月自主完成，计划在下月再进行交接；发票：本月按进度进行交接</t>
  </si>
  <si>
    <t xml:space="preserve">FD-178676</t>
  </si>
  <si>
    <t xml:space="preserve">李尉萍</t>
  </si>
  <si>
    <t xml:space="preserve">及时、准确进行本月的初审、复审；财务处理正确率99%以上；本月对其他费类型进行严格管控和通知；
本月无投诉</t>
  </si>
  <si>
    <t xml:space="preserve">按时完成并汇报，本月继续优化AI初审，提高审率5%；</t>
  </si>
  <si>
    <t xml:space="preserve">记账凭证审核</t>
  </si>
  <si>
    <t xml:space="preserve">完成截至25.12的报销记账凭证审核</t>
  </si>
  <si>
    <t xml:space="preserve">本月按时按质完成费用报销-26.6两个批次账务</t>
  </si>
  <si>
    <t xml:space="preserve">推广费用凭证录入</t>
  </si>
  <si>
    <t xml:space="preserve">本月按时完成小红书及站外推广费录入</t>
  </si>
  <si>
    <t xml:space="preserve">IRY品牌渠道出入库数据统计及请款开票</t>
  </si>
  <si>
    <t xml:space="preserve">本月已完成iry对账单梳理盖章请款</t>
  </si>
  <si>
    <t xml:space="preserve">完成本月报销登记表核查和更新</t>
  </si>
  <si>
    <t xml:space="preserve">完成7个凡动SKILL生成</t>
  </si>
  <si>
    <t xml:space="preserve">完成报销相关工作交接</t>
  </si>
  <si>
    <t xml:space="preserve">FD-178755</t>
  </si>
  <si>
    <t xml:space="preserve">钱徐晨</t>
  </si>
  <si>
    <t xml:space="preserve">销项发票审核、开具</t>
  </si>
  <si>
    <t xml:space="preserve">完成各项主体发票开具
完成凡岛化妆品和欣芝妍发票打印
已汇总</t>
  </si>
  <si>
    <t xml:space="preserve">进项发票追踪与优化</t>
  </si>
  <si>
    <t xml:space="preserve">完成80%的请款发票审核
提出一个进项税额风险；一个合规隐患；一份SOP手册</t>
  </si>
  <si>
    <t xml:space="preserve">税票分析及汇报
（含优化建议）</t>
  </si>
  <si>
    <t xml:space="preserve">提出两条可行性建议并被采纳落地</t>
  </si>
  <si>
    <t xml:space="preserve">发票问题专项梳理</t>
  </si>
  <si>
    <t xml:space="preserve">跟进后续处理，解决业务部门疑问</t>
  </si>
  <si>
    <t xml:space="preserve">全部录入</t>
  </si>
  <si>
    <t xml:space="preserve">已完成相关SKILL</t>
  </si>
  <si>
    <t xml:space="preserve">这个月的工作交接已经完成，剩余部分下个月交接</t>
  </si>
  <si>
    <t xml:space="preserve">FD-172260</t>
  </si>
  <si>
    <t xml:space="preserve">刘静依</t>
  </si>
  <si>
    <t xml:space="preserve">各店铺账号（含星图）余额提现，完成资金归集，盘活率达标</t>
  </si>
  <si>
    <t xml:space="preserve">已完成提现+资金效率分析</t>
  </si>
  <si>
    <t xml:space="preserve">工行网银U盾注销</t>
  </si>
  <si>
    <t xml:space="preserve">加上凡岛投资的已经全部完成</t>
  </si>
  <si>
    <t xml:space="preserve">线上店铺保证金台账跟进</t>
  </si>
  <si>
    <t xml:space="preserve">发票管理</t>
  </si>
  <si>
    <t xml:space="preserve">价值洞察方面，属于建议未被采纳但有有效反馈</t>
  </si>
  <si>
    <t xml:space="preserve">星图号工作室注销</t>
  </si>
  <si>
    <t xml:space="preserve">目前已经完成梓萱与佳乐总监的税额缴纳</t>
  </si>
  <si>
    <t xml:space="preserve">已完成，总得分是根据凡动评分所得</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</si>
  <si>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</si>
  <si>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</si>
  <si>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</si>
  <si>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</si>
  <si>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</si>
  <si>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</si>
  <si>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</si>
  <si>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投资公司报表出具及投资部财务咨询处理</t>
  </si>
  <si>
    <t xml:space="preserve">及时处理投资公司报表数据异常等相关财务咨询</t>
  </si>
  <si>
    <t xml:space="preserve">管理公司保证金、押金、借款、预付款/坏账汇报</t>
  </si>
  <si>
    <t xml:space="preserve">跟进历史应收未收款项督促对应同事进行处理，若经三方评估认定款项无法收回，跟进并提交坏账处理流程。
完成文档撰写公司保证金、押金、借款、预付款、坏账情况汇报（截止26年6月）
经过前一次坏账大处理后，目前坏账频率不高，汇报文档与保证金额文档合并</t>
  </si>
  <si>
    <t xml:space="preserve">公司星图个体账号相关事项处理</t>
  </si>
  <si>
    <t xml:space="preserve">完成星图工作室注销梳理，并完成星图个体达人工作室注销文档撰写
待注销工作室共6个，需完成税款缴纳及税务注销、银行注销、工商注销。6个待注销工作室进度：
赵佳乐、侯庆福：完成税款缴纳，卡在税务注销
何家雄、秦章译：OA请款缴纳税款中
梅宇婷：沟通提供银行账号
跟进完成WIS星品星图（李沐曦）账号升级为企业号</t>
  </si>
  <si>
    <t xml:space="preserve">协助部门管理及对外沟通协调事宜</t>
  </si>
  <si>
    <t xml:space="preserve">1、参加中心7月定计划会议并提交中心绩效考核文档
2、撰写关于无业务主体未注销的成本与风险
3、业务部门财务支持：市场部达人返款开票事项，这种情况是没办法完全税务合规的，达人给我们收到的返款，不属于常规业务，如果要开票，就要看我们怎么包装，让收款更合理。</t>
  </si>
  <si>
    <t xml:space="preserve">创建7个SKILL邓燕霞-Skill归档清单</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</si>
  <si>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</si>
  <si>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</si>
  <si>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</si>
  <si>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</si>
  <si>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</si>
  <si>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小红书达人订单匹配整理</t>
  </si>
  <si>
    <t xml:space="preserve">每周催登完成</t>
  </si>
  <si>
    <t xml:space="preserve">完成到25年12月凭证审核</t>
  </si>
  <si>
    <t xml:space="preserve">OA支付宝退款、各主体之间以及同一主体内部资金账户转账凭证录入</t>
  </si>
  <si>
    <t xml:space="preserve">完成款项凭证生成跟进</t>
  </si>
  <si>
    <t xml:space="preserve">支付宝凭证录入及科目余额核对</t>
  </si>
  <si>
    <t xml:space="preserve">完成凭证录入</t>
  </si>
  <si>
    <t xml:space="preserve">各主体资金账户余额核对</t>
  </si>
  <si>
    <t xml:space="preserve">除凡岛化妆品外核对一致</t>
  </si>
  <si>
    <t xml:space="preserve">完成7个SKILL</t>
  </si>
  <si>
    <t xml:space="preserve">FD-177063</t>
  </si>
  <si>
    <t xml:space="preserve">陈诗巧</t>
  </si>
  <si>
    <t xml:space="preserve">抖音、抖音超市、唯品会、京东（自营+pop)、快手平台凭证录入（收入、费用、发票等）</t>
  </si>
  <si>
    <t xml:space="preserve">固定资产凭证录入</t>
  </si>
  <si>
    <t xml:space="preserve">公司账务梳理-应付职工薪酬</t>
  </si>
  <si>
    <t xml:space="preserve">电商部、新品牌应收/预付款台账跟进</t>
  </si>
  <si>
    <t xml:space="preserve">海外业务财务支持</t>
  </si>
  <si>
    <t xml:space="preserve">凡岛大学财务支持</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</si>
  <si>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</si>
  <si>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</si>
  <si>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</si>
  <si>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</si>
  <si>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已核对慕可和欣芝妍主体其他应收款，部分应收账款和预付账款（需要调整账务的部分已完成调账）</t>
  </si>
  <si>
    <t xml:space="preserve">督促完成慕可4295、2690账户未记账凭证</t>
  </si>
  <si>
    <t xml:space="preserve">（直播间账号相关的收支数据，比如收入、保证金、提现)还未入账，待霞姐确定如何入账；其他均已完成</t>
  </si>
  <si>
    <t xml:space="preserve">已审核线下模块凭证25年7-12月</t>
  </si>
  <si>
    <t xml:space="preserve">公司账务-应交税费</t>
  </si>
  <si>
    <t xml:space="preserve">已完成入账及台账更新</t>
  </si>
  <si>
    <t xml:space="preserve">凡岛网络账务处理</t>
  </si>
  <si>
    <t xml:space="preserve">已搭建7个skill，详情见入库文档
1.数量（40%）已达标-40分
2.质量（20%）部分运行可能报错-15分
3.文档完整性（20%）均包含5个部分-20分
4.可复用验证（20%）-18分</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</si>
  <si>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</si>
  <si>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</si>
  <si>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</si>
  <si>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</si>
  <si>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金蝶（供应部）付款单审核、OA供应商信息库审核</t>
  </si>
  <si>
    <t xml:space="preserve">按时完成例行审核</t>
  </si>
  <si>
    <t xml:space="preserve">所有主体发票导入、购销合同真实性确认及红字发票确认</t>
  </si>
  <si>
    <t xml:space="preserve">按时完成各主体进销项发票导入</t>
  </si>
  <si>
    <t xml:space="preserve">拼多多平台（WIS+其他）凭证录入
（收入、费用、发票等）</t>
  </si>
  <si>
    <t xml:space="preserve">按时完成6月拼多多店铺账务处理</t>
  </si>
  <si>
    <t xml:space="preserve">非销售出库数据统计汇总表</t>
  </si>
  <si>
    <t xml:space="preserve">按时完成每月赠品成本统计</t>
  </si>
  <si>
    <t xml:space="preserve">完成薪酬凭证审核</t>
  </si>
  <si>
    <t xml:space="preserve">行政部及供应部等保证金跟进</t>
  </si>
  <si>
    <t xml:space="preserve">完成行政押金跟进与台账更新</t>
  </si>
  <si>
    <t xml:space="preserve">完成7个skill生成</t>
  </si>
  <si>
    <t xml:space="preserve">已完成余额提现、资金归集、盘活率计算、发票管理、拼多多推广费交接，剩余星图与线上店铺保证金待交接</t>
  </si>
  <si>
    <t xml:space="preserve">FD-176775</t>
  </si>
  <si>
    <t xml:space="preserve">冯颖</t>
  </si>
  <si>
    <t xml:space="preserve">投资公司账务核算
（橙子网络）</t>
  </si>
  <si>
    <t xml:space="preserve">完成橙子账务核算
完成分析报告并汇报</t>
  </si>
  <si>
    <t xml:space="preserve">天猫超市、淘宝、天猫、小红书、掌上大学、微信/微信视频号、微医生项目凭证录入（收入、费用、发票等）</t>
  </si>
  <si>
    <t xml:space="preserve">完成店铺入账及收入文档填写</t>
  </si>
  <si>
    <t xml:space="preserve">欣芝妍（含分公司）账务
（进销存台账、内部往来交易等）</t>
  </si>
  <si>
    <t xml:space="preserve">完成欣芝妍日记账及收入往来</t>
  </si>
  <si>
    <t xml:space="preserve">完成10个主体账户核对</t>
  </si>
  <si>
    <t xml:space="preserve">凡岛投资账务处理</t>
  </si>
  <si>
    <t xml:space="preserve">完成凡岛投资账务处理</t>
  </si>
  <si>
    <t xml:space="preserve">搭建完成7个skill</t>
  </si>
  <si>
    <t xml:space="preserve">完成推广费交接</t>
  </si>
  <si>
    <t xml:space="preserve">FD-176214</t>
  </si>
  <si>
    <t xml:space="preserve">王颖桢</t>
  </si>
  <si>
    <t xml:space="preserve">复核销项发票</t>
  </si>
  <si>
    <t xml:space="preserve">完成截至7月28日当天开具销项发票复核，已完成复核并与开票人同步开票错误信息</t>
  </si>
  <si>
    <t xml:space="preserve">应交税费账面余额核对统筹</t>
  </si>
  <si>
    <t xml:space="preserve">截至2026年6月各主体销项发票已完成
截至2026年6月各主体进项发票已完成</t>
  </si>
  <si>
    <t xml:space="preserve">拼多多（KONO+赫系）、米可派、云集、朴朴、得物、海外平台凭证录入
（收入、费用、发票等）</t>
  </si>
  <si>
    <t xml:space="preserve">已完成所有收入、发票、日记账入账，已完成线上收入汇总</t>
  </si>
  <si>
    <t xml:space="preserve">海外合规工作协助</t>
  </si>
  <si>
    <t xml:space="preserve">配合完成海外相关事项跟进及答疑支持</t>
  </si>
  <si>
    <t xml:space="preserve">越南凡岛公司、马来西亚凡岛公司、香港凡岛公司账务核算及处理</t>
  </si>
  <si>
    <t xml:space="preserve">已完成所有收入、发票、日记账入账</t>
  </si>
  <si>
    <t xml:space="preserve">已完成，见右方交付清单</t>
  </si>
  <si>
    <t xml:space="preserve">已完成，同比梳理平台最新结算规则，本月完成了部分推广费入账</t>
  </si>
  <si>
    <t xml:space="preserve">FD-141904</t>
  </si>
  <si>
    <t xml:space="preserve">产品高级经理</t>
  </si>
  <si>
    <t xml:space="preserve">廖丫</t>
  </si>
  <si>
    <t xml:space="preserve">品牌管理部WIS品牌中心-产品高级经理绩效考核方案</t>
  </si>
  <si>
    <t xml:space="preserve">品牌整体营收</t>
  </si>
  <si>
    <t xml:space="preserve">1550万元</t>
  </si>
  <si>
    <t xml:space="preserve">3465万元</t>
  </si>
  <si>
    <t xml:space="preserve">项目交付节点</t>
  </si>
  <si>
    <t xml:space="preserve">产品提案通过</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</si>
  <si>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</si>
  <si>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</si>
  <si>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</si>
  <si>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</si>
  <si>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</si>
  <si>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</si>
  <si>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</si>
  <si>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利润率完成度</t>
  </si>
  <si>
    <t xml:space="preserve">挂车基建量</t>
  </si>
  <si>
    <t xml:space="preserve">新品素材每日基建</t>
  </si>
  <si>
    <t xml:space="preserve">86个</t>
  </si>
  <si>
    <t xml:space="preserve">混剪+live图+产品镜+AIKOC</t>
  </si>
  <si>
    <t xml:space="preserve">抖店新品</t>
  </si>
  <si>
    <t xml:space="preserve">FD-046731</t>
  </si>
  <si>
    <t xml:space="preserve">刘玳菱</t>
  </si>
  <si>
    <t xml:space="preserve">团队GSV</t>
  </si>
  <si>
    <t xml:space="preserve">209万元</t>
  </si>
  <si>
    <t xml:space="preserve">二创素材大投数量完成率</t>
  </si>
  <si>
    <t xml:space="preserve">产出GSV＞2w的素材</t>
  </si>
  <si>
    <t xml:space="preserve">28条</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</si>
  <si>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</si>
  <si>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</si>
  <si>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</si>
  <si>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</si>
  <si>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</si>
  <si>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</si>
  <si>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</si>
  <si>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自产总花费ROI</t>
  </si>
  <si>
    <t xml:space="preserve">自产花费ROI&gt;1.7</t>
  </si>
  <si>
    <t xml:space="preserve">自产创意方向突破及大投素材产出</t>
  </si>
  <si>
    <t xml:space="preserve">自产创意方向突破及大投素材产出：面膜/眼膜&gt;10万，微针/次抛单条素材成交&gt;5万，燕窝&gt;3万</t>
  </si>
  <si>
    <t xml:space="preserve">实际完成17条</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</si>
  <si>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</si>
  <si>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</si>
  <si>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</si>
  <si>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</si>
  <si>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</si>
  <si>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</si>
  <si>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新人主播月排名进入前3名目标数完成率</t>
  </si>
  <si>
    <t xml:space="preserve">1名新主播进入特级直播间，且排名进入前3</t>
  </si>
  <si>
    <t xml:space="preserve">赵媛第二、林惠敏第三</t>
  </si>
  <si>
    <t xml:space="preserve">直播间有效可复用内容创新</t>
  </si>
  <si>
    <t xml:space="preserve">可复用内容创新*1</t>
  </si>
  <si>
    <t xml:space="preserve">官旗深蓝色分子动态背景（发布会）/视频号近景视觉</t>
  </si>
  <si>
    <t xml:space="preserve">FD-022962</t>
  </si>
  <si>
    <t xml:space="preserve">覃琪惠</t>
  </si>
  <si>
    <t xml:space="preserve">项目GSV300W</t>
  </si>
  <si>
    <t xml:space="preserve">565万元</t>
  </si>
  <si>
    <t xml:space="preserve">新品素材GSV2W*2</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</si>
  <si>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</si>
  <si>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</si>
  <si>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</si>
  <si>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</si>
  <si>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</si>
  <si>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</si>
  <si>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合作数量-组长 6月纯佣</t>
  </si>
  <si>
    <t xml:space="preserve">WIS 纯佣110个 25%</t>
  </si>
  <si>
    <t xml:space="preserve">WIS 纯佣219个 15%</t>
  </si>
  <si>
    <t xml:space="preserve">视频号 5个 25%</t>
  </si>
  <si>
    <t xml:space="preserve">视频号 11个 25%</t>
  </si>
  <si>
    <t xml:space="preserve">探索抖音纯佣机构 14家 20%</t>
  </si>
  <si>
    <t xml:space="preserve">探索抖音纯佣机构 14家 10%</t>
  </si>
  <si>
    <t xml:space="preserve">长期指标-合作突破-全员 5月最新方案</t>
  </si>
  <si>
    <t xml:space="preserve">SKILL探索与落地</t>
  </si>
  <si>
    <t xml:space="preserve">完成3个可复用Skill，已稳定试用，能提升效率或减少遗漏，并沉淀说明文档</t>
  </si>
  <si>
    <t xml:space="preserve">小组结果指标-组长 5月最新方案-WIS</t>
  </si>
  <si>
    <t xml:space="preserve">WIS总成交 232.2w 70%</t>
  </si>
  <si>
    <t xml:space="preserve">WIS总成交 1230148.53
视频号：74531
水润转化：435015
眼膜曝光：82246.3
眼膜转化：184310.09
纯佣机构：196546.14
王小骞：257500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</si>
  <si>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</si>
  <si>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</si>
  <si>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</si>
  <si>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</si>
  <si>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</si>
  <si>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</si>
  <si>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</si>
  <si>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SOP梳理更新-助理</t>
  </si>
  <si>
    <t xml:space="preserve">合作执行</t>
  </si>
  <si>
    <t xml:space="preserve">执行无异常情况，顺利开展</t>
  </si>
  <si>
    <t xml:space="preserve">合作执行-助理</t>
  </si>
  <si>
    <t xml:space="preserve">SOP梳理更新</t>
  </si>
  <si>
    <t xml:space="preserve">优秀，中心内做到经验复制</t>
  </si>
  <si>
    <t xml:space="preserve">FD-042321</t>
  </si>
  <si>
    <t xml:space="preserve">陈真坪</t>
  </si>
  <si>
    <t xml:space="preserve">品牌创意部-直播中心-中级直播助理绩效考核方案</t>
  </si>
  <si>
    <t xml:space="preserve">内容场及助理跟播创新思考</t>
  </si>
  <si>
    <t xml:space="preserve">直播间日常视觉监督</t>
  </si>
  <si>
    <t xml:space="preserve">行政及数据处理</t>
  </si>
  <si>
    <t xml:space="preserve">FD-079435</t>
  </si>
  <si>
    <t xml:space="preserve">热夏提·古尔班江</t>
  </si>
  <si>
    <t xml:space="preserve">线下渠道部-WIS销售A中心-CS商务经理、管培生2604</t>
  </si>
  <si>
    <t xml:space="preserve">出货目标金额</t>
  </si>
  <si>
    <t xml:space="preserve">38万元</t>
  </si>
  <si>
    <t xml:space="preserve">利润率目标</t>
  </si>
  <si>
    <t xml:space="preserve">回款金额目标</t>
  </si>
  <si>
    <t xml:space="preserve">FD-078748</t>
  </si>
  <si>
    <t xml:space="preserve">杨敏</t>
  </si>
  <si>
    <t xml:space="preserve">39万元</t>
  </si>
  <si>
    <t xml:space="preserve">29万元</t>
  </si>
  <si>
    <t xml:space="preserve">提报夏季活动</t>
  </si>
  <si>
    <t xml:space="preserve">0.25万元</t>
  </si>
  <si>
    <t xml:space="preserve">0.365万元</t>
  </si>
  <si>
    <t xml:space="preserve">26.8万元</t>
  </si>
  <si>
    <t xml:space="preserve">19.7万元</t>
  </si>
  <si>
    <t xml:space="preserve">夏季活动出货额</t>
  </si>
  <si>
    <t xml:space="preserve">10.1万元</t>
  </si>
  <si>
    <t xml:space="preserve">FD-074038</t>
  </si>
  <si>
    <t xml:space="preserve">黄慧琳</t>
  </si>
  <si>
    <t xml:space="preserve">53.3万元</t>
  </si>
  <si>
    <t xml:space="preserve">回款金额</t>
  </si>
  <si>
    <t xml:space="preserve">44.6万元</t>
  </si>
  <si>
    <t xml:space="preserve">75.9万元</t>
  </si>
  <si>
    <t xml:space="preserve">0.1287万元</t>
  </si>
  <si>
    <t xml:space="preserve">夏季活动系统提报数量</t>
  </si>
  <si>
    <t xml:space="preserve">FD-076987</t>
  </si>
  <si>
    <t xml:space="preserve">孙海诺</t>
  </si>
  <si>
    <t xml:space="preserve">15.6万元</t>
  </si>
  <si>
    <t xml:space="preserve">20.8万元</t>
  </si>
  <si>
    <t xml:space="preserve">8.8万元</t>
  </si>
  <si>
    <t xml:space="preserve">FD-078387</t>
  </si>
  <si>
    <t xml:space="preserve">李宏庆</t>
  </si>
  <si>
    <t xml:space="preserve">出货80万</t>
  </si>
  <si>
    <t xml:space="preserve">38.9万元</t>
  </si>
  <si>
    <t xml:space="preserve">回款目标</t>
  </si>
  <si>
    <t xml:space="preserve">91.7万元</t>
  </si>
  <si>
    <t xml:space="preserve">40.9万元</t>
  </si>
  <si>
    <t xml:space="preserve">夏季活动提报</t>
  </si>
  <si>
    <t xml:space="preserve">FD-070780</t>
  </si>
  <si>
    <t xml:space="preserve">黄策</t>
  </si>
  <si>
    <t xml:space="preserve">46万元</t>
  </si>
  <si>
    <t xml:space="preserve">43.2万元</t>
  </si>
  <si>
    <t xml:space="preserve">2.9万元</t>
  </si>
  <si>
    <t xml:space="preserve">FD-050291</t>
  </si>
  <si>
    <t xml:space="preserve">王天诺</t>
  </si>
  <si>
    <t xml:space="preserve">合作数量-组长 4月最新方案-kono</t>
  </si>
  <si>
    <t xml:space="preserve">KONO 付费186个 20%</t>
  </si>
  <si>
    <t xml:space="preserve">KONO 付费146个</t>
  </si>
  <si>
    <t xml:space="preserve">KONO 纯佣450个 15%</t>
  </si>
  <si>
    <t xml:space="preserve">KONO 纯佣1120个</t>
  </si>
  <si>
    <t xml:space="preserve">KONO 视频号出片量 200条 25%</t>
  </si>
  <si>
    <t xml:space="preserve">KONO 视频号出片量100条</t>
  </si>
  <si>
    <t xml:space="preserve">合作数量-组长 5月最新方案-IRY</t>
  </si>
  <si>
    <t xml:space="preserve">IRY 总合作数量 135个 20%</t>
  </si>
  <si>
    <t xml:space="preserve">IRY 总合作数量163 个</t>
  </si>
  <si>
    <t xml:space="preserve">5个skill
数据拉取+复盘
自动寄样巡检
商务问题历史案例分析
纯佣出片自动填表
抖店达人联系方式提取</t>
  </si>
  <si>
    <t xml:space="preserve">小组结果指标-组长 5月最新方案-KONO</t>
  </si>
  <si>
    <t xml:space="preserve">KONO 总成交155w，KONO 20%</t>
  </si>
  <si>
    <t xml:space="preserve">KONO经典 GMV 49.3224W
KONO发膜 ≥3.4459W
KONO创意中心GMV3.3264W</t>
  </si>
  <si>
    <t xml:space="preserve">小组结果指标-组长 5月最新方案-IRY</t>
  </si>
  <si>
    <t xml:space="preserve">IRY 70W，IRY 20%</t>
  </si>
  <si>
    <t xml:space="preserve">IRY 99.2472W</t>
  </si>
  <si>
    <t xml:space="preserve">小组结果指标-组长 6月纯佣</t>
  </si>
  <si>
    <t xml:space="preserve">纯佣-30%KONO 总成交55w</t>
  </si>
  <si>
    <t xml:space="preserve">KONO经典 24.80831w
KONO发膜 15.2559w</t>
  </si>
  <si>
    <t xml:space="preserve">FD-050818</t>
  </si>
  <si>
    <t xml:space="preserve">李达恩</t>
  </si>
  <si>
    <t xml:space="preserve">媒介中心-组员 绩效方案（6月更新版）</t>
  </si>
  <si>
    <t xml:space="preserve">合作数量-组员 5月最新方案-WIS</t>
  </si>
  <si>
    <t xml:space="preserve">WIS眼膜曝光≥18 50%</t>
  </si>
  <si>
    <t xml:space="preserve">WIS视频号付费合作≥2 50%</t>
  </si>
  <si>
    <t xml:space="preserve">总成交：12486.26
视频号：6591.8
眼膜曝光：2782.46
叁颗星7月gmv：3112</t>
  </si>
  <si>
    <t xml:space="preserve">优秀：交接文档完整，重点达人/机构/项目/数据/风险均清晰，接手人能独立推进</t>
  </si>
  <si>
    <t xml:space="preserve">结果指标-组员 5月最新方案-WIS</t>
  </si>
  <si>
    <t xml:space="preserve">WIS总成交 10w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</si>
  <si>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</si>
  <si>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</si>
  <si>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</si>
  <si>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</si>
  <si>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</si>
  <si>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结果指标-组员 5月最新方案-IRY</t>
  </si>
  <si>
    <t xml:space="preserve">个人GMV≥40W</t>
  </si>
  <si>
    <t xml:space="preserve">FD-056244</t>
  </si>
  <si>
    <t xml:space="preserve">李欣</t>
  </si>
  <si>
    <t xml:space="preserve">WIS眼膜曝光≥15 30%</t>
  </si>
  <si>
    <t xml:space="preserve">WIS眼膜曝光=16+3.2=19.2/15
推荐达人4位，算入WIS眼膜曝光目标中：林清清 大橙橙（WIS水润引流）
干锅海苔夹心脆 小向甄选（WIS燕窝）</t>
  </si>
  <si>
    <t xml:space="preserve">WIS视频号≥2 10%</t>
  </si>
  <si>
    <t xml:space="preserve">WIS视频号=1/2</t>
  </si>
  <si>
    <t xml:space="preserve">WIS燕窝面膜≥3 20%</t>
  </si>
  <si>
    <t xml:space="preserve">WIS燕窝面膜=5/3</t>
  </si>
  <si>
    <t xml:space="preserve">WIS眼膜转化≥20 30%</t>
  </si>
  <si>
    <t xml:space="preserve">WIS眼膜转化=30/20</t>
  </si>
  <si>
    <t xml:space="preserve">WIS纯佣机构探索≥7 10 %</t>
  </si>
  <si>
    <t xml:space="preserve">WIS纯佣机构探索=7/7
【葱葱鸭团长 心语物格 瑾钥传媒 晗迁机构 跃狐未来 狂朝传媒 好物优选爆爆爆】</t>
  </si>
  <si>
    <t xml:space="preserve">skill独立探索与落地
验收资料：Skill文档、安装或使用说明、真实业务使用截图、使用前后效率对比、复盘记录。</t>
  </si>
  <si>
    <t xml:space="preserve">WIS总成交 35.48w</t>
  </si>
  <si>
    <t xml:space="preserve">35.48万</t>
  </si>
  <si>
    <t xml:space="preserve">眼膜曝光引流：22555（一创）+2043（二创）=24598
眼膜转化：27095.16（原片）+41660（二创）=68755.16
纯佣机构：78618.456
总GMV：171971.617</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</si>
  <si>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</si>
  <si>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</si>
  <si>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</si>
  <si>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</si>
  <si>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</si>
  <si>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创意中心合作达人 ≥33个 （30%）</t>
  </si>
  <si>
    <t xml:space="preserve">创意中心合作达人 3个
WIS：推荐达人：荷花爱分享
IRY推荐达人：不爱白
娇素素
小霖L
杨艺洋
a元气阿琪</t>
  </si>
  <si>
    <t xml:space="preserve">合作数量-组员 6月纯佣</t>
  </si>
  <si>
    <t xml:space="preserve">KONO纯佣出片 ≥80条
（30%）</t>
  </si>
  <si>
    <t xml:space="preserve">skill的独立探索与落地</t>
  </si>
  <si>
    <t xml:space="preserve">结果指标-组员 5月最新方案-kono</t>
  </si>
  <si>
    <t xml:space="preserve">KONO经典GMV ≥30W（35%）</t>
  </si>
  <si>
    <t xml:space="preserve">28.4w经典</t>
  </si>
  <si>
    <t xml:space="preserve">KONO发膜GMV ≥25W（35%）</t>
  </si>
  <si>
    <t xml:space="preserve">3.2w发膜</t>
  </si>
  <si>
    <t xml:space="preserve">创意中心GMV ≥36W（30%</t>
  </si>
  <si>
    <t xml:space="preserve">FD-057588</t>
  </si>
  <si>
    <t xml:space="preserve">黄美琪</t>
  </si>
  <si>
    <t xml:space="preserve">KONO经典合作达人 ≥43个
KONO发膜付费达人 ≥17个</t>
  </si>
  <si>
    <t xml:space="preserve">KONO合作58个达人</t>
  </si>
  <si>
    <t xml:space="preserve">创意中心合作达人 ≥33个</t>
  </si>
  <si>
    <t xml:space="preserve">创意中心：1个kol，7个koc，可麦3个（姜莱的日子*3）；推荐给IRY姜荥6个达人（饭饭子是少女阿姨/Kk_is_k/胡图图/财圆圆/希心杨/努力版77），推荐给赫系梦冉6个达人（筱倩*2/牛奶团子🍡*2/小彭同学（宝藏版）/一颗李李），推荐给WIS绮雯：周荷花朋友圈</t>
  </si>
  <si>
    <t xml:space="preserve">收片150条</t>
  </si>
  <si>
    <t xml:space="preserve">skill独立探索与落地</t>
  </si>
  <si>
    <t xml:space="preserve">完成1个
复用Skill，已稳定试用，能提升效率或减少遗漏，并沉淀说明文档</t>
  </si>
  <si>
    <t xml:space="preserve">KONO经典GMV ≥30W（35%</t>
  </si>
  <si>
    <t xml:space="preserve">经典付费7月
直播全域：71564
商品全域：69585
7月koc优化成交：159192
经典纯佣：
直播：9111
商品：40158</t>
  </si>
  <si>
    <t xml:space="preserve">）KONO发膜GMV ≥25W（35%）</t>
  </si>
  <si>
    <t xml:space="preserve">付费发膜：12050
纯佣发膜：10160</t>
  </si>
  <si>
    <t xml:space="preserve">创意中心GMV ≥36W（30%）</t>
  </si>
  <si>
    <t xml:space="preserve">创意中心GMV=1.9268w</t>
  </si>
  <si>
    <t xml:space="preserve">FD-030208</t>
  </si>
  <si>
    <t xml:space="preserve">雷冰</t>
  </si>
  <si>
    <t xml:space="preserve">WIS眼膜曝光≥15 30% 10/15 完成率=20%</t>
  </si>
  <si>
    <t xml:space="preserve">WIS视频号≥2 20% 2/2（纯佣） 完成率=20%</t>
  </si>
  <si>
    <t xml:space="preserve">WIS燕窝面膜≥3 20% 3/3 完成率=20%</t>
  </si>
  <si>
    <t xml:space="preserve">WIS AI剧情号≥2 30% 5/2 完成率=45%</t>
  </si>
  <si>
    <t xml:space="preserve">WIS总成交 28.48w 80%</t>
  </si>
  <si>
    <t xml:space="preserve">WIS总成交 10w 80% 
（是大鹿呀297）</t>
  </si>
  <si>
    <t xml:space="preserve">AI项目CPM达到达人账号平均水平 20%</t>
  </si>
  <si>
    <t xml:space="preserve">17CPM</t>
  </si>
  <si>
    <t xml:space="preserve">AI项目CPM达到达人账号平均水平20% （以AI之名 CPM16 ）13%
报价：8500，因为没记录议价前的曝光，按发布前五条视频算平均曝光48.96万，CPM17.36 合作价4200，曝光27.9万，CPM15， 按CPM17/CPM15=113.33%的完成率</t>
  </si>
  <si>
    <t xml:space="preserve">FD-059032</t>
  </si>
  <si>
    <t xml:space="preserve">麦绮雯</t>
  </si>
  <si>
    <t xml:space="preserve">WIS眼膜曝光≥15 25%</t>
  </si>
  <si>
    <t xml:space="preserve">WIS眼膜曝光=15 25%</t>
  </si>
  <si>
    <t xml:space="preserve">WIS视频号付费合作≥3 25%</t>
  </si>
  <si>
    <t xml:space="preserve">WIS视频号付费合作=4【1付费+3纯佣】 25%</t>
  </si>
  <si>
    <t xml:space="preserve">WIS眼膜转化≥22 25%</t>
  </si>
  <si>
    <t xml:space="preserve">22个</t>
  </si>
  <si>
    <t xml:space="preserve">WIS眼膜转化=22 25%</t>
  </si>
  <si>
    <t xml:space="preserve">WIS纯佣机构探索≥7 25%</t>
  </si>
  <si>
    <t xml:space="preserve">WIS纯佣机构探索=6 25%
【团长北半秋、童话传媒、梁梦MCN、X机构、瀚鹭文化、新影】</t>
  </si>
  <si>
    <t xml:space="preserve">WIS总成交 17w</t>
  </si>
  <si>
    <t xml:space="preserve">37.48万</t>
  </si>
  <si>
    <t xml:space="preserve">28.02万</t>
  </si>
  <si>
    <t xml:space="preserve">WIS总成交26.02w 【 视频号：712r WIS眼膜转化二创GMV：41660r WIS眼膜转化一创GMV：73895r WIS眼膜曝光GMV：17785r WIS眼膜曝光二创创GMV：1634.46r视频号二创GMV：6591.8r纯佣机构{水润+眼膜}GMV：117928r】</t>
  </si>
  <si>
    <t xml:space="preserve">FD-055582</t>
  </si>
  <si>
    <t xml:space="preserve">孙洁文</t>
  </si>
  <si>
    <t xml:space="preserve">WIS眼膜曝光≥15 30% 12.4/15 完成率=24.8% （推荐五哥哥 眼膜+燕窝、赫系-姜莱的日子 ）</t>
  </si>
  <si>
    <t xml:space="preserve">WIS视频号纯佣合作≥2 20%</t>
  </si>
  <si>
    <t xml:space="preserve">WIS视频号纯佣合作≥2 20% 3/2 完成率=30%</t>
  </si>
  <si>
    <t xml:space="preserve">WIS水润转化付费≥3 15%</t>
  </si>
  <si>
    <t xml:space="preserve">WIS水润转化付费≥3 15% 4/3 完成率=19.5%</t>
  </si>
  <si>
    <t xml:space="preserve">WIS水润转化纯佣≥50 15%</t>
  </si>
  <si>
    <t xml:space="preserve">WIS水润转化纯佣≥50 15% 134/50 完成率=22.5%</t>
  </si>
  <si>
    <t xml:space="preserve">WIS AI剧情号≥2 20%</t>
  </si>
  <si>
    <t xml:space="preserve">WIS AI剧情号≥2 20% 2/2 完成率=20%</t>
  </si>
  <si>
    <t xml:space="preserve">WIS总成交 25w</t>
  </si>
  <si>
    <t xml:space="preserve">45.48w</t>
  </si>
  <si>
    <t xml:space="preserve">WIS总成交 178791/25w 71.51%
①视频号一创-英子：3263、五哥哥：98、叁颗星机构：1556
②抖音一创-小雯儿kay：169、五哥哥：56741、幸运小星：83300、小宇嘻嘻：9795、水润纯佣：11673
③抖音二创：12196</t>
  </si>
  <si>
    <t xml:space="preserve">FD-079664</t>
  </si>
  <si>
    <t xml:space="preserve">线下渠道部-KONO-KONO销售A中心-华东区</t>
  </si>
  <si>
    <t xml:space="preserve">高智慧</t>
  </si>
  <si>
    <t xml:space="preserve">当月出货</t>
  </si>
  <si>
    <t xml:space="preserve">45.9万元</t>
  </si>
  <si>
    <t xml:space="preserve">3.4万元</t>
  </si>
  <si>
    <t xml:space="preserve">Q3季返</t>
  </si>
  <si>
    <t xml:space="preserve">195万元</t>
  </si>
  <si>
    <t xml:space="preserve">-5.1万元</t>
  </si>
  <si>
    <t xml:space="preserve">FD-049779</t>
  </si>
  <si>
    <t xml:space="preserve">高雅</t>
  </si>
  <si>
    <t xml:space="preserve">抖店发膜成交额1200w，利润率目标-3.4%</t>
  </si>
  <si>
    <t xml:space="preserve">新素材成交额40w</t>
  </si>
  <si>
    <t xml:space="preserve">团队AI（0→1）混剪成交额40w（6.20-7.19新产出片段）</t>
  </si>
  <si>
    <t xml:space="preserve">FD-034698</t>
  </si>
  <si>
    <t xml:space="preserve">祝昭维</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</si>
  <si>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</si>
  <si>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</si>
  <si>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</si>
  <si>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</si>
  <si>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</si>
  <si>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</si>
  <si>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</si>
  <si>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产出2条GMV≥2w的素材</t>
  </si>
  <si>
    <t xml:space="preserve">14条</t>
  </si>
  <si>
    <t xml:space="preserve">产出素材GMV50w</t>
  </si>
  <si>
    <t xml:space="preserve">100.339182万元</t>
  </si>
  <si>
    <t xml:space="preserve">产出的AI素材累计100条（产展、明星上脸、明星对口型种草都算）</t>
  </si>
  <si>
    <t xml:space="preserve">本月累计产出混剪素材200条</t>
  </si>
  <si>
    <t xml:space="preserve">200条</t>
  </si>
  <si>
    <t xml:space="preserve">159条</t>
  </si>
  <si>
    <t xml:space="preserve">OD-003079</t>
  </si>
  <si>
    <t xml:space="preserve">何涛杰</t>
  </si>
  <si>
    <t xml:space="preserve">【团队目标】GSV100w</t>
  </si>
  <si>
    <t xml:space="preserve">2060173.07万元</t>
  </si>
  <si>
    <t xml:space="preserve">【风控指标】ADQ的净成交ROI≥1.4且无本月无出现跑飞事项，该项未达成，此项清零</t>
  </si>
  <si>
    <t xml:space="preserve">1.4ROI</t>
  </si>
  <si>
    <t xml:space="preserve">消耗：71,775.16 净成交：0.7168ROI</t>
  </si>
  <si>
    <t xml:space="preserve">【结果指标】负责投放的ADQ账户GMV100w</t>
  </si>
  <si>
    <t xml:space="preserve">【过程指标】每日新增150条创意量</t>
  </si>
  <si>
    <t xml:space="preserve">150条</t>
  </si>
  <si>
    <t xml:space="preserve">【结果指标】负责投放的ADQ账户连续三天GMV≥3w</t>
  </si>
  <si>
    <t xml:space="preserve">OD-000051</t>
  </si>
  <si>
    <t xml:space="preserve">吴泽锐</t>
  </si>
  <si>
    <t xml:space="preserve">206万元</t>
  </si>
  <si>
    <t xml:space="preserve">产出2条GMV大于2万的素材</t>
  </si>
  <si>
    <t xml:space="preserve">产出素材GMV50万元</t>
  </si>
  <si>
    <t xml:space="preserve">70条</t>
  </si>
  <si>
    <t xml:space="preserve">产出的AI素材累计
100条(产展、明
星上脸、明星对口
型种草都算)</t>
  </si>
  <si>
    <t xml:space="preserve">SX-007716</t>
  </si>
  <si>
    <t xml:space="preserve">杨丹妮</t>
  </si>
  <si>
    <t xml:space="preserve">GSV100万</t>
  </si>
  <si>
    <t xml:space="preserve">产出素材GMV20万</t>
  </si>
  <si>
    <t xml:space="preserve">28.004247万元</t>
  </si>
  <si>
    <t xml:space="preserve">本月累计产出混剪素材50条</t>
  </si>
  <si>
    <t xml:space="preserve">43条</t>
  </si>
  <si>
    <t xml:space="preserve">SX-001036</t>
  </si>
  <si>
    <t xml:space="preserve">陈静</t>
  </si>
  <si>
    <t xml:space="preserve">实习生绩效方案</t>
  </si>
  <si>
    <t xml:space="preserve">实习生目标</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</si>
  <si>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</si>
  <si>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</si>
  <si>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</si>
  <si>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</si>
  <si>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</si>
  <si>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</si>
  <si>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</si>
  <si>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</si>
  <si>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</si>
  <si>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</si>
  <si>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</si>
  <si>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</si>
  <si>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</si>
  <si>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</si>
  <si>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</si>
  <si>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</si>
  <si>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离职对接</t>
  </si>
  <si>
    <t xml:space="preserve">资产报废跟进</t>
  </si>
  <si>
    <t xml:space="preserve">已对接供应商</t>
  </si>
  <si>
    <t xml:space="preserve">人事工作对接（办公室logo和摄像头采购、网线布置）</t>
  </si>
  <si>
    <t xml:space="preserve">OD-004744</t>
  </si>
  <si>
    <t xml:space="preserve">黄鸿鑫</t>
  </si>
  <si>
    <t xml:space="preserve">以WIS全品类各平台（千川/视频号）的个人素材扣退成交额为准，折算规则参考绩效方案</t>
  </si>
  <si>
    <t xml:space="preserve">面膜/眼膜单条成交&gt;10万，次抛/微针单条成交&gt;5万，燕窝/凝颜单条成交&gt;3万；AI上脸方向突破</t>
  </si>
  <si>
    <t xml:space="preserve">140万</t>
  </si>
  <si>
    <t xml:space="preserve">FD-067989</t>
  </si>
  <si>
    <t xml:space="preserve">张雅萱</t>
  </si>
  <si>
    <t xml:space="preserve">渠道整体销售额完成率</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</si>
  <si>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</si>
  <si>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</si>
  <si>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</si>
  <si>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</si>
  <si>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</si>
  <si>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</si>
  <si>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</si>
  <si>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</si>
  <si>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</si>
  <si>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</si>
  <si>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</si>
  <si>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</si>
  <si>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</si>
  <si>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</si>
  <si>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</si>
  <si>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</si>
  <si>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</si>
  <si>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</si>
  <si>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</si>
  <si>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</si>
  <si>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</si>
  <si>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</si>
  <si>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</si>
  <si>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</si>
  <si>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</si>
  <si>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</si>
  <si>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</si>
  <si>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</si>
  <si>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</si>
  <si>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</si>
  <si>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</si>
  <si>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</si>
  <si>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</si>
  <si>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</si>
  <si>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</si>
  <si>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</si>
  <si>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</si>
  <si>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</si>
  <si>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</si>
  <si>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</si>
  <si>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</si>
  <si>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</si>
  <si>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</si>
  <si>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</si>
  <si>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FD-098593</t>
  </si>
  <si>
    <t xml:space="preserve">王妙芳</t>
  </si>
  <si>
    <t xml:space="preserve">计划准确率完成率</t>
  </si>
  <si>
    <t xml:space="preserve">准确率目标88%</t>
  </si>
  <si>
    <t xml:space="preserve">100%%%%%</t>
  </si>
  <si>
    <t xml:space="preserve">准确率完成情况是88.91%</t>
  </si>
  <si>
    <t xml:space="preserve">FD-091691</t>
  </si>
  <si>
    <t xml:space="preserve">吴开智</t>
  </si>
  <si>
    <t xml:space="preserve">总库存货值目标完成率</t>
  </si>
  <si>
    <t xml:space="preserve">1750万</t>
  </si>
  <si>
    <t xml:space="preserve">1548万万万</t>
  </si>
  <si>
    <t xml:space="preserve">FD-085087</t>
  </si>
  <si>
    <t xml:space="preserve">张璐萍</t>
  </si>
  <si>
    <t xml:space="preserve">部门关键项目完成率</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</si>
  <si>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</si>
  <si>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</si>
  <si>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</si>
  <si>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</si>
  <si>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</si>
  <si>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</si>
  <si>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</si>
  <si>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</si>
  <si>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</si>
  <si>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</si>
  <si>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</si>
  <si>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</si>
  <si>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</si>
  <si>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</si>
  <si>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FD-097678</t>
  </si>
  <si>
    <t xml:space="preserve">管培生</t>
  </si>
  <si>
    <t xml:space="preserve">钟恩宝</t>
  </si>
  <si>
    <t xml:space="preserve">关键项目</t>
  </si>
  <si>
    <t xml:space="preserve">90%%%</t>
  </si>
  <si>
    <t xml:space="preserve">总目标金额5720， 实际损耗金额2119</t>
  </si>
  <si>
    <t xml:space="preserve">FD-092488</t>
  </si>
  <si>
    <t xml:space="preserve">林杜明</t>
  </si>
  <si>
    <t xml:space="preserve">沪汇加工厂履约率</t>
  </si>
  <si>
    <t xml:space="preserve">沪汇7月份履约率100%</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</si>
  <si>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</si>
  <si>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</si>
  <si>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</si>
  <si>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</si>
  <si>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</si>
  <si>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</si>
  <si>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</si>
  <si>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</si>
  <si>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</si>
  <si>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</si>
  <si>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</si>
  <si>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</si>
  <si>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</si>
  <si>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</si>
  <si>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</si>
  <si>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</si>
  <si>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准确完成</t>
  </si>
  <si>
    <t xml:space="preserve">7.10完成</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</si>
  <si>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</si>
  <si>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</si>
  <si>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</si>
  <si>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</si>
  <si>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</si>
  <si>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</si>
  <si>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</si>
  <si>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</si>
  <si>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</si>
  <si>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</si>
  <si>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</si>
  <si>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</si>
  <si>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</si>
  <si>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</si>
  <si>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无误</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</si>
  <si>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</si>
  <si>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</si>
  <si>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</si>
  <si>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</si>
  <si>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</si>
  <si>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</si>
  <si>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</si>
  <si>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</si>
  <si>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</si>
  <si>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</si>
  <si>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</si>
  <si>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交付质量完成率</t>
  </si>
  <si>
    <t xml:space="preserve">FD-155628</t>
  </si>
  <si>
    <t xml:space="preserve">杨宁</t>
  </si>
  <si>
    <t xml:space="preserve">关键工作完成率</t>
  </si>
  <si>
    <t xml:space="preserve">人岗匹配Q3分析报告 + 优化方案</t>
  </si>
  <si>
    <t xml:space="preserve">人岗匹配优化方案3.0+人才评估体系思考2.0</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</si>
  <si>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</si>
  <si>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</si>
  <si>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</si>
  <si>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</si>
  <si>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</si>
  <si>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</si>
  <si>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</si>
  <si>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FD-080197</t>
  </si>
  <si>
    <t xml:space="preserve">邓力欣</t>
  </si>
  <si>
    <t xml:space="preserve">100&amp;</t>
  </si>
  <si>
    <t xml:space="preserve">FD-088054</t>
  </si>
  <si>
    <t xml:space="preserve">余楚薰</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</si>
  <si>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</si>
  <si>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</si>
  <si>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</si>
  <si>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</si>
  <si>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</si>
  <si>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40%%%</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</si>
  <si>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</si>
  <si>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</si>
  <si>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</si>
  <si>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</si>
  <si>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</si>
  <si>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</si>
  <si>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FD-084304</t>
  </si>
  <si>
    <t xml:space="preserve">苏秋英</t>
  </si>
  <si>
    <t xml:space="preserve">日常平面工单完成率</t>
  </si>
  <si>
    <t xml:space="preserve">IRY日常平面工单完成率 100%</t>
  </si>
  <si>
    <t xml:space="preserve">100%%</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</si>
  <si>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</si>
  <si>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</si>
  <si>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</si>
  <si>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</si>
  <si>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</si>
  <si>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</si>
  <si>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</si>
  <si>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</si>
  <si>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</si>
  <si>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</si>
  <si>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</si>
  <si>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</si>
  <si>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</si>
  <si>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</si>
  <si>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</si>
  <si>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</si>
  <si>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人资考核落地执行率</t>
  </si>
  <si>
    <t xml:space="preserve">考核落地执行率=当月实际考核设计落地数/当月考核设计落地目标数*100%</t>
  </si>
  <si>
    <t xml:space="preserve">完成部门考核100%</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</si>
  <si>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</si>
  <si>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</si>
  <si>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</si>
  <si>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</si>
  <si>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</si>
  <si>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</si>
  <si>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</si>
  <si>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品牌管理考核落地执行率</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</si>
  <si>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</si>
  <si>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</si>
  <si>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</si>
  <si>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</si>
  <si>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</si>
  <si>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</si>
  <si>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</si>
  <si>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</si>
  <si>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</si>
  <si>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顺利将赛程推进至公司初赛，并宣发完成</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</si>
  <si>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</si>
  <si>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</si>
  <si>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</si>
  <si>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</si>
  <si>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</si>
  <si>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</si>
  <si>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</si>
  <si>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</si>
  <si>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FD-223714</t>
  </si>
  <si>
    <t xml:space="preserve">叶森莹</t>
  </si>
  <si>
    <t xml:space="preserve">营销段高价值可复用的SKILL</t>
  </si>
  <si>
    <t xml:space="preserve">18个个</t>
  </si>
  <si>
    <t xml:space="preserve">入职1主播</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</si>
  <si>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</si>
  <si>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</si>
  <si>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</si>
  <si>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</si>
  <si>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</si>
  <si>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</si>
  <si>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</si>
  <si>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FD-229844</t>
  </si>
  <si>
    <t xml:space="preserve">许阳</t>
  </si>
  <si>
    <t xml:space="preserve">AI：24H-13.12% 【精英池：24H-10.85%】</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</si>
  <si>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</si>
  <si>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</si>
  <si>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</si>
  <si>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</si>
  <si>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</si>
  <si>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FD-224360</t>
  </si>
  <si>
    <t xml:space="preserve">余粤</t>
  </si>
  <si>
    <t xml:space="preserve">【AI微医生】扣退后24H新粉转化率</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</si>
  <si>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</si>
  <si>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</si>
  <si>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</si>
  <si>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</si>
  <si>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</si>
  <si>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</si>
  <si>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</si>
  <si>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</si>
  <si>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</si>
  <si>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FD-181227</t>
  </si>
  <si>
    <t xml:space="preserve">杨颖晖</t>
  </si>
  <si>
    <t xml:space="preserve">KONO KOC小红书合作</t>
  </si>
  <si>
    <t xml:space="preserve">笔记合作量：实际 100，目标 90，达成率 111.11% 笔记收片量：实际 86，目标 90，达成率 95.56%</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</si>
  <si>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</si>
  <si>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</si>
  <si>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</si>
  <si>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</si>
  <si>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</si>
  <si>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</si>
  <si>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</si>
  <si>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</si>
  <si>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</si>
  <si>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</si>
  <si>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</si>
  <si>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</si>
  <si>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</si>
  <si>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</si>
  <si>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</si>
  <si>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</si>
  <si>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</si>
  <si>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</si>
  <si>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</si>
  <si>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</si>
  <si>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</si>
  <si>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</si>
  <si>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</si>
  <si>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</si>
  <si>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FD-080606</t>
  </si>
  <si>
    <t xml:space="preserve">龙美莹</t>
  </si>
  <si>
    <t xml:space="preserve">本月目标</t>
  </si>
  <si>
    <t xml:space="preserve">送货总条数231，未履约1条</t>
  </si>
  <si>
    <t xml:space="preserve">FD-153639</t>
  </si>
  <si>
    <t xml:space="preserve">翁承梅</t>
  </si>
  <si>
    <t xml:space="preserve">订单履约率</t>
  </si>
  <si>
    <t xml:space="preserve">1、金冠-隐形水润经典款24片 2、雅纯-隐形水润经典款十片3、从化-KONO经典洗护套装（彩盒）</t>
  </si>
  <si>
    <t xml:space="preserve">FD-097865</t>
  </si>
  <si>
    <t xml:space="preserve">曾静柔</t>
  </si>
  <si>
    <t xml:space="preserve">订单履约率99%</t>
  </si>
  <si>
    <t xml:space="preserve">FD-098144</t>
  </si>
  <si>
    <t xml:space="preserve">李红菊</t>
  </si>
  <si>
    <t xml:space="preserve">FD-095713</t>
  </si>
  <si>
    <t xml:space="preserve">刘星瑶</t>
  </si>
  <si>
    <t xml:space="preserve">FD-096436</t>
  </si>
  <si>
    <t xml:space="preserve">林江龙</t>
  </si>
  <si>
    <t xml:space="preserve">原料订单履约率100%</t>
  </si>
  <si>
    <t xml:space="preserve">FD-221937</t>
  </si>
  <si>
    <t xml:space="preserve">AI效率流程部-AI效率流程E中心</t>
  </si>
  <si>
    <t xml:space="preserve">刘铎</t>
  </si>
  <si>
    <t xml:space="preserve">【AI效率流程E中心】绩效方案（fando推广+其他项目版）</t>
  </si>
  <si>
    <t xml:space="preserve">部门人均token消耗</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</si>
  <si>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</si>
  <si>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</si>
  <si>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</si>
  <si>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</si>
  <si>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</si>
  <si>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</si>
  <si>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</si>
  <si>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</si>
  <si>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</si>
  <si>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</si>
  <si>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</si>
  <si>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</si>
  <si>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</si>
  <si>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</si>
  <si>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</si>
  <si>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</si>
  <si>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</si>
  <si>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</si>
  <si>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</si>
  <si>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</si>
  <si>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</si>
  <si>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</si>
  <si>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</si>
  <si>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</si>
  <si>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</si>
  <si>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</si>
  <si>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</si>
  <si>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</si>
  <si>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</si>
  <si>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</si>
  <si>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</si>
  <si>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</si>
  <si>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</si>
  <si>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</si>
  <si>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</si>
  <si>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</si>
  <si>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</si>
  <si>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FD-216450</t>
  </si>
  <si>
    <t xml:space="preserve">蔡沛心</t>
  </si>
  <si>
    <t xml:space="preserve">6/7月自产素材 GMV≥20000元 50%</t>
  </si>
  <si>
    <t xml:space="preserve">20000元</t>
  </si>
  <si>
    <t xml:space="preserve">35615元</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</si>
  <si>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</si>
  <si>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</si>
  <si>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</si>
  <si>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</si>
  <si>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</si>
  <si>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</si>
  <si>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</si>
  <si>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项目功能如期达标</t>
  </si>
  <si>
    <t xml:space="preserve">【AI客服】维护如期达成
【AI外呼】如期完成开发</t>
  </si>
  <si>
    <t xml:space="preserve">0个</t>
  </si>
  <si>
    <t xml:space="preserve">外呼开发已完成；客服维护已完成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</si>
  <si>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</si>
  <si>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</si>
  <si>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</si>
  <si>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</si>
  <si>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</si>
  <si>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</si>
  <si>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</si>
  <si>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视频BI开发已完成</t>
  </si>
  <si>
    <t xml:space="preserve">代理商返点变化&amp;政策拆解;</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</si>
  <si>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</si>
  <si>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</si>
  <si>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</si>
  <si>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WIS水润面膜AI素材 合作渔悦轻舟 KONO视频号 AI混剪 合作云顶</t>
  </si>
  <si>
    <t xml:space="preserve">FD-050705</t>
  </si>
  <si>
    <t xml:space="preserve">谷春炎</t>
  </si>
  <si>
    <t xml:space="preserve">兼职人员管理业务板块指标-方案2</t>
  </si>
  <si>
    <t xml:space="preserve">模特/主播/助播流程优化</t>
  </si>
  <si>
    <t xml:space="preserve">7月新增合作需求剧饱饱，3条AI视频，7200，因客观需求原因未有新增需求，做部分折算</t>
  </si>
  <si>
    <t xml:space="preserve">FD-054477</t>
  </si>
  <si>
    <t xml:space="preserve">数据助理</t>
  </si>
  <si>
    <t xml:space="preserve">王家雯</t>
  </si>
  <si>
    <t xml:space="preserve">市场拓展部-资源开拓中心-数据助理</t>
  </si>
  <si>
    <t xml:space="preserve">数据助理-业绩考核</t>
  </si>
  <si>
    <t xml:space="preserve">项目需求(得分上限1.2)
主要:魔渍&amp;墨雪-代运营,是否接入符合品牌要求供应商,并推进合作。
接入1家,0.6;接入2家;0.8,接入3家,1;
个人获取重要权益(经总监判断),额外+0.2</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</si>
  <si>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</si>
  <si>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</si>
  <si>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</si>
  <si>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</si>
  <si>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</si>
  <si>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</si>
  <si>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</si>
  <si>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</si>
  <si>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</si>
  <si>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</si>
  <si>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</si>
  <si>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</si>
  <si>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</si>
  <si>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</si>
  <si>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</si>
  <si>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</si>
  <si>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</si>
  <si>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</si>
  <si>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</si>
  <si>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</si>
  <si>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</si>
  <si>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FD-238128</t>
  </si>
  <si>
    <t xml:space="preserve">张立青</t>
  </si>
  <si>
    <t xml:space="preserve">技术开发项目</t>
  </si>
  <si>
    <t xml:space="preserve">7月28日前完成蓬松度测试方法学优化，建立稳定可靠的评价体系</t>
  </si>
  <si>
    <t xml:space="preserve">FD-235981</t>
  </si>
  <si>
    <t xml:space="preserve">蒋孟坪</t>
  </si>
  <si>
    <t xml:space="preserve">7.28前完成KONO香氛洗发水升级方案</t>
  </si>
  <si>
    <t xml:space="preserve">完成调研和香精筛选，项目中止</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</si>
  <si>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</si>
  <si>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</si>
  <si>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</si>
  <si>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</si>
  <si>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</si>
  <si>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</si>
  <si>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</si>
  <si>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已完成分享</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</si>
  <si>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</si>
  <si>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</si>
  <si>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</si>
  <si>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</si>
  <si>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</si>
  <si>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</si>
  <si>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</si>
  <si>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</si>
  <si>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</si>
  <si>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FD-038821</t>
  </si>
  <si>
    <t xml:space="preserve">陈秋汛</t>
  </si>
  <si>
    <t xml:space="preserve">个人GSV达成率得分</t>
  </si>
  <si>
    <t xml:space="preserve">达人成交GSV70w（计划净成交＜2.1总ROI＜2.1不纳入计算）</t>
  </si>
  <si>
    <t xml:space="preserve">70万元</t>
  </si>
  <si>
    <t xml:space="preserve">59万元</t>
  </si>
  <si>
    <t xml:space="preserve">FD-030061</t>
  </si>
  <si>
    <t xml:space="preserve">林亦菲</t>
  </si>
  <si>
    <t xml:space="preserve">成交20w</t>
  </si>
  <si>
    <t xml:space="preserve">20万元</t>
  </si>
  <si>
    <t xml:space="preserve">16.4938万元</t>
  </si>
  <si>
    <t xml:space="preserve">FD-034631</t>
  </si>
  <si>
    <t xml:space="preserve">朱晴</t>
  </si>
  <si>
    <t xml:space="preserve">个人达人GSV70w</t>
  </si>
  <si>
    <t xml:space="preserve">13.65万元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</si>
  <si>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</si>
  <si>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</si>
  <si>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</si>
  <si>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</si>
  <si>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</si>
  <si>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</si>
  <si>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</si>
  <si>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OD-005497</t>
  </si>
  <si>
    <t xml:space="preserve">营销策划</t>
  </si>
  <si>
    <t xml:space="preserve">曾秀芬</t>
  </si>
  <si>
    <t xml:space="preserve">创新B营销策划绩效方案</t>
  </si>
  <si>
    <t xml:space="preserve">搭建FANDO工作流，跑出3条成交＞5w的素材</t>
  </si>
  <si>
    <t xml:space="preserve">15万元</t>
  </si>
  <si>
    <t xml:space="preserve">75.45万元</t>
  </si>
  <si>
    <t xml:space="preserve">搭建批量替换产品和自动创建数字人skill但是需要走fando路线；未能产出爆量素材</t>
  </si>
  <si>
    <t xml:space="preserve">OD-000819</t>
  </si>
  <si>
    <t xml:space="preserve">彭于宴</t>
  </si>
  <si>
    <t xml:space="preserve">个人GSV达成15W</t>
  </si>
  <si>
    <t xml:space="preserve">15W</t>
  </si>
  <si>
    <t xml:space="preserve">59.2W</t>
  </si>
  <si>
    <t xml:space="preserve">OD-003105</t>
  </si>
  <si>
    <t xml:space="preserve">邢维琪</t>
  </si>
  <si>
    <t xml:space="preserve">KOC扣退销售额70w</t>
  </si>
  <si>
    <t xml:space="preserve">73万元</t>
  </si>
  <si>
    <t xml:space="preserve">大于70w</t>
  </si>
  <si>
    <t xml:space="preserve">OD-004552</t>
  </si>
  <si>
    <t xml:space="preserve">邓小妹</t>
  </si>
  <si>
    <t xml:space="preserve">GSV15w</t>
  </si>
  <si>
    <t xml:space="preserve">24.6万元</t>
  </si>
  <si>
    <t xml:space="preserve">交片只有2个</t>
  </si>
  <si>
    <t xml:space="preserve">OD-008726</t>
  </si>
  <si>
    <t xml:space="preserve">王陈陈</t>
  </si>
  <si>
    <t xml:space="preserve">GSV10w</t>
  </si>
  <si>
    <t xml:space="preserve">10万元</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</si>
  <si>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</si>
  <si>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</si>
  <si>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</si>
  <si>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</si>
  <si>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</si>
  <si>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</si>
  <si>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</si>
  <si>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</si>
  <si>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OD-001875</t>
  </si>
  <si>
    <t xml:space="preserve">吴培鑫</t>
  </si>
  <si>
    <t xml:space="preserve">KPI指标: GSV10w</t>
  </si>
  <si>
    <t xml:space="preserve">3.1万元</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</si>
  <si>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</si>
  <si>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</si>
  <si>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</si>
  <si>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</si>
  <si>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</si>
  <si>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</si>
  <si>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</si>
  <si>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</si>
  <si>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</si>
  <si>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FD-081018</t>
  </si>
  <si>
    <t xml:space="preserve">廖佳睿</t>
  </si>
  <si>
    <t xml:space="preserve">可麦品牌宣讲会</t>
  </si>
  <si>
    <t xml:space="preserve">提案通过，但是缺少香味渠道测试方案</t>
  </si>
  <si>
    <t xml:space="preserve">品牌宣讲会资料准备&amp;对齐</t>
  </si>
  <si>
    <t xml:space="preserve">确定宣讲会的结构、流程、内容，并制作讲稿&amp;ppt，与上级对齐后通过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</si>
  <si>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</si>
  <si>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</si>
  <si>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</si>
  <si>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</si>
  <si>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</si>
  <si>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</si>
  <si>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</si>
  <si>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</si>
  <si>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</si>
  <si>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</si>
  <si>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</si>
  <si>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</si>
  <si>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</si>
  <si>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可麦包材消耗方案</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</si>
  <si>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</si>
  <si>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</si>
  <si>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</si>
  <si>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</si>
  <si>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</si>
  <si>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</si>
  <si>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</si>
  <si>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</si>
  <si>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</si>
  <si>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</si>
  <si>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</si>
  <si>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</si>
  <si>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</si>
  <si>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</si>
  <si>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</si>
  <si>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OD-001988</t>
  </si>
  <si>
    <t xml:space="preserve">黄林欣</t>
  </si>
  <si>
    <t xml:space="preserve">可麦独有原料监控</t>
  </si>
  <si>
    <t xml:space="preserve">资产负债表按时提交，每月物料监控有序完成</t>
  </si>
  <si>
    <t xml:space="preserve">准时提交</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</si>
  <si>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</si>
  <si>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</si>
  <si>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</si>
  <si>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</si>
  <si>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</si>
  <si>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</si>
  <si>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</si>
  <si>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MVE试产原料延期送达，准时率95。</t>
  </si>
  <si>
    <t xml:space="preserve">关键物料安全库存达标率</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</si>
  <si>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</si>
  <si>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</si>
  <si>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</si>
  <si>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</si>
  <si>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</si>
  <si>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</si>
  <si>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</si>
  <si>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</si>
  <si>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FD-154390</t>
  </si>
  <si>
    <t xml:space="preserve">慎轩</t>
  </si>
  <si>
    <t xml:space="preserve">赫系达播GSV</t>
  </si>
  <si>
    <t xml:space="preserve">400000元</t>
  </si>
  <si>
    <t xml:space="preserve">99500.76元</t>
  </si>
  <si>
    <t xml:space="preserve">FD-058439</t>
  </si>
  <si>
    <t xml:space="preserve">赵麒翔</t>
  </si>
  <si>
    <t xml:space="preserve">KONO销售额</t>
  </si>
  <si>
    <t xml:space="preserve">650000元</t>
  </si>
  <si>
    <t xml:space="preserve">731596.7元</t>
  </si>
  <si>
    <t xml:space="preserve">FD-054520</t>
  </si>
  <si>
    <t xml:space="preserve">商务PR</t>
  </si>
  <si>
    <t xml:space="preserve">李暄</t>
  </si>
  <si>
    <t xml:space="preserve">赫系GSV</t>
  </si>
  <si>
    <t xml:space="preserve">500000元</t>
  </si>
  <si>
    <t xml:space="preserve">400059.93元</t>
  </si>
  <si>
    <t xml:space="preserve">FD-052083</t>
  </si>
  <si>
    <t xml:space="preserve">许敏丽</t>
  </si>
  <si>
    <t xml:space="preserve">KONO达播GSV</t>
  </si>
  <si>
    <t xml:space="preserve">260626.5元</t>
  </si>
  <si>
    <t xml:space="preserve">FD-061817</t>
  </si>
  <si>
    <t xml:space="preserve">付文雅</t>
  </si>
  <si>
    <t xml:space="preserve">300000元</t>
  </si>
  <si>
    <t xml:space="preserve">201714元</t>
  </si>
  <si>
    <t xml:space="preserve">FD-067782</t>
  </si>
  <si>
    <t xml:space="preserve">劳浩桓</t>
  </si>
  <si>
    <t xml:space="preserve">赫系&amp;WIS达播GSV</t>
  </si>
  <si>
    <t xml:space="preserve">100000元</t>
  </si>
  <si>
    <t xml:space="preserve">50475.3元</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</si>
  <si>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</si>
  <si>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</si>
  <si>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</si>
  <si>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</si>
  <si>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</si>
  <si>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</si>
  <si>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</si>
  <si>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FD-060719</t>
  </si>
  <si>
    <t xml:space="preserve">郑若蓥</t>
  </si>
  <si>
    <t xml:space="preserve">WIS日播GSV</t>
  </si>
  <si>
    <t xml:space="preserve">1300000元</t>
  </si>
  <si>
    <t xml:space="preserve">1169390元</t>
  </si>
  <si>
    <t xml:space="preserve">FD-057312</t>
  </si>
  <si>
    <t xml:space="preserve">张子晗</t>
  </si>
  <si>
    <t xml:space="preserve">组长绩效考核方案V3</t>
  </si>
  <si>
    <t xml:space="preserve">GSV目标完成率【组长】</t>
  </si>
  <si>
    <t xml:space="preserve">1500000元</t>
  </si>
  <si>
    <t xml:space="preserve">1368869元</t>
  </si>
  <si>
    <t xml:space="preserve">FD-050397</t>
  </si>
  <si>
    <t xml:space="preserve">肖茹梦</t>
  </si>
  <si>
    <t xml:space="preserve">赫系销售额</t>
  </si>
  <si>
    <t xml:space="preserve">4500000元</t>
  </si>
  <si>
    <t xml:space="preserve">4757312.708元</t>
  </si>
  <si>
    <t xml:space="preserve">FD-055641</t>
  </si>
  <si>
    <t xml:space="preserve">戴琼瑶</t>
  </si>
  <si>
    <t xml:space="preserve">WIS销售额</t>
  </si>
  <si>
    <t xml:space="preserve">2500000元</t>
  </si>
  <si>
    <t xml:space="preserve">1759105元</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</si>
  <si>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</si>
  <si>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</si>
  <si>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</si>
  <si>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</si>
  <si>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</si>
  <si>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</si>
  <si>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</si>
  <si>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</si>
  <si>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</si>
  <si>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</si>
  <si>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</si>
  <si>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</si>
  <si>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</si>
  <si>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</si>
  <si>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</si>
  <si>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</si>
  <si>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FD-010340</t>
  </si>
  <si>
    <t xml:space="preserve">总经理助理</t>
  </si>
  <si>
    <t xml:space="preserve">王伊瑄</t>
  </si>
  <si>
    <t xml:space="preserve">共识传播指标</t>
  </si>
  <si>
    <t xml:space="preserve">高管团建</t>
  </si>
  <si>
    <t xml:space="preserve">FD-046307</t>
  </si>
  <si>
    <t xml:space="preserve">李奥宇</t>
  </si>
  <si>
    <t xml:space="preserve">有效决议梳理</t>
  </si>
  <si>
    <t xml:space="preserve">助理团队能力及凝聚力提升方案</t>
  </si>
  <si>
    <t xml:space="preserve">1个</t>
  </si>
  <si>
    <t xml:space="preserve">AI视频精品未完成；根数据，公关和投资完成逐字稿梳理，公关完成根数据整理，其余均未完成</t>
  </si>
  <si>
    <t xml:space="preserve">FD-179378</t>
  </si>
  <si>
    <t xml:space="preserve">顾问</t>
  </si>
  <si>
    <t xml:space="preserve">高璐</t>
  </si>
  <si>
    <t xml:space="preserve">战略项目完成率</t>
  </si>
  <si>
    <t xml:space="preserve">1. 根数据品牌营销完成应用</t>
  </si>
  <si>
    <t xml:space="preserve">存储调用不达预期, 未全部完成</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</si>
  <si>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</si>
  <si>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</si>
  <si>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</si>
  <si>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</si>
  <si>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</si>
  <si>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</si>
  <si>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</si>
  <si>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</si>
  <si>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</si>
  <si>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</si>
  <si>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</si>
  <si>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</si>
  <si>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</si>
  <si>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</si>
  <si>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</si>
  <si>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</si>
  <si>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</si>
  <si>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</si>
  <si>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</si>
  <si>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</si>
  <si>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</si>
  <si>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</si>
  <si>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</si>
  <si>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</si>
  <si>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</si>
  <si>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</si>
  <si>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</si>
  <si>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</si>
  <si>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</si>
  <si>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</si>
  <si>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</si>
  <si>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</si>
  <si>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</si>
  <si>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</si>
  <si>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</si>
  <si>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</si>
  <si>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</si>
  <si>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</si>
  <si>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</si>
  <si>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2个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</si>
  <si>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</si>
  <si>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</si>
  <si>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</si>
  <si>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</si>
  <si>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</si>
  <si>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</si>
  <si>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</si>
  <si>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</si>
  <si>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</si>
  <si>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</si>
  <si>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</si>
  <si>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</si>
  <si>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</si>
  <si>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OD-006463</t>
  </si>
  <si>
    <t xml:space="preserve">郭万玥</t>
  </si>
  <si>
    <t xml:space="preserve">社招：视频编辑入职2 市场入职1</t>
  </si>
  <si>
    <t xml:space="preserve">2.5个</t>
  </si>
  <si>
    <t xml:space="preserve">1.1个</t>
  </si>
  <si>
    <t xml:space="preserve">视频编辑入职1</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</si>
  <si>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</si>
  <si>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</si>
  <si>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</si>
  <si>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</si>
  <si>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</si>
  <si>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</si>
  <si>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OD-004025</t>
  </si>
  <si>
    <t xml:space="preserve">雷雅燕</t>
  </si>
  <si>
    <t xml:space="preserve">AIBP入职1 产品设计师到面4 从化人资入职0.5</t>
  </si>
  <si>
    <t xml:space="preserve">5.5个</t>
  </si>
  <si>
    <t xml:space="preserve">无</t>
  </si>
  <si>
    <t xml:space="preserve">FD-154287</t>
  </si>
  <si>
    <t xml:space="preserve">招聘BP</t>
  </si>
  <si>
    <t xml:space="preserve">涂欣瑶</t>
  </si>
  <si>
    <t xml:space="preserve">OD招聘</t>
  </si>
  <si>
    <t xml:space="preserve">OD岗位招聘完成率85%</t>
  </si>
  <si>
    <t xml:space="preserve">OD岗位共入职48人，需求数共56人。</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</si>
  <si>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</si>
  <si>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</si>
  <si>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</si>
  <si>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</si>
  <si>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</si>
  <si>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</si>
  <si>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</si>
  <si>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3个</t>
  </si>
  <si>
    <t xml:space="preserve">日常实习共入职10，需求发起时间早于7月25日的需求数为12</t>
  </si>
  <si>
    <t xml:space="preserve">FD-071235</t>
  </si>
  <si>
    <t xml:space="preserve">线下渠道部-KONO-KONO销售A中心-华中区</t>
  </si>
  <si>
    <t xml:space="preserve">零售高级经理</t>
  </si>
  <si>
    <t xml:space="preserve">夏雨</t>
  </si>
  <si>
    <t xml:space="preserve">出货目标完成率</t>
  </si>
  <si>
    <t xml:space="preserve">当月出货金额（包含当月产生的新品上新、夏季活动对应营收金额）</t>
  </si>
  <si>
    <t xml:space="preserve">140W</t>
  </si>
  <si>
    <t xml:space="preserve">114.7W</t>
  </si>
  <si>
    <t xml:space="preserve">W</t>
  </si>
  <si>
    <t xml:space="preserve">FD-076917</t>
  </si>
  <si>
    <t xml:space="preserve">线下渠道部-WIS-WIS销售A中心-西南区</t>
  </si>
  <si>
    <t xml:space="preserve">任轩</t>
  </si>
  <si>
    <t xml:space="preserve">126万元</t>
  </si>
  <si>
    <t xml:space="preserve">917000万元</t>
  </si>
  <si>
    <t xml:space="preserve">FD-077316</t>
  </si>
  <si>
    <t xml:space="preserve">线下渠道部-KONO-KONO销售A中心-西南区</t>
  </si>
  <si>
    <t xml:space="preserve">张莹</t>
  </si>
  <si>
    <t xml:space="preserve">230万</t>
  </si>
  <si>
    <t xml:space="preserve">131.9万</t>
  </si>
  <si>
    <t xml:space="preserve">FD-074107</t>
  </si>
  <si>
    <t xml:space="preserve">线下渠道部-WIS-WIS销售B中心</t>
  </si>
  <si>
    <t xml:space="preserve">华珊</t>
  </si>
  <si>
    <t xml:space="preserve">300万</t>
  </si>
  <si>
    <t xml:space="preserve">278.7万</t>
  </si>
  <si>
    <t xml:space="preserve">FD-072100</t>
  </si>
  <si>
    <t xml:space="preserve">线下渠道部-渠道运作中心</t>
  </si>
  <si>
    <t xml:space="preserve">中台战略负责人</t>
  </si>
  <si>
    <t xml:space="preserve">白茜</t>
  </si>
  <si>
    <t xml:space="preserve">利润【额】目标达成率</t>
  </si>
  <si>
    <t xml:space="preserve">-72.6万元</t>
  </si>
  <si>
    <t xml:space="preserve">-146万元</t>
  </si>
  <si>
    <t xml:space="preserve">FD-075526</t>
  </si>
  <si>
    <t xml:space="preserve">线下渠道部-WIS-WIS销售A中心-华东区</t>
  </si>
  <si>
    <t xml:space="preserve">夏星泽</t>
  </si>
  <si>
    <t xml:space="preserve">168万元</t>
  </si>
  <si>
    <t xml:space="preserve">1030000万元</t>
  </si>
  <si>
    <t xml:space="preserve">FD-071553</t>
  </si>
  <si>
    <t xml:space="preserve">线下渠道部-KONO-KONO销售B中心</t>
  </si>
  <si>
    <t xml:space="preserve">李慧琳</t>
  </si>
  <si>
    <t xml:space="preserve">月度关键工作达成率</t>
  </si>
  <si>
    <t xml:space="preserve">月度营收</t>
  </si>
  <si>
    <t xml:space="preserve">140万元</t>
  </si>
  <si>
    <t xml:space="preserve">103.4万元</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</si>
  <si>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</si>
  <si>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</si>
  <si>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</si>
  <si>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</si>
  <si>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</si>
  <si>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</si>
  <si>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</si>
  <si>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FD-070181</t>
  </si>
  <si>
    <t xml:space="preserve">线下渠道部-WIS-WIS销售A中心-华南区</t>
  </si>
  <si>
    <t xml:space="preserve">梁倩雯</t>
  </si>
  <si>
    <t xml:space="preserve">160万元</t>
  </si>
  <si>
    <t xml:space="preserve">80.5万元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</si>
  <si>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</si>
  <si>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</si>
  <si>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</si>
  <si>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</si>
  <si>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FD-072096</t>
  </si>
  <si>
    <t xml:space="preserve">许颖欣</t>
  </si>
  <si>
    <t xml:space="preserve">出货</t>
  </si>
  <si>
    <t xml:space="preserve">85万</t>
  </si>
  <si>
    <t xml:space="preserve">56.6万</t>
  </si>
  <si>
    <t xml:space="preserve">FD-071008</t>
  </si>
  <si>
    <t xml:space="preserve">大客户商务经理</t>
  </si>
  <si>
    <t xml:space="preserve">付昭华</t>
  </si>
  <si>
    <t xml:space="preserve">POS目标完成率</t>
  </si>
  <si>
    <t xml:space="preserve">POS</t>
  </si>
  <si>
    <t xml:space="preserve">134.5万</t>
  </si>
  <si>
    <t xml:space="preserve">129.1万</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</si>
  <si>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</si>
  <si>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</si>
  <si>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</si>
  <si>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</si>
  <si>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</si>
  <si>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</si>
  <si>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</si>
  <si>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</si>
  <si>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</si>
  <si>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FD-098323</t>
  </si>
  <si>
    <t xml:space="preserve">何建杰</t>
  </si>
  <si>
    <t xml:space="preserve">关键项目完成率</t>
  </si>
  <si>
    <t xml:space="preserve">部门全面合规 30%
眼部资质、屈臣氏资质申办 20%
中心培训 10%
工厂质量提升 20%
假货追溯及一体码设备优化 20%</t>
  </si>
  <si>
    <t xml:space="preserve">9.5分</t>
  </si>
  <si>
    <t xml:space="preserve">部门全面合规30%--7.7 眼部资质、屈臣氏资质申办20%--7.075 中心培训10%--7.168 工厂质量提升20%--7.225 假货追溯及一体码设备优化项目20%--7.82</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</si>
  <si>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</si>
  <si>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</si>
  <si>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</si>
  <si>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</si>
  <si>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</si>
  <si>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FD-092929</t>
  </si>
  <si>
    <t xml:space="preserve">肖承祥</t>
  </si>
  <si>
    <t xml:space="preserve">0异常-QA-20260420</t>
  </si>
  <si>
    <t xml:space="preserve">包材板块0异常</t>
  </si>
  <si>
    <t xml:space="preserve">FD-098166</t>
  </si>
  <si>
    <t xml:space="preserve">李巧丽</t>
  </si>
  <si>
    <t xml:space="preserve">抽检完成率-驻外/OD-20260420</t>
  </si>
  <si>
    <t xml:space="preserve">纸箱抽检完成率</t>
  </si>
  <si>
    <t xml:space="preserve">42/42=100%</t>
  </si>
  <si>
    <t xml:space="preserve">FD-099696</t>
  </si>
  <si>
    <t xml:space="preserve">谭娇</t>
  </si>
  <si>
    <t xml:space="preserve">关键项目评分≥9.5分</t>
  </si>
  <si>
    <t xml:space="preserve">87.48%%</t>
  </si>
  <si>
    <t xml:space="preserve">（8.075*40%+7.82*30%＋7.425*30%）/9.5*100%=82.14%</t>
  </si>
  <si>
    <t xml:space="preserve">FD-097315</t>
  </si>
  <si>
    <t xml:space="preserve">刘佳俊</t>
  </si>
  <si>
    <t xml:space="preserve">42/42</t>
  </si>
  <si>
    <t xml:space="preserve">FD-096262</t>
  </si>
  <si>
    <t xml:space="preserve">姜佩弦</t>
  </si>
  <si>
    <t xml:space="preserve">当月异常报告新增数</t>
  </si>
  <si>
    <t xml:space="preserve">12/34</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</si>
  <si>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</si>
  <si>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</si>
  <si>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</si>
  <si>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</si>
  <si>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</si>
  <si>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(7.82*0.4+7.425*0.3+8.075*0.3)*1/9.5*100%=81.87%</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</si>
  <si>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</si>
  <si>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</si>
  <si>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</si>
  <si>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</si>
  <si>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</si>
  <si>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</si>
  <si>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</si>
  <si>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</si>
  <si>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</si>
  <si>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</si>
  <si>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</si>
  <si>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</si>
  <si>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</si>
  <si>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</si>
  <si>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</si>
  <si>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</si>
  <si>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</si>
  <si>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FD-070643</t>
  </si>
  <si>
    <t xml:space="preserve">罗静文</t>
  </si>
  <si>
    <t xml:space="preserve">18场</t>
  </si>
  <si>
    <t xml:space="preserve">23场</t>
  </si>
  <si>
    <t xml:space="preserve">目标 18 家实际完成 21 家</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</si>
  <si>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</si>
  <si>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</si>
  <si>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</si>
  <si>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</si>
  <si>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</si>
  <si>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</si>
  <si>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</si>
  <si>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</si>
  <si>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FD-071550</t>
  </si>
  <si>
    <t xml:space="preserve">市场监察经理</t>
  </si>
  <si>
    <t xml:space="preserve">贺昕</t>
  </si>
  <si>
    <t xml:space="preserve">线下渠道部-渠道运作中心-市场监察经理2604</t>
  </si>
  <si>
    <t xml:space="preserve">WIS稽查窜货线下下架率</t>
  </si>
  <si>
    <t xml:space="preserve">FD-077703</t>
  </si>
  <si>
    <t xml:space="preserve">蓝文阳</t>
  </si>
  <si>
    <t xml:space="preserve">KONO稽查窜货线下下架率</t>
  </si>
  <si>
    <t xml:space="preserve">KONO线下下架率100%</t>
  </si>
  <si>
    <t xml:space="preserve">FD-076294</t>
  </si>
  <si>
    <t xml:space="preserve">业务助理</t>
  </si>
  <si>
    <t xml:space="preserve">陈冰纯</t>
  </si>
  <si>
    <t xml:space="preserve">线下渠道部-渠道运作中心-客户助理2604</t>
  </si>
  <si>
    <t xml:space="preserve">OD-002787</t>
  </si>
  <si>
    <t xml:space="preserve">客户助理</t>
  </si>
  <si>
    <t xml:space="preserve">邓淑贤</t>
  </si>
  <si>
    <t xml:space="preserve">关键工作达成</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</si>
  <si>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</si>
  <si>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</si>
  <si>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</si>
  <si>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</si>
  <si>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</si>
  <si>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</si>
  <si>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</si>
  <si>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FD-071472</t>
  </si>
  <si>
    <t xml:space="preserve">张巍</t>
  </si>
  <si>
    <t xml:space="preserve">50万</t>
  </si>
  <si>
    <t xml:space="preserve">56.7万</t>
  </si>
  <si>
    <t xml:space="preserve">FD-070799</t>
  </si>
  <si>
    <t xml:space="preserve">线下渠道部-KONO-KONO销售A中心-西北区</t>
  </si>
  <si>
    <t xml:space="preserve">高玉凤</t>
  </si>
  <si>
    <t xml:space="preserve">当月出货额</t>
  </si>
  <si>
    <t xml:space="preserve">39.6万元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</si>
  <si>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</si>
  <si>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</si>
  <si>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</si>
  <si>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</si>
  <si>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</si>
  <si>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</si>
  <si>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</si>
  <si>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</si>
  <si>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</si>
  <si>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</si>
  <si>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</si>
  <si>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</si>
  <si>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</si>
  <si>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</si>
  <si>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</si>
  <si>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</si>
  <si>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</si>
  <si>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</si>
  <si>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</si>
  <si>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</si>
  <si>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</si>
  <si>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</si>
  <si>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月底按时完成供应商的请款对账需求</t>
  </si>
  <si>
    <t xml:space="preserve">FD-096061</t>
  </si>
  <si>
    <t xml:space="preserve">黄振明</t>
  </si>
  <si>
    <t xml:space="preserve">35.9万元</t>
  </si>
  <si>
    <t xml:space="preserve">52.3万元</t>
  </si>
  <si>
    <t xml:space="preserve">眼膜完成第一次恒远下单,隐形水润凡岛上机测试和品控测试通过</t>
  </si>
  <si>
    <t xml:space="preserve">面膜合格，眼膜未完成</t>
  </si>
  <si>
    <t xml:space="preserve">FD-093485</t>
  </si>
  <si>
    <t xml:space="preserve">利志鹏</t>
  </si>
  <si>
    <t xml:space="preserve">5.53万</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</si>
  <si>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</si>
  <si>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</si>
  <si>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FD-096682</t>
  </si>
  <si>
    <t xml:space="preserve">巫文鑫</t>
  </si>
  <si>
    <t xml:space="preserve">落地降本金额</t>
  </si>
  <si>
    <t xml:space="preserve">28.8万元</t>
  </si>
  <si>
    <t xml:space="preserve">60.8万</t>
  </si>
  <si>
    <t xml:space="preserve">落地降本金额60.8万元</t>
  </si>
  <si>
    <t xml:space="preserve">KONO奢护100q瓶子改软管,确定品牌意见,完成打样与品控测试(如有)</t>
  </si>
  <si>
    <t xml:space="preserve">FD-078673</t>
  </si>
  <si>
    <t xml:space="preserve">刘家骏</t>
  </si>
  <si>
    <t xml:space="preserve">泵头降本</t>
  </si>
  <si>
    <t xml:space="preserve">-0.9W</t>
  </si>
  <si>
    <t xml:space="preserve">通过高级考核</t>
  </si>
  <si>
    <t xml:space="preserve">通过</t>
  </si>
  <si>
    <t xml:space="preserve">FD-096315</t>
  </si>
  <si>
    <t xml:space="preserve">白羽桐</t>
  </si>
  <si>
    <t xml:space="preserve">控涨2.1w</t>
  </si>
  <si>
    <t xml:space="preserve">-2.1w</t>
  </si>
  <si>
    <t xml:space="preserve">关键项目1</t>
  </si>
  <si>
    <t xml:space="preserve">每月依据实际情况制定当月关键项目及目标及完成率的计算方式</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</si>
  <si>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</si>
  <si>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</si>
  <si>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</si>
  <si>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</si>
  <si>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</si>
  <si>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</si>
  <si>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</si>
  <si>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</si>
  <si>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关键项目3</t>
  </si>
  <si>
    <t xml:space="preserve">深海次抛降本方向跟进完成样品确认和价值量计算</t>
  </si>
  <si>
    <t xml:space="preserve">已确认</t>
  </si>
  <si>
    <t xml:space="preserve">FD-107532</t>
  </si>
  <si>
    <t xml:space="preserve">研发工程师</t>
  </si>
  <si>
    <t xml:space="preserve">王嘉俊</t>
  </si>
  <si>
    <t xml:space="preserve">产品开发数量</t>
  </si>
  <si>
    <t xml:space="preserve">完成两款产品配方开发并输出对应文档</t>
  </si>
  <si>
    <t xml:space="preserve">完成三款产品配方确版，决策文档输出</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</si>
  <si>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</si>
  <si>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</si>
  <si>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</si>
  <si>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</si>
  <si>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FD-237574</t>
  </si>
  <si>
    <t xml:space="preserve">魏可凡</t>
  </si>
  <si>
    <t xml:space="preserve">开发产品数：2个常规品</t>
  </si>
  <si>
    <t xml:space="preserve">已确版，输出决策文档</t>
  </si>
  <si>
    <t xml:space="preserve">FD-231037</t>
  </si>
  <si>
    <t xml:space="preserve">张杨</t>
  </si>
  <si>
    <t xml:space="preserve">KONO 卡厘紫水晶双护滋养精华霜</t>
  </si>
  <si>
    <t xml:space="preserve">已完成并输出决策文档https://jqx28l0j4lx.feishu.cn/docx/IrihdymT8osPNTxfzpycQPQqnnf</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</si>
  <si>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</si>
  <si>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</si>
  <si>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</si>
  <si>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</si>
  <si>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</si>
  <si>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FD-233637</t>
  </si>
  <si>
    <t xml:space="preserve">罗锦委</t>
  </si>
  <si>
    <t xml:space="preserve">赫系赋活发膜（好运限定）</t>
  </si>
  <si>
    <t xml:space="preserve">待总监试用最终确认</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</si>
  <si>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</si>
  <si>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</si>
  <si>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</si>
  <si>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</si>
  <si>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</si>
  <si>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</si>
  <si>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</si>
  <si>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FD-237871</t>
  </si>
  <si>
    <t xml:space="preserve">林明朗</t>
  </si>
  <si>
    <t xml:space="preserve">质量合规体系运转有效性</t>
  </si>
  <si>
    <t xml:space="preserve">1、新增原料标准：20份 2、修订原料标准：4份 3、新增成品和半成品标准：8份 4、修订成品和半成品标准：7份 5、修订包材标准：1份 6、开展质量管理体系培训（一期）</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</si>
  <si>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</si>
  <si>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</si>
  <si>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</si>
  <si>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</si>
  <si>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</si>
  <si>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FD-231862</t>
  </si>
  <si>
    <t xml:space="preserve">李楚杰</t>
  </si>
  <si>
    <t xml:space="preserve">配方转化与常九送检</t>
  </si>
  <si>
    <t xml:space="preserve">完成4款产品常九送检</t>
  </si>
  <si>
    <t xml:space="preserve">FD-233989</t>
  </si>
  <si>
    <t xml:space="preserve">廖文惠</t>
  </si>
  <si>
    <t xml:space="preserve">熟悉公司文化、部门职责与工作流程</t>
  </si>
  <si>
    <t xml:space="preserve">已经熟悉部门人员情况、公司文化、部门职责和工作流程</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</si>
  <si>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</si>
  <si>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</si>
  <si>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</si>
  <si>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</si>
  <si>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</si>
  <si>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</si>
  <si>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</si>
  <si>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</si>
  <si>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</si>
  <si>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</si>
  <si>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</si>
  <si>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</si>
  <si>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</si>
  <si>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</si>
  <si>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</si>
  <si>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</si>
  <si>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</si>
  <si>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</si>
  <si>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</si>
  <si>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</si>
  <si>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</si>
  <si>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</si>
  <si>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</si>
  <si>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</si>
  <si>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</si>
  <si>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</si>
  <si>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</si>
  <si>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</si>
  <si>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</si>
  <si>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</si>
  <si>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</si>
  <si>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</si>
  <si>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</si>
  <si>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</si>
  <si>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</si>
  <si>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</si>
  <si>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</si>
  <si>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</si>
  <si>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</si>
  <si>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</si>
  <si>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</si>
  <si>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</si>
  <si>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</si>
  <si>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</si>
  <si>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</si>
  <si>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</si>
  <si>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</si>
  <si>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</si>
  <si>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</si>
  <si>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</si>
  <si>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</si>
  <si>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</si>
  <si>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</si>
  <si>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</si>
  <si>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</si>
  <si>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</si>
  <si>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</si>
  <si>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</si>
  <si>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</si>
  <si>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</si>
  <si>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</si>
  <si>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</si>
  <si>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FD-150949</t>
  </si>
  <si>
    <t xml:space="preserve">唐怡敏</t>
  </si>
  <si>
    <t xml:space="preserve">完成行政中心财报</t>
  </si>
  <si>
    <t xml:space="preserve">FD-154190</t>
  </si>
  <si>
    <t xml:space="preserve">陈垣润</t>
  </si>
  <si>
    <t xml:space="preserve">管理层餐厅问卷填写达到10份且分数达到4.45分</t>
  </si>
  <si>
    <t xml:space="preserve">管理层问卷填写数量10份，分数4.51分，已按目标完成</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</si>
  <si>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</si>
  <si>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</si>
  <si>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</si>
  <si>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</si>
  <si>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</si>
  <si>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</si>
  <si>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</si>
  <si>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</si>
  <si>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</si>
  <si>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</si>
  <si>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</si>
  <si>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</si>
  <si>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</si>
  <si>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</si>
  <si>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</si>
  <si>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</si>
  <si>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</si>
  <si>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</si>
  <si>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</si>
  <si>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</si>
  <si>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</si>
  <si>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</si>
  <si>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</si>
  <si>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</si>
  <si>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</si>
  <si>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</si>
  <si>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</si>
  <si>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</si>
  <si>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</si>
  <si>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</si>
  <si>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FD-098633</t>
  </si>
  <si>
    <t xml:space="preserve">莫秋霞</t>
  </si>
  <si>
    <t xml:space="preserve">抖音店铺均响时间≤14秒</t>
  </si>
  <si>
    <t xml:space="preserve">12秒</t>
  </si>
  <si>
    <t xml:space="preserve">FD-099682</t>
  </si>
  <si>
    <t xml:space="preserve">何卫珊</t>
  </si>
  <si>
    <t xml:space="preserve">客服专员-发货&amp;评价维护</t>
  </si>
  <si>
    <t xml:space="preserve">中差评举报成功量</t>
  </si>
  <si>
    <t xml:space="preserve">拼多多差评举报量</t>
  </si>
  <si>
    <t xml:space="preserve">KONO:97分 WIS：98分 可麦：99分 IRY：97分（求助率指标0%，因订单量不够分数固定）</t>
  </si>
  <si>
    <t xml:space="preserve">FD-098102</t>
  </si>
  <si>
    <t xml:space="preserve">夏润利</t>
  </si>
  <si>
    <t xml:space="preserve">发货及时率</t>
  </si>
  <si>
    <t xml:space="preserve">7月25日当天有4笔订单未及 时完成%</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</si>
  <si>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</si>
  <si>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</si>
  <si>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</si>
  <si>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</si>
  <si>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</si>
  <si>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</si>
  <si>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</si>
  <si>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</si>
  <si>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</si>
  <si>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</si>
  <si>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</si>
  <si>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</si>
  <si>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</si>
  <si>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FD-090598</t>
  </si>
  <si>
    <t xml:space="preserve">仇碧颜</t>
  </si>
  <si>
    <t xml:space="preserve">FD-097008</t>
  </si>
  <si>
    <t xml:space="preserve">陈肖颜</t>
  </si>
  <si>
    <t xml:space="preserve">70分</t>
  </si>
  <si>
    <t xml:space="preserve">退款量：16199笔</t>
  </si>
  <si>
    <t xml:space="preserve">FD-091079</t>
  </si>
  <si>
    <t xml:space="preserve">郭瑶</t>
  </si>
  <si>
    <t xml:space="preserve">平台求助率</t>
  </si>
  <si>
    <t xml:space="preserve">FD-096836</t>
  </si>
  <si>
    <t xml:space="preserve">邓小兰</t>
  </si>
  <si>
    <t xml:space="preserve">70%%%%</t>
  </si>
  <si>
    <t xml:space="preserve">FD-095375</t>
  </si>
  <si>
    <t xml:space="preserve">巫超雄</t>
  </si>
  <si>
    <t xml:space="preserve">客服-接待（通用）</t>
  </si>
  <si>
    <t xml:space="preserve">售后处理率</t>
  </si>
  <si>
    <t xml:space="preserve">当月个人处理退款、工单、投诉量、交易截图量、品退单豁免、售后赔付件理赔数量</t>
  </si>
  <si>
    <t xml:space="preserve">19%%</t>
  </si>
  <si>
    <t xml:space="preserve">FD-095372</t>
  </si>
  <si>
    <t xml:space="preserve">欧彩珍</t>
  </si>
  <si>
    <t xml:space="preserve">售后登记</t>
  </si>
  <si>
    <t xml:space="preserve">37%%</t>
  </si>
  <si>
    <t xml:space="preserve">FD-099107</t>
  </si>
  <si>
    <t xml:space="preserve">黄燕玲</t>
  </si>
  <si>
    <t xml:space="preserve">满意度</t>
  </si>
  <si>
    <t xml:space="preserve">FD-095145</t>
  </si>
  <si>
    <t xml:space="preserve">陈月怡</t>
  </si>
  <si>
    <t xml:space="preserve">FD-099565</t>
  </si>
  <si>
    <t xml:space="preserve">温颖妍</t>
  </si>
  <si>
    <t xml:space="preserve">49%%</t>
  </si>
  <si>
    <t xml:space="preserve">FD-093331</t>
  </si>
  <si>
    <t xml:space="preserve">甘燕平</t>
  </si>
  <si>
    <t xml:space="preserve">FD-098475</t>
  </si>
  <si>
    <t xml:space="preserve">陆贤慧</t>
  </si>
  <si>
    <t xml:space="preserve">FD-095600</t>
  </si>
  <si>
    <t xml:space="preserve">李颖妍</t>
  </si>
  <si>
    <t xml:space="preserve">FD-098975</t>
  </si>
  <si>
    <t xml:space="preserve">邓泽丽</t>
  </si>
  <si>
    <t xml:space="preserve">FD-092596</t>
  </si>
  <si>
    <t xml:space="preserve">简韵</t>
  </si>
  <si>
    <t xml:space="preserve">FD-091587</t>
  </si>
  <si>
    <t xml:space="preserve">李美美</t>
  </si>
  <si>
    <t xml:space="preserve">售后登记量</t>
  </si>
  <si>
    <t xml:space="preserve">FD-090581</t>
  </si>
  <si>
    <t xml:space="preserve">梁嘉琪</t>
  </si>
  <si>
    <t xml:space="preserve">FD-091042</t>
  </si>
  <si>
    <t xml:space="preserve">李秋静</t>
  </si>
  <si>
    <t xml:space="preserve">30%%</t>
  </si>
  <si>
    <t xml:space="preserve">FD-091806</t>
  </si>
  <si>
    <t xml:space="preserve">谭颖</t>
  </si>
  <si>
    <t xml:space="preserve">均响</t>
  </si>
  <si>
    <t xml:space="preserve">25%%</t>
  </si>
  <si>
    <t xml:space="preserve">FD-097461</t>
  </si>
  <si>
    <t xml:space="preserve">陈晨</t>
  </si>
  <si>
    <t xml:space="preserve">售后</t>
  </si>
  <si>
    <t xml:space="preserve">FD-093313</t>
  </si>
  <si>
    <t xml:space="preserve">陈玉夏</t>
  </si>
  <si>
    <t xml:space="preserve">回复</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</si>
  <si>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</si>
  <si>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</si>
  <si>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</si>
  <si>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</si>
  <si>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</si>
  <si>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</si>
  <si>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</si>
  <si>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</si>
  <si>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</si>
  <si>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</si>
  <si>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</si>
  <si>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</si>
  <si>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实习生招聘</t>
  </si>
  <si>
    <t xml:space="preserve">0.5分</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</si>
  <si>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</si>
  <si>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</si>
  <si>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</si>
  <si>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</si>
  <si>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</si>
  <si>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</si>
  <si>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赫系下架</t>
  </si>
  <si>
    <t xml:space="preserve">50条</t>
  </si>
  <si>
    <t xml:space="preserve">实际下架50条</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</si>
  <si>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</si>
  <si>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</si>
  <si>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</si>
  <si>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本月积极探索AI，产出可在同渠道复用的视频上传skill；任务完成高质高效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</si>
  <si>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</si>
  <si>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</si>
  <si>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</si>
  <si>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</si>
  <si>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</si>
  <si>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</si>
  <si>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</si>
  <si>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</si>
  <si>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</si>
  <si>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</si>
  <si>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</si>
  <si>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</si>
  <si>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本月 Fando 项目推进较为停滞，暂无新产出，项目阶段性目标未达成。但在SOP梳理工作上较为细致，能够完整梳理流程节点，沉淀标准化文档</t>
  </si>
  <si>
    <t xml:space="preserve">OD-009539</t>
  </si>
  <si>
    <t xml:space="preserve">郑依曼</t>
  </si>
  <si>
    <t xml:space="preserve">执行效率与准确性（如视频发布数量、巡店完成率、数据登记错误率等）</t>
  </si>
  <si>
    <t xml:space="preserve">AI探索进度稍滞后，进度跟进和反馈需加强</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</si>
  <si>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</si>
  <si>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</si>
  <si>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</si>
  <si>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</si>
  <si>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</si>
  <si>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OD-002176</t>
  </si>
  <si>
    <t xml:space="preserve">卢梅玲</t>
  </si>
  <si>
    <t xml:space="preserve">视频剪辑成果仍有进一步打磨提升空间；8 月将承接拼多多相关剪辑工作，望继续沉淀优化，再接再厉。</t>
  </si>
  <si>
    <t xml:space="preserve">OD-000799</t>
  </si>
  <si>
    <t xml:space="preserve">林妙华</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</si>
  <si>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</si>
  <si>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</si>
  <si>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工作状态稳定，下月可以尝试梳理0元的SOP~</t>
  </si>
  <si>
    <t xml:space="preserve">OD-002925</t>
  </si>
  <si>
    <t xml:space="preserve">张小蝶</t>
  </si>
  <si>
    <t xml:space="preserve">投放余额监控 百补在线监控 掉标申诉时效 多多视频发布合规性</t>
  </si>
  <si>
    <t xml:space="preserve">优势：在Fando的探索上有自主的想法，能够准确完成SOP梳理，执行力较强。 待提升：AI 探索层面可进一步更加积极主动，跳出既定任务，前置发现业务潜在问题，并同步配套可行的解决思路。</t>
  </si>
  <si>
    <t xml:space="preserve">OD-008900</t>
  </si>
  <si>
    <t xml:space="preserve">黄玉容</t>
  </si>
  <si>
    <t xml:space="preserve">每日必做清单（巡检、数据登记、视频发布等）的完成情况；是否按SOP要求执行工作，有无违规操作或流程偏差；是否主动发现问题、提出改进建议、承担额外任务</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</si>
  <si>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</si>
  <si>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</si>
  <si>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</si>
  <si>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</si>
  <si>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</si>
  <si>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</si>
  <si>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</si>
  <si>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</si>
  <si>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</si>
  <si>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</si>
  <si>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</si>
  <si>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</si>
  <si>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</si>
  <si>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</si>
  <si>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</si>
  <si>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</si>
  <si>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</si>
  <si>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</si>
  <si>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</si>
  <si>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</si>
  <si>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</si>
  <si>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</si>
  <si>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工作熟悉度流畅度很好，完成质量可以再提高些</t>
  </si>
  <si>
    <t xml:space="preserve">OD-002484</t>
  </si>
  <si>
    <t xml:space="preserve">曹扬华</t>
  </si>
  <si>
    <t xml:space="preserve">其他指标</t>
  </si>
  <si>
    <t xml:space="preserve">可麦全平台的日常运营工作保证和数据支持</t>
  </si>
  <si>
    <t xml:space="preserve">FD-084958</t>
  </si>
  <si>
    <t xml:space="preserve">电商经理</t>
  </si>
  <si>
    <t xml:space="preserve">范泽轩</t>
  </si>
  <si>
    <t xml:space="preserve">墨雪抖音连续3天销售额超3.5万</t>
  </si>
  <si>
    <t xml:space="preserve">三天销售额17659.81，19286.85，17982.62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</si>
  <si>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</si>
  <si>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</si>
  <si>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</si>
  <si>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</si>
  <si>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</si>
  <si>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</si>
  <si>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</si>
  <si>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</si>
  <si>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</si>
  <si>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</si>
  <si>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</si>
  <si>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</si>
  <si>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</si>
  <si>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</si>
  <si>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</si>
  <si>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</si>
  <si>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</si>
  <si>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</si>
  <si>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</si>
  <si>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</si>
  <si>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</si>
  <si>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FD-023018</t>
  </si>
  <si>
    <t xml:space="preserve">视频编辑</t>
  </si>
  <si>
    <t xml:space="preserve">陈广聪</t>
  </si>
  <si>
    <t xml:space="preserve">个人折算后成交额达100w</t>
  </si>
  <si>
    <t xml:space="preserve">100万元</t>
  </si>
  <si>
    <t xml:space="preserve">达标</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</si>
  <si>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</si>
  <si>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</si>
  <si>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</si>
  <si>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</si>
  <si>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</si>
  <si>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</si>
  <si>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FD-026487</t>
  </si>
  <si>
    <t xml:space="preserve">何金芝</t>
  </si>
  <si>
    <t xml:space="preserve">自产大投素材产出</t>
  </si>
  <si>
    <t xml:space="preserve">自产创意方向突破及大投素材产出：眼膜/面膜单条新素材成交&gt;10万，次抛/微针单条素材成交&gt;5万，燕窝&gt;3万</t>
  </si>
  <si>
    <t xml:space="preserve">微针4条大于5万，眼膜5条大于10万</t>
  </si>
  <si>
    <t xml:space="preserve">FD-027130</t>
  </si>
  <si>
    <t xml:space="preserve">马鸿涛</t>
  </si>
  <si>
    <t xml:space="preserve">个人总成交额目标140w</t>
  </si>
  <si>
    <t xml:space="preserve">212.9342万元万元</t>
  </si>
  <si>
    <t xml:space="preserve">FD-027853</t>
  </si>
  <si>
    <t xml:space="preserve">曾颖</t>
  </si>
  <si>
    <t xml:space="preserve">以WIS全品类各平台（千川/视频号）的个人素材扣退成交额为准，折算规则参考绩效方案。</t>
  </si>
  <si>
    <t xml:space="preserve">103万元万元</t>
  </si>
  <si>
    <t xml:space="preserve">FD-020772</t>
  </si>
  <si>
    <t xml:space="preserve">陈俞婷</t>
  </si>
  <si>
    <t xml:space="preserve">8.72814万元</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</si>
  <si>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</si>
  <si>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</si>
  <si>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</si>
  <si>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</si>
  <si>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</si>
  <si>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</si>
  <si>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</si>
  <si>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</si>
  <si>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</si>
  <si>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</si>
  <si>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FD-156080</t>
  </si>
  <si>
    <t xml:space="preserve">刘敏娜</t>
  </si>
  <si>
    <t xml:space="preserve">人资行政部：1295125.36</t>
  </si>
  <si>
    <t xml:space="preserve">1295125.36元</t>
  </si>
  <si>
    <t xml:space="preserve">1289007.63元</t>
  </si>
  <si>
    <t xml:space="preserve">FD-157065</t>
  </si>
  <si>
    <t xml:space="preserve">霍雨佳</t>
  </si>
  <si>
    <t xml:space="preserve">员工关系2.0</t>
  </si>
  <si>
    <t xml:space="preserve">市场7.20前商务PR迭代2人，广告7.30前摄像师迭代2人</t>
  </si>
  <si>
    <t xml:space="preserve">4人</t>
  </si>
  <si>
    <t xml:space="preserve">FD-150605</t>
  </si>
  <si>
    <t xml:space="preserve">时敏</t>
  </si>
  <si>
    <t xml:space="preserve">电商发展部1955865.36元</t>
  </si>
  <si>
    <t xml:space="preserve">FD-151649</t>
  </si>
  <si>
    <t xml:space="preserve">钱含韵</t>
  </si>
  <si>
    <t xml:space="preserve">【人力预算】品牌营销部2705290.95元</t>
  </si>
  <si>
    <t xml:space="preserve">9人面谈已完成，AI激励方案总监未审核</t>
  </si>
  <si>
    <t xml:space="preserve">FD-151167</t>
  </si>
  <si>
    <t xml:space="preserve">李宁</t>
  </si>
  <si>
    <t xml:space="preserve">线下渠道部1245292.32元</t>
  </si>
  <si>
    <t xml:space="preserve">FD-150574</t>
  </si>
  <si>
    <t xml:space="preserve">阮可莹</t>
  </si>
  <si>
    <t xml:space="preserve">品牌创意部1832058.48元</t>
  </si>
  <si>
    <t xml:space="preserve">183.2万元</t>
  </si>
  <si>
    <t xml:space="preserve">169.6万元</t>
  </si>
  <si>
    <t xml:space="preserve">线下有开展实操会议和奖金激励</t>
  </si>
  <si>
    <t xml:space="preserve">FD-155005</t>
  </si>
  <si>
    <t xml:space="preserve">陈氏红琼</t>
  </si>
  <si>
    <t xml:space="preserve">梳理海外事业部整体编制与人力预算</t>
  </si>
  <si>
    <t xml:space="preserve">已完成%</t>
  </si>
  <si>
    <t xml:space="preserve">已完成品创新人培训营、AI全员培训课程搭建并落地</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</si>
  <si>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</si>
  <si>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</si>
  <si>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</si>
  <si>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</si>
  <si>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</si>
  <si>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</si>
  <si>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</si>
  <si>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</si>
  <si>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</si>
  <si>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FD-028493</t>
  </si>
  <si>
    <t xml:space="preserve">李爽</t>
  </si>
  <si>
    <t xml:space="preserve">38.1万元</t>
  </si>
  <si>
    <t xml:space="preserve">FD-023807</t>
  </si>
  <si>
    <t xml:space="preserve">梁瑜涵</t>
  </si>
  <si>
    <t xml:space="preserve">直播间GSV≥1105 万</t>
  </si>
  <si>
    <t xml:space="preserve">实际完成543.9万</t>
  </si>
  <si>
    <t xml:space="preserve">世界杯场次时销/转化高于平均.+新稿件撰写（次抛+轮播）</t>
  </si>
  <si>
    <t xml:space="preserve">FD-026339</t>
  </si>
  <si>
    <t xml:space="preserve">鲍敏纳</t>
  </si>
  <si>
    <t xml:space="preserve">视频号渠道直播间GSV≥195万</t>
  </si>
  <si>
    <t xml:space="preserve">195万</t>
  </si>
  <si>
    <t xml:space="preserve">143.7万</t>
  </si>
  <si>
    <t xml:space="preserve">FD-024035</t>
  </si>
  <si>
    <t xml:space="preserve">曾泳淇</t>
  </si>
  <si>
    <t xml:space="preserve">直播间GSV≥1014万</t>
  </si>
  <si>
    <t xml:space="preserve">1014万</t>
  </si>
  <si>
    <t xml:space="preserve">759.2万</t>
  </si>
  <si>
    <t xml:space="preserve">结合视频号渠道的测品需求，全面更新燕窝面膜、微针面膜和次抛精华的沟通稿件</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</si>
  <si>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</si>
  <si>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</si>
  <si>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</si>
  <si>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</si>
  <si>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</si>
  <si>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</si>
  <si>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</si>
  <si>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</si>
  <si>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</si>
  <si>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</si>
  <si>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</si>
  <si>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</si>
  <si>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</si>
  <si>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</si>
  <si>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</si>
  <si>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</si>
  <si>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FD-023150</t>
  </si>
  <si>
    <t xml:space="preserve">叶铭康</t>
  </si>
  <si>
    <t xml:space="preserve">50%助理复盘+50%末位面谈</t>
  </si>
  <si>
    <t xml:space="preserve">助理复盘保持每周进行中，末位淘汰在7月末正常进行，官旗、王鸥各淘汰一名助理</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</si>
  <si>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</si>
  <si>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</si>
  <si>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</si>
  <si>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</si>
  <si>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</si>
  <si>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</si>
  <si>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</si>
  <si>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末位面谈完成率</t>
  </si>
  <si>
    <t xml:space="preserve">对绩效排名末尾助理面谈，提出问题并解决 完成率=实际完成数量/目标数量，目标每月定计划时进行确认</t>
  </si>
  <si>
    <t xml:space="preserve">FD-093555</t>
  </si>
  <si>
    <t xml:space="preserve">宋金南</t>
  </si>
  <si>
    <t xml:space="preserve">需求完成率</t>
  </si>
  <si>
    <t xml:space="preserve">FD-098100</t>
  </si>
  <si>
    <t xml:space="preserve">张思源</t>
  </si>
  <si>
    <t xml:space="preserve">银金达膜袋辅助议价（无降本）、艾利辅助（未落地）、日期码（未落地）</t>
  </si>
  <si>
    <t xml:space="preserve">降本目标达成率</t>
  </si>
  <si>
    <t xml:space="preserve">FD-091451</t>
  </si>
  <si>
    <t xml:space="preserve">刘言钰</t>
  </si>
  <si>
    <t xml:space="preserve">供应商开发指标</t>
  </si>
  <si>
    <t xml:space="preserve">供应商开发</t>
  </si>
  <si>
    <t xml:space="preserve">粉碎机寻源</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</si>
  <si>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</si>
  <si>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</si>
  <si>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</si>
  <si>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</si>
  <si>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</si>
  <si>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</si>
  <si>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</si>
  <si>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</si>
  <si>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中心AI工作</t>
  </si>
  <si>
    <t xml:space="preserve">FD-080758</t>
  </si>
  <si>
    <t xml:space="preserve">蒋晴</t>
  </si>
  <si>
    <t xml:space="preserve">KONO秋500ml7.31大货出货</t>
  </si>
  <si>
    <t xml:space="preserve">7.27到仓</t>
  </si>
  <si>
    <t xml:space="preserve">FD-079493</t>
  </si>
  <si>
    <t xml:space="preserve">刘乃瑶</t>
  </si>
  <si>
    <t xml:space="preserve">KONO免洗洗发水软管版 7.20前下大货订单</t>
  </si>
  <si>
    <t xml:space="preserve">7.31灌包完成</t>
  </si>
  <si>
    <t xml:space="preserve">FD-094205</t>
  </si>
  <si>
    <t xml:space="preserve">杨文霞</t>
  </si>
  <si>
    <t xml:space="preserve">KONO 卡厘控油蓬松洗发水2.0 7.30出货</t>
  </si>
  <si>
    <t xml:space="preserve">FD-091127</t>
  </si>
  <si>
    <t xml:space="preserve">张昊</t>
  </si>
  <si>
    <t xml:space="preserve">7.29前完成柔感2.0出货</t>
  </si>
  <si>
    <t xml:space="preserve">FD-099551</t>
  </si>
  <si>
    <t xml:space="preserve">郑诗怡</t>
  </si>
  <si>
    <t xml:space="preserve">完成项目管理初期培训</t>
  </si>
  <si>
    <t xml:space="preserve">FD-074794</t>
  </si>
  <si>
    <t xml:space="preserve">罗莉</t>
  </si>
  <si>
    <t xml:space="preserve">40万</t>
  </si>
  <si>
    <t xml:space="preserve">15.8万</t>
  </si>
  <si>
    <t xml:space="preserve">FD-079716</t>
  </si>
  <si>
    <t xml:space="preserve">孙靖凯</t>
  </si>
  <si>
    <t xml:space="preserve">26.4万元</t>
  </si>
  <si>
    <t xml:space="preserve">FD-073151</t>
  </si>
  <si>
    <t xml:space="preserve">线下渠道部-KONO-KONO销售A中心-华南区</t>
  </si>
  <si>
    <t xml:space="preserve">马艳</t>
  </si>
  <si>
    <t xml:space="preserve">28.2万</t>
  </si>
  <si>
    <t xml:space="preserve">FD-079634</t>
  </si>
  <si>
    <t xml:space="preserve">线下渠道部-KONO-KONO销售A中心-华北区</t>
  </si>
  <si>
    <t xml:space="preserve">张冰</t>
  </si>
  <si>
    <t xml:space="preserve">总出货金额</t>
  </si>
  <si>
    <t xml:space="preserve">50万元</t>
  </si>
  <si>
    <t xml:space="preserve">49.7万元</t>
  </si>
  <si>
    <t xml:space="preserve">FD-078857</t>
  </si>
  <si>
    <t xml:space="preserve">线下渠道部-KONO-KONO销售A中心-东北区</t>
  </si>
  <si>
    <t xml:space="preserve">何诗童</t>
  </si>
  <si>
    <t xml:space="preserve">30万</t>
  </si>
  <si>
    <t xml:space="preserve">11.8万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</si>
  <si>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</si>
  <si>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</si>
  <si>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</si>
  <si>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</si>
  <si>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</si>
  <si>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</si>
  <si>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</si>
  <si>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FD-101501</t>
  </si>
  <si>
    <t xml:space="preserve">李桃</t>
  </si>
  <si>
    <t xml:space="preserve">定性类关键工作，如关键单品、研究节点、重点设计项目</t>
  </si>
  <si>
    <t xml:space="preserve">完成环5肽的通路验证实验</t>
  </si>
  <si>
    <t xml:space="preserve">25万</t>
  </si>
  <si>
    <t xml:space="preserve">FD-108201</t>
  </si>
  <si>
    <t xml:space="preserve">凡岛研究院-产品设计中心</t>
  </si>
  <si>
    <t xml:space="preserve">设计高级经理</t>
  </si>
  <si>
    <t xml:space="preserve">王思潼</t>
  </si>
  <si>
    <t xml:space="preserve">凡岛2026中秋礼盒</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</si>
  <si>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</si>
  <si>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</si>
  <si>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</si>
  <si>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</si>
  <si>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</si>
  <si>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OD-001008</t>
  </si>
  <si>
    <t xml:space="preserve">王巧微</t>
  </si>
  <si>
    <t xml:space="preserve">岗位招聘计划完成率</t>
  </si>
  <si>
    <t xml:space="preserve">主播+助理入职4人</t>
  </si>
  <si>
    <t xml:space="preserve">当月入职4，下月待入职1</t>
  </si>
  <si>
    <t xml:space="preserve">FD-151227</t>
  </si>
  <si>
    <t xml:space="preserve">直播BP</t>
  </si>
  <si>
    <t xml:space="preserve">梁晨</t>
  </si>
  <si>
    <t xml:space="preserve">业务协同分享</t>
  </si>
  <si>
    <t xml:space="preserve">OD-006285</t>
  </si>
  <si>
    <t xml:space="preserve">马茵桐</t>
  </si>
  <si>
    <t xml:space="preserve">招聘实战技能竞技赛</t>
  </si>
  <si>
    <t xml:space="preserve">FD-159340</t>
  </si>
  <si>
    <t xml:space="preserve">李双凝</t>
  </si>
  <si>
    <t xml:space="preserve">入职7，通过6</t>
  </si>
  <si>
    <t xml:space="preserve">SX-004970</t>
  </si>
  <si>
    <t xml:space="preserve">招聘实习生</t>
  </si>
  <si>
    <t xml:space="preserve">李梓恒</t>
  </si>
  <si>
    <t xml:space="preserve">【直播招聘中心】-新人主播-招聘实习生</t>
  </si>
  <si>
    <t xml:space="preserve">实习生招聘结果</t>
  </si>
  <si>
    <t xml:space="preserve">高级主播试播1人</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</si>
  <si>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</si>
  <si>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</si>
  <si>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</si>
  <si>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</si>
  <si>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</si>
  <si>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</si>
  <si>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</si>
  <si>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</si>
  <si>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</si>
  <si>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</si>
  <si>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</si>
  <si>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</si>
  <si>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</si>
  <si>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</si>
  <si>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</si>
  <si>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</si>
  <si>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</si>
  <si>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</si>
  <si>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</si>
  <si>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</si>
  <si>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</si>
  <si>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</si>
  <si>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</si>
  <si>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</si>
  <si>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</si>
  <si>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</si>
  <si>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</si>
  <si>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</si>
  <si>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</si>
  <si>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</si>
  <si>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</si>
  <si>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</si>
  <si>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</si>
  <si>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塑料瓶、彩盒、不干胶成本分析模型</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</si>
  <si>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</si>
  <si>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</si>
  <si>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</si>
  <si>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</si>
  <si>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</si>
  <si>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</si>
  <si>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90分</t>
  </si>
  <si>
    <t xml:space="preserve">隐形水润4.0:7.22已完成外检功效报告 赫系柔感洗发水：7.25已出货 KONO控油奢护洗发水配方升级：由于设计确版逾期，7.27下推打样，预计8.10打样完成。 赫系赋活发膜3.0：7.20已出货。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</si>
  <si>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</si>
  <si>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</si>
  <si>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</si>
  <si>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</si>
  <si>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</si>
  <si>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</si>
  <si>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</si>
  <si>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FD-077506</t>
  </si>
  <si>
    <t xml:space="preserve">寻源高级经理</t>
  </si>
  <si>
    <t xml:space="preserve">朱丹萍</t>
  </si>
  <si>
    <t xml:space="preserve">产品供应部-寻源中心-寻源高级经理绩效方案2604</t>
  </si>
  <si>
    <t xml:space="preserve">降本金额目标达成率</t>
  </si>
  <si>
    <t xml:space="preserve">控制客诉赔付及货损</t>
  </si>
  <si>
    <t xml:space="preserve">37.7万元</t>
  </si>
  <si>
    <t xml:space="preserve">98.6806万元</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</si>
  <si>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</si>
  <si>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</si>
  <si>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</si>
  <si>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</si>
  <si>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</si>
  <si>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</si>
  <si>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5个</t>
  </si>
  <si>
    <t xml:space="preserve">7月发布达人5位：李大猛子、庸俗故事、樱桃、宁海宁海、婚后这七年</t>
  </si>
  <si>
    <t xml:space="preserve">FD-059697</t>
  </si>
  <si>
    <t xml:space="preserve">黎雨婷</t>
  </si>
  <si>
    <t xml:space="preserve">KOC-新增合作有效账号量-付费</t>
  </si>
  <si>
    <t xml:space="preserve">新有效达人账号&gt;20(原片成交&gt;2000)</t>
  </si>
  <si>
    <t xml:space="preserve">20个</t>
  </si>
  <si>
    <t xml:space="preserve">19个</t>
  </si>
  <si>
    <t xml:space="preserve">已完成7个完整文档，对应skill已整理生成，可直接复用，维度已覆盖：大盘、品牌、达人、机构</t>
  </si>
  <si>
    <t xml:space="preserve">FD-058602</t>
  </si>
  <si>
    <t xml:space="preserve">权思韵</t>
  </si>
  <si>
    <t xml:space="preserve">可麦新付费koc成交大于1w的数量&gt;2个</t>
  </si>
  <si>
    <t xml:space="preserve">付费成交大于1w为0个</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</si>
  <si>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</si>
  <si>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</si>
  <si>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</si>
  <si>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</si>
  <si>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</si>
  <si>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</si>
  <si>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</si>
  <si>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</si>
  <si>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</si>
  <si>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</si>
  <si>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</si>
  <si>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</si>
  <si>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</si>
  <si>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</si>
  <si>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</si>
  <si>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FD-038918</t>
  </si>
  <si>
    <t xml:space="preserve">敖艺萱</t>
  </si>
  <si>
    <t xml:space="preserve">项目费比</t>
  </si>
  <si>
    <t xml:space="preserve">项目扣退后成交160w,费比目标55%,超出2%则该项清零</t>
  </si>
  <si>
    <t xml:space="preserve">得分按照业务项得分计算</t>
  </si>
  <si>
    <t xml:space="preserve">FD-049372</t>
  </si>
  <si>
    <t xml:space="preserve">汪清莹</t>
  </si>
  <si>
    <t xml:space="preserve">素材成交额</t>
  </si>
  <si>
    <t xml:space="preserve">6.20-7.19新产出素材在7.1-7.31的成交额为40w</t>
  </si>
  <si>
    <t xml:space="preserve">18.510769万元</t>
  </si>
  <si>
    <t xml:space="preserve">7月成交固定：295245.22 6月成交固定：204969.47 增量：90,275.75 占比：0.44</t>
  </si>
  <si>
    <t xml:space="preserve">FD-049763</t>
  </si>
  <si>
    <t xml:space="preserve">戚俊杰</t>
  </si>
  <si>
    <t xml:space="preserve">成交额：抖店发膜成交1200w，利润率-3.4%</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</si>
  <si>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</si>
  <si>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</si>
  <si>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</si>
  <si>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</si>
  <si>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</si>
  <si>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</si>
  <si>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150万元</t>
  </si>
  <si>
    <t xml:space="preserve">315万元</t>
  </si>
  <si>
    <t xml:space="preserve">OD-006480</t>
  </si>
  <si>
    <t xml:space="preserve">黄思柔</t>
  </si>
  <si>
    <t xml:space="preserve">OD-008379</t>
  </si>
  <si>
    <t xml:space="preserve">郑翼鸣</t>
  </si>
  <si>
    <t 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</si>
  <si>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</si>
  <si>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</si>
  <si>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</si>
  <si>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</si>
  <si>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</si>
  <si>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</si>
  <si>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</si>
  <si>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</si>
  <si>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</si>
  <si>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</si>
  <si>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</si>
  <si>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FD-159908</t>
  </si>
  <si>
    <t xml:space="preserve">HR高级经理</t>
  </si>
  <si>
    <t xml:space="preserve">邹梦婉</t>
  </si>
  <si>
    <t xml:space="preserve">完成72岛民，23位主管访谈；完成初版分析报告</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</si>
  <si>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</si>
  <si>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</si>
  <si>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</si>
  <si>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</si>
  <si>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</si>
  <si>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</si>
  <si>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</si>
  <si>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</si>
  <si>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</si>
  <si>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</si>
  <si>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</si>
  <si>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</si>
  <si>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</si>
  <si>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FD-155452</t>
  </si>
  <si>
    <t xml:space="preserve">人资行政部-从化中心</t>
  </si>
  <si>
    <t xml:space="preserve">人资行政高级经理</t>
  </si>
  <si>
    <t xml:space="preserve">王慧怡</t>
  </si>
  <si>
    <t xml:space="preserve">生产组长1、质量安全负责人1、设备技术员 1</t>
  </si>
  <si>
    <t xml:space="preserve">1人</t>
  </si>
  <si>
    <t xml:space="preserve">中秋礼盒设计项目过审</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</si>
  <si>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</si>
  <si>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</si>
  <si>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</si>
  <si>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</si>
  <si>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</si>
  <si>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</si>
  <si>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FD-158754</t>
  </si>
  <si>
    <t xml:space="preserve">直播招聘高级经理</t>
  </si>
  <si>
    <t xml:space="preserve">崔思然</t>
  </si>
  <si>
    <t xml:space="preserve">调岗全发</t>
  </si>
  <si>
    <t xml:space="preserve">涉及多个岗位完成16人</t>
  </si>
  <si>
    <t xml:space="preserve">FD-098685</t>
  </si>
  <si>
    <t xml:space="preserve">供应链高级经理</t>
  </si>
  <si>
    <t xml:space="preserve">王誉炫</t>
  </si>
  <si>
    <t xml:space="preserve">产品供应部-供应中心-供应高级经理2607</t>
  </si>
  <si>
    <t xml:space="preserve">报废金额指标</t>
  </si>
  <si>
    <t xml:space="preserve">物料报废</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</si>
  <si>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</si>
  <si>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</si>
  <si>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</si>
  <si>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</si>
  <si>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</si>
  <si>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</si>
  <si>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</si>
  <si>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</si>
  <si>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</si>
  <si>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</si>
  <si>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</si>
  <si>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</si>
  <si>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</si>
  <si>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</si>
  <si>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</si>
  <si>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抖店不达标1，天猫不达标2，其余20达标</t>
  </si>
  <si>
    <t xml:space="preserve">人才培养指标完成率</t>
  </si>
  <si>
    <t xml:space="preserve">OD-008197</t>
  </si>
  <si>
    <t xml:space="preserve">冯梦丽</t>
  </si>
  <si>
    <t xml:space="preserve">702,559.89万元</t>
  </si>
  <si>
    <t xml:space="preserve">OD-000847</t>
  </si>
  <si>
    <t xml:space="preserve">梁华铮</t>
  </si>
  <si>
    <t xml:space="preserve">421,678.25万元</t>
  </si>
  <si>
    <t xml:space="preserve">SQ-008193</t>
  </si>
  <si>
    <t xml:space="preserve">营销策划实习生</t>
  </si>
  <si>
    <t xml:space="preserve">刘萌萌</t>
  </si>
  <si>
    <t xml:space="preserve">619,433.64万元</t>
  </si>
  <si>
    <t xml:space="preserve">OD-009167</t>
  </si>
  <si>
    <t xml:space="preserve">韦中营</t>
  </si>
  <si>
    <t xml:space="preserve">创新内容</t>
  </si>
  <si>
    <t xml:space="preserve">OD-007281</t>
  </si>
  <si>
    <t xml:space="preserve">段雪</t>
  </si>
  <si>
    <t xml:space="preserve">702559.89万元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</si>
  <si>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</si>
  <si>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</si>
  <si>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</si>
  <si>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</si>
  <si>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</si>
  <si>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</si>
  <si>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FD-227908</t>
  </si>
  <si>
    <t xml:space="preserve">罗焯航</t>
  </si>
  <si>
    <t xml:space="preserve">定时获取D计划品牌营销部、广告策划部的星图平台根数据</t>
  </si>
  <si>
    <t xml:space="preserve">FD-229977</t>
  </si>
  <si>
    <t xml:space="preserve">刘雄昊</t>
  </si>
  <si>
    <t xml:space="preserve">D计划项目开发</t>
  </si>
  <si>
    <t xml:space="preserve">FD-224398</t>
  </si>
  <si>
    <t xml:space="preserve">蔡灿</t>
  </si>
  <si>
    <t xml:space="preserve">及时响应并解决财报系统反馈群内月财报出现的问题</t>
  </si>
  <si>
    <t xml:space="preserve">91%%%</t>
  </si>
  <si>
    <t xml:space="preserve">FD-222573</t>
  </si>
  <si>
    <t xml:space="preserve">运维工程师</t>
  </si>
  <si>
    <t xml:space="preserve">陈化冰</t>
  </si>
  <si>
    <t xml:space="preserve">及时响应并处理运维工单，解决大家的问题，本月完成工单205单，平均耗时0.2小时</t>
  </si>
  <si>
    <t xml:space="preserve">FD-221053</t>
  </si>
  <si>
    <t xml:space="preserve">陈洪彪</t>
  </si>
  <si>
    <t xml:space="preserve">有效决议贡献</t>
  </si>
  <si>
    <t xml:space="preserve">品创、广策、品营、线下的D计划项目推进</t>
  </si>
  <si>
    <t xml:space="preserve">完成90%</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</si>
  <si>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</si>
  <si>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</si>
  <si>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</si>
  <si>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</si>
  <si>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</si>
  <si>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</si>
  <si>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</si>
  <si>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</si>
  <si>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</si>
  <si>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</si>
  <si>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</si>
  <si>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</si>
  <si>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</si>
  <si>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</si>
  <si>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</si>
  <si>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</si>
  <si>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</si>
  <si>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</si>
  <si>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</si>
  <si>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</si>
  <si>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</si>
  <si>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</si>
  <si>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</si>
  <si>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</si>
  <si>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已完成模拟谈判并复盘</t>
  </si>
  <si>
    <t xml:space="preserve">FD-038090</t>
  </si>
  <si>
    <t xml:space="preserve">马连婧</t>
  </si>
  <si>
    <t xml:space="preserve">310万元</t>
  </si>
  <si>
    <t xml:space="preserve">1491,334.29万元</t>
  </si>
  <si>
    <t xml:space="preserve">kono精选直播间GSV1491,334.29</t>
  </si>
  <si>
    <t xml:space="preserve">FD-033430</t>
  </si>
  <si>
    <t xml:space="preserve">傅若萱</t>
  </si>
  <si>
    <t xml:space="preserve">直播间7月GSV279万元</t>
  </si>
  <si>
    <t xml:space="preserve">279万元</t>
  </si>
  <si>
    <t xml:space="preserve">190.62万元</t>
  </si>
  <si>
    <t xml:space="preserve">GSV190.62万元</t>
  </si>
  <si>
    <t xml:space="preserve">FD-030877</t>
  </si>
  <si>
    <t xml:space="preserve">陈柏名</t>
  </si>
  <si>
    <t xml:space="preserve">日常运营</t>
  </si>
  <si>
    <t xml:space="preserve">无出错并准时准确完成日常运营</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</si>
  <si>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</si>
  <si>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</si>
  <si>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</si>
  <si>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</si>
  <si>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</si>
  <si>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</si>
  <si>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</si>
  <si>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</si>
  <si>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无出错并准时准确完成要求</t>
  </si>
  <si>
    <t xml:space="preserve">FD-064727</t>
  </si>
  <si>
    <t xml:space="preserve">肖钦月</t>
  </si>
  <si>
    <t xml:space="preserve">所负责渠道收入小计125w</t>
  </si>
  <si>
    <t xml:space="preserve">125万元</t>
  </si>
  <si>
    <t xml:space="preserve">124.9万元</t>
  </si>
  <si>
    <t xml:space="preserve">京东63.7万，唯品会61.2万</t>
  </si>
  <si>
    <t xml:space="preserve">FD-044596</t>
  </si>
  <si>
    <t xml:space="preserve">余筝</t>
  </si>
  <si>
    <t xml:space="preserve">快手渠道销售额350w</t>
  </si>
  <si>
    <t xml:space="preserve">350万元</t>
  </si>
  <si>
    <t xml:space="preserve">392.1万元</t>
  </si>
  <si>
    <t xml:space="preserve">快手渠道销售额392.1w</t>
  </si>
  <si>
    <t xml:space="preserve">FD-065164</t>
  </si>
  <si>
    <t xml:space="preserve">龚云强</t>
  </si>
  <si>
    <t xml:space="preserve">快手渠道销售额350万</t>
  </si>
  <si>
    <t xml:space="preserve">392万元</t>
  </si>
  <si>
    <t xml:space="preserve">独立用AI工具0-1产出所需要的画面,所产出AI开头/AI为主体的素材成交0.02W</t>
  </si>
  <si>
    <t xml:space="preserve">FD-064603</t>
  </si>
  <si>
    <t xml:space="preserve">李志锋</t>
  </si>
  <si>
    <t xml:space="preserve">天猫渠道销售额145w</t>
  </si>
  <si>
    <t xml:space="preserve">137.4万元</t>
  </si>
  <si>
    <t xml:space="preserve">7月目标145万，实际完成137.4万</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</si>
  <si>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</si>
  <si>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</si>
  <si>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</si>
  <si>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</si>
  <si>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</si>
  <si>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连续3日峰值日均1.5w</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</si>
  <si>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</si>
  <si>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</si>
  <si>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</si>
  <si>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</si>
  <si>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</si>
  <si>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</si>
  <si>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</si>
  <si>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</si>
  <si>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</si>
  <si>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</si>
  <si>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</si>
  <si>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OD-005652</t>
  </si>
  <si>
    <t xml:space="preserve">陈永琪</t>
  </si>
  <si>
    <t xml:space="preserve">6.20-7.31产出的混剪素材，在快手7月成交10w</t>
  </si>
  <si>
    <t xml:space="preserve">32.9万元</t>
  </si>
  <si>
    <t xml:space="preserve">已超额完成素材成交指标</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</si>
  <si>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</si>
  <si>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</si>
  <si>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</si>
  <si>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</si>
  <si>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</si>
  <si>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</si>
  <si>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</si>
  <si>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</si>
  <si>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</si>
  <si>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素材上传数量有扣分点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</si>
  <si>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</si>
  <si>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</si>
  <si>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</si>
  <si>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</si>
  <si>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</si>
  <si>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</si>
  <si>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</si>
  <si>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</si>
  <si>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</si>
  <si>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</si>
  <si>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</si>
  <si>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</si>
  <si>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</si>
  <si>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FD-048014</t>
  </si>
  <si>
    <t xml:space="preserve">陈志歌</t>
  </si>
  <si>
    <t xml:space="preserve">发膜抖店销售额1200w</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</si>
  <si>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</si>
  <si>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</si>
  <si>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</si>
  <si>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</si>
  <si>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</si>
  <si>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</si>
  <si>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</si>
  <si>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FD-029514</t>
  </si>
  <si>
    <t xml:space="preserve">张鑫露</t>
  </si>
  <si>
    <t xml:space="preserve">【结果指标】小组混剪素材产出微信豆GSV330w</t>
  </si>
  <si>
    <t xml:space="preserve">OD-004267</t>
  </si>
  <si>
    <t xml:space="preserve">陈静诗</t>
  </si>
  <si>
    <t xml:space="preserve">772.6万元万元</t>
  </si>
  <si>
    <t xml:space="preserve">OD-007771</t>
  </si>
  <si>
    <t xml:space="preserve">陈国权</t>
  </si>
  <si>
    <t xml:space="preserve">个人混剪素材达110wGSV</t>
  </si>
  <si>
    <t xml:space="preserve">110万元</t>
  </si>
  <si>
    <t xml:space="preserve">344.69万元</t>
  </si>
  <si>
    <t xml:space="preserve">FD-028451</t>
  </si>
  <si>
    <t xml:space="preserve">向可可</t>
  </si>
  <si>
    <t xml:space="preserve">个人混剪素材产出110万</t>
  </si>
  <si>
    <t xml:space="preserve">10824556.49%%%</t>
  </si>
  <si>
    <t xml:space="preserve">OD-008682</t>
  </si>
  <si>
    <t xml:space="preserve">肖绮雯</t>
  </si>
  <si>
    <t xml:space="preserve">个人混剪素材产出微信豆GSV85w</t>
  </si>
  <si>
    <t xml:space="preserve">85万元</t>
  </si>
  <si>
    <t xml:space="preserve">84.637226万元</t>
  </si>
  <si>
    <t xml:space="preserve">全部完成</t>
  </si>
  <si>
    <t xml:space="preserve">OD-001161</t>
  </si>
  <si>
    <t xml:space="preserve">林建宇</t>
  </si>
  <si>
    <t xml:space="preserve">个人混剪素材产出微信豆110W</t>
  </si>
  <si>
    <t xml:space="preserve">57%%</t>
  </si>
  <si>
    <t xml:space="preserve">FD-020954</t>
  </si>
  <si>
    <t xml:space="preserve">陈凯涛</t>
  </si>
  <si>
    <t xml:space="preserve">二创-创新项</t>
  </si>
  <si>
    <t xml:space="preserve">产出新大投文案8w+开头3条</t>
  </si>
  <si>
    <t xml:space="preserve">3条</t>
  </si>
  <si>
    <t xml:space="preserve">2条条</t>
  </si>
  <si>
    <t xml:space="preserve">OD-008959</t>
  </si>
  <si>
    <t xml:space="preserve">陈胜晨</t>
  </si>
  <si>
    <t xml:space="preserve">53万元万元万元</t>
  </si>
  <si>
    <t xml:space="preserve">FD-028577</t>
  </si>
  <si>
    <t xml:space="preserve">施钰荧</t>
  </si>
  <si>
    <t xml:space="preserve">gsv</t>
  </si>
  <si>
    <t xml:space="preserve">93.9万元</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</si>
  <si>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</si>
  <si>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</si>
  <si>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</si>
  <si>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</si>
  <si>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</si>
  <si>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</si>
  <si>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</si>
  <si>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</si>
  <si>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SQ-006620</t>
  </si>
  <si>
    <t xml:space="preserve">傅瑶</t>
  </si>
  <si>
    <t xml:space="preserve">0.0712w</t>
  </si>
  <si>
    <t xml:space="preserve">7月份总共筛选达人237人，过审达人113人</t>
  </si>
  <si>
    <t xml:space="preserve">OD-000761</t>
  </si>
  <si>
    <t xml:space="preserve">王煜</t>
  </si>
  <si>
    <t xml:space="preserve">【结果指标】落地/跟进达人原片GSV*1+混剪GSV*0.5 15w</t>
  </si>
  <si>
    <t xml:space="preserve">0w</t>
  </si>
  <si>
    <t xml:space="preserve">已分发</t>
  </si>
  <si>
    <t xml:space="preserve">FD-066576</t>
  </si>
  <si>
    <t xml:space="preserve">电商发展部-KONO渠道A中心</t>
  </si>
  <si>
    <t xml:space="preserve">张正豪</t>
  </si>
  <si>
    <t xml:space="preserve">211万元</t>
  </si>
  <si>
    <t xml:space="preserve">186.6万元</t>
  </si>
  <si>
    <t xml:space="preserve">FD-061629</t>
  </si>
  <si>
    <t xml:space="preserve">张婷婷</t>
  </si>
  <si>
    <t xml:space="preserve">天猫销售额140w</t>
  </si>
  <si>
    <t xml:space="preserve">158.26万元</t>
  </si>
  <si>
    <t xml:space="preserve">天猫销售额1582630.16</t>
  </si>
  <si>
    <t xml:space="preserve">FD-067173</t>
  </si>
  <si>
    <t xml:space="preserve">张颖</t>
  </si>
  <si>
    <t xml:space="preserve">快手销售额</t>
  </si>
  <si>
    <t xml:space="preserve">9.63万元</t>
  </si>
  <si>
    <t xml:space="preserve">淘客渠道正常机制成交37.13w</t>
  </si>
  <si>
    <t xml:space="preserve">FD-063046</t>
  </si>
  <si>
    <t xml:space="preserve">李培贤</t>
  </si>
  <si>
    <t xml:space="preserve">拼多多销售额211w</t>
  </si>
  <si>
    <t xml:space="preserve">费比55%</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</si>
  <si>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</si>
  <si>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</si>
  <si>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</si>
  <si>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</si>
  <si>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</si>
  <si>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</si>
  <si>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</si>
  <si>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</si>
  <si>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</si>
  <si>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</si>
  <si>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</si>
  <si>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</si>
  <si>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</si>
  <si>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</si>
  <si>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</si>
  <si>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</si>
  <si>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</si>
  <si>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</si>
  <si>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</si>
  <si>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</si>
  <si>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</si>
  <si>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</si>
  <si>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</si>
  <si>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</si>
  <si>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</si>
  <si>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</si>
  <si>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</si>
  <si>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</si>
  <si>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</si>
  <si>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</si>
  <si>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</si>
  <si>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</si>
  <si>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FD-040207</t>
  </si>
  <si>
    <t xml:space="preserve">周鳞</t>
  </si>
  <si>
    <t xml:space="preserve">主播IP化推进</t>
  </si>
  <si>
    <t xml:space="preserve">每周帮忙剪辑全域素材两条、对接主播拍摄素材</t>
  </si>
  <si>
    <t xml:space="preserve">每周帮忙剪辑全域素材两条、对接主播拍摄素材——全部完成</t>
  </si>
  <si>
    <t xml:space="preserve">FD-027772</t>
  </si>
  <si>
    <t xml:space="preserve">罗雪原</t>
  </si>
  <si>
    <t xml:space="preserve">IP化账号曝光</t>
  </si>
  <si>
    <t xml:space="preserve">主页视频+直播曝光达到100000</t>
  </si>
  <si>
    <t xml:space="preserve">100000次</t>
  </si>
  <si>
    <t xml:space="preserve">180446次次次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</si>
  <si>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</si>
  <si>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</si>
  <si>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</si>
  <si>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</si>
  <si>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</si>
  <si>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</si>
  <si>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</si>
  <si>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</si>
  <si>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</si>
  <si>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</si>
  <si>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</si>
  <si>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</si>
  <si>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帮忙调整IP直播间灯光设备，辅助IP正常直播</t>
  </si>
  <si>
    <t xml:space="preserve">FD-076879</t>
  </si>
  <si>
    <t xml:space="preserve">物流经理</t>
  </si>
  <si>
    <t xml:space="preserve">王雪桐</t>
  </si>
  <si>
    <t xml:space="preserve">FD-093926</t>
  </si>
  <si>
    <t xml:space="preserve">邓婉思</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</si>
  <si>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</si>
  <si>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FD-093013</t>
  </si>
  <si>
    <t xml:space="preserve">柯洁</t>
  </si>
  <si>
    <t xml:space="preserve">FD-098104</t>
  </si>
  <si>
    <t xml:space="preserve">武子超</t>
  </si>
  <si>
    <t xml:space="preserve">"1. 贵阳仓：拦截费减免，退货运费降至0.5元/kg 2. 杭州仓：6月账单可麦400g2瓶装机制操作费按0.5-1KG计算，金额减免约2.6W"</t>
  </si>
  <si>
    <t xml:space="preserve">FD-091245</t>
  </si>
  <si>
    <t xml:space="preserve">刘凯</t>
  </si>
  <si>
    <t xml:space="preserve">未完全开展，周转箱规划推进中</t>
  </si>
  <si>
    <t xml:space="preserve">FD-095594</t>
  </si>
  <si>
    <t xml:space="preserve">梁柱耀</t>
  </si>
  <si>
    <t xml:space="preserve">纸箱回收新供应商已寻源，新合同修订内审完毕，等候对方盖章回传，后续到仓回收。</t>
  </si>
  <si>
    <t xml:space="preserve">OD-009907</t>
  </si>
  <si>
    <t xml:space="preserve">物流专员</t>
  </si>
  <si>
    <t xml:space="preserve">石向阳</t>
  </si>
  <si>
    <t xml:space="preserve">物流中心绩效方案2605（专员）</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</si>
  <si>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</si>
  <si>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OD-009202</t>
  </si>
  <si>
    <t xml:space="preserve">伍熙</t>
  </si>
  <si>
    <t xml:space="preserve">速通，荣庆7月电子回单10号前上传完毕；顺丰纸质单待订单完结后回寄，月中前完成；跨越华夏龙纸质已寄回</t>
  </si>
  <si>
    <t xml:space="preserve">OD-008155</t>
  </si>
  <si>
    <t xml:space="preserve">姚灿铭</t>
  </si>
  <si>
    <t xml:space="preserve">奋进、正直、自我批判、以用户为中心”</t>
  </si>
  <si>
    <t xml:space="preserve">“奋进、正直、自我批判、以用户为中心”</t>
  </si>
  <si>
    <t xml:space="preserve">OD-003221</t>
  </si>
  <si>
    <t xml:space="preserve">高颖禧</t>
  </si>
  <si>
    <t xml:space="preserve">异常高发，持续及时响应需求及异常</t>
  </si>
  <si>
    <t xml:space="preserve">FD-076847</t>
  </si>
  <si>
    <t xml:space="preserve">蒋冰清</t>
  </si>
  <si>
    <t xml:space="preserve">线下渠道部-WIS销售A中心-CS商务经理、管培生2606</t>
  </si>
  <si>
    <t xml:space="preserve">21.9万元</t>
  </si>
  <si>
    <t xml:space="preserve">FD-072418</t>
  </si>
  <si>
    <t xml:space="preserve">线下渠道部-WIS-WIS销售A中心-华中区</t>
  </si>
  <si>
    <t xml:space="preserve">马诗瑾</t>
  </si>
  <si>
    <t xml:space="preserve">月度出货</t>
  </si>
  <si>
    <t xml:space="preserve">55.3万元</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</si>
  <si>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</si>
  <si>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</si>
  <si>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</si>
  <si>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</si>
  <si>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</si>
  <si>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</si>
  <si>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</si>
  <si>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</si>
  <si>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</si>
  <si>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</si>
  <si>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</si>
  <si>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FD-083091</t>
  </si>
  <si>
    <t xml:space="preserve">姚雪</t>
  </si>
  <si>
    <t xml:space="preserve">OD团队管理&amp;培训,OD团队本月产出素材总成交150W</t>
  </si>
  <si>
    <t xml:space="preserve">116.1万元</t>
  </si>
  <si>
    <t xml:space="preserve">FD-045208</t>
  </si>
  <si>
    <t xml:space="preserve">俞文鑫</t>
  </si>
  <si>
    <t xml:space="preserve">6.20-7.31产出的素材微信豆+抖店成交30W</t>
  </si>
  <si>
    <t xml:space="preserve">30万元</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</si>
  <si>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</si>
  <si>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</si>
  <si>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</si>
  <si>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</si>
  <si>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</si>
  <si>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</si>
  <si>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完成230234.87</t>
  </si>
  <si>
    <t xml:space="preserve">FD-049772</t>
  </si>
  <si>
    <t xml:space="preserve">陈月华</t>
  </si>
  <si>
    <t xml:space="preserve">ADQ轻盈面板成交340w；回传转化ROI2.15</t>
  </si>
  <si>
    <t xml:space="preserve">340万元</t>
  </si>
  <si>
    <t xml:space="preserve">249.3万元</t>
  </si>
  <si>
    <t xml:space="preserve">ROI2.10</t>
  </si>
  <si>
    <t xml:space="preserve">FD-096977</t>
  </si>
  <si>
    <t xml:space="preserve">行政专员</t>
  </si>
  <si>
    <t xml:space="preserve">廖树清</t>
  </si>
  <si>
    <t xml:space="preserve">人资行政部-从化中心-行政专员</t>
  </si>
  <si>
    <t xml:space="preserve">物资管理安全性</t>
  </si>
  <si>
    <t xml:space="preserve">例行工作</t>
  </si>
  <si>
    <t xml:space="preserve">ROI1.62</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</si>
  <si>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</si>
  <si>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</si>
  <si>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</si>
  <si>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</si>
  <si>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</si>
  <si>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</si>
  <si>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</si>
  <si>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</si>
  <si>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</si>
  <si>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</si>
  <si>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</si>
  <si>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</si>
  <si>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</si>
  <si>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</si>
  <si>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</si>
  <si>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</si>
  <si>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170万元</t>
  </si>
  <si>
    <t xml:space="preserve">174.25万元</t>
  </si>
  <si>
    <t xml:space="preserve">ROI2.12＜2.15，ROI差值＜=0.05，得分*0.9</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</si>
  <si>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</si>
  <si>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</si>
  <si>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</si>
  <si>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</si>
  <si>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</si>
  <si>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</si>
  <si>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ROI差值大于0.15，得分*0</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</si>
  <si>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</si>
  <si>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</si>
  <si>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</si>
  <si>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</si>
  <si>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</si>
  <si>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OD-004808</t>
  </si>
  <si>
    <t xml:space="preserve">宁心如</t>
  </si>
  <si>
    <t xml:space="preserve">7月发膜微信豆个人搭建计划面板成交75W</t>
  </si>
  <si>
    <t xml:space="preserve">75万元</t>
  </si>
  <si>
    <t xml:space="preserve">408239.16万元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</si>
  <si>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</si>
  <si>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</si>
  <si>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</si>
  <si>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</si>
  <si>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</si>
  <si>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</si>
  <si>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OD-005766</t>
  </si>
  <si>
    <t xml:space="preserve">谭颂韶</t>
  </si>
  <si>
    <t xml:space="preserve">AI素材交付率95%以上</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</si>
  <si>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</si>
  <si>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</si>
  <si>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</si>
  <si>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54.9万元</t>
  </si>
  <si>
    <t xml:space="preserve">OD-006181</t>
  </si>
  <si>
    <t xml:space="preserve">陈紫茵</t>
  </si>
  <si>
    <t xml:space="preserve">34.369万元</t>
  </si>
  <si>
    <t xml:space="preserve">OD-009357</t>
  </si>
  <si>
    <t xml:space="preserve">黄钰霞</t>
  </si>
  <si>
    <t xml:space="preserve">视频混剪</t>
  </si>
  <si>
    <t xml:space="preserve">143条</t>
  </si>
  <si>
    <t xml:space="preserve">AI素材：9296.4*1.125+270363.6</t>
  </si>
  <si>
    <t xml:space="preserve">OD-002994</t>
  </si>
  <si>
    <t xml:space="preserve">郑义奔</t>
  </si>
  <si>
    <t xml:space="preserve">1.所负责的轻盈(直购+直播)、防脱直购户7月面板成交90W,转化回传ROI2.15</t>
  </si>
  <si>
    <t xml:space="preserve">38.81万元</t>
  </si>
  <si>
    <t xml:space="preserve">OD-000246</t>
  </si>
  <si>
    <t xml:space="preserve">黄金平</t>
  </si>
  <si>
    <t xml:space="preserve">关键工作-定量</t>
  </si>
  <si>
    <t xml:space="preserve">非值班日完成小店广告素材更新，可以取用ADQ素材
结果导向：7月轻盈小店广告累计成交40w</t>
  </si>
  <si>
    <t xml:space="preserve">26.99万元</t>
  </si>
  <si>
    <t xml:space="preserve">OD-002173</t>
  </si>
  <si>
    <t xml:space="preserve">赵良武</t>
  </si>
  <si>
    <t xml:space="preserve">7.6日起,每个工作日日均打包收片7条素材。22个工作日,收片154条。</t>
  </si>
  <si>
    <t xml:space="preserve">154条</t>
  </si>
  <si>
    <t xml:space="preserve">84条</t>
  </si>
  <si>
    <t xml:space="preserve">OD-003624</t>
  </si>
  <si>
    <t xml:space="preserve">刘权广</t>
  </si>
  <si>
    <t xml:space="preserve">7.6日起，每个工作日日均打包收片7条素材。22个工作日，收片154条。</t>
  </si>
  <si>
    <t xml:space="preserve">77条</t>
  </si>
  <si>
    <t xml:space="preserve">OD-000393</t>
  </si>
  <si>
    <t xml:space="preserve">庄佳璇</t>
  </si>
  <si>
    <t xml:space="preserve">所负责的轻盈(直购+直播)+防脱直购账户7月面板成交100W,转化回传ROI2.15</t>
  </si>
  <si>
    <t xml:space="preserve">roi2.10972503，成交金额：500664.1元</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</si>
  <si>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</si>
  <si>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</si>
  <si>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</si>
  <si>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成交金额：13343.3</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</si>
  <si>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</si>
  <si>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</si>
  <si>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</si>
  <si>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</si>
  <si>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</si>
  <si>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</si>
  <si>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</si>
  <si>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</si>
  <si>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</si>
  <si>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</si>
  <si>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FD-178394</t>
  </si>
  <si>
    <t xml:space="preserve">赵婉晴</t>
  </si>
  <si>
    <t xml:space="preserve">7月WIS线上财报解读</t>
  </si>
  <si>
    <t xml:space="preserve">票务处理95%+大数据库支持100%</t>
  </si>
  <si>
    <t xml:space="preserve">FD-172210</t>
  </si>
  <si>
    <t xml:space="preserve">周欣蕊</t>
  </si>
  <si>
    <t xml:space="preserve">WIS 10% 新品牌30%</t>
  </si>
  <si>
    <t xml:space="preserve">FD-174878</t>
  </si>
  <si>
    <t xml:space="preserve">徐婕</t>
  </si>
  <si>
    <t xml:space="preserve">WIS线下、IRY 财报解读</t>
  </si>
  <si>
    <t xml:space="preserve">FD-174877</t>
  </si>
  <si>
    <t xml:space="preserve">毛璇</t>
  </si>
  <si>
    <t xml:space="preserve">京东平台运营分析</t>
  </si>
  <si>
    <t xml:space="preserve">FD-175040</t>
  </si>
  <si>
    <t xml:space="preserve">张立军</t>
  </si>
  <si>
    <t xml:space="preserve">50%建议提出采纳+50%上级评估</t>
  </si>
  <si>
    <t xml:space="preserve">FD-171299</t>
  </si>
  <si>
    <t xml:space="preserve">李卓朋</t>
  </si>
  <si>
    <t xml:space="preserve">财报解读</t>
  </si>
  <si>
    <t xml:space="preserve">FD-175999</t>
  </si>
  <si>
    <t xml:space="preserve">杨懿萱</t>
  </si>
  <si>
    <t xml:space="preserve">蒸汽发生器跟踪</t>
  </si>
  <si>
    <t xml:space="preserve">FD-174634</t>
  </si>
  <si>
    <t xml:space="preserve">曾飞燕</t>
  </si>
  <si>
    <t xml:space="preserve">FD-172589</t>
  </si>
  <si>
    <t xml:space="preserve">宋霄宇</t>
  </si>
  <si>
    <t xml:space="preserve">6月财报分析质量</t>
  </si>
  <si>
    <t xml:space="preserve">FD-176838</t>
  </si>
  <si>
    <t xml:space="preserve">何鑫</t>
  </si>
  <si>
    <t xml:space="preserve">财报解读及建议</t>
  </si>
  <si>
    <t xml:space="preserve">FD-171271</t>
  </si>
  <si>
    <t xml:space="preserve">皮惠玲</t>
  </si>
  <si>
    <t xml:space="preserve">墨雪魔渍财报解读</t>
  </si>
  <si>
    <t xml:space="preserve">FD-172129</t>
  </si>
  <si>
    <t xml:space="preserve">宋兆卿</t>
  </si>
  <si>
    <t xml:space="preserve">6月正式版财报核算及时性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</si>
  <si>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</si>
  <si>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</si>
  <si>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</si>
  <si>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</si>
  <si>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</si>
  <si>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</si>
  <si>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</si>
  <si>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</si>
  <si>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OD-008305</t>
  </si>
  <si>
    <t xml:space="preserve">郭嘉珊</t>
  </si>
  <si>
    <t xml:space="preserve">品牌创意部-赫系营销C中心-营销策划岗位绩效考核方案</t>
  </si>
  <si>
    <t xml:space="preserve">226671.01万元</t>
  </si>
  <si>
    <t xml:space="preserve">OD-006530</t>
  </si>
  <si>
    <t xml:space="preserve">岑雪莹</t>
  </si>
  <si>
    <t xml:space="preserve">素材数量（混剪营销策划）</t>
  </si>
  <si>
    <t xml:space="preserve">160条</t>
  </si>
  <si>
    <t xml:space="preserve">101条</t>
  </si>
  <si>
    <t xml:space="preserve">OD-000527</t>
  </si>
  <si>
    <t xml:space="preserve">施丽芬</t>
  </si>
  <si>
    <t xml:space="preserve">7月份素材数量125条</t>
  </si>
  <si>
    <t xml:space="preserve">125条</t>
  </si>
  <si>
    <t xml:space="preserve">82条</t>
  </si>
  <si>
    <t xml:space="preserve">OD-001899</t>
  </si>
  <si>
    <t xml:space="preserve">陈家榕</t>
  </si>
  <si>
    <t xml:space="preserve">7月付费koc项目扣退后成交160w</t>
  </si>
  <si>
    <t xml:space="preserve">132.8万元</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</si>
  <si>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</si>
  <si>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</si>
  <si>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</si>
  <si>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</si>
  <si>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</si>
  <si>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</si>
  <si>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60条</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</si>
  <si>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</si>
  <si>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</si>
  <si>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</si>
  <si>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</si>
  <si>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</si>
  <si>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</si>
  <si>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</si>
  <si>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</si>
  <si>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</si>
  <si>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</si>
  <si>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</si>
  <si>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</si>
  <si>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</si>
  <si>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</si>
  <si>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</si>
  <si>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</si>
  <si>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</si>
  <si>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</si>
  <si>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</si>
  <si>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</si>
  <si>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</si>
  <si>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</si>
  <si>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KOC-账号合作量-付费</t>
  </si>
  <si>
    <t xml:space="preserve">赫系付费KOC发布数＞80</t>
  </si>
  <si>
    <t xml:space="preserve">80个</t>
  </si>
  <si>
    <t xml:space="preserve">116.6个</t>
  </si>
  <si>
    <t xml:space="preserve">FD-054028</t>
  </si>
  <si>
    <t xml:space="preserve">虞雯锜</t>
  </si>
  <si>
    <t xml:space="preserve">KOC-GSV-团队短视频纯佣</t>
  </si>
  <si>
    <t xml:space="preserve">统筹赫系纯佣KOC项目GSV</t>
  </si>
  <si>
    <t xml:space="preserve">612645.75万元</t>
  </si>
  <si>
    <t xml:space="preserve">FD-057280</t>
  </si>
  <si>
    <t xml:space="preserve">刘芸菲</t>
  </si>
  <si>
    <t xml:space="preserve">新有效达人账号＞20个（原片成交＞2000）</t>
  </si>
  <si>
    <t xml:space="preserve">14个</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</si>
  <si>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</si>
  <si>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</si>
  <si>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</si>
  <si>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</si>
  <si>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</si>
  <si>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</si>
  <si>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FD-226421</t>
  </si>
  <si>
    <t xml:space="preserve">黄超杰</t>
  </si>
  <si>
    <t xml:space="preserve">本月负责功能按节点完成方案评审/测试通过/上线/验收</t>
  </si>
  <si>
    <t xml:space="preserve">文档库建设：用户工作空间可视化+数据上报、会议纪要可视化</t>
  </si>
  <si>
    <t xml:space="preserve">FD-221470</t>
  </si>
  <si>
    <t xml:space="preserve">刘柏廷</t>
  </si>
  <si>
    <t xml:space="preserve">FD-221661</t>
  </si>
  <si>
    <t xml:space="preserve">梁朝辉</t>
  </si>
  <si>
    <t xml:space="preserve">项目收入</t>
  </si>
  <si>
    <t xml:space="preserve">结果指标： FanDo系统持续运营与深度推广
7月token（用户侧）达1800亿</t>
  </si>
  <si>
    <t xml:space="preserve">FD-224477</t>
  </si>
  <si>
    <t xml:space="preserve">黄怀民</t>
  </si>
  <si>
    <t xml:space="preserve">skill策略重构 前端UI重构、一键更新、markdown 定时任务修复 通知中心铃铛、弹窗 browser-bridge</t>
  </si>
  <si>
    <t xml:space="preserve">FD-222398</t>
  </si>
  <si>
    <t xml:space="preserve">王砺</t>
  </si>
  <si>
    <t xml:space="preserve">持续迭代管理后台，保障数据准确性与凡小助响应效率。</t>
  </si>
  <si>
    <t xml:space="preserve">FD-226705</t>
  </si>
  <si>
    <t xml:space="preserve">王婧怡</t>
  </si>
  <si>
    <t xml:space="preserve">SX-003214</t>
  </si>
  <si>
    <t xml:space="preserve">测试实习生</t>
  </si>
  <si>
    <t xml:space="preserve">陶伟豪</t>
  </si>
  <si>
    <t xml:space="preserve">1800亿</t>
  </si>
  <si>
    <t xml:space="preserve">1600亿</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</si>
  <si>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</si>
  <si>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</si>
  <si>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</si>
  <si>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</si>
  <si>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</si>
  <si>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</si>
  <si>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FD-030640</t>
  </si>
  <si>
    <t xml:space="preserve">广告策划部-营销C中心</t>
  </si>
  <si>
    <t xml:space="preserve">王思怡</t>
  </si>
  <si>
    <t xml:space="preserve">销售额相关指标</t>
  </si>
  <si>
    <t xml:space="preserve">目标成交</t>
  </si>
  <si>
    <t xml:space="preserve">93万元</t>
  </si>
  <si>
    <t xml:space="preserve">119万元</t>
  </si>
  <si>
    <t xml:space="preserve">AI杨迪生日开头</t>
  </si>
  <si>
    <t xml:space="preserve">FD-031435</t>
  </si>
  <si>
    <t xml:space="preserve">李慧娟</t>
  </si>
  <si>
    <t xml:space="preserve">1117万（抖音、快手、视频号）</t>
  </si>
  <si>
    <t xml:space="preserve">1117万元</t>
  </si>
  <si>
    <t xml:space="preserve">1176万元万元</t>
  </si>
  <si>
    <t xml:space="preserve">FD-036124</t>
  </si>
  <si>
    <t xml:space="preserve">唐基翔</t>
  </si>
  <si>
    <t xml:space="preserve">GSV124万</t>
  </si>
  <si>
    <t xml:space="preserve">124万元</t>
  </si>
  <si>
    <t xml:space="preserve">220万元</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</si>
  <si>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</si>
  <si>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</si>
  <si>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</si>
  <si>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</si>
  <si>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</si>
  <si>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</si>
  <si>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</si>
  <si>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</si>
  <si>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</si>
  <si>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</si>
  <si>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</si>
  <si>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</si>
  <si>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</si>
  <si>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</si>
  <si>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</si>
  <si>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</si>
  <si>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</si>
  <si>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</si>
  <si>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</si>
  <si>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杨雪完成上线，但没有大投产出</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</si>
  <si>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</si>
  <si>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</si>
  <si>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</si>
  <si>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</si>
  <si>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</si>
  <si>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SX-006993</t>
  </si>
  <si>
    <t xml:space="preserve">庄茜妍</t>
  </si>
  <si>
    <t xml:space="preserve">付费KOC发布数</t>
  </si>
  <si>
    <t xml:space="preserve">9个</t>
  </si>
  <si>
    <t xml:space="preserve">输出视频号现有情况分析报告</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</si>
  <si>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</si>
  <si>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</si>
  <si>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</si>
  <si>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</si>
  <si>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</si>
  <si>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</si>
  <si>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新合作纯佣有效账号</t>
  </si>
  <si>
    <t xml:space="preserve">10个</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</si>
  <si>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</si>
  <si>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</si>
  <si>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</si>
  <si>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</si>
  <si>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</si>
  <si>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</si>
  <si>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</si>
  <si>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</si>
  <si>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</si>
  <si>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</si>
  <si>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https://jqx28l0j4lx.feishu.cn/wiki/Xa0ow710ii1T2BkfT7VcoZ6Dn1b</t>
  </si>
  <si>
    <t xml:space="preserve">FD-079823</t>
  </si>
  <si>
    <t xml:space="preserve">蒋佳媛</t>
  </si>
  <si>
    <t xml:space="preserve">渠道评价满分</t>
  </si>
  <si>
    <t xml:space="preserve">2558.5万元</t>
  </si>
  <si>
    <t xml:space="preserve">茶花香颂340ml洗发水 柔顺340ml洗发水 香氛系列香卡提案 KONO水光旅行套装 月桂初醒详情页</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</si>
  <si>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</si>
  <si>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</si>
  <si>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</si>
  <si>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</si>
  <si>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</si>
  <si>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</si>
  <si>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</si>
  <si>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FD-043279</t>
  </si>
  <si>
    <t xml:space="preserve">陈昱桦</t>
  </si>
  <si>
    <t xml:space="preserve">0→1产出画面个人成交70w（仅限文生视频，利益点成交封顶35w）</t>
  </si>
  <si>
    <t xml:space="preserve">112万元</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</si>
  <si>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</si>
  <si>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FD-040484</t>
  </si>
  <si>
    <t xml:space="preserve">曾微微</t>
  </si>
  <si>
    <t xml:space="preserve">个人新素材GMV230w</t>
  </si>
  <si>
    <t xml:space="preserve">511.74万元</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</si>
  <si>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</si>
  <si>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</si>
  <si>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</si>
  <si>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</si>
  <si>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</si>
  <si>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</si>
  <si>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</si>
  <si>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</si>
  <si>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</si>
  <si>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</si>
  <si>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</si>
  <si>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</si>
  <si>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</si>
  <si>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</si>
  <si>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</si>
  <si>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</si>
  <si>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</si>
  <si>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</si>
  <si>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</si>
  <si>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</si>
  <si>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</si>
  <si>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</si>
  <si>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</si>
  <si>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</si>
  <si>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</si>
  <si>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</si>
  <si>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</si>
  <si>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</si>
  <si>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</si>
  <si>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</si>
  <si>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</si>
  <si>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</si>
  <si>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未完成</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</si>
  <si>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</si>
  <si>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</si>
  <si>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</si>
  <si>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</si>
  <si>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</si>
  <si>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</si>
  <si>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</si>
  <si>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</si>
  <si>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</si>
  <si>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</si>
  <si>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</si>
  <si>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</si>
  <si>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</si>
  <si>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项目月扣退后销售额目标完成率</t>
  </si>
  <si>
    <t xml:space="preserve">项目扣退后成交161.3w，费比58.48%;费比超出清零</t>
  </si>
  <si>
    <t xml:space="preserve">FD-045959</t>
  </si>
  <si>
    <t xml:space="preserve">吕嘉瑶</t>
  </si>
  <si>
    <t xml:space="preserve">项目扣退后成交160w，费比目标55%，超出2%则该项清零</t>
  </si>
  <si>
    <t xml:space="preserve">0万元</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</si>
  <si>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</si>
  <si>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</si>
  <si>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</si>
  <si>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</si>
  <si>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</si>
  <si>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</si>
  <si>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增量15.2%</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</si>
  <si>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</si>
  <si>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</si>
  <si>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</si>
  <si>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</si>
  <si>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</si>
  <si>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</si>
  <si>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</si>
  <si>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</si>
  <si>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</si>
  <si>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</si>
  <si>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</si>
  <si>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</si>
  <si>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</si>
  <si>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</si>
  <si>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</si>
  <si>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</si>
  <si>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</si>
  <si>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</si>
  <si>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</si>
  <si>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</si>
  <si>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</si>
  <si>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</si>
  <si>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</si>
  <si>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</si>
  <si>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</si>
  <si>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</si>
  <si>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</si>
  <si>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</si>
  <si>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</si>
  <si>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</si>
  <si>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</si>
  <si>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</si>
  <si>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</si>
  <si>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</si>
  <si>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新主播培养结果得分</t>
  </si>
  <si>
    <t xml:space="preserve">培养新人主播在主播大排名中进入前12名</t>
  </si>
  <si>
    <t xml:space="preserve">0人</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</si>
  <si>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</si>
  <si>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</si>
  <si>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</si>
  <si>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</si>
  <si>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</si>
  <si>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</si>
  <si>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</si>
  <si>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预计产出24条，实际产出10条</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</si>
  <si>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</si>
  <si>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</si>
  <si>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</si>
  <si>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</si>
  <si>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</si>
  <si>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</si>
  <si>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</si>
  <si>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</si>
  <si>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</si>
  <si>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</si>
  <si>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</si>
  <si>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</si>
  <si>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</si>
  <si>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</si>
  <si>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</si>
  <si>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FD-058430</t>
  </si>
  <si>
    <t xml:space="preserve">王琪</t>
  </si>
  <si>
    <t xml:space="preserve">可麦达播GSV</t>
  </si>
  <si>
    <t xml:space="preserve">7月目标：170W，5.5%</t>
  </si>
  <si>
    <t xml:space="preserve">155.7万元</t>
  </si>
  <si>
    <t xml:space="preserve">利润率完成率</t>
  </si>
  <si>
    <t xml:space="preserve">预缴品牌费后-6.89%</t>
  </si>
  <si>
    <t xml:space="preserve">目标ROI 2.63，实际达成2.146，以ROI达成率做折算</t>
  </si>
  <si>
    <t xml:space="preserve">FD-054711</t>
  </si>
  <si>
    <t xml:space="preserve">苏静微</t>
  </si>
  <si>
    <t xml:space="preserve">GMV完成率=实际GMV/目标GMV</t>
  </si>
  <si>
    <t xml:space="preserve">793万元</t>
  </si>
  <si>
    <t xml:space="preserve">777万元</t>
  </si>
  <si>
    <t xml:space="preserve">FD-054205</t>
  </si>
  <si>
    <t xml:space="preserve">林锦斌</t>
  </si>
  <si>
    <t xml:space="preserve">Skill探索与落地</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</si>
  <si>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</si>
  <si>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</si>
  <si>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</si>
  <si>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</si>
  <si>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</si>
  <si>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</si>
  <si>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</si>
  <si>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</si>
  <si>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</si>
  <si>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</si>
  <si>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</si>
  <si>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</si>
  <si>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</si>
  <si>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</si>
  <si>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</si>
  <si>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</si>
  <si>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</si>
  <si>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收入194.9万，利润率5.59%</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</si>
  <si>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</si>
  <si>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</si>
  <si>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</si>
  <si>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</si>
  <si>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</si>
  <si>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</si>
  <si>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</si>
  <si>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</si>
  <si>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</si>
  <si>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</si>
  <si>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</si>
  <si>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</si>
  <si>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</si>
  <si>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</si>
  <si>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</si>
  <si>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</si>
  <si>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</si>
  <si>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</si>
  <si>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</si>
  <si>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</si>
  <si>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</si>
  <si>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</si>
  <si>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</si>
  <si>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</si>
  <si>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</si>
  <si>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</si>
  <si>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</si>
  <si>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</si>
  <si>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</si>
  <si>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</si>
  <si>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</si>
  <si>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</si>
  <si>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</si>
  <si>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</si>
  <si>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</si>
  <si>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</si>
  <si>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</si>
  <si>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</si>
  <si>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</si>
  <si>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</si>
  <si>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</si>
  <si>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</si>
  <si>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</si>
  <si>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</si>
  <si>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</si>
  <si>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</si>
  <si>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</si>
  <si>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FD-152084</t>
  </si>
  <si>
    <t xml:space="preserve">昌品达</t>
  </si>
  <si>
    <t xml:space="preserve">电商人岗匹配率保持100%，S-Project人岗匹配率保持90%</t>
  </si>
  <si>
    <t xml:space="preserve">电商人岗匹配率88%，S-Project人岗匹配率82%</t>
  </si>
  <si>
    <t xml:space="preserve">FD-010578</t>
  </si>
  <si>
    <t xml:space="preserve">杨钰婷</t>
  </si>
  <si>
    <t xml:space="preserve">线下渠道部、产品供应部、凡岛研究院干部匹配-优秀率30%，匹配-良好率60%，匹配-合格率100%</t>
  </si>
  <si>
    <t xml:space="preserve">78.44%%</t>
  </si>
  <si>
    <t xml:space="preserve">FD-019312</t>
  </si>
  <si>
    <t xml:space="preserve">张彤</t>
  </si>
  <si>
    <t xml:space="preserve">新品牌干部匹配-良好率达到60%；市场匹配-优秀率达到15%；AI干部匹配-优秀率达到33%，人资行政部干部匹配-良好率达到60%</t>
  </si>
  <si>
    <t xml:space="preserve">已输出干部胜任力评估优化方案（1.0）</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</si>
  <si>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</si>
  <si>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</si>
  <si>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</si>
  <si>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</si>
  <si>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</si>
  <si>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</si>
  <si>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</si>
  <si>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</si>
  <si>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</si>
  <si>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</si>
  <si>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</si>
  <si>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</si>
  <si>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</si>
  <si>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</si>
  <si>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</si>
  <si>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FD-162537</t>
  </si>
  <si>
    <t xml:space="preserve">胡玮锨</t>
  </si>
  <si>
    <t xml:space="preserve">项目效果指标</t>
  </si>
  <si>
    <t xml:space="preserve">AI微医生广告占比</t>
  </si>
  <si>
    <t xml:space="preserve">AI：51.5%（按粉单80算） 【精英池：49.7%】</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</si>
  <si>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</si>
  <si>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</si>
  <si>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</si>
  <si>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</si>
  <si>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</si>
  <si>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</si>
  <si>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</si>
  <si>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</si>
  <si>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7个</t>
  </si>
  <si>
    <t xml:space="preserve">完成非用户部署意外情况早报场景的使用</t>
  </si>
  <si>
    <t xml:space="preserve">FD-221756</t>
  </si>
  <si>
    <t xml:space="preserve">周磊</t>
  </si>
  <si>
    <t xml:space="preserve">中心财报收入指标</t>
  </si>
  <si>
    <t xml:space="preserve">AI客服2w，AI外呼2w</t>
  </si>
  <si>
    <t xml:space="preserve">AI客服2w</t>
  </si>
  <si>
    <t xml:space="preserve">FD-224758</t>
  </si>
  <si>
    <t xml:space="preserve">刘昕怡</t>
  </si>
  <si>
    <t xml:space="preserve">1800亿token</t>
  </si>
  <si>
    <t xml:space="preserve">3600亿token</t>
  </si>
  <si>
    <t xml:space="preserve">FD-194904</t>
  </si>
  <si>
    <t xml:space="preserve">李姝灿</t>
  </si>
  <si>
    <t xml:space="preserve">产品经理考核方案</t>
  </si>
  <si>
    <t xml:space="preserve">7月实际利润率8.13%</t>
  </si>
  <si>
    <t xml:space="preserve">FD-098414</t>
  </si>
  <si>
    <t xml:space="preserve">韩佳华</t>
  </si>
  <si>
    <t xml:space="preserve">新品开发实际得分1.3</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</si>
  <si>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</si>
  <si>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</si>
  <si>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</si>
  <si>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</si>
  <si>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</si>
  <si>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</si>
  <si>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300万元</t>
  </si>
  <si>
    <t xml:space="preserve">3018743.4万元</t>
  </si>
  <si>
    <t xml:space="preserve">OD-003119</t>
  </si>
  <si>
    <t xml:space="preserve">刘启骏</t>
  </si>
  <si>
    <t xml:space="preserve">个人GSV</t>
  </si>
  <si>
    <t xml:space="preserve">1万元</t>
  </si>
  <si>
    <t xml:space="preserve">52.24万元</t>
  </si>
  <si>
    <t xml:space="preserve">FD-022726</t>
  </si>
  <si>
    <t xml:space="preserve">余毅雄</t>
  </si>
  <si>
    <t xml:space="preserve">团队销售额300w</t>
  </si>
  <si>
    <t xml:space="preserve">213万元</t>
  </si>
  <si>
    <t xml:space="preserve">SX-004332</t>
  </si>
  <si>
    <t xml:space="preserve">陈玉蝶</t>
  </si>
  <si>
    <t xml:space="preserve">新文案单条GSV对于等于3条</t>
  </si>
  <si>
    <t xml:space="preserve">FD-023670</t>
  </si>
  <si>
    <t xml:space="preserve">蒲冠彰</t>
  </si>
  <si>
    <t xml:space="preserve">扣退后300万销售额</t>
  </si>
  <si>
    <t xml:space="preserve">244万元</t>
  </si>
  <si>
    <t xml:space="preserve">OD-008782</t>
  </si>
  <si>
    <t xml:space="preserve">黄丽玲</t>
  </si>
  <si>
    <t xml:space="preserve">个人或小组关键工作完成率</t>
  </si>
  <si>
    <t xml:space="preserve">产出3条【文案创新】素材GMV≥8w</t>
  </si>
  <si>
    <t xml:space="preserve">5条</t>
  </si>
  <si>
    <t xml:space="preserve">谁能拒绝一年一次的一折面膜呢</t>
  </si>
  <si>
    <t xml:space="preserve">FD-024480</t>
  </si>
  <si>
    <t xml:space="preserve">白璐</t>
  </si>
  <si>
    <t xml:space="preserve">1万元万元万元</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</si>
  <si>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</si>
  <si>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</si>
  <si>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</si>
  <si>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</si>
  <si>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</si>
  <si>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</si>
  <si>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</si>
  <si>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</si>
  <si>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</si>
  <si>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</si>
  <si>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</si>
  <si>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</si>
  <si>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</si>
  <si>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</si>
  <si>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</si>
  <si>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</si>
  <si>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OD-003615</t>
  </si>
  <si>
    <t xml:space="preserve">肖瑞欢</t>
  </si>
  <si>
    <t xml:space="preserve">主页live图发布数量</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</si>
  <si>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</si>
  <si>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</si>
  <si>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</si>
  <si>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</si>
  <si>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</si>
  <si>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FD-021099</t>
  </si>
  <si>
    <t xml:space="preserve">古广妹</t>
  </si>
  <si>
    <t xml:space="preserve">64条</t>
  </si>
  <si>
    <t xml:space="preserve">已完成本次梳理沉淀 IP 角色形象、人设等搭建标准化可复用的 IP 人物数字资产库</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</si>
  <si>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</si>
  <si>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</si>
  <si>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</si>
  <si>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</si>
  <si>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</si>
  <si>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</si>
  <si>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</si>
  <si>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</si>
  <si>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</si>
  <si>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</si>
  <si>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</si>
  <si>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</si>
  <si>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</si>
  <si>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</si>
  <si>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</si>
  <si>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</si>
  <si>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</si>
  <si>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</si>
  <si>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</si>
  <si>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</si>
  <si>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</si>
  <si>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</si>
  <si>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</si>
  <si>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</si>
  <si>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</si>
  <si>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</si>
  <si>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</si>
  <si>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</si>
  <si>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</si>
  <si>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</si>
  <si>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</si>
  <si>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</si>
  <si>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</si>
  <si>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</si>
  <si>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</si>
  <si>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</si>
  <si>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</si>
  <si>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</si>
  <si>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</si>
  <si>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</si>
  <si>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</si>
  <si>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</si>
  <si>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</si>
  <si>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</si>
  <si>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</si>
  <si>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</si>
  <si>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</si>
  <si>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</si>
  <si>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</si>
  <si>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</si>
  <si>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</si>
  <si>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</si>
  <si>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</si>
  <si>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</si>
  <si>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</si>
  <si>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</si>
  <si>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</si>
  <si>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直播助理-上级评价</t>
  </si>
  <si>
    <t xml:space="preserve">FD-032947</t>
  </si>
  <si>
    <t xml:space="preserve">许如雪</t>
  </si>
  <si>
    <t xml:space="preserve">OD-008801</t>
  </si>
  <si>
    <t xml:space="preserve">戴鑫怡</t>
  </si>
  <si>
    <t xml:space="preserve">FD-051163</t>
  </si>
  <si>
    <t xml:space="preserve">林文婷</t>
  </si>
  <si>
    <t xml:space="preserve">KOC高佣/投流模块成交GSV指标</t>
  </si>
  <si>
    <t xml:space="preserve">KOC高佣/低佣投流GSV 30w 高佣成交比例需≥35%</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</si>
  <si>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</si>
  <si>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</si>
  <si>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</si>
  <si>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</si>
  <si>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FD-152958</t>
  </si>
  <si>
    <t xml:space="preserve">综合行政经理</t>
  </si>
  <si>
    <t xml:space="preserve">覃海凤</t>
  </si>
  <si>
    <t xml:space="preserve">总部、分部办公环境检查合格</t>
  </si>
  <si>
    <t xml:space="preserve">85%，总部7月部门内控不合格</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</si>
  <si>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</si>
  <si>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</si>
  <si>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</si>
  <si>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</si>
  <si>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</si>
  <si>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</si>
  <si>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</si>
  <si>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</si>
  <si>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已完成，目前易盘点空闲主机49台，1101仓库库存37台，1月报废无编码主机6台，6楼行政空闲4台，4楼品营无编码一台，王维直播间无编码一台，本月底完成标签补贴工作。</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</si>
  <si>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</si>
  <si>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</si>
  <si>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</si>
  <si>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</si>
  <si>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</si>
  <si>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</si>
  <si>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</si>
  <si>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</si>
  <si>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</si>
  <si>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</si>
  <si>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</si>
  <si>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</si>
  <si>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</si>
  <si>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</si>
  <si>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</si>
  <si>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</si>
  <si>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</si>
  <si>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</si>
  <si>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</si>
  <si>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FD-124271</t>
  </si>
  <si>
    <t xml:space="preserve">卢健儿</t>
  </si>
  <si>
    <t xml:space="preserve">39.8分</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</si>
  <si>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</si>
  <si>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</si>
  <si>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</si>
  <si>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</si>
  <si>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</si>
  <si>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</si>
  <si>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</si>
  <si>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</si>
  <si>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</si>
  <si>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</si>
  <si>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</si>
  <si>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</si>
  <si>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</si>
  <si>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</si>
  <si>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</si>
  <si>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</si>
  <si>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</si>
  <si>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</si>
  <si>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</si>
  <si>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</si>
  <si>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</si>
  <si>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</si>
  <si>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</si>
  <si>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OD-001680</t>
  </si>
  <si>
    <t xml:space="preserve">龚伟胜</t>
  </si>
  <si>
    <t xml:space="preserve">实际得分513分</t>
  </si>
  <si>
    <t xml:space="preserve">513分</t>
  </si>
  <si>
    <t xml:space="preserve">OD-001536</t>
  </si>
  <si>
    <t xml:space="preserve">彭钊楠</t>
  </si>
  <si>
    <t xml:space="preserve">拼多多以及天猫的投放图需求</t>
  </si>
  <si>
    <t xml:space="preserve">670分</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</si>
  <si>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</si>
  <si>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</si>
  <si>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</si>
  <si>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</si>
  <si>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</si>
  <si>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</si>
  <si>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</si>
  <si>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FD-033502</t>
  </si>
  <si>
    <t xml:space="preserve">夏牧原</t>
  </si>
  <si>
    <t xml:space="preserve">7月合作达人发片数</t>
  </si>
  <si>
    <t xml:space="preserve">100条</t>
  </si>
  <si>
    <t xml:space="preserve">111条</t>
  </si>
  <si>
    <t xml:space="preserve">单品出片量</t>
  </si>
  <si>
    <t xml:space="preserve">FD-050886</t>
  </si>
  <si>
    <t xml:space="preserve">张卓雅</t>
  </si>
  <si>
    <t xml:space="preserve">KOC-新增合作有效账号量-短视频</t>
  </si>
  <si>
    <t xml:space="preserve">赫系付费KOC发布数＞30</t>
  </si>
  <si>
    <t xml:space="preserve">30个</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</si>
  <si>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</si>
  <si>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</si>
  <si>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</si>
  <si>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</si>
  <si>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</si>
  <si>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</si>
  <si>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</si>
  <si>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</si>
  <si>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</si>
  <si>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</si>
  <si>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FD-223417</t>
  </si>
  <si>
    <t xml:space="preserve">黄俊鹞</t>
  </si>
  <si>
    <t xml:space="preserve">金蝶MCP-供应部</t>
  </si>
  <si>
    <t xml:space="preserve">金蝶MCP已交付并实际投入使用</t>
  </si>
  <si>
    <t xml:space="preserve">FD-221172</t>
  </si>
  <si>
    <t xml:space="preserve">自动对账系统正式上线及验收优化</t>
  </si>
  <si>
    <t xml:space="preserve">供应部高优skill全部搭建完成，负责中心日活人数达总人数90%</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</si>
  <si>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</si>
  <si>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</si>
  <si>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</si>
  <si>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</si>
  <si>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</si>
  <si>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</si>
  <si>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</si>
  <si>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</si>
  <si>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</si>
  <si>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12万元</t>
  </si>
  <si>
    <t xml:space="preserve">FD-039770</t>
  </si>
  <si>
    <t xml:space="preserve">王雨铭</t>
  </si>
  <si>
    <t xml:space="preserve">所负责创意当月直接成交</t>
  </si>
  <si>
    <t xml:space="preserve">成交</t>
  </si>
  <si>
    <t xml:space="preserve">434万元</t>
  </si>
  <si>
    <t xml:space="preserve">319万元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</si>
  <si>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</si>
  <si>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</si>
  <si>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</si>
  <si>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</si>
  <si>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</si>
  <si>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</si>
  <si>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</si>
  <si>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</si>
  <si>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</si>
  <si>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</si>
  <si>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</si>
  <si>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</si>
  <si>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</si>
  <si>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</si>
  <si>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</si>
  <si>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</si>
  <si>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</si>
  <si>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</si>
  <si>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</si>
  <si>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</si>
  <si>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</si>
  <si>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</si>
  <si>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</si>
  <si>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</si>
  <si>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</si>
  <si>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</si>
  <si>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</si>
  <si>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</si>
  <si>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</si>
  <si>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</si>
  <si>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</si>
  <si>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</si>
  <si>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</si>
  <si>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</si>
  <si>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</si>
  <si>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</si>
  <si>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</si>
  <si>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</si>
  <si>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</si>
  <si>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</si>
  <si>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</si>
  <si>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</si>
  <si>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</si>
  <si>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</si>
  <si>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</si>
  <si>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</si>
  <si>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</si>
  <si>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</si>
  <si>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</si>
  <si>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</si>
  <si>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</si>
  <si>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</si>
  <si>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</si>
  <si>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</si>
  <si>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FD-064267</t>
  </si>
  <si>
    <t xml:space="preserve">安雨彤</t>
  </si>
  <si>
    <t xml:space="preserve">羽感系列目标销售额240w
柔感系列目标销售额40w</t>
  </si>
  <si>
    <t xml:space="preserve">240万元</t>
  </si>
  <si>
    <t xml:space="preserve">228.4万元</t>
  </si>
  <si>
    <t xml:space="preserve">FD-068641</t>
  </si>
  <si>
    <t xml:space="preserve">秦琳雅</t>
  </si>
  <si>
    <t xml:space="preserve">1洗目标销售额80w</t>
  </si>
  <si>
    <t xml:space="preserve">72万元</t>
  </si>
  <si>
    <t xml:space="preserve">未达成</t>
  </si>
  <si>
    <t xml:space="preserve">FD-066598</t>
  </si>
  <si>
    <t xml:space="preserve">傅则</t>
  </si>
  <si>
    <t xml:space="preserve">关键工作达成-月度</t>
  </si>
  <si>
    <t xml:space="preserve">发膜系列目标销售额70w</t>
  </si>
  <si>
    <t xml:space="preserve">最高日销gmv 4.3k</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</si>
  <si>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</si>
  <si>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</si>
  <si>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</si>
  <si>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</si>
  <si>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</si>
  <si>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</si>
  <si>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FD-060002</t>
  </si>
  <si>
    <t xml:space="preserve">舒婷婷</t>
  </si>
  <si>
    <t xml:space="preserve">WIS拼多多渠道整体销售额完成率：</t>
  </si>
  <si>
    <t xml:space="preserve">160.0万万</t>
  </si>
  <si>
    <t xml:space="preserve">152.3万</t>
  </si>
  <si>
    <t xml:space="preserve">FD-065188</t>
  </si>
  <si>
    <t xml:space="preserve">任玉沿</t>
  </si>
  <si>
    <t xml:space="preserve">FD-068681</t>
  </si>
  <si>
    <t xml:space="preserve">孟昉瑞</t>
  </si>
  <si>
    <t xml:space="preserve">WIS唯品会渠道整体销售额完成率：</t>
  </si>
  <si>
    <t xml:space="preserve">140.0万万</t>
  </si>
  <si>
    <t xml:space="preserve">116.5万</t>
  </si>
  <si>
    <t xml:space="preserve">FD-068941</t>
  </si>
  <si>
    <t xml:space="preserve">李祥顺</t>
  </si>
  <si>
    <t xml:space="preserve">WIS天猫超市渠道整体销售额完成率：</t>
  </si>
  <si>
    <t xml:space="preserve">50.0万万</t>
  </si>
  <si>
    <t xml:space="preserve">49.3万</t>
  </si>
  <si>
    <t xml:space="preserve">FD-068700</t>
  </si>
  <si>
    <t xml:space="preserve">米博</t>
  </si>
  <si>
    <t xml:space="preserve">WIS微信私域渠道整体销售额完成率：</t>
  </si>
  <si>
    <t xml:space="preserve">25.0万万</t>
  </si>
  <si>
    <t xml:space="preserve">22.6万</t>
  </si>
  <si>
    <t xml:space="preserve">OD-000127</t>
  </si>
  <si>
    <t xml:space="preserve">请款对账员</t>
  </si>
  <si>
    <t xml:space="preserve">罗杨佳</t>
  </si>
  <si>
    <t xml:space="preserve">请款及时率</t>
  </si>
  <si>
    <t xml:space="preserve">所有7月需请款全部达成</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</si>
  <si>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</si>
  <si>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</si>
  <si>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</si>
  <si>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</si>
  <si>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</si>
  <si>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</si>
  <si>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</si>
  <si>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</si>
  <si>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</si>
  <si>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</si>
  <si>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</si>
  <si>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</si>
  <si>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</si>
  <si>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FD-077452</t>
  </si>
  <si>
    <t xml:space="preserve">张渘浚</t>
  </si>
  <si>
    <t xml:space="preserve">沃尔玛：该客户出货13万</t>
  </si>
  <si>
    <t xml:space="preserve">13万元</t>
  </si>
  <si>
    <t xml:space="preserve">未出货</t>
  </si>
  <si>
    <t xml:space="preserve">FD-070512</t>
  </si>
  <si>
    <t xml:space="preserve">郑祖钦</t>
  </si>
  <si>
    <t xml:space="preserve">永辉（线下）该系统POS</t>
  </si>
  <si>
    <t xml:space="preserve">5万元</t>
  </si>
  <si>
    <t xml:space="preserve">1.018万元</t>
  </si>
  <si>
    <t xml:space="preserve">FD-168752</t>
  </si>
  <si>
    <t xml:space="preserve">黄俊炎</t>
  </si>
  <si>
    <t xml:space="preserve">AI效率流程部-B中心通用绩效方案</t>
  </si>
  <si>
    <t xml:space="preserve">7月B端客户（除欣芝妍和测试）总Token消耗达60亿</t>
  </si>
  <si>
    <t xml:space="preserve">60亿</t>
  </si>
  <si>
    <t xml:space="preserve">69亿</t>
  </si>
  <si>
    <t xml:space="preserve">FD-169260</t>
  </si>
  <si>
    <t xml:space="preserve">陈广耀</t>
  </si>
  <si>
    <t xml:space="preserve">项目效果-6月</t>
  </si>
  <si>
    <t xml:space="preserve">FD-222869</t>
  </si>
  <si>
    <t xml:space="preserve">余孜婕</t>
  </si>
  <si>
    <t xml:space="preserve">FD-220144</t>
  </si>
  <si>
    <t xml:space="preserve">盛思婕</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</si>
  <si>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</si>
  <si>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</si>
  <si>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</si>
  <si>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</si>
  <si>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FD-229153</t>
  </si>
  <si>
    <t xml:space="preserve">吴灏楠</t>
  </si>
  <si>
    <t xml:space="preserve">FD-229588</t>
  </si>
  <si>
    <t xml:space="preserve">何金伟</t>
  </si>
  <si>
    <t xml:space="preserve">FD-066250</t>
  </si>
  <si>
    <t xml:space="preserve">电商发展部-WIS渠道B中心</t>
  </si>
  <si>
    <t xml:space="preserve">赵宇卓</t>
  </si>
  <si>
    <t xml:space="preserve">消耗达成指标</t>
  </si>
  <si>
    <t xml:space="preserve">超级短视频推广消耗15w
(ROI2.6-3,完成率*1)
(ROI3-3.2,完成率*1.2)
(ROI3.2+,完成率*1.5)</t>
  </si>
  <si>
    <t xml:space="preserve">15.0万万</t>
  </si>
  <si>
    <t xml:space="preserve">6.4万</t>
  </si>
  <si>
    <t xml:space="preserve">任务基本完成良好，表现较为积极，后续可以多加强深度思考</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</si>
  <si>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</si>
  <si>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</si>
  <si>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</si>
  <si>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</si>
  <si>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</si>
  <si>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</si>
  <si>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</si>
  <si>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</si>
  <si>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</si>
  <si>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</si>
  <si>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OD-004940</t>
  </si>
  <si>
    <t xml:space="preserve">方怡晶</t>
  </si>
  <si>
    <t xml:space="preserve">电商发展部-WIS渠道B中心-营销策划</t>
  </si>
  <si>
    <t xml:space="preserve">快手销售额26万</t>
  </si>
  <si>
    <t xml:space="preserve">260000万</t>
  </si>
  <si>
    <t xml:space="preserve">OD-000937</t>
  </si>
  <si>
    <t xml:space="preserve">黄佩贤</t>
  </si>
  <si>
    <t xml:space="preserve">素材成交额指标得分</t>
  </si>
  <si>
    <t xml:space="preserve">个人自产素材总成交3万(含各版块个人素材消耗总计)</t>
  </si>
  <si>
    <t xml:space="preserve">3万万</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</si>
  <si>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</si>
  <si>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</si>
  <si>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</si>
  <si>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</si>
  <si>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</si>
  <si>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</si>
  <si>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</si>
  <si>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</si>
  <si>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</si>
  <si>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</si>
  <si>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FD-109059</t>
  </si>
  <si>
    <t xml:space="preserve">蔡爱存</t>
  </si>
  <si>
    <t xml:space="preserve">部门KPI完成率</t>
  </si>
  <si>
    <t xml:space="preserve">部门收入110万
部门利润率≥0%</t>
  </si>
  <si>
    <t xml:space="preserve">部门收入：140.8万 利润14.8%</t>
  </si>
  <si>
    <t xml:space="preserve">1、下半年包材、原料备货——已完成 2、完成积压原料生胶混合物的转卖 ——已完成3、完成总部所有中心合规项目摸查，识别风险项目——已完成</t>
  </si>
  <si>
    <t xml:space="preserve">各中心合规摸查</t>
  </si>
  <si>
    <t xml:space="preserve">完成总部所有中心合规项目摸查，识别风险项目</t>
  </si>
  <si>
    <t xml:space="preserve">已完成总部所有中心摸查，识别6项风险项目并跟进完成整改</t>
  </si>
  <si>
    <t xml:space="preserve">FD-061477</t>
  </si>
  <si>
    <t xml:space="preserve">电商发展部</t>
  </si>
  <si>
    <t xml:space="preserve">王海若</t>
  </si>
  <si>
    <t xml:space="preserve">各中心关键工作达成率</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</si>
  <si>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</si>
  <si>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</si>
  <si>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FD-013711</t>
  </si>
  <si>
    <t xml:space="preserve">人资行政部</t>
  </si>
  <si>
    <t xml:space="preserve">覃镜晓</t>
  </si>
  <si>
    <t xml:space="preserve">部门关键工作达成率</t>
  </si>
  <si>
    <t xml:space="preserve">总监早报BI看板 根数据 AI先锋项目</t>
  </si>
  <si>
    <t xml:space="preserve">部门Q3季度大团建&amp;Q2季度荣誉表彰</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</si>
  <si>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</si>
  <si>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</si>
  <si>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</si>
  <si>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</si>
  <si>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</si>
  <si>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</si>
  <si>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</si>
  <si>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完成情况来自总经办-丁小恬</t>
  </si>
  <si>
    <t xml:space="preserve">品牌创意中心KPI完成率</t>
  </si>
  <si>
    <t xml:space="preserve">FD-150472</t>
  </si>
  <si>
    <t xml:space="preserve">谭丹</t>
  </si>
  <si>
    <t xml:space="preserve">1、日报归档
2、部门skill沉淀和推进
3、部门知识树沉淀
4、根数据推进
5、先锋项目推进</t>
  </si>
  <si>
    <t xml:space="preserve">媒介中心KPI完成率</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</si>
  <si>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</si>
  <si>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</si>
  <si>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</si>
  <si>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</si>
  <si>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</si>
  <si>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</si>
  <si>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</si>
  <si>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</si>
  <si>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</si>
  <si>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</si>
  <si>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</si>
  <si>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7月品牌实际营收7705.6万元，7月品牌实际利润率8.13%</t>
  </si>
  <si>
    <t xml:space="preserve">部门认证考核执行100%</t>
  </si>
  <si>
    <t xml:space="preserve">本季度应安排认证的人次中，实际已参加考核的人次占比。</t>
  </si>
  <si>
    <t xml:space="preserve">输出赫系在开发项目做货周期盘点文档，明确各个在开发项目做货周期及最低做货数量，提供做货依据</t>
  </si>
  <si>
    <t xml:space="preserve">FD-010463</t>
  </si>
  <si>
    <t xml:space="preserve">AI效率流程部</t>
  </si>
  <si>
    <t xml:space="preserve">李静晗</t>
  </si>
  <si>
    <t xml:space="preserve">D计划项目达成目标</t>
  </si>
  <si>
    <t xml:space="preserve">FD-013392</t>
  </si>
  <si>
    <t xml:space="preserve">品牌创意部</t>
  </si>
  <si>
    <t xml:space="preserve">林睿媛</t>
  </si>
  <si>
    <t xml:space="preserve">AI一创课程培训</t>
  </si>
  <si>
    <t xml:space="preserve">5次</t>
  </si>
  <si>
    <t xml:space="preserve">7次</t>
  </si>
  <si>
    <t xml:space="preserve">目标:各部门人均token消耗量2000万，日活人数80%</t>
  </si>
  <si>
    <t xml:space="preserve">a说明</t>
  </si>
  <si>
    <t xml:space="preserve">FD-015295</t>
  </si>
  <si>
    <t xml:space="preserve">广告策划部</t>
  </si>
  <si>
    <t xml:space="preserve">段欣</t>
  </si>
  <si>
    <t xml:space="preserve">早报AI自动化
SKILL竟技大赛
根数据梳理
部门AI先锋项目
先进AI博主教学视频培训</t>
  </si>
  <si>
    <t xml:space="preserve">部门Fando Skill竞技大赛</t>
  </si>
  <si>
    <t xml:space="preserve">FD-104179</t>
  </si>
  <si>
    <t xml:space="preserve">资深产品设计师</t>
  </si>
  <si>
    <t xml:space="preserve">关玉贝</t>
  </si>
  <si>
    <t xml:space="preserve">产品设计中心-月度绩效方案</t>
  </si>
  <si>
    <t xml:space="preserve">例行</t>
  </si>
  <si>
    <t xml:space="preserve">FD-103052</t>
  </si>
  <si>
    <t xml:space="preserve">李志扬</t>
  </si>
  <si>
    <t xml:space="preserve">FD-237186</t>
  </si>
  <si>
    <t xml:space="preserve">张雯</t>
  </si>
  <si>
    <t xml:space="preserve">FD-239901</t>
  </si>
  <si>
    <t xml:space="preserve">林晔希</t>
  </si>
  <si>
    <t xml:space="preserve">FD-234560</t>
  </si>
  <si>
    <t xml:space="preserve">曾紫杨</t>
  </si>
  <si>
    <t xml:space="preserve">FD-235531</t>
  </si>
  <si>
    <t xml:space="preserve">陈莹莹</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</si>
  <si>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</si>
  <si>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</si>
  <si>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</si>
  <si>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</si>
  <si>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</si>
  <si>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</si>
  <si>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</si>
  <si>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</si>
  <si>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</si>
  <si>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</si>
  <si>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</si>
  <si>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</si>
  <si>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</si>
  <si>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</si>
  <si>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OD-001464</t>
  </si>
  <si>
    <t xml:space="preserve">产品设计助理</t>
  </si>
  <si>
    <t xml:space="preserve">何诗雨</t>
  </si>
  <si>
    <t xml:space="preserve">产品设计助理-月度绩效方案</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</si>
  <si>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</si>
  <si>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</si>
  <si>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</si>
  <si>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</si>
  <si>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</si>
  <si>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</si>
  <si>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图稿管理</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</si>
  <si>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</si>
  <si>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</si>
  <si>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</si>
  <si>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</si>
  <si>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</si>
  <si>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</si>
  <si>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</si>
  <si>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</si>
  <si>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</si>
  <si>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</si>
  <si>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</si>
  <si>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</si>
  <si>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</si>
  <si>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</si>
  <si>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</si>
  <si>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</si>
  <si>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</si>
  <si>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</si>
  <si>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</si>
  <si>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</si>
  <si>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</si>
  <si>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</si>
  <si>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</si>
  <si>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</si>
  <si>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</si>
  <si>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</si>
  <si>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</si>
  <si>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</si>
  <si>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</si>
  <si>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</si>
  <si>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</si>
  <si>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</si>
  <si>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</si>
  <si>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</si>
  <si>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</si>
  <si>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</si>
  <si>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</si>
  <si>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</si>
  <si>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</si>
  <si>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</si>
  <si>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</si>
  <si>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</si>
  <si>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</si>
  <si>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</si>
  <si>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</si>
  <si>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</si>
  <si>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</si>
  <si>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</si>
  <si>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</si>
  <si>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</si>
  <si>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</si>
  <si>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</si>
  <si>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</si>
  <si>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</si>
  <si>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</si>
  <si>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</si>
  <si>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</si>
  <si>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</si>
  <si>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</si>
  <si>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</si>
  <si>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</si>
  <si>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</si>
  <si>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</si>
  <si>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</si>
  <si>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</si>
  <si>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</si>
  <si>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</si>
  <si>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</si>
  <si>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</si>
  <si>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</si>
  <si>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</si>
  <si>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</si>
  <si>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</si>
  <si>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</si>
  <si>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</si>
  <si>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</si>
  <si>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</si>
  <si>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</si>
  <si>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</si>
  <si>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</si>
  <si>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</si>
  <si>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</si>
  <si>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OD-006083</t>
  </si>
  <si>
    <t xml:space="preserve">陈金燕</t>
  </si>
  <si>
    <t xml:space="preserve">AI剧情全域成交15w，并沉淀出有效的方法论，完成中心同事培训，培训得分＞4.7（得分系数计算，完成培训且得分达标则该项x1.2））</t>
  </si>
  <si>
    <t xml:space="preserve">180万</t>
  </si>
  <si>
    <t xml:space="preserve">OD-003583</t>
  </si>
  <si>
    <t xml:space="preserve">夏小龙</t>
  </si>
  <si>
    <t xml:space="preserve">FD-045567</t>
  </si>
  <si>
    <t xml:space="preserve">刘旭昊</t>
  </si>
  <si>
    <t xml:space="preserve">大投素材目标完成率</t>
  </si>
  <si>
    <t xml:space="preserve">0→1产出画面个人成交40w（20万封顶）</t>
  </si>
  <si>
    <t xml:space="preserve">40.0万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</si>
  <si>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</si>
  <si>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</si>
  <si>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</si>
  <si>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</si>
  <si>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</si>
  <si>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</si>
  <si>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</si>
  <si>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FD-032514</t>
  </si>
  <si>
    <t xml:space="preserve">个人素材消耗。
计算6月26日～7月31日上传素材数据。</t>
  </si>
  <si>
    <t xml:space="preserve">3.5万元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</si>
  <si>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</si>
  <si>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</si>
  <si>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</si>
  <si>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</si>
  <si>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</si>
  <si>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</si>
  <si>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</si>
  <si>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OD-007393</t>
  </si>
  <si>
    <t xml:space="preserve">钟远镇</t>
  </si>
  <si>
    <t xml:space="preserve">4.57万元</t>
  </si>
  <si>
    <t xml:space="preserve">完成纯佣KOC值班时候对于纯佣KOC的审核和投流工作</t>
  </si>
  <si>
    <t xml:space="preserve">OD-006060</t>
  </si>
  <si>
    <t xml:space="preserve">张占英</t>
  </si>
  <si>
    <t xml:space="preserve">7月新上商品卡消耗2万</t>
  </si>
  <si>
    <t xml:space="preserve">OD-006598</t>
  </si>
  <si>
    <t xml:space="preserve">杜钰晨</t>
  </si>
  <si>
    <t xml:space="preserve">个人素材消耗</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</si>
  <si>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</si>
  <si>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</si>
  <si>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</si>
  <si>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</si>
  <si>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</si>
  <si>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</si>
  <si>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</si>
  <si>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</si>
  <si>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FD-159074</t>
  </si>
  <si>
    <t xml:space="preserve">白雅姿</t>
  </si>
  <si>
    <t xml:space="preserve">渠道支持中心绩效考核方案-6.1</t>
  </si>
  <si>
    <t xml:space="preserve">关键工作</t>
  </si>
  <si>
    <t xml:space="preserve">WIS：抖店商品卡销售额350w</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</si>
  <si>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</si>
  <si>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</si>
  <si>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</si>
  <si>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</si>
  <si>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</si>
  <si>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</si>
  <si>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</si>
  <si>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</si>
  <si>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</si>
  <si>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FD-050136</t>
  </si>
  <si>
    <t xml:space="preserve">吕沿融</t>
  </si>
  <si>
    <t xml:space="preserve">市场高级经理绩效考核方案-6.1</t>
  </si>
  <si>
    <t xml:space="preserve">销售额</t>
  </si>
  <si>
    <t xml:space="preserve">WIS达播销售额453w</t>
  </si>
  <si>
    <t xml:space="preserve">已完成：KONO全套物料设计（货架+1方活动+4方美陈）、WIS货架设计、赫系货架设计 未完成：赫系货堆设计</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</si>
  <si>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</si>
  <si>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</si>
  <si>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</si>
  <si>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</si>
  <si>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</si>
  <si>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</si>
  <si>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</si>
  <si>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</si>
  <si>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FD-049145</t>
  </si>
  <si>
    <t xml:space="preserve">李林岭</t>
  </si>
  <si>
    <t xml:space="preserve">各渠道销售额</t>
  </si>
  <si>
    <t xml:space="preserve">583万元</t>
  </si>
  <si>
    <t xml:space="preserve">544万元</t>
  </si>
  <si>
    <t xml:space="preserve">FD-064578</t>
  </si>
  <si>
    <t xml:space="preserve">方思媛</t>
  </si>
  <si>
    <t xml:space="preserve">拼多多销售额目标680万</t>
  </si>
  <si>
    <t xml:space="preserve">680万元</t>
  </si>
  <si>
    <t xml:space="preserve">657.8万元</t>
  </si>
  <si>
    <t xml:space="preserve">382,712.33 +京东派样成本80934</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</si>
  <si>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</si>
  <si>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</si>
  <si>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</si>
  <si>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</si>
  <si>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</si>
  <si>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</si>
  <si>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</si>
  <si>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</si>
  <si>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</si>
  <si>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</si>
  <si>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</si>
  <si>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</si>
  <si>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FD-160302</t>
  </si>
  <si>
    <t xml:space="preserve">郭俊贤</t>
  </si>
  <si>
    <t xml:space="preserve">【AI效率流程A中心】绩效方案-6月</t>
  </si>
  <si>
    <t xml:space="preserve">人资行政部 SKILL 开展协助 人资行政部人均token消耗量2000万</t>
  </si>
  <si>
    <t xml:space="preserve">共培养2条日销1K+链接，分别为：经典3-4瓶囤货装，平均日销1.5K，日销1K+天数为9；经典400ml日销1K+天数为6；</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</si>
  <si>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</si>
  <si>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</si>
  <si>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</si>
  <si>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</si>
  <si>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FD-224246</t>
  </si>
  <si>
    <t xml:space="preserve">郑成豪</t>
  </si>
  <si>
    <t xml:space="preserve">截止到本月，整体有效简历覆盖率达到80%（标准：月底前抽样3天，计算岗位占比情况）</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</si>
  <si>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</si>
  <si>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</si>
  <si>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</si>
  <si>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</si>
  <si>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FD-024217</t>
  </si>
  <si>
    <t xml:space="preserve">杨雯</t>
  </si>
  <si>
    <t xml:space="preserve">品牌管理部WIS品牌中心-营销高级经理绩效考核方案</t>
  </si>
  <si>
    <t xml:space="preserve">项目按时完成上线，部分云文档因涉密未进行导入。</t>
  </si>
  <si>
    <t xml:space="preserve">OD-003714</t>
  </si>
  <si>
    <t xml:space="preserve">莫宁</t>
  </si>
  <si>
    <t xml:space="preserve">抖店利润率</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</si>
  <si>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</si>
  <si>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</si>
  <si>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</si>
  <si>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</si>
  <si>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</si>
  <si>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</si>
  <si>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FD-156267</t>
  </si>
  <si>
    <t xml:space="preserve">谢焕琳</t>
  </si>
  <si>
    <t xml:space="preserve">高级管理岗位终面到面</t>
  </si>
  <si>
    <t xml:space="preserve">FD-019471</t>
  </si>
  <si>
    <t xml:space="preserve">李宣萱</t>
  </si>
  <si>
    <t xml:space="preserve">高级岗管理位终面到面2人</t>
  </si>
  <si>
    <t xml:space="preserve">FD-153889</t>
  </si>
  <si>
    <t xml:space="preserve">张佳仪</t>
  </si>
  <si>
    <t xml:space="preserve">完成报告并进行终期验收</t>
  </si>
  <si>
    <t xml:space="preserve">FD-152075</t>
  </si>
  <si>
    <t xml:space="preserve">欧阳欣悦</t>
  </si>
  <si>
    <t xml:space="preserve">任一岗位终面到面1人</t>
  </si>
  <si>
    <t xml:space="preserve">FD-155770</t>
  </si>
  <si>
    <t xml:space="preserve">行政运营专员</t>
  </si>
  <si>
    <t xml:space="preserve">任佳慧</t>
  </si>
  <si>
    <t xml:space="preserve">供应商一份有效推荐</t>
  </si>
  <si>
    <t xml:space="preserve">合同审查建档skill开发</t>
  </si>
  <si>
    <t xml:space="preserve">交付进度</t>
  </si>
  <si>
    <t xml:space="preserve">FD-112745</t>
  </si>
  <si>
    <t xml:space="preserve">吴佳怡</t>
  </si>
  <si>
    <t xml:space="preserve">品牌管理部WIS品牌中心-产品经理绩效考核方案</t>
  </si>
  <si>
    <t xml:space="preserve">品牌线下渠道营收及利润率完成情况</t>
  </si>
  <si>
    <t xml:space="preserve">OD-004512</t>
  </si>
  <si>
    <t xml:space="preserve">彭坤豫</t>
  </si>
  <si>
    <t xml:space="preserve">100万</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</si>
  <si>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</si>
  <si>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</si>
  <si>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</si>
  <si>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</si>
  <si>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</si>
  <si>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</si>
  <si>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</si>
  <si>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</si>
  <si>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</si>
  <si>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</si>
  <si>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</si>
  <si>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</si>
  <si>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</si>
  <si>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</si>
  <si>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</si>
  <si>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</si>
  <si>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已完成：
预估包裹重量变更 11050
订单打标策略定时变更 3900
仓库定时启用 2600</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</si>
  <si>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</si>
  <si>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</si>
  <si>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</si>
  <si>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</si>
  <si>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</si>
  <si>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</si>
  <si>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</si>
  <si>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</si>
  <si>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</si>
  <si>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</si>
  <si>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</si>
  <si>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</si>
  <si>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</si>
  <si>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</si>
  <si>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</si>
  <si>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</si>
  <si>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</si>
  <si>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</si>
  <si>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</si>
  <si>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</si>
  <si>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</si>
  <si>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</si>
  <si>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</si>
  <si>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</si>
  <si>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</si>
  <si>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</si>
  <si>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</si>
  <si>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</si>
  <si>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</si>
  <si>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</si>
  <si>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</si>
  <si>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</si>
  <si>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</si>
  <si>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</si>
  <si>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</si>
  <si>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</si>
  <si>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</si>
  <si>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</si>
  <si>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</si>
  <si>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</si>
  <si>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</si>
  <si>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</si>
  <si>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</si>
  <si>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</si>
  <si>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</si>
  <si>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</si>
  <si>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</si>
  <si>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</si>
  <si>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</si>
  <si>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</si>
  <si>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</si>
  <si>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</si>
  <si>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</si>
  <si>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</si>
  <si>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</si>
  <si>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</si>
  <si>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</si>
  <si>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</si>
  <si>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</si>
  <si>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</si>
  <si>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</si>
  <si>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</si>
  <si>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</si>
  <si>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</si>
  <si>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</si>
  <si>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</si>
  <si>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</si>
  <si>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</si>
  <si>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FD-023931</t>
  </si>
  <si>
    <t xml:space="preserve">潘小慧</t>
  </si>
  <si>
    <t xml:space="preserve">根据值班SOP和投放检查点，准确完成每日值班调控和素材上传工作</t>
  </si>
  <si>
    <t xml:space="preserve">有1日素材上传数量不足</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</si>
  <si>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</si>
  <si>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</si>
  <si>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</si>
  <si>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</si>
  <si>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</si>
  <si>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</si>
  <si>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</si>
  <si>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</si>
  <si>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</si>
  <si>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</si>
  <si>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</si>
  <si>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</si>
  <si>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</si>
  <si>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</si>
  <si>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</si>
  <si>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</si>
  <si>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</si>
  <si>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</si>
  <si>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</si>
  <si>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</si>
  <si>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</si>
  <si>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</si>
  <si>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</si>
  <si>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</si>
  <si>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</si>
  <si>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</si>
  <si>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</si>
  <si>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</si>
  <si>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</si>
  <si>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</si>
  <si>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</si>
  <si>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</si>
  <si>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</si>
  <si>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</si>
  <si>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</si>
  <si>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</si>
  <si>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</si>
  <si>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</si>
  <si>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</si>
  <si>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</si>
  <si>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</si>
  <si>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</si>
  <si>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</si>
  <si>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</si>
  <si>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</si>
  <si>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</si>
  <si>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</si>
  <si>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</si>
  <si>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</si>
  <si>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</si>
  <si>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</si>
  <si>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</si>
  <si>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</si>
  <si>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</si>
  <si>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</si>
  <si>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</si>
  <si>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</si>
  <si>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完成绩效计算优化，保障线上问题</t>
  </si>
  <si>
    <t xml:space="preserve">付款指令提交并完成核账</t>
  </si>
  <si>
    <t xml:space="preserve">无出现人为失误
均按时上传</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</si>
  <si>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</si>
  <si>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</si>
  <si>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</si>
  <si>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</si>
  <si>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FD-178676</t>
  </si>
  <si>
    <t xml:space="preserve">李尉萍</t>
  </si>
  <si>
    <t xml:space="preserve">及时、准确进行本月的初审、复审；财务处理正确率99%以上；本月对其他费类型进行严格管控和通知；
本月无投诉</t>
  </si>
  <si>
    <t xml:space="preserve">FD-178755</t>
  </si>
  <si>
    <t xml:space="preserve">钱徐晨</t>
  </si>
  <si>
    <t xml:space="preserve">销项发票审核、开具</t>
  </si>
  <si>
    <t xml:space="preserve">完成各项主体发票开具
完成凡岛化妆品和欣芝妍发票打印
已汇总</t>
  </si>
  <si>
    <t xml:space="preserve">FD-172260</t>
  </si>
  <si>
    <t xml:space="preserve">刘静依</t>
  </si>
  <si>
    <t xml:space="preserve">各店铺账号（含星图）余额提现，完成资金归集，盘活率达标</t>
  </si>
  <si>
    <t xml:space="preserve">已完成提现+资金效率分析</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</si>
  <si>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</si>
  <si>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</si>
  <si>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</si>
  <si>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</si>
  <si>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</si>
  <si>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</si>
  <si>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</si>
  <si>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</si>
  <si>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</si>
  <si>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</si>
  <si>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</si>
  <si>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</si>
  <si>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FD-177063</t>
  </si>
  <si>
    <t xml:space="preserve">陈诗巧</t>
  </si>
  <si>
    <t xml:space="preserve">抖音、抖音超市、唯品会、京东（自营+pop)、快手平台凭证录入（收入、费用、发票等）</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</si>
  <si>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</si>
  <si>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</si>
  <si>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</si>
  <si>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</si>
  <si>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</si>
  <si>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</si>
  <si>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</si>
  <si>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</si>
  <si>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FD-176775</t>
  </si>
  <si>
    <t xml:space="preserve">冯颖</t>
  </si>
  <si>
    <t xml:space="preserve">投资公司账务核算
（橙子网络）</t>
  </si>
  <si>
    <t xml:space="preserve">完成橙子账务核算
完成分析报告并汇报</t>
  </si>
  <si>
    <t xml:space="preserve">FD-176214</t>
  </si>
  <si>
    <t xml:space="preserve">王颖桢</t>
  </si>
  <si>
    <t xml:space="preserve">复核销项发票</t>
  </si>
  <si>
    <t xml:space="preserve">完成截至7月28日当天开具销项发票复核，已完成复核并与开票人同步开票错误信息</t>
  </si>
  <si>
    <t xml:space="preserve">FD-141904</t>
  </si>
  <si>
    <t xml:space="preserve">产品高级经理</t>
  </si>
  <si>
    <t xml:space="preserve">廖丫</t>
  </si>
  <si>
    <t xml:space="preserve">品牌管理部WIS品牌中心-产品高级经理绩效考核方案</t>
  </si>
  <si>
    <t xml:space="preserve">品牌整体营收</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</si>
  <si>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</si>
  <si>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</si>
  <si>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</si>
  <si>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</si>
  <si>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</si>
  <si>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</si>
  <si>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</si>
  <si>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FD-046731</t>
  </si>
  <si>
    <t xml:space="preserve">刘玳菱</t>
  </si>
  <si>
    <t xml:space="preserve">团队GSV</t>
  </si>
  <si>
    <t xml:space="preserve">209万元</t>
  </si>
  <si>
    <t xml:space="preserve">混剪+live图+产品镜+AIKOC</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</si>
  <si>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</si>
  <si>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</si>
  <si>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</si>
  <si>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</si>
  <si>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</si>
  <si>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</si>
  <si>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</si>
  <si>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</si>
  <si>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</si>
  <si>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</si>
  <si>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</si>
  <si>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</si>
  <si>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</si>
  <si>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实际完成17条</t>
  </si>
  <si>
    <t xml:space="preserve">FD-022962</t>
  </si>
  <si>
    <t xml:space="preserve">覃琪惠</t>
  </si>
  <si>
    <t xml:space="preserve">项目GSV300W</t>
  </si>
  <si>
    <t xml:space="preserve">565万元</t>
  </si>
  <si>
    <t xml:space="preserve">官旗深蓝色分子动态背景（发布会）/视频号近景视觉</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</si>
  <si>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</si>
  <si>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</si>
  <si>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</si>
  <si>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</si>
  <si>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</si>
  <si>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</si>
  <si>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</si>
  <si>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</si>
  <si>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</si>
  <si>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</si>
  <si>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</si>
  <si>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</si>
  <si>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</si>
  <si>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FD-042321</t>
  </si>
  <si>
    <t xml:space="preserve">陈真坪</t>
  </si>
  <si>
    <t xml:space="preserve">品牌创意部-直播中心-中级直播助理绩效考核方案</t>
  </si>
  <si>
    <t xml:space="preserve">内容场及助理跟播创新思考</t>
  </si>
  <si>
    <t xml:space="preserve">SOP梳理更新</t>
  </si>
  <si>
    <t xml:space="preserve">优秀，中心内做到经验复制</t>
  </si>
  <si>
    <t xml:space="preserve">FD-079435</t>
  </si>
  <si>
    <t xml:space="preserve">热夏提·古尔班江</t>
  </si>
  <si>
    <t xml:space="preserve">线下渠道部-WIS销售A中心-CS商务经理、管培生2604</t>
  </si>
  <si>
    <t xml:space="preserve">出货目标金额</t>
  </si>
  <si>
    <t xml:space="preserve">38万元</t>
  </si>
  <si>
    <t xml:space="preserve">6万元</t>
  </si>
  <si>
    <t xml:space="preserve">FD-078748</t>
  </si>
  <si>
    <t xml:space="preserve">杨敏</t>
  </si>
  <si>
    <t xml:space="preserve">39万元</t>
  </si>
  <si>
    <t xml:space="preserve">29万元</t>
  </si>
  <si>
    <t xml:space="preserve">FD-074038</t>
  </si>
  <si>
    <t xml:space="preserve">黄慧琳</t>
  </si>
  <si>
    <t xml:space="preserve">57万元</t>
  </si>
  <si>
    <t xml:space="preserve">53.3万元</t>
  </si>
  <si>
    <t xml:space="preserve">FD-076987</t>
  </si>
  <si>
    <t xml:space="preserve">孙海诺</t>
  </si>
  <si>
    <t xml:space="preserve">34万元</t>
  </si>
  <si>
    <t xml:space="preserve">15.6万元</t>
  </si>
  <si>
    <t xml:space="preserve">FD-078387</t>
  </si>
  <si>
    <t xml:space="preserve">李宏庆</t>
  </si>
  <si>
    <t xml:space="preserve">出货80万</t>
  </si>
  <si>
    <t xml:space="preserve">38.9万元</t>
  </si>
  <si>
    <t xml:space="preserve">FD-070780</t>
  </si>
  <si>
    <t xml:space="preserve">黄策</t>
  </si>
  <si>
    <t xml:space="preserve">46万元</t>
  </si>
  <si>
    <t xml:space="preserve">16.4万元</t>
  </si>
  <si>
    <t xml:space="preserve">FD-050291</t>
  </si>
  <si>
    <t xml:space="preserve">王天诺</t>
  </si>
  <si>
    <t xml:space="preserve">合作数量-组长 4月最新方案-kono</t>
  </si>
  <si>
    <t xml:space="preserve">KONO 付费186个 20%</t>
  </si>
  <si>
    <t xml:space="preserve">KONO 付费146个</t>
  </si>
  <si>
    <t xml:space="preserve">FD-050818</t>
  </si>
  <si>
    <t xml:space="preserve">李达恩</t>
  </si>
  <si>
    <t xml:space="preserve">媒介中心-组员 绩效方案（6月更新版）</t>
  </si>
  <si>
    <t xml:space="preserve">合作数量-组员 5月最新方案-WIS</t>
  </si>
  <si>
    <t xml:space="preserve">WIS眼膜曝光≥18 50%</t>
  </si>
  <si>
    <t xml:space="preserve">KONO经典 24.80831w
KONO发膜 15.2559w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</si>
  <si>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</si>
  <si>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</si>
  <si>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</si>
  <si>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</si>
  <si>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</si>
  <si>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FD-056244</t>
  </si>
  <si>
    <t xml:space="preserve">李欣</t>
  </si>
  <si>
    <t xml:space="preserve">WIS眼膜曝光≥15 30%</t>
  </si>
  <si>
    <t xml:space="preserve">15个</t>
  </si>
  <si>
    <t xml:space="preserve">WIS眼膜曝光=16+3.2=19.2/15
推荐达人4位，算入WIS眼膜曝光目标中：林清清 大橙橙（WIS水润引流）
干锅海苔夹心脆 小向甄选（WIS燕窝）</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</si>
  <si>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</si>
  <si>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</si>
  <si>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</si>
  <si>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</si>
  <si>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</si>
  <si>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FD-057588</t>
  </si>
  <si>
    <t xml:space="preserve">黄美琪</t>
  </si>
  <si>
    <t xml:space="preserve">KONO经典合作达人 ≥43个
KONO发膜付费达人 ≥17个</t>
  </si>
  <si>
    <t xml:space="preserve">KONO合作58个达人</t>
  </si>
  <si>
    <t xml:space="preserve">FD-030208</t>
  </si>
  <si>
    <t xml:space="preserve">雷冰</t>
  </si>
  <si>
    <t xml:space="preserve">创意中心GMV ≥36W（30%）</t>
  </si>
  <si>
    <t xml:space="preserve">WIS眼膜曝光≥15 30% 10/15 完成率=20%</t>
  </si>
  <si>
    <t xml:space="preserve">FD-059032</t>
  </si>
  <si>
    <t xml:space="preserve">麦绮雯</t>
  </si>
  <si>
    <t xml:space="preserve">WIS眼膜曝光≥15 25%</t>
  </si>
  <si>
    <t xml:space="preserve">WIS眼膜曝光=15 25%</t>
  </si>
  <si>
    <t xml:space="preserve">FD-055582</t>
  </si>
  <si>
    <t xml:space="preserve">孙洁文</t>
  </si>
  <si>
    <t xml:space="preserve">WIS眼膜曝光≥15 30% 12.4/15 完成率=24.8% （推荐五哥哥 眼膜+燕窝、赫系-姜莱的日子 ）</t>
  </si>
  <si>
    <t xml:space="preserve">FD-079664</t>
  </si>
  <si>
    <t xml:space="preserve">线下渠道部-KONO-KONO销售A中心-华东区</t>
  </si>
  <si>
    <t xml:space="preserve">高智慧</t>
  </si>
  <si>
    <t xml:space="preserve">当月出货</t>
  </si>
  <si>
    <t xml:space="preserve">45.9万元</t>
  </si>
  <si>
    <t xml:space="preserve">WIS总成交 178791/25w 71.51%
①视频号一创-英子：3263、五哥哥：98、叁颗星机构：1556
②抖音一创-小雯儿kay：169、五哥哥：56741、幸运小星：83300、小宇嘻嘻：9795、水润纯佣：11673
③抖音二创：12196</t>
  </si>
  <si>
    <t xml:space="preserve">FD-049779</t>
  </si>
  <si>
    <t xml:space="preserve">高雅</t>
  </si>
  <si>
    <t xml:space="preserve">抖店发膜成交额1200w，利润率目标-3.4%</t>
  </si>
  <si>
    <t xml:space="preserve">FD-034698</t>
  </si>
  <si>
    <t xml:space="preserve">祝昭维</t>
  </si>
  <si>
    <t xml:space="preserve">团队AI（0→1）混剪成交额40w（6.20-7.19新产出片段）</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</si>
  <si>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</si>
  <si>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</si>
  <si>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</si>
  <si>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</si>
  <si>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</si>
  <si>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</si>
  <si>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</si>
  <si>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OD-003079</t>
  </si>
  <si>
    <t xml:space="preserve">何涛杰</t>
  </si>
  <si>
    <t xml:space="preserve">【团队目标】GSV100w</t>
  </si>
  <si>
    <t xml:space="preserve">2060173.07万元</t>
  </si>
  <si>
    <t xml:space="preserve">OD-000051</t>
  </si>
  <si>
    <t xml:space="preserve">吴泽锐</t>
  </si>
  <si>
    <t xml:space="preserve">206万元</t>
  </si>
  <si>
    <t xml:space="preserve">SX-007716</t>
  </si>
  <si>
    <t xml:space="preserve">杨丹妮</t>
  </si>
  <si>
    <t xml:space="preserve">GSV100万</t>
  </si>
  <si>
    <t xml:space="preserve">SX-001036</t>
  </si>
  <si>
    <t xml:space="preserve">陈静</t>
  </si>
  <si>
    <t xml:space="preserve">实习生绩效方案</t>
  </si>
  <si>
    <t xml:space="preserve">实习生目标</t>
  </si>
  <si>
    <t xml:space="preserve">日常值班、价值观、影响力、新机会点的发掘</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</si>
  <si>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</si>
  <si>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</si>
  <si>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</si>
  <si>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</si>
  <si>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</si>
  <si>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</si>
  <si>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</si>
  <si>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</si>
  <si>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</si>
  <si>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</si>
  <si>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</si>
  <si>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</si>
  <si>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</si>
  <si>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</si>
  <si>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</si>
  <si>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</si>
  <si>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关键工作2.0</t>
  </si>
  <si>
    <t xml:space="preserve">离职对接</t>
  </si>
  <si>
    <t xml:space="preserve">OD-004744</t>
  </si>
  <si>
    <t xml:space="preserve">黄鸿鑫</t>
  </si>
  <si>
    <t xml:space="preserve">拍摄难点突破及创新</t>
  </si>
  <si>
    <t xml:space="preserve">以WIS全品类各平台（千川/视频号）的个人素材扣退成交额为准，折算规则参考绩效方案</t>
  </si>
  <si>
    <t xml:space="preserve">FD-067989</t>
  </si>
  <si>
    <t xml:space="preserve">张雅萱</t>
  </si>
  <si>
    <t xml:space="preserve">渠道整体销售额完成率</t>
  </si>
  <si>
    <t xml:space="preserve">面膜/眼膜单条成交&gt;10万，次抛/微针单条成交&gt;5万，燕窝/凝颜单条成交&gt;3万；AI上脸方向突破</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</si>
  <si>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</si>
  <si>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</si>
  <si>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</si>
  <si>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</si>
  <si>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</si>
  <si>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</si>
  <si>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</si>
  <si>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工号旧</t>
  </si>
  <si>
    <t xml:space="preserve">工号-新</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</si>
  <si>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</si>
  <si>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</si>
  <si>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</si>
  <si>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</si>
  <si>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</si>
  <si>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</si>
  <si>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</si>
  <si>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</si>
  <si>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</si>
  <si>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</si>
  <si>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</si>
  <si>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FD-043687</t>
  </si>
  <si>
    <t xml:space="preserve">品牌创意部-直播中心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</si>
  <si>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</si>
  <si>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</si>
  <si>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</si>
  <si>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</si>
  <si>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</si>
  <si>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</si>
  <si>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</si>
  <si>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</si>
  <si>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</si>
  <si>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</si>
  <si>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</si>
  <si>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</si>
  <si>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</si>
  <si>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</si>
  <si>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</si>
  <si>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</si>
  <si>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</si>
  <si>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</si>
  <si>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</si>
  <si>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</si>
  <si>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</si>
  <si>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</si>
  <si>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</si>
  <si>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</si>
  <si>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</si>
  <si>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</si>
  <si>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</si>
  <si>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</si>
  <si>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</si>
  <si>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</si>
  <si>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</si>
  <si>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</si>
  <si>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</si>
  <si>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</si>
  <si>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</si>
  <si>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</si>
  <si>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</si>
  <si>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</si>
  <si>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</si>
  <si>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</si>
  <si>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</si>
  <si>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</si>
  <si>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</si>
  <si>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</si>
  <si>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</si>
  <si>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</si>
  <si>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业务助理</t>
  </si>
  <si>
    <t xml:space="preserve">陈冰纯</t>
  </si>
  <si>
    <t xml:space="preserve">FD-095145</t>
  </si>
  <si>
    <t xml:space="preserve">产品供应部-服务中心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</si>
  <si>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</si>
  <si>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</si>
  <si>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</si>
  <si>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</si>
  <si>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</si>
  <si>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</si>
  <si>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</si>
  <si>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品牌营销部-直播中心</t>
  </si>
  <si>
    <t xml:space="preserve">中级直播助理</t>
  </si>
  <si>
    <t xml:space="preserve">叶铭康</t>
  </si>
  <si>
    <t xml:space="preserve">FD-099551</t>
  </si>
  <si>
    <t xml:space="preserve">郑诗怡</t>
  </si>
  <si>
    <t xml:space="preserve">FD-038487</t>
  </si>
  <si>
    <t xml:space="preserve">广告策划部-直播A中心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</si>
  <si>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</si>
  <si>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</si>
  <si>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</si>
  <si>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</si>
  <si>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</si>
  <si>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</si>
  <si>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</si>
  <si>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</si>
  <si>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</si>
  <si>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</si>
  <si>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</si>
  <si>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</si>
  <si>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</si>
  <si>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</si>
  <si>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</si>
  <si>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</si>
  <si>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</si>
  <si>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</si>
  <si>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</si>
  <si>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</si>
  <si>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</si>
  <si>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</si>
  <si>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</si>
  <si>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</si>
  <si>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</si>
  <si>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</si>
  <si>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</si>
  <si>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</si>
  <si>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</si>
  <si>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</si>
  <si>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</si>
  <si>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</si>
  <si>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</si>
  <si>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</si>
  <si>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</si>
  <si>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</si>
  <si>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</si>
  <si>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</si>
  <si>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</si>
  <si>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</si>
  <si>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</si>
  <si>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</si>
  <si>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</si>
  <si>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</si>
  <si>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</si>
  <si>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</si>
  <si>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</si>
  <si>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</si>
  <si>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</si>
  <si>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</si>
  <si>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</si>
  <si>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</si>
  <si>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</si>
  <si>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</si>
  <si>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</si>
  <si>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</si>
  <si>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</si>
  <si>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</si>
  <si>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</si>
  <si>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</si>
  <si>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</si>
  <si>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</si>
  <si>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</si>
  <si>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</si>
  <si>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</si>
  <si>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</si>
  <si>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</si>
  <si>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</si>
  <si>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</si>
  <si>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</si>
  <si>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</si>
  <si>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</si>
  <si>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品牌营销部-直播中心-品牌精选</t>
  </si>
  <si>
    <t xml:space="preserve">刘楠</t>
  </si>
  <si>
    <t xml:space="preserve">FD-035758</t>
  </si>
  <si>
    <t xml:space="preserve">陈民晓</t>
  </si>
  <si>
    <t xml:space="preserve">FD-026227</t>
  </si>
  <si>
    <t xml:space="preserve">品牌营销部-直播中心-优选</t>
  </si>
  <si>
    <t xml:space="preserve">张佳黎</t>
  </si>
  <si>
    <t xml:space="preserve">FD-025427</t>
  </si>
  <si>
    <t xml:space="preserve">品牌营销部-直播中心-总部</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</si>
  <si>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</si>
  <si>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</si>
  <si>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</si>
  <si>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</si>
  <si>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</si>
  <si>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</si>
  <si>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</si>
  <si>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</si>
  <si>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</si>
  <si>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</si>
  <si>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</si>
  <si>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</si>
  <si>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品牌营销部-直播中心-官旗</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</si>
  <si>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</si>
  <si>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</si>
  <si>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</si>
  <si>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</si>
  <si>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</si>
  <si>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</si>
  <si>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</si>
  <si>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</si>
  <si>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</si>
  <si>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</si>
  <si>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</si>
  <si>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</si>
  <si>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</si>
  <si>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</si>
  <si>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</si>
  <si>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</si>
  <si>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</si>
  <si>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</si>
  <si>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</si>
  <si>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</si>
  <si>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</si>
  <si>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</si>
  <si>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</si>
  <si>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</si>
  <si>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</si>
  <si>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</si>
  <si>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</si>
  <si>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</si>
  <si>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</si>
  <si>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</si>
  <si>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</si>
  <si>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</si>
  <si>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</si>
  <si>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</si>
  <si>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</si>
  <si>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</si>
  <si>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</si>
  <si>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</si>
  <si>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</si>
  <si>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</si>
  <si>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</si>
  <si>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</si>
  <si>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</si>
  <si>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</si>
  <si>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</si>
  <si>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</si>
  <si>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品牌营销部-直播中心-护肤</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</si>
  <si>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</si>
  <si>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</si>
  <si>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</si>
  <si>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</si>
  <si>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</si>
  <si>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</si>
  <si>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</si>
  <si>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</si>
  <si>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</si>
  <si>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</si>
  <si>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</si>
  <si>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</si>
  <si>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</si>
  <si>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</si>
  <si>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</si>
  <si>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</si>
  <si>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</si>
  <si>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</si>
  <si>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</si>
  <si>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</si>
  <si>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</si>
  <si>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</si>
  <si>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</si>
  <si>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</si>
  <si>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</si>
  <si>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</si>
  <si>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</si>
  <si>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</si>
  <si>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</si>
  <si>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</si>
  <si>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</si>
  <si>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</si>
  <si>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</si>
  <si>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</si>
  <si>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</si>
  <si>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</si>
  <si>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</si>
  <si>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</si>
  <si>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</si>
  <si>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</si>
  <si>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</si>
  <si>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</si>
  <si>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</si>
  <si>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</si>
  <si>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</si>
  <si>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</si>
  <si>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</si>
  <si>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</si>
  <si>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</si>
  <si>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</si>
  <si>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</si>
  <si>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</si>
  <si>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</si>
  <si>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</si>
  <si>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</si>
  <si>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</si>
  <si>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</si>
  <si>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</si>
  <si>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</si>
  <si>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品牌营销部-营销中心J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</si>
  <si>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</si>
  <si>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</si>
  <si>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</si>
  <si>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</si>
  <si>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</si>
  <si>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</si>
  <si>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</si>
  <si>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</si>
  <si>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</si>
  <si>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</si>
  <si>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</si>
  <si>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</si>
  <si>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</si>
  <si>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</si>
  <si>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</si>
  <si>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广告策划部-创新B中心</t>
  </si>
  <si>
    <t xml:space="preserve">曾秀芬</t>
  </si>
  <si>
    <t xml:space="preserve">OD-000819</t>
  </si>
  <si>
    <t xml:space="preserve">彭于宴</t>
  </si>
  <si>
    <t xml:space="preserve">OD-005404</t>
  </si>
  <si>
    <t xml:space="preserve">广告策划部-创新C中心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</si>
  <si>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</si>
  <si>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</si>
  <si>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</si>
  <si>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</si>
  <si>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</si>
  <si>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</si>
  <si>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</si>
  <si>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</si>
  <si>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</si>
  <si>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</si>
  <si>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</si>
  <si>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</si>
  <si>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</si>
  <si>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</si>
  <si>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</si>
  <si>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</si>
  <si>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品牌创意部-赫系营销A中心</t>
  </si>
  <si>
    <t xml:space="preserve">视频编辑</t>
  </si>
  <si>
    <t xml:space="preserve">曾繁琳</t>
  </si>
  <si>
    <t xml:space="preserve">OD-008782</t>
  </si>
  <si>
    <t xml:space="preserve">品牌营销部-营销中心B</t>
  </si>
  <si>
    <t xml:space="preserve">黄丽玲</t>
  </si>
  <si>
    <t xml:space="preserve">FD-123512</t>
  </si>
  <si>
    <t xml:space="preserve">电商发展部-设计中心</t>
  </si>
  <si>
    <t xml:space="preserve">摄影师</t>
  </si>
  <si>
    <t xml:space="preserve">邓炽威</t>
  </si>
  <si>
    <t xml:space="preserve">FD-046731</t>
  </si>
  <si>
    <t xml:space="preserve">品牌营销部-营销中心A</t>
  </si>
  <si>
    <t xml:space="preserve">营销高级经理</t>
  </si>
  <si>
    <t xml:space="preserve">刘玳菱</t>
  </si>
  <si>
    <t xml:space="preserve">FD-022962</t>
  </si>
  <si>
    <t xml:space="preserve">覃琪惠</t>
  </si>
  <si>
    <t xml:space="preserve">FD-027130</t>
  </si>
  <si>
    <t xml:space="preserve">品牌营销部-视频中心</t>
  </si>
  <si>
    <t xml:space="preserve">视频编导</t>
  </si>
  <si>
    <t xml:space="preserve">马鸿涛</t>
  </si>
  <si>
    <t xml:space="preserve">FD-059637</t>
  </si>
  <si>
    <t xml:space="preserve">市场拓展部-媒介中心</t>
  </si>
  <si>
    <t xml:space="preserve">商务PR</t>
  </si>
  <si>
    <t xml:space="preserve">吴丽慧</t>
  </si>
  <si>
    <t xml:space="preserve">FD-108074</t>
  </si>
  <si>
    <t xml:space="preserve">凡岛研究院-配方研究实验室</t>
  </si>
  <si>
    <t xml:space="preserve">研发高级经理</t>
  </si>
  <si>
    <t xml:space="preserve">曾双</t>
  </si>
  <si>
    <t xml:space="preserve">FD-222057</t>
  </si>
  <si>
    <t xml:space="preserve">AI效率流程部-AI效率流程D中心</t>
  </si>
  <si>
    <t xml:space="preserve">AIBP</t>
  </si>
  <si>
    <t xml:space="preserve">朱嘉琳</t>
  </si>
  <si>
    <t xml:space="preserve">FD-051468</t>
  </si>
  <si>
    <t xml:space="preserve">电商发展部-达播中心</t>
  </si>
  <si>
    <t xml:space="preserve">张晓璐</t>
  </si>
  <si>
    <t xml:space="preserve">FD-162537</t>
  </si>
  <si>
    <t xml:space="preserve">AI高级经理</t>
  </si>
  <si>
    <t xml:space="preserve">胡玮锨</t>
  </si>
  <si>
    <t xml:space="preserve">FD-058035</t>
  </si>
  <si>
    <t xml:space="preserve">市场拓展部-明星中心</t>
  </si>
  <si>
    <t xml:space="preserve">商务经理</t>
  </si>
  <si>
    <t xml:space="preserve">王丽滢</t>
  </si>
  <si>
    <t xml:space="preserve">OD-006060</t>
  </si>
  <si>
    <t xml:space="preserve">广告策划部-营销D中心</t>
  </si>
  <si>
    <t xml:space="preserve">张占英</t>
  </si>
  <si>
    <t xml:space="preserve">FD-012698</t>
  </si>
  <si>
    <t xml:space="preserve">品牌管理部-赫系品牌中心</t>
  </si>
  <si>
    <t xml:space="preserve">总监助理</t>
  </si>
  <si>
    <t xml:space="preserve">王怡硕</t>
  </si>
  <si>
    <t xml:space="preserve">OD-001289</t>
  </si>
  <si>
    <t xml:space="preserve">黄钰薇</t>
  </si>
  <si>
    <t xml:space="preserve">FD-070643</t>
  </si>
  <si>
    <t xml:space="preserve">线下渠道部-渠道运作中心</t>
  </si>
  <si>
    <t xml:space="preserve">培训师</t>
  </si>
  <si>
    <t xml:space="preserve">罗静文</t>
  </si>
  <si>
    <t xml:space="preserve">OD-006730</t>
  </si>
  <si>
    <t xml:space="preserve">电商发展部-赫系渠道A中心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</si>
  <si>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</si>
  <si>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</si>
  <si>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</si>
  <si>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</si>
  <si>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</si>
  <si>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</si>
  <si>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</si>
  <si>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</si>
  <si>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</si>
  <si>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</si>
  <si>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</si>
  <si>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</si>
  <si>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</si>
  <si>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</si>
  <si>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</si>
  <si>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</si>
  <si>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</si>
  <si>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</si>
  <si>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</si>
  <si>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</si>
  <si>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</si>
  <si>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</si>
  <si>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</si>
  <si>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</si>
  <si>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</si>
  <si>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</si>
  <si>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</si>
  <si>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</si>
  <si>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</si>
  <si>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</si>
  <si>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</si>
  <si>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</si>
  <si>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电商发展部-WIS渠道A中心</t>
  </si>
  <si>
    <t xml:space="preserve">护肤顾问</t>
  </si>
  <si>
    <t xml:space="preserve">杨前程</t>
  </si>
  <si>
    <t xml:space="preserve">FD-050291</t>
  </si>
  <si>
    <t xml:space="preserve">王天诺</t>
  </si>
  <si>
    <t xml:space="preserve">FD-082593</t>
  </si>
  <si>
    <t xml:space="preserve">产品供应部-采购中心</t>
  </si>
  <si>
    <t xml:space="preserve">采购高级经理</t>
  </si>
  <si>
    <t xml:space="preserve">李炜瑶</t>
  </si>
  <si>
    <t xml:space="preserve">FD-077506</t>
  </si>
  <si>
    <t xml:space="preserve">产品供应部-寻源中心</t>
  </si>
  <si>
    <t xml:space="preserve">寻源高级经理</t>
  </si>
  <si>
    <t xml:space="preserve">朱丹萍</t>
  </si>
  <si>
    <t xml:space="preserve">FD-101189</t>
  </si>
  <si>
    <t xml:space="preserve">新品牌事业部-设计中心</t>
  </si>
  <si>
    <t xml:space="preserve">设计高级经理</t>
  </si>
  <si>
    <t xml:space="preserve">向东华</t>
  </si>
  <si>
    <t xml:space="preserve">FD-013711</t>
  </si>
  <si>
    <t xml:space="preserve">人资行政部</t>
  </si>
  <si>
    <t xml:space="preserve">覃镜晓</t>
  </si>
  <si>
    <t xml:space="preserve">FD-017532</t>
  </si>
  <si>
    <t xml:space="preserve">市场拓展部</t>
  </si>
  <si>
    <t xml:space="preserve">马菲阳</t>
  </si>
  <si>
    <t xml:space="preserve">FD-091571</t>
  </si>
  <si>
    <t xml:space="preserve">产品供应部-物流中心</t>
  </si>
  <si>
    <t xml:space="preserve">物流高级经理</t>
  </si>
  <si>
    <t xml:space="preserve">吴永星</t>
  </si>
  <si>
    <t xml:space="preserve">FD-036124</t>
  </si>
  <si>
    <t xml:space="preserve">唐基翔</t>
  </si>
  <si>
    <t xml:space="preserve">FD-054711</t>
  </si>
  <si>
    <t xml:space="preserve">市场拓展部-先锋中心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</si>
  <si>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</si>
  <si>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</si>
  <si>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</si>
  <si>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</si>
  <si>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</si>
  <si>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</si>
  <si>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</si>
  <si>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</si>
  <si>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</si>
  <si>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</si>
  <si>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</si>
  <si>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</si>
  <si>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</si>
  <si>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</si>
  <si>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</si>
  <si>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</si>
  <si>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</si>
  <si>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产品供应部-供应中心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</si>
  <si>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</si>
  <si>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</si>
  <si>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</si>
  <si>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</si>
  <si>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</si>
  <si>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</si>
  <si>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</si>
  <si>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</si>
  <si>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</si>
  <si>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</si>
  <si>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</si>
  <si>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</si>
  <si>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新品牌事业部-品牌管理中心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</si>
  <si>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</si>
  <si>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</si>
  <si>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</si>
  <si>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</si>
  <si>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</si>
  <si>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</si>
  <si>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线下渠道部-KONO-KONO销售A中心-华东区</t>
  </si>
  <si>
    <t xml:space="preserve">KA商务经理</t>
  </si>
  <si>
    <t xml:space="preserve">高智慧</t>
  </si>
  <si>
    <t xml:space="preserve">FD-074107</t>
  </si>
  <si>
    <t xml:space="preserve">线下渠道部-WIS-WIS销售B中心</t>
  </si>
  <si>
    <t xml:space="preserve">零售高级经理</t>
  </si>
  <si>
    <t xml:space="preserve">华珊</t>
  </si>
  <si>
    <t xml:space="preserve">OD-002532</t>
  </si>
  <si>
    <t xml:space="preserve">品牌创意部-赫系营销D中心</t>
  </si>
  <si>
    <t xml:space="preserve">谭远淮</t>
  </si>
  <si>
    <t xml:space="preserve">OD-009293</t>
  </si>
  <si>
    <t xml:space="preserve">品牌创意部-赫系营销B中心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</si>
  <si>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</si>
  <si>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</si>
  <si>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</si>
  <si>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</si>
  <si>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</si>
  <si>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</si>
  <si>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</si>
  <si>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</si>
  <si>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</si>
  <si>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</si>
  <si>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</si>
  <si>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</si>
  <si>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</si>
  <si>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人资行政部-HRBP中心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</si>
  <si>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</si>
  <si>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</si>
  <si>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</si>
  <si>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</si>
  <si>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</si>
  <si>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</si>
  <si>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</si>
  <si>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</si>
  <si>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</si>
  <si>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品牌创意部-赫系营销C中心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</si>
  <si>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</si>
  <si>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</si>
  <si>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</si>
  <si>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</si>
  <si>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</si>
  <si>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</si>
  <si>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</si>
  <si>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</si>
  <si>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</si>
  <si>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电商发展部-赫系渠道B中心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</si>
  <si>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</si>
  <si>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</si>
  <si>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</si>
  <si>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</si>
  <si>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</si>
  <si>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</si>
  <si>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</si>
  <si>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</si>
  <si>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</si>
  <si>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</si>
  <si>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</si>
  <si>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</si>
  <si>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</si>
  <si>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</si>
  <si>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</si>
  <si>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电商发展部-KONO渠道A中心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</si>
  <si>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</si>
  <si>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</si>
  <si>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</si>
  <si>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</si>
  <si>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</si>
  <si>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</si>
  <si>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</si>
  <si>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</si>
  <si>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</si>
  <si>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</si>
  <si>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</si>
  <si>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</si>
  <si>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</si>
  <si>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</si>
  <si>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</si>
  <si>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</si>
  <si>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</si>
  <si>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</si>
  <si>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</si>
  <si>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人资行政部-从化中心</t>
  </si>
  <si>
    <t xml:space="preserve">行政专员</t>
  </si>
  <si>
    <t xml:space="preserve">廖树清</t>
  </si>
  <si>
    <t xml:space="preserve">FD-168199</t>
  </si>
  <si>
    <t xml:space="preserve">AI效率流程部-AI效率流程F中心</t>
  </si>
  <si>
    <t xml:space="preserve">后端工程师</t>
  </si>
  <si>
    <t xml:space="preserve">张顺鸿</t>
  </si>
  <si>
    <t xml:space="preserve">FD-013392</t>
  </si>
  <si>
    <t xml:space="preserve">品牌创意部</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</si>
  <si>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</si>
  <si>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</si>
  <si>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</si>
  <si>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</si>
  <si>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</si>
  <si>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</si>
  <si>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</si>
  <si>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</si>
  <si>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</si>
  <si>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</si>
  <si>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</si>
  <si>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</si>
  <si>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</si>
  <si>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</si>
  <si>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</si>
  <si>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</si>
  <si>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</si>
  <si>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</si>
  <si>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</si>
  <si>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</si>
  <si>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</si>
  <si>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</si>
  <si>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</si>
  <si>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</si>
  <si>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</si>
  <si>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</si>
  <si>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</si>
  <si>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</si>
  <si>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广告策划部-营销C中心</t>
  </si>
  <si>
    <t xml:space="preserve">金晶</t>
  </si>
  <si>
    <t xml:space="preserve">OD-000127</t>
  </si>
  <si>
    <t xml:space="preserve">请款对账员</t>
  </si>
  <si>
    <t xml:space="preserve">罗杨佳</t>
  </si>
  <si>
    <t xml:space="preserve">FD-096981</t>
  </si>
  <si>
    <t xml:space="preserve">产品供应部</t>
  </si>
  <si>
    <t xml:space="preserve">杨金连</t>
  </si>
  <si>
    <t xml:space="preserve">FD-054520</t>
  </si>
  <si>
    <t xml:space="preserve">李暄</t>
  </si>
  <si>
    <t xml:space="preserve">FD-071472</t>
  </si>
  <si>
    <t xml:space="preserve">线下渠道部-KONO-KONO销售A中心-华中区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</si>
  <si>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</si>
  <si>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</si>
  <si>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</si>
  <si>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</si>
  <si>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</si>
  <si>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</si>
  <si>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</si>
  <si>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</si>
  <si>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</si>
  <si>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</si>
  <si>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</si>
  <si>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</si>
  <si>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</si>
  <si>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</si>
  <si>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</si>
  <si>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</si>
  <si>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</si>
  <si>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</si>
  <si>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</si>
  <si>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</si>
  <si>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</si>
  <si>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</si>
  <si>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</si>
  <si>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</si>
  <si>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</si>
  <si>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产品供应部-品控中心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</si>
  <si>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</si>
  <si>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</si>
  <si>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</si>
  <si>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</si>
  <si>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</si>
  <si>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</si>
  <si>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</si>
  <si>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</si>
  <si>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</si>
  <si>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</si>
  <si>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</si>
  <si>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</si>
  <si>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人资行政部-组织发展中心</t>
  </si>
  <si>
    <t xml:space="preserve">SSC助理</t>
  </si>
  <si>
    <t xml:space="preserve">宋月</t>
  </si>
  <si>
    <t xml:space="preserve">FD-218877</t>
  </si>
  <si>
    <t xml:space="preserve">海外事业部-运营中心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</si>
  <si>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</si>
  <si>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</si>
  <si>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</si>
  <si>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</si>
  <si>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</si>
  <si>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</si>
  <si>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</si>
  <si>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</si>
  <si>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</si>
  <si>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</si>
  <si>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人资行政部-猎聘中心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</si>
  <si>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</si>
  <si>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</si>
  <si>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</si>
  <si>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</si>
  <si>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</si>
  <si>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</si>
  <si>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</si>
  <si>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</si>
  <si>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</si>
  <si>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</si>
  <si>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</si>
  <si>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</si>
  <si>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</si>
  <si>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总经办-总助模块</t>
  </si>
  <si>
    <t xml:space="preserve">高级经理</t>
  </si>
  <si>
    <t xml:space="preserve">丁小恬</t>
  </si>
  <si>
    <t xml:space="preserve">FD-091904</t>
  </si>
  <si>
    <t xml:space="preserve">产品供应部-计划中心</t>
  </si>
  <si>
    <t xml:space="preserve">计划高级经理</t>
  </si>
  <si>
    <t xml:space="preserve">陈林文</t>
  </si>
  <si>
    <t xml:space="preserve">FD-238869</t>
  </si>
  <si>
    <t xml:space="preserve">品牌管理部-KONO品牌中心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</si>
  <si>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</si>
  <si>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</si>
  <si>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</si>
  <si>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</si>
  <si>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</si>
  <si>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</si>
  <si>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</si>
  <si>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</si>
  <si>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人资行政部-直播招聘中心</t>
  </si>
  <si>
    <t xml:space="preserve">王巧微</t>
  </si>
  <si>
    <t xml:space="preserve">FD-093433</t>
  </si>
  <si>
    <t xml:space="preserve">开发高级经理</t>
  </si>
  <si>
    <t xml:space="preserve">杨尚儒</t>
  </si>
  <si>
    <t xml:space="preserve">FD-227829</t>
  </si>
  <si>
    <t xml:space="preserve">AI效率流程部-AI效率流程B中心</t>
  </si>
  <si>
    <t xml:space="preserve">AI工程师</t>
  </si>
  <si>
    <t xml:space="preserve">崔经瀚</t>
  </si>
  <si>
    <t xml:space="preserve">FD-237186</t>
  </si>
  <si>
    <t xml:space="preserve">凡岛研究院-产品设计中心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</si>
  <si>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</si>
  <si>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</si>
  <si>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</si>
  <si>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</si>
  <si>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</si>
  <si>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</si>
  <si>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</si>
  <si>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</si>
  <si>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</si>
  <si>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</si>
  <si>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</si>
  <si>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</si>
  <si>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</si>
  <si>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</si>
  <si>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</si>
  <si>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</si>
  <si>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</si>
  <si>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</si>
  <si>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</si>
  <si>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</si>
  <si>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</si>
  <si>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</si>
  <si>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</si>
  <si>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</si>
  <si>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</si>
  <si>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</si>
  <si>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</si>
  <si>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</si>
  <si>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</si>
  <si>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</si>
  <si>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</si>
  <si>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凡岛研究院-机理研究实验室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</si>
  <si>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</si>
  <si>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</si>
  <si>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</si>
  <si>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</si>
  <si>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</si>
  <si>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</si>
  <si>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</si>
  <si>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</si>
  <si>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</si>
  <si>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</si>
  <si>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</si>
  <si>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</si>
  <si>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</si>
  <si>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</si>
  <si>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</si>
  <si>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</si>
  <si>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</si>
  <si>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</si>
  <si>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</si>
  <si>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</si>
  <si>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</si>
  <si>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</si>
  <si>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</si>
  <si>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</si>
  <si>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</si>
  <si>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</si>
  <si>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</si>
  <si>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</si>
  <si>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</si>
  <si>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</si>
  <si>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</si>
  <si>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</si>
  <si>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</si>
  <si>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</si>
  <si>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</si>
  <si>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</si>
  <si>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</si>
  <si>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</si>
  <si>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</si>
  <si>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</si>
  <si>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</si>
  <si>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</si>
  <si>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</si>
  <si>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</si>
  <si>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</si>
  <si>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</si>
  <si>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</si>
  <si>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人资行政部-行政中心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</si>
  <si>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</si>
  <si>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</si>
  <si>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</si>
  <si>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</si>
  <si>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</si>
  <si>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</si>
  <si>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</si>
  <si>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</si>
  <si>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</si>
  <si>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</si>
  <si>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</si>
  <si>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</si>
  <si>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</si>
  <si>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</si>
  <si>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</si>
  <si>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</si>
  <si>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</si>
  <si>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</si>
  <si>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</si>
  <si>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</si>
  <si>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</si>
  <si>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</si>
  <si>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</si>
  <si>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</si>
  <si>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</si>
  <si>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</si>
  <si>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电商发展部-渠道支持中心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</si>
  <si>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</si>
  <si>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</si>
  <si>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</si>
  <si>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</si>
  <si>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</si>
  <si>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</si>
  <si>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</si>
  <si>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</si>
  <si>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</si>
  <si>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</si>
  <si>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</si>
  <si>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</si>
  <si>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</si>
  <si>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</si>
  <si>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</si>
  <si>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</si>
  <si>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</si>
  <si>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</si>
  <si>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</si>
  <si>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</si>
  <si>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</si>
  <si>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</si>
  <si>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</si>
  <si>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</si>
  <si>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AI效率流程部-AI效率流程C中心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</si>
  <si>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</si>
  <si>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</si>
  <si>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</si>
  <si>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</si>
  <si>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</si>
  <si>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</si>
  <si>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</si>
  <si>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</si>
  <si>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</si>
  <si>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</si>
  <si>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</si>
  <si>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</si>
  <si>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</si>
  <si>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</si>
  <si>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</si>
  <si>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</si>
  <si>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</si>
  <si>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</si>
  <si>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</si>
  <si>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</si>
  <si>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</si>
  <si>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</si>
  <si>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</si>
  <si>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</si>
  <si>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</si>
  <si>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</si>
  <si>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</si>
  <si>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</si>
  <si>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</si>
  <si>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</si>
  <si>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</si>
  <si>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</si>
  <si>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</si>
  <si>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</si>
  <si>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</si>
  <si>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</si>
  <si>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</si>
  <si>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</si>
  <si>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品牌营销部-品牌营销中心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</si>
  <si>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</si>
  <si>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</si>
  <si>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</si>
  <si>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</si>
  <si>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</si>
  <si>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</si>
  <si>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</si>
  <si>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</si>
  <si>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</si>
  <si>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</si>
  <si>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</si>
  <si>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</si>
  <si>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</si>
  <si>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</si>
  <si>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</si>
  <si>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</si>
  <si>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</si>
  <si>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</si>
  <si>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</si>
  <si>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</si>
  <si>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</si>
  <si>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</si>
  <si>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AI效率流程部-AI效率流程A中心</t>
  </si>
  <si>
    <t xml:space="preserve">郭俊贤</t>
  </si>
  <si>
    <t xml:space="preserve">FD-224753</t>
  </si>
  <si>
    <t xml:space="preserve">林翰</t>
  </si>
  <si>
    <t xml:space="preserve">FD-059032</t>
  </si>
  <si>
    <t xml:space="preserve">麦绮雯</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</si>
  <si>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</si>
  <si>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</si>
  <si>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</si>
  <si>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</si>
  <si>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</si>
  <si>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</si>
  <si>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</si>
  <si>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</si>
  <si>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</si>
  <si>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</si>
  <si>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</si>
  <si>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</si>
  <si>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</si>
  <si>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</si>
  <si>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</si>
  <si>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</si>
  <si>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</si>
  <si>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</si>
  <si>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</si>
  <si>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</si>
  <si>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</si>
  <si>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</si>
  <si>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</si>
  <si>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</si>
  <si>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</si>
  <si>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</si>
  <si>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</si>
  <si>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</si>
  <si>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</si>
  <si>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</si>
  <si>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</si>
  <si>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</si>
  <si>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</si>
  <si>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</si>
  <si>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</si>
  <si>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</si>
  <si>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</si>
  <si>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</si>
  <si>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</si>
  <si>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</si>
  <si>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</si>
  <si>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</si>
  <si>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</si>
  <si>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</si>
  <si>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</si>
  <si>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</si>
  <si>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</si>
  <si>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</si>
  <si>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</si>
  <si>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线下渠道部-KONO-KONO销售A中心-华北区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</si>
  <si>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</si>
  <si>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</si>
  <si>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</si>
  <si>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</si>
  <si>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</si>
  <si>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</si>
  <si>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</si>
  <si>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</si>
  <si>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</si>
  <si>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</si>
  <si>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</si>
  <si>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</si>
  <si>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</si>
  <si>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</si>
  <si>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</si>
  <si>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</si>
  <si>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</si>
  <si>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</si>
  <si>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</si>
  <si>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</si>
  <si>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</si>
  <si>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</si>
  <si>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</si>
  <si>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</si>
  <si>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</si>
  <si>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</si>
  <si>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</si>
  <si>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</si>
  <si>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</si>
  <si>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</si>
  <si>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</si>
  <si>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</si>
  <si>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</si>
  <si>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</si>
  <si>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财务部-财资管理中心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</si>
  <si>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</si>
  <si>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</si>
  <si>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</si>
  <si>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</si>
  <si>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</si>
  <si>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</si>
  <si>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</si>
  <si>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</si>
  <si>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</si>
  <si>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</si>
  <si>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</si>
  <si>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</si>
  <si>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</si>
  <si>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</si>
  <si>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</si>
  <si>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</si>
  <si>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</si>
  <si>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</si>
  <si>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</si>
  <si>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</si>
  <si>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</si>
  <si>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</si>
  <si>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</si>
  <si>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</si>
  <si>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</si>
  <si>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</si>
  <si>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线下渠道部-WIS-WIS销售A中心-华东区</t>
  </si>
  <si>
    <t xml:space="preserve">黄慧琳</t>
  </si>
  <si>
    <t xml:space="preserve">FD-221937</t>
  </si>
  <si>
    <t xml:space="preserve">AI效率流程部-AI效率流程E中心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</si>
  <si>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</si>
  <si>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</si>
  <si>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</si>
  <si>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</si>
  <si>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</si>
  <si>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</si>
  <si>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</si>
  <si>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</si>
  <si>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</si>
  <si>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</si>
  <si>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</si>
  <si>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</si>
  <si>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</si>
  <si>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</si>
  <si>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</si>
  <si>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</si>
  <si>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</si>
  <si>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</si>
  <si>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</si>
  <si>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</si>
  <si>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</si>
  <si>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</si>
  <si>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</si>
  <si>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</si>
  <si>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</si>
  <si>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</si>
  <si>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</si>
  <si>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</si>
  <si>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</si>
  <si>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</si>
  <si>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</si>
  <si>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</si>
  <si>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</si>
  <si>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</si>
  <si>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</si>
  <si>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</si>
  <si>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</si>
  <si>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</si>
  <si>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</si>
  <si>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品牌管理部-WIS品牌中心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</si>
  <si>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</si>
  <si>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</si>
  <si>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</si>
  <si>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</si>
  <si>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</si>
  <si>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</si>
  <si>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</si>
  <si>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</si>
  <si>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</si>
  <si>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</si>
  <si>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</si>
  <si>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</si>
  <si>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</si>
  <si>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</si>
  <si>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</si>
  <si>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</si>
  <si>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</si>
  <si>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</si>
  <si>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</si>
  <si>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</si>
  <si>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</si>
  <si>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</si>
  <si>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</si>
  <si>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</si>
  <si>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</si>
  <si>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</si>
  <si>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</si>
  <si>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</si>
  <si>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</si>
  <si>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</si>
  <si>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</si>
  <si>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</si>
  <si>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</si>
  <si>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</si>
  <si>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</si>
  <si>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</si>
  <si>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</si>
  <si>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</si>
  <si>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</si>
  <si>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</si>
  <si>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</si>
  <si>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</si>
  <si>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</si>
  <si>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</si>
  <si>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</si>
  <si>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</si>
  <si>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</si>
  <si>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</si>
  <si>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</si>
  <si>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</si>
  <si>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</si>
  <si>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</si>
  <si>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</si>
  <si>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</si>
  <si>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</si>
  <si>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</si>
  <si>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</si>
  <si>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</si>
  <si>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</si>
  <si>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</si>
  <si>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</si>
  <si>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</si>
  <si>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</si>
  <si>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</si>
  <si>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</si>
  <si>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</si>
  <si>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</si>
  <si>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</si>
  <si>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</si>
  <si>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</si>
  <si>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</si>
  <si>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</si>
  <si>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</si>
  <si>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</si>
  <si>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</si>
  <si>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</si>
  <si>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</si>
  <si>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</si>
  <si>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</si>
  <si>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</si>
  <si>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</si>
  <si>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</si>
  <si>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</si>
  <si>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</si>
  <si>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海外事业部-营销中心</t>
  </si>
  <si>
    <t xml:space="preserve">蔡沛心</t>
  </si>
  <si>
    <t xml:space="preserve">FD-030900</t>
  </si>
  <si>
    <t xml:space="preserve">肖烨涛</t>
  </si>
  <si>
    <t xml:space="preserve">FD-071553</t>
  </si>
  <si>
    <t xml:space="preserve">线下渠道部-KONO-KONO销售B中心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</si>
  <si>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</si>
  <si>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</si>
  <si>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</si>
  <si>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</si>
  <si>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</si>
  <si>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</si>
  <si>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</si>
  <si>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</si>
  <si>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</si>
  <si>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</si>
  <si>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</si>
  <si>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</si>
  <si>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</si>
  <si>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</si>
  <si>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</si>
  <si>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</si>
  <si>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</si>
  <si>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</si>
  <si>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</si>
  <si>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</si>
  <si>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</si>
  <si>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</si>
  <si>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</si>
  <si>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线下渠道部-KONO-KONO销售A中心-西北区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</si>
  <si>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</si>
  <si>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</si>
  <si>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</si>
  <si>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</si>
  <si>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</si>
  <si>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</si>
  <si>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</si>
  <si>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</si>
  <si>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</si>
  <si>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</si>
  <si>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</si>
  <si>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</si>
  <si>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</si>
  <si>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</si>
  <si>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</si>
  <si>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</si>
  <si>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</si>
  <si>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</si>
  <si>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</si>
  <si>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</si>
  <si>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</si>
  <si>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</si>
  <si>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</si>
  <si>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</si>
  <si>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</si>
  <si>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</si>
  <si>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</si>
  <si>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</si>
  <si>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</si>
  <si>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</si>
  <si>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</si>
  <si>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</si>
  <si>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</si>
  <si>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</si>
  <si>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</si>
  <si>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</si>
  <si>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</si>
  <si>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</si>
  <si>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</si>
  <si>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</si>
  <si>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</si>
  <si>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</si>
  <si>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</si>
  <si>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</si>
  <si>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</si>
  <si>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</si>
  <si>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</si>
  <si>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</si>
  <si>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</si>
  <si>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</si>
  <si>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</si>
  <si>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</si>
  <si>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</si>
  <si>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</si>
  <si>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</si>
  <si>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</si>
  <si>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</si>
  <si>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</si>
  <si>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</si>
  <si>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</si>
  <si>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</si>
  <si>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</si>
  <si>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</si>
  <si>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</si>
  <si>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</si>
  <si>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</si>
  <si>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</si>
  <si>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</si>
  <si>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</si>
  <si>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</si>
  <si>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</si>
  <si>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</si>
  <si>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线下渠道部-WIS-WIS销售A中心-华中区</t>
  </si>
  <si>
    <t xml:space="preserve">CS商务经理</t>
  </si>
  <si>
    <t xml:space="preserve">马诗瑾</t>
  </si>
  <si>
    <t xml:space="preserve">FD-021471</t>
  </si>
  <si>
    <t xml:space="preserve">彭聪</t>
  </si>
  <si>
    <t xml:space="preserve">FD-062816</t>
  </si>
  <si>
    <t xml:space="preserve">电商发展部-WIS渠道B中心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</si>
  <si>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</si>
  <si>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</si>
  <si>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</si>
  <si>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</si>
  <si>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</si>
  <si>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</si>
  <si>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</si>
  <si>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</si>
  <si>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</si>
  <si>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</si>
  <si>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</si>
  <si>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</si>
  <si>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</si>
  <si>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</si>
  <si>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</si>
  <si>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</si>
  <si>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</si>
  <si>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</si>
  <si>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</si>
  <si>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</si>
  <si>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</si>
  <si>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</si>
  <si>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</si>
  <si>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</si>
  <si>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</si>
  <si>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</si>
  <si>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</si>
  <si>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</si>
  <si>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</si>
  <si>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</si>
  <si>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</si>
  <si>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</si>
  <si>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</si>
  <si>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</si>
  <si>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</si>
  <si>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</si>
  <si>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</si>
  <si>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</si>
  <si>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</si>
  <si>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</si>
  <si>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</si>
  <si>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</si>
  <si>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</si>
  <si>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</si>
  <si>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</si>
  <si>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品牌营销部-AI营销中心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</si>
  <si>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</si>
  <si>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</si>
  <si>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</si>
  <si>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</si>
  <si>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</si>
  <si>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</si>
  <si>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</si>
  <si>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</si>
  <si>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</si>
  <si>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</si>
  <si>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</si>
  <si>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</si>
  <si>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</si>
  <si>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</si>
  <si>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</si>
  <si>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</si>
  <si>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</si>
  <si>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</si>
  <si>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</si>
  <si>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</si>
  <si>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</si>
  <si>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</si>
  <si>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</si>
  <si>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</si>
  <si>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</si>
  <si>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</si>
  <si>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</si>
  <si>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</si>
  <si>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</si>
  <si>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</si>
  <si>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</si>
  <si>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</si>
  <si>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</si>
  <si>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</si>
  <si>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</si>
  <si>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</si>
  <si>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</si>
  <si>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</si>
  <si>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</si>
  <si>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</si>
  <si>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</si>
  <si>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</si>
  <si>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</si>
  <si>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</si>
  <si>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</si>
  <si>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</si>
  <si>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</si>
  <si>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</si>
  <si>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新品牌事业部-电商拓展中心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</si>
  <si>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</si>
  <si>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</si>
  <si>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</si>
  <si>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</si>
  <si>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</si>
  <si>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</si>
  <si>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</si>
  <si>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</si>
  <si>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</si>
  <si>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</si>
  <si>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线下渠道部-WIS-WIS销售A中心-华南区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</si>
  <si>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</si>
  <si>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</si>
  <si>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</si>
  <si>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</si>
  <si>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</si>
  <si>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</si>
  <si>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</si>
  <si>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</si>
  <si>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</si>
  <si>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</si>
  <si>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</si>
  <si>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</si>
  <si>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</si>
  <si>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</si>
  <si>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</si>
  <si>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</si>
  <si>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</si>
  <si>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</si>
  <si>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</si>
  <si>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</si>
  <si>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</si>
  <si>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</si>
  <si>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</si>
  <si>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</si>
  <si>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</si>
  <si>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</si>
  <si>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</si>
  <si>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</si>
  <si>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</si>
  <si>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</si>
  <si>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</si>
  <si>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</si>
  <si>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</si>
  <si>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</si>
  <si>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</si>
  <si>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</si>
  <si>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</si>
  <si>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</si>
  <si>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</si>
  <si>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</si>
  <si>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品牌营销部-营销中心D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</si>
  <si>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</si>
  <si>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</si>
  <si>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</si>
  <si>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</si>
  <si>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</si>
  <si>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</si>
  <si>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</si>
  <si>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</si>
  <si>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</si>
  <si>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</si>
  <si>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</si>
  <si>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</si>
  <si>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</si>
  <si>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</si>
  <si>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</si>
  <si>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电商发展部</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</si>
  <si>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</si>
  <si>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</si>
  <si>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</si>
  <si>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</si>
  <si>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</si>
  <si>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</si>
  <si>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</si>
  <si>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</si>
  <si>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</si>
  <si>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</si>
  <si>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</si>
  <si>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</si>
  <si>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</si>
  <si>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</si>
  <si>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</si>
  <si>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</si>
  <si>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</si>
  <si>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</si>
  <si>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</si>
  <si>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</si>
  <si>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</si>
  <si>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</si>
  <si>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</si>
  <si>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</si>
  <si>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</si>
  <si>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</si>
  <si>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</si>
  <si>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</si>
  <si>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</si>
  <si>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</si>
  <si>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</si>
  <si>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</si>
  <si>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</si>
  <si>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</si>
  <si>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</si>
  <si>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</si>
  <si>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</si>
  <si>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</si>
  <si>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</si>
  <si>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</si>
  <si>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</si>
  <si>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AI效率流程部</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</si>
  <si>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</si>
  <si>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</si>
  <si>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</si>
  <si>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</si>
  <si>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</si>
  <si>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</si>
  <si>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</si>
  <si>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</si>
  <si>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</si>
  <si>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</si>
  <si>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</si>
  <si>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</si>
  <si>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</si>
  <si>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</si>
  <si>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</si>
  <si>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</si>
  <si>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</si>
  <si>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</si>
  <si>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</si>
  <si>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</si>
  <si>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</si>
  <si>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</si>
  <si>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</si>
  <si>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</si>
  <si>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</si>
  <si>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</si>
  <si>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</si>
  <si>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</si>
  <si>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</si>
  <si>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</si>
  <si>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</si>
  <si>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</si>
  <si>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</si>
  <si>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</si>
  <si>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</si>
  <si>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</si>
  <si>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</si>
  <si>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</si>
  <si>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</si>
  <si>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</si>
  <si>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</si>
  <si>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总经办-干部管理中心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</si>
  <si>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</si>
  <si>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</si>
  <si>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</si>
  <si>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</si>
  <si>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</si>
  <si>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</si>
  <si>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</si>
  <si>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</si>
  <si>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</si>
  <si>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</si>
  <si>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</si>
  <si>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</si>
  <si>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</si>
  <si>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</si>
  <si>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</si>
  <si>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</si>
  <si>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</si>
  <si>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</si>
  <si>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</si>
  <si>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</si>
  <si>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</si>
  <si>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</si>
  <si>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</si>
  <si>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</si>
  <si>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</si>
  <si>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</si>
  <si>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</si>
  <si>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</si>
  <si>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</si>
  <si>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</si>
  <si>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</si>
  <si>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</si>
  <si>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</si>
  <si>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</si>
  <si>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</si>
  <si>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</si>
  <si>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</si>
  <si>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</si>
  <si>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</si>
  <si>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</si>
  <si>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</si>
  <si>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</si>
  <si>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</si>
  <si>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</si>
  <si>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</si>
  <si>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</si>
  <si>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</si>
  <si>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</si>
  <si>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</si>
  <si>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</si>
  <si>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</si>
  <si>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</si>
  <si>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</si>
  <si>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</si>
  <si>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</si>
  <si>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</si>
  <si>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</si>
  <si>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</si>
  <si>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</si>
  <si>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</si>
  <si>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</si>
  <si>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广告策划部-营销A中心</t>
  </si>
  <si>
    <t xml:space="preserve">金永成</t>
  </si>
  <si>
    <t xml:space="preserve">FD-038090</t>
  </si>
  <si>
    <t xml:space="preserve">马连婧</t>
  </si>
  <si>
    <t xml:space="preserve">OD-004887</t>
  </si>
  <si>
    <t xml:space="preserve">冯昊男</t>
  </si>
  <si>
    <t xml:space="preserve">FD-015835</t>
  </si>
  <si>
    <t xml:space="preserve">品牌营销部</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</si>
  <si>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</si>
  <si>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</si>
  <si>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</si>
  <si>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</si>
  <si>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</si>
  <si>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</si>
  <si>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</si>
  <si>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</si>
  <si>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</si>
  <si>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</si>
  <si>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</si>
  <si>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</si>
  <si>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</si>
  <si>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</si>
  <si>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</si>
  <si>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</si>
  <si>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</si>
  <si>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</si>
  <si>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</si>
  <si>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</si>
  <si>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</si>
  <si>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</si>
  <si>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</si>
  <si>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</si>
  <si>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</si>
  <si>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</si>
  <si>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</si>
  <si>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</si>
  <si>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</si>
  <si>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</si>
  <si>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</si>
  <si>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</si>
  <si>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</si>
  <si>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</si>
  <si>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线下渠道部-KONO-KONO销售C中心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</si>
  <si>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</si>
  <si>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</si>
  <si>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</si>
  <si>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</si>
  <si>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</si>
  <si>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</si>
  <si>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</si>
  <si>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线下渠道部-KONO-KONO销售A中心-东北区</t>
  </si>
  <si>
    <t xml:space="preserve">何诗童</t>
  </si>
  <si>
    <t xml:space="preserve">OD-000847</t>
  </si>
  <si>
    <t xml:space="preserve">梁华铮</t>
  </si>
  <si>
    <t xml:space="preserve">FD-171271</t>
  </si>
  <si>
    <t xml:space="preserve">皮惠玲</t>
  </si>
  <si>
    <t xml:space="preserve">FD-015295</t>
  </si>
  <si>
    <t xml:space="preserve">广告策划部</t>
  </si>
  <si>
    <t xml:space="preserve">段欣</t>
  </si>
  <si>
    <t xml:space="preserve">FD-073151</t>
  </si>
  <si>
    <t xml:space="preserve">线下渠道部-KONO-KONO销售A中心-华南区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</si>
  <si>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</si>
  <si>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</si>
  <si>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</si>
  <si>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</si>
  <si>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</si>
  <si>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</si>
  <si>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</si>
  <si>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</si>
  <si>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</si>
  <si>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</si>
  <si>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</si>
  <si>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</si>
  <si>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</si>
  <si>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</si>
  <si>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</si>
  <si>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</si>
  <si>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</si>
  <si>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</si>
  <si>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</si>
  <si>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</si>
  <si>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</si>
  <si>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</si>
  <si>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</si>
  <si>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</si>
  <si>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</si>
  <si>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</si>
  <si>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</si>
  <si>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</si>
  <si>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</si>
  <si>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</si>
  <si>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</si>
  <si>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</si>
  <si>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</si>
  <si>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</si>
  <si>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海外事业部-海外开拓中心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</si>
  <si>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</si>
  <si>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</si>
  <si>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</si>
  <si>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</si>
  <si>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</si>
  <si>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</si>
  <si>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</si>
  <si>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</si>
  <si>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</si>
  <si>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</si>
  <si>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</si>
  <si>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</si>
  <si>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</si>
  <si>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</si>
  <si>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</si>
  <si>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</si>
  <si>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</si>
  <si>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</si>
  <si>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</si>
  <si>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</si>
  <si>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</si>
  <si>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</si>
  <si>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</si>
  <si>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</si>
  <si>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</si>
  <si>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</si>
  <si>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</si>
  <si>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线下渠道部-WIS-WIS销售A中心-西南区</t>
  </si>
  <si>
    <t xml:space="preserve">任轩</t>
  </si>
  <si>
    <t xml:space="preserve">FD-077316</t>
  </si>
  <si>
    <t xml:space="preserve">线下渠道部-KONO-KONO销售A中心-西南区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</si>
  <si>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</si>
  <si>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</si>
  <si>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</si>
  <si>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</si>
  <si>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</si>
  <si>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</si>
  <si>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</si>
  <si>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</si>
  <si>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</si>
  <si>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</si>
  <si>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</si>
  <si>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</si>
  <si>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</si>
  <si>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</si>
  <si>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</si>
  <si>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</si>
  <si>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</si>
  <si>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</si>
  <si>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</si>
  <si>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</si>
  <si>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</si>
  <si>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</si>
  <si>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</si>
  <si>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</si>
  <si>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</si>
  <si>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</si>
  <si>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</si>
  <si>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</si>
  <si>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</si>
  <si>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</si>
  <si>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</si>
  <si>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</si>
  <si>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</si>
  <si>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</si>
  <si>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</si>
  <si>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</si>
  <si>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</si>
  <si>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</si>
  <si>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</si>
  <si>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</si>
  <si>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</si>
  <si>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</si>
  <si>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</si>
  <si>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</si>
  <si>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</si>
  <si>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</si>
  <si>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</si>
  <si>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</si>
  <si>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</si>
  <si>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</si>
  <si>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</si>
  <si>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</si>
  <si>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</si>
  <si>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</si>
  <si>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</si>
  <si>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</si>
  <si>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</si>
  <si>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</si>
  <si>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</si>
  <si>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</si>
  <si>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</si>
  <si>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</si>
  <si>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</si>
  <si>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</si>
  <si>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</si>
  <si>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</si>
  <si>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</si>
  <si>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</si>
  <si>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</si>
  <si>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</si>
  <si>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</si>
  <si>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</si>
  <si>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</si>
  <si>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</si>
  <si>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</si>
  <si>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</si>
  <si>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</si>
  <si>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</si>
  <si>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</si>
  <si>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</si>
  <si>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</si>
  <si>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</si>
  <si>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</si>
  <si>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</si>
  <si>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</si>
  <si>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</si>
  <si>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</si>
  <si>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</si>
  <si>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</si>
  <si>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</si>
  <si>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</si>
  <si>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</si>
  <si>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</si>
  <si>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</si>
  <si>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</si>
  <si>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</si>
  <si>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</si>
  <si>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</si>
  <si>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</si>
  <si>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</si>
  <si>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</si>
  <si>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</si>
  <si>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</si>
  <si>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</si>
  <si>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</si>
  <si>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</si>
  <si>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</si>
  <si>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</si>
  <si>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</si>
  <si>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</si>
  <si>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</si>
  <si>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</si>
  <si>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</si>
  <si>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</si>
  <si>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</si>
  <si>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</si>
  <si>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</si>
  <si>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广告策划部-创意中心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</si>
  <si>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</si>
  <si>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</si>
  <si>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</si>
  <si>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</si>
  <si>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</si>
  <si>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</si>
  <si>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</si>
  <si>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</si>
  <si>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</si>
  <si>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</si>
  <si>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</si>
  <si>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</si>
  <si>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</si>
  <si>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</si>
  <si>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</si>
  <si>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</si>
  <si>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</si>
  <si>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</si>
  <si>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</si>
  <si>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</si>
  <si>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</si>
  <si>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</si>
  <si>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</si>
  <si>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</si>
  <si>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</si>
  <si>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</si>
  <si>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</si>
  <si>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</si>
  <si>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</si>
  <si>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</si>
  <si>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</si>
  <si>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</si>
  <si>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</si>
  <si>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</si>
  <si>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</si>
  <si>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</si>
  <si>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</si>
  <si>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</si>
  <si>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</si>
  <si>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</si>
  <si>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</si>
  <si>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</si>
  <si>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</si>
  <si>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</si>
  <si>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</si>
  <si>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</si>
  <si>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</si>
  <si>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</si>
  <si>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</si>
  <si>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</si>
  <si>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</si>
  <si>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</si>
  <si>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</si>
  <si>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</si>
  <si>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</si>
  <si>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</si>
  <si>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</si>
  <si>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</si>
  <si>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</si>
  <si>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</si>
  <si>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</si>
  <si>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</si>
  <si>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</si>
  <si>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</si>
  <si>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</si>
  <si>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</si>
  <si>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</si>
  <si>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</si>
  <si>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</si>
  <si>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</si>
  <si>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</si>
  <si>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</si>
  <si>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</si>
  <si>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</si>
  <si>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</si>
  <si>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</si>
  <si>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</si>
  <si>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</si>
  <si>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</si>
  <si>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</si>
  <si>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</si>
  <si>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</si>
  <si>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</si>
  <si>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</si>
  <si>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</si>
  <si>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</si>
  <si>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</si>
  <si>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</si>
  <si>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</si>
  <si>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</si>
  <si>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</si>
  <si>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</si>
  <si>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</si>
  <si>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</si>
  <si>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</si>
  <si>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</si>
  <si>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</si>
  <si>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</si>
  <si>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</si>
  <si>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</si>
  <si>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</si>
  <si>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</si>
  <si>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</si>
  <si>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</si>
  <si>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</si>
  <si>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</si>
  <si>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</si>
  <si>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</si>
  <si>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</si>
  <si>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</si>
  <si>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</si>
  <si>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</si>
  <si>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</si>
  <si>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</si>
  <si>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</si>
  <si>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</si>
  <si>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</si>
  <si>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</si>
  <si>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</si>
  <si>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</si>
  <si>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</si>
  <si>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</si>
  <si>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</si>
  <si>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</si>
  <si>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</si>
  <si>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</si>
  <si>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</si>
  <si>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</si>
  <si>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</si>
  <si>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</si>
  <si>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</si>
  <si>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</si>
  <si>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工号旧</t>
  </si>
  <si>
    <t xml:space="preserve">工号-新</t>
  </si>
  <si>
    <t xml:space="preserve">年份</t>
  </si>
  <si>
    <t xml:space="preserve">月份</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</si>
  <si>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</si>
  <si>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</si>
  <si>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</si>
  <si>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</si>
  <si>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</si>
  <si>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</si>
  <si>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</si>
  <si>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</si>
  <si>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</si>
  <si>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</si>
  <si>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</si>
  <si>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备注</t>
  </si>
  <si>
    <t xml:space="preserve">FD-043687</t>
  </si>
  <si>
    <t xml:space="preserve">26年</t>
  </si>
  <si>
    <t xml:space="preserve">7月</t>
  </si>
  <si>
    <t xml:space="preserve">品牌创意部</t>
  </si>
  <si>
    <t xml:space="preserve">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</si>
  <si>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</si>
  <si>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</si>
  <si>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</si>
  <si>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</si>
  <si>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</si>
  <si>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</si>
  <si>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</si>
  <si>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</si>
  <si>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</si>
  <si>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</si>
  <si>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</si>
  <si>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</si>
  <si>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</si>
  <si>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</si>
  <si>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</si>
  <si>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</si>
  <si>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</si>
  <si>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</si>
  <si>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</si>
  <si>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</si>
  <si>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</si>
  <si>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</si>
  <si>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</si>
  <si>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</si>
  <si>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</si>
  <si>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</si>
  <si>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</si>
  <si>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</si>
  <si>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</si>
  <si>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</si>
  <si>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</si>
  <si>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</si>
  <si>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t>
  </si>
  <si>
    <t xml:space="preserve">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</si>
  <si>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</si>
  <si>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</si>
  <si>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</si>
  <si>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</si>
  <si>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</si>
  <si>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</si>
  <si>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</si>
  <si>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</si>
  <si>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</si>
  <si>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</si>
  <si>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</si>
  <si>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</si>
  <si>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</si>
  <si>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未分中心</t>
  </si>
  <si>
    <t xml:space="preserve">业务助理</t>
  </si>
  <si>
    <t xml:space="preserve">陈冰纯</t>
  </si>
  <si>
    <t xml:space="preserve">FD-095145</t>
  </si>
  <si>
    <t xml:space="preserve">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</si>
  <si>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</si>
  <si>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</si>
  <si>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</si>
  <si>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</si>
  <si>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</si>
  <si>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</si>
  <si>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</si>
  <si>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t>
  </si>
  <si>
    <t xml:space="preserve">中级直播助理</t>
  </si>
  <si>
    <t xml:space="preserve">叶铭康</t>
  </si>
  <si>
    <t xml:space="preserve">FD-099551</t>
  </si>
  <si>
    <t xml:space="preserve">郑诗怡</t>
  </si>
  <si>
    <t xml:space="preserve">FD-038487</t>
  </si>
  <si>
    <t xml:space="preserve">广告策划部</t>
  </si>
  <si>
    <t xml:space="preserve">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</si>
  <si>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</si>
  <si>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</si>
  <si>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</si>
  <si>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</si>
  <si>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</si>
  <si>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</si>
  <si>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</si>
  <si>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</si>
  <si>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</si>
  <si>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</si>
  <si>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</si>
  <si>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</si>
  <si>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</si>
  <si>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</si>
  <si>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</si>
  <si>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</si>
  <si>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</si>
  <si>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</si>
  <si>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</si>
  <si>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</si>
  <si>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</si>
  <si>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</si>
  <si>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</si>
  <si>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</si>
  <si>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</si>
  <si>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</si>
  <si>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</si>
  <si>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</si>
  <si>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</si>
  <si>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</si>
  <si>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</si>
  <si>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</si>
  <si>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</si>
  <si>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</si>
  <si>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</si>
  <si>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</si>
  <si>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</si>
  <si>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</si>
  <si>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</si>
  <si>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</si>
  <si>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</si>
  <si>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</si>
  <si>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</si>
  <si>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</si>
  <si>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</si>
  <si>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</si>
  <si>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</si>
  <si>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</si>
  <si>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</si>
  <si>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</si>
  <si>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</si>
  <si>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</si>
  <si>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</si>
  <si>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</si>
  <si>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</si>
  <si>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</si>
  <si>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</si>
  <si>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</si>
  <si>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</si>
  <si>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</si>
  <si>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</si>
  <si>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</si>
  <si>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</si>
  <si>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</si>
  <si>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</si>
  <si>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</si>
  <si>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</si>
  <si>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</si>
  <si>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</si>
  <si>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</si>
  <si>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</si>
  <si>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</si>
  <si>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刘楠</t>
  </si>
  <si>
    <t xml:space="preserve">FD-035758</t>
  </si>
  <si>
    <t xml:space="preserve">陈民晓</t>
  </si>
  <si>
    <t xml:space="preserve">FD-026227</t>
  </si>
  <si>
    <t xml:space="preserve">张佳黎</t>
  </si>
  <si>
    <t xml:space="preserve">FD-025427</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</si>
  <si>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</si>
  <si>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</si>
  <si>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</si>
  <si>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</si>
  <si>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</si>
  <si>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</si>
  <si>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</si>
  <si>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</si>
  <si>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</si>
  <si>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</si>
  <si>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</si>
  <si>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</si>
  <si>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</si>
  <si>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</si>
  <si>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</si>
  <si>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</si>
  <si>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</si>
  <si>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</si>
  <si>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</si>
  <si>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</si>
  <si>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</si>
  <si>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</si>
  <si>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</si>
  <si>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</si>
  <si>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</si>
  <si>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</si>
  <si>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</si>
  <si>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</si>
  <si>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</si>
  <si>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</si>
  <si>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</si>
  <si>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</si>
  <si>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</si>
  <si>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</si>
  <si>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</si>
  <si>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</si>
  <si>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</si>
  <si>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</si>
  <si>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</si>
  <si>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</si>
  <si>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</si>
  <si>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</si>
  <si>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</si>
  <si>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</si>
  <si>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</si>
  <si>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</si>
  <si>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</si>
  <si>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</si>
  <si>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</si>
  <si>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</si>
  <si>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</si>
  <si>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</si>
  <si>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</si>
  <si>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</si>
  <si>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</si>
  <si>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</si>
  <si>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</si>
  <si>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</si>
  <si>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</si>
  <si>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</si>
  <si>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</si>
  <si>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</si>
  <si>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</si>
  <si>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</si>
  <si>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</si>
  <si>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</si>
  <si>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</si>
  <si>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</si>
  <si>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</si>
  <si>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</si>
  <si>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</si>
  <si>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</si>
  <si>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</si>
  <si>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</si>
  <si>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t>
  </si>
  <si>
    <t xml:space="preserve">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</si>
  <si>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</si>
  <si>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</si>
  <si>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</si>
  <si>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</si>
  <si>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</si>
  <si>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</si>
  <si>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</si>
  <si>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</si>
  <si>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</si>
  <si>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</si>
  <si>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</si>
  <si>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</si>
  <si>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</si>
  <si>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</si>
  <si>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</si>
  <si>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</si>
  <si>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</si>
  <si>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</si>
  <si>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t>
  </si>
  <si>
    <t xml:space="preserve">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</si>
  <si>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</si>
  <si>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</si>
  <si>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</si>
  <si>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</si>
  <si>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</si>
  <si>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</si>
  <si>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</si>
  <si>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</si>
  <si>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</si>
  <si>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</si>
  <si>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</si>
  <si>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</si>
  <si>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</si>
  <si>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</si>
  <si>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</si>
  <si>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</si>
  <si>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</si>
  <si>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</si>
  <si>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</si>
  <si>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</si>
  <si>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</si>
  <si>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</si>
  <si>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</si>
  <si>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</si>
  <si>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</si>
  <si>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</si>
  <si>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</si>
  <si>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</si>
  <si>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</si>
  <si>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</si>
  <si>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</si>
  <si>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</si>
  <si>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</si>
  <si>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</si>
  <si>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</si>
  <si>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</si>
  <si>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</si>
  <si>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</si>
  <si>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</si>
  <si>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创新B中心</t>
  </si>
  <si>
    <t xml:space="preserve">曾秀芬</t>
  </si>
  <si>
    <t xml:space="preserve">OD-000819</t>
  </si>
  <si>
    <t xml:space="preserve">彭于宴</t>
  </si>
  <si>
    <t xml:space="preserve">OD-005404</t>
  </si>
  <si>
    <t xml:space="preserve">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</si>
  <si>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</si>
  <si>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</si>
  <si>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</si>
  <si>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</si>
  <si>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</si>
  <si>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</si>
  <si>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</si>
  <si>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</si>
  <si>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t>
  </si>
  <si>
    <t xml:space="preserve">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</si>
  <si>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</si>
  <si>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</si>
  <si>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</si>
  <si>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</si>
  <si>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</si>
  <si>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</si>
  <si>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</si>
  <si>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赫系营销A中心</t>
  </si>
  <si>
    <t xml:space="preserve">视频编辑</t>
  </si>
  <si>
    <t xml:space="preserve">曾繁琳</t>
  </si>
  <si>
    <t xml:space="preserve">OD-008782</t>
  </si>
  <si>
    <t xml:space="preserve">营销中心B</t>
  </si>
  <si>
    <t xml:space="preserve">黄丽玲</t>
  </si>
  <si>
    <t xml:space="preserve">FD-123512</t>
  </si>
  <si>
    <t xml:space="preserve">电商发展部</t>
  </si>
  <si>
    <t xml:space="preserve">设计中心</t>
  </si>
  <si>
    <t xml:space="preserve">摄影师</t>
  </si>
  <si>
    <t xml:space="preserve">邓炽威</t>
  </si>
  <si>
    <t xml:space="preserve">FD-046731</t>
  </si>
  <si>
    <t xml:space="preserve">营销中心A</t>
  </si>
  <si>
    <t xml:space="preserve">营销高级经理</t>
  </si>
  <si>
    <t xml:space="preserve">刘玳菱</t>
  </si>
  <si>
    <t xml:space="preserve">FD-022962</t>
  </si>
  <si>
    <t xml:space="preserve">覃琪惠</t>
  </si>
  <si>
    <t xml:space="preserve">FD-027130</t>
  </si>
  <si>
    <t xml:space="preserve">视频中心</t>
  </si>
  <si>
    <t xml:space="preserve">视频编导</t>
  </si>
  <si>
    <t xml:space="preserve">马鸿涛</t>
  </si>
  <si>
    <t xml:space="preserve">FD-059637</t>
  </si>
  <si>
    <t xml:space="preserve">媒介中心</t>
  </si>
  <si>
    <t xml:space="preserve">商务PR</t>
  </si>
  <si>
    <t xml:space="preserve">吴丽慧</t>
  </si>
  <si>
    <t xml:space="preserve">FD-108074</t>
  </si>
  <si>
    <t xml:space="preserve">配方研究实验室</t>
  </si>
  <si>
    <t xml:space="preserve">研发高级经理</t>
  </si>
  <si>
    <t xml:space="preserve">曾双</t>
  </si>
  <si>
    <t xml:space="preserve">FD-222057</t>
  </si>
  <si>
    <t xml:space="preserve">AI效率流程D中心</t>
  </si>
  <si>
    <t xml:space="preserve">AIBP</t>
  </si>
  <si>
    <t xml:space="preserve">朱嘉琳</t>
  </si>
  <si>
    <t xml:space="preserve">FD-051468</t>
  </si>
  <si>
    <t xml:space="preserve">达播中心</t>
  </si>
  <si>
    <t xml:space="preserve">张晓璐</t>
  </si>
  <si>
    <t xml:space="preserve">FD-162537</t>
  </si>
  <si>
    <t xml:space="preserve">AI高级经理</t>
  </si>
  <si>
    <t xml:space="preserve">胡玮锨</t>
  </si>
  <si>
    <t xml:space="preserve">FD-058035</t>
  </si>
  <si>
    <t xml:space="preserve">明星中心</t>
  </si>
  <si>
    <t xml:space="preserve">商务经理</t>
  </si>
  <si>
    <t xml:space="preserve">王丽滢</t>
  </si>
  <si>
    <t xml:space="preserve">OD-006060</t>
  </si>
  <si>
    <t xml:space="preserve">营销D中心</t>
  </si>
  <si>
    <t xml:space="preserve">张占英</t>
  </si>
  <si>
    <t xml:space="preserve">FD-012698</t>
  </si>
  <si>
    <t xml:space="preserve">总监助理</t>
  </si>
  <si>
    <t xml:space="preserve">王怡硕</t>
  </si>
  <si>
    <t xml:space="preserve">OD-001289</t>
  </si>
  <si>
    <t xml:space="preserve">黄钰薇</t>
  </si>
  <si>
    <t xml:space="preserve">FD-070643</t>
  </si>
  <si>
    <t xml:space="preserve">渠道运作中心</t>
  </si>
  <si>
    <t xml:space="preserve">培训师</t>
  </si>
  <si>
    <t xml:space="preserve">罗静文</t>
  </si>
  <si>
    <t xml:space="preserve">OD-006730</t>
  </si>
  <si>
    <t xml:space="preserve">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</si>
  <si>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</si>
  <si>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</si>
  <si>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</si>
  <si>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</si>
  <si>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</si>
  <si>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</si>
  <si>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</si>
  <si>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</si>
  <si>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</si>
  <si>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</si>
  <si>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</si>
  <si>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</si>
  <si>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</si>
  <si>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</si>
  <si>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</si>
  <si>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</si>
  <si>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</si>
  <si>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</si>
  <si>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</si>
  <si>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</si>
  <si>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t>
  </si>
  <si>
    <t xml:space="preserve">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</si>
  <si>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</si>
  <si>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</si>
  <si>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</si>
  <si>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</si>
  <si>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</si>
  <si>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</si>
  <si>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</si>
  <si>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</si>
  <si>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</si>
  <si>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</si>
  <si>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</si>
  <si>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WIS渠道A中心</t>
  </si>
  <si>
    <t xml:space="preserve">护肤顾问</t>
  </si>
  <si>
    <t xml:space="preserve">杨前程</t>
  </si>
  <si>
    <t xml:space="preserve">FD-050291</t>
  </si>
  <si>
    <t xml:space="preserve">王天诺</t>
  </si>
  <si>
    <t xml:space="preserve">FD-082593</t>
  </si>
  <si>
    <t xml:space="preserve">采购中心</t>
  </si>
  <si>
    <t xml:space="preserve">采购高级经理</t>
  </si>
  <si>
    <t xml:space="preserve">李炜瑶</t>
  </si>
  <si>
    <t xml:space="preserve">FD-077506</t>
  </si>
  <si>
    <t xml:space="preserve">寻源中心</t>
  </si>
  <si>
    <t xml:space="preserve">寻源高级经理</t>
  </si>
  <si>
    <t xml:space="preserve">朱丹萍</t>
  </si>
  <si>
    <t xml:space="preserve">FD-101189</t>
  </si>
  <si>
    <t xml:space="preserve">设计高级经理</t>
  </si>
  <si>
    <t xml:space="preserve">向东华</t>
  </si>
  <si>
    <t xml:space="preserve">FD-013711</t>
  </si>
  <si>
    <t xml:space="preserve">覃镜晓</t>
  </si>
  <si>
    <t xml:space="preserve">FD-017532</t>
  </si>
  <si>
    <t xml:space="preserve">马菲阳</t>
  </si>
  <si>
    <t xml:space="preserve">总助模块</t>
  </si>
  <si>
    <t xml:space="preserve">FD-091571</t>
  </si>
  <si>
    <t xml:space="preserve">物流中心</t>
  </si>
  <si>
    <t xml:space="preserve">物流高级经理</t>
  </si>
  <si>
    <t xml:space="preserve">吴永星</t>
  </si>
  <si>
    <t xml:space="preserve">FD-036124</t>
  </si>
  <si>
    <t xml:space="preserve">唐基翔</t>
  </si>
  <si>
    <t xml:space="preserve">FD-054711</t>
  </si>
  <si>
    <t xml:space="preserve">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</si>
  <si>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</si>
  <si>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</si>
  <si>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</si>
  <si>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</si>
  <si>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</si>
  <si>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</si>
  <si>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</si>
  <si>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t>
  </si>
  <si>
    <t xml:space="preserve">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</si>
  <si>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</si>
  <si>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</si>
  <si>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</si>
  <si>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</si>
  <si>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</si>
  <si>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</si>
  <si>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</si>
  <si>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</si>
  <si>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</si>
  <si>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</si>
  <si>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</si>
  <si>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</si>
  <si>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</si>
  <si>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</si>
  <si>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</si>
  <si>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</si>
  <si>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</si>
  <si>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</si>
  <si>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</si>
  <si>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</si>
  <si>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</si>
  <si>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</si>
  <si>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</si>
  <si>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</si>
  <si>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</si>
  <si>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</si>
  <si>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</si>
  <si>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</si>
  <si>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</si>
  <si>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t>
  </si>
  <si>
    <t xml:space="preserve">KONO-KONO销售A中心-华东区</t>
  </si>
  <si>
    <t xml:space="preserve">KA商务经理</t>
  </si>
  <si>
    <t xml:space="preserve">高智慧</t>
  </si>
  <si>
    <t xml:space="preserve">FD-074107</t>
  </si>
  <si>
    <t xml:space="preserve">线下渠道部（WIS）</t>
  </si>
  <si>
    <t xml:space="preserve">WIS-WIS销售B中心</t>
  </si>
  <si>
    <t xml:space="preserve">零售高级经理</t>
  </si>
  <si>
    <t xml:space="preserve">华珊</t>
  </si>
  <si>
    <t xml:space="preserve">OD-002532</t>
  </si>
  <si>
    <t xml:space="preserve">赫系营销D中心</t>
  </si>
  <si>
    <t xml:space="preserve">谭远淮</t>
  </si>
  <si>
    <t xml:space="preserve">OD-009293</t>
  </si>
  <si>
    <t xml:space="preserve">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</si>
  <si>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</si>
  <si>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</si>
  <si>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</si>
  <si>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</si>
  <si>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</si>
  <si>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</si>
  <si>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</si>
  <si>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</si>
  <si>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</si>
  <si>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</si>
  <si>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</si>
  <si>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</si>
  <si>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</si>
  <si>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</si>
  <si>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</si>
  <si>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</si>
  <si>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</si>
  <si>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</si>
  <si>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</si>
  <si>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</si>
  <si>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</si>
  <si>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</si>
  <si>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</si>
  <si>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</si>
  <si>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</si>
  <si>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</si>
  <si>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</si>
  <si>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</si>
  <si>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</si>
  <si>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</si>
  <si>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</si>
  <si>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</si>
  <si>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</si>
  <si>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</si>
  <si>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</si>
  <si>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</si>
  <si>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</si>
  <si>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</si>
  <si>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</si>
  <si>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</si>
  <si>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</si>
  <si>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</si>
  <si>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</si>
  <si>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</si>
  <si>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</si>
  <si>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</si>
  <si>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</si>
  <si>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</si>
  <si>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</si>
  <si>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</si>
  <si>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</si>
  <si>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</si>
  <si>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</si>
  <si>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</si>
  <si>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</si>
  <si>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</si>
  <si>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</si>
  <si>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</si>
  <si>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</si>
  <si>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</si>
  <si>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</si>
  <si>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</si>
  <si>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</si>
  <si>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</si>
  <si>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</si>
  <si>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</si>
  <si>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</si>
  <si>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</si>
  <si>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</si>
  <si>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从化中心</t>
  </si>
  <si>
    <t xml:space="preserve">行政专员</t>
  </si>
  <si>
    <t xml:space="preserve">廖树清</t>
  </si>
  <si>
    <t xml:space="preserve">FD-168199</t>
  </si>
  <si>
    <t xml:space="preserve">AI效率流程F中心</t>
  </si>
  <si>
    <t xml:space="preserve">后端工程师</t>
  </si>
  <si>
    <t xml:space="preserve">张顺鸿</t>
  </si>
  <si>
    <t xml:space="preserve">FD-013392</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</si>
  <si>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</si>
  <si>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</si>
  <si>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</si>
  <si>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</si>
  <si>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</si>
  <si>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</si>
  <si>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</si>
  <si>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</si>
  <si>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</si>
  <si>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t>
  </si>
  <si>
    <t xml:space="preserve">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</si>
  <si>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</si>
  <si>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</si>
  <si>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</si>
  <si>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</si>
  <si>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</si>
  <si>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</si>
  <si>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</si>
  <si>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</si>
  <si>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</si>
  <si>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</si>
  <si>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</si>
  <si>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</si>
  <si>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</si>
  <si>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</si>
  <si>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</si>
  <si>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</si>
  <si>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</si>
  <si>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</si>
  <si>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营销C中心</t>
  </si>
  <si>
    <t xml:space="preserve">金晶</t>
  </si>
  <si>
    <t xml:space="preserve">OD-000127</t>
  </si>
  <si>
    <t xml:space="preserve">请款对账员</t>
  </si>
  <si>
    <t xml:space="preserve">罗杨佳</t>
  </si>
  <si>
    <t xml:space="preserve">FD-096981</t>
  </si>
  <si>
    <t xml:space="preserve">杨金连</t>
  </si>
  <si>
    <t xml:space="preserve">FD-054520</t>
  </si>
  <si>
    <t xml:space="preserve">李暄</t>
  </si>
  <si>
    <t xml:space="preserve">FD-071472</t>
  </si>
  <si>
    <t xml:space="preserve">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</si>
  <si>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</si>
  <si>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</si>
  <si>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</si>
  <si>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</si>
  <si>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</si>
  <si>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</si>
  <si>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</si>
  <si>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</si>
  <si>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</si>
  <si>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</si>
  <si>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品牌管理部</t>
  </si>
  <si>
    <t xml:space="preserve">赫系品牌中心</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</si>
  <si>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</si>
  <si>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</si>
  <si>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</si>
  <si>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</si>
  <si>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</si>
  <si>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</si>
  <si>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</si>
  <si>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</si>
  <si>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</si>
  <si>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</si>
  <si>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</si>
  <si>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</si>
  <si>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</si>
  <si>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</si>
  <si>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</si>
  <si>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</si>
  <si>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</si>
  <si>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</si>
  <si>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</si>
  <si>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</si>
  <si>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</si>
  <si>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</si>
  <si>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</si>
  <si>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</si>
  <si>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</si>
  <si>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</si>
  <si>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</si>
  <si>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</si>
  <si>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组织发展中心</t>
  </si>
  <si>
    <t xml:space="preserve">SSC助理</t>
  </si>
  <si>
    <t xml:space="preserve">宋月</t>
  </si>
  <si>
    <t xml:space="preserve">FD-218877</t>
  </si>
  <si>
    <t xml:space="preserve">海外事业部</t>
  </si>
  <si>
    <t xml:space="preserve">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</si>
  <si>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</si>
  <si>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</si>
  <si>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</si>
  <si>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</si>
  <si>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</si>
  <si>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</si>
  <si>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</si>
  <si>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</si>
  <si>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</si>
  <si>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</si>
  <si>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</si>
  <si>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</si>
  <si>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</si>
  <si>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</si>
  <si>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</si>
  <si>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</si>
  <si>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</si>
  <si>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</si>
  <si>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</si>
  <si>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</si>
  <si>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</si>
  <si>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</si>
  <si>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</si>
  <si>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</si>
  <si>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高级经理</t>
  </si>
  <si>
    <t xml:space="preserve">丁小恬</t>
  </si>
  <si>
    <t xml:space="preserve">FD-091904</t>
  </si>
  <si>
    <t xml:space="preserve">计划中心</t>
  </si>
  <si>
    <t xml:space="preserve">计划高级经理</t>
  </si>
  <si>
    <t xml:space="preserve">陈林文</t>
  </si>
  <si>
    <t xml:space="preserve">FD-238869</t>
  </si>
  <si>
    <t xml:space="preserve">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</si>
  <si>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</si>
  <si>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</si>
  <si>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</si>
  <si>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</si>
  <si>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</si>
  <si>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</si>
  <si>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</si>
  <si>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</si>
  <si>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直播招聘中心</t>
  </si>
  <si>
    <t xml:space="preserve">王巧微</t>
  </si>
  <si>
    <t xml:space="preserve">FD-093433</t>
  </si>
  <si>
    <t xml:space="preserve">开发高级经理</t>
  </si>
  <si>
    <t xml:space="preserve">杨尚儒</t>
  </si>
  <si>
    <t xml:space="preserve">FD-227829</t>
  </si>
  <si>
    <t xml:space="preserve">AI效率流程B中心</t>
  </si>
  <si>
    <t xml:space="preserve">AI工程师</t>
  </si>
  <si>
    <t xml:space="preserve">崔经瀚</t>
  </si>
  <si>
    <t xml:space="preserve">FD-237186</t>
  </si>
  <si>
    <t xml:space="preserve">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</si>
  <si>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</si>
  <si>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</si>
  <si>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</si>
  <si>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</si>
  <si>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</si>
  <si>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</si>
  <si>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</si>
  <si>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</si>
  <si>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</si>
  <si>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</si>
  <si>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</si>
  <si>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</si>
  <si>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</si>
  <si>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</si>
  <si>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</si>
  <si>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</si>
  <si>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</si>
  <si>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</si>
  <si>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</si>
  <si>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</si>
  <si>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</si>
  <si>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</si>
  <si>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</si>
  <si>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</si>
  <si>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</si>
  <si>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</si>
  <si>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</si>
  <si>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</si>
  <si>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</si>
  <si>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</si>
  <si>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</si>
  <si>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</si>
  <si>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</si>
  <si>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</si>
  <si>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</si>
  <si>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</si>
  <si>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</si>
  <si>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</si>
  <si>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</si>
  <si>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</si>
  <si>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</si>
  <si>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</si>
  <si>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</si>
  <si>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</si>
  <si>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</si>
  <si>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</si>
  <si>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</si>
  <si>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</si>
  <si>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</si>
  <si>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</si>
  <si>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</si>
  <si>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</si>
  <si>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</si>
  <si>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</si>
  <si>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</si>
  <si>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</si>
  <si>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</si>
  <si>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</si>
  <si>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</si>
  <si>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</si>
  <si>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</si>
  <si>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</si>
  <si>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</si>
  <si>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</si>
  <si>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</si>
  <si>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</si>
  <si>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</si>
  <si>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</si>
  <si>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</si>
  <si>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</si>
  <si>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</si>
  <si>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</si>
  <si>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</si>
  <si>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</si>
  <si>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</si>
  <si>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</si>
  <si>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</si>
  <si>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</si>
  <si>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</si>
  <si>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</si>
  <si>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</si>
  <si>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</si>
  <si>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</si>
  <si>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</si>
  <si>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</si>
  <si>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</si>
  <si>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</si>
  <si>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</si>
  <si>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</si>
  <si>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</si>
  <si>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</si>
  <si>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</si>
  <si>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</si>
  <si>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</si>
  <si>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</si>
  <si>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</si>
  <si>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</si>
  <si>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</si>
  <si>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</si>
  <si>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</si>
  <si>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</si>
  <si>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</si>
  <si>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</si>
  <si>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</si>
  <si>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</si>
  <si>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</si>
  <si>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</si>
  <si>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</si>
  <si>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</si>
  <si>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</si>
  <si>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</si>
  <si>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</si>
  <si>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</si>
  <si>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</si>
  <si>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</si>
  <si>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</si>
  <si>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</si>
  <si>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</si>
  <si>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</si>
  <si>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</si>
  <si>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</si>
  <si>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</si>
  <si>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</si>
  <si>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</si>
  <si>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</si>
  <si>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</si>
  <si>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</si>
  <si>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</si>
  <si>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</si>
  <si>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</si>
  <si>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</si>
  <si>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</si>
  <si>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</si>
  <si>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</si>
  <si>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</si>
  <si>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</si>
  <si>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</si>
  <si>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</si>
  <si>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</si>
  <si>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</si>
  <si>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</si>
  <si>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</si>
  <si>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</si>
  <si>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</si>
  <si>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</si>
  <si>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</si>
  <si>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</si>
  <si>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</si>
  <si>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</si>
  <si>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</si>
  <si>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</si>
  <si>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</si>
  <si>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</si>
  <si>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</si>
  <si>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</si>
  <si>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</si>
  <si>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</si>
  <si>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</si>
  <si>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</si>
  <si>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</si>
  <si>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</si>
  <si>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</si>
  <si>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</si>
  <si>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</si>
  <si>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</si>
  <si>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</si>
  <si>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</si>
  <si>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</si>
  <si>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</si>
  <si>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</si>
  <si>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</si>
  <si>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</si>
  <si>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</si>
  <si>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</si>
  <si>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</si>
  <si>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</si>
  <si>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</si>
  <si>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</si>
  <si>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</si>
  <si>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</si>
  <si>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</si>
  <si>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</si>
  <si>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</si>
  <si>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</si>
  <si>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</si>
  <si>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</si>
  <si>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</si>
  <si>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</si>
  <si>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</si>
  <si>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</si>
  <si>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</si>
  <si>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</si>
  <si>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</si>
  <si>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AI效率流程A中心</t>
  </si>
  <si>
    <t xml:space="preserve">郭俊贤</t>
  </si>
  <si>
    <t xml:space="preserve">FD-224753</t>
  </si>
  <si>
    <t xml:space="preserve">林翰</t>
  </si>
  <si>
    <t xml:space="preserve">FD-059032</t>
  </si>
  <si>
    <t xml:space="preserve">麦绮雯</t>
  </si>
  <si>
    <t xml:space="preserve">FD-097394</t>
  </si>
  <si>
    <t xml:space="preserve">生产中心</t>
  </si>
  <si>
    <t xml:space="preserve">质量经理</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</si>
  <si>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</si>
  <si>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</si>
  <si>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</si>
  <si>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</si>
  <si>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</si>
  <si>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</si>
  <si>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</si>
  <si>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</si>
  <si>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</si>
  <si>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</si>
  <si>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</si>
  <si>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</si>
  <si>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</si>
  <si>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</si>
  <si>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</si>
  <si>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</si>
  <si>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</si>
  <si>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</si>
  <si>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</si>
  <si>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</si>
  <si>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</si>
  <si>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</si>
  <si>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</si>
  <si>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</si>
  <si>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</si>
  <si>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</si>
  <si>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</si>
  <si>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</si>
  <si>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</si>
  <si>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</si>
  <si>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</si>
  <si>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</si>
  <si>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</si>
  <si>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</si>
  <si>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</si>
  <si>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</si>
  <si>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</si>
  <si>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</si>
  <si>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</si>
  <si>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</si>
  <si>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</si>
  <si>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</si>
  <si>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</si>
  <si>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</si>
  <si>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</si>
  <si>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</si>
  <si>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</si>
  <si>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</si>
  <si>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</si>
  <si>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</si>
  <si>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</si>
  <si>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</si>
  <si>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</si>
  <si>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</si>
  <si>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</si>
  <si>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</si>
  <si>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</si>
  <si>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</si>
  <si>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</si>
  <si>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</si>
  <si>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</si>
  <si>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</si>
  <si>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</si>
  <si>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</si>
  <si>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</si>
  <si>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</si>
  <si>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</si>
  <si>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</si>
  <si>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</si>
  <si>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</si>
  <si>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</si>
  <si>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</si>
  <si>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</si>
  <si>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</si>
  <si>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</si>
  <si>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</si>
  <si>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</si>
  <si>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</si>
  <si>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</si>
  <si>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</si>
  <si>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</si>
  <si>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</si>
  <si>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</si>
  <si>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</si>
  <si>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</si>
  <si>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</si>
  <si>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</si>
  <si>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</si>
  <si>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</si>
  <si>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</si>
  <si>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</si>
  <si>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</si>
  <si>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</si>
  <si>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</si>
  <si>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</si>
  <si>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</si>
  <si>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</si>
  <si>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</si>
  <si>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</si>
  <si>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</si>
  <si>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</si>
  <si>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</si>
  <si>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</si>
  <si>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</si>
  <si>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</si>
  <si>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</si>
  <si>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</si>
  <si>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</si>
  <si>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</si>
  <si>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</si>
  <si>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</si>
  <si>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WIS-WIS销售A中心-华东区</t>
  </si>
  <si>
    <t xml:space="preserve">黄慧琳</t>
  </si>
  <si>
    <t xml:space="preserve">FD-221937</t>
  </si>
  <si>
    <t xml:space="preserve">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</si>
  <si>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</si>
  <si>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</si>
  <si>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</si>
  <si>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</si>
  <si>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</si>
  <si>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</si>
  <si>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</si>
  <si>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</si>
  <si>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</si>
  <si>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</si>
  <si>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</si>
  <si>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</si>
  <si>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</si>
  <si>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</si>
  <si>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</si>
  <si>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</si>
  <si>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</si>
  <si>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</si>
  <si>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</si>
  <si>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</si>
  <si>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</si>
  <si>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</si>
  <si>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</si>
  <si>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</si>
  <si>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</si>
  <si>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</si>
  <si>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</si>
  <si>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</si>
  <si>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</si>
  <si>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</si>
  <si>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</si>
  <si>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</si>
  <si>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</si>
  <si>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</si>
  <si>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</si>
  <si>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</si>
  <si>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</si>
  <si>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</si>
  <si>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</si>
  <si>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</si>
  <si>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</si>
  <si>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</si>
  <si>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</si>
  <si>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</si>
  <si>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</si>
  <si>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</si>
  <si>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</si>
  <si>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</si>
  <si>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</si>
  <si>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</si>
  <si>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</si>
  <si>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</si>
  <si>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</si>
  <si>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</si>
  <si>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</si>
  <si>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</si>
  <si>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</si>
  <si>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</si>
  <si>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</si>
  <si>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</si>
  <si>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</si>
  <si>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</si>
  <si>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</si>
  <si>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</si>
  <si>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</si>
  <si>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</si>
  <si>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</si>
  <si>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</si>
  <si>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</si>
  <si>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</si>
  <si>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</si>
  <si>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</si>
  <si>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</si>
  <si>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</si>
  <si>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</si>
  <si>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</si>
  <si>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</si>
  <si>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</si>
  <si>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</si>
  <si>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</si>
  <si>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</si>
  <si>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</si>
  <si>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</si>
  <si>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</si>
  <si>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</si>
  <si>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</si>
  <si>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</si>
  <si>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</si>
  <si>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</si>
  <si>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</si>
  <si>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</si>
  <si>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</si>
  <si>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</si>
  <si>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</si>
  <si>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</si>
  <si>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</si>
  <si>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</si>
  <si>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</si>
  <si>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</si>
  <si>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</si>
  <si>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</si>
  <si>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</si>
  <si>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</si>
  <si>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</si>
  <si>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</si>
  <si>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</si>
  <si>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</si>
  <si>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</si>
  <si>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</si>
  <si>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</si>
  <si>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</si>
  <si>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</si>
  <si>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</si>
  <si>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</si>
  <si>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</si>
  <si>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</si>
  <si>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</si>
  <si>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</si>
  <si>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</si>
  <si>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</si>
  <si>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</si>
  <si>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</si>
  <si>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</si>
  <si>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</si>
  <si>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营销中心</t>
  </si>
  <si>
    <t xml:space="preserve">蔡沛心</t>
  </si>
  <si>
    <t xml:space="preserve">FD-030900</t>
  </si>
  <si>
    <t xml:space="preserve">肖烨涛</t>
  </si>
  <si>
    <t xml:space="preserve">FD-071553</t>
  </si>
  <si>
    <t xml:space="preserve">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</si>
  <si>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</si>
  <si>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</si>
  <si>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</si>
  <si>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</si>
  <si>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</si>
  <si>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</si>
  <si>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</si>
  <si>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</si>
  <si>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</si>
  <si>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</si>
  <si>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</si>
  <si>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</si>
  <si>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</si>
  <si>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</si>
  <si>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</si>
  <si>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</si>
  <si>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</si>
  <si>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</si>
  <si>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</si>
  <si>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</si>
  <si>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</si>
  <si>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</si>
  <si>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</si>
  <si>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</si>
  <si>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</si>
  <si>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</si>
  <si>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</si>
  <si>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</si>
  <si>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</si>
  <si>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</si>
  <si>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</si>
  <si>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</si>
  <si>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</si>
  <si>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</si>
  <si>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</si>
  <si>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</si>
  <si>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</si>
  <si>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</si>
  <si>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</si>
  <si>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</si>
  <si>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</si>
  <si>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</si>
  <si>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</si>
  <si>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</si>
  <si>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</si>
  <si>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</si>
  <si>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</si>
  <si>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</si>
  <si>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</si>
  <si>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</si>
  <si>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</si>
  <si>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</si>
  <si>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</si>
  <si>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</si>
  <si>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</si>
  <si>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</si>
  <si>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</si>
  <si>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</si>
  <si>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</si>
  <si>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</si>
  <si>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</si>
  <si>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</si>
  <si>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</si>
  <si>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</si>
  <si>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</si>
  <si>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</si>
  <si>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</si>
  <si>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</si>
  <si>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</si>
  <si>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</si>
  <si>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</si>
  <si>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</si>
  <si>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</si>
  <si>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</si>
  <si>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</si>
  <si>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</si>
  <si>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</si>
  <si>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</si>
  <si>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</si>
  <si>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</si>
  <si>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</si>
  <si>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</si>
  <si>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</si>
  <si>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</si>
  <si>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</si>
  <si>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</si>
  <si>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</si>
  <si>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</si>
  <si>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</si>
  <si>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</si>
  <si>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</si>
  <si>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</si>
  <si>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</si>
  <si>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</si>
  <si>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</si>
  <si>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</si>
  <si>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WIS-WIS销售A中心-华中区</t>
  </si>
  <si>
    <t xml:space="preserve">CS商务经理</t>
  </si>
  <si>
    <t xml:space="preserve">马诗瑾</t>
  </si>
  <si>
    <t xml:space="preserve">FD-021471</t>
  </si>
  <si>
    <t xml:space="preserve">彭聪</t>
  </si>
  <si>
    <t xml:space="preserve">FD-062816</t>
  </si>
  <si>
    <t xml:space="preserve">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</si>
  <si>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</si>
  <si>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</si>
  <si>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</si>
  <si>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</si>
  <si>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</si>
  <si>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</si>
  <si>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</si>
  <si>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</si>
  <si>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</si>
  <si>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</si>
  <si>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</si>
  <si>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</si>
  <si>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</si>
  <si>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</si>
  <si>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</si>
  <si>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</si>
  <si>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</si>
  <si>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</si>
  <si>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</si>
  <si>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</si>
  <si>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</si>
  <si>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</si>
  <si>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</si>
  <si>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</si>
  <si>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</si>
  <si>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</si>
  <si>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</si>
  <si>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</si>
  <si>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</si>
  <si>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</si>
  <si>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</si>
  <si>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</si>
  <si>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</si>
  <si>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</si>
  <si>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</si>
  <si>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</si>
  <si>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</si>
  <si>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</si>
  <si>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</si>
  <si>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</si>
  <si>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</si>
  <si>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</si>
  <si>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</si>
  <si>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</si>
  <si>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</si>
  <si>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</si>
  <si>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</si>
  <si>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</si>
  <si>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</si>
  <si>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</si>
  <si>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</si>
  <si>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</si>
  <si>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</si>
  <si>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</si>
  <si>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</si>
  <si>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</si>
  <si>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</si>
  <si>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</si>
  <si>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</si>
  <si>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</si>
  <si>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</si>
  <si>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</si>
  <si>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</si>
  <si>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</si>
  <si>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</si>
  <si>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</si>
  <si>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</si>
  <si>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</si>
  <si>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</si>
  <si>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</si>
  <si>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</si>
  <si>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</si>
  <si>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</si>
  <si>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</si>
  <si>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</si>
  <si>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</si>
  <si>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</si>
  <si>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</si>
  <si>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</si>
  <si>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</si>
  <si>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</si>
  <si>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</si>
  <si>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</si>
  <si>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</si>
  <si>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</si>
  <si>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</si>
  <si>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</si>
  <si>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</si>
  <si>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</si>
  <si>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</si>
  <si>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</si>
  <si>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</si>
  <si>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</si>
  <si>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</si>
  <si>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</si>
  <si>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</si>
  <si>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</si>
  <si>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</si>
  <si>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</si>
  <si>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</si>
  <si>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</si>
  <si>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</si>
  <si>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</si>
  <si>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</si>
  <si>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</si>
  <si>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</si>
  <si>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</si>
  <si>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</si>
  <si>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</si>
  <si>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</si>
  <si>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</si>
  <si>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</si>
  <si>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</si>
  <si>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</si>
  <si>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</si>
  <si>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</si>
  <si>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</si>
  <si>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</si>
  <si>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</si>
  <si>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</si>
  <si>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</si>
  <si>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</si>
  <si>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</si>
  <si>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</si>
  <si>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</si>
  <si>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</si>
  <si>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</si>
  <si>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</si>
  <si>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</si>
  <si>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</si>
  <si>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</si>
  <si>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</si>
  <si>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</si>
  <si>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</si>
  <si>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</si>
  <si>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</si>
  <si>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</si>
  <si>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</si>
  <si>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</si>
  <si>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</si>
  <si>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</si>
  <si>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</si>
  <si>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</si>
  <si>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</si>
  <si>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</si>
  <si>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</si>
  <si>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</si>
  <si>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</si>
  <si>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</si>
  <si>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</si>
  <si>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</si>
  <si>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</si>
  <si>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</si>
  <si>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</si>
  <si>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</si>
  <si>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</si>
  <si>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</si>
  <si>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</si>
  <si>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</si>
  <si>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</si>
  <si>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</si>
  <si>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</si>
  <si>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</si>
  <si>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</si>
  <si>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</si>
  <si>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</si>
  <si>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</si>
  <si>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</si>
  <si>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</si>
  <si>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</si>
  <si>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</si>
  <si>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</si>
  <si>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</si>
  <si>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</si>
  <si>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</si>
  <si>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</si>
  <si>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</si>
  <si>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</si>
  <si>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</si>
  <si>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</si>
  <si>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</si>
  <si>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</si>
  <si>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</si>
  <si>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</si>
  <si>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</si>
  <si>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</si>
  <si>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</si>
  <si>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</si>
  <si>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</si>
  <si>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</si>
  <si>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</si>
  <si>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</si>
  <si>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</si>
  <si>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</si>
  <si>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</si>
  <si>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</si>
  <si>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</si>
  <si>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</si>
  <si>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</si>
  <si>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</si>
  <si>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</si>
  <si>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</si>
  <si>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</si>
  <si>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</si>
  <si>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</si>
  <si>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</si>
  <si>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</si>
  <si>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</si>
  <si>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</si>
  <si>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</si>
  <si>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</si>
  <si>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</si>
  <si>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</si>
  <si>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</si>
  <si>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</si>
  <si>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</si>
  <si>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</si>
  <si>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</si>
  <si>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</si>
  <si>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</si>
  <si>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</si>
  <si>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</si>
  <si>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</si>
  <si>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</si>
  <si>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</si>
  <si>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</si>
  <si>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</si>
  <si>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</si>
  <si>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</si>
  <si>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</si>
  <si>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</si>
  <si>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</si>
  <si>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</si>
  <si>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</si>
  <si>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</si>
  <si>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</si>
  <si>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</si>
  <si>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</si>
  <si>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</si>
  <si>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</si>
  <si>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</si>
  <si>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</si>
  <si>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</si>
  <si>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</si>
  <si>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</si>
  <si>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</si>
  <si>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</si>
  <si>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</si>
  <si>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</si>
  <si>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</si>
  <si>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</si>
  <si>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</si>
  <si>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</si>
  <si>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</si>
  <si>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</si>
  <si>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</si>
  <si>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</si>
  <si>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</si>
  <si>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</si>
  <si>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</si>
  <si>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</si>
  <si>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</si>
  <si>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</si>
  <si>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</si>
  <si>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</si>
  <si>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</si>
  <si>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</si>
  <si>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</si>
  <si>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</si>
  <si>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</si>
  <si>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</si>
  <si>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</si>
  <si>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</si>
  <si>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</si>
  <si>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</si>
  <si>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</si>
  <si>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</si>
  <si>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</si>
  <si>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</si>
  <si>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</si>
  <si>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</si>
  <si>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</si>
  <si>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</si>
  <si>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</si>
  <si>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</si>
  <si>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</si>
  <si>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</si>
  <si>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</si>
  <si>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</si>
  <si>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</si>
  <si>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</si>
  <si>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</si>
  <si>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</si>
  <si>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</si>
  <si>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</si>
  <si>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</si>
  <si>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</si>
  <si>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</si>
  <si>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</si>
  <si>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</si>
  <si>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</si>
  <si>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</si>
  <si>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</si>
  <si>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</si>
  <si>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</si>
  <si>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</si>
  <si>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</si>
  <si>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营销A中心</t>
  </si>
  <si>
    <t xml:space="preserve">金永成</t>
  </si>
  <si>
    <t xml:space="preserve">FD-038090</t>
  </si>
  <si>
    <t xml:space="preserve">马连婧</t>
  </si>
  <si>
    <t xml:space="preserve">OD-004887</t>
  </si>
  <si>
    <t xml:space="preserve">冯昊男</t>
  </si>
  <si>
    <t xml:space="preserve">FD-015835</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</si>
  <si>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</si>
  <si>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</si>
  <si>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</si>
  <si>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</si>
  <si>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</si>
  <si>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</si>
  <si>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</si>
  <si>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</si>
  <si>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</si>
  <si>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</si>
  <si>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</si>
  <si>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</si>
  <si>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</si>
  <si>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</si>
  <si>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</si>
  <si>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</si>
  <si>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</si>
  <si>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</si>
  <si>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</si>
  <si>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</si>
  <si>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</si>
  <si>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</si>
  <si>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</si>
  <si>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</si>
  <si>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</si>
  <si>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</si>
  <si>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</si>
  <si>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</si>
  <si>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</si>
  <si>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</si>
  <si>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</si>
  <si>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</si>
  <si>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</si>
  <si>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</si>
  <si>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</si>
  <si>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</si>
  <si>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</si>
  <si>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</si>
  <si>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</si>
  <si>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</si>
  <si>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</si>
  <si>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</si>
  <si>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KONO-KONO销售A中心-东北区</t>
  </si>
  <si>
    <t xml:space="preserve">何诗童</t>
  </si>
  <si>
    <t xml:space="preserve">OD-000847</t>
  </si>
  <si>
    <t xml:space="preserve">梁华铮</t>
  </si>
  <si>
    <t xml:space="preserve">FD-171271</t>
  </si>
  <si>
    <t xml:space="preserve">皮惠玲</t>
  </si>
  <si>
    <t xml:space="preserve">FD-015295</t>
  </si>
  <si>
    <t xml:space="preserve">段欣</t>
  </si>
  <si>
    <t xml:space="preserve">FD-073151</t>
  </si>
  <si>
    <t xml:space="preserve">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</si>
  <si>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</si>
  <si>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</si>
  <si>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</si>
  <si>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</si>
  <si>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</si>
  <si>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</si>
  <si>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</si>
  <si>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</si>
  <si>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</si>
  <si>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</si>
  <si>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</si>
  <si>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</si>
  <si>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</si>
  <si>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</si>
  <si>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</si>
  <si>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</si>
  <si>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</si>
  <si>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</si>
  <si>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</si>
  <si>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</si>
  <si>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</si>
  <si>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</si>
  <si>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</si>
  <si>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</si>
  <si>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</si>
  <si>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</si>
  <si>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</si>
  <si>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</si>
  <si>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</si>
  <si>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</si>
  <si>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</si>
  <si>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</si>
  <si>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</si>
  <si>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</si>
  <si>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</si>
  <si>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</si>
  <si>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</si>
  <si>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</si>
  <si>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</si>
  <si>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</si>
  <si>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</si>
  <si>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</si>
  <si>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</si>
  <si>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</si>
  <si>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</si>
  <si>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</si>
  <si>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</si>
  <si>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</si>
  <si>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</si>
  <si>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</si>
  <si>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</si>
  <si>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</si>
  <si>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</si>
  <si>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</si>
  <si>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</si>
  <si>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</si>
  <si>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</si>
  <si>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</si>
  <si>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</si>
  <si>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</si>
  <si>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</si>
  <si>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</si>
  <si>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WIS-WIS销售A中心-西南区</t>
  </si>
  <si>
    <t xml:space="preserve">任轩</t>
  </si>
  <si>
    <t xml:space="preserve">FD-077316</t>
  </si>
  <si>
    <t xml:space="preserve">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</si>
  <si>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</si>
  <si>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</si>
  <si>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</si>
  <si>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</si>
  <si>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</si>
  <si>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</si>
  <si>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</si>
  <si>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</si>
  <si>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</si>
  <si>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</si>
  <si>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</si>
  <si>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</si>
  <si>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</si>
  <si>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</si>
  <si>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</si>
  <si>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</si>
  <si>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</si>
  <si>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</si>
  <si>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</si>
  <si>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</si>
  <si>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</si>
  <si>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</si>
  <si>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</si>
  <si>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</si>
  <si>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</si>
  <si>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</si>
  <si>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</si>
  <si>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</si>
  <si>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</si>
  <si>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</si>
  <si>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</si>
  <si>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</si>
  <si>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</si>
  <si>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</si>
  <si>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</si>
  <si>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</si>
  <si>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</si>
  <si>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</si>
  <si>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</si>
  <si>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</si>
  <si>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</si>
  <si>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</si>
  <si>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</si>
  <si>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</si>
  <si>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</si>
  <si>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</si>
  <si>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</si>
  <si>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</si>
  <si>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</si>
  <si>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</si>
  <si>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</si>
  <si>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</si>
  <si>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</si>
  <si>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</si>
  <si>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</si>
  <si>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</si>
  <si>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</si>
  <si>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</si>
  <si>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</si>
  <si>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</si>
  <si>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</si>
  <si>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</si>
  <si>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</si>
  <si>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</si>
  <si>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</si>
  <si>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</si>
  <si>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</si>
  <si>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</si>
  <si>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</si>
  <si>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</si>
  <si>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</si>
  <si>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</si>
  <si>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</si>
  <si>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</si>
  <si>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</si>
  <si>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</si>
  <si>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</si>
  <si>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</si>
  <si>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</si>
  <si>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</si>
  <si>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</si>
  <si>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</si>
  <si>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</si>
  <si>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</si>
  <si>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</si>
  <si>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</si>
  <si>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</si>
  <si>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</si>
  <si>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</si>
  <si>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</si>
  <si>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</si>
  <si>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</si>
  <si>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</si>
  <si>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</si>
  <si>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</si>
  <si>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</si>
  <si>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</si>
  <si>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</si>
  <si>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</si>
  <si>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</si>
  <si>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</si>
  <si>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</si>
  <si>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</si>
  <si>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</si>
  <si>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</si>
  <si>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</si>
  <si>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</si>
  <si>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</si>
  <si>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</si>
  <si>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</si>
  <si>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</si>
  <si>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</si>
  <si>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</si>
  <si>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</si>
  <si>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</si>
  <si>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</si>
  <si>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</si>
  <si>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</si>
  <si>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</si>
  <si>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</si>
  <si>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</si>
  <si>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</si>
  <si>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</si>
  <si>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</si>
  <si>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</si>
  <si>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</si>
  <si>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</si>
  <si>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</si>
  <si>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</si>
  <si>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</si>
  <si>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</si>
  <si>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</si>
  <si>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</si>
  <si>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</si>
  <si>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</si>
  <si>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7.27调岗，按转入前部门绩效计算</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</si>
  <si>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</si>
  <si>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</si>
  <si>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</si>
  <si>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</si>
  <si>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</si>
  <si>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</si>
  <si>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</si>
  <si>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</si>
  <si>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</si>
  <si>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</si>
  <si>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</si>
  <si>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</si>
  <si>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</si>
  <si>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</si>
  <si>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</si>
  <si>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</si>
  <si>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</si>
  <si>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</si>
  <si>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</si>
  <si>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</si>
  <si>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</si>
  <si>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</si>
  <si>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</si>
  <si>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</si>
  <si>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</si>
  <si>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</si>
  <si>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</si>
  <si>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</si>
  <si>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</si>
  <si>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</si>
  <si>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</si>
  <si>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</si>
  <si>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</si>
  <si>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</si>
  <si>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</si>
  <si>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</si>
  <si>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</si>
  <si>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</si>
  <si>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</si>
  <si>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</si>
  <si>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</si>
  <si>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</si>
  <si>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</si>
  <si>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</si>
  <si>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</si>
  <si>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</si>
  <si>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</si>
  <si>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</si>
  <si>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</si>
  <si>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</si>
  <si>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</si>
  <si>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</si>
  <si>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</si>
  <si>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</si>
  <si>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</si>
  <si>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</si>
  <si>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</si>
  <si>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</si>
  <si>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</si>
  <si>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</si>
  <si>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</si>
  <si>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</si>
  <si>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</si>
  <si>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</si>
  <si>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</si>
  <si>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</si>
  <si>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</si>
  <si>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</si>
  <si>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</si>
  <si>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</si>
  <si>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</si>
  <si>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</si>
  <si>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</si>
  <si>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</si>
  <si>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</si>
  <si>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</si>
  <si>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</si>
  <si>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</si>
  <si>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</si>
  <si>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</si>
  <si>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</si>
  <si>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</si>
  <si>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</si>
  <si>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</si>
  <si>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</si>
  <si>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</si>
  <si>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</si>
  <si>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</si>
  <si>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</si>
  <si>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</si>
  <si>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</si>
  <si>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</si>
  <si>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</si>
  <si>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</si>
  <si>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</si>
  <si>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</si>
  <si>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</si>
  <si>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</si>
  <si>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</si>
  <si>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</si>
  <si>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</si>
  <si>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</si>
  <si>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</si>
  <si>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</si>
  <si>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</si>
  <si>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</si>
  <si>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</si>
  <si>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</si>
  <si>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</si>
  <si>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</si>
  <si>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</si>
  <si>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</si>
  <si>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</si>
  <si>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</si>
  <si>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旧工号</t>
  </si>
  <si>
    <t xml:space="preserve">新工号</t>
  </si>
  <si>
    <t xml:space="preserve">姓名</t>
  </si>
  <si>
    <t xml:space="preserve">岗位类型</t>
  </si>
  <si>
    <t xml:space="preserve">岗位</t>
  </si>
  <si>
    <t xml:space="preserve">中心</t>
  </si>
  <si>
    <t xml:space="preserve">部门</t>
  </si>
  <si>
    <t xml:space="preserve">绩效基数</t>
  </si>
  <si>
    <t xml:space="preserve">FD-11799</t>
  </si>
  <si>
    <t xml:space="preserve">FD-094322</t>
  </si>
  <si>
    <t xml:space="preserve">卢柳春</t>
  </si>
  <si>
    <t xml:space="preserve">正式</t>
  </si>
  <si>
    <t xml:space="preserve">库存文员</t>
  </si>
  <si>
    <t xml:space="preserve">仓配中心</t>
  </si>
  <si>
    <t xml:space="preserve">产品供应部</t>
  </si>
  <si>
    <t xml:space="preserve">FD-9138</t>
  </si>
  <si>
    <t xml:space="preserve">FD-099139</t>
  </si>
  <si>
    <t xml:space="preserve">刘创温</t>
  </si>
  <si>
    <t xml:space="preserve">仓管员</t>
  </si>
  <si>
    <t xml:space="preserve">FD-31624</t>
  </si>
  <si>
    <t xml:space="preserve">FD-097656</t>
  </si>
  <si>
    <t xml:space="preserve">卢彩琴</t>
  </si>
  <si>
    <t xml:space="preserve">打包员</t>
  </si>
  <si>
    <t xml:space="preserve">计件制</t>
  </si>
  <si>
    <t xml:space="preserve">FD-17073</t>
  </si>
  <si>
    <t xml:space="preserve">FD-098416</t>
  </si>
  <si>
    <t xml:space="preserve">李洁容</t>
  </si>
  <si>
    <t xml:space="preserve">FD-17439</t>
  </si>
  <si>
    <t xml:space="preserve">FD-099013</t>
  </si>
  <si>
    <t xml:space="preserve">谢金连</t>
  </si>
  <si>
    <t xml:space="preserve">FD-17850</t>
  </si>
  <si>
    <t xml:space="preserve">FD-095817</t>
  </si>
  <si>
    <t xml:space="preserve">黎彩霞</t>
  </si>
  <si>
    <t xml:space="preserve">FD-0732</t>
  </si>
  <si>
    <t xml:space="preserve">FD-093666</t>
  </si>
  <si>
    <t xml:space="preserve">张春霞</t>
  </si>
  <si>
    <t xml:space="preserve">FD-23798</t>
  </si>
  <si>
    <t xml:space="preserve">FD-092627</t>
  </si>
  <si>
    <t xml:space="preserve">曾利兰</t>
  </si>
  <si>
    <t xml:space="preserve">FD-31041</t>
  </si>
  <si>
    <t xml:space="preserve">FD-098846</t>
  </si>
  <si>
    <t xml:space="preserve">邹文君</t>
  </si>
  <si>
    <t xml:space="preserve">FD-31250</t>
  </si>
  <si>
    <t xml:space="preserve">FD-095261</t>
  </si>
  <si>
    <t xml:space="preserve">梁静怡</t>
  </si>
  <si>
    <t xml:space="preserve">FD-33116</t>
  </si>
  <si>
    <t xml:space="preserve">FD-097635</t>
  </si>
  <si>
    <t xml:space="preserve">戚少娟</t>
  </si>
  <si>
    <t xml:space="preserve">打单员</t>
  </si>
  <si>
    <t xml:space="preserve">FD-2114</t>
  </si>
  <si>
    <t xml:space="preserve">FD-097824</t>
  </si>
  <si>
    <t xml:space="preserve">陈良玉</t>
  </si>
  <si>
    <t xml:space="preserve">FD-25822</t>
  </si>
  <si>
    <t xml:space="preserve">FD-074553</t>
  </si>
  <si>
    <t xml:space="preserve">王娜</t>
  </si>
  <si>
    <t xml:space="preserve">督导</t>
  </si>
  <si>
    <t xml:space="preserve">渠道运作中心</t>
  </si>
  <si>
    <t xml:space="preserve">线下渠道部</t>
  </si>
  <si>
    <t xml:space="preserve">FD-32339</t>
  </si>
  <si>
    <t xml:space="preserve">FD-078246</t>
  </si>
  <si>
    <t xml:space="preserve">张婷</t>
  </si>
  <si>
    <t xml:space="preserve">FD-10138</t>
  </si>
  <si>
    <t xml:space="preserve">FD-017849</t>
  </si>
  <si>
    <t xml:space="preserve">倪晓虹</t>
  </si>
  <si>
    <t xml:space="preserve">干部管理高级经理</t>
  </si>
  <si>
    <t xml:space="preserve">干部管理中心</t>
  </si>
  <si>
    <t xml:space="preserve">总经办</t>
  </si>
  <si>
    <t xml:space="preserve">FD-11738</t>
  </si>
  <si>
    <t xml:space="preserve">FD-013695</t>
  </si>
  <si>
    <t xml:space="preserve">钟宝玲</t>
  </si>
  <si>
    <t xml:space="preserve">干部管理经理</t>
  </si>
  <si>
    <t xml:space="preserve">FD-36925</t>
  </si>
  <si>
    <t xml:space="preserve">FD-155034</t>
  </si>
  <si>
    <t xml:space="preserve">蒋欣</t>
  </si>
  <si>
    <t xml:space="preserve">培训讲师</t>
  </si>
  <si>
    <t xml:space="preserve">未分中心</t>
  </si>
  <si>
    <t xml:space="preserve">凡岛大学</t>
  </si>
  <si>
    <t xml:space="preserve">FD-8593</t>
  </si>
  <si>
    <t xml:space="preserve">FD-014164</t>
  </si>
  <si>
    <t xml:space="preserve">黄心河</t>
  </si>
  <si>
    <t xml:space="preserve">投资经理</t>
  </si>
  <si>
    <t xml:space="preserve">投资模块</t>
  </si>
  <si>
    <t xml:space="preserve">FD-28166</t>
  </si>
  <si>
    <t xml:space="preserve">FD-018313</t>
  </si>
  <si>
    <t xml:space="preserve">侯骏雄</t>
  </si>
  <si>
    <t xml:space="preserve">PMO</t>
  </si>
  <si>
    <t xml:space="preserve">创业模块</t>
  </si>
  <si>
    <t xml:space="preserve">FD-22075</t>
  </si>
  <si>
    <t xml:space="preserve">FD-017789</t>
  </si>
  <si>
    <t xml:space="preserve">靳嘉敏</t>
  </si>
  <si>
    <t xml:space="preserve">总助主管</t>
  </si>
  <si>
    <t xml:space="preserve">总助模块</t>
  </si>
  <si>
    <t xml:space="preserve">FD-44236</t>
  </si>
  <si>
    <t xml:space="preserve">FD-024031</t>
  </si>
  <si>
    <t xml:space="preserve">练美好</t>
  </si>
  <si>
    <t xml:space="preserve">营销高级经理</t>
  </si>
  <si>
    <t xml:space="preserve">营销中心D</t>
  </si>
  <si>
    <t xml:space="preserve">品牌营销部</t>
  </si>
  <si>
    <t xml:space="preserve">FD-49785</t>
  </si>
  <si>
    <t xml:space="preserve">FD-010340</t>
  </si>
  <si>
    <t xml:space="preserve">王伊瑄</t>
  </si>
  <si>
    <t xml:space="preserve">总经理助理</t>
  </si>
  <si>
    <t xml:space="preserve">FD-0002</t>
  </si>
  <si>
    <t xml:space="preserve">FD-174370</t>
  </si>
  <si>
    <t xml:space="preserve">王带娣</t>
  </si>
  <si>
    <t xml:space="preserve">财务高级经理</t>
  </si>
  <si>
    <t xml:space="preserve">财资管理中心</t>
  </si>
  <si>
    <t xml:space="preserve">财务部</t>
  </si>
  <si>
    <t xml:space="preserve">FD-21584</t>
  </si>
  <si>
    <t xml:space="preserve">FD-172676</t>
  </si>
  <si>
    <t xml:space="preserve">邓燕霞</t>
  </si>
  <si>
    <t xml:space="preserve">总账会计经理</t>
  </si>
  <si>
    <t xml:space="preserve">FD-48682</t>
  </si>
  <si>
    <t xml:space="preserve">FD-171054</t>
  </si>
  <si>
    <t xml:space="preserve">廖明理</t>
  </si>
  <si>
    <t xml:space="preserve">会计</t>
  </si>
  <si>
    <t xml:space="preserve">FD-50217</t>
  </si>
  <si>
    <t xml:space="preserve">FD-172731</t>
  </si>
  <si>
    <t xml:space="preserve">李方方</t>
  </si>
  <si>
    <t xml:space="preserve">财务分析中心</t>
  </si>
  <si>
    <t xml:space="preserve">FD-41942</t>
  </si>
  <si>
    <t xml:space="preserve">FD-178889</t>
  </si>
  <si>
    <t xml:space="preserve">陈子勤</t>
  </si>
  <si>
    <t xml:space="preserve">财务BP</t>
  </si>
  <si>
    <t xml:space="preserve">FD-49509</t>
  </si>
  <si>
    <t xml:space="preserve">FD-178394</t>
  </si>
  <si>
    <t xml:space="preserve">赵婉晴</t>
  </si>
  <si>
    <t xml:space="preserve">FD-49511</t>
  </si>
  <si>
    <t xml:space="preserve">FD-172210</t>
  </si>
  <si>
    <t xml:space="preserve">周欣蕊</t>
  </si>
  <si>
    <t xml:space="preserve">FD-44162</t>
  </si>
  <si>
    <t xml:space="preserve">FD-153175</t>
  </si>
  <si>
    <t xml:space="preserve">郑雪莲</t>
  </si>
  <si>
    <t xml:space="preserve">帮厨</t>
  </si>
  <si>
    <t xml:space="preserve">行政中心</t>
  </si>
  <si>
    <t xml:space="preserve">人资行政部</t>
  </si>
  <si>
    <t xml:space="preserve">FD-49250</t>
  </si>
  <si>
    <t xml:space="preserve">FD-150828</t>
  </si>
  <si>
    <t xml:space="preserve">徐英滨</t>
  </si>
  <si>
    <t xml:space="preserve">厨师</t>
  </si>
  <si>
    <t xml:space="preserve">FD-7158</t>
  </si>
  <si>
    <t xml:space="preserve">FD-153667</t>
  </si>
  <si>
    <t xml:space="preserve">陈苗苗</t>
  </si>
  <si>
    <t xml:space="preserve">运营助理</t>
  </si>
  <si>
    <t xml:space="preserve">渠道支持中心</t>
  </si>
  <si>
    <t xml:space="preserve">电商发展部</t>
  </si>
  <si>
    <t xml:space="preserve">FD-29481</t>
  </si>
  <si>
    <t xml:space="preserve">FD-158755</t>
  </si>
  <si>
    <t xml:space="preserve">马连</t>
  </si>
  <si>
    <t xml:space="preserve">清洁</t>
  </si>
  <si>
    <t xml:space="preserve">FD-49397</t>
  </si>
  <si>
    <t xml:space="preserve">FD-155448</t>
  </si>
  <si>
    <t xml:space="preserve">李晓茏</t>
  </si>
  <si>
    <t xml:space="preserve">主播</t>
  </si>
  <si>
    <t xml:space="preserve">直播中心-品牌精选</t>
  </si>
  <si>
    <t xml:space="preserve">FD-49943</t>
  </si>
  <si>
    <t xml:space="preserve">FD-181047</t>
  </si>
  <si>
    <t xml:space="preserve">周璐涵</t>
  </si>
  <si>
    <t xml:space="preserve">公共事务经理</t>
  </si>
  <si>
    <t xml:space="preserve">公共事务与品牌传播部</t>
  </si>
  <si>
    <t xml:space="preserve">FD-47630</t>
  </si>
  <si>
    <t xml:space="preserve">FD-152084</t>
  </si>
  <si>
    <t xml:space="preserve">昌品达</t>
  </si>
  <si>
    <t xml:space="preserve">FD-47658</t>
  </si>
  <si>
    <t xml:space="preserve">FD-159096</t>
  </si>
  <si>
    <t xml:space="preserve">郭芬芬</t>
  </si>
  <si>
    <t xml:space="preserve">招聘经理</t>
  </si>
  <si>
    <t xml:space="preserve">综合招聘中心</t>
  </si>
  <si>
    <t xml:space="preserve">FD-48213</t>
  </si>
  <si>
    <t xml:space="preserve">FD-159908</t>
  </si>
  <si>
    <t xml:space="preserve">邹梦婉</t>
  </si>
  <si>
    <t xml:space="preserve">HR高级经理</t>
  </si>
  <si>
    <t xml:space="preserve">HRBP中心</t>
  </si>
  <si>
    <t xml:space="preserve">FD-45105</t>
  </si>
  <si>
    <t xml:space="preserve">FD-153482</t>
  </si>
  <si>
    <t xml:space="preserve">韦莉丽</t>
  </si>
  <si>
    <t xml:space="preserve">FD-49516</t>
  </si>
  <si>
    <t xml:space="preserve">FD-158753</t>
  </si>
  <si>
    <t xml:space="preserve">张玉</t>
  </si>
  <si>
    <t xml:space="preserve">HR经理</t>
  </si>
  <si>
    <t xml:space="preserve">FD-0010</t>
  </si>
  <si>
    <t xml:space="preserve">FD-155373</t>
  </si>
  <si>
    <t xml:space="preserve">黄奕婷</t>
  </si>
  <si>
    <t xml:space="preserve">组织发展高级经理</t>
  </si>
  <si>
    <t xml:space="preserve">组织发展中心</t>
  </si>
  <si>
    <t xml:space="preserve">FD-13967</t>
  </si>
  <si>
    <t xml:space="preserve">FD-155599</t>
  </si>
  <si>
    <t xml:space="preserve">王雅丽</t>
  </si>
  <si>
    <t xml:space="preserve">COE专家</t>
  </si>
  <si>
    <t xml:space="preserve">FD-48387</t>
  </si>
  <si>
    <t xml:space="preserve">FD-156792</t>
  </si>
  <si>
    <t xml:space="preserve">宫兆宜</t>
  </si>
  <si>
    <t xml:space="preserve">FD-42312</t>
  </si>
  <si>
    <t xml:space="preserve">FD-160169</t>
  </si>
  <si>
    <t xml:space="preserve">林世武</t>
  </si>
  <si>
    <t xml:space="preserve">AI工程师</t>
  </si>
  <si>
    <t xml:space="preserve">AI研究中心</t>
  </si>
  <si>
    <t xml:space="preserve">AI效率流程部</t>
  </si>
  <si>
    <t xml:space="preserve">FD-12077</t>
  </si>
  <si>
    <t xml:space="preserve">FD-166217</t>
  </si>
  <si>
    <t xml:space="preserve">肖彦博</t>
  </si>
  <si>
    <t xml:space="preserve">AI高级经理</t>
  </si>
  <si>
    <t xml:space="preserve">AI效率流程A中心</t>
  </si>
  <si>
    <t xml:space="preserve">FD-49793</t>
  </si>
  <si>
    <t xml:space="preserve">FD-165696</t>
  </si>
  <si>
    <t xml:space="preserve">刘欣雨</t>
  </si>
  <si>
    <t xml:space="preserve">AIBP</t>
  </si>
  <si>
    <t xml:space="preserve">FD-18242</t>
  </si>
  <si>
    <t xml:space="preserve">FD-168199</t>
  </si>
  <si>
    <t xml:space="preserve">张顺鸿</t>
  </si>
  <si>
    <t xml:space="preserve">后端工程师</t>
  </si>
  <si>
    <t xml:space="preserve">AI效率流程F中心</t>
  </si>
  <si>
    <t xml:space="preserve">FD-22417</t>
  </si>
  <si>
    <t xml:space="preserve">FD-160302</t>
  </si>
  <si>
    <t xml:space="preserve">郭俊贤</t>
  </si>
  <si>
    <t xml:space="preserve">FD-46969</t>
  </si>
  <si>
    <t xml:space="preserve">FD-169260</t>
  </si>
  <si>
    <t xml:space="preserve">陈广耀</t>
  </si>
  <si>
    <t xml:space="preserve">AI效率流程B中心</t>
  </si>
  <si>
    <t xml:space="preserve">FD-49508</t>
  </si>
  <si>
    <t xml:space="preserve">FD-169942</t>
  </si>
  <si>
    <t xml:space="preserve">许伟淇</t>
  </si>
  <si>
    <t xml:space="preserve">AI效率流程E中心</t>
  </si>
  <si>
    <t xml:space="preserve">FD-41707</t>
  </si>
  <si>
    <t xml:space="preserve">FD-168752</t>
  </si>
  <si>
    <t xml:space="preserve">黄俊炎</t>
  </si>
  <si>
    <t xml:space="preserve">FD-48382</t>
  </si>
  <si>
    <t xml:space="preserve">FD-028363</t>
  </si>
  <si>
    <t xml:space="preserve">黄小华</t>
  </si>
  <si>
    <t xml:space="preserve">直播间设备运维</t>
  </si>
  <si>
    <t xml:space="preserve">直播中心</t>
  </si>
  <si>
    <t xml:space="preserve">FD-41274</t>
  </si>
  <si>
    <t xml:space="preserve">FD-023791</t>
  </si>
  <si>
    <t xml:space="preserve">张瑶</t>
  </si>
  <si>
    <t xml:space="preserve">视频编辑</t>
  </si>
  <si>
    <t xml:space="preserve">营销中心C</t>
  </si>
  <si>
    <t xml:space="preserve">FD-16677</t>
  </si>
  <si>
    <t xml:space="preserve">FD-065835</t>
  </si>
  <si>
    <t xml:space="preserve">杨前程</t>
  </si>
  <si>
    <t xml:space="preserve">护肤顾问</t>
  </si>
  <si>
    <t xml:space="preserve">WIS渠道A中心</t>
  </si>
  <si>
    <t xml:space="preserve">FD-21922</t>
  </si>
  <si>
    <t xml:space="preserve">FD-065821</t>
  </si>
  <si>
    <t xml:space="preserve">申玉良</t>
  </si>
  <si>
    <t xml:space="preserve">FD-7861</t>
  </si>
  <si>
    <t xml:space="preserve">FD-023670</t>
  </si>
  <si>
    <t xml:space="preserve">蒲冠彰</t>
  </si>
  <si>
    <t xml:space="preserve">营销经理</t>
  </si>
  <si>
    <t xml:space="preserve">营销中心B</t>
  </si>
  <si>
    <t xml:space="preserve">FD-18979</t>
  </si>
  <si>
    <t xml:space="preserve">FD-024217</t>
  </si>
  <si>
    <t xml:space="preserve">杨雯</t>
  </si>
  <si>
    <t xml:space="preserve">WIS品牌中心</t>
  </si>
  <si>
    <t xml:space="preserve">品牌管理部</t>
  </si>
  <si>
    <t xml:space="preserve">FD-49399</t>
  </si>
  <si>
    <t xml:space="preserve">FD-029514</t>
  </si>
  <si>
    <t xml:space="preserve">张鑫露</t>
  </si>
  <si>
    <t xml:space="preserve">营销中心J</t>
  </si>
  <si>
    <t xml:space="preserve">FD-36957</t>
  </si>
  <si>
    <t xml:space="preserve">FD-028768</t>
  </si>
  <si>
    <t xml:space="preserve">刘玉婷</t>
  </si>
  <si>
    <t xml:space="preserve">化妆师</t>
  </si>
  <si>
    <t xml:space="preserve">FD-49104</t>
  </si>
  <si>
    <t xml:space="preserve">FD-022412</t>
  </si>
  <si>
    <t xml:space="preserve">赵媛</t>
  </si>
  <si>
    <t xml:space="preserve">中级主播</t>
  </si>
  <si>
    <t xml:space="preserve">直播中心-官旗</t>
  </si>
  <si>
    <t xml:space="preserve">FD-50449</t>
  </si>
  <si>
    <t xml:space="preserve">FD-022757</t>
  </si>
  <si>
    <t xml:space="preserve">肖慧萍</t>
  </si>
  <si>
    <t xml:space="preserve">FD-51005</t>
  </si>
  <si>
    <t xml:space="preserve">FD-025019</t>
  </si>
  <si>
    <t xml:space="preserve">赖燕妮</t>
  </si>
  <si>
    <t xml:space="preserve">中级直播助理</t>
  </si>
  <si>
    <t xml:space="preserve">FD-39152</t>
  </si>
  <si>
    <t xml:space="preserve">FD-064468</t>
  </si>
  <si>
    <t xml:space="preserve">庄桢楠</t>
  </si>
  <si>
    <t xml:space="preserve">电商经理</t>
  </si>
  <si>
    <t xml:space="preserve">FD-48471</t>
  </si>
  <si>
    <t xml:space="preserve">FD-060706</t>
  </si>
  <si>
    <t xml:space="preserve">李丹</t>
  </si>
  <si>
    <t xml:space="preserve">电商高级经理</t>
  </si>
  <si>
    <t xml:space="preserve">FD-48952</t>
  </si>
  <si>
    <t xml:space="preserve">FD-032723</t>
  </si>
  <si>
    <t xml:space="preserve">黄一敏</t>
  </si>
  <si>
    <t xml:space="preserve">直播A中心</t>
  </si>
  <si>
    <t xml:space="preserve">广告策划部</t>
  </si>
  <si>
    <t xml:space="preserve">FD-45309</t>
  </si>
  <si>
    <t xml:space="preserve">FD-030877</t>
  </si>
  <si>
    <t xml:space="preserve">陈柏名</t>
  </si>
  <si>
    <t xml:space="preserve">FD-49414</t>
  </si>
  <si>
    <t xml:space="preserve">FD-031919</t>
  </si>
  <si>
    <t xml:space="preserve">庄少丽</t>
  </si>
  <si>
    <t xml:space="preserve">高级主播</t>
  </si>
  <si>
    <t xml:space="preserve">品牌创意部</t>
  </si>
  <si>
    <t xml:space="preserve">FD-50332</t>
  </si>
  <si>
    <t xml:space="preserve">FD-038487</t>
  </si>
  <si>
    <t xml:space="preserve">李焱灵</t>
  </si>
  <si>
    <t xml:space="preserve">FD-47937</t>
  </si>
  <si>
    <t xml:space="preserve">FD-030469</t>
  </si>
  <si>
    <t xml:space="preserve">黄琴</t>
  </si>
  <si>
    <t xml:space="preserve">营销A中心</t>
  </si>
  <si>
    <t xml:space="preserve">FD-50215</t>
  </si>
  <si>
    <t xml:space="preserve">FD-034628</t>
  </si>
  <si>
    <t xml:space="preserve">陈兴显</t>
  </si>
  <si>
    <t xml:space="preserve">视频编导</t>
  </si>
  <si>
    <t xml:space="preserve">创意中心</t>
  </si>
  <si>
    <t xml:space="preserve">FD-49243</t>
  </si>
  <si>
    <t xml:space="preserve">FD-021226</t>
  </si>
  <si>
    <t xml:space="preserve">唐茹</t>
  </si>
  <si>
    <t xml:space="preserve">FD-48338</t>
  </si>
  <si>
    <t xml:space="preserve">FD-035895</t>
  </si>
  <si>
    <t xml:space="preserve">黄家俊</t>
  </si>
  <si>
    <t xml:space="preserve">赫系渠道A中心</t>
  </si>
  <si>
    <t xml:space="preserve">FD-50501</t>
  </si>
  <si>
    <t xml:space="preserve">FD-038060</t>
  </si>
  <si>
    <t xml:space="preserve">李舒萍</t>
  </si>
  <si>
    <t xml:space="preserve">FD-32558</t>
  </si>
  <si>
    <t xml:space="preserve">FD-034698</t>
  </si>
  <si>
    <t xml:space="preserve">祝昭维</t>
  </si>
  <si>
    <t xml:space="preserve">WIS渠道B中心</t>
  </si>
  <si>
    <t xml:space="preserve">FD-49279</t>
  </si>
  <si>
    <t xml:space="preserve">FD-058035</t>
  </si>
  <si>
    <t xml:space="preserve">王丽滢</t>
  </si>
  <si>
    <t xml:space="preserve">商务经理</t>
  </si>
  <si>
    <t xml:space="preserve">明星中心</t>
  </si>
  <si>
    <t xml:space="preserve">市场拓展部</t>
  </si>
  <si>
    <t xml:space="preserve">FD-20315</t>
  </si>
  <si>
    <t xml:space="preserve">FD-056608</t>
  </si>
  <si>
    <t xml:space="preserve">陈锦梅</t>
  </si>
  <si>
    <t xml:space="preserve">财务专员</t>
  </si>
  <si>
    <t xml:space="preserve">FD-46422</t>
  </si>
  <si>
    <t xml:space="preserve">FD-054477</t>
  </si>
  <si>
    <t xml:space="preserve">王家雯</t>
  </si>
  <si>
    <t xml:space="preserve">数据助理</t>
  </si>
  <si>
    <t xml:space="preserve">资源开拓中心</t>
  </si>
  <si>
    <t xml:space="preserve">FD-45059</t>
  </si>
  <si>
    <t xml:space="preserve">FD-058612</t>
  </si>
  <si>
    <t xml:space="preserve">刘逸漂</t>
  </si>
  <si>
    <t xml:space="preserve">市场高级经理</t>
  </si>
  <si>
    <t xml:space="preserve">媒介中心</t>
  </si>
  <si>
    <t xml:space="preserve">FD-47848</t>
  </si>
  <si>
    <t xml:space="preserve">FD-050189</t>
  </si>
  <si>
    <t xml:space="preserve">徐德志</t>
  </si>
  <si>
    <t xml:space="preserve">FD-31816</t>
  </si>
  <si>
    <t xml:space="preserve">FD-181490</t>
  </si>
  <si>
    <t xml:space="preserve">吴晓升</t>
  </si>
  <si>
    <t xml:space="preserve">舆情数据经理</t>
  </si>
  <si>
    <t xml:space="preserve">FD-6641</t>
  </si>
  <si>
    <t xml:space="preserve">FD-108074</t>
  </si>
  <si>
    <t xml:space="preserve">曾双</t>
  </si>
  <si>
    <t xml:space="preserve">研发高级经理</t>
  </si>
  <si>
    <t xml:space="preserve">配方研究实验室</t>
  </si>
  <si>
    <t xml:space="preserve">凡岛研究院</t>
  </si>
  <si>
    <t xml:space="preserve">FD-18361</t>
  </si>
  <si>
    <t xml:space="preserve">FD-109059</t>
  </si>
  <si>
    <t xml:space="preserve">蔡爱存</t>
  </si>
  <si>
    <t xml:space="preserve">总监助理</t>
  </si>
  <si>
    <t xml:space="preserve">FD-12656</t>
  </si>
  <si>
    <t xml:space="preserve">FD-102169</t>
  </si>
  <si>
    <t xml:space="preserve">马洁婷</t>
  </si>
  <si>
    <t xml:space="preserve">高级研发工程师</t>
  </si>
  <si>
    <t xml:space="preserve">FD-15035</t>
  </si>
  <si>
    <t xml:space="preserve">FD-101501</t>
  </si>
  <si>
    <t xml:space="preserve">李桃</t>
  </si>
  <si>
    <t xml:space="preserve">机理研究实验室</t>
  </si>
  <si>
    <t xml:space="preserve">FD-47637</t>
  </si>
  <si>
    <t xml:space="preserve">FD-107532</t>
  </si>
  <si>
    <t xml:space="preserve">王嘉俊</t>
  </si>
  <si>
    <t xml:space="preserve">研发工程师</t>
  </si>
  <si>
    <t xml:space="preserve">FD-10127</t>
  </si>
  <si>
    <t xml:space="preserve">FD-105342</t>
  </si>
  <si>
    <t xml:space="preserve">谢晓容</t>
  </si>
  <si>
    <t xml:space="preserve">FD-6002</t>
  </si>
  <si>
    <t xml:space="preserve">FD-091125</t>
  </si>
  <si>
    <t xml:space="preserve">钟惠璇</t>
  </si>
  <si>
    <t xml:space="preserve">FD-13517</t>
  </si>
  <si>
    <t xml:space="preserve">FD-096061</t>
  </si>
  <si>
    <t xml:space="preserve">黄振明</t>
  </si>
  <si>
    <t xml:space="preserve">采购经理</t>
  </si>
  <si>
    <t xml:space="preserve">采购中心</t>
  </si>
  <si>
    <t xml:space="preserve">FD-20602</t>
  </si>
  <si>
    <t xml:space="preserve">FD-093485</t>
  </si>
  <si>
    <t xml:space="preserve">利志鹏</t>
  </si>
  <si>
    <t xml:space="preserve">FD-1222</t>
  </si>
  <si>
    <t xml:space="preserve">FD-096937</t>
  </si>
  <si>
    <t xml:space="preserve">郭翠</t>
  </si>
  <si>
    <t xml:space="preserve">计划经理</t>
  </si>
  <si>
    <t xml:space="preserve">计划中心</t>
  </si>
  <si>
    <t xml:space="preserve">FD-23098</t>
  </si>
  <si>
    <t xml:space="preserve">FD-096682</t>
  </si>
  <si>
    <t xml:space="preserve">巫文鑫</t>
  </si>
  <si>
    <t xml:space="preserve">FD-9069</t>
  </si>
  <si>
    <t xml:space="preserve">FD-096981</t>
  </si>
  <si>
    <t xml:space="preserve">杨金连</t>
  </si>
  <si>
    <t xml:space="preserve">FD-13126</t>
  </si>
  <si>
    <t xml:space="preserve">FD-098373</t>
  </si>
  <si>
    <t xml:space="preserve">郑思梅</t>
  </si>
  <si>
    <t xml:space="preserve">FD-9451</t>
  </si>
  <si>
    <t xml:space="preserve">FD-094330</t>
  </si>
  <si>
    <t xml:space="preserve">陆永泉</t>
  </si>
  <si>
    <t xml:space="preserve">供应链经理</t>
  </si>
  <si>
    <t xml:space="preserve">供应中心</t>
  </si>
  <si>
    <t xml:space="preserve">FD-27727</t>
  </si>
  <si>
    <t xml:space="preserve">FD-091305</t>
  </si>
  <si>
    <t xml:space="preserve">林博丽</t>
  </si>
  <si>
    <t xml:space="preserve">FD-49616</t>
  </si>
  <si>
    <t xml:space="preserve">FD-015700</t>
  </si>
  <si>
    <t xml:space="preserve">丁小恬</t>
  </si>
  <si>
    <t xml:space="preserve">高级经理</t>
  </si>
  <si>
    <t xml:space="preserve">FD-27640</t>
  </si>
  <si>
    <t xml:space="preserve">FD-090799</t>
  </si>
  <si>
    <t xml:space="preserve">马创立</t>
  </si>
  <si>
    <t xml:space="preserve">成本分析师</t>
  </si>
  <si>
    <t xml:space="preserve">FD-14426</t>
  </si>
  <si>
    <t xml:space="preserve">FD-091691</t>
  </si>
  <si>
    <t xml:space="preserve">吴开智</t>
  </si>
  <si>
    <t xml:space="preserve">FD-11037</t>
  </si>
  <si>
    <t xml:space="preserve">FD-098593</t>
  </si>
  <si>
    <t xml:space="preserve">王妙芳</t>
  </si>
  <si>
    <t xml:space="preserve">FD-14335</t>
  </si>
  <si>
    <t xml:space="preserve">FD-098323</t>
  </si>
  <si>
    <t xml:space="preserve">何建杰</t>
  </si>
  <si>
    <t xml:space="preserve">品控经理</t>
  </si>
  <si>
    <t xml:space="preserve">品控中心</t>
  </si>
  <si>
    <t xml:space="preserve">FD-49530</t>
  </si>
  <si>
    <t xml:space="preserve">FD-091970</t>
  </si>
  <si>
    <t xml:space="preserve">郑烁纯</t>
  </si>
  <si>
    <t xml:space="preserve">品控高级经理</t>
  </si>
  <si>
    <t xml:space="preserve">FD-13070</t>
  </si>
  <si>
    <t xml:space="preserve">FD-090700</t>
  </si>
  <si>
    <t xml:space="preserve">侯帅帅</t>
  </si>
  <si>
    <t xml:space="preserve">FD-49708</t>
  </si>
  <si>
    <t xml:space="preserve">FD-096449</t>
  </si>
  <si>
    <t xml:space="preserve">周志强</t>
  </si>
  <si>
    <t xml:space="preserve">FD-6684</t>
  </si>
  <si>
    <t xml:space="preserve">FD-099617</t>
  </si>
  <si>
    <t xml:space="preserve">陈远连</t>
  </si>
  <si>
    <t xml:space="preserve">生产经理</t>
  </si>
  <si>
    <t xml:space="preserve">生产中心</t>
  </si>
  <si>
    <t xml:space="preserve">FD-49681</t>
  </si>
  <si>
    <t xml:space="preserve">FD-091571</t>
  </si>
  <si>
    <t xml:space="preserve">吴永星</t>
  </si>
  <si>
    <t xml:space="preserve">物流高级经理</t>
  </si>
  <si>
    <t xml:space="preserve">物流中心</t>
  </si>
  <si>
    <t xml:space="preserve">FD-20538</t>
  </si>
  <si>
    <t xml:space="preserve">FD-092883</t>
  </si>
  <si>
    <t xml:space="preserve">林俊辉</t>
  </si>
  <si>
    <t xml:space="preserve">PMC专员</t>
  </si>
  <si>
    <t xml:space="preserve">FD-21511</t>
  </si>
  <si>
    <t xml:space="preserve">FD-110540</t>
  </si>
  <si>
    <t xml:space="preserve">杨永梅</t>
  </si>
  <si>
    <t xml:space="preserve">资深平面设计师</t>
  </si>
  <si>
    <t xml:space="preserve">设计中心</t>
  </si>
  <si>
    <t xml:space="preserve">FD-11398</t>
  </si>
  <si>
    <t xml:space="preserve">FD-119799</t>
  </si>
  <si>
    <t xml:space="preserve">李晶晶</t>
  </si>
  <si>
    <t xml:space="preserve">FD-49550</t>
  </si>
  <si>
    <t xml:space="preserve">FD-116992</t>
  </si>
  <si>
    <t xml:space="preserve">刘子琛</t>
  </si>
  <si>
    <t xml:space="preserve">FD-21169</t>
  </si>
  <si>
    <t xml:space="preserve">FD-051819</t>
  </si>
  <si>
    <t xml:space="preserve">郑晓玲</t>
  </si>
  <si>
    <t xml:space="preserve">先锋中心</t>
  </si>
  <si>
    <t xml:space="preserve">FD-49372</t>
  </si>
  <si>
    <t xml:space="preserve">FD-085458</t>
  </si>
  <si>
    <t xml:space="preserve">鲍睿</t>
  </si>
  <si>
    <t xml:space="preserve">海外高级经理</t>
  </si>
  <si>
    <t xml:space="preserve">营销中心</t>
  </si>
  <si>
    <t xml:space="preserve">海外事业部</t>
  </si>
  <si>
    <t xml:space="preserve">FD-5557</t>
  </si>
  <si>
    <t xml:space="preserve">FD-082560</t>
  </si>
  <si>
    <t xml:space="preserve">李国斌</t>
  </si>
  <si>
    <t xml:space="preserve">达播中心</t>
  </si>
  <si>
    <t xml:space="preserve">FD-47612</t>
  </si>
  <si>
    <t xml:space="preserve">FD-077703</t>
  </si>
  <si>
    <t xml:space="preserve">蓝文阳</t>
  </si>
  <si>
    <t xml:space="preserve">市场监察经理</t>
  </si>
  <si>
    <t xml:space="preserve">FD-35702</t>
  </si>
  <si>
    <t xml:space="preserve">FD-076294</t>
  </si>
  <si>
    <t xml:space="preserve">陈冰纯</t>
  </si>
  <si>
    <t xml:space="preserve">业务助理</t>
  </si>
  <si>
    <t xml:space="preserve">FD-49484</t>
  </si>
  <si>
    <t xml:space="preserve">FD-085087</t>
  </si>
  <si>
    <t xml:space="preserve">张璐萍</t>
  </si>
  <si>
    <t xml:space="preserve">FD-47421</t>
  </si>
  <si>
    <t xml:space="preserve">FD-080606</t>
  </si>
  <si>
    <t xml:space="preserve">龙美莹</t>
  </si>
  <si>
    <t xml:space="preserve">FD-6643</t>
  </si>
  <si>
    <t xml:space="preserve">FD-085640</t>
  </si>
  <si>
    <t xml:space="preserve">谢志达</t>
  </si>
  <si>
    <t xml:space="preserve">首席平面设计师</t>
  </si>
  <si>
    <t xml:space="preserve">新品牌事业部</t>
  </si>
  <si>
    <t xml:space="preserve">FD-48874</t>
  </si>
  <si>
    <t xml:space="preserve">FD-084584</t>
  </si>
  <si>
    <t xml:space="preserve">张盛源</t>
  </si>
  <si>
    <t xml:space="preserve">FD-49703</t>
  </si>
  <si>
    <t xml:space="preserve">FD-084304</t>
  </si>
  <si>
    <t xml:space="preserve">苏秋英</t>
  </si>
  <si>
    <t xml:space="preserve">FD-0096</t>
  </si>
  <si>
    <t xml:space="preserve">FD-082125</t>
  </si>
  <si>
    <t xml:space="preserve">林少瑶</t>
  </si>
  <si>
    <t xml:space="preserve">品牌高级经理</t>
  </si>
  <si>
    <t xml:space="preserve">品牌管理中心</t>
  </si>
  <si>
    <t xml:space="preserve">FD-9088</t>
  </si>
  <si>
    <t xml:space="preserve">FD-128019</t>
  </si>
  <si>
    <t xml:space="preserve">李美贤</t>
  </si>
  <si>
    <t xml:space="preserve">设计高级经理</t>
  </si>
  <si>
    <t xml:space="preserve">FD-47525</t>
  </si>
  <si>
    <t xml:space="preserve">FD-125310</t>
  </si>
  <si>
    <t xml:space="preserve">谢海燕</t>
  </si>
  <si>
    <t xml:space="preserve">FD-48428</t>
  </si>
  <si>
    <t xml:space="preserve">FD-123512</t>
  </si>
  <si>
    <t xml:space="preserve">邓炽威</t>
  </si>
  <si>
    <t xml:space="preserve">摄影师</t>
  </si>
  <si>
    <t xml:space="preserve">FD-49145</t>
  </si>
  <si>
    <t xml:space="preserve">FD-127656</t>
  </si>
  <si>
    <t xml:space="preserve">刘付柱</t>
  </si>
  <si>
    <t xml:space="preserve">FD-35887</t>
  </si>
  <si>
    <t xml:space="preserve">FD-065871</t>
  </si>
  <si>
    <t xml:space="preserve">林龙燕</t>
  </si>
  <si>
    <t xml:space="preserve">FD-48803</t>
  </si>
  <si>
    <t xml:space="preserve">FD-031665</t>
  </si>
  <si>
    <t xml:space="preserve">万诗雨</t>
  </si>
  <si>
    <t xml:space="preserve">营销D中心</t>
  </si>
  <si>
    <t xml:space="preserve">FD-48496</t>
  </si>
  <si>
    <t xml:space="preserve">FD-141904</t>
  </si>
  <si>
    <t xml:space="preserve">廖丫</t>
  </si>
  <si>
    <t xml:space="preserve">产品高级经理</t>
  </si>
  <si>
    <t xml:space="preserve">FD-49059</t>
  </si>
  <si>
    <t xml:space="preserve">FD-041287</t>
  </si>
  <si>
    <t xml:space="preserve">谢田甜</t>
  </si>
  <si>
    <t xml:space="preserve">赫系品牌中心</t>
  </si>
  <si>
    <t xml:space="preserve">FD-49179</t>
  </si>
  <si>
    <t xml:space="preserve">FD-046784</t>
  </si>
  <si>
    <t xml:space="preserve">徐思敏</t>
  </si>
  <si>
    <t xml:space="preserve">FD-50493</t>
  </si>
  <si>
    <t xml:space="preserve">FD-047152</t>
  </si>
  <si>
    <t xml:space="preserve">丘均琳</t>
  </si>
  <si>
    <t xml:space="preserve">FD-47144</t>
  </si>
  <si>
    <t xml:space="preserve">FD-041568</t>
  </si>
  <si>
    <t xml:space="preserve">周晓纯</t>
  </si>
  <si>
    <t xml:space="preserve">FD-50551</t>
  </si>
  <si>
    <t xml:space="preserve">FD-026041</t>
  </si>
  <si>
    <t xml:space="preserve">刘晶晶</t>
  </si>
  <si>
    <t xml:space="preserve">直播中心-精选</t>
  </si>
  <si>
    <t xml:space="preserve">FD-32865</t>
  </si>
  <si>
    <t xml:space="preserve">FD-074681</t>
  </si>
  <si>
    <t xml:space="preserve">李晓婷</t>
  </si>
  <si>
    <t xml:space="preserve">数据分析师</t>
  </si>
  <si>
    <t xml:space="preserve">FD-9797</t>
  </si>
  <si>
    <t xml:space="preserve">FD-075238</t>
  </si>
  <si>
    <t xml:space="preserve">李燕彪</t>
  </si>
  <si>
    <t xml:space="preserve">零售高级经理兼负责人</t>
  </si>
  <si>
    <t xml:space="preserve">赫系</t>
  </si>
  <si>
    <t xml:space="preserve">线下渠道部（赫系）</t>
  </si>
  <si>
    <t xml:space="preserve">FD-48053</t>
  </si>
  <si>
    <t xml:space="preserve">FD-071235</t>
  </si>
  <si>
    <t xml:space="preserve">夏雨</t>
  </si>
  <si>
    <t xml:space="preserve">零售高级经理</t>
  </si>
  <si>
    <t xml:space="preserve">KONO-KONO销售A中心-华中区</t>
  </si>
  <si>
    <t xml:space="preserve">线下渠道部（KONO）</t>
  </si>
  <si>
    <t xml:space="preserve">FD-46405</t>
  </si>
  <si>
    <t xml:space="preserve">FD-071472</t>
  </si>
  <si>
    <t xml:space="preserve">张巍</t>
  </si>
  <si>
    <t xml:space="preserve">KA商务经理</t>
  </si>
  <si>
    <t xml:space="preserve">FD-31197</t>
  </si>
  <si>
    <t xml:space="preserve">FD-077493</t>
  </si>
  <si>
    <t xml:space="preserve">谢辉</t>
  </si>
  <si>
    <t xml:space="preserve">新零售商务经理</t>
  </si>
  <si>
    <t xml:space="preserve">FD-28598</t>
  </si>
  <si>
    <t xml:space="preserve">FD-079634</t>
  </si>
  <si>
    <t xml:space="preserve">张冰</t>
  </si>
  <si>
    <t xml:space="preserve">KONO-KONO销售A中心-华北区</t>
  </si>
  <si>
    <t xml:space="preserve">FD-47943</t>
  </si>
  <si>
    <t xml:space="preserve">FD-073151</t>
  </si>
  <si>
    <t xml:space="preserve">马艳</t>
  </si>
  <si>
    <t xml:space="preserve">KONO-KONO销售A中心-华南区</t>
  </si>
  <si>
    <t xml:space="preserve">FD-49637</t>
  </si>
  <si>
    <t xml:space="preserve">FD-077316</t>
  </si>
  <si>
    <t xml:space="preserve">张莹</t>
  </si>
  <si>
    <t xml:space="preserve">KONO-KONO销售A中心-西南区</t>
  </si>
  <si>
    <t xml:space="preserve">FD-49476</t>
  </si>
  <si>
    <t xml:space="preserve">FD-071455</t>
  </si>
  <si>
    <t xml:space="preserve">张宜静</t>
  </si>
  <si>
    <t xml:space="preserve">跨境商务经理</t>
  </si>
  <si>
    <t xml:space="preserve">海外开拓中心</t>
  </si>
  <si>
    <t xml:space="preserve">FD-8162</t>
  </si>
  <si>
    <t xml:space="preserve">FD-070565</t>
  </si>
  <si>
    <t xml:space="preserve">崔晓岚</t>
  </si>
  <si>
    <t xml:space="preserve">公关总监</t>
  </si>
  <si>
    <t xml:space="preserve">FD-22545</t>
  </si>
  <si>
    <t xml:space="preserve">FD-077264</t>
  </si>
  <si>
    <t xml:space="preserve">丁一漫</t>
  </si>
  <si>
    <t xml:space="preserve">FD-29412</t>
  </si>
  <si>
    <t xml:space="preserve">FD-071550</t>
  </si>
  <si>
    <t xml:space="preserve">贺昕</t>
  </si>
  <si>
    <t xml:space="preserve">FD-46739</t>
  </si>
  <si>
    <t xml:space="preserve">FD-071139</t>
  </si>
  <si>
    <t xml:space="preserve">王冬梅</t>
  </si>
  <si>
    <t xml:space="preserve">FD-49918</t>
  </si>
  <si>
    <t xml:space="preserve">FD-077555</t>
  </si>
  <si>
    <t xml:space="preserve">王琳</t>
  </si>
  <si>
    <t xml:space="preserve">FD-48893</t>
  </si>
  <si>
    <t xml:space="preserve">FD-072702</t>
  </si>
  <si>
    <t xml:space="preserve">廖杨</t>
  </si>
  <si>
    <t xml:space="preserve">CS商务经理</t>
  </si>
  <si>
    <t xml:space="preserve">KONO-KONO销售C中心</t>
  </si>
  <si>
    <t xml:space="preserve">FD-49231</t>
  </si>
  <si>
    <t xml:space="preserve">FD-076917</t>
  </si>
  <si>
    <t xml:space="preserve">任轩</t>
  </si>
  <si>
    <t xml:space="preserve">WIS-WIS销售A中心-西南区</t>
  </si>
  <si>
    <t xml:space="preserve">线下渠道部（WIS）</t>
  </si>
  <si>
    <t xml:space="preserve">FD-32288</t>
  </si>
  <si>
    <t xml:space="preserve">FD-075218</t>
  </si>
  <si>
    <t xml:space="preserve">杨容</t>
  </si>
  <si>
    <t xml:space="preserve">培训师</t>
  </si>
  <si>
    <t xml:space="preserve">FD-50056</t>
  </si>
  <si>
    <t xml:space="preserve">FD-078109</t>
  </si>
  <si>
    <t xml:space="preserve">许元元</t>
  </si>
  <si>
    <t xml:space="preserve">FD-50764</t>
  </si>
  <si>
    <t xml:space="preserve">FD-078387</t>
  </si>
  <si>
    <t xml:space="preserve">李宏庆</t>
  </si>
  <si>
    <t xml:space="preserve">FD-50718</t>
  </si>
  <si>
    <t xml:space="preserve">FD-074107</t>
  </si>
  <si>
    <t xml:space="preserve">华珊</t>
  </si>
  <si>
    <t xml:space="preserve">WIS-WIS销售B中心</t>
  </si>
  <si>
    <t xml:space="preserve">FD-40121</t>
  </si>
  <si>
    <t xml:space="preserve">FD-093521</t>
  </si>
  <si>
    <t xml:space="preserve">罗静怡</t>
  </si>
  <si>
    <t xml:space="preserve">备货文员</t>
  </si>
  <si>
    <t xml:space="preserve">FD-37265</t>
  </si>
  <si>
    <t xml:space="preserve">FD-098396</t>
  </si>
  <si>
    <t xml:space="preserve">唐婉泳</t>
  </si>
  <si>
    <t xml:space="preserve">FD-30891</t>
  </si>
  <si>
    <t xml:space="preserve">FD-095646</t>
  </si>
  <si>
    <t xml:space="preserve">黄正发</t>
  </si>
  <si>
    <t xml:space="preserve">备货员</t>
  </si>
  <si>
    <t xml:space="preserve">FD-32528</t>
  </si>
  <si>
    <t xml:space="preserve">FD-099558</t>
  </si>
  <si>
    <t xml:space="preserve">何灿威</t>
  </si>
  <si>
    <t xml:space="preserve">FD-17074</t>
  </si>
  <si>
    <t xml:space="preserve">FD-098343</t>
  </si>
  <si>
    <t xml:space="preserve">李国安</t>
  </si>
  <si>
    <t xml:space="preserve">叉车司机</t>
  </si>
  <si>
    <t xml:space="preserve">FD-27334</t>
  </si>
  <si>
    <t xml:space="preserve">FD-096601</t>
  </si>
  <si>
    <t xml:space="preserve">黄考联</t>
  </si>
  <si>
    <t xml:space="preserve">FD-7115</t>
  </si>
  <si>
    <t xml:space="preserve">FD-091488</t>
  </si>
  <si>
    <t xml:space="preserve">杨文锦</t>
  </si>
  <si>
    <t xml:space="preserve">装卸工</t>
  </si>
  <si>
    <t xml:space="preserve">FD-11554</t>
  </si>
  <si>
    <t xml:space="preserve">FD-097984</t>
  </si>
  <si>
    <t xml:space="preserve">梁佰新</t>
  </si>
  <si>
    <t xml:space="preserve">FD-16238</t>
  </si>
  <si>
    <t xml:space="preserve">FD-097088</t>
  </si>
  <si>
    <t xml:space="preserve">刘朝家</t>
  </si>
  <si>
    <t xml:space="preserve">FD-23735</t>
  </si>
  <si>
    <t xml:space="preserve">FD-096154</t>
  </si>
  <si>
    <t xml:space="preserve">曾辉旺</t>
  </si>
  <si>
    <t xml:space="preserve">组长</t>
  </si>
  <si>
    <t xml:space="preserve">FD-26549</t>
  </si>
  <si>
    <t xml:space="preserve">FD-092060</t>
  </si>
  <si>
    <t xml:space="preserve">邓进华</t>
  </si>
  <si>
    <t xml:space="preserve">FD-7389</t>
  </si>
  <si>
    <t xml:space="preserve">FD-096932</t>
  </si>
  <si>
    <t xml:space="preserve">商思莹</t>
  </si>
  <si>
    <t xml:space="preserve">FD-14911</t>
  </si>
  <si>
    <t xml:space="preserve">FD-098074</t>
  </si>
  <si>
    <t xml:space="preserve">贺强</t>
  </si>
  <si>
    <t xml:space="preserve">FD-25089</t>
  </si>
  <si>
    <t xml:space="preserve">FD-097779</t>
  </si>
  <si>
    <t xml:space="preserve">曾振华</t>
  </si>
  <si>
    <t xml:space="preserve">FD-29306</t>
  </si>
  <si>
    <t xml:space="preserve">FD-091473</t>
  </si>
  <si>
    <t xml:space="preserve">郑靖华</t>
  </si>
  <si>
    <t xml:space="preserve">配送经理</t>
  </si>
  <si>
    <t xml:space="preserve">FD-27709</t>
  </si>
  <si>
    <t xml:space="preserve">FD-092873</t>
  </si>
  <si>
    <t xml:space="preserve">邝少芬</t>
  </si>
  <si>
    <t xml:space="preserve">行政专员</t>
  </si>
  <si>
    <t xml:space="preserve">从化中心</t>
  </si>
  <si>
    <t xml:space="preserve">FD-16780</t>
  </si>
  <si>
    <t xml:space="preserve">FD-096977</t>
  </si>
  <si>
    <t xml:space="preserve">廖树清</t>
  </si>
  <si>
    <t xml:space="preserve">FD-20375</t>
  </si>
  <si>
    <t xml:space="preserve">FD-093777</t>
  </si>
  <si>
    <t xml:space="preserve">赖翠香</t>
  </si>
  <si>
    <t xml:space="preserve">FD-27461</t>
  </si>
  <si>
    <t xml:space="preserve">FD-093761</t>
  </si>
  <si>
    <t xml:space="preserve">黎敏娟</t>
  </si>
  <si>
    <t xml:space="preserve">FD-28089</t>
  </si>
  <si>
    <t xml:space="preserve">FD-099520</t>
  </si>
  <si>
    <t xml:space="preserve">陆彩群</t>
  </si>
  <si>
    <t xml:space="preserve">售后员</t>
  </si>
  <si>
    <t xml:space="preserve">FD-16124</t>
  </si>
  <si>
    <t xml:space="preserve">FD-092954</t>
  </si>
  <si>
    <t xml:space="preserve">范金凤</t>
  </si>
  <si>
    <t xml:space="preserve">FD-17731</t>
  </si>
  <si>
    <t xml:space="preserve">FD-099237</t>
  </si>
  <si>
    <t xml:space="preserve">肖青霞</t>
  </si>
  <si>
    <t xml:space="preserve">FD-16123</t>
  </si>
  <si>
    <t xml:space="preserve">FD-099978</t>
  </si>
  <si>
    <t xml:space="preserve">苏艳寒</t>
  </si>
  <si>
    <t xml:space="preserve">FD-15807</t>
  </si>
  <si>
    <t xml:space="preserve">FD-093712</t>
  </si>
  <si>
    <t xml:space="preserve">曾美金</t>
  </si>
  <si>
    <t xml:space="preserve">FD-0106</t>
  </si>
  <si>
    <t xml:space="preserve">FD-097394</t>
  </si>
  <si>
    <t xml:space="preserve">杨雄贤</t>
  </si>
  <si>
    <t xml:space="preserve">质量经理</t>
  </si>
  <si>
    <t xml:space="preserve">FD-30491</t>
  </si>
  <si>
    <t xml:space="preserve">FD-092271</t>
  </si>
  <si>
    <t xml:space="preserve">欧阳妙诗</t>
  </si>
  <si>
    <t xml:space="preserve">FD-16239</t>
  </si>
  <si>
    <t xml:space="preserve">FD-098141</t>
  </si>
  <si>
    <t xml:space="preserve">陈敏婷</t>
  </si>
  <si>
    <t xml:space="preserve">QC组长</t>
  </si>
  <si>
    <t xml:space="preserve">FD-33734</t>
  </si>
  <si>
    <t xml:space="preserve">FD-090515</t>
  </si>
  <si>
    <t xml:space="preserve">李德荣</t>
  </si>
  <si>
    <t xml:space="preserve">备料员</t>
  </si>
  <si>
    <t xml:space="preserve">FD-40249</t>
  </si>
  <si>
    <t xml:space="preserve">FD-099594</t>
  </si>
  <si>
    <t xml:space="preserve">黄云凤</t>
  </si>
  <si>
    <t xml:space="preserve">FD-48279</t>
  </si>
  <si>
    <t xml:space="preserve">FD-098265</t>
  </si>
  <si>
    <t xml:space="preserve">李昔培</t>
  </si>
  <si>
    <t xml:space="preserve">FD-29658</t>
  </si>
  <si>
    <t xml:space="preserve">FD-098982</t>
  </si>
  <si>
    <t xml:space="preserve">龙鉴彬</t>
  </si>
  <si>
    <t xml:space="preserve">FD-31477</t>
  </si>
  <si>
    <t xml:space="preserve">FD-090415</t>
  </si>
  <si>
    <t xml:space="preserve">李炬宏</t>
  </si>
  <si>
    <t xml:space="preserve">FD-28358</t>
  </si>
  <si>
    <t xml:space="preserve">FD-093889</t>
  </si>
  <si>
    <t xml:space="preserve">陈燕玲</t>
  </si>
  <si>
    <t xml:space="preserve">FD-28357</t>
  </si>
  <si>
    <t xml:space="preserve">FD-091306</t>
  </si>
  <si>
    <t xml:space="preserve">范丽娟</t>
  </si>
  <si>
    <t xml:space="preserve">FD-29543</t>
  </si>
  <si>
    <t xml:space="preserve">FD-091266</t>
  </si>
  <si>
    <t xml:space="preserve">徐暖华</t>
  </si>
  <si>
    <t xml:space="preserve">检测专员</t>
  </si>
  <si>
    <t xml:space="preserve">FD-29661</t>
  </si>
  <si>
    <t xml:space="preserve">FD-093940</t>
  </si>
  <si>
    <t xml:space="preserve">郑梅英</t>
  </si>
  <si>
    <t xml:space="preserve">灌包操作工</t>
  </si>
  <si>
    <t xml:space="preserve">FD-29662</t>
  </si>
  <si>
    <t xml:space="preserve">FD-097283</t>
  </si>
  <si>
    <t xml:space="preserve">邓英萍</t>
  </si>
  <si>
    <t xml:space="preserve">FD-29664</t>
  </si>
  <si>
    <t xml:space="preserve">FD-090309</t>
  </si>
  <si>
    <t xml:space="preserve">李富希</t>
  </si>
  <si>
    <t xml:space="preserve">FD-30043</t>
  </si>
  <si>
    <t xml:space="preserve">FD-091113</t>
  </si>
  <si>
    <t xml:space="preserve">李楚灵</t>
  </si>
  <si>
    <t xml:space="preserve">生产文员</t>
  </si>
  <si>
    <t xml:space="preserve">FD-30045</t>
  </si>
  <si>
    <t xml:space="preserve">FD-094762</t>
  </si>
  <si>
    <t xml:space="preserve">张少兴</t>
  </si>
  <si>
    <t xml:space="preserve">FD-31922</t>
  </si>
  <si>
    <t xml:space="preserve">FD-094964</t>
  </si>
  <si>
    <t xml:space="preserve">邓剑钊</t>
  </si>
  <si>
    <t xml:space="preserve">FD-32216</t>
  </si>
  <si>
    <t xml:space="preserve">FD-097930</t>
  </si>
  <si>
    <t xml:space="preserve">何细意</t>
  </si>
  <si>
    <t xml:space="preserve">FD-32217</t>
  </si>
  <si>
    <t xml:space="preserve">FD-092766</t>
  </si>
  <si>
    <t xml:space="preserve">黄焕苗</t>
  </si>
  <si>
    <t xml:space="preserve">FD-32218</t>
  </si>
  <si>
    <t xml:space="preserve">FD-093836</t>
  </si>
  <si>
    <t xml:space="preserve">钟志坚</t>
  </si>
  <si>
    <t xml:space="preserve">FD-34305</t>
  </si>
  <si>
    <t xml:space="preserve">FD-096889</t>
  </si>
  <si>
    <t xml:space="preserve">刘晓英</t>
  </si>
  <si>
    <t xml:space="preserve">FD-34604</t>
  </si>
  <si>
    <t xml:space="preserve">FD-091676</t>
  </si>
  <si>
    <t xml:space="preserve">李惠梅</t>
  </si>
  <si>
    <t xml:space="preserve">FD-44727</t>
  </si>
  <si>
    <t xml:space="preserve">FD-094903</t>
  </si>
  <si>
    <t xml:space="preserve">李志华</t>
  </si>
  <si>
    <t xml:space="preserve">FD-31925</t>
  </si>
  <si>
    <t xml:space="preserve">FD-092423</t>
  </si>
  <si>
    <t xml:space="preserve">叶建强</t>
  </si>
  <si>
    <t xml:space="preserve">FD-46303</t>
  </si>
  <si>
    <t xml:space="preserve">FD-099816</t>
  </si>
  <si>
    <t xml:space="preserve">何嘉祺</t>
  </si>
  <si>
    <t xml:space="preserve">FD-46503</t>
  </si>
  <si>
    <t xml:space="preserve">FD-096633</t>
  </si>
  <si>
    <t xml:space="preserve">李泳敏</t>
  </si>
  <si>
    <t xml:space="preserve">FD-47522</t>
  </si>
  <si>
    <t xml:space="preserve">FD-098784</t>
  </si>
  <si>
    <t xml:space="preserve">钟翠萍</t>
  </si>
  <si>
    <t xml:space="preserve">FD-48187</t>
  </si>
  <si>
    <t xml:space="preserve">FD-099649</t>
  </si>
  <si>
    <t xml:space="preserve">黄多枝</t>
  </si>
  <si>
    <t xml:space="preserve">FD-48489</t>
  </si>
  <si>
    <t xml:space="preserve">FD-091554</t>
  </si>
  <si>
    <t xml:space="preserve">关国锋</t>
  </si>
  <si>
    <t xml:space="preserve">FD-28590</t>
  </si>
  <si>
    <t xml:space="preserve">FD-096745</t>
  </si>
  <si>
    <t xml:space="preserve">黎结清</t>
  </si>
  <si>
    <t xml:space="preserve">FD-48755</t>
  </si>
  <si>
    <t xml:space="preserve">FD-095552</t>
  </si>
  <si>
    <t xml:space="preserve">班伟文</t>
  </si>
  <si>
    <t xml:space="preserve">FD-28133</t>
  </si>
  <si>
    <t xml:space="preserve">FD-095123</t>
  </si>
  <si>
    <t xml:space="preserve">何克丽</t>
  </si>
  <si>
    <t xml:space="preserve">FD-31558</t>
  </si>
  <si>
    <t xml:space="preserve">FD-098197</t>
  </si>
  <si>
    <t xml:space="preserve">马继宗</t>
  </si>
  <si>
    <t xml:space="preserve">锅炉工</t>
  </si>
  <si>
    <t xml:space="preserve">FD-32792</t>
  </si>
  <si>
    <t xml:space="preserve">FD-099891</t>
  </si>
  <si>
    <t xml:space="preserve">谭颖沂</t>
  </si>
  <si>
    <t xml:space="preserve">FD-44351</t>
  </si>
  <si>
    <t xml:space="preserve">FD-099400</t>
  </si>
  <si>
    <t xml:space="preserve">黄颖欣</t>
  </si>
  <si>
    <t xml:space="preserve">FD-41810</t>
  </si>
  <si>
    <t xml:space="preserve">FD-090423</t>
  </si>
  <si>
    <t xml:space="preserve">李嘉明</t>
  </si>
  <si>
    <t xml:space="preserve">FD-30056</t>
  </si>
  <si>
    <t xml:space="preserve">FD-092246</t>
  </si>
  <si>
    <t xml:space="preserve">李榕清</t>
  </si>
  <si>
    <t xml:space="preserve">乳化工</t>
  </si>
  <si>
    <t xml:space="preserve">FD-31559</t>
  </si>
  <si>
    <t xml:space="preserve">FD-095064</t>
  </si>
  <si>
    <t xml:space="preserve">江灿辉</t>
  </si>
  <si>
    <t xml:space="preserve">FD-44949</t>
  </si>
  <si>
    <t xml:space="preserve">FD-097373</t>
  </si>
  <si>
    <t xml:space="preserve">王志辉</t>
  </si>
  <si>
    <t xml:space="preserve">FD-45063</t>
  </si>
  <si>
    <t xml:space="preserve">FD-091329</t>
  </si>
  <si>
    <t xml:space="preserve">陈振雄</t>
  </si>
  <si>
    <t xml:space="preserve">FD-46549</t>
  </si>
  <si>
    <t xml:space="preserve">FD-091318</t>
  </si>
  <si>
    <t xml:space="preserve">邱灿开</t>
  </si>
  <si>
    <t xml:space="preserve">FD-47242</t>
  </si>
  <si>
    <t xml:space="preserve">FD-094978</t>
  </si>
  <si>
    <t xml:space="preserve">郑杰航</t>
  </si>
  <si>
    <t xml:space="preserve">FD-47558</t>
  </si>
  <si>
    <t xml:space="preserve">FD-095913</t>
  </si>
  <si>
    <t xml:space="preserve">彭建安</t>
  </si>
  <si>
    <t xml:space="preserve">FD-29887</t>
  </si>
  <si>
    <t xml:space="preserve">FD-094832</t>
  </si>
  <si>
    <t xml:space="preserve">周楚鸿</t>
  </si>
  <si>
    <t xml:space="preserve">FD-47660</t>
  </si>
  <si>
    <t xml:space="preserve">FD-099185</t>
  </si>
  <si>
    <t xml:space="preserve">廖志锋</t>
  </si>
  <si>
    <t xml:space="preserve">FD-47670</t>
  </si>
  <si>
    <t xml:space="preserve">FD-090983</t>
  </si>
  <si>
    <t xml:space="preserve">骆应彬</t>
  </si>
  <si>
    <t xml:space="preserve">FD-31822</t>
  </si>
  <si>
    <t xml:space="preserve">FD-093463</t>
  </si>
  <si>
    <t xml:space="preserve">邓祖文</t>
  </si>
  <si>
    <t xml:space="preserve">乳化主管</t>
  </si>
  <si>
    <t xml:space="preserve">FD-28963</t>
  </si>
  <si>
    <t xml:space="preserve">FD-091740</t>
  </si>
  <si>
    <t xml:space="preserve">陈琰文</t>
  </si>
  <si>
    <t xml:space="preserve">设备技术员</t>
  </si>
  <si>
    <t xml:space="preserve">FD-39921</t>
  </si>
  <si>
    <t xml:space="preserve">FD-090916</t>
  </si>
  <si>
    <t xml:space="preserve">梁健聪</t>
  </si>
  <si>
    <t xml:space="preserve">FD-28035</t>
  </si>
  <si>
    <t xml:space="preserve">FD-099659</t>
  </si>
  <si>
    <t xml:space="preserve">李俊良</t>
  </si>
  <si>
    <t xml:space="preserve">FD-28589</t>
  </si>
  <si>
    <t xml:space="preserve">FD-094290</t>
  </si>
  <si>
    <t xml:space="preserve">谢炽辉</t>
  </si>
  <si>
    <t xml:space="preserve">FD-44808</t>
  </si>
  <si>
    <t xml:space="preserve">FD-092433</t>
  </si>
  <si>
    <t xml:space="preserve">周淑芬</t>
  </si>
  <si>
    <t xml:space="preserve">FD-25888</t>
  </si>
  <si>
    <t xml:space="preserve">FD-097809</t>
  </si>
  <si>
    <t xml:space="preserve">罗超雄</t>
  </si>
  <si>
    <t xml:space="preserve">生产主管</t>
  </si>
  <si>
    <t xml:space="preserve">FD-33014</t>
  </si>
  <si>
    <t xml:space="preserve">FD-090736</t>
  </si>
  <si>
    <t xml:space="preserve">龚燕红</t>
  </si>
  <si>
    <t xml:space="preserve">生产组长</t>
  </si>
  <si>
    <t xml:space="preserve">FD-33361</t>
  </si>
  <si>
    <t xml:space="preserve">FD-092479</t>
  </si>
  <si>
    <t xml:space="preserve">余秋桂</t>
  </si>
  <si>
    <t xml:space="preserve">FD-48653</t>
  </si>
  <si>
    <t xml:space="preserve">FD-095017</t>
  </si>
  <si>
    <t xml:space="preserve">李泓锐</t>
  </si>
  <si>
    <t xml:space="preserve">FD-49133</t>
  </si>
  <si>
    <t xml:space="preserve">FD-091075</t>
  </si>
  <si>
    <t xml:space="preserve">梁海鸿</t>
  </si>
  <si>
    <t xml:space="preserve">FD-36979</t>
  </si>
  <si>
    <t xml:space="preserve">FD-092667</t>
  </si>
  <si>
    <t xml:space="preserve">王志远</t>
  </si>
  <si>
    <t xml:space="preserve">现场QC</t>
  </si>
  <si>
    <t xml:space="preserve">FD-28368</t>
  </si>
  <si>
    <t xml:space="preserve">FD-096232</t>
  </si>
  <si>
    <t xml:space="preserve">张玉娴</t>
  </si>
  <si>
    <t xml:space="preserve">FD-28500</t>
  </si>
  <si>
    <t xml:space="preserve">FD-096254</t>
  </si>
  <si>
    <t xml:space="preserve">谭婉莹</t>
  </si>
  <si>
    <t xml:space="preserve">FD-38622</t>
  </si>
  <si>
    <t xml:space="preserve">FD-098283</t>
  </si>
  <si>
    <t xml:space="preserve">张娟</t>
  </si>
  <si>
    <t xml:space="preserve">FD-47808</t>
  </si>
  <si>
    <t xml:space="preserve">FD-095329</t>
  </si>
  <si>
    <t xml:space="preserve">张彩云</t>
  </si>
  <si>
    <t xml:space="preserve">FD-48141</t>
  </si>
  <si>
    <t xml:space="preserve">FD-099678</t>
  </si>
  <si>
    <t xml:space="preserve">李健鹏</t>
  </si>
  <si>
    <t xml:space="preserve">FD-8792</t>
  </si>
  <si>
    <t xml:space="preserve">FD-095869</t>
  </si>
  <si>
    <t xml:space="preserve">黄晓莲</t>
  </si>
  <si>
    <t xml:space="preserve">客服高级经理</t>
  </si>
  <si>
    <t xml:space="preserve">服务中心</t>
  </si>
  <si>
    <t xml:space="preserve">FD-48188</t>
  </si>
  <si>
    <t xml:space="preserve">FD-098102</t>
  </si>
  <si>
    <t xml:space="preserve">夏润利</t>
  </si>
  <si>
    <t xml:space="preserve">客服专员</t>
  </si>
  <si>
    <t xml:space="preserve">FD-48301</t>
  </si>
  <si>
    <t xml:space="preserve">FD-096836</t>
  </si>
  <si>
    <t xml:space="preserve">邓小兰</t>
  </si>
  <si>
    <t xml:space="preserve">JZ-001</t>
  </si>
  <si>
    <t xml:space="preserve">屈志华</t>
  </si>
  <si>
    <t xml:space="preserve">兼职</t>
  </si>
  <si>
    <t xml:space="preserve">财务</t>
  </si>
  <si>
    <t xml:space="preserve">FD-7766</t>
  </si>
  <si>
    <t xml:space="preserve">FD-098633</t>
  </si>
  <si>
    <t xml:space="preserve">莫秋霞</t>
  </si>
  <si>
    <t xml:space="preserve">FD-7472</t>
  </si>
  <si>
    <t xml:space="preserve">FD-095375</t>
  </si>
  <si>
    <t xml:space="preserve">巫超雄</t>
  </si>
  <si>
    <t xml:space="preserve">FD-15773</t>
  </si>
  <si>
    <t xml:space="preserve">FD-090598</t>
  </si>
  <si>
    <t xml:space="preserve">仇碧颜</t>
  </si>
  <si>
    <t xml:space="preserve">FD-10386</t>
  </si>
  <si>
    <t xml:space="preserve">FD-092125</t>
  </si>
  <si>
    <t xml:space="preserve">梁惠芬</t>
  </si>
  <si>
    <t xml:space="preserve">FD-36085</t>
  </si>
  <si>
    <t xml:space="preserve">FD-094004</t>
  </si>
  <si>
    <t xml:space="preserve">梁丽娟</t>
  </si>
  <si>
    <t xml:space="preserve">FD-38620</t>
  </si>
  <si>
    <t xml:space="preserve">FD-095372</t>
  </si>
  <si>
    <t xml:space="preserve">欧彩珍</t>
  </si>
  <si>
    <t xml:space="preserve">FD-40280</t>
  </si>
  <si>
    <t xml:space="preserve">FD-097008</t>
  </si>
  <si>
    <t xml:space="preserve">陈肖颜</t>
  </si>
  <si>
    <t xml:space="preserve">FD-41991</t>
  </si>
  <si>
    <t xml:space="preserve">FD-091079</t>
  </si>
  <si>
    <t xml:space="preserve">郭瑶</t>
  </si>
  <si>
    <t xml:space="preserve">FD-44563</t>
  </si>
  <si>
    <t xml:space="preserve">FD-092674</t>
  </si>
  <si>
    <t xml:space="preserve">袁颖</t>
  </si>
  <si>
    <t xml:space="preserve">FD-44604</t>
  </si>
  <si>
    <t xml:space="preserve">FD-099107</t>
  </si>
  <si>
    <t xml:space="preserve">黄燕玲</t>
  </si>
  <si>
    <t xml:space="preserve">FD-35578</t>
  </si>
  <si>
    <t xml:space="preserve">FD-092712</t>
  </si>
  <si>
    <t xml:space="preserve">蓝文诗</t>
  </si>
  <si>
    <t xml:space="preserve">客服经理</t>
  </si>
  <si>
    <t xml:space="preserve">FD-50835</t>
  </si>
  <si>
    <t xml:space="preserve">FD-095145</t>
  </si>
  <si>
    <t xml:space="preserve">陈月怡</t>
  </si>
  <si>
    <t xml:space="preserve">FD-51127</t>
  </si>
  <si>
    <t xml:space="preserve">FD-049145</t>
  </si>
  <si>
    <t xml:space="preserve">李林岭</t>
  </si>
  <si>
    <t xml:space="preserve">KONO渠道A中心</t>
  </si>
  <si>
    <t xml:space="preserve">FD-51130</t>
  </si>
  <si>
    <t xml:space="preserve">FD-104179</t>
  </si>
  <si>
    <t xml:space="preserve">关玉贝</t>
  </si>
  <si>
    <t xml:space="preserve">资深产品设计师</t>
  </si>
  <si>
    <t xml:space="preserve">产品设计中心</t>
  </si>
  <si>
    <t xml:space="preserve">FD-51196</t>
  </si>
  <si>
    <t xml:space="preserve">FD-018331</t>
  </si>
  <si>
    <t xml:space="preserve">万瑶</t>
  </si>
  <si>
    <t xml:space="preserve">wteam总裁</t>
  </si>
  <si>
    <t xml:space="preserve">FD-51314</t>
  </si>
  <si>
    <t xml:space="preserve">FD-177063</t>
  </si>
  <si>
    <t xml:space="preserve">陈诗巧</t>
  </si>
  <si>
    <t xml:space="preserve">FD-51331</t>
  </si>
  <si>
    <t xml:space="preserve">FD-048982</t>
  </si>
  <si>
    <t xml:space="preserve">蔡莎</t>
  </si>
  <si>
    <t xml:space="preserve">赫系营销A中心</t>
  </si>
  <si>
    <t xml:space="preserve">FD-51339</t>
  </si>
  <si>
    <t xml:space="preserve">FD-157522</t>
  </si>
  <si>
    <t xml:space="preserve">严馨月</t>
  </si>
  <si>
    <t xml:space="preserve">猎聘经理</t>
  </si>
  <si>
    <t xml:space="preserve">猎聘中心</t>
  </si>
  <si>
    <t xml:space="preserve">FD-51431</t>
  </si>
  <si>
    <t xml:space="preserve">FD-031435</t>
  </si>
  <si>
    <t xml:space="preserve">李慧娟</t>
  </si>
  <si>
    <t xml:space="preserve">创新B中心</t>
  </si>
  <si>
    <t xml:space="preserve">FD-51503</t>
  </si>
  <si>
    <t xml:space="preserve">FD-098414</t>
  </si>
  <si>
    <t xml:space="preserve">韩佳华</t>
  </si>
  <si>
    <t xml:space="preserve">产品经理</t>
  </si>
  <si>
    <t xml:space="preserve">FD-51506</t>
  </si>
  <si>
    <t xml:space="preserve">FD-099565</t>
  </si>
  <si>
    <t xml:space="preserve">温颖妍</t>
  </si>
  <si>
    <t xml:space="preserve">FD-51553</t>
  </si>
  <si>
    <t xml:space="preserve">FD-099682</t>
  </si>
  <si>
    <t xml:space="preserve">何卫珊</t>
  </si>
  <si>
    <t xml:space="preserve">FD-51587</t>
  </si>
  <si>
    <t xml:space="preserve">FD-046307</t>
  </si>
  <si>
    <t xml:space="preserve">李奥宇</t>
  </si>
  <si>
    <t xml:space="preserve">FD-51671</t>
  </si>
  <si>
    <t xml:space="preserve">FD-093331</t>
  </si>
  <si>
    <t xml:space="preserve">甘燕平</t>
  </si>
  <si>
    <t xml:space="preserve">FD-51698</t>
  </si>
  <si>
    <t xml:space="preserve">FD-072100</t>
  </si>
  <si>
    <t xml:space="preserve">白茜</t>
  </si>
  <si>
    <t xml:space="preserve">中台战略负责人</t>
  </si>
  <si>
    <t xml:space="preserve">FD-51805</t>
  </si>
  <si>
    <t xml:space="preserve">FD-098718</t>
  </si>
  <si>
    <t xml:space="preserve">谢昊</t>
  </si>
  <si>
    <t xml:space="preserve">仓库高级经理</t>
  </si>
  <si>
    <t xml:space="preserve">FD-51823</t>
  </si>
  <si>
    <t xml:space="preserve">FD-078279</t>
  </si>
  <si>
    <t xml:space="preserve">巫超龙</t>
  </si>
  <si>
    <t xml:space="preserve">FD-51945</t>
  </si>
  <si>
    <t xml:space="preserve">FD-098475</t>
  </si>
  <si>
    <t xml:space="preserve">陆贤慧</t>
  </si>
  <si>
    <t xml:space="preserve">FD-51974</t>
  </si>
  <si>
    <t xml:space="preserve">FD-156080</t>
  </si>
  <si>
    <t xml:space="preserve">刘敏娜</t>
  </si>
  <si>
    <t xml:space="preserve">FD-52005</t>
  </si>
  <si>
    <t xml:space="preserve">FD-179378</t>
  </si>
  <si>
    <t xml:space="preserve">高璐</t>
  </si>
  <si>
    <t xml:space="preserve">顾问</t>
  </si>
  <si>
    <t xml:space="preserve">FD-52078</t>
  </si>
  <si>
    <t xml:space="preserve">FD-064578</t>
  </si>
  <si>
    <t xml:space="preserve">方思媛</t>
  </si>
  <si>
    <t xml:space="preserve">赫系渠道B中心</t>
  </si>
  <si>
    <t xml:space="preserve">FD-52189</t>
  </si>
  <si>
    <t xml:space="preserve">FD-101189</t>
  </si>
  <si>
    <t xml:space="preserve">向东华</t>
  </si>
  <si>
    <t xml:space="preserve">FD-52207</t>
  </si>
  <si>
    <t xml:space="preserve">FD-095600</t>
  </si>
  <si>
    <t xml:space="preserve">李颖妍</t>
  </si>
  <si>
    <t xml:space="preserve">FD-52219</t>
  </si>
  <si>
    <t xml:space="preserve">FD-082593</t>
  </si>
  <si>
    <t xml:space="preserve">李炜瑶</t>
  </si>
  <si>
    <t xml:space="preserve">采购高级经理</t>
  </si>
  <si>
    <t xml:space="preserve">FD-52378</t>
  </si>
  <si>
    <t xml:space="preserve">FD-033796</t>
  </si>
  <si>
    <t xml:space="preserve">刘丙贵</t>
  </si>
  <si>
    <t xml:space="preserve">直播助理</t>
  </si>
  <si>
    <t xml:space="preserve">FD-52380</t>
  </si>
  <si>
    <t xml:space="preserve">FD-075526</t>
  </si>
  <si>
    <t xml:space="preserve">夏星泽</t>
  </si>
  <si>
    <t xml:space="preserve">WIS-WIS销售A中心-华东区</t>
  </si>
  <si>
    <t xml:space="preserve">FD-52384</t>
  </si>
  <si>
    <t xml:space="preserve">FD-040318</t>
  </si>
  <si>
    <t xml:space="preserve">苗天雨</t>
  </si>
  <si>
    <t xml:space="preserve">赫系营销D中心</t>
  </si>
  <si>
    <t xml:space="preserve">FD-52387</t>
  </si>
  <si>
    <t xml:space="preserve">FD-041967</t>
  </si>
  <si>
    <t xml:space="preserve">赵弘睿</t>
  </si>
  <si>
    <t xml:space="preserve">FD-52460</t>
  </si>
  <si>
    <t xml:space="preserve">FD-060002</t>
  </si>
  <si>
    <t xml:space="preserve">舒婷婷</t>
  </si>
  <si>
    <t xml:space="preserve">FD-52331</t>
  </si>
  <si>
    <t xml:space="preserve">FD-098975</t>
  </si>
  <si>
    <t xml:space="preserve">邓泽丽</t>
  </si>
  <si>
    <t xml:space="preserve">FD-52529</t>
  </si>
  <si>
    <t xml:space="preserve">FD-030640</t>
  </si>
  <si>
    <t xml:space="preserve">王思怡</t>
  </si>
  <si>
    <t xml:space="preserve">营销C中心</t>
  </si>
  <si>
    <t xml:space="preserve">FD-52539</t>
  </si>
  <si>
    <t xml:space="preserve">FD-026222</t>
  </si>
  <si>
    <t xml:space="preserve">舒豪</t>
  </si>
  <si>
    <t xml:space="preserve">AI营销中心</t>
  </si>
  <si>
    <t xml:space="preserve">FD-52540</t>
  </si>
  <si>
    <t xml:space="preserve">FD-024782</t>
  </si>
  <si>
    <t xml:space="preserve">宋睿凛</t>
  </si>
  <si>
    <t xml:space="preserve">渠道高级经理</t>
  </si>
  <si>
    <t xml:space="preserve">FD-52544</t>
  </si>
  <si>
    <t xml:space="preserve">FD-086577</t>
  </si>
  <si>
    <t xml:space="preserve">刘思言</t>
  </si>
  <si>
    <t xml:space="preserve">项目经理</t>
  </si>
  <si>
    <t xml:space="preserve">开发中心</t>
  </si>
  <si>
    <t xml:space="preserve">FD-52551</t>
  </si>
  <si>
    <t xml:space="preserve">FD-039822</t>
  </si>
  <si>
    <t xml:space="preserve">唐青蔚</t>
  </si>
  <si>
    <t xml:space="preserve">KONO品牌中心</t>
  </si>
  <si>
    <t xml:space="preserve">FD-52578</t>
  </si>
  <si>
    <t xml:space="preserve">FD-045567</t>
  </si>
  <si>
    <t xml:space="preserve">刘旭昊</t>
  </si>
  <si>
    <t xml:space="preserve">AI编导</t>
  </si>
  <si>
    <t xml:space="preserve">FD-52609</t>
  </si>
  <si>
    <t xml:space="preserve">FD-091058</t>
  </si>
  <si>
    <t xml:space="preserve">田炜</t>
  </si>
  <si>
    <t xml:space="preserve">体系专员</t>
  </si>
  <si>
    <t xml:space="preserve">FD-52624</t>
  </si>
  <si>
    <t xml:space="preserve">FD-095469</t>
  </si>
  <si>
    <t xml:space="preserve">吴嘉良</t>
  </si>
  <si>
    <t xml:space="preserve">FD-52643</t>
  </si>
  <si>
    <t xml:space="preserve">FD-023794</t>
  </si>
  <si>
    <t xml:space="preserve">李雨橦</t>
  </si>
  <si>
    <t xml:space="preserve">FD-52648</t>
  </si>
  <si>
    <t xml:space="preserve">FD-045919</t>
  </si>
  <si>
    <t xml:space="preserve">缪心雨</t>
  </si>
  <si>
    <t xml:space="preserve">品牌创意中心</t>
  </si>
  <si>
    <t xml:space="preserve">FD-52659</t>
  </si>
  <si>
    <t xml:space="preserve">FD-046819</t>
  </si>
  <si>
    <t xml:space="preserve">许诗笛</t>
  </si>
  <si>
    <t xml:space="preserve">FD-52665</t>
  </si>
  <si>
    <t xml:space="preserve">FD-151218</t>
  </si>
  <si>
    <t xml:space="preserve">丁亦杨</t>
  </si>
  <si>
    <t xml:space="preserve">校园活动经理</t>
  </si>
  <si>
    <t xml:space="preserve">FD-52674</t>
  </si>
  <si>
    <t xml:space="preserve">FD-046731</t>
  </si>
  <si>
    <t xml:space="preserve">刘玳菱</t>
  </si>
  <si>
    <t xml:space="preserve">营销中心A</t>
  </si>
  <si>
    <t xml:space="preserve">FD-52678</t>
  </si>
  <si>
    <t xml:space="preserve">FD-025283</t>
  </si>
  <si>
    <t xml:space="preserve">李楠</t>
  </si>
  <si>
    <t xml:space="preserve">FD-52732</t>
  </si>
  <si>
    <t xml:space="preserve">FD-108201</t>
  </si>
  <si>
    <t xml:space="preserve">王思潼</t>
  </si>
  <si>
    <t xml:space="preserve">FD-52777</t>
  </si>
  <si>
    <t xml:space="preserve">FD-178448</t>
  </si>
  <si>
    <t xml:space="preserve">杨洋</t>
  </si>
  <si>
    <t xml:space="preserve">FD-52813</t>
  </si>
  <si>
    <t xml:space="preserve">FD-070799</t>
  </si>
  <si>
    <t xml:space="preserve">高玉凤</t>
  </si>
  <si>
    <t xml:space="preserve">KONO-KONO销售A中心-西北区</t>
  </si>
  <si>
    <t xml:space="preserve">FD-52815</t>
  </si>
  <si>
    <t xml:space="preserve">FD-061954</t>
  </si>
  <si>
    <t xml:space="preserve">陆煜齐</t>
  </si>
  <si>
    <t xml:space="preserve">FD-52869</t>
  </si>
  <si>
    <t xml:space="preserve">FD-030019</t>
  </si>
  <si>
    <t xml:space="preserve">曹亚茹</t>
  </si>
  <si>
    <t xml:space="preserve">FD-52915</t>
  </si>
  <si>
    <t xml:space="preserve">FD-151799</t>
  </si>
  <si>
    <t xml:space="preserve">施颖泽</t>
  </si>
  <si>
    <t xml:space="preserve">招聘高级经理</t>
  </si>
  <si>
    <t xml:space="preserve">FD-52959</t>
  </si>
  <si>
    <t xml:space="preserve">FD-154390</t>
  </si>
  <si>
    <t xml:space="preserve">慎轩</t>
  </si>
  <si>
    <t xml:space="preserve">FD-53074</t>
  </si>
  <si>
    <t xml:space="preserve">FD-154391</t>
  </si>
  <si>
    <t xml:space="preserve">胡涵冰</t>
  </si>
  <si>
    <t xml:space="preserve">SSC专家</t>
  </si>
  <si>
    <t xml:space="preserve">FD-53086</t>
  </si>
  <si>
    <t xml:space="preserve">FD-150617</t>
  </si>
  <si>
    <t xml:space="preserve">涂晶晶</t>
  </si>
  <si>
    <t xml:space="preserve">行政高级经理</t>
  </si>
  <si>
    <t xml:space="preserve">FD-53123</t>
  </si>
  <si>
    <t xml:space="preserve">FD-023931</t>
  </si>
  <si>
    <t xml:space="preserve">潘小慧</t>
  </si>
  <si>
    <t xml:space="preserve">直播中心-护肤</t>
  </si>
  <si>
    <t xml:space="preserve">FD-53160</t>
  </si>
  <si>
    <t xml:space="preserve">FD-027651</t>
  </si>
  <si>
    <t xml:space="preserve">杨晓彤</t>
  </si>
  <si>
    <t xml:space="preserve">FD-53210</t>
  </si>
  <si>
    <t xml:space="preserve">FD-076961</t>
  </si>
  <si>
    <t xml:space="preserve">刘凌锋</t>
  </si>
  <si>
    <t xml:space="preserve">FD-53223</t>
  </si>
  <si>
    <t xml:space="preserve">FD-021471</t>
  </si>
  <si>
    <t xml:space="preserve">彭聪</t>
  </si>
  <si>
    <t xml:space="preserve">FD-53234</t>
  </si>
  <si>
    <t xml:space="preserve">FD-093027</t>
  </si>
  <si>
    <t xml:space="preserve">李健锋</t>
  </si>
  <si>
    <t xml:space="preserve">FD-53246</t>
  </si>
  <si>
    <t xml:space="preserve">FD-035302</t>
  </si>
  <si>
    <t xml:space="preserve">吴洋</t>
  </si>
  <si>
    <t xml:space="preserve">FD-53255</t>
  </si>
  <si>
    <t xml:space="preserve">FD-080758</t>
  </si>
  <si>
    <t xml:space="preserve">蒋晴</t>
  </si>
  <si>
    <t xml:space="preserve">FD-53268</t>
  </si>
  <si>
    <t xml:space="preserve">FD-103052</t>
  </si>
  <si>
    <t xml:space="preserve">李志扬</t>
  </si>
  <si>
    <t xml:space="preserve">FD-53285</t>
  </si>
  <si>
    <t xml:space="preserve">FD-079435</t>
  </si>
  <si>
    <t xml:space="preserve">热夏提·古尔班江</t>
  </si>
  <si>
    <t xml:space="preserve">FD-53291</t>
  </si>
  <si>
    <t xml:space="preserve">FD-076847</t>
  </si>
  <si>
    <t xml:space="preserve">蒋冰清</t>
  </si>
  <si>
    <t xml:space="preserve">WIS-WIS销售A中心-华南区</t>
  </si>
  <si>
    <t xml:space="preserve">FD-53296</t>
  </si>
  <si>
    <t xml:space="preserve">FD-090307</t>
  </si>
  <si>
    <t xml:space="preserve">尚桢健</t>
  </si>
  <si>
    <t xml:space="preserve">设备专员</t>
  </si>
  <si>
    <t xml:space="preserve">FD-53323</t>
  </si>
  <si>
    <t xml:space="preserve">FD-092149</t>
  </si>
  <si>
    <t xml:space="preserve">黄艺洪</t>
  </si>
  <si>
    <t xml:space="preserve">FD-53404</t>
  </si>
  <si>
    <t xml:space="preserve">FD-026516</t>
  </si>
  <si>
    <t xml:space="preserve">王运鸿</t>
  </si>
  <si>
    <t xml:space="preserve">FD-53455</t>
  </si>
  <si>
    <t xml:space="preserve">FD-094172</t>
  </si>
  <si>
    <t xml:space="preserve">曾涛</t>
  </si>
  <si>
    <t xml:space="preserve">FD-53546</t>
  </si>
  <si>
    <t xml:space="preserve">FD-121609</t>
  </si>
  <si>
    <t xml:space="preserve">梁丹萍</t>
  </si>
  <si>
    <t xml:space="preserve">FD-53567</t>
  </si>
  <si>
    <t xml:space="preserve">FD-098365</t>
  </si>
  <si>
    <t xml:space="preserve">陈焕玲</t>
  </si>
  <si>
    <t xml:space="preserve">FD-53592</t>
  </si>
  <si>
    <t xml:space="preserve">FD-025314</t>
  </si>
  <si>
    <t xml:space="preserve">杜润瀚</t>
  </si>
  <si>
    <t xml:space="preserve">直播中心-优选</t>
  </si>
  <si>
    <t xml:space="preserve">FD-53597</t>
  </si>
  <si>
    <t xml:space="preserve">FD-011386</t>
  </si>
  <si>
    <t xml:space="preserve">彭琨</t>
  </si>
  <si>
    <t xml:space="preserve">活动运营经理</t>
  </si>
  <si>
    <t xml:space="preserve">FD-53618</t>
  </si>
  <si>
    <t xml:space="preserve">FD-078460</t>
  </si>
  <si>
    <t xml:space="preserve">罗永钰</t>
  </si>
  <si>
    <t xml:space="preserve">FD-53632</t>
  </si>
  <si>
    <t xml:space="preserve">FD-098925</t>
  </si>
  <si>
    <t xml:space="preserve">莫受德</t>
  </si>
  <si>
    <t xml:space="preserve">FD-53669</t>
  </si>
  <si>
    <t xml:space="preserve">FD-052345</t>
  </si>
  <si>
    <t xml:space="preserve">麦苗</t>
  </si>
  <si>
    <t xml:space="preserve">商务PR</t>
  </si>
  <si>
    <t xml:space="preserve">FD-53692</t>
  </si>
  <si>
    <t xml:space="preserve">FD-061477</t>
  </si>
  <si>
    <t xml:space="preserve">王海若</t>
  </si>
  <si>
    <t xml:space="preserve">FD-53699</t>
  </si>
  <si>
    <t xml:space="preserve">FD-051468</t>
  </si>
  <si>
    <t xml:space="preserve">张晓璐</t>
  </si>
  <si>
    <t xml:space="preserve">FD-53710</t>
  </si>
  <si>
    <t xml:space="preserve">FD-093763</t>
  </si>
  <si>
    <t xml:space="preserve">刘曦童</t>
  </si>
  <si>
    <t xml:space="preserve">FD-53713</t>
  </si>
  <si>
    <t xml:space="preserve">FD-045597</t>
  </si>
  <si>
    <t xml:space="preserve">刘青霖</t>
  </si>
  <si>
    <t xml:space="preserve">创新中心</t>
  </si>
  <si>
    <t xml:space="preserve">FD-53714</t>
  </si>
  <si>
    <t xml:space="preserve">FD-060339</t>
  </si>
  <si>
    <t xml:space="preserve">吴文琦</t>
  </si>
  <si>
    <t xml:space="preserve">FD-53786</t>
  </si>
  <si>
    <t xml:space="preserve">FD-027333</t>
  </si>
  <si>
    <t xml:space="preserve">邓艳佳</t>
  </si>
  <si>
    <t xml:space="preserve">FD-53824</t>
  </si>
  <si>
    <t xml:space="preserve">FD-026480</t>
  </si>
  <si>
    <t xml:space="preserve">陈紫依</t>
  </si>
  <si>
    <t xml:space="preserve">FD-53830</t>
  </si>
  <si>
    <t xml:space="preserve">FD-091444</t>
  </si>
  <si>
    <t xml:space="preserve">谭灿锟</t>
  </si>
  <si>
    <t xml:space="preserve">FD-53860</t>
  </si>
  <si>
    <t xml:space="preserve">FD-155452</t>
  </si>
  <si>
    <t xml:space="preserve">王慧怡</t>
  </si>
  <si>
    <t xml:space="preserve">人资行政高级经理</t>
  </si>
  <si>
    <t xml:space="preserve">FD-53861</t>
  </si>
  <si>
    <t xml:space="preserve">FD-021148</t>
  </si>
  <si>
    <t xml:space="preserve">吴建斌</t>
  </si>
  <si>
    <t xml:space="preserve">直播中心-总部</t>
  </si>
  <si>
    <t xml:space="preserve">FD-53863</t>
  </si>
  <si>
    <t xml:space="preserve">FD-112745</t>
  </si>
  <si>
    <t xml:space="preserve">吴佳怡</t>
  </si>
  <si>
    <t xml:space="preserve">FD-53881</t>
  </si>
  <si>
    <t xml:space="preserve">FD-079493</t>
  </si>
  <si>
    <t xml:space="preserve">刘乃瑶</t>
  </si>
  <si>
    <t xml:space="preserve">FD-53896</t>
  </si>
  <si>
    <t xml:space="preserve">FD-024405</t>
  </si>
  <si>
    <t xml:space="preserve">何嘉慧</t>
  </si>
  <si>
    <t xml:space="preserve">FD-53939</t>
  </si>
  <si>
    <t xml:space="preserve">FD-094730</t>
  </si>
  <si>
    <t xml:space="preserve">魏振涛</t>
  </si>
  <si>
    <t xml:space="preserve">FD-54015</t>
  </si>
  <si>
    <t xml:space="preserve">FD-153639</t>
  </si>
  <si>
    <t xml:space="preserve">翁承梅</t>
  </si>
  <si>
    <t xml:space="preserve">FD-54083</t>
  </si>
  <si>
    <t xml:space="preserve">FD-079664</t>
  </si>
  <si>
    <t xml:space="preserve">高智慧</t>
  </si>
  <si>
    <t xml:space="preserve">KONO-KONO销售A中心-华东区</t>
  </si>
  <si>
    <t xml:space="preserve">FD-54088</t>
  </si>
  <si>
    <t xml:space="preserve">FD-167499</t>
  </si>
  <si>
    <t xml:space="preserve">何昌庆</t>
  </si>
  <si>
    <t xml:space="preserve">FD-54120</t>
  </si>
  <si>
    <t xml:space="preserve">FD-154248</t>
  </si>
  <si>
    <t xml:space="preserve">周伟健</t>
  </si>
  <si>
    <t xml:space="preserve">行政司机</t>
  </si>
  <si>
    <t xml:space="preserve">FD-54126</t>
  </si>
  <si>
    <t xml:space="preserve">FD-097041</t>
  </si>
  <si>
    <t xml:space="preserve">龚卉彤</t>
  </si>
  <si>
    <t xml:space="preserve">寻源经理</t>
  </si>
  <si>
    <t xml:space="preserve">寻源中心</t>
  </si>
  <si>
    <t xml:space="preserve">FD-54135</t>
  </si>
  <si>
    <t xml:space="preserve">FD-071553</t>
  </si>
  <si>
    <t xml:space="preserve">李慧琳</t>
  </si>
  <si>
    <t xml:space="preserve">KONO-KONO销售B中心</t>
  </si>
  <si>
    <t xml:space="preserve">FD-54153</t>
  </si>
  <si>
    <t xml:space="preserve">FD-040258</t>
  </si>
  <si>
    <t xml:space="preserve">易宁轩</t>
  </si>
  <si>
    <t xml:space="preserve">FD-54200</t>
  </si>
  <si>
    <t xml:space="preserve">FD-151475</t>
  </si>
  <si>
    <t xml:space="preserve">杨明月</t>
  </si>
  <si>
    <t xml:space="preserve">猎聘高级经理</t>
  </si>
  <si>
    <t xml:space="preserve">FD-54202</t>
  </si>
  <si>
    <t xml:space="preserve">FD-162537</t>
  </si>
  <si>
    <t xml:space="preserve">胡玮锨</t>
  </si>
  <si>
    <t xml:space="preserve">AI效率流程D中心</t>
  </si>
  <si>
    <t xml:space="preserve">FD-54215</t>
  </si>
  <si>
    <t xml:space="preserve">FD-084981</t>
  </si>
  <si>
    <t xml:space="preserve">邱小文</t>
  </si>
  <si>
    <t xml:space="preserve">FD-54220</t>
  </si>
  <si>
    <t xml:space="preserve">FD-077506</t>
  </si>
  <si>
    <t xml:space="preserve">朱丹萍</t>
  </si>
  <si>
    <t xml:space="preserve">寻源高级经理</t>
  </si>
  <si>
    <t xml:space="preserve">FD-54225</t>
  </si>
  <si>
    <t xml:space="preserve">FD-029613</t>
  </si>
  <si>
    <t xml:space="preserve">李逸青</t>
  </si>
  <si>
    <t xml:space="preserve">FD-54226</t>
  </si>
  <si>
    <t xml:space="preserve">FD-074879</t>
  </si>
  <si>
    <t xml:space="preserve">杨雨婷</t>
  </si>
  <si>
    <t xml:space="preserve">管培生</t>
  </si>
  <si>
    <t xml:space="preserve">FD-54241</t>
  </si>
  <si>
    <t xml:space="preserve">FD-174878</t>
  </si>
  <si>
    <t xml:space="preserve">徐婕</t>
  </si>
  <si>
    <t xml:space="preserve">FD-54259</t>
  </si>
  <si>
    <t xml:space="preserve">FD-079749</t>
  </si>
  <si>
    <t xml:space="preserve">李欣桐</t>
  </si>
  <si>
    <t xml:space="preserve">FD-54276</t>
  </si>
  <si>
    <t xml:space="preserve">FD-036124</t>
  </si>
  <si>
    <t xml:space="preserve">唐基翔</t>
  </si>
  <si>
    <t xml:space="preserve">创新C中心</t>
  </si>
  <si>
    <t xml:space="preserve">FD-54278</t>
  </si>
  <si>
    <t xml:space="preserve">FD-044712</t>
  </si>
  <si>
    <t xml:space="preserve">许立榕</t>
  </si>
  <si>
    <t xml:space="preserve">FD-54285</t>
  </si>
  <si>
    <t xml:space="preserve">FD-031042</t>
  </si>
  <si>
    <t xml:space="preserve">金永成</t>
  </si>
  <si>
    <t xml:space="preserve">FD-54305</t>
  </si>
  <si>
    <t xml:space="preserve">FD-151504</t>
  </si>
  <si>
    <t xml:space="preserve">刘洋</t>
  </si>
  <si>
    <t xml:space="preserve">人才发展高级经理</t>
  </si>
  <si>
    <t xml:space="preserve">FD-54347</t>
  </si>
  <si>
    <t xml:space="preserve">FD-072096</t>
  </si>
  <si>
    <t xml:space="preserve">许颖欣</t>
  </si>
  <si>
    <t xml:space="preserve">FD-54348</t>
  </si>
  <si>
    <t xml:space="preserve">FD-072802</t>
  </si>
  <si>
    <t xml:space="preserve">李驰骋</t>
  </si>
  <si>
    <t xml:space="preserve">大客户商务经理</t>
  </si>
  <si>
    <t xml:space="preserve">FD-54354</t>
  </si>
  <si>
    <t xml:space="preserve">FD-157065</t>
  </si>
  <si>
    <t xml:space="preserve">霍雨佳</t>
  </si>
  <si>
    <t xml:space="preserve">FD-54358</t>
  </si>
  <si>
    <t xml:space="preserve">FD-170925</t>
  </si>
  <si>
    <t xml:space="preserve">姚文雅</t>
  </si>
  <si>
    <t xml:space="preserve">FD-54363</t>
  </si>
  <si>
    <t xml:space="preserve">FD-054449</t>
  </si>
  <si>
    <t xml:space="preserve">李沂函</t>
  </si>
  <si>
    <t xml:space="preserve">FD-54368</t>
  </si>
  <si>
    <t xml:space="preserve">FD-078673</t>
  </si>
  <si>
    <t xml:space="preserve">刘家骏</t>
  </si>
  <si>
    <t xml:space="preserve">FD-54401</t>
  </si>
  <si>
    <t xml:space="preserve">FD-174877</t>
  </si>
  <si>
    <t xml:space="preserve">毛璇</t>
  </si>
  <si>
    <t xml:space="preserve">FD-54403</t>
  </si>
  <si>
    <t xml:space="preserve">FD-078748</t>
  </si>
  <si>
    <t xml:space="preserve">杨敏</t>
  </si>
  <si>
    <t xml:space="preserve">FD-54420</t>
  </si>
  <si>
    <t xml:space="preserve">FD-040498</t>
  </si>
  <si>
    <t xml:space="preserve">丁玥</t>
  </si>
  <si>
    <t xml:space="preserve">赫系营销C中心</t>
  </si>
  <si>
    <t xml:space="preserve">FD-54436</t>
  </si>
  <si>
    <t xml:space="preserve">FD-021068</t>
  </si>
  <si>
    <t xml:space="preserve">何雨庭</t>
  </si>
  <si>
    <t xml:space="preserve">视频中心</t>
  </si>
  <si>
    <t xml:space="preserve">FD-54462</t>
  </si>
  <si>
    <t xml:space="preserve">FD-093433</t>
  </si>
  <si>
    <t xml:space="preserve">杨尚儒</t>
  </si>
  <si>
    <t xml:space="preserve">开发高级经理</t>
  </si>
  <si>
    <t xml:space="preserve">FD-54495</t>
  </si>
  <si>
    <t xml:space="preserve">FD-073534</t>
  </si>
  <si>
    <t xml:space="preserve">李增玥</t>
  </si>
  <si>
    <t xml:space="preserve">渠道策划经理</t>
  </si>
  <si>
    <t xml:space="preserve">FD-54522</t>
  </si>
  <si>
    <t xml:space="preserve">FD-177153</t>
  </si>
  <si>
    <t xml:space="preserve">马猷安</t>
  </si>
  <si>
    <t xml:space="preserve">FD-54528</t>
  </si>
  <si>
    <t xml:space="preserve">FD-093257</t>
  </si>
  <si>
    <t xml:space="preserve">李鸿</t>
  </si>
  <si>
    <t xml:space="preserve">FD-54541</t>
  </si>
  <si>
    <t xml:space="preserve">FD-095156</t>
  </si>
  <si>
    <t xml:space="preserve">陈志钊</t>
  </si>
  <si>
    <t xml:space="preserve">FD-54542</t>
  </si>
  <si>
    <t xml:space="preserve">FD-123694</t>
  </si>
  <si>
    <t xml:space="preserve">陈颢予</t>
  </si>
  <si>
    <t xml:space="preserve">FD-54549</t>
  </si>
  <si>
    <t xml:space="preserve">FD-124271</t>
  </si>
  <si>
    <t xml:space="preserve">卢健儿</t>
  </si>
  <si>
    <t xml:space="preserve">FD-54551</t>
  </si>
  <si>
    <t xml:space="preserve">FD-092826</t>
  </si>
  <si>
    <t xml:space="preserve">江子文</t>
  </si>
  <si>
    <t xml:space="preserve">FD-54557</t>
  </si>
  <si>
    <t xml:space="preserve">FD-090830</t>
  </si>
  <si>
    <t xml:space="preserve">吕跃鑫</t>
  </si>
  <si>
    <t xml:space="preserve">FD-54609</t>
  </si>
  <si>
    <t xml:space="preserve">FD-095749</t>
  </si>
  <si>
    <t xml:space="preserve">叶友安</t>
  </si>
  <si>
    <t xml:space="preserve">FD-54625</t>
  </si>
  <si>
    <t xml:space="preserve">FD-221306</t>
  </si>
  <si>
    <t xml:space="preserve">胡进</t>
  </si>
  <si>
    <t xml:space="preserve">AI效率流程C中心</t>
  </si>
  <si>
    <t xml:space="preserve">FD-54629</t>
  </si>
  <si>
    <t xml:space="preserve">FD-092929</t>
  </si>
  <si>
    <t xml:space="preserve">肖承祥</t>
  </si>
  <si>
    <t xml:space="preserve">FD-54640</t>
  </si>
  <si>
    <t xml:space="preserve">FD-013711</t>
  </si>
  <si>
    <t xml:space="preserve">覃镜晓</t>
  </si>
  <si>
    <t xml:space="preserve">FD-54678</t>
  </si>
  <si>
    <t xml:space="preserve">FD-049779</t>
  </si>
  <si>
    <t xml:space="preserve">高雅</t>
  </si>
  <si>
    <t xml:space="preserve">FD-54716</t>
  </si>
  <si>
    <t xml:space="preserve">FD-102722</t>
  </si>
  <si>
    <t xml:space="preserve">牛梦婷</t>
  </si>
  <si>
    <t xml:space="preserve">产品设计师</t>
  </si>
  <si>
    <t xml:space="preserve">FD-54718</t>
  </si>
  <si>
    <t xml:space="preserve">FD-150605</t>
  </si>
  <si>
    <t xml:space="preserve">时敏</t>
  </si>
  <si>
    <t xml:space="preserve">FD-54720</t>
  </si>
  <si>
    <t xml:space="preserve">FD-158754</t>
  </si>
  <si>
    <t xml:space="preserve">崔思然</t>
  </si>
  <si>
    <t xml:space="preserve">直播招聘高级经理</t>
  </si>
  <si>
    <t xml:space="preserve">直播招聘中心</t>
  </si>
  <si>
    <t xml:space="preserve">FD-54724</t>
  </si>
  <si>
    <t xml:space="preserve">FD-094205</t>
  </si>
  <si>
    <t xml:space="preserve">杨文霞</t>
  </si>
  <si>
    <t xml:space="preserve">FD-54731</t>
  </si>
  <si>
    <t xml:space="preserve">FD-070181</t>
  </si>
  <si>
    <t xml:space="preserve">梁倩雯</t>
  </si>
  <si>
    <t xml:space="preserve">FD-54735</t>
  </si>
  <si>
    <t xml:space="preserve">FD-049259</t>
  </si>
  <si>
    <t xml:space="preserve">梁佳明</t>
  </si>
  <si>
    <t xml:space="preserve">赫系营销B中心</t>
  </si>
  <si>
    <t xml:space="preserve">FD-54818</t>
  </si>
  <si>
    <t xml:space="preserve">FD-058430</t>
  </si>
  <si>
    <t xml:space="preserve">王琪</t>
  </si>
  <si>
    <t xml:space="preserve">FD-54834</t>
  </si>
  <si>
    <t xml:space="preserve">FD-065188</t>
  </si>
  <si>
    <t xml:space="preserve">任玉沿</t>
  </si>
  <si>
    <t xml:space="preserve">FD-54835</t>
  </si>
  <si>
    <t xml:space="preserve">FD-027340</t>
  </si>
  <si>
    <t xml:space="preserve">刘慧迅</t>
  </si>
  <si>
    <t xml:space="preserve">直播高级经理</t>
  </si>
  <si>
    <t xml:space="preserve">FD-54845</t>
  </si>
  <si>
    <t xml:space="preserve">FD-079870</t>
  </si>
  <si>
    <t xml:space="preserve">安琪</t>
  </si>
  <si>
    <t xml:space="preserve">FD-54846</t>
  </si>
  <si>
    <t xml:space="preserve">FD-058005</t>
  </si>
  <si>
    <t xml:space="preserve">史儒忻</t>
  </si>
  <si>
    <t xml:space="preserve">FD-54881</t>
  </si>
  <si>
    <t xml:space="preserve">FD-010578</t>
  </si>
  <si>
    <t xml:space="preserve">杨钰婷</t>
  </si>
  <si>
    <t xml:space="preserve">FD-54885</t>
  </si>
  <si>
    <t xml:space="preserve">FD-046717</t>
  </si>
  <si>
    <t xml:space="preserve">谢栩梆</t>
  </si>
  <si>
    <t xml:space="preserve">直播技术运维</t>
  </si>
  <si>
    <t xml:space="preserve">FD-54896</t>
  </si>
  <si>
    <t xml:space="preserve">FD-097678</t>
  </si>
  <si>
    <t xml:space="preserve">钟恩宝</t>
  </si>
  <si>
    <t xml:space="preserve">FD-54901</t>
  </si>
  <si>
    <t xml:space="preserve">FD-050291</t>
  </si>
  <si>
    <t xml:space="preserve">王天诺</t>
  </si>
  <si>
    <t xml:space="preserve">FD-54911</t>
  </si>
  <si>
    <t xml:space="preserve">FD-027097</t>
  </si>
  <si>
    <t xml:space="preserve">倪梦萍</t>
  </si>
  <si>
    <t xml:space="preserve">主播教练</t>
  </si>
  <si>
    <t xml:space="preserve">FD-54913</t>
  </si>
  <si>
    <t xml:space="preserve">FD-057772</t>
  </si>
  <si>
    <t xml:space="preserve">夏艺洋</t>
  </si>
  <si>
    <t xml:space="preserve">FD-54917</t>
  </si>
  <si>
    <t xml:space="preserve">FD-228363</t>
  </si>
  <si>
    <t xml:space="preserve">许国杨</t>
  </si>
  <si>
    <t xml:space="preserve">FD-54918</t>
  </si>
  <si>
    <t xml:space="preserve">FD-057588</t>
  </si>
  <si>
    <t xml:space="preserve">黄美琪</t>
  </si>
  <si>
    <t xml:space="preserve">FD-54922</t>
  </si>
  <si>
    <t xml:space="preserve">FD-037258</t>
  </si>
  <si>
    <t xml:space="preserve">黄芳</t>
  </si>
  <si>
    <t xml:space="preserve">FD-54935</t>
  </si>
  <si>
    <t xml:space="preserve">FD-050818</t>
  </si>
  <si>
    <t xml:space="preserve">李达恩</t>
  </si>
  <si>
    <t xml:space="preserve">FD-54954</t>
  </si>
  <si>
    <t xml:space="preserve">FD-179042</t>
  </si>
  <si>
    <t xml:space="preserve">金玉琳</t>
  </si>
  <si>
    <t xml:space="preserve">FD-54959</t>
  </si>
  <si>
    <t xml:space="preserve">FD-057849</t>
  </si>
  <si>
    <t xml:space="preserve">阮梦冉</t>
  </si>
  <si>
    <t xml:space="preserve">FD-54976</t>
  </si>
  <si>
    <t xml:space="preserve">FD-022069</t>
  </si>
  <si>
    <t xml:space="preserve">曾柔</t>
  </si>
  <si>
    <t xml:space="preserve">品牌营销中心</t>
  </si>
  <si>
    <t xml:space="preserve">FD-54977</t>
  </si>
  <si>
    <t xml:space="preserve">FD-203141</t>
  </si>
  <si>
    <t xml:space="preserve">高贝妍</t>
  </si>
  <si>
    <t xml:space="preserve">FD-55003</t>
  </si>
  <si>
    <t xml:space="preserve">FD-047918</t>
  </si>
  <si>
    <t xml:space="preserve">顾心怡</t>
  </si>
  <si>
    <t xml:space="preserve">FD-55051</t>
  </si>
  <si>
    <t xml:space="preserve">FD-178676</t>
  </si>
  <si>
    <t xml:space="preserve">李尉萍</t>
  </si>
  <si>
    <t xml:space="preserve">FD-55059</t>
  </si>
  <si>
    <t xml:space="preserve">FD-057312</t>
  </si>
  <si>
    <t xml:space="preserve">张子晗</t>
  </si>
  <si>
    <t xml:space="preserve">FD-55076</t>
  </si>
  <si>
    <t xml:space="preserve">FD-175040</t>
  </si>
  <si>
    <t xml:space="preserve">张立军</t>
  </si>
  <si>
    <t xml:space="preserve">FD-55112</t>
  </si>
  <si>
    <t xml:space="preserve">FD-068681</t>
  </si>
  <si>
    <t xml:space="preserve">孟昉瑞</t>
  </si>
  <si>
    <t xml:space="preserve">FD-55113</t>
  </si>
  <si>
    <t xml:space="preserve">FD-093555</t>
  </si>
  <si>
    <t xml:space="preserve">宋金南</t>
  </si>
  <si>
    <t xml:space="preserve">FD-55120</t>
  </si>
  <si>
    <t xml:space="preserve">FD-031517</t>
  </si>
  <si>
    <t xml:space="preserve">方梓妍</t>
  </si>
  <si>
    <t xml:space="preserve">FD-55126</t>
  </si>
  <si>
    <t xml:space="preserve">FD-021849</t>
  </si>
  <si>
    <t xml:space="preserve">王延格</t>
  </si>
  <si>
    <t xml:space="preserve">FD-55150</t>
  </si>
  <si>
    <t xml:space="preserve">FD-159074</t>
  </si>
  <si>
    <t xml:space="preserve">白雅姿</t>
  </si>
  <si>
    <t xml:space="preserve">FD-55164</t>
  </si>
  <si>
    <t xml:space="preserve">FD-066576</t>
  </si>
  <si>
    <t xml:space="preserve">张正豪</t>
  </si>
  <si>
    <t xml:space="preserve">FD-55174</t>
  </si>
  <si>
    <t xml:space="preserve">FD-019312</t>
  </si>
  <si>
    <t xml:space="preserve">张彤</t>
  </si>
  <si>
    <t xml:space="preserve">FD-55197</t>
  </si>
  <si>
    <t xml:space="preserve">FD-028168</t>
  </si>
  <si>
    <t xml:space="preserve">肖宁</t>
  </si>
  <si>
    <t xml:space="preserve">FD-55199</t>
  </si>
  <si>
    <t xml:space="preserve">FD-203809</t>
  </si>
  <si>
    <t xml:space="preserve">王无双</t>
  </si>
  <si>
    <t xml:space="preserve">FD-55202</t>
  </si>
  <si>
    <t xml:space="preserve">FD-050136</t>
  </si>
  <si>
    <t xml:space="preserve">吕沿融</t>
  </si>
  <si>
    <t xml:space="preserve">FD-55218</t>
  </si>
  <si>
    <t xml:space="preserve">FD-039267</t>
  </si>
  <si>
    <t xml:space="preserve">陈昌桧</t>
  </si>
  <si>
    <t xml:space="preserve">FD-55220</t>
  </si>
  <si>
    <t xml:space="preserve">FD-171299</t>
  </si>
  <si>
    <t xml:space="preserve">李卓朋</t>
  </si>
  <si>
    <t xml:space="preserve">FD-55223</t>
  </si>
  <si>
    <t xml:space="preserve">FD-176775</t>
  </si>
  <si>
    <t xml:space="preserve">冯颖</t>
  </si>
  <si>
    <t xml:space="preserve">FD-55241</t>
  </si>
  <si>
    <t xml:space="preserve">FD-061629</t>
  </si>
  <si>
    <t xml:space="preserve">张婷婷</t>
  </si>
  <si>
    <t xml:space="preserve">FD-55244</t>
  </si>
  <si>
    <t xml:space="preserve">FD-224753</t>
  </si>
  <si>
    <t xml:space="preserve">林翰</t>
  </si>
  <si>
    <t xml:space="preserve">FD-55250</t>
  </si>
  <si>
    <t xml:space="preserve">FD-233625</t>
  </si>
  <si>
    <t xml:space="preserve">余宇潇</t>
  </si>
  <si>
    <t xml:space="preserve">研究员</t>
  </si>
  <si>
    <t xml:space="preserve">FD-55333</t>
  </si>
  <si>
    <t xml:space="preserve">FD-012998</t>
  </si>
  <si>
    <t xml:space="preserve">杜益</t>
  </si>
  <si>
    <t xml:space="preserve">内控审计经理</t>
  </si>
  <si>
    <t xml:space="preserve">FD-55334</t>
  </si>
  <si>
    <t xml:space="preserve">FD-214672</t>
  </si>
  <si>
    <t xml:space="preserve">易姑姑</t>
  </si>
  <si>
    <t xml:space="preserve">跨境营销经理</t>
  </si>
  <si>
    <t xml:space="preserve">FD-55359</t>
  </si>
  <si>
    <t xml:space="preserve">FD-038256</t>
  </si>
  <si>
    <t xml:space="preserve">黄楚铃</t>
  </si>
  <si>
    <t xml:space="preserve">营销策划</t>
  </si>
  <si>
    <t xml:space="preserve">FD-55401</t>
  </si>
  <si>
    <t xml:space="preserve">FD-238869</t>
  </si>
  <si>
    <t xml:space="preserve">王冬悦</t>
  </si>
  <si>
    <t xml:space="preserve">FD-55435</t>
  </si>
  <si>
    <t xml:space="preserve">FD-054711</t>
  </si>
  <si>
    <t xml:space="preserve">苏静微</t>
  </si>
  <si>
    <t xml:space="preserve">FD-55437</t>
  </si>
  <si>
    <t xml:space="preserve">FD-238128</t>
  </si>
  <si>
    <t xml:space="preserve">张立青</t>
  </si>
  <si>
    <t xml:space="preserve">FD-55441</t>
  </si>
  <si>
    <t xml:space="preserve">FD-050397</t>
  </si>
  <si>
    <t xml:space="preserve">肖茹梦</t>
  </si>
  <si>
    <t xml:space="preserve">FD-55459</t>
  </si>
  <si>
    <t xml:space="preserve">FD-196343</t>
  </si>
  <si>
    <t xml:space="preserve">蔡宇蓝</t>
  </si>
  <si>
    <t xml:space="preserve">FD-55471</t>
  </si>
  <si>
    <t xml:space="preserve">FD-237186</t>
  </si>
  <si>
    <t xml:space="preserve">张雯</t>
  </si>
  <si>
    <t xml:space="preserve">FD-55479</t>
  </si>
  <si>
    <t xml:space="preserve">FD-070780</t>
  </si>
  <si>
    <t xml:space="preserve">黄策</t>
  </si>
  <si>
    <t xml:space="preserve">FD-55483</t>
  </si>
  <si>
    <t xml:space="preserve">FD-237671</t>
  </si>
  <si>
    <t xml:space="preserve">王月</t>
  </si>
  <si>
    <t xml:space="preserve">FD-55485</t>
  </si>
  <si>
    <t xml:space="preserve">FD-232788</t>
  </si>
  <si>
    <t xml:space="preserve">马晴儿</t>
  </si>
  <si>
    <t xml:space="preserve">合规工程师</t>
  </si>
  <si>
    <t xml:space="preserve">FD-55539</t>
  </si>
  <si>
    <t xml:space="preserve">FD-028493</t>
  </si>
  <si>
    <t xml:space="preserve">李爽</t>
  </si>
  <si>
    <t xml:space="preserve">FD-55530</t>
  </si>
  <si>
    <t xml:space="preserve">FD-151649</t>
  </si>
  <si>
    <t xml:space="preserve">钱含韵</t>
  </si>
  <si>
    <t xml:space="preserve">FD-55562</t>
  </si>
  <si>
    <t xml:space="preserve">FD-091904</t>
  </si>
  <si>
    <t xml:space="preserve">陈林文</t>
  </si>
  <si>
    <t xml:space="preserve">计划高级经理</t>
  </si>
  <si>
    <t xml:space="preserve">FD-55568</t>
  </si>
  <si>
    <t xml:space="preserve">FD-035770</t>
  </si>
  <si>
    <t xml:space="preserve">高智琪</t>
  </si>
  <si>
    <t xml:space="preserve">FD-55575</t>
  </si>
  <si>
    <t xml:space="preserve">FD-064727</t>
  </si>
  <si>
    <t xml:space="preserve">肖钦月</t>
  </si>
  <si>
    <t xml:space="preserve">FD-55581</t>
  </si>
  <si>
    <t xml:space="preserve">FD-065825</t>
  </si>
  <si>
    <t xml:space="preserve">肖杰怡</t>
  </si>
  <si>
    <t xml:space="preserve">FD-55591</t>
  </si>
  <si>
    <t xml:space="preserve">FD-028735</t>
  </si>
  <si>
    <t xml:space="preserve">尹珩瑞</t>
  </si>
  <si>
    <t xml:space="preserve">FD-55636</t>
  </si>
  <si>
    <t xml:space="preserve">FD-048014</t>
  </si>
  <si>
    <t xml:space="preserve">陈志歌</t>
  </si>
  <si>
    <t xml:space="preserve">FD-55655</t>
  </si>
  <si>
    <t xml:space="preserve">FD-176214</t>
  </si>
  <si>
    <t xml:space="preserve">王颖桢</t>
  </si>
  <si>
    <t xml:space="preserve">FD-55657</t>
  </si>
  <si>
    <t xml:space="preserve">FD-237574</t>
  </si>
  <si>
    <t xml:space="preserve">魏可凡</t>
  </si>
  <si>
    <t xml:space="preserve">FD-55660</t>
  </si>
  <si>
    <t xml:space="preserve">FD-091127</t>
  </si>
  <si>
    <t xml:space="preserve">张昊</t>
  </si>
  <si>
    <t xml:space="preserve">FD-55661</t>
  </si>
  <si>
    <t xml:space="preserve">FD-156537</t>
  </si>
  <si>
    <t xml:space="preserve">黄宝欣</t>
  </si>
  <si>
    <t xml:space="preserve">行政经理</t>
  </si>
  <si>
    <t xml:space="preserve">FD-55664</t>
  </si>
  <si>
    <t xml:space="preserve">FD-175999</t>
  </si>
  <si>
    <t xml:space="preserve">杨懿萱</t>
  </si>
  <si>
    <t xml:space="preserve">FD-55665</t>
  </si>
  <si>
    <t xml:space="preserve">FD-098685</t>
  </si>
  <si>
    <t xml:space="preserve">王誉炫</t>
  </si>
  <si>
    <t xml:space="preserve">供应链高级经理</t>
  </si>
  <si>
    <t xml:space="preserve">FD-55666</t>
  </si>
  <si>
    <t xml:space="preserve">FD-174634</t>
  </si>
  <si>
    <t xml:space="preserve">曾飞燕</t>
  </si>
  <si>
    <t xml:space="preserve">FD-55669</t>
  </si>
  <si>
    <t xml:space="preserve">FD-218877</t>
  </si>
  <si>
    <t xml:space="preserve">张馨雨</t>
  </si>
  <si>
    <t xml:space="preserve">跨境电商经理</t>
  </si>
  <si>
    <t xml:space="preserve">运营中心</t>
  </si>
  <si>
    <t xml:space="preserve">FD-55671</t>
  </si>
  <si>
    <t xml:space="preserve">FD-222581</t>
  </si>
  <si>
    <t xml:space="preserve">张俊辉</t>
  </si>
  <si>
    <t xml:space="preserve">FD-55672</t>
  </si>
  <si>
    <t xml:space="preserve">FD-221756</t>
  </si>
  <si>
    <t xml:space="preserve">周磊</t>
  </si>
  <si>
    <t xml:space="preserve">FD-55674</t>
  </si>
  <si>
    <t xml:space="preserve">FD-178755</t>
  </si>
  <si>
    <t xml:space="preserve">钱徐晨</t>
  </si>
  <si>
    <t xml:space="preserve">FD-55680</t>
  </si>
  <si>
    <t xml:space="preserve">FD-062565</t>
  </si>
  <si>
    <t xml:space="preserve">李星月</t>
  </si>
  <si>
    <t xml:space="preserve">FD-55682</t>
  </si>
  <si>
    <t xml:space="preserve">FD-172260</t>
  </si>
  <si>
    <t xml:space="preserve">刘静依</t>
  </si>
  <si>
    <t xml:space="preserve">FD-55683</t>
  </si>
  <si>
    <t xml:space="preserve">FD-067173</t>
  </si>
  <si>
    <t xml:space="preserve">张颖</t>
  </si>
  <si>
    <t xml:space="preserve">FD-55689</t>
  </si>
  <si>
    <t xml:space="preserve">FD-153873</t>
  </si>
  <si>
    <t xml:space="preserve">王梓毓</t>
  </si>
  <si>
    <t xml:space="preserve">FD-55692</t>
  </si>
  <si>
    <t xml:space="preserve">FD-027772</t>
  </si>
  <si>
    <t xml:space="preserve">罗雪原</t>
  </si>
  <si>
    <t xml:space="preserve">FD-55695</t>
  </si>
  <si>
    <t xml:space="preserve">FD-172589</t>
  </si>
  <si>
    <t xml:space="preserve">宋霄宇</t>
  </si>
  <si>
    <t xml:space="preserve">FD-55699</t>
  </si>
  <si>
    <t xml:space="preserve">FD-043442</t>
  </si>
  <si>
    <t xml:space="preserve">谭航</t>
  </si>
  <si>
    <t xml:space="preserve">FD-55701</t>
  </si>
  <si>
    <t xml:space="preserve">FD-022962</t>
  </si>
  <si>
    <t xml:space="preserve">覃琪惠</t>
  </si>
  <si>
    <t xml:space="preserve">FD-55702</t>
  </si>
  <si>
    <t xml:space="preserve">FD-153846</t>
  </si>
  <si>
    <t xml:space="preserve">吴漫莼</t>
  </si>
  <si>
    <t xml:space="preserve">FD-55736</t>
  </si>
  <si>
    <t xml:space="preserve">FD-151167</t>
  </si>
  <si>
    <t xml:space="preserve">李宁</t>
  </si>
  <si>
    <t xml:space="preserve">FD-55739</t>
  </si>
  <si>
    <t xml:space="preserve">FD-026565</t>
  </si>
  <si>
    <t xml:space="preserve">张锦玲</t>
  </si>
  <si>
    <t xml:space="preserve">FD-55740</t>
  </si>
  <si>
    <t xml:space="preserve">FD-064267</t>
  </si>
  <si>
    <t xml:space="preserve">安雨彤</t>
  </si>
  <si>
    <t xml:space="preserve">FD-55750</t>
  </si>
  <si>
    <t xml:space="preserve">FD-229844</t>
  </si>
  <si>
    <t xml:space="preserve">许阳</t>
  </si>
  <si>
    <t xml:space="preserve">FD-55764</t>
  </si>
  <si>
    <t xml:space="preserve">FD-042824</t>
  </si>
  <si>
    <t xml:space="preserve">黄蕊</t>
  </si>
  <si>
    <t xml:space="preserve">FD-55767</t>
  </si>
  <si>
    <t xml:space="preserve">FD-067989</t>
  </si>
  <si>
    <t xml:space="preserve">张雅萱</t>
  </si>
  <si>
    <t xml:space="preserve">FD-55795</t>
  </si>
  <si>
    <t xml:space="preserve">FD-231037</t>
  </si>
  <si>
    <t xml:space="preserve">张杨</t>
  </si>
  <si>
    <t xml:space="preserve">FD-55797</t>
  </si>
  <si>
    <t xml:space="preserve">FD-036460</t>
  </si>
  <si>
    <t xml:space="preserve">葛露宾</t>
  </si>
  <si>
    <t xml:space="preserve">FD-55804</t>
  </si>
  <si>
    <t xml:space="preserve">FD-051301</t>
  </si>
  <si>
    <t xml:space="preserve">严司霖</t>
  </si>
  <si>
    <t xml:space="preserve">电商拓展中心</t>
  </si>
  <si>
    <t xml:space="preserve">FD-55806</t>
  </si>
  <si>
    <t xml:space="preserve">FD-046871</t>
  </si>
  <si>
    <t xml:space="preserve">张馨文</t>
  </si>
  <si>
    <t xml:space="preserve">FD-55809</t>
  </si>
  <si>
    <t xml:space="preserve">FD-155628</t>
  </si>
  <si>
    <t xml:space="preserve">杨宁</t>
  </si>
  <si>
    <t xml:space="preserve">FD-55810</t>
  </si>
  <si>
    <t xml:space="preserve">FD-083986</t>
  </si>
  <si>
    <t xml:space="preserve">罗亦晨</t>
  </si>
  <si>
    <t xml:space="preserve">FD-55815</t>
  </si>
  <si>
    <t xml:space="preserve">FD-054205</t>
  </si>
  <si>
    <t xml:space="preserve">林锦斌</t>
  </si>
  <si>
    <t xml:space="preserve">FD-55858</t>
  </si>
  <si>
    <t xml:space="preserve">FD-023807</t>
  </si>
  <si>
    <t xml:space="preserve">梁瑜涵</t>
  </si>
  <si>
    <t xml:space="preserve">FD-55860</t>
  </si>
  <si>
    <t xml:space="preserve">FD-236367</t>
  </si>
  <si>
    <t xml:space="preserve">李温情</t>
  </si>
  <si>
    <t xml:space="preserve">科学传播经理</t>
  </si>
  <si>
    <t xml:space="preserve">FD-55865</t>
  </si>
  <si>
    <t xml:space="preserve">FD-235981</t>
  </si>
  <si>
    <t xml:space="preserve">蒋孟坪</t>
  </si>
  <si>
    <t xml:space="preserve">FD-55870</t>
  </si>
  <si>
    <t xml:space="preserve">FD-021297</t>
  </si>
  <si>
    <t xml:space="preserve">罗绢妮</t>
  </si>
  <si>
    <t xml:space="preserve">FD-55875</t>
  </si>
  <si>
    <t xml:space="preserve">FD-035190</t>
  </si>
  <si>
    <t xml:space="preserve">甄俊彤</t>
  </si>
  <si>
    <t xml:space="preserve">FD-55885</t>
  </si>
  <si>
    <t xml:space="preserve">FD-239901</t>
  </si>
  <si>
    <t xml:space="preserve">林晔希</t>
  </si>
  <si>
    <t xml:space="preserve">FD-55889</t>
  </si>
  <si>
    <t xml:space="preserve">FD-070915</t>
  </si>
  <si>
    <t xml:space="preserve">吴雪玲</t>
  </si>
  <si>
    <t xml:space="preserve">FD-55895</t>
  </si>
  <si>
    <t xml:space="preserve">FD-156617</t>
  </si>
  <si>
    <t xml:space="preserve">袁欣悦</t>
  </si>
  <si>
    <t xml:space="preserve">FD-55898</t>
  </si>
  <si>
    <t xml:space="preserve">FD-026046</t>
  </si>
  <si>
    <t xml:space="preserve">罗恺睿</t>
  </si>
  <si>
    <t xml:space="preserve">FD-55937</t>
  </si>
  <si>
    <t xml:space="preserve">FD-043134</t>
  </si>
  <si>
    <t xml:space="preserve">黄羽丹</t>
  </si>
  <si>
    <t xml:space="preserve">FD-55964</t>
  </si>
  <si>
    <t xml:space="preserve">FD-094540</t>
  </si>
  <si>
    <t xml:space="preserve">吴雨杉</t>
  </si>
  <si>
    <t xml:space="preserve">FD-55984</t>
  </si>
  <si>
    <t xml:space="preserve">FD-022943</t>
  </si>
  <si>
    <t xml:space="preserve">孙妍</t>
  </si>
  <si>
    <t xml:space="preserve">FD-56018</t>
  </si>
  <si>
    <t xml:space="preserve">FD-040324</t>
  </si>
  <si>
    <t xml:space="preserve">魏海燕</t>
  </si>
  <si>
    <t xml:space="preserve">FD-56021</t>
  </si>
  <si>
    <t xml:space="preserve">FD-224758</t>
  </si>
  <si>
    <t xml:space="preserve">刘昕怡</t>
  </si>
  <si>
    <t xml:space="preserve">FD-56060</t>
  </si>
  <si>
    <t xml:space="preserve">FD-079823</t>
  </si>
  <si>
    <t xml:space="preserve">蒋佳媛</t>
  </si>
  <si>
    <t xml:space="preserve">FD-56070</t>
  </si>
  <si>
    <t xml:space="preserve">FD-047303</t>
  </si>
  <si>
    <t xml:space="preserve">郑薇</t>
  </si>
  <si>
    <t xml:space="preserve">FD-56076</t>
  </si>
  <si>
    <t xml:space="preserve">FD-074794</t>
  </si>
  <si>
    <t xml:space="preserve">罗莉</t>
  </si>
  <si>
    <t xml:space="preserve">FD-56087</t>
  </si>
  <si>
    <t xml:space="preserve">FD-026842</t>
  </si>
  <si>
    <t xml:space="preserve">刘诗雨</t>
  </si>
  <si>
    <t xml:space="preserve">FD-56128</t>
  </si>
  <si>
    <t xml:space="preserve">FD-076406</t>
  </si>
  <si>
    <t xml:space="preserve">严亚东</t>
  </si>
  <si>
    <t xml:space="preserve">FD-56157</t>
  </si>
  <si>
    <t xml:space="preserve">FD-051657</t>
  </si>
  <si>
    <t xml:space="preserve">冯馨怡</t>
  </si>
  <si>
    <t xml:space="preserve">FD-56158</t>
  </si>
  <si>
    <t xml:space="preserve">FD-052229</t>
  </si>
  <si>
    <t xml:space="preserve">韦慕琪</t>
  </si>
  <si>
    <t xml:space="preserve">FD-56159</t>
  </si>
  <si>
    <t xml:space="preserve">FD-176838</t>
  </si>
  <si>
    <t xml:space="preserve">何鑫</t>
  </si>
  <si>
    <t xml:space="preserve">FD-56162</t>
  </si>
  <si>
    <t xml:space="preserve">FD-055641</t>
  </si>
  <si>
    <t xml:space="preserve">戴琼瑶</t>
  </si>
  <si>
    <t xml:space="preserve">FD-56167</t>
  </si>
  <si>
    <t xml:space="preserve">FD-171271</t>
  </si>
  <si>
    <t xml:space="preserve">皮惠玲</t>
  </si>
  <si>
    <t xml:space="preserve">FD-56176</t>
  </si>
  <si>
    <t xml:space="preserve">FD-058439</t>
  </si>
  <si>
    <t xml:space="preserve">赵麒翔</t>
  </si>
  <si>
    <t xml:space="preserve">FD-56183</t>
  </si>
  <si>
    <t xml:space="preserve">FD-083091</t>
  </si>
  <si>
    <t xml:space="preserve">姚雪</t>
  </si>
  <si>
    <t xml:space="preserve">FD-56202</t>
  </si>
  <si>
    <t xml:space="preserve">FD-054520</t>
  </si>
  <si>
    <t xml:space="preserve">李暄</t>
  </si>
  <si>
    <t xml:space="preserve">FD-56214</t>
  </si>
  <si>
    <t xml:space="preserve">FD-080197</t>
  </si>
  <si>
    <t xml:space="preserve">邓力欣</t>
  </si>
  <si>
    <t xml:space="preserve">FD-56244</t>
  </si>
  <si>
    <t xml:space="preserve">FD-051163</t>
  </si>
  <si>
    <t xml:space="preserve">林文婷</t>
  </si>
  <si>
    <t xml:space="preserve">FD-56265</t>
  </si>
  <si>
    <t xml:space="preserve">FD-044596</t>
  </si>
  <si>
    <t xml:space="preserve">余筝</t>
  </si>
  <si>
    <t xml:space="preserve">FD-56284</t>
  </si>
  <si>
    <t xml:space="preserve">FD-016899</t>
  </si>
  <si>
    <t xml:space="preserve">周健恒</t>
  </si>
  <si>
    <t xml:space="preserve">wteam COO</t>
  </si>
  <si>
    <t xml:space="preserve">FD-56301</t>
  </si>
  <si>
    <t xml:space="preserve">FD-151857</t>
  </si>
  <si>
    <t xml:space="preserve">李向强</t>
  </si>
  <si>
    <t xml:space="preserve">法务</t>
  </si>
  <si>
    <t xml:space="preserve">FD-56321</t>
  </si>
  <si>
    <t xml:space="preserve">FD-059637</t>
  </si>
  <si>
    <t xml:space="preserve">吴丽慧</t>
  </si>
  <si>
    <t xml:space="preserve">FD-56329</t>
  </si>
  <si>
    <t xml:space="preserve">FD-095258</t>
  </si>
  <si>
    <t xml:space="preserve">徐高岚</t>
  </si>
  <si>
    <t xml:space="preserve">FD-56335</t>
  </si>
  <si>
    <t xml:space="preserve">FD-074038</t>
  </si>
  <si>
    <t xml:space="preserve">黄慧琳</t>
  </si>
  <si>
    <t xml:space="preserve">FD-56341</t>
  </si>
  <si>
    <t xml:space="preserve">FD-076879</t>
  </si>
  <si>
    <t xml:space="preserve">王雪桐</t>
  </si>
  <si>
    <t xml:space="preserve">物流经理</t>
  </si>
  <si>
    <t xml:space="preserve">FD-56345</t>
  </si>
  <si>
    <t xml:space="preserve">FD-081018</t>
  </si>
  <si>
    <t xml:space="preserve">廖佳睿</t>
  </si>
  <si>
    <t xml:space="preserve">FD-56357</t>
  </si>
  <si>
    <t xml:space="preserve">FD-158202</t>
  </si>
  <si>
    <t xml:space="preserve">FD-56393</t>
  </si>
  <si>
    <t xml:space="preserve">FD-038042</t>
  </si>
  <si>
    <t xml:space="preserve">林淑仪</t>
  </si>
  <si>
    <t xml:space="preserve">FD-56458</t>
  </si>
  <si>
    <t xml:space="preserve">FD-030834</t>
  </si>
  <si>
    <t xml:space="preserve">郑岚珊</t>
  </si>
  <si>
    <t xml:space="preserve">FD-56459</t>
  </si>
  <si>
    <t xml:space="preserve">FD-030826</t>
  </si>
  <si>
    <t xml:space="preserve">马佳彦</t>
  </si>
  <si>
    <t xml:space="preserve">FD-56462</t>
  </si>
  <si>
    <t xml:space="preserve">FD-155607</t>
  </si>
  <si>
    <t xml:space="preserve">李海菲</t>
  </si>
  <si>
    <t xml:space="preserve">人资行政专员</t>
  </si>
  <si>
    <t xml:space="preserve">FD-56484</t>
  </si>
  <si>
    <t xml:space="preserve">FD-016327</t>
  </si>
  <si>
    <t xml:space="preserve">朱嘉仪</t>
  </si>
  <si>
    <t xml:space="preserve">FD-56511</t>
  </si>
  <si>
    <t xml:space="preserve">FD-159064</t>
  </si>
  <si>
    <t xml:space="preserve">冯俊杰</t>
  </si>
  <si>
    <t xml:space="preserve">FD-56525</t>
  </si>
  <si>
    <t xml:space="preserve">FD-059697</t>
  </si>
  <si>
    <t xml:space="preserve">黎雨婷</t>
  </si>
  <si>
    <t xml:space="preserve">FD-56526</t>
  </si>
  <si>
    <t xml:space="preserve">FD-157175</t>
  </si>
  <si>
    <t xml:space="preserve">陈学锦</t>
  </si>
  <si>
    <t xml:space="preserve">FD-56544</t>
  </si>
  <si>
    <t xml:space="preserve">FD-023150</t>
  </si>
  <si>
    <t xml:space="preserve">叶铭康</t>
  </si>
  <si>
    <t xml:space="preserve">FD-56571</t>
  </si>
  <si>
    <t xml:space="preserve">FD-156267</t>
  </si>
  <si>
    <t xml:space="preserve">谢焕琳</t>
  </si>
  <si>
    <t xml:space="preserve">FD-56586</t>
  </si>
  <si>
    <t xml:space="preserve">FD-047330</t>
  </si>
  <si>
    <t xml:space="preserve">雷丽娟</t>
  </si>
  <si>
    <t xml:space="preserve">FD-56591</t>
  </si>
  <si>
    <t xml:space="preserve">FD-151227</t>
  </si>
  <si>
    <t xml:space="preserve">梁晨</t>
  </si>
  <si>
    <t xml:space="preserve">直播BP</t>
  </si>
  <si>
    <t xml:space="preserve">FD-56605</t>
  </si>
  <si>
    <t xml:space="preserve">FD-227696</t>
  </si>
  <si>
    <t xml:space="preserve">张怡</t>
  </si>
  <si>
    <t xml:space="preserve">AI产品经理</t>
  </si>
  <si>
    <t xml:space="preserve">FD-56608</t>
  </si>
  <si>
    <t xml:space="preserve">FD-017532</t>
  </si>
  <si>
    <t xml:space="preserve">马菲阳</t>
  </si>
  <si>
    <t xml:space="preserve">FD-56619</t>
  </si>
  <si>
    <t xml:space="preserve">FD-023810</t>
  </si>
  <si>
    <t xml:space="preserve">胡雄波</t>
  </si>
  <si>
    <t xml:space="preserve">FD-56648</t>
  </si>
  <si>
    <t xml:space="preserve">FD-022049</t>
  </si>
  <si>
    <t xml:space="preserve">FD-56672</t>
  </si>
  <si>
    <t xml:space="preserve">FD-063046</t>
  </si>
  <si>
    <t xml:space="preserve">李培贤</t>
  </si>
  <si>
    <t xml:space="preserve">FD-56674</t>
  </si>
  <si>
    <t xml:space="preserve">FD-035340</t>
  </si>
  <si>
    <t xml:space="preserve">廖晓佳</t>
  </si>
  <si>
    <t xml:space="preserve">FD-56675</t>
  </si>
  <si>
    <t xml:space="preserve">FD-184644</t>
  </si>
  <si>
    <t xml:space="preserve">黄靖雯</t>
  </si>
  <si>
    <t xml:space="preserve">品牌公关经理</t>
  </si>
  <si>
    <t xml:space="preserve">FD-56697</t>
  </si>
  <si>
    <t xml:space="preserve">FD-150472</t>
  </si>
  <si>
    <t xml:space="preserve">谭丹</t>
  </si>
  <si>
    <t xml:space="preserve">FD-56701</t>
  </si>
  <si>
    <t xml:space="preserve">FD-021069</t>
  </si>
  <si>
    <t xml:space="preserve">杨冰</t>
  </si>
  <si>
    <t xml:space="preserve">FD-56731</t>
  </si>
  <si>
    <t xml:space="preserve">FD-221937</t>
  </si>
  <si>
    <t xml:space="preserve">刘铎</t>
  </si>
  <si>
    <t xml:space="preserve">FD-56752</t>
  </si>
  <si>
    <t xml:space="preserve">FD-234591</t>
  </si>
  <si>
    <t xml:space="preserve">敢小双</t>
  </si>
  <si>
    <t xml:space="preserve">科学家</t>
  </si>
  <si>
    <t xml:space="preserve">FD-56766</t>
  </si>
  <si>
    <t xml:space="preserve">FD-019471</t>
  </si>
  <si>
    <t xml:space="preserve">李宣萱</t>
  </si>
  <si>
    <t xml:space="preserve">FD-56781</t>
  </si>
  <si>
    <t xml:space="preserve">FD-098166</t>
  </si>
  <si>
    <t xml:space="preserve">李巧丽</t>
  </si>
  <si>
    <t xml:space="preserve">FD-56787</t>
  </si>
  <si>
    <t xml:space="preserve">FD-037291</t>
  </si>
  <si>
    <t xml:space="preserve">李天馨</t>
  </si>
  <si>
    <t xml:space="preserve">FD-56794</t>
  </si>
  <si>
    <t xml:space="preserve">FD-045208</t>
  </si>
  <si>
    <t xml:space="preserve">俞文鑫</t>
  </si>
  <si>
    <t xml:space="preserve">FD-56796</t>
  </si>
  <si>
    <t xml:space="preserve">FD-029446</t>
  </si>
  <si>
    <t xml:space="preserve">林惠敏</t>
  </si>
  <si>
    <t xml:space="preserve">FD-56894</t>
  </si>
  <si>
    <t xml:space="preserve">FD-036718</t>
  </si>
  <si>
    <t xml:space="preserve">吴睿琳</t>
  </si>
  <si>
    <t xml:space="preserve">FD-56915</t>
  </si>
  <si>
    <t xml:space="preserve">FD-079716</t>
  </si>
  <si>
    <t xml:space="preserve">孙靖凯</t>
  </si>
  <si>
    <t xml:space="preserve">FD-56920</t>
  </si>
  <si>
    <t xml:space="preserve">FD-220129</t>
  </si>
  <si>
    <t xml:space="preserve">陈梦琴</t>
  </si>
  <si>
    <t xml:space="preserve">FD-56932</t>
  </si>
  <si>
    <t xml:space="preserve">FD-044791</t>
  </si>
  <si>
    <t xml:space="preserve">王丽媛</t>
  </si>
  <si>
    <t xml:space="preserve">FD-56929</t>
  </si>
  <si>
    <t xml:space="preserve">FD-069780</t>
  </si>
  <si>
    <t xml:space="preserve">罗一鸣</t>
  </si>
  <si>
    <t xml:space="preserve">FD-56962</t>
  </si>
  <si>
    <t xml:space="preserve">FD-098100</t>
  </si>
  <si>
    <t xml:space="preserve">张思源</t>
  </si>
  <si>
    <t xml:space="preserve">FD-56980</t>
  </si>
  <si>
    <t xml:space="preserve">FD-097865</t>
  </si>
  <si>
    <t xml:space="preserve">曾静柔</t>
  </si>
  <si>
    <t xml:space="preserve">FD-56984</t>
  </si>
  <si>
    <t xml:space="preserve">FD-020095</t>
  </si>
  <si>
    <t xml:space="preserve">陈幸琳</t>
  </si>
  <si>
    <t xml:space="preserve">FD-57029</t>
  </si>
  <si>
    <t xml:space="preserve">FD-154012</t>
  </si>
  <si>
    <t xml:space="preserve">李杨逸</t>
  </si>
  <si>
    <t xml:space="preserve">行政网管</t>
  </si>
  <si>
    <t xml:space="preserve">FD-57035</t>
  </si>
  <si>
    <t xml:space="preserve">FD-084958</t>
  </si>
  <si>
    <t xml:space="preserve">范泽轩</t>
  </si>
  <si>
    <t xml:space="preserve">FD-57036</t>
  </si>
  <si>
    <t xml:space="preserve">FD-093926</t>
  </si>
  <si>
    <t xml:space="preserve">邓婉思</t>
  </si>
  <si>
    <t xml:space="preserve">FD-57047</t>
  </si>
  <si>
    <t xml:space="preserve">FD-092596</t>
  </si>
  <si>
    <t xml:space="preserve">简韵</t>
  </si>
  <si>
    <t xml:space="preserve">FD-57054</t>
  </si>
  <si>
    <t xml:space="preserve">FD-226421</t>
  </si>
  <si>
    <t xml:space="preserve">黄超杰</t>
  </si>
  <si>
    <t xml:space="preserve">FD-57055</t>
  </si>
  <si>
    <t xml:space="preserve">FD-056914</t>
  </si>
  <si>
    <t xml:space="preserve">柳晓涵</t>
  </si>
  <si>
    <t xml:space="preserve">FD-57064</t>
  </si>
  <si>
    <t xml:space="preserve">FD-096315</t>
  </si>
  <si>
    <t xml:space="preserve">白羽桐</t>
  </si>
  <si>
    <t xml:space="preserve">FD-57088</t>
  </si>
  <si>
    <t xml:space="preserve">FD-159340</t>
  </si>
  <si>
    <t xml:space="preserve">李双凝</t>
  </si>
  <si>
    <t xml:space="preserve">FD-57217</t>
  </si>
  <si>
    <t xml:space="preserve">FD-223960</t>
  </si>
  <si>
    <t xml:space="preserve">陆政皓</t>
  </si>
  <si>
    <t xml:space="preserve">FD-57222</t>
  </si>
  <si>
    <t xml:space="preserve">FD-070643</t>
  </si>
  <si>
    <t xml:space="preserve">罗静文</t>
  </si>
  <si>
    <t xml:space="preserve">FD-57245</t>
  </si>
  <si>
    <t xml:space="preserve">FD-093013</t>
  </si>
  <si>
    <t xml:space="preserve">柯洁</t>
  </si>
  <si>
    <t xml:space="preserve">FD-57270</t>
  </si>
  <si>
    <t xml:space="preserve">FD-041335</t>
  </si>
  <si>
    <t xml:space="preserve">张郑庆</t>
  </si>
  <si>
    <t xml:space="preserve">FD-57282</t>
  </si>
  <si>
    <t xml:space="preserve">FD-091587</t>
  </si>
  <si>
    <t xml:space="preserve">李美美</t>
  </si>
  <si>
    <t xml:space="preserve">FD-57290</t>
  </si>
  <si>
    <t xml:space="preserve">FD-049763</t>
  </si>
  <si>
    <t xml:space="preserve">戚俊杰</t>
  </si>
  <si>
    <t xml:space="preserve">FD-57296</t>
  </si>
  <si>
    <t xml:space="preserve">FD-043279</t>
  </si>
  <si>
    <t xml:space="preserve">陈昱桦</t>
  </si>
  <si>
    <t xml:space="preserve">FD-57299</t>
  </si>
  <si>
    <t xml:space="preserve">FD-026227</t>
  </si>
  <si>
    <t xml:space="preserve">张佳黎</t>
  </si>
  <si>
    <t xml:space="preserve">FD-57301</t>
  </si>
  <si>
    <t xml:space="preserve">FD-237871</t>
  </si>
  <si>
    <t xml:space="preserve">林明朗</t>
  </si>
  <si>
    <t xml:space="preserve">FD-57319</t>
  </si>
  <si>
    <t xml:space="preserve">FD-090581</t>
  </si>
  <si>
    <t xml:space="preserve">梁嘉琪</t>
  </si>
  <si>
    <t xml:space="preserve">FD-57320</t>
  </si>
  <si>
    <t xml:space="preserve">FD-091042</t>
  </si>
  <si>
    <t xml:space="preserve">李秋静</t>
  </si>
  <si>
    <t xml:space="preserve">FD-57354</t>
  </si>
  <si>
    <t xml:space="preserve">FD-098144</t>
  </si>
  <si>
    <t xml:space="preserve">李红菊</t>
  </si>
  <si>
    <t xml:space="preserve">FD-57367</t>
  </si>
  <si>
    <t xml:space="preserve">FD-088385</t>
  </si>
  <si>
    <t xml:space="preserve">金露露</t>
  </si>
  <si>
    <t xml:space="preserve">实习期</t>
  </si>
  <si>
    <t xml:space="preserve">FD-57370</t>
  </si>
  <si>
    <t xml:space="preserve">FD-030208</t>
  </si>
  <si>
    <t xml:space="preserve">雷冰</t>
  </si>
  <si>
    <t xml:space="preserve">FD-57372</t>
  </si>
  <si>
    <t xml:space="preserve">FD-022896</t>
  </si>
  <si>
    <t xml:space="preserve">吴为</t>
  </si>
  <si>
    <t xml:space="preserve">FD-57411</t>
  </si>
  <si>
    <t xml:space="preserve">FD-058602</t>
  </si>
  <si>
    <t xml:space="preserve">权思韵</t>
  </si>
  <si>
    <t xml:space="preserve">FD-57418</t>
  </si>
  <si>
    <t xml:space="preserve">FD-044987</t>
  </si>
  <si>
    <t xml:space="preserve">何乐妍</t>
  </si>
  <si>
    <t xml:space="preserve">FD-57422</t>
  </si>
  <si>
    <t xml:space="preserve">FD-038090</t>
  </si>
  <si>
    <t xml:space="preserve">马连婧</t>
  </si>
  <si>
    <t xml:space="preserve">FD-57429</t>
  </si>
  <si>
    <t xml:space="preserve">FD-056244</t>
  </si>
  <si>
    <t xml:space="preserve">李欣</t>
  </si>
  <si>
    <t xml:space="preserve">FD-57441</t>
  </si>
  <si>
    <t xml:space="preserve">FD-227908</t>
  </si>
  <si>
    <t xml:space="preserve">罗焯航</t>
  </si>
  <si>
    <t xml:space="preserve">FD-57442</t>
  </si>
  <si>
    <t xml:space="preserve">FD-042321</t>
  </si>
  <si>
    <t xml:space="preserve">陈真坪</t>
  </si>
  <si>
    <t xml:space="preserve">FD-57446</t>
  </si>
  <si>
    <t xml:space="preserve">FD-057590</t>
  </si>
  <si>
    <t xml:space="preserve">张媛</t>
  </si>
  <si>
    <t xml:space="preserve">FD-57521</t>
  </si>
  <si>
    <t xml:space="preserve">FD-221470</t>
  </si>
  <si>
    <t xml:space="preserve">刘柏廷</t>
  </si>
  <si>
    <t xml:space="preserve">FD-57524</t>
  </si>
  <si>
    <t xml:space="preserve">FD-234560</t>
  </si>
  <si>
    <t xml:space="preserve">曾紫杨</t>
  </si>
  <si>
    <t xml:space="preserve">FD-57538</t>
  </si>
  <si>
    <t xml:space="preserve">FD-098104</t>
  </si>
  <si>
    <t xml:space="preserve">武子超</t>
  </si>
  <si>
    <t xml:space="preserve">FD-57571</t>
  </si>
  <si>
    <t xml:space="preserve">FD-152958</t>
  </si>
  <si>
    <t xml:space="preserve">覃海凤</t>
  </si>
  <si>
    <t xml:space="preserve">综合行政经理</t>
  </si>
  <si>
    <t xml:space="preserve">FD-57613</t>
  </si>
  <si>
    <t xml:space="preserve">FD-181227</t>
  </si>
  <si>
    <t xml:space="preserve">杨颖晖</t>
  </si>
  <si>
    <t xml:space="preserve">FD-57620</t>
  </si>
  <si>
    <t xml:space="preserve">FD-082754</t>
  </si>
  <si>
    <t xml:space="preserve">张丽丽</t>
  </si>
  <si>
    <t xml:space="preserve">FD-57641</t>
  </si>
  <si>
    <t xml:space="preserve">FD-194904</t>
  </si>
  <si>
    <t xml:space="preserve">李姝灿</t>
  </si>
  <si>
    <t xml:space="preserve">FD-57679</t>
  </si>
  <si>
    <t xml:space="preserve">FD-068641</t>
  </si>
  <si>
    <t xml:space="preserve">秦琳雅</t>
  </si>
  <si>
    <t xml:space="preserve">FD-57683</t>
  </si>
  <si>
    <t xml:space="preserve">FD-012698</t>
  </si>
  <si>
    <t xml:space="preserve">王怡硕</t>
  </si>
  <si>
    <t xml:space="preserve">FD-57709</t>
  </si>
  <si>
    <t xml:space="preserve">FD-066250</t>
  </si>
  <si>
    <t xml:space="preserve">赵宇卓</t>
  </si>
  <si>
    <t xml:space="preserve">FD-57716</t>
  </si>
  <si>
    <t xml:space="preserve">FD-229977</t>
  </si>
  <si>
    <t xml:space="preserve">刘雄昊</t>
  </si>
  <si>
    <t xml:space="preserve">FD-57721</t>
  </si>
  <si>
    <t xml:space="preserve">FD-025463</t>
  </si>
  <si>
    <t xml:space="preserve">刘芷含</t>
  </si>
  <si>
    <t xml:space="preserve">AI创意经理</t>
  </si>
  <si>
    <t xml:space="preserve">FD-57725</t>
  </si>
  <si>
    <t xml:space="preserve">FD-071008</t>
  </si>
  <si>
    <t xml:space="preserve">付昭华</t>
  </si>
  <si>
    <t xml:space="preserve">FD-57726</t>
  </si>
  <si>
    <t xml:space="preserve">FD-022304</t>
  </si>
  <si>
    <t xml:space="preserve">蒋珂</t>
  </si>
  <si>
    <t xml:space="preserve">试用期</t>
  </si>
  <si>
    <t xml:space="preserve">FD-57732</t>
  </si>
  <si>
    <t xml:space="preserve">FD-154287</t>
  </si>
  <si>
    <t xml:space="preserve">涂欣瑶</t>
  </si>
  <si>
    <t xml:space="preserve">招聘BP</t>
  </si>
  <si>
    <t xml:space="preserve">FD-57735</t>
  </si>
  <si>
    <t xml:space="preserve">FD-035758</t>
  </si>
  <si>
    <t xml:space="preserve">陈民晓</t>
  </si>
  <si>
    <t xml:space="preserve">FD-57754</t>
  </si>
  <si>
    <t xml:space="preserve">FD-043713</t>
  </si>
  <si>
    <t xml:space="preserve">邓文瑜</t>
  </si>
  <si>
    <t xml:space="preserve">FD-57757</t>
  </si>
  <si>
    <t xml:space="preserve">FD-023537</t>
  </si>
  <si>
    <t xml:space="preserve">安燕蓝</t>
  </si>
  <si>
    <t xml:space="preserve">FD-57762</t>
  </si>
  <si>
    <t xml:space="preserve">FD-224360</t>
  </si>
  <si>
    <t xml:space="preserve">余粤</t>
  </si>
  <si>
    <t xml:space="preserve">FD-57765</t>
  </si>
  <si>
    <t xml:space="preserve">FD-221661</t>
  </si>
  <si>
    <t xml:space="preserve">梁朝辉</t>
  </si>
  <si>
    <t xml:space="preserve">FD-57766</t>
  </si>
  <si>
    <t xml:space="preserve">FD-037854</t>
  </si>
  <si>
    <t xml:space="preserve">祝愿</t>
  </si>
  <si>
    <t xml:space="preserve">FD-57767</t>
  </si>
  <si>
    <t xml:space="preserve">FD-038918</t>
  </si>
  <si>
    <t xml:space="preserve">敖艺萱</t>
  </si>
  <si>
    <t xml:space="preserve">FD-57780</t>
  </si>
  <si>
    <t xml:space="preserve">FD-083319</t>
  </si>
  <si>
    <t xml:space="preserve">许蕊</t>
  </si>
  <si>
    <t xml:space="preserve">FD-57788</t>
  </si>
  <si>
    <t xml:space="preserve">FD-044045</t>
  </si>
  <si>
    <t xml:space="preserve">张嘉莹</t>
  </si>
  <si>
    <t xml:space="preserve">FD-57790</t>
  </si>
  <si>
    <t xml:space="preserve">FD-060026</t>
  </si>
  <si>
    <t xml:space="preserve">李舒玥</t>
  </si>
  <si>
    <t xml:space="preserve">FD-57842</t>
  </si>
  <si>
    <t xml:space="preserve">FD-026836</t>
  </si>
  <si>
    <t xml:space="preserve">黄芷曈</t>
  </si>
  <si>
    <t xml:space="preserve">FD-57892</t>
  </si>
  <si>
    <t xml:space="preserve">FD-052083</t>
  </si>
  <si>
    <t xml:space="preserve">许敏丽</t>
  </si>
  <si>
    <t xml:space="preserve">FD-57894</t>
  </si>
  <si>
    <t xml:space="preserve">FD-222869</t>
  </si>
  <si>
    <t xml:space="preserve">余孜婕</t>
  </si>
  <si>
    <t xml:space="preserve">FD-57973</t>
  </si>
  <si>
    <t xml:space="preserve">FD-224477</t>
  </si>
  <si>
    <t xml:space="preserve">黄怀民</t>
  </si>
  <si>
    <t xml:space="preserve">FD-57980</t>
  </si>
  <si>
    <t xml:space="preserve">FD-047323</t>
  </si>
  <si>
    <t xml:space="preserve">秦国鸠</t>
  </si>
  <si>
    <t xml:space="preserve">FD-57991</t>
  </si>
  <si>
    <t xml:space="preserve">FD-047686</t>
  </si>
  <si>
    <t xml:space="preserve">辛宜静</t>
  </si>
  <si>
    <t xml:space="preserve">FD-57999</t>
  </si>
  <si>
    <t xml:space="preserve">FD-233637</t>
  </si>
  <si>
    <t xml:space="preserve">罗锦委</t>
  </si>
  <si>
    <t xml:space="preserve">FD-57998</t>
  </si>
  <si>
    <t xml:space="preserve">FD-026198</t>
  </si>
  <si>
    <t xml:space="preserve">宋怡琳</t>
  </si>
  <si>
    <t xml:space="preserve">FD-58012</t>
  </si>
  <si>
    <t xml:space="preserve">FD-086548</t>
  </si>
  <si>
    <t xml:space="preserve">覃京旺</t>
  </si>
  <si>
    <t xml:space="preserve">FD-58026</t>
  </si>
  <si>
    <t xml:space="preserve">FD-045959</t>
  </si>
  <si>
    <t xml:space="preserve">吕嘉瑶</t>
  </si>
  <si>
    <t xml:space="preserve">FD-58028</t>
  </si>
  <si>
    <t xml:space="preserve">FD-026633</t>
  </si>
  <si>
    <t xml:space="preserve">徐荣基</t>
  </si>
  <si>
    <t xml:space="preserve">FD-58029</t>
  </si>
  <si>
    <t xml:space="preserve">FD-078857</t>
  </si>
  <si>
    <t xml:space="preserve">何诗童</t>
  </si>
  <si>
    <t xml:space="preserve">KONO-KONO销售A中心-东北区</t>
  </si>
  <si>
    <t xml:space="preserve">FD-58030</t>
  </si>
  <si>
    <t xml:space="preserve">FD-026339</t>
  </si>
  <si>
    <t xml:space="preserve">鲍敏纳</t>
  </si>
  <si>
    <t xml:space="preserve">FD-58033</t>
  </si>
  <si>
    <t xml:space="preserve">FD-151337</t>
  </si>
  <si>
    <t xml:space="preserve">黄璜</t>
  </si>
  <si>
    <t xml:space="preserve">投资总监</t>
  </si>
  <si>
    <t xml:space="preserve">FD-58038</t>
  </si>
  <si>
    <t xml:space="preserve">FD-221129</t>
  </si>
  <si>
    <t xml:space="preserve">蒋书鹏</t>
  </si>
  <si>
    <t xml:space="preserve">FD-58040</t>
  </si>
  <si>
    <t xml:space="preserve">FD-199076</t>
  </si>
  <si>
    <t xml:space="preserve">曾方茜</t>
  </si>
  <si>
    <t xml:space="preserve">FD-58043</t>
  </si>
  <si>
    <t xml:space="preserve">FD-032947</t>
  </si>
  <si>
    <t xml:space="preserve">许如雪</t>
  </si>
  <si>
    <t xml:space="preserve">FD-58050</t>
  </si>
  <si>
    <t xml:space="preserve">FD-033430</t>
  </si>
  <si>
    <t xml:space="preserve">傅若萱</t>
  </si>
  <si>
    <t xml:space="preserve">FD-58052</t>
  </si>
  <si>
    <t xml:space="preserve">FD-038821</t>
  </si>
  <si>
    <t xml:space="preserve">陈秋汛</t>
  </si>
  <si>
    <t xml:space="preserve">FD-58072</t>
  </si>
  <si>
    <t xml:space="preserve">SX-006767</t>
  </si>
  <si>
    <t xml:space="preserve">胡国珍</t>
  </si>
  <si>
    <t xml:space="preserve">实习生</t>
  </si>
  <si>
    <t xml:space="preserve">活动运营实习生</t>
  </si>
  <si>
    <t xml:space="preserve">FD-58070</t>
  </si>
  <si>
    <t xml:space="preserve">FD-092376</t>
  </si>
  <si>
    <t xml:space="preserve">莫振涛</t>
  </si>
  <si>
    <t xml:space="preserve">FD-58084</t>
  </si>
  <si>
    <t xml:space="preserve">FD-026363</t>
  </si>
  <si>
    <t xml:space="preserve">左世婷</t>
  </si>
  <si>
    <t xml:space="preserve">FD-58085</t>
  </si>
  <si>
    <t xml:space="preserve">FD-025351</t>
  </si>
  <si>
    <t xml:space="preserve">陈嘉欣</t>
  </si>
  <si>
    <t xml:space="preserve">FD-58094</t>
  </si>
  <si>
    <t xml:space="preserve">FD-043476</t>
  </si>
  <si>
    <t xml:space="preserve">袁志彬</t>
  </si>
  <si>
    <t xml:space="preserve">FD-58095</t>
  </si>
  <si>
    <t xml:space="preserve">FD-048727</t>
  </si>
  <si>
    <t xml:space="preserve">李松雨</t>
  </si>
  <si>
    <t xml:space="preserve">FD-58097</t>
  </si>
  <si>
    <t xml:space="preserve">FD-059731</t>
  </si>
  <si>
    <t xml:space="preserve">姜荥</t>
  </si>
  <si>
    <t xml:space="preserve">FD-58102</t>
  </si>
  <si>
    <t xml:space="preserve">FD-026657</t>
  </si>
  <si>
    <t xml:space="preserve">曾业高</t>
  </si>
  <si>
    <t xml:space="preserve">FD-58104</t>
  </si>
  <si>
    <t xml:space="preserve">FD-201472</t>
  </si>
  <si>
    <t xml:space="preserve">高嘉敏</t>
  </si>
  <si>
    <t xml:space="preserve">FD-58105</t>
  </si>
  <si>
    <t xml:space="preserve">FD-035210</t>
  </si>
  <si>
    <t xml:space="preserve">杨心铭</t>
  </si>
  <si>
    <t xml:space="preserve">FD-58106</t>
  </si>
  <si>
    <t xml:space="preserve">FD-216450</t>
  </si>
  <si>
    <t xml:space="preserve">蔡沛心</t>
  </si>
  <si>
    <t xml:space="preserve">FD-58113</t>
  </si>
  <si>
    <t xml:space="preserve">FD-097771</t>
  </si>
  <si>
    <t xml:space="preserve">陈煜</t>
  </si>
  <si>
    <t xml:space="preserve">FD-58114</t>
  </si>
  <si>
    <t xml:space="preserve">FD-035287</t>
  </si>
  <si>
    <t xml:space="preserve">吴淑敏</t>
  </si>
  <si>
    <t xml:space="preserve">FD-58127</t>
  </si>
  <si>
    <t xml:space="preserve">FD-027564</t>
  </si>
  <si>
    <t xml:space="preserve">蒙万叶</t>
  </si>
  <si>
    <t xml:space="preserve">FD-58133</t>
  </si>
  <si>
    <t xml:space="preserve">FD-159222</t>
  </si>
  <si>
    <t xml:space="preserve">许蓉仪</t>
  </si>
  <si>
    <t xml:space="preserve">FD-58153</t>
  </si>
  <si>
    <t xml:space="preserve">FD-224398</t>
  </si>
  <si>
    <t xml:space="preserve">蔡灿</t>
  </si>
  <si>
    <t xml:space="preserve">FD-58154</t>
  </si>
  <si>
    <t xml:space="preserve">FD-098645</t>
  </si>
  <si>
    <t xml:space="preserve">王恒鑫</t>
  </si>
  <si>
    <t xml:space="preserve">FD-58155</t>
  </si>
  <si>
    <t xml:space="preserve">SX-001272</t>
  </si>
  <si>
    <t xml:space="preserve">梁柱耀</t>
  </si>
  <si>
    <t xml:space="preserve">供应链实习生</t>
  </si>
  <si>
    <t xml:space="preserve">FD-58157</t>
  </si>
  <si>
    <t xml:space="preserve">FD-025742</t>
  </si>
  <si>
    <t xml:space="preserve">吴政锐</t>
  </si>
  <si>
    <t xml:space="preserve">FD-58161</t>
  </si>
  <si>
    <t xml:space="preserve">SX-004483</t>
  </si>
  <si>
    <t xml:space="preserve">何尧僮</t>
  </si>
  <si>
    <t xml:space="preserve">市场监察实习生</t>
  </si>
  <si>
    <t xml:space="preserve">FD-58162</t>
  </si>
  <si>
    <t xml:space="preserve">FD-032844</t>
  </si>
  <si>
    <t xml:space="preserve">秦璐璐</t>
  </si>
  <si>
    <t xml:space="preserve">FD-58163</t>
  </si>
  <si>
    <t xml:space="preserve">FD-043687</t>
  </si>
  <si>
    <t xml:space="preserve">张丹</t>
  </si>
  <si>
    <t xml:space="preserve">FD-58167</t>
  </si>
  <si>
    <t xml:space="preserve">FD-025427</t>
  </si>
  <si>
    <t xml:space="preserve">曾梦怡</t>
  </si>
  <si>
    <t xml:space="preserve">FD-58180</t>
  </si>
  <si>
    <t xml:space="preserve">FD-020791</t>
  </si>
  <si>
    <t xml:space="preserve">杨意肖</t>
  </si>
  <si>
    <t xml:space="preserve">FD-58188</t>
  </si>
  <si>
    <t xml:space="preserve">FD-042172</t>
  </si>
  <si>
    <t xml:space="preserve">陈思思</t>
  </si>
  <si>
    <t xml:space="preserve">FD-58195</t>
  </si>
  <si>
    <t xml:space="preserve">FD-015835</t>
  </si>
  <si>
    <t xml:space="preserve">郑萌榆</t>
  </si>
  <si>
    <t xml:space="preserve">FD-58203</t>
  </si>
  <si>
    <t xml:space="preserve">FD-049564</t>
  </si>
  <si>
    <t xml:space="preserve">刘艺博</t>
  </si>
  <si>
    <t xml:space="preserve">FD-58205</t>
  </si>
  <si>
    <t xml:space="preserve">FD-021873</t>
  </si>
  <si>
    <t xml:space="preserve">张泽诚</t>
  </si>
  <si>
    <t xml:space="preserve">FD-58206</t>
  </si>
  <si>
    <t xml:space="preserve">FD-023548</t>
  </si>
  <si>
    <t xml:space="preserve">陈璐</t>
  </si>
  <si>
    <t xml:space="preserve">FD-58209</t>
  </si>
  <si>
    <t xml:space="preserve">FD-040484</t>
  </si>
  <si>
    <t xml:space="preserve">曾微微</t>
  </si>
  <si>
    <t xml:space="preserve">FD-58212</t>
  </si>
  <si>
    <t xml:space="preserve">FD-023139</t>
  </si>
  <si>
    <t xml:space="preserve">李玥滢</t>
  </si>
  <si>
    <t xml:space="preserve">FD-58213</t>
  </si>
  <si>
    <t xml:space="preserve">FD-029073</t>
  </si>
  <si>
    <t xml:space="preserve">谭雅彬</t>
  </si>
  <si>
    <t xml:space="preserve">FD-58214</t>
  </si>
  <si>
    <t xml:space="preserve">FD-029809</t>
  </si>
  <si>
    <t xml:space="preserve">郑海涛</t>
  </si>
  <si>
    <t xml:space="preserve">FD-58217</t>
  </si>
  <si>
    <t xml:space="preserve">FD-027509</t>
  </si>
  <si>
    <t xml:space="preserve">刘楠</t>
  </si>
  <si>
    <t xml:space="preserve">FD-58265</t>
  </si>
  <si>
    <t xml:space="preserve">FD-076987</t>
  </si>
  <si>
    <t xml:space="preserve">孙海诺</t>
  </si>
  <si>
    <t xml:space="preserve">FD-58267</t>
  </si>
  <si>
    <t xml:space="preserve">FD-223714</t>
  </si>
  <si>
    <t xml:space="preserve">叶森莹</t>
  </si>
  <si>
    <t xml:space="preserve">FD-58271</t>
  </si>
  <si>
    <t xml:space="preserve">FD-065454</t>
  </si>
  <si>
    <t xml:space="preserve">胡霞</t>
  </si>
  <si>
    <t xml:space="preserve">FD-58274</t>
  </si>
  <si>
    <t xml:space="preserve">FD-039959</t>
  </si>
  <si>
    <t xml:space="preserve">谭程宝</t>
  </si>
  <si>
    <t xml:space="preserve">FD-58285</t>
  </si>
  <si>
    <t xml:space="preserve">FD-224246</t>
  </si>
  <si>
    <t xml:space="preserve">郑成豪</t>
  </si>
  <si>
    <t xml:space="preserve">FD-58321</t>
  </si>
  <si>
    <t xml:space="preserve">FD-022685</t>
  </si>
  <si>
    <t xml:space="preserve">谢诗琪</t>
  </si>
  <si>
    <t xml:space="preserve">FD-58334</t>
  </si>
  <si>
    <t xml:space="preserve">FD-220144</t>
  </si>
  <si>
    <t xml:space="preserve">盛思婕</t>
  </si>
  <si>
    <t xml:space="preserve">FD-58344</t>
  </si>
  <si>
    <t xml:space="preserve">FD-087997</t>
  </si>
  <si>
    <t xml:space="preserve">翟婉妃</t>
  </si>
  <si>
    <t xml:space="preserve">FD-58310</t>
  </si>
  <si>
    <t xml:space="preserve">FD-072418</t>
  </si>
  <si>
    <t xml:space="preserve">马诗瑾</t>
  </si>
  <si>
    <t xml:space="preserve">WIS-WIS销售A中心-华中区</t>
  </si>
  <si>
    <t xml:space="preserve">FD-58335</t>
  </si>
  <si>
    <t xml:space="preserve">FD-041125</t>
  </si>
  <si>
    <t xml:space="preserve">刘源</t>
  </si>
  <si>
    <t xml:space="preserve">FD-58341</t>
  </si>
  <si>
    <t xml:space="preserve">FD-033344</t>
  </si>
  <si>
    <t xml:space="preserve">刘玫香</t>
  </si>
  <si>
    <t xml:space="preserve">FD-58337</t>
  </si>
  <si>
    <t xml:space="preserve">FD-217752</t>
  </si>
  <si>
    <t xml:space="preserve">刘仁甫</t>
  </si>
  <si>
    <t xml:space="preserve">FD-58354</t>
  </si>
  <si>
    <t xml:space="preserve">SX-003045</t>
  </si>
  <si>
    <t xml:space="preserve">侯成宇</t>
  </si>
  <si>
    <t xml:space="preserve">投资分析实习生</t>
  </si>
  <si>
    <t xml:space="preserve">FD-58355</t>
  </si>
  <si>
    <t xml:space="preserve">FD-025672</t>
  </si>
  <si>
    <t xml:space="preserve">丁阳虹</t>
  </si>
  <si>
    <t xml:space="preserve">FD-58358</t>
  </si>
  <si>
    <t xml:space="preserve">FD-030522</t>
  </si>
  <si>
    <t xml:space="preserve">潘晓婷</t>
  </si>
  <si>
    <t xml:space="preserve">FD-58360</t>
  </si>
  <si>
    <t xml:space="preserve">FD-095713</t>
  </si>
  <si>
    <t xml:space="preserve">刘星瑶</t>
  </si>
  <si>
    <t xml:space="preserve">FD-58361</t>
  </si>
  <si>
    <t xml:space="preserve">FD-017183</t>
  </si>
  <si>
    <t xml:space="preserve">林津裕</t>
  </si>
  <si>
    <t xml:space="preserve">品牌策划经理</t>
  </si>
  <si>
    <t xml:space="preserve">FD-58373</t>
  </si>
  <si>
    <t xml:space="preserve">FD-031406</t>
  </si>
  <si>
    <t xml:space="preserve">李欣怡</t>
  </si>
  <si>
    <t xml:space="preserve">FD-58374</t>
  </si>
  <si>
    <t xml:space="preserve">FD-032514</t>
  </si>
  <si>
    <t xml:space="preserve">FD-58376</t>
  </si>
  <si>
    <t xml:space="preserve">FD-222057</t>
  </si>
  <si>
    <t xml:space="preserve">朱嘉琳</t>
  </si>
  <si>
    <t xml:space="preserve">FD-58377</t>
  </si>
  <si>
    <t xml:space="preserve">FD-225828</t>
  </si>
  <si>
    <t xml:space="preserve">刘嘉榕</t>
  </si>
  <si>
    <t xml:space="preserve">FD-58378</t>
  </si>
  <si>
    <t xml:space="preserve">FD-221841</t>
  </si>
  <si>
    <t xml:space="preserve">程乾</t>
  </si>
  <si>
    <t xml:space="preserve">FD-58379</t>
  </si>
  <si>
    <t xml:space="preserve">FD-086162</t>
  </si>
  <si>
    <t xml:space="preserve">蒲思彤</t>
  </si>
  <si>
    <t xml:space="preserve">FD-58380</t>
  </si>
  <si>
    <t xml:space="preserve">FD-227829</t>
  </si>
  <si>
    <t xml:space="preserve">崔经瀚</t>
  </si>
  <si>
    <t xml:space="preserve">FD-58381</t>
  </si>
  <si>
    <t xml:space="preserve">FD-150949</t>
  </si>
  <si>
    <t xml:space="preserve">唐怡敏</t>
  </si>
  <si>
    <t xml:space="preserve">FD-58383</t>
  </si>
  <si>
    <t xml:space="preserve">SX-001079</t>
  </si>
  <si>
    <t xml:space="preserve">吕凯琳</t>
  </si>
  <si>
    <t xml:space="preserve">FD-58399</t>
  </si>
  <si>
    <t xml:space="preserve">FD-150058</t>
  </si>
  <si>
    <t xml:space="preserve">林燕伦</t>
  </si>
  <si>
    <t xml:space="preserve">FD-58404</t>
  </si>
  <si>
    <t xml:space="preserve">FD-024035</t>
  </si>
  <si>
    <t xml:space="preserve">曾泳淇</t>
  </si>
  <si>
    <t xml:space="preserve">FD-58407</t>
  </si>
  <si>
    <t xml:space="preserve">FD-223844</t>
  </si>
  <si>
    <t xml:space="preserve">刘凡</t>
  </si>
  <si>
    <t xml:space="preserve">FD-58409</t>
  </si>
  <si>
    <t xml:space="preserve">FD-085651</t>
  </si>
  <si>
    <t xml:space="preserve">杨永诗</t>
  </si>
  <si>
    <t xml:space="preserve">电商专员</t>
  </si>
  <si>
    <t xml:space="preserve">FD-58416</t>
  </si>
  <si>
    <t xml:space="preserve">FD-028451</t>
  </si>
  <si>
    <t xml:space="preserve">向可可</t>
  </si>
  <si>
    <t xml:space="preserve">FD-58417</t>
  </si>
  <si>
    <t xml:space="preserve">FD-099696</t>
  </si>
  <si>
    <t xml:space="preserve">谭娇</t>
  </si>
  <si>
    <t xml:space="preserve">FD-58418</t>
  </si>
  <si>
    <t xml:space="preserve">FD-035562</t>
  </si>
  <si>
    <t xml:space="preserve">赵晓旭</t>
  </si>
  <si>
    <t xml:space="preserve">FD-58420</t>
  </si>
  <si>
    <t xml:space="preserve">FD-035782</t>
  </si>
  <si>
    <t xml:space="preserve">刘天乐</t>
  </si>
  <si>
    <t xml:space="preserve">FD-58421</t>
  </si>
  <si>
    <t xml:space="preserve">FD-037851</t>
  </si>
  <si>
    <t xml:space="preserve">陈宇恩</t>
  </si>
  <si>
    <t xml:space="preserve">FD-58422</t>
  </si>
  <si>
    <t xml:space="preserve">FD-049078</t>
  </si>
  <si>
    <t xml:space="preserve">谢敏</t>
  </si>
  <si>
    <t xml:space="preserve">FD-58423</t>
  </si>
  <si>
    <t xml:space="preserve">FD-044428</t>
  </si>
  <si>
    <t xml:space="preserve">文灿</t>
  </si>
  <si>
    <t xml:space="preserve">FD-58426</t>
  </si>
  <si>
    <t xml:space="preserve">FD-066598</t>
  </si>
  <si>
    <t xml:space="preserve">傅则</t>
  </si>
  <si>
    <t xml:space="preserve">FD-58428</t>
  </si>
  <si>
    <t xml:space="preserve">FD-027883</t>
  </si>
  <si>
    <t xml:space="preserve">章佳露</t>
  </si>
  <si>
    <t xml:space="preserve">FD-58429</t>
  </si>
  <si>
    <t xml:space="preserve">FD-042378</t>
  </si>
  <si>
    <t xml:space="preserve">刘晓涵</t>
  </si>
  <si>
    <t xml:space="preserve">FD-58430</t>
  </si>
  <si>
    <t xml:space="preserve">FD-020695</t>
  </si>
  <si>
    <t xml:space="preserve">黄佩娜</t>
  </si>
  <si>
    <t xml:space="preserve">FD-58431</t>
  </si>
  <si>
    <t xml:space="preserve">FD-150574</t>
  </si>
  <si>
    <t xml:space="preserve">阮可莹</t>
  </si>
  <si>
    <t xml:space="preserve">FD-58432</t>
  </si>
  <si>
    <t xml:space="preserve">FD-041713</t>
  </si>
  <si>
    <t xml:space="preserve">李香伊圆</t>
  </si>
  <si>
    <t xml:space="preserve">FD-58436</t>
  </si>
  <si>
    <t xml:space="preserve">FD-099468</t>
  </si>
  <si>
    <t xml:space="preserve">朱郭</t>
  </si>
  <si>
    <t xml:space="preserve">FD-58439</t>
  </si>
  <si>
    <t xml:space="preserve">FD-091806</t>
  </si>
  <si>
    <t xml:space="preserve">谭颖</t>
  </si>
  <si>
    <t xml:space="preserve">FD-58446</t>
  </si>
  <si>
    <t xml:space="preserve">FD-096436</t>
  </si>
  <si>
    <t xml:space="preserve">林江龙</t>
  </si>
  <si>
    <t xml:space="preserve">FD-58450</t>
  </si>
  <si>
    <t xml:space="preserve">FD-042958</t>
  </si>
  <si>
    <t xml:space="preserve">赵雅萱</t>
  </si>
  <si>
    <t xml:space="preserve">FD-58452</t>
  </si>
  <si>
    <t xml:space="preserve">FD-088054</t>
  </si>
  <si>
    <t xml:space="preserve">余楚薰</t>
  </si>
  <si>
    <t xml:space="preserve">FD-58457</t>
  </si>
  <si>
    <t xml:space="preserve">SX-009206</t>
  </si>
  <si>
    <t xml:space="preserve">刘诗莹</t>
  </si>
  <si>
    <t xml:space="preserve">摄像实习生</t>
  </si>
  <si>
    <t xml:space="preserve">FD-58460</t>
  </si>
  <si>
    <t xml:space="preserve">FD-188611</t>
  </si>
  <si>
    <t xml:space="preserve">郑胡斌</t>
  </si>
  <si>
    <t xml:space="preserve">FD-58469</t>
  </si>
  <si>
    <t xml:space="preserve">FD-045322</t>
  </si>
  <si>
    <t xml:space="preserve">吴雨璠</t>
  </si>
  <si>
    <t xml:space="preserve">FD-58473</t>
  </si>
  <si>
    <t xml:space="preserve">FD-227338</t>
  </si>
  <si>
    <t xml:space="preserve">田宇航</t>
  </si>
  <si>
    <t xml:space="preserve">FD-58474</t>
  </si>
  <si>
    <t xml:space="preserve">FD-223417</t>
  </si>
  <si>
    <t xml:space="preserve">黄俊鹞</t>
  </si>
  <si>
    <t xml:space="preserve">FD-58475</t>
  </si>
  <si>
    <t xml:space="preserve">FD-015298</t>
  </si>
  <si>
    <t xml:space="preserve">陈帅</t>
  </si>
  <si>
    <t xml:space="preserve">储备干部</t>
  </si>
  <si>
    <t xml:space="preserve">FD-58477</t>
  </si>
  <si>
    <t xml:space="preserve">FD-038591</t>
  </si>
  <si>
    <t xml:space="preserve">冯钰淼</t>
  </si>
  <si>
    <t xml:space="preserve">FD-58480</t>
  </si>
  <si>
    <t xml:space="preserve">FD-222573</t>
  </si>
  <si>
    <t xml:space="preserve">陈化冰</t>
  </si>
  <si>
    <t xml:space="preserve">运维工程师</t>
  </si>
  <si>
    <t xml:space="preserve">FD-58487</t>
  </si>
  <si>
    <t xml:space="preserve">FD-097461</t>
  </si>
  <si>
    <t xml:space="preserve">陈晨</t>
  </si>
  <si>
    <t xml:space="preserve">FD-58497</t>
  </si>
  <si>
    <t xml:space="preserve">SX-000758</t>
  </si>
  <si>
    <t xml:space="preserve">陈嘉琪</t>
  </si>
  <si>
    <t xml:space="preserve">人事实习生</t>
  </si>
  <si>
    <t xml:space="preserve">FD-58499</t>
  </si>
  <si>
    <t xml:space="preserve">FD-027512</t>
  </si>
  <si>
    <t xml:space="preserve">兰紫雯</t>
  </si>
  <si>
    <t xml:space="preserve">FD-58507</t>
  </si>
  <si>
    <t xml:space="preserve">FD-035102</t>
  </si>
  <si>
    <t xml:space="preserve">文俪翰</t>
  </si>
  <si>
    <t xml:space="preserve">FD-58514</t>
  </si>
  <si>
    <t xml:space="preserve">FD-022726</t>
  </si>
  <si>
    <t xml:space="preserve">余毅雄</t>
  </si>
  <si>
    <t xml:space="preserve">FD-58518</t>
  </si>
  <si>
    <t xml:space="preserve">FD-027163</t>
  </si>
  <si>
    <t xml:space="preserve">彭思慧</t>
  </si>
  <si>
    <t xml:space="preserve">创意高级经理</t>
  </si>
  <si>
    <t xml:space="preserve">FD-58519</t>
  </si>
  <si>
    <t xml:space="preserve">FD-034988</t>
  </si>
  <si>
    <t xml:space="preserve">谢勇</t>
  </si>
  <si>
    <t xml:space="preserve">FD-58523</t>
  </si>
  <si>
    <t xml:space="preserve">FD-027291</t>
  </si>
  <si>
    <t xml:space="preserve">韦彩云</t>
  </si>
  <si>
    <t xml:space="preserve">FD-58542</t>
  </si>
  <si>
    <t xml:space="preserve">FD-092671</t>
  </si>
  <si>
    <t xml:space="preserve">玉作英</t>
  </si>
  <si>
    <t xml:space="preserve">设备主管</t>
  </si>
  <si>
    <t xml:space="preserve">FD-58544</t>
  </si>
  <si>
    <t xml:space="preserve">FD-155770</t>
  </si>
  <si>
    <t xml:space="preserve">任佳慧</t>
  </si>
  <si>
    <t xml:space="preserve">行政运营专员</t>
  </si>
  <si>
    <t xml:space="preserve">FD-58545</t>
  </si>
  <si>
    <t xml:space="preserve">SX-003908</t>
  </si>
  <si>
    <t xml:space="preserve">梁锐涛</t>
  </si>
  <si>
    <t xml:space="preserve">FD-58673</t>
  </si>
  <si>
    <t xml:space="preserve">SX-009636</t>
  </si>
  <si>
    <t xml:space="preserve">朱文鑫</t>
  </si>
  <si>
    <t xml:space="preserve">FD-58674</t>
  </si>
  <si>
    <t xml:space="preserve">SX-008569</t>
  </si>
  <si>
    <t xml:space="preserve">赖骏晖</t>
  </si>
  <si>
    <t xml:space="preserve">活动策划实习生</t>
  </si>
  <si>
    <t xml:space="preserve">FD-58675</t>
  </si>
  <si>
    <t xml:space="preserve">FD-041846</t>
  </si>
  <si>
    <t xml:space="preserve">王佳豪</t>
  </si>
  <si>
    <t xml:space="preserve">FD-58676</t>
  </si>
  <si>
    <t xml:space="preserve">SX-009142</t>
  </si>
  <si>
    <t xml:space="preserve">廖祥伊</t>
  </si>
  <si>
    <t xml:space="preserve">FD-58677</t>
  </si>
  <si>
    <t xml:space="preserve">FD-038221</t>
  </si>
  <si>
    <t xml:space="preserve">谢梦影</t>
  </si>
  <si>
    <t xml:space="preserve">FD-58678</t>
  </si>
  <si>
    <t xml:space="preserve">FD-034405</t>
  </si>
  <si>
    <t xml:space="preserve">刘飞扬</t>
  </si>
  <si>
    <t xml:space="preserve">FD-58653</t>
  </si>
  <si>
    <t xml:space="preserve">FD-013392</t>
  </si>
  <si>
    <t xml:space="preserve">林睿媛</t>
  </si>
  <si>
    <t xml:space="preserve">FD-58654</t>
  </si>
  <si>
    <t xml:space="preserve">SX-002237</t>
  </si>
  <si>
    <t xml:space="preserve">张琪</t>
  </si>
  <si>
    <t xml:space="preserve">供应实习生</t>
  </si>
  <si>
    <t xml:space="preserve">FD-58655</t>
  </si>
  <si>
    <t xml:space="preserve">FD-026971</t>
  </si>
  <si>
    <t xml:space="preserve">曾睿琳</t>
  </si>
  <si>
    <t xml:space="preserve">FD-58656</t>
  </si>
  <si>
    <t xml:space="preserve">SX-001208</t>
  </si>
  <si>
    <t xml:space="preserve">郑佳雯</t>
  </si>
  <si>
    <t xml:space="preserve">FD-58657</t>
  </si>
  <si>
    <t xml:space="preserve">FD-031169</t>
  </si>
  <si>
    <t xml:space="preserve">石国庆</t>
  </si>
  <si>
    <t xml:space="preserve">FD-58659</t>
  </si>
  <si>
    <t xml:space="preserve">FD-025370</t>
  </si>
  <si>
    <t xml:space="preserve">陈怡伶</t>
  </si>
  <si>
    <t xml:space="preserve">FD-58660</t>
  </si>
  <si>
    <t xml:space="preserve">FD-045169</t>
  </si>
  <si>
    <t xml:space="preserve">李雪儿</t>
  </si>
  <si>
    <t xml:space="preserve">FD-58661</t>
  </si>
  <si>
    <t xml:space="preserve">FD-153889</t>
  </si>
  <si>
    <t xml:space="preserve">张佳仪</t>
  </si>
  <si>
    <t xml:space="preserve">FD-58662</t>
  </si>
  <si>
    <t xml:space="preserve">SQ-002140</t>
  </si>
  <si>
    <t xml:space="preserve">李亦秋</t>
  </si>
  <si>
    <t xml:space="preserve">商务实习生</t>
  </si>
  <si>
    <t xml:space="preserve">FD-58663</t>
  </si>
  <si>
    <t xml:space="preserve">FD-052496</t>
  </si>
  <si>
    <t xml:space="preserve">邓欣仪</t>
  </si>
  <si>
    <t xml:space="preserve">FD-58664</t>
  </si>
  <si>
    <t xml:space="preserve">FD-027853</t>
  </si>
  <si>
    <t xml:space="preserve">曾颖</t>
  </si>
  <si>
    <t xml:space="preserve">FD-58667</t>
  </si>
  <si>
    <t xml:space="preserve">SX-005812</t>
  </si>
  <si>
    <t xml:space="preserve">宋嘉颖</t>
  </si>
  <si>
    <t xml:space="preserve">产品实习生</t>
  </si>
  <si>
    <t xml:space="preserve">FD-58669</t>
  </si>
  <si>
    <t xml:space="preserve">SX-009866</t>
  </si>
  <si>
    <t xml:space="preserve">张淳茗</t>
  </si>
  <si>
    <t xml:space="preserve">视频编辑实习生</t>
  </si>
  <si>
    <t xml:space="preserve">FD-58670</t>
  </si>
  <si>
    <t xml:space="preserve">FD-020954</t>
  </si>
  <si>
    <t xml:space="preserve">陈凯涛</t>
  </si>
  <si>
    <t xml:space="preserve">FD-58671</t>
  </si>
  <si>
    <t xml:space="preserve">FD-039770</t>
  </si>
  <si>
    <t xml:space="preserve">王雨铭</t>
  </si>
  <si>
    <t xml:space="preserve">FD-58640</t>
  </si>
  <si>
    <t xml:space="preserve">FD-039977</t>
  </si>
  <si>
    <t xml:space="preserve">曾善美</t>
  </si>
  <si>
    <t xml:space="preserve">FD-58641</t>
  </si>
  <si>
    <t xml:space="preserve">FD-021099</t>
  </si>
  <si>
    <t xml:space="preserve">古广妹</t>
  </si>
  <si>
    <t xml:space="preserve">FD-58642</t>
  </si>
  <si>
    <t xml:space="preserve">FD-020038</t>
  </si>
  <si>
    <t xml:space="preserve">彭玉洁</t>
  </si>
  <si>
    <t xml:space="preserve">FD-58643</t>
  </si>
  <si>
    <t xml:space="preserve">FD-049372</t>
  </si>
  <si>
    <t xml:space="preserve">汪清莹</t>
  </si>
  <si>
    <t xml:space="preserve">FD-58644</t>
  </si>
  <si>
    <t xml:space="preserve">FD-027477</t>
  </si>
  <si>
    <t xml:space="preserve">罗梓欣</t>
  </si>
  <si>
    <t xml:space="preserve">FD-58646</t>
  </si>
  <si>
    <t xml:space="preserve">FD-027130</t>
  </si>
  <si>
    <t xml:space="preserve">马鸿涛</t>
  </si>
  <si>
    <t xml:space="preserve">FD-58648</t>
  </si>
  <si>
    <t xml:space="preserve">FD-229153</t>
  </si>
  <si>
    <t xml:space="preserve">吴灏楠</t>
  </si>
  <si>
    <t xml:space="preserve">FD-58637</t>
  </si>
  <si>
    <t xml:space="preserve">FD-026487</t>
  </si>
  <si>
    <t xml:space="preserve">何金芝</t>
  </si>
  <si>
    <t xml:space="preserve">FD-58638</t>
  </si>
  <si>
    <t xml:space="preserve">FD-097849</t>
  </si>
  <si>
    <t xml:space="preserve">林昌明</t>
  </si>
  <si>
    <t xml:space="preserve">FD-58616</t>
  </si>
  <si>
    <t xml:space="preserve">SX-000217</t>
  </si>
  <si>
    <t xml:space="preserve">孙雨萌</t>
  </si>
  <si>
    <t xml:space="preserve">FD-58617</t>
  </si>
  <si>
    <t xml:space="preserve">FD-023375</t>
  </si>
  <si>
    <t xml:space="preserve">刘文轩</t>
  </si>
  <si>
    <t xml:space="preserve">FD-58618</t>
  </si>
  <si>
    <t xml:space="preserve">SX-008778</t>
  </si>
  <si>
    <t xml:space="preserve">肖轶品</t>
  </si>
  <si>
    <t xml:space="preserve">FD-58619</t>
  </si>
  <si>
    <t xml:space="preserve">SX-001864</t>
  </si>
  <si>
    <t xml:space="preserve">廖亦君</t>
  </si>
  <si>
    <t xml:space="preserve">上限500</t>
  </si>
  <si>
    <t xml:space="preserve">FD-58620</t>
  </si>
  <si>
    <t xml:space="preserve">SX-005365</t>
  </si>
  <si>
    <t xml:space="preserve">何炜彤</t>
  </si>
  <si>
    <t xml:space="preserve">财务实习生</t>
  </si>
  <si>
    <t xml:space="preserve">FD-58621</t>
  </si>
  <si>
    <t xml:space="preserve">FD-034976</t>
  </si>
  <si>
    <t xml:space="preserve">王文欢</t>
  </si>
  <si>
    <t xml:space="preserve">FD-58622</t>
  </si>
  <si>
    <t xml:space="preserve">FD-048165</t>
  </si>
  <si>
    <t xml:space="preserve">黎柳琴</t>
  </si>
  <si>
    <t xml:space="preserve">FD-58623</t>
  </si>
  <si>
    <t xml:space="preserve">FD-010463</t>
  </si>
  <si>
    <t xml:space="preserve">李静晗</t>
  </si>
  <si>
    <t xml:space="preserve">FD-58624</t>
  </si>
  <si>
    <t xml:space="preserve">FD-092488</t>
  </si>
  <si>
    <t xml:space="preserve">林杜明</t>
  </si>
  <si>
    <t xml:space="preserve">FD-58625</t>
  </si>
  <si>
    <t xml:space="preserve">FD-050705</t>
  </si>
  <si>
    <t xml:space="preserve">谷春炎</t>
  </si>
  <si>
    <t xml:space="preserve">FD-58626</t>
  </si>
  <si>
    <t xml:space="preserve">FD-158124</t>
  </si>
  <si>
    <t xml:space="preserve">张韶涵</t>
  </si>
  <si>
    <t xml:space="preserve">FD-58627</t>
  </si>
  <si>
    <t xml:space="preserve">FD-221053</t>
  </si>
  <si>
    <t xml:space="preserve">陈洪彪</t>
  </si>
  <si>
    <t xml:space="preserve">FD-58628</t>
  </si>
  <si>
    <t xml:space="preserve">SX-004169</t>
  </si>
  <si>
    <t xml:space="preserve">陈桂炼</t>
  </si>
  <si>
    <t xml:space="preserve">品控实习生</t>
  </si>
  <si>
    <t xml:space="preserve">FD-58629</t>
  </si>
  <si>
    <t xml:space="preserve">SX-004477</t>
  </si>
  <si>
    <t xml:space="preserve">林灿涛</t>
  </si>
  <si>
    <t xml:space="preserve">FD-58633</t>
  </si>
  <si>
    <t xml:space="preserve">FD-097315</t>
  </si>
  <si>
    <t xml:space="preserve">刘佳俊</t>
  </si>
  <si>
    <t xml:space="preserve">FD-58603</t>
  </si>
  <si>
    <t xml:space="preserve">SX-008692</t>
  </si>
  <si>
    <t xml:space="preserve">梁芷莹</t>
  </si>
  <si>
    <t xml:space="preserve">FD-58605</t>
  </si>
  <si>
    <t xml:space="preserve">FD-031647</t>
  </si>
  <si>
    <t xml:space="preserve">刘思</t>
  </si>
  <si>
    <t xml:space="preserve">FD-58606</t>
  </si>
  <si>
    <t xml:space="preserve">FD-221172</t>
  </si>
  <si>
    <t xml:space="preserve">刘凯</t>
  </si>
  <si>
    <t xml:space="preserve">FD-58610</t>
  </si>
  <si>
    <t xml:space="preserve">FD-023018</t>
  </si>
  <si>
    <t xml:space="preserve">陈广聪</t>
  </si>
  <si>
    <t xml:space="preserve">FD-58573</t>
  </si>
  <si>
    <t xml:space="preserve">FD-043242</t>
  </si>
  <si>
    <t xml:space="preserve">刘韵莹</t>
  </si>
  <si>
    <t xml:space="preserve">FD-58575</t>
  </si>
  <si>
    <t xml:space="preserve">FD-025819</t>
  </si>
  <si>
    <t xml:space="preserve">杨凯琳</t>
  </si>
  <si>
    <t xml:space="preserve">创意经理</t>
  </si>
  <si>
    <t xml:space="preserve">FD-58576</t>
  </si>
  <si>
    <t xml:space="preserve">FD-176987</t>
  </si>
  <si>
    <t xml:space="preserve">王柄钦</t>
  </si>
  <si>
    <t xml:space="preserve">FD-58577</t>
  </si>
  <si>
    <t xml:space="preserve">FD-062950</t>
  </si>
  <si>
    <t xml:space="preserve">张雪瑶</t>
  </si>
  <si>
    <t xml:space="preserve">FD-58578</t>
  </si>
  <si>
    <t xml:space="preserve">FD-062816</t>
  </si>
  <si>
    <t xml:space="preserve">洪若羽</t>
  </si>
  <si>
    <t xml:space="preserve">FD-58579</t>
  </si>
  <si>
    <t xml:space="preserve">FD-046238</t>
  </si>
  <si>
    <t xml:space="preserve">廖歆玥</t>
  </si>
  <si>
    <t xml:space="preserve">FD-58580</t>
  </si>
  <si>
    <t xml:space="preserve">FD-026345</t>
  </si>
  <si>
    <t xml:space="preserve">田智文</t>
  </si>
  <si>
    <t xml:space="preserve">FD-58581</t>
  </si>
  <si>
    <t xml:space="preserve">FD-060430</t>
  </si>
  <si>
    <t xml:space="preserve">蒋盈颖</t>
  </si>
  <si>
    <t xml:space="preserve">FD-58582</t>
  </si>
  <si>
    <t xml:space="preserve">FD-061817</t>
  </si>
  <si>
    <t xml:space="preserve">付文雅</t>
  </si>
  <si>
    <t xml:space="preserve">FD-58586</t>
  </si>
  <si>
    <t xml:space="preserve">FD-068941</t>
  </si>
  <si>
    <t xml:space="preserve">李祥顺</t>
  </si>
  <si>
    <t xml:space="preserve">FD-58589</t>
  </si>
  <si>
    <t xml:space="preserve">FD-030061</t>
  </si>
  <si>
    <t xml:space="preserve">林亦菲</t>
  </si>
  <si>
    <t xml:space="preserve">FD-58560</t>
  </si>
  <si>
    <t xml:space="preserve">FD-015353</t>
  </si>
  <si>
    <t xml:space="preserve">张桐</t>
  </si>
  <si>
    <t xml:space="preserve">FD-58563</t>
  </si>
  <si>
    <t xml:space="preserve">SX-007616</t>
  </si>
  <si>
    <t xml:space="preserve">陈楠</t>
  </si>
  <si>
    <t xml:space="preserve">干部管理实习生</t>
  </si>
  <si>
    <t xml:space="preserve">FD-58564</t>
  </si>
  <si>
    <t xml:space="preserve">FD-021632</t>
  </si>
  <si>
    <t xml:space="preserve">刘子菁</t>
  </si>
  <si>
    <t xml:space="preserve">FD-58565</t>
  </si>
  <si>
    <t xml:space="preserve">FD-222398</t>
  </si>
  <si>
    <t xml:space="preserve">王砺</t>
  </si>
  <si>
    <t xml:space="preserve">FD-58566</t>
  </si>
  <si>
    <t xml:space="preserve">FD-029027</t>
  </si>
  <si>
    <t xml:space="preserve">余金羱</t>
  </si>
  <si>
    <t xml:space="preserve">FD-58569</t>
  </si>
  <si>
    <t xml:space="preserve">FD-070208</t>
  </si>
  <si>
    <t xml:space="preserve">谭小慧</t>
  </si>
  <si>
    <t xml:space="preserve">FD-58552</t>
  </si>
  <si>
    <t xml:space="preserve">SX-001600</t>
  </si>
  <si>
    <t xml:space="preserve">张文珂</t>
  </si>
  <si>
    <t xml:space="preserve">FD-58554</t>
  </si>
  <si>
    <t xml:space="preserve">FD-039808</t>
  </si>
  <si>
    <t xml:space="preserve">黄智扬</t>
  </si>
  <si>
    <t xml:space="preserve">信息流优化师</t>
  </si>
  <si>
    <t xml:space="preserve">FD-58548</t>
  </si>
  <si>
    <t xml:space="preserve">FD-093313</t>
  </si>
  <si>
    <t xml:space="preserve">陈玉夏</t>
  </si>
  <si>
    <t xml:space="preserve">FD-58861</t>
  </si>
  <si>
    <t xml:space="preserve">FD-049772</t>
  </si>
  <si>
    <t xml:space="preserve">陈月华</t>
  </si>
  <si>
    <t xml:space="preserve">FD-58843</t>
  </si>
  <si>
    <t xml:space="preserve">FD-057591</t>
  </si>
  <si>
    <t xml:space="preserve">程宇</t>
  </si>
  <si>
    <t xml:space="preserve">FD-58844</t>
  </si>
  <si>
    <t xml:space="preserve">SX-006993</t>
  </si>
  <si>
    <t xml:space="preserve">庄茜妍</t>
  </si>
  <si>
    <t xml:space="preserve">FD-58845</t>
  </si>
  <si>
    <t xml:space="preserve">SQ-002976</t>
  </si>
  <si>
    <t xml:space="preserve">电商实习生</t>
  </si>
  <si>
    <t xml:space="preserve">FD-58846</t>
  </si>
  <si>
    <t xml:space="preserve">FD-077452</t>
  </si>
  <si>
    <t xml:space="preserve">张渘浚</t>
  </si>
  <si>
    <t xml:space="preserve">FD-58847</t>
  </si>
  <si>
    <t xml:space="preserve">FD-067782</t>
  </si>
  <si>
    <t xml:space="preserve">劳浩桓</t>
  </si>
  <si>
    <t xml:space="preserve">FD-58848</t>
  </si>
  <si>
    <t xml:space="preserve">FD-070685</t>
  </si>
  <si>
    <t xml:space="preserve">石家硕</t>
  </si>
  <si>
    <t xml:space="preserve">FD-58849</t>
  </si>
  <si>
    <t xml:space="preserve">SQ-008969</t>
  </si>
  <si>
    <t xml:space="preserve">姚亿涵</t>
  </si>
  <si>
    <t xml:space="preserve">COE实习生</t>
  </si>
  <si>
    <t xml:space="preserve">FD-58850</t>
  </si>
  <si>
    <t xml:space="preserve">SX-009012</t>
  </si>
  <si>
    <t xml:space="preserve">赵晗</t>
  </si>
  <si>
    <t xml:space="preserve">市场开拓实习生</t>
  </si>
  <si>
    <t xml:space="preserve">FD-58852</t>
  </si>
  <si>
    <t xml:space="preserve">SQ-005463</t>
  </si>
  <si>
    <t xml:space="preserve">曾佳佳</t>
  </si>
  <si>
    <t xml:space="preserve">研发实习生</t>
  </si>
  <si>
    <t xml:space="preserve">FD-58854</t>
  </si>
  <si>
    <t xml:space="preserve">FD-049969</t>
  </si>
  <si>
    <t xml:space="preserve">李婕</t>
  </si>
  <si>
    <t xml:space="preserve">FD-58857</t>
  </si>
  <si>
    <t xml:space="preserve">FD-028150</t>
  </si>
  <si>
    <t xml:space="preserve">陈荟聿</t>
  </si>
  <si>
    <t xml:space="preserve">FD-58859</t>
  </si>
  <si>
    <t xml:space="preserve">FD-038309</t>
  </si>
  <si>
    <t xml:space="preserve">钟泽纯</t>
  </si>
  <si>
    <t xml:space="preserve">FD-58831</t>
  </si>
  <si>
    <t xml:space="preserve">FD-065580</t>
  </si>
  <si>
    <t xml:space="preserve">冉光讯</t>
  </si>
  <si>
    <t xml:space="preserve">FD-58832</t>
  </si>
  <si>
    <t xml:space="preserve">SX-000211</t>
  </si>
  <si>
    <t xml:space="preserve">任泽恩琦</t>
  </si>
  <si>
    <t xml:space="preserve">FD-58833</t>
  </si>
  <si>
    <t xml:space="preserve">FD-030900</t>
  </si>
  <si>
    <t xml:space="preserve">肖烨涛</t>
  </si>
  <si>
    <t xml:space="preserve">FD-58834</t>
  </si>
  <si>
    <t xml:space="preserve">FD-191870</t>
  </si>
  <si>
    <t xml:space="preserve">黄晓玲</t>
  </si>
  <si>
    <t xml:space="preserve">FD-58835</t>
  </si>
  <si>
    <t xml:space="preserve">SX-008730</t>
  </si>
  <si>
    <t xml:space="preserve">黄千郦</t>
  </si>
  <si>
    <t xml:space="preserve">行政实习生</t>
  </si>
  <si>
    <t xml:space="preserve">FD-58836</t>
  </si>
  <si>
    <t xml:space="preserve">FD-028559</t>
  </si>
  <si>
    <t xml:space="preserve">雷惠朝</t>
  </si>
  <si>
    <t xml:space="preserve">FD-58838</t>
  </si>
  <si>
    <t xml:space="preserve">SX-000750</t>
  </si>
  <si>
    <t xml:space="preserve">亢伊洋</t>
  </si>
  <si>
    <t xml:space="preserve">FD-58839</t>
  </si>
  <si>
    <t xml:space="preserve">FD-031836</t>
  </si>
  <si>
    <t xml:space="preserve">蔡甘露</t>
  </si>
  <si>
    <t xml:space="preserve">FD-58840</t>
  </si>
  <si>
    <t xml:space="preserve">FD-226705</t>
  </si>
  <si>
    <t xml:space="preserve">王婧怡</t>
  </si>
  <si>
    <t xml:space="preserve">FD-58841</t>
  </si>
  <si>
    <t xml:space="preserve">FD-031444</t>
  </si>
  <si>
    <t xml:space="preserve">许秦湘</t>
  </si>
  <si>
    <t xml:space="preserve">FD-58792</t>
  </si>
  <si>
    <t xml:space="preserve">SX-003418</t>
  </si>
  <si>
    <t xml:space="preserve">吕姿霖</t>
  </si>
  <si>
    <t xml:space="preserve">FD-58795</t>
  </si>
  <si>
    <t xml:space="preserve">SQ-002391</t>
  </si>
  <si>
    <t xml:space="preserve">汪思颖</t>
  </si>
  <si>
    <t xml:space="preserve">FD-58797</t>
  </si>
  <si>
    <t xml:space="preserve">SQ-001859</t>
  </si>
  <si>
    <t xml:space="preserve">杜甜甜</t>
  </si>
  <si>
    <t xml:space="preserve">招聘实习生</t>
  </si>
  <si>
    <t xml:space="preserve">FD-58798</t>
  </si>
  <si>
    <t xml:space="preserve">SX-003518</t>
  </si>
  <si>
    <t xml:space="preserve">刘慧滢</t>
  </si>
  <si>
    <t xml:space="preserve">FD-58799</t>
  </si>
  <si>
    <t xml:space="preserve">FD-039956</t>
  </si>
  <si>
    <t xml:space="preserve">赵晴</t>
  </si>
  <si>
    <t xml:space="preserve">FD-58801</t>
  </si>
  <si>
    <t xml:space="preserve">FD-032374</t>
  </si>
  <si>
    <t xml:space="preserve">欧阳泳桢</t>
  </si>
  <si>
    <t xml:space="preserve">FD-58802</t>
  </si>
  <si>
    <t xml:space="preserve">FD-014348</t>
  </si>
  <si>
    <t xml:space="preserve">潘希晨</t>
  </si>
  <si>
    <t xml:space="preserve">FD-58803</t>
  </si>
  <si>
    <t xml:space="preserve">SQ-006967</t>
  </si>
  <si>
    <t xml:space="preserve">李凤芸</t>
  </si>
  <si>
    <t xml:space="preserve">人才发展实习生</t>
  </si>
  <si>
    <t xml:space="preserve">FD-58804</t>
  </si>
  <si>
    <t xml:space="preserve">SQ-002902</t>
  </si>
  <si>
    <t xml:space="preserve">李佳慧</t>
  </si>
  <si>
    <t xml:space="preserve">猎聘实习生</t>
  </si>
  <si>
    <t xml:space="preserve">FD-58805</t>
  </si>
  <si>
    <t xml:space="preserve">SQ-003777</t>
  </si>
  <si>
    <t xml:space="preserve">李沛姿</t>
  </si>
  <si>
    <t xml:space="preserve">FD-58806</t>
  </si>
  <si>
    <t xml:space="preserve">SX-005799</t>
  </si>
  <si>
    <t xml:space="preserve">黄俊慧</t>
  </si>
  <si>
    <t xml:space="preserve">助理实习生</t>
  </si>
  <si>
    <t xml:space="preserve">FD-58807</t>
  </si>
  <si>
    <t xml:space="preserve">SX-004170</t>
  </si>
  <si>
    <t xml:space="preserve">袁芷茵</t>
  </si>
  <si>
    <t xml:space="preserve">新媒体文案实习生</t>
  </si>
  <si>
    <t xml:space="preserve">FD-58809</t>
  </si>
  <si>
    <t xml:space="preserve">FD-034631</t>
  </si>
  <si>
    <t xml:space="preserve">朱晴</t>
  </si>
  <si>
    <t xml:space="preserve">FD-58810</t>
  </si>
  <si>
    <t xml:space="preserve">FD-025171</t>
  </si>
  <si>
    <t xml:space="preserve">胡琳琳</t>
  </si>
  <si>
    <t xml:space="preserve">FD-58811</t>
  </si>
  <si>
    <t xml:space="preserve">FD-231862</t>
  </si>
  <si>
    <t xml:space="preserve">李楚杰</t>
  </si>
  <si>
    <t xml:space="preserve">FD-58812</t>
  </si>
  <si>
    <t xml:space="preserve">FD-015035</t>
  </si>
  <si>
    <t xml:space="preserve">张潇宇</t>
  </si>
  <si>
    <t xml:space="preserve">FD-58813</t>
  </si>
  <si>
    <t xml:space="preserve">FD-085835</t>
  </si>
  <si>
    <t xml:space="preserve">庞渝文</t>
  </si>
  <si>
    <t xml:space="preserve">FD-58814</t>
  </si>
  <si>
    <t xml:space="preserve">FD-065164</t>
  </si>
  <si>
    <t xml:space="preserve">龚云强</t>
  </si>
  <si>
    <t xml:space="preserve">FD-58815</t>
  </si>
  <si>
    <t xml:space="preserve">SQ-004171</t>
  </si>
  <si>
    <t xml:space="preserve">蔡翌希</t>
  </si>
  <si>
    <t xml:space="preserve">品牌实习生</t>
  </si>
  <si>
    <t xml:space="preserve">FD-58816</t>
  </si>
  <si>
    <t xml:space="preserve">SX-005898</t>
  </si>
  <si>
    <t xml:space="preserve">周筱淞</t>
  </si>
  <si>
    <t xml:space="preserve">FD-58817</t>
  </si>
  <si>
    <t xml:space="preserve">FD-027435</t>
  </si>
  <si>
    <t xml:space="preserve">蒋乐灵</t>
  </si>
  <si>
    <t xml:space="preserve">FD-58818</t>
  </si>
  <si>
    <t xml:space="preserve">SQ-004009</t>
  </si>
  <si>
    <t xml:space="preserve">徐赫含</t>
  </si>
  <si>
    <t xml:space="preserve">营销策划实习生</t>
  </si>
  <si>
    <t xml:space="preserve">FD-58820</t>
  </si>
  <si>
    <t xml:space="preserve">FD-044978</t>
  </si>
  <si>
    <t xml:space="preserve">马润佳</t>
  </si>
  <si>
    <t xml:space="preserve">FD-58821</t>
  </si>
  <si>
    <t xml:space="preserve">FD-235531</t>
  </si>
  <si>
    <t xml:space="preserve">陈莹莹</t>
  </si>
  <si>
    <t xml:space="preserve">FD-58823</t>
  </si>
  <si>
    <t xml:space="preserve">FD-091451</t>
  </si>
  <si>
    <t xml:space="preserve">刘言钰</t>
  </si>
  <si>
    <t xml:space="preserve">FD-58781</t>
  </si>
  <si>
    <t xml:space="preserve">FD-027290</t>
  </si>
  <si>
    <t xml:space="preserve">王明玥</t>
  </si>
  <si>
    <t xml:space="preserve">FD-58782</t>
  </si>
  <si>
    <t xml:space="preserve">SX-006829</t>
  </si>
  <si>
    <t xml:space="preserve">郑乐宜</t>
  </si>
  <si>
    <t xml:space="preserve">FD-58783</t>
  </si>
  <si>
    <t xml:space="preserve">SX-009609</t>
  </si>
  <si>
    <t xml:space="preserve">陈丽萍</t>
  </si>
  <si>
    <t xml:space="preserve">FD-58784</t>
  </si>
  <si>
    <t xml:space="preserve">SQ-008624</t>
  </si>
  <si>
    <t xml:space="preserve">赵心雨</t>
  </si>
  <si>
    <t xml:space="preserve">FD-58755</t>
  </si>
  <si>
    <t xml:space="preserve">SX-000492</t>
  </si>
  <si>
    <t xml:space="preserve">陈沅怡</t>
  </si>
  <si>
    <t xml:space="preserve">FD-58756</t>
  </si>
  <si>
    <t xml:space="preserve">SX-002782</t>
  </si>
  <si>
    <t xml:space="preserve">黄悦儿</t>
  </si>
  <si>
    <t xml:space="preserve">FD-58757</t>
  </si>
  <si>
    <t xml:space="preserve">FD-015716</t>
  </si>
  <si>
    <t xml:space="preserve">林莹莹</t>
  </si>
  <si>
    <t xml:space="preserve">活动策划经理</t>
  </si>
  <si>
    <t xml:space="preserve">FD-58758</t>
  </si>
  <si>
    <t xml:space="preserve">SQ-000363</t>
  </si>
  <si>
    <t xml:space="preserve">张祎航</t>
  </si>
  <si>
    <t xml:space="preserve">FD-58759</t>
  </si>
  <si>
    <t xml:space="preserve">SX-004117</t>
  </si>
  <si>
    <t xml:space="preserve">陈琳</t>
  </si>
  <si>
    <t xml:space="preserve">FD-58760</t>
  </si>
  <si>
    <t xml:space="preserve">SX-003085</t>
  </si>
  <si>
    <t xml:space="preserve">唐敏</t>
  </si>
  <si>
    <t xml:space="preserve">FD-58761</t>
  </si>
  <si>
    <t xml:space="preserve">SQ-006620</t>
  </si>
  <si>
    <t xml:space="preserve">傅瑶</t>
  </si>
  <si>
    <t xml:space="preserve">FD-58762</t>
  </si>
  <si>
    <t xml:space="preserve">SX-008258</t>
  </si>
  <si>
    <t xml:space="preserve">古培森</t>
  </si>
  <si>
    <t xml:space="preserve">培训运营实习生</t>
  </si>
  <si>
    <t xml:space="preserve">FD-58764</t>
  </si>
  <si>
    <t xml:space="preserve">SX-008850</t>
  </si>
  <si>
    <t xml:space="preserve">成菁妍</t>
  </si>
  <si>
    <t xml:space="preserve">采购实习生</t>
  </si>
  <si>
    <t xml:space="preserve">FD-58765</t>
  </si>
  <si>
    <t xml:space="preserve">FD-091245</t>
  </si>
  <si>
    <t xml:space="preserve">FD-58766</t>
  </si>
  <si>
    <t xml:space="preserve">FD-199071</t>
  </si>
  <si>
    <t xml:space="preserve">韦蕊婷</t>
  </si>
  <si>
    <t xml:space="preserve">FD-58768</t>
  </si>
  <si>
    <t xml:space="preserve">SX-006044</t>
  </si>
  <si>
    <t xml:space="preserve">黄韦心</t>
  </si>
  <si>
    <t xml:space="preserve">FD-58769</t>
  </si>
  <si>
    <t xml:space="preserve">SQ-001703</t>
  </si>
  <si>
    <t xml:space="preserve">王皓欣</t>
  </si>
  <si>
    <t xml:space="preserve">FD-58775</t>
  </si>
  <si>
    <t xml:space="preserve">FD-020646</t>
  </si>
  <si>
    <t xml:space="preserve">林梓烁</t>
  </si>
  <si>
    <t xml:space="preserve">FD-58739</t>
  </si>
  <si>
    <t xml:space="preserve">SX-004970</t>
  </si>
  <si>
    <t xml:space="preserve">李梓恒</t>
  </si>
  <si>
    <t xml:space="preserve">FD-58740</t>
  </si>
  <si>
    <t xml:space="preserve">SX-009539</t>
  </si>
  <si>
    <t xml:space="preserve">巫乐平</t>
  </si>
  <si>
    <t xml:space="preserve">FD-58741</t>
  </si>
  <si>
    <t xml:space="preserve">FD-017858</t>
  </si>
  <si>
    <t xml:space="preserve">朱玙璠</t>
  </si>
  <si>
    <t xml:space="preserve">FD-58744</t>
  </si>
  <si>
    <t xml:space="preserve">SX-001339</t>
  </si>
  <si>
    <t xml:space="preserve">马嘉彤</t>
  </si>
  <si>
    <t xml:space="preserve">社群运营实习生</t>
  </si>
  <si>
    <t xml:space="preserve">FD-58745</t>
  </si>
  <si>
    <t xml:space="preserve">FD-153368</t>
  </si>
  <si>
    <t xml:space="preserve">欧鸿雁</t>
  </si>
  <si>
    <t xml:space="preserve">知识产权专员</t>
  </si>
  <si>
    <t xml:space="preserve">FD-58746</t>
  </si>
  <si>
    <t xml:space="preserve">SX-005949</t>
  </si>
  <si>
    <t xml:space="preserve">余佩琳</t>
  </si>
  <si>
    <t xml:space="preserve">内控实习生</t>
  </si>
  <si>
    <t xml:space="preserve">FD-58747</t>
  </si>
  <si>
    <t xml:space="preserve">FD-068700</t>
  </si>
  <si>
    <t xml:space="preserve">米博</t>
  </si>
  <si>
    <t xml:space="preserve">FD-58749</t>
  </si>
  <si>
    <t xml:space="preserve">SX-009943</t>
  </si>
  <si>
    <t xml:space="preserve">张思培</t>
  </si>
  <si>
    <t xml:space="preserve">综合管理实习生</t>
  </si>
  <si>
    <t xml:space="preserve">FD-58750</t>
  </si>
  <si>
    <t xml:space="preserve">FD-065497</t>
  </si>
  <si>
    <t xml:space="preserve">丘世豪</t>
  </si>
  <si>
    <t xml:space="preserve">FD-58752</t>
  </si>
  <si>
    <t xml:space="preserve">FD-029079</t>
  </si>
  <si>
    <t xml:space="preserve">刁心然</t>
  </si>
  <si>
    <t xml:space="preserve">FD-58720</t>
  </si>
  <si>
    <t xml:space="preserve">FD-046625</t>
  </si>
  <si>
    <t xml:space="preserve">赵凯悦</t>
  </si>
  <si>
    <t xml:space="preserve">FD-58721</t>
  </si>
  <si>
    <t xml:space="preserve">FD-021751</t>
  </si>
  <si>
    <t xml:space="preserve">陈意彤</t>
  </si>
  <si>
    <t xml:space="preserve">FD-58722</t>
  </si>
  <si>
    <t xml:space="preserve">SQ-007583</t>
  </si>
  <si>
    <t xml:space="preserve">张晶瑶</t>
  </si>
  <si>
    <t xml:space="preserve">FD-58724</t>
  </si>
  <si>
    <t xml:space="preserve">SQ-008193</t>
  </si>
  <si>
    <t xml:space="preserve">刘萌萌</t>
  </si>
  <si>
    <t xml:space="preserve">FD-58725</t>
  </si>
  <si>
    <t xml:space="preserve">FD-022320</t>
  </si>
  <si>
    <t xml:space="preserve">李忠翰</t>
  </si>
  <si>
    <t xml:space="preserve">FD-58726</t>
  </si>
  <si>
    <t xml:space="preserve">SQ-003223</t>
  </si>
  <si>
    <t xml:space="preserve">孙韩</t>
  </si>
  <si>
    <t xml:space="preserve">总监助理实习生</t>
  </si>
  <si>
    <t xml:space="preserve">FD-58727</t>
  </si>
  <si>
    <t xml:space="preserve">SX-002179</t>
  </si>
  <si>
    <t xml:space="preserve">谭智</t>
  </si>
  <si>
    <t xml:space="preserve">FD-58732</t>
  </si>
  <si>
    <t xml:space="preserve">FD-033502</t>
  </si>
  <si>
    <t xml:space="preserve">夏牧原</t>
  </si>
  <si>
    <t xml:space="preserve">FD-58707</t>
  </si>
  <si>
    <t xml:space="preserve">FD-033303</t>
  </si>
  <si>
    <t xml:space="preserve">李楚晴</t>
  </si>
  <si>
    <t xml:space="preserve">FD-58708</t>
  </si>
  <si>
    <t xml:space="preserve">FD-029700</t>
  </si>
  <si>
    <t xml:space="preserve">苏峒羽</t>
  </si>
  <si>
    <t xml:space="preserve">FD-58709</t>
  </si>
  <si>
    <t xml:space="preserve">SX-000512</t>
  </si>
  <si>
    <t xml:space="preserve">梁颖茵</t>
  </si>
  <si>
    <t xml:space="preserve">项目管理实习生</t>
  </si>
  <si>
    <t xml:space="preserve">FD-58710</t>
  </si>
  <si>
    <t xml:space="preserve">FD-026949</t>
  </si>
  <si>
    <t xml:space="preserve">程心怡</t>
  </si>
  <si>
    <t xml:space="preserve">FD-58711</t>
  </si>
  <si>
    <t xml:space="preserve">SX-003607</t>
  </si>
  <si>
    <t xml:space="preserve">许奕涵</t>
  </si>
  <si>
    <t xml:space="preserve">FD-58712</t>
  </si>
  <si>
    <t xml:space="preserve">FD-066439</t>
  </si>
  <si>
    <t xml:space="preserve">江佳仪</t>
  </si>
  <si>
    <t xml:space="preserve">FD-58716</t>
  </si>
  <si>
    <t xml:space="preserve">SX-000510</t>
  </si>
  <si>
    <t xml:space="preserve">周思颖</t>
  </si>
  <si>
    <t xml:space="preserve">FD-58717</t>
  </si>
  <si>
    <t xml:space="preserve">FD-024892</t>
  </si>
  <si>
    <t xml:space="preserve">刘玉琳</t>
  </si>
  <si>
    <t xml:space="preserve">FD-58684</t>
  </si>
  <si>
    <t xml:space="preserve">FD-058236</t>
  </si>
  <si>
    <t xml:space="preserve">陈增铭</t>
  </si>
  <si>
    <t xml:space="preserve">FD-58685</t>
  </si>
  <si>
    <t xml:space="preserve">FD-059032</t>
  </si>
  <si>
    <t xml:space="preserve">麦绮雯</t>
  </si>
  <si>
    <t xml:space="preserve">FD-58686</t>
  </si>
  <si>
    <t xml:space="preserve">FD-014385</t>
  </si>
  <si>
    <t xml:space="preserve">朱娇娇</t>
  </si>
  <si>
    <t xml:space="preserve">市场开拓经理</t>
  </si>
  <si>
    <t xml:space="preserve">FD-58687</t>
  </si>
  <si>
    <t xml:space="preserve">SX-008478</t>
  </si>
  <si>
    <t xml:space="preserve">訾伟伟</t>
  </si>
  <si>
    <t xml:space="preserve">FD-58689</t>
  </si>
  <si>
    <t xml:space="preserve">FD-030300</t>
  </si>
  <si>
    <t xml:space="preserve">王腾扬</t>
  </si>
  <si>
    <t xml:space="preserve">FD-58690</t>
  </si>
  <si>
    <t xml:space="preserve">SX-000572</t>
  </si>
  <si>
    <t xml:space="preserve">古海琳</t>
  </si>
  <si>
    <t xml:space="preserve">FD-58692</t>
  </si>
  <si>
    <t xml:space="preserve">FD-026440</t>
  </si>
  <si>
    <t xml:space="preserve">颜渊洁</t>
  </si>
  <si>
    <t xml:space="preserve">FD-58694</t>
  </si>
  <si>
    <t xml:space="preserve">SX-003632</t>
  </si>
  <si>
    <t xml:space="preserve">宋全坤</t>
  </si>
  <si>
    <t xml:space="preserve">FD-58696</t>
  </si>
  <si>
    <t xml:space="preserve">FD-033667</t>
  </si>
  <si>
    <t xml:space="preserve">王陈</t>
  </si>
  <si>
    <t xml:space="preserve">FD-58697</t>
  </si>
  <si>
    <t xml:space="preserve">FD-032117</t>
  </si>
  <si>
    <t xml:space="preserve">郝圣悦</t>
  </si>
  <si>
    <t xml:space="preserve">FD-58699</t>
  </si>
  <si>
    <t xml:space="preserve">SX-000140</t>
  </si>
  <si>
    <t xml:space="preserve">陈仕佶</t>
  </si>
  <si>
    <t xml:space="preserve">FD-58700</t>
  </si>
  <si>
    <t xml:space="preserve">FD-027796</t>
  </si>
  <si>
    <t xml:space="preserve">宁燕</t>
  </si>
  <si>
    <t xml:space="preserve">FD-58701</t>
  </si>
  <si>
    <t xml:space="preserve">FD-040207</t>
  </si>
  <si>
    <t xml:space="preserve">周鳞</t>
  </si>
  <si>
    <t xml:space="preserve">FD-58735</t>
  </si>
  <si>
    <t xml:space="preserve">FD-060719</t>
  </si>
  <si>
    <t xml:space="preserve">郑若蓥</t>
  </si>
  <si>
    <t xml:space="preserve">FD-58736</t>
  </si>
  <si>
    <t xml:space="preserve">FD-042011</t>
  </si>
  <si>
    <t xml:space="preserve">曾繁琳</t>
  </si>
  <si>
    <t xml:space="preserve">FD-58864</t>
  </si>
  <si>
    <t xml:space="preserve">SX-007716</t>
  </si>
  <si>
    <t xml:space="preserve">杨丹妮</t>
  </si>
  <si>
    <t xml:space="preserve">FD-58866</t>
  </si>
  <si>
    <t xml:space="preserve">SX-002873</t>
  </si>
  <si>
    <t xml:space="preserve">穆开元</t>
  </si>
  <si>
    <t xml:space="preserve">创意策划实习生</t>
  </si>
  <si>
    <t xml:space="preserve">FD-58867</t>
  </si>
  <si>
    <t xml:space="preserve">SQ-001961</t>
  </si>
  <si>
    <t xml:space="preserve">吴灿莹</t>
  </si>
  <si>
    <t xml:space="preserve">FD-58870</t>
  </si>
  <si>
    <t xml:space="preserve">FD-054028</t>
  </si>
  <si>
    <t xml:space="preserve">虞雯锜</t>
  </si>
  <si>
    <t xml:space="preserve">FD-58874</t>
  </si>
  <si>
    <t xml:space="preserve">FD-038558</t>
  </si>
  <si>
    <t xml:space="preserve">陈敏如</t>
  </si>
  <si>
    <t xml:space="preserve">FD-58875</t>
  </si>
  <si>
    <t xml:space="preserve">FD-048007</t>
  </si>
  <si>
    <t xml:space="preserve">武邓嫣瑩</t>
  </si>
  <si>
    <t xml:space="preserve">FD-58876</t>
  </si>
  <si>
    <t xml:space="preserve">SQ-002078</t>
  </si>
  <si>
    <t xml:space="preserve">朱家仪</t>
  </si>
  <si>
    <t xml:space="preserve">FD-58877</t>
  </si>
  <si>
    <t xml:space="preserve">FD-015295</t>
  </si>
  <si>
    <t xml:space="preserve">段欣</t>
  </si>
  <si>
    <t xml:space="preserve">FD-58879</t>
  </si>
  <si>
    <t xml:space="preserve">SQ-006699</t>
  </si>
  <si>
    <t xml:space="preserve">韦外</t>
  </si>
  <si>
    <t xml:space="preserve">FD-58880</t>
  </si>
  <si>
    <t xml:space="preserve">FD-077846</t>
  </si>
  <si>
    <t xml:space="preserve">王斯宇</t>
  </si>
  <si>
    <t xml:space="preserve">FD-58881</t>
  </si>
  <si>
    <t xml:space="preserve">FD-055582</t>
  </si>
  <si>
    <t xml:space="preserve">孙洁文</t>
  </si>
  <si>
    <t xml:space="preserve">FD-58882</t>
  </si>
  <si>
    <t xml:space="preserve">FD-152075</t>
  </si>
  <si>
    <t xml:space="preserve">欧阳欣悦</t>
  </si>
  <si>
    <t xml:space="preserve">FD-58883</t>
  </si>
  <si>
    <t xml:space="preserve">FD-154190</t>
  </si>
  <si>
    <t xml:space="preserve">陈垣润</t>
  </si>
  <si>
    <t xml:space="preserve">FD-58888</t>
  </si>
  <si>
    <t xml:space="preserve">FD-043493</t>
  </si>
  <si>
    <t xml:space="preserve">郭奕含</t>
  </si>
  <si>
    <t xml:space="preserve">FD-58889</t>
  </si>
  <si>
    <t xml:space="preserve">FD-036746</t>
  </si>
  <si>
    <t xml:space="preserve">陈辅新</t>
  </si>
  <si>
    <t xml:space="preserve">FD-58891</t>
  </si>
  <si>
    <t xml:space="preserve">SQ-001694</t>
  </si>
  <si>
    <t xml:space="preserve">谭茜文</t>
  </si>
  <si>
    <t xml:space="preserve">FD-58896</t>
  </si>
  <si>
    <t xml:space="preserve">SX-004185</t>
  </si>
  <si>
    <t xml:space="preserve">林洢雯</t>
  </si>
  <si>
    <t xml:space="preserve">FD-58899</t>
  </si>
  <si>
    <t xml:space="preserve">SQ-005153</t>
  </si>
  <si>
    <t xml:space="preserve">夏怡曼</t>
  </si>
  <si>
    <t xml:space="preserve">产品设计实习生</t>
  </si>
  <si>
    <t xml:space="preserve">FD-58900</t>
  </si>
  <si>
    <t xml:space="preserve">SX-003788</t>
  </si>
  <si>
    <t xml:space="preserve">林佳怡</t>
  </si>
  <si>
    <t xml:space="preserve">FD-58902</t>
  </si>
  <si>
    <t xml:space="preserve">SQ-009962</t>
  </si>
  <si>
    <t xml:space="preserve">贾静琪</t>
  </si>
  <si>
    <t xml:space="preserve">FD-58903</t>
  </si>
  <si>
    <t xml:space="preserve">SQ-009351</t>
  </si>
  <si>
    <t xml:space="preserve">张荣荣</t>
  </si>
  <si>
    <t xml:space="preserve">FD-58904</t>
  </si>
  <si>
    <t xml:space="preserve">FD-036626</t>
  </si>
  <si>
    <t xml:space="preserve">周佳佳</t>
  </si>
  <si>
    <t xml:space="preserve">FD-58905</t>
  </si>
  <si>
    <t xml:space="preserve">SQ-001920</t>
  </si>
  <si>
    <t xml:space="preserve">刘婉萱</t>
  </si>
  <si>
    <t xml:space="preserve">FD-58906</t>
  </si>
  <si>
    <t xml:space="preserve">FD-172129</t>
  </si>
  <si>
    <t xml:space="preserve">宋兆卿</t>
  </si>
  <si>
    <t xml:space="preserve">FD-58907</t>
  </si>
  <si>
    <t xml:space="preserve">SQ-006631</t>
  </si>
  <si>
    <t xml:space="preserve">高海琳</t>
  </si>
  <si>
    <t xml:space="preserve">FD-58908</t>
  </si>
  <si>
    <t xml:space="preserve">FD-014844</t>
  </si>
  <si>
    <t xml:space="preserve">邹贝库</t>
  </si>
  <si>
    <t xml:space="preserve">FD-58909</t>
  </si>
  <si>
    <t xml:space="preserve">FD-064694</t>
  </si>
  <si>
    <t xml:space="preserve">管宇萱</t>
  </si>
  <si>
    <t xml:space="preserve">FD-58912</t>
  </si>
  <si>
    <t xml:space="preserve">FD-069572</t>
  </si>
  <si>
    <t xml:space="preserve">杨智立</t>
  </si>
  <si>
    <t xml:space="preserve">FD-58913</t>
  </si>
  <si>
    <t xml:space="preserve">FD-050886</t>
  </si>
  <si>
    <t xml:space="preserve">张卓雅</t>
  </si>
  <si>
    <t xml:space="preserve">FD-58914</t>
  </si>
  <si>
    <t xml:space="preserve">FD-065951</t>
  </si>
  <si>
    <t xml:space="preserve">董博</t>
  </si>
  <si>
    <t xml:space="preserve">FD-58915</t>
  </si>
  <si>
    <t xml:space="preserve">FD-028577</t>
  </si>
  <si>
    <t xml:space="preserve">施钰荧</t>
  </si>
  <si>
    <t xml:space="preserve">FD-58916</t>
  </si>
  <si>
    <t xml:space="preserve">FD-030783</t>
  </si>
  <si>
    <t xml:space="preserve">李嘉仪</t>
  </si>
  <si>
    <t xml:space="preserve">FD-58917</t>
  </si>
  <si>
    <t xml:space="preserve">FD-229588</t>
  </si>
  <si>
    <t xml:space="preserve">何金伟</t>
  </si>
  <si>
    <t xml:space="preserve">FD-58918</t>
  </si>
  <si>
    <t xml:space="preserve">FD-227119</t>
  </si>
  <si>
    <t xml:space="preserve">钟芳</t>
  </si>
  <si>
    <t xml:space="preserve">FD-58922</t>
  </si>
  <si>
    <t xml:space="preserve">FD-096262</t>
  </si>
  <si>
    <t xml:space="preserve">姜佩弦</t>
  </si>
  <si>
    <t xml:space="preserve">FD-58923</t>
  </si>
  <si>
    <t xml:space="preserve">FD-233989</t>
  </si>
  <si>
    <t xml:space="preserve">廖文惠</t>
  </si>
  <si>
    <t xml:space="preserve">FD-58924</t>
  </si>
  <si>
    <t xml:space="preserve">FD-045759</t>
  </si>
  <si>
    <t xml:space="preserve">彭思源</t>
  </si>
  <si>
    <t xml:space="preserve">FD-58926</t>
  </si>
  <si>
    <t xml:space="preserve">FD-024480</t>
  </si>
  <si>
    <t xml:space="preserve">白璐</t>
  </si>
  <si>
    <t xml:space="preserve">FD-58927</t>
  </si>
  <si>
    <t xml:space="preserve">FD-158756</t>
  </si>
  <si>
    <t xml:space="preserve">林思雨</t>
  </si>
  <si>
    <t xml:space="preserve">FD-58928</t>
  </si>
  <si>
    <t xml:space="preserve">FD-014133</t>
  </si>
  <si>
    <t xml:space="preserve">赵雨萱</t>
  </si>
  <si>
    <t xml:space="preserve">FD-58930</t>
  </si>
  <si>
    <t xml:space="preserve">FD-044647</t>
  </si>
  <si>
    <t xml:space="preserve">林羽浠</t>
  </si>
  <si>
    <t xml:space="preserve">FD-58933</t>
  </si>
  <si>
    <t xml:space="preserve">FD-035241</t>
  </si>
  <si>
    <t xml:space="preserve">于淼</t>
  </si>
  <si>
    <t xml:space="preserve">FD-58934</t>
  </si>
  <si>
    <t xml:space="preserve">FD-024434</t>
  </si>
  <si>
    <t xml:space="preserve">王思佳</t>
  </si>
  <si>
    <t xml:space="preserve">FD-58935</t>
  </si>
  <si>
    <t xml:space="preserve">SQ-009111</t>
  </si>
  <si>
    <t xml:space="preserve">FD-58936</t>
  </si>
  <si>
    <t xml:space="preserve">SQ-000612</t>
  </si>
  <si>
    <t xml:space="preserve">余家驹</t>
  </si>
  <si>
    <t xml:space="preserve">FD-58938</t>
  </si>
  <si>
    <t xml:space="preserve">FD-030056</t>
  </si>
  <si>
    <t xml:space="preserve">胡一菲</t>
  </si>
  <si>
    <t xml:space="preserve">FD-58939</t>
  </si>
  <si>
    <t xml:space="preserve">FD-035784</t>
  </si>
  <si>
    <t xml:space="preserve">卢灵</t>
  </si>
  <si>
    <t xml:space="preserve">FD-58940</t>
  </si>
  <si>
    <t xml:space="preserve">FD-024784</t>
  </si>
  <si>
    <t xml:space="preserve">陶琳婷</t>
  </si>
  <si>
    <t xml:space="preserve">FD-58941</t>
  </si>
  <si>
    <t xml:space="preserve">FD-057280</t>
  </si>
  <si>
    <t xml:space="preserve">刘芸菲</t>
  </si>
  <si>
    <t xml:space="preserve">FD-58942</t>
  </si>
  <si>
    <t xml:space="preserve">FD-027914</t>
  </si>
  <si>
    <t xml:space="preserve">甘凯婷</t>
  </si>
  <si>
    <t xml:space="preserve">FD-58947</t>
  </si>
  <si>
    <t xml:space="preserve">FD-045184</t>
  </si>
  <si>
    <t xml:space="preserve">王佳妮</t>
  </si>
  <si>
    <t xml:space="preserve">FD-58948</t>
  </si>
  <si>
    <t xml:space="preserve">FD-151719</t>
  </si>
  <si>
    <t xml:space="preserve">李子航</t>
  </si>
  <si>
    <t xml:space="preserve">企业文化经理</t>
  </si>
  <si>
    <t xml:space="preserve">FD-58955</t>
  </si>
  <si>
    <t xml:space="preserve">FD-020772</t>
  </si>
  <si>
    <t xml:space="preserve">陈俞婷</t>
  </si>
  <si>
    <t xml:space="preserve">FD-58956</t>
  </si>
  <si>
    <t xml:space="preserve">SQ-000638</t>
  </si>
  <si>
    <t xml:space="preserve">王浩儒</t>
  </si>
  <si>
    <t xml:space="preserve">FD-58957</t>
  </si>
  <si>
    <t xml:space="preserve">FD-047310</t>
  </si>
  <si>
    <t xml:space="preserve">邵如昀</t>
  </si>
  <si>
    <t xml:space="preserve">FD-58958</t>
  </si>
  <si>
    <t xml:space="preserve">FD-021559</t>
  </si>
  <si>
    <t xml:space="preserve">王斯</t>
  </si>
  <si>
    <t xml:space="preserve">FD-58959</t>
  </si>
  <si>
    <t xml:space="preserve">FD-016038</t>
  </si>
  <si>
    <t xml:space="preserve">罗桂林</t>
  </si>
  <si>
    <t xml:space="preserve">FD-58960</t>
  </si>
  <si>
    <t xml:space="preserve">FD-230517</t>
  </si>
  <si>
    <t xml:space="preserve">蔡文轩</t>
  </si>
  <si>
    <t xml:space="preserve">FD-58961</t>
  </si>
  <si>
    <t xml:space="preserve">FD-064435</t>
  </si>
  <si>
    <t xml:space="preserve">丁梓悦</t>
  </si>
  <si>
    <t xml:space="preserve">FD-58962</t>
  </si>
  <si>
    <t xml:space="preserve">FD-066653</t>
  </si>
  <si>
    <t xml:space="preserve">宫慧婷</t>
  </si>
  <si>
    <t xml:space="preserve">FD-58963</t>
  </si>
  <si>
    <t xml:space="preserve">FD-066350</t>
  </si>
  <si>
    <t xml:space="preserve">牛俊力</t>
  </si>
  <si>
    <t xml:space="preserve">FD-58964</t>
  </si>
  <si>
    <t xml:space="preserve">FD-154323</t>
  </si>
  <si>
    <t xml:space="preserve">杨嘉慧</t>
  </si>
  <si>
    <t xml:space="preserve">FD-58965</t>
  </si>
  <si>
    <t xml:space="preserve">FD-040216</t>
  </si>
  <si>
    <t xml:space="preserve">吴启露</t>
  </si>
  <si>
    <t xml:space="preserve">FD-58966</t>
  </si>
  <si>
    <t xml:space="preserve">FD-048563</t>
  </si>
  <si>
    <t xml:space="preserve">柯欣乐</t>
  </si>
  <si>
    <t xml:space="preserve">FD-58968</t>
  </si>
  <si>
    <t xml:space="preserve">SX-002331</t>
  </si>
  <si>
    <t xml:space="preserve">何林檩</t>
  </si>
  <si>
    <t xml:space="preserve">FD-58969</t>
  </si>
  <si>
    <t xml:space="preserve">SX-003730</t>
  </si>
  <si>
    <t xml:space="preserve">王伟刚</t>
  </si>
  <si>
    <t xml:space="preserve">FD-58970</t>
  </si>
  <si>
    <t xml:space="preserve">SX-004332</t>
  </si>
  <si>
    <t xml:space="preserve">陈玉蝶</t>
  </si>
  <si>
    <t xml:space="preserve">FD-58972</t>
  </si>
  <si>
    <t xml:space="preserve">FD-035305</t>
  </si>
  <si>
    <t xml:space="preserve">罗媛媛</t>
  </si>
  <si>
    <t xml:space="preserve">FD-58973</t>
  </si>
  <si>
    <t xml:space="preserve">FD-040306</t>
  </si>
  <si>
    <t xml:space="preserve">陈若锶</t>
  </si>
  <si>
    <t xml:space="preserve">FD-58974</t>
  </si>
  <si>
    <t xml:space="preserve">FD-037183</t>
  </si>
  <si>
    <t xml:space="preserve">孟思娴</t>
  </si>
  <si>
    <t xml:space="preserve">FD-58975</t>
  </si>
  <si>
    <t xml:space="preserve">FD-099551</t>
  </si>
  <si>
    <t xml:space="preserve">郑诗怡</t>
  </si>
  <si>
    <t xml:space="preserve">FD-58976</t>
  </si>
  <si>
    <t xml:space="preserve">FD-157936</t>
  </si>
  <si>
    <t xml:space="preserve">于智元</t>
  </si>
  <si>
    <t xml:space="preserve">FD-58977</t>
  </si>
  <si>
    <t xml:space="preserve">FD-064603</t>
  </si>
  <si>
    <t xml:space="preserve">李志锋</t>
  </si>
  <si>
    <t xml:space="preserve">FD-58979</t>
  </si>
  <si>
    <t xml:space="preserve">SQ-008075</t>
  </si>
  <si>
    <t xml:space="preserve">姜诺诺</t>
  </si>
  <si>
    <t xml:space="preserve">FD-58984</t>
  </si>
  <si>
    <t xml:space="preserve">SQ-004437</t>
  </si>
  <si>
    <t xml:space="preserve">田昊</t>
  </si>
  <si>
    <t xml:space="preserve">FD-58985</t>
  </si>
  <si>
    <t xml:space="preserve">FD-070512</t>
  </si>
  <si>
    <t xml:space="preserve">郑祖钦</t>
  </si>
  <si>
    <t xml:space="preserve">FD-58988</t>
  </si>
  <si>
    <t xml:space="preserve">SX-003214</t>
  </si>
  <si>
    <t xml:space="preserve">陶伟豪</t>
  </si>
  <si>
    <t xml:space="preserve">测试实习生</t>
  </si>
  <si>
    <t xml:space="preserve">FD-58989</t>
  </si>
  <si>
    <t xml:space="preserve">SQ-002979</t>
  </si>
  <si>
    <t xml:space="preserve">胡馨月</t>
  </si>
  <si>
    <t xml:space="preserve">FD-58990</t>
  </si>
  <si>
    <t xml:space="preserve">FD-039090</t>
  </si>
  <si>
    <t xml:space="preserve">薛欣榕</t>
  </si>
  <si>
    <t xml:space="preserve">FD-58995</t>
  </si>
  <si>
    <t xml:space="preserve">FD-049268</t>
  </si>
  <si>
    <t xml:space="preserve">罗正琳</t>
  </si>
  <si>
    <t xml:space="preserve">FD-58998</t>
  </si>
  <si>
    <t xml:space="preserve">SX-003507</t>
  </si>
  <si>
    <t xml:space="preserve">管妙</t>
  </si>
  <si>
    <t xml:space="preserve">FD-59011</t>
  </si>
  <si>
    <t xml:space="preserve">FD-060137</t>
  </si>
  <si>
    <t xml:space="preserve">何静仪</t>
  </si>
  <si>
    <t xml:space="preserve">FD-59016</t>
  </si>
  <si>
    <t xml:space="preserve">FD-151211</t>
  </si>
  <si>
    <t xml:space="preserve">张欣怡</t>
  </si>
  <si>
    <t xml:space="preserve">FD-59017</t>
  </si>
  <si>
    <t xml:space="preserve">SX-009346</t>
  </si>
  <si>
    <t xml:space="preserve">彭心怡</t>
  </si>
  <si>
    <t xml:space="preserve">FD-59018</t>
  </si>
  <si>
    <t xml:space="preserve">SQ-008570</t>
  </si>
  <si>
    <t xml:space="preserve">李陈风</t>
  </si>
  <si>
    <t xml:space="preserve">FD-59021</t>
  </si>
  <si>
    <t xml:space="preserve">SX-008656</t>
  </si>
  <si>
    <t xml:space="preserve">胡潇寒</t>
  </si>
  <si>
    <t xml:space="preserve">FD-59024</t>
  </si>
  <si>
    <t xml:space="preserve">FD-031047</t>
  </si>
  <si>
    <t xml:space="preserve">王佳怡</t>
  </si>
  <si>
    <t xml:space="preserve">FD-59026</t>
  </si>
  <si>
    <t xml:space="preserve">FD-036584</t>
  </si>
  <si>
    <t xml:space="preserve">赖垲斌</t>
  </si>
  <si>
    <t xml:space="preserve">FD-59027</t>
  </si>
  <si>
    <t xml:space="preserve">FD-034529</t>
  </si>
  <si>
    <t xml:space="preserve">梁雯燕</t>
  </si>
  <si>
    <t xml:space="preserve">FD-59028</t>
  </si>
  <si>
    <t xml:space="preserve">FD-221783</t>
  </si>
  <si>
    <t xml:space="preserve">黄昊然</t>
  </si>
  <si>
    <t xml:space="preserve">FD-59036</t>
  </si>
  <si>
    <t xml:space="preserve">FD-017888</t>
  </si>
  <si>
    <t xml:space="preserve">张璐璐</t>
  </si>
  <si>
    <t xml:space="preserve">FD-59037</t>
  </si>
  <si>
    <t xml:space="preserve">FD-051082</t>
  </si>
  <si>
    <t xml:space="preserve">王彤</t>
  </si>
  <si>
    <t xml:space="preserve">FD-59038</t>
  </si>
  <si>
    <t xml:space="preserve">SX-008957</t>
  </si>
  <si>
    <t xml:space="preserve">朱紫珊</t>
  </si>
  <si>
    <t xml:space="preserve">FD-59039</t>
  </si>
  <si>
    <t xml:space="preserve">FD-067370</t>
  </si>
  <si>
    <t xml:space="preserve">庞中原</t>
  </si>
  <si>
    <t xml:space="preserve">FD-59041</t>
  </si>
  <si>
    <t xml:space="preserve">FD-233193</t>
  </si>
  <si>
    <t xml:space="preserve">肖迪月</t>
  </si>
  <si>
    <t xml:space="preserve">FD-59043</t>
  </si>
  <si>
    <t xml:space="preserve">FD-023114</t>
  </si>
  <si>
    <t xml:space="preserve">达嘉文</t>
  </si>
  <si>
    <t xml:space="preserve">FD-59045</t>
  </si>
  <si>
    <t xml:space="preserve">FD-024637</t>
  </si>
  <si>
    <t xml:space="preserve">尹雪娇</t>
  </si>
  <si>
    <t xml:space="preserve">FD-59046</t>
  </si>
  <si>
    <t xml:space="preserve">FD-076685</t>
  </si>
  <si>
    <t xml:space="preserve">谷春艳</t>
  </si>
  <si>
    <t xml:space="preserve">FD-59047</t>
  </si>
  <si>
    <t xml:space="preserve">FD-071870</t>
  </si>
  <si>
    <t xml:space="preserve">周紫妍</t>
  </si>
  <si>
    <t xml:space="preserve">FD-59050</t>
  </si>
  <si>
    <t xml:space="preserve">FD-010037</t>
  </si>
  <si>
    <t xml:space="preserve">纪明雨</t>
  </si>
  <si>
    <t xml:space="preserve">FD-59051</t>
  </si>
  <si>
    <t xml:space="preserve">FD-068648</t>
  </si>
  <si>
    <t xml:space="preserve">李薇</t>
  </si>
  <si>
    <t xml:space="preserve">FD-59052</t>
  </si>
  <si>
    <t xml:space="preserve">FD-072931</t>
  </si>
  <si>
    <t xml:space="preserve">丁悦</t>
  </si>
  <si>
    <t xml:space="preserve">FD-59053</t>
  </si>
  <si>
    <t xml:space="preserve">FD-032309</t>
  </si>
  <si>
    <t xml:space="preserve">杨欣娅</t>
  </si>
  <si>
    <t xml:space="preserve">FD-59054</t>
  </si>
  <si>
    <t xml:space="preserve">FD-095594</t>
  </si>
  <si>
    <t xml:space="preserve">FD-59057</t>
  </si>
  <si>
    <t xml:space="preserve">FD-222171</t>
  </si>
  <si>
    <t xml:space="preserve">占彦高</t>
  </si>
  <si>
    <t xml:space="preserve">FD-59058</t>
  </si>
  <si>
    <t xml:space="preserve">SX-003616</t>
  </si>
  <si>
    <t xml:space="preserve">胡艺津</t>
  </si>
  <si>
    <t xml:space="preserve">FD-58869</t>
  </si>
  <si>
    <t xml:space="preserve">SX-000035</t>
  </si>
  <si>
    <t xml:space="preserve">刘湘云</t>
  </si>
  <si>
    <t xml:space="preserve">FD-58897</t>
  </si>
  <si>
    <t xml:space="preserve">SX-005385</t>
  </si>
  <si>
    <t xml:space="preserve">丁烨暖</t>
  </si>
  <si>
    <t xml:space="preserve">FD-58898</t>
  </si>
  <si>
    <t xml:space="preserve">FD-043478</t>
  </si>
  <si>
    <t xml:space="preserve">王柯又</t>
  </si>
  <si>
    <t xml:space="preserve">FD-58894</t>
  </si>
  <si>
    <t xml:space="preserve">FD-047260</t>
  </si>
  <si>
    <t xml:space="preserve">苏锦梅</t>
  </si>
  <si>
    <t xml:space="preserve">FD-58878</t>
  </si>
  <si>
    <t xml:space="preserve">FD-042540</t>
  </si>
  <si>
    <t xml:space="preserve">欧泽铭</t>
  </si>
  <si>
    <t xml:space="preserve">FD-58901</t>
  </si>
  <si>
    <t xml:space="preserve">FD-042484</t>
  </si>
  <si>
    <t xml:space="preserve">张艺怡</t>
  </si>
  <si>
    <t xml:space="preserve">FD-58873</t>
  </si>
  <si>
    <t xml:space="preserve">FD-040197</t>
  </si>
  <si>
    <t xml:space="preserve">陈嘉怡</t>
  </si>
  <si>
    <t xml:space="preserve">FD-58971</t>
  </si>
  <si>
    <t xml:space="preserve">SX-000421</t>
  </si>
  <si>
    <t xml:space="preserve">戴增怡</t>
  </si>
  <si>
    <t xml:space="preserve">FD-58937</t>
  </si>
  <si>
    <t xml:space="preserve">SX-006260</t>
  </si>
  <si>
    <t xml:space="preserve">廖豪俊</t>
  </si>
  <si>
    <t xml:space="preserve">FD-58944</t>
  </si>
  <si>
    <t xml:space="preserve">SX-009743</t>
  </si>
  <si>
    <t xml:space="preserve">陈芷昕</t>
  </si>
  <si>
    <t xml:space="preserve">FD-58943</t>
  </si>
  <si>
    <t xml:space="preserve">SX-006590</t>
  </si>
  <si>
    <t xml:space="preserve">赵嘉轩</t>
  </si>
  <si>
    <t xml:space="preserve">FD-59034</t>
  </si>
  <si>
    <t xml:space="preserve">FD-059843</t>
  </si>
  <si>
    <t xml:space="preserve">毛莉诗</t>
  </si>
  <si>
    <t xml:space="preserve">FD-59042</t>
  </si>
  <si>
    <t xml:space="preserve">FD-030381</t>
  </si>
  <si>
    <t xml:space="preserve">金贵利</t>
  </si>
  <si>
    <t xml:space="preserve">FD-58270</t>
  </si>
  <si>
    <t xml:space="preserve">SX-004835</t>
  </si>
  <si>
    <t xml:space="preserve">覃鑫祺</t>
  </si>
  <si>
    <t xml:space="preserve">FD-53487</t>
  </si>
  <si>
    <t xml:space="preserve">OD-003114</t>
  </si>
  <si>
    <t xml:space="preserve">莫铭茵</t>
  </si>
  <si>
    <t xml:space="preserve">FD-53670</t>
  </si>
  <si>
    <t xml:space="preserve">OD-002451</t>
  </si>
  <si>
    <t xml:space="preserve">陆颖</t>
  </si>
  <si>
    <t xml:space="preserve">SSC助理</t>
  </si>
  <si>
    <t xml:space="preserve">FD-53835</t>
  </si>
  <si>
    <t xml:space="preserve">OD-000034</t>
  </si>
  <si>
    <t xml:space="preserve">阳小群</t>
  </si>
  <si>
    <t xml:space="preserve">FD-54074</t>
  </si>
  <si>
    <t xml:space="preserve">OD-007289</t>
  </si>
  <si>
    <t xml:space="preserve">阳征东</t>
  </si>
  <si>
    <t xml:space="preserve">FD-54253</t>
  </si>
  <si>
    <t xml:space="preserve">OD-002348</t>
  </si>
  <si>
    <t xml:space="preserve">计划助理</t>
  </si>
  <si>
    <t xml:space="preserve">FD-54494</t>
  </si>
  <si>
    <t xml:space="preserve">OD-000580</t>
  </si>
  <si>
    <t xml:space="preserve">江秋燕</t>
  </si>
  <si>
    <t xml:space="preserve">FD-54586</t>
  </si>
  <si>
    <t xml:space="preserve">OD-002834</t>
  </si>
  <si>
    <t xml:space="preserve">余和</t>
  </si>
  <si>
    <t xml:space="preserve">品控专员</t>
  </si>
  <si>
    <t xml:space="preserve">FD-54643</t>
  </si>
  <si>
    <t xml:space="preserve">OD-008440</t>
  </si>
  <si>
    <t xml:space="preserve">区凤明</t>
  </si>
  <si>
    <t xml:space="preserve">FD-54671</t>
  </si>
  <si>
    <t xml:space="preserve">OD-001258</t>
  </si>
  <si>
    <t xml:space="preserve">庞小彤</t>
  </si>
  <si>
    <t xml:space="preserve">行政前台</t>
  </si>
  <si>
    <t xml:space="preserve">FD-54812</t>
  </si>
  <si>
    <t xml:space="preserve">OD-001626</t>
  </si>
  <si>
    <t xml:space="preserve">陈颖琪</t>
  </si>
  <si>
    <t xml:space="preserve">招聘专员</t>
  </si>
  <si>
    <t xml:space="preserve">FD-54950</t>
  </si>
  <si>
    <t xml:space="preserve">OD-007504</t>
  </si>
  <si>
    <t xml:space="preserve">梁夏晴</t>
  </si>
  <si>
    <t xml:space="preserve">课程助教</t>
  </si>
  <si>
    <t xml:space="preserve">FD-55004</t>
  </si>
  <si>
    <t xml:space="preserve">OD-005440</t>
  </si>
  <si>
    <t xml:space="preserve">林培荧</t>
  </si>
  <si>
    <t xml:space="preserve">FD-55017</t>
  </si>
  <si>
    <t xml:space="preserve">OD-007015</t>
  </si>
  <si>
    <t xml:space="preserve">郭园园</t>
  </si>
  <si>
    <t xml:space="preserve">商务助理</t>
  </si>
  <si>
    <t xml:space="preserve">FD-55144</t>
  </si>
  <si>
    <t xml:space="preserve">OD-001438</t>
  </si>
  <si>
    <t xml:space="preserve">伍洪倡</t>
  </si>
  <si>
    <t xml:space="preserve">咖啡师</t>
  </si>
  <si>
    <t xml:space="preserve">FD-55173</t>
  </si>
  <si>
    <t xml:space="preserve">OD-006463</t>
  </si>
  <si>
    <t xml:space="preserve">郭万玥</t>
  </si>
  <si>
    <t xml:space="preserve">FD-55348</t>
  </si>
  <si>
    <t xml:space="preserve">OD-001464</t>
  </si>
  <si>
    <t xml:space="preserve">何诗雨</t>
  </si>
  <si>
    <t xml:space="preserve">产品设计助理</t>
  </si>
  <si>
    <t xml:space="preserve">FD-55933</t>
  </si>
  <si>
    <t xml:space="preserve">OD-006730</t>
  </si>
  <si>
    <t xml:space="preserve">何芷欣</t>
  </si>
  <si>
    <t xml:space="preserve">FD-55970</t>
  </si>
  <si>
    <t xml:space="preserve">OD-000664</t>
  </si>
  <si>
    <t xml:space="preserve">宋月</t>
  </si>
  <si>
    <t xml:space="preserve">FD-56175</t>
  </si>
  <si>
    <t xml:space="preserve">OD-005876</t>
  </si>
  <si>
    <t xml:space="preserve">黄丹敏</t>
  </si>
  <si>
    <t xml:space="preserve">FD-56213</t>
  </si>
  <si>
    <t xml:space="preserve">OD-006394</t>
  </si>
  <si>
    <t xml:space="preserve">张颖芝</t>
  </si>
  <si>
    <t xml:space="preserve">FD-56229</t>
  </si>
  <si>
    <t xml:space="preserve">OD-008758</t>
  </si>
  <si>
    <t xml:space="preserve">王全云</t>
  </si>
  <si>
    <t xml:space="preserve">采购助理</t>
  </si>
  <si>
    <t xml:space="preserve">FD-56548</t>
  </si>
  <si>
    <t xml:space="preserve">OD-006378</t>
  </si>
  <si>
    <t xml:space="preserve">何子杰</t>
  </si>
  <si>
    <t xml:space="preserve">拍摄剪辑师</t>
  </si>
  <si>
    <t xml:space="preserve">FD-56551</t>
  </si>
  <si>
    <t xml:space="preserve">OD-001008</t>
  </si>
  <si>
    <t xml:space="preserve">王巧微</t>
  </si>
  <si>
    <t xml:space="preserve">FD-56589</t>
  </si>
  <si>
    <t xml:space="preserve">OD-001378</t>
  </si>
  <si>
    <t xml:space="preserve">吕圣涛</t>
  </si>
  <si>
    <t xml:space="preserve">FD-56665</t>
  </si>
  <si>
    <t xml:space="preserve">OD-009907</t>
  </si>
  <si>
    <t xml:space="preserve">石向阳</t>
  </si>
  <si>
    <t xml:space="preserve">物流专员</t>
  </si>
  <si>
    <t xml:space="preserve">FD-56717</t>
  </si>
  <si>
    <t xml:space="preserve">OD-005796</t>
  </si>
  <si>
    <t xml:space="preserve">黎秋怡</t>
  </si>
  <si>
    <t xml:space="preserve">平面设计助理</t>
  </si>
  <si>
    <t xml:space="preserve">FD-56721</t>
  </si>
  <si>
    <t xml:space="preserve">OD-009539</t>
  </si>
  <si>
    <t xml:space="preserve">郑依曼</t>
  </si>
  <si>
    <t xml:space="preserve">FD-56734</t>
  </si>
  <si>
    <t xml:space="preserve">OD-009202</t>
  </si>
  <si>
    <t xml:space="preserve">伍熙</t>
  </si>
  <si>
    <t xml:space="preserve">FD-56759</t>
  </si>
  <si>
    <t xml:space="preserve">OD-001113</t>
  </si>
  <si>
    <t xml:space="preserve">蓝煜钧</t>
  </si>
  <si>
    <t xml:space="preserve">FD-56799</t>
  </si>
  <si>
    <t xml:space="preserve">OD-000127</t>
  </si>
  <si>
    <t xml:space="preserve">罗杨佳</t>
  </si>
  <si>
    <t xml:space="preserve">请款对账员</t>
  </si>
  <si>
    <t xml:space="preserve">FD-56800</t>
  </si>
  <si>
    <t xml:space="preserve">OD-004665</t>
  </si>
  <si>
    <t xml:space="preserve">张晓琳</t>
  </si>
  <si>
    <t xml:space="preserve">订单交付员</t>
  </si>
  <si>
    <t xml:space="preserve">FD-56806</t>
  </si>
  <si>
    <t xml:space="preserve">OD-003799</t>
  </si>
  <si>
    <t xml:space="preserve">李曾琳</t>
  </si>
  <si>
    <t xml:space="preserve">FD-56924</t>
  </si>
  <si>
    <t xml:space="preserve">OD-000799</t>
  </si>
  <si>
    <t xml:space="preserve">林妙华</t>
  </si>
  <si>
    <t xml:space="preserve">FD-56896</t>
  </si>
  <si>
    <t xml:space="preserve">OD-005534</t>
  </si>
  <si>
    <t xml:space="preserve">何卓霖</t>
  </si>
  <si>
    <t xml:space="preserve">营销助理</t>
  </si>
  <si>
    <t xml:space="preserve">FD-56904</t>
  </si>
  <si>
    <t xml:space="preserve">OD-002176</t>
  </si>
  <si>
    <t xml:space="preserve">卢梅玲</t>
  </si>
  <si>
    <t xml:space="preserve">FD-56850</t>
  </si>
  <si>
    <t xml:space="preserve">OD-001012</t>
  </si>
  <si>
    <t xml:space="preserve">卢贵</t>
  </si>
  <si>
    <t xml:space="preserve">摄像师</t>
  </si>
  <si>
    <t xml:space="preserve">FD-56930</t>
  </si>
  <si>
    <t xml:space="preserve">OD-001978</t>
  </si>
  <si>
    <t xml:space="preserve">陈之桐</t>
  </si>
  <si>
    <t xml:space="preserve">FD-57016</t>
  </si>
  <si>
    <t xml:space="preserve">OD-006285</t>
  </si>
  <si>
    <t xml:space="preserve">马茵桐</t>
  </si>
  <si>
    <t xml:space="preserve">FD-57023</t>
  </si>
  <si>
    <t xml:space="preserve">OD-005404</t>
  </si>
  <si>
    <t xml:space="preserve">黎荣慧</t>
  </si>
  <si>
    <t xml:space="preserve">FD-57028</t>
  </si>
  <si>
    <t xml:space="preserve">OD-002484</t>
  </si>
  <si>
    <t xml:space="preserve">曹扬华</t>
  </si>
  <si>
    <t xml:space="preserve">FD-57115</t>
  </si>
  <si>
    <t xml:space="preserve">OD-008801</t>
  </si>
  <si>
    <t xml:space="preserve">戴鑫怡</t>
  </si>
  <si>
    <t xml:space="preserve">FD-57208</t>
  </si>
  <si>
    <t xml:space="preserve">OD-005850</t>
  </si>
  <si>
    <t xml:space="preserve">吕晓萱</t>
  </si>
  <si>
    <t xml:space="preserve">FD-57243</t>
  </si>
  <si>
    <t xml:space="preserve">OD-004025</t>
  </si>
  <si>
    <t xml:space="preserve">雷雅燕</t>
  </si>
  <si>
    <t xml:space="preserve">FD-57248</t>
  </si>
  <si>
    <t xml:space="preserve">OD-001806</t>
  </si>
  <si>
    <t xml:space="preserve">陈逸淳</t>
  </si>
  <si>
    <t xml:space="preserve">FD-57285</t>
  </si>
  <si>
    <t xml:space="preserve">OD-005497</t>
  </si>
  <si>
    <t xml:space="preserve">曾秀芬</t>
  </si>
  <si>
    <t xml:space="preserve">FD-57345</t>
  </si>
  <si>
    <t xml:space="preserve">OD-002925</t>
  </si>
  <si>
    <t xml:space="preserve">张小蝶</t>
  </si>
  <si>
    <t xml:space="preserve">FD-57355</t>
  </si>
  <si>
    <t xml:space="preserve">OD-001443</t>
  </si>
  <si>
    <t xml:space="preserve">王畅</t>
  </si>
  <si>
    <t xml:space="preserve">FD-57375</t>
  </si>
  <si>
    <t xml:space="preserve">OD-008900</t>
  </si>
  <si>
    <t xml:space="preserve">黄玉容</t>
  </si>
  <si>
    <t xml:space="preserve">FD-57423</t>
  </si>
  <si>
    <t xml:space="preserve">OD-004384</t>
  </si>
  <si>
    <t xml:space="preserve">周燕</t>
  </si>
  <si>
    <t xml:space="preserve">FD-57440</t>
  </si>
  <si>
    <t xml:space="preserve">OD-003820</t>
  </si>
  <si>
    <t xml:space="preserve">黄冠森</t>
  </si>
  <si>
    <t xml:space="preserve">FD-57490</t>
  </si>
  <si>
    <t xml:space="preserve">OD-005998</t>
  </si>
  <si>
    <t xml:space="preserve">郑燕玲</t>
  </si>
  <si>
    <t xml:space="preserve">FD-57525</t>
  </si>
  <si>
    <t xml:space="preserve">OD-008155</t>
  </si>
  <si>
    <t xml:space="preserve">姚灿铭</t>
  </si>
  <si>
    <t xml:space="preserve">FD-57558</t>
  </si>
  <si>
    <t xml:space="preserve">OD-001680</t>
  </si>
  <si>
    <t xml:space="preserve">龚伟胜</t>
  </si>
  <si>
    <t xml:space="preserve">FD-57588</t>
  </si>
  <si>
    <t xml:space="preserve">OD-001988</t>
  </si>
  <si>
    <t xml:space="preserve">黄林欣</t>
  </si>
  <si>
    <t xml:space="preserve">FD-57622</t>
  </si>
  <si>
    <t xml:space="preserve">OD-007835</t>
  </si>
  <si>
    <t xml:space="preserve">梁景涛</t>
  </si>
  <si>
    <t xml:space="preserve">FD-57638</t>
  </si>
  <si>
    <t xml:space="preserve">OD-009106</t>
  </si>
  <si>
    <t xml:space="preserve">吴婉琳</t>
  </si>
  <si>
    <t xml:space="preserve">内容营销专员</t>
  </si>
  <si>
    <t xml:space="preserve">FD-57653</t>
  </si>
  <si>
    <t xml:space="preserve">OD-008606</t>
  </si>
  <si>
    <t xml:space="preserve">吴瑶华</t>
  </si>
  <si>
    <t xml:space="preserve">FD-57684</t>
  </si>
  <si>
    <t xml:space="preserve">OD-002787</t>
  </si>
  <si>
    <t xml:space="preserve">邓淑贤</t>
  </si>
  <si>
    <t xml:space="preserve">客户助理</t>
  </si>
  <si>
    <t xml:space="preserve">FD-57782</t>
  </si>
  <si>
    <t xml:space="preserve">OD-004829</t>
  </si>
  <si>
    <t xml:space="preserve">杨宇群</t>
  </si>
  <si>
    <t xml:space="preserve">FD-57798</t>
  </si>
  <si>
    <t xml:space="preserve">OD-004744</t>
  </si>
  <si>
    <t xml:space="preserve">黄鸿鑫</t>
  </si>
  <si>
    <t xml:space="preserve">FD-57826</t>
  </si>
  <si>
    <t xml:space="preserve">OD-004920</t>
  </si>
  <si>
    <t xml:space="preserve">陈智丹</t>
  </si>
  <si>
    <t xml:space="preserve">FD-57835</t>
  </si>
  <si>
    <t xml:space="preserve">OD-001925</t>
  </si>
  <si>
    <t xml:space="preserve">张柳芸</t>
  </si>
  <si>
    <t xml:space="preserve">FD-57839</t>
  </si>
  <si>
    <t xml:space="preserve">OD-003228</t>
  </si>
  <si>
    <t xml:space="preserve">全景彬</t>
  </si>
  <si>
    <t xml:space="preserve">FD-57846</t>
  </si>
  <si>
    <t xml:space="preserve">OD-004887</t>
  </si>
  <si>
    <t xml:space="preserve">冯昊男</t>
  </si>
  <si>
    <t xml:space="preserve">FD-57872</t>
  </si>
  <si>
    <t xml:space="preserve">OD-001502</t>
  </si>
  <si>
    <t xml:space="preserve">李子欣</t>
  </si>
  <si>
    <t xml:space="preserve">FD-57946</t>
  </si>
  <si>
    <t xml:space="preserve">OD-009559</t>
  </si>
  <si>
    <t xml:space="preserve">王士奎</t>
  </si>
  <si>
    <t xml:space="preserve">FD-57951</t>
  </si>
  <si>
    <t xml:space="preserve">OD-009793</t>
  </si>
  <si>
    <t xml:space="preserve">谢卓芸</t>
  </si>
  <si>
    <t xml:space="preserve">FD-57965</t>
  </si>
  <si>
    <t xml:space="preserve">OD-000819</t>
  </si>
  <si>
    <t xml:space="preserve">彭于宴</t>
  </si>
  <si>
    <t xml:space="preserve">FD-57967</t>
  </si>
  <si>
    <t xml:space="preserve">OD-003105</t>
  </si>
  <si>
    <t xml:space="preserve">邢维琪</t>
  </si>
  <si>
    <t xml:space="preserve">FD-57972</t>
  </si>
  <si>
    <t xml:space="preserve">OD-003455</t>
  </si>
  <si>
    <t xml:space="preserve">黄柳婷</t>
  </si>
  <si>
    <t xml:space="preserve">FD-58013</t>
  </si>
  <si>
    <t xml:space="preserve">OD-007771</t>
  </si>
  <si>
    <t xml:space="preserve">陈国权</t>
  </si>
  <si>
    <t xml:space="preserve">FD-58118</t>
  </si>
  <si>
    <t xml:space="preserve">OD-005257</t>
  </si>
  <si>
    <t xml:space="preserve">朱俊霖</t>
  </si>
  <si>
    <t xml:space="preserve">FD-58131</t>
  </si>
  <si>
    <t xml:space="preserve">OD-004552</t>
  </si>
  <si>
    <t xml:space="preserve">邓小妹</t>
  </si>
  <si>
    <t xml:space="preserve">FD-58147</t>
  </si>
  <si>
    <t xml:space="preserve">OD-007393</t>
  </si>
  <si>
    <t xml:space="preserve">钟远镇</t>
  </si>
  <si>
    <t xml:space="preserve">FD-58171</t>
  </si>
  <si>
    <t xml:space="preserve">OD-006048</t>
  </si>
  <si>
    <t xml:space="preserve">高泳欣</t>
  </si>
  <si>
    <t xml:space="preserve">FD-58201</t>
  </si>
  <si>
    <t xml:space="preserve">OD-002809</t>
  </si>
  <si>
    <t xml:space="preserve">林沈恩</t>
  </si>
  <si>
    <t xml:space="preserve">FD-58223</t>
  </si>
  <si>
    <t xml:space="preserve">OD-000042</t>
  </si>
  <si>
    <t xml:space="preserve">李可</t>
  </si>
  <si>
    <t xml:space="preserve">FD-58224</t>
  </si>
  <si>
    <t xml:space="preserve">OD-003119</t>
  </si>
  <si>
    <t xml:space="preserve">刘启骏</t>
  </si>
  <si>
    <t xml:space="preserve">FD-58237</t>
  </si>
  <si>
    <t xml:space="preserve">OD-009451</t>
  </si>
  <si>
    <t xml:space="preserve">曾雪玲</t>
  </si>
  <si>
    <t xml:space="preserve">FD-58254</t>
  </si>
  <si>
    <t xml:space="preserve">OD-008197</t>
  </si>
  <si>
    <t xml:space="preserve">冯梦丽</t>
  </si>
  <si>
    <t xml:space="preserve">FD-58257</t>
  </si>
  <si>
    <t xml:space="preserve">OD-001052</t>
  </si>
  <si>
    <t xml:space="preserve">金晶</t>
  </si>
  <si>
    <t xml:space="preserve">FD-58269</t>
  </si>
  <si>
    <t xml:space="preserve">OD-004940</t>
  </si>
  <si>
    <t xml:space="preserve">方怡晶</t>
  </si>
  <si>
    <t xml:space="preserve">FD-58276</t>
  </si>
  <si>
    <t xml:space="preserve">OD-006100</t>
  </si>
  <si>
    <t xml:space="preserve">袁赫遥</t>
  </si>
  <si>
    <t xml:space="preserve">FD-58315</t>
  </si>
  <si>
    <t xml:space="preserve">OD-000779</t>
  </si>
  <si>
    <t xml:space="preserve">罗展</t>
  </si>
  <si>
    <t xml:space="preserve">FD-58317</t>
  </si>
  <si>
    <t xml:space="preserve">OD-004808</t>
  </si>
  <si>
    <t xml:space="preserve">宁心如</t>
  </si>
  <si>
    <t xml:space="preserve">FD-58333</t>
  </si>
  <si>
    <t xml:space="preserve">OD-002418</t>
  </si>
  <si>
    <t xml:space="preserve">黄妙婵</t>
  </si>
  <si>
    <t xml:space="preserve">FD-58309</t>
  </si>
  <si>
    <t xml:space="preserve">OD-001536</t>
  </si>
  <si>
    <t xml:space="preserve">彭钊楠</t>
  </si>
  <si>
    <t xml:space="preserve">FD-58340</t>
  </si>
  <si>
    <t xml:space="preserve">OD-005763</t>
  </si>
  <si>
    <t xml:space="preserve">陈小敏</t>
  </si>
  <si>
    <t xml:space="preserve">FD-58434</t>
  </si>
  <si>
    <t xml:space="preserve">OD-001017</t>
  </si>
  <si>
    <t xml:space="preserve">胡慧</t>
  </si>
  <si>
    <t xml:space="preserve">FD-58461</t>
  </si>
  <si>
    <t xml:space="preserve">OD-005182</t>
  </si>
  <si>
    <t xml:space="preserve">刘磊</t>
  </si>
  <si>
    <t xml:space="preserve">FD-58462</t>
  </si>
  <si>
    <t xml:space="preserve">OD-008782</t>
  </si>
  <si>
    <t xml:space="preserve">黄丽玲</t>
  </si>
  <si>
    <t xml:space="preserve">FD-58463</t>
  </si>
  <si>
    <t xml:space="preserve">OD-009713</t>
  </si>
  <si>
    <t xml:space="preserve">荆玉琦</t>
  </si>
  <si>
    <t xml:space="preserve">FD-58465</t>
  </si>
  <si>
    <t xml:space="preserve">OD-001276</t>
  </si>
  <si>
    <t xml:space="preserve">何彩勤</t>
  </si>
  <si>
    <t xml:space="preserve">FD-58466</t>
  </si>
  <si>
    <t xml:space="preserve">OD-005903</t>
  </si>
  <si>
    <t xml:space="preserve">潘文丽</t>
  </si>
  <si>
    <t xml:space="preserve">FD-58478</t>
  </si>
  <si>
    <t xml:space="preserve">OD-002470</t>
  </si>
  <si>
    <t xml:space="preserve">程文萍</t>
  </si>
  <si>
    <t xml:space="preserve">FD-58481</t>
  </si>
  <si>
    <t xml:space="preserve">OD-009011</t>
  </si>
  <si>
    <t xml:space="preserve">杨彩红</t>
  </si>
  <si>
    <t xml:space="preserve">FD-58485</t>
  </si>
  <si>
    <t xml:space="preserve">OD-008305</t>
  </si>
  <si>
    <t xml:space="preserve">郭嘉珊</t>
  </si>
  <si>
    <t xml:space="preserve">FD-58503</t>
  </si>
  <si>
    <t xml:space="preserve">OD-008682</t>
  </si>
  <si>
    <t xml:space="preserve">肖绮雯</t>
  </si>
  <si>
    <t xml:space="preserve">FD-58511</t>
  </si>
  <si>
    <t xml:space="preserve">OD-001161</t>
  </si>
  <si>
    <t xml:space="preserve">林建宇</t>
  </si>
  <si>
    <t xml:space="preserve">FD-58512</t>
  </si>
  <si>
    <t xml:space="preserve">OD-006060</t>
  </si>
  <si>
    <t xml:space="preserve">张占英</t>
  </si>
  <si>
    <t xml:space="preserve">FD-58513</t>
  </si>
  <si>
    <t xml:space="preserve">OD-002819</t>
  </si>
  <si>
    <t xml:space="preserve">叶家炜</t>
  </si>
  <si>
    <t xml:space="preserve">FD-58521</t>
  </si>
  <si>
    <t xml:space="preserve">OD-000777</t>
  </si>
  <si>
    <t xml:space="preserve">钱名洋</t>
  </si>
  <si>
    <t xml:space="preserve">商务专员</t>
  </si>
  <si>
    <t xml:space="preserve">FD-58531</t>
  </si>
  <si>
    <t xml:space="preserve">OD-002532</t>
  </si>
  <si>
    <t xml:space="preserve">谭远淮</t>
  </si>
  <si>
    <t xml:space="preserve">FD-58532</t>
  </si>
  <si>
    <t xml:space="preserve">OD-004601</t>
  </si>
  <si>
    <t xml:space="preserve">谢彩仪</t>
  </si>
  <si>
    <t xml:space="preserve">FD-58533</t>
  </si>
  <si>
    <t xml:space="preserve">OD-004267</t>
  </si>
  <si>
    <t xml:space="preserve">陈静诗</t>
  </si>
  <si>
    <t xml:space="preserve">FD-58534</t>
  </si>
  <si>
    <t xml:space="preserve">OD-003407</t>
  </si>
  <si>
    <t xml:space="preserve">徐连平</t>
  </si>
  <si>
    <t xml:space="preserve">FD-58535</t>
  </si>
  <si>
    <t xml:space="preserve">OD-006480</t>
  </si>
  <si>
    <t xml:space="preserve">黄思柔</t>
  </si>
  <si>
    <t xml:space="preserve">FD-58536</t>
  </si>
  <si>
    <t xml:space="preserve">OD-003615</t>
  </si>
  <si>
    <t xml:space="preserve">肖瑞欢</t>
  </si>
  <si>
    <t xml:space="preserve">FD-58679</t>
  </si>
  <si>
    <t xml:space="preserve">OD-004388</t>
  </si>
  <si>
    <t xml:space="preserve">邓彬彬</t>
  </si>
  <si>
    <t xml:space="preserve">FD-58680</t>
  </si>
  <si>
    <t xml:space="preserve">OD-009358</t>
  </si>
  <si>
    <t xml:space="preserve">谢文峰</t>
  </si>
  <si>
    <t xml:space="preserve">FD-58681</t>
  </si>
  <si>
    <t xml:space="preserve">OD-006312</t>
  </si>
  <si>
    <t xml:space="preserve">潘妙清</t>
  </si>
  <si>
    <t xml:space="preserve">FD-58683</t>
  </si>
  <si>
    <t xml:space="preserve">OD-006181</t>
  </si>
  <si>
    <t xml:space="preserve">陈紫茵</t>
  </si>
  <si>
    <t xml:space="preserve">FD-58658</t>
  </si>
  <si>
    <t xml:space="preserve">OD-006598</t>
  </si>
  <si>
    <t xml:space="preserve">杜钰晨</t>
  </si>
  <si>
    <t xml:space="preserve">FD-58665</t>
  </si>
  <si>
    <t xml:space="preserve">OD-002835</t>
  </si>
  <si>
    <t xml:space="preserve">马孔华</t>
  </si>
  <si>
    <t xml:space="preserve">FD-58666</t>
  </si>
  <si>
    <t xml:space="preserve">OD-000140</t>
  </si>
  <si>
    <t xml:space="preserve">朱小平</t>
  </si>
  <si>
    <t xml:space="preserve">FD-58647</t>
  </si>
  <si>
    <t xml:space="preserve">OD-006848</t>
  </si>
  <si>
    <t xml:space="preserve">雷佳欣</t>
  </si>
  <si>
    <t xml:space="preserve">FD-58651</t>
  </si>
  <si>
    <t xml:space="preserve">OD-006530</t>
  </si>
  <si>
    <t xml:space="preserve">岑雪莹</t>
  </si>
  <si>
    <t xml:space="preserve">FD-58630</t>
  </si>
  <si>
    <t xml:space="preserve">OD-000847</t>
  </si>
  <si>
    <t xml:space="preserve">梁华铮</t>
  </si>
  <si>
    <t xml:space="preserve">FD-58631</t>
  </si>
  <si>
    <t xml:space="preserve">OD-002696</t>
  </si>
  <si>
    <t xml:space="preserve">陈晶锶</t>
  </si>
  <si>
    <t xml:space="preserve">FD-58634</t>
  </si>
  <si>
    <t xml:space="preserve">OD-003448</t>
  </si>
  <si>
    <t xml:space="preserve">黄诗敏</t>
  </si>
  <si>
    <t xml:space="preserve">创意策划</t>
  </si>
  <si>
    <t xml:space="preserve">FD-58636</t>
  </si>
  <si>
    <t xml:space="preserve">OD-000256</t>
  </si>
  <si>
    <t xml:space="preserve">赖健诚</t>
  </si>
  <si>
    <t xml:space="preserve">FD-58607</t>
  </si>
  <si>
    <t xml:space="preserve">OD-008379</t>
  </si>
  <si>
    <t xml:space="preserve">郑翼鸣</t>
  </si>
  <si>
    <t xml:space="preserve">FD-58612</t>
  </si>
  <si>
    <t xml:space="preserve">OD-001289</t>
  </si>
  <si>
    <t xml:space="preserve">黄钰薇</t>
  </si>
  <si>
    <t xml:space="preserve">FD-58585</t>
  </si>
  <si>
    <t xml:space="preserve">OD-003337</t>
  </si>
  <si>
    <t xml:space="preserve">叶良辰</t>
  </si>
  <si>
    <t xml:space="preserve">FD-58590</t>
  </si>
  <si>
    <t xml:space="preserve">OD-005766</t>
  </si>
  <si>
    <t xml:space="preserve">谭颂韶</t>
  </si>
  <si>
    <t xml:space="preserve">FD-58592</t>
  </si>
  <si>
    <t xml:space="preserve">OD-001450</t>
  </si>
  <si>
    <t xml:space="preserve">彭俊敏</t>
  </si>
  <si>
    <t xml:space="preserve">FD-58561</t>
  </si>
  <si>
    <t xml:space="preserve">OD-008693</t>
  </si>
  <si>
    <t xml:space="preserve">郭莉想</t>
  </si>
  <si>
    <t xml:space="preserve">FD-58553</t>
  </si>
  <si>
    <t xml:space="preserve">OD-002420</t>
  </si>
  <si>
    <t xml:space="preserve">蔡晟彬</t>
  </si>
  <si>
    <t xml:space="preserve">FD-58558</t>
  </si>
  <si>
    <t xml:space="preserve">OD-009293</t>
  </si>
  <si>
    <t xml:space="preserve">赵锦莹</t>
  </si>
  <si>
    <t xml:space="preserve">FD-58559</t>
  </si>
  <si>
    <t xml:space="preserve">OD-006905</t>
  </si>
  <si>
    <t xml:space="preserve">黎宜汶</t>
  </si>
  <si>
    <t xml:space="preserve">FD-58598</t>
  </si>
  <si>
    <t xml:space="preserve">OD-003628</t>
  </si>
  <si>
    <t xml:space="preserve">陈诗君</t>
  </si>
  <si>
    <t xml:space="preserve">FD-58851</t>
  </si>
  <si>
    <t xml:space="preserve">OD-007281</t>
  </si>
  <si>
    <t xml:space="preserve">段雪</t>
  </si>
  <si>
    <t xml:space="preserve">FD-58853</t>
  </si>
  <si>
    <t xml:space="preserve">OD-000761</t>
  </si>
  <si>
    <t xml:space="preserve">王煜</t>
  </si>
  <si>
    <t xml:space="preserve">FD-58855</t>
  </si>
  <si>
    <t xml:space="preserve">OD-000791</t>
  </si>
  <si>
    <t xml:space="preserve">王珍珍</t>
  </si>
  <si>
    <t xml:space="preserve">FD-58856</t>
  </si>
  <si>
    <t xml:space="preserve">OD-003079</t>
  </si>
  <si>
    <t xml:space="preserve">何涛杰</t>
  </si>
  <si>
    <t xml:space="preserve">FD-58858</t>
  </si>
  <si>
    <t xml:space="preserve">OD-000246</t>
  </si>
  <si>
    <t xml:space="preserve">黄金平</t>
  </si>
  <si>
    <t xml:space="preserve">FD-58842</t>
  </si>
  <si>
    <t xml:space="preserve">OD-001175</t>
  </si>
  <si>
    <t xml:space="preserve">吴泽铃</t>
  </si>
  <si>
    <t xml:space="preserve">FD-58789</t>
  </si>
  <si>
    <t xml:space="preserve">OD-006083</t>
  </si>
  <si>
    <t xml:space="preserve">陈金燕</t>
  </si>
  <si>
    <t xml:space="preserve">FD-58790</t>
  </si>
  <si>
    <t xml:space="preserve">OD-004017</t>
  </si>
  <si>
    <t xml:space="preserve">覃业东</t>
  </si>
  <si>
    <t xml:space="preserve">FD-58793</t>
  </si>
  <si>
    <t xml:space="preserve">OD-008959</t>
  </si>
  <si>
    <t xml:space="preserve">陈胜晨</t>
  </si>
  <si>
    <t xml:space="preserve">FD-58794</t>
  </si>
  <si>
    <t xml:space="preserve">OD-007977</t>
  </si>
  <si>
    <t xml:space="preserve">陈洁纯</t>
  </si>
  <si>
    <t xml:space="preserve">FD-58796</t>
  </si>
  <si>
    <t xml:space="preserve">OD-003490</t>
  </si>
  <si>
    <t xml:space="preserve">梁元宏</t>
  </si>
  <si>
    <t xml:space="preserve">FD-58800</t>
  </si>
  <si>
    <t xml:space="preserve">OD-002907</t>
  </si>
  <si>
    <t xml:space="preserve">黄航</t>
  </si>
  <si>
    <t xml:space="preserve">FD-58822</t>
  </si>
  <si>
    <t xml:space="preserve">OD-005058</t>
  </si>
  <si>
    <t xml:space="preserve">田勇</t>
  </si>
  <si>
    <t xml:space="preserve">FD-58824</t>
  </si>
  <si>
    <t xml:space="preserve">OD-000937</t>
  </si>
  <si>
    <t xml:space="preserve">黄佩贤</t>
  </si>
  <si>
    <t xml:space="preserve">FD-58826</t>
  </si>
  <si>
    <t xml:space="preserve">OD-008911</t>
  </si>
  <si>
    <t xml:space="preserve">梁桂瑜</t>
  </si>
  <si>
    <t xml:space="preserve">FD-58827</t>
  </si>
  <si>
    <t xml:space="preserve">OD-004512</t>
  </si>
  <si>
    <t xml:space="preserve">彭坤豫</t>
  </si>
  <si>
    <t xml:space="preserve">FD-58828</t>
  </si>
  <si>
    <t xml:space="preserve">OD-000527</t>
  </si>
  <si>
    <t xml:space="preserve">施丽芬</t>
  </si>
  <si>
    <t xml:space="preserve">FD-58788</t>
  </si>
  <si>
    <t xml:space="preserve">OD-002994</t>
  </si>
  <si>
    <t xml:space="preserve">郑义奔</t>
  </si>
  <si>
    <t xml:space="preserve">FD-58767</t>
  </si>
  <si>
    <t xml:space="preserve">OD-009357</t>
  </si>
  <si>
    <t xml:space="preserve">黄钰霞</t>
  </si>
  <si>
    <t xml:space="preserve">FD-58771</t>
  </si>
  <si>
    <t xml:space="preserve">OD-002026</t>
  </si>
  <si>
    <t xml:space="preserve">吴静文</t>
  </si>
  <si>
    <t xml:space="preserve">FD-58772</t>
  </si>
  <si>
    <t xml:space="preserve">OD-004654</t>
  </si>
  <si>
    <t xml:space="preserve">韦瑶</t>
  </si>
  <si>
    <t xml:space="preserve">FD-58773</t>
  </si>
  <si>
    <t xml:space="preserve">OD-004627</t>
  </si>
  <si>
    <t xml:space="preserve">林星龙</t>
  </si>
  <si>
    <t xml:space="preserve">FD-58774</t>
  </si>
  <si>
    <t xml:space="preserve">OD-005652</t>
  </si>
  <si>
    <t xml:space="preserve">陈永琪</t>
  </si>
  <si>
    <t xml:space="preserve">FD-58776</t>
  </si>
  <si>
    <t xml:space="preserve">OD-009167</t>
  </si>
  <si>
    <t xml:space="preserve">韦中营</t>
  </si>
  <si>
    <t xml:space="preserve">FD-58777</t>
  </si>
  <si>
    <t xml:space="preserve">OD-000156</t>
  </si>
  <si>
    <t xml:space="preserve">赵星雅</t>
  </si>
  <si>
    <t xml:space="preserve">FD-58778</t>
  </si>
  <si>
    <t xml:space="preserve">OD-007218</t>
  </si>
  <si>
    <t xml:space="preserve">陈学文</t>
  </si>
  <si>
    <t xml:space="preserve">FD-58779</t>
  </si>
  <si>
    <t xml:space="preserve">OD-007180</t>
  </si>
  <si>
    <t xml:space="preserve">吴家豪</t>
  </si>
  <si>
    <t xml:space="preserve">FD-58728</t>
  </si>
  <si>
    <t xml:space="preserve">OD-003751</t>
  </si>
  <si>
    <t xml:space="preserve">罗锶雨</t>
  </si>
  <si>
    <t xml:space="preserve">FD-58731</t>
  </si>
  <si>
    <t xml:space="preserve">OD-008726</t>
  </si>
  <si>
    <t xml:space="preserve">王陈陈</t>
  </si>
  <si>
    <t xml:space="preserve">FD-58734</t>
  </si>
  <si>
    <t xml:space="preserve">OD-000618</t>
  </si>
  <si>
    <t xml:space="preserve">郑钊伟</t>
  </si>
  <si>
    <t xml:space="preserve">FD-58713</t>
  </si>
  <si>
    <t xml:space="preserve">OD-004840</t>
  </si>
  <si>
    <t xml:space="preserve">卜文诗</t>
  </si>
  <si>
    <t xml:space="preserve">视频制作专员</t>
  </si>
  <si>
    <t xml:space="preserve">FD-58715</t>
  </si>
  <si>
    <t xml:space="preserve">OD-009407</t>
  </si>
  <si>
    <t xml:space="preserve">张锦香</t>
  </si>
  <si>
    <t xml:space="preserve">FD-58691</t>
  </si>
  <si>
    <t xml:space="preserve">OD-009699</t>
  </si>
  <si>
    <t xml:space="preserve">李泳茵</t>
  </si>
  <si>
    <t xml:space="preserve">FD-58698</t>
  </si>
  <si>
    <t xml:space="preserve">OD-000394</t>
  </si>
  <si>
    <t xml:space="preserve">马家华</t>
  </si>
  <si>
    <t xml:space="preserve">FD-58737</t>
  </si>
  <si>
    <t xml:space="preserve">OD-006950</t>
  </si>
  <si>
    <t xml:space="preserve">王春颖</t>
  </si>
  <si>
    <t xml:space="preserve">FD-58862</t>
  </si>
  <si>
    <t xml:space="preserve">OD-003221</t>
  </si>
  <si>
    <t xml:space="preserve">高颖禧</t>
  </si>
  <si>
    <t xml:space="preserve">FD-58865</t>
  </si>
  <si>
    <t xml:space="preserve">OD-000648</t>
  </si>
  <si>
    <t xml:space="preserve">林芷兰</t>
  </si>
  <si>
    <t xml:space="preserve">FD-58868</t>
  </si>
  <si>
    <t xml:space="preserve">OD-002173</t>
  </si>
  <si>
    <t xml:space="preserve">赵良武</t>
  </si>
  <si>
    <t xml:space="preserve">FD-58872</t>
  </si>
  <si>
    <t xml:space="preserve">OD-006425</t>
  </si>
  <si>
    <t xml:space="preserve">何艳玲</t>
  </si>
  <si>
    <t xml:space="preserve">FD-58884</t>
  </si>
  <si>
    <t xml:space="preserve">OD-005248</t>
  </si>
  <si>
    <t xml:space="preserve">梁贻扬</t>
  </si>
  <si>
    <t xml:space="preserve">FD-58885</t>
  </si>
  <si>
    <t xml:space="preserve">OD-003624</t>
  </si>
  <si>
    <t xml:space="preserve">刘权广</t>
  </si>
  <si>
    <t xml:space="preserve">FD-58886</t>
  </si>
  <si>
    <t xml:space="preserve">OD-001899</t>
  </si>
  <si>
    <t xml:space="preserve">陈家榕</t>
  </si>
  <si>
    <t xml:space="preserve">FD-58887</t>
  </si>
  <si>
    <t xml:space="preserve">OD-007945</t>
  </si>
  <si>
    <t xml:space="preserve">张佳丽</t>
  </si>
  <si>
    <t xml:space="preserve">FD-58890</t>
  </si>
  <si>
    <t xml:space="preserve">OD-000393</t>
  </si>
  <si>
    <t xml:space="preserve">庄佳璇</t>
  </si>
  <si>
    <t xml:space="preserve">FD-58892</t>
  </si>
  <si>
    <t xml:space="preserve">OD-007783</t>
  </si>
  <si>
    <t xml:space="preserve">王德玉</t>
  </si>
  <si>
    <t xml:space="preserve">FD-58893</t>
  </si>
  <si>
    <t xml:space="preserve">OD-006920</t>
  </si>
  <si>
    <t xml:space="preserve">张键行</t>
  </si>
  <si>
    <t xml:space="preserve">FD-58895</t>
  </si>
  <si>
    <t xml:space="preserve">OD-000606</t>
  </si>
  <si>
    <t xml:space="preserve">魏雨婷</t>
  </si>
  <si>
    <t xml:space="preserve">FD-58910</t>
  </si>
  <si>
    <t xml:space="preserve">OD-008698</t>
  </si>
  <si>
    <t xml:space="preserve">林良康</t>
  </si>
  <si>
    <t xml:space="preserve">FD-58919</t>
  </si>
  <si>
    <t xml:space="preserve">OD-002548</t>
  </si>
  <si>
    <t xml:space="preserve">罗家丽</t>
  </si>
  <si>
    <t xml:space="preserve">FD-58929</t>
  </si>
  <si>
    <t xml:space="preserve">OD-006016</t>
  </si>
  <si>
    <t xml:space="preserve">周安</t>
  </si>
  <si>
    <t xml:space="preserve">FD-58931</t>
  </si>
  <si>
    <t xml:space="preserve">OD-001875</t>
  </si>
  <si>
    <t xml:space="preserve">吴培鑫</t>
  </si>
  <si>
    <t xml:space="preserve">FD-58932</t>
  </si>
  <si>
    <t xml:space="preserve">OD-006907</t>
  </si>
  <si>
    <t xml:space="preserve">胡瑄</t>
  </si>
  <si>
    <t xml:space="preserve">FD-58946</t>
  </si>
  <si>
    <t xml:space="preserve">OD-001917</t>
  </si>
  <si>
    <t xml:space="preserve">陈雨萍</t>
  </si>
  <si>
    <t xml:space="preserve">FD-58949</t>
  </si>
  <si>
    <t xml:space="preserve">OD-003111</t>
  </si>
  <si>
    <t xml:space="preserve">庞璐璐</t>
  </si>
  <si>
    <t xml:space="preserve">FD-58992</t>
  </si>
  <si>
    <t xml:space="preserve">OD-008791</t>
  </si>
  <si>
    <t xml:space="preserve">王施瑞</t>
  </si>
  <si>
    <t xml:space="preserve">FD-58993</t>
  </si>
  <si>
    <t xml:space="preserve">OD-000051</t>
  </si>
  <si>
    <t xml:space="preserve">吴泽锐</t>
  </si>
  <si>
    <t xml:space="preserve">FD-59020</t>
  </si>
  <si>
    <t xml:space="preserve">OD-007217</t>
  </si>
  <si>
    <t xml:space="preserve">白康成</t>
  </si>
  <si>
    <t xml:space="preserve">FD-59022</t>
  </si>
  <si>
    <t xml:space="preserve">OD-009020</t>
  </si>
  <si>
    <t xml:space="preserve">李瑶</t>
  </si>
  <si>
    <t xml:space="preserve">FD-59023</t>
  </si>
  <si>
    <t xml:space="preserve">OD-004393</t>
  </si>
  <si>
    <t xml:space="preserve">林泽州</t>
  </si>
  <si>
    <t xml:space="preserve">合规专员</t>
  </si>
  <si>
    <t xml:space="preserve">FD-59025</t>
  </si>
  <si>
    <t xml:space="preserve">OD-003400</t>
  </si>
  <si>
    <t xml:space="preserve">黄裔沐</t>
  </si>
  <si>
    <t xml:space="preserve">FD-59029</t>
  </si>
  <si>
    <t xml:space="preserve">OD-003216</t>
  </si>
  <si>
    <t xml:space="preserve">FD-59033</t>
  </si>
  <si>
    <t xml:space="preserve">OD-008601</t>
  </si>
  <si>
    <t xml:space="preserve">钟丹伶</t>
  </si>
  <si>
    <t xml:space="preserve">FD-59048</t>
  </si>
  <si>
    <t xml:space="preserve">OD-003161</t>
  </si>
  <si>
    <t xml:space="preserve">谢秋婵</t>
  </si>
  <si>
    <t xml:space="preserve">FD-59055</t>
  </si>
  <si>
    <t xml:space="preserve">OD-002792</t>
  </si>
  <si>
    <t xml:space="preserve">吴思桦</t>
  </si>
  <si>
    <t xml:space="preserve">FD-59056</t>
  </si>
  <si>
    <t xml:space="preserve">OD-008535</t>
  </si>
  <si>
    <t xml:space="preserve">卢思棋</t>
  </si>
  <si>
    <t xml:space="preserve">FD-59059</t>
  </si>
  <si>
    <t xml:space="preserve">OD-009833</t>
  </si>
  <si>
    <t xml:space="preserve">刘洁仪</t>
  </si>
  <si>
    <t xml:space="preserve">FD-58911</t>
  </si>
  <si>
    <t xml:space="preserve">OD-007907</t>
  </si>
  <si>
    <t xml:space="preserve">黄芷瑶</t>
  </si>
  <si>
    <t xml:space="preserve">FD-58871</t>
  </si>
  <si>
    <t xml:space="preserve">OD-004688</t>
  </si>
  <si>
    <t xml:space="preserve">涂桂根</t>
  </si>
  <si>
    <t xml:space="preserve">FD-59019</t>
  </si>
  <si>
    <t xml:space="preserve">OD-007471</t>
  </si>
  <si>
    <t xml:space="preserve">罗文星</t>
  </si>
  <si>
    <t xml:space="preserve">FD-58978</t>
  </si>
  <si>
    <t xml:space="preserve">OD-004560</t>
  </si>
  <si>
    <t xml:space="preserve">林凯杰</t>
  </si>
  <si>
    <t xml:space="preserve">FD-59035</t>
  </si>
  <si>
    <t xml:space="preserve">OD-009078</t>
  </si>
  <si>
    <t xml:space="preserve">杨晴晴</t>
  </si>
  <si>
    <t xml:space="preserve">FD-58945</t>
  </si>
  <si>
    <t xml:space="preserve">OD-003583</t>
  </si>
  <si>
    <t xml:space="preserve">夏小龙</t>
  </si>
  <si>
    <t xml:space="preserve">FD-59049</t>
  </si>
  <si>
    <t xml:space="preserve">OD-006211</t>
  </si>
  <si>
    <t xml:space="preserve">梁海鹏</t>
  </si>
  <si>
    <t xml:space="preserve">FD-58863</t>
  </si>
  <si>
    <t xml:space="preserve">OD-003714</t>
  </si>
  <si>
    <t xml:space="preserve">莫宁</t>
  </si>
  <si>
    <t xml:space="preserve">FD-59040</t>
  </si>
  <si>
    <t xml:space="preserve">OD-001496</t>
  </si>
  <si>
    <t xml:space="preserve">黄涛</t>
  </si>
  <si>
    <t xml:space="preserve">FD-59044</t>
  </si>
  <si>
    <t xml:space="preserve">OD-001069</t>
  </si>
  <si>
    <t xml:space="preserve">林炎锋</t>
  </si>
  <si>
    <t xml:space="preserve">FD-58996</t>
  </si>
  <si>
    <t xml:space="preserve">OD-006514</t>
  </si>
  <si>
    <t xml:space="preserve">李欣艳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</si>
</sst>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General"/>
    <numFmt numFmtId="165" formatCode="0%"/>
    <numFmt numFmtId="166" formatCode="0.00%"/>
    <numFmt numFmtId="167" formatCode="General"/>
    <numFmt numFmtId="168" formatCode="0%"/>
    <numFmt numFmtId="169" formatCode="0.00%"/>
    <numFmt numFmtId="170" formatCode="0.00%"/>
    <numFmt numFmtId="171" formatCode="0%"/>
    <numFmt numFmtId="172" formatCode="#,##0.00"/>
    <numFmt numFmtId="173" formatCode="0.00%"/>
    <numFmt numFmtId="174" formatCode="0%"/>
    <numFmt numFmtId="175" formatCode="#,##0.00"/>
    <numFmt numFmtId="176" formatCode="0%"/>
    <numFmt numFmtId="177" formatCode="0.00_);(0.00)"/>
    <numFmt numFmtId="178" formatCode="0.00%"/>
    <numFmt numFmtId="179" formatCode="0%"/>
    <numFmt numFmtId="180" formatCode="0.00_);(0.00)"/>
    <numFmt numFmtId="181" formatCode="0.00%"/>
    <numFmt numFmtId="182" formatCode="yyyy/m/d"/>
  </numFmts>
  <fonts count="6">
    <font>
      <sz val="12"/>
      <color theme="1"/>
      <name val="Calibri"/>
      <family val="2"/>
      <scheme val="minor"/>
    </font>
    <font>
      <b val="true"/>
      <sz val="10"/>
      <color rgb="FFF54A45"/>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s>
  <fills count="14">
    <fill>
      <patternFill patternType="none">
        <fgColor/>
        <bgColor/>
      </patternFill>
    </fill>
    <fill>
      <patternFill patternType="gray125">
        <fgColor/>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4E83FD"/>
        <bgColor/>
      </patternFill>
    </fill>
    <fill>
      <patternFill patternType="solid">
        <fgColor rgb="FFFFF258"/>
        <bgColor/>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true" applyProtection="false" borderId="1" fillId="3" fontId="1" numFmtId="164"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true" applyProtection="false" borderId="0" fillId="0" fontId="2" numFmtId="165" xfId="0">
      <alignment horizontal="left" vertical="center"/>
    </xf>
    <xf applyAlignment="true" applyBorder="false" applyFill="true" applyFont="true" applyNumberFormat="true" applyProtection="false" borderId="0" fillId="4" fontId="2" numFmtId="166" xfId="0">
      <alignment horizontal="left" vertical="center"/>
    </xf>
    <xf applyAlignment="true" applyBorder="false" applyFill="false" applyFont="true" applyNumberFormat="true" applyProtection="false" borderId="0" fillId="0" fontId="2" numFmtId="166" xfId="0">
      <alignment horizontal="left" vertical="center"/>
    </xf>
    <xf applyAlignment="true" applyBorder="false" applyFill="true" applyFont="true" applyNumberFormat="true" applyProtection="false" borderId="0" fillId="4" fontId="2" numFmtId="165" xfId="0">
      <alignment horizontal="left" vertical="center"/>
    </xf>
    <xf applyAlignment="true" applyBorder="false" applyFill="true" applyFont="true" applyNumberFormat="false" applyProtection="false" borderId="2" fillId="5" fontId="1" numFmtId="0" xfId="0">
      <alignment vertical="center" wrapText="true"/>
    </xf>
    <xf applyAlignment="true" applyBorder="false" applyFill="true" applyFont="true" applyNumberFormat="true" applyProtection="false" borderId="2" fillId="6" fontId="1" numFmtId="167"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0" fillId="7" fontId="2" numFmtId="0" xfId="0">
      <alignment horizontal="left" vertical="center"/>
    </xf>
    <xf applyAlignment="true" applyBorder="false" applyFill="true" applyFont="true" applyNumberFormat="false" applyProtection="false" borderId="0" fillId="7"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horizontal="left" vertical="center"/>
    </xf>
    <xf applyAlignment="true" applyBorder="false" applyFill="true" applyFont="true" applyNumberFormat="true" applyProtection="false" borderId="0" fillId="7" fontId="2" numFmtId="169" xfId="0">
      <alignment horizontal="left" vertical="center"/>
    </xf>
    <xf applyAlignment="true" applyBorder="false" applyFill="false" applyFont="true" applyNumberFormat="true" applyProtection="false" borderId="0" fillId="0" fontId="2" numFmtId="169" xfId="0">
      <alignment horizontal="left" vertical="center"/>
    </xf>
    <xf applyAlignment="true" applyBorder="false" applyFill="true" applyFont="true" applyNumberFormat="true" applyProtection="false" borderId="0" fillId="7" fontId="2" numFmtId="168" xfId="0">
      <alignment horizontal="lef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true" applyProtection="false" borderId="0" fillId="0" fontId="2" numFmtId="171" xfId="0">
      <alignment vertical="center"/>
    </xf>
    <xf applyAlignment="true" applyBorder="false" applyFill="true" applyFont="true" applyNumberFormat="false" applyProtection="false" borderId="0" fillId="8" fontId="2" numFmtId="0" xfId="0">
      <alignment vertical="center"/>
    </xf>
    <xf applyAlignment="true" applyBorder="false" applyFill="true" applyFont="true" applyNumberFormat="true" applyProtection="false" borderId="0" fillId="8" fontId="2" numFmtId="170" xfId="0">
      <alignment vertical="center"/>
    </xf>
    <xf applyAlignment="true" applyBorder="false" applyFill="false" applyFont="true" applyNumberFormat="true" applyProtection="false" borderId="0" fillId="0" fontId="2" numFmtId="172" xfId="0">
      <alignment vertical="center"/>
    </xf>
    <xf applyAlignment="true" applyBorder="false" applyFill="false" applyFont="true" applyNumberFormat="true" applyProtection="false" borderId="0" fillId="0" fontId="2" numFmtId="173" xfId="0">
      <alignment vertical="center"/>
    </xf>
    <xf applyAlignment="true" applyBorder="false" applyFill="false" applyFont="true" applyNumberFormat="true" applyProtection="false" borderId="0" fillId="0" fontId="2" numFmtId="174" xfId="0">
      <alignment vertical="center"/>
    </xf>
    <xf applyAlignment="true" applyBorder="false" applyFill="true" applyFont="true" applyNumberFormat="false" applyProtection="false" borderId="0" fillId="9" fontId="2" numFmtId="0" xfId="0">
      <alignment vertical="center"/>
    </xf>
    <xf applyAlignment="true" applyBorder="false" applyFill="true" applyFont="true" applyNumberFormat="true" applyProtection="false" borderId="0" fillId="9" fontId="2" numFmtId="173" xfId="0">
      <alignment vertical="center"/>
    </xf>
    <xf applyAlignment="true" applyBorder="false" applyFill="false" applyFont="true" applyNumberFormat="true" applyProtection="false" borderId="0" fillId="0" fontId="2" numFmtId="175" xfId="0">
      <alignment vertical="center"/>
    </xf>
    <xf applyAlignment="true" applyBorder="false" applyFill="true" applyFont="true" applyNumberFormat="false" applyProtection="false" borderId="0" fillId="10" fontId="3" numFmtId="0" xfId="0">
      <alignment horizontal="left" vertical="center" wrapText="true"/>
    </xf>
    <xf applyAlignment="true" applyBorder="false" applyFill="true" applyFont="true" applyNumberFormat="false" applyProtection="false" borderId="0" fillId="10" fontId="1" numFmtId="0" xfId="0">
      <alignment horizontal="left" vertical="center" wrapText="true"/>
    </xf>
    <xf applyAlignment="true" applyBorder="false" applyFill="true" applyFont="true" applyNumberFormat="true" applyProtection="false" borderId="0" fillId="10" fontId="3" numFmtId="176" xfId="0">
      <alignment horizontal="left" vertical="center" wrapText="true"/>
    </xf>
    <xf applyAlignment="true" applyBorder="false" applyFill="true" applyFont="true" applyNumberFormat="true" applyProtection="false" borderId="0" fillId="10" fontId="1" numFmtId="177" xfId="0">
      <alignment horizontal="left" vertical="center" wrapText="true"/>
    </xf>
    <xf applyAlignment="true" applyBorder="false" applyFill="true" applyFont="true" applyNumberFormat="true" applyProtection="false" borderId="0" fillId="10" fontId="3" numFmtId="177"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true" applyFont="true" applyNumberFormat="false" applyProtection="false" borderId="0" fillId="11" fontId="3"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true" applyProtection="false" borderId="0" fillId="11" fontId="3" numFmtId="179"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3" numFmtId="18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12" fontId="4"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3" fontId="3" numFmtId="0" xfId="0">
      <alignment horizontal="left" vertical="center" wrapText="true"/>
    </xf>
    <xf applyAlignment="true" applyBorder="false" applyFill="false" applyFont="true" applyNumberFormat="true" applyProtection="false" borderId="0" fillId="0" fontId="2" numFmtId="182" xfId="0">
      <alignment vertical="center"/>
    </xf>
    <xf applyAlignment="true" applyBorder="false" applyFill="false" applyFont="true" applyNumberFormat="false" applyProtection="false" borderId="0" fillId="0" fontId="4" numFmtId="0" xfId="0">
      <alignment horizontal="left" vertical="center" wrapText="true"/>
    </xf>
  </cellXfs>
  <cellStyles count="1">
    <cellStyle builtinId="0" name="Normal" xfId="0"/>
  </cellStyles>
  <dxfs count="10">
    <dxf>
      <fill>
        <patternFill patternType="solid">
          <fgColor/>
          <bgColor rgb="FFD9F5D6"/>
        </patternFill>
      </fill>
    </dxf>
    <dxf>
      <fill>
        <patternFill patternType="solid">
          <fgColor/>
          <bgColor rgb="FF820000"/>
        </patternFill>
      </fill>
    </dxf>
    <dxf>
      <fill>
        <patternFill patternType="solid">
          <fgColor/>
          <bgColor rgb="FFD9F5D6"/>
        </patternFill>
      </fill>
    </dxf>
    <dxf>
      <fill>
        <patternFill patternType="solid">
          <fgColor/>
          <bgColor rgb="FFFDDDEF"/>
        </patternFill>
      </fill>
    </dxf>
    <dxf>
      <fill>
        <patternFill patternType="solid">
          <fgColor/>
          <bgColor rgb="FF820000"/>
        </patternFill>
      </fill>
    </dxf>
    <dxf>
      <fill>
        <patternFill patternType="solid">
          <fgColor/>
          <bgColor rgb="FF820000"/>
        </patternFill>
      </fill>
    </dxf>
    <dxf>
      <fill>
        <patternFill patternType="solid">
          <fgColor/>
          <bgColor rgb="FF820000"/>
        </patternFill>
      </fill>
    </dxf>
    <dxf>
      <fill>
        <patternFill patternType="solid">
          <fgColor/>
          <bgColor rgb="FFD9F5D6"/>
        </patternFill>
      </fill>
    </dxf>
    <dxf>
      <fill>
        <patternFill patternType="solid">
          <fgColor/>
          <bgColor rgb="FF820000"/>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calcChain.xml" Type="http://schemas.openxmlformats.org/officeDocument/2006/relationships/calcChain"></Relationship><Relationship Id="rId13"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23" min="23" style="0" width="8"/>
    <col collapsed="false" customWidth="true" hidden="false" max="3" min="3" style="0" width="10"/>
    <col collapsed="false" customWidth="true" hidden="false" max="7" min="7" style="0" width="7"/>
    <col collapsed="false" customWidth="true" hidden="false" max="11" min="11" style="0" width="7"/>
    <col collapsed="false" customWidth="true" hidden="false" max="15" min="15" style="0" width="7"/>
    <col collapsed="false" customWidth="true" hidden="false" max="19" min="19" style="0" width="5"/>
    <col collapsed="false" customWidth="true" hidden="false" max="22" min="22"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7"/>
    <col collapsed="false" customWidth="true" hidden="false" max="18" min="18" style="0" width="13"/>
    <col collapsed="false" customWidth="true" hidden="false" max="21" min="21"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7" min="17" style="0" width="7"/>
    <col collapsed="false" customWidth="true" hidden="false" max="4" min="4" style="0" width="5"/>
    <col collapsed="false" customWidth="true" hidden="false" max="8" min="8" style="0" width="6"/>
    <col collapsed="false" customWidth="true" hidden="false" max="12" min="12" style="0" width="5"/>
    <col collapsed="false" customWidth="true" hidden="false" max="16" min="16" style="0" width="7"/>
    <col collapsed="false" customWidth="true" hidden="false" max="20" min="20" style="0" width="7"/>
  </cols>
  <sheetData>
    <row customHeight="true" ht="18" r="1">
      <c r="A1" s="1" t="s">
        <v>1</v>
      </c>
      <c r="B1" s="1" t="s">
        <v>2</v>
      </c>
      <c r="C1" s="1" t="s">
        <v>3</v>
      </c>
      <c r="D1" s="1" t="s">
        <v>4</v>
      </c>
      <c r="E1" s="1" t="s">
        <v>5</v>
      </c>
      <c r="F1" s="2" t="s">
        <v>6</v>
      </c>
      <c r="G1" s="2" t="s">
        <v>7</v>
      </c>
      <c r="H1" s="3" t="s">
        <v>8</v>
      </c>
      <c r="I1" s="3" t="s">
        <v>9</v>
      </c>
      <c r="J1" s="4" t="s">
        <v>10</v>
      </c>
      <c r="K1" s="1" t="s">
        <v>11</v>
      </c>
      <c r="L1" s="1" t="s">
        <v>12</v>
      </c>
      <c r="M1" s="5" t="s">
        <v>13</v>
      </c>
      <c r="N1" s="6" t="s">
        <v>14</v>
      </c>
      <c r="O1" s="3" t="s">
        <v>15</v>
      </c>
      <c r="P1" s="4" t="s">
        <v>16</v>
      </c>
      <c r="Q1" s="4" t="s">
        <v>17</v>
      </c>
      <c r="R1" s="4" t="s">
        <v>18</v>
      </c>
      <c r="S1" s="7" t="s">
        <v>19</v>
      </c>
      <c r="T1" s="7" t="s">
        <v>20</v>
      </c>
      <c r="U1" s="7" t="s">
        <v>21</v>
      </c>
      <c r="V1" s="7" t="s">
        <v>22</v>
      </c>
      <c r="W1" s="7" t="s">
        <v>23</v>
      </c>
    </row>
    <row hidden="true" r="2">
      <c r="A2" s="8" t="s">
        <v>24</v>
      </c>
      <c r="B2" s="9" t="s">
        <v>25</v>
      </c>
      <c r="C2" s="8"/>
      <c r="D2" s="10" t="s">
        <v>26</v>
      </c>
      <c r="E2" s="8" t="s">
        <v>27</v>
      </c>
      <c r="F2" s="11" t="s">
        <v>28</v>
      </c>
      <c r="G2" s="11">
        <v>1037582.8</v>
      </c>
      <c r="H2" s="11">
        <v>2.0751656</v>
      </c>
      <c r="I2" s="11">
        <v>0.35</v>
      </c>
      <c r="J2" s="11"/>
      <c r="K2" s="8">
        <v>1.707742920526316</v>
      </c>
      <c r="L2" s="8">
        <v>1.5</v>
      </c>
      <c r="M2" s="8">
        <v>4050.0000000000005</v>
      </c>
      <c r="N2" s="8">
        <v>3000</v>
      </c>
      <c r="O2" s="11">
        <v>1.35</v>
      </c>
      <c r="P2" s="11">
        <v>24</v>
      </c>
      <c r="Q2" s="11">
        <v>384</v>
      </c>
      <c r="R2" s="11"/>
      <c r="S2" s="11"/>
      <c r="T2" s="11"/>
      <c r="U2" s="11"/>
      <c r="V2" s="12"/>
      <c r="W2" s="12"/>
    </row>
    <row hidden="true" r="3">
      <c r="A3" s="8"/>
      <c r="B3" s="9" t="s">
        <v>25</v>
      </c>
      <c r="C3" s="8"/>
      <c r="D3" s="10" t="s">
        <v>26</v>
      </c>
      <c r="E3" s="8"/>
      <c r="F3" s="11" t="s">
        <v>29</v>
      </c>
      <c r="G3" s="11">
        <v>60521.51</v>
      </c>
      <c r="H3" s="11">
        <v>1.5926713157894736</v>
      </c>
      <c r="I3" s="11">
        <v>0.35</v>
      </c>
      <c r="J3" s="11"/>
      <c r="K3" s="8"/>
      <c r="L3" s="8">
        <v>1.5</v>
      </c>
      <c r="M3" s="8"/>
      <c r="N3" s="8"/>
      <c r="O3" s="11"/>
      <c r="P3" s="11"/>
      <c r="Q3" s="11"/>
      <c r="R3" s="11"/>
      <c r="S3" s="11"/>
      <c r="T3" s="11"/>
      <c r="U3" s="11"/>
      <c r="V3" s="12"/>
      <c r="W3" s="12"/>
    </row>
    <row hidden="true" r="4">
      <c r="A4" s="8"/>
      <c r="B4" s="9" t="s">
        <v>25</v>
      </c>
      <c r="C4" s="8"/>
      <c r="D4" s="10" t="s">
        <v>26</v>
      </c>
      <c r="E4" s="8"/>
      <c r="F4" s="11" t="s">
        <v>30</v>
      </c>
      <c r="G4" s="11">
        <v>1</v>
      </c>
      <c r="H4" s="11">
        <v>1</v>
      </c>
      <c r="I4" s="11">
        <v>0.1</v>
      </c>
      <c r="J4" s="11"/>
      <c r="K4" s="8"/>
      <c r="L4" s="8">
        <v>1</v>
      </c>
      <c r="M4" s="8"/>
      <c r="N4" s="8"/>
      <c r="O4" s="11"/>
      <c r="P4" s="11"/>
      <c r="Q4" s="11"/>
      <c r="R4" s="11"/>
      <c r="S4" s="11"/>
      <c r="T4" s="11"/>
      <c r="U4" s="11"/>
      <c r="V4" s="12"/>
      <c r="W4" s="12"/>
    </row>
    <row hidden="true" r="5">
      <c r="A5" s="8"/>
      <c r="B5" s="9" t="s">
        <v>25</v>
      </c>
      <c r="C5" s="8"/>
      <c r="D5" s="10" t="s">
        <v>26</v>
      </c>
      <c r="E5" s="8"/>
      <c r="F5" s="11" t="s">
        <v>31</v>
      </c>
      <c r="G5" s="11">
        <v>8.1</v>
      </c>
      <c r="H5" s="11">
        <v>1.6199999999999999</v>
      </c>
      <c r="I5" s="11">
        <v>0.2</v>
      </c>
      <c r="J5" s="11"/>
      <c r="K5" s="8"/>
      <c r="L5" s="8">
        <v>1.5</v>
      </c>
      <c r="M5" s="8"/>
      <c r="N5" s="8"/>
      <c r="O5" s="11"/>
      <c r="P5" s="11"/>
      <c r="Q5" s="11"/>
      <c r="R5" s="11"/>
      <c r="S5" s="11"/>
      <c r="T5" s="11"/>
      <c r="U5" s="11"/>
      <c r="V5" s="12"/>
      <c r="W5" s="12"/>
    </row>
    <row hidden="true" r="6">
      <c r="A6" s="8" t="s">
        <v>32</v>
      </c>
      <c r="B6" s="9" t="s">
        <v>25</v>
      </c>
      <c r="C6" s="8"/>
      <c r="D6" s="10" t="s">
        <v>26</v>
      </c>
      <c r="E6" s="8" t="s">
        <v>33</v>
      </c>
      <c r="F6" s="11" t="s">
        <v>28</v>
      </c>
      <c r="G6" s="11">
        <v>851012</v>
      </c>
      <c r="H6" s="11">
        <v>1.702024</v>
      </c>
      <c r="I6" s="11">
        <v>0.35</v>
      </c>
      <c r="J6" s="11"/>
      <c r="K6" s="8">
        <v>1.5428642157894736</v>
      </c>
      <c r="L6" s="8">
        <v>1.5</v>
      </c>
      <c r="M6" s="8">
        <v>3000</v>
      </c>
      <c r="N6" s="8">
        <v>3000</v>
      </c>
      <c r="O6" s="11">
        <v>1</v>
      </c>
      <c r="P6" s="11">
        <v>27</v>
      </c>
      <c r="Q6" s="11">
        <v>432</v>
      </c>
      <c r="R6" s="11"/>
      <c r="S6" s="11"/>
      <c r="T6" s="11"/>
      <c r="U6" s="11"/>
      <c r="V6" s="12"/>
      <c r="W6" s="12"/>
    </row>
    <row hidden="true" r="7">
      <c r="A7" s="8"/>
      <c r="B7" s="9" t="s">
        <v>25</v>
      </c>
      <c r="C7" s="8"/>
      <c r="D7" s="10" t="s">
        <v>26</v>
      </c>
      <c r="E7" s="8"/>
      <c r="F7" s="11" t="s">
        <v>29</v>
      </c>
      <c r="G7" s="11">
        <v>57234.06</v>
      </c>
      <c r="H7" s="11">
        <v>1.5061594736842105</v>
      </c>
      <c r="I7" s="11">
        <v>0.35</v>
      </c>
      <c r="J7" s="11"/>
      <c r="K7" s="8"/>
      <c r="L7" s="8">
        <v>1.5</v>
      </c>
      <c r="M7" s="8"/>
      <c r="N7" s="8"/>
      <c r="O7" s="11"/>
      <c r="P7" s="11"/>
      <c r="Q7" s="11"/>
      <c r="R7" s="11"/>
      <c r="S7" s="11"/>
      <c r="T7" s="11"/>
      <c r="U7" s="11"/>
      <c r="V7" s="12"/>
      <c r="W7" s="12"/>
    </row>
    <row hidden="true" r="8">
      <c r="A8" s="8"/>
      <c r="B8" s="9" t="s">
        <v>25</v>
      </c>
      <c r="C8" s="8"/>
      <c r="D8" s="10" t="s">
        <v>26</v>
      </c>
      <c r="E8" s="8"/>
      <c r="F8" s="11" t="s">
        <v>30</v>
      </c>
      <c r="G8" s="11">
        <v>1.5</v>
      </c>
      <c r="H8" s="11">
        <v>1.5</v>
      </c>
      <c r="I8" s="11">
        <v>0.1</v>
      </c>
      <c r="J8" s="11"/>
      <c r="K8" s="8"/>
      <c r="L8" s="8">
        <v>1.5</v>
      </c>
      <c r="M8" s="8"/>
      <c r="N8" s="8"/>
      <c r="O8" s="11"/>
      <c r="P8" s="11"/>
      <c r="Q8" s="11"/>
      <c r="R8" s="11"/>
      <c r="S8" s="11"/>
      <c r="T8" s="11"/>
      <c r="U8" s="11"/>
      <c r="V8" s="12"/>
      <c r="W8" s="12"/>
    </row>
    <row hidden="true" r="9">
      <c r="A9" s="8"/>
      <c r="B9" s="9" t="s">
        <v>25</v>
      </c>
      <c r="C9" s="8"/>
      <c r="D9" s="10" t="s">
        <v>26</v>
      </c>
      <c r="E9" s="8"/>
      <c r="F9" s="11" t="s">
        <v>31</v>
      </c>
      <c r="G9" s="11">
        <v>6.75</v>
      </c>
      <c r="H9" s="11">
        <v>1.35</v>
      </c>
      <c r="I9" s="11">
        <v>0.2</v>
      </c>
      <c r="J9" s="11"/>
      <c r="K9" s="8"/>
      <c r="L9" s="8">
        <v>1.2</v>
      </c>
      <c r="M9" s="8"/>
      <c r="N9" s="8"/>
      <c r="O9" s="11"/>
      <c r="P9" s="11"/>
      <c r="Q9" s="11"/>
      <c r="R9" s="11"/>
      <c r="S9" s="11"/>
      <c r="T9" s="11"/>
      <c r="U9" s="11"/>
      <c r="V9" s="12"/>
      <c r="W9" s="12"/>
    </row>
    <row hidden="true" r="10">
      <c r="A10" s="8" t="s">
        <v>34</v>
      </c>
      <c r="B10" s="9" t="s">
        <v>25</v>
      </c>
      <c r="C10" s="8"/>
      <c r="D10" s="10" t="s">
        <v>26</v>
      </c>
      <c r="E10" s="8" t="s">
        <v>35</v>
      </c>
      <c r="F10" s="11" t="s">
        <v>28</v>
      </c>
      <c r="G10" s="11">
        <v>760591.4</v>
      </c>
      <c r="H10" s="11">
        <v>1.5211828</v>
      </c>
      <c r="I10" s="11">
        <v>0.35</v>
      </c>
      <c r="J10" s="11"/>
      <c r="K10" s="8">
        <v>1.4778810589473683</v>
      </c>
      <c r="L10" s="8">
        <v>1.5</v>
      </c>
      <c r="M10" s="8">
        <v>3000</v>
      </c>
      <c r="N10" s="8">
        <v>3000</v>
      </c>
      <c r="O10" s="11">
        <v>1</v>
      </c>
      <c r="P10" s="11">
        <v>27</v>
      </c>
      <c r="Q10" s="11">
        <v>432</v>
      </c>
      <c r="R10" s="11"/>
      <c r="S10" s="11"/>
      <c r="T10" s="11"/>
      <c r="U10" s="11"/>
      <c r="V10" s="12"/>
      <c r="W10" s="12"/>
    </row>
    <row hidden="true" r="11">
      <c r="A11" s="8"/>
      <c r="B11" s="9" t="s">
        <v>25</v>
      </c>
      <c r="C11" s="8"/>
      <c r="D11" s="10" t="s">
        <v>26</v>
      </c>
      <c r="E11" s="8"/>
      <c r="F11" s="11" t="s">
        <v>29</v>
      </c>
      <c r="G11" s="11">
        <v>60742.14</v>
      </c>
      <c r="H11" s="11">
        <v>1.5984773684210527</v>
      </c>
      <c r="I11" s="11">
        <v>0.35</v>
      </c>
      <c r="J11" s="11"/>
      <c r="K11" s="8"/>
      <c r="L11" s="8">
        <v>1.5</v>
      </c>
      <c r="M11" s="8"/>
      <c r="N11" s="8"/>
      <c r="O11" s="11"/>
      <c r="P11" s="11"/>
      <c r="Q11" s="11"/>
      <c r="R11" s="11"/>
      <c r="S11" s="11"/>
      <c r="T11" s="11"/>
      <c r="U11" s="11"/>
      <c r="V11" s="12"/>
      <c r="W11" s="12"/>
    </row>
    <row hidden="true" r="12">
      <c r="A12" s="8"/>
      <c r="B12" s="9" t="s">
        <v>25</v>
      </c>
      <c r="C12" s="8"/>
      <c r="D12" s="10" t="s">
        <v>26</v>
      </c>
      <c r="E12" s="8"/>
      <c r="F12" s="11" t="s">
        <v>30</v>
      </c>
      <c r="G12" s="11">
        <v>0.8</v>
      </c>
      <c r="H12" s="11">
        <v>0.8</v>
      </c>
      <c r="I12" s="11">
        <v>0.1</v>
      </c>
      <c r="J12" s="11"/>
      <c r="K12" s="8"/>
      <c r="L12" s="8">
        <v>0.8</v>
      </c>
      <c r="M12" s="8"/>
      <c r="N12" s="8"/>
      <c r="O12" s="11"/>
      <c r="P12" s="11"/>
      <c r="Q12" s="11"/>
      <c r="R12" s="11"/>
      <c r="S12" s="11"/>
      <c r="T12" s="11"/>
      <c r="U12" s="11"/>
      <c r="V12" s="12"/>
      <c r="W12" s="12"/>
    </row>
    <row hidden="true" r="13">
      <c r="A13" s="8"/>
      <c r="B13" s="9" t="s">
        <v>25</v>
      </c>
      <c r="C13" s="8"/>
      <c r="D13" s="10" t="s">
        <v>26</v>
      </c>
      <c r="E13" s="8"/>
      <c r="F13" s="11" t="s">
        <v>31</v>
      </c>
      <c r="G13" s="11">
        <v>7.65</v>
      </c>
      <c r="H13" s="11">
        <v>1.53</v>
      </c>
      <c r="I13" s="11">
        <v>0.2</v>
      </c>
      <c r="J13" s="11"/>
      <c r="K13" s="8"/>
      <c r="L13" s="8">
        <v>1.5</v>
      </c>
      <c r="M13" s="8"/>
      <c r="N13" s="8"/>
      <c r="O13" s="11"/>
      <c r="P13" s="11"/>
      <c r="Q13" s="11"/>
      <c r="R13" s="11"/>
      <c r="S13" s="11"/>
      <c r="T13" s="11"/>
      <c r="U13" s="11"/>
      <c r="V13" s="12"/>
      <c r="W13" s="12"/>
    </row>
    <row hidden="true" r="14">
      <c r="A14" s="8" t="s">
        <v>36</v>
      </c>
      <c r="B14" s="9" t="s">
        <v>25</v>
      </c>
      <c r="C14" s="8"/>
      <c r="D14" s="10" t="s">
        <v>26</v>
      </c>
      <c r="E14" s="8" t="s">
        <v>37</v>
      </c>
      <c r="F14" s="11" t="s">
        <v>28</v>
      </c>
      <c r="G14" s="11">
        <v>853560.43</v>
      </c>
      <c r="H14" s="11">
        <v>1.70712086</v>
      </c>
      <c r="I14" s="11">
        <v>0.35</v>
      </c>
      <c r="J14" s="11"/>
      <c r="K14" s="8">
        <v>1.580908090473684</v>
      </c>
      <c r="L14" s="8">
        <v>1.5</v>
      </c>
      <c r="M14" s="8">
        <v>2400</v>
      </c>
      <c r="N14" s="8">
        <v>3000</v>
      </c>
      <c r="O14" s="11">
        <v>0.8</v>
      </c>
      <c r="P14" s="11"/>
      <c r="Q14" s="11"/>
      <c r="R14" s="11"/>
      <c r="S14" s="11"/>
      <c r="T14" s="11"/>
      <c r="U14" s="11"/>
      <c r="V14" s="12"/>
      <c r="W14" s="12"/>
    </row>
    <row hidden="true" r="15">
      <c r="A15" s="8"/>
      <c r="B15" s="9" t="s">
        <v>25</v>
      </c>
      <c r="C15" s="8"/>
      <c r="D15" s="10" t="s">
        <v>26</v>
      </c>
      <c r="E15" s="8"/>
      <c r="F15" s="11" t="s">
        <v>29</v>
      </c>
      <c r="G15" s="11">
        <v>64428</v>
      </c>
      <c r="H15" s="11">
        <v>1.6954736842105262</v>
      </c>
      <c r="I15" s="11">
        <v>0.35</v>
      </c>
      <c r="J15" s="11"/>
      <c r="K15" s="8"/>
      <c r="L15" s="8">
        <v>1.5</v>
      </c>
      <c r="M15" s="8"/>
      <c r="N15" s="8"/>
      <c r="O15" s="11"/>
      <c r="P15" s="11"/>
      <c r="Q15" s="11"/>
      <c r="R15" s="11"/>
      <c r="S15" s="11"/>
      <c r="T15" s="11"/>
      <c r="U15" s="11"/>
      <c r="V15" s="12"/>
      <c r="W15" s="12"/>
    </row>
    <row hidden="true" r="16">
      <c r="A16" s="8"/>
      <c r="B16" s="9" t="s">
        <v>25</v>
      </c>
      <c r="C16" s="8"/>
      <c r="D16" s="10" t="s">
        <v>26</v>
      </c>
      <c r="E16" s="8"/>
      <c r="F16" s="11" t="s">
        <v>30</v>
      </c>
      <c r="G16" s="11">
        <v>1.2</v>
      </c>
      <c r="H16" s="11">
        <v>1.2</v>
      </c>
      <c r="I16" s="11">
        <v>0.1</v>
      </c>
      <c r="J16" s="11"/>
      <c r="K16" s="8"/>
      <c r="L16" s="8">
        <v>1.2</v>
      </c>
      <c r="M16" s="8"/>
      <c r="N16" s="8"/>
      <c r="O16" s="11"/>
      <c r="P16" s="11"/>
      <c r="Q16" s="11"/>
      <c r="R16" s="11"/>
      <c r="S16" s="11"/>
      <c r="T16" s="11"/>
      <c r="U16" s="11"/>
      <c r="V16" s="12"/>
      <c r="W16" s="12"/>
    </row>
    <row hidden="true" r="17">
      <c r="A17" s="8"/>
      <c r="B17" s="9" t="s">
        <v>25</v>
      </c>
      <c r="C17" s="8"/>
      <c r="D17" s="10" t="s">
        <v>26</v>
      </c>
      <c r="E17" s="8"/>
      <c r="F17" s="11" t="s">
        <v>31</v>
      </c>
      <c r="G17" s="11">
        <v>6.75</v>
      </c>
      <c r="H17" s="11">
        <v>1.35</v>
      </c>
      <c r="I17" s="11">
        <v>0.2</v>
      </c>
      <c r="J17" s="11"/>
      <c r="K17" s="8"/>
      <c r="L17" s="8">
        <v>1.2</v>
      </c>
      <c r="M17" s="8"/>
      <c r="N17" s="8"/>
      <c r="O17" s="11"/>
      <c r="P17" s="11"/>
      <c r="Q17" s="11"/>
      <c r="R17" s="11"/>
      <c r="S17" s="11"/>
      <c r="T17" s="11"/>
      <c r="U17" s="11"/>
      <c r="V17" s="12"/>
      <c r="W17" s="12"/>
    </row>
    <row hidden="true" r="18">
      <c r="A18" s="8" t="s">
        <v>38</v>
      </c>
      <c r="B18" s="9" t="s">
        <v>25</v>
      </c>
      <c r="C18" s="8"/>
      <c r="D18" s="10" t="s">
        <v>26</v>
      </c>
      <c r="E18" s="8" t="s">
        <v>39</v>
      </c>
      <c r="F18" s="11" t="s">
        <v>28</v>
      </c>
      <c r="G18" s="11">
        <v>844581.7</v>
      </c>
      <c r="H18" s="11">
        <v>1.6891634</v>
      </c>
      <c r="I18" s="11">
        <v>0.35</v>
      </c>
      <c r="J18" s="11"/>
      <c r="K18" s="8">
        <v>1.529693387368421</v>
      </c>
      <c r="L18" s="8">
        <v>1.5</v>
      </c>
      <c r="M18" s="8">
        <v>4050.0000000000005</v>
      </c>
      <c r="N18" s="8">
        <v>3000</v>
      </c>
      <c r="O18" s="11">
        <v>1.35</v>
      </c>
      <c r="P18" s="11">
        <v>29</v>
      </c>
      <c r="Q18" s="11">
        <v>464</v>
      </c>
      <c r="R18" s="11"/>
      <c r="S18" s="11"/>
      <c r="T18" s="11"/>
      <c r="U18" s="11"/>
      <c r="V18" s="12"/>
      <c r="W18" s="12"/>
    </row>
    <row hidden="true" r="19">
      <c r="A19" s="8"/>
      <c r="B19" s="9" t="s">
        <v>25</v>
      </c>
      <c r="C19" s="8"/>
      <c r="D19" s="10" t="s">
        <v>26</v>
      </c>
      <c r="E19" s="8"/>
      <c r="F19" s="11" t="s">
        <v>29</v>
      </c>
      <c r="G19" s="11">
        <v>58029.93</v>
      </c>
      <c r="H19" s="11">
        <v>1.5271034210526315</v>
      </c>
      <c r="I19" s="11">
        <v>0.35</v>
      </c>
      <c r="J19" s="11"/>
      <c r="K19" s="8"/>
      <c r="L19" s="8">
        <v>1.5</v>
      </c>
      <c r="M19" s="8"/>
      <c r="N19" s="8"/>
      <c r="O19" s="11"/>
      <c r="P19" s="11"/>
      <c r="Q19" s="11"/>
      <c r="R19" s="11"/>
      <c r="S19" s="11"/>
      <c r="T19" s="11"/>
      <c r="U19" s="11"/>
      <c r="V19" s="12"/>
      <c r="W19" s="12"/>
    </row>
    <row hidden="true" r="20">
      <c r="A20" s="8"/>
      <c r="B20" s="9" t="s">
        <v>25</v>
      </c>
      <c r="C20" s="8"/>
      <c r="D20" s="10" t="s">
        <v>26</v>
      </c>
      <c r="E20" s="8"/>
      <c r="F20" s="11" t="s">
        <v>30</v>
      </c>
      <c r="G20" s="11">
        <v>1</v>
      </c>
      <c r="H20" s="11">
        <v>1</v>
      </c>
      <c r="I20" s="11">
        <v>0.1</v>
      </c>
      <c r="J20" s="11"/>
      <c r="K20" s="8"/>
      <c r="L20" s="8">
        <v>1</v>
      </c>
      <c r="M20" s="8"/>
      <c r="N20" s="8"/>
      <c r="O20" s="11"/>
      <c r="P20" s="11"/>
      <c r="Q20" s="11"/>
      <c r="R20" s="11"/>
      <c r="S20" s="11"/>
      <c r="T20" s="11"/>
      <c r="U20" s="11"/>
      <c r="V20" s="12"/>
      <c r="W20" s="12"/>
    </row>
    <row hidden="true" r="21">
      <c r="A21" s="8"/>
      <c r="B21" s="9" t="s">
        <v>25</v>
      </c>
      <c r="C21" s="8"/>
      <c r="D21" s="10" t="s">
        <v>26</v>
      </c>
      <c r="E21" s="8"/>
      <c r="F21" s="11" t="s">
        <v>31</v>
      </c>
      <c r="G21" s="11">
        <v>7.6</v>
      </c>
      <c r="H21" s="11">
        <v>1.52</v>
      </c>
      <c r="I21" s="11">
        <v>0.2</v>
      </c>
      <c r="J21" s="11"/>
      <c r="K21" s="8"/>
      <c r="L21" s="8">
        <v>1.5</v>
      </c>
      <c r="M21" s="8"/>
      <c r="N21" s="8"/>
      <c r="O21" s="11"/>
      <c r="P21" s="11"/>
      <c r="Q21" s="11"/>
      <c r="R21" s="11"/>
      <c r="S21" s="11"/>
      <c r="T21" s="11"/>
      <c r="U21" s="11"/>
      <c r="V21" s="12"/>
      <c r="W21" s="12"/>
    </row>
    <row hidden="true" r="22">
      <c r="A22" s="8" t="s">
        <v>36</v>
      </c>
      <c r="B22" s="9" t="s">
        <v>25</v>
      </c>
      <c r="C22" s="8"/>
      <c r="D22" s="10" t="s">
        <v>26</v>
      </c>
      <c r="E22" s="8" t="s">
        <v>40</v>
      </c>
      <c r="F22" s="11" t="s">
        <v>28</v>
      </c>
      <c r="G22" s="11">
        <v>833877.42</v>
      </c>
      <c r="H22" s="11">
        <v>1.6677548400000002</v>
      </c>
      <c r="I22" s="11">
        <v>0.35</v>
      </c>
      <c r="J22" s="11"/>
      <c r="K22" s="8">
        <v>1.4989692334736844</v>
      </c>
      <c r="L22" s="8">
        <v>1.5</v>
      </c>
      <c r="M22" s="8">
        <v>1500</v>
      </c>
      <c r="N22" s="8">
        <v>3000</v>
      </c>
      <c r="O22" s="11">
        <v>0.5</v>
      </c>
      <c r="P22" s="11"/>
      <c r="Q22" s="11"/>
      <c r="R22" s="11"/>
      <c r="S22" s="11"/>
      <c r="T22" s="11"/>
      <c r="U22" s="11"/>
      <c r="V22" s="12"/>
      <c r="W22" s="12"/>
    </row>
    <row hidden="true" r="23">
      <c r="A23" s="8"/>
      <c r="B23" s="9" t="s">
        <v>25</v>
      </c>
      <c r="C23" s="8"/>
      <c r="D23" s="10" t="s">
        <v>26</v>
      </c>
      <c r="E23" s="8"/>
      <c r="F23" s="11" t="s">
        <v>29</v>
      </c>
      <c r="G23" s="11">
        <v>61587.69</v>
      </c>
      <c r="H23" s="11">
        <v>1.6207286842105264</v>
      </c>
      <c r="I23" s="11">
        <v>0.35</v>
      </c>
      <c r="J23" s="11"/>
      <c r="K23" s="8"/>
      <c r="L23" s="8">
        <v>1.5</v>
      </c>
      <c r="M23" s="8"/>
      <c r="N23" s="8"/>
      <c r="O23" s="11"/>
      <c r="P23" s="11"/>
      <c r="Q23" s="11"/>
      <c r="R23" s="11"/>
      <c r="S23" s="11"/>
      <c r="T23" s="11"/>
      <c r="U23" s="11"/>
      <c r="V23" s="12"/>
      <c r="W23" s="12"/>
    </row>
    <row hidden="true" r="24">
      <c r="A24" s="8"/>
      <c r="B24" s="9" t="s">
        <v>25</v>
      </c>
      <c r="C24" s="8"/>
      <c r="D24" s="10" t="s">
        <v>26</v>
      </c>
      <c r="E24" s="8"/>
      <c r="F24" s="11" t="s">
        <v>30</v>
      </c>
      <c r="G24" s="11">
        <v>0.5</v>
      </c>
      <c r="H24" s="11">
        <v>0.5</v>
      </c>
      <c r="I24" s="11">
        <v>0.1</v>
      </c>
      <c r="J24" s="11"/>
      <c r="K24" s="8"/>
      <c r="L24" s="8">
        <v>0.5</v>
      </c>
      <c r="M24" s="8"/>
      <c r="N24" s="8"/>
      <c r="O24" s="11"/>
      <c r="P24" s="11"/>
      <c r="Q24" s="11"/>
      <c r="R24" s="11"/>
      <c r="S24" s="11"/>
      <c r="T24" s="11"/>
      <c r="U24" s="11"/>
      <c r="V24" s="12"/>
      <c r="W24" s="12"/>
    </row>
    <row hidden="true" r="25">
      <c r="A25" s="8"/>
      <c r="B25" s="9" t="s">
        <v>25</v>
      </c>
      <c r="C25" s="8"/>
      <c r="D25" s="10" t="s">
        <v>26</v>
      </c>
      <c r="E25" s="8"/>
      <c r="F25" s="11" t="s">
        <v>31</v>
      </c>
      <c r="G25" s="11">
        <v>7.45</v>
      </c>
      <c r="H25" s="11">
        <v>1.49</v>
      </c>
      <c r="I25" s="11">
        <v>0.2</v>
      </c>
      <c r="J25" s="11"/>
      <c r="K25" s="8"/>
      <c r="L25" s="8">
        <v>1.2</v>
      </c>
      <c r="M25" s="8"/>
      <c r="N25" s="8"/>
      <c r="O25" s="11"/>
      <c r="P25" s="11"/>
      <c r="Q25" s="11"/>
      <c r="R25" s="11"/>
      <c r="S25" s="11"/>
      <c r="T25" s="11"/>
      <c r="U25" s="11"/>
      <c r="V25" s="12"/>
      <c r="W25" s="12"/>
    </row>
    <row r="26">
      <c r="A26" s="13" t="s">
        <v>41</v>
      </c>
      <c r="B26" s="9" t="s">
        <v>25</v>
      </c>
      <c r="C26" s="13"/>
      <c r="D26" s="13"/>
      <c r="E26" s="13" t="s">
        <v>42</v>
      </c>
      <c r="K26" s="13"/>
      <c r="L26" s="13"/>
      <c r="M26" s="8"/>
      <c r="N26" s="8"/>
      <c r="O26" s="11"/>
      <c r="P26" s="11"/>
      <c r="Q26" s="11">
        <v>460</v>
      </c>
    </row>
    <row r="27">
      <c r="A27" s="13" t="s">
        <v>43</v>
      </c>
      <c r="B27" s="9" t="s">
        <v>25</v>
      </c>
      <c r="C27" s="13"/>
      <c r="D27" s="13"/>
      <c r="E27" s="13" t="s">
        <v>44</v>
      </c>
      <c r="K27" s="13"/>
      <c r="L27" s="13"/>
      <c r="M27" s="8"/>
      <c r="N27" s="8"/>
      <c r="O27" s="11"/>
      <c r="P27" s="11"/>
      <c r="Q27" s="11">
        <v>500</v>
      </c>
    </row>
    <row r="28">
      <c r="A28" s="13" t="s">
        <v>45</v>
      </c>
      <c r="B28" s="9" t="s">
        <v>25</v>
      </c>
      <c r="C28" s="13"/>
      <c r="D28" s="13"/>
      <c r="E28" s="13" t="s">
        <v>46</v>
      </c>
      <c r="K28" s="13"/>
      <c r="L28" s="13"/>
      <c r="M28" s="8"/>
      <c r="N28" s="8"/>
      <c r="O28" s="11"/>
      <c r="P28" s="11"/>
      <c r="Q28" s="11">
        <v>420</v>
      </c>
    </row>
    <row r="29">
      <c r="A29" s="13" t="s">
        <v>47</v>
      </c>
      <c r="B29" s="9" t="s">
        <v>25</v>
      </c>
      <c r="C29" s="13"/>
      <c r="D29" s="13"/>
      <c r="E29" s="13" t="s">
        <v>48</v>
      </c>
      <c r="K29" s="13"/>
      <c r="L29" s="13"/>
      <c r="M29" s="8"/>
      <c r="N29" s="8"/>
      <c r="O29" s="11"/>
      <c r="P29" s="11"/>
      <c r="Q29" s="11">
        <v>300</v>
      </c>
    </row>
    <row r="30">
      <c r="A30" s="13" t="s">
        <v>49</v>
      </c>
      <c r="B30" s="9" t="s">
        <v>25</v>
      </c>
      <c r="C30" s="13"/>
      <c r="D30" s="13"/>
      <c r="E30" s="13" t="s">
        <v>50</v>
      </c>
      <c r="K30" s="13"/>
      <c r="L30" s="13"/>
      <c r="M30" s="8"/>
      <c r="N30" s="8"/>
      <c r="O30" s="11"/>
      <c r="P30" s="11"/>
      <c r="Q30" s="11">
        <v>500</v>
      </c>
    </row>
    <row r="31">
      <c r="A31" s="13" t="s">
        <v>51</v>
      </c>
      <c r="B31" s="9" t="s">
        <v>25</v>
      </c>
      <c r="C31" s="13"/>
      <c r="D31" s="13"/>
      <c r="E31" s="13" t="s">
        <v>52</v>
      </c>
      <c r="K31" s="13"/>
      <c r="L31" s="13"/>
      <c r="M31" s="8"/>
      <c r="N31" s="8"/>
      <c r="O31" s="11"/>
      <c r="P31" s="11"/>
      <c r="Q31" s="11">
        <v>360</v>
      </c>
    </row>
    <row r="32">
      <c r="A32" s="13" t="s">
        <v>53</v>
      </c>
      <c r="B32" s="9" t="s">
        <v>25</v>
      </c>
      <c r="C32" s="13"/>
      <c r="D32" s="13"/>
      <c r="E32" s="13" t="s">
        <v>54</v>
      </c>
      <c r="K32" s="13"/>
      <c r="L32" s="13"/>
      <c r="M32" s="8"/>
      <c r="N32" s="8"/>
      <c r="O32" s="11"/>
      <c r="P32" s="11"/>
      <c r="Q32" s="11">
        <v>460</v>
      </c>
    </row>
    <row r="33">
      <c r="A33" s="13" t="s">
        <v>55</v>
      </c>
      <c r="B33" s="9" t="s">
        <v>25</v>
      </c>
      <c r="C33" s="13"/>
      <c r="D33" s="13"/>
      <c r="E33" s="13" t="s">
        <v>56</v>
      </c>
      <c r="K33" s="13"/>
      <c r="L33" s="13"/>
      <c r="M33" s="8"/>
      <c r="N33" s="8"/>
      <c r="O33" s="11"/>
      <c r="P33" s="11"/>
      <c r="Q33" s="11">
        <v>380</v>
      </c>
    </row>
    <row r="34">
      <c r="A34" s="13" t="s">
        <v>57</v>
      </c>
      <c r="B34" s="9" t="s">
        <v>25</v>
      </c>
      <c r="C34" s="13"/>
      <c r="D34" s="13"/>
      <c r="E34" s="13" t="s">
        <v>58</v>
      </c>
      <c r="K34" s="13"/>
      <c r="L34" s="13"/>
      <c r="M34" s="8"/>
      <c r="N34" s="8"/>
      <c r="O34" s="11"/>
      <c r="P34" s="11"/>
      <c r="Q34" s="11">
        <v>440</v>
      </c>
    </row>
    <row r="35">
      <c r="A35" s="13" t="s">
        <v>59</v>
      </c>
      <c r="B35" s="9" t="s">
        <v>25</v>
      </c>
      <c r="C35" s="13"/>
      <c r="D35" s="13"/>
      <c r="E35" s="13" t="s">
        <v>60</v>
      </c>
      <c r="K35" s="13"/>
      <c r="L35" s="13"/>
      <c r="M35" s="8"/>
      <c r="N35" s="8"/>
      <c r="O35" s="11"/>
      <c r="P35" s="11"/>
      <c r="Q35" s="11">
        <v>340</v>
      </c>
    </row>
    <row r="36">
      <c r="A36" s="13" t="s">
        <v>61</v>
      </c>
      <c r="B36" s="9" t="s">
        <v>25</v>
      </c>
      <c r="C36" s="13"/>
      <c r="D36" s="13"/>
      <c r="E36" s="13" t="s">
        <v>62</v>
      </c>
      <c r="K36" s="13"/>
      <c r="L36" s="13"/>
      <c r="M36" s="8"/>
      <c r="N36" s="8"/>
      <c r="O36" s="11"/>
      <c r="P36" s="11"/>
      <c r="Q36" s="11">
        <v>340</v>
      </c>
    </row>
    <row r="37">
      <c r="A37" s="13" t="s">
        <v>63</v>
      </c>
      <c r="B37" s="9" t="s">
        <v>25</v>
      </c>
      <c r="C37" s="13"/>
      <c r="D37" s="13"/>
      <c r="E37" s="13" t="s">
        <v>64</v>
      </c>
      <c r="K37" s="13"/>
      <c r="L37" s="13"/>
      <c r="M37" s="8"/>
      <c r="N37" s="8"/>
      <c r="O37" s="11"/>
      <c r="P37" s="11"/>
      <c r="Q37" s="11">
        <v>576</v>
      </c>
    </row>
    <row r="38">
      <c r="A38" s="13" t="s">
        <v>65</v>
      </c>
      <c r="B38" s="9" t="s">
        <v>25</v>
      </c>
      <c r="C38" s="13"/>
      <c r="D38" s="13"/>
      <c r="E38" s="13" t="s">
        <v>66</v>
      </c>
      <c r="K38" s="13"/>
      <c r="L38" s="13"/>
      <c r="M38" s="8"/>
      <c r="N38" s="8"/>
      <c r="O38" s="11"/>
      <c r="P38" s="11"/>
      <c r="Q38" s="11">
        <v>792</v>
      </c>
    </row>
    <row r="39">
      <c r="A39" s="13" t="s">
        <v>67</v>
      </c>
      <c r="B39" s="9" t="s">
        <v>25</v>
      </c>
      <c r="C39" s="13"/>
      <c r="D39" s="13"/>
      <c r="E39" s="13" t="s">
        <v>68</v>
      </c>
      <c r="K39" s="13"/>
      <c r="L39" s="13"/>
      <c r="M39" s="8"/>
      <c r="N39" s="8"/>
      <c r="O39" s="11"/>
      <c r="P39" s="11"/>
      <c r="Q39" s="11">
        <v>200</v>
      </c>
    </row>
    <row r="40">
      <c r="A40" s="13" t="s">
        <v>69</v>
      </c>
      <c r="B40" s="9" t="s">
        <v>25</v>
      </c>
      <c r="C40" s="13"/>
      <c r="D40" s="13"/>
      <c r="E40" s="13" t="s">
        <v>70</v>
      </c>
      <c r="K40" s="13"/>
      <c r="L40" s="13"/>
      <c r="M40" s="10">
        <v>1800</v>
      </c>
      <c r="N40" s="10">
        <v>4000</v>
      </c>
      <c r="O40" s="14">
        <v>0.3</v>
      </c>
      <c r="P40" s="11"/>
      <c r="Q40" s="11"/>
      <c r="R40" s="15" t="s">
        <v>71</v>
      </c>
    </row>
    <row hidden="true" r="41">
      <c r="A41" s="13"/>
      <c r="B41" s="16" t="s">
        <v>72</v>
      </c>
      <c r="C41" s="13"/>
      <c r="D41" s="13" t="s">
        <v>73</v>
      </c>
      <c r="E41" s="13" t="s">
        <v>74</v>
      </c>
      <c r="F41" s="11" t="s">
        <v>75</v>
      </c>
      <c r="G41" s="11" t="s">
        <v>76</v>
      </c>
      <c r="H41" s="17">
        <v>1</v>
      </c>
      <c r="I41" s="17">
        <v>0.5</v>
      </c>
      <c r="J41" s="11">
        <v>0.5</v>
      </c>
      <c r="K41" s="18">
        <v>1.2</v>
      </c>
      <c r="L41" s="8">
        <v>1.2</v>
      </c>
      <c r="M41" s="8">
        <v>5400</v>
      </c>
      <c r="N41" s="8">
        <v>5000</v>
      </c>
      <c r="O41" s="11"/>
      <c r="P41" s="11"/>
      <c r="Q41" s="11"/>
      <c r="S41" s="11">
        <v>1</v>
      </c>
      <c r="T41" s="11">
        <v>1</v>
      </c>
      <c r="U41" s="11">
        <v>1000</v>
      </c>
      <c r="V41" s="12">
        <v>400</v>
      </c>
      <c r="W41" s="12">
        <v>5400</v>
      </c>
    </row>
    <row r="42">
      <c r="A42" s="13"/>
      <c r="B42" s="16" t="s">
        <v>72</v>
      </c>
      <c r="C42" s="13"/>
      <c r="D42" s="13"/>
      <c r="E42" s="13"/>
      <c r="F42" s="11" t="s">
        <v>77</v>
      </c>
      <c r="G42" s="11" t="s">
        <v>78</v>
      </c>
      <c r="H42" s="17">
        <v>1.5</v>
      </c>
      <c r="I42" s="17">
        <v>0.4</v>
      </c>
      <c r="J42" s="11">
        <v>0.6</v>
      </c>
      <c r="K42" s="8"/>
      <c r="L42" s="8"/>
      <c r="M42" s="8"/>
      <c r="N42" s="8"/>
      <c r="O42" s="11"/>
      <c r="P42" s="11"/>
      <c r="Q42" s="11"/>
      <c r="S42" s="11"/>
      <c r="T42" s="11"/>
      <c r="U42" s="11"/>
      <c r="V42" s="12"/>
      <c r="W42" s="12"/>
    </row>
    <row r="43">
      <c r="A43" s="13"/>
      <c r="B43" s="16" t="s">
        <v>72</v>
      </c>
      <c r="C43" s="13"/>
      <c r="D43" s="13"/>
      <c r="E43" s="13"/>
      <c r="F43" s="11" t="s">
        <v>79</v>
      </c>
      <c r="G43" s="11"/>
      <c r="H43" s="17">
        <v>1</v>
      </c>
      <c r="I43" s="17">
        <v>0.1</v>
      </c>
      <c r="J43" s="11">
        <v>0.1</v>
      </c>
      <c r="K43" s="8"/>
      <c r="L43" s="8"/>
      <c r="M43" s="8"/>
      <c r="N43" s="8"/>
      <c r="O43" s="11"/>
      <c r="P43" s="11"/>
      <c r="Q43" s="11"/>
      <c r="S43" s="11"/>
      <c r="T43" s="11"/>
      <c r="U43" s="11"/>
      <c r="V43" s="12"/>
      <c r="W43" s="12"/>
    </row>
    <row hidden="true" r="44">
      <c r="A44" s="13"/>
      <c r="B44" s="16" t="s">
        <v>72</v>
      </c>
      <c r="C44" s="13"/>
      <c r="D44" s="13" t="s">
        <v>73</v>
      </c>
      <c r="E44" s="13" t="s">
        <v>80</v>
      </c>
      <c r="F44" s="11" t="s">
        <v>81</v>
      </c>
      <c r="G44" s="11" t="s">
        <v>82</v>
      </c>
      <c r="H44" s="17">
        <v>0.75</v>
      </c>
      <c r="I44" s="17">
        <v>0.1</v>
      </c>
      <c r="J44" s="11">
        <v>0.075</v>
      </c>
      <c r="K44" s="18">
        <v>1.013</v>
      </c>
      <c r="L44" s="8">
        <v>1.01</v>
      </c>
      <c r="M44" s="8">
        <v>5000</v>
      </c>
      <c r="N44" s="8">
        <v>5000</v>
      </c>
      <c r="O44" s="11"/>
      <c r="P44" s="11"/>
      <c r="Q44" s="11"/>
      <c r="S44" s="11">
        <v>6</v>
      </c>
      <c r="T44" s="11">
        <v>6</v>
      </c>
      <c r="U44" s="11">
        <v>1000</v>
      </c>
      <c r="V44" s="12"/>
      <c r="W44" s="12">
        <v>5000</v>
      </c>
    </row>
    <row r="45">
      <c r="A45" s="13"/>
      <c r="B45" s="16" t="s">
        <v>72</v>
      </c>
      <c r="C45" s="13"/>
      <c r="D45" s="13"/>
      <c r="E45" s="13"/>
      <c r="F45" s="11" t="s">
        <v>83</v>
      </c>
      <c r="G45" s="11" t="s">
        <v>84</v>
      </c>
      <c r="H45" s="17">
        <v>1.19</v>
      </c>
      <c r="I45" s="17">
        <v>0.2</v>
      </c>
      <c r="J45" s="11">
        <v>0.238</v>
      </c>
      <c r="K45" s="8"/>
      <c r="L45" s="8"/>
      <c r="M45" s="8"/>
      <c r="N45" s="8"/>
      <c r="O45" s="11"/>
      <c r="P45" s="11"/>
      <c r="Q45" s="11"/>
      <c r="S45" s="11"/>
      <c r="T45" s="11"/>
      <c r="U45" s="11"/>
      <c r="V45" s="12"/>
      <c r="W45" s="12"/>
    </row>
    <row r="46">
      <c r="A46" s="13"/>
      <c r="B46" s="16" t="s">
        <v>72</v>
      </c>
      <c r="C46" s="13"/>
      <c r="D46" s="13"/>
      <c r="E46" s="13"/>
      <c r="F46" s="11" t="s">
        <v>85</v>
      </c>
      <c r="G46" s="11" t="s">
        <v>86</v>
      </c>
      <c r="H46" s="17">
        <v>1</v>
      </c>
      <c r="I46" s="17">
        <v>0.7</v>
      </c>
      <c r="J46" s="11">
        <v>0.7</v>
      </c>
      <c r="K46" s="8"/>
      <c r="L46" s="8"/>
      <c r="M46" s="8"/>
      <c r="N46" s="8"/>
      <c r="O46" s="11"/>
      <c r="P46" s="11"/>
      <c r="Q46" s="11"/>
      <c r="S46" s="11"/>
      <c r="T46" s="11"/>
      <c r="U46" s="11"/>
      <c r="V46" s="12"/>
      <c r="W46" s="12"/>
    </row>
    <row r="47">
      <c r="A47" s="13"/>
      <c r="B47" s="16" t="s">
        <v>72</v>
      </c>
      <c r="C47" s="13"/>
      <c r="D47" s="13"/>
      <c r="E47" s="13" t="s">
        <v>87</v>
      </c>
      <c r="F47" s="11" t="s">
        <v>88</v>
      </c>
      <c r="G47" s="19">
        <v>0.8355</v>
      </c>
      <c r="H47" s="17">
        <v>1</v>
      </c>
      <c r="I47" s="19">
        <v>0.2</v>
      </c>
      <c r="J47" s="11">
        <v>0.2</v>
      </c>
      <c r="K47" s="18">
        <v>1.0206</v>
      </c>
      <c r="L47" s="8">
        <v>1.02</v>
      </c>
      <c r="M47" s="8">
        <v>5100</v>
      </c>
      <c r="N47" s="8">
        <v>5000</v>
      </c>
      <c r="O47" s="11"/>
      <c r="P47" s="11"/>
      <c r="Q47" s="11"/>
      <c r="S47" s="11">
        <v>5</v>
      </c>
      <c r="T47" s="11">
        <v>5</v>
      </c>
      <c r="U47" s="11">
        <v>1000</v>
      </c>
      <c r="V47" s="12">
        <v>100</v>
      </c>
      <c r="W47" s="12">
        <v>5100</v>
      </c>
    </row>
    <row r="48">
      <c r="A48" s="13"/>
      <c r="B48" s="16" t="s">
        <v>72</v>
      </c>
      <c r="C48" s="13"/>
      <c r="D48" s="13"/>
      <c r="E48" s="13"/>
      <c r="F48" s="11" t="s">
        <v>89</v>
      </c>
      <c r="G48" s="11" t="s">
        <v>90</v>
      </c>
      <c r="H48" s="17">
        <v>1</v>
      </c>
      <c r="I48" s="19">
        <v>0.2</v>
      </c>
      <c r="J48" s="11">
        <v>0.2</v>
      </c>
      <c r="K48" s="8"/>
      <c r="L48" s="8"/>
      <c r="M48" s="8"/>
      <c r="N48" s="8"/>
      <c r="O48" s="11"/>
      <c r="P48" s="11"/>
      <c r="Q48" s="11"/>
      <c r="S48" s="11"/>
      <c r="T48" s="11"/>
      <c r="U48" s="11"/>
      <c r="V48" s="12"/>
      <c r="W48" s="12"/>
    </row>
    <row r="49">
      <c r="A49" s="13"/>
      <c r="B49" s="16" t="s">
        <v>72</v>
      </c>
      <c r="C49" s="13"/>
      <c r="D49" s="13"/>
      <c r="E49" s="13"/>
      <c r="F49" s="11" t="s">
        <v>91</v>
      </c>
      <c r="G49" s="19">
        <v>0.9722</v>
      </c>
      <c r="H49" s="19">
        <v>1</v>
      </c>
      <c r="I49" s="19">
        <v>0.2</v>
      </c>
      <c r="J49" s="11">
        <v>0.2</v>
      </c>
      <c r="K49" s="8"/>
      <c r="L49" s="8"/>
      <c r="M49" s="8"/>
      <c r="N49" s="8"/>
      <c r="O49" s="11"/>
      <c r="P49" s="11"/>
      <c r="Q49" s="11"/>
      <c r="S49" s="11"/>
      <c r="T49" s="11"/>
      <c r="U49" s="11"/>
      <c r="V49" s="12"/>
      <c r="W49" s="12"/>
    </row>
    <row r="50">
      <c r="A50" s="13"/>
      <c r="B50" s="16" t="s">
        <v>72</v>
      </c>
      <c r="C50" s="13"/>
      <c r="D50" s="13"/>
      <c r="E50" s="13"/>
      <c r="F50" s="11" t="s">
        <v>92</v>
      </c>
      <c r="G50" s="11">
        <v>0</v>
      </c>
      <c r="H50" s="17">
        <v>1.5</v>
      </c>
      <c r="I50" s="19">
        <v>0.2</v>
      </c>
      <c r="J50" s="11">
        <v>0.3</v>
      </c>
      <c r="K50" s="8"/>
      <c r="L50" s="8"/>
      <c r="M50" s="8"/>
      <c r="N50" s="8"/>
      <c r="O50" s="11"/>
      <c r="P50" s="11"/>
      <c r="Q50" s="11"/>
      <c r="S50" s="11"/>
      <c r="T50" s="11"/>
      <c r="U50" s="11"/>
      <c r="V50" s="12"/>
      <c r="W50" s="12"/>
    </row>
    <row r="51">
      <c r="A51" s="13"/>
      <c r="B51" s="16" t="s">
        <v>72</v>
      </c>
      <c r="C51" s="13"/>
      <c r="D51" s="13"/>
      <c r="E51" s="13"/>
      <c r="F51" s="11" t="s">
        <v>93</v>
      </c>
      <c r="G51" s="11" t="s">
        <v>94</v>
      </c>
      <c r="H51" s="17">
        <v>1.35</v>
      </c>
      <c r="I51" s="19">
        <v>0.2</v>
      </c>
      <c r="J51" s="11">
        <v>0.271</v>
      </c>
      <c r="K51" s="8"/>
      <c r="L51" s="8"/>
      <c r="M51" s="8"/>
      <c r="N51" s="8"/>
      <c r="O51" s="11"/>
      <c r="P51" s="11"/>
      <c r="Q51" s="11"/>
      <c r="S51" s="11"/>
      <c r="T51" s="11"/>
      <c r="U51" s="11"/>
      <c r="V51" s="12"/>
      <c r="W51" s="12"/>
    </row>
    <row r="52">
      <c r="A52" s="13"/>
      <c r="B52" s="16" t="s">
        <v>72</v>
      </c>
      <c r="C52" s="13"/>
      <c r="D52" s="13"/>
      <c r="E52" s="13"/>
      <c r="F52" s="11" t="s">
        <v>95</v>
      </c>
      <c r="G52" s="11" t="s">
        <v>96</v>
      </c>
      <c r="H52" s="11"/>
      <c r="I52" s="11"/>
      <c r="J52" s="11">
        <v>-0.15</v>
      </c>
      <c r="K52" s="8"/>
      <c r="L52" s="8"/>
      <c r="M52" s="8"/>
      <c r="N52" s="8"/>
      <c r="O52" s="11"/>
      <c r="P52" s="11"/>
      <c r="Q52" s="11"/>
      <c r="S52" s="11"/>
      <c r="T52" s="11"/>
      <c r="U52" s="11"/>
      <c r="V52" s="12"/>
      <c r="W52" s="12"/>
    </row>
    <row r="53">
      <c r="A53" s="13"/>
      <c r="B53" s="16" t="s">
        <v>72</v>
      </c>
      <c r="C53" s="13"/>
      <c r="D53" s="13"/>
      <c r="E53" s="13" t="s">
        <v>97</v>
      </c>
      <c r="F53" s="11" t="s">
        <v>98</v>
      </c>
      <c r="G53" s="11" t="s">
        <v>99</v>
      </c>
      <c r="H53" s="19">
        <v>1.4</v>
      </c>
      <c r="I53" s="17">
        <v>0.5</v>
      </c>
      <c r="J53" s="11">
        <v>0.7</v>
      </c>
      <c r="K53" s="18">
        <v>1.2</v>
      </c>
      <c r="L53" s="8">
        <v>1.2</v>
      </c>
      <c r="M53" s="8">
        <v>5400</v>
      </c>
      <c r="N53" s="8">
        <v>5000</v>
      </c>
      <c r="O53" s="11"/>
      <c r="P53" s="11"/>
      <c r="Q53" s="11"/>
      <c r="S53" s="11">
        <v>1</v>
      </c>
      <c r="T53" s="11">
        <v>1</v>
      </c>
      <c r="U53" s="11">
        <v>1000</v>
      </c>
      <c r="V53" s="12">
        <v>400</v>
      </c>
      <c r="W53" s="12">
        <v>5400</v>
      </c>
    </row>
    <row r="54">
      <c r="A54" s="13"/>
      <c r="B54" s="16" t="s">
        <v>72</v>
      </c>
      <c r="C54" s="13"/>
      <c r="D54" s="13"/>
      <c r="E54" s="13"/>
      <c r="F54" s="11" t="s">
        <v>100</v>
      </c>
      <c r="G54" s="11" t="s">
        <v>101</v>
      </c>
      <c r="H54" s="19">
        <v>1</v>
      </c>
      <c r="I54" s="17">
        <v>0.4</v>
      </c>
      <c r="J54" s="11">
        <v>0.4</v>
      </c>
      <c r="K54" s="8"/>
      <c r="L54" s="8"/>
      <c r="M54" s="8"/>
      <c r="N54" s="8"/>
      <c r="O54" s="11"/>
      <c r="P54" s="11"/>
      <c r="Q54" s="11"/>
      <c r="S54" s="11"/>
      <c r="T54" s="11"/>
      <c r="U54" s="11"/>
      <c r="V54" s="12"/>
      <c r="W54" s="12"/>
    </row>
    <row r="55">
      <c r="A55" s="13"/>
      <c r="B55" s="16" t="s">
        <v>72</v>
      </c>
      <c r="C55" s="13"/>
      <c r="D55" s="13"/>
      <c r="E55" s="13"/>
      <c r="F55" s="11" t="s">
        <v>102</v>
      </c>
      <c r="G55" s="11" t="s">
        <v>103</v>
      </c>
      <c r="H55" s="17">
        <v>1</v>
      </c>
      <c r="I55" s="17">
        <v>0.1</v>
      </c>
      <c r="J55" s="11">
        <v>0.1</v>
      </c>
      <c r="K55" s="8"/>
      <c r="L55" s="8"/>
      <c r="M55" s="8"/>
      <c r="N55" s="8"/>
      <c r="O55" s="11"/>
      <c r="P55" s="11"/>
      <c r="Q55" s="11"/>
      <c r="S55" s="11"/>
      <c r="T55" s="11"/>
      <c r="U55" s="11"/>
      <c r="V55" s="12"/>
      <c r="W55" s="12"/>
    </row>
    <row r="56">
      <c r="A56" s="13"/>
      <c r="B56" s="16" t="s">
        <v>72</v>
      </c>
      <c r="C56" s="13"/>
      <c r="D56" s="13"/>
      <c r="E56" s="13" t="s">
        <v>104</v>
      </c>
      <c r="F56" s="11" t="s">
        <v>105</v>
      </c>
      <c r="G56" s="11" t="s">
        <v>106</v>
      </c>
      <c r="H56" s="19">
        <v>1</v>
      </c>
      <c r="I56" s="19">
        <v>0.25</v>
      </c>
      <c r="J56" s="11">
        <v>0.25</v>
      </c>
      <c r="K56" s="18">
        <v>1.05</v>
      </c>
      <c r="L56" s="8">
        <v>1.05</v>
      </c>
      <c r="M56" s="8">
        <v>2100</v>
      </c>
      <c r="N56" s="8">
        <v>2000</v>
      </c>
      <c r="O56" s="11"/>
      <c r="P56" s="11"/>
      <c r="Q56" s="11"/>
      <c r="S56" s="11">
        <v>4</v>
      </c>
      <c r="T56" s="11">
        <v>4</v>
      </c>
      <c r="U56" s="11">
        <v>1000</v>
      </c>
      <c r="V56" s="12">
        <v>100</v>
      </c>
      <c r="W56" s="12">
        <v>2100</v>
      </c>
    </row>
    <row r="57">
      <c r="A57" s="13"/>
      <c r="B57" s="16" t="s">
        <v>72</v>
      </c>
      <c r="C57" s="13"/>
      <c r="D57" s="13"/>
      <c r="E57" s="13"/>
      <c r="F57" s="11" t="s">
        <v>107</v>
      </c>
      <c r="G57" s="11" t="s">
        <v>108</v>
      </c>
      <c r="H57" s="19">
        <v>1</v>
      </c>
      <c r="I57" s="19">
        <v>0.15</v>
      </c>
      <c r="J57" s="11">
        <v>0.15</v>
      </c>
      <c r="K57" s="8"/>
      <c r="L57" s="8"/>
      <c r="M57" s="8"/>
      <c r="N57" s="8"/>
      <c r="O57" s="11"/>
      <c r="P57" s="11"/>
      <c r="Q57" s="11"/>
      <c r="S57" s="11"/>
      <c r="T57" s="11"/>
      <c r="U57" s="11"/>
      <c r="V57" s="12"/>
      <c r="W57" s="12"/>
    </row>
    <row r="58">
      <c r="A58" s="13"/>
      <c r="B58" s="16" t="s">
        <v>72</v>
      </c>
      <c r="C58" s="13"/>
      <c r="D58" s="13"/>
      <c r="E58" s="13"/>
      <c r="F58" s="11" t="s">
        <v>109</v>
      </c>
      <c r="G58" s="19">
        <v>0.9983</v>
      </c>
      <c r="H58" s="19">
        <v>1</v>
      </c>
      <c r="I58" s="19">
        <v>0.3</v>
      </c>
      <c r="J58" s="11">
        <v>0.3</v>
      </c>
      <c r="K58" s="8"/>
      <c r="L58" s="8"/>
      <c r="M58" s="8"/>
      <c r="N58" s="8"/>
      <c r="O58" s="11"/>
      <c r="P58" s="11"/>
      <c r="Q58" s="11"/>
      <c r="S58" s="11"/>
      <c r="T58" s="11"/>
      <c r="U58" s="11"/>
      <c r="V58" s="12"/>
      <c r="W58" s="12"/>
    </row>
    <row r="59">
      <c r="A59" s="13"/>
      <c r="B59" s="16" t="s">
        <v>72</v>
      </c>
      <c r="C59" s="13"/>
      <c r="D59" s="13"/>
      <c r="E59" s="13"/>
      <c r="F59" s="11" t="s">
        <v>110</v>
      </c>
      <c r="G59" s="11">
        <v>0</v>
      </c>
      <c r="H59" s="19">
        <v>1</v>
      </c>
      <c r="I59" s="19">
        <v>0.1</v>
      </c>
      <c r="J59" s="11">
        <v>0.1</v>
      </c>
      <c r="K59" s="8"/>
      <c r="L59" s="8"/>
      <c r="M59" s="8"/>
      <c r="N59" s="8"/>
      <c r="O59" s="11"/>
      <c r="P59" s="11"/>
      <c r="Q59" s="11"/>
      <c r="S59" s="11"/>
      <c r="T59" s="11"/>
      <c r="U59" s="11"/>
      <c r="V59" s="12"/>
      <c r="W59" s="12"/>
    </row>
    <row r="60">
      <c r="A60" s="13"/>
      <c r="B60" s="16" t="s">
        <v>72</v>
      </c>
      <c r="C60" s="13"/>
      <c r="D60" s="13"/>
      <c r="E60" s="13"/>
      <c r="F60" s="11" t="s">
        <v>111</v>
      </c>
      <c r="G60" s="11">
        <v>0</v>
      </c>
      <c r="H60" s="19">
        <v>1.5</v>
      </c>
      <c r="I60" s="19">
        <v>0.1</v>
      </c>
      <c r="J60" s="11">
        <v>0.15</v>
      </c>
      <c r="K60" s="8"/>
      <c r="L60" s="8"/>
      <c r="M60" s="8"/>
      <c r="N60" s="8"/>
      <c r="O60" s="11"/>
      <c r="P60" s="11"/>
      <c r="Q60" s="11"/>
      <c r="S60" s="11"/>
      <c r="T60" s="11"/>
      <c r="U60" s="11"/>
      <c r="V60" s="12"/>
      <c r="W60" s="12"/>
    </row>
    <row r="61">
      <c r="A61" s="13"/>
      <c r="B61" s="16" t="s">
        <v>72</v>
      </c>
      <c r="C61" s="13"/>
      <c r="D61" s="13"/>
      <c r="E61" s="13"/>
      <c r="F61" s="11" t="s">
        <v>112</v>
      </c>
      <c r="G61" s="11" t="s">
        <v>113</v>
      </c>
      <c r="H61" s="19">
        <v>1</v>
      </c>
      <c r="I61" s="19">
        <v>0.1</v>
      </c>
      <c r="J61" s="11">
        <v>0.1</v>
      </c>
      <c r="K61" s="8"/>
      <c r="L61" s="8"/>
      <c r="M61" s="8"/>
      <c r="N61" s="8"/>
      <c r="O61" s="11"/>
      <c r="P61" s="11"/>
      <c r="Q61" s="11"/>
      <c r="S61" s="11"/>
      <c r="T61" s="11"/>
      <c r="U61" s="11"/>
      <c r="V61" s="12"/>
      <c r="W61" s="12"/>
    </row>
    <row r="62">
      <c r="A62" s="13"/>
      <c r="B62" s="16" t="s">
        <v>72</v>
      </c>
      <c r="C62" s="13"/>
      <c r="D62" s="13"/>
      <c r="E62" s="13" t="s">
        <v>114</v>
      </c>
      <c r="F62" s="11" t="s">
        <v>115</v>
      </c>
      <c r="G62" s="11" t="s">
        <v>116</v>
      </c>
      <c r="H62" s="17">
        <v>1.5</v>
      </c>
      <c r="I62" s="17">
        <v>0.4</v>
      </c>
      <c r="J62" s="11">
        <v>0.6</v>
      </c>
      <c r="K62" s="18">
        <v>1.187</v>
      </c>
      <c r="L62" s="8">
        <v>1.19</v>
      </c>
      <c r="M62" s="8">
        <v>5200</v>
      </c>
      <c r="N62" s="8">
        <v>5000</v>
      </c>
      <c r="O62" s="11"/>
      <c r="P62" s="11"/>
      <c r="Q62" s="11"/>
      <c r="S62" s="11">
        <v>2</v>
      </c>
      <c r="T62" s="11">
        <v>2</v>
      </c>
      <c r="U62" s="11">
        <v>1000</v>
      </c>
      <c r="V62" s="12">
        <v>200</v>
      </c>
      <c r="W62" s="12">
        <v>5200</v>
      </c>
    </row>
    <row r="63">
      <c r="A63" s="13"/>
      <c r="B63" s="16" t="s">
        <v>72</v>
      </c>
      <c r="C63" s="13"/>
      <c r="D63" s="13"/>
      <c r="E63" s="13"/>
      <c r="F63" s="11" t="s">
        <v>117</v>
      </c>
      <c r="G63" s="11" t="s">
        <v>118</v>
      </c>
      <c r="H63" s="17">
        <v>1</v>
      </c>
      <c r="I63" s="17">
        <v>0.4</v>
      </c>
      <c r="J63" s="11">
        <v>0.4</v>
      </c>
      <c r="K63" s="8"/>
      <c r="L63" s="8"/>
      <c r="M63" s="8"/>
      <c r="N63" s="8"/>
      <c r="O63" s="11"/>
      <c r="P63" s="11"/>
      <c r="Q63" s="11"/>
      <c r="S63" s="11"/>
      <c r="T63" s="11"/>
      <c r="U63" s="11"/>
      <c r="V63" s="12"/>
      <c r="W63" s="12"/>
    </row>
    <row r="64">
      <c r="A64" s="13"/>
      <c r="B64" s="16" t="s">
        <v>72</v>
      </c>
      <c r="C64" s="13"/>
      <c r="D64" s="13"/>
      <c r="E64" s="13"/>
      <c r="F64" s="11" t="s">
        <v>119</v>
      </c>
      <c r="G64" s="11" t="s">
        <v>120</v>
      </c>
      <c r="H64" s="17">
        <v>0.87</v>
      </c>
      <c r="I64" s="17">
        <v>0.1</v>
      </c>
      <c r="J64" s="11">
        <v>0.09</v>
      </c>
      <c r="K64" s="8"/>
      <c r="L64" s="8"/>
      <c r="M64" s="8"/>
      <c r="N64" s="8"/>
      <c r="O64" s="11"/>
      <c r="P64" s="11"/>
      <c r="Q64" s="11"/>
      <c r="S64" s="11"/>
      <c r="T64" s="11"/>
      <c r="U64" s="11"/>
      <c r="V64" s="12"/>
      <c r="W64" s="12"/>
    </row>
    <row r="65">
      <c r="A65" s="13"/>
      <c r="B65" s="16" t="s">
        <v>72</v>
      </c>
      <c r="C65" s="13"/>
      <c r="D65" s="13"/>
      <c r="E65" s="13"/>
      <c r="F65" s="11" t="s">
        <v>121</v>
      </c>
      <c r="G65" s="11" t="s">
        <v>122</v>
      </c>
      <c r="H65" s="17">
        <v>1</v>
      </c>
      <c r="I65" s="17">
        <v>0.1</v>
      </c>
      <c r="J65" s="11">
        <v>0.1</v>
      </c>
      <c r="K65" s="8"/>
      <c r="L65" s="8"/>
      <c r="M65" s="8"/>
      <c r="N65" s="8"/>
      <c r="O65" s="11"/>
      <c r="P65" s="11"/>
      <c r="Q65" s="11"/>
      <c r="S65" s="11"/>
      <c r="T65" s="11"/>
      <c r="U65" s="11"/>
      <c r="V65" s="12"/>
      <c r="W65" s="12"/>
    </row>
    <row r="66">
      <c r="A66" s="13"/>
      <c r="B66" s="16" t="s">
        <v>72</v>
      </c>
      <c r="C66" s="13"/>
      <c r="D66" s="13"/>
      <c r="E66" s="13" t="s">
        <v>123</v>
      </c>
      <c r="F66" s="11" t="s">
        <v>124</v>
      </c>
      <c r="G66" s="11" t="s">
        <v>125</v>
      </c>
      <c r="H66" s="17">
        <v>1</v>
      </c>
      <c r="I66" s="17">
        <v>0.55</v>
      </c>
      <c r="J66" s="11">
        <v>0.55</v>
      </c>
      <c r="K66" s="18">
        <v>1.099</v>
      </c>
      <c r="L66" s="8">
        <v>1.1</v>
      </c>
      <c r="M66" s="8">
        <v>2200</v>
      </c>
      <c r="N66" s="8">
        <v>2000</v>
      </c>
      <c r="O66" s="11"/>
      <c r="P66" s="11"/>
      <c r="Q66" s="11"/>
      <c r="S66" s="11">
        <v>3</v>
      </c>
      <c r="T66" s="11">
        <v>3</v>
      </c>
      <c r="U66" s="11">
        <v>1000</v>
      </c>
      <c r="V66" s="12">
        <v>200</v>
      </c>
      <c r="W66" s="12">
        <v>2200</v>
      </c>
    </row>
    <row r="67">
      <c r="A67" s="13"/>
      <c r="B67" s="16" t="s">
        <v>72</v>
      </c>
      <c r="C67" s="13"/>
      <c r="D67" s="13"/>
      <c r="E67" s="13"/>
      <c r="F67" s="11" t="s">
        <v>126</v>
      </c>
      <c r="G67" s="11" t="s">
        <v>127</v>
      </c>
      <c r="H67" s="17">
        <v>1</v>
      </c>
      <c r="I67" s="17">
        <v>0.15</v>
      </c>
      <c r="J67" s="11">
        <v>0.15</v>
      </c>
      <c r="K67" s="8"/>
      <c r="L67" s="8"/>
      <c r="M67" s="8"/>
      <c r="N67" s="8"/>
      <c r="O67" s="11"/>
      <c r="P67" s="11"/>
      <c r="Q67" s="11"/>
      <c r="S67" s="11"/>
      <c r="T67" s="11"/>
      <c r="U67" s="11"/>
      <c r="V67" s="12"/>
      <c r="W67" s="12"/>
    </row>
    <row r="68">
      <c r="A68" s="13"/>
      <c r="B68" s="16" t="s">
        <v>72</v>
      </c>
      <c r="C68" s="13"/>
      <c r="D68" s="13"/>
      <c r="E68" s="13"/>
      <c r="F68" s="11" t="s">
        <v>128</v>
      </c>
      <c r="G68" s="11" t="s">
        <v>129</v>
      </c>
      <c r="H68" s="17">
        <v>1.33</v>
      </c>
      <c r="I68" s="17">
        <v>0.3</v>
      </c>
      <c r="J68" s="11">
        <v>0.4</v>
      </c>
      <c r="K68" s="8"/>
      <c r="L68" s="8"/>
      <c r="M68" s="8"/>
      <c r="N68" s="8"/>
      <c r="O68" s="11"/>
      <c r="P68" s="11"/>
      <c r="Q68" s="11"/>
      <c r="S68" s="11"/>
      <c r="T68" s="11"/>
      <c r="U68" s="11"/>
      <c r="V68" s="12"/>
      <c r="W68" s="12"/>
    </row>
    <row r="69">
      <c r="A69" s="13"/>
      <c r="B69" s="16" t="s">
        <v>72</v>
      </c>
      <c r="C69" s="13"/>
      <c r="D69" s="13"/>
      <c r="E69" s="13" t="s">
        <v>130</v>
      </c>
      <c r="F69" s="11" t="s">
        <v>131</v>
      </c>
      <c r="G69" s="11" t="s">
        <v>132</v>
      </c>
      <c r="H69" s="19">
        <v>1.25</v>
      </c>
      <c r="I69" s="17">
        <v>0.4</v>
      </c>
      <c r="J69" s="11">
        <v>0.5</v>
      </c>
      <c r="K69" s="20">
        <v>1.1</v>
      </c>
      <c r="L69" s="8">
        <v>1.1</v>
      </c>
      <c r="M69" s="8">
        <v>5200</v>
      </c>
      <c r="N69" s="8">
        <v>5000</v>
      </c>
      <c r="O69" s="11"/>
      <c r="P69" s="11"/>
      <c r="Q69" s="11"/>
      <c r="S69" s="11">
        <v>3</v>
      </c>
      <c r="T69" s="11">
        <v>3</v>
      </c>
      <c r="U69" s="11">
        <v>1000</v>
      </c>
      <c r="V69" s="12">
        <v>200</v>
      </c>
      <c r="W69" s="12">
        <v>5200</v>
      </c>
    </row>
    <row r="70">
      <c r="A70" s="13"/>
      <c r="B70" s="16" t="s">
        <v>72</v>
      </c>
      <c r="C70" s="13"/>
      <c r="D70" s="13"/>
      <c r="E70" s="13"/>
      <c r="F70" s="11" t="s">
        <v>133</v>
      </c>
      <c r="G70" s="11" t="s">
        <v>134</v>
      </c>
      <c r="H70" s="19">
        <v>1</v>
      </c>
      <c r="I70" s="17">
        <v>0.1</v>
      </c>
      <c r="J70" s="11">
        <v>0.1</v>
      </c>
      <c r="K70" s="8"/>
      <c r="L70" s="8"/>
      <c r="M70" s="8"/>
      <c r="N70" s="8"/>
      <c r="O70" s="11"/>
      <c r="P70" s="11"/>
      <c r="Q70" s="11"/>
      <c r="S70" s="11"/>
      <c r="T70" s="11"/>
      <c r="U70" s="11"/>
      <c r="V70" s="12"/>
      <c r="W70" s="12"/>
    </row>
    <row r="71">
      <c r="A71" s="13"/>
      <c r="B71" s="16" t="s">
        <v>72</v>
      </c>
      <c r="C71" s="13"/>
      <c r="D71" s="13"/>
      <c r="E71" s="13"/>
      <c r="F71" s="11" t="s">
        <v>135</v>
      </c>
      <c r="G71" s="11" t="s">
        <v>136</v>
      </c>
      <c r="H71" s="19">
        <v>1</v>
      </c>
      <c r="I71" s="17">
        <v>0.15</v>
      </c>
      <c r="J71" s="11">
        <v>0.15</v>
      </c>
      <c r="K71" s="8"/>
      <c r="L71" s="8"/>
      <c r="M71" s="8"/>
      <c r="N71" s="8"/>
      <c r="O71" s="11"/>
      <c r="P71" s="11"/>
      <c r="Q71" s="11"/>
      <c r="S71" s="11"/>
      <c r="T71" s="11"/>
      <c r="U71" s="11"/>
      <c r="V71" s="12"/>
      <c r="W71" s="12"/>
    </row>
    <row r="72">
      <c r="A72" s="13"/>
      <c r="B72" s="16" t="s">
        <v>72</v>
      </c>
      <c r="C72" s="13"/>
      <c r="D72" s="13"/>
      <c r="E72" s="13"/>
      <c r="F72" s="11" t="s">
        <v>137</v>
      </c>
      <c r="G72" s="11" t="s">
        <v>138</v>
      </c>
      <c r="H72" s="19">
        <v>1</v>
      </c>
      <c r="I72" s="17">
        <v>0.1</v>
      </c>
      <c r="J72" s="11">
        <v>0.1</v>
      </c>
      <c r="K72" s="8"/>
      <c r="L72" s="8"/>
      <c r="M72" s="8"/>
      <c r="N72" s="8"/>
      <c r="O72" s="11"/>
      <c r="P72" s="11"/>
      <c r="Q72" s="11"/>
      <c r="S72" s="11"/>
      <c r="T72" s="11"/>
      <c r="U72" s="11"/>
      <c r="V72" s="12"/>
      <c r="W72" s="12"/>
    </row>
    <row r="73">
      <c r="A73" s="13"/>
      <c r="B73" s="16" t="s">
        <v>72</v>
      </c>
      <c r="C73" s="13"/>
      <c r="D73" s="13"/>
      <c r="E73" s="13"/>
      <c r="F73" s="11" t="s">
        <v>139</v>
      </c>
      <c r="G73" s="11" t="s">
        <v>140</v>
      </c>
      <c r="H73" s="19">
        <v>1</v>
      </c>
      <c r="I73" s="17">
        <v>0.15</v>
      </c>
      <c r="J73" s="11">
        <v>0.15</v>
      </c>
      <c r="K73" s="8"/>
      <c r="L73" s="8"/>
      <c r="M73" s="8"/>
      <c r="N73" s="8"/>
      <c r="O73" s="11"/>
      <c r="P73" s="11"/>
      <c r="Q73" s="11"/>
      <c r="S73" s="11"/>
      <c r="T73" s="11"/>
      <c r="U73" s="11"/>
      <c r="V73" s="12"/>
      <c r="W73" s="12"/>
    </row>
    <row r="74">
      <c r="A74" s="13"/>
      <c r="B74" s="16" t="s">
        <v>72</v>
      </c>
      <c r="C74" s="13"/>
      <c r="D74" s="13"/>
      <c r="E74" s="13"/>
      <c r="F74" s="11" t="s">
        <v>141</v>
      </c>
      <c r="G74" s="11" t="s">
        <v>142</v>
      </c>
      <c r="H74" s="19">
        <v>1</v>
      </c>
      <c r="I74" s="17">
        <v>0.1</v>
      </c>
      <c r="J74" s="11">
        <v>0.1</v>
      </c>
      <c r="K74" s="8"/>
      <c r="L74" s="8"/>
      <c r="M74" s="8"/>
      <c r="N74" s="8"/>
      <c r="O74" s="11"/>
      <c r="P74" s="11"/>
      <c r="Q74" s="11"/>
      <c r="S74" s="11"/>
      <c r="T74" s="11"/>
      <c r="U74" s="11"/>
      <c r="V74" s="12"/>
      <c r="W74" s="12"/>
    </row>
    <row r="75">
      <c r="A75" s="13"/>
      <c r="B75" s="16" t="s">
        <v>72</v>
      </c>
      <c r="C75" s="13"/>
      <c r="D75" s="13"/>
      <c r="E75" s="13" t="s">
        <v>143</v>
      </c>
      <c r="F75" s="11" t="s">
        <v>144</v>
      </c>
      <c r="G75" s="19">
        <v>0.987</v>
      </c>
      <c r="H75" s="19">
        <v>1</v>
      </c>
      <c r="I75" s="19">
        <v>0.35</v>
      </c>
      <c r="J75" s="11">
        <v>0.35</v>
      </c>
      <c r="K75" s="18">
        <v>0.8</v>
      </c>
      <c r="L75" s="8">
        <v>0.8</v>
      </c>
      <c r="M75" s="8">
        <v>4000</v>
      </c>
      <c r="N75" s="8">
        <v>4000</v>
      </c>
      <c r="O75" s="11"/>
      <c r="P75" s="11"/>
      <c r="Q75" s="11"/>
      <c r="S75" s="11">
        <v>7</v>
      </c>
      <c r="T75" s="11">
        <v>7</v>
      </c>
      <c r="U75" s="11">
        <v>1000</v>
      </c>
      <c r="V75" s="12"/>
      <c r="W75" s="12">
        <v>4000</v>
      </c>
    </row>
    <row r="76">
      <c r="A76" s="13"/>
      <c r="B76" s="16" t="s">
        <v>72</v>
      </c>
      <c r="C76" s="13"/>
      <c r="D76" s="13"/>
      <c r="E76" s="13"/>
      <c r="F76" s="11" t="s">
        <v>145</v>
      </c>
      <c r="G76" s="19">
        <v>0.994</v>
      </c>
      <c r="H76" s="19">
        <v>1</v>
      </c>
      <c r="I76" s="19">
        <v>0.35</v>
      </c>
      <c r="J76" s="11">
        <v>0.35</v>
      </c>
      <c r="K76" s="8"/>
      <c r="L76" s="8"/>
      <c r="M76" s="8"/>
      <c r="N76" s="8"/>
      <c r="O76" s="11"/>
      <c r="P76" s="11"/>
      <c r="Q76" s="11"/>
      <c r="S76" s="11"/>
      <c r="T76" s="11"/>
      <c r="U76" s="11"/>
      <c r="V76" s="12"/>
      <c r="W76" s="12"/>
    </row>
    <row r="77">
      <c r="A77" s="13"/>
      <c r="B77" s="16" t="s">
        <v>72</v>
      </c>
      <c r="C77" s="13"/>
      <c r="D77" s="13"/>
      <c r="E77" s="13"/>
      <c r="F77" s="11" t="s">
        <v>146</v>
      </c>
      <c r="G77" s="11">
        <v>99960</v>
      </c>
      <c r="H77" s="11">
        <v>0</v>
      </c>
      <c r="I77" s="19">
        <v>0.2</v>
      </c>
      <c r="J77" s="11">
        <v>0</v>
      </c>
      <c r="K77" s="8"/>
      <c r="L77" s="8"/>
      <c r="M77" s="8"/>
      <c r="N77" s="8"/>
      <c r="O77" s="11"/>
      <c r="P77" s="11"/>
      <c r="Q77" s="11"/>
      <c r="S77" s="11"/>
      <c r="T77" s="11"/>
      <c r="U77" s="11"/>
      <c r="V77" s="12"/>
      <c r="W77" s="12"/>
    </row>
    <row r="78">
      <c r="A78" s="13"/>
      <c r="B78" s="16" t="s">
        <v>72</v>
      </c>
      <c r="C78" s="13"/>
      <c r="D78" s="13"/>
      <c r="E78" s="13"/>
      <c r="F78" s="11" t="s">
        <v>147</v>
      </c>
      <c r="G78" s="11" t="s">
        <v>148</v>
      </c>
      <c r="H78" s="17">
        <v>1</v>
      </c>
      <c r="I78" s="19">
        <v>0.1</v>
      </c>
      <c r="J78" s="11">
        <v>0.1</v>
      </c>
      <c r="K78" s="8"/>
      <c r="L78" s="8"/>
      <c r="M78" s="8"/>
      <c r="N78" s="8"/>
      <c r="O78" s="11"/>
      <c r="P78" s="11"/>
      <c r="Q78" s="11"/>
      <c r="S78" s="11"/>
      <c r="T78" s="11"/>
      <c r="U78" s="11"/>
      <c r="V78" s="12"/>
      <c r="W78" s="12"/>
    </row>
    <row r="79">
      <c r="A79" s="13"/>
      <c r="B79" s="16" t="s">
        <v>72</v>
      </c>
      <c r="C79" s="13"/>
      <c r="D79" s="13"/>
      <c r="E79" s="13" t="s">
        <v>149</v>
      </c>
      <c r="F79" s="11" t="s">
        <v>150</v>
      </c>
      <c r="G79" s="11" t="s">
        <v>151</v>
      </c>
      <c r="H79" s="17">
        <v>1.13</v>
      </c>
      <c r="I79" s="17">
        <v>0.45</v>
      </c>
      <c r="J79" s="11">
        <v>0.508133971</v>
      </c>
      <c r="K79" s="18">
        <v>1.0581</v>
      </c>
      <c r="L79" s="8">
        <v>1.06</v>
      </c>
      <c r="M79" s="8">
        <v>2570.61</v>
      </c>
      <c r="N79" s="8">
        <v>0.51412298</v>
      </c>
      <c r="O79" s="11"/>
      <c r="P79" s="11"/>
      <c r="Q79" s="11"/>
      <c r="S79" s="11">
        <v>1</v>
      </c>
      <c r="T79" s="11">
        <v>1</v>
      </c>
      <c r="U79" s="11">
        <v>5000</v>
      </c>
      <c r="V79" s="12"/>
      <c r="W79" s="12">
        <v>2570.61</v>
      </c>
    </row>
    <row r="80">
      <c r="A80" s="13"/>
      <c r="B80" s="16" t="s">
        <v>72</v>
      </c>
      <c r="C80" s="13"/>
      <c r="D80" s="13"/>
      <c r="E80" s="13"/>
      <c r="F80" s="11" t="s">
        <v>152</v>
      </c>
      <c r="G80" s="19">
        <v>0.9716</v>
      </c>
      <c r="H80" s="17">
        <v>1</v>
      </c>
      <c r="I80" s="17">
        <v>0.25</v>
      </c>
      <c r="J80" s="11">
        <v>0.25</v>
      </c>
      <c r="K80" s="8"/>
      <c r="L80" s="8"/>
      <c r="M80" s="8"/>
      <c r="N80" s="8"/>
      <c r="O80" s="11"/>
      <c r="P80" s="11"/>
      <c r="Q80" s="11"/>
      <c r="S80" s="11"/>
      <c r="T80" s="11"/>
      <c r="U80" s="11"/>
      <c r="V80" s="12"/>
      <c r="W80" s="12"/>
    </row>
    <row r="81">
      <c r="A81" s="13"/>
      <c r="B81" s="16" t="s">
        <v>72</v>
      </c>
      <c r="C81" s="13"/>
      <c r="D81" s="13"/>
      <c r="E81" s="13"/>
      <c r="F81" s="11" t="s">
        <v>153</v>
      </c>
      <c r="G81" s="11" t="s">
        <v>154</v>
      </c>
      <c r="H81" s="17">
        <v>1</v>
      </c>
      <c r="I81" s="17">
        <v>0.2</v>
      </c>
      <c r="J81" s="11">
        <v>0.2</v>
      </c>
      <c r="K81" s="8"/>
      <c r="L81" s="8"/>
      <c r="M81" s="8"/>
      <c r="N81" s="8"/>
      <c r="O81" s="11"/>
      <c r="P81" s="11"/>
      <c r="Q81" s="11"/>
      <c r="S81" s="11"/>
      <c r="T81" s="11"/>
      <c r="U81" s="11"/>
      <c r="V81" s="12"/>
      <c r="W81" s="12"/>
    </row>
    <row r="82">
      <c r="A82" s="13"/>
      <c r="B82" s="16" t="s">
        <v>72</v>
      </c>
      <c r="C82" s="13"/>
      <c r="D82" s="13"/>
      <c r="E82" s="13"/>
      <c r="F82" s="11" t="s">
        <v>155</v>
      </c>
      <c r="G82" s="11" t="s">
        <v>156</v>
      </c>
      <c r="H82" s="17">
        <v>1</v>
      </c>
      <c r="I82" s="17">
        <v>0.05</v>
      </c>
      <c r="J82" s="11">
        <v>0.05</v>
      </c>
      <c r="K82" s="8"/>
      <c r="L82" s="8"/>
      <c r="M82" s="8"/>
      <c r="N82" s="8"/>
      <c r="O82" s="11"/>
      <c r="P82" s="11"/>
      <c r="Q82" s="11"/>
      <c r="S82" s="11"/>
      <c r="T82" s="11"/>
      <c r="U82" s="11"/>
      <c r="V82" s="12"/>
      <c r="W82" s="12"/>
    </row>
    <row r="83">
      <c r="A83" s="13"/>
      <c r="B83" s="16" t="s">
        <v>72</v>
      </c>
      <c r="C83" s="13"/>
      <c r="D83" s="13"/>
      <c r="E83" s="13"/>
      <c r="F83" s="11" t="s">
        <v>157</v>
      </c>
      <c r="G83" s="11" t="s">
        <v>156</v>
      </c>
      <c r="H83" s="17">
        <v>1</v>
      </c>
      <c r="I83" s="17">
        <v>0.05</v>
      </c>
      <c r="J83" s="11">
        <v>0.05</v>
      </c>
      <c r="K83" s="8"/>
      <c r="L83" s="8"/>
      <c r="M83" s="8"/>
      <c r="N83" s="8"/>
      <c r="O83" s="11"/>
      <c r="P83" s="11"/>
      <c r="Q83" s="11"/>
      <c r="S83" s="11"/>
      <c r="T83" s="11"/>
      <c r="U83" s="11"/>
      <c r="V83" s="12"/>
      <c r="W83" s="12"/>
    </row>
    <row r="84">
      <c r="A84" s="13"/>
      <c r="B84" s="16" t="s">
        <v>72</v>
      </c>
      <c r="C84" s="13"/>
      <c r="D84" s="13"/>
      <c r="E84" s="13" t="s">
        <v>158</v>
      </c>
      <c r="F84" s="11" t="s">
        <v>159</v>
      </c>
      <c r="G84" s="17">
        <v>1</v>
      </c>
      <c r="H84" s="17">
        <v>1</v>
      </c>
      <c r="I84" s="17">
        <v>0.45</v>
      </c>
      <c r="J84" s="11">
        <v>0.45</v>
      </c>
      <c r="K84" s="18">
        <v>1</v>
      </c>
      <c r="L84" s="8">
        <v>1</v>
      </c>
      <c r="M84" s="8">
        <v>2429.39</v>
      </c>
      <c r="N84" s="8">
        <v>0.48587702</v>
      </c>
      <c r="O84" s="11"/>
      <c r="P84" s="11"/>
      <c r="Q84" s="11"/>
      <c r="S84" s="11">
        <v>2</v>
      </c>
      <c r="T84" s="11">
        <v>2</v>
      </c>
      <c r="U84" s="11">
        <v>5000</v>
      </c>
      <c r="V84" s="12"/>
      <c r="W84" s="12"/>
    </row>
    <row r="85">
      <c r="A85" s="13"/>
      <c r="B85" s="16" t="s">
        <v>72</v>
      </c>
      <c r="C85" s="13"/>
      <c r="D85" s="13"/>
      <c r="E85" s="13"/>
      <c r="F85" s="11" t="s">
        <v>160</v>
      </c>
      <c r="G85" s="19">
        <v>1</v>
      </c>
      <c r="H85" s="17">
        <v>1</v>
      </c>
      <c r="I85" s="17">
        <v>0.35</v>
      </c>
      <c r="J85" s="11">
        <v>0.35</v>
      </c>
      <c r="K85" s="8"/>
      <c r="L85" s="8"/>
      <c r="M85" s="8"/>
      <c r="N85" s="8"/>
      <c r="O85" s="11"/>
      <c r="P85" s="11"/>
      <c r="Q85" s="11"/>
    </row>
    <row r="86">
      <c r="A86" s="13"/>
      <c r="B86" s="16" t="s">
        <v>72</v>
      </c>
      <c r="C86" s="13"/>
      <c r="D86" s="13"/>
      <c r="E86" s="13"/>
      <c r="F86" s="11" t="s">
        <v>161</v>
      </c>
      <c r="G86" s="11" t="s">
        <v>156</v>
      </c>
      <c r="H86" s="17">
        <v>1</v>
      </c>
      <c r="I86" s="17">
        <v>0.1</v>
      </c>
      <c r="J86" s="11">
        <v>0.1</v>
      </c>
      <c r="K86" s="8"/>
      <c r="L86" s="8"/>
      <c r="M86" s="8"/>
      <c r="N86" s="8"/>
      <c r="O86" s="11"/>
      <c r="P86" s="11"/>
      <c r="Q86" s="11"/>
    </row>
    <row r="87">
      <c r="A87" s="13"/>
      <c r="B87" s="16" t="s">
        <v>72</v>
      </c>
      <c r="C87" s="13"/>
      <c r="D87" s="13"/>
      <c r="E87" s="13"/>
      <c r="F87" s="11" t="s">
        <v>162</v>
      </c>
      <c r="G87" s="11" t="s">
        <v>156</v>
      </c>
      <c r="H87" s="17">
        <v>1</v>
      </c>
      <c r="I87" s="17">
        <v>0.1</v>
      </c>
      <c r="J87" s="11">
        <v>0.1</v>
      </c>
      <c r="K87" s="8"/>
      <c r="L87" s="8"/>
      <c r="M87" s="8"/>
      <c r="N87" s="8"/>
      <c r="O87" s="11"/>
      <c r="P87" s="11"/>
      <c r="Q87" s="11"/>
      <c r="S87" s="11"/>
      <c r="T87" s="11"/>
      <c r="U87" s="11"/>
      <c r="V87" s="12"/>
      <c r="W87" s="12"/>
    </row>
    <row r="88">
      <c r="A88" s="13"/>
      <c r="B88" s="13"/>
      <c r="C88" s="13"/>
      <c r="D88" s="13"/>
      <c r="E88" s="13"/>
      <c r="K88" s="13"/>
      <c r="L88" s="13"/>
      <c r="M88" s="8"/>
      <c r="N88" s="8"/>
      <c r="O88" s="11"/>
      <c r="P88" s="11"/>
      <c r="Q88" s="11"/>
      <c r="S88" s="11"/>
      <c r="T88" s="11"/>
      <c r="U88" s="11"/>
      <c r="V88" s="12"/>
      <c r="W88" s="12"/>
    </row>
    <row r="89">
      <c r="A89" s="13"/>
      <c r="B89" s="13"/>
      <c r="C89" s="13"/>
      <c r="D89" s="13"/>
      <c r="E89" s="13"/>
      <c r="K89" s="13"/>
      <c r="L89" s="13"/>
      <c r="M89" s="8"/>
      <c r="N89" s="8"/>
      <c r="O89" s="11"/>
      <c r="P89" s="11"/>
      <c r="Q89" s="11"/>
      <c r="S89" s="11"/>
      <c r="T89" s="11"/>
      <c r="U89" s="11"/>
      <c r="V89" s="12"/>
      <c r="W89" s="12"/>
    </row>
    <row r="90">
      <c r="A90" s="13"/>
      <c r="B90" s="13"/>
      <c r="C90" s="13"/>
      <c r="D90" s="13"/>
      <c r="E90" s="13"/>
      <c r="K90" s="13"/>
      <c r="L90" s="13"/>
      <c r="M90" s="8"/>
      <c r="N90" s="8"/>
      <c r="O90" s="11"/>
      <c r="P90" s="11"/>
      <c r="Q90" s="11"/>
      <c r="S90" s="11"/>
      <c r="T90" s="11"/>
      <c r="U90" s="11"/>
      <c r="V90" s="12"/>
      <c r="W90" s="12"/>
    </row>
    <row r="91">
      <c r="A91" s="13"/>
      <c r="B91" s="13"/>
      <c r="C91" s="13"/>
      <c r="D91" s="13"/>
      <c r="E91" s="13"/>
      <c r="K91" s="13"/>
      <c r="L91" s="13"/>
      <c r="M91" s="8"/>
      <c r="N91" s="8"/>
      <c r="O91" s="11"/>
      <c r="P91" s="11"/>
      <c r="Q91" s="11"/>
      <c r="S91" s="11"/>
      <c r="T91" s="11"/>
      <c r="U91" s="11"/>
      <c r="V91" s="12"/>
      <c r="W91" s="12"/>
    </row>
    <row r="92">
      <c r="A92" s="13"/>
      <c r="B92" s="13"/>
      <c r="C92" s="13"/>
      <c r="D92" s="13"/>
      <c r="E92" s="13"/>
      <c r="K92" s="13"/>
      <c r="L92" s="13"/>
      <c r="M92" s="8"/>
      <c r="N92" s="8"/>
      <c r="O92" s="11"/>
      <c r="P92" s="11"/>
      <c r="Q92" s="11"/>
      <c r="S92" s="11"/>
      <c r="T92" s="11"/>
      <c r="U92" s="11"/>
      <c r="V92" s="12"/>
      <c r="W92" s="12"/>
    </row>
    <row r="93">
      <c r="A93" s="13"/>
      <c r="B93" s="13"/>
      <c r="C93" s="13"/>
      <c r="D93" s="13"/>
      <c r="E93" s="13"/>
      <c r="K93" s="13"/>
      <c r="L93" s="13"/>
      <c r="M93" s="8"/>
      <c r="N93" s="8"/>
      <c r="O93" s="11"/>
      <c r="P93" s="11"/>
      <c r="Q93" s="11"/>
      <c r="S93" s="11"/>
      <c r="T93" s="11"/>
      <c r="U93" s="11"/>
      <c r="V93" s="12"/>
      <c r="W93" s="12"/>
    </row>
    <row r="94">
      <c r="A94" s="13"/>
      <c r="B94" s="13"/>
      <c r="C94" s="13"/>
      <c r="D94" s="13"/>
      <c r="E94" s="13"/>
      <c r="K94" s="13"/>
      <c r="L94" s="13"/>
      <c r="M94" s="8"/>
      <c r="N94" s="8"/>
      <c r="O94" s="11"/>
      <c r="P94" s="11"/>
      <c r="Q94" s="11"/>
      <c r="S94" s="11"/>
      <c r="T94" s="11"/>
      <c r="U94" s="11"/>
      <c r="V94" s="12"/>
      <c r="W94" s="12"/>
    </row>
    <row r="95">
      <c r="A95" s="13"/>
      <c r="B95" s="13"/>
      <c r="C95" s="13"/>
      <c r="D95" s="13"/>
      <c r="E95" s="13"/>
      <c r="K95" s="13"/>
      <c r="L95" s="13"/>
      <c r="M95" s="8"/>
      <c r="N95" s="8"/>
      <c r="O95" s="11"/>
      <c r="P95" s="11"/>
      <c r="Q95" s="11"/>
      <c r="S95" s="11"/>
      <c r="T95" s="11"/>
      <c r="U95" s="11"/>
      <c r="V95" s="12"/>
      <c r="W95" s="12"/>
    </row>
    <row r="96">
      <c r="A96" s="13"/>
      <c r="B96" s="13"/>
      <c r="C96" s="13"/>
      <c r="D96" s="13"/>
      <c r="E96" s="13"/>
      <c r="K96" s="13"/>
      <c r="L96" s="13"/>
      <c r="M96" s="8"/>
      <c r="N96" s="8"/>
      <c r="O96" s="11"/>
      <c r="P96" s="11"/>
      <c r="Q96" s="11"/>
      <c r="S96" s="11"/>
      <c r="T96" s="11"/>
      <c r="U96" s="11"/>
      <c r="V96" s="12"/>
      <c r="W96" s="12"/>
    </row>
    <row r="97">
      <c r="A97" s="13"/>
      <c r="B97" s="13"/>
      <c r="C97" s="13"/>
      <c r="D97" s="13"/>
      <c r="E97" s="13"/>
      <c r="K97" s="13"/>
      <c r="L97" s="13"/>
      <c r="M97" s="8"/>
      <c r="N97" s="8"/>
      <c r="O97" s="11"/>
      <c r="P97" s="11"/>
      <c r="Q97" s="11"/>
      <c r="S97" s="11"/>
      <c r="T97" s="11"/>
      <c r="U97" s="11"/>
      <c r="V97" s="12"/>
      <c r="W97" s="12"/>
    </row>
    <row r="98">
      <c r="A98" s="13"/>
      <c r="B98" s="13"/>
      <c r="C98" s="13"/>
      <c r="D98" s="13"/>
      <c r="E98" s="13"/>
      <c r="K98" s="13"/>
      <c r="L98" s="13"/>
      <c r="M98" s="8"/>
      <c r="N98" s="8"/>
      <c r="O98" s="11"/>
      <c r="P98" s="11"/>
      <c r="Q98" s="11"/>
      <c r="S98" s="11"/>
      <c r="T98" s="11"/>
      <c r="U98" s="11"/>
      <c r="V98" s="12"/>
      <c r="W98" s="12"/>
    </row>
    <row r="99">
      <c r="A99" s="13"/>
      <c r="B99" s="13"/>
      <c r="C99" s="13"/>
      <c r="D99" s="13"/>
      <c r="E99" s="13"/>
      <c r="K99" s="13"/>
      <c r="L99" s="13"/>
      <c r="M99" s="8"/>
      <c r="N99" s="8"/>
      <c r="O99" s="11"/>
      <c r="P99" s="11"/>
      <c r="Q99" s="11"/>
      <c r="S99" s="11"/>
      <c r="T99" s="11"/>
      <c r="U99" s="11"/>
      <c r="V99" s="12"/>
      <c r="W99" s="12"/>
    </row>
    <row r="100">
      <c r="A100" s="13"/>
      <c r="B100" s="13"/>
      <c r="C100" s="13"/>
      <c r="D100" s="13"/>
      <c r="E100" s="13"/>
      <c r="K100" s="13"/>
      <c r="L100" s="13"/>
      <c r="M100" s="8"/>
      <c r="N100" s="8"/>
      <c r="O100" s="11"/>
      <c r="P100" s="11"/>
      <c r="Q100" s="11"/>
      <c r="S100" s="11"/>
      <c r="T100" s="11"/>
      <c r="U100" s="11"/>
      <c r="V100" s="12"/>
      <c r="W100" s="12"/>
    </row>
    <row r="101">
      <c r="A101" s="13"/>
      <c r="B101" s="13"/>
      <c r="C101" s="13"/>
      <c r="D101" s="13"/>
      <c r="E101" s="13"/>
      <c r="K101" s="13"/>
      <c r="L101" s="13"/>
      <c r="M101" s="8"/>
      <c r="N101" s="8"/>
      <c r="O101" s="11"/>
      <c r="P101" s="11"/>
      <c r="Q101" s="11"/>
      <c r="S101" s="11"/>
      <c r="T101" s="11"/>
      <c r="U101" s="11"/>
      <c r="V101" s="12"/>
      <c r="W101" s="12"/>
    </row>
    <row r="102">
      <c r="A102" s="13"/>
      <c r="B102" s="13"/>
      <c r="C102" s="13"/>
      <c r="D102" s="13"/>
      <c r="E102" s="13"/>
      <c r="K102" s="13"/>
      <c r="L102" s="13"/>
      <c r="M102" s="8"/>
      <c r="N102" s="8"/>
      <c r="O102" s="11"/>
      <c r="P102" s="11"/>
      <c r="Q102" s="11"/>
      <c r="S102" s="11"/>
      <c r="T102" s="11"/>
      <c r="U102" s="11"/>
      <c r="V102" s="12"/>
      <c r="W102" s="12"/>
    </row>
    <row r="103">
      <c r="A103" s="13"/>
      <c r="B103" s="13"/>
      <c r="C103" s="13"/>
      <c r="D103" s="13"/>
      <c r="E103" s="13"/>
      <c r="K103" s="13"/>
      <c r="L103" s="13"/>
      <c r="M103" s="8"/>
      <c r="N103" s="8"/>
      <c r="O103" s="11"/>
      <c r="P103" s="11"/>
      <c r="Q103" s="11"/>
      <c r="S103" s="11"/>
      <c r="T103" s="11"/>
      <c r="U103" s="11"/>
      <c r="V103" s="12"/>
      <c r="W103" s="12"/>
    </row>
    <row r="104">
      <c r="A104" s="13"/>
      <c r="B104" s="13"/>
      <c r="C104" s="13"/>
      <c r="D104" s="13"/>
      <c r="E104" s="13"/>
      <c r="K104" s="13"/>
      <c r="L104" s="13"/>
      <c r="M104" s="8"/>
      <c r="N104" s="8"/>
      <c r="O104" s="11"/>
      <c r="P104" s="11"/>
      <c r="Q104" s="11"/>
      <c r="S104" s="11"/>
      <c r="T104" s="11"/>
      <c r="U104" s="11"/>
      <c r="V104" s="12"/>
      <c r="W104" s="12"/>
    </row>
    <row r="105">
      <c r="A105" s="13"/>
      <c r="B105" s="13"/>
      <c r="C105" s="13"/>
      <c r="D105" s="13"/>
      <c r="E105" s="13"/>
      <c r="K105" s="13"/>
      <c r="L105" s="13"/>
      <c r="M105" s="8"/>
      <c r="N105" s="8"/>
      <c r="O105" s="11"/>
      <c r="P105" s="11"/>
      <c r="Q105" s="11"/>
      <c r="S105" s="11"/>
      <c r="T105" s="11"/>
      <c r="U105" s="11"/>
      <c r="V105" s="12"/>
      <c r="W105" s="12"/>
    </row>
    <row r="106">
      <c r="A106" s="13"/>
      <c r="B106" s="13"/>
      <c r="C106" s="13"/>
      <c r="D106" s="13"/>
      <c r="E106" s="13"/>
      <c r="K106" s="13"/>
      <c r="L106" s="13"/>
      <c r="M106" s="8"/>
      <c r="N106" s="8"/>
      <c r="O106" s="11"/>
      <c r="P106" s="11"/>
      <c r="Q106" s="11"/>
      <c r="S106" s="11"/>
      <c r="T106" s="11"/>
      <c r="U106" s="11"/>
      <c r="V106" s="12"/>
      <c r="W106" s="12"/>
    </row>
    <row r="107">
      <c r="A107" s="13"/>
      <c r="B107" s="13"/>
      <c r="C107" s="13"/>
      <c r="D107" s="13"/>
      <c r="E107" s="13"/>
      <c r="K107" s="13"/>
      <c r="L107" s="13"/>
      <c r="M107" s="8"/>
      <c r="N107" s="8"/>
      <c r="O107" s="11"/>
      <c r="P107" s="11"/>
      <c r="Q107" s="11"/>
      <c r="S107" s="11"/>
      <c r="T107" s="11"/>
      <c r="U107" s="11"/>
      <c r="V107" s="12"/>
      <c r="W107" s="12"/>
    </row>
    <row r="108">
      <c r="A108" s="13"/>
      <c r="B108" s="13"/>
      <c r="C108" s="13"/>
      <c r="D108" s="13"/>
      <c r="E108" s="13"/>
      <c r="K108" s="13"/>
      <c r="L108" s="13"/>
      <c r="M108" s="8"/>
      <c r="N108" s="8"/>
      <c r="O108" s="11"/>
      <c r="P108" s="11"/>
      <c r="Q108" s="11"/>
      <c r="S108" s="11"/>
      <c r="T108" s="11"/>
      <c r="U108" s="11"/>
      <c r="V108" s="12"/>
      <c r="W108" s="12"/>
    </row>
    <row r="109">
      <c r="A109" s="13"/>
      <c r="B109" s="13"/>
      <c r="C109" s="13"/>
      <c r="D109" s="13"/>
      <c r="E109" s="13"/>
      <c r="K109" s="13"/>
      <c r="L109" s="13"/>
      <c r="M109" s="8"/>
      <c r="N109" s="8"/>
      <c r="O109" s="11"/>
      <c r="P109" s="11"/>
      <c r="Q109" s="11"/>
      <c r="S109" s="11"/>
      <c r="T109" s="11"/>
      <c r="U109" s="11"/>
      <c r="V109" s="12"/>
      <c r="W109" s="12"/>
    </row>
    <row r="110">
      <c r="A110" s="13"/>
      <c r="B110" s="13"/>
      <c r="C110" s="13"/>
      <c r="D110" s="13"/>
      <c r="E110" s="13"/>
      <c r="K110" s="13"/>
      <c r="L110" s="13"/>
      <c r="M110" s="8"/>
      <c r="N110" s="8"/>
      <c r="O110" s="11"/>
      <c r="P110" s="11"/>
      <c r="Q110" s="11"/>
      <c r="S110" s="11"/>
      <c r="T110" s="11"/>
      <c r="U110" s="11"/>
      <c r="V110" s="12"/>
      <c r="W110" s="12"/>
    </row>
    <row r="111">
      <c r="A111" s="13"/>
      <c r="B111" s="13"/>
      <c r="C111" s="13"/>
      <c r="D111" s="13"/>
      <c r="E111" s="13"/>
      <c r="K111" s="13"/>
      <c r="L111" s="13"/>
      <c r="M111" s="8"/>
      <c r="N111" s="8"/>
      <c r="O111" s="11"/>
      <c r="P111" s="11"/>
      <c r="Q111" s="11"/>
      <c r="S111" s="11"/>
      <c r="T111" s="11"/>
      <c r="U111" s="11"/>
      <c r="V111" s="12"/>
      <c r="W111" s="12"/>
    </row>
    <row r="112">
      <c r="A112" s="13"/>
      <c r="B112" s="13"/>
      <c r="C112" s="13"/>
      <c r="D112" s="13"/>
      <c r="E112" s="13"/>
      <c r="K112" s="13"/>
      <c r="L112" s="13"/>
      <c r="M112" s="8"/>
      <c r="N112" s="8"/>
      <c r="O112" s="11"/>
      <c r="P112" s="11"/>
      <c r="Q112" s="11"/>
      <c r="S112" s="11"/>
      <c r="T112" s="11"/>
      <c r="U112" s="11"/>
      <c r="V112" s="12"/>
      <c r="W112" s="12"/>
    </row>
    <row r="113">
      <c r="A113" s="13"/>
      <c r="B113" s="13"/>
      <c r="C113" s="13"/>
      <c r="D113" s="13"/>
      <c r="E113" s="13"/>
      <c r="K113" s="13"/>
      <c r="L113" s="13"/>
      <c r="M113" s="8"/>
      <c r="N113" s="8"/>
      <c r="O113" s="11"/>
      <c r="P113" s="11"/>
      <c r="Q113" s="11"/>
      <c r="S113" s="11"/>
      <c r="T113" s="11"/>
      <c r="U113" s="11"/>
      <c r="V113" s="12"/>
      <c r="W113" s="12"/>
    </row>
    <row r="114">
      <c r="A114" s="13"/>
      <c r="B114" s="13"/>
      <c r="C114" s="13"/>
      <c r="D114" s="13"/>
      <c r="E114" s="13"/>
      <c r="K114" s="13"/>
      <c r="L114" s="13"/>
      <c r="M114" s="8"/>
      <c r="N114" s="8"/>
      <c r="O114" s="11"/>
      <c r="P114" s="11"/>
      <c r="Q114" s="11"/>
      <c r="S114" s="11"/>
      <c r="T114" s="11"/>
      <c r="U114" s="11"/>
      <c r="V114" s="12"/>
      <c r="W114" s="12"/>
    </row>
    <row r="115">
      <c r="A115" s="13"/>
      <c r="B115" s="13"/>
      <c r="C115" s="13"/>
      <c r="D115" s="13"/>
      <c r="E115" s="13"/>
      <c r="K115" s="13"/>
      <c r="L115" s="13"/>
      <c r="M115" s="8"/>
      <c r="N115" s="8"/>
      <c r="O115" s="11"/>
      <c r="P115" s="11"/>
      <c r="Q115" s="11"/>
      <c r="S115" s="11"/>
      <c r="T115" s="11"/>
      <c r="U115" s="11"/>
      <c r="V115" s="12"/>
      <c r="W115" s="12"/>
    </row>
    <row r="116">
      <c r="A116" s="13"/>
      <c r="B116" s="13"/>
      <c r="C116" s="13"/>
      <c r="D116" s="13"/>
      <c r="E116" s="13"/>
      <c r="K116" s="13"/>
      <c r="L116" s="13"/>
      <c r="M116" s="8"/>
      <c r="N116" s="8"/>
      <c r="O116" s="11"/>
      <c r="P116" s="11"/>
      <c r="Q116" s="11"/>
      <c r="S116" s="11"/>
      <c r="T116" s="11"/>
      <c r="U116" s="11"/>
      <c r="V116" s="12"/>
      <c r="W116" s="12"/>
    </row>
    <row r="117">
      <c r="A117" s="13"/>
      <c r="B117" s="13"/>
      <c r="C117" s="13"/>
      <c r="D117" s="13"/>
      <c r="E117" s="13"/>
      <c r="K117" s="13"/>
      <c r="L117" s="13"/>
      <c r="M117" s="8"/>
      <c r="N117" s="8"/>
      <c r="O117" s="11"/>
      <c r="P117" s="11"/>
      <c r="Q117" s="11"/>
      <c r="S117" s="11"/>
      <c r="T117" s="11"/>
      <c r="U117" s="11"/>
      <c r="V117" s="12"/>
      <c r="W117" s="12"/>
    </row>
    <row r="118">
      <c r="A118" s="13"/>
      <c r="B118" s="13"/>
      <c r="C118" s="13"/>
      <c r="D118" s="13"/>
      <c r="E118" s="13"/>
      <c r="K118" s="13"/>
      <c r="L118" s="13"/>
      <c r="M118" s="8"/>
      <c r="N118" s="8"/>
      <c r="O118" s="11"/>
      <c r="P118" s="11"/>
      <c r="Q118" s="11"/>
      <c r="S118" s="11"/>
      <c r="T118" s="11"/>
      <c r="U118" s="11"/>
      <c r="V118" s="12"/>
      <c r="W118" s="12"/>
    </row>
    <row r="119">
      <c r="A119" s="13"/>
      <c r="B119" s="13"/>
      <c r="C119" s="13"/>
      <c r="D119" s="13"/>
      <c r="E119" s="13"/>
      <c r="K119" s="13"/>
      <c r="L119" s="13"/>
      <c r="M119" s="8"/>
      <c r="N119" s="8"/>
      <c r="O119" s="11"/>
      <c r="P119" s="11"/>
      <c r="Q119" s="11"/>
      <c r="S119" s="11"/>
      <c r="T119" s="11"/>
      <c r="U119" s="11"/>
      <c r="V119" s="12"/>
      <c r="W119" s="12"/>
    </row>
    <row r="120">
      <c r="A120" s="13"/>
      <c r="B120" s="13"/>
      <c r="C120" s="13"/>
      <c r="D120" s="13"/>
      <c r="E120" s="13"/>
      <c r="K120" s="13"/>
      <c r="L120" s="13"/>
      <c r="M120" s="8"/>
      <c r="N120" s="8"/>
      <c r="O120" s="11"/>
      <c r="P120" s="11"/>
      <c r="Q120" s="11"/>
      <c r="S120" s="11"/>
      <c r="T120" s="11"/>
      <c r="U120" s="11"/>
      <c r="V120" s="12"/>
      <c r="W120" s="12"/>
    </row>
    <row r="121">
      <c r="A121" s="13"/>
      <c r="B121" s="13"/>
      <c r="C121" s="13"/>
      <c r="D121" s="13"/>
      <c r="E121" s="13"/>
      <c r="K121" s="13"/>
      <c r="L121" s="13"/>
      <c r="M121" s="8"/>
      <c r="N121" s="8"/>
      <c r="O121" s="11"/>
      <c r="P121" s="11"/>
      <c r="Q121" s="11"/>
      <c r="S121" s="11"/>
      <c r="T121" s="11"/>
      <c r="U121" s="11"/>
      <c r="V121" s="12"/>
      <c r="W121" s="12"/>
    </row>
    <row r="122">
      <c r="A122" s="13"/>
      <c r="B122" s="13"/>
      <c r="C122" s="13"/>
      <c r="D122" s="13"/>
      <c r="E122" s="13"/>
      <c r="K122" s="13"/>
      <c r="L122" s="13"/>
      <c r="M122" s="8"/>
      <c r="N122" s="8"/>
      <c r="O122" s="11"/>
      <c r="P122" s="11"/>
      <c r="Q122" s="11"/>
      <c r="S122" s="11"/>
      <c r="T122" s="11"/>
      <c r="U122" s="11"/>
      <c r="V122" s="12"/>
      <c r="W122" s="12"/>
    </row>
    <row r="123">
      <c r="A123" s="13"/>
      <c r="B123" s="13"/>
      <c r="C123" s="13"/>
      <c r="D123" s="13"/>
      <c r="E123" s="13"/>
      <c r="K123" s="13"/>
      <c r="L123" s="13"/>
      <c r="M123" s="8"/>
      <c r="N123" s="8"/>
      <c r="O123" s="11"/>
      <c r="P123" s="11"/>
      <c r="Q123" s="11"/>
      <c r="S123" s="11"/>
      <c r="T123" s="11"/>
      <c r="U123" s="11"/>
      <c r="V123" s="12"/>
      <c r="W123" s="12"/>
    </row>
    <row r="124">
      <c r="A124" s="13"/>
      <c r="B124" s="13"/>
      <c r="C124" s="13"/>
      <c r="D124" s="13"/>
      <c r="E124" s="13"/>
      <c r="K124" s="13"/>
      <c r="L124" s="13"/>
      <c r="M124" s="8"/>
      <c r="N124" s="8"/>
      <c r="O124" s="11"/>
      <c r="P124" s="11"/>
      <c r="Q124" s="11"/>
      <c r="S124" s="11"/>
      <c r="T124" s="11"/>
      <c r="U124" s="11"/>
      <c r="V124" s="12"/>
      <c r="W124" s="12"/>
    </row>
    <row r="125">
      <c r="A125" s="13"/>
      <c r="B125" s="13"/>
      <c r="C125" s="13"/>
      <c r="D125" s="13"/>
      <c r="E125" s="13"/>
      <c r="K125" s="13"/>
      <c r="L125" s="13"/>
      <c r="M125" s="8"/>
      <c r="N125" s="8"/>
      <c r="O125" s="11"/>
      <c r="P125" s="11"/>
      <c r="Q125" s="11"/>
      <c r="S125" s="11"/>
      <c r="T125" s="11"/>
      <c r="U125" s="11"/>
      <c r="V125" s="12"/>
      <c r="W125" s="12"/>
    </row>
    <row r="126">
      <c r="A126" s="13"/>
      <c r="B126" s="13"/>
      <c r="C126" s="13"/>
      <c r="D126" s="13"/>
      <c r="E126" s="13"/>
      <c r="K126" s="13"/>
      <c r="L126" s="13"/>
      <c r="M126" s="8"/>
      <c r="N126" s="8"/>
      <c r="O126" s="11"/>
      <c r="P126" s="11"/>
      <c r="Q126" s="11"/>
      <c r="S126" s="11"/>
      <c r="T126" s="11"/>
      <c r="U126" s="11"/>
      <c r="V126" s="12"/>
      <c r="W126" s="12"/>
    </row>
    <row r="127">
      <c r="A127" s="13"/>
      <c r="B127" s="13"/>
      <c r="C127" s="13"/>
      <c r="D127" s="13"/>
      <c r="E127" s="13"/>
      <c r="K127" s="13"/>
      <c r="L127" s="13"/>
      <c r="M127" s="8"/>
      <c r="N127" s="8"/>
      <c r="O127" s="11"/>
      <c r="P127" s="11"/>
      <c r="Q127" s="11"/>
      <c r="S127" s="11"/>
      <c r="T127" s="11"/>
      <c r="U127" s="11"/>
      <c r="V127" s="12"/>
      <c r="W127" s="12"/>
    </row>
    <row r="128">
      <c r="A128" s="13"/>
      <c r="B128" s="13"/>
      <c r="C128" s="13"/>
      <c r="D128" s="13"/>
      <c r="E128" s="13"/>
      <c r="K128" s="13"/>
      <c r="L128" s="13"/>
      <c r="M128" s="8"/>
      <c r="N128" s="8"/>
      <c r="O128" s="11"/>
      <c r="P128" s="11"/>
      <c r="Q128" s="11"/>
      <c r="S128" s="11"/>
      <c r="T128" s="11"/>
      <c r="U128" s="11"/>
      <c r="V128" s="12"/>
      <c r="W128" s="12"/>
    </row>
    <row r="129">
      <c r="A129" s="13"/>
      <c r="B129" s="13"/>
      <c r="C129" s="13"/>
      <c r="D129" s="13"/>
      <c r="E129" s="13"/>
      <c r="K129" s="13"/>
      <c r="L129" s="13"/>
      <c r="M129" s="8"/>
      <c r="N129" s="8"/>
      <c r="O129" s="11"/>
      <c r="P129" s="11"/>
      <c r="Q129" s="11"/>
      <c r="S129" s="11"/>
      <c r="T129" s="11"/>
      <c r="U129" s="11"/>
      <c r="V129" s="12"/>
      <c r="W129" s="12"/>
    </row>
    <row r="130">
      <c r="A130" s="13"/>
      <c r="B130" s="13"/>
      <c r="C130" s="13"/>
      <c r="D130" s="13"/>
      <c r="E130" s="13"/>
      <c r="K130" s="13"/>
      <c r="L130" s="13"/>
      <c r="M130" s="8"/>
      <c r="N130" s="8"/>
      <c r="O130" s="11"/>
      <c r="P130" s="11"/>
      <c r="Q130" s="11"/>
      <c r="S130" s="11"/>
      <c r="T130" s="11"/>
      <c r="U130" s="11"/>
      <c r="V130" s="12"/>
      <c r="W130" s="12"/>
    </row>
    <row r="131">
      <c r="A131" s="13"/>
      <c r="B131" s="13"/>
      <c r="C131" s="13"/>
      <c r="D131" s="13"/>
      <c r="E131" s="13"/>
      <c r="K131" s="13"/>
      <c r="L131" s="13"/>
      <c r="M131" s="8"/>
      <c r="N131" s="8"/>
      <c r="O131" s="11"/>
      <c r="P131" s="11"/>
      <c r="Q131" s="11"/>
      <c r="S131" s="11"/>
      <c r="T131" s="11"/>
      <c r="U131" s="11"/>
      <c r="V131" s="12"/>
      <c r="W131" s="12"/>
    </row>
    <row r="132">
      <c r="A132" s="13"/>
      <c r="B132" s="13"/>
      <c r="C132" s="13"/>
      <c r="D132" s="13"/>
      <c r="E132" s="13"/>
      <c r="K132" s="13"/>
      <c r="L132" s="13"/>
      <c r="M132" s="8"/>
      <c r="N132" s="8"/>
      <c r="O132" s="11"/>
      <c r="P132" s="11"/>
      <c r="Q132" s="11"/>
      <c r="S132" s="11"/>
      <c r="T132" s="11"/>
      <c r="U132" s="11"/>
      <c r="V132" s="12"/>
      <c r="W132" s="12"/>
    </row>
    <row r="133">
      <c r="A133" s="13"/>
      <c r="B133" s="13"/>
      <c r="C133" s="13"/>
      <c r="D133" s="13"/>
      <c r="E133" s="13"/>
      <c r="K133" s="13"/>
      <c r="L133" s="13"/>
      <c r="M133" s="8"/>
      <c r="N133" s="8"/>
      <c r="O133" s="11"/>
      <c r="P133" s="11"/>
      <c r="Q133" s="11"/>
      <c r="S133" s="11"/>
      <c r="T133" s="11"/>
      <c r="U133" s="11"/>
      <c r="V133" s="12"/>
      <c r="W133" s="12"/>
    </row>
    <row r="134">
      <c r="A134" s="13"/>
      <c r="B134" s="13"/>
      <c r="C134" s="13"/>
      <c r="D134" s="13"/>
      <c r="E134" s="13"/>
      <c r="K134" s="13"/>
      <c r="L134" s="13"/>
      <c r="M134" s="8"/>
      <c r="N134" s="8"/>
      <c r="O134" s="11"/>
      <c r="P134" s="11"/>
      <c r="Q134" s="11"/>
      <c r="S134" s="11"/>
      <c r="T134" s="11"/>
      <c r="U134" s="11"/>
      <c r="V134" s="12"/>
      <c r="W134" s="12"/>
    </row>
    <row r="135">
      <c r="A135" s="13"/>
      <c r="B135" s="13"/>
      <c r="C135" s="13"/>
      <c r="D135" s="13"/>
      <c r="E135" s="13"/>
      <c r="K135" s="13"/>
      <c r="L135" s="13"/>
      <c r="M135" s="8"/>
      <c r="N135" s="8"/>
      <c r="O135" s="11"/>
      <c r="P135" s="11"/>
      <c r="Q135" s="11"/>
      <c r="S135" s="11"/>
      <c r="T135" s="11"/>
      <c r="U135" s="11"/>
      <c r="V135" s="12"/>
      <c r="W135" s="12"/>
    </row>
    <row r="136">
      <c r="A136" s="13"/>
      <c r="B136" s="13"/>
      <c r="C136" s="13"/>
      <c r="D136" s="13"/>
      <c r="E136" s="13"/>
      <c r="K136" s="13"/>
      <c r="L136" s="13"/>
      <c r="M136" s="8"/>
      <c r="N136" s="8"/>
      <c r="O136" s="11"/>
      <c r="P136" s="11"/>
      <c r="Q136" s="11"/>
      <c r="S136" s="11"/>
      <c r="T136" s="11"/>
      <c r="U136" s="11"/>
      <c r="V136" s="12"/>
      <c r="W136" s="12"/>
    </row>
    <row r="137">
      <c r="A137" s="13"/>
      <c r="B137" s="13"/>
      <c r="C137" s="13"/>
      <c r="D137" s="13"/>
      <c r="E137" s="13"/>
      <c r="K137" s="13"/>
      <c r="L137" s="13"/>
      <c r="M137" s="8"/>
      <c r="N137" s="8"/>
      <c r="O137" s="11"/>
      <c r="P137" s="11"/>
      <c r="Q137" s="11"/>
      <c r="S137" s="11"/>
      <c r="T137" s="11"/>
      <c r="U137" s="11"/>
      <c r="V137" s="12"/>
      <c r="W137" s="12"/>
    </row>
    <row r="138">
      <c r="A138" s="13"/>
      <c r="B138" s="13"/>
      <c r="C138" s="13"/>
      <c r="D138" s="13"/>
      <c r="E138" s="13"/>
      <c r="K138" s="13"/>
      <c r="L138" s="13"/>
      <c r="M138" s="8"/>
      <c r="N138" s="8"/>
      <c r="O138" s="11"/>
      <c r="P138" s="11"/>
      <c r="Q138" s="11"/>
      <c r="S138" s="11"/>
      <c r="T138" s="11"/>
      <c r="U138" s="11"/>
      <c r="V138" s="12"/>
      <c r="W138" s="12"/>
    </row>
    <row r="139">
      <c r="A139" s="13"/>
      <c r="B139" s="13"/>
      <c r="C139" s="13"/>
      <c r="D139" s="13"/>
      <c r="E139" s="13"/>
      <c r="K139" s="13"/>
      <c r="L139" s="13"/>
      <c r="M139" s="8"/>
      <c r="N139" s="8"/>
      <c r="O139" s="11"/>
      <c r="P139" s="11"/>
      <c r="Q139" s="11"/>
      <c r="S139" s="11"/>
      <c r="T139" s="11"/>
      <c r="U139" s="11"/>
      <c r="V139" s="12"/>
      <c r="W139" s="12"/>
    </row>
    <row r="140">
      <c r="A140" s="13"/>
      <c r="B140" s="13"/>
      <c r="C140" s="13"/>
      <c r="D140" s="13"/>
      <c r="E140" s="13"/>
      <c r="K140" s="13"/>
      <c r="L140" s="13"/>
      <c r="M140" s="8"/>
      <c r="N140" s="8"/>
      <c r="O140" s="11"/>
      <c r="P140" s="11"/>
      <c r="Q140" s="11"/>
      <c r="S140" s="11"/>
      <c r="T140" s="11"/>
      <c r="U140" s="11"/>
      <c r="V140" s="12"/>
      <c r="W140" s="12"/>
    </row>
    <row r="141">
      <c r="A141" s="13"/>
      <c r="B141" s="13"/>
      <c r="C141" s="13"/>
      <c r="D141" s="13"/>
      <c r="E141" s="13"/>
      <c r="K141" s="13"/>
      <c r="L141" s="13"/>
      <c r="M141" s="8"/>
      <c r="N141" s="8"/>
      <c r="O141" s="11"/>
      <c r="P141" s="11"/>
      <c r="Q141" s="11"/>
    </row>
    <row r="142">
      <c r="A142" s="13"/>
      <c r="B142" s="13"/>
      <c r="C142" s="13"/>
      <c r="D142" s="13"/>
      <c r="E142" s="13"/>
      <c r="K142" s="13"/>
      <c r="L142" s="13"/>
      <c r="M142" s="8"/>
      <c r="N142" s="8"/>
      <c r="O142" s="11"/>
      <c r="P142" s="11"/>
      <c r="Q142" s="11"/>
    </row>
    <row r="143">
      <c r="A143" s="13"/>
      <c r="B143" s="13"/>
      <c r="C143" s="13"/>
      <c r="D143" s="13"/>
      <c r="E143" s="13"/>
      <c r="K143" s="13"/>
      <c r="L143" s="13"/>
      <c r="M143" s="8"/>
      <c r="N143" s="8"/>
      <c r="O143" s="11"/>
      <c r="P143" s="11"/>
      <c r="Q143" s="11"/>
    </row>
    <row r="144">
      <c r="A144" s="13"/>
      <c r="B144" s="13"/>
      <c r="C144" s="13"/>
      <c r="D144" s="13"/>
      <c r="E144" s="13"/>
      <c r="K144" s="13"/>
      <c r="L144" s="13"/>
      <c r="M144" s="8"/>
      <c r="N144" s="8"/>
      <c r="O144" s="11"/>
      <c r="P144" s="11"/>
      <c r="Q144" s="11"/>
    </row>
    <row r="145">
      <c r="A145" s="13"/>
      <c r="B145" s="13"/>
      <c r="C145" s="13"/>
      <c r="D145" s="13"/>
      <c r="E145" s="13"/>
      <c r="K145" s="13"/>
      <c r="L145" s="13"/>
      <c r="M145" s="8"/>
      <c r="N145" s="8"/>
      <c r="O145" s="11"/>
      <c r="P145" s="11"/>
      <c r="Q145" s="11"/>
    </row>
    <row r="146">
      <c r="A146" s="13"/>
      <c r="B146" s="13"/>
      <c r="C146" s="13"/>
      <c r="D146" s="13"/>
      <c r="E146" s="13"/>
      <c r="K146" s="13"/>
      <c r="L146" s="13"/>
      <c r="M146" s="8"/>
      <c r="N146" s="8"/>
      <c r="O146" s="11"/>
      <c r="P146" s="11"/>
      <c r="Q146" s="11"/>
    </row>
    <row r="147">
      <c r="A147" s="13"/>
      <c r="B147" s="13"/>
      <c r="C147" s="13"/>
      <c r="D147" s="13"/>
      <c r="E147" s="13"/>
      <c r="K147" s="13"/>
      <c r="L147" s="13"/>
      <c r="M147" s="8"/>
      <c r="N147" s="8"/>
      <c r="O147" s="11"/>
      <c r="P147" s="11"/>
      <c r="Q147" s="11"/>
    </row>
    <row r="148">
      <c r="A148" s="13"/>
      <c r="B148" s="13"/>
      <c r="C148" s="13"/>
      <c r="D148" s="13"/>
      <c r="E148" s="13"/>
      <c r="K148" s="13"/>
      <c r="L148" s="13"/>
      <c r="M148" s="8"/>
      <c r="N148" s="8"/>
      <c r="O148" s="11"/>
      <c r="P148" s="11"/>
      <c r="Q148" s="11"/>
    </row>
    <row r="149">
      <c r="A149" s="13"/>
      <c r="B149" s="13"/>
      <c r="C149" s="13"/>
      <c r="D149" s="13"/>
      <c r="E149" s="13"/>
      <c r="K149" s="13"/>
      <c r="L149" s="13"/>
      <c r="M149" s="8"/>
      <c r="N149" s="8"/>
      <c r="O149" s="11"/>
      <c r="P149" s="11"/>
      <c r="Q149" s="11"/>
    </row>
    <row r="150">
      <c r="A150" s="13"/>
      <c r="B150" s="13"/>
      <c r="C150" s="13"/>
      <c r="D150" s="13"/>
      <c r="E150" s="13"/>
      <c r="K150" s="13"/>
      <c r="L150" s="13"/>
      <c r="M150" s="8"/>
      <c r="N150" s="8"/>
      <c r="O150" s="11"/>
      <c r="P150" s="11"/>
      <c r="Q150" s="11"/>
    </row>
    <row r="151">
      <c r="A151" s="13"/>
      <c r="B151" s="13"/>
      <c r="C151" s="13"/>
      <c r="D151" s="13"/>
      <c r="E151" s="13"/>
      <c r="K151" s="13"/>
      <c r="L151" s="13"/>
      <c r="M151" s="8"/>
      <c r="N151" s="8"/>
      <c r="O151" s="11"/>
      <c r="P151" s="11"/>
      <c r="Q151" s="11"/>
    </row>
    <row r="152">
      <c r="A152" s="13"/>
      <c r="B152" s="13"/>
      <c r="C152" s="13"/>
      <c r="D152" s="13"/>
      <c r="E152" s="13"/>
      <c r="K152" s="13"/>
      <c r="L152" s="13"/>
      <c r="M152" s="8"/>
      <c r="N152" s="8"/>
      <c r="O152" s="11"/>
      <c r="P152" s="11"/>
      <c r="Q152" s="11"/>
    </row>
    <row r="153">
      <c r="A153" s="13"/>
      <c r="B153" s="13"/>
      <c r="C153" s="13"/>
      <c r="D153" s="13"/>
      <c r="E153" s="13"/>
      <c r="K153" s="13"/>
      <c r="L153" s="13"/>
      <c r="M153" s="8"/>
      <c r="N153" s="8"/>
      <c r="O153" s="11"/>
      <c r="P153" s="11"/>
      <c r="Q153" s="11"/>
    </row>
    <row r="154">
      <c r="A154" s="13"/>
      <c r="B154" s="13"/>
      <c r="C154" s="13"/>
      <c r="D154" s="13"/>
      <c r="E154" s="13"/>
      <c r="K154" s="13"/>
      <c r="L154" s="13"/>
      <c r="M154" s="8"/>
      <c r="N154" s="8"/>
      <c r="O154" s="11"/>
      <c r="P154" s="11"/>
      <c r="Q154" s="11"/>
    </row>
    <row r="155">
      <c r="A155" s="13"/>
      <c r="B155" s="13"/>
      <c r="C155" s="13"/>
      <c r="D155" s="13"/>
      <c r="E155" s="13"/>
      <c r="K155" s="13"/>
      <c r="L155" s="13"/>
      <c r="M155" s="8"/>
      <c r="N155" s="8"/>
      <c r="O155" s="11"/>
      <c r="P155" s="11"/>
      <c r="Q155" s="11"/>
    </row>
    <row r="156">
      <c r="A156" s="13"/>
      <c r="B156" s="13"/>
      <c r="C156" s="13"/>
      <c r="D156" s="13"/>
      <c r="E156" s="13"/>
      <c r="K156" s="13"/>
      <c r="L156" s="13"/>
      <c r="M156" s="8"/>
      <c r="N156" s="8"/>
      <c r="O156" s="11"/>
      <c r="P156" s="11"/>
      <c r="Q156" s="11"/>
    </row>
    <row r="157">
      <c r="A157" s="13"/>
      <c r="B157" s="13"/>
      <c r="C157" s="13"/>
      <c r="D157" s="13"/>
      <c r="E157" s="13"/>
      <c r="K157" s="13"/>
      <c r="L157" s="13"/>
      <c r="M157" s="8"/>
      <c r="N157" s="8"/>
      <c r="O157" s="11"/>
      <c r="P157" s="11"/>
      <c r="Q157" s="11"/>
    </row>
    <row r="158">
      <c r="A158" s="13"/>
      <c r="B158" s="13"/>
      <c r="C158" s="13"/>
      <c r="D158" s="13"/>
      <c r="E158" s="13"/>
      <c r="K158" s="13"/>
      <c r="L158" s="13"/>
      <c r="M158" s="8"/>
      <c r="N158" s="8"/>
      <c r="O158" s="11"/>
      <c r="P158" s="11"/>
      <c r="Q158" s="11"/>
    </row>
    <row r="159">
      <c r="A159" s="13"/>
      <c r="B159" s="13"/>
      <c r="C159" s="13"/>
      <c r="D159" s="13"/>
      <c r="E159" s="13"/>
      <c r="K159" s="13"/>
      <c r="L159" s="13"/>
      <c r="M159" s="8"/>
      <c r="N159" s="8"/>
      <c r="O159" s="11"/>
      <c r="P159" s="11"/>
      <c r="Q159" s="11"/>
    </row>
    <row r="160">
      <c r="A160" s="13"/>
      <c r="B160" s="13"/>
      <c r="C160" s="13"/>
      <c r="D160" s="13"/>
      <c r="E160" s="13"/>
      <c r="K160" s="13"/>
      <c r="L160" s="13"/>
      <c r="M160" s="8"/>
      <c r="N160" s="8"/>
      <c r="O160" s="11"/>
      <c r="P160" s="11"/>
      <c r="Q160" s="11"/>
    </row>
    <row r="161">
      <c r="A161" s="13"/>
      <c r="B161" s="13"/>
      <c r="C161" s="13"/>
      <c r="D161" s="13"/>
      <c r="E161" s="13"/>
      <c r="K161" s="13"/>
      <c r="L161" s="13"/>
      <c r="M161" s="8"/>
      <c r="N161" s="8"/>
      <c r="O161" s="11"/>
      <c r="P161" s="11"/>
      <c r="Q161" s="11"/>
    </row>
    <row r="162">
      <c r="A162" s="13"/>
      <c r="B162" s="13"/>
      <c r="C162" s="13"/>
      <c r="D162" s="13"/>
      <c r="E162" s="13"/>
      <c r="K162" s="13"/>
      <c r="L162" s="13"/>
      <c r="M162" s="8"/>
      <c r="N162" s="8"/>
      <c r="O162" s="11"/>
      <c r="P162" s="11"/>
      <c r="Q162" s="11"/>
    </row>
    <row r="163">
      <c r="A163" s="13"/>
      <c r="B163" s="13"/>
      <c r="C163" s="13"/>
      <c r="D163" s="13"/>
      <c r="E163" s="13"/>
      <c r="K163" s="13"/>
      <c r="L163" s="13"/>
      <c r="M163" s="8"/>
      <c r="N163" s="8"/>
      <c r="O163" s="11"/>
      <c r="P163" s="11"/>
      <c r="Q163" s="11"/>
    </row>
    <row r="164">
      <c r="A164" s="13"/>
      <c r="B164" s="13"/>
      <c r="C164" s="13"/>
      <c r="D164" s="13"/>
      <c r="E164" s="13"/>
      <c r="K164" s="13"/>
      <c r="L164" s="13"/>
      <c r="M164" s="8"/>
      <c r="N164" s="8"/>
      <c r="O164" s="11"/>
      <c r="P164" s="11"/>
      <c r="Q164" s="11"/>
    </row>
    <row r="165">
      <c r="A165" s="13"/>
      <c r="B165" s="13"/>
      <c r="C165" s="13"/>
      <c r="D165" s="13"/>
      <c r="E165" s="13"/>
      <c r="K165" s="13"/>
      <c r="L165" s="13"/>
      <c r="M165" s="8"/>
      <c r="N165" s="8"/>
      <c r="O165" s="11"/>
      <c r="P165" s="11"/>
      <c r="Q165" s="11"/>
    </row>
    <row r="166">
      <c r="A166" s="13"/>
      <c r="B166" s="13"/>
      <c r="C166" s="13"/>
      <c r="D166" s="13"/>
      <c r="E166" s="13"/>
      <c r="K166" s="13"/>
      <c r="L166" s="13"/>
      <c r="M166" s="8"/>
      <c r="N166" s="8"/>
      <c r="O166" s="11"/>
      <c r="P166" s="11"/>
      <c r="Q166" s="11"/>
    </row>
    <row r="167">
      <c r="A167" s="13"/>
      <c r="B167" s="13"/>
      <c r="C167" s="13"/>
      <c r="D167" s="13"/>
      <c r="E167" s="13"/>
      <c r="K167" s="13"/>
      <c r="L167" s="13"/>
      <c r="M167" s="8"/>
      <c r="N167" s="8"/>
      <c r="O167" s="11"/>
      <c r="P167" s="11"/>
      <c r="Q167" s="11"/>
    </row>
    <row r="168">
      <c r="A168" s="13"/>
      <c r="B168" s="13"/>
      <c r="C168" s="13"/>
      <c r="D168" s="13"/>
      <c r="E168" s="13"/>
      <c r="K168" s="13"/>
      <c r="L168" s="13"/>
      <c r="M168" s="8"/>
      <c r="N168" s="8"/>
      <c r="O168" s="11"/>
      <c r="P168" s="11"/>
      <c r="Q168" s="11"/>
    </row>
    <row r="169">
      <c r="A169" s="13"/>
      <c r="B169" s="13"/>
      <c r="C169" s="13"/>
      <c r="D169" s="13"/>
      <c r="E169" s="13"/>
      <c r="K169" s="13"/>
      <c r="L169" s="13"/>
      <c r="M169" s="8"/>
      <c r="N169" s="8"/>
      <c r="O169" s="11"/>
      <c r="P169" s="11"/>
      <c r="Q169" s="11"/>
    </row>
    <row r="170">
      <c r="A170" s="13"/>
      <c r="B170" s="13"/>
      <c r="C170" s="13"/>
      <c r="D170" s="13"/>
      <c r="E170" s="13"/>
      <c r="K170" s="13"/>
      <c r="L170" s="13"/>
      <c r="M170" s="8"/>
      <c r="N170" s="8"/>
      <c r="O170" s="11"/>
      <c r="P170" s="11"/>
      <c r="Q170" s="11"/>
    </row>
    <row r="171">
      <c r="A171" s="13"/>
      <c r="B171" s="13"/>
      <c r="C171" s="13"/>
      <c r="D171" s="13"/>
      <c r="E171" s="13"/>
      <c r="K171" s="13"/>
      <c r="L171" s="13"/>
      <c r="M171" s="8"/>
      <c r="N171" s="8"/>
      <c r="O171" s="11"/>
      <c r="P171" s="11"/>
      <c r="Q171" s="11"/>
    </row>
    <row r="172">
      <c r="A172" s="13"/>
      <c r="B172" s="13"/>
      <c r="C172" s="13"/>
      <c r="D172" s="13"/>
      <c r="E172" s="13"/>
      <c r="K172" s="13"/>
      <c r="L172" s="13"/>
      <c r="M172" s="8"/>
      <c r="N172" s="8"/>
      <c r="O172" s="11"/>
      <c r="P172" s="11"/>
      <c r="Q172" s="11"/>
    </row>
    <row r="173">
      <c r="A173" s="13"/>
      <c r="B173" s="13"/>
      <c r="C173" s="13"/>
      <c r="D173" s="13"/>
      <c r="E173" s="13"/>
      <c r="K173" s="13"/>
      <c r="L173" s="13"/>
      <c r="M173" s="8"/>
      <c r="N173" s="8"/>
      <c r="O173" s="11"/>
      <c r="P173" s="11"/>
      <c r="Q173" s="11"/>
    </row>
    <row r="174">
      <c r="A174" s="13"/>
      <c r="B174" s="13"/>
      <c r="C174" s="13"/>
      <c r="D174" s="13"/>
      <c r="E174" s="13"/>
      <c r="K174" s="13"/>
      <c r="L174" s="13"/>
      <c r="M174" s="8"/>
      <c r="N174" s="8"/>
      <c r="O174" s="11"/>
      <c r="P174" s="11"/>
      <c r="Q174" s="11"/>
    </row>
    <row r="175">
      <c r="A175" s="13"/>
      <c r="B175" s="13"/>
      <c r="C175" s="13"/>
      <c r="D175" s="13"/>
      <c r="E175" s="13"/>
      <c r="K175" s="13"/>
      <c r="L175" s="13"/>
      <c r="M175" s="8"/>
      <c r="N175" s="8"/>
      <c r="O175" s="11"/>
      <c r="P175" s="11"/>
      <c r="Q175" s="11"/>
    </row>
    <row r="176">
      <c r="A176" s="13"/>
      <c r="B176" s="13"/>
      <c r="C176" s="13"/>
      <c r="D176" s="13"/>
      <c r="E176" s="13"/>
      <c r="K176" s="13"/>
      <c r="L176" s="13"/>
      <c r="M176" s="8"/>
      <c r="N176" s="8"/>
      <c r="O176" s="11"/>
      <c r="P176" s="11"/>
      <c r="Q176" s="11"/>
    </row>
    <row r="177">
      <c r="A177" s="13"/>
      <c r="B177" s="13"/>
      <c r="C177" s="13"/>
      <c r="D177" s="13"/>
      <c r="E177" s="13"/>
      <c r="K177" s="13"/>
      <c r="L177" s="13"/>
      <c r="M177" s="8"/>
      <c r="N177" s="8"/>
      <c r="O177" s="11"/>
      <c r="P177" s="11"/>
      <c r="Q177" s="11"/>
    </row>
    <row r="178">
      <c r="A178" s="13"/>
      <c r="B178" s="13"/>
      <c r="C178" s="13"/>
      <c r="D178" s="13"/>
      <c r="E178" s="13"/>
      <c r="K178" s="13"/>
      <c r="L178" s="13"/>
      <c r="M178" s="8"/>
      <c r="N178" s="8"/>
      <c r="O178" s="11"/>
      <c r="P178" s="11"/>
      <c r="Q178" s="11"/>
    </row>
    <row r="179">
      <c r="A179" s="13"/>
      <c r="B179" s="13"/>
      <c r="C179" s="13"/>
      <c r="D179" s="13"/>
      <c r="E179" s="13"/>
      <c r="K179" s="13"/>
      <c r="L179" s="13"/>
      <c r="M179" s="8"/>
      <c r="N179" s="8"/>
      <c r="O179" s="11"/>
      <c r="P179" s="11"/>
      <c r="Q179" s="11"/>
    </row>
    <row r="180">
      <c r="A180" s="13"/>
      <c r="B180" s="13"/>
      <c r="C180" s="13"/>
      <c r="D180" s="13"/>
      <c r="E180" s="13"/>
      <c r="K180" s="13"/>
      <c r="L180" s="13"/>
      <c r="M180" s="8"/>
      <c r="N180" s="8"/>
      <c r="O180" s="11"/>
      <c r="P180" s="11"/>
      <c r="Q180" s="11"/>
    </row>
    <row r="181">
      <c r="A181" s="13"/>
      <c r="B181" s="13"/>
      <c r="C181" s="13"/>
      <c r="D181" s="13"/>
      <c r="E181" s="13"/>
      <c r="K181" s="13"/>
      <c r="L181" s="13"/>
      <c r="M181" s="8"/>
      <c r="N181" s="8"/>
      <c r="O181" s="11"/>
      <c r="P181" s="11"/>
      <c r="Q181" s="11"/>
    </row>
    <row r="182">
      <c r="A182" s="13"/>
      <c r="B182" s="13"/>
      <c r="C182" s="13"/>
      <c r="D182" s="13"/>
      <c r="E182" s="13"/>
      <c r="K182" s="13"/>
      <c r="L182" s="13"/>
      <c r="M182" s="8"/>
      <c r="N182" s="8"/>
      <c r="O182" s="11"/>
      <c r="P182" s="11"/>
      <c r="Q182" s="11"/>
    </row>
    <row r="183">
      <c r="A183" s="13"/>
      <c r="B183" s="13"/>
      <c r="C183" s="13"/>
      <c r="D183" s="13"/>
      <c r="E183" s="13"/>
      <c r="K183" s="13"/>
      <c r="L183" s="13"/>
      <c r="M183" s="8"/>
      <c r="N183" s="8"/>
      <c r="O183" s="11"/>
      <c r="P183" s="11"/>
      <c r="Q183" s="11"/>
    </row>
    <row r="184">
      <c r="A184" s="13"/>
      <c r="B184" s="13"/>
      <c r="C184" s="13"/>
      <c r="D184" s="13"/>
      <c r="E184" s="13"/>
      <c r="K184" s="13"/>
      <c r="L184" s="13"/>
      <c r="M184" s="8"/>
      <c r="N184" s="8"/>
      <c r="O184" s="11"/>
      <c r="P184" s="11"/>
      <c r="Q184" s="11"/>
    </row>
    <row r="185">
      <c r="A185" s="13"/>
      <c r="B185" s="13"/>
      <c r="C185" s="13"/>
      <c r="D185" s="13"/>
      <c r="E185" s="13"/>
      <c r="K185" s="13"/>
      <c r="L185" s="13"/>
      <c r="M185" s="8"/>
      <c r="N185" s="8"/>
      <c r="O185" s="11"/>
      <c r="P185" s="11"/>
      <c r="Q185" s="11"/>
    </row>
    <row r="186">
      <c r="A186" s="13"/>
      <c r="B186" s="13"/>
      <c r="C186" s="13"/>
      <c r="D186" s="13"/>
      <c r="E186" s="13"/>
      <c r="K186" s="13"/>
      <c r="L186" s="13"/>
      <c r="M186" s="8"/>
      <c r="N186" s="8"/>
      <c r="O186" s="11"/>
      <c r="P186" s="11"/>
      <c r="Q186" s="11"/>
    </row>
    <row r="187">
      <c r="A187" s="13"/>
      <c r="B187" s="13"/>
      <c r="C187" s="13"/>
      <c r="D187" s="13"/>
      <c r="E187" s="13"/>
      <c r="K187" s="13"/>
      <c r="L187" s="13"/>
      <c r="M187" s="8"/>
      <c r="N187" s="8"/>
      <c r="O187" s="11"/>
      <c r="P187" s="11"/>
      <c r="Q187" s="11"/>
    </row>
    <row r="188">
      <c r="A188" s="13"/>
      <c r="B188" s="13"/>
      <c r="C188" s="13"/>
      <c r="D188" s="13"/>
      <c r="E188" s="13"/>
      <c r="K188" s="13"/>
      <c r="L188" s="13"/>
      <c r="M188" s="8"/>
      <c r="N188" s="8"/>
      <c r="O188" s="11"/>
      <c r="P188" s="11"/>
      <c r="Q188" s="11"/>
    </row>
    <row r="189">
      <c r="A189" s="13"/>
      <c r="B189" s="13"/>
      <c r="C189" s="13"/>
      <c r="D189" s="13"/>
      <c r="E189" s="13"/>
      <c r="K189" s="13"/>
      <c r="L189" s="13"/>
      <c r="M189" s="8"/>
      <c r="N189" s="8"/>
      <c r="O189" s="11"/>
      <c r="P189" s="11"/>
      <c r="Q189" s="11"/>
    </row>
    <row r="190">
      <c r="A190" s="13"/>
      <c r="B190" s="13"/>
      <c r="C190" s="13"/>
      <c r="D190" s="13"/>
      <c r="E190" s="13"/>
      <c r="K190" s="13"/>
      <c r="L190" s="13"/>
      <c r="M190" s="8"/>
      <c r="N190" s="8"/>
      <c r="O190" s="11"/>
      <c r="P190" s="11"/>
      <c r="Q190" s="11"/>
    </row>
    <row r="191">
      <c r="A191" s="13"/>
      <c r="B191" s="13"/>
      <c r="C191" s="13"/>
      <c r="D191" s="13"/>
      <c r="E191" s="13"/>
      <c r="K191" s="13"/>
      <c r="L191" s="13"/>
      <c r="M191" s="8"/>
      <c r="N191" s="8"/>
      <c r="O191" s="11"/>
      <c r="P191" s="11"/>
      <c r="Q191" s="11"/>
    </row>
    <row r="192">
      <c r="A192" s="13"/>
      <c r="B192" s="13"/>
      <c r="C192" s="13"/>
      <c r="D192" s="13"/>
      <c r="E192" s="13"/>
      <c r="K192" s="13"/>
      <c r="L192" s="13"/>
      <c r="M192" s="8"/>
      <c r="N192" s="8"/>
      <c r="O192" s="11"/>
      <c r="P192" s="11"/>
      <c r="Q192" s="11"/>
    </row>
    <row r="193">
      <c r="A193" s="13"/>
      <c r="B193" s="13"/>
      <c r="C193" s="13"/>
      <c r="D193" s="13"/>
      <c r="E193" s="13"/>
      <c r="K193" s="13"/>
      <c r="L193" s="13"/>
      <c r="M193" s="8"/>
      <c r="N193" s="8"/>
      <c r="O193" s="11"/>
      <c r="P193" s="11"/>
      <c r="Q193" s="11"/>
    </row>
    <row r="194">
      <c r="M194" s="11"/>
      <c r="N194" s="8"/>
      <c r="O194" s="11"/>
      <c r="P194" s="11"/>
      <c r="Q194" s="11"/>
    </row>
    <row r="195">
      <c r="M195" s="11"/>
      <c r="N195" s="8"/>
      <c r="O195" s="11"/>
      <c r="P195" s="11"/>
      <c r="Q195" s="11"/>
    </row>
    <row r="196">
      <c r="M196" s="11"/>
      <c r="N196" s="8"/>
      <c r="O196" s="11"/>
      <c r="P196" s="11"/>
      <c r="Q196" s="11"/>
    </row>
    <row r="197">
      <c r="M197" s="11"/>
      <c r="N197" s="8"/>
      <c r="O197" s="11"/>
      <c r="P197" s="11"/>
      <c r="Q197" s="11"/>
    </row>
    <row r="198">
      <c r="M198" s="11"/>
      <c r="N198" s="8"/>
      <c r="O198" s="11"/>
      <c r="P198" s="11"/>
      <c r="Q198" s="11"/>
    </row>
    <row r="199">
      <c r="M199" s="11"/>
      <c r="N199" s="8"/>
      <c r="O199" s="11"/>
      <c r="P199" s="11"/>
      <c r="Q199" s="11"/>
    </row>
    <row r="200">
      <c r="M200" s="11"/>
      <c r="N200" s="8"/>
      <c r="O200" s="11"/>
      <c r="P200" s="11"/>
      <c r="Q200" s="11"/>
    </row>
  </sheetData>
  <autoFilter ref="A1:W200">
    <filterColumn colId="3">
      <filters blank="true"/>
    </filterColumn>
  </autoFilter>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4" min="4" style="0" width="6"/>
    <col collapsed="false" customWidth="true" hidden="false" max="8" min="8" style="0" width="6"/>
    <col collapsed="false" customWidth="true" hidden="false" max="12" min="12" style="0" width="7"/>
    <col collapsed="false" customWidth="true" hidden="false" max="16" min="16" style="0" width="7"/>
    <col collapsed="false" customWidth="true" hidden="false" max="20" min="20" style="0" width="7"/>
    <col collapsed="false" customWidth="true" hidden="false" max="21" min="21"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7" min="17" style="0" width="7"/>
    <col collapsed="false" customWidth="true" hidden="false" max="22" min="22"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9"/>
    <col collapsed="false" customWidth="true" hidden="false" max="18" min="18" style="0" width="13"/>
    <col collapsed="false" customWidth="true" hidden="false" max="23" min="23" style="0" width="8"/>
    <col collapsed="false" customWidth="true" hidden="false" max="3" min="3" style="0" width="10"/>
    <col collapsed="false" customWidth="true" hidden="false" max="7" min="7" style="0" width="7"/>
    <col collapsed="false" customWidth="true" hidden="false" max="11" min="11" style="0" width="9"/>
    <col collapsed="false" customWidth="true" hidden="false" max="15" min="15" style="0" width="7"/>
    <col collapsed="false" customWidth="true" hidden="false" max="19" min="19" style="0" width="5"/>
  </cols>
  <sheetData>
    <row customHeight="true" ht="18" r="1">
      <c r="A1" s="21" t="s">
        <v>163</v>
      </c>
      <c r="B1" s="21" t="s">
        <v>164</v>
      </c>
      <c r="C1" s="21" t="s">
        <v>165</v>
      </c>
      <c r="D1" s="21" t="s">
        <v>166</v>
      </c>
      <c r="E1" s="21" t="s">
        <v>167</v>
      </c>
      <c r="F1" s="22" t="s">
        <v>168</v>
      </c>
      <c r="G1" s="22" t="s">
        <v>169</v>
      </c>
      <c r="H1" s="23" t="s">
        <v>170</v>
      </c>
      <c r="I1" s="23" t="s">
        <v>171</v>
      </c>
      <c r="J1" s="24" t="s">
        <v>172</v>
      </c>
      <c r="K1" s="21" t="s">
        <v>173</v>
      </c>
      <c r="L1" s="21" t="s">
        <v>174</v>
      </c>
      <c r="M1" s="25" t="s">
        <v>175</v>
      </c>
      <c r="N1" s="26" t="s">
        <v>176</v>
      </c>
      <c r="O1" s="23" t="s">
        <v>177</v>
      </c>
      <c r="P1" s="24" t="s">
        <v>178</v>
      </c>
      <c r="Q1" s="24" t="s">
        <v>179</v>
      </c>
      <c r="R1" s="24" t="s">
        <v>180</v>
      </c>
      <c r="S1" s="24" t="s">
        <v>181</v>
      </c>
      <c r="T1" s="24" t="s">
        <v>182</v>
      </c>
      <c r="U1" s="24" t="s">
        <v>183</v>
      </c>
      <c r="V1" s="24" t="s">
        <v>184</v>
      </c>
      <c r="W1" s="24" t="s">
        <v>185</v>
      </c>
    </row>
    <row r="2">
      <c r="A2" s="27" t="s">
        <v>186</v>
      </c>
      <c r="B2" s="28" t="s">
        <v>187</v>
      </c>
      <c r="C2" s="27"/>
      <c r="D2" s="28" t="s">
        <v>188</v>
      </c>
      <c r="E2" s="27" t="s">
        <v>189</v>
      </c>
      <c r="F2" s="29" t="s">
        <v>190</v>
      </c>
      <c r="G2" s="29">
        <v>1037582.8</v>
      </c>
      <c r="H2" s="29">
        <v>2.0751656</v>
      </c>
      <c r="I2" s="29">
        <v>0.35</v>
      </c>
      <c r="J2" s="29"/>
      <c r="K2" s="27">
        <v>1.707742920526316</v>
      </c>
      <c r="L2" s="27">
        <v>1.5</v>
      </c>
      <c r="M2" s="27">
        <v>4050.0000000000005</v>
      </c>
      <c r="N2" s="27">
        <v>3000</v>
      </c>
      <c r="O2" s="29">
        <v>1.35</v>
      </c>
      <c r="P2" s="29">
        <v>24</v>
      </c>
      <c r="Q2" s="29">
        <v>384</v>
      </c>
      <c r="R2" s="29"/>
      <c r="S2" s="29"/>
      <c r="T2" s="29"/>
      <c r="U2" s="29"/>
      <c r="V2" s="29"/>
      <c r="W2" s="29"/>
    </row>
    <row r="3">
      <c r="A3" s="27"/>
      <c r="B3" s="28" t="s">
        <v>187</v>
      </c>
      <c r="C3" s="27"/>
      <c r="D3" s="28" t="s">
        <v>188</v>
      </c>
      <c r="E3" s="27"/>
      <c r="F3" s="29" t="s">
        <v>191</v>
      </c>
      <c r="G3" s="29">
        <v>60521.51</v>
      </c>
      <c r="H3" s="29">
        <v>1.5926713157894736</v>
      </c>
      <c r="I3" s="29">
        <v>0.35</v>
      </c>
      <c r="J3" s="29"/>
      <c r="K3" s="27"/>
      <c r="L3" s="27">
        <v>1.5</v>
      </c>
      <c r="M3" s="27"/>
      <c r="N3" s="27"/>
      <c r="O3" s="29"/>
      <c r="P3" s="29"/>
      <c r="Q3" s="29"/>
      <c r="R3" s="29"/>
      <c r="S3" s="29"/>
      <c r="T3" s="29"/>
      <c r="U3" s="29"/>
      <c r="V3" s="29"/>
      <c r="W3" s="29"/>
    </row>
    <row r="4">
      <c r="A4" s="27" t="s">
        <v>192</v>
      </c>
      <c r="B4" s="28" t="s">
        <v>187</v>
      </c>
      <c r="C4" s="27"/>
      <c r="D4" s="28" t="s">
        <v>188</v>
      </c>
      <c r="E4" s="27" t="s">
        <v>193</v>
      </c>
      <c r="F4" s="29" t="s">
        <v>190</v>
      </c>
      <c r="G4" s="29">
        <v>851012</v>
      </c>
      <c r="H4" s="29">
        <v>1.702024</v>
      </c>
      <c r="I4" s="29">
        <v>0.35</v>
      </c>
      <c r="J4" s="29"/>
      <c r="K4" s="27">
        <v>1.5428642157894736</v>
      </c>
      <c r="L4" s="27">
        <v>1.5</v>
      </c>
      <c r="M4" s="27">
        <v>3000</v>
      </c>
      <c r="N4" s="27">
        <v>3000</v>
      </c>
      <c r="O4" s="29">
        <v>1</v>
      </c>
      <c r="P4" s="29">
        <v>27</v>
      </c>
      <c r="Q4" s="29">
        <v>432</v>
      </c>
      <c r="R4" s="29"/>
      <c r="S4" s="29"/>
      <c r="T4" s="29"/>
      <c r="U4" s="29"/>
      <c r="V4" s="29"/>
      <c r="W4" s="29"/>
    </row>
    <row r="5">
      <c r="A5" s="27" t="s">
        <v>194</v>
      </c>
      <c r="B5" s="28" t="s">
        <v>187</v>
      </c>
      <c r="C5" s="27"/>
      <c r="D5" s="28" t="s">
        <v>188</v>
      </c>
      <c r="E5" s="27" t="s">
        <v>195</v>
      </c>
      <c r="F5" s="29" t="s">
        <v>190</v>
      </c>
      <c r="G5" s="29">
        <v>760591.4</v>
      </c>
      <c r="H5" s="29">
        <v>1.5211828</v>
      </c>
      <c r="I5" s="29">
        <v>0.35</v>
      </c>
      <c r="J5" s="29"/>
      <c r="K5" s="27">
        <v>1.4778810589473683</v>
      </c>
      <c r="L5" s="27">
        <v>1.5</v>
      </c>
      <c r="M5" s="27">
        <v>3000</v>
      </c>
      <c r="N5" s="27">
        <v>3000</v>
      </c>
      <c r="O5" s="29">
        <v>1</v>
      </c>
      <c r="P5" s="29">
        <v>27</v>
      </c>
      <c r="Q5" s="29">
        <v>432</v>
      </c>
      <c r="R5" s="29"/>
      <c r="S5" s="29"/>
      <c r="T5" s="29"/>
      <c r="U5" s="29"/>
      <c r="V5" s="29"/>
      <c r="W5" s="29"/>
    </row>
    <row r="6">
      <c r="A6" s="27" t="s">
        <v>196</v>
      </c>
      <c r="B6" s="28" t="s">
        <v>187</v>
      </c>
      <c r="C6" s="27"/>
      <c r="D6" s="28" t="s">
        <v>188</v>
      </c>
      <c r="E6" s="27" t="s">
        <v>197</v>
      </c>
      <c r="F6" s="29" t="s">
        <v>190</v>
      </c>
      <c r="G6" s="29">
        <v>853560.43</v>
      </c>
      <c r="H6" s="29">
        <v>1.70712086</v>
      </c>
      <c r="I6" s="29">
        <v>0.35</v>
      </c>
      <c r="J6" s="29"/>
      <c r="K6" s="27">
        <v>1.580908090473684</v>
      </c>
      <c r="L6" s="27">
        <v>1.5</v>
      </c>
      <c r="M6" s="27">
        <v>2400</v>
      </c>
      <c r="N6" s="27">
        <v>3000</v>
      </c>
      <c r="O6" s="29">
        <v>0.8</v>
      </c>
      <c r="P6" s="29"/>
      <c r="Q6" s="29"/>
      <c r="R6" s="29"/>
      <c r="S6" s="29"/>
      <c r="T6" s="29"/>
      <c r="U6" s="29"/>
      <c r="V6" s="29"/>
      <c r="W6" s="29"/>
    </row>
    <row r="7">
      <c r="A7" s="27" t="s">
        <v>198</v>
      </c>
      <c r="B7" s="28" t="s">
        <v>187</v>
      </c>
      <c r="C7" s="27"/>
      <c r="D7" s="28" t="s">
        <v>188</v>
      </c>
      <c r="E7" s="27" t="s">
        <v>199</v>
      </c>
      <c r="F7" s="29" t="s">
        <v>190</v>
      </c>
      <c r="G7" s="29">
        <v>844581.7</v>
      </c>
      <c r="H7" s="29">
        <v>1.6891634</v>
      </c>
      <c r="I7" s="29">
        <v>0.35</v>
      </c>
      <c r="J7" s="29"/>
      <c r="K7" s="27">
        <v>1.529693387368421</v>
      </c>
      <c r="L7" s="27">
        <v>1.5</v>
      </c>
      <c r="M7" s="27">
        <v>4050.0000000000005</v>
      </c>
      <c r="N7" s="27">
        <v>3000</v>
      </c>
      <c r="O7" s="29">
        <v>1.35</v>
      </c>
      <c r="P7" s="29">
        <v>29</v>
      </c>
      <c r="Q7" s="29">
        <v>464</v>
      </c>
      <c r="R7" s="29"/>
      <c r="S7" s="29"/>
      <c r="T7" s="29"/>
      <c r="U7" s="29"/>
      <c r="V7" s="29"/>
      <c r="W7" s="29"/>
    </row>
    <row r="8">
      <c r="A8" s="27" t="s">
        <v>196</v>
      </c>
      <c r="B8" s="28" t="s">
        <v>187</v>
      </c>
      <c r="C8" s="27"/>
      <c r="D8" s="28" t="s">
        <v>188</v>
      </c>
      <c r="E8" s="27" t="s">
        <v>200</v>
      </c>
      <c r="F8" s="29" t="s">
        <v>190</v>
      </c>
      <c r="G8" s="29">
        <v>833877.42</v>
      </c>
      <c r="H8" s="29">
        <v>1.6677548400000002</v>
      </c>
      <c r="I8" s="29">
        <v>0.35</v>
      </c>
      <c r="J8" s="29"/>
      <c r="K8" s="27">
        <v>1.4989692334736844</v>
      </c>
      <c r="L8" s="27">
        <v>1.5</v>
      </c>
      <c r="M8" s="27">
        <v>1500</v>
      </c>
      <c r="N8" s="27">
        <v>3000</v>
      </c>
      <c r="O8" s="29">
        <v>0.5</v>
      </c>
      <c r="P8" s="29"/>
      <c r="Q8" s="29"/>
      <c r="R8" s="29"/>
      <c r="S8" s="29"/>
      <c r="T8" s="29"/>
      <c r="U8" s="29"/>
      <c r="V8" s="29"/>
      <c r="W8" s="29"/>
    </row>
    <row r="9">
      <c r="A9" s="30" t="s">
        <v>201</v>
      </c>
      <c r="B9" s="28" t="s">
        <v>187</v>
      </c>
      <c r="C9" s="30"/>
      <c r="D9" s="30"/>
      <c r="E9" s="30" t="s">
        <v>202</v>
      </c>
      <c r="K9" s="30"/>
      <c r="L9" s="30"/>
      <c r="M9" s="27"/>
      <c r="N9" s="27"/>
      <c r="O9" s="29"/>
      <c r="P9" s="29"/>
      <c r="Q9" s="29">
        <v>460</v>
      </c>
    </row>
    <row r="10">
      <c r="A10" s="30" t="s">
        <v>203</v>
      </c>
      <c r="B10" s="28" t="s">
        <v>187</v>
      </c>
      <c r="C10" s="30"/>
      <c r="D10" s="30"/>
      <c r="E10" s="30" t="s">
        <v>204</v>
      </c>
      <c r="K10" s="30"/>
      <c r="L10" s="30"/>
      <c r="M10" s="27"/>
      <c r="N10" s="27"/>
      <c r="O10" s="29"/>
      <c r="P10" s="29"/>
      <c r="Q10" s="29">
        <v>500</v>
      </c>
    </row>
    <row r="11">
      <c r="A11" s="30" t="s">
        <v>205</v>
      </c>
      <c r="B11" s="28" t="s">
        <v>187</v>
      </c>
      <c r="C11" s="30"/>
      <c r="D11" s="30"/>
      <c r="E11" s="30" t="s">
        <v>206</v>
      </c>
      <c r="K11" s="30"/>
      <c r="L11" s="30"/>
      <c r="M11" s="27"/>
      <c r="N11" s="27"/>
      <c r="O11" s="29"/>
      <c r="P11" s="29"/>
      <c r="Q11" s="29">
        <v>420</v>
      </c>
    </row>
    <row r="12">
      <c r="A12" s="30" t="s">
        <v>207</v>
      </c>
      <c r="B12" s="28" t="s">
        <v>187</v>
      </c>
      <c r="C12" s="30"/>
      <c r="D12" s="30"/>
      <c r="E12" s="30" t="s">
        <v>208</v>
      </c>
      <c r="K12" s="30"/>
      <c r="L12" s="30"/>
      <c r="M12" s="27"/>
      <c r="N12" s="27"/>
      <c r="O12" s="29"/>
      <c r="P12" s="29"/>
      <c r="Q12" s="29">
        <v>300</v>
      </c>
    </row>
    <row r="13">
      <c r="A13" s="30" t="s">
        <v>209</v>
      </c>
      <c r="B13" s="28" t="s">
        <v>187</v>
      </c>
      <c r="C13" s="30"/>
      <c r="D13" s="30"/>
      <c r="E13" s="30" t="s">
        <v>210</v>
      </c>
      <c r="K13" s="30"/>
      <c r="L13" s="30"/>
      <c r="M13" s="27"/>
      <c r="N13" s="27"/>
      <c r="O13" s="29"/>
      <c r="P13" s="29"/>
      <c r="Q13" s="29">
        <v>500</v>
      </c>
    </row>
    <row r="14">
      <c r="A14" s="30" t="s">
        <v>211</v>
      </c>
      <c r="B14" s="28" t="s">
        <v>187</v>
      </c>
      <c r="C14" s="30"/>
      <c r="D14" s="30"/>
      <c r="E14" s="30" t="s">
        <v>212</v>
      </c>
      <c r="K14" s="30"/>
      <c r="L14" s="30"/>
      <c r="M14" s="27"/>
      <c r="N14" s="27"/>
      <c r="O14" s="29"/>
      <c r="P14" s="29"/>
      <c r="Q14" s="29">
        <v>360</v>
      </c>
    </row>
    <row r="15">
      <c r="A15" s="30" t="s">
        <v>213</v>
      </c>
      <c r="B15" s="28" t="s">
        <v>187</v>
      </c>
      <c r="C15" s="30"/>
      <c r="D15" s="30"/>
      <c r="E15" s="30" t="s">
        <v>214</v>
      </c>
      <c r="K15" s="30"/>
      <c r="L15" s="30"/>
      <c r="M15" s="27"/>
      <c r="N15" s="27"/>
      <c r="O15" s="29"/>
      <c r="P15" s="29"/>
      <c r="Q15" s="29">
        <v>460</v>
      </c>
    </row>
    <row r="16">
      <c r="A16" s="30" t="s">
        <v>215</v>
      </c>
      <c r="B16" s="28" t="s">
        <v>187</v>
      </c>
      <c r="C16" s="30"/>
      <c r="D16" s="30"/>
      <c r="E16" s="30" t="s">
        <v>216</v>
      </c>
      <c r="K16" s="30"/>
      <c r="L16" s="30"/>
      <c r="M16" s="27"/>
      <c r="N16" s="27"/>
      <c r="O16" s="29"/>
      <c r="P16" s="29"/>
      <c r="Q16" s="29">
        <v>380</v>
      </c>
    </row>
    <row r="17">
      <c r="A17" s="30" t="s">
        <v>217</v>
      </c>
      <c r="B17" s="28" t="s">
        <v>187</v>
      </c>
      <c r="C17" s="30"/>
      <c r="D17" s="30"/>
      <c r="E17" s="30" t="s">
        <v>218</v>
      </c>
      <c r="K17" s="30"/>
      <c r="L17" s="30"/>
      <c r="M17" s="27"/>
      <c r="N17" s="27"/>
      <c r="O17" s="29"/>
      <c r="P17" s="29"/>
      <c r="Q17" s="29">
        <v>440</v>
      </c>
    </row>
    <row r="18">
      <c r="A18" s="30" t="s">
        <v>219</v>
      </c>
      <c r="B18" s="28" t="s">
        <v>187</v>
      </c>
      <c r="C18" s="30"/>
      <c r="D18" s="30"/>
      <c r="E18" s="30" t="s">
        <v>220</v>
      </c>
      <c r="K18" s="30"/>
      <c r="L18" s="30"/>
      <c r="M18" s="27"/>
      <c r="N18" s="27"/>
      <c r="O18" s="29"/>
      <c r="P18" s="29"/>
      <c r="Q18" s="29">
        <v>340</v>
      </c>
    </row>
    <row r="19">
      <c r="A19" s="30" t="s">
        <v>221</v>
      </c>
      <c r="B19" s="28" t="s">
        <v>187</v>
      </c>
      <c r="C19" s="30"/>
      <c r="D19" s="30"/>
      <c r="E19" s="30" t="s">
        <v>222</v>
      </c>
      <c r="K19" s="30"/>
      <c r="L19" s="30"/>
      <c r="M19" s="27"/>
      <c r="N19" s="27"/>
      <c r="O19" s="29"/>
      <c r="P19" s="29"/>
      <c r="Q19" s="29">
        <v>340</v>
      </c>
    </row>
    <row r="20">
      <c r="A20" s="30" t="s">
        <v>223</v>
      </c>
      <c r="B20" s="28" t="s">
        <v>187</v>
      </c>
      <c r="C20" s="30"/>
      <c r="D20" s="30"/>
      <c r="E20" s="30" t="s">
        <v>224</v>
      </c>
      <c r="K20" s="30"/>
      <c r="L20" s="30"/>
      <c r="M20" s="27"/>
      <c r="N20" s="27"/>
      <c r="O20" s="29"/>
      <c r="P20" s="29"/>
      <c r="Q20" s="29">
        <v>576</v>
      </c>
    </row>
    <row r="21">
      <c r="A21" s="30" t="s">
        <v>225</v>
      </c>
      <c r="B21" s="28" t="s">
        <v>187</v>
      </c>
      <c r="C21" s="30"/>
      <c r="D21" s="30"/>
      <c r="E21" s="30" t="s">
        <v>226</v>
      </c>
      <c r="K21" s="30"/>
      <c r="L21" s="30"/>
      <c r="M21" s="27"/>
      <c r="N21" s="27"/>
      <c r="O21" s="29"/>
      <c r="P21" s="29"/>
      <c r="Q21" s="29">
        <v>792</v>
      </c>
    </row>
    <row r="22">
      <c r="A22" s="30" t="s">
        <v>227</v>
      </c>
      <c r="B22" s="28" t="s">
        <v>187</v>
      </c>
      <c r="C22" s="30"/>
      <c r="D22" s="30"/>
      <c r="E22" s="30" t="s">
        <v>228</v>
      </c>
      <c r="K22" s="30"/>
      <c r="L22" s="30"/>
      <c r="M22" s="27"/>
      <c r="N22" s="27"/>
      <c r="O22" s="29"/>
      <c r="P22" s="29"/>
      <c r="Q22" s="29">
        <v>200</v>
      </c>
    </row>
    <row r="23">
      <c r="A23" s="30" t="s">
        <v>229</v>
      </c>
      <c r="B23" s="28" t="s">
        <v>187</v>
      </c>
      <c r="C23" s="30"/>
      <c r="D23" s="30"/>
      <c r="E23" s="30" t="s">
        <v>230</v>
      </c>
      <c r="K23" s="30"/>
      <c r="L23" s="30"/>
      <c r="M23" s="28">
        <v>1800</v>
      </c>
      <c r="N23" s="28">
        <v>4000</v>
      </c>
      <c r="O23" s="31">
        <v>0.3</v>
      </c>
      <c r="P23" s="29"/>
      <c r="Q23" s="29"/>
      <c r="R23" s="32" t="s">
        <v>231</v>
      </c>
    </row>
    <row r="24">
      <c r="A24" s="30"/>
      <c r="B24" s="30" t="s">
        <v>232</v>
      </c>
      <c r="C24" s="30"/>
      <c r="D24" s="30" t="s">
        <v>233</v>
      </c>
      <c r="E24" s="30" t="s">
        <v>234</v>
      </c>
      <c r="F24" s="29" t="s">
        <v>235</v>
      </c>
      <c r="G24" s="29" t="s">
        <v>236</v>
      </c>
      <c r="H24" s="33">
        <v>1</v>
      </c>
      <c r="I24" s="33">
        <v>0.5</v>
      </c>
      <c r="J24" s="29">
        <v>0.5</v>
      </c>
      <c r="K24" s="34">
        <v>1.2</v>
      </c>
      <c r="L24" s="27">
        <v>1.2</v>
      </c>
      <c r="M24" s="27">
        <v>5400</v>
      </c>
      <c r="N24" s="27">
        <v>5000</v>
      </c>
      <c r="O24" s="29"/>
      <c r="P24" s="29"/>
      <c r="Q24" s="29"/>
      <c r="S24" s="29">
        <v>1</v>
      </c>
      <c r="T24" s="29">
        <v>1</v>
      </c>
      <c r="U24" s="29">
        <v>1000</v>
      </c>
      <c r="V24" s="29">
        <v>400</v>
      </c>
      <c r="W24" s="29">
        <v>5400</v>
      </c>
    </row>
    <row r="25">
      <c r="A25" s="30"/>
      <c r="B25" s="30" t="s">
        <v>232</v>
      </c>
      <c r="C25" s="30"/>
      <c r="D25" s="30"/>
      <c r="E25" s="30"/>
      <c r="F25" s="29" t="s">
        <v>237</v>
      </c>
      <c r="G25" s="29" t="s">
        <v>238</v>
      </c>
      <c r="H25" s="33">
        <v>1.5</v>
      </c>
      <c r="I25" s="33">
        <v>0.4</v>
      </c>
      <c r="J25" s="29">
        <v>0.6</v>
      </c>
      <c r="K25" s="27"/>
      <c r="L25" s="27"/>
      <c r="M25" s="27"/>
      <c r="N25" s="27"/>
      <c r="O25" s="29"/>
      <c r="P25" s="29"/>
      <c r="Q25" s="29"/>
      <c r="S25" s="29"/>
      <c r="T25" s="29"/>
      <c r="U25" s="29"/>
      <c r="V25" s="29"/>
      <c r="W25" s="29"/>
    </row>
    <row r="26">
      <c r="A26" s="30"/>
      <c r="B26" s="30" t="s">
        <v>232</v>
      </c>
      <c r="C26" s="30"/>
      <c r="D26" s="30" t="s">
        <v>233</v>
      </c>
      <c r="E26" s="30" t="s">
        <v>239</v>
      </c>
      <c r="F26" s="29" t="s">
        <v>240</v>
      </c>
      <c r="G26" s="29" t="s">
        <v>241</v>
      </c>
      <c r="H26" s="33">
        <v>0.75</v>
      </c>
      <c r="I26" s="33">
        <v>0.1</v>
      </c>
      <c r="J26" s="29">
        <v>0.075</v>
      </c>
      <c r="K26" s="34">
        <v>1.013</v>
      </c>
      <c r="L26" s="27">
        <v>1.01</v>
      </c>
      <c r="M26" s="27">
        <v>5000</v>
      </c>
      <c r="N26" s="27">
        <v>5000</v>
      </c>
      <c r="O26" s="29"/>
      <c r="P26" s="29"/>
      <c r="Q26" s="29"/>
      <c r="S26" s="29">
        <v>6</v>
      </c>
      <c r="T26" s="29">
        <v>6</v>
      </c>
      <c r="U26" s="29">
        <v>1000</v>
      </c>
      <c r="V26" s="29"/>
      <c r="W26" s="29">
        <v>5000</v>
      </c>
    </row>
    <row r="27">
      <c r="A27" s="30"/>
      <c r="B27" s="30" t="s">
        <v>232</v>
      </c>
      <c r="C27" s="30"/>
      <c r="D27" s="30"/>
      <c r="E27" s="30" t="s">
        <v>242</v>
      </c>
      <c r="F27" s="29" t="s">
        <v>243</v>
      </c>
      <c r="G27" s="35">
        <v>0.8355</v>
      </c>
      <c r="H27" s="33">
        <v>1</v>
      </c>
      <c r="I27" s="35">
        <v>0.2</v>
      </c>
      <c r="J27" s="29">
        <v>0.2</v>
      </c>
      <c r="K27" s="34">
        <v>1.0206</v>
      </c>
      <c r="L27" s="27">
        <v>1.02</v>
      </c>
      <c r="M27" s="27">
        <v>5100</v>
      </c>
      <c r="N27" s="27">
        <v>5000</v>
      </c>
      <c r="O27" s="29"/>
      <c r="P27" s="29"/>
      <c r="Q27" s="29"/>
      <c r="S27" s="29">
        <v>5</v>
      </c>
      <c r="T27" s="29">
        <v>5</v>
      </c>
      <c r="U27" s="29">
        <v>1000</v>
      </c>
      <c r="V27" s="29">
        <v>100</v>
      </c>
      <c r="W27" s="29">
        <v>5100</v>
      </c>
    </row>
    <row r="28">
      <c r="A28" s="30"/>
      <c r="B28" s="30" t="s">
        <v>232</v>
      </c>
      <c r="C28" s="30"/>
      <c r="D28" s="30"/>
      <c r="E28" s="30" t="s">
        <v>244</v>
      </c>
      <c r="F28" s="29" t="s">
        <v>245</v>
      </c>
      <c r="G28" s="29" t="s">
        <v>246</v>
      </c>
      <c r="H28" s="35">
        <v>1.4</v>
      </c>
      <c r="I28" s="33">
        <v>0.5</v>
      </c>
      <c r="J28" s="29">
        <v>0.7</v>
      </c>
      <c r="K28" s="34">
        <v>1.2</v>
      </c>
      <c r="L28" s="27">
        <v>1.2</v>
      </c>
      <c r="M28" s="27">
        <v>5400</v>
      </c>
      <c r="N28" s="27">
        <v>5000</v>
      </c>
      <c r="O28" s="29"/>
      <c r="P28" s="29"/>
      <c r="Q28" s="29"/>
      <c r="S28" s="29">
        <v>1</v>
      </c>
      <c r="T28" s="29">
        <v>1</v>
      </c>
      <c r="U28" s="29">
        <v>1000</v>
      </c>
      <c r="V28" s="29">
        <v>400</v>
      </c>
      <c r="W28" s="29">
        <v>5400</v>
      </c>
    </row>
    <row r="29">
      <c r="A29" s="30"/>
      <c r="B29" s="30" t="s">
        <v>232</v>
      </c>
      <c r="C29" s="30"/>
      <c r="D29" s="30"/>
      <c r="E29" s="30" t="s">
        <v>247</v>
      </c>
      <c r="F29" s="29" t="s">
        <v>248</v>
      </c>
      <c r="G29" s="29" t="s">
        <v>249</v>
      </c>
      <c r="H29" s="35">
        <v>1</v>
      </c>
      <c r="I29" s="35">
        <v>0.25</v>
      </c>
      <c r="J29" s="29">
        <v>0.25</v>
      </c>
      <c r="K29" s="34">
        <v>1.05</v>
      </c>
      <c r="L29" s="27">
        <v>1.05</v>
      </c>
      <c r="M29" s="27">
        <v>2100</v>
      </c>
      <c r="N29" s="27">
        <v>2000</v>
      </c>
      <c r="O29" s="29"/>
      <c r="P29" s="29"/>
      <c r="Q29" s="29"/>
      <c r="S29" s="29">
        <v>4</v>
      </c>
      <c r="T29" s="29">
        <v>4</v>
      </c>
      <c r="U29" s="29">
        <v>1000</v>
      </c>
      <c r="V29" s="29">
        <v>100</v>
      </c>
      <c r="W29" s="29">
        <v>2100</v>
      </c>
    </row>
    <row r="30">
      <c r="A30" s="30"/>
      <c r="B30" s="30" t="s">
        <v>232</v>
      </c>
      <c r="C30" s="30"/>
      <c r="D30" s="30"/>
      <c r="E30" s="30" t="s">
        <v>250</v>
      </c>
      <c r="F30" s="29" t="s">
        <v>251</v>
      </c>
      <c r="G30" s="29" t="s">
        <v>252</v>
      </c>
      <c r="H30" s="33">
        <v>1.5</v>
      </c>
      <c r="I30" s="33">
        <v>0.4</v>
      </c>
      <c r="J30" s="29">
        <v>0.6</v>
      </c>
      <c r="K30" s="34">
        <v>1.187</v>
      </c>
      <c r="L30" s="27">
        <v>1.19</v>
      </c>
      <c r="M30" s="27">
        <v>5200</v>
      </c>
      <c r="N30" s="27">
        <v>5000</v>
      </c>
      <c r="O30" s="29"/>
      <c r="P30" s="29"/>
      <c r="Q30" s="29"/>
      <c r="S30" s="29">
        <v>2</v>
      </c>
      <c r="T30" s="29">
        <v>2</v>
      </c>
      <c r="U30" s="29">
        <v>1000</v>
      </c>
      <c r="V30" s="29">
        <v>200</v>
      </c>
      <c r="W30" s="29">
        <v>5200</v>
      </c>
    </row>
    <row r="31">
      <c r="A31" s="30"/>
      <c r="B31" s="30" t="s">
        <v>232</v>
      </c>
      <c r="C31" s="30"/>
      <c r="D31" s="30"/>
      <c r="E31" s="30" t="s">
        <v>253</v>
      </c>
      <c r="F31" s="29" t="s">
        <v>254</v>
      </c>
      <c r="G31" s="29" t="s">
        <v>255</v>
      </c>
      <c r="H31" s="33">
        <v>1</v>
      </c>
      <c r="I31" s="33">
        <v>0.55</v>
      </c>
      <c r="J31" s="29">
        <v>0.55</v>
      </c>
      <c r="K31" s="34">
        <v>1.099</v>
      </c>
      <c r="L31" s="27">
        <v>1.1</v>
      </c>
      <c r="M31" s="27">
        <v>2200</v>
      </c>
      <c r="N31" s="27">
        <v>2000</v>
      </c>
      <c r="O31" s="29"/>
      <c r="P31" s="29"/>
      <c r="Q31" s="29"/>
      <c r="S31" s="29">
        <v>3</v>
      </c>
      <c r="T31" s="29">
        <v>3</v>
      </c>
      <c r="U31" s="29">
        <v>1000</v>
      </c>
      <c r="V31" s="29">
        <v>200</v>
      </c>
      <c r="W31" s="29">
        <v>2200</v>
      </c>
    </row>
    <row r="32">
      <c r="A32" s="30"/>
      <c r="B32" s="30" t="s">
        <v>232</v>
      </c>
      <c r="C32" s="30"/>
      <c r="D32" s="30"/>
      <c r="E32" s="30" t="s">
        <v>256</v>
      </c>
      <c r="F32" s="29" t="s">
        <v>257</v>
      </c>
      <c r="G32" s="29" t="s">
        <v>258</v>
      </c>
      <c r="H32" s="35">
        <v>1.25</v>
      </c>
      <c r="I32" s="33">
        <v>0.4</v>
      </c>
      <c r="J32" s="29">
        <v>0.5</v>
      </c>
      <c r="K32" s="36">
        <v>1.1</v>
      </c>
      <c r="L32" s="27">
        <v>1.1</v>
      </c>
      <c r="M32" s="27">
        <v>5200</v>
      </c>
      <c r="N32" s="27">
        <v>5000</v>
      </c>
      <c r="O32" s="29"/>
      <c r="P32" s="29"/>
      <c r="Q32" s="29"/>
      <c r="S32" s="29">
        <v>3</v>
      </c>
      <c r="T32" s="29">
        <v>3</v>
      </c>
      <c r="U32" s="29">
        <v>1000</v>
      </c>
      <c r="V32" s="29">
        <v>200</v>
      </c>
      <c r="W32" s="29">
        <v>5200</v>
      </c>
    </row>
    <row r="33">
      <c r="A33" s="30"/>
      <c r="B33" s="30" t="s">
        <v>232</v>
      </c>
      <c r="C33" s="30"/>
      <c r="D33" s="30"/>
      <c r="E33" s="30" t="s">
        <v>259</v>
      </c>
      <c r="F33" s="29" t="s">
        <v>260</v>
      </c>
      <c r="G33" s="35">
        <v>0.987</v>
      </c>
      <c r="H33" s="35">
        <v>1</v>
      </c>
      <c r="I33" s="35">
        <v>0.35</v>
      </c>
      <c r="J33" s="29">
        <v>0.35</v>
      </c>
      <c r="K33" s="34">
        <v>0.8</v>
      </c>
      <c r="L33" s="27">
        <v>0.8</v>
      </c>
      <c r="M33" s="27">
        <v>4000</v>
      </c>
      <c r="N33" s="27">
        <v>4000</v>
      </c>
      <c r="O33" s="29"/>
      <c r="P33" s="29"/>
      <c r="Q33" s="29"/>
      <c r="S33" s="29">
        <v>7</v>
      </c>
      <c r="T33" s="29">
        <v>7</v>
      </c>
      <c r="U33" s="29">
        <v>1000</v>
      </c>
      <c r="V33" s="29"/>
      <c r="W33" s="29">
        <v>4000</v>
      </c>
    </row>
    <row r="34">
      <c r="A34" s="30"/>
      <c r="B34" s="30" t="s">
        <v>232</v>
      </c>
      <c r="C34" s="30"/>
      <c r="D34" s="30"/>
      <c r="E34" s="30" t="s">
        <v>261</v>
      </c>
      <c r="F34" s="29" t="s">
        <v>262</v>
      </c>
      <c r="G34" s="29" t="s">
        <v>263</v>
      </c>
      <c r="H34" s="33">
        <v>1.13</v>
      </c>
      <c r="I34" s="33">
        <v>0.45</v>
      </c>
      <c r="J34" s="29">
        <v>0.508133971</v>
      </c>
      <c r="K34" s="34">
        <v>1.0581</v>
      </c>
      <c r="L34" s="27">
        <v>1.06</v>
      </c>
      <c r="M34" s="27">
        <v>2570.61</v>
      </c>
      <c r="N34" s="27">
        <v>0.51412298</v>
      </c>
      <c r="O34" s="29"/>
      <c r="P34" s="29"/>
      <c r="Q34" s="29"/>
      <c r="S34" s="29">
        <v>1</v>
      </c>
      <c r="T34" s="29">
        <v>1</v>
      </c>
      <c r="U34" s="29">
        <v>5000</v>
      </c>
      <c r="V34" s="29"/>
      <c r="W34" s="29">
        <v>2570.61</v>
      </c>
    </row>
    <row r="35">
      <c r="A35" s="30"/>
      <c r="B35" s="30" t="s">
        <v>232</v>
      </c>
      <c r="C35" s="30"/>
      <c r="D35" s="30"/>
      <c r="E35" s="30" t="s">
        <v>264</v>
      </c>
      <c r="F35" s="29" t="s">
        <v>265</v>
      </c>
      <c r="G35" s="33">
        <v>1</v>
      </c>
      <c r="H35" s="33">
        <v>1</v>
      </c>
      <c r="I35" s="33">
        <v>0.45</v>
      </c>
      <c r="J35" s="29">
        <v>0.45</v>
      </c>
      <c r="K35" s="34">
        <v>1</v>
      </c>
      <c r="L35" s="27">
        <v>1</v>
      </c>
      <c r="M35" s="27">
        <v>2429.39</v>
      </c>
      <c r="N35" s="27">
        <v>0.48587702</v>
      </c>
      <c r="O35" s="29"/>
      <c r="P35" s="29"/>
      <c r="Q35" s="29"/>
      <c r="S35" s="29">
        <v>2</v>
      </c>
      <c r="T35" s="29">
        <v>2</v>
      </c>
      <c r="U35" s="29">
        <v>5000</v>
      </c>
      <c r="V35" s="29"/>
      <c r="W35" s="2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s="30"/>
      <c r="B88" s="30"/>
      <c r="C88" s="30"/>
      <c r="D88" s="30"/>
      <c r="E88" s="30"/>
      <c r="K88" s="30"/>
      <c r="L88" s="30"/>
      <c r="M88" s="27"/>
      <c r="N88" s="27"/>
      <c r="O88" s="29"/>
      <c r="P88" s="29"/>
      <c r="Q88" s="29"/>
      <c r="S88" s="29"/>
      <c r="T88" s="29"/>
      <c r="U88" s="29"/>
      <c r="V88" s="29"/>
      <c r="W88" s="29"/>
    </row>
    <row r="89">
      <c r="A89" s="30"/>
      <c r="B89" s="30"/>
      <c r="C89" s="30"/>
      <c r="D89" s="30"/>
      <c r="E89" s="30"/>
      <c r="K89" s="30"/>
      <c r="L89" s="30"/>
      <c r="M89" s="27"/>
      <c r="N89" s="27"/>
      <c r="O89" s="29"/>
      <c r="P89" s="29"/>
      <c r="Q89" s="29"/>
      <c r="S89" s="29"/>
      <c r="T89" s="29"/>
      <c r="U89" s="29"/>
      <c r="V89" s="29"/>
      <c r="W89" s="29"/>
    </row>
    <row r="90">
      <c r="A90" s="30"/>
      <c r="B90" s="30"/>
      <c r="C90" s="30"/>
      <c r="D90" s="30"/>
      <c r="E90" s="30"/>
      <c r="K90" s="30"/>
      <c r="L90" s="30"/>
      <c r="M90" s="27"/>
      <c r="N90" s="27"/>
      <c r="O90" s="29"/>
      <c r="P90" s="29"/>
      <c r="Q90" s="29"/>
      <c r="S90" s="29"/>
      <c r="T90" s="29"/>
      <c r="U90" s="29"/>
      <c r="V90" s="29"/>
      <c r="W90" s="29"/>
    </row>
    <row r="91">
      <c r="A91" s="30"/>
      <c r="B91" s="30"/>
      <c r="C91" s="30"/>
      <c r="D91" s="30"/>
      <c r="E91" s="30"/>
      <c r="K91" s="30"/>
      <c r="L91" s="30"/>
      <c r="M91" s="27"/>
      <c r="N91" s="27"/>
      <c r="O91" s="29"/>
      <c r="P91" s="29"/>
      <c r="Q91" s="29"/>
      <c r="S91" s="29"/>
      <c r="T91" s="29"/>
      <c r="U91" s="29"/>
      <c r="V91" s="29"/>
      <c r="W91" s="29"/>
    </row>
    <row r="92">
      <c r="A92" s="30"/>
      <c r="B92" s="30"/>
      <c r="C92" s="30"/>
      <c r="D92" s="30"/>
      <c r="E92" s="30"/>
      <c r="K92" s="30"/>
      <c r="L92" s="30"/>
      <c r="M92" s="27"/>
      <c r="N92" s="27"/>
      <c r="O92" s="29"/>
      <c r="P92" s="29"/>
      <c r="Q92" s="29"/>
      <c r="S92" s="29"/>
      <c r="T92" s="29"/>
      <c r="U92" s="29"/>
      <c r="V92" s="29"/>
      <c r="W92" s="29"/>
    </row>
    <row r="93">
      <c r="A93" s="30"/>
      <c r="B93" s="30"/>
      <c r="C93" s="30"/>
      <c r="D93" s="30"/>
      <c r="E93" s="30"/>
      <c r="K93" s="30"/>
      <c r="L93" s="30"/>
      <c r="M93" s="27"/>
      <c r="N93" s="27"/>
      <c r="O93" s="29"/>
      <c r="P93" s="29"/>
      <c r="Q93" s="29"/>
      <c r="S93" s="29"/>
      <c r="T93" s="29"/>
      <c r="U93" s="29"/>
      <c r="V93" s="29"/>
      <c r="W93" s="29"/>
    </row>
    <row r="94">
      <c r="A94" s="30"/>
      <c r="B94" s="30"/>
      <c r="C94" s="30"/>
      <c r="D94" s="30"/>
      <c r="E94" s="30"/>
      <c r="K94" s="30"/>
      <c r="L94" s="30"/>
      <c r="M94" s="27"/>
      <c r="N94" s="27"/>
      <c r="O94" s="29"/>
      <c r="P94" s="29"/>
      <c r="Q94" s="29"/>
      <c r="S94" s="29"/>
      <c r="T94" s="29"/>
      <c r="U94" s="29"/>
      <c r="V94" s="29"/>
      <c r="W94" s="29"/>
    </row>
    <row r="95">
      <c r="A95" s="30"/>
      <c r="B95" s="30"/>
      <c r="C95" s="30"/>
      <c r="D95" s="30"/>
      <c r="E95" s="30"/>
      <c r="K95" s="30"/>
      <c r="L95" s="30"/>
      <c r="M95" s="27"/>
      <c r="N95" s="27"/>
      <c r="O95" s="29"/>
      <c r="P95" s="29"/>
      <c r="Q95" s="29"/>
      <c r="S95" s="29"/>
      <c r="T95" s="29"/>
      <c r="U95" s="29"/>
      <c r="V95" s="29"/>
      <c r="W95" s="29"/>
    </row>
    <row r="96">
      <c r="A96" s="30"/>
      <c r="B96" s="30"/>
      <c r="C96" s="30"/>
      <c r="D96" s="30"/>
      <c r="E96" s="30"/>
      <c r="K96" s="30"/>
      <c r="L96" s="30"/>
      <c r="M96" s="27"/>
      <c r="N96" s="27"/>
      <c r="O96" s="29"/>
      <c r="P96" s="29"/>
      <c r="Q96" s="29"/>
      <c r="S96" s="29"/>
      <c r="T96" s="29"/>
      <c r="U96" s="29"/>
      <c r="V96" s="29"/>
      <c r="W96" s="29"/>
    </row>
    <row r="97">
      <c r="A97" s="30"/>
      <c r="B97" s="30"/>
      <c r="C97" s="30"/>
      <c r="D97" s="30"/>
      <c r="E97" s="30"/>
      <c r="K97" s="30"/>
      <c r="L97" s="30"/>
      <c r="M97" s="27"/>
      <c r="N97" s="27"/>
      <c r="O97" s="29"/>
      <c r="P97" s="29"/>
      <c r="Q97" s="29"/>
      <c r="S97" s="29"/>
      <c r="T97" s="29"/>
      <c r="U97" s="29"/>
      <c r="V97" s="29"/>
      <c r="W97" s="29"/>
    </row>
    <row r="98">
      <c r="A98" s="30"/>
      <c r="B98" s="30"/>
      <c r="C98" s="30"/>
      <c r="D98" s="30"/>
      <c r="E98" s="30"/>
      <c r="K98" s="30"/>
      <c r="L98" s="30"/>
      <c r="M98" s="27"/>
      <c r="N98" s="27"/>
      <c r="O98" s="29"/>
      <c r="P98" s="29"/>
      <c r="Q98" s="29"/>
      <c r="S98" s="29"/>
      <c r="T98" s="29"/>
      <c r="U98" s="29"/>
      <c r="V98" s="29"/>
      <c r="W98" s="29"/>
    </row>
    <row r="99">
      <c r="A99" s="30"/>
      <c r="B99" s="30"/>
      <c r="C99" s="30"/>
      <c r="D99" s="30"/>
      <c r="E99" s="30"/>
      <c r="K99" s="30"/>
      <c r="L99" s="30"/>
      <c r="M99" s="27"/>
      <c r="N99" s="27"/>
      <c r="O99" s="29"/>
      <c r="P99" s="29"/>
      <c r="Q99" s="29"/>
      <c r="S99" s="29"/>
      <c r="T99" s="29"/>
      <c r="U99" s="29"/>
      <c r="V99" s="29"/>
      <c r="W99" s="29"/>
    </row>
    <row r="100">
      <c r="A100" s="30"/>
      <c r="B100" s="30"/>
      <c r="C100" s="30"/>
      <c r="D100" s="30"/>
      <c r="E100" s="30"/>
      <c r="K100" s="30"/>
      <c r="L100" s="30"/>
      <c r="M100" s="27"/>
      <c r="N100" s="27"/>
      <c r="O100" s="29"/>
      <c r="P100" s="29"/>
      <c r="Q100" s="29"/>
      <c r="S100" s="29"/>
      <c r="T100" s="29"/>
      <c r="U100" s="29"/>
      <c r="V100" s="29"/>
      <c r="W100" s="29"/>
    </row>
    <row r="101">
      <c r="A101" s="30"/>
      <c r="B101" s="30"/>
      <c r="C101" s="30"/>
      <c r="D101" s="30"/>
      <c r="E101" s="30"/>
      <c r="K101" s="30"/>
      <c r="L101" s="30"/>
      <c r="M101" s="27"/>
      <c r="N101" s="27"/>
      <c r="O101" s="29"/>
      <c r="P101" s="29"/>
      <c r="Q101" s="29"/>
      <c r="S101" s="29"/>
      <c r="T101" s="29"/>
      <c r="U101" s="29"/>
      <c r="V101" s="29"/>
      <c r="W101" s="29"/>
    </row>
    <row r="102">
      <c r="A102" s="30"/>
      <c r="B102" s="30"/>
      <c r="C102" s="30"/>
      <c r="D102" s="30"/>
      <c r="E102" s="30"/>
      <c r="K102" s="30"/>
      <c r="L102" s="30"/>
      <c r="M102" s="27"/>
      <c r="N102" s="27"/>
      <c r="O102" s="29"/>
      <c r="P102" s="29"/>
      <c r="Q102" s="29"/>
      <c r="S102" s="29"/>
      <c r="T102" s="29"/>
      <c r="U102" s="29"/>
      <c r="V102" s="29"/>
      <c r="W102" s="29"/>
    </row>
    <row r="103">
      <c r="A103" s="30"/>
      <c r="B103" s="30"/>
      <c r="C103" s="30"/>
      <c r="D103" s="30"/>
      <c r="E103" s="30"/>
      <c r="K103" s="30"/>
      <c r="L103" s="30"/>
      <c r="M103" s="27"/>
      <c r="N103" s="27"/>
      <c r="O103" s="29"/>
      <c r="P103" s="29"/>
      <c r="Q103" s="29"/>
      <c r="S103" s="29"/>
      <c r="T103" s="29"/>
      <c r="U103" s="29"/>
      <c r="V103" s="29"/>
      <c r="W103" s="29"/>
    </row>
    <row r="104">
      <c r="A104" s="30"/>
      <c r="B104" s="30"/>
      <c r="C104" s="30"/>
      <c r="D104" s="30"/>
      <c r="E104" s="30"/>
      <c r="K104" s="30"/>
      <c r="L104" s="30"/>
      <c r="M104" s="27"/>
      <c r="N104" s="27"/>
      <c r="O104" s="29"/>
      <c r="P104" s="29"/>
      <c r="Q104" s="29"/>
      <c r="S104" s="29"/>
      <c r="T104" s="29"/>
      <c r="U104" s="29"/>
      <c r="V104" s="29"/>
      <c r="W104" s="29"/>
    </row>
    <row r="105">
      <c r="A105" s="30"/>
      <c r="B105" s="30"/>
      <c r="C105" s="30"/>
      <c r="D105" s="30"/>
      <c r="E105" s="30"/>
      <c r="K105" s="30"/>
      <c r="L105" s="30"/>
      <c r="M105" s="27"/>
      <c r="N105" s="27"/>
      <c r="O105" s="29"/>
      <c r="P105" s="29"/>
      <c r="Q105" s="29"/>
      <c r="S105" s="29"/>
      <c r="T105" s="29"/>
      <c r="U105" s="29"/>
      <c r="V105" s="29"/>
      <c r="W105" s="29"/>
    </row>
    <row r="106">
      <c r="A106" s="30"/>
      <c r="B106" s="30"/>
      <c r="C106" s="30"/>
      <c r="D106" s="30"/>
      <c r="E106" s="30"/>
      <c r="K106" s="30"/>
      <c r="L106" s="30"/>
      <c r="M106" s="27"/>
      <c r="N106" s="27"/>
      <c r="O106" s="29"/>
      <c r="P106" s="29"/>
      <c r="Q106" s="29"/>
      <c r="S106" s="29"/>
      <c r="T106" s="29"/>
      <c r="U106" s="29"/>
      <c r="V106" s="29"/>
      <c r="W106" s="29"/>
    </row>
    <row r="107">
      <c r="A107" s="30"/>
      <c r="B107" s="30"/>
      <c r="C107" s="30"/>
      <c r="D107" s="30"/>
      <c r="E107" s="30"/>
      <c r="K107" s="30"/>
      <c r="L107" s="30"/>
      <c r="M107" s="27"/>
      <c r="N107" s="27"/>
      <c r="O107" s="29"/>
      <c r="P107" s="29"/>
      <c r="Q107" s="29"/>
      <c r="S107" s="29"/>
      <c r="T107" s="29"/>
      <c r="U107" s="29"/>
      <c r="V107" s="29"/>
      <c r="W107" s="29"/>
    </row>
    <row r="108">
      <c r="A108" s="30"/>
      <c r="B108" s="30"/>
      <c r="C108" s="30"/>
      <c r="D108" s="30"/>
      <c r="E108" s="30"/>
      <c r="K108" s="30"/>
      <c r="L108" s="30"/>
      <c r="M108" s="27"/>
      <c r="N108" s="27"/>
      <c r="O108" s="29"/>
      <c r="P108" s="29"/>
      <c r="Q108" s="29"/>
      <c r="S108" s="29"/>
      <c r="T108" s="29"/>
      <c r="U108" s="29"/>
      <c r="V108" s="29"/>
      <c r="W108" s="29"/>
    </row>
    <row r="109">
      <c r="A109" s="30"/>
      <c r="B109" s="30"/>
      <c r="C109" s="30"/>
      <c r="D109" s="30"/>
      <c r="E109" s="30"/>
      <c r="K109" s="30"/>
      <c r="L109" s="30"/>
      <c r="M109" s="27"/>
      <c r="N109" s="27"/>
      <c r="O109" s="29"/>
      <c r="P109" s="29"/>
      <c r="Q109" s="29"/>
      <c r="S109" s="29"/>
      <c r="T109" s="29"/>
      <c r="U109" s="29"/>
      <c r="V109" s="29"/>
      <c r="W109" s="29"/>
    </row>
    <row r="110">
      <c r="A110" s="30"/>
      <c r="B110" s="30"/>
      <c r="C110" s="30"/>
      <c r="D110" s="30"/>
      <c r="E110" s="30"/>
      <c r="K110" s="30"/>
      <c r="L110" s="30"/>
      <c r="M110" s="27"/>
      <c r="N110" s="27"/>
      <c r="O110" s="29"/>
      <c r="P110" s="29"/>
      <c r="Q110" s="29"/>
      <c r="S110" s="29"/>
      <c r="T110" s="29"/>
      <c r="U110" s="29"/>
      <c r="V110" s="29"/>
      <c r="W110" s="29"/>
    </row>
    <row r="111">
      <c r="A111" s="30"/>
      <c r="B111" s="30"/>
      <c r="C111" s="30"/>
      <c r="D111" s="30"/>
      <c r="E111" s="30"/>
      <c r="K111" s="30"/>
      <c r="L111" s="30"/>
      <c r="M111" s="27"/>
      <c r="N111" s="27"/>
      <c r="O111" s="29"/>
      <c r="P111" s="29"/>
      <c r="Q111" s="29"/>
      <c r="S111" s="29"/>
      <c r="T111" s="29"/>
      <c r="U111" s="29"/>
      <c r="V111" s="29"/>
      <c r="W111" s="29"/>
    </row>
    <row r="112">
      <c r="A112" s="30"/>
      <c r="B112" s="30"/>
      <c r="C112" s="30"/>
      <c r="D112" s="30"/>
      <c r="E112" s="30"/>
      <c r="K112" s="30"/>
      <c r="L112" s="30"/>
      <c r="M112" s="27"/>
      <c r="N112" s="27"/>
      <c r="O112" s="29"/>
      <c r="P112" s="29"/>
      <c r="Q112" s="29"/>
      <c r="S112" s="29"/>
      <c r="T112" s="29"/>
      <c r="U112" s="29"/>
      <c r="V112" s="29"/>
      <c r="W112" s="29"/>
    </row>
    <row r="113">
      <c r="A113" s="30"/>
      <c r="B113" s="30"/>
      <c r="C113" s="30"/>
      <c r="D113" s="30"/>
      <c r="E113" s="30"/>
      <c r="K113" s="30"/>
      <c r="L113" s="30"/>
      <c r="M113" s="27"/>
      <c r="N113" s="27"/>
      <c r="O113" s="29"/>
      <c r="P113" s="29"/>
      <c r="Q113" s="29"/>
      <c r="S113" s="29"/>
      <c r="T113" s="29"/>
      <c r="U113" s="29"/>
      <c r="V113" s="29"/>
      <c r="W113" s="29"/>
    </row>
    <row r="114">
      <c r="A114" s="30"/>
      <c r="B114" s="30"/>
      <c r="C114" s="30"/>
      <c r="D114" s="30"/>
      <c r="E114" s="30"/>
      <c r="K114" s="30"/>
      <c r="L114" s="30"/>
      <c r="M114" s="27"/>
      <c r="N114" s="27"/>
      <c r="O114" s="29"/>
      <c r="P114" s="29"/>
      <c r="Q114" s="29"/>
      <c r="S114" s="29"/>
      <c r="T114" s="29"/>
      <c r="U114" s="29"/>
      <c r="V114" s="29"/>
      <c r="W114" s="29"/>
    </row>
    <row r="115">
      <c r="A115" s="30"/>
      <c r="B115" s="30"/>
      <c r="C115" s="30"/>
      <c r="D115" s="30"/>
      <c r="E115" s="30"/>
      <c r="K115" s="30"/>
      <c r="L115" s="30"/>
      <c r="M115" s="27"/>
      <c r="N115" s="27"/>
      <c r="O115" s="29"/>
      <c r="P115" s="29"/>
      <c r="Q115" s="29"/>
      <c r="S115" s="29"/>
      <c r="T115" s="29"/>
      <c r="U115" s="29"/>
      <c r="V115" s="29"/>
      <c r="W115" s="29"/>
    </row>
    <row r="116">
      <c r="A116" s="30"/>
      <c r="B116" s="30"/>
      <c r="C116" s="30"/>
      <c r="D116" s="30"/>
      <c r="E116" s="30"/>
      <c r="K116" s="30"/>
      <c r="L116" s="30"/>
      <c r="M116" s="27"/>
      <c r="N116" s="27"/>
      <c r="O116" s="29"/>
      <c r="P116" s="29"/>
      <c r="Q116" s="29"/>
      <c r="S116" s="29"/>
      <c r="T116" s="29"/>
      <c r="U116" s="29"/>
      <c r="V116" s="29"/>
      <c r="W116" s="29"/>
    </row>
    <row r="117">
      <c r="A117" s="30"/>
      <c r="B117" s="30"/>
      <c r="C117" s="30"/>
      <c r="D117" s="30"/>
      <c r="E117" s="30"/>
      <c r="K117" s="30"/>
      <c r="L117" s="30"/>
      <c r="M117" s="27"/>
      <c r="N117" s="27"/>
      <c r="O117" s="29"/>
      <c r="P117" s="29"/>
      <c r="Q117" s="29"/>
      <c r="S117" s="29"/>
      <c r="T117" s="29"/>
      <c r="U117" s="29"/>
      <c r="V117" s="29"/>
      <c r="W117" s="29"/>
    </row>
    <row r="118">
      <c r="A118" s="30"/>
      <c r="B118" s="30"/>
      <c r="C118" s="30"/>
      <c r="D118" s="30"/>
      <c r="E118" s="30"/>
      <c r="K118" s="30"/>
      <c r="L118" s="30"/>
      <c r="M118" s="27"/>
      <c r="N118" s="27"/>
      <c r="O118" s="29"/>
      <c r="P118" s="29"/>
      <c r="Q118" s="29"/>
      <c r="S118" s="29"/>
      <c r="T118" s="29"/>
      <c r="U118" s="29"/>
      <c r="V118" s="29"/>
      <c r="W118" s="29"/>
    </row>
    <row r="119">
      <c r="A119" s="30"/>
      <c r="B119" s="30"/>
      <c r="C119" s="30"/>
      <c r="D119" s="30"/>
      <c r="E119" s="30"/>
      <c r="K119" s="30"/>
      <c r="L119" s="30"/>
      <c r="M119" s="27"/>
      <c r="N119" s="27"/>
      <c r="O119" s="29"/>
      <c r="P119" s="29"/>
      <c r="Q119" s="29"/>
      <c r="S119" s="29"/>
      <c r="T119" s="29"/>
      <c r="U119" s="29"/>
      <c r="V119" s="29"/>
      <c r="W119" s="29"/>
    </row>
    <row r="120">
      <c r="A120" s="30"/>
      <c r="B120" s="30"/>
      <c r="C120" s="30"/>
      <c r="D120" s="30"/>
      <c r="E120" s="30"/>
      <c r="K120" s="30"/>
      <c r="L120" s="30"/>
      <c r="M120" s="27"/>
      <c r="N120" s="27"/>
      <c r="O120" s="29"/>
      <c r="P120" s="29"/>
      <c r="Q120" s="29"/>
      <c r="S120" s="29"/>
      <c r="T120" s="29"/>
      <c r="U120" s="29"/>
      <c r="V120" s="29"/>
      <c r="W120" s="29"/>
    </row>
    <row r="121">
      <c r="A121" s="30"/>
      <c r="B121" s="30"/>
      <c r="C121" s="30"/>
      <c r="D121" s="30"/>
      <c r="E121" s="30"/>
      <c r="K121" s="30"/>
      <c r="L121" s="30"/>
      <c r="M121" s="27"/>
      <c r="N121" s="27"/>
      <c r="O121" s="29"/>
      <c r="P121" s="29"/>
      <c r="Q121" s="29"/>
      <c r="S121" s="29"/>
      <c r="T121" s="29"/>
      <c r="U121" s="29"/>
      <c r="V121" s="29"/>
      <c r="W121" s="29"/>
    </row>
    <row r="122">
      <c r="A122" s="30"/>
      <c r="B122" s="30"/>
      <c r="C122" s="30"/>
      <c r="D122" s="30"/>
      <c r="E122" s="30"/>
      <c r="K122" s="30"/>
      <c r="L122" s="30"/>
      <c r="M122" s="27"/>
      <c r="N122" s="27"/>
      <c r="O122" s="29"/>
      <c r="P122" s="29"/>
      <c r="Q122" s="29"/>
      <c r="S122" s="29"/>
      <c r="T122" s="29"/>
      <c r="U122" s="29"/>
      <c r="V122" s="29"/>
      <c r="W122" s="29"/>
    </row>
    <row r="123">
      <c r="A123" s="30"/>
      <c r="B123" s="30"/>
      <c r="C123" s="30"/>
      <c r="D123" s="30"/>
      <c r="E123" s="30"/>
      <c r="K123" s="30"/>
      <c r="L123" s="30"/>
      <c r="M123" s="27"/>
      <c r="N123" s="27"/>
      <c r="O123" s="29"/>
      <c r="P123" s="29"/>
      <c r="Q123" s="29"/>
      <c r="S123" s="29"/>
      <c r="T123" s="29"/>
      <c r="U123" s="29"/>
      <c r="V123" s="29"/>
      <c r="W123" s="29"/>
    </row>
    <row r="124">
      <c r="A124" s="30"/>
      <c r="B124" s="30"/>
      <c r="C124" s="30"/>
      <c r="D124" s="30"/>
      <c r="E124" s="30"/>
      <c r="K124" s="30"/>
      <c r="L124" s="30"/>
      <c r="M124" s="27"/>
      <c r="N124" s="27"/>
      <c r="O124" s="29"/>
      <c r="P124" s="29"/>
      <c r="Q124" s="29"/>
      <c r="S124" s="29"/>
      <c r="T124" s="29"/>
      <c r="U124" s="29"/>
      <c r="V124" s="29"/>
      <c r="W124" s="29"/>
    </row>
    <row r="125">
      <c r="A125" s="30"/>
      <c r="B125" s="30"/>
      <c r="C125" s="30"/>
      <c r="D125" s="30"/>
      <c r="E125" s="30"/>
      <c r="K125" s="30"/>
      <c r="L125" s="30"/>
      <c r="M125" s="27"/>
      <c r="N125" s="27"/>
      <c r="O125" s="29"/>
      <c r="P125" s="29"/>
      <c r="Q125" s="29"/>
      <c r="S125" s="29"/>
      <c r="T125" s="29"/>
      <c r="U125" s="29"/>
      <c r="V125" s="29"/>
      <c r="W125" s="29"/>
    </row>
    <row r="126">
      <c r="A126" s="30"/>
      <c r="B126" s="30"/>
      <c r="C126" s="30"/>
      <c r="D126" s="30"/>
      <c r="E126" s="30"/>
      <c r="K126" s="30"/>
      <c r="L126" s="30"/>
      <c r="M126" s="27"/>
      <c r="N126" s="27"/>
      <c r="O126" s="29"/>
      <c r="P126" s="29"/>
      <c r="Q126" s="29"/>
      <c r="S126" s="29"/>
      <c r="T126" s="29"/>
      <c r="U126" s="29"/>
      <c r="V126" s="29"/>
      <c r="W126" s="29"/>
    </row>
    <row r="127">
      <c r="A127" s="30"/>
      <c r="B127" s="30"/>
      <c r="C127" s="30"/>
      <c r="D127" s="30"/>
      <c r="E127" s="30"/>
      <c r="K127" s="30"/>
      <c r="L127" s="30"/>
      <c r="M127" s="27"/>
      <c r="N127" s="27"/>
      <c r="O127" s="29"/>
      <c r="P127" s="29"/>
      <c r="Q127" s="29"/>
      <c r="S127" s="29"/>
      <c r="T127" s="29"/>
      <c r="U127" s="29"/>
      <c r="V127" s="29"/>
      <c r="W127" s="29"/>
    </row>
    <row r="128">
      <c r="A128" s="30"/>
      <c r="B128" s="30"/>
      <c r="C128" s="30"/>
      <c r="D128" s="30"/>
      <c r="E128" s="30"/>
      <c r="K128" s="30"/>
      <c r="L128" s="30"/>
      <c r="M128" s="27"/>
      <c r="N128" s="27"/>
      <c r="O128" s="29"/>
      <c r="P128" s="29"/>
      <c r="Q128" s="29"/>
      <c r="S128" s="29"/>
      <c r="T128" s="29"/>
      <c r="U128" s="29"/>
      <c r="V128" s="29"/>
      <c r="W128" s="29"/>
    </row>
    <row r="129">
      <c r="A129" s="30"/>
      <c r="B129" s="30"/>
      <c r="C129" s="30"/>
      <c r="D129" s="30"/>
      <c r="E129" s="30"/>
      <c r="K129" s="30"/>
      <c r="L129" s="30"/>
      <c r="M129" s="27"/>
      <c r="N129" s="27"/>
      <c r="O129" s="29"/>
      <c r="P129" s="29"/>
      <c r="Q129" s="29"/>
      <c r="S129" s="29"/>
      <c r="T129" s="29"/>
      <c r="U129" s="29"/>
      <c r="V129" s="29"/>
      <c r="W129" s="29"/>
    </row>
    <row r="130">
      <c r="A130" s="30"/>
      <c r="B130" s="30"/>
      <c r="C130" s="30"/>
      <c r="D130" s="30"/>
      <c r="E130" s="30"/>
      <c r="K130" s="30"/>
      <c r="L130" s="30"/>
      <c r="M130" s="27"/>
      <c r="N130" s="27"/>
      <c r="O130" s="29"/>
      <c r="P130" s="29"/>
      <c r="Q130" s="29"/>
      <c r="S130" s="29"/>
      <c r="T130" s="29"/>
      <c r="U130" s="29"/>
      <c r="V130" s="29"/>
      <c r="W130" s="29"/>
    </row>
    <row r="131">
      <c r="A131" s="30"/>
      <c r="B131" s="30"/>
      <c r="C131" s="30"/>
      <c r="D131" s="30"/>
      <c r="E131" s="30"/>
      <c r="K131" s="30"/>
      <c r="L131" s="30"/>
      <c r="M131" s="27"/>
      <c r="N131" s="27"/>
      <c r="O131" s="29"/>
      <c r="P131" s="29"/>
      <c r="Q131" s="29"/>
      <c r="S131" s="29"/>
      <c r="T131" s="29"/>
      <c r="U131" s="29"/>
      <c r="V131" s="29"/>
      <c r="W131" s="29"/>
    </row>
    <row r="132">
      <c r="A132" s="30"/>
      <c r="B132" s="30"/>
      <c r="C132" s="30"/>
      <c r="D132" s="30"/>
      <c r="E132" s="30"/>
      <c r="K132" s="30"/>
      <c r="L132" s="30"/>
      <c r="M132" s="27"/>
      <c r="N132" s="27"/>
      <c r="O132" s="29"/>
      <c r="P132" s="29"/>
      <c r="Q132" s="29"/>
      <c r="S132" s="29"/>
      <c r="T132" s="29"/>
      <c r="U132" s="29"/>
      <c r="V132" s="29"/>
      <c r="W132" s="29"/>
    </row>
    <row r="133">
      <c r="A133" s="30"/>
      <c r="B133" s="30"/>
      <c r="C133" s="30"/>
      <c r="D133" s="30"/>
      <c r="E133" s="30"/>
      <c r="K133" s="30"/>
      <c r="L133" s="30"/>
      <c r="M133" s="27"/>
      <c r="N133" s="27"/>
      <c r="O133" s="29"/>
      <c r="P133" s="29"/>
      <c r="Q133" s="29"/>
      <c r="S133" s="29"/>
      <c r="T133" s="29"/>
      <c r="U133" s="29"/>
      <c r="V133" s="29"/>
      <c r="W133" s="29"/>
    </row>
    <row r="134">
      <c r="A134" s="30"/>
      <c r="B134" s="30"/>
      <c r="C134" s="30"/>
      <c r="D134" s="30"/>
      <c r="E134" s="30"/>
      <c r="K134" s="30"/>
      <c r="L134" s="30"/>
      <c r="M134" s="27"/>
      <c r="N134" s="27"/>
      <c r="O134" s="29"/>
      <c r="P134" s="29"/>
      <c r="Q134" s="29"/>
      <c r="S134" s="29"/>
      <c r="T134" s="29"/>
      <c r="U134" s="29"/>
      <c r="V134" s="29"/>
      <c r="W134" s="29"/>
    </row>
    <row r="135">
      <c r="A135" s="30"/>
      <c r="B135" s="30"/>
      <c r="C135" s="30"/>
      <c r="D135" s="30"/>
      <c r="E135" s="30"/>
      <c r="K135" s="30"/>
      <c r="L135" s="30"/>
      <c r="M135" s="27"/>
      <c r="N135" s="27"/>
      <c r="O135" s="29"/>
      <c r="P135" s="29"/>
      <c r="Q135" s="29"/>
      <c r="S135" s="29"/>
      <c r="T135" s="29"/>
      <c r="U135" s="29"/>
      <c r="V135" s="29"/>
      <c r="W135" s="29"/>
    </row>
    <row r="136">
      <c r="A136" s="30"/>
      <c r="B136" s="30"/>
      <c r="C136" s="30"/>
      <c r="D136" s="30"/>
      <c r="E136" s="30"/>
      <c r="K136" s="30"/>
      <c r="L136" s="30"/>
      <c r="M136" s="27"/>
      <c r="N136" s="27"/>
      <c r="O136" s="29"/>
      <c r="P136" s="29"/>
      <c r="Q136" s="29"/>
      <c r="S136" s="29"/>
      <c r="T136" s="29"/>
      <c r="U136" s="29"/>
      <c r="V136" s="29"/>
      <c r="W136" s="29"/>
    </row>
    <row r="137">
      <c r="A137" s="30"/>
      <c r="B137" s="30"/>
      <c r="C137" s="30"/>
      <c r="D137" s="30"/>
      <c r="E137" s="30"/>
      <c r="K137" s="30"/>
      <c r="L137" s="30"/>
      <c r="M137" s="27"/>
      <c r="N137" s="27"/>
      <c r="O137" s="29"/>
      <c r="P137" s="29"/>
      <c r="Q137" s="29"/>
      <c r="S137" s="29"/>
      <c r="T137" s="29"/>
      <c r="U137" s="29"/>
      <c r="V137" s="29"/>
      <c r="W137" s="29"/>
    </row>
    <row r="138">
      <c r="A138" s="30"/>
      <c r="B138" s="30"/>
      <c r="C138" s="30"/>
      <c r="D138" s="30"/>
      <c r="E138" s="30"/>
      <c r="K138" s="30"/>
      <c r="L138" s="30"/>
      <c r="M138" s="27"/>
      <c r="N138" s="27"/>
      <c r="O138" s="29"/>
      <c r="P138" s="29"/>
      <c r="Q138" s="29"/>
      <c r="S138" s="29"/>
      <c r="T138" s="29"/>
      <c r="U138" s="29"/>
      <c r="V138" s="29"/>
      <c r="W138" s="29"/>
    </row>
    <row r="139">
      <c r="A139" s="30"/>
      <c r="B139" s="30"/>
      <c r="C139" s="30"/>
      <c r="D139" s="30"/>
      <c r="E139" s="30"/>
      <c r="K139" s="30"/>
      <c r="L139" s="30"/>
      <c r="M139" s="27"/>
      <c r="N139" s="27"/>
      <c r="O139" s="29"/>
      <c r="P139" s="29"/>
      <c r="Q139" s="29"/>
      <c r="S139" s="29"/>
      <c r="T139" s="29"/>
      <c r="U139" s="29"/>
      <c r="V139" s="29"/>
      <c r="W139" s="29"/>
    </row>
    <row r="140">
      <c r="A140" s="30"/>
      <c r="B140" s="30"/>
      <c r="C140" s="30"/>
      <c r="D140" s="30"/>
      <c r="E140" s="30"/>
      <c r="K140" s="30"/>
      <c r="L140" s="30"/>
      <c r="M140" s="27"/>
      <c r="N140" s="27"/>
      <c r="O140" s="29"/>
      <c r="P140" s="29"/>
      <c r="Q140" s="29"/>
      <c r="S140" s="29"/>
      <c r="T140" s="29"/>
      <c r="U140" s="29"/>
      <c r="V140" s="29"/>
      <c r="W140" s="29"/>
    </row>
    <row r="141">
      <c r="A141" s="30"/>
      <c r="B141" s="30"/>
      <c r="C141" s="30"/>
      <c r="D141" s="30"/>
      <c r="E141" s="30"/>
      <c r="K141" s="30"/>
      <c r="L141" s="30"/>
      <c r="M141" s="27"/>
      <c r="N141" s="27"/>
      <c r="O141" s="29"/>
      <c r="P141" s="29"/>
      <c r="Q141" s="29"/>
    </row>
    <row r="142">
      <c r="A142" s="30"/>
      <c r="B142" s="30"/>
      <c r="C142" s="30"/>
      <c r="D142" s="30"/>
      <c r="E142" s="30"/>
      <c r="K142" s="30"/>
      <c r="L142" s="30"/>
      <c r="M142" s="27"/>
      <c r="N142" s="27"/>
      <c r="O142" s="29"/>
      <c r="P142" s="29"/>
      <c r="Q142" s="29"/>
    </row>
    <row r="143">
      <c r="A143" s="30"/>
      <c r="B143" s="30"/>
      <c r="C143" s="30"/>
      <c r="D143" s="30"/>
      <c r="E143" s="30"/>
      <c r="K143" s="30"/>
      <c r="L143" s="30"/>
      <c r="M143" s="27"/>
      <c r="N143" s="27"/>
      <c r="O143" s="29"/>
      <c r="P143" s="29"/>
      <c r="Q143" s="29"/>
    </row>
    <row r="144">
      <c r="A144" s="30"/>
      <c r="B144" s="30"/>
      <c r="C144" s="30"/>
      <c r="D144" s="30"/>
      <c r="E144" s="30"/>
      <c r="K144" s="30"/>
      <c r="L144" s="30"/>
      <c r="M144" s="27"/>
      <c r="N144" s="27"/>
      <c r="O144" s="29"/>
      <c r="P144" s="29"/>
      <c r="Q144" s="29"/>
    </row>
    <row r="145">
      <c r="A145" s="30"/>
      <c r="B145" s="30"/>
      <c r="C145" s="30"/>
      <c r="D145" s="30"/>
      <c r="E145" s="30"/>
      <c r="K145" s="30"/>
      <c r="L145" s="30"/>
      <c r="M145" s="27"/>
      <c r="N145" s="27"/>
      <c r="O145" s="29"/>
      <c r="P145" s="29"/>
      <c r="Q145" s="29"/>
    </row>
    <row r="146">
      <c r="A146" s="30"/>
      <c r="B146" s="30"/>
      <c r="C146" s="30"/>
      <c r="D146" s="30"/>
      <c r="E146" s="30"/>
      <c r="K146" s="30"/>
      <c r="L146" s="30"/>
      <c r="M146" s="27"/>
      <c r="N146" s="27"/>
      <c r="O146" s="29"/>
      <c r="P146" s="29"/>
      <c r="Q146" s="29"/>
    </row>
    <row r="147">
      <c r="A147" s="30"/>
      <c r="B147" s="30"/>
      <c r="C147" s="30"/>
      <c r="D147" s="30"/>
      <c r="E147" s="30"/>
      <c r="K147" s="30"/>
      <c r="L147" s="30"/>
      <c r="M147" s="27"/>
      <c r="N147" s="27"/>
      <c r="O147" s="29"/>
      <c r="P147" s="29"/>
      <c r="Q147" s="29"/>
    </row>
    <row r="148">
      <c r="A148" s="30"/>
      <c r="B148" s="30"/>
      <c r="C148" s="30"/>
      <c r="D148" s="30"/>
      <c r="E148" s="30"/>
      <c r="K148" s="30"/>
      <c r="L148" s="30"/>
      <c r="M148" s="27"/>
      <c r="N148" s="27"/>
      <c r="O148" s="29"/>
      <c r="P148" s="29"/>
      <c r="Q148" s="29"/>
    </row>
    <row r="149">
      <c r="A149" s="30"/>
      <c r="B149" s="30"/>
      <c r="C149" s="30"/>
      <c r="D149" s="30"/>
      <c r="E149" s="30"/>
      <c r="K149" s="30"/>
      <c r="L149" s="30"/>
      <c r="M149" s="27"/>
      <c r="N149" s="27"/>
      <c r="O149" s="29"/>
      <c r="P149" s="29"/>
      <c r="Q149" s="29"/>
    </row>
    <row r="150">
      <c r="A150" s="30"/>
      <c r="B150" s="30"/>
      <c r="C150" s="30"/>
      <c r="D150" s="30"/>
      <c r="E150" s="30"/>
      <c r="K150" s="30"/>
      <c r="L150" s="30"/>
      <c r="M150" s="27"/>
      <c r="N150" s="27"/>
      <c r="O150" s="29"/>
      <c r="P150" s="29"/>
      <c r="Q150" s="29"/>
    </row>
    <row r="151">
      <c r="A151" s="30"/>
      <c r="B151" s="30"/>
      <c r="C151" s="30"/>
      <c r="D151" s="30"/>
      <c r="E151" s="30"/>
      <c r="K151" s="30"/>
      <c r="L151" s="30"/>
      <c r="M151" s="27"/>
      <c r="N151" s="27"/>
      <c r="O151" s="29"/>
      <c r="P151" s="29"/>
      <c r="Q151" s="29"/>
    </row>
    <row r="152">
      <c r="A152" s="30"/>
      <c r="B152" s="30"/>
      <c r="C152" s="30"/>
      <c r="D152" s="30"/>
      <c r="E152" s="30"/>
      <c r="K152" s="30"/>
      <c r="L152" s="30"/>
      <c r="M152" s="27"/>
      <c r="N152" s="27"/>
      <c r="O152" s="29"/>
      <c r="P152" s="29"/>
      <c r="Q152" s="29"/>
    </row>
    <row r="153">
      <c r="A153" s="30"/>
      <c r="B153" s="30"/>
      <c r="C153" s="30"/>
      <c r="D153" s="30"/>
      <c r="E153" s="30"/>
      <c r="K153" s="30"/>
      <c r="L153" s="30"/>
      <c r="M153" s="27"/>
      <c r="N153" s="27"/>
      <c r="O153" s="29"/>
      <c r="P153" s="29"/>
      <c r="Q153" s="29"/>
    </row>
    <row r="154">
      <c r="A154" s="30"/>
      <c r="B154" s="30"/>
      <c r="C154" s="30"/>
      <c r="D154" s="30"/>
      <c r="E154" s="30"/>
      <c r="K154" s="30"/>
      <c r="L154" s="30"/>
      <c r="M154" s="27"/>
      <c r="N154" s="27"/>
      <c r="O154" s="29"/>
      <c r="P154" s="29"/>
      <c r="Q154" s="29"/>
    </row>
    <row r="155">
      <c r="A155" s="30"/>
      <c r="B155" s="30"/>
      <c r="C155" s="30"/>
      <c r="D155" s="30"/>
      <c r="E155" s="30"/>
      <c r="K155" s="30"/>
      <c r="L155" s="30"/>
      <c r="M155" s="27"/>
      <c r="N155" s="27"/>
      <c r="O155" s="29"/>
      <c r="P155" s="29"/>
      <c r="Q155" s="29"/>
    </row>
    <row r="156">
      <c r="A156" s="30"/>
      <c r="B156" s="30"/>
      <c r="C156" s="30"/>
      <c r="D156" s="30"/>
      <c r="E156" s="30"/>
      <c r="K156" s="30"/>
      <c r="L156" s="30"/>
      <c r="M156" s="27"/>
      <c r="N156" s="27"/>
      <c r="O156" s="29"/>
      <c r="P156" s="29"/>
      <c r="Q156" s="29"/>
    </row>
    <row r="157">
      <c r="A157" s="30"/>
      <c r="B157" s="30"/>
      <c r="C157" s="30"/>
      <c r="D157" s="30"/>
      <c r="E157" s="30"/>
      <c r="K157" s="30"/>
      <c r="L157" s="30"/>
      <c r="M157" s="27"/>
      <c r="N157" s="27"/>
      <c r="O157" s="29"/>
      <c r="P157" s="29"/>
      <c r="Q157" s="29"/>
    </row>
    <row r="158">
      <c r="A158" s="30"/>
      <c r="B158" s="30"/>
      <c r="C158" s="30"/>
      <c r="D158" s="30"/>
      <c r="E158" s="30"/>
      <c r="K158" s="30"/>
      <c r="L158" s="30"/>
      <c r="M158" s="27"/>
      <c r="N158" s="27"/>
      <c r="O158" s="29"/>
      <c r="P158" s="29"/>
      <c r="Q158" s="29"/>
    </row>
    <row r="159">
      <c r="A159" s="30"/>
      <c r="B159" s="30"/>
      <c r="C159" s="30"/>
      <c r="D159" s="30"/>
      <c r="E159" s="30"/>
      <c r="K159" s="30"/>
      <c r="L159" s="30"/>
      <c r="M159" s="27"/>
      <c r="N159" s="27"/>
      <c r="O159" s="29"/>
      <c r="P159" s="29"/>
      <c r="Q159" s="29"/>
    </row>
    <row r="160">
      <c r="A160" s="30"/>
      <c r="B160" s="30"/>
      <c r="C160" s="30"/>
      <c r="D160" s="30"/>
      <c r="E160" s="30"/>
      <c r="K160" s="30"/>
      <c r="L160" s="30"/>
      <c r="M160" s="27"/>
      <c r="N160" s="27"/>
      <c r="O160" s="29"/>
      <c r="P160" s="29"/>
      <c r="Q160" s="29"/>
    </row>
    <row r="161">
      <c r="A161" s="30"/>
      <c r="B161" s="30"/>
      <c r="C161" s="30"/>
      <c r="D161" s="30"/>
      <c r="E161" s="30"/>
      <c r="K161" s="30"/>
      <c r="L161" s="30"/>
      <c r="M161" s="27"/>
      <c r="N161" s="27"/>
      <c r="O161" s="29"/>
      <c r="P161" s="29"/>
      <c r="Q161" s="29"/>
    </row>
    <row r="162">
      <c r="A162" s="30"/>
      <c r="B162" s="30"/>
      <c r="C162" s="30"/>
      <c r="D162" s="30"/>
      <c r="E162" s="30"/>
      <c r="K162" s="30"/>
      <c r="L162" s="30"/>
      <c r="M162" s="27"/>
      <c r="N162" s="27"/>
      <c r="O162" s="29"/>
      <c r="P162" s="29"/>
      <c r="Q162" s="29"/>
    </row>
    <row r="163">
      <c r="A163" s="30"/>
      <c r="B163" s="30"/>
      <c r="C163" s="30"/>
      <c r="D163" s="30"/>
      <c r="E163" s="30"/>
      <c r="K163" s="30"/>
      <c r="L163" s="30"/>
      <c r="M163" s="27"/>
      <c r="N163" s="27"/>
      <c r="O163" s="29"/>
      <c r="P163" s="29"/>
      <c r="Q163" s="29"/>
    </row>
    <row r="164">
      <c r="A164" s="30"/>
      <c r="B164" s="30"/>
      <c r="C164" s="30"/>
      <c r="D164" s="30"/>
      <c r="E164" s="30"/>
      <c r="K164" s="30"/>
      <c r="L164" s="30"/>
      <c r="M164" s="27"/>
      <c r="N164" s="27"/>
      <c r="O164" s="29"/>
      <c r="P164" s="29"/>
      <c r="Q164" s="29"/>
    </row>
    <row r="165">
      <c r="A165" s="30"/>
      <c r="B165" s="30"/>
      <c r="C165" s="30"/>
      <c r="D165" s="30"/>
      <c r="E165" s="30"/>
      <c r="K165" s="30"/>
      <c r="L165" s="30"/>
      <c r="M165" s="27"/>
      <c r="N165" s="27"/>
      <c r="O165" s="29"/>
      <c r="P165" s="29"/>
      <c r="Q165" s="29"/>
    </row>
    <row r="166">
      <c r="A166" s="30"/>
      <c r="B166" s="30"/>
      <c r="C166" s="30"/>
      <c r="D166" s="30"/>
      <c r="E166" s="30"/>
      <c r="K166" s="30"/>
      <c r="L166" s="30"/>
      <c r="M166" s="27"/>
      <c r="N166" s="27"/>
      <c r="O166" s="29"/>
      <c r="P166" s="29"/>
      <c r="Q166" s="29"/>
    </row>
    <row r="167">
      <c r="A167" s="30"/>
      <c r="B167" s="30"/>
      <c r="C167" s="30"/>
      <c r="D167" s="30"/>
      <c r="E167" s="30"/>
      <c r="K167" s="30"/>
      <c r="L167" s="30"/>
      <c r="M167" s="27"/>
      <c r="N167" s="27"/>
      <c r="O167" s="29"/>
      <c r="P167" s="29"/>
      <c r="Q167" s="29"/>
    </row>
    <row r="168">
      <c r="A168" s="30"/>
      <c r="B168" s="30"/>
      <c r="C168" s="30"/>
      <c r="D168" s="30"/>
      <c r="E168" s="30"/>
      <c r="K168" s="30"/>
      <c r="L168" s="30"/>
      <c r="M168" s="27"/>
      <c r="N168" s="27"/>
      <c r="O168" s="29"/>
      <c r="P168" s="29"/>
      <c r="Q168" s="29"/>
    </row>
    <row r="169">
      <c r="A169" s="30"/>
      <c r="B169" s="30"/>
      <c r="C169" s="30"/>
      <c r="D169" s="30"/>
      <c r="E169" s="30"/>
      <c r="K169" s="30"/>
      <c r="L169" s="30"/>
      <c r="M169" s="27"/>
      <c r="N169" s="27"/>
      <c r="O169" s="29"/>
      <c r="P169" s="29"/>
      <c r="Q169" s="29"/>
    </row>
    <row r="170">
      <c r="A170" s="30"/>
      <c r="B170" s="30"/>
      <c r="C170" s="30"/>
      <c r="D170" s="30"/>
      <c r="E170" s="30"/>
      <c r="K170" s="30"/>
      <c r="L170" s="30"/>
      <c r="M170" s="27"/>
      <c r="N170" s="27"/>
      <c r="O170" s="29"/>
      <c r="P170" s="29"/>
      <c r="Q170" s="29"/>
    </row>
    <row r="171">
      <c r="A171" s="30"/>
      <c r="B171" s="30"/>
      <c r="C171" s="30"/>
      <c r="D171" s="30"/>
      <c r="E171" s="30"/>
      <c r="K171" s="30"/>
      <c r="L171" s="30"/>
      <c r="M171" s="27"/>
      <c r="N171" s="27"/>
      <c r="O171" s="29"/>
      <c r="P171" s="29"/>
      <c r="Q171" s="29"/>
    </row>
    <row r="172">
      <c r="A172" s="30"/>
      <c r="B172" s="30"/>
      <c r="C172" s="30"/>
      <c r="D172" s="30"/>
      <c r="E172" s="30"/>
      <c r="K172" s="30"/>
      <c r="L172" s="30"/>
      <c r="M172" s="27"/>
      <c r="N172" s="27"/>
      <c r="O172" s="29"/>
      <c r="P172" s="29"/>
      <c r="Q172" s="29"/>
    </row>
    <row r="173">
      <c r="A173" s="30"/>
      <c r="B173" s="30"/>
      <c r="C173" s="30"/>
      <c r="D173" s="30"/>
      <c r="E173" s="30"/>
      <c r="K173" s="30"/>
      <c r="L173" s="30"/>
      <c r="M173" s="27"/>
      <c r="N173" s="27"/>
      <c r="O173" s="29"/>
      <c r="P173" s="29"/>
      <c r="Q173" s="29"/>
    </row>
    <row r="174">
      <c r="A174" s="30"/>
      <c r="B174" s="30"/>
      <c r="C174" s="30"/>
      <c r="D174" s="30"/>
      <c r="E174" s="30"/>
      <c r="K174" s="30"/>
      <c r="L174" s="30"/>
      <c r="M174" s="27"/>
      <c r="N174" s="27"/>
      <c r="O174" s="29"/>
      <c r="P174" s="29"/>
      <c r="Q174" s="29"/>
    </row>
    <row r="175">
      <c r="A175" s="30"/>
      <c r="B175" s="30"/>
      <c r="C175" s="30"/>
      <c r="D175" s="30"/>
      <c r="E175" s="30"/>
      <c r="K175" s="30"/>
      <c r="L175" s="30"/>
      <c r="M175" s="27"/>
      <c r="N175" s="27"/>
      <c r="O175" s="29"/>
      <c r="P175" s="29"/>
      <c r="Q175" s="29"/>
    </row>
    <row r="176">
      <c r="A176" s="30"/>
      <c r="B176" s="30"/>
      <c r="C176" s="30"/>
      <c r="D176" s="30"/>
      <c r="E176" s="30"/>
      <c r="K176" s="30"/>
      <c r="L176" s="30"/>
      <c r="M176" s="27"/>
      <c r="N176" s="27"/>
      <c r="O176" s="29"/>
      <c r="P176" s="29"/>
      <c r="Q176" s="29"/>
    </row>
    <row r="177">
      <c r="A177" s="30"/>
      <c r="B177" s="30"/>
      <c r="C177" s="30"/>
      <c r="D177" s="30"/>
      <c r="E177" s="30"/>
      <c r="K177" s="30"/>
      <c r="L177" s="30"/>
      <c r="M177" s="27"/>
      <c r="N177" s="27"/>
      <c r="O177" s="29"/>
      <c r="P177" s="29"/>
      <c r="Q177" s="29"/>
    </row>
    <row r="178">
      <c r="A178" s="30"/>
      <c r="B178" s="30"/>
      <c r="C178" s="30"/>
      <c r="D178" s="30"/>
      <c r="E178" s="30"/>
      <c r="K178" s="30"/>
      <c r="L178" s="30"/>
      <c r="M178" s="27"/>
      <c r="N178" s="27"/>
      <c r="O178" s="29"/>
      <c r="P178" s="29"/>
      <c r="Q178" s="29"/>
    </row>
    <row r="179">
      <c r="A179" s="30"/>
      <c r="B179" s="30"/>
      <c r="C179" s="30"/>
      <c r="D179" s="30"/>
      <c r="E179" s="30"/>
      <c r="K179" s="30"/>
      <c r="L179" s="30"/>
      <c r="M179" s="27"/>
      <c r="N179" s="27"/>
      <c r="O179" s="29"/>
      <c r="P179" s="29"/>
      <c r="Q179" s="29"/>
    </row>
    <row r="180">
      <c r="A180" s="30"/>
      <c r="B180" s="30"/>
      <c r="C180" s="30"/>
      <c r="D180" s="30"/>
      <c r="E180" s="30"/>
      <c r="K180" s="30"/>
      <c r="L180" s="30"/>
      <c r="M180" s="27"/>
      <c r="N180" s="27"/>
      <c r="O180" s="29"/>
      <c r="P180" s="29"/>
      <c r="Q180" s="29"/>
    </row>
    <row r="181">
      <c r="A181" s="30"/>
      <c r="B181" s="30"/>
      <c r="C181" s="30"/>
      <c r="D181" s="30"/>
      <c r="E181" s="30"/>
      <c r="K181" s="30"/>
      <c r="L181" s="30"/>
      <c r="M181" s="27"/>
      <c r="N181" s="27"/>
      <c r="O181" s="29"/>
      <c r="P181" s="29"/>
      <c r="Q181" s="29"/>
    </row>
    <row r="182">
      <c r="A182" s="30"/>
      <c r="B182" s="30"/>
      <c r="C182" s="30"/>
      <c r="D182" s="30"/>
      <c r="E182" s="30"/>
      <c r="K182" s="30"/>
      <c r="L182" s="30"/>
      <c r="M182" s="27"/>
      <c r="N182" s="27"/>
      <c r="O182" s="29"/>
      <c r="P182" s="29"/>
      <c r="Q182" s="29"/>
    </row>
    <row r="183">
      <c r="A183" s="30"/>
      <c r="B183" s="30"/>
      <c r="C183" s="30"/>
      <c r="D183" s="30"/>
      <c r="E183" s="30"/>
      <c r="K183" s="30"/>
      <c r="L183" s="30"/>
      <c r="M183" s="27"/>
      <c r="N183" s="27"/>
      <c r="O183" s="29"/>
      <c r="P183" s="29"/>
      <c r="Q183" s="29"/>
    </row>
    <row r="184">
      <c r="A184" s="30"/>
      <c r="B184" s="30"/>
      <c r="C184" s="30"/>
      <c r="D184" s="30"/>
      <c r="E184" s="30"/>
      <c r="K184" s="30"/>
      <c r="L184" s="30"/>
      <c r="M184" s="27"/>
      <c r="N184" s="27"/>
      <c r="O184" s="29"/>
      <c r="P184" s="29"/>
      <c r="Q184" s="29"/>
    </row>
    <row r="185">
      <c r="A185" s="30"/>
      <c r="B185" s="30"/>
      <c r="C185" s="30"/>
      <c r="D185" s="30"/>
      <c r="E185" s="30"/>
      <c r="K185" s="30"/>
      <c r="L185" s="30"/>
      <c r="M185" s="27"/>
      <c r="N185" s="27"/>
      <c r="O185" s="29"/>
      <c r="P185" s="29"/>
      <c r="Q185" s="29"/>
    </row>
    <row r="186">
      <c r="A186" s="30"/>
      <c r="B186" s="30"/>
      <c r="C186" s="30"/>
      <c r="D186" s="30"/>
      <c r="E186" s="30"/>
      <c r="K186" s="30"/>
      <c r="L186" s="30"/>
      <c r="M186" s="27"/>
      <c r="N186" s="27"/>
      <c r="O186" s="29"/>
      <c r="P186" s="29"/>
      <c r="Q186" s="29"/>
    </row>
    <row r="187">
      <c r="A187" s="30"/>
      <c r="B187" s="30"/>
      <c r="C187" s="30"/>
      <c r="D187" s="30"/>
      <c r="E187" s="30"/>
      <c r="K187" s="30"/>
      <c r="L187" s="30"/>
      <c r="M187" s="27"/>
      <c r="N187" s="27"/>
      <c r="O187" s="29"/>
      <c r="P187" s="29"/>
      <c r="Q187" s="29"/>
    </row>
    <row r="188">
      <c r="A188" s="30"/>
      <c r="B188" s="30"/>
      <c r="C188" s="30"/>
      <c r="D188" s="30"/>
      <c r="E188" s="30"/>
      <c r="K188" s="30"/>
      <c r="L188" s="30"/>
      <c r="M188" s="27"/>
      <c r="N188" s="27"/>
      <c r="O188" s="29"/>
      <c r="P188" s="29"/>
      <c r="Q188" s="29"/>
    </row>
    <row r="189">
      <c r="A189" s="30"/>
      <c r="B189" s="30"/>
      <c r="C189" s="30"/>
      <c r="D189" s="30"/>
      <c r="E189" s="30"/>
      <c r="K189" s="30"/>
      <c r="L189" s="30"/>
      <c r="M189" s="27"/>
      <c r="N189" s="27"/>
      <c r="O189" s="29"/>
      <c r="P189" s="29"/>
      <c r="Q189" s="29"/>
    </row>
    <row r="190">
      <c r="A190" s="30"/>
      <c r="B190" s="30"/>
      <c r="C190" s="30"/>
      <c r="D190" s="30"/>
      <c r="E190" s="30"/>
      <c r="K190" s="30"/>
      <c r="L190" s="30"/>
      <c r="M190" s="27"/>
      <c r="N190" s="27"/>
      <c r="O190" s="29"/>
      <c r="P190" s="29"/>
      <c r="Q190" s="29"/>
    </row>
    <row r="191">
      <c r="A191" s="30"/>
      <c r="B191" s="30"/>
      <c r="C191" s="30"/>
      <c r="D191" s="30"/>
      <c r="E191" s="30"/>
      <c r="K191" s="30"/>
      <c r="L191" s="30"/>
      <c r="M191" s="27"/>
      <c r="N191" s="27"/>
      <c r="O191" s="29"/>
      <c r="P191" s="29"/>
      <c r="Q191" s="29"/>
    </row>
    <row r="192">
      <c r="A192" s="30"/>
      <c r="B192" s="30"/>
      <c r="C192" s="30"/>
      <c r="D192" s="30"/>
      <c r="E192" s="30"/>
      <c r="K192" s="30"/>
      <c r="L192" s="30"/>
      <c r="M192" s="27"/>
      <c r="N192" s="27"/>
      <c r="O192" s="29"/>
      <c r="P192" s="29"/>
      <c r="Q192" s="29"/>
    </row>
    <row r="193">
      <c r="A193" s="30"/>
      <c r="B193" s="30"/>
      <c r="C193" s="30"/>
      <c r="D193" s="30"/>
      <c r="E193" s="30"/>
      <c r="K193" s="30"/>
      <c r="L193" s="30"/>
      <c r="M193" s="27"/>
      <c r="N193" s="27"/>
      <c r="O193" s="29"/>
      <c r="P193" s="29"/>
      <c r="Q193" s="29"/>
    </row>
    <row r="194">
      <c r="M194" s="29"/>
      <c r="N194" s="27"/>
      <c r="O194" s="29"/>
      <c r="P194" s="29"/>
      <c r="Q194" s="29"/>
    </row>
    <row r="195">
      <c r="M195" s="29"/>
      <c r="N195" s="27"/>
      <c r="O195" s="29"/>
      <c r="P195" s="29"/>
      <c r="Q195" s="29"/>
    </row>
    <row r="196">
      <c r="M196" s="29"/>
      <c r="N196" s="27"/>
      <c r="O196" s="29"/>
      <c r="P196" s="29"/>
      <c r="Q196" s="29"/>
    </row>
    <row r="197">
      <c r="M197" s="29"/>
      <c r="N197" s="27"/>
      <c r="O197" s="29"/>
      <c r="P197" s="29"/>
      <c r="Q197" s="29"/>
    </row>
    <row r="198">
      <c r="M198" s="29"/>
      <c r="N198" s="27"/>
      <c r="O198" s="29"/>
      <c r="P198" s="29"/>
      <c r="Q198" s="29"/>
    </row>
    <row r="199">
      <c r="M199" s="29"/>
      <c r="N199" s="27"/>
      <c r="O199" s="29"/>
      <c r="P199" s="29"/>
      <c r="Q199" s="29"/>
    </row>
    <row r="200">
      <c r="M200" s="29"/>
      <c r="N200" s="27"/>
      <c r="O200" s="29"/>
      <c r="P200" s="29"/>
      <c r="Q200" s="29"/>
    </row>
  </sheetData>
  <autoFilter ref="A1:W200"/>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266</v>
      </c>
      <c r="B1" t="s">
        <v>267</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row>
    <row r="2">
      <c r="A2" t="s">
        <v>294</v>
      </c>
      <c r="B2" t="s">
        <v>295</v>
      </c>
      <c r="C2" t="s">
        <v>295</v>
      </c>
      <c r="D2" t="s">
        <v>296</v>
      </c>
      <c r="E2" t="s">
        <v>297</v>
      </c>
      <c r="F2" t="s">
        <v>298</v>
      </c>
      <c r="G2" t="s">
        <v>299</v>
      </c>
      <c r="H2" t="s">
        <v>300</v>
      </c>
      <c r="I2" t="s">
        <v>301</v>
      </c>
      <c r="J2">
        <v>95</v>
      </c>
      <c r="K2" s="37">
        <v>0.971</v>
      </c>
      <c r="L2" t="s">
        <v>302</v>
      </c>
      <c r="M2" s="37">
        <v>1.022</v>
      </c>
      <c r="N2" s="37">
        <v>0.5</v>
      </c>
      <c r="O2">
        <v>1</v>
      </c>
      <c r="P2" s="37">
        <v>0.911</v>
      </c>
      <c r="Q2">
        <v>0.91</v>
      </c>
      <c r="R2">
        <v>2821</v>
      </c>
      <c r="S2">
        <v>2821</v>
      </c>
      <c r="T2">
        <v>3100</v>
      </c>
      <c r="U2" t="s">
        <v>286</v>
      </c>
      <c r="V2" t="s">
        <v>287</v>
      </c>
      <c r="W2" t="s">
        <v>288</v>
      </c>
      <c r="X2" t="s">
        <v>289</v>
      </c>
      <c r="Y2" t="s">
        <v>290</v>
      </c>
      <c r="Z2" t="s">
        <v>291</v>
      </c>
      <c r="AA2" t="s">
        <v>292</v>
      </c>
      <c r="AB2" t="s">
        <v>293</v>
      </c>
    </row>
    <row r="3">
      <c r="A3" t="s">
        <v>294</v>
      </c>
      <c r="B3" t="s">
        <v>295</v>
      </c>
      <c r="C3" t="s">
        <v>295</v>
      </c>
      <c r="D3" t="s">
        <v>296</v>
      </c>
      <c r="E3" t="s">
        <v>297</v>
      </c>
      <c r="F3" t="s">
        <v>298</v>
      </c>
      <c r="G3" t="s">
        <v>299</v>
      </c>
      <c r="H3" t="s">
        <v>303</v>
      </c>
      <c r="I3" t="s">
        <v>304</v>
      </c>
      <c r="K3" s="38">
        <v>1</v>
      </c>
      <c r="L3" t="s">
        <v>305</v>
      </c>
      <c r="M3" s="37">
        <v>1</v>
      </c>
      <c r="N3" s="37">
        <v>0.3</v>
      </c>
      <c r="O3">
        <v>1</v>
      </c>
      <c r="P3" s="37">
        <v>0.911</v>
      </c>
      <c r="Q3">
        <v>0.91</v>
      </c>
      <c r="R3">
        <v>2821</v>
      </c>
      <c r="S3">
        <v>2821</v>
      </c>
      <c r="T3">
        <v>3100</v>
      </c>
      <c r="U3" t="s">
        <v>286</v>
      </c>
      <c r="V3" t="s">
        <v>287</v>
      </c>
      <c r="W3" t="s">
        <v>288</v>
      </c>
      <c r="X3" t="s">
        <v>289</v>
      </c>
      <c r="Y3" t="s">
        <v>290</v>
      </c>
      <c r="Z3" t="s">
        <v>291</v>
      </c>
      <c r="AA3" t="s">
        <v>292</v>
      </c>
      <c r="AB3" t="s">
        <v>293</v>
      </c>
    </row>
    <row r="4">
      <c r="A4" t="s">
        <v>294</v>
      </c>
      <c r="B4" t="s">
        <v>295</v>
      </c>
      <c r="C4" t="s">
        <v>295</v>
      </c>
      <c r="D4" t="s">
        <v>296</v>
      </c>
      <c r="E4" t="s">
        <v>297</v>
      </c>
      <c r="F4" t="s">
        <v>298</v>
      </c>
      <c r="G4" t="s">
        <v>299</v>
      </c>
      <c r="H4" t="s">
        <v>306</v>
      </c>
      <c r="I4" t="s">
        <v>307</v>
      </c>
      <c r="J4">
        <v>100</v>
      </c>
      <c r="K4" s="38">
        <v>0.5</v>
      </c>
      <c r="L4" t="s">
        <v>308</v>
      </c>
      <c r="M4" s="37">
        <v>0.5</v>
      </c>
      <c r="N4" s="37">
        <v>0.2</v>
      </c>
      <c r="O4">
        <v>0.5</v>
      </c>
      <c r="P4" s="37">
        <v>0.911</v>
      </c>
      <c r="Q4">
        <v>0.91</v>
      </c>
      <c r="R4">
        <v>2821</v>
      </c>
      <c r="S4">
        <v>2821</v>
      </c>
      <c r="T4">
        <v>3100</v>
      </c>
      <c r="U4" t="s">
        <v>286</v>
      </c>
      <c r="V4" t="s">
        <v>287</v>
      </c>
      <c r="W4" t="s">
        <v>288</v>
      </c>
      <c r="X4" t="s">
        <v>289</v>
      </c>
      <c r="Y4" t="s">
        <v>290</v>
      </c>
      <c r="Z4" t="s">
        <v>291</v>
      </c>
      <c r="AA4" t="s">
        <v>292</v>
      </c>
      <c r="AB4" t="s">
        <v>293</v>
      </c>
    </row>
    <row r="5">
      <c r="A5" t="s">
        <v>309</v>
      </c>
      <c r="B5" t="s">
        <v>295</v>
      </c>
      <c r="C5" t="s">
        <v>295</v>
      </c>
      <c r="D5" t="s">
        <v>296</v>
      </c>
      <c r="E5" t="s">
        <v>310</v>
      </c>
      <c r="F5" t="s">
        <v>298</v>
      </c>
      <c r="G5" t="s">
        <v>299</v>
      </c>
      <c r="H5" t="s">
        <v>311</v>
      </c>
      <c r="I5" t="s">
        <v>312</v>
      </c>
      <c r="J5" s="38">
        <v>0.88</v>
      </c>
      <c r="K5" t="s">
        <v>313</v>
      </c>
      <c r="L5" t="s">
        <v>314</v>
      </c>
      <c r="M5" s="37">
        <v>1</v>
      </c>
      <c r="N5" s="37">
        <v>0.3</v>
      </c>
      <c r="O5">
        <v>1</v>
      </c>
      <c r="P5" s="37">
        <v>0.95</v>
      </c>
      <c r="Q5">
        <v>0.95</v>
      </c>
      <c r="R5">
        <v>2968.9</v>
      </c>
      <c r="S5">
        <v>2968.9</v>
      </c>
      <c r="T5">
        <v>3000</v>
      </c>
      <c r="U5" t="s">
        <v>286</v>
      </c>
      <c r="V5" t="s">
        <v>287</v>
      </c>
      <c r="W5" t="s">
        <v>288</v>
      </c>
      <c r="X5" t="s">
        <v>289</v>
      </c>
      <c r="Y5" t="s">
        <v>290</v>
      </c>
      <c r="Z5" t="s">
        <v>291</v>
      </c>
      <c r="AA5" t="s">
        <v>292</v>
      </c>
      <c r="AB5" t="s">
        <v>293</v>
      </c>
    </row>
    <row r="6">
      <c r="A6" t="s">
        <v>309</v>
      </c>
      <c r="B6" t="s">
        <v>295</v>
      </c>
      <c r="C6" t="s">
        <v>295</v>
      </c>
      <c r="D6" t="s">
        <v>296</v>
      </c>
      <c r="E6" t="s">
        <v>310</v>
      </c>
      <c r="F6" t="s">
        <v>298</v>
      </c>
      <c r="G6" t="s">
        <v>299</v>
      </c>
      <c r="H6" t="s">
        <v>315</v>
      </c>
      <c r="I6" t="s">
        <v>316</v>
      </c>
      <c r="J6" t="s">
        <v>317</v>
      </c>
      <c r="K6" t="s">
        <v>318</v>
      </c>
      <c r="L6" t="s">
        <v>316</v>
      </c>
      <c r="M6" s="37">
        <v>1</v>
      </c>
      <c r="N6" s="37">
        <v>0.15</v>
      </c>
      <c r="O6">
        <v>1</v>
      </c>
      <c r="P6" s="37">
        <v>0.95</v>
      </c>
      <c r="Q6">
        <v>0.95</v>
      </c>
      <c r="R6">
        <v>2968.9</v>
      </c>
      <c r="S6">
        <v>2968.9</v>
      </c>
      <c r="T6">
        <v>3000</v>
      </c>
      <c r="U6" t="s">
        <v>286</v>
      </c>
      <c r="V6" t="s">
        <v>287</v>
      </c>
      <c r="W6" t="s">
        <v>288</v>
      </c>
      <c r="X6" t="s">
        <v>289</v>
      </c>
      <c r="Y6" t="s">
        <v>290</v>
      </c>
      <c r="Z6" t="s">
        <v>291</v>
      </c>
      <c r="AA6" t="s">
        <v>292</v>
      </c>
      <c r="AB6" t="s">
        <v>293</v>
      </c>
    </row>
    <row r="7">
      <c r="A7" t="s">
        <v>309</v>
      </c>
      <c r="B7" t="s">
        <v>295</v>
      </c>
      <c r="C7" t="s">
        <v>295</v>
      </c>
      <c r="D7" t="s">
        <v>296</v>
      </c>
      <c r="E7" t="s">
        <v>310</v>
      </c>
      <c r="F7" t="s">
        <v>298</v>
      </c>
      <c r="G7" t="s">
        <v>299</v>
      </c>
      <c r="H7" t="s">
        <v>303</v>
      </c>
      <c r="I7" t="s">
        <v>319</v>
      </c>
      <c r="K7">
        <v>100</v>
      </c>
      <c r="L7" t="s">
        <v>320</v>
      </c>
      <c r="M7" s="37">
        <v>1</v>
      </c>
      <c r="N7" s="37">
        <v>0.05</v>
      </c>
      <c r="O7">
        <v>1</v>
      </c>
      <c r="P7" s="37">
        <v>0.95</v>
      </c>
      <c r="Q7">
        <v>0.95</v>
      </c>
      <c r="R7">
        <v>2968.9</v>
      </c>
      <c r="S7">
        <v>2968.9</v>
      </c>
      <c r="T7">
        <v>3000</v>
      </c>
      <c r="U7" t="s">
        <v>286</v>
      </c>
      <c r="V7" t="s">
        <v>287</v>
      </c>
      <c r="W7" t="s">
        <v>288</v>
      </c>
      <c r="X7" t="s">
        <v>289</v>
      </c>
      <c r="Y7" t="s">
        <v>290</v>
      </c>
      <c r="Z7" t="s">
        <v>291</v>
      </c>
      <c r="AA7" t="s">
        <v>292</v>
      </c>
      <c r="AB7" t="s">
        <v>293</v>
      </c>
    </row>
    <row r="8">
      <c r="A8" t="s">
        <v>309</v>
      </c>
      <c r="B8" t="s">
        <v>295</v>
      </c>
      <c r="C8" t="s">
        <v>295</v>
      </c>
      <c r="D8" t="s">
        <v>296</v>
      </c>
      <c r="E8" t="s">
        <v>310</v>
      </c>
      <c r="F8" t="s">
        <v>298</v>
      </c>
      <c r="G8" t="s">
        <v>299</v>
      </c>
      <c r="H8" t="s">
        <v>306</v>
      </c>
      <c r="I8" t="s">
        <v>321</v>
      </c>
      <c r="J8" s="38">
        <v>1</v>
      </c>
      <c r="K8" t="s">
        <v>322</v>
      </c>
      <c r="L8" t="s">
        <v>323</v>
      </c>
      <c r="M8" s="37">
        <v>0.9</v>
      </c>
      <c r="N8" s="37">
        <v>0.5</v>
      </c>
      <c r="O8">
        <v>0.9</v>
      </c>
      <c r="P8" s="37">
        <v>0.95</v>
      </c>
      <c r="Q8">
        <v>0.95</v>
      </c>
      <c r="R8">
        <v>2968.9</v>
      </c>
      <c r="S8">
        <v>2968.9</v>
      </c>
      <c r="T8">
        <v>3000</v>
      </c>
      <c r="U8" t="s">
        <v>286</v>
      </c>
      <c r="V8" t="s">
        <v>287</v>
      </c>
      <c r="W8" t="s">
        <v>288</v>
      </c>
      <c r="X8" t="s">
        <v>289</v>
      </c>
      <c r="Y8" t="s">
        <v>290</v>
      </c>
      <c r="Z8" t="s">
        <v>291</v>
      </c>
      <c r="AA8" t="s">
        <v>292</v>
      </c>
      <c r="AB8" t="s">
        <v>293</v>
      </c>
    </row>
    <row r="9">
      <c r="A9" t="s">
        <v>324</v>
      </c>
      <c r="B9" t="s">
        <v>295</v>
      </c>
      <c r="C9" t="s">
        <v>295</v>
      </c>
      <c r="D9" t="s">
        <v>296</v>
      </c>
      <c r="E9" t="s">
        <v>325</v>
      </c>
      <c r="F9" t="s">
        <v>298</v>
      </c>
      <c r="G9" t="s">
        <v>299</v>
      </c>
      <c r="H9" t="s">
        <v>315</v>
      </c>
      <c r="I9">
        <v>1750</v>
      </c>
      <c r="J9" t="s">
        <v>326</v>
      </c>
      <c r="K9" t="s">
        <v>327</v>
      </c>
      <c r="M9" s="37">
        <v>1.13</v>
      </c>
      <c r="N9" s="37">
        <v>0.3</v>
      </c>
      <c r="O9">
        <v>1.13</v>
      </c>
      <c r="P9" s="37">
        <v>1.0025</v>
      </c>
      <c r="Q9">
        <v>0.85</v>
      </c>
      <c r="R9">
        <v>2550</v>
      </c>
      <c r="S9">
        <v>2550</v>
      </c>
      <c r="T9">
        <v>3000</v>
      </c>
      <c r="U9" t="s">
        <v>286</v>
      </c>
      <c r="V9" t="s">
        <v>287</v>
      </c>
      <c r="W9" t="s">
        <v>288</v>
      </c>
      <c r="X9" t="s">
        <v>289</v>
      </c>
      <c r="Y9" t="s">
        <v>290</v>
      </c>
      <c r="Z9" t="s">
        <v>291</v>
      </c>
      <c r="AA9" t="s">
        <v>292</v>
      </c>
      <c r="AB9" t="s">
        <v>293</v>
      </c>
    </row>
    <row r="10">
      <c r="A10" t="s">
        <v>324</v>
      </c>
      <c r="B10" t="s">
        <v>295</v>
      </c>
      <c r="C10" t="s">
        <v>295</v>
      </c>
      <c r="D10" t="s">
        <v>296</v>
      </c>
      <c r="E10" t="s">
        <v>325</v>
      </c>
      <c r="F10" t="s">
        <v>298</v>
      </c>
      <c r="G10" t="s">
        <v>299</v>
      </c>
      <c r="H10" t="s">
        <v>306</v>
      </c>
      <c r="I10" t="s">
        <v>328</v>
      </c>
      <c r="J10">
        <v>100</v>
      </c>
      <c r="K10" s="38">
        <v>0.95</v>
      </c>
      <c r="M10" s="37">
        <v>0.95</v>
      </c>
      <c r="N10" s="37">
        <v>0.4</v>
      </c>
      <c r="O10">
        <v>0.95</v>
      </c>
      <c r="P10" s="37">
        <v>1.0025</v>
      </c>
      <c r="Q10">
        <v>0.85</v>
      </c>
      <c r="R10">
        <v>2550</v>
      </c>
      <c r="S10">
        <v>2550</v>
      </c>
      <c r="T10">
        <v>3000</v>
      </c>
      <c r="U10" t="s">
        <v>286</v>
      </c>
      <c r="V10" t="s">
        <v>287</v>
      </c>
      <c r="W10" t="s">
        <v>288</v>
      </c>
      <c r="X10" t="s">
        <v>289</v>
      </c>
      <c r="Y10" t="s">
        <v>290</v>
      </c>
      <c r="Z10" t="s">
        <v>291</v>
      </c>
      <c r="AA10" t="s">
        <v>292</v>
      </c>
      <c r="AB10" t="s">
        <v>293</v>
      </c>
    </row>
    <row r="11">
      <c r="A11" t="s">
        <v>324</v>
      </c>
      <c r="B11" t="s">
        <v>295</v>
      </c>
      <c r="C11" t="s">
        <v>295</v>
      </c>
      <c r="D11" t="s">
        <v>296</v>
      </c>
      <c r="E11" t="s">
        <v>325</v>
      </c>
      <c r="F11" t="s">
        <v>298</v>
      </c>
      <c r="G11" t="s">
        <v>299</v>
      </c>
      <c r="H11" t="s">
        <v>311</v>
      </c>
      <c r="I11" t="s">
        <v>329</v>
      </c>
      <c r="J11">
        <v>81</v>
      </c>
      <c r="K11">
        <v>76.53</v>
      </c>
      <c r="M11" s="37">
        <v>0.945</v>
      </c>
      <c r="N11" s="37">
        <v>0.3</v>
      </c>
      <c r="O11">
        <v>0.95</v>
      </c>
      <c r="P11" s="37">
        <v>1.0025</v>
      </c>
      <c r="Q11">
        <v>0.85</v>
      </c>
      <c r="R11">
        <v>2550</v>
      </c>
      <c r="S11">
        <v>2550</v>
      </c>
      <c r="T11">
        <v>3000</v>
      </c>
      <c r="U11" t="s">
        <v>286</v>
      </c>
      <c r="V11" t="s">
        <v>287</v>
      </c>
      <c r="W11" t="s">
        <v>288</v>
      </c>
      <c r="X11" t="s">
        <v>289</v>
      </c>
      <c r="Y11" t="s">
        <v>290</v>
      </c>
      <c r="Z11" t="s">
        <v>291</v>
      </c>
      <c r="AA11" t="s">
        <v>292</v>
      </c>
      <c r="AB11" t="s">
        <v>293</v>
      </c>
    </row>
    <row r="12">
      <c r="A12" t="s">
        <v>330</v>
      </c>
      <c r="B12" t="s">
        <v>295</v>
      </c>
      <c r="C12" t="s">
        <v>295</v>
      </c>
      <c r="D12" t="s">
        <v>296</v>
      </c>
      <c r="E12" t="s">
        <v>331</v>
      </c>
      <c r="F12" t="s">
        <v>298</v>
      </c>
      <c r="G12" t="s">
        <v>299</v>
      </c>
      <c r="H12" t="s">
        <v>306</v>
      </c>
      <c r="I12" t="s">
        <v>332</v>
      </c>
      <c r="J12" s="38">
        <v>1</v>
      </c>
      <c r="K12" t="s">
        <v>333</v>
      </c>
      <c r="L12" t="s">
        <v>334</v>
      </c>
      <c r="M12" s="37">
        <v>0.92</v>
      </c>
      <c r="N12" s="37">
        <v>0.2</v>
      </c>
      <c r="O12">
        <v>0.92</v>
      </c>
      <c r="P12" s="37">
        <v>0.9396</v>
      </c>
      <c r="Q12">
        <v>0.99</v>
      </c>
      <c r="R12">
        <v>3475.6</v>
      </c>
      <c r="S12">
        <v>3475.6</v>
      </c>
      <c r="T12">
        <v>3000</v>
      </c>
      <c r="U12" t="s">
        <v>286</v>
      </c>
      <c r="V12" t="s">
        <v>287</v>
      </c>
      <c r="W12" t="s">
        <v>288</v>
      </c>
      <c r="X12" t="s">
        <v>289</v>
      </c>
      <c r="Y12" t="s">
        <v>290</v>
      </c>
      <c r="Z12" t="s">
        <v>291</v>
      </c>
      <c r="AA12" t="s">
        <v>292</v>
      </c>
      <c r="AB12" t="s">
        <v>293</v>
      </c>
    </row>
    <row r="13">
      <c r="A13" t="s">
        <v>330</v>
      </c>
      <c r="B13" t="s">
        <v>295</v>
      </c>
      <c r="C13" t="s">
        <v>295</v>
      </c>
      <c r="D13" t="s">
        <v>296</v>
      </c>
      <c r="E13" t="s">
        <v>331</v>
      </c>
      <c r="F13" t="s">
        <v>298</v>
      </c>
      <c r="G13" t="s">
        <v>299</v>
      </c>
      <c r="H13" t="s">
        <v>300</v>
      </c>
      <c r="I13" t="s">
        <v>335</v>
      </c>
      <c r="J13" s="38">
        <v>0.95</v>
      </c>
      <c r="K13" s="37">
        <v>0.962</v>
      </c>
      <c r="L13" t="s">
        <v>336</v>
      </c>
      <c r="M13" s="37">
        <v>1</v>
      </c>
      <c r="N13" s="37">
        <v>0.5</v>
      </c>
      <c r="O13">
        <v>1</v>
      </c>
      <c r="P13" s="37">
        <v>0.9396</v>
      </c>
      <c r="Q13">
        <v>0.99</v>
      </c>
      <c r="R13">
        <v>3475.6</v>
      </c>
      <c r="S13">
        <v>3475.6</v>
      </c>
      <c r="T13">
        <v>3000</v>
      </c>
      <c r="U13" t="s">
        <v>286</v>
      </c>
      <c r="V13" t="s">
        <v>287</v>
      </c>
      <c r="W13" t="s">
        <v>288</v>
      </c>
      <c r="X13" t="s">
        <v>289</v>
      </c>
      <c r="Y13" t="s">
        <v>290</v>
      </c>
      <c r="Z13" t="s">
        <v>291</v>
      </c>
      <c r="AA13" t="s">
        <v>292</v>
      </c>
      <c r="AB13" t="s">
        <v>293</v>
      </c>
    </row>
    <row r="14">
      <c r="A14" t="s">
        <v>330</v>
      </c>
      <c r="B14" t="s">
        <v>295</v>
      </c>
      <c r="C14" t="s">
        <v>295</v>
      </c>
      <c r="D14" t="s">
        <v>296</v>
      </c>
      <c r="E14" t="s">
        <v>331</v>
      </c>
      <c r="F14" t="s">
        <v>298</v>
      </c>
      <c r="G14" t="s">
        <v>299</v>
      </c>
      <c r="H14" t="s">
        <v>303</v>
      </c>
      <c r="I14" t="s">
        <v>337</v>
      </c>
      <c r="K14" t="s">
        <v>338</v>
      </c>
      <c r="L14" t="s">
        <v>336</v>
      </c>
      <c r="M14" s="37">
        <v>0.852</v>
      </c>
      <c r="N14" s="37">
        <v>0.3</v>
      </c>
      <c r="O14">
        <v>0.852</v>
      </c>
      <c r="P14" s="37">
        <v>0.9396</v>
      </c>
      <c r="Q14">
        <v>0.99</v>
      </c>
      <c r="R14">
        <v>3475.6</v>
      </c>
      <c r="S14">
        <v>3475.6</v>
      </c>
      <c r="T14">
        <v>3000</v>
      </c>
      <c r="U14" t="s">
        <v>286</v>
      </c>
      <c r="V14" t="s">
        <v>287</v>
      </c>
      <c r="W14" t="s">
        <v>288</v>
      </c>
      <c r="X14" t="s">
        <v>289</v>
      </c>
      <c r="Y14" t="s">
        <v>290</v>
      </c>
      <c r="Z14" t="s">
        <v>291</v>
      </c>
      <c r="AA14" t="s">
        <v>292</v>
      </c>
      <c r="AB14" t="s">
        <v>293</v>
      </c>
    </row>
    <row r="15">
      <c r="A15" t="s">
        <v>339</v>
      </c>
      <c r="B15" t="s">
        <v>295</v>
      </c>
      <c r="C15" t="s">
        <v>295</v>
      </c>
      <c r="D15" t="s">
        <v>296</v>
      </c>
      <c r="E15" t="s">
        <v>340</v>
      </c>
      <c r="F15" t="s">
        <v>298</v>
      </c>
      <c r="G15" t="s">
        <v>299</v>
      </c>
      <c r="H15" t="s">
        <v>306</v>
      </c>
      <c r="I15" t="s">
        <v>341</v>
      </c>
      <c r="J15" t="s">
        <v>342</v>
      </c>
      <c r="K15" t="s">
        <v>343</v>
      </c>
      <c r="L15" t="s">
        <v>344</v>
      </c>
      <c r="M15" s="37">
        <v>0.95</v>
      </c>
      <c r="N15" s="37">
        <v>0.4</v>
      </c>
      <c r="O15">
        <v>0.95</v>
      </c>
      <c r="P15" s="37">
        <v>0.905</v>
      </c>
      <c r="Q15">
        <v>0.91</v>
      </c>
      <c r="R15">
        <v>2730</v>
      </c>
      <c r="S15">
        <v>2730</v>
      </c>
      <c r="T15">
        <v>3000</v>
      </c>
      <c r="U15" t="s">
        <v>286</v>
      </c>
      <c r="V15" t="s">
        <v>287</v>
      </c>
      <c r="W15" t="s">
        <v>288</v>
      </c>
      <c r="X15" t="s">
        <v>289</v>
      </c>
      <c r="Y15" t="s">
        <v>290</v>
      </c>
      <c r="Z15" t="s">
        <v>291</v>
      </c>
      <c r="AA15" t="s">
        <v>292</v>
      </c>
      <c r="AB15" t="s">
        <v>293</v>
      </c>
    </row>
    <row r="16">
      <c r="A16" t="s">
        <v>339</v>
      </c>
      <c r="B16" t="s">
        <v>295</v>
      </c>
      <c r="C16" t="s">
        <v>295</v>
      </c>
      <c r="D16" t="s">
        <v>296</v>
      </c>
      <c r="E16" t="s">
        <v>340</v>
      </c>
      <c r="F16" t="s">
        <v>298</v>
      </c>
      <c r="G16" t="s">
        <v>299</v>
      </c>
      <c r="H16" t="s">
        <v>315</v>
      </c>
      <c r="I16" t="s">
        <v>345</v>
      </c>
      <c r="J16" t="s">
        <v>346</v>
      </c>
      <c r="K16" t="s">
        <v>347</v>
      </c>
      <c r="L16" t="s">
        <v>348</v>
      </c>
      <c r="M16" s="37">
        <v>0.89</v>
      </c>
      <c r="N16" s="37">
        <v>0.3</v>
      </c>
      <c r="O16">
        <v>0.89</v>
      </c>
      <c r="P16" s="37">
        <v>0.905</v>
      </c>
      <c r="Q16">
        <v>0.91</v>
      </c>
      <c r="R16">
        <v>2730</v>
      </c>
      <c r="S16">
        <v>2730</v>
      </c>
      <c r="T16">
        <v>3000</v>
      </c>
      <c r="U16" t="s">
        <v>286</v>
      </c>
      <c r="V16" t="s">
        <v>287</v>
      </c>
      <c r="W16" t="s">
        <v>288</v>
      </c>
      <c r="X16" t="s">
        <v>289</v>
      </c>
      <c r="Y16" t="s">
        <v>290</v>
      </c>
      <c r="Z16" t="s">
        <v>291</v>
      </c>
      <c r="AA16" t="s">
        <v>292</v>
      </c>
      <c r="AB16" t="s">
        <v>293</v>
      </c>
    </row>
    <row r="17">
      <c r="A17" t="s">
        <v>339</v>
      </c>
      <c r="B17" t="s">
        <v>295</v>
      </c>
      <c r="C17" t="s">
        <v>295</v>
      </c>
      <c r="D17" t="s">
        <v>296</v>
      </c>
      <c r="E17" t="s">
        <v>340</v>
      </c>
      <c r="F17" t="s">
        <v>298</v>
      </c>
      <c r="G17" t="s">
        <v>299</v>
      </c>
      <c r="H17" t="s">
        <v>311</v>
      </c>
      <c r="I17" t="s">
        <v>349</v>
      </c>
      <c r="J17" s="38">
        <v>0.82</v>
      </c>
      <c r="K17" s="37">
        <v>0.705</v>
      </c>
      <c r="L17" t="s">
        <v>350</v>
      </c>
      <c r="M17" s="37">
        <v>0.86</v>
      </c>
      <c r="N17" s="37">
        <v>0.3</v>
      </c>
      <c r="O17">
        <v>0.86</v>
      </c>
      <c r="P17" s="37">
        <v>0.905</v>
      </c>
      <c r="Q17">
        <v>0.91</v>
      </c>
      <c r="R17">
        <v>2730</v>
      </c>
      <c r="S17">
        <v>2730</v>
      </c>
      <c r="T17">
        <v>3000</v>
      </c>
      <c r="U17" t="s">
        <v>286</v>
      </c>
      <c r="V17" t="s">
        <v>287</v>
      </c>
      <c r="W17" t="s">
        <v>288</v>
      </c>
      <c r="X17" t="s">
        <v>289</v>
      </c>
      <c r="Y17" t="s">
        <v>290</v>
      </c>
      <c r="Z17" t="s">
        <v>291</v>
      </c>
      <c r="AA17" t="s">
        <v>292</v>
      </c>
      <c r="AB17" t="s">
        <v>293</v>
      </c>
    </row>
    <row r="18">
      <c r="A18" t="s">
        <v>351</v>
      </c>
      <c r="B18" t="s">
        <v>295</v>
      </c>
      <c r="C18" t="s">
        <v>295</v>
      </c>
      <c r="D18" t="s">
        <v>296</v>
      </c>
      <c r="E18" t="s">
        <v>352</v>
      </c>
      <c r="F18" t="s">
        <v>298</v>
      </c>
      <c r="G18" t="s">
        <v>299</v>
      </c>
      <c r="H18" t="s">
        <v>306</v>
      </c>
      <c r="I18" t="s">
        <v>353</v>
      </c>
      <c r="J18" s="38">
        <v>1</v>
      </c>
      <c r="K18" t="s">
        <v>354</v>
      </c>
      <c r="L18" t="s">
        <v>355</v>
      </c>
      <c r="M18" s="37">
        <v>0.85</v>
      </c>
      <c r="N18" s="37">
        <v>0.6</v>
      </c>
      <c r="O18">
        <v>0.85</v>
      </c>
      <c r="P18" s="37">
        <v>0.972</v>
      </c>
      <c r="Q18">
        <v>0.98</v>
      </c>
      <c r="R18">
        <v>3058.9</v>
      </c>
      <c r="S18">
        <v>3058.9</v>
      </c>
      <c r="T18">
        <v>3000</v>
      </c>
      <c r="U18" t="s">
        <v>286</v>
      </c>
      <c r="V18" t="s">
        <v>287</v>
      </c>
      <c r="W18" t="s">
        <v>288</v>
      </c>
      <c r="X18" t="s">
        <v>289</v>
      </c>
      <c r="Y18" t="s">
        <v>290</v>
      </c>
      <c r="Z18" t="s">
        <v>291</v>
      </c>
      <c r="AA18" t="s">
        <v>292</v>
      </c>
      <c r="AB18" t="s">
        <v>293</v>
      </c>
    </row>
    <row r="19">
      <c r="A19" t="s">
        <v>351</v>
      </c>
      <c r="B19" t="s">
        <v>295</v>
      </c>
      <c r="C19" t="s">
        <v>295</v>
      </c>
      <c r="D19" t="s">
        <v>296</v>
      </c>
      <c r="E19" t="s">
        <v>352</v>
      </c>
      <c r="F19" t="s">
        <v>298</v>
      </c>
      <c r="G19" t="s">
        <v>299</v>
      </c>
      <c r="H19" t="s">
        <v>303</v>
      </c>
      <c r="I19" t="s">
        <v>356</v>
      </c>
      <c r="K19">
        <v>2119</v>
      </c>
      <c r="L19" t="s">
        <v>357</v>
      </c>
      <c r="M19" s="37">
        <v>1.62</v>
      </c>
      <c r="N19" s="37">
        <v>0.1</v>
      </c>
      <c r="O19">
        <v>1.5</v>
      </c>
      <c r="P19" s="37">
        <v>0.972</v>
      </c>
      <c r="Q19">
        <v>0.98</v>
      </c>
      <c r="R19">
        <v>3058.9</v>
      </c>
      <c r="S19">
        <v>3058.9</v>
      </c>
      <c r="T19">
        <v>3000</v>
      </c>
      <c r="U19" t="s">
        <v>286</v>
      </c>
      <c r="V19" t="s">
        <v>287</v>
      </c>
      <c r="W19" t="s">
        <v>288</v>
      </c>
      <c r="X19" t="s">
        <v>289</v>
      </c>
      <c r="Y19" t="s">
        <v>290</v>
      </c>
      <c r="Z19" t="s">
        <v>291</v>
      </c>
      <c r="AA19" t="s">
        <v>292</v>
      </c>
      <c r="AB19" t="s">
        <v>293</v>
      </c>
    </row>
    <row r="20">
      <c r="A20" t="s">
        <v>351</v>
      </c>
      <c r="B20" t="s">
        <v>295</v>
      </c>
      <c r="C20" t="s">
        <v>295</v>
      </c>
      <c r="D20" t="s">
        <v>296</v>
      </c>
      <c r="E20" t="s">
        <v>352</v>
      </c>
      <c r="F20" t="s">
        <v>298</v>
      </c>
      <c r="G20" t="s">
        <v>299</v>
      </c>
      <c r="H20" t="s">
        <v>300</v>
      </c>
      <c r="I20" t="s">
        <v>356</v>
      </c>
      <c r="J20" s="38">
        <v>1</v>
      </c>
      <c r="K20" s="38">
        <v>1</v>
      </c>
      <c r="L20" t="s">
        <v>357</v>
      </c>
      <c r="M20" s="37">
        <v>1</v>
      </c>
      <c r="N20" s="37">
        <v>0.3</v>
      </c>
      <c r="O20">
        <v>1</v>
      </c>
      <c r="P20" s="37">
        <v>0.972</v>
      </c>
      <c r="Q20">
        <v>0.98</v>
      </c>
      <c r="R20">
        <v>3058.9</v>
      </c>
      <c r="S20">
        <v>3058.9</v>
      </c>
      <c r="T20">
        <v>3000</v>
      </c>
      <c r="U20" t="s">
        <v>286</v>
      </c>
      <c r="V20" t="s">
        <v>287</v>
      </c>
      <c r="W20" t="s">
        <v>288</v>
      </c>
      <c r="X20" t="s">
        <v>289</v>
      </c>
      <c r="Y20" t="s">
        <v>290</v>
      </c>
      <c r="Z20" t="s">
        <v>291</v>
      </c>
      <c r="AA20" t="s">
        <v>292</v>
      </c>
      <c r="AB20" t="s">
        <v>293</v>
      </c>
    </row>
    <row r="21">
      <c r="A21" t="s">
        <v>358</v>
      </c>
      <c r="B21" t="s">
        <v>295</v>
      </c>
      <c r="C21" t="s">
        <v>295</v>
      </c>
      <c r="D21" t="s">
        <v>359</v>
      </c>
      <c r="E21" t="s">
        <v>360</v>
      </c>
      <c r="F21" t="s">
        <v>298</v>
      </c>
      <c r="G21" t="s">
        <v>299</v>
      </c>
      <c r="H21" t="s">
        <v>306</v>
      </c>
      <c r="I21" t="s">
        <v>361</v>
      </c>
      <c r="J21" s="38">
        <v>1</v>
      </c>
      <c r="K21" t="s">
        <v>362</v>
      </c>
      <c r="L21" t="s">
        <v>357</v>
      </c>
      <c r="M21" s="37">
        <v>0.9</v>
      </c>
      <c r="N21" s="37">
        <v>0.4</v>
      </c>
      <c r="O21">
        <v>0.9</v>
      </c>
      <c r="P21" s="37">
        <v>1.00971</v>
      </c>
      <c r="Q21">
        <v>1.01</v>
      </c>
      <c r="R21">
        <v>5525.6</v>
      </c>
      <c r="S21">
        <v>5525.6</v>
      </c>
      <c r="T21">
        <v>5000</v>
      </c>
      <c r="U21" t="s">
        <v>286</v>
      </c>
      <c r="V21" t="s">
        <v>287</v>
      </c>
      <c r="W21" t="s">
        <v>288</v>
      </c>
      <c r="X21" t="s">
        <v>289</v>
      </c>
      <c r="Y21" t="s">
        <v>290</v>
      </c>
      <c r="Z21" t="s">
        <v>291</v>
      </c>
      <c r="AA21" t="s">
        <v>292</v>
      </c>
      <c r="AB21" t="s">
        <v>293</v>
      </c>
    </row>
    <row r="22">
      <c r="A22" t="s">
        <v>358</v>
      </c>
      <c r="B22" t="s">
        <v>295</v>
      </c>
      <c r="C22" t="s">
        <v>295</v>
      </c>
      <c r="D22" t="s">
        <v>359</v>
      </c>
      <c r="E22" t="s">
        <v>360</v>
      </c>
      <c r="F22" t="s">
        <v>298</v>
      </c>
      <c r="G22" t="s">
        <v>299</v>
      </c>
      <c r="H22" t="s">
        <v>311</v>
      </c>
      <c r="I22" t="s">
        <v>363</v>
      </c>
      <c r="J22" s="38">
        <v>0.9</v>
      </c>
      <c r="K22" t="s">
        <v>364</v>
      </c>
      <c r="L22" t="s">
        <v>357</v>
      </c>
      <c r="M22" s="37">
        <v>1.0037</v>
      </c>
      <c r="N22" s="37">
        <v>0.3</v>
      </c>
      <c r="O22">
        <v>1</v>
      </c>
      <c r="P22" s="37">
        <v>1.00971</v>
      </c>
      <c r="Q22">
        <v>1.01</v>
      </c>
      <c r="R22">
        <v>5525.6</v>
      </c>
      <c r="S22">
        <v>5525.6</v>
      </c>
      <c r="T22">
        <v>5000</v>
      </c>
      <c r="U22" t="s">
        <v>286</v>
      </c>
      <c r="V22" t="s">
        <v>287</v>
      </c>
      <c r="W22" t="s">
        <v>288</v>
      </c>
      <c r="X22" t="s">
        <v>289</v>
      </c>
      <c r="Y22" t="s">
        <v>290</v>
      </c>
      <c r="Z22" t="s">
        <v>291</v>
      </c>
      <c r="AA22" t="s">
        <v>292</v>
      </c>
      <c r="AB22" t="s">
        <v>293</v>
      </c>
    </row>
    <row r="23">
      <c r="A23" t="s">
        <v>358</v>
      </c>
      <c r="B23" t="s">
        <v>295</v>
      </c>
      <c r="C23" t="s">
        <v>295</v>
      </c>
      <c r="D23" t="s">
        <v>359</v>
      </c>
      <c r="E23" t="s">
        <v>360</v>
      </c>
      <c r="F23" t="s">
        <v>298</v>
      </c>
      <c r="G23" t="s">
        <v>299</v>
      </c>
      <c r="H23" t="s">
        <v>315</v>
      </c>
      <c r="I23" t="s">
        <v>365</v>
      </c>
      <c r="J23" t="s">
        <v>366</v>
      </c>
      <c r="K23" t="s">
        <v>367</v>
      </c>
      <c r="L23" t="s">
        <v>357</v>
      </c>
      <c r="M23" s="37">
        <v>1.162</v>
      </c>
      <c r="N23" s="37">
        <v>0.3</v>
      </c>
      <c r="O23">
        <v>1.162</v>
      </c>
      <c r="P23" s="37">
        <v>1.00971</v>
      </c>
      <c r="Q23">
        <v>1.01</v>
      </c>
      <c r="R23">
        <v>5525.6</v>
      </c>
      <c r="S23">
        <v>5525.6</v>
      </c>
      <c r="T23">
        <v>5000</v>
      </c>
      <c r="U23" t="s">
        <v>286</v>
      </c>
      <c r="V23" t="s">
        <v>287</v>
      </c>
      <c r="W23" t="s">
        <v>288</v>
      </c>
      <c r="X23" t="s">
        <v>289</v>
      </c>
      <c r="Y23" t="s">
        <v>290</v>
      </c>
      <c r="Z23" t="s">
        <v>291</v>
      </c>
      <c r="AA23" t="s">
        <v>292</v>
      </c>
      <c r="AB23" t="s">
        <v>293</v>
      </c>
    </row>
    <row r="24">
      <c r="A24" t="s">
        <v>368</v>
      </c>
      <c r="B24" t="s">
        <v>295</v>
      </c>
      <c r="C24" t="s">
        <v>295</v>
      </c>
      <c r="D24" t="s">
        <v>359</v>
      </c>
      <c r="E24" t="s">
        <v>369</v>
      </c>
      <c r="F24" t="s">
        <v>298</v>
      </c>
      <c r="G24" t="s">
        <v>299</v>
      </c>
      <c r="H24" t="s">
        <v>300</v>
      </c>
      <c r="I24" t="s">
        <v>370</v>
      </c>
      <c r="J24">
        <v>1</v>
      </c>
      <c r="K24" s="38">
        <v>1</v>
      </c>
      <c r="L24" t="s">
        <v>371</v>
      </c>
      <c r="M24" s="37">
        <v>1</v>
      </c>
      <c r="N24" s="37">
        <v>0.3</v>
      </c>
      <c r="O24">
        <v>1</v>
      </c>
      <c r="P24" s="37">
        <v>0.89</v>
      </c>
      <c r="Q24">
        <v>0.91</v>
      </c>
      <c r="R24">
        <v>0</v>
      </c>
      <c r="S24">
        <v>0</v>
      </c>
      <c r="T24">
        <v>5000</v>
      </c>
      <c r="U24" t="s">
        <v>286</v>
      </c>
      <c r="V24" t="s">
        <v>287</v>
      </c>
      <c r="W24" t="s">
        <v>288</v>
      </c>
      <c r="X24" t="s">
        <v>289</v>
      </c>
      <c r="Y24" t="s">
        <v>290</v>
      </c>
      <c r="Z24" t="s">
        <v>291</v>
      </c>
      <c r="AA24" t="s">
        <v>292</v>
      </c>
      <c r="AB24" t="s">
        <v>293</v>
      </c>
    </row>
    <row r="25">
      <c r="A25" t="s">
        <v>368</v>
      </c>
      <c r="B25" t="s">
        <v>295</v>
      </c>
      <c r="C25" t="s">
        <v>295</v>
      </c>
      <c r="D25" t="s">
        <v>359</v>
      </c>
      <c r="E25" t="s">
        <v>369</v>
      </c>
      <c r="F25" t="s">
        <v>298</v>
      </c>
      <c r="G25" t="s">
        <v>299</v>
      </c>
      <c r="H25" t="s">
        <v>303</v>
      </c>
      <c r="I25" t="s">
        <v>372</v>
      </c>
      <c r="K25" s="38">
        <v>0.5</v>
      </c>
      <c r="L25" t="s">
        <v>371</v>
      </c>
      <c r="M25" s="37">
        <v>0.3</v>
      </c>
      <c r="N25" s="37">
        <v>0.1</v>
      </c>
      <c r="O25">
        <v>0.5</v>
      </c>
      <c r="P25" s="37">
        <v>0.89</v>
      </c>
      <c r="Q25">
        <v>0.91</v>
      </c>
      <c r="R25">
        <v>0</v>
      </c>
      <c r="S25">
        <v>0</v>
      </c>
      <c r="T25">
        <v>5000</v>
      </c>
      <c r="U25" t="s">
        <v>286</v>
      </c>
      <c r="V25" t="s">
        <v>287</v>
      </c>
      <c r="W25" t="s">
        <v>288</v>
      </c>
      <c r="X25" t="s">
        <v>289</v>
      </c>
      <c r="Y25" t="s">
        <v>290</v>
      </c>
      <c r="Z25" t="s">
        <v>291</v>
      </c>
      <c r="AA25" t="s">
        <v>292</v>
      </c>
      <c r="AB25" t="s">
        <v>293</v>
      </c>
    </row>
    <row r="26">
      <c r="A26" t="s">
        <v>368</v>
      </c>
      <c r="B26" t="s">
        <v>295</v>
      </c>
      <c r="C26" t="s">
        <v>295</v>
      </c>
      <c r="D26" t="s">
        <v>359</v>
      </c>
      <c r="E26" t="s">
        <v>369</v>
      </c>
      <c r="F26" t="s">
        <v>298</v>
      </c>
      <c r="G26" t="s">
        <v>299</v>
      </c>
      <c r="H26" t="s">
        <v>306</v>
      </c>
      <c r="I26" t="s">
        <v>373</v>
      </c>
      <c r="J26">
        <v>1</v>
      </c>
      <c r="K26" s="38">
        <v>0.9</v>
      </c>
      <c r="L26" t="s">
        <v>371</v>
      </c>
      <c r="M26" s="37">
        <v>0.9</v>
      </c>
      <c r="N26" s="37">
        <v>0.2</v>
      </c>
      <c r="O26">
        <v>0.9</v>
      </c>
      <c r="P26" s="37">
        <v>0.89</v>
      </c>
      <c r="Q26">
        <v>0.91</v>
      </c>
      <c r="R26">
        <v>0</v>
      </c>
      <c r="S26">
        <v>0</v>
      </c>
      <c r="T26">
        <v>5000</v>
      </c>
      <c r="U26" t="s">
        <v>286</v>
      </c>
      <c r="V26" t="s">
        <v>287</v>
      </c>
      <c r="W26" t="s">
        <v>288</v>
      </c>
      <c r="X26" t="s">
        <v>289</v>
      </c>
      <c r="Y26" t="s">
        <v>290</v>
      </c>
      <c r="Z26" t="s">
        <v>291</v>
      </c>
      <c r="AA26" t="s">
        <v>292</v>
      </c>
      <c r="AB26" t="s">
        <v>293</v>
      </c>
    </row>
    <row r="27">
      <c r="A27" t="s">
        <v>368</v>
      </c>
      <c r="B27" t="s">
        <v>295</v>
      </c>
      <c r="C27" t="s">
        <v>295</v>
      </c>
      <c r="D27" t="s">
        <v>359</v>
      </c>
      <c r="E27" t="s">
        <v>369</v>
      </c>
      <c r="F27" t="s">
        <v>298</v>
      </c>
      <c r="G27" t="s">
        <v>299</v>
      </c>
      <c r="H27" t="s">
        <v>306</v>
      </c>
      <c r="I27" t="s">
        <v>374</v>
      </c>
      <c r="J27">
        <v>1</v>
      </c>
      <c r="K27" s="38">
        <v>0.9</v>
      </c>
      <c r="L27" t="s">
        <v>371</v>
      </c>
      <c r="M27" s="37">
        <v>0.9</v>
      </c>
      <c r="N27" s="37">
        <v>0.2</v>
      </c>
      <c r="O27">
        <v>0.9</v>
      </c>
      <c r="P27" s="37">
        <v>0.89</v>
      </c>
      <c r="Q27">
        <v>0.91</v>
      </c>
      <c r="R27">
        <v>0</v>
      </c>
      <c r="S27">
        <v>0</v>
      </c>
      <c r="T27">
        <v>5000</v>
      </c>
      <c r="U27" t="s">
        <v>286</v>
      </c>
      <c r="V27" t="s">
        <v>287</v>
      </c>
      <c r="W27" t="s">
        <v>288</v>
      </c>
      <c r="X27" t="s">
        <v>289</v>
      </c>
      <c r="Y27" t="s">
        <v>290</v>
      </c>
      <c r="Z27" t="s">
        <v>291</v>
      </c>
      <c r="AA27" t="s">
        <v>292</v>
      </c>
      <c r="AB27" t="s">
        <v>293</v>
      </c>
    </row>
    <row r="28">
      <c r="A28" t="s">
        <v>368</v>
      </c>
      <c r="B28" t="s">
        <v>295</v>
      </c>
      <c r="C28" t="s">
        <v>295</v>
      </c>
      <c r="D28" t="s">
        <v>359</v>
      </c>
      <c r="E28" t="s">
        <v>369</v>
      </c>
      <c r="F28" t="s">
        <v>298</v>
      </c>
      <c r="G28" t="s">
        <v>299</v>
      </c>
      <c r="H28" t="s">
        <v>306</v>
      </c>
      <c r="I28" t="s">
        <v>375</v>
      </c>
      <c r="J28">
        <v>1</v>
      </c>
      <c r="K28" s="38">
        <v>1</v>
      </c>
      <c r="M28" s="37">
        <v>1</v>
      </c>
      <c r="N28" s="37">
        <v>0.2</v>
      </c>
      <c r="O28">
        <v>1</v>
      </c>
      <c r="P28" s="37">
        <v>0.89</v>
      </c>
      <c r="Q28">
        <v>0.91</v>
      </c>
      <c r="R28">
        <v>0</v>
      </c>
      <c r="S28">
        <v>0</v>
      </c>
      <c r="T28">
        <v>5000</v>
      </c>
      <c r="U28" t="s">
        <v>286</v>
      </c>
      <c r="V28" t="s">
        <v>287</v>
      </c>
      <c r="W28" t="s">
        <v>288</v>
      </c>
      <c r="X28" t="s">
        <v>289</v>
      </c>
      <c r="Y28" t="s">
        <v>290</v>
      </c>
      <c r="Z28" t="s">
        <v>291</v>
      </c>
      <c r="AA28" t="s">
        <v>292</v>
      </c>
      <c r="AB28" t="s">
        <v>293</v>
      </c>
    </row>
    <row r="29">
      <c r="A29" t="s">
        <v>376</v>
      </c>
      <c r="B29" t="s">
        <v>377</v>
      </c>
      <c r="C29" t="s">
        <v>377</v>
      </c>
      <c r="D29" t="s">
        <v>378</v>
      </c>
      <c r="E29" t="s">
        <v>379</v>
      </c>
      <c r="F29" t="s">
        <v>298</v>
      </c>
      <c r="G29" t="s">
        <v>380</v>
      </c>
      <c r="H29" t="s">
        <v>381</v>
      </c>
      <c r="I29" t="s">
        <v>382</v>
      </c>
      <c r="J29">
        <v>1</v>
      </c>
      <c r="K29">
        <v>0</v>
      </c>
      <c r="L29" t="s">
        <v>383</v>
      </c>
      <c r="M29" s="37">
        <v>1</v>
      </c>
      <c r="N29" s="37">
        <v>0.5</v>
      </c>
      <c r="O29">
        <v>1</v>
      </c>
      <c r="P29" s="37">
        <v>1</v>
      </c>
      <c r="Q29">
        <v>1</v>
      </c>
      <c r="R29">
        <v>1500</v>
      </c>
      <c r="S29">
        <v>1500</v>
      </c>
      <c r="T29">
        <v>1500</v>
      </c>
      <c r="U29" t="s">
        <v>384</v>
      </c>
      <c r="V29" t="s">
        <v>385</v>
      </c>
      <c r="X29" t="s">
        <v>289</v>
      </c>
      <c r="Y29" t="s">
        <v>386</v>
      </c>
      <c r="Z29" s="37">
        <v>1</v>
      </c>
      <c r="AA29" s="37">
        <v>0.2</v>
      </c>
      <c r="AB29">
        <v>1</v>
      </c>
    </row>
    <row r="30">
      <c r="A30" t="s">
        <v>376</v>
      </c>
      <c r="B30" t="s">
        <v>377</v>
      </c>
      <c r="C30" t="s">
        <v>377</v>
      </c>
      <c r="D30" t="s">
        <v>378</v>
      </c>
      <c r="E30" t="s">
        <v>379</v>
      </c>
      <c r="F30" t="s">
        <v>298</v>
      </c>
      <c r="G30" t="s">
        <v>380</v>
      </c>
      <c r="H30" t="s">
        <v>381</v>
      </c>
      <c r="I30" t="s">
        <v>382</v>
      </c>
      <c r="J30">
        <v>1</v>
      </c>
      <c r="K30">
        <v>0</v>
      </c>
      <c r="L30" t="s">
        <v>383</v>
      </c>
      <c r="M30" s="37">
        <v>1</v>
      </c>
      <c r="N30" s="37">
        <v>0.5</v>
      </c>
      <c r="O30">
        <v>1</v>
      </c>
      <c r="P30" s="37">
        <v>1</v>
      </c>
      <c r="Q30">
        <v>1</v>
      </c>
      <c r="R30">
        <v>1500</v>
      </c>
      <c r="S30">
        <v>1500</v>
      </c>
      <c r="T30">
        <v>1500</v>
      </c>
      <c r="U30" t="s">
        <v>387</v>
      </c>
      <c r="V30" t="s">
        <v>388</v>
      </c>
      <c r="X30" t="s">
        <v>289</v>
      </c>
      <c r="Y30" t="s">
        <v>389</v>
      </c>
      <c r="Z30" s="37">
        <v>1</v>
      </c>
      <c r="AA30" s="37">
        <v>0.4</v>
      </c>
      <c r="AB30">
        <v>1</v>
      </c>
    </row>
    <row r="31">
      <c r="A31" t="s">
        <v>376</v>
      </c>
      <c r="B31" t="s">
        <v>377</v>
      </c>
      <c r="C31" t="s">
        <v>377</v>
      </c>
      <c r="D31" t="s">
        <v>378</v>
      </c>
      <c r="E31" t="s">
        <v>379</v>
      </c>
      <c r="F31" t="s">
        <v>298</v>
      </c>
      <c r="G31" t="s">
        <v>380</v>
      </c>
      <c r="H31" t="s">
        <v>381</v>
      </c>
      <c r="I31" t="s">
        <v>382</v>
      </c>
      <c r="J31">
        <v>1</v>
      </c>
      <c r="K31">
        <v>0</v>
      </c>
      <c r="L31" t="s">
        <v>383</v>
      </c>
      <c r="M31" s="37">
        <v>1</v>
      </c>
      <c r="N31" s="37">
        <v>0.5</v>
      </c>
      <c r="O31">
        <v>1</v>
      </c>
      <c r="P31" s="37">
        <v>1</v>
      </c>
      <c r="Q31">
        <v>1</v>
      </c>
      <c r="R31">
        <v>1500</v>
      </c>
      <c r="S31">
        <v>1500</v>
      </c>
      <c r="T31">
        <v>1500</v>
      </c>
      <c r="U31" t="s">
        <v>390</v>
      </c>
      <c r="V31" t="s">
        <v>391</v>
      </c>
      <c r="X31" t="s">
        <v>289</v>
      </c>
      <c r="Y31" t="s">
        <v>392</v>
      </c>
      <c r="Z31" s="37">
        <v>1</v>
      </c>
      <c r="AA31" s="37">
        <v>0.2</v>
      </c>
      <c r="AB31">
        <v>1</v>
      </c>
    </row>
    <row r="32">
      <c r="A32" t="s">
        <v>376</v>
      </c>
      <c r="B32" t="s">
        <v>377</v>
      </c>
      <c r="C32" t="s">
        <v>377</v>
      </c>
      <c r="D32" t="s">
        <v>378</v>
      </c>
      <c r="E32" t="s">
        <v>379</v>
      </c>
      <c r="F32" t="s">
        <v>298</v>
      </c>
      <c r="G32" t="s">
        <v>380</v>
      </c>
      <c r="H32" t="s">
        <v>381</v>
      </c>
      <c r="I32" t="s">
        <v>382</v>
      </c>
      <c r="J32">
        <v>1</v>
      </c>
      <c r="K32">
        <v>0</v>
      </c>
      <c r="L32" t="s">
        <v>383</v>
      </c>
      <c r="M32" s="37">
        <v>1</v>
      </c>
      <c r="N32" s="37">
        <v>0.5</v>
      </c>
      <c r="O32">
        <v>1</v>
      </c>
      <c r="P32" s="37">
        <v>1</v>
      </c>
      <c r="Q32">
        <v>1</v>
      </c>
      <c r="R32">
        <v>1500</v>
      </c>
      <c r="S32">
        <v>1500</v>
      </c>
      <c r="T32">
        <v>1500</v>
      </c>
      <c r="U32" t="s">
        <v>393</v>
      </c>
      <c r="V32" t="s">
        <v>394</v>
      </c>
      <c r="X32" t="s">
        <v>289</v>
      </c>
      <c r="Y32" t="s">
        <v>395</v>
      </c>
      <c r="Z32" s="37">
        <v>1</v>
      </c>
      <c r="AA32" s="37">
        <v>0.1</v>
      </c>
      <c r="AB32">
        <v>1</v>
      </c>
    </row>
    <row r="33">
      <c r="A33" t="s">
        <v>376</v>
      </c>
      <c r="B33" t="s">
        <v>377</v>
      </c>
      <c r="C33" t="s">
        <v>377</v>
      </c>
      <c r="D33" t="s">
        <v>378</v>
      </c>
      <c r="E33" t="s">
        <v>379</v>
      </c>
      <c r="F33" t="s">
        <v>298</v>
      </c>
      <c r="G33" t="s">
        <v>380</v>
      </c>
      <c r="H33" t="s">
        <v>381</v>
      </c>
      <c r="I33" t="s">
        <v>382</v>
      </c>
      <c r="J33">
        <v>1</v>
      </c>
      <c r="K33">
        <v>0</v>
      </c>
      <c r="L33" t="s">
        <v>383</v>
      </c>
      <c r="M33" s="37">
        <v>1</v>
      </c>
      <c r="N33" s="37">
        <v>0.5</v>
      </c>
      <c r="O33">
        <v>1</v>
      </c>
      <c r="P33" s="37">
        <v>1</v>
      </c>
      <c r="Q33">
        <v>1</v>
      </c>
      <c r="R33">
        <v>1500</v>
      </c>
      <c r="S33">
        <v>1500</v>
      </c>
      <c r="T33">
        <v>1500</v>
      </c>
      <c r="U33" t="s">
        <v>396</v>
      </c>
      <c r="V33" t="s">
        <v>397</v>
      </c>
      <c r="X33" t="s">
        <v>289</v>
      </c>
      <c r="Y33" t="s">
        <v>383</v>
      </c>
      <c r="Z33" s="37">
        <v>1</v>
      </c>
      <c r="AA33" s="37">
        <v>0.1</v>
      </c>
      <c r="AB33">
        <v>1</v>
      </c>
    </row>
    <row r="34">
      <c r="A34" t="s">
        <v>376</v>
      </c>
      <c r="B34" t="s">
        <v>377</v>
      </c>
      <c r="C34" t="s">
        <v>377</v>
      </c>
      <c r="D34" t="s">
        <v>378</v>
      </c>
      <c r="E34" t="s">
        <v>379</v>
      </c>
      <c r="F34" t="s">
        <v>298</v>
      </c>
      <c r="G34" t="s">
        <v>380</v>
      </c>
      <c r="H34" t="s">
        <v>398</v>
      </c>
      <c r="I34" t="s">
        <v>399</v>
      </c>
      <c r="J34">
        <v>1</v>
      </c>
      <c r="K34">
        <v>0</v>
      </c>
      <c r="L34" t="s">
        <v>400</v>
      </c>
      <c r="M34" s="37">
        <v>1</v>
      </c>
      <c r="N34" s="37">
        <v>0.5</v>
      </c>
      <c r="O34">
        <v>1</v>
      </c>
      <c r="P34" s="37">
        <v>1</v>
      </c>
      <c r="Q34">
        <v>1</v>
      </c>
      <c r="R34">
        <v>1500</v>
      </c>
      <c r="S34">
        <v>1500</v>
      </c>
      <c r="T34">
        <v>1500</v>
      </c>
      <c r="U34" t="s">
        <v>401</v>
      </c>
      <c r="V34" t="s">
        <v>402</v>
      </c>
      <c r="X34" t="s">
        <v>400</v>
      </c>
      <c r="Y34" t="s">
        <v>383</v>
      </c>
      <c r="Z34" s="37">
        <v>1</v>
      </c>
      <c r="AA34" s="37">
        <v>0.2</v>
      </c>
      <c r="AB34">
        <v>1</v>
      </c>
    </row>
    <row r="35">
      <c r="A35" t="s">
        <v>376</v>
      </c>
      <c r="B35" t="s">
        <v>377</v>
      </c>
      <c r="C35" t="s">
        <v>377</v>
      </c>
      <c r="D35" t="s">
        <v>378</v>
      </c>
      <c r="E35" t="s">
        <v>379</v>
      </c>
      <c r="F35" t="s">
        <v>298</v>
      </c>
      <c r="G35" t="s">
        <v>380</v>
      </c>
      <c r="H35" t="s">
        <v>398</v>
      </c>
      <c r="I35" t="s">
        <v>399</v>
      </c>
      <c r="J35">
        <v>1</v>
      </c>
      <c r="K35">
        <v>0</v>
      </c>
      <c r="L35" t="s">
        <v>400</v>
      </c>
      <c r="M35" s="37">
        <v>1</v>
      </c>
      <c r="N35" s="37">
        <v>0.5</v>
      </c>
      <c r="O35">
        <v>1</v>
      </c>
      <c r="P35" s="37">
        <v>1</v>
      </c>
      <c r="Q35">
        <v>1</v>
      </c>
      <c r="R35">
        <v>1500</v>
      </c>
      <c r="S35">
        <v>1500</v>
      </c>
      <c r="T35">
        <v>1500</v>
      </c>
      <c r="U35" t="s">
        <v>403</v>
      </c>
      <c r="V35" t="s">
        <v>404</v>
      </c>
      <c r="X35" t="s">
        <v>400</v>
      </c>
      <c r="Y35" t="s">
        <v>383</v>
      </c>
      <c r="Z35" s="37">
        <v>1</v>
      </c>
      <c r="AA35" s="37">
        <v>0.4</v>
      </c>
      <c r="AB35">
        <v>1</v>
      </c>
    </row>
    <row r="36">
      <c r="A36" t="s">
        <v>376</v>
      </c>
      <c r="B36" t="s">
        <v>377</v>
      </c>
      <c r="C36" t="s">
        <v>377</v>
      </c>
      <c r="D36" t="s">
        <v>378</v>
      </c>
      <c r="E36" t="s">
        <v>379</v>
      </c>
      <c r="F36" t="s">
        <v>298</v>
      </c>
      <c r="G36" t="s">
        <v>380</v>
      </c>
      <c r="H36" t="s">
        <v>398</v>
      </c>
      <c r="I36" t="s">
        <v>399</v>
      </c>
      <c r="J36">
        <v>1</v>
      </c>
      <c r="K36">
        <v>0</v>
      </c>
      <c r="L36" t="s">
        <v>400</v>
      </c>
      <c r="M36" s="37">
        <v>1</v>
      </c>
      <c r="N36" s="37">
        <v>0.5</v>
      </c>
      <c r="O36">
        <v>1</v>
      </c>
      <c r="P36" s="37">
        <v>1</v>
      </c>
      <c r="Q36">
        <v>1</v>
      </c>
      <c r="R36">
        <v>1500</v>
      </c>
      <c r="S36">
        <v>1500</v>
      </c>
      <c r="T36">
        <v>1500</v>
      </c>
      <c r="U36" t="s">
        <v>405</v>
      </c>
      <c r="V36" t="s">
        <v>406</v>
      </c>
      <c r="X36" t="s">
        <v>400</v>
      </c>
      <c r="Y36" t="s">
        <v>383</v>
      </c>
      <c r="Z36" s="37">
        <v>1</v>
      </c>
      <c r="AA36" s="37">
        <v>0.2</v>
      </c>
      <c r="AB36">
        <v>1</v>
      </c>
    </row>
    <row r="37">
      <c r="A37" t="s">
        <v>376</v>
      </c>
      <c r="B37" t="s">
        <v>377</v>
      </c>
      <c r="C37" t="s">
        <v>377</v>
      </c>
      <c r="D37" t="s">
        <v>378</v>
      </c>
      <c r="E37" t="s">
        <v>379</v>
      </c>
      <c r="F37" t="s">
        <v>298</v>
      </c>
      <c r="G37" t="s">
        <v>380</v>
      </c>
      <c r="H37" t="s">
        <v>398</v>
      </c>
      <c r="I37" t="s">
        <v>399</v>
      </c>
      <c r="J37">
        <v>1</v>
      </c>
      <c r="K37">
        <v>0</v>
      </c>
      <c r="L37" t="s">
        <v>400</v>
      </c>
      <c r="M37" s="37">
        <v>1</v>
      </c>
      <c r="N37" s="37">
        <v>0.5</v>
      </c>
      <c r="O37">
        <v>1</v>
      </c>
      <c r="P37" s="37">
        <v>1</v>
      </c>
      <c r="Q37">
        <v>1</v>
      </c>
      <c r="R37">
        <v>1500</v>
      </c>
      <c r="S37">
        <v>1500</v>
      </c>
      <c r="T37">
        <v>1500</v>
      </c>
      <c r="U37" t="s">
        <v>407</v>
      </c>
      <c r="V37" t="s">
        <v>408</v>
      </c>
      <c r="X37" t="s">
        <v>400</v>
      </c>
      <c r="Y37" t="s">
        <v>383</v>
      </c>
      <c r="Z37" s="37">
        <v>1</v>
      </c>
      <c r="AA37" s="37">
        <v>0.1</v>
      </c>
      <c r="AB37">
        <v>1</v>
      </c>
    </row>
    <row r="38">
      <c r="A38" t="s">
        <v>376</v>
      </c>
      <c r="B38" t="s">
        <v>377</v>
      </c>
      <c r="C38" t="s">
        <v>377</v>
      </c>
      <c r="D38" t="s">
        <v>378</v>
      </c>
      <c r="E38" t="s">
        <v>379</v>
      </c>
      <c r="F38" t="s">
        <v>298</v>
      </c>
      <c r="G38" t="s">
        <v>380</v>
      </c>
      <c r="H38" t="s">
        <v>398</v>
      </c>
      <c r="I38" t="s">
        <v>399</v>
      </c>
      <c r="J38">
        <v>1</v>
      </c>
      <c r="K38">
        <v>0</v>
      </c>
      <c r="L38" t="s">
        <v>400</v>
      </c>
      <c r="M38" s="37">
        <v>1</v>
      </c>
      <c r="N38" s="37">
        <v>0.5</v>
      </c>
      <c r="O38">
        <v>1</v>
      </c>
      <c r="P38" s="37">
        <v>1</v>
      </c>
      <c r="Q38">
        <v>1</v>
      </c>
      <c r="R38">
        <v>1500</v>
      </c>
      <c r="S38">
        <v>1500</v>
      </c>
      <c r="T38">
        <v>1500</v>
      </c>
      <c r="U38" t="s">
        <v>409</v>
      </c>
      <c r="V38" t="s">
        <v>410</v>
      </c>
      <c r="X38" t="s">
        <v>400</v>
      </c>
      <c r="Y38" t="s">
        <v>383</v>
      </c>
      <c r="Z38" s="37">
        <v>1</v>
      </c>
      <c r="AA38" s="37">
        <v>0.1</v>
      </c>
      <c r="AB38">
        <v>1</v>
      </c>
    </row>
    <row r="39">
      <c r="A39" t="s">
        <v>411</v>
      </c>
      <c r="B39" t="s">
        <v>377</v>
      </c>
      <c r="C39" t="s">
        <v>377</v>
      </c>
      <c r="D39" t="s">
        <v>378</v>
      </c>
      <c r="E39" t="s">
        <v>412</v>
      </c>
      <c r="F39" t="s">
        <v>298</v>
      </c>
      <c r="G39" t="s">
        <v>380</v>
      </c>
      <c r="H39" t="s">
        <v>381</v>
      </c>
      <c r="I39" t="s">
        <v>413</v>
      </c>
      <c r="J39">
        <v>1</v>
      </c>
      <c r="K39">
        <v>0</v>
      </c>
      <c r="L39" t="s">
        <v>414</v>
      </c>
      <c r="M39" s="37">
        <v>1.075</v>
      </c>
      <c r="N39" s="37">
        <v>0.5</v>
      </c>
      <c r="O39">
        <v>1.075</v>
      </c>
      <c r="P39" s="37">
        <v>1.0285</v>
      </c>
      <c r="Q39">
        <v>1.03</v>
      </c>
      <c r="R39">
        <v>2060</v>
      </c>
      <c r="S39">
        <v>2060</v>
      </c>
      <c r="T39">
        <v>2000</v>
      </c>
      <c r="U39" t="s">
        <v>415</v>
      </c>
      <c r="X39" t="s">
        <v>400</v>
      </c>
      <c r="Y39" t="s">
        <v>416</v>
      </c>
      <c r="Z39" s="37">
        <v>1.2</v>
      </c>
      <c r="AA39" s="37">
        <v>0.6</v>
      </c>
      <c r="AB39">
        <v>1.2</v>
      </c>
    </row>
    <row r="40">
      <c r="A40" t="s">
        <v>411</v>
      </c>
      <c r="B40" t="s">
        <v>377</v>
      </c>
      <c r="C40" t="s">
        <v>377</v>
      </c>
      <c r="D40" t="s">
        <v>378</v>
      </c>
      <c r="E40" t="s">
        <v>412</v>
      </c>
      <c r="F40" t="s">
        <v>298</v>
      </c>
      <c r="G40" t="s">
        <v>380</v>
      </c>
      <c r="H40" t="s">
        <v>381</v>
      </c>
      <c r="I40" t="s">
        <v>413</v>
      </c>
      <c r="J40">
        <v>1</v>
      </c>
      <c r="K40">
        <v>0</v>
      </c>
      <c r="L40" t="s">
        <v>414</v>
      </c>
      <c r="M40" s="37">
        <v>1.075</v>
      </c>
      <c r="N40" s="37">
        <v>0.5</v>
      </c>
      <c r="O40">
        <v>1.075</v>
      </c>
      <c r="P40" s="37">
        <v>1.0285</v>
      </c>
      <c r="Q40">
        <v>1.03</v>
      </c>
      <c r="R40">
        <v>2060</v>
      </c>
      <c r="S40">
        <v>2060</v>
      </c>
      <c r="T40">
        <v>2000</v>
      </c>
      <c r="U40" t="s">
        <v>417</v>
      </c>
      <c r="X40" t="s">
        <v>400</v>
      </c>
      <c r="Y40" t="s">
        <v>418</v>
      </c>
      <c r="Z40" s="37">
        <v>0.73</v>
      </c>
      <c r="AA40" s="37">
        <v>0.1</v>
      </c>
      <c r="AB40">
        <v>0.73</v>
      </c>
    </row>
    <row r="41">
      <c r="A41" t="s">
        <v>411</v>
      </c>
      <c r="B41" t="s">
        <v>377</v>
      </c>
      <c r="C41" t="s">
        <v>377</v>
      </c>
      <c r="D41" t="s">
        <v>378</v>
      </c>
      <c r="E41" t="s">
        <v>412</v>
      </c>
      <c r="F41" t="s">
        <v>298</v>
      </c>
      <c r="G41" t="s">
        <v>380</v>
      </c>
      <c r="H41" t="s">
        <v>381</v>
      </c>
      <c r="I41" t="s">
        <v>413</v>
      </c>
      <c r="J41">
        <v>1</v>
      </c>
      <c r="K41">
        <v>0</v>
      </c>
      <c r="L41" t="s">
        <v>414</v>
      </c>
      <c r="M41" s="37">
        <v>1.075</v>
      </c>
      <c r="N41" s="37">
        <v>0.5</v>
      </c>
      <c r="O41">
        <v>1.075</v>
      </c>
      <c r="P41" s="37">
        <v>1.0285</v>
      </c>
      <c r="Q41">
        <v>1.03</v>
      </c>
      <c r="R41">
        <v>2060</v>
      </c>
      <c r="S41">
        <v>2060</v>
      </c>
      <c r="T41">
        <v>2000</v>
      </c>
      <c r="U41" t="s">
        <v>419</v>
      </c>
      <c r="X41" t="s">
        <v>400</v>
      </c>
      <c r="Y41" t="s">
        <v>420</v>
      </c>
      <c r="Z41" s="37">
        <v>0.94</v>
      </c>
      <c r="AA41" s="37">
        <v>0.3</v>
      </c>
      <c r="AB41">
        <v>0.94</v>
      </c>
    </row>
    <row r="42">
      <c r="A42" t="s">
        <v>411</v>
      </c>
      <c r="B42" t="s">
        <v>377</v>
      </c>
      <c r="C42" t="s">
        <v>377</v>
      </c>
      <c r="D42" t="s">
        <v>378</v>
      </c>
      <c r="E42" t="s">
        <v>412</v>
      </c>
      <c r="F42" t="s">
        <v>298</v>
      </c>
      <c r="G42" t="s">
        <v>380</v>
      </c>
      <c r="H42" t="s">
        <v>398</v>
      </c>
      <c r="I42" t="s">
        <v>421</v>
      </c>
      <c r="J42">
        <v>1</v>
      </c>
      <c r="K42">
        <v>0</v>
      </c>
      <c r="L42" t="s">
        <v>414</v>
      </c>
      <c r="M42" s="37">
        <v>0.982</v>
      </c>
      <c r="N42" s="37">
        <v>0.5</v>
      </c>
      <c r="O42">
        <v>0.982</v>
      </c>
      <c r="P42" s="37">
        <v>1.0285</v>
      </c>
      <c r="Q42">
        <v>1.03</v>
      </c>
      <c r="R42">
        <v>2060</v>
      </c>
      <c r="S42">
        <v>2060</v>
      </c>
      <c r="T42">
        <v>2000</v>
      </c>
      <c r="U42" t="s">
        <v>422</v>
      </c>
      <c r="X42">
        <v>100</v>
      </c>
      <c r="Y42" t="s">
        <v>420</v>
      </c>
      <c r="Z42" s="37">
        <v>1</v>
      </c>
      <c r="AA42" s="37">
        <v>0.6</v>
      </c>
      <c r="AB42">
        <v>1</v>
      </c>
    </row>
    <row r="43">
      <c r="A43" t="s">
        <v>411</v>
      </c>
      <c r="B43" t="s">
        <v>377</v>
      </c>
      <c r="C43" t="s">
        <v>377</v>
      </c>
      <c r="D43" t="s">
        <v>378</v>
      </c>
      <c r="E43" t="s">
        <v>412</v>
      </c>
      <c r="F43" t="s">
        <v>298</v>
      </c>
      <c r="G43" t="s">
        <v>380</v>
      </c>
      <c r="H43" t="s">
        <v>398</v>
      </c>
      <c r="I43" t="s">
        <v>421</v>
      </c>
      <c r="J43">
        <v>1</v>
      </c>
      <c r="K43">
        <v>0</v>
      </c>
      <c r="L43" t="s">
        <v>414</v>
      </c>
      <c r="M43" s="37">
        <v>0.982</v>
      </c>
      <c r="N43" s="37">
        <v>0.5</v>
      </c>
      <c r="O43">
        <v>0.982</v>
      </c>
      <c r="P43" s="37">
        <v>1.0285</v>
      </c>
      <c r="Q43">
        <v>1.03</v>
      </c>
      <c r="R43">
        <v>2060</v>
      </c>
      <c r="S43">
        <v>2060</v>
      </c>
      <c r="T43">
        <v>2000</v>
      </c>
      <c r="U43" t="s">
        <v>423</v>
      </c>
      <c r="X43">
        <v>100</v>
      </c>
      <c r="Y43" t="s">
        <v>420</v>
      </c>
      <c r="Z43" s="37">
        <v>1</v>
      </c>
      <c r="AA43" s="37">
        <v>0.1</v>
      </c>
      <c r="AB43">
        <v>1</v>
      </c>
    </row>
    <row r="44">
      <c r="A44" t="s">
        <v>411</v>
      </c>
      <c r="B44" t="s">
        <v>377</v>
      </c>
      <c r="C44" t="s">
        <v>377</v>
      </c>
      <c r="D44" t="s">
        <v>378</v>
      </c>
      <c r="E44" t="s">
        <v>412</v>
      </c>
      <c r="F44" t="s">
        <v>298</v>
      </c>
      <c r="G44" t="s">
        <v>380</v>
      </c>
      <c r="H44" t="s">
        <v>398</v>
      </c>
      <c r="I44" t="s">
        <v>421</v>
      </c>
      <c r="J44">
        <v>1</v>
      </c>
      <c r="K44">
        <v>0</v>
      </c>
      <c r="L44" t="s">
        <v>414</v>
      </c>
      <c r="M44" s="37">
        <v>0.982</v>
      </c>
      <c r="N44" s="37">
        <v>0.5</v>
      </c>
      <c r="O44">
        <v>0.982</v>
      </c>
      <c r="P44" s="37">
        <v>1.0285</v>
      </c>
      <c r="Q44">
        <v>1.03</v>
      </c>
      <c r="R44">
        <v>2060</v>
      </c>
      <c r="S44">
        <v>2060</v>
      </c>
      <c r="T44">
        <v>2000</v>
      </c>
      <c r="U44" t="s">
        <v>424</v>
      </c>
      <c r="X44">
        <v>100</v>
      </c>
      <c r="Y44" t="s">
        <v>420</v>
      </c>
      <c r="Z44" s="37">
        <v>0.94</v>
      </c>
      <c r="AA44" s="37">
        <v>0.3</v>
      </c>
      <c r="AB44">
        <v>0.94</v>
      </c>
    </row>
    <row r="45">
      <c r="A45" t="s">
        <v>425</v>
      </c>
      <c r="B45" t="s">
        <v>377</v>
      </c>
      <c r="C45" t="s">
        <v>377</v>
      </c>
      <c r="D45" t="s">
        <v>378</v>
      </c>
      <c r="E45" t="s">
        <v>426</v>
      </c>
      <c r="F45" t="s">
        <v>298</v>
      </c>
      <c r="G45" t="s">
        <v>380</v>
      </c>
      <c r="H45" t="s">
        <v>381</v>
      </c>
      <c r="I45" t="s">
        <v>427</v>
      </c>
      <c r="J45">
        <v>1</v>
      </c>
      <c r="K45">
        <v>0</v>
      </c>
      <c r="L45" t="s">
        <v>428</v>
      </c>
      <c r="M45" s="37">
        <v>1</v>
      </c>
      <c r="N45" s="37">
        <v>0.5</v>
      </c>
      <c r="O45">
        <v>1</v>
      </c>
      <c r="P45" s="37">
        <v>0.9375</v>
      </c>
      <c r="Q45">
        <v>0.94</v>
      </c>
      <c r="R45">
        <v>1410</v>
      </c>
      <c r="S45">
        <v>1410</v>
      </c>
      <c r="T45">
        <v>1500</v>
      </c>
      <c r="U45" t="s">
        <v>429</v>
      </c>
      <c r="V45" t="s">
        <v>430</v>
      </c>
      <c r="W45">
        <v>1</v>
      </c>
      <c r="X45">
        <v>100</v>
      </c>
      <c r="Y45" t="s">
        <v>431</v>
      </c>
      <c r="Z45" s="37">
        <v>0.875</v>
      </c>
      <c r="AA45" s="37">
        <v>0.3</v>
      </c>
      <c r="AB45">
        <v>1</v>
      </c>
    </row>
    <row r="46">
      <c r="A46" t="s">
        <v>425</v>
      </c>
      <c r="B46" t="s">
        <v>377</v>
      </c>
      <c r="C46" t="s">
        <v>377</v>
      </c>
      <c r="D46" t="s">
        <v>378</v>
      </c>
      <c r="E46" t="s">
        <v>426</v>
      </c>
      <c r="F46" t="s">
        <v>298</v>
      </c>
      <c r="G46" t="s">
        <v>380</v>
      </c>
      <c r="H46" t="s">
        <v>381</v>
      </c>
      <c r="I46" t="s">
        <v>427</v>
      </c>
      <c r="J46">
        <v>1</v>
      </c>
      <c r="K46">
        <v>0</v>
      </c>
      <c r="L46" t="s">
        <v>428</v>
      </c>
      <c r="M46" s="37">
        <v>1</v>
      </c>
      <c r="N46" s="37">
        <v>0.5</v>
      </c>
      <c r="O46">
        <v>1</v>
      </c>
      <c r="P46" s="37">
        <v>0.9375</v>
      </c>
      <c r="Q46">
        <v>0.94</v>
      </c>
      <c r="R46">
        <v>1410</v>
      </c>
      <c r="S46">
        <v>1410</v>
      </c>
      <c r="T46">
        <v>1500</v>
      </c>
      <c r="U46" t="s">
        <v>432</v>
      </c>
      <c r="V46" t="s">
        <v>433</v>
      </c>
      <c r="W46">
        <v>1</v>
      </c>
      <c r="X46">
        <v>100</v>
      </c>
      <c r="Y46" t="s">
        <v>434</v>
      </c>
      <c r="Z46" s="37">
        <v>1</v>
      </c>
      <c r="AA46" s="37">
        <v>0.2</v>
      </c>
      <c r="AB46">
        <v>1</v>
      </c>
    </row>
    <row r="47">
      <c r="A47" t="s">
        <v>425</v>
      </c>
      <c r="B47" t="s">
        <v>377</v>
      </c>
      <c r="C47" t="s">
        <v>377</v>
      </c>
      <c r="D47" t="s">
        <v>378</v>
      </c>
      <c r="E47" t="s">
        <v>426</v>
      </c>
      <c r="F47" t="s">
        <v>298</v>
      </c>
      <c r="G47" t="s">
        <v>380</v>
      </c>
      <c r="H47" t="s">
        <v>381</v>
      </c>
      <c r="I47" t="s">
        <v>427</v>
      </c>
      <c r="J47">
        <v>1</v>
      </c>
      <c r="K47">
        <v>0</v>
      </c>
      <c r="L47" t="s">
        <v>428</v>
      </c>
      <c r="M47" s="37">
        <v>1</v>
      </c>
      <c r="N47" s="37">
        <v>0.5</v>
      </c>
      <c r="O47">
        <v>1</v>
      </c>
      <c r="P47" s="37">
        <v>0.9375</v>
      </c>
      <c r="Q47">
        <v>0.94</v>
      </c>
      <c r="R47">
        <v>1410</v>
      </c>
      <c r="S47">
        <v>1410</v>
      </c>
      <c r="T47">
        <v>1500</v>
      </c>
      <c r="U47" t="s">
        <v>435</v>
      </c>
      <c r="V47" t="s">
        <v>436</v>
      </c>
      <c r="W47">
        <v>1</v>
      </c>
      <c r="X47">
        <v>100</v>
      </c>
      <c r="Y47" t="s">
        <v>428</v>
      </c>
      <c r="Z47" s="37">
        <v>1</v>
      </c>
      <c r="AA47" s="37">
        <v>0.1</v>
      </c>
      <c r="AB47">
        <v>1</v>
      </c>
    </row>
    <row r="48">
      <c r="A48" t="s">
        <v>425</v>
      </c>
      <c r="B48" t="s">
        <v>377</v>
      </c>
      <c r="C48" t="s">
        <v>377</v>
      </c>
      <c r="D48" t="s">
        <v>378</v>
      </c>
      <c r="E48" t="s">
        <v>426</v>
      </c>
      <c r="F48" t="s">
        <v>298</v>
      </c>
      <c r="G48" t="s">
        <v>380</v>
      </c>
      <c r="H48" t="s">
        <v>381</v>
      </c>
      <c r="I48" t="s">
        <v>427</v>
      </c>
      <c r="J48">
        <v>1</v>
      </c>
      <c r="K48">
        <v>0</v>
      </c>
      <c r="L48" t="s">
        <v>428</v>
      </c>
      <c r="M48" s="37">
        <v>1</v>
      </c>
      <c r="N48" s="37">
        <v>0.5</v>
      </c>
      <c r="O48">
        <v>1</v>
      </c>
      <c r="P48" s="37">
        <v>0.9375</v>
      </c>
      <c r="Q48">
        <v>0.94</v>
      </c>
      <c r="R48">
        <v>1410</v>
      </c>
      <c r="S48">
        <v>1410</v>
      </c>
      <c r="T48">
        <v>1500</v>
      </c>
      <c r="U48" t="s">
        <v>437</v>
      </c>
      <c r="V48" t="s">
        <v>438</v>
      </c>
      <c r="W48">
        <v>1</v>
      </c>
      <c r="X48">
        <v>100</v>
      </c>
      <c r="Y48" t="s">
        <v>428</v>
      </c>
      <c r="Z48" s="37">
        <v>1</v>
      </c>
      <c r="AA48" s="37">
        <v>0.1</v>
      </c>
      <c r="AB48">
        <v>1</v>
      </c>
    </row>
    <row r="49">
      <c r="A49" t="s">
        <v>425</v>
      </c>
      <c r="B49" t="s">
        <v>377</v>
      </c>
      <c r="C49" t="s">
        <v>377</v>
      </c>
      <c r="D49" t="s">
        <v>378</v>
      </c>
      <c r="E49" t="s">
        <v>426</v>
      </c>
      <c r="F49" t="s">
        <v>298</v>
      </c>
      <c r="G49" t="s">
        <v>380</v>
      </c>
      <c r="H49" t="s">
        <v>381</v>
      </c>
      <c r="I49" t="s">
        <v>427</v>
      </c>
      <c r="J49">
        <v>1</v>
      </c>
      <c r="K49">
        <v>0</v>
      </c>
      <c r="L49" t="s">
        <v>428</v>
      </c>
      <c r="M49" s="37">
        <v>1</v>
      </c>
      <c r="N49" s="37">
        <v>0.5</v>
      </c>
      <c r="O49">
        <v>1</v>
      </c>
      <c r="P49" s="37">
        <v>0.9375</v>
      </c>
      <c r="Q49">
        <v>0.94</v>
      </c>
      <c r="R49">
        <v>1410</v>
      </c>
      <c r="S49">
        <v>1410</v>
      </c>
      <c r="T49">
        <v>1500</v>
      </c>
      <c r="U49" t="s">
        <v>439</v>
      </c>
      <c r="V49" t="s">
        <v>440</v>
      </c>
      <c r="W49">
        <v>1</v>
      </c>
      <c r="X49">
        <v>100</v>
      </c>
      <c r="Y49" t="s">
        <v>428</v>
      </c>
      <c r="Z49" s="37">
        <v>1</v>
      </c>
      <c r="AA49" s="37">
        <v>0.2</v>
      </c>
      <c r="AB49">
        <v>1</v>
      </c>
    </row>
    <row r="50">
      <c r="A50" t="s">
        <v>425</v>
      </c>
      <c r="B50" t="s">
        <v>377</v>
      </c>
      <c r="C50" t="s">
        <v>377</v>
      </c>
      <c r="D50" t="s">
        <v>378</v>
      </c>
      <c r="E50" t="s">
        <v>426</v>
      </c>
      <c r="F50" t="s">
        <v>298</v>
      </c>
      <c r="G50" t="s">
        <v>380</v>
      </c>
      <c r="H50" t="s">
        <v>398</v>
      </c>
      <c r="I50" t="s">
        <v>441</v>
      </c>
      <c r="J50">
        <v>1</v>
      </c>
      <c r="K50" s="38">
        <v>1</v>
      </c>
      <c r="L50" t="s">
        <v>428</v>
      </c>
      <c r="M50" s="37">
        <v>0.875</v>
      </c>
      <c r="N50" s="37">
        <v>0.5</v>
      </c>
      <c r="O50">
        <v>0.875</v>
      </c>
      <c r="P50" s="37">
        <v>0.9375</v>
      </c>
      <c r="Q50">
        <v>0.94</v>
      </c>
      <c r="R50">
        <v>1410</v>
      </c>
      <c r="S50">
        <v>1410</v>
      </c>
      <c r="T50">
        <v>1500</v>
      </c>
      <c r="U50" t="s">
        <v>442</v>
      </c>
      <c r="V50" t="s">
        <v>443</v>
      </c>
      <c r="W50">
        <v>1</v>
      </c>
      <c r="X50" s="38">
        <v>1</v>
      </c>
      <c r="Y50" t="s">
        <v>444</v>
      </c>
      <c r="Z50" s="37">
        <v>1</v>
      </c>
      <c r="AA50" s="37">
        <v>0.3</v>
      </c>
      <c r="AB50">
        <v>1</v>
      </c>
    </row>
    <row r="51">
      <c r="A51" t="s">
        <v>425</v>
      </c>
      <c r="B51" t="s">
        <v>377</v>
      </c>
      <c r="C51" t="s">
        <v>377</v>
      </c>
      <c r="D51" t="s">
        <v>378</v>
      </c>
      <c r="E51" t="s">
        <v>426</v>
      </c>
      <c r="F51" t="s">
        <v>298</v>
      </c>
      <c r="G51" t="s">
        <v>380</v>
      </c>
      <c r="H51" t="s">
        <v>398</v>
      </c>
      <c r="I51" t="s">
        <v>441</v>
      </c>
      <c r="J51">
        <v>1</v>
      </c>
      <c r="K51" s="38">
        <v>1</v>
      </c>
      <c r="L51" t="s">
        <v>428</v>
      </c>
      <c r="M51" s="37">
        <v>0.875</v>
      </c>
      <c r="N51" s="37">
        <v>0.5</v>
      </c>
      <c r="O51">
        <v>0.875</v>
      </c>
      <c r="P51" s="37">
        <v>0.9375</v>
      </c>
      <c r="Q51">
        <v>0.94</v>
      </c>
      <c r="R51">
        <v>1410</v>
      </c>
      <c r="S51">
        <v>1410</v>
      </c>
      <c r="T51">
        <v>1500</v>
      </c>
      <c r="U51" t="s">
        <v>445</v>
      </c>
      <c r="V51" t="s">
        <v>443</v>
      </c>
      <c r="W51">
        <v>1</v>
      </c>
      <c r="X51" s="38">
        <v>1</v>
      </c>
      <c r="Y51" t="s">
        <v>444</v>
      </c>
      <c r="Z51" s="37">
        <v>1</v>
      </c>
      <c r="AA51" s="37">
        <v>0.25</v>
      </c>
      <c r="AB51">
        <v>1</v>
      </c>
    </row>
    <row r="52">
      <c r="A52" t="s">
        <v>425</v>
      </c>
      <c r="B52" t="s">
        <v>377</v>
      </c>
      <c r="C52" t="s">
        <v>377</v>
      </c>
      <c r="D52" t="s">
        <v>378</v>
      </c>
      <c r="E52" t="s">
        <v>426</v>
      </c>
      <c r="F52" t="s">
        <v>298</v>
      </c>
      <c r="G52" t="s">
        <v>380</v>
      </c>
      <c r="H52" t="s">
        <v>398</v>
      </c>
      <c r="I52" t="s">
        <v>441</v>
      </c>
      <c r="J52">
        <v>1</v>
      </c>
      <c r="K52" s="38">
        <v>1</v>
      </c>
      <c r="L52" t="s">
        <v>428</v>
      </c>
      <c r="M52" s="37">
        <v>0.875</v>
      </c>
      <c r="N52" s="37">
        <v>0.5</v>
      </c>
      <c r="O52">
        <v>0.875</v>
      </c>
      <c r="P52" s="37">
        <v>0.9375</v>
      </c>
      <c r="Q52">
        <v>0.94</v>
      </c>
      <c r="R52">
        <v>1410</v>
      </c>
      <c r="S52">
        <v>1410</v>
      </c>
      <c r="T52">
        <v>1500</v>
      </c>
      <c r="U52" t="s">
        <v>446</v>
      </c>
      <c r="V52" t="s">
        <v>443</v>
      </c>
      <c r="W52">
        <v>1</v>
      </c>
      <c r="X52" s="38">
        <v>0.5</v>
      </c>
      <c r="Y52" t="s">
        <v>447</v>
      </c>
      <c r="Z52" s="37">
        <v>0.5</v>
      </c>
      <c r="AA52" s="37">
        <v>0.25</v>
      </c>
      <c r="AB52">
        <v>0.25</v>
      </c>
    </row>
    <row r="53">
      <c r="A53" t="s">
        <v>425</v>
      </c>
      <c r="B53" t="s">
        <v>377</v>
      </c>
      <c r="C53" t="s">
        <v>377</v>
      </c>
      <c r="D53" t="s">
        <v>378</v>
      </c>
      <c r="E53" t="s">
        <v>426</v>
      </c>
      <c r="F53" t="s">
        <v>298</v>
      </c>
      <c r="G53" t="s">
        <v>380</v>
      </c>
      <c r="H53" t="s">
        <v>398</v>
      </c>
      <c r="I53" t="s">
        <v>441</v>
      </c>
      <c r="J53">
        <v>1</v>
      </c>
      <c r="K53" s="38">
        <v>1</v>
      </c>
      <c r="L53" t="s">
        <v>428</v>
      </c>
      <c r="M53" s="37">
        <v>0.875</v>
      </c>
      <c r="N53" s="37">
        <v>0.5</v>
      </c>
      <c r="O53">
        <v>0.875</v>
      </c>
      <c r="P53" s="37">
        <v>0.9375</v>
      </c>
      <c r="Q53">
        <v>0.94</v>
      </c>
      <c r="R53">
        <v>1410</v>
      </c>
      <c r="S53">
        <v>1410</v>
      </c>
      <c r="T53">
        <v>1500</v>
      </c>
      <c r="U53" t="s">
        <v>448</v>
      </c>
      <c r="V53" t="s">
        <v>443</v>
      </c>
      <c r="W53">
        <v>1</v>
      </c>
      <c r="X53" s="38">
        <v>1</v>
      </c>
      <c r="Y53" t="s">
        <v>444</v>
      </c>
      <c r="Z53" s="37">
        <v>1</v>
      </c>
      <c r="AA53" s="37">
        <v>0.2</v>
      </c>
      <c r="AB53">
        <v>1</v>
      </c>
    </row>
    <row r="54">
      <c r="A54" t="s">
        <v>449</v>
      </c>
      <c r="B54" t="s">
        <v>377</v>
      </c>
      <c r="C54" t="s">
        <v>377</v>
      </c>
      <c r="D54" t="s">
        <v>450</v>
      </c>
      <c r="E54" t="s">
        <v>451</v>
      </c>
      <c r="F54" t="s">
        <v>298</v>
      </c>
      <c r="G54" t="s">
        <v>452</v>
      </c>
      <c r="H54" t="s">
        <v>453</v>
      </c>
      <c r="I54" t="s">
        <v>454</v>
      </c>
      <c r="K54" t="s">
        <v>455</v>
      </c>
      <c r="L54" t="s">
        <v>428</v>
      </c>
      <c r="M54" s="37">
        <v>1</v>
      </c>
      <c r="N54" s="37">
        <v>0.5</v>
      </c>
      <c r="O54">
        <v>1</v>
      </c>
      <c r="P54" s="37">
        <v>1</v>
      </c>
      <c r="Q54">
        <v>1</v>
      </c>
      <c r="R54">
        <v>3386</v>
      </c>
      <c r="S54">
        <v>3386</v>
      </c>
      <c r="T54">
        <v>3000</v>
      </c>
      <c r="U54" t="s">
        <v>454</v>
      </c>
      <c r="X54" t="s">
        <v>455</v>
      </c>
      <c r="Y54" t="s">
        <v>444</v>
      </c>
      <c r="Z54" s="37">
        <v>1</v>
      </c>
      <c r="AA54" s="37">
        <v>1</v>
      </c>
      <c r="AB54">
        <v>1</v>
      </c>
    </row>
    <row r="55">
      <c r="A55" t="s">
        <v>449</v>
      </c>
      <c r="B55" t="s">
        <v>377</v>
      </c>
      <c r="C55" t="s">
        <v>377</v>
      </c>
      <c r="D55" t="s">
        <v>450</v>
      </c>
      <c r="E55" t="s">
        <v>451</v>
      </c>
      <c r="F55" t="s">
        <v>298</v>
      </c>
      <c r="G55" t="s">
        <v>452</v>
      </c>
      <c r="H55" t="s">
        <v>453</v>
      </c>
      <c r="I55" t="s">
        <v>456</v>
      </c>
      <c r="K55" t="s">
        <v>455</v>
      </c>
      <c r="L55" t="s">
        <v>428</v>
      </c>
      <c r="M55" s="37">
        <v>1</v>
      </c>
      <c r="N55" s="37">
        <v>0.5</v>
      </c>
      <c r="O55">
        <v>1</v>
      </c>
      <c r="P55" s="37">
        <v>1</v>
      </c>
      <c r="Q55">
        <v>1</v>
      </c>
      <c r="R55">
        <v>3386</v>
      </c>
      <c r="S55">
        <v>3386</v>
      </c>
      <c r="T55">
        <v>3000</v>
      </c>
      <c r="U55" t="s">
        <v>456</v>
      </c>
      <c r="X55" t="s">
        <v>455</v>
      </c>
      <c r="Y55" t="s">
        <v>444</v>
      </c>
      <c r="Z55" s="37">
        <v>1</v>
      </c>
      <c r="AA55" s="37">
        <v>1</v>
      </c>
      <c r="AB55">
        <v>1</v>
      </c>
    </row>
    <row r="56">
      <c r="A56" t="s">
        <v>457</v>
      </c>
      <c r="B56" t="s">
        <v>377</v>
      </c>
      <c r="C56" t="s">
        <v>377</v>
      </c>
      <c r="D56" t="s">
        <v>450</v>
      </c>
      <c r="E56" t="s">
        <v>458</v>
      </c>
      <c r="F56" t="s">
        <v>298</v>
      </c>
      <c r="G56" t="s">
        <v>452</v>
      </c>
      <c r="H56" t="s">
        <v>453</v>
      </c>
      <c r="I56" t="s">
        <v>459</v>
      </c>
      <c r="K56" s="38">
        <v>1</v>
      </c>
      <c r="L56" t="s">
        <v>460</v>
      </c>
      <c r="M56" s="37">
        <v>1</v>
      </c>
      <c r="N56" s="37">
        <v>0.7</v>
      </c>
      <c r="O56">
        <v>1</v>
      </c>
      <c r="P56" s="37">
        <v>1</v>
      </c>
      <c r="Q56">
        <v>1</v>
      </c>
      <c r="R56">
        <v>3386</v>
      </c>
      <c r="S56">
        <v>3386</v>
      </c>
      <c r="T56">
        <v>3000</v>
      </c>
      <c r="U56" t="s">
        <v>461</v>
      </c>
      <c r="X56" s="38">
        <v>1</v>
      </c>
      <c r="Y56" t="s">
        <v>444</v>
      </c>
      <c r="Z56" s="37">
        <v>1</v>
      </c>
      <c r="AA56" s="37">
        <v>0.4</v>
      </c>
      <c r="AB56">
        <v>1</v>
      </c>
    </row>
    <row r="57">
      <c r="A57" t="s">
        <v>457</v>
      </c>
      <c r="B57" t="s">
        <v>377</v>
      </c>
      <c r="C57" t="s">
        <v>377</v>
      </c>
      <c r="D57" t="s">
        <v>450</v>
      </c>
      <c r="E57" t="s">
        <v>458</v>
      </c>
      <c r="F57" t="s">
        <v>298</v>
      </c>
      <c r="G57" t="s">
        <v>452</v>
      </c>
      <c r="H57" t="s">
        <v>453</v>
      </c>
      <c r="I57" t="s">
        <v>459</v>
      </c>
      <c r="K57" s="38">
        <v>1</v>
      </c>
      <c r="L57" t="s">
        <v>460</v>
      </c>
      <c r="M57" s="37">
        <v>1</v>
      </c>
      <c r="N57" s="37">
        <v>0.7</v>
      </c>
      <c r="O57">
        <v>1</v>
      </c>
      <c r="P57" s="37">
        <v>1</v>
      </c>
      <c r="Q57">
        <v>1</v>
      </c>
      <c r="R57">
        <v>3386</v>
      </c>
      <c r="S57">
        <v>3386</v>
      </c>
      <c r="T57">
        <v>3000</v>
      </c>
      <c r="U57" t="s">
        <v>462</v>
      </c>
      <c r="X57">
        <v>100</v>
      </c>
      <c r="Y57" t="s">
        <v>444</v>
      </c>
      <c r="Z57" s="37">
        <v>1</v>
      </c>
      <c r="AA57" s="37">
        <v>0.6</v>
      </c>
      <c r="AB57">
        <v>1</v>
      </c>
    </row>
    <row r="58">
      <c r="A58" t="s">
        <v>457</v>
      </c>
      <c r="B58" t="s">
        <v>377</v>
      </c>
      <c r="C58" t="s">
        <v>377</v>
      </c>
      <c r="D58" t="s">
        <v>450</v>
      </c>
      <c r="E58" t="s">
        <v>458</v>
      </c>
      <c r="F58" t="s">
        <v>298</v>
      </c>
      <c r="G58" t="s">
        <v>452</v>
      </c>
      <c r="H58" t="s">
        <v>453</v>
      </c>
      <c r="I58" t="s">
        <v>463</v>
      </c>
      <c r="K58" s="38">
        <v>1</v>
      </c>
      <c r="L58" t="s">
        <v>460</v>
      </c>
      <c r="M58" s="37">
        <v>1</v>
      </c>
      <c r="N58" s="37">
        <v>0.3</v>
      </c>
      <c r="O58">
        <v>1</v>
      </c>
      <c r="P58" s="37">
        <v>1</v>
      </c>
      <c r="Q58">
        <v>1</v>
      </c>
      <c r="R58">
        <v>3386</v>
      </c>
      <c r="S58">
        <v>3386</v>
      </c>
      <c r="T58">
        <v>3000</v>
      </c>
      <c r="U58" t="s">
        <v>461</v>
      </c>
      <c r="X58">
        <v>100</v>
      </c>
      <c r="Y58" t="s">
        <v>444</v>
      </c>
      <c r="Z58" s="37">
        <v>1</v>
      </c>
      <c r="AA58" s="37">
        <v>0.4</v>
      </c>
      <c r="AB58">
        <v>1</v>
      </c>
    </row>
    <row r="59">
      <c r="A59" t="s">
        <v>457</v>
      </c>
      <c r="B59" t="s">
        <v>377</v>
      </c>
      <c r="C59" t="s">
        <v>377</v>
      </c>
      <c r="D59" t="s">
        <v>450</v>
      </c>
      <c r="E59" t="s">
        <v>458</v>
      </c>
      <c r="F59" t="s">
        <v>298</v>
      </c>
      <c r="G59" t="s">
        <v>452</v>
      </c>
      <c r="H59" t="s">
        <v>453</v>
      </c>
      <c r="I59" t="s">
        <v>463</v>
      </c>
      <c r="K59" s="38">
        <v>1</v>
      </c>
      <c r="L59" t="s">
        <v>460</v>
      </c>
      <c r="M59" s="37">
        <v>1</v>
      </c>
      <c r="N59" s="37">
        <v>0.3</v>
      </c>
      <c r="O59">
        <v>1</v>
      </c>
      <c r="P59" s="37">
        <v>1</v>
      </c>
      <c r="Q59">
        <v>1</v>
      </c>
      <c r="R59">
        <v>3386</v>
      </c>
      <c r="S59">
        <v>3386</v>
      </c>
      <c r="T59">
        <v>3000</v>
      </c>
      <c r="U59" t="s">
        <v>462</v>
      </c>
      <c r="X59">
        <v>100</v>
      </c>
      <c r="Y59" t="s">
        <v>444</v>
      </c>
      <c r="Z59" s="37">
        <v>1</v>
      </c>
      <c r="AA59" s="37">
        <v>0.6</v>
      </c>
      <c r="AB59">
        <v>1</v>
      </c>
    </row>
    <row r="60">
      <c r="A60" t="s">
        <v>464</v>
      </c>
      <c r="B60" t="s">
        <v>377</v>
      </c>
      <c r="C60" t="s">
        <v>377</v>
      </c>
      <c r="D60" t="s">
        <v>465</v>
      </c>
      <c r="E60" t="s">
        <v>466</v>
      </c>
      <c r="F60" t="s">
        <v>298</v>
      </c>
      <c r="G60" t="s">
        <v>452</v>
      </c>
      <c r="H60" t="s">
        <v>467</v>
      </c>
      <c r="I60" t="s">
        <v>468</v>
      </c>
      <c r="J60" s="38">
        <v>1</v>
      </c>
      <c r="K60" s="37">
        <v>0.7943</v>
      </c>
      <c r="L60" t="s">
        <v>469</v>
      </c>
      <c r="M60" s="37">
        <v>0.7943</v>
      </c>
      <c r="N60" s="37">
        <v>0.3</v>
      </c>
      <c r="O60">
        <v>0.6354</v>
      </c>
      <c r="P60" s="37">
        <v>0.85829</v>
      </c>
      <c r="Q60">
        <v>0.81</v>
      </c>
      <c r="R60">
        <v>2128</v>
      </c>
      <c r="S60">
        <v>2128</v>
      </c>
      <c r="T60">
        <v>2200</v>
      </c>
      <c r="U60" t="s">
        <v>462</v>
      </c>
      <c r="X60">
        <v>100</v>
      </c>
      <c r="Y60" t="s">
        <v>444</v>
      </c>
      <c r="Z60" s="37">
        <v>1</v>
      </c>
      <c r="AA60" s="37">
        <v>0.6</v>
      </c>
      <c r="AB60">
        <v>1</v>
      </c>
    </row>
    <row r="61">
      <c r="A61" t="s">
        <v>464</v>
      </c>
      <c r="B61" t="s">
        <v>377</v>
      </c>
      <c r="C61" t="s">
        <v>377</v>
      </c>
      <c r="D61" t="s">
        <v>465</v>
      </c>
      <c r="E61" t="s">
        <v>466</v>
      </c>
      <c r="F61" t="s">
        <v>298</v>
      </c>
      <c r="G61" t="s">
        <v>452</v>
      </c>
      <c r="H61" t="s">
        <v>470</v>
      </c>
      <c r="I61" t="s">
        <v>471</v>
      </c>
      <c r="J61" s="38">
        <v>1</v>
      </c>
      <c r="K61" s="38">
        <v>0.8</v>
      </c>
      <c r="L61" t="s">
        <v>472</v>
      </c>
      <c r="M61" s="37">
        <v>0.8</v>
      </c>
      <c r="N61" s="37">
        <v>0.4</v>
      </c>
      <c r="O61">
        <v>0.8</v>
      </c>
      <c r="P61" s="37">
        <v>0.85829</v>
      </c>
      <c r="Q61">
        <v>0.81</v>
      </c>
      <c r="R61">
        <v>2128</v>
      </c>
      <c r="S61">
        <v>2128</v>
      </c>
      <c r="T61">
        <v>2200</v>
      </c>
      <c r="U61" t="s">
        <v>462</v>
      </c>
      <c r="X61">
        <v>100</v>
      </c>
      <c r="Y61" t="s">
        <v>444</v>
      </c>
      <c r="Z61" s="37">
        <v>1</v>
      </c>
      <c r="AA61" s="37">
        <v>0.6</v>
      </c>
      <c r="AB61">
        <v>1</v>
      </c>
    </row>
    <row r="62">
      <c r="A62" t="s">
        <v>464</v>
      </c>
      <c r="B62" t="s">
        <v>377</v>
      </c>
      <c r="C62" t="s">
        <v>377</v>
      </c>
      <c r="D62" t="s">
        <v>465</v>
      </c>
      <c r="E62" t="s">
        <v>466</v>
      </c>
      <c r="F62" t="s">
        <v>298</v>
      </c>
      <c r="G62" t="s">
        <v>452</v>
      </c>
      <c r="H62" t="s">
        <v>473</v>
      </c>
      <c r="I62" t="s">
        <v>474</v>
      </c>
      <c r="J62" s="38">
        <v>1</v>
      </c>
      <c r="K62" s="38">
        <v>1</v>
      </c>
      <c r="L62" t="s">
        <v>455</v>
      </c>
      <c r="M62" s="37">
        <v>1</v>
      </c>
      <c r="N62" s="37">
        <v>0.3</v>
      </c>
      <c r="O62">
        <v>1</v>
      </c>
      <c r="P62" s="37">
        <v>0.85829</v>
      </c>
      <c r="Q62">
        <v>0.81</v>
      </c>
      <c r="R62">
        <v>2128</v>
      </c>
      <c r="S62">
        <v>2128</v>
      </c>
      <c r="T62">
        <v>2200</v>
      </c>
      <c r="U62" t="s">
        <v>462</v>
      </c>
      <c r="X62">
        <v>100</v>
      </c>
      <c r="Y62" t="s">
        <v>444</v>
      </c>
      <c r="Z62" s="37">
        <v>1</v>
      </c>
      <c r="AA62" s="37">
        <v>0.6</v>
      </c>
      <c r="AB62">
        <v>1</v>
      </c>
    </row>
    <row r="63">
      <c r="A63" t="s">
        <v>475</v>
      </c>
      <c r="B63" t="s">
        <v>377</v>
      </c>
      <c r="C63" t="s">
        <v>377</v>
      </c>
      <c r="D63" t="s">
        <v>359</v>
      </c>
      <c r="E63" t="s">
        <v>476</v>
      </c>
      <c r="F63" t="s">
        <v>298</v>
      </c>
      <c r="G63" t="s">
        <v>452</v>
      </c>
      <c r="H63" t="s">
        <v>473</v>
      </c>
      <c r="I63" t="s">
        <v>477</v>
      </c>
      <c r="J63">
        <v>100</v>
      </c>
      <c r="K63">
        <v>80</v>
      </c>
      <c r="L63" t="s">
        <v>478</v>
      </c>
      <c r="M63" s="37">
        <v>0.8</v>
      </c>
      <c r="N63" s="37">
        <v>0.6</v>
      </c>
      <c r="O63">
        <v>0.8</v>
      </c>
      <c r="P63" s="37">
        <v>0.8</v>
      </c>
      <c r="Q63">
        <v>0.8</v>
      </c>
      <c r="R63">
        <v>4300</v>
      </c>
      <c r="S63">
        <v>4300</v>
      </c>
      <c r="T63">
        <v>5000</v>
      </c>
      <c r="U63" t="s">
        <v>462</v>
      </c>
      <c r="X63">
        <v>100</v>
      </c>
      <c r="Y63" t="s">
        <v>444</v>
      </c>
      <c r="Z63" s="37">
        <v>1</v>
      </c>
      <c r="AA63" s="37">
        <v>0.6</v>
      </c>
      <c r="AB63">
        <v>1</v>
      </c>
    </row>
    <row r="64">
      <c r="A64" t="s">
        <v>475</v>
      </c>
      <c r="B64" t="s">
        <v>377</v>
      </c>
      <c r="C64" t="s">
        <v>377</v>
      </c>
      <c r="D64" t="s">
        <v>359</v>
      </c>
      <c r="E64" t="s">
        <v>476</v>
      </c>
      <c r="F64" t="s">
        <v>298</v>
      </c>
      <c r="G64" t="s">
        <v>452</v>
      </c>
      <c r="H64" t="s">
        <v>473</v>
      </c>
      <c r="I64" t="s">
        <v>479</v>
      </c>
      <c r="J64">
        <v>100</v>
      </c>
      <c r="K64">
        <v>80</v>
      </c>
      <c r="L64" t="s">
        <v>480</v>
      </c>
      <c r="M64" s="37">
        <v>0.8</v>
      </c>
      <c r="N64" s="37">
        <v>0.1</v>
      </c>
      <c r="O64">
        <v>0.8</v>
      </c>
      <c r="P64" s="37">
        <v>0.8</v>
      </c>
      <c r="Q64">
        <v>0.8</v>
      </c>
      <c r="R64">
        <v>4300</v>
      </c>
      <c r="S64">
        <v>4300</v>
      </c>
      <c r="T64">
        <v>5000</v>
      </c>
      <c r="U64" t="s">
        <v>462</v>
      </c>
      <c r="X64">
        <v>100</v>
      </c>
      <c r="Y64" t="s">
        <v>444</v>
      </c>
      <c r="Z64" s="37">
        <v>1</v>
      </c>
      <c r="AA64" s="37">
        <v>0.6</v>
      </c>
      <c r="AB64">
        <v>1</v>
      </c>
    </row>
    <row r="65">
      <c r="A65" t="s">
        <v>475</v>
      </c>
      <c r="B65" t="s">
        <v>377</v>
      </c>
      <c r="C65" t="s">
        <v>377</v>
      </c>
      <c r="D65" t="s">
        <v>359</v>
      </c>
      <c r="E65" t="s">
        <v>476</v>
      </c>
      <c r="F65" t="s">
        <v>298</v>
      </c>
      <c r="G65" t="s">
        <v>452</v>
      </c>
      <c r="H65" t="s">
        <v>473</v>
      </c>
      <c r="I65" t="s">
        <v>481</v>
      </c>
      <c r="J65">
        <v>100</v>
      </c>
      <c r="K65">
        <v>80</v>
      </c>
      <c r="L65" t="s">
        <v>482</v>
      </c>
      <c r="M65" s="37">
        <v>0.8</v>
      </c>
      <c r="N65" s="37">
        <v>0.3</v>
      </c>
      <c r="O65">
        <v>0.8</v>
      </c>
      <c r="P65" s="37">
        <v>0.8</v>
      </c>
      <c r="Q65">
        <v>0.8</v>
      </c>
      <c r="R65">
        <v>4300</v>
      </c>
      <c r="S65">
        <v>4300</v>
      </c>
      <c r="T65">
        <v>5000</v>
      </c>
      <c r="U65" t="s">
        <v>462</v>
      </c>
      <c r="X65">
        <v>100</v>
      </c>
      <c r="Y65" t="s">
        <v>444</v>
      </c>
      <c r="Z65" s="37">
        <v>1</v>
      </c>
      <c r="AA65" s="37">
        <v>0.6</v>
      </c>
      <c r="AB65">
        <v>1</v>
      </c>
    </row>
    <row r="66">
      <c r="A66" t="s">
        <v>483</v>
      </c>
      <c r="B66" t="s">
        <v>484</v>
      </c>
      <c r="C66" t="s">
        <v>484</v>
      </c>
      <c r="D66" t="s">
        <v>485</v>
      </c>
      <c r="E66" t="s">
        <v>486</v>
      </c>
      <c r="F66" t="s">
        <v>298</v>
      </c>
      <c r="G66" t="s">
        <v>487</v>
      </c>
      <c r="H66" t="s">
        <v>488</v>
      </c>
      <c r="I66" t="s">
        <v>489</v>
      </c>
      <c r="J66" s="38">
        <v>1</v>
      </c>
      <c r="K66">
        <v>80</v>
      </c>
      <c r="M66" s="37">
        <v>0.4</v>
      </c>
      <c r="N66" s="37">
        <v>0.4</v>
      </c>
      <c r="O66">
        <v>0.4</v>
      </c>
      <c r="P66" s="37">
        <v>0.67</v>
      </c>
      <c r="Q66">
        <v>1.07</v>
      </c>
      <c r="R66">
        <v>3200</v>
      </c>
      <c r="S66">
        <v>3200</v>
      </c>
      <c r="T66">
        <v>2800</v>
      </c>
      <c r="U66" t="s">
        <v>462</v>
      </c>
      <c r="X66">
        <v>100</v>
      </c>
      <c r="Y66" t="s">
        <v>444</v>
      </c>
      <c r="Z66" s="37">
        <v>1</v>
      </c>
      <c r="AA66" s="37">
        <v>0.6</v>
      </c>
      <c r="AB66">
        <v>1</v>
      </c>
    </row>
    <row r="67">
      <c r="A67" t="s">
        <v>483</v>
      </c>
      <c r="B67" t="s">
        <v>484</v>
      </c>
      <c r="C67" t="s">
        <v>484</v>
      </c>
      <c r="D67" t="s">
        <v>485</v>
      </c>
      <c r="E67" t="s">
        <v>486</v>
      </c>
      <c r="F67" t="s">
        <v>298</v>
      </c>
      <c r="G67" t="s">
        <v>487</v>
      </c>
      <c r="H67" t="s">
        <v>488</v>
      </c>
      <c r="I67" t="s">
        <v>490</v>
      </c>
      <c r="J67" s="38">
        <v>1</v>
      </c>
      <c r="K67">
        <v>80</v>
      </c>
      <c r="M67" s="37">
        <v>1</v>
      </c>
      <c r="N67" s="37">
        <v>0.3</v>
      </c>
      <c r="O67">
        <v>1</v>
      </c>
      <c r="P67" s="37">
        <v>0.67</v>
      </c>
      <c r="Q67">
        <v>1.07</v>
      </c>
      <c r="R67">
        <v>3200</v>
      </c>
      <c r="S67">
        <v>3200</v>
      </c>
      <c r="T67">
        <v>2800</v>
      </c>
      <c r="U67" t="s">
        <v>462</v>
      </c>
      <c r="X67">
        <v>100</v>
      </c>
      <c r="Y67" t="s">
        <v>444</v>
      </c>
      <c r="Z67" s="37">
        <v>1</v>
      </c>
      <c r="AA67" s="37">
        <v>0.6</v>
      </c>
      <c r="AB67">
        <v>1</v>
      </c>
    </row>
    <row r="68">
      <c r="A68" t="s">
        <v>483</v>
      </c>
      <c r="B68" t="s">
        <v>484</v>
      </c>
      <c r="C68" t="s">
        <v>484</v>
      </c>
      <c r="D68" t="s">
        <v>485</v>
      </c>
      <c r="E68" t="s">
        <v>486</v>
      </c>
      <c r="F68" t="s">
        <v>298</v>
      </c>
      <c r="G68" t="s">
        <v>487</v>
      </c>
      <c r="H68" t="s">
        <v>488</v>
      </c>
      <c r="I68" t="s">
        <v>491</v>
      </c>
      <c r="J68" s="38">
        <v>1</v>
      </c>
      <c r="K68">
        <v>80</v>
      </c>
      <c r="M68" s="37">
        <v>0.7</v>
      </c>
      <c r="N68" s="37">
        <v>0.3</v>
      </c>
      <c r="O68">
        <v>0.7</v>
      </c>
      <c r="P68" s="37">
        <v>0.67</v>
      </c>
      <c r="Q68">
        <v>1.07</v>
      </c>
      <c r="R68">
        <v>3200</v>
      </c>
      <c r="S68">
        <v>3200</v>
      </c>
      <c r="T68">
        <v>2800</v>
      </c>
      <c r="U68" t="s">
        <v>462</v>
      </c>
      <c r="X68">
        <v>100</v>
      </c>
      <c r="Y68" t="s">
        <v>444</v>
      </c>
      <c r="Z68" s="37">
        <v>1</v>
      </c>
      <c r="AA68" s="37">
        <v>0.6</v>
      </c>
      <c r="AB68">
        <v>1</v>
      </c>
    </row>
    <row r="69">
      <c r="A69" t="s">
        <v>492</v>
      </c>
      <c r="B69" t="s">
        <v>484</v>
      </c>
      <c r="C69" t="s">
        <v>484</v>
      </c>
      <c r="D69" t="s">
        <v>485</v>
      </c>
      <c r="E69" t="s">
        <v>493</v>
      </c>
      <c r="F69" t="s">
        <v>298</v>
      </c>
      <c r="G69" t="s">
        <v>487</v>
      </c>
      <c r="H69" t="s">
        <v>488</v>
      </c>
      <c r="I69" t="s">
        <v>489</v>
      </c>
      <c r="J69" t="s">
        <v>494</v>
      </c>
      <c r="K69">
        <v>80</v>
      </c>
      <c r="M69" s="37">
        <v>1</v>
      </c>
      <c r="N69" s="37">
        <v>0.4</v>
      </c>
      <c r="O69">
        <v>1</v>
      </c>
      <c r="P69" s="37">
        <v>0.67</v>
      </c>
      <c r="Q69">
        <v>0.77</v>
      </c>
      <c r="R69">
        <v>2216</v>
      </c>
      <c r="S69">
        <v>2216</v>
      </c>
      <c r="T69">
        <v>2800</v>
      </c>
      <c r="U69" t="s">
        <v>462</v>
      </c>
      <c r="X69">
        <v>100</v>
      </c>
      <c r="Y69" t="s">
        <v>444</v>
      </c>
      <c r="Z69" s="37">
        <v>1</v>
      </c>
      <c r="AA69" s="37">
        <v>0.6</v>
      </c>
      <c r="AB69">
        <v>1</v>
      </c>
    </row>
    <row r="70">
      <c r="A70" t="s">
        <v>492</v>
      </c>
      <c r="B70" t="s">
        <v>484</v>
      </c>
      <c r="C70" t="s">
        <v>484</v>
      </c>
      <c r="D70" t="s">
        <v>485</v>
      </c>
      <c r="E70" t="s">
        <v>493</v>
      </c>
      <c r="F70" t="s">
        <v>298</v>
      </c>
      <c r="G70" t="s">
        <v>487</v>
      </c>
      <c r="H70" t="s">
        <v>488</v>
      </c>
      <c r="I70" t="s">
        <v>490</v>
      </c>
      <c r="J70" s="38">
        <v>1</v>
      </c>
      <c r="K70">
        <v>80</v>
      </c>
      <c r="M70" s="37">
        <v>0.2</v>
      </c>
      <c r="N70" s="37">
        <v>0.3</v>
      </c>
      <c r="O70">
        <v>0.2</v>
      </c>
      <c r="P70" s="37">
        <v>0.67</v>
      </c>
      <c r="Q70">
        <v>0.77</v>
      </c>
      <c r="R70">
        <v>2216</v>
      </c>
      <c r="S70">
        <v>2216</v>
      </c>
      <c r="T70">
        <v>2800</v>
      </c>
      <c r="U70" t="s">
        <v>462</v>
      </c>
      <c r="X70">
        <v>100</v>
      </c>
      <c r="Y70" t="s">
        <v>444</v>
      </c>
      <c r="Z70" s="37">
        <v>1</v>
      </c>
      <c r="AA70" s="37">
        <v>0.6</v>
      </c>
      <c r="AB70">
        <v>1</v>
      </c>
    </row>
    <row r="71">
      <c r="A71" t="s">
        <v>492</v>
      </c>
      <c r="B71" t="s">
        <v>484</v>
      </c>
      <c r="C71" t="s">
        <v>484</v>
      </c>
      <c r="D71" t="s">
        <v>485</v>
      </c>
      <c r="E71" t="s">
        <v>493</v>
      </c>
      <c r="F71" t="s">
        <v>298</v>
      </c>
      <c r="G71" t="s">
        <v>487</v>
      </c>
      <c r="H71" t="s">
        <v>488</v>
      </c>
      <c r="I71" t="s">
        <v>491</v>
      </c>
      <c r="J71" s="38">
        <v>1</v>
      </c>
      <c r="K71">
        <v>80</v>
      </c>
      <c r="M71" s="37">
        <v>0.7</v>
      </c>
      <c r="N71" s="37">
        <v>0.3</v>
      </c>
      <c r="O71">
        <v>0.7</v>
      </c>
      <c r="P71" s="37">
        <v>0.67</v>
      </c>
      <c r="Q71">
        <v>0.77</v>
      </c>
      <c r="R71">
        <v>2216</v>
      </c>
      <c r="S71">
        <v>2216</v>
      </c>
      <c r="T71">
        <v>2800</v>
      </c>
      <c r="U71" t="s">
        <v>462</v>
      </c>
      <c r="X71">
        <v>100</v>
      </c>
      <c r="Y71" t="s">
        <v>444</v>
      </c>
      <c r="Z71" s="37">
        <v>1</v>
      </c>
      <c r="AA71" s="37">
        <v>0.6</v>
      </c>
      <c r="AB71">
        <v>1</v>
      </c>
    </row>
    <row r="72">
      <c r="A72" t="s">
        <v>495</v>
      </c>
      <c r="B72" t="s">
        <v>484</v>
      </c>
      <c r="C72" t="s">
        <v>484</v>
      </c>
      <c r="D72" t="s">
        <v>485</v>
      </c>
      <c r="E72" t="s">
        <v>496</v>
      </c>
      <c r="F72" t="s">
        <v>298</v>
      </c>
      <c r="G72" t="s">
        <v>487</v>
      </c>
      <c r="H72" t="s">
        <v>488</v>
      </c>
      <c r="I72" t="s">
        <v>489</v>
      </c>
      <c r="J72" s="38">
        <v>1</v>
      </c>
      <c r="K72">
        <v>80</v>
      </c>
      <c r="M72" s="37">
        <v>0.4</v>
      </c>
      <c r="N72" s="37">
        <v>0.4</v>
      </c>
      <c r="O72">
        <v>0.4</v>
      </c>
      <c r="P72" s="37">
        <v>0.58</v>
      </c>
      <c r="Q72">
        <v>0.68</v>
      </c>
      <c r="R72">
        <v>0</v>
      </c>
      <c r="S72">
        <v>0</v>
      </c>
      <c r="T72">
        <v>2800</v>
      </c>
      <c r="U72" t="s">
        <v>462</v>
      </c>
      <c r="X72">
        <v>100</v>
      </c>
      <c r="Y72" t="s">
        <v>444</v>
      </c>
      <c r="Z72" s="37">
        <v>1</v>
      </c>
      <c r="AA72" s="37">
        <v>0.6</v>
      </c>
      <c r="AB72">
        <v>1</v>
      </c>
    </row>
    <row r="73">
      <c r="A73" t="s">
        <v>495</v>
      </c>
      <c r="B73" t="s">
        <v>484</v>
      </c>
      <c r="C73" t="s">
        <v>484</v>
      </c>
      <c r="D73" t="s">
        <v>485</v>
      </c>
      <c r="E73" t="s">
        <v>496</v>
      </c>
      <c r="F73" t="s">
        <v>298</v>
      </c>
      <c r="G73" t="s">
        <v>487</v>
      </c>
      <c r="H73" t="s">
        <v>488</v>
      </c>
      <c r="I73" t="s">
        <v>497</v>
      </c>
      <c r="J73" s="38">
        <v>1</v>
      </c>
      <c r="K73">
        <v>80</v>
      </c>
      <c r="M73" s="37">
        <v>1</v>
      </c>
      <c r="N73" s="37">
        <v>0.3</v>
      </c>
      <c r="O73">
        <v>1</v>
      </c>
      <c r="P73" s="37">
        <v>0.58</v>
      </c>
      <c r="Q73">
        <v>0.68</v>
      </c>
      <c r="R73">
        <v>0</v>
      </c>
      <c r="S73">
        <v>0</v>
      </c>
      <c r="T73">
        <v>2800</v>
      </c>
      <c r="U73" t="s">
        <v>462</v>
      </c>
      <c r="X73">
        <v>100</v>
      </c>
      <c r="Y73" t="s">
        <v>444</v>
      </c>
      <c r="Z73" s="37">
        <v>1</v>
      </c>
      <c r="AA73" s="37">
        <v>0.6</v>
      </c>
      <c r="AB73">
        <v>1</v>
      </c>
    </row>
    <row r="74">
      <c r="A74" t="s">
        <v>495</v>
      </c>
      <c r="B74" t="s">
        <v>484</v>
      </c>
      <c r="C74" t="s">
        <v>484</v>
      </c>
      <c r="D74" t="s">
        <v>485</v>
      </c>
      <c r="E74" t="s">
        <v>496</v>
      </c>
      <c r="F74" t="s">
        <v>298</v>
      </c>
      <c r="G74" t="s">
        <v>487</v>
      </c>
      <c r="H74" t="s">
        <v>498</v>
      </c>
      <c r="I74" t="s">
        <v>499</v>
      </c>
      <c r="J74" s="38">
        <v>1</v>
      </c>
      <c r="K74" t="s">
        <v>500</v>
      </c>
      <c r="M74" s="37">
        <v>0.4</v>
      </c>
      <c r="N74" s="37">
        <v>0.3</v>
      </c>
      <c r="O74">
        <v>0.4</v>
      </c>
      <c r="P74" s="37">
        <v>0.58</v>
      </c>
      <c r="Q74">
        <v>0.68</v>
      </c>
      <c r="R74">
        <v>0</v>
      </c>
      <c r="S74">
        <v>0</v>
      </c>
      <c r="T74">
        <v>2800</v>
      </c>
      <c r="U74" t="s">
        <v>462</v>
      </c>
      <c r="X74">
        <v>100</v>
      </c>
      <c r="Y74" t="s">
        <v>444</v>
      </c>
      <c r="Z74" s="37">
        <v>1</v>
      </c>
      <c r="AA74" s="37">
        <v>0.6</v>
      </c>
      <c r="AB74">
        <v>1</v>
      </c>
    </row>
    <row r="75">
      <c r="A75" t="s">
        <v>501</v>
      </c>
      <c r="B75" t="s">
        <v>484</v>
      </c>
      <c r="C75" t="s">
        <v>484</v>
      </c>
      <c r="D75" t="s">
        <v>502</v>
      </c>
      <c r="E75" t="s">
        <v>503</v>
      </c>
      <c r="F75" t="s">
        <v>298</v>
      </c>
      <c r="G75" t="s">
        <v>504</v>
      </c>
      <c r="H75" t="s">
        <v>488</v>
      </c>
      <c r="I75" t="s">
        <v>505</v>
      </c>
      <c r="J75" s="38">
        <v>1</v>
      </c>
      <c r="K75" t="s">
        <v>500</v>
      </c>
      <c r="L75" s="38">
        <v>1</v>
      </c>
      <c r="M75" s="37">
        <v>1</v>
      </c>
      <c r="N75" s="37">
        <v>0.3</v>
      </c>
      <c r="O75">
        <v>0.3</v>
      </c>
      <c r="P75" s="37">
        <v>0.7</v>
      </c>
      <c r="Q75">
        <v>0.75</v>
      </c>
      <c r="R75">
        <v>3810</v>
      </c>
      <c r="S75">
        <v>3810</v>
      </c>
      <c r="T75">
        <v>5000</v>
      </c>
      <c r="U75" t="s">
        <v>462</v>
      </c>
      <c r="X75">
        <v>100</v>
      </c>
      <c r="Y75" t="s">
        <v>444</v>
      </c>
      <c r="Z75" s="37">
        <v>1</v>
      </c>
      <c r="AA75" s="37">
        <v>0.6</v>
      </c>
      <c r="AB75">
        <v>1</v>
      </c>
    </row>
    <row r="76">
      <c r="A76" t="s">
        <v>501</v>
      </c>
      <c r="B76" t="s">
        <v>484</v>
      </c>
      <c r="C76" t="s">
        <v>484</v>
      </c>
      <c r="D76" t="s">
        <v>502</v>
      </c>
      <c r="E76" t="s">
        <v>503</v>
      </c>
      <c r="F76" t="s">
        <v>298</v>
      </c>
      <c r="G76" t="s">
        <v>504</v>
      </c>
      <c r="H76" t="s">
        <v>488</v>
      </c>
      <c r="I76" t="s">
        <v>506</v>
      </c>
      <c r="J76" s="38">
        <v>1</v>
      </c>
      <c r="K76" t="s">
        <v>500</v>
      </c>
      <c r="L76" s="38">
        <v>1</v>
      </c>
      <c r="M76" s="37">
        <v>0</v>
      </c>
      <c r="N76" s="37">
        <v>0.3</v>
      </c>
      <c r="O76">
        <v>0</v>
      </c>
      <c r="P76" s="37">
        <v>0.7</v>
      </c>
      <c r="Q76">
        <v>0.75</v>
      </c>
      <c r="R76">
        <v>3810</v>
      </c>
      <c r="S76">
        <v>3810</v>
      </c>
      <c r="T76">
        <v>5000</v>
      </c>
      <c r="U76" t="s">
        <v>462</v>
      </c>
      <c r="X76">
        <v>100</v>
      </c>
      <c r="Y76" t="s">
        <v>444</v>
      </c>
      <c r="Z76" s="37">
        <v>1</v>
      </c>
      <c r="AA76" s="37">
        <v>0.6</v>
      </c>
      <c r="AB76">
        <v>1</v>
      </c>
    </row>
    <row r="77">
      <c r="A77" t="s">
        <v>501</v>
      </c>
      <c r="B77" t="s">
        <v>484</v>
      </c>
      <c r="C77" t="s">
        <v>484</v>
      </c>
      <c r="D77" t="s">
        <v>502</v>
      </c>
      <c r="E77" t="s">
        <v>503</v>
      </c>
      <c r="F77" t="s">
        <v>298</v>
      </c>
      <c r="G77" t="s">
        <v>504</v>
      </c>
      <c r="H77" t="s">
        <v>507</v>
      </c>
      <c r="I77" t="s">
        <v>507</v>
      </c>
      <c r="J77" s="38">
        <v>1</v>
      </c>
      <c r="K77" s="38">
        <v>1</v>
      </c>
      <c r="L77" s="38">
        <v>1</v>
      </c>
      <c r="M77" s="37">
        <v>1</v>
      </c>
      <c r="N77" s="37">
        <v>0.4</v>
      </c>
      <c r="O77">
        <v>0.4</v>
      </c>
      <c r="P77" s="37">
        <v>0.7</v>
      </c>
      <c r="Q77">
        <v>0.75</v>
      </c>
      <c r="R77">
        <v>3810</v>
      </c>
      <c r="S77">
        <v>3810</v>
      </c>
      <c r="T77">
        <v>5000</v>
      </c>
      <c r="U77" t="s">
        <v>462</v>
      </c>
      <c r="X77">
        <v>100</v>
      </c>
      <c r="Y77" t="s">
        <v>444</v>
      </c>
      <c r="Z77" s="37">
        <v>1</v>
      </c>
      <c r="AA77" s="37">
        <v>0.6</v>
      </c>
      <c r="AB77">
        <v>1</v>
      </c>
    </row>
    <row r="78">
      <c r="A78" t="s">
        <v>508</v>
      </c>
      <c r="B78" t="s">
        <v>484</v>
      </c>
      <c r="C78" t="s">
        <v>484</v>
      </c>
      <c r="D78" t="s">
        <v>509</v>
      </c>
      <c r="E78" t="s">
        <v>510</v>
      </c>
      <c r="F78" t="s">
        <v>298</v>
      </c>
      <c r="G78" t="s">
        <v>504</v>
      </c>
      <c r="H78" t="s">
        <v>488</v>
      </c>
      <c r="I78" t="s">
        <v>511</v>
      </c>
      <c r="J78" s="38">
        <v>1</v>
      </c>
      <c r="K78" t="s">
        <v>512</v>
      </c>
      <c r="L78" t="s">
        <v>513</v>
      </c>
      <c r="M78" s="37">
        <v>1</v>
      </c>
      <c r="N78" s="37">
        <v>0.3</v>
      </c>
      <c r="O78">
        <v>1</v>
      </c>
      <c r="P78" s="37">
        <v>0.73</v>
      </c>
      <c r="Q78">
        <v>0.83</v>
      </c>
      <c r="R78">
        <v>2870</v>
      </c>
      <c r="S78">
        <v>2870</v>
      </c>
      <c r="T78">
        <v>3000</v>
      </c>
      <c r="U78" t="s">
        <v>462</v>
      </c>
      <c r="X78">
        <v>100</v>
      </c>
      <c r="Y78" t="s">
        <v>444</v>
      </c>
      <c r="Z78" s="37">
        <v>1</v>
      </c>
      <c r="AA78" s="37">
        <v>0.6</v>
      </c>
      <c r="AB78">
        <v>1</v>
      </c>
    </row>
    <row r="79">
      <c r="A79" t="s">
        <v>508</v>
      </c>
      <c r="B79" t="s">
        <v>484</v>
      </c>
      <c r="C79" t="s">
        <v>484</v>
      </c>
      <c r="D79" t="s">
        <v>509</v>
      </c>
      <c r="E79" t="s">
        <v>510</v>
      </c>
      <c r="F79" t="s">
        <v>298</v>
      </c>
      <c r="G79" t="s">
        <v>504</v>
      </c>
      <c r="H79" t="s">
        <v>488</v>
      </c>
      <c r="I79" t="s">
        <v>514</v>
      </c>
      <c r="J79" s="38">
        <v>1</v>
      </c>
      <c r="K79" t="s">
        <v>512</v>
      </c>
      <c r="L79" t="s">
        <v>515</v>
      </c>
      <c r="M79" s="37">
        <v>0.1</v>
      </c>
      <c r="N79" s="37">
        <v>0.3</v>
      </c>
      <c r="O79">
        <v>0.1</v>
      </c>
      <c r="P79" s="37">
        <v>0.73</v>
      </c>
      <c r="Q79">
        <v>0.83</v>
      </c>
      <c r="R79">
        <v>2870</v>
      </c>
      <c r="S79">
        <v>2870</v>
      </c>
      <c r="T79">
        <v>3000</v>
      </c>
      <c r="U79" t="s">
        <v>462</v>
      </c>
      <c r="X79">
        <v>100</v>
      </c>
      <c r="Y79" t="s">
        <v>444</v>
      </c>
      <c r="Z79" s="37">
        <v>1</v>
      </c>
      <c r="AA79" s="37">
        <v>0.6</v>
      </c>
      <c r="AB79">
        <v>1</v>
      </c>
    </row>
    <row r="80">
      <c r="A80" t="s">
        <v>508</v>
      </c>
      <c r="B80" t="s">
        <v>484</v>
      </c>
      <c r="C80" t="s">
        <v>484</v>
      </c>
      <c r="D80" t="s">
        <v>509</v>
      </c>
      <c r="E80" t="s">
        <v>510</v>
      </c>
      <c r="F80" t="s">
        <v>298</v>
      </c>
      <c r="G80" t="s">
        <v>504</v>
      </c>
      <c r="H80" t="s">
        <v>507</v>
      </c>
      <c r="I80" t="s">
        <v>516</v>
      </c>
      <c r="J80" s="38">
        <v>1</v>
      </c>
      <c r="K80" s="38">
        <v>1</v>
      </c>
      <c r="L80" t="s">
        <v>517</v>
      </c>
      <c r="M80" s="37">
        <v>1</v>
      </c>
      <c r="N80" s="37">
        <v>0.4</v>
      </c>
      <c r="O80">
        <v>1</v>
      </c>
      <c r="P80" s="37">
        <v>0.73</v>
      </c>
      <c r="Q80">
        <v>0.83</v>
      </c>
      <c r="R80">
        <v>2870</v>
      </c>
      <c r="S80">
        <v>2870</v>
      </c>
      <c r="T80">
        <v>3000</v>
      </c>
      <c r="U80" t="s">
        <v>462</v>
      </c>
      <c r="X80">
        <v>100</v>
      </c>
      <c r="Y80" t="s">
        <v>444</v>
      </c>
      <c r="Z80" s="37">
        <v>1</v>
      </c>
      <c r="AA80" s="37">
        <v>0.6</v>
      </c>
      <c r="AB80">
        <v>1</v>
      </c>
    </row>
    <row r="81">
      <c r="A81" t="s">
        <v>518</v>
      </c>
      <c r="B81" t="s">
        <v>484</v>
      </c>
      <c r="C81" t="s">
        <v>484</v>
      </c>
      <c r="D81" t="s">
        <v>509</v>
      </c>
      <c r="E81" t="s">
        <v>519</v>
      </c>
      <c r="F81" t="s">
        <v>298</v>
      </c>
      <c r="G81" t="s">
        <v>504</v>
      </c>
      <c r="H81" t="s">
        <v>507</v>
      </c>
      <c r="I81" t="s">
        <v>520</v>
      </c>
      <c r="J81" s="38">
        <v>1</v>
      </c>
      <c r="K81" t="s">
        <v>521</v>
      </c>
      <c r="L81">
        <v>100</v>
      </c>
      <c r="M81" s="37">
        <v>1</v>
      </c>
      <c r="N81" s="37">
        <v>0.3</v>
      </c>
      <c r="O81">
        <v>1</v>
      </c>
      <c r="P81" s="37">
        <v>1</v>
      </c>
      <c r="Q81">
        <v>1</v>
      </c>
      <c r="R81">
        <v>3400</v>
      </c>
      <c r="S81">
        <v>3400</v>
      </c>
      <c r="T81">
        <v>3000</v>
      </c>
      <c r="U81" t="s">
        <v>462</v>
      </c>
      <c r="X81">
        <v>100</v>
      </c>
      <c r="Y81" t="s">
        <v>444</v>
      </c>
      <c r="Z81" s="37">
        <v>1</v>
      </c>
      <c r="AA81" s="37">
        <v>0.6</v>
      </c>
      <c r="AB81">
        <v>1</v>
      </c>
    </row>
    <row r="82">
      <c r="A82" t="s">
        <v>518</v>
      </c>
      <c r="B82" t="s">
        <v>484</v>
      </c>
      <c r="C82" t="s">
        <v>484</v>
      </c>
      <c r="D82" t="s">
        <v>509</v>
      </c>
      <c r="E82" t="s">
        <v>519</v>
      </c>
      <c r="F82" t="s">
        <v>298</v>
      </c>
      <c r="G82" t="s">
        <v>504</v>
      </c>
      <c r="H82" t="s">
        <v>488</v>
      </c>
      <c r="I82" t="s">
        <v>522</v>
      </c>
      <c r="J82" s="38">
        <v>1</v>
      </c>
      <c r="K82" t="s">
        <v>521</v>
      </c>
      <c r="L82">
        <v>100</v>
      </c>
      <c r="M82" s="37">
        <v>1</v>
      </c>
      <c r="N82" s="37">
        <v>0.3</v>
      </c>
      <c r="O82">
        <v>1</v>
      </c>
      <c r="P82" s="37">
        <v>1</v>
      </c>
      <c r="Q82">
        <v>1</v>
      </c>
      <c r="R82">
        <v>3400</v>
      </c>
      <c r="S82">
        <v>3400</v>
      </c>
      <c r="T82">
        <v>3000</v>
      </c>
      <c r="U82" t="s">
        <v>462</v>
      </c>
      <c r="X82">
        <v>100</v>
      </c>
      <c r="Y82" t="s">
        <v>444</v>
      </c>
      <c r="Z82" s="37">
        <v>1</v>
      </c>
      <c r="AA82" s="37">
        <v>0.6</v>
      </c>
      <c r="AB82">
        <v>1</v>
      </c>
    </row>
    <row r="83">
      <c r="A83" t="s">
        <v>518</v>
      </c>
      <c r="B83" t="s">
        <v>484</v>
      </c>
      <c r="C83" t="s">
        <v>484</v>
      </c>
      <c r="D83" t="s">
        <v>509</v>
      </c>
      <c r="E83" t="s">
        <v>519</v>
      </c>
      <c r="F83" t="s">
        <v>298</v>
      </c>
      <c r="G83" t="s">
        <v>504</v>
      </c>
      <c r="H83" t="s">
        <v>507</v>
      </c>
      <c r="I83" t="s">
        <v>523</v>
      </c>
      <c r="J83" s="38">
        <v>1</v>
      </c>
      <c r="K83" t="s">
        <v>521</v>
      </c>
      <c r="L83">
        <v>100</v>
      </c>
      <c r="M83" s="37">
        <v>1</v>
      </c>
      <c r="N83" s="37">
        <v>0.4</v>
      </c>
      <c r="O83">
        <v>1</v>
      </c>
      <c r="P83" s="37">
        <v>1</v>
      </c>
      <c r="Q83">
        <v>1</v>
      </c>
      <c r="R83">
        <v>3400</v>
      </c>
      <c r="S83">
        <v>3400</v>
      </c>
      <c r="T83">
        <v>3000</v>
      </c>
      <c r="U83" t="s">
        <v>462</v>
      </c>
      <c r="X83">
        <v>100</v>
      </c>
      <c r="Y83" t="s">
        <v>444</v>
      </c>
      <c r="Z83" s="37">
        <v>1</v>
      </c>
      <c r="AA83" s="37">
        <v>0.6</v>
      </c>
      <c r="AB83">
        <v>1</v>
      </c>
    </row>
    <row r="84">
      <c r="A84" t="s">
        <v>524</v>
      </c>
      <c r="B84" t="s">
        <v>525</v>
      </c>
      <c r="C84" t="s">
        <v>525</v>
      </c>
      <c r="D84" t="s">
        <v>526</v>
      </c>
      <c r="E84" t="s">
        <v>527</v>
      </c>
      <c r="F84" t="s">
        <v>298</v>
      </c>
      <c r="G84" t="s">
        <v>528</v>
      </c>
      <c r="H84" t="s">
        <v>529</v>
      </c>
      <c r="I84" t="s">
        <v>530</v>
      </c>
      <c r="J84" t="s">
        <v>531</v>
      </c>
      <c r="K84" t="s">
        <v>531</v>
      </c>
      <c r="L84" t="s">
        <v>532</v>
      </c>
      <c r="M84" s="37">
        <v>1</v>
      </c>
      <c r="N84" s="37">
        <v>0.3</v>
      </c>
      <c r="O84">
        <v>1</v>
      </c>
      <c r="P84" s="37">
        <v>1</v>
      </c>
      <c r="Q84">
        <v>1</v>
      </c>
      <c r="R84">
        <v>2000</v>
      </c>
      <c r="S84">
        <v>2000</v>
      </c>
      <c r="T84">
        <v>2000</v>
      </c>
      <c r="U84" t="s">
        <v>462</v>
      </c>
      <c r="X84">
        <v>100</v>
      </c>
      <c r="Y84" t="s">
        <v>444</v>
      </c>
      <c r="Z84" s="37">
        <v>1</v>
      </c>
      <c r="AA84" s="37">
        <v>0.6</v>
      </c>
      <c r="AB84">
        <v>1</v>
      </c>
    </row>
    <row r="85">
      <c r="A85" t="s">
        <v>524</v>
      </c>
      <c r="B85" t="s">
        <v>525</v>
      </c>
      <c r="C85" t="s">
        <v>525</v>
      </c>
      <c r="D85" t="s">
        <v>526</v>
      </c>
      <c r="E85" t="s">
        <v>527</v>
      </c>
      <c r="F85" t="s">
        <v>298</v>
      </c>
      <c r="G85" t="s">
        <v>528</v>
      </c>
      <c r="H85" t="s">
        <v>533</v>
      </c>
      <c r="I85" t="s">
        <v>534</v>
      </c>
      <c r="J85" t="s">
        <v>531</v>
      </c>
      <c r="K85" t="s">
        <v>531</v>
      </c>
      <c r="L85" t="s">
        <v>535</v>
      </c>
      <c r="M85" s="37">
        <v>1</v>
      </c>
      <c r="N85" s="37">
        <v>0.7</v>
      </c>
      <c r="O85">
        <v>1</v>
      </c>
      <c r="P85" s="37">
        <v>1</v>
      </c>
      <c r="Q85">
        <v>1</v>
      </c>
      <c r="R85">
        <v>2000</v>
      </c>
      <c r="S85">
        <v>2000</v>
      </c>
      <c r="T85">
        <v>2000</v>
      </c>
      <c r="U85" t="s">
        <v>462</v>
      </c>
      <c r="X85">
        <v>100</v>
      </c>
      <c r="Y85" t="s">
        <v>444</v>
      </c>
      <c r="Z85" s="37">
        <v>1</v>
      </c>
      <c r="AA85" s="37">
        <v>0.6</v>
      </c>
      <c r="AB85">
        <v>1</v>
      </c>
    </row>
    <row r="86">
      <c r="A86" t="s">
        <v>536</v>
      </c>
      <c r="B86" t="s">
        <v>525</v>
      </c>
      <c r="C86" t="s">
        <v>525</v>
      </c>
      <c r="D86" t="s">
        <v>526</v>
      </c>
      <c r="E86" t="s">
        <v>537</v>
      </c>
      <c r="F86" t="s">
        <v>298</v>
      </c>
      <c r="G86" t="s">
        <v>528</v>
      </c>
      <c r="H86" t="s">
        <v>538</v>
      </c>
      <c r="I86" t="s">
        <v>539</v>
      </c>
      <c r="J86" t="s">
        <v>540</v>
      </c>
      <c r="K86" t="s">
        <v>541</v>
      </c>
      <c r="L86" t="s">
        <v>535</v>
      </c>
      <c r="M86" s="37">
        <v>1</v>
      </c>
      <c r="N86" s="37">
        <v>0.15</v>
      </c>
      <c r="O86">
        <v>1</v>
      </c>
      <c r="P86" s="37">
        <v>0.83</v>
      </c>
      <c r="Q86">
        <v>0.83</v>
      </c>
      <c r="R86">
        <v>2490</v>
      </c>
      <c r="S86">
        <v>2490</v>
      </c>
      <c r="T86">
        <v>3000</v>
      </c>
      <c r="U86" t="s">
        <v>542</v>
      </c>
      <c r="V86" t="s">
        <v>543</v>
      </c>
      <c r="W86" s="38">
        <v>1</v>
      </c>
      <c r="X86" t="s">
        <v>544</v>
      </c>
      <c r="Y86" t="s">
        <v>444</v>
      </c>
      <c r="Z86" s="37">
        <v>1</v>
      </c>
      <c r="AA86" s="37">
        <v>0.5</v>
      </c>
      <c r="AB86">
        <v>1</v>
      </c>
    </row>
    <row r="87">
      <c r="A87" t="s">
        <v>536</v>
      </c>
      <c r="B87" t="s">
        <v>525</v>
      </c>
      <c r="C87" t="s">
        <v>525</v>
      </c>
      <c r="D87" t="s">
        <v>526</v>
      </c>
      <c r="E87" t="s">
        <v>537</v>
      </c>
      <c r="F87" t="s">
        <v>298</v>
      </c>
      <c r="G87" t="s">
        <v>528</v>
      </c>
      <c r="H87" t="s">
        <v>538</v>
      </c>
      <c r="I87" t="s">
        <v>539</v>
      </c>
      <c r="J87" t="s">
        <v>540</v>
      </c>
      <c r="K87" t="s">
        <v>541</v>
      </c>
      <c r="L87" t="s">
        <v>535</v>
      </c>
      <c r="M87" s="37">
        <v>1</v>
      </c>
      <c r="N87" s="37">
        <v>0.15</v>
      </c>
      <c r="O87">
        <v>1</v>
      </c>
      <c r="P87" s="37">
        <v>0.83</v>
      </c>
      <c r="Q87">
        <v>0.83</v>
      </c>
      <c r="R87">
        <v>2490</v>
      </c>
      <c r="S87">
        <v>2490</v>
      </c>
      <c r="T87">
        <v>3000</v>
      </c>
      <c r="U87" t="s">
        <v>545</v>
      </c>
      <c r="V87" t="s">
        <v>543</v>
      </c>
      <c r="W87" s="38">
        <v>1</v>
      </c>
      <c r="X87" t="s">
        <v>544</v>
      </c>
      <c r="Y87" t="s">
        <v>444</v>
      </c>
      <c r="Z87" s="37">
        <v>1</v>
      </c>
      <c r="AA87" s="37">
        <v>0.25</v>
      </c>
      <c r="AB87">
        <v>1</v>
      </c>
    </row>
    <row r="88">
      <c r="A88" t="s">
        <v>536</v>
      </c>
      <c r="B88" t="s">
        <v>525</v>
      </c>
      <c r="C88" t="s">
        <v>525</v>
      </c>
      <c r="D88" t="s">
        <v>526</v>
      </c>
      <c r="E88" t="s">
        <v>537</v>
      </c>
      <c r="F88" t="s">
        <v>298</v>
      </c>
      <c r="G88" t="s">
        <v>528</v>
      </c>
      <c r="H88" t="s">
        <v>538</v>
      </c>
      <c r="I88" t="s">
        <v>539</v>
      </c>
      <c r="J88" t="s">
        <v>540</v>
      </c>
      <c r="K88" t="s">
        <v>541</v>
      </c>
      <c r="L88" t="s">
        <v>535</v>
      </c>
      <c r="M88" s="37">
        <v>1</v>
      </c>
      <c r="N88" s="37">
        <v>0.15</v>
      </c>
      <c r="O88">
        <v>1</v>
      </c>
      <c r="P88" s="37">
        <v>0.83</v>
      </c>
      <c r="Q88">
        <v>0.83</v>
      </c>
      <c r="R88">
        <v>2490</v>
      </c>
      <c r="S88">
        <v>2490</v>
      </c>
      <c r="T88">
        <v>3000</v>
      </c>
      <c r="U88" t="s">
        <v>546</v>
      </c>
      <c r="V88" t="s">
        <v>543</v>
      </c>
      <c r="W88">
        <v>100</v>
      </c>
      <c r="X88" t="s">
        <v>544</v>
      </c>
      <c r="Y88" t="s">
        <v>444</v>
      </c>
      <c r="Z88" s="37">
        <v>1</v>
      </c>
      <c r="AA88" s="37">
        <v>0.25</v>
      </c>
      <c r="AB88">
        <v>100</v>
      </c>
    </row>
    <row r="89">
      <c r="A89" t="s">
        <v>536</v>
      </c>
      <c r="B89" t="s">
        <v>525</v>
      </c>
      <c r="C89" t="s">
        <v>525</v>
      </c>
      <c r="D89" t="s">
        <v>526</v>
      </c>
      <c r="E89" t="s">
        <v>537</v>
      </c>
      <c r="F89" t="s">
        <v>298</v>
      </c>
      <c r="G89" t="s">
        <v>528</v>
      </c>
      <c r="H89" t="s">
        <v>547</v>
      </c>
      <c r="I89" t="s">
        <v>548</v>
      </c>
      <c r="L89" t="s">
        <v>535</v>
      </c>
      <c r="M89" s="37">
        <v>0.5</v>
      </c>
      <c r="N89" s="37">
        <v>0.2</v>
      </c>
      <c r="O89">
        <v>0.5</v>
      </c>
      <c r="P89" s="37">
        <v>0.83</v>
      </c>
      <c r="Q89">
        <v>0.83</v>
      </c>
      <c r="R89">
        <v>2490</v>
      </c>
      <c r="S89">
        <v>2490</v>
      </c>
      <c r="T89">
        <v>3000</v>
      </c>
      <c r="U89" t="s">
        <v>546</v>
      </c>
      <c r="V89" t="s">
        <v>543</v>
      </c>
      <c r="W89">
        <v>100</v>
      </c>
      <c r="X89" t="s">
        <v>544</v>
      </c>
      <c r="Y89" t="s">
        <v>444</v>
      </c>
      <c r="Z89" s="37">
        <v>1</v>
      </c>
      <c r="AA89" s="37">
        <v>0.25</v>
      </c>
      <c r="AB89">
        <v>100</v>
      </c>
    </row>
    <row r="90">
      <c r="A90" t="s">
        <v>536</v>
      </c>
      <c r="B90" t="s">
        <v>525</v>
      </c>
      <c r="C90" t="s">
        <v>525</v>
      </c>
      <c r="D90" t="s">
        <v>526</v>
      </c>
      <c r="E90" t="s">
        <v>537</v>
      </c>
      <c r="F90" t="s">
        <v>298</v>
      </c>
      <c r="G90" t="s">
        <v>528</v>
      </c>
      <c r="H90" t="s">
        <v>547</v>
      </c>
      <c r="I90" t="s">
        <v>549</v>
      </c>
      <c r="L90" t="s">
        <v>535</v>
      </c>
      <c r="M90" s="37">
        <v>1</v>
      </c>
      <c r="N90" s="37">
        <v>0.3</v>
      </c>
      <c r="O90">
        <v>1</v>
      </c>
      <c r="P90" s="37">
        <v>0.83</v>
      </c>
      <c r="Q90">
        <v>0.83</v>
      </c>
      <c r="R90">
        <v>2490</v>
      </c>
      <c r="S90">
        <v>2490</v>
      </c>
      <c r="T90">
        <v>3000</v>
      </c>
      <c r="U90" t="s">
        <v>546</v>
      </c>
      <c r="V90" t="s">
        <v>543</v>
      </c>
      <c r="W90">
        <v>100</v>
      </c>
      <c r="X90" t="s">
        <v>544</v>
      </c>
      <c r="Y90" t="s">
        <v>444</v>
      </c>
      <c r="Z90" s="37">
        <v>1</v>
      </c>
      <c r="AA90" s="37">
        <v>0.25</v>
      </c>
      <c r="AB90">
        <v>100</v>
      </c>
    </row>
    <row r="91">
      <c r="A91" t="s">
        <v>536</v>
      </c>
      <c r="B91" t="s">
        <v>525</v>
      </c>
      <c r="C91" t="s">
        <v>525</v>
      </c>
      <c r="D91" t="s">
        <v>526</v>
      </c>
      <c r="E91" t="s">
        <v>537</v>
      </c>
      <c r="F91" t="s">
        <v>298</v>
      </c>
      <c r="G91" t="s">
        <v>528</v>
      </c>
      <c r="H91" t="s">
        <v>550</v>
      </c>
      <c r="I91" t="s">
        <v>551</v>
      </c>
      <c r="J91" t="s">
        <v>552</v>
      </c>
      <c r="K91" t="s">
        <v>553</v>
      </c>
      <c r="L91" t="s">
        <v>551</v>
      </c>
      <c r="M91" s="37">
        <v>0.8</v>
      </c>
      <c r="N91" s="37">
        <v>0.35</v>
      </c>
      <c r="O91">
        <v>0.8</v>
      </c>
      <c r="P91" s="37">
        <v>0.83</v>
      </c>
      <c r="Q91">
        <v>0.83</v>
      </c>
      <c r="R91">
        <v>2490</v>
      </c>
      <c r="S91">
        <v>2490</v>
      </c>
      <c r="T91">
        <v>3000</v>
      </c>
      <c r="U91" t="s">
        <v>546</v>
      </c>
      <c r="V91" t="s">
        <v>543</v>
      </c>
      <c r="W91">
        <v>100</v>
      </c>
      <c r="X91" t="s">
        <v>544</v>
      </c>
      <c r="Y91" t="s">
        <v>444</v>
      </c>
      <c r="Z91" s="37">
        <v>1</v>
      </c>
      <c r="AA91" s="37">
        <v>0.25</v>
      </c>
      <c r="AB91">
        <v>100</v>
      </c>
    </row>
    <row r="92">
      <c r="A92" t="s">
        <v>554</v>
      </c>
      <c r="B92" t="s">
        <v>525</v>
      </c>
      <c r="C92" t="s">
        <v>525</v>
      </c>
      <c r="D92" t="s">
        <v>555</v>
      </c>
      <c r="E92" t="s">
        <v>556</v>
      </c>
      <c r="F92" t="s">
        <v>298</v>
      </c>
      <c r="G92" t="s">
        <v>557</v>
      </c>
      <c r="H92" t="s">
        <v>558</v>
      </c>
      <c r="I92" t="s">
        <v>559</v>
      </c>
      <c r="J92" s="38">
        <v>0.8</v>
      </c>
      <c r="K92" s="37">
        <v>0.8667</v>
      </c>
      <c r="L92" t="s">
        <v>560</v>
      </c>
      <c r="M92" s="37">
        <v>1.08</v>
      </c>
      <c r="N92" s="37">
        <v>0.3</v>
      </c>
      <c r="O92">
        <v>1.08</v>
      </c>
      <c r="P92" s="37">
        <v>1.024</v>
      </c>
      <c r="Q92">
        <v>1.02</v>
      </c>
      <c r="R92">
        <v>2040</v>
      </c>
      <c r="S92">
        <v>2040</v>
      </c>
      <c r="T92">
        <v>2000</v>
      </c>
      <c r="U92" t="s">
        <v>546</v>
      </c>
      <c r="V92" t="s">
        <v>543</v>
      </c>
      <c r="W92">
        <v>100</v>
      </c>
      <c r="X92" t="s">
        <v>544</v>
      </c>
      <c r="Y92" t="s">
        <v>444</v>
      </c>
      <c r="Z92" s="37">
        <v>1</v>
      </c>
      <c r="AA92" s="37">
        <v>0.25</v>
      </c>
      <c r="AB92">
        <v>100</v>
      </c>
    </row>
    <row r="93">
      <c r="A93" t="s">
        <v>554</v>
      </c>
      <c r="B93" t="s">
        <v>525</v>
      </c>
      <c r="C93" t="s">
        <v>525</v>
      </c>
      <c r="D93" t="s">
        <v>555</v>
      </c>
      <c r="E93" t="s">
        <v>556</v>
      </c>
      <c r="F93" t="s">
        <v>298</v>
      </c>
      <c r="G93" t="s">
        <v>557</v>
      </c>
      <c r="H93" t="s">
        <v>561</v>
      </c>
      <c r="I93" t="s">
        <v>562</v>
      </c>
      <c r="J93" s="38">
        <v>1</v>
      </c>
      <c r="L93" t="s">
        <v>563</v>
      </c>
      <c r="M93" s="37">
        <v>1</v>
      </c>
      <c r="N93" s="37">
        <v>0.7</v>
      </c>
      <c r="O93">
        <v>1</v>
      </c>
      <c r="P93" s="37">
        <v>1.024</v>
      </c>
      <c r="Q93">
        <v>1.02</v>
      </c>
      <c r="R93">
        <v>2040</v>
      </c>
      <c r="S93">
        <v>2040</v>
      </c>
      <c r="T93">
        <v>2000</v>
      </c>
      <c r="U93" t="s">
        <v>546</v>
      </c>
      <c r="V93" t="s">
        <v>543</v>
      </c>
      <c r="W93">
        <v>100</v>
      </c>
      <c r="X93" t="s">
        <v>544</v>
      </c>
      <c r="Y93" t="s">
        <v>444</v>
      </c>
      <c r="Z93" s="37">
        <v>1</v>
      </c>
      <c r="AA93" s="37">
        <v>0.25</v>
      </c>
      <c r="AB93">
        <v>100</v>
      </c>
    </row>
    <row r="94">
      <c r="A94" t="s">
        <v>564</v>
      </c>
      <c r="B94" t="s">
        <v>565</v>
      </c>
      <c r="C94" t="s">
        <v>565</v>
      </c>
      <c r="D94" t="s">
        <v>566</v>
      </c>
      <c r="E94" t="s">
        <v>567</v>
      </c>
      <c r="F94" t="s">
        <v>298</v>
      </c>
      <c r="G94" t="s">
        <v>568</v>
      </c>
      <c r="H94" t="s">
        <v>569</v>
      </c>
      <c r="I94" t="s">
        <v>570</v>
      </c>
      <c r="J94" t="s">
        <v>571</v>
      </c>
      <c r="K94" t="s">
        <v>572</v>
      </c>
      <c r="L94" t="s">
        <v>563</v>
      </c>
      <c r="M94" s="37">
        <v>2.25</v>
      </c>
      <c r="N94" s="37">
        <v>0.4</v>
      </c>
      <c r="O94">
        <v>1.5</v>
      </c>
      <c r="P94" s="37">
        <v>1.669283</v>
      </c>
      <c r="Q94">
        <v>1.38</v>
      </c>
      <c r="R94">
        <v>4080</v>
      </c>
      <c r="S94">
        <v>4080</v>
      </c>
      <c r="T94">
        <v>3400</v>
      </c>
      <c r="U94" t="s">
        <v>546</v>
      </c>
      <c r="V94" t="s">
        <v>543</v>
      </c>
      <c r="W94">
        <v>100</v>
      </c>
      <c r="X94" t="s">
        <v>544</v>
      </c>
      <c r="Y94" t="s">
        <v>444</v>
      </c>
      <c r="Z94" s="37">
        <v>1</v>
      </c>
      <c r="AA94" s="37">
        <v>0.25</v>
      </c>
      <c r="AB94">
        <v>100</v>
      </c>
    </row>
    <row r="95">
      <c r="A95" t="s">
        <v>564</v>
      </c>
      <c r="B95" t="s">
        <v>565</v>
      </c>
      <c r="C95" t="s">
        <v>565</v>
      </c>
      <c r="D95" t="s">
        <v>566</v>
      </c>
      <c r="E95" t="s">
        <v>567</v>
      </c>
      <c r="F95" t="s">
        <v>298</v>
      </c>
      <c r="G95" t="s">
        <v>568</v>
      </c>
      <c r="H95" t="s">
        <v>573</v>
      </c>
      <c r="I95" t="s">
        <v>574</v>
      </c>
      <c r="J95" s="38">
        <v>0.8</v>
      </c>
      <c r="K95" s="37">
        <v>0.8059</v>
      </c>
      <c r="L95" t="s">
        <v>563</v>
      </c>
      <c r="M95" s="37">
        <v>1.007375</v>
      </c>
      <c r="N95" s="37">
        <v>0.3</v>
      </c>
      <c r="O95">
        <v>1.1081</v>
      </c>
      <c r="P95" s="37">
        <v>1.669283</v>
      </c>
      <c r="Q95">
        <v>1.38</v>
      </c>
      <c r="R95">
        <v>4080</v>
      </c>
      <c r="S95">
        <v>4080</v>
      </c>
      <c r="T95">
        <v>3400</v>
      </c>
      <c r="U95" t="s">
        <v>546</v>
      </c>
      <c r="V95" t="s">
        <v>543</v>
      </c>
      <c r="W95">
        <v>100</v>
      </c>
      <c r="X95" t="s">
        <v>544</v>
      </c>
      <c r="Y95" t="s">
        <v>444</v>
      </c>
      <c r="Z95" s="37">
        <v>1</v>
      </c>
      <c r="AA95" s="37">
        <v>0.25</v>
      </c>
      <c r="AB95">
        <v>100</v>
      </c>
    </row>
    <row r="96">
      <c r="A96" t="s">
        <v>564</v>
      </c>
      <c r="B96" t="s">
        <v>565</v>
      </c>
      <c r="C96" t="s">
        <v>565</v>
      </c>
      <c r="D96" t="s">
        <v>566</v>
      </c>
      <c r="E96" t="s">
        <v>567</v>
      </c>
      <c r="F96" t="s">
        <v>298</v>
      </c>
      <c r="G96" t="s">
        <v>568</v>
      </c>
      <c r="H96" t="s">
        <v>575</v>
      </c>
      <c r="I96" t="s">
        <v>576</v>
      </c>
      <c r="J96" t="s">
        <v>577</v>
      </c>
      <c r="K96" t="s">
        <v>578</v>
      </c>
      <c r="L96" t="s">
        <v>563</v>
      </c>
      <c r="M96" s="37">
        <v>1.5569</v>
      </c>
      <c r="N96" s="37">
        <v>0.3</v>
      </c>
      <c r="O96">
        <v>1.5</v>
      </c>
      <c r="P96" s="37">
        <v>1.669283</v>
      </c>
      <c r="Q96">
        <v>1.38</v>
      </c>
      <c r="R96">
        <v>4080</v>
      </c>
      <c r="S96">
        <v>4080</v>
      </c>
      <c r="T96">
        <v>3400</v>
      </c>
      <c r="U96" t="s">
        <v>546</v>
      </c>
      <c r="V96" t="s">
        <v>543</v>
      </c>
      <c r="W96">
        <v>100</v>
      </c>
      <c r="X96" t="s">
        <v>544</v>
      </c>
      <c r="Y96" t="s">
        <v>444</v>
      </c>
      <c r="Z96" s="37">
        <v>1</v>
      </c>
      <c r="AA96" s="37">
        <v>0.25</v>
      </c>
      <c r="AB96">
        <v>100</v>
      </c>
    </row>
    <row r="97">
      <c r="A97" t="s">
        <v>579</v>
      </c>
      <c r="B97" t="s">
        <v>580</v>
      </c>
      <c r="C97" t="s">
        <v>580</v>
      </c>
      <c r="D97" t="s">
        <v>581</v>
      </c>
      <c r="E97" t="s">
        <v>582</v>
      </c>
      <c r="F97" t="s">
        <v>298</v>
      </c>
      <c r="G97" t="s">
        <v>583</v>
      </c>
      <c r="H97" t="s">
        <v>584</v>
      </c>
      <c r="I97" t="s">
        <v>585</v>
      </c>
      <c r="J97" t="s">
        <v>586</v>
      </c>
      <c r="K97">
        <v>0</v>
      </c>
      <c r="L97" t="s">
        <v>563</v>
      </c>
      <c r="M97" s="37">
        <v>0</v>
      </c>
      <c r="N97" s="37">
        <v>0.6</v>
      </c>
      <c r="O97">
        <v>0</v>
      </c>
      <c r="P97" s="37">
        <v>0.4</v>
      </c>
      <c r="Q97">
        <v>0.48</v>
      </c>
      <c r="R97">
        <v>1440</v>
      </c>
      <c r="S97">
        <v>1440</v>
      </c>
      <c r="T97">
        <v>3000</v>
      </c>
      <c r="U97" t="s">
        <v>546</v>
      </c>
      <c r="V97" t="s">
        <v>543</v>
      </c>
      <c r="W97">
        <v>100</v>
      </c>
      <c r="X97" t="s">
        <v>544</v>
      </c>
      <c r="Y97" t="s">
        <v>444</v>
      </c>
      <c r="Z97" s="37">
        <v>1</v>
      </c>
      <c r="AA97" s="37">
        <v>0.25</v>
      </c>
      <c r="AB97">
        <v>100</v>
      </c>
    </row>
    <row r="98">
      <c r="A98" t="s">
        <v>579</v>
      </c>
      <c r="B98" t="s">
        <v>580</v>
      </c>
      <c r="C98" t="s">
        <v>580</v>
      </c>
      <c r="D98" t="s">
        <v>581</v>
      </c>
      <c r="E98" t="s">
        <v>582</v>
      </c>
      <c r="F98" t="s">
        <v>298</v>
      </c>
      <c r="G98" t="s">
        <v>583</v>
      </c>
      <c r="H98" t="s">
        <v>584</v>
      </c>
      <c r="I98" t="s">
        <v>587</v>
      </c>
      <c r="J98" t="s">
        <v>588</v>
      </c>
      <c r="K98">
        <v>1</v>
      </c>
      <c r="L98" t="s">
        <v>589</v>
      </c>
      <c r="M98" s="37">
        <v>1</v>
      </c>
      <c r="N98" s="37">
        <v>0.4</v>
      </c>
      <c r="O98">
        <v>1.2</v>
      </c>
      <c r="P98" s="37">
        <v>0.4</v>
      </c>
      <c r="Q98">
        <v>0.48</v>
      </c>
      <c r="R98">
        <v>1440</v>
      </c>
      <c r="S98">
        <v>1440</v>
      </c>
      <c r="T98">
        <v>3000</v>
      </c>
      <c r="U98" t="s">
        <v>546</v>
      </c>
      <c r="V98" t="s">
        <v>543</v>
      </c>
      <c r="W98">
        <v>100</v>
      </c>
      <c r="X98" t="s">
        <v>544</v>
      </c>
      <c r="Y98" t="s">
        <v>444</v>
      </c>
      <c r="Z98" s="37">
        <v>1</v>
      </c>
      <c r="AA98" s="37">
        <v>0.25</v>
      </c>
      <c r="AB98">
        <v>100</v>
      </c>
    </row>
    <row r="99">
      <c r="A99" t="s">
        <v>590</v>
      </c>
      <c r="B99" t="s">
        <v>565</v>
      </c>
      <c r="C99" t="s">
        <v>565</v>
      </c>
      <c r="D99" t="s">
        <v>566</v>
      </c>
      <c r="E99" t="s">
        <v>591</v>
      </c>
      <c r="F99" t="s">
        <v>298</v>
      </c>
      <c r="G99" t="s">
        <v>568</v>
      </c>
      <c r="H99" t="s">
        <v>569</v>
      </c>
      <c r="I99" t="s">
        <v>592</v>
      </c>
      <c r="J99" t="s">
        <v>571</v>
      </c>
      <c r="K99" t="s">
        <v>593</v>
      </c>
      <c r="L99" t="s">
        <v>589</v>
      </c>
      <c r="M99" s="37">
        <v>2.25</v>
      </c>
      <c r="N99" s="37">
        <v>0.4</v>
      </c>
      <c r="O99">
        <v>1.5</v>
      </c>
      <c r="P99" s="37">
        <v>1.233183</v>
      </c>
      <c r="Q99">
        <v>1.28</v>
      </c>
      <c r="R99">
        <v>2720</v>
      </c>
      <c r="S99">
        <v>2720</v>
      </c>
      <c r="T99">
        <v>3400</v>
      </c>
      <c r="U99" t="s">
        <v>546</v>
      </c>
      <c r="V99" t="s">
        <v>543</v>
      </c>
      <c r="W99">
        <v>100</v>
      </c>
      <c r="X99" t="s">
        <v>544</v>
      </c>
      <c r="Y99" t="s">
        <v>444</v>
      </c>
      <c r="Z99" s="37">
        <v>1</v>
      </c>
      <c r="AA99" s="37">
        <v>0.25</v>
      </c>
      <c r="AB99">
        <v>100</v>
      </c>
    </row>
    <row r="100">
      <c r="A100" t="s">
        <v>590</v>
      </c>
      <c r="B100" t="s">
        <v>565</v>
      </c>
      <c r="C100" t="s">
        <v>565</v>
      </c>
      <c r="D100" t="s">
        <v>566</v>
      </c>
      <c r="E100" t="s">
        <v>591</v>
      </c>
      <c r="F100" t="s">
        <v>298</v>
      </c>
      <c r="G100" t="s">
        <v>568</v>
      </c>
      <c r="H100" t="s">
        <v>573</v>
      </c>
      <c r="I100" t="s">
        <v>594</v>
      </c>
      <c r="J100" s="38">
        <v>0.6</v>
      </c>
      <c r="K100" s="37">
        <v>0.6366</v>
      </c>
      <c r="L100" t="s">
        <v>589</v>
      </c>
      <c r="M100" s="37">
        <v>0.01061</v>
      </c>
      <c r="N100" s="37">
        <v>0.3</v>
      </c>
      <c r="O100">
        <v>1.1671</v>
      </c>
      <c r="P100" s="37">
        <v>1.233183</v>
      </c>
      <c r="Q100">
        <v>1.28</v>
      </c>
      <c r="R100">
        <v>2720</v>
      </c>
      <c r="S100">
        <v>2720</v>
      </c>
      <c r="T100">
        <v>3400</v>
      </c>
      <c r="U100" t="s">
        <v>546</v>
      </c>
      <c r="V100" t="s">
        <v>543</v>
      </c>
      <c r="W100">
        <v>100</v>
      </c>
      <c r="X100" t="s">
        <v>544</v>
      </c>
      <c r="Y100" t="s">
        <v>444</v>
      </c>
      <c r="Z100" s="37">
        <v>1</v>
      </c>
      <c r="AA100" s="37">
        <v>0.25</v>
      </c>
      <c r="AB100">
        <v>100</v>
      </c>
    </row>
    <row r="101">
      <c r="A101" t="s">
        <v>590</v>
      </c>
      <c r="B101" t="s">
        <v>565</v>
      </c>
      <c r="C101" t="s">
        <v>565</v>
      </c>
      <c r="D101" t="s">
        <v>566</v>
      </c>
      <c r="E101" t="s">
        <v>591</v>
      </c>
      <c r="F101" t="s">
        <v>298</v>
      </c>
      <c r="G101" t="s">
        <v>568</v>
      </c>
      <c r="H101" t="s">
        <v>575</v>
      </c>
      <c r="I101" t="s">
        <v>595</v>
      </c>
      <c r="J101" t="s">
        <v>577</v>
      </c>
      <c r="K101" t="s">
        <v>596</v>
      </c>
      <c r="L101" t="s">
        <v>589</v>
      </c>
      <c r="M101" s="37">
        <v>1.1</v>
      </c>
      <c r="N101" s="37">
        <v>0.3</v>
      </c>
      <c r="O101">
        <v>1.0992</v>
      </c>
      <c r="P101" s="37">
        <v>1.233183</v>
      </c>
      <c r="Q101">
        <v>1.28</v>
      </c>
      <c r="R101">
        <v>2720</v>
      </c>
      <c r="S101">
        <v>2720</v>
      </c>
      <c r="T101">
        <v>3400</v>
      </c>
      <c r="U101" t="s">
        <v>546</v>
      </c>
      <c r="V101" t="s">
        <v>543</v>
      </c>
      <c r="W101">
        <v>100</v>
      </c>
      <c r="X101" t="s">
        <v>544</v>
      </c>
      <c r="Y101" t="s">
        <v>444</v>
      </c>
      <c r="Z101" s="37">
        <v>1</v>
      </c>
      <c r="AA101" s="37">
        <v>0.25</v>
      </c>
      <c r="AB101">
        <v>100</v>
      </c>
    </row>
    <row r="102">
      <c r="A102" t="s">
        <v>597</v>
      </c>
      <c r="B102" t="s">
        <v>565</v>
      </c>
      <c r="C102" t="s">
        <v>565</v>
      </c>
      <c r="D102" t="s">
        <v>598</v>
      </c>
      <c r="E102" t="s">
        <v>599</v>
      </c>
      <c r="F102" t="s">
        <v>298</v>
      </c>
      <c r="G102" t="s">
        <v>600</v>
      </c>
      <c r="H102" t="s">
        <v>601</v>
      </c>
      <c r="I102" t="s">
        <v>602</v>
      </c>
      <c r="J102" s="38">
        <v>0.11</v>
      </c>
      <c r="K102" s="37">
        <v>0.1312</v>
      </c>
      <c r="L102" t="s">
        <v>603</v>
      </c>
      <c r="M102" s="37">
        <v>1.1927</v>
      </c>
      <c r="N102" s="37">
        <v>0.2</v>
      </c>
      <c r="O102">
        <v>1.312</v>
      </c>
      <c r="P102" s="37">
        <v>1.04904</v>
      </c>
      <c r="Q102">
        <v>0.94</v>
      </c>
      <c r="R102">
        <v>4000</v>
      </c>
      <c r="S102">
        <v>4000</v>
      </c>
      <c r="T102">
        <v>4000</v>
      </c>
      <c r="U102" t="s">
        <v>546</v>
      </c>
      <c r="V102" t="s">
        <v>543</v>
      </c>
      <c r="W102">
        <v>100</v>
      </c>
      <c r="X102" t="s">
        <v>544</v>
      </c>
      <c r="Y102" t="s">
        <v>444</v>
      </c>
      <c r="Z102" s="37">
        <v>1</v>
      </c>
      <c r="AA102" s="37">
        <v>0.25</v>
      </c>
      <c r="AB102">
        <v>100</v>
      </c>
    </row>
    <row r="103">
      <c r="A103" t="s">
        <v>597</v>
      </c>
      <c r="B103" t="s">
        <v>565</v>
      </c>
      <c r="C103" t="s">
        <v>565</v>
      </c>
      <c r="D103" t="s">
        <v>598</v>
      </c>
      <c r="E103" t="s">
        <v>599</v>
      </c>
      <c r="F103" t="s">
        <v>298</v>
      </c>
      <c r="G103" t="s">
        <v>600</v>
      </c>
      <c r="H103" t="s">
        <v>604</v>
      </c>
      <c r="I103" t="s">
        <v>605</v>
      </c>
      <c r="J103">
        <v>1</v>
      </c>
      <c r="K103" s="37">
        <v>0.1312</v>
      </c>
      <c r="L103" t="s">
        <v>606</v>
      </c>
      <c r="M103" s="37">
        <v>1</v>
      </c>
      <c r="N103" s="37">
        <v>0.2</v>
      </c>
      <c r="O103">
        <v>1</v>
      </c>
      <c r="P103" s="37">
        <v>1.04904</v>
      </c>
      <c r="Q103">
        <v>0.94</v>
      </c>
      <c r="R103">
        <v>4000</v>
      </c>
      <c r="S103">
        <v>4000</v>
      </c>
      <c r="T103">
        <v>4000</v>
      </c>
      <c r="U103" t="s">
        <v>546</v>
      </c>
      <c r="V103" t="s">
        <v>543</v>
      </c>
      <c r="W103">
        <v>100</v>
      </c>
      <c r="X103" t="s">
        <v>544</v>
      </c>
      <c r="Y103" t="s">
        <v>444</v>
      </c>
      <c r="Z103" s="37">
        <v>1</v>
      </c>
      <c r="AA103" s="37">
        <v>0.25</v>
      </c>
      <c r="AB103">
        <v>100</v>
      </c>
    </row>
    <row r="104">
      <c r="A104" t="s">
        <v>597</v>
      </c>
      <c r="B104" t="s">
        <v>565</v>
      </c>
      <c r="C104" t="s">
        <v>565</v>
      </c>
      <c r="D104" t="s">
        <v>598</v>
      </c>
      <c r="E104" t="s">
        <v>599</v>
      </c>
      <c r="F104" t="s">
        <v>298</v>
      </c>
      <c r="G104" t="s">
        <v>600</v>
      </c>
      <c r="H104" t="s">
        <v>604</v>
      </c>
      <c r="I104" t="s">
        <v>607</v>
      </c>
      <c r="J104">
        <v>1</v>
      </c>
      <c r="K104" s="37">
        <v>0.1312</v>
      </c>
      <c r="L104" t="s">
        <v>608</v>
      </c>
      <c r="M104" s="37">
        <v>0.9</v>
      </c>
      <c r="N104" s="37">
        <v>0.2</v>
      </c>
      <c r="O104">
        <v>0.9</v>
      </c>
      <c r="P104" s="37">
        <v>1.04904</v>
      </c>
      <c r="Q104">
        <v>0.94</v>
      </c>
      <c r="R104">
        <v>4000</v>
      </c>
      <c r="S104">
        <v>4000</v>
      </c>
      <c r="T104">
        <v>4000</v>
      </c>
      <c r="U104" t="s">
        <v>546</v>
      </c>
      <c r="V104" t="s">
        <v>543</v>
      </c>
      <c r="W104">
        <v>100</v>
      </c>
      <c r="X104" t="s">
        <v>544</v>
      </c>
      <c r="Y104" t="s">
        <v>444</v>
      </c>
      <c r="Z104" s="37">
        <v>1</v>
      </c>
      <c r="AA104" s="37">
        <v>0.25</v>
      </c>
      <c r="AB104">
        <v>100</v>
      </c>
    </row>
    <row r="105">
      <c r="A105" t="s">
        <v>597</v>
      </c>
      <c r="B105" t="s">
        <v>565</v>
      </c>
      <c r="C105" t="s">
        <v>565</v>
      </c>
      <c r="D105" t="s">
        <v>598</v>
      </c>
      <c r="E105" t="s">
        <v>599</v>
      </c>
      <c r="F105" t="s">
        <v>298</v>
      </c>
      <c r="G105" t="s">
        <v>600</v>
      </c>
      <c r="H105" t="s">
        <v>601</v>
      </c>
      <c r="I105" t="s">
        <v>609</v>
      </c>
      <c r="J105">
        <v>0.8</v>
      </c>
      <c r="K105">
        <v>0.33</v>
      </c>
      <c r="L105" t="s">
        <v>610</v>
      </c>
      <c r="M105" s="37">
        <v>0.4125</v>
      </c>
      <c r="N105" s="37">
        <v>0.2</v>
      </c>
      <c r="O105">
        <v>0</v>
      </c>
      <c r="P105" s="37">
        <v>1.04904</v>
      </c>
      <c r="Q105">
        <v>0.94</v>
      </c>
      <c r="R105">
        <v>4000</v>
      </c>
      <c r="S105">
        <v>4000</v>
      </c>
      <c r="T105">
        <v>4000</v>
      </c>
      <c r="U105" t="s">
        <v>546</v>
      </c>
      <c r="V105" t="s">
        <v>543</v>
      </c>
      <c r="W105">
        <v>100</v>
      </c>
      <c r="X105" t="s">
        <v>544</v>
      </c>
      <c r="Y105" t="s">
        <v>444</v>
      </c>
      <c r="Z105" s="37">
        <v>1</v>
      </c>
      <c r="AA105" s="37">
        <v>0.25</v>
      </c>
      <c r="AB105">
        <v>100</v>
      </c>
    </row>
    <row r="106">
      <c r="A106" t="s">
        <v>597</v>
      </c>
      <c r="B106" t="s">
        <v>565</v>
      </c>
      <c r="C106" t="s">
        <v>565</v>
      </c>
      <c r="D106" t="s">
        <v>598</v>
      </c>
      <c r="E106" t="s">
        <v>599</v>
      </c>
      <c r="F106" t="s">
        <v>298</v>
      </c>
      <c r="G106" t="s">
        <v>600</v>
      </c>
      <c r="H106" t="s">
        <v>601</v>
      </c>
      <c r="I106" t="s">
        <v>611</v>
      </c>
      <c r="J106" s="38">
        <v>0.9</v>
      </c>
      <c r="K106" s="37">
        <v>0.515</v>
      </c>
      <c r="L106" t="s">
        <v>612</v>
      </c>
      <c r="M106" s="37">
        <v>1.74</v>
      </c>
      <c r="N106" s="37">
        <v>0.2</v>
      </c>
      <c r="O106">
        <v>1.5</v>
      </c>
      <c r="P106" s="37">
        <v>1.04904</v>
      </c>
      <c r="Q106">
        <v>0.94</v>
      </c>
      <c r="R106">
        <v>4000</v>
      </c>
      <c r="S106">
        <v>4000</v>
      </c>
      <c r="T106">
        <v>4000</v>
      </c>
      <c r="U106" t="s">
        <v>546</v>
      </c>
      <c r="V106" t="s">
        <v>543</v>
      </c>
      <c r="W106">
        <v>100</v>
      </c>
      <c r="X106" t="s">
        <v>544</v>
      </c>
      <c r="Y106" t="s">
        <v>444</v>
      </c>
      <c r="Z106" s="37">
        <v>1</v>
      </c>
      <c r="AA106" s="37">
        <v>0.25</v>
      </c>
      <c r="AB106">
        <v>100</v>
      </c>
    </row>
    <row r="107">
      <c r="A107" t="s">
        <v>613</v>
      </c>
      <c r="B107" t="s">
        <v>565</v>
      </c>
      <c r="C107" t="s">
        <v>565</v>
      </c>
      <c r="D107" t="s">
        <v>598</v>
      </c>
      <c r="E107" t="s">
        <v>614</v>
      </c>
      <c r="F107" t="s">
        <v>298</v>
      </c>
      <c r="G107" t="s">
        <v>600</v>
      </c>
      <c r="H107" t="s">
        <v>601</v>
      </c>
      <c r="I107" t="s">
        <v>602</v>
      </c>
      <c r="J107" s="38">
        <v>0.11</v>
      </c>
      <c r="K107" s="37">
        <v>0.1312</v>
      </c>
      <c r="L107" t="s">
        <v>615</v>
      </c>
      <c r="M107" s="37">
        <v>1.1927</v>
      </c>
      <c r="N107" s="37">
        <v>0.2</v>
      </c>
      <c r="O107">
        <v>1.312</v>
      </c>
      <c r="P107" s="37">
        <v>1.04904</v>
      </c>
      <c r="Q107">
        <v>0.94</v>
      </c>
      <c r="R107">
        <v>4000</v>
      </c>
      <c r="S107">
        <v>4000</v>
      </c>
      <c r="T107">
        <v>4000</v>
      </c>
      <c r="U107" t="s">
        <v>546</v>
      </c>
      <c r="V107" t="s">
        <v>543</v>
      </c>
      <c r="W107">
        <v>100</v>
      </c>
      <c r="X107" t="s">
        <v>544</v>
      </c>
      <c r="Y107" t="s">
        <v>444</v>
      </c>
      <c r="Z107" s="37">
        <v>1</v>
      </c>
      <c r="AA107" s="37">
        <v>0.25</v>
      </c>
      <c r="AB107">
        <v>100</v>
      </c>
    </row>
    <row r="108">
      <c r="A108" t="s">
        <v>613</v>
      </c>
      <c r="B108" t="s">
        <v>565</v>
      </c>
      <c r="C108" t="s">
        <v>565</v>
      </c>
      <c r="D108" t="s">
        <v>598</v>
      </c>
      <c r="E108" t="s">
        <v>614</v>
      </c>
      <c r="F108" t="s">
        <v>298</v>
      </c>
      <c r="G108" t="s">
        <v>600</v>
      </c>
      <c r="H108" t="s">
        <v>601</v>
      </c>
      <c r="I108" t="s">
        <v>609</v>
      </c>
      <c r="J108">
        <v>0.8</v>
      </c>
      <c r="K108">
        <v>0.33</v>
      </c>
      <c r="L108" t="s">
        <v>616</v>
      </c>
      <c r="M108" s="37">
        <v>0.4125</v>
      </c>
      <c r="N108" s="37">
        <v>0.2</v>
      </c>
      <c r="O108">
        <v>0</v>
      </c>
      <c r="P108" s="37">
        <v>1.04904</v>
      </c>
      <c r="Q108">
        <v>0.94</v>
      </c>
      <c r="R108">
        <v>4000</v>
      </c>
      <c r="S108">
        <v>4000</v>
      </c>
      <c r="T108">
        <v>4000</v>
      </c>
      <c r="U108" t="s">
        <v>546</v>
      </c>
      <c r="V108" t="s">
        <v>543</v>
      </c>
      <c r="W108">
        <v>100</v>
      </c>
      <c r="X108" t="s">
        <v>544</v>
      </c>
      <c r="Y108" t="s">
        <v>444</v>
      </c>
      <c r="Z108" s="37">
        <v>1</v>
      </c>
      <c r="AA108" s="37">
        <v>0.25</v>
      </c>
      <c r="AB108">
        <v>100</v>
      </c>
    </row>
    <row r="109">
      <c r="A109" t="s">
        <v>613</v>
      </c>
      <c r="B109" t="s">
        <v>565</v>
      </c>
      <c r="C109" t="s">
        <v>565</v>
      </c>
      <c r="D109" t="s">
        <v>598</v>
      </c>
      <c r="E109" t="s">
        <v>614</v>
      </c>
      <c r="F109" t="s">
        <v>298</v>
      </c>
      <c r="G109" t="s">
        <v>600</v>
      </c>
      <c r="H109" t="s">
        <v>601</v>
      </c>
      <c r="I109" t="s">
        <v>611</v>
      </c>
      <c r="J109" s="38">
        <v>0.9</v>
      </c>
      <c r="K109" s="37">
        <v>0.515</v>
      </c>
      <c r="L109" t="s">
        <v>617</v>
      </c>
      <c r="M109" s="37">
        <v>1.74</v>
      </c>
      <c r="N109" s="37">
        <v>0.2</v>
      </c>
      <c r="O109">
        <v>1.5</v>
      </c>
      <c r="P109" s="37">
        <v>1.04904</v>
      </c>
      <c r="Q109">
        <v>0.94</v>
      </c>
      <c r="R109">
        <v>4000</v>
      </c>
      <c r="S109">
        <v>4000</v>
      </c>
      <c r="T109">
        <v>4000</v>
      </c>
      <c r="U109" t="s">
        <v>546</v>
      </c>
      <c r="V109" t="s">
        <v>543</v>
      </c>
      <c r="W109">
        <v>100</v>
      </c>
      <c r="X109" t="s">
        <v>544</v>
      </c>
      <c r="Y109" t="s">
        <v>444</v>
      </c>
      <c r="Z109" s="37">
        <v>1</v>
      </c>
      <c r="AA109" s="37">
        <v>0.25</v>
      </c>
      <c r="AB109">
        <v>100</v>
      </c>
    </row>
    <row r="110">
      <c r="A110" t="s">
        <v>613</v>
      </c>
      <c r="B110" t="s">
        <v>565</v>
      </c>
      <c r="C110" t="s">
        <v>565</v>
      </c>
      <c r="D110" t="s">
        <v>598</v>
      </c>
      <c r="E110" t="s">
        <v>614</v>
      </c>
      <c r="F110" t="s">
        <v>298</v>
      </c>
      <c r="G110" t="s">
        <v>600</v>
      </c>
      <c r="H110" t="s">
        <v>618</v>
      </c>
      <c r="I110" t="s">
        <v>619</v>
      </c>
      <c r="J110">
        <v>1</v>
      </c>
      <c r="K110" s="37">
        <v>0.515</v>
      </c>
      <c r="L110" t="s">
        <v>620</v>
      </c>
      <c r="M110" s="37">
        <v>0.9</v>
      </c>
      <c r="N110" s="37">
        <v>0.2</v>
      </c>
      <c r="O110">
        <v>0.9</v>
      </c>
      <c r="P110" s="37">
        <v>1.04904</v>
      </c>
      <c r="Q110">
        <v>0.94</v>
      </c>
      <c r="R110">
        <v>4000</v>
      </c>
      <c r="S110">
        <v>4000</v>
      </c>
      <c r="T110">
        <v>4000</v>
      </c>
      <c r="U110" t="s">
        <v>546</v>
      </c>
      <c r="V110" t="s">
        <v>543</v>
      </c>
      <c r="W110">
        <v>100</v>
      </c>
      <c r="X110" t="s">
        <v>544</v>
      </c>
      <c r="Y110" t="s">
        <v>444</v>
      </c>
      <c r="Z110" s="37">
        <v>1</v>
      </c>
      <c r="AA110" s="37">
        <v>0.25</v>
      </c>
      <c r="AB110">
        <v>100</v>
      </c>
    </row>
    <row r="111">
      <c r="A111" t="s">
        <v>613</v>
      </c>
      <c r="B111" t="s">
        <v>565</v>
      </c>
      <c r="C111" t="s">
        <v>565</v>
      </c>
      <c r="D111" t="s">
        <v>598</v>
      </c>
      <c r="E111" t="s">
        <v>614</v>
      </c>
      <c r="F111" t="s">
        <v>298</v>
      </c>
      <c r="G111" t="s">
        <v>600</v>
      </c>
      <c r="H111" t="s">
        <v>618</v>
      </c>
      <c r="I111" t="s">
        <v>621</v>
      </c>
      <c r="J111">
        <v>1</v>
      </c>
      <c r="K111" s="37">
        <v>0.515</v>
      </c>
      <c r="L111" t="s">
        <v>622</v>
      </c>
      <c r="M111" s="37">
        <v>1</v>
      </c>
      <c r="N111" s="37">
        <v>0.2</v>
      </c>
      <c r="O111">
        <v>1</v>
      </c>
      <c r="P111" s="37">
        <v>1.04904</v>
      </c>
      <c r="Q111">
        <v>0.94</v>
      </c>
      <c r="R111">
        <v>4000</v>
      </c>
      <c r="S111">
        <v>4000</v>
      </c>
      <c r="T111">
        <v>4000</v>
      </c>
      <c r="U111" t="s">
        <v>546</v>
      </c>
      <c r="V111" t="s">
        <v>543</v>
      </c>
      <c r="W111">
        <v>100</v>
      </c>
      <c r="X111" t="s">
        <v>544</v>
      </c>
      <c r="Y111" t="s">
        <v>444</v>
      </c>
      <c r="Z111" s="37">
        <v>1</v>
      </c>
      <c r="AA111" s="37">
        <v>0.25</v>
      </c>
      <c r="AB111">
        <v>100</v>
      </c>
    </row>
    <row r="112">
      <c r="A112" t="s">
        <v>623</v>
      </c>
      <c r="B112" t="s">
        <v>565</v>
      </c>
      <c r="C112" t="s">
        <v>565</v>
      </c>
      <c r="D112" t="s">
        <v>566</v>
      </c>
      <c r="E112" t="s">
        <v>624</v>
      </c>
      <c r="F112" t="s">
        <v>298</v>
      </c>
      <c r="G112" t="s">
        <v>600</v>
      </c>
      <c r="H112" t="s">
        <v>601</v>
      </c>
      <c r="I112" t="s">
        <v>625</v>
      </c>
      <c r="J112" s="38">
        <v>0.11</v>
      </c>
      <c r="K112" t="s">
        <v>626</v>
      </c>
      <c r="L112" t="s">
        <v>627</v>
      </c>
      <c r="M112" s="37">
        <v>1.192</v>
      </c>
      <c r="N112" s="37">
        <v>0.2</v>
      </c>
      <c r="O112">
        <v>1.31</v>
      </c>
      <c r="P112" s="37">
        <v>1.0484</v>
      </c>
      <c r="Q112">
        <v>0.94</v>
      </c>
      <c r="R112">
        <v>3400</v>
      </c>
      <c r="S112">
        <v>3400</v>
      </c>
      <c r="T112">
        <v>3400</v>
      </c>
      <c r="U112" t="s">
        <v>546</v>
      </c>
      <c r="V112" t="s">
        <v>543</v>
      </c>
      <c r="W112">
        <v>100</v>
      </c>
      <c r="X112" t="s">
        <v>544</v>
      </c>
      <c r="Y112" t="s">
        <v>444</v>
      </c>
      <c r="Z112" s="37">
        <v>1</v>
      </c>
      <c r="AA112" s="37">
        <v>0.25</v>
      </c>
      <c r="AB112">
        <v>100</v>
      </c>
    </row>
    <row r="113">
      <c r="A113" t="s">
        <v>623</v>
      </c>
      <c r="B113" t="s">
        <v>565</v>
      </c>
      <c r="C113" t="s">
        <v>565</v>
      </c>
      <c r="D113" t="s">
        <v>566</v>
      </c>
      <c r="E113" t="s">
        <v>624</v>
      </c>
      <c r="F113" t="s">
        <v>298</v>
      </c>
      <c r="G113" t="s">
        <v>600</v>
      </c>
      <c r="H113" t="s">
        <v>601</v>
      </c>
      <c r="I113" t="s">
        <v>628</v>
      </c>
      <c r="J113">
        <v>0.8</v>
      </c>
      <c r="K113">
        <v>0.33</v>
      </c>
      <c r="L113" t="s">
        <v>629</v>
      </c>
      <c r="M113" s="37">
        <v>0.41</v>
      </c>
      <c r="N113" s="37">
        <v>0.2</v>
      </c>
      <c r="O113">
        <v>0</v>
      </c>
      <c r="P113" s="37">
        <v>1.0484</v>
      </c>
      <c r="Q113">
        <v>0.94</v>
      </c>
      <c r="R113">
        <v>3400</v>
      </c>
      <c r="S113">
        <v>3400</v>
      </c>
      <c r="T113">
        <v>3400</v>
      </c>
      <c r="U113" t="s">
        <v>546</v>
      </c>
      <c r="V113" t="s">
        <v>543</v>
      </c>
      <c r="W113">
        <v>100</v>
      </c>
      <c r="X113" t="s">
        <v>544</v>
      </c>
      <c r="Y113" t="s">
        <v>444</v>
      </c>
      <c r="Z113" s="37">
        <v>1</v>
      </c>
      <c r="AA113" s="37">
        <v>0.25</v>
      </c>
      <c r="AB113">
        <v>100</v>
      </c>
    </row>
    <row r="114">
      <c r="A114" t="s">
        <v>623</v>
      </c>
      <c r="B114" t="s">
        <v>565</v>
      </c>
      <c r="C114" t="s">
        <v>565</v>
      </c>
      <c r="D114" t="s">
        <v>566</v>
      </c>
      <c r="E114" t="s">
        <v>624</v>
      </c>
      <c r="F114" t="s">
        <v>298</v>
      </c>
      <c r="G114" t="s">
        <v>600</v>
      </c>
      <c r="H114" t="s">
        <v>601</v>
      </c>
      <c r="I114" t="s">
        <v>630</v>
      </c>
      <c r="J114" s="38">
        <v>0.9</v>
      </c>
      <c r="K114" s="37">
        <v>0.515</v>
      </c>
      <c r="L114" t="s">
        <v>631</v>
      </c>
      <c r="M114" s="37">
        <v>1.74</v>
      </c>
      <c r="N114" s="37">
        <v>0.2</v>
      </c>
      <c r="O114">
        <v>1.5</v>
      </c>
      <c r="P114" s="37">
        <v>1.0484</v>
      </c>
      <c r="Q114">
        <v>0.94</v>
      </c>
      <c r="R114">
        <v>3400</v>
      </c>
      <c r="S114">
        <v>3400</v>
      </c>
      <c r="T114">
        <v>3400</v>
      </c>
      <c r="U114" t="s">
        <v>546</v>
      </c>
      <c r="V114" t="s">
        <v>543</v>
      </c>
      <c r="W114">
        <v>100</v>
      </c>
      <c r="X114" t="s">
        <v>544</v>
      </c>
      <c r="Y114" t="s">
        <v>444</v>
      </c>
      <c r="Z114" s="37">
        <v>1</v>
      </c>
      <c r="AA114" s="37">
        <v>0.25</v>
      </c>
      <c r="AB114">
        <v>100</v>
      </c>
    </row>
    <row r="115">
      <c r="A115" t="s">
        <v>623</v>
      </c>
      <c r="B115" t="s">
        <v>565</v>
      </c>
      <c r="C115" t="s">
        <v>565</v>
      </c>
      <c r="D115" t="s">
        <v>566</v>
      </c>
      <c r="E115" t="s">
        <v>624</v>
      </c>
      <c r="F115" t="s">
        <v>298</v>
      </c>
      <c r="G115" t="s">
        <v>600</v>
      </c>
      <c r="H115" t="s">
        <v>601</v>
      </c>
      <c r="I115" t="s">
        <v>632</v>
      </c>
      <c r="J115">
        <v>1</v>
      </c>
      <c r="K115">
        <v>100</v>
      </c>
      <c r="L115" t="s">
        <v>633</v>
      </c>
      <c r="M115" s="37">
        <v>1</v>
      </c>
      <c r="N115" s="37">
        <v>0.2</v>
      </c>
      <c r="O115">
        <v>1</v>
      </c>
      <c r="P115" s="37">
        <v>1.0484</v>
      </c>
      <c r="Q115">
        <v>0.94</v>
      </c>
      <c r="R115">
        <v>3400</v>
      </c>
      <c r="S115">
        <v>3400</v>
      </c>
      <c r="T115">
        <v>3400</v>
      </c>
      <c r="U115" t="s">
        <v>546</v>
      </c>
      <c r="V115" t="s">
        <v>543</v>
      </c>
      <c r="W115">
        <v>100</v>
      </c>
      <c r="X115" t="s">
        <v>544</v>
      </c>
      <c r="Y115" t="s">
        <v>444</v>
      </c>
      <c r="Z115" s="37">
        <v>1</v>
      </c>
      <c r="AA115" s="37">
        <v>0.25</v>
      </c>
      <c r="AB115">
        <v>100</v>
      </c>
    </row>
    <row r="116">
      <c r="A116" t="s">
        <v>623</v>
      </c>
      <c r="B116" t="s">
        <v>565</v>
      </c>
      <c r="C116" t="s">
        <v>565</v>
      </c>
      <c r="D116" t="s">
        <v>566</v>
      </c>
      <c r="E116" t="s">
        <v>624</v>
      </c>
      <c r="F116" t="s">
        <v>298</v>
      </c>
      <c r="G116" t="s">
        <v>600</v>
      </c>
      <c r="H116" t="s">
        <v>601</v>
      </c>
      <c r="I116" t="s">
        <v>619</v>
      </c>
      <c r="J116">
        <v>1</v>
      </c>
      <c r="K116">
        <v>0.9</v>
      </c>
      <c r="L116" t="s">
        <v>634</v>
      </c>
      <c r="M116" s="37">
        <v>0.9</v>
      </c>
      <c r="N116" s="37">
        <v>0.2</v>
      </c>
      <c r="O116">
        <v>0.9</v>
      </c>
      <c r="P116" s="37">
        <v>1.0484</v>
      </c>
      <c r="Q116">
        <v>0.94</v>
      </c>
      <c r="R116">
        <v>3400</v>
      </c>
      <c r="S116">
        <v>3400</v>
      </c>
      <c r="T116">
        <v>3400</v>
      </c>
      <c r="U116" t="s">
        <v>546</v>
      </c>
      <c r="V116" t="s">
        <v>543</v>
      </c>
      <c r="W116">
        <v>100</v>
      </c>
      <c r="X116" t="s">
        <v>544</v>
      </c>
      <c r="Y116" t="s">
        <v>444</v>
      </c>
      <c r="Z116" s="37">
        <v>1</v>
      </c>
      <c r="AA116" s="37">
        <v>0.25</v>
      </c>
      <c r="AB116">
        <v>100</v>
      </c>
    </row>
    <row r="117">
      <c r="A117" t="s">
        <v>635</v>
      </c>
      <c r="B117" t="s">
        <v>565</v>
      </c>
      <c r="C117" t="s">
        <v>565</v>
      </c>
      <c r="D117" t="s">
        <v>598</v>
      </c>
      <c r="E117" t="s">
        <v>636</v>
      </c>
      <c r="F117" t="s">
        <v>298</v>
      </c>
      <c r="G117" t="s">
        <v>600</v>
      </c>
      <c r="H117" t="s">
        <v>601</v>
      </c>
      <c r="I117" t="s">
        <v>637</v>
      </c>
      <c r="J117" s="38">
        <v>0.11</v>
      </c>
      <c r="K117" s="37">
        <v>0.1312</v>
      </c>
      <c r="L117" t="s">
        <v>634</v>
      </c>
      <c r="M117" s="37">
        <v>1.1927</v>
      </c>
      <c r="N117" s="37">
        <v>0.2</v>
      </c>
      <c r="O117">
        <v>1.312</v>
      </c>
      <c r="P117" s="37">
        <v>1.04904</v>
      </c>
      <c r="Q117">
        <v>0.94</v>
      </c>
      <c r="R117">
        <v>5000</v>
      </c>
      <c r="S117">
        <v>5000</v>
      </c>
      <c r="T117">
        <v>5000</v>
      </c>
      <c r="U117" t="s">
        <v>546</v>
      </c>
      <c r="V117" t="s">
        <v>543</v>
      </c>
      <c r="W117">
        <v>100</v>
      </c>
      <c r="X117" t="s">
        <v>544</v>
      </c>
      <c r="Y117" t="s">
        <v>444</v>
      </c>
      <c r="Z117" s="37">
        <v>1</v>
      </c>
      <c r="AA117" s="37">
        <v>0.25</v>
      </c>
      <c r="AB117">
        <v>100</v>
      </c>
    </row>
    <row r="118">
      <c r="A118" t="s">
        <v>635</v>
      </c>
      <c r="B118" t="s">
        <v>565</v>
      </c>
      <c r="C118" t="s">
        <v>565</v>
      </c>
      <c r="D118" t="s">
        <v>598</v>
      </c>
      <c r="E118" t="s">
        <v>636</v>
      </c>
      <c r="F118" t="s">
        <v>298</v>
      </c>
      <c r="G118" t="s">
        <v>600</v>
      </c>
      <c r="H118" t="s">
        <v>601</v>
      </c>
      <c r="I118" t="s">
        <v>609</v>
      </c>
      <c r="J118">
        <v>0.8</v>
      </c>
      <c r="K118">
        <v>0.33</v>
      </c>
      <c r="L118" t="s">
        <v>634</v>
      </c>
      <c r="M118" s="37">
        <v>0.4125</v>
      </c>
      <c r="N118" s="37">
        <v>0.2</v>
      </c>
      <c r="O118">
        <v>0</v>
      </c>
      <c r="P118" s="37">
        <v>1.04904</v>
      </c>
      <c r="Q118">
        <v>0.94</v>
      </c>
      <c r="R118">
        <v>5000</v>
      </c>
      <c r="S118">
        <v>5000</v>
      </c>
      <c r="T118">
        <v>5000</v>
      </c>
      <c r="U118" t="s">
        <v>546</v>
      </c>
      <c r="V118" t="s">
        <v>543</v>
      </c>
      <c r="W118">
        <v>100</v>
      </c>
      <c r="X118" t="s">
        <v>544</v>
      </c>
      <c r="Y118" t="s">
        <v>444</v>
      </c>
      <c r="Z118" s="37">
        <v>1</v>
      </c>
      <c r="AA118" s="37">
        <v>0.25</v>
      </c>
      <c r="AB118">
        <v>100</v>
      </c>
    </row>
    <row r="119">
      <c r="A119" t="s">
        <v>635</v>
      </c>
      <c r="B119" t="s">
        <v>565</v>
      </c>
      <c r="C119" t="s">
        <v>565</v>
      </c>
      <c r="D119" t="s">
        <v>598</v>
      </c>
      <c r="E119" t="s">
        <v>636</v>
      </c>
      <c r="F119" t="s">
        <v>298</v>
      </c>
      <c r="G119" t="s">
        <v>600</v>
      </c>
      <c r="H119" t="s">
        <v>601</v>
      </c>
      <c r="I119" t="s">
        <v>611</v>
      </c>
      <c r="J119" s="38">
        <v>0.9</v>
      </c>
      <c r="K119" s="37">
        <v>0.515</v>
      </c>
      <c r="L119" t="s">
        <v>634</v>
      </c>
      <c r="M119" s="37">
        <v>1.74</v>
      </c>
      <c r="N119" s="37">
        <v>0.2</v>
      </c>
      <c r="O119">
        <v>1.5</v>
      </c>
      <c r="P119" s="37">
        <v>1.04904</v>
      </c>
      <c r="Q119">
        <v>0.94</v>
      </c>
      <c r="R119">
        <v>5000</v>
      </c>
      <c r="S119">
        <v>5000</v>
      </c>
      <c r="T119">
        <v>5000</v>
      </c>
      <c r="U119" t="s">
        <v>546</v>
      </c>
      <c r="V119" t="s">
        <v>543</v>
      </c>
      <c r="W119">
        <v>100</v>
      </c>
      <c r="X119" t="s">
        <v>544</v>
      </c>
      <c r="Y119" t="s">
        <v>444</v>
      </c>
      <c r="Z119" s="37">
        <v>1</v>
      </c>
      <c r="AA119" s="37">
        <v>0.25</v>
      </c>
      <c r="AB119">
        <v>100</v>
      </c>
    </row>
    <row r="120">
      <c r="A120" t="s">
        <v>635</v>
      </c>
      <c r="B120" t="s">
        <v>565</v>
      </c>
      <c r="C120" t="s">
        <v>565</v>
      </c>
      <c r="D120" t="s">
        <v>598</v>
      </c>
      <c r="E120" t="s">
        <v>636</v>
      </c>
      <c r="F120" t="s">
        <v>298</v>
      </c>
      <c r="G120" t="s">
        <v>600</v>
      </c>
      <c r="H120" t="s">
        <v>604</v>
      </c>
      <c r="I120" t="s">
        <v>638</v>
      </c>
      <c r="J120">
        <v>1</v>
      </c>
      <c r="K120" s="37">
        <v>0.515</v>
      </c>
      <c r="L120" t="s">
        <v>634</v>
      </c>
      <c r="M120" s="37">
        <v>0.9</v>
      </c>
      <c r="N120" s="37">
        <v>0.2</v>
      </c>
      <c r="O120">
        <v>0.9</v>
      </c>
      <c r="P120" s="37">
        <v>1.04904</v>
      </c>
      <c r="Q120">
        <v>0.94</v>
      </c>
      <c r="R120">
        <v>5000</v>
      </c>
      <c r="S120">
        <v>5000</v>
      </c>
      <c r="T120">
        <v>5000</v>
      </c>
      <c r="U120" t="s">
        <v>546</v>
      </c>
      <c r="V120" t="s">
        <v>543</v>
      </c>
      <c r="W120">
        <v>100</v>
      </c>
      <c r="X120" t="s">
        <v>544</v>
      </c>
      <c r="Y120" t="s">
        <v>444</v>
      </c>
      <c r="Z120" s="37">
        <v>1</v>
      </c>
      <c r="AA120" s="37">
        <v>0.25</v>
      </c>
      <c r="AB120">
        <v>100</v>
      </c>
    </row>
    <row r="121">
      <c r="A121" t="s">
        <v>635</v>
      </c>
      <c r="B121" t="s">
        <v>565</v>
      </c>
      <c r="C121" t="s">
        <v>565</v>
      </c>
      <c r="D121" t="s">
        <v>598</v>
      </c>
      <c r="E121" t="s">
        <v>636</v>
      </c>
      <c r="F121" t="s">
        <v>298</v>
      </c>
      <c r="G121" t="s">
        <v>600</v>
      </c>
      <c r="H121" t="s">
        <v>604</v>
      </c>
      <c r="I121" t="s">
        <v>639</v>
      </c>
      <c r="J121">
        <v>1</v>
      </c>
      <c r="K121" s="37">
        <v>0.515</v>
      </c>
      <c r="L121" t="s">
        <v>634</v>
      </c>
      <c r="M121" s="37">
        <v>1</v>
      </c>
      <c r="N121" s="37">
        <v>0.2</v>
      </c>
      <c r="O121">
        <v>1</v>
      </c>
      <c r="P121" s="37">
        <v>1.04904</v>
      </c>
      <c r="Q121">
        <v>0.94</v>
      </c>
      <c r="R121">
        <v>5000</v>
      </c>
      <c r="S121">
        <v>5000</v>
      </c>
      <c r="T121">
        <v>5000</v>
      </c>
      <c r="U121" t="s">
        <v>546</v>
      </c>
      <c r="V121" t="s">
        <v>543</v>
      </c>
      <c r="W121">
        <v>100</v>
      </c>
      <c r="X121" t="s">
        <v>544</v>
      </c>
      <c r="Y121" t="s">
        <v>444</v>
      </c>
      <c r="Z121" s="37">
        <v>1</v>
      </c>
      <c r="AA121" s="37">
        <v>0.25</v>
      </c>
      <c r="AB121">
        <v>100</v>
      </c>
    </row>
    <row r="122">
      <c r="A122" t="s">
        <v>640</v>
      </c>
      <c r="B122" t="s">
        <v>641</v>
      </c>
      <c r="C122" t="s">
        <v>641</v>
      </c>
      <c r="D122" t="s">
        <v>642</v>
      </c>
      <c r="E122" t="s">
        <v>643</v>
      </c>
      <c r="F122" t="s">
        <v>298</v>
      </c>
      <c r="G122" t="s">
        <v>644</v>
      </c>
      <c r="H122" t="s">
        <v>645</v>
      </c>
      <c r="I122" t="s">
        <v>646</v>
      </c>
      <c r="J122">
        <v>1</v>
      </c>
      <c r="L122" t="s">
        <v>647</v>
      </c>
      <c r="M122" s="37">
        <v>1</v>
      </c>
      <c r="N122" s="37">
        <v>0.8</v>
      </c>
      <c r="O122">
        <v>1</v>
      </c>
      <c r="P122" s="37">
        <v>1</v>
      </c>
      <c r="Q122">
        <v>1</v>
      </c>
      <c r="R122">
        <v>5000</v>
      </c>
      <c r="S122">
        <v>5000</v>
      </c>
      <c r="T122">
        <v>5000</v>
      </c>
      <c r="U122" t="s">
        <v>546</v>
      </c>
      <c r="V122" t="s">
        <v>543</v>
      </c>
      <c r="W122">
        <v>100</v>
      </c>
      <c r="X122" t="s">
        <v>544</v>
      </c>
      <c r="Y122" t="s">
        <v>444</v>
      </c>
      <c r="Z122" s="37">
        <v>1</v>
      </c>
      <c r="AA122" s="37">
        <v>0.25</v>
      </c>
      <c r="AB122">
        <v>100</v>
      </c>
    </row>
    <row r="123">
      <c r="A123" t="s">
        <v>640</v>
      </c>
      <c r="B123" t="s">
        <v>641</v>
      </c>
      <c r="C123" t="s">
        <v>641</v>
      </c>
      <c r="D123" t="s">
        <v>642</v>
      </c>
      <c r="E123" t="s">
        <v>643</v>
      </c>
      <c r="F123" t="s">
        <v>298</v>
      </c>
      <c r="G123" t="s">
        <v>644</v>
      </c>
      <c r="H123" t="s">
        <v>648</v>
      </c>
      <c r="I123" t="s">
        <v>649</v>
      </c>
      <c r="J123" s="38">
        <v>1</v>
      </c>
      <c r="K123" s="38">
        <v>1</v>
      </c>
      <c r="L123" t="s">
        <v>650</v>
      </c>
      <c r="M123" s="37">
        <v>1</v>
      </c>
      <c r="N123" s="37">
        <v>0.2</v>
      </c>
      <c r="O123">
        <v>1</v>
      </c>
      <c r="P123" s="37">
        <v>1</v>
      </c>
      <c r="Q123">
        <v>1</v>
      </c>
      <c r="R123">
        <v>5000</v>
      </c>
      <c r="S123">
        <v>5000</v>
      </c>
      <c r="T123">
        <v>5000</v>
      </c>
      <c r="U123" t="s">
        <v>546</v>
      </c>
      <c r="V123" t="s">
        <v>543</v>
      </c>
      <c r="W123">
        <v>100</v>
      </c>
      <c r="X123" t="s">
        <v>544</v>
      </c>
      <c r="Y123" t="s">
        <v>444</v>
      </c>
      <c r="Z123" s="37">
        <v>1</v>
      </c>
      <c r="AA123" s="37">
        <v>0.25</v>
      </c>
      <c r="AB123">
        <v>100</v>
      </c>
    </row>
    <row r="124">
      <c r="A124" t="s">
        <v>651</v>
      </c>
      <c r="B124" t="s">
        <v>641</v>
      </c>
      <c r="C124" t="s">
        <v>641</v>
      </c>
      <c r="D124" t="s">
        <v>642</v>
      </c>
      <c r="E124" t="s">
        <v>652</v>
      </c>
      <c r="F124" t="s">
        <v>298</v>
      </c>
      <c r="G124" t="s">
        <v>644</v>
      </c>
      <c r="H124" t="s">
        <v>645</v>
      </c>
      <c r="I124" t="s">
        <v>653</v>
      </c>
      <c r="J124" s="38">
        <v>1</v>
      </c>
      <c r="L124" t="s">
        <v>654</v>
      </c>
      <c r="M124" s="37">
        <v>1.0334</v>
      </c>
      <c r="N124" s="37">
        <v>0.25</v>
      </c>
      <c r="O124">
        <v>1.03</v>
      </c>
      <c r="P124" s="37">
        <v>1.000005</v>
      </c>
      <c r="Q124">
        <v>0.99</v>
      </c>
      <c r="R124">
        <v>4950</v>
      </c>
      <c r="S124">
        <v>4950</v>
      </c>
      <c r="T124">
        <v>5000</v>
      </c>
      <c r="U124" t="s">
        <v>546</v>
      </c>
      <c r="V124" t="s">
        <v>543</v>
      </c>
      <c r="W124">
        <v>100</v>
      </c>
      <c r="X124" t="s">
        <v>544</v>
      </c>
      <c r="Y124" t="s">
        <v>444</v>
      </c>
      <c r="Z124" s="37">
        <v>1</v>
      </c>
      <c r="AA124" s="37">
        <v>0.25</v>
      </c>
      <c r="AB124">
        <v>100</v>
      </c>
    </row>
    <row r="125">
      <c r="A125" t="s">
        <v>651</v>
      </c>
      <c r="B125" t="s">
        <v>641</v>
      </c>
      <c r="C125" t="s">
        <v>641</v>
      </c>
      <c r="D125" t="s">
        <v>642</v>
      </c>
      <c r="E125" t="s">
        <v>652</v>
      </c>
      <c r="F125" t="s">
        <v>298</v>
      </c>
      <c r="G125" t="s">
        <v>644</v>
      </c>
      <c r="H125" t="s">
        <v>645</v>
      </c>
      <c r="I125" t="s">
        <v>655</v>
      </c>
      <c r="L125" t="s">
        <v>656</v>
      </c>
      <c r="M125" s="37">
        <v>0.8333</v>
      </c>
      <c r="N125" s="37">
        <v>0.35</v>
      </c>
      <c r="O125">
        <v>0.83</v>
      </c>
      <c r="P125" s="37">
        <v>1.000005</v>
      </c>
      <c r="Q125">
        <v>0.99</v>
      </c>
      <c r="R125">
        <v>4950</v>
      </c>
      <c r="S125">
        <v>4950</v>
      </c>
      <c r="T125">
        <v>5000</v>
      </c>
      <c r="U125" t="s">
        <v>546</v>
      </c>
      <c r="V125" t="s">
        <v>543</v>
      </c>
      <c r="W125">
        <v>100</v>
      </c>
      <c r="X125" t="s">
        <v>544</v>
      </c>
      <c r="Y125" t="s">
        <v>444</v>
      </c>
      <c r="Z125" s="37">
        <v>1</v>
      </c>
      <c r="AA125" s="37">
        <v>0.25</v>
      </c>
      <c r="AB125">
        <v>100</v>
      </c>
    </row>
    <row r="126">
      <c r="A126" t="s">
        <v>651</v>
      </c>
      <c r="B126" t="s">
        <v>641</v>
      </c>
      <c r="C126" t="s">
        <v>641</v>
      </c>
      <c r="D126" t="s">
        <v>642</v>
      </c>
      <c r="E126" t="s">
        <v>652</v>
      </c>
      <c r="F126" t="s">
        <v>298</v>
      </c>
      <c r="G126" t="s">
        <v>644</v>
      </c>
      <c r="H126" t="s">
        <v>648</v>
      </c>
      <c r="I126" t="s">
        <v>657</v>
      </c>
      <c r="J126" t="s">
        <v>658</v>
      </c>
      <c r="K126" t="s">
        <v>659</v>
      </c>
      <c r="L126" t="s">
        <v>660</v>
      </c>
      <c r="M126" s="37">
        <v>1</v>
      </c>
      <c r="N126" s="37">
        <v>0.2</v>
      </c>
      <c r="O126">
        <v>1</v>
      </c>
      <c r="P126" s="37">
        <v>1.000005</v>
      </c>
      <c r="Q126">
        <v>0.99</v>
      </c>
      <c r="R126">
        <v>4950</v>
      </c>
      <c r="S126">
        <v>4950</v>
      </c>
      <c r="T126">
        <v>5000</v>
      </c>
      <c r="U126" t="s">
        <v>546</v>
      </c>
      <c r="V126" t="s">
        <v>543</v>
      </c>
      <c r="W126">
        <v>100</v>
      </c>
      <c r="X126" t="s">
        <v>544</v>
      </c>
      <c r="Y126" t="s">
        <v>444</v>
      </c>
      <c r="Z126" s="37">
        <v>1</v>
      </c>
      <c r="AA126" s="37">
        <v>0.25</v>
      </c>
      <c r="AB126">
        <v>100</v>
      </c>
    </row>
    <row r="127">
      <c r="A127" t="s">
        <v>651</v>
      </c>
      <c r="B127" t="s">
        <v>641</v>
      </c>
      <c r="C127" t="s">
        <v>641</v>
      </c>
      <c r="D127" t="s">
        <v>642</v>
      </c>
      <c r="E127" t="s">
        <v>652</v>
      </c>
      <c r="F127" t="s">
        <v>298</v>
      </c>
      <c r="G127" t="s">
        <v>644</v>
      </c>
      <c r="H127" t="s">
        <v>648</v>
      </c>
      <c r="I127" t="s">
        <v>661</v>
      </c>
      <c r="J127" t="s">
        <v>662</v>
      </c>
      <c r="K127" t="s">
        <v>659</v>
      </c>
      <c r="L127" t="s">
        <v>660</v>
      </c>
      <c r="M127" s="37">
        <v>1.25</v>
      </c>
      <c r="N127" s="37">
        <v>0.2</v>
      </c>
      <c r="O127">
        <v>1.25</v>
      </c>
      <c r="P127" s="37">
        <v>1.000005</v>
      </c>
      <c r="Q127">
        <v>0.99</v>
      </c>
      <c r="R127">
        <v>4950</v>
      </c>
      <c r="S127">
        <v>4950</v>
      </c>
      <c r="T127">
        <v>5000</v>
      </c>
      <c r="U127" t="s">
        <v>546</v>
      </c>
      <c r="V127" t="s">
        <v>543</v>
      </c>
      <c r="W127">
        <v>100</v>
      </c>
      <c r="X127" t="s">
        <v>544</v>
      </c>
      <c r="Y127" t="s">
        <v>444</v>
      </c>
      <c r="Z127" s="37">
        <v>1</v>
      </c>
      <c r="AA127" s="37">
        <v>0.25</v>
      </c>
      <c r="AB127">
        <v>100</v>
      </c>
    </row>
    <row r="128">
      <c r="A128" t="s">
        <v>663</v>
      </c>
      <c r="B128" t="s">
        <v>641</v>
      </c>
      <c r="C128" t="s">
        <v>641</v>
      </c>
      <c r="D128" t="s">
        <v>642</v>
      </c>
      <c r="E128" t="s">
        <v>664</v>
      </c>
      <c r="F128" t="s">
        <v>298</v>
      </c>
      <c r="G128" t="s">
        <v>644</v>
      </c>
      <c r="H128" t="s">
        <v>645</v>
      </c>
      <c r="I128" t="s">
        <v>665</v>
      </c>
      <c r="L128" t="s">
        <v>666</v>
      </c>
      <c r="M128" s="37">
        <v>1</v>
      </c>
      <c r="N128" s="37">
        <v>0.3</v>
      </c>
      <c r="O128">
        <v>1</v>
      </c>
      <c r="P128" s="37">
        <v>1</v>
      </c>
      <c r="Q128">
        <v>1</v>
      </c>
      <c r="R128">
        <v>0</v>
      </c>
      <c r="S128">
        <v>0</v>
      </c>
      <c r="T128">
        <v>3000</v>
      </c>
      <c r="U128" t="s">
        <v>546</v>
      </c>
      <c r="V128" t="s">
        <v>543</v>
      </c>
      <c r="W128">
        <v>100</v>
      </c>
      <c r="X128" t="s">
        <v>544</v>
      </c>
      <c r="Y128" t="s">
        <v>444</v>
      </c>
      <c r="Z128" s="37">
        <v>1</v>
      </c>
      <c r="AA128" s="37">
        <v>0.25</v>
      </c>
      <c r="AB128">
        <v>100</v>
      </c>
    </row>
    <row r="129">
      <c r="A129" t="s">
        <v>663</v>
      </c>
      <c r="B129" t="s">
        <v>641</v>
      </c>
      <c r="C129" t="s">
        <v>641</v>
      </c>
      <c r="D129" t="s">
        <v>642</v>
      </c>
      <c r="E129" t="s">
        <v>664</v>
      </c>
      <c r="F129" t="s">
        <v>298</v>
      </c>
      <c r="G129" t="s">
        <v>644</v>
      </c>
      <c r="H129" t="s">
        <v>645</v>
      </c>
      <c r="I129" t="s">
        <v>667</v>
      </c>
      <c r="L129" t="s">
        <v>668</v>
      </c>
      <c r="M129" s="37">
        <v>1</v>
      </c>
      <c r="N129" s="37">
        <v>0.35</v>
      </c>
      <c r="O129">
        <v>1</v>
      </c>
      <c r="P129" s="37">
        <v>1</v>
      </c>
      <c r="Q129">
        <v>1</v>
      </c>
      <c r="R129">
        <v>0</v>
      </c>
      <c r="S129">
        <v>0</v>
      </c>
      <c r="T129">
        <v>3000</v>
      </c>
      <c r="U129" t="s">
        <v>546</v>
      </c>
      <c r="V129" t="s">
        <v>543</v>
      </c>
      <c r="W129">
        <v>100</v>
      </c>
      <c r="X129" t="s">
        <v>544</v>
      </c>
      <c r="Y129" t="s">
        <v>444</v>
      </c>
      <c r="Z129" s="37">
        <v>1</v>
      </c>
      <c r="AA129" s="37">
        <v>0.25</v>
      </c>
      <c r="AB129">
        <v>100</v>
      </c>
    </row>
    <row r="130">
      <c r="A130" t="s">
        <v>663</v>
      </c>
      <c r="B130" t="s">
        <v>641</v>
      </c>
      <c r="C130" t="s">
        <v>641</v>
      </c>
      <c r="D130" t="s">
        <v>642</v>
      </c>
      <c r="E130" t="s">
        <v>664</v>
      </c>
      <c r="F130" t="s">
        <v>298</v>
      </c>
      <c r="G130" t="s">
        <v>644</v>
      </c>
      <c r="H130" t="s">
        <v>645</v>
      </c>
      <c r="I130" t="s">
        <v>669</v>
      </c>
      <c r="L130" t="s">
        <v>670</v>
      </c>
      <c r="M130" s="37">
        <v>1</v>
      </c>
      <c r="N130" s="37">
        <v>0.35</v>
      </c>
      <c r="O130">
        <v>1</v>
      </c>
      <c r="P130" s="37">
        <v>1</v>
      </c>
      <c r="Q130">
        <v>1</v>
      </c>
      <c r="R130">
        <v>0</v>
      </c>
      <c r="S130">
        <v>0</v>
      </c>
      <c r="T130">
        <v>3000</v>
      </c>
      <c r="U130" t="s">
        <v>546</v>
      </c>
      <c r="V130" t="s">
        <v>543</v>
      </c>
      <c r="W130">
        <v>100</v>
      </c>
      <c r="X130" t="s">
        <v>544</v>
      </c>
      <c r="Y130" t="s">
        <v>444</v>
      </c>
      <c r="Z130" s="37">
        <v>1</v>
      </c>
      <c r="AA130" s="37">
        <v>0.25</v>
      </c>
      <c r="AB130">
        <v>100</v>
      </c>
    </row>
    <row r="131">
      <c r="A131" t="s">
        <v>671</v>
      </c>
      <c r="B131" t="s">
        <v>641</v>
      </c>
      <c r="C131" t="s">
        <v>641</v>
      </c>
      <c r="D131" t="s">
        <v>672</v>
      </c>
      <c r="E131" t="s">
        <v>673</v>
      </c>
      <c r="F131" t="s">
        <v>298</v>
      </c>
      <c r="G131" t="s">
        <v>674</v>
      </c>
      <c r="H131" t="s">
        <v>675</v>
      </c>
      <c r="I131" t="s">
        <v>676</v>
      </c>
      <c r="J131" s="38">
        <v>0.9</v>
      </c>
      <c r="L131">
        <v>0.2</v>
      </c>
      <c r="M131" s="37">
        <v>1</v>
      </c>
      <c r="N131" s="37">
        <v>0.2</v>
      </c>
      <c r="O131">
        <v>1</v>
      </c>
      <c r="P131" s="37">
        <v>1</v>
      </c>
      <c r="Q131">
        <v>1</v>
      </c>
      <c r="R131">
        <v>2000</v>
      </c>
      <c r="S131">
        <v>2000</v>
      </c>
      <c r="T131">
        <v>2000</v>
      </c>
      <c r="U131" t="s">
        <v>546</v>
      </c>
      <c r="V131" t="s">
        <v>543</v>
      </c>
      <c r="W131">
        <v>100</v>
      </c>
      <c r="X131" t="s">
        <v>544</v>
      </c>
      <c r="Y131" t="s">
        <v>444</v>
      </c>
      <c r="Z131" s="37">
        <v>1</v>
      </c>
      <c r="AA131" s="37">
        <v>0.25</v>
      </c>
      <c r="AB131">
        <v>100</v>
      </c>
    </row>
    <row r="132">
      <c r="A132" t="s">
        <v>671</v>
      </c>
      <c r="B132" t="s">
        <v>641</v>
      </c>
      <c r="C132" t="s">
        <v>641</v>
      </c>
      <c r="D132" t="s">
        <v>672</v>
      </c>
      <c r="E132" t="s">
        <v>673</v>
      </c>
      <c r="F132" t="s">
        <v>298</v>
      </c>
      <c r="G132" t="s">
        <v>674</v>
      </c>
      <c r="H132" t="s">
        <v>677</v>
      </c>
      <c r="I132" t="s">
        <v>678</v>
      </c>
      <c r="J132" s="38">
        <v>0.65</v>
      </c>
      <c r="K132" s="37">
        <v>0.743</v>
      </c>
      <c r="L132">
        <v>0.2</v>
      </c>
      <c r="M132" s="37">
        <v>1</v>
      </c>
      <c r="N132" s="37">
        <v>0.4</v>
      </c>
      <c r="O132">
        <v>1</v>
      </c>
      <c r="P132" s="37">
        <v>1</v>
      </c>
      <c r="Q132">
        <v>1</v>
      </c>
      <c r="R132">
        <v>2000</v>
      </c>
      <c r="S132">
        <v>2000</v>
      </c>
      <c r="T132">
        <v>2000</v>
      </c>
      <c r="U132" t="s">
        <v>546</v>
      </c>
      <c r="V132" t="s">
        <v>543</v>
      </c>
      <c r="W132">
        <v>100</v>
      </c>
      <c r="X132" t="s">
        <v>544</v>
      </c>
      <c r="Y132" t="s">
        <v>444</v>
      </c>
      <c r="Z132" s="37">
        <v>1</v>
      </c>
      <c r="AA132" s="37">
        <v>0.25</v>
      </c>
      <c r="AB132">
        <v>100</v>
      </c>
    </row>
    <row r="133">
      <c r="A133" t="s">
        <v>671</v>
      </c>
      <c r="B133" t="s">
        <v>641</v>
      </c>
      <c r="C133" t="s">
        <v>641</v>
      </c>
      <c r="D133" t="s">
        <v>672</v>
      </c>
      <c r="E133" t="s">
        <v>673</v>
      </c>
      <c r="F133" t="s">
        <v>298</v>
      </c>
      <c r="G133" t="s">
        <v>674</v>
      </c>
      <c r="H133" t="s">
        <v>679</v>
      </c>
      <c r="I133" t="s">
        <v>680</v>
      </c>
      <c r="J133" s="38">
        <v>0.05</v>
      </c>
      <c r="K133" s="38">
        <v>0.05</v>
      </c>
      <c r="L133">
        <v>0.2</v>
      </c>
      <c r="M133" s="37">
        <v>1</v>
      </c>
      <c r="N133" s="37">
        <v>0.1</v>
      </c>
      <c r="O133">
        <v>1</v>
      </c>
      <c r="P133" s="37">
        <v>1</v>
      </c>
      <c r="Q133">
        <v>1</v>
      </c>
      <c r="R133">
        <v>2000</v>
      </c>
      <c r="S133">
        <v>2000</v>
      </c>
      <c r="T133">
        <v>2000</v>
      </c>
      <c r="U133" t="s">
        <v>546</v>
      </c>
      <c r="V133" t="s">
        <v>543</v>
      </c>
      <c r="W133">
        <v>100</v>
      </c>
      <c r="X133" t="s">
        <v>544</v>
      </c>
      <c r="Y133" t="s">
        <v>444</v>
      </c>
      <c r="Z133" s="37">
        <v>1</v>
      </c>
      <c r="AA133" s="37">
        <v>0.25</v>
      </c>
      <c r="AB133">
        <v>100</v>
      </c>
    </row>
    <row r="134">
      <c r="A134" t="s">
        <v>671</v>
      </c>
      <c r="B134" t="s">
        <v>641</v>
      </c>
      <c r="C134" t="s">
        <v>641</v>
      </c>
      <c r="D134" t="s">
        <v>672</v>
      </c>
      <c r="E134" t="s">
        <v>673</v>
      </c>
      <c r="F134" t="s">
        <v>298</v>
      </c>
      <c r="G134" t="s">
        <v>674</v>
      </c>
      <c r="H134" t="s">
        <v>681</v>
      </c>
      <c r="I134" t="s">
        <v>682</v>
      </c>
      <c r="J134" s="38">
        <v>0.9</v>
      </c>
      <c r="K134" s="38">
        <v>0.9</v>
      </c>
      <c r="L134">
        <v>0.2</v>
      </c>
      <c r="M134" s="37">
        <v>1</v>
      </c>
      <c r="N134" s="37">
        <v>0.3</v>
      </c>
      <c r="O134">
        <v>1</v>
      </c>
      <c r="P134" s="37">
        <v>1</v>
      </c>
      <c r="Q134">
        <v>1</v>
      </c>
      <c r="R134">
        <v>2000</v>
      </c>
      <c r="S134">
        <v>2000</v>
      </c>
      <c r="T134">
        <v>2000</v>
      </c>
      <c r="U134" t="s">
        <v>546</v>
      </c>
      <c r="V134" t="s">
        <v>543</v>
      </c>
      <c r="W134">
        <v>100</v>
      </c>
      <c r="X134" t="s">
        <v>544</v>
      </c>
      <c r="Y134" t="s">
        <v>444</v>
      </c>
      <c r="Z134" s="37">
        <v>1</v>
      </c>
      <c r="AA134" s="37">
        <v>0.25</v>
      </c>
      <c r="AB134">
        <v>100</v>
      </c>
    </row>
    <row r="135">
      <c r="A135" t="s">
        <v>683</v>
      </c>
      <c r="B135" t="s">
        <v>641</v>
      </c>
      <c r="C135" t="s">
        <v>641</v>
      </c>
      <c r="D135" t="s">
        <v>684</v>
      </c>
      <c r="E135" t="s">
        <v>685</v>
      </c>
      <c r="F135" t="s">
        <v>298</v>
      </c>
      <c r="G135" t="s">
        <v>686</v>
      </c>
      <c r="H135" t="s">
        <v>687</v>
      </c>
      <c r="I135" t="s">
        <v>688</v>
      </c>
      <c r="J135">
        <v>4</v>
      </c>
      <c r="K135">
        <v>4</v>
      </c>
      <c r="L135">
        <v>0.2</v>
      </c>
      <c r="M135" s="37">
        <v>1</v>
      </c>
      <c r="N135" s="37">
        <v>0.4</v>
      </c>
      <c r="O135">
        <v>1</v>
      </c>
      <c r="P135" s="37">
        <v>1</v>
      </c>
      <c r="Q135">
        <v>1</v>
      </c>
      <c r="R135">
        <v>5000</v>
      </c>
      <c r="S135">
        <v>5000</v>
      </c>
      <c r="T135">
        <v>5000</v>
      </c>
      <c r="U135" t="s">
        <v>546</v>
      </c>
      <c r="V135" t="s">
        <v>543</v>
      </c>
      <c r="W135">
        <v>100</v>
      </c>
      <c r="X135" t="s">
        <v>544</v>
      </c>
      <c r="Y135" t="s">
        <v>444</v>
      </c>
      <c r="Z135" s="37">
        <v>1</v>
      </c>
      <c r="AA135" s="37">
        <v>0.25</v>
      </c>
      <c r="AB135">
        <v>100</v>
      </c>
    </row>
    <row r="136">
      <c r="A136" t="s">
        <v>683</v>
      </c>
      <c r="B136" t="s">
        <v>641</v>
      </c>
      <c r="C136" t="s">
        <v>641</v>
      </c>
      <c r="D136" t="s">
        <v>684</v>
      </c>
      <c r="E136" t="s">
        <v>685</v>
      </c>
      <c r="F136" t="s">
        <v>298</v>
      </c>
      <c r="G136" t="s">
        <v>686</v>
      </c>
      <c r="H136" t="s">
        <v>687</v>
      </c>
      <c r="I136" t="s">
        <v>689</v>
      </c>
      <c r="J136" t="s">
        <v>690</v>
      </c>
      <c r="K136" t="s">
        <v>691</v>
      </c>
      <c r="L136">
        <v>0.2</v>
      </c>
      <c r="M136" s="37">
        <v>1</v>
      </c>
      <c r="N136" s="37">
        <v>0.3</v>
      </c>
      <c r="O136">
        <v>1</v>
      </c>
      <c r="P136" s="37">
        <v>1</v>
      </c>
      <c r="Q136">
        <v>1</v>
      </c>
      <c r="R136">
        <v>5000</v>
      </c>
      <c r="S136">
        <v>5000</v>
      </c>
      <c r="T136">
        <v>5000</v>
      </c>
      <c r="U136" t="s">
        <v>546</v>
      </c>
      <c r="V136" t="s">
        <v>543</v>
      </c>
      <c r="W136">
        <v>100</v>
      </c>
      <c r="X136" t="s">
        <v>544</v>
      </c>
      <c r="Y136" t="s">
        <v>444</v>
      </c>
      <c r="Z136" s="37">
        <v>1</v>
      </c>
      <c r="AA136" s="37">
        <v>0.25</v>
      </c>
      <c r="AB136">
        <v>100</v>
      </c>
    </row>
    <row r="137">
      <c r="A137" t="s">
        <v>683</v>
      </c>
      <c r="B137" t="s">
        <v>641</v>
      </c>
      <c r="C137" t="s">
        <v>641</v>
      </c>
      <c r="D137" t="s">
        <v>684</v>
      </c>
      <c r="E137" t="s">
        <v>685</v>
      </c>
      <c r="F137" t="s">
        <v>298</v>
      </c>
      <c r="G137" t="s">
        <v>686</v>
      </c>
      <c r="H137" t="s">
        <v>687</v>
      </c>
      <c r="I137" t="s">
        <v>692</v>
      </c>
      <c r="J137" s="38">
        <v>0.95</v>
      </c>
      <c r="K137" s="38">
        <v>1</v>
      </c>
      <c r="L137">
        <v>0.2</v>
      </c>
      <c r="M137" s="37">
        <v>1</v>
      </c>
      <c r="N137" s="37">
        <v>0.3</v>
      </c>
      <c r="O137">
        <v>1</v>
      </c>
      <c r="P137" s="37">
        <v>1</v>
      </c>
      <c r="Q137">
        <v>1</v>
      </c>
      <c r="R137">
        <v>5000</v>
      </c>
      <c r="S137">
        <v>5000</v>
      </c>
      <c r="T137">
        <v>5000</v>
      </c>
      <c r="U137" t="s">
        <v>546</v>
      </c>
      <c r="V137" t="s">
        <v>543</v>
      </c>
      <c r="W137">
        <v>100</v>
      </c>
      <c r="X137" t="s">
        <v>544</v>
      </c>
      <c r="Y137" t="s">
        <v>444</v>
      </c>
      <c r="Z137" s="37">
        <v>1</v>
      </c>
      <c r="AA137" s="37">
        <v>0.25</v>
      </c>
      <c r="AB137">
        <v>100</v>
      </c>
    </row>
    <row r="138">
      <c r="A138" t="s">
        <v>693</v>
      </c>
      <c r="B138" t="s">
        <v>694</v>
      </c>
      <c r="C138" t="s">
        <v>694</v>
      </c>
      <c r="D138" t="s">
        <v>695</v>
      </c>
      <c r="E138" t="s">
        <v>696</v>
      </c>
      <c r="F138" t="s">
        <v>298</v>
      </c>
      <c r="G138" t="s">
        <v>697</v>
      </c>
      <c r="H138" t="s">
        <v>698</v>
      </c>
      <c r="I138" t="s">
        <v>699</v>
      </c>
      <c r="J138" s="38">
        <v>1</v>
      </c>
      <c r="K138" s="37">
        <v>0.9906</v>
      </c>
      <c r="L138" t="s">
        <v>700</v>
      </c>
      <c r="M138" s="37">
        <v>0.9906</v>
      </c>
      <c r="N138" s="37">
        <v>0.5</v>
      </c>
      <c r="O138">
        <v>1</v>
      </c>
      <c r="P138" s="37">
        <v>0.9953</v>
      </c>
      <c r="Q138">
        <v>1.14</v>
      </c>
      <c r="R138">
        <v>3348.84</v>
      </c>
      <c r="S138">
        <v>3348.84</v>
      </c>
      <c r="T138">
        <v>3000</v>
      </c>
      <c r="U138" t="s">
        <v>546</v>
      </c>
      <c r="V138" t="s">
        <v>543</v>
      </c>
      <c r="W138">
        <v>100</v>
      </c>
      <c r="X138" t="s">
        <v>544</v>
      </c>
      <c r="Y138" t="s">
        <v>444</v>
      </c>
      <c r="Z138" s="37">
        <v>1</v>
      </c>
      <c r="AA138" s="37">
        <v>0.25</v>
      </c>
      <c r="AB138">
        <v>100</v>
      </c>
    </row>
    <row r="139">
      <c r="A139" t="s">
        <v>693</v>
      </c>
      <c r="B139" t="s">
        <v>694</v>
      </c>
      <c r="C139" t="s">
        <v>694</v>
      </c>
      <c r="D139" t="s">
        <v>695</v>
      </c>
      <c r="E139" t="s">
        <v>696</v>
      </c>
      <c r="F139" t="s">
        <v>298</v>
      </c>
      <c r="G139" t="s">
        <v>697</v>
      </c>
      <c r="H139" t="s">
        <v>701</v>
      </c>
      <c r="I139" t="s">
        <v>702</v>
      </c>
      <c r="J139" s="38">
        <v>1</v>
      </c>
      <c r="K139" s="38">
        <v>1</v>
      </c>
      <c r="L139" t="s">
        <v>703</v>
      </c>
      <c r="M139" s="37">
        <v>1</v>
      </c>
      <c r="N139" s="37">
        <v>0.1</v>
      </c>
      <c r="O139">
        <v>1</v>
      </c>
      <c r="P139" s="37">
        <v>0.9953</v>
      </c>
      <c r="Q139">
        <v>1.14</v>
      </c>
      <c r="R139">
        <v>3348.84</v>
      </c>
      <c r="S139">
        <v>3348.84</v>
      </c>
      <c r="T139">
        <v>3000</v>
      </c>
      <c r="U139" t="s">
        <v>546</v>
      </c>
      <c r="V139" t="s">
        <v>543</v>
      </c>
      <c r="W139">
        <v>100</v>
      </c>
      <c r="X139" t="s">
        <v>544</v>
      </c>
      <c r="Y139" t="s">
        <v>444</v>
      </c>
      <c r="Z139" s="37">
        <v>1</v>
      </c>
      <c r="AA139" s="37">
        <v>0.25</v>
      </c>
      <c r="AB139">
        <v>100</v>
      </c>
    </row>
    <row r="140">
      <c r="A140" t="s">
        <v>693</v>
      </c>
      <c r="B140" t="s">
        <v>694</v>
      </c>
      <c r="C140" t="s">
        <v>694</v>
      </c>
      <c r="D140" t="s">
        <v>695</v>
      </c>
      <c r="E140" t="s">
        <v>696</v>
      </c>
      <c r="F140" t="s">
        <v>298</v>
      </c>
      <c r="G140" t="s">
        <v>697</v>
      </c>
      <c r="H140" t="s">
        <v>704</v>
      </c>
      <c r="I140" t="s">
        <v>705</v>
      </c>
      <c r="J140" t="s">
        <v>706</v>
      </c>
      <c r="K140" t="s">
        <v>706</v>
      </c>
      <c r="L140" t="s">
        <v>707</v>
      </c>
      <c r="M140" s="37">
        <v>1</v>
      </c>
      <c r="N140" s="37">
        <v>0.2</v>
      </c>
      <c r="O140">
        <v>1</v>
      </c>
      <c r="P140" s="37">
        <v>0.9953</v>
      </c>
      <c r="Q140">
        <v>1.14</v>
      </c>
      <c r="R140">
        <v>3348.84</v>
      </c>
      <c r="S140">
        <v>3348.84</v>
      </c>
      <c r="T140">
        <v>3000</v>
      </c>
      <c r="U140" t="s">
        <v>546</v>
      </c>
      <c r="V140" t="s">
        <v>543</v>
      </c>
      <c r="W140">
        <v>100</v>
      </c>
      <c r="X140" t="s">
        <v>544</v>
      </c>
      <c r="Y140" t="s">
        <v>444</v>
      </c>
      <c r="Z140" s="37">
        <v>1</v>
      </c>
      <c r="AA140" s="37">
        <v>0.25</v>
      </c>
      <c r="AB140">
        <v>100</v>
      </c>
    </row>
    <row r="141">
      <c r="A141" t="s">
        <v>693</v>
      </c>
      <c r="B141" t="s">
        <v>694</v>
      </c>
      <c r="C141" t="s">
        <v>694</v>
      </c>
      <c r="D141" t="s">
        <v>695</v>
      </c>
      <c r="E141" t="s">
        <v>696</v>
      </c>
      <c r="F141" t="s">
        <v>298</v>
      </c>
      <c r="G141" t="s">
        <v>697</v>
      </c>
      <c r="H141" t="s">
        <v>704</v>
      </c>
      <c r="I141" t="s">
        <v>708</v>
      </c>
      <c r="J141" t="s">
        <v>709</v>
      </c>
      <c r="K141" t="s">
        <v>709</v>
      </c>
      <c r="L141" t="s">
        <v>707</v>
      </c>
      <c r="M141" s="37">
        <v>1</v>
      </c>
      <c r="N141" s="37">
        <v>0.12</v>
      </c>
      <c r="O141">
        <v>1</v>
      </c>
      <c r="P141" s="37">
        <v>0.9953</v>
      </c>
      <c r="Q141">
        <v>1.14</v>
      </c>
      <c r="R141">
        <v>3348.84</v>
      </c>
      <c r="S141">
        <v>3348.84</v>
      </c>
      <c r="T141">
        <v>3000</v>
      </c>
      <c r="U141" t="s">
        <v>546</v>
      </c>
      <c r="V141" t="s">
        <v>543</v>
      </c>
      <c r="W141">
        <v>100</v>
      </c>
      <c r="X141" t="s">
        <v>544</v>
      </c>
      <c r="Y141" t="s">
        <v>444</v>
      </c>
      <c r="Z141" s="37">
        <v>1</v>
      </c>
      <c r="AA141" s="37">
        <v>0.25</v>
      </c>
      <c r="AB141">
        <v>100</v>
      </c>
    </row>
    <row r="142">
      <c r="A142" t="s">
        <v>693</v>
      </c>
      <c r="B142" t="s">
        <v>694</v>
      </c>
      <c r="C142" t="s">
        <v>694</v>
      </c>
      <c r="D142" t="s">
        <v>695</v>
      </c>
      <c r="E142" t="s">
        <v>696</v>
      </c>
      <c r="F142" t="s">
        <v>298</v>
      </c>
      <c r="G142" t="s">
        <v>697</v>
      </c>
      <c r="H142" t="s">
        <v>704</v>
      </c>
      <c r="I142" t="s">
        <v>710</v>
      </c>
      <c r="J142" t="s">
        <v>709</v>
      </c>
      <c r="K142" t="s">
        <v>709</v>
      </c>
      <c r="L142" t="s">
        <v>707</v>
      </c>
      <c r="M142" s="37">
        <v>1</v>
      </c>
      <c r="N142" s="37">
        <v>0.08</v>
      </c>
      <c r="O142">
        <v>1</v>
      </c>
      <c r="P142" s="37">
        <v>0.9953</v>
      </c>
      <c r="Q142">
        <v>1.14</v>
      </c>
      <c r="R142">
        <v>3348.84</v>
      </c>
      <c r="S142">
        <v>3348.84</v>
      </c>
      <c r="T142">
        <v>3000</v>
      </c>
      <c r="U142" t="s">
        <v>546</v>
      </c>
      <c r="V142" t="s">
        <v>543</v>
      </c>
      <c r="W142">
        <v>100</v>
      </c>
      <c r="X142" t="s">
        <v>544</v>
      </c>
      <c r="Y142" t="s">
        <v>444</v>
      </c>
      <c r="Z142" s="37">
        <v>1</v>
      </c>
      <c r="AA142" s="37">
        <v>0.25</v>
      </c>
      <c r="AB142">
        <v>100</v>
      </c>
    </row>
    <row r="143">
      <c r="A143" t="s">
        <v>711</v>
      </c>
      <c r="B143" t="s">
        <v>694</v>
      </c>
      <c r="C143" t="s">
        <v>694</v>
      </c>
      <c r="D143" t="s">
        <v>695</v>
      </c>
      <c r="E143" t="s">
        <v>712</v>
      </c>
      <c r="F143" t="s">
        <v>298</v>
      </c>
      <c r="G143" t="s">
        <v>697</v>
      </c>
      <c r="H143" t="s">
        <v>698</v>
      </c>
      <c r="I143" t="s">
        <v>713</v>
      </c>
      <c r="J143" s="38">
        <v>0.98</v>
      </c>
      <c r="K143" s="37">
        <v>0.9957</v>
      </c>
      <c r="L143" t="s">
        <v>714</v>
      </c>
      <c r="M143" s="37">
        <v>1</v>
      </c>
      <c r="N143" s="37">
        <v>0.4</v>
      </c>
      <c r="O143">
        <v>1</v>
      </c>
      <c r="P143" s="37">
        <v>0.98314</v>
      </c>
      <c r="Q143">
        <v>1.14</v>
      </c>
      <c r="R143">
        <v>3069.77</v>
      </c>
      <c r="S143">
        <v>3069.77</v>
      </c>
      <c r="T143">
        <v>3000</v>
      </c>
      <c r="U143" t="s">
        <v>546</v>
      </c>
      <c r="V143" t="s">
        <v>543</v>
      </c>
      <c r="W143">
        <v>100</v>
      </c>
      <c r="X143" t="s">
        <v>544</v>
      </c>
      <c r="Y143" t="s">
        <v>444</v>
      </c>
      <c r="Z143" s="37">
        <v>1</v>
      </c>
      <c r="AA143" s="37">
        <v>0.25</v>
      </c>
      <c r="AB143">
        <v>100</v>
      </c>
    </row>
    <row r="144">
      <c r="A144" t="s">
        <v>711</v>
      </c>
      <c r="B144" t="s">
        <v>694</v>
      </c>
      <c r="C144" t="s">
        <v>694</v>
      </c>
      <c r="D144" t="s">
        <v>695</v>
      </c>
      <c r="E144" t="s">
        <v>712</v>
      </c>
      <c r="F144" t="s">
        <v>298</v>
      </c>
      <c r="G144" t="s">
        <v>697</v>
      </c>
      <c r="H144" t="s">
        <v>704</v>
      </c>
      <c r="I144" t="s">
        <v>715</v>
      </c>
      <c r="J144" s="38">
        <v>1</v>
      </c>
      <c r="K144" s="38">
        <v>1</v>
      </c>
      <c r="L144" t="s">
        <v>714</v>
      </c>
      <c r="M144" s="37">
        <v>1</v>
      </c>
      <c r="N144" s="37">
        <v>0.12</v>
      </c>
      <c r="O144">
        <v>1</v>
      </c>
      <c r="P144" s="37">
        <v>0.98314</v>
      </c>
      <c r="Q144">
        <v>1.14</v>
      </c>
      <c r="R144">
        <v>3069.77</v>
      </c>
      <c r="S144">
        <v>3069.77</v>
      </c>
      <c r="T144">
        <v>3000</v>
      </c>
      <c r="U144" t="s">
        <v>546</v>
      </c>
      <c r="V144" t="s">
        <v>543</v>
      </c>
      <c r="W144">
        <v>100</v>
      </c>
      <c r="X144" t="s">
        <v>544</v>
      </c>
      <c r="Y144" t="s">
        <v>444</v>
      </c>
      <c r="Z144" s="37">
        <v>1</v>
      </c>
      <c r="AA144" s="37">
        <v>0.25</v>
      </c>
      <c r="AB144">
        <v>100</v>
      </c>
    </row>
    <row r="145">
      <c r="A145" t="s">
        <v>711</v>
      </c>
      <c r="B145" t="s">
        <v>694</v>
      </c>
      <c r="C145" t="s">
        <v>694</v>
      </c>
      <c r="D145" t="s">
        <v>695</v>
      </c>
      <c r="E145" t="s">
        <v>712</v>
      </c>
      <c r="F145" t="s">
        <v>298</v>
      </c>
      <c r="G145" t="s">
        <v>697</v>
      </c>
      <c r="H145" t="s">
        <v>701</v>
      </c>
      <c r="I145" t="s">
        <v>716</v>
      </c>
      <c r="J145" s="38">
        <v>1</v>
      </c>
      <c r="K145" s="37">
        <v>0.9957</v>
      </c>
      <c r="L145" t="s">
        <v>717</v>
      </c>
      <c r="M145" s="37">
        <v>0.9957</v>
      </c>
      <c r="N145" s="37">
        <v>0.2</v>
      </c>
      <c r="O145">
        <v>1</v>
      </c>
      <c r="P145" s="37">
        <v>0.98314</v>
      </c>
      <c r="Q145">
        <v>1.14</v>
      </c>
      <c r="R145">
        <v>3069.77</v>
      </c>
      <c r="S145">
        <v>3069.77</v>
      </c>
      <c r="T145">
        <v>3000</v>
      </c>
      <c r="U145" t="s">
        <v>546</v>
      </c>
      <c r="V145" t="s">
        <v>543</v>
      </c>
      <c r="W145">
        <v>100</v>
      </c>
      <c r="X145" t="s">
        <v>544</v>
      </c>
      <c r="Y145" t="s">
        <v>444</v>
      </c>
      <c r="Z145" s="37">
        <v>1</v>
      </c>
      <c r="AA145" s="37">
        <v>0.25</v>
      </c>
      <c r="AB145">
        <v>100</v>
      </c>
    </row>
    <row r="146">
      <c r="A146" t="s">
        <v>711</v>
      </c>
      <c r="B146" t="s">
        <v>694</v>
      </c>
      <c r="C146" t="s">
        <v>694</v>
      </c>
      <c r="D146" t="s">
        <v>695</v>
      </c>
      <c r="E146" t="s">
        <v>712</v>
      </c>
      <c r="F146" t="s">
        <v>298</v>
      </c>
      <c r="G146" t="s">
        <v>697</v>
      </c>
      <c r="H146" t="s">
        <v>704</v>
      </c>
      <c r="I146" t="s">
        <v>718</v>
      </c>
      <c r="J146" s="38">
        <v>1</v>
      </c>
      <c r="K146" s="38">
        <v>0.8</v>
      </c>
      <c r="L146" t="s">
        <v>717</v>
      </c>
      <c r="M146" s="37">
        <v>0.8</v>
      </c>
      <c r="N146" s="37">
        <v>0.08</v>
      </c>
      <c r="O146">
        <v>0.8</v>
      </c>
      <c r="P146" s="37">
        <v>0.98314</v>
      </c>
      <c r="Q146">
        <v>1.14</v>
      </c>
      <c r="R146">
        <v>3069.77</v>
      </c>
      <c r="S146">
        <v>3069.77</v>
      </c>
      <c r="T146">
        <v>3000</v>
      </c>
      <c r="U146" t="s">
        <v>546</v>
      </c>
      <c r="V146" t="s">
        <v>543</v>
      </c>
      <c r="W146">
        <v>100</v>
      </c>
      <c r="X146" t="s">
        <v>544</v>
      </c>
      <c r="Y146" t="s">
        <v>444</v>
      </c>
      <c r="Z146" s="37">
        <v>1</v>
      </c>
      <c r="AA146" s="37">
        <v>0.25</v>
      </c>
      <c r="AB146">
        <v>100</v>
      </c>
    </row>
    <row r="147">
      <c r="A147" t="s">
        <v>711</v>
      </c>
      <c r="B147" t="s">
        <v>694</v>
      </c>
      <c r="C147" t="s">
        <v>694</v>
      </c>
      <c r="D147" t="s">
        <v>695</v>
      </c>
      <c r="E147" t="s">
        <v>712</v>
      </c>
      <c r="F147" t="s">
        <v>298</v>
      </c>
      <c r="G147" t="s">
        <v>697</v>
      </c>
      <c r="H147" t="s">
        <v>704</v>
      </c>
      <c r="I147" t="s">
        <v>719</v>
      </c>
      <c r="J147" s="38">
        <v>1</v>
      </c>
      <c r="K147" s="38">
        <v>1</v>
      </c>
      <c r="L147" t="s">
        <v>717</v>
      </c>
      <c r="M147" s="37">
        <v>1</v>
      </c>
      <c r="N147" s="37">
        <v>0.12</v>
      </c>
      <c r="O147">
        <v>1</v>
      </c>
      <c r="P147" s="37">
        <v>0.98314</v>
      </c>
      <c r="Q147">
        <v>1.14</v>
      </c>
      <c r="R147">
        <v>3069.77</v>
      </c>
      <c r="S147">
        <v>3069.77</v>
      </c>
      <c r="T147">
        <v>3000</v>
      </c>
      <c r="U147" t="s">
        <v>546</v>
      </c>
      <c r="V147" t="s">
        <v>543</v>
      </c>
      <c r="W147">
        <v>100</v>
      </c>
      <c r="X147" t="s">
        <v>544</v>
      </c>
      <c r="Y147" t="s">
        <v>444</v>
      </c>
      <c r="Z147" s="37">
        <v>1</v>
      </c>
      <c r="AA147" s="37">
        <v>0.25</v>
      </c>
      <c r="AB147">
        <v>100</v>
      </c>
    </row>
    <row r="148">
      <c r="A148" t="s">
        <v>711</v>
      </c>
      <c r="B148" t="s">
        <v>694</v>
      </c>
      <c r="C148" t="s">
        <v>694</v>
      </c>
      <c r="D148" t="s">
        <v>695</v>
      </c>
      <c r="E148" t="s">
        <v>712</v>
      </c>
      <c r="F148" t="s">
        <v>298</v>
      </c>
      <c r="G148" t="s">
        <v>697</v>
      </c>
      <c r="H148" t="s">
        <v>704</v>
      </c>
      <c r="I148" t="s">
        <v>720</v>
      </c>
      <c r="J148" s="38">
        <v>1</v>
      </c>
      <c r="K148" s="38">
        <v>1</v>
      </c>
      <c r="L148" t="s">
        <v>721</v>
      </c>
      <c r="M148" s="37">
        <v>1</v>
      </c>
      <c r="N148" s="37">
        <v>0.08</v>
      </c>
      <c r="O148">
        <v>1</v>
      </c>
      <c r="P148" s="37">
        <v>0.98314</v>
      </c>
      <c r="Q148">
        <v>1.14</v>
      </c>
      <c r="R148">
        <v>3069.77</v>
      </c>
      <c r="S148">
        <v>3069.77</v>
      </c>
      <c r="T148">
        <v>3000</v>
      </c>
      <c r="U148" t="s">
        <v>546</v>
      </c>
      <c r="V148" t="s">
        <v>543</v>
      </c>
      <c r="W148">
        <v>100</v>
      </c>
      <c r="X148" t="s">
        <v>544</v>
      </c>
      <c r="Y148" t="s">
        <v>444</v>
      </c>
      <c r="Z148" s="37">
        <v>1</v>
      </c>
      <c r="AA148" s="37">
        <v>0.25</v>
      </c>
      <c r="AB148">
        <v>100</v>
      </c>
    </row>
    <row r="149">
      <c r="A149" t="s">
        <v>722</v>
      </c>
      <c r="B149" t="s">
        <v>694</v>
      </c>
      <c r="C149" t="s">
        <v>694</v>
      </c>
      <c r="D149" t="s">
        <v>695</v>
      </c>
      <c r="E149" t="s">
        <v>723</v>
      </c>
      <c r="F149" t="s">
        <v>298</v>
      </c>
      <c r="G149" t="s">
        <v>697</v>
      </c>
      <c r="H149" t="s">
        <v>698</v>
      </c>
      <c r="I149" t="s">
        <v>724</v>
      </c>
      <c r="J149" s="38">
        <v>0.99</v>
      </c>
      <c r="K149" s="37">
        <v>0.9741</v>
      </c>
      <c r="L149" t="s">
        <v>721</v>
      </c>
      <c r="M149" s="37">
        <v>0.9839</v>
      </c>
      <c r="N149" s="37">
        <v>0.5</v>
      </c>
      <c r="O149">
        <v>0.8855</v>
      </c>
      <c r="P149" s="37">
        <v>0.99195</v>
      </c>
      <c r="Q149">
        <v>0.97</v>
      </c>
      <c r="R149">
        <v>2511.63</v>
      </c>
      <c r="S149">
        <v>2511.63</v>
      </c>
      <c r="T149">
        <v>3000</v>
      </c>
      <c r="U149" t="s">
        <v>546</v>
      </c>
      <c r="V149" t="s">
        <v>543</v>
      </c>
      <c r="W149">
        <v>100</v>
      </c>
      <c r="X149" t="s">
        <v>544</v>
      </c>
      <c r="Y149" t="s">
        <v>444</v>
      </c>
      <c r="Z149" s="37">
        <v>1</v>
      </c>
      <c r="AA149" s="37">
        <v>0.25</v>
      </c>
      <c r="AB149">
        <v>100</v>
      </c>
    </row>
    <row r="150">
      <c r="A150" t="s">
        <v>722</v>
      </c>
      <c r="B150" t="s">
        <v>694</v>
      </c>
      <c r="C150" t="s">
        <v>694</v>
      </c>
      <c r="D150" t="s">
        <v>695</v>
      </c>
      <c r="E150" t="s">
        <v>723</v>
      </c>
      <c r="F150" t="s">
        <v>298</v>
      </c>
      <c r="G150" t="s">
        <v>697</v>
      </c>
      <c r="H150" t="s">
        <v>704</v>
      </c>
      <c r="I150" t="s">
        <v>725</v>
      </c>
      <c r="J150" s="38">
        <v>1</v>
      </c>
      <c r="K150" s="38">
        <v>1</v>
      </c>
      <c r="L150" t="s">
        <v>721</v>
      </c>
      <c r="M150" s="37">
        <v>1</v>
      </c>
      <c r="N150" s="37">
        <v>0.06</v>
      </c>
      <c r="O150">
        <v>1</v>
      </c>
      <c r="P150" s="37">
        <v>0.99195</v>
      </c>
      <c r="Q150">
        <v>0.97</v>
      </c>
      <c r="R150">
        <v>2511.63</v>
      </c>
      <c r="S150">
        <v>2511.63</v>
      </c>
      <c r="T150">
        <v>3000</v>
      </c>
      <c r="U150" t="s">
        <v>546</v>
      </c>
      <c r="V150" t="s">
        <v>543</v>
      </c>
      <c r="W150">
        <v>100</v>
      </c>
      <c r="X150" t="s">
        <v>544</v>
      </c>
      <c r="Y150" t="s">
        <v>444</v>
      </c>
      <c r="Z150" s="37">
        <v>1</v>
      </c>
      <c r="AA150" s="37">
        <v>0.25</v>
      </c>
      <c r="AB150">
        <v>100</v>
      </c>
    </row>
    <row r="151">
      <c r="A151" t="s">
        <v>722</v>
      </c>
      <c r="B151" t="s">
        <v>694</v>
      </c>
      <c r="C151" t="s">
        <v>694</v>
      </c>
      <c r="D151" t="s">
        <v>695</v>
      </c>
      <c r="E151" t="s">
        <v>723</v>
      </c>
      <c r="F151" t="s">
        <v>298</v>
      </c>
      <c r="G151" t="s">
        <v>697</v>
      </c>
      <c r="H151" t="s">
        <v>701</v>
      </c>
      <c r="I151" t="s">
        <v>701</v>
      </c>
      <c r="J151" s="38">
        <v>1</v>
      </c>
      <c r="K151" s="38">
        <v>1</v>
      </c>
      <c r="L151" t="s">
        <v>721</v>
      </c>
      <c r="M151" s="37">
        <v>1</v>
      </c>
      <c r="N151" s="37">
        <v>0.2</v>
      </c>
      <c r="O151">
        <v>1</v>
      </c>
      <c r="P151" s="37">
        <v>0.99195</v>
      </c>
      <c r="Q151">
        <v>0.97</v>
      </c>
      <c r="R151">
        <v>2511.63</v>
      </c>
      <c r="S151">
        <v>2511.63</v>
      </c>
      <c r="T151">
        <v>3000</v>
      </c>
      <c r="U151" t="s">
        <v>546</v>
      </c>
      <c r="V151" t="s">
        <v>543</v>
      </c>
      <c r="W151">
        <v>100</v>
      </c>
      <c r="X151" t="s">
        <v>544</v>
      </c>
      <c r="Y151" t="s">
        <v>444</v>
      </c>
      <c r="Z151" s="37">
        <v>1</v>
      </c>
      <c r="AA151" s="37">
        <v>0.25</v>
      </c>
      <c r="AB151">
        <v>100</v>
      </c>
    </row>
    <row r="152">
      <c r="A152" t="s">
        <v>722</v>
      </c>
      <c r="B152" t="s">
        <v>694</v>
      </c>
      <c r="C152" t="s">
        <v>694</v>
      </c>
      <c r="D152" t="s">
        <v>695</v>
      </c>
      <c r="E152" t="s">
        <v>723</v>
      </c>
      <c r="F152" t="s">
        <v>298</v>
      </c>
      <c r="G152" t="s">
        <v>697</v>
      </c>
      <c r="H152" t="s">
        <v>698</v>
      </c>
      <c r="I152" t="s">
        <v>726</v>
      </c>
      <c r="J152" s="38">
        <v>1</v>
      </c>
      <c r="K152" s="38">
        <v>1</v>
      </c>
      <c r="L152" t="s">
        <v>721</v>
      </c>
      <c r="M152" s="37">
        <v>1</v>
      </c>
      <c r="N152" s="37">
        <v>0.12</v>
      </c>
      <c r="O152">
        <v>1</v>
      </c>
      <c r="P152" s="37">
        <v>0.99195</v>
      </c>
      <c r="Q152">
        <v>0.97</v>
      </c>
      <c r="R152">
        <v>2511.63</v>
      </c>
      <c r="S152">
        <v>2511.63</v>
      </c>
      <c r="T152">
        <v>3000</v>
      </c>
      <c r="U152" t="s">
        <v>546</v>
      </c>
      <c r="V152" t="s">
        <v>543</v>
      </c>
      <c r="W152">
        <v>100</v>
      </c>
      <c r="X152" t="s">
        <v>544</v>
      </c>
      <c r="Y152" t="s">
        <v>444</v>
      </c>
      <c r="Z152" s="37">
        <v>1</v>
      </c>
      <c r="AA152" s="37">
        <v>0.25</v>
      </c>
      <c r="AB152">
        <v>100</v>
      </c>
    </row>
    <row r="153">
      <c r="A153" t="s">
        <v>722</v>
      </c>
      <c r="B153" t="s">
        <v>694</v>
      </c>
      <c r="C153" t="s">
        <v>694</v>
      </c>
      <c r="D153" t="s">
        <v>695</v>
      </c>
      <c r="E153" t="s">
        <v>723</v>
      </c>
      <c r="F153" t="s">
        <v>298</v>
      </c>
      <c r="G153" t="s">
        <v>697</v>
      </c>
      <c r="H153" t="s">
        <v>698</v>
      </c>
      <c r="I153" t="s">
        <v>727</v>
      </c>
      <c r="J153" s="38">
        <v>1</v>
      </c>
      <c r="K153" s="38">
        <v>1</v>
      </c>
      <c r="L153" t="s">
        <v>721</v>
      </c>
      <c r="M153" s="37">
        <v>1</v>
      </c>
      <c r="N153" s="37">
        <v>0.12</v>
      </c>
      <c r="O153">
        <v>1</v>
      </c>
      <c r="P153" s="37">
        <v>0.99195</v>
      </c>
      <c r="Q153">
        <v>0.97</v>
      </c>
      <c r="R153">
        <v>2511.63</v>
      </c>
      <c r="S153">
        <v>2511.63</v>
      </c>
      <c r="T153">
        <v>3000</v>
      </c>
      <c r="U153" t="s">
        <v>546</v>
      </c>
      <c r="V153" t="s">
        <v>543</v>
      </c>
      <c r="W153">
        <v>100</v>
      </c>
      <c r="X153" t="s">
        <v>544</v>
      </c>
      <c r="Y153" t="s">
        <v>444</v>
      </c>
      <c r="Z153" s="37">
        <v>1</v>
      </c>
      <c r="AA153" s="37">
        <v>0.25</v>
      </c>
      <c r="AB153">
        <v>100</v>
      </c>
    </row>
    <row r="154">
      <c r="A154" t="s">
        <v>728</v>
      </c>
      <c r="B154" t="s">
        <v>694</v>
      </c>
      <c r="C154" t="s">
        <v>694</v>
      </c>
      <c r="D154" t="s">
        <v>695</v>
      </c>
      <c r="E154" t="s">
        <v>729</v>
      </c>
      <c r="F154" t="s">
        <v>298</v>
      </c>
      <c r="G154" t="s">
        <v>697</v>
      </c>
      <c r="H154" t="s">
        <v>698</v>
      </c>
      <c r="I154" t="s">
        <v>730</v>
      </c>
      <c r="J154" s="38">
        <v>0.99</v>
      </c>
      <c r="K154" s="38">
        <v>0.99</v>
      </c>
      <c r="L154" t="s">
        <v>721</v>
      </c>
      <c r="M154" s="37">
        <v>1</v>
      </c>
      <c r="N154" s="37">
        <v>0.4</v>
      </c>
      <c r="O154">
        <v>1</v>
      </c>
      <c r="P154" s="37">
        <v>0.967</v>
      </c>
      <c r="Q154">
        <v>1</v>
      </c>
      <c r="R154">
        <v>2790.7</v>
      </c>
      <c r="S154">
        <v>2790.7</v>
      </c>
      <c r="T154">
        <v>3000</v>
      </c>
      <c r="U154" t="s">
        <v>546</v>
      </c>
      <c r="V154" t="s">
        <v>543</v>
      </c>
      <c r="W154">
        <v>100</v>
      </c>
      <c r="X154" t="s">
        <v>544</v>
      </c>
      <c r="Y154" t="s">
        <v>444</v>
      </c>
      <c r="Z154" s="37">
        <v>1</v>
      </c>
      <c r="AA154" s="37">
        <v>0.25</v>
      </c>
      <c r="AB154">
        <v>100</v>
      </c>
    </row>
    <row r="155">
      <c r="A155" t="s">
        <v>728</v>
      </c>
      <c r="B155" t="s">
        <v>694</v>
      </c>
      <c r="C155" t="s">
        <v>694</v>
      </c>
      <c r="D155" t="s">
        <v>695</v>
      </c>
      <c r="E155" t="s">
        <v>729</v>
      </c>
      <c r="F155" t="s">
        <v>298</v>
      </c>
      <c r="G155" t="s">
        <v>697</v>
      </c>
      <c r="H155" t="s">
        <v>704</v>
      </c>
      <c r="I155" t="s">
        <v>731</v>
      </c>
      <c r="J155" s="38">
        <v>1</v>
      </c>
      <c r="K155" s="38">
        <v>0.8</v>
      </c>
      <c r="L155" t="s">
        <v>721</v>
      </c>
      <c r="M155" s="37">
        <v>0.8</v>
      </c>
      <c r="N155" s="37">
        <v>0.12</v>
      </c>
      <c r="O155">
        <v>0.8</v>
      </c>
      <c r="P155" s="37">
        <v>0.967</v>
      </c>
      <c r="Q155">
        <v>1</v>
      </c>
      <c r="R155">
        <v>2790.7</v>
      </c>
      <c r="S155">
        <v>2790.7</v>
      </c>
      <c r="T155">
        <v>3000</v>
      </c>
      <c r="U155" t="s">
        <v>546</v>
      </c>
      <c r="V155" t="s">
        <v>543</v>
      </c>
      <c r="W155">
        <v>100</v>
      </c>
      <c r="X155" t="s">
        <v>544</v>
      </c>
      <c r="Y155" t="s">
        <v>444</v>
      </c>
      <c r="Z155" s="37">
        <v>1</v>
      </c>
      <c r="AA155" s="37">
        <v>0.25</v>
      </c>
      <c r="AB155">
        <v>100</v>
      </c>
    </row>
    <row r="156">
      <c r="A156" t="s">
        <v>728</v>
      </c>
      <c r="B156" t="s">
        <v>694</v>
      </c>
      <c r="C156" t="s">
        <v>694</v>
      </c>
      <c r="D156" t="s">
        <v>695</v>
      </c>
      <c r="E156" t="s">
        <v>729</v>
      </c>
      <c r="F156" t="s">
        <v>298</v>
      </c>
      <c r="G156" t="s">
        <v>697</v>
      </c>
      <c r="H156" t="s">
        <v>701</v>
      </c>
      <c r="I156" t="s">
        <v>716</v>
      </c>
      <c r="J156" s="38">
        <v>1</v>
      </c>
      <c r="K156" s="37">
        <v>0.995</v>
      </c>
      <c r="L156" t="s">
        <v>721</v>
      </c>
      <c r="M156" s="37">
        <v>0.995</v>
      </c>
      <c r="N156" s="37">
        <v>0.2</v>
      </c>
      <c r="O156">
        <v>0.995</v>
      </c>
      <c r="P156" s="37">
        <v>0.967</v>
      </c>
      <c r="Q156">
        <v>1</v>
      </c>
      <c r="R156">
        <v>2790.7</v>
      </c>
      <c r="S156">
        <v>2790.7</v>
      </c>
      <c r="T156">
        <v>3000</v>
      </c>
      <c r="U156" t="s">
        <v>546</v>
      </c>
      <c r="V156" t="s">
        <v>543</v>
      </c>
      <c r="W156">
        <v>100</v>
      </c>
      <c r="X156" t="s">
        <v>544</v>
      </c>
      <c r="Y156" t="s">
        <v>444</v>
      </c>
      <c r="Z156" s="37">
        <v>1</v>
      </c>
      <c r="AA156" s="37">
        <v>0.25</v>
      </c>
      <c r="AB156">
        <v>100</v>
      </c>
    </row>
    <row r="157">
      <c r="A157" t="s">
        <v>728</v>
      </c>
      <c r="B157" t="s">
        <v>694</v>
      </c>
      <c r="C157" t="s">
        <v>694</v>
      </c>
      <c r="D157" t="s">
        <v>695</v>
      </c>
      <c r="E157" t="s">
        <v>729</v>
      </c>
      <c r="F157" t="s">
        <v>298</v>
      </c>
      <c r="G157" t="s">
        <v>697</v>
      </c>
      <c r="H157" t="s">
        <v>704</v>
      </c>
      <c r="I157" t="s">
        <v>732</v>
      </c>
      <c r="J157" s="38">
        <v>1</v>
      </c>
      <c r="K157" s="38">
        <v>1</v>
      </c>
      <c r="L157" t="s">
        <v>721</v>
      </c>
      <c r="M157" s="37">
        <v>1</v>
      </c>
      <c r="N157" s="37">
        <v>0.08</v>
      </c>
      <c r="O157">
        <v>1</v>
      </c>
      <c r="P157" s="37">
        <v>0.967</v>
      </c>
      <c r="Q157">
        <v>1</v>
      </c>
      <c r="R157">
        <v>2790.7</v>
      </c>
      <c r="S157">
        <v>2790.7</v>
      </c>
      <c r="T157">
        <v>3000</v>
      </c>
      <c r="U157" t="s">
        <v>546</v>
      </c>
      <c r="V157" t="s">
        <v>543</v>
      </c>
      <c r="W157">
        <v>100</v>
      </c>
      <c r="X157" t="s">
        <v>544</v>
      </c>
      <c r="Y157" t="s">
        <v>444</v>
      </c>
      <c r="Z157" s="37">
        <v>1</v>
      </c>
      <c r="AA157" s="37">
        <v>0.25</v>
      </c>
      <c r="AB157">
        <v>100</v>
      </c>
    </row>
    <row r="158">
      <c r="A158" t="s">
        <v>728</v>
      </c>
      <c r="B158" t="s">
        <v>694</v>
      </c>
      <c r="C158" t="s">
        <v>694</v>
      </c>
      <c r="D158" t="s">
        <v>695</v>
      </c>
      <c r="E158" t="s">
        <v>729</v>
      </c>
      <c r="F158" t="s">
        <v>298</v>
      </c>
      <c r="G158" t="s">
        <v>697</v>
      </c>
      <c r="H158" t="s">
        <v>704</v>
      </c>
      <c r="I158" t="s">
        <v>733</v>
      </c>
      <c r="J158" s="38">
        <v>1</v>
      </c>
      <c r="K158" s="38">
        <v>1</v>
      </c>
      <c r="L158" t="s">
        <v>721</v>
      </c>
      <c r="M158" s="37">
        <v>1</v>
      </c>
      <c r="N158" s="37">
        <v>0.04</v>
      </c>
      <c r="O158">
        <v>1</v>
      </c>
      <c r="P158" s="37">
        <v>0.967</v>
      </c>
      <c r="Q158">
        <v>1</v>
      </c>
      <c r="R158">
        <v>2790.7</v>
      </c>
      <c r="S158">
        <v>2790.7</v>
      </c>
      <c r="T158">
        <v>3000</v>
      </c>
      <c r="U158" t="s">
        <v>546</v>
      </c>
      <c r="V158" t="s">
        <v>543</v>
      </c>
      <c r="W158">
        <v>100</v>
      </c>
      <c r="X158" t="s">
        <v>544</v>
      </c>
      <c r="Y158" t="s">
        <v>444</v>
      </c>
      <c r="Z158" s="37">
        <v>1</v>
      </c>
      <c r="AA158" s="37">
        <v>0.25</v>
      </c>
      <c r="AB158">
        <v>100</v>
      </c>
    </row>
    <row r="159">
      <c r="A159" t="s">
        <v>728</v>
      </c>
      <c r="B159" t="s">
        <v>694</v>
      </c>
      <c r="C159" t="s">
        <v>694</v>
      </c>
      <c r="D159" t="s">
        <v>695</v>
      </c>
      <c r="E159" t="s">
        <v>729</v>
      </c>
      <c r="F159" t="s">
        <v>298</v>
      </c>
      <c r="G159" t="s">
        <v>697</v>
      </c>
      <c r="H159" t="s">
        <v>698</v>
      </c>
      <c r="I159" t="s">
        <v>734</v>
      </c>
      <c r="J159" s="38">
        <v>1</v>
      </c>
      <c r="K159" s="38">
        <v>0.8</v>
      </c>
      <c r="L159" t="s">
        <v>721</v>
      </c>
      <c r="M159" s="37">
        <v>0.8</v>
      </c>
      <c r="N159" s="37">
        <v>0.04</v>
      </c>
      <c r="O159">
        <v>0.8</v>
      </c>
      <c r="P159" s="37">
        <v>0.967</v>
      </c>
      <c r="Q159">
        <v>1</v>
      </c>
      <c r="R159">
        <v>2790.7</v>
      </c>
      <c r="S159">
        <v>2790.7</v>
      </c>
      <c r="T159">
        <v>3000</v>
      </c>
      <c r="U159" t="s">
        <v>546</v>
      </c>
      <c r="V159" t="s">
        <v>543</v>
      </c>
      <c r="W159">
        <v>100</v>
      </c>
      <c r="X159" t="s">
        <v>544</v>
      </c>
      <c r="Y159" t="s">
        <v>444</v>
      </c>
      <c r="Z159" s="37">
        <v>1</v>
      </c>
      <c r="AA159" s="37">
        <v>0.25</v>
      </c>
      <c r="AB159">
        <v>100</v>
      </c>
    </row>
    <row r="160">
      <c r="A160" t="s">
        <v>728</v>
      </c>
      <c r="B160" t="s">
        <v>694</v>
      </c>
      <c r="C160" t="s">
        <v>694</v>
      </c>
      <c r="D160" t="s">
        <v>695</v>
      </c>
      <c r="E160" t="s">
        <v>729</v>
      </c>
      <c r="F160" t="s">
        <v>298</v>
      </c>
      <c r="G160" t="s">
        <v>697</v>
      </c>
      <c r="H160" t="s">
        <v>698</v>
      </c>
      <c r="I160" t="s">
        <v>735</v>
      </c>
      <c r="J160" s="38">
        <v>1</v>
      </c>
      <c r="K160" s="38">
        <v>1</v>
      </c>
      <c r="L160" t="s">
        <v>721</v>
      </c>
      <c r="M160" s="37">
        <v>1</v>
      </c>
      <c r="N160" s="37">
        <v>0.12</v>
      </c>
      <c r="O160">
        <v>1</v>
      </c>
      <c r="P160" s="37">
        <v>0.967</v>
      </c>
      <c r="Q160">
        <v>1</v>
      </c>
      <c r="R160">
        <v>2790.7</v>
      </c>
      <c r="S160">
        <v>2790.7</v>
      </c>
      <c r="T160">
        <v>3000</v>
      </c>
      <c r="U160" t="s">
        <v>546</v>
      </c>
      <c r="V160" t="s">
        <v>543</v>
      </c>
      <c r="W160">
        <v>100</v>
      </c>
      <c r="X160" t="s">
        <v>544</v>
      </c>
      <c r="Y160" t="s">
        <v>444</v>
      </c>
      <c r="Z160" s="37">
        <v>1</v>
      </c>
      <c r="AA160" s="37">
        <v>0.25</v>
      </c>
      <c r="AB160">
        <v>100</v>
      </c>
    </row>
    <row r="161">
      <c r="A161" t="s">
        <v>736</v>
      </c>
      <c r="B161" t="s">
        <v>694</v>
      </c>
      <c r="C161" t="s">
        <v>694</v>
      </c>
      <c r="D161" t="s">
        <v>695</v>
      </c>
      <c r="E161" t="s">
        <v>737</v>
      </c>
      <c r="F161" t="s">
        <v>298</v>
      </c>
      <c r="G161" t="s">
        <v>697</v>
      </c>
      <c r="H161" t="s">
        <v>698</v>
      </c>
      <c r="I161" t="s">
        <v>724</v>
      </c>
      <c r="J161" s="37">
        <v>0.995</v>
      </c>
      <c r="K161" s="38">
        <v>1</v>
      </c>
      <c r="L161" t="s">
        <v>721</v>
      </c>
      <c r="M161" s="37">
        <v>1</v>
      </c>
      <c r="N161" s="37">
        <v>0.4</v>
      </c>
      <c r="O161">
        <v>1</v>
      </c>
      <c r="P161" s="37">
        <v>0.97492</v>
      </c>
      <c r="Q161">
        <v>1.17</v>
      </c>
      <c r="R161">
        <v>3627.91</v>
      </c>
      <c r="S161">
        <v>3627.91</v>
      </c>
      <c r="T161">
        <v>3000</v>
      </c>
      <c r="U161" t="s">
        <v>546</v>
      </c>
      <c r="V161" t="s">
        <v>543</v>
      </c>
      <c r="W161">
        <v>100</v>
      </c>
      <c r="X161" t="s">
        <v>544</v>
      </c>
      <c r="Y161" t="s">
        <v>444</v>
      </c>
      <c r="Z161" s="37">
        <v>1</v>
      </c>
      <c r="AA161" s="37">
        <v>0.25</v>
      </c>
      <c r="AB161">
        <v>100</v>
      </c>
    </row>
    <row r="162">
      <c r="A162" t="s">
        <v>736</v>
      </c>
      <c r="B162" t="s">
        <v>694</v>
      </c>
      <c r="C162" t="s">
        <v>694</v>
      </c>
      <c r="D162" t="s">
        <v>695</v>
      </c>
      <c r="E162" t="s">
        <v>737</v>
      </c>
      <c r="F162" t="s">
        <v>298</v>
      </c>
      <c r="G162" t="s">
        <v>697</v>
      </c>
      <c r="H162" t="s">
        <v>704</v>
      </c>
      <c r="I162" t="s">
        <v>738</v>
      </c>
      <c r="J162" s="38">
        <v>1</v>
      </c>
      <c r="K162" t="s">
        <v>521</v>
      </c>
      <c r="L162" t="s">
        <v>721</v>
      </c>
      <c r="M162" s="37">
        <v>1</v>
      </c>
      <c r="N162" s="37">
        <v>0.24</v>
      </c>
      <c r="O162">
        <v>1</v>
      </c>
      <c r="P162" s="37">
        <v>0.97492</v>
      </c>
      <c r="Q162">
        <v>1.17</v>
      </c>
      <c r="R162">
        <v>3627.91</v>
      </c>
      <c r="S162">
        <v>3627.91</v>
      </c>
      <c r="T162">
        <v>3000</v>
      </c>
      <c r="U162" t="s">
        <v>546</v>
      </c>
      <c r="V162" t="s">
        <v>543</v>
      </c>
      <c r="W162">
        <v>100</v>
      </c>
      <c r="X162" t="s">
        <v>544</v>
      </c>
      <c r="Y162" t="s">
        <v>444</v>
      </c>
      <c r="Z162" s="37">
        <v>1</v>
      </c>
      <c r="AA162" s="37">
        <v>0.25</v>
      </c>
      <c r="AB162">
        <v>100</v>
      </c>
    </row>
    <row r="163">
      <c r="A163" t="s">
        <v>736</v>
      </c>
      <c r="B163" t="s">
        <v>694</v>
      </c>
      <c r="C163" t="s">
        <v>694</v>
      </c>
      <c r="D163" t="s">
        <v>695</v>
      </c>
      <c r="E163" t="s">
        <v>737</v>
      </c>
      <c r="F163" t="s">
        <v>298</v>
      </c>
      <c r="G163" t="s">
        <v>697</v>
      </c>
      <c r="H163" t="s">
        <v>701</v>
      </c>
      <c r="I163" t="s">
        <v>701</v>
      </c>
      <c r="J163" s="38">
        <v>1</v>
      </c>
      <c r="K163" t="s">
        <v>739</v>
      </c>
      <c r="L163" t="s">
        <v>721</v>
      </c>
      <c r="M163" s="37">
        <v>0.9946</v>
      </c>
      <c r="N163" s="37">
        <v>0.2</v>
      </c>
      <c r="O163">
        <v>0.9946</v>
      </c>
      <c r="P163" s="37">
        <v>0.97492</v>
      </c>
      <c r="Q163">
        <v>1.17</v>
      </c>
      <c r="R163">
        <v>3627.91</v>
      </c>
      <c r="S163">
        <v>3627.91</v>
      </c>
      <c r="T163">
        <v>3000</v>
      </c>
      <c r="U163" t="s">
        <v>546</v>
      </c>
      <c r="V163" t="s">
        <v>543</v>
      </c>
      <c r="W163">
        <v>100</v>
      </c>
      <c r="X163" t="s">
        <v>544</v>
      </c>
      <c r="Y163" t="s">
        <v>444</v>
      </c>
      <c r="Z163" s="37">
        <v>1</v>
      </c>
      <c r="AA163" s="37">
        <v>0.25</v>
      </c>
      <c r="AB163">
        <v>100</v>
      </c>
    </row>
    <row r="164">
      <c r="A164" t="s">
        <v>736</v>
      </c>
      <c r="B164" t="s">
        <v>694</v>
      </c>
      <c r="C164" t="s">
        <v>694</v>
      </c>
      <c r="D164" t="s">
        <v>695</v>
      </c>
      <c r="E164" t="s">
        <v>737</v>
      </c>
      <c r="F164" t="s">
        <v>298</v>
      </c>
      <c r="G164" t="s">
        <v>697</v>
      </c>
      <c r="H164" t="s">
        <v>704</v>
      </c>
      <c r="I164" t="s">
        <v>740</v>
      </c>
      <c r="J164" s="38">
        <v>1</v>
      </c>
      <c r="K164" s="38">
        <v>0.5</v>
      </c>
      <c r="L164" t="s">
        <v>721</v>
      </c>
      <c r="M164" s="37">
        <v>0.8</v>
      </c>
      <c r="N164" s="37">
        <v>0.12</v>
      </c>
      <c r="O164">
        <v>0.8</v>
      </c>
      <c r="P164" s="37">
        <v>0.97492</v>
      </c>
      <c r="Q164">
        <v>1.17</v>
      </c>
      <c r="R164">
        <v>3627.91</v>
      </c>
      <c r="S164">
        <v>3627.91</v>
      </c>
      <c r="T164">
        <v>3000</v>
      </c>
      <c r="U164" t="s">
        <v>546</v>
      </c>
      <c r="V164" t="s">
        <v>543</v>
      </c>
      <c r="W164">
        <v>100</v>
      </c>
      <c r="X164" t="s">
        <v>544</v>
      </c>
      <c r="Y164" t="s">
        <v>444</v>
      </c>
      <c r="Z164" s="37">
        <v>1</v>
      </c>
      <c r="AA164" s="37">
        <v>0.25</v>
      </c>
      <c r="AB164">
        <v>100</v>
      </c>
    </row>
    <row r="165">
      <c r="A165" t="s">
        <v>736</v>
      </c>
      <c r="B165" t="s">
        <v>694</v>
      </c>
      <c r="C165" t="s">
        <v>694</v>
      </c>
      <c r="D165" t="s">
        <v>695</v>
      </c>
      <c r="E165" t="s">
        <v>737</v>
      </c>
      <c r="F165" t="s">
        <v>298</v>
      </c>
      <c r="G165" t="s">
        <v>697</v>
      </c>
      <c r="H165" t="s">
        <v>704</v>
      </c>
      <c r="I165" t="s">
        <v>741</v>
      </c>
      <c r="J165" s="38">
        <v>1</v>
      </c>
      <c r="K165" s="38">
        <v>1</v>
      </c>
      <c r="L165" t="s">
        <v>721</v>
      </c>
      <c r="M165" s="37">
        <v>1</v>
      </c>
      <c r="N165" s="37">
        <v>0.04</v>
      </c>
      <c r="O165">
        <v>1</v>
      </c>
      <c r="P165" s="37">
        <v>0.97492</v>
      </c>
      <c r="Q165">
        <v>1.17</v>
      </c>
      <c r="R165">
        <v>3627.91</v>
      </c>
      <c r="S165">
        <v>3627.91</v>
      </c>
      <c r="T165">
        <v>3000</v>
      </c>
      <c r="U165" t="s">
        <v>546</v>
      </c>
      <c r="V165" t="s">
        <v>543</v>
      </c>
      <c r="W165">
        <v>100</v>
      </c>
      <c r="X165" t="s">
        <v>544</v>
      </c>
      <c r="Y165" t="s">
        <v>444</v>
      </c>
      <c r="Z165" s="37">
        <v>1</v>
      </c>
      <c r="AA165" s="37">
        <v>0.25</v>
      </c>
      <c r="AB165">
        <v>100</v>
      </c>
    </row>
    <row r="166">
      <c r="A166" t="s">
        <v>742</v>
      </c>
      <c r="B166" t="s">
        <v>694</v>
      </c>
      <c r="C166" t="s">
        <v>694</v>
      </c>
      <c r="D166" t="s">
        <v>359</v>
      </c>
      <c r="E166" t="s">
        <v>743</v>
      </c>
      <c r="F166" t="s">
        <v>298</v>
      </c>
      <c r="G166" t="s">
        <v>697</v>
      </c>
      <c r="H166" t="s">
        <v>698</v>
      </c>
      <c r="I166" t="s">
        <v>699</v>
      </c>
      <c r="J166" s="38">
        <v>1</v>
      </c>
      <c r="K166" t="s">
        <v>521</v>
      </c>
      <c r="L166" t="s">
        <v>721</v>
      </c>
      <c r="M166" s="37">
        <v>1</v>
      </c>
      <c r="N166" s="37">
        <v>0.4</v>
      </c>
      <c r="O166">
        <v>1</v>
      </c>
      <c r="P166" s="37">
        <v>0.98</v>
      </c>
      <c r="Q166">
        <v>1.01</v>
      </c>
      <c r="R166">
        <v>4651.16</v>
      </c>
      <c r="S166">
        <v>4651.16</v>
      </c>
      <c r="T166">
        <v>5000</v>
      </c>
      <c r="U166" t="s">
        <v>546</v>
      </c>
      <c r="V166" t="s">
        <v>543</v>
      </c>
      <c r="W166">
        <v>100</v>
      </c>
      <c r="X166" t="s">
        <v>544</v>
      </c>
      <c r="Y166" t="s">
        <v>444</v>
      </c>
      <c r="Z166" s="37">
        <v>1</v>
      </c>
      <c r="AA166" s="37">
        <v>0.25</v>
      </c>
      <c r="AB166">
        <v>100</v>
      </c>
    </row>
    <row r="167">
      <c r="A167" t="s">
        <v>742</v>
      </c>
      <c r="B167" t="s">
        <v>694</v>
      </c>
      <c r="C167" t="s">
        <v>694</v>
      </c>
      <c r="D167" t="s">
        <v>359</v>
      </c>
      <c r="E167" t="s">
        <v>743</v>
      </c>
      <c r="F167" t="s">
        <v>298</v>
      </c>
      <c r="G167" t="s">
        <v>697</v>
      </c>
      <c r="H167" t="s">
        <v>704</v>
      </c>
      <c r="I167" t="s">
        <v>744</v>
      </c>
      <c r="J167" s="38">
        <v>1</v>
      </c>
      <c r="K167" s="38">
        <v>0.8</v>
      </c>
      <c r="L167" t="s">
        <v>721</v>
      </c>
      <c r="M167" s="37">
        <v>0.8</v>
      </c>
      <c r="N167" s="37">
        <v>0.1</v>
      </c>
      <c r="O167">
        <v>0.8</v>
      </c>
      <c r="P167" s="37">
        <v>0.98</v>
      </c>
      <c r="Q167">
        <v>1.01</v>
      </c>
      <c r="R167">
        <v>4651.16</v>
      </c>
      <c r="S167">
        <v>4651.16</v>
      </c>
      <c r="T167">
        <v>5000</v>
      </c>
      <c r="U167" t="s">
        <v>546</v>
      </c>
      <c r="V167" t="s">
        <v>543</v>
      </c>
      <c r="W167">
        <v>100</v>
      </c>
      <c r="X167" t="s">
        <v>544</v>
      </c>
      <c r="Y167" t="s">
        <v>444</v>
      </c>
      <c r="Z167" s="37">
        <v>1</v>
      </c>
      <c r="AA167" s="37">
        <v>0.25</v>
      </c>
      <c r="AB167">
        <v>100</v>
      </c>
    </row>
    <row r="168">
      <c r="A168" t="s">
        <v>742</v>
      </c>
      <c r="B168" t="s">
        <v>694</v>
      </c>
      <c r="C168" t="s">
        <v>694</v>
      </c>
      <c r="D168" t="s">
        <v>359</v>
      </c>
      <c r="E168" t="s">
        <v>743</v>
      </c>
      <c r="F168" t="s">
        <v>298</v>
      </c>
      <c r="G168" t="s">
        <v>697</v>
      </c>
      <c r="H168" t="s">
        <v>701</v>
      </c>
      <c r="I168" t="s">
        <v>745</v>
      </c>
      <c r="J168" s="38">
        <v>1</v>
      </c>
      <c r="K168" s="38">
        <v>1</v>
      </c>
      <c r="L168" t="s">
        <v>721</v>
      </c>
      <c r="M168" s="37">
        <v>1</v>
      </c>
      <c r="N168" s="37">
        <v>0.1</v>
      </c>
      <c r="O168">
        <v>1</v>
      </c>
      <c r="P168" s="37">
        <v>0.98</v>
      </c>
      <c r="Q168">
        <v>1.01</v>
      </c>
      <c r="R168">
        <v>4651.16</v>
      </c>
      <c r="S168">
        <v>4651.16</v>
      </c>
      <c r="T168">
        <v>5000</v>
      </c>
      <c r="U168" t="s">
        <v>546</v>
      </c>
      <c r="V168" t="s">
        <v>543</v>
      </c>
      <c r="W168">
        <v>100</v>
      </c>
      <c r="X168" t="s">
        <v>544</v>
      </c>
      <c r="Y168" t="s">
        <v>444</v>
      </c>
      <c r="Z168" s="37">
        <v>1</v>
      </c>
      <c r="AA168" s="37">
        <v>0.25</v>
      </c>
      <c r="AB168">
        <v>100</v>
      </c>
    </row>
    <row r="169">
      <c r="A169" t="s">
        <v>742</v>
      </c>
      <c r="B169" t="s">
        <v>694</v>
      </c>
      <c r="C169" t="s">
        <v>694</v>
      </c>
      <c r="D169" t="s">
        <v>359</v>
      </c>
      <c r="E169" t="s">
        <v>743</v>
      </c>
      <c r="F169" t="s">
        <v>298</v>
      </c>
      <c r="G169" t="s">
        <v>697</v>
      </c>
      <c r="H169" t="s">
        <v>704</v>
      </c>
      <c r="I169" t="s">
        <v>746</v>
      </c>
      <c r="J169" s="38">
        <v>1</v>
      </c>
      <c r="K169" s="38">
        <v>1</v>
      </c>
      <c r="L169" t="s">
        <v>721</v>
      </c>
      <c r="M169" s="37">
        <v>1</v>
      </c>
      <c r="N169" s="37">
        <v>0.1</v>
      </c>
      <c r="O169">
        <v>1</v>
      </c>
      <c r="P169" s="37">
        <v>0.98</v>
      </c>
      <c r="Q169">
        <v>1.01</v>
      </c>
      <c r="R169">
        <v>4651.16</v>
      </c>
      <c r="S169">
        <v>4651.16</v>
      </c>
      <c r="T169">
        <v>5000</v>
      </c>
      <c r="U169" t="s">
        <v>546</v>
      </c>
      <c r="V169" t="s">
        <v>543</v>
      </c>
      <c r="W169">
        <v>100</v>
      </c>
      <c r="X169" t="s">
        <v>544</v>
      </c>
      <c r="Y169" t="s">
        <v>444</v>
      </c>
      <c r="Z169" s="37">
        <v>1</v>
      </c>
      <c r="AA169" s="37">
        <v>0.25</v>
      </c>
      <c r="AB169">
        <v>100</v>
      </c>
    </row>
    <row r="170">
      <c r="A170" t="s">
        <v>742</v>
      </c>
      <c r="B170" t="s">
        <v>694</v>
      </c>
      <c r="C170" t="s">
        <v>694</v>
      </c>
      <c r="D170" t="s">
        <v>359</v>
      </c>
      <c r="E170" t="s">
        <v>743</v>
      </c>
      <c r="F170" t="s">
        <v>298</v>
      </c>
      <c r="G170" t="s">
        <v>697</v>
      </c>
      <c r="H170" t="s">
        <v>704</v>
      </c>
      <c r="I170" t="s">
        <v>747</v>
      </c>
      <c r="J170" s="38">
        <v>1</v>
      </c>
      <c r="K170" s="38">
        <v>1</v>
      </c>
      <c r="L170" t="s">
        <v>721</v>
      </c>
      <c r="M170" s="37">
        <v>1</v>
      </c>
      <c r="N170" s="37">
        <v>0.15</v>
      </c>
      <c r="O170">
        <v>1</v>
      </c>
      <c r="P170" s="37">
        <v>0.98</v>
      </c>
      <c r="Q170">
        <v>1.01</v>
      </c>
      <c r="R170">
        <v>4651.16</v>
      </c>
      <c r="S170">
        <v>4651.16</v>
      </c>
      <c r="T170">
        <v>5000</v>
      </c>
      <c r="U170" t="s">
        <v>546</v>
      </c>
      <c r="V170" t="s">
        <v>543</v>
      </c>
      <c r="W170">
        <v>100</v>
      </c>
      <c r="X170" t="s">
        <v>544</v>
      </c>
      <c r="Y170" t="s">
        <v>444</v>
      </c>
      <c r="Z170" s="37">
        <v>1</v>
      </c>
      <c r="AA170" s="37">
        <v>0.25</v>
      </c>
      <c r="AB170">
        <v>100</v>
      </c>
    </row>
    <row r="171">
      <c r="A171" t="s">
        <v>742</v>
      </c>
      <c r="B171" t="s">
        <v>694</v>
      </c>
      <c r="C171" t="s">
        <v>694</v>
      </c>
      <c r="D171" t="s">
        <v>359</v>
      </c>
      <c r="E171" t="s">
        <v>743</v>
      </c>
      <c r="F171" t="s">
        <v>298</v>
      </c>
      <c r="G171" t="s">
        <v>697</v>
      </c>
      <c r="H171" t="s">
        <v>704</v>
      </c>
      <c r="I171" t="s">
        <v>748</v>
      </c>
      <c r="J171" s="38">
        <v>1</v>
      </c>
      <c r="K171" s="38">
        <v>1</v>
      </c>
      <c r="L171" t="s">
        <v>721</v>
      </c>
      <c r="M171" s="37">
        <v>1</v>
      </c>
      <c r="N171" s="37">
        <v>0.15</v>
      </c>
      <c r="O171">
        <v>1</v>
      </c>
      <c r="P171" s="37">
        <v>0.98</v>
      </c>
      <c r="Q171">
        <v>1.01</v>
      </c>
      <c r="R171">
        <v>4651.16</v>
      </c>
      <c r="S171">
        <v>4651.16</v>
      </c>
      <c r="T171">
        <v>5000</v>
      </c>
      <c r="U171" t="s">
        <v>546</v>
      </c>
      <c r="V171" t="s">
        <v>543</v>
      </c>
      <c r="W171">
        <v>100</v>
      </c>
      <c r="X171" t="s">
        <v>544</v>
      </c>
      <c r="Y171" t="s">
        <v>444</v>
      </c>
      <c r="Z171" s="37">
        <v>1</v>
      </c>
      <c r="AA171" s="37">
        <v>0.25</v>
      </c>
      <c r="AB171">
        <v>100</v>
      </c>
    </row>
    <row r="172">
      <c r="A172" t="s">
        <v>749</v>
      </c>
      <c r="B172" t="s">
        <v>694</v>
      </c>
      <c r="C172" t="s">
        <v>694</v>
      </c>
      <c r="D172" t="s">
        <v>695</v>
      </c>
      <c r="E172" t="s">
        <v>750</v>
      </c>
      <c r="F172" t="s">
        <v>298</v>
      </c>
      <c r="G172" t="s">
        <v>697</v>
      </c>
      <c r="H172" t="s">
        <v>698</v>
      </c>
      <c r="I172" t="s">
        <v>751</v>
      </c>
      <c r="J172" s="38">
        <v>1</v>
      </c>
      <c r="K172" s="38">
        <v>1</v>
      </c>
      <c r="L172" t="s">
        <v>751</v>
      </c>
      <c r="M172" s="37">
        <v>1</v>
      </c>
      <c r="N172" s="37">
        <v>0.2</v>
      </c>
      <c r="O172">
        <v>1</v>
      </c>
      <c r="P172" s="37">
        <v>1</v>
      </c>
      <c r="Q172">
        <v>1</v>
      </c>
      <c r="R172">
        <v>0</v>
      </c>
      <c r="S172">
        <v>0</v>
      </c>
      <c r="T172">
        <v>3000</v>
      </c>
      <c r="U172" t="s">
        <v>546</v>
      </c>
      <c r="V172" t="s">
        <v>543</v>
      </c>
      <c r="W172">
        <v>100</v>
      </c>
      <c r="X172" t="s">
        <v>544</v>
      </c>
      <c r="Y172" t="s">
        <v>444</v>
      </c>
      <c r="Z172" s="37">
        <v>1</v>
      </c>
      <c r="AA172" s="37">
        <v>0.25</v>
      </c>
      <c r="AB172">
        <v>100</v>
      </c>
    </row>
    <row r="173">
      <c r="A173" t="s">
        <v>749</v>
      </c>
      <c r="B173" t="s">
        <v>694</v>
      </c>
      <c r="C173" t="s">
        <v>694</v>
      </c>
      <c r="D173" t="s">
        <v>695</v>
      </c>
      <c r="E173" t="s">
        <v>750</v>
      </c>
      <c r="F173" t="s">
        <v>298</v>
      </c>
      <c r="G173" t="s">
        <v>697</v>
      </c>
      <c r="H173" t="s">
        <v>704</v>
      </c>
      <c r="I173" t="s">
        <v>752</v>
      </c>
      <c r="J173" s="38">
        <v>1</v>
      </c>
      <c r="K173" s="38">
        <v>1</v>
      </c>
      <c r="L173" t="s">
        <v>753</v>
      </c>
      <c r="M173" s="37">
        <v>1</v>
      </c>
      <c r="N173" s="37">
        <v>0.18</v>
      </c>
      <c r="O173">
        <v>1</v>
      </c>
      <c r="P173" s="37">
        <v>1</v>
      </c>
      <c r="Q173">
        <v>1</v>
      </c>
      <c r="R173">
        <v>0</v>
      </c>
      <c r="S173">
        <v>0</v>
      </c>
      <c r="T173">
        <v>3000</v>
      </c>
      <c r="U173" t="s">
        <v>546</v>
      </c>
      <c r="V173" t="s">
        <v>543</v>
      </c>
      <c r="W173">
        <v>100</v>
      </c>
      <c r="X173" t="s">
        <v>544</v>
      </c>
      <c r="Y173" t="s">
        <v>444</v>
      </c>
      <c r="Z173" s="37">
        <v>1</v>
      </c>
      <c r="AA173" s="37">
        <v>0.25</v>
      </c>
      <c r="AB173">
        <v>100</v>
      </c>
    </row>
    <row r="174">
      <c r="A174" t="s">
        <v>749</v>
      </c>
      <c r="B174" t="s">
        <v>694</v>
      </c>
      <c r="C174" t="s">
        <v>694</v>
      </c>
      <c r="D174" t="s">
        <v>695</v>
      </c>
      <c r="E174" t="s">
        <v>750</v>
      </c>
      <c r="F174" t="s">
        <v>298</v>
      </c>
      <c r="G174" t="s">
        <v>697</v>
      </c>
      <c r="H174" t="s">
        <v>701</v>
      </c>
      <c r="I174" t="s">
        <v>716</v>
      </c>
      <c r="J174" s="38">
        <v>1</v>
      </c>
      <c r="K174" s="38">
        <v>1</v>
      </c>
      <c r="L174" t="s">
        <v>716</v>
      </c>
      <c r="M174" s="37">
        <v>1</v>
      </c>
      <c r="N174" s="37">
        <v>0.15</v>
      </c>
      <c r="O174">
        <v>1</v>
      </c>
      <c r="P174" s="37">
        <v>1</v>
      </c>
      <c r="Q174">
        <v>1</v>
      </c>
      <c r="R174">
        <v>0</v>
      </c>
      <c r="S174">
        <v>0</v>
      </c>
      <c r="T174">
        <v>3000</v>
      </c>
      <c r="U174" t="s">
        <v>546</v>
      </c>
      <c r="V174" t="s">
        <v>543</v>
      </c>
      <c r="W174">
        <v>100</v>
      </c>
      <c r="X174" t="s">
        <v>544</v>
      </c>
      <c r="Y174" t="s">
        <v>444</v>
      </c>
      <c r="Z174" s="37">
        <v>1</v>
      </c>
      <c r="AA174" s="37">
        <v>0.25</v>
      </c>
      <c r="AB174">
        <v>100</v>
      </c>
    </row>
    <row r="175">
      <c r="A175" t="s">
        <v>749</v>
      </c>
      <c r="B175" t="s">
        <v>694</v>
      </c>
      <c r="C175" t="s">
        <v>694</v>
      </c>
      <c r="D175" t="s">
        <v>695</v>
      </c>
      <c r="E175" t="s">
        <v>750</v>
      </c>
      <c r="F175" t="s">
        <v>298</v>
      </c>
      <c r="G175" t="s">
        <v>697</v>
      </c>
      <c r="H175" t="s">
        <v>698</v>
      </c>
      <c r="I175" t="s">
        <v>754</v>
      </c>
      <c r="J175" s="38">
        <v>1</v>
      </c>
      <c r="K175" s="38">
        <v>1</v>
      </c>
      <c r="L175" t="s">
        <v>754</v>
      </c>
      <c r="M175" s="37">
        <v>1</v>
      </c>
      <c r="N175" s="37">
        <v>0.2</v>
      </c>
      <c r="O175">
        <v>1</v>
      </c>
      <c r="P175" s="37">
        <v>1</v>
      </c>
      <c r="Q175">
        <v>1</v>
      </c>
      <c r="R175">
        <v>0</v>
      </c>
      <c r="S175">
        <v>0</v>
      </c>
      <c r="T175">
        <v>3000</v>
      </c>
      <c r="U175" t="s">
        <v>546</v>
      </c>
      <c r="V175" t="s">
        <v>543</v>
      </c>
      <c r="W175">
        <v>100</v>
      </c>
      <c r="X175" t="s">
        <v>544</v>
      </c>
      <c r="Y175" t="s">
        <v>444</v>
      </c>
      <c r="Z175" s="37">
        <v>1</v>
      </c>
      <c r="AA175" s="37">
        <v>0.25</v>
      </c>
      <c r="AB175">
        <v>100</v>
      </c>
    </row>
    <row r="176">
      <c r="A176" t="s">
        <v>749</v>
      </c>
      <c r="B176" t="s">
        <v>694</v>
      </c>
      <c r="C176" t="s">
        <v>694</v>
      </c>
      <c r="D176" t="s">
        <v>695</v>
      </c>
      <c r="E176" t="s">
        <v>750</v>
      </c>
      <c r="F176" t="s">
        <v>298</v>
      </c>
      <c r="G176" t="s">
        <v>697</v>
      </c>
      <c r="H176" t="s">
        <v>704</v>
      </c>
      <c r="I176" t="s">
        <v>755</v>
      </c>
      <c r="J176" t="s">
        <v>586</v>
      </c>
      <c r="K176" t="s">
        <v>756</v>
      </c>
      <c r="L176" t="s">
        <v>757</v>
      </c>
      <c r="M176" s="37">
        <v>1</v>
      </c>
      <c r="N176" s="37">
        <v>0.09</v>
      </c>
      <c r="O176">
        <v>1</v>
      </c>
      <c r="P176" s="37">
        <v>1</v>
      </c>
      <c r="Q176">
        <v>1</v>
      </c>
      <c r="R176">
        <v>0</v>
      </c>
      <c r="S176">
        <v>0</v>
      </c>
      <c r="T176">
        <v>3000</v>
      </c>
      <c r="U176" t="s">
        <v>546</v>
      </c>
      <c r="V176" t="s">
        <v>543</v>
      </c>
      <c r="W176">
        <v>100</v>
      </c>
      <c r="X176" t="s">
        <v>544</v>
      </c>
      <c r="Y176" t="s">
        <v>444</v>
      </c>
      <c r="Z176" s="37">
        <v>1</v>
      </c>
      <c r="AA176" s="37">
        <v>0.25</v>
      </c>
      <c r="AB176">
        <v>100</v>
      </c>
    </row>
    <row r="177">
      <c r="A177" t="s">
        <v>749</v>
      </c>
      <c r="B177" t="s">
        <v>694</v>
      </c>
      <c r="C177" t="s">
        <v>694</v>
      </c>
      <c r="D177" t="s">
        <v>695</v>
      </c>
      <c r="E177" t="s">
        <v>750</v>
      </c>
      <c r="F177" t="s">
        <v>298</v>
      </c>
      <c r="G177" t="s">
        <v>697</v>
      </c>
      <c r="H177" t="s">
        <v>698</v>
      </c>
      <c r="I177" t="s">
        <v>758</v>
      </c>
      <c r="J177" s="38">
        <v>1</v>
      </c>
      <c r="K177" s="38">
        <v>1</v>
      </c>
      <c r="L177" t="s">
        <v>759</v>
      </c>
      <c r="M177" s="37">
        <v>1</v>
      </c>
      <c r="N177" s="37">
        <v>0.18</v>
      </c>
      <c r="O177">
        <v>1</v>
      </c>
      <c r="P177" s="37">
        <v>1</v>
      </c>
      <c r="Q177">
        <v>1</v>
      </c>
      <c r="R177">
        <v>0</v>
      </c>
      <c r="S177">
        <v>0</v>
      </c>
      <c r="T177">
        <v>3000</v>
      </c>
      <c r="U177" t="s">
        <v>546</v>
      </c>
      <c r="V177" t="s">
        <v>543</v>
      </c>
      <c r="W177">
        <v>100</v>
      </c>
      <c r="X177" t="s">
        <v>544</v>
      </c>
      <c r="Y177" t="s">
        <v>444</v>
      </c>
      <c r="Z177" s="37">
        <v>1</v>
      </c>
      <c r="AA177" s="37">
        <v>0.25</v>
      </c>
      <c r="AB177">
        <v>100</v>
      </c>
    </row>
    <row r="178">
      <c r="A178" t="s">
        <v>760</v>
      </c>
      <c r="B178" t="s">
        <v>761</v>
      </c>
      <c r="C178" t="s">
        <v>761</v>
      </c>
      <c r="D178" t="s">
        <v>598</v>
      </c>
      <c r="E178" t="s">
        <v>762</v>
      </c>
      <c r="F178" t="s">
        <v>298</v>
      </c>
      <c r="G178" t="s">
        <v>763</v>
      </c>
      <c r="H178" t="s">
        <v>575</v>
      </c>
      <c r="I178" t="s">
        <v>764</v>
      </c>
      <c r="J178">
        <v>1</v>
      </c>
      <c r="K178" t="s">
        <v>765</v>
      </c>
      <c r="L178" t="s">
        <v>765</v>
      </c>
      <c r="M178" s="37">
        <v>1</v>
      </c>
      <c r="N178" s="37">
        <v>0.25</v>
      </c>
      <c r="O178">
        <v>1</v>
      </c>
      <c r="P178" s="37">
        <v>0.959375</v>
      </c>
      <c r="Q178">
        <v>0.96</v>
      </c>
      <c r="R178">
        <v>5000</v>
      </c>
      <c r="S178">
        <v>5000</v>
      </c>
      <c r="T178">
        <v>5000</v>
      </c>
      <c r="U178" t="s">
        <v>546</v>
      </c>
      <c r="V178" t="s">
        <v>543</v>
      </c>
      <c r="W178">
        <v>100</v>
      </c>
      <c r="X178" t="s">
        <v>544</v>
      </c>
      <c r="Y178" t="s">
        <v>444</v>
      </c>
      <c r="Z178" s="37">
        <v>1</v>
      </c>
      <c r="AA178" s="37">
        <v>0.25</v>
      </c>
      <c r="AB178">
        <v>100</v>
      </c>
    </row>
    <row r="179">
      <c r="A179" t="s">
        <v>760</v>
      </c>
      <c r="B179" t="s">
        <v>761</v>
      </c>
      <c r="C179" t="s">
        <v>761</v>
      </c>
      <c r="D179" t="s">
        <v>598</v>
      </c>
      <c r="E179" t="s">
        <v>762</v>
      </c>
      <c r="F179" t="s">
        <v>298</v>
      </c>
      <c r="G179" t="s">
        <v>763</v>
      </c>
      <c r="H179" t="s">
        <v>604</v>
      </c>
      <c r="I179" t="s">
        <v>766</v>
      </c>
      <c r="J179">
        <v>1</v>
      </c>
      <c r="L179" t="s">
        <v>767</v>
      </c>
      <c r="M179" s="37">
        <v>0.95</v>
      </c>
      <c r="N179" s="37">
        <v>0.5</v>
      </c>
      <c r="O179">
        <v>0.95</v>
      </c>
      <c r="P179" s="37">
        <v>0.959375</v>
      </c>
      <c r="Q179">
        <v>0.96</v>
      </c>
      <c r="R179">
        <v>5000</v>
      </c>
      <c r="S179">
        <v>5000</v>
      </c>
      <c r="T179">
        <v>5000</v>
      </c>
      <c r="U179" t="s">
        <v>546</v>
      </c>
      <c r="V179" t="s">
        <v>543</v>
      </c>
      <c r="W179">
        <v>100</v>
      </c>
      <c r="X179" t="s">
        <v>544</v>
      </c>
      <c r="Y179" t="s">
        <v>444</v>
      </c>
      <c r="Z179" s="37">
        <v>1</v>
      </c>
      <c r="AA179" s="37">
        <v>0.25</v>
      </c>
      <c r="AB179">
        <v>100</v>
      </c>
    </row>
    <row r="180">
      <c r="A180" t="s">
        <v>760</v>
      </c>
      <c r="B180" t="s">
        <v>761</v>
      </c>
      <c r="C180" t="s">
        <v>761</v>
      </c>
      <c r="D180" t="s">
        <v>598</v>
      </c>
      <c r="E180" t="s">
        <v>762</v>
      </c>
      <c r="F180" t="s">
        <v>298</v>
      </c>
      <c r="G180" t="s">
        <v>763</v>
      </c>
      <c r="H180" t="s">
        <v>573</v>
      </c>
      <c r="I180" t="s">
        <v>768</v>
      </c>
      <c r="J180">
        <v>1</v>
      </c>
      <c r="L180" t="s">
        <v>769</v>
      </c>
      <c r="M180" s="37">
        <v>0.9375</v>
      </c>
      <c r="N180" s="37">
        <v>0.25</v>
      </c>
      <c r="O180">
        <v>0.94</v>
      </c>
      <c r="P180" s="37">
        <v>0.959375</v>
      </c>
      <c r="Q180">
        <v>0.96</v>
      </c>
      <c r="R180">
        <v>5000</v>
      </c>
      <c r="S180">
        <v>5000</v>
      </c>
      <c r="T180">
        <v>5000</v>
      </c>
      <c r="U180" t="s">
        <v>546</v>
      </c>
      <c r="V180" t="s">
        <v>543</v>
      </c>
      <c r="W180">
        <v>100</v>
      </c>
      <c r="X180" t="s">
        <v>544</v>
      </c>
      <c r="Y180" t="s">
        <v>444</v>
      </c>
      <c r="Z180" s="37">
        <v>1</v>
      </c>
      <c r="AA180" s="37">
        <v>0.25</v>
      </c>
      <c r="AB180">
        <v>100</v>
      </c>
    </row>
    <row r="181">
      <c r="A181" t="s">
        <v>770</v>
      </c>
      <c r="B181" t="s">
        <v>771</v>
      </c>
      <c r="C181" t="s">
        <v>771</v>
      </c>
      <c r="D181" t="s">
        <v>772</v>
      </c>
      <c r="E181" t="s">
        <v>773</v>
      </c>
      <c r="F181" t="s">
        <v>298</v>
      </c>
      <c r="G181" t="s">
        <v>774</v>
      </c>
      <c r="H181" t="s">
        <v>775</v>
      </c>
      <c r="I181" t="s">
        <v>776</v>
      </c>
      <c r="J181" t="s">
        <v>777</v>
      </c>
      <c r="K181" t="s">
        <v>778</v>
      </c>
      <c r="L181" t="s">
        <v>779</v>
      </c>
      <c r="M181" s="37">
        <v>0.5645</v>
      </c>
      <c r="N181" s="37">
        <v>0.4</v>
      </c>
      <c r="O181">
        <v>0.5645</v>
      </c>
      <c r="P181" s="37">
        <v>0.64741</v>
      </c>
      <c r="Q181">
        <v>0.65</v>
      </c>
      <c r="R181">
        <v>3237</v>
      </c>
      <c r="S181">
        <v>3237</v>
      </c>
      <c r="T181">
        <v>5000</v>
      </c>
      <c r="U181" t="s">
        <v>546</v>
      </c>
      <c r="V181" t="s">
        <v>543</v>
      </c>
      <c r="W181">
        <v>100</v>
      </c>
      <c r="X181" t="s">
        <v>544</v>
      </c>
      <c r="Y181" t="s">
        <v>444</v>
      </c>
      <c r="Z181" s="37">
        <v>1</v>
      </c>
      <c r="AA181" s="37">
        <v>0.25</v>
      </c>
      <c r="AB181">
        <v>100</v>
      </c>
    </row>
    <row r="182">
      <c r="A182" t="s">
        <v>770</v>
      </c>
      <c r="B182" t="s">
        <v>771</v>
      </c>
      <c r="C182" t="s">
        <v>771</v>
      </c>
      <c r="D182" t="s">
        <v>772</v>
      </c>
      <c r="E182" t="s">
        <v>773</v>
      </c>
      <c r="F182" t="s">
        <v>298</v>
      </c>
      <c r="G182" t="s">
        <v>774</v>
      </c>
      <c r="H182" t="s">
        <v>775</v>
      </c>
      <c r="I182" t="s">
        <v>780</v>
      </c>
      <c r="J182" t="s">
        <v>777</v>
      </c>
      <c r="K182" t="s">
        <v>781</v>
      </c>
      <c r="L182" t="s">
        <v>779</v>
      </c>
      <c r="M182" s="37">
        <v>0.623667</v>
      </c>
      <c r="N182" s="37">
        <v>0.3</v>
      </c>
      <c r="O182">
        <v>0.6237</v>
      </c>
      <c r="P182" s="37">
        <v>0.64741</v>
      </c>
      <c r="Q182">
        <v>0.65</v>
      </c>
      <c r="R182">
        <v>3237</v>
      </c>
      <c r="S182">
        <v>3237</v>
      </c>
      <c r="T182">
        <v>5000</v>
      </c>
      <c r="U182" t="s">
        <v>546</v>
      </c>
      <c r="V182" t="s">
        <v>543</v>
      </c>
      <c r="W182">
        <v>100</v>
      </c>
      <c r="X182" t="s">
        <v>544</v>
      </c>
      <c r="Y182" t="s">
        <v>444</v>
      </c>
      <c r="Z182" s="37">
        <v>1</v>
      </c>
      <c r="AA182" s="37">
        <v>0.25</v>
      </c>
      <c r="AB182">
        <v>100</v>
      </c>
    </row>
    <row r="183">
      <c r="A183" t="s">
        <v>770</v>
      </c>
      <c r="B183" t="s">
        <v>771</v>
      </c>
      <c r="C183" t="s">
        <v>771</v>
      </c>
      <c r="D183" t="s">
        <v>772</v>
      </c>
      <c r="E183" t="s">
        <v>773</v>
      </c>
      <c r="F183" t="s">
        <v>298</v>
      </c>
      <c r="G183" t="s">
        <v>774</v>
      </c>
      <c r="H183" t="s">
        <v>775</v>
      </c>
      <c r="I183" t="s">
        <v>782</v>
      </c>
      <c r="J183" t="s">
        <v>783</v>
      </c>
      <c r="K183" t="s">
        <v>784</v>
      </c>
      <c r="L183" t="s">
        <v>779</v>
      </c>
      <c r="M183" s="37">
        <v>0.7817</v>
      </c>
      <c r="N183" s="37">
        <v>0.3</v>
      </c>
      <c r="O183">
        <v>0.7817</v>
      </c>
      <c r="P183" s="37">
        <v>0.64741</v>
      </c>
      <c r="Q183">
        <v>0.65</v>
      </c>
      <c r="R183">
        <v>3237</v>
      </c>
      <c r="S183">
        <v>3237</v>
      </c>
      <c r="T183">
        <v>5000</v>
      </c>
      <c r="U183" t="s">
        <v>546</v>
      </c>
      <c r="V183" t="s">
        <v>543</v>
      </c>
      <c r="W183">
        <v>100</v>
      </c>
      <c r="X183" t="s">
        <v>544</v>
      </c>
      <c r="Y183" t="s">
        <v>444</v>
      </c>
      <c r="Z183" s="37">
        <v>1</v>
      </c>
      <c r="AA183" s="37">
        <v>0.25</v>
      </c>
      <c r="AB183">
        <v>100</v>
      </c>
    </row>
    <row r="184">
      <c r="A184" t="s">
        <v>785</v>
      </c>
      <c r="B184" t="s">
        <v>786</v>
      </c>
      <c r="C184" t="s">
        <v>786</v>
      </c>
      <c r="D184" t="s">
        <v>787</v>
      </c>
      <c r="E184" t="s">
        <v>788</v>
      </c>
      <c r="F184" t="s">
        <v>298</v>
      </c>
      <c r="G184" t="s">
        <v>789</v>
      </c>
      <c r="H184" t="s">
        <v>790</v>
      </c>
      <c r="I184" t="s">
        <v>791</v>
      </c>
      <c r="J184" t="s">
        <v>792</v>
      </c>
      <c r="K184" t="s">
        <v>793</v>
      </c>
      <c r="L184" t="s">
        <v>779</v>
      </c>
      <c r="M184" s="37">
        <v>0.896</v>
      </c>
      <c r="N184" s="37">
        <v>0.3</v>
      </c>
      <c r="O184">
        <v>0.8959</v>
      </c>
      <c r="P184" s="37">
        <v>1.0252</v>
      </c>
      <c r="Q184">
        <v>1.03</v>
      </c>
      <c r="R184">
        <v>3000</v>
      </c>
      <c r="S184">
        <v>3000</v>
      </c>
      <c r="T184">
        <v>3000</v>
      </c>
      <c r="U184" t="s">
        <v>546</v>
      </c>
      <c r="V184" t="s">
        <v>543</v>
      </c>
      <c r="W184">
        <v>100</v>
      </c>
      <c r="X184" t="s">
        <v>544</v>
      </c>
      <c r="Y184" t="s">
        <v>444</v>
      </c>
      <c r="Z184" s="37">
        <v>1</v>
      </c>
      <c r="AA184" s="37">
        <v>0.25</v>
      </c>
      <c r="AB184">
        <v>100</v>
      </c>
    </row>
    <row r="185">
      <c r="A185" t="s">
        <v>785</v>
      </c>
      <c r="B185" t="s">
        <v>786</v>
      </c>
      <c r="C185" t="s">
        <v>786</v>
      </c>
      <c r="D185" t="s">
        <v>787</v>
      </c>
      <c r="E185" t="s">
        <v>788</v>
      </c>
      <c r="F185" t="s">
        <v>298</v>
      </c>
      <c r="G185" t="s">
        <v>789</v>
      </c>
      <c r="H185" t="s">
        <v>794</v>
      </c>
      <c r="I185" t="s">
        <v>795</v>
      </c>
      <c r="J185" s="37">
        <v>0.182</v>
      </c>
      <c r="K185" s="37">
        <v>0.2445</v>
      </c>
      <c r="L185" t="s">
        <v>779</v>
      </c>
      <c r="M185" s="37">
        <v>1.343</v>
      </c>
      <c r="N185" s="37">
        <v>0.2</v>
      </c>
      <c r="O185">
        <v>1.3434</v>
      </c>
      <c r="P185" s="37">
        <v>1.0252</v>
      </c>
      <c r="Q185">
        <v>1.03</v>
      </c>
      <c r="R185">
        <v>3000</v>
      </c>
      <c r="S185">
        <v>3000</v>
      </c>
      <c r="T185">
        <v>3000</v>
      </c>
      <c r="U185" t="s">
        <v>546</v>
      </c>
      <c r="V185" t="s">
        <v>543</v>
      </c>
      <c r="W185">
        <v>100</v>
      </c>
      <c r="X185" t="s">
        <v>544</v>
      </c>
      <c r="Y185" t="s">
        <v>444</v>
      </c>
      <c r="Z185" s="37">
        <v>1</v>
      </c>
      <c r="AA185" s="37">
        <v>0.25</v>
      </c>
      <c r="AB185">
        <v>100</v>
      </c>
    </row>
    <row r="186">
      <c r="A186" t="s">
        <v>785</v>
      </c>
      <c r="B186" t="s">
        <v>786</v>
      </c>
      <c r="C186" t="s">
        <v>786</v>
      </c>
      <c r="D186" t="s">
        <v>787</v>
      </c>
      <c r="E186" t="s">
        <v>788</v>
      </c>
      <c r="F186" t="s">
        <v>298</v>
      </c>
      <c r="G186" t="s">
        <v>789</v>
      </c>
      <c r="H186" t="s">
        <v>790</v>
      </c>
      <c r="I186" t="s">
        <v>796</v>
      </c>
      <c r="J186" t="s">
        <v>797</v>
      </c>
      <c r="K186" t="s">
        <v>798</v>
      </c>
      <c r="L186" t="s">
        <v>779</v>
      </c>
      <c r="M186" s="37">
        <v>0.772</v>
      </c>
      <c r="N186" s="37">
        <v>0.3</v>
      </c>
      <c r="O186">
        <v>0.7715</v>
      </c>
      <c r="P186" s="37">
        <v>1.0252</v>
      </c>
      <c r="Q186">
        <v>1.03</v>
      </c>
      <c r="R186">
        <v>3000</v>
      </c>
      <c r="S186">
        <v>3000</v>
      </c>
      <c r="T186">
        <v>3000</v>
      </c>
      <c r="U186" t="s">
        <v>546</v>
      </c>
      <c r="V186" t="s">
        <v>543</v>
      </c>
      <c r="W186">
        <v>100</v>
      </c>
      <c r="X186" t="s">
        <v>544</v>
      </c>
      <c r="Y186" t="s">
        <v>444</v>
      </c>
      <c r="Z186" s="37">
        <v>1</v>
      </c>
      <c r="AA186" s="37">
        <v>0.25</v>
      </c>
      <c r="AB186">
        <v>100</v>
      </c>
    </row>
    <row r="187">
      <c r="A187" t="s">
        <v>785</v>
      </c>
      <c r="B187" t="s">
        <v>786</v>
      </c>
      <c r="C187" t="s">
        <v>786</v>
      </c>
      <c r="D187" t="s">
        <v>787</v>
      </c>
      <c r="E187" t="s">
        <v>788</v>
      </c>
      <c r="F187" t="s">
        <v>298</v>
      </c>
      <c r="G187" t="s">
        <v>789</v>
      </c>
      <c r="H187" t="s">
        <v>794</v>
      </c>
      <c r="I187" t="s">
        <v>796</v>
      </c>
      <c r="J187" s="37">
        <v>0.269</v>
      </c>
      <c r="K187" s="37">
        <v>0.3446</v>
      </c>
      <c r="L187" t="s">
        <v>779</v>
      </c>
      <c r="M187" s="37">
        <v>1.281</v>
      </c>
      <c r="N187" s="37">
        <v>0.2</v>
      </c>
      <c r="O187">
        <v>1.281</v>
      </c>
      <c r="P187" s="37">
        <v>1.0252</v>
      </c>
      <c r="Q187">
        <v>1.03</v>
      </c>
      <c r="R187">
        <v>3000</v>
      </c>
      <c r="S187">
        <v>3000</v>
      </c>
      <c r="T187">
        <v>3000</v>
      </c>
      <c r="U187" t="s">
        <v>546</v>
      </c>
      <c r="V187" t="s">
        <v>543</v>
      </c>
      <c r="W187">
        <v>100</v>
      </c>
      <c r="X187" t="s">
        <v>544</v>
      </c>
      <c r="Y187" t="s">
        <v>444</v>
      </c>
      <c r="Z187" s="37">
        <v>1</v>
      </c>
      <c r="AA187" s="37">
        <v>0.25</v>
      </c>
      <c r="AB187">
        <v>100</v>
      </c>
    </row>
    <row r="188">
      <c r="A188" t="s">
        <v>799</v>
      </c>
      <c r="B188" t="s">
        <v>800</v>
      </c>
      <c r="C188" t="s">
        <v>800</v>
      </c>
      <c r="D188" t="s">
        <v>801</v>
      </c>
      <c r="E188" t="s">
        <v>802</v>
      </c>
      <c r="F188" t="s">
        <v>298</v>
      </c>
      <c r="G188" t="s">
        <v>803</v>
      </c>
      <c r="H188" t="s">
        <v>804</v>
      </c>
      <c r="I188" t="s">
        <v>805</v>
      </c>
      <c r="J188" s="37">
        <v>0.269</v>
      </c>
      <c r="K188">
        <v>0</v>
      </c>
      <c r="L188" t="s">
        <v>806</v>
      </c>
      <c r="M188" s="37">
        <v>0.5</v>
      </c>
      <c r="N188" s="37">
        <v>1</v>
      </c>
      <c r="O188">
        <v>0.5</v>
      </c>
      <c r="P188" s="37">
        <v>0.5</v>
      </c>
      <c r="Q188">
        <v>0.5</v>
      </c>
      <c r="R188">
        <v>2500</v>
      </c>
      <c r="S188">
        <v>2500</v>
      </c>
      <c r="T188">
        <v>5000</v>
      </c>
      <c r="U188" t="s">
        <v>546</v>
      </c>
      <c r="V188" t="s">
        <v>543</v>
      </c>
      <c r="W188">
        <v>100</v>
      </c>
      <c r="X188" t="s">
        <v>544</v>
      </c>
      <c r="Y188" t="s">
        <v>444</v>
      </c>
      <c r="Z188" s="37">
        <v>1</v>
      </c>
      <c r="AA188" s="37">
        <v>0.25</v>
      </c>
      <c r="AB188">
        <v>100</v>
      </c>
    </row>
    <row r="189">
      <c r="A189" t="s">
        <v>807</v>
      </c>
      <c r="B189" t="s">
        <v>771</v>
      </c>
      <c r="C189" t="s">
        <v>771</v>
      </c>
      <c r="D189" t="s">
        <v>808</v>
      </c>
      <c r="E189" t="s">
        <v>809</v>
      </c>
      <c r="F189" t="s">
        <v>298</v>
      </c>
      <c r="G189" t="s">
        <v>810</v>
      </c>
      <c r="H189" t="s">
        <v>811</v>
      </c>
      <c r="I189" t="s">
        <v>812</v>
      </c>
      <c r="J189" t="s">
        <v>813</v>
      </c>
      <c r="K189" t="s">
        <v>814</v>
      </c>
      <c r="L189" t="s">
        <v>806</v>
      </c>
      <c r="M189" s="37">
        <v>0.7816</v>
      </c>
      <c r="N189" s="37">
        <v>0.7</v>
      </c>
      <c r="O189">
        <v>0.7816</v>
      </c>
      <c r="P189" s="37">
        <v>0.54712</v>
      </c>
      <c r="Q189">
        <v>0.55</v>
      </c>
      <c r="R189">
        <v>2750</v>
      </c>
      <c r="S189">
        <v>2750</v>
      </c>
      <c r="T189">
        <v>5000</v>
      </c>
      <c r="U189" t="s">
        <v>546</v>
      </c>
      <c r="V189" t="s">
        <v>543</v>
      </c>
      <c r="W189">
        <v>100</v>
      </c>
      <c r="X189" t="s">
        <v>544</v>
      </c>
      <c r="Y189" t="s">
        <v>444</v>
      </c>
      <c r="Z189" s="37">
        <v>1</v>
      </c>
      <c r="AA189" s="37">
        <v>0.25</v>
      </c>
      <c r="AB189">
        <v>100</v>
      </c>
    </row>
    <row r="190">
      <c r="A190" t="s">
        <v>807</v>
      </c>
      <c r="B190" t="s">
        <v>771</v>
      </c>
      <c r="C190" t="s">
        <v>771</v>
      </c>
      <c r="D190" t="s">
        <v>808</v>
      </c>
      <c r="E190" t="s">
        <v>809</v>
      </c>
      <c r="F190" t="s">
        <v>298</v>
      </c>
      <c r="G190" t="s">
        <v>810</v>
      </c>
      <c r="H190" t="s">
        <v>815</v>
      </c>
      <c r="I190" t="s">
        <v>816</v>
      </c>
      <c r="J190" t="s">
        <v>709</v>
      </c>
      <c r="K190" t="s">
        <v>817</v>
      </c>
      <c r="M190" s="37">
        <v>0</v>
      </c>
      <c r="N190" s="37">
        <v>0.3</v>
      </c>
      <c r="O190">
        <v>0</v>
      </c>
      <c r="P190" s="37">
        <v>0.54712</v>
      </c>
      <c r="Q190">
        <v>0.55</v>
      </c>
      <c r="R190">
        <v>2750</v>
      </c>
      <c r="S190">
        <v>2750</v>
      </c>
      <c r="T190">
        <v>5000</v>
      </c>
      <c r="U190" t="s">
        <v>546</v>
      </c>
      <c r="V190" t="s">
        <v>543</v>
      </c>
      <c r="W190">
        <v>100</v>
      </c>
      <c r="X190" t="s">
        <v>544</v>
      </c>
      <c r="Y190" t="s">
        <v>444</v>
      </c>
      <c r="Z190" s="37">
        <v>1</v>
      </c>
      <c r="AA190" s="37">
        <v>0.25</v>
      </c>
      <c r="AB190">
        <v>100</v>
      </c>
    </row>
    <row r="191">
      <c r="A191" t="s">
        <v>818</v>
      </c>
      <c r="B191" t="s">
        <v>771</v>
      </c>
      <c r="C191" t="s">
        <v>771</v>
      </c>
      <c r="D191" t="s">
        <v>359</v>
      </c>
      <c r="E191" t="s">
        <v>819</v>
      </c>
      <c r="F191" t="s">
        <v>298</v>
      </c>
      <c r="G191" t="s">
        <v>810</v>
      </c>
      <c r="H191" t="s">
        <v>811</v>
      </c>
      <c r="I191" t="s">
        <v>820</v>
      </c>
      <c r="J191" t="s">
        <v>821</v>
      </c>
      <c r="K191" t="s">
        <v>822</v>
      </c>
      <c r="M191" s="37">
        <v>1</v>
      </c>
      <c r="N191" s="37">
        <v>0.5</v>
      </c>
      <c r="O191">
        <v>0.5</v>
      </c>
      <c r="P191" s="37">
        <v>0.922</v>
      </c>
      <c r="Q191">
        <v>0.93</v>
      </c>
      <c r="R191">
        <v>4650</v>
      </c>
      <c r="S191">
        <v>4650</v>
      </c>
      <c r="T191">
        <v>5000</v>
      </c>
      <c r="U191" t="s">
        <v>546</v>
      </c>
      <c r="V191" t="s">
        <v>543</v>
      </c>
      <c r="W191">
        <v>100</v>
      </c>
      <c r="X191" t="s">
        <v>544</v>
      </c>
      <c r="Y191" t="s">
        <v>444</v>
      </c>
      <c r="Z191" s="37">
        <v>1</v>
      </c>
      <c r="AA191" s="37">
        <v>0.25</v>
      </c>
      <c r="AB191">
        <v>100</v>
      </c>
    </row>
    <row r="192">
      <c r="A192" t="s">
        <v>818</v>
      </c>
      <c r="B192" t="s">
        <v>771</v>
      </c>
      <c r="C192" t="s">
        <v>771</v>
      </c>
      <c r="D192" t="s">
        <v>359</v>
      </c>
      <c r="E192" t="s">
        <v>819</v>
      </c>
      <c r="F192" t="s">
        <v>298</v>
      </c>
      <c r="G192" t="s">
        <v>810</v>
      </c>
      <c r="H192" t="s">
        <v>811</v>
      </c>
      <c r="I192" t="s">
        <v>823</v>
      </c>
      <c r="J192" t="s">
        <v>821</v>
      </c>
      <c r="K192" t="s">
        <v>824</v>
      </c>
      <c r="M192" s="37">
        <v>1</v>
      </c>
      <c r="N192" s="37">
        <v>0.35</v>
      </c>
      <c r="O192">
        <v>0.35</v>
      </c>
      <c r="P192" s="37">
        <v>0.922</v>
      </c>
      <c r="Q192">
        <v>0.93</v>
      </c>
      <c r="R192">
        <v>4650</v>
      </c>
      <c r="S192">
        <v>4650</v>
      </c>
      <c r="T192">
        <v>5000</v>
      </c>
      <c r="U192" t="s">
        <v>546</v>
      </c>
      <c r="V192" t="s">
        <v>543</v>
      </c>
      <c r="W192">
        <v>100</v>
      </c>
      <c r="X192" t="s">
        <v>544</v>
      </c>
      <c r="Y192" t="s">
        <v>444</v>
      </c>
      <c r="Z192" s="37">
        <v>1</v>
      </c>
      <c r="AA192" s="37">
        <v>0.25</v>
      </c>
      <c r="AB192">
        <v>100</v>
      </c>
    </row>
    <row r="193">
      <c r="A193" t="s">
        <v>818</v>
      </c>
      <c r="B193" t="s">
        <v>771</v>
      </c>
      <c r="C193" t="s">
        <v>771</v>
      </c>
      <c r="D193" t="s">
        <v>359</v>
      </c>
      <c r="E193" t="s">
        <v>819</v>
      </c>
      <c r="F193" t="s">
        <v>298</v>
      </c>
      <c r="G193" t="s">
        <v>810</v>
      </c>
      <c r="H193" t="s">
        <v>815</v>
      </c>
      <c r="I193" t="s">
        <v>825</v>
      </c>
      <c r="J193" t="s">
        <v>826</v>
      </c>
      <c r="K193" t="s">
        <v>827</v>
      </c>
      <c r="M193" s="37">
        <v>0.48</v>
      </c>
      <c r="N193" s="37">
        <v>0.15</v>
      </c>
      <c r="O193">
        <v>0.072</v>
      </c>
      <c r="P193" s="37">
        <v>0.922</v>
      </c>
      <c r="Q193">
        <v>0.93</v>
      </c>
      <c r="R193">
        <v>4650</v>
      </c>
      <c r="S193">
        <v>4650</v>
      </c>
      <c r="T193">
        <v>5000</v>
      </c>
      <c r="U193" t="s">
        <v>546</v>
      </c>
      <c r="V193" t="s">
        <v>543</v>
      </c>
      <c r="W193">
        <v>100</v>
      </c>
      <c r="X193" t="s">
        <v>544</v>
      </c>
      <c r="Y193" t="s">
        <v>444</v>
      </c>
      <c r="Z193" s="37">
        <v>1</v>
      </c>
      <c r="AA193" s="37">
        <v>0.25</v>
      </c>
      <c r="AB193">
        <v>100</v>
      </c>
    </row>
    <row r="194">
      <c r="A194" t="s">
        <v>828</v>
      </c>
      <c r="B194" t="s">
        <v>786</v>
      </c>
      <c r="C194" t="s">
        <v>786</v>
      </c>
      <c r="D194" t="s">
        <v>787</v>
      </c>
      <c r="E194" t="s">
        <v>829</v>
      </c>
      <c r="F194" t="s">
        <v>298</v>
      </c>
      <c r="G194" t="s">
        <v>810</v>
      </c>
      <c r="H194" t="s">
        <v>811</v>
      </c>
      <c r="I194" t="s">
        <v>812</v>
      </c>
      <c r="J194" t="s">
        <v>830</v>
      </c>
      <c r="K194" t="s">
        <v>831</v>
      </c>
      <c r="M194" s="37">
        <v>0</v>
      </c>
      <c r="N194" s="37">
        <v>0.7</v>
      </c>
      <c r="O194">
        <v>0</v>
      </c>
      <c r="P194" s="37">
        <v>0</v>
      </c>
      <c r="Q194">
        <v>0</v>
      </c>
      <c r="R194">
        <v>0</v>
      </c>
      <c r="S194">
        <v>0</v>
      </c>
      <c r="T194">
        <v>4000</v>
      </c>
      <c r="U194" t="s">
        <v>546</v>
      </c>
      <c r="V194" t="s">
        <v>543</v>
      </c>
      <c r="W194">
        <v>100</v>
      </c>
      <c r="X194" t="s">
        <v>544</v>
      </c>
      <c r="Y194" t="s">
        <v>444</v>
      </c>
      <c r="Z194" s="37">
        <v>1</v>
      </c>
      <c r="AA194" s="37">
        <v>0.25</v>
      </c>
      <c r="AB194">
        <v>100</v>
      </c>
    </row>
    <row r="195">
      <c r="A195" t="s">
        <v>828</v>
      </c>
      <c r="B195" t="s">
        <v>786</v>
      </c>
      <c r="C195" t="s">
        <v>786</v>
      </c>
      <c r="D195" t="s">
        <v>787</v>
      </c>
      <c r="E195" t="s">
        <v>829</v>
      </c>
      <c r="F195" t="s">
        <v>298</v>
      </c>
      <c r="G195" t="s">
        <v>810</v>
      </c>
      <c r="H195" t="s">
        <v>815</v>
      </c>
      <c r="I195" t="s">
        <v>816</v>
      </c>
      <c r="J195" t="s">
        <v>709</v>
      </c>
      <c r="K195" t="s">
        <v>817</v>
      </c>
      <c r="M195" s="37">
        <v>0</v>
      </c>
      <c r="N195" s="37">
        <v>0.3</v>
      </c>
      <c r="O195">
        <v>0</v>
      </c>
      <c r="P195" s="37">
        <v>0</v>
      </c>
      <c r="Q195">
        <v>0</v>
      </c>
      <c r="R195">
        <v>0</v>
      </c>
      <c r="S195">
        <v>0</v>
      </c>
      <c r="T195">
        <v>4000</v>
      </c>
      <c r="U195" t="s">
        <v>546</v>
      </c>
      <c r="V195" t="s">
        <v>543</v>
      </c>
      <c r="W195">
        <v>100</v>
      </c>
      <c r="X195" t="s">
        <v>544</v>
      </c>
      <c r="Y195" t="s">
        <v>444</v>
      </c>
      <c r="Z195" s="37">
        <v>1</v>
      </c>
      <c r="AA195" s="37">
        <v>0.25</v>
      </c>
      <c r="AB195">
        <v>100</v>
      </c>
    </row>
    <row r="196">
      <c r="A196" t="s">
        <v>832</v>
      </c>
      <c r="B196" t="s">
        <v>761</v>
      </c>
      <c r="C196" t="s">
        <v>761</v>
      </c>
      <c r="D196" t="s">
        <v>598</v>
      </c>
      <c r="E196" t="s">
        <v>833</v>
      </c>
      <c r="F196" t="s">
        <v>298</v>
      </c>
      <c r="G196" t="s">
        <v>834</v>
      </c>
      <c r="H196" t="s">
        <v>604</v>
      </c>
      <c r="I196" t="s">
        <v>835</v>
      </c>
      <c r="J196">
        <v>1</v>
      </c>
      <c r="K196" t="s">
        <v>817</v>
      </c>
      <c r="L196" t="s">
        <v>836</v>
      </c>
      <c r="M196" s="37">
        <v>0.9</v>
      </c>
      <c r="N196" s="37">
        <v>0.5</v>
      </c>
      <c r="O196">
        <v>0.9</v>
      </c>
      <c r="P196" s="37">
        <v>0.95</v>
      </c>
      <c r="Q196">
        <v>0.95</v>
      </c>
      <c r="R196">
        <v>4000</v>
      </c>
      <c r="S196">
        <v>4000</v>
      </c>
      <c r="T196">
        <v>4000</v>
      </c>
      <c r="U196" t="s">
        <v>546</v>
      </c>
      <c r="V196" t="s">
        <v>543</v>
      </c>
      <c r="W196">
        <v>100</v>
      </c>
      <c r="X196" t="s">
        <v>544</v>
      </c>
      <c r="Y196" t="s">
        <v>444</v>
      </c>
      <c r="Z196" s="37">
        <v>1</v>
      </c>
      <c r="AA196" s="37">
        <v>0.25</v>
      </c>
      <c r="AB196">
        <v>100</v>
      </c>
    </row>
    <row r="197">
      <c r="A197" t="s">
        <v>832</v>
      </c>
      <c r="B197" t="s">
        <v>761</v>
      </c>
      <c r="C197" t="s">
        <v>761</v>
      </c>
      <c r="D197" t="s">
        <v>598</v>
      </c>
      <c r="E197" t="s">
        <v>833</v>
      </c>
      <c r="F197" t="s">
        <v>298</v>
      </c>
      <c r="G197" t="s">
        <v>834</v>
      </c>
      <c r="H197" t="s">
        <v>604</v>
      </c>
      <c r="I197" t="s">
        <v>837</v>
      </c>
      <c r="J197">
        <v>1</v>
      </c>
      <c r="K197" t="s">
        <v>817</v>
      </c>
      <c r="L197" t="s">
        <v>838</v>
      </c>
      <c r="M197" s="37">
        <v>1</v>
      </c>
      <c r="N197" s="37">
        <v>0.5</v>
      </c>
      <c r="O197">
        <v>1</v>
      </c>
      <c r="P197" s="37">
        <v>0.95</v>
      </c>
      <c r="Q197">
        <v>0.95</v>
      </c>
      <c r="R197">
        <v>4000</v>
      </c>
      <c r="S197">
        <v>4000</v>
      </c>
      <c r="T197">
        <v>4000</v>
      </c>
      <c r="U197" t="s">
        <v>546</v>
      </c>
      <c r="V197" t="s">
        <v>543</v>
      </c>
      <c r="W197">
        <v>100</v>
      </c>
      <c r="X197" t="s">
        <v>544</v>
      </c>
      <c r="Y197" t="s">
        <v>444</v>
      </c>
      <c r="Z197" s="37">
        <v>1</v>
      </c>
      <c r="AA197" s="37">
        <v>0.25</v>
      </c>
      <c r="AB197">
        <v>100</v>
      </c>
    </row>
    <row r="198">
      <c r="A198" t="s">
        <v>839</v>
      </c>
      <c r="B198" t="s">
        <v>840</v>
      </c>
      <c r="C198" t="s">
        <v>840</v>
      </c>
      <c r="D198" t="s">
        <v>841</v>
      </c>
      <c r="E198" t="s">
        <v>842</v>
      </c>
      <c r="F198" t="s">
        <v>298</v>
      </c>
      <c r="G198" t="s">
        <v>843</v>
      </c>
      <c r="H198" t="s">
        <v>844</v>
      </c>
      <c r="I198" t="s">
        <v>845</v>
      </c>
      <c r="K198" s="38">
        <v>1</v>
      </c>
      <c r="L198" t="s">
        <v>838</v>
      </c>
      <c r="M198" s="37">
        <v>1</v>
      </c>
      <c r="N198" s="37">
        <v>0.3</v>
      </c>
      <c r="O198">
        <v>1</v>
      </c>
      <c r="P198" s="37">
        <v>0.84</v>
      </c>
      <c r="Q198">
        <v>0.84</v>
      </c>
      <c r="R198">
        <v>2400.24</v>
      </c>
      <c r="S198">
        <v>2400.24</v>
      </c>
      <c r="T198">
        <v>3000</v>
      </c>
      <c r="U198" t="s">
        <v>846</v>
      </c>
      <c r="W198">
        <v>1</v>
      </c>
      <c r="X198" s="38">
        <v>1</v>
      </c>
      <c r="Y198" t="s">
        <v>444</v>
      </c>
      <c r="Z198" s="37">
        <v>1</v>
      </c>
      <c r="AA198" s="37">
        <v>0.3</v>
      </c>
      <c r="AB198">
        <v>100</v>
      </c>
    </row>
    <row r="199">
      <c r="A199" t="s">
        <v>839</v>
      </c>
      <c r="B199" t="s">
        <v>840</v>
      </c>
      <c r="C199" t="s">
        <v>840</v>
      </c>
      <c r="D199" t="s">
        <v>841</v>
      </c>
      <c r="E199" t="s">
        <v>842</v>
      </c>
      <c r="F199" t="s">
        <v>298</v>
      </c>
      <c r="G199" t="s">
        <v>843</v>
      </c>
      <c r="H199" t="s">
        <v>847</v>
      </c>
      <c r="I199" t="s">
        <v>848</v>
      </c>
      <c r="J199" s="38">
        <v>1</v>
      </c>
      <c r="K199" t="s">
        <v>849</v>
      </c>
      <c r="L199" t="s">
        <v>850</v>
      </c>
      <c r="M199" s="37">
        <v>0</v>
      </c>
      <c r="N199" s="37">
        <v>0.2</v>
      </c>
      <c r="O199">
        <v>0</v>
      </c>
      <c r="P199" s="37">
        <v>0.84</v>
      </c>
      <c r="Q199">
        <v>0.84</v>
      </c>
      <c r="R199">
        <v>2400.24</v>
      </c>
      <c r="S199">
        <v>2400.24</v>
      </c>
      <c r="T199">
        <v>3000</v>
      </c>
      <c r="U199" t="s">
        <v>846</v>
      </c>
      <c r="W199">
        <v>1</v>
      </c>
      <c r="X199" s="38">
        <v>1</v>
      </c>
      <c r="Y199" t="s">
        <v>444</v>
      </c>
      <c r="Z199" s="37">
        <v>1</v>
      </c>
      <c r="AA199" s="37">
        <v>0.3</v>
      </c>
      <c r="AB199">
        <v>100</v>
      </c>
    </row>
    <row r="200">
      <c r="A200" t="s">
        <v>839</v>
      </c>
      <c r="B200" t="s">
        <v>840</v>
      </c>
      <c r="C200" t="s">
        <v>840</v>
      </c>
      <c r="D200" t="s">
        <v>841</v>
      </c>
      <c r="E200" t="s">
        <v>842</v>
      </c>
      <c r="F200" t="s">
        <v>298</v>
      </c>
      <c r="G200" t="s">
        <v>843</v>
      </c>
      <c r="H200" t="s">
        <v>844</v>
      </c>
      <c r="I200" t="s">
        <v>851</v>
      </c>
      <c r="K200" s="38">
        <v>1.2</v>
      </c>
      <c r="L200" t="s">
        <v>850</v>
      </c>
      <c r="M200" s="37">
        <v>1.2</v>
      </c>
      <c r="N200" s="37">
        <v>0.2</v>
      </c>
      <c r="O200">
        <v>1.2</v>
      </c>
      <c r="P200" s="37">
        <v>0.84</v>
      </c>
      <c r="Q200">
        <v>0.84</v>
      </c>
      <c r="R200">
        <v>2400.24</v>
      </c>
      <c r="S200">
        <v>2400.24</v>
      </c>
      <c r="T200">
        <v>3000</v>
      </c>
      <c r="U200" t="s">
        <v>461</v>
      </c>
      <c r="X200">
        <v>100</v>
      </c>
      <c r="Y200" t="s">
        <v>444</v>
      </c>
      <c r="Z200" s="37">
        <v>1</v>
      </c>
      <c r="AA200" s="37">
        <v>0.3</v>
      </c>
      <c r="AB200">
        <v>100</v>
      </c>
    </row>
    <row r="201">
      <c r="A201" t="s">
        <v>839</v>
      </c>
      <c r="B201" t="s">
        <v>840</v>
      </c>
      <c r="C201" t="s">
        <v>840</v>
      </c>
      <c r="D201" t="s">
        <v>841</v>
      </c>
      <c r="E201" t="s">
        <v>842</v>
      </c>
      <c r="F201" t="s">
        <v>298</v>
      </c>
      <c r="G201" t="s">
        <v>843</v>
      </c>
      <c r="H201" t="s">
        <v>844</v>
      </c>
      <c r="I201" t="s">
        <v>851</v>
      </c>
      <c r="K201" s="38">
        <v>1.2</v>
      </c>
      <c r="L201" t="s">
        <v>850</v>
      </c>
      <c r="M201" s="37">
        <v>1.2</v>
      </c>
      <c r="N201" s="37">
        <v>0.2</v>
      </c>
      <c r="O201">
        <v>1.2</v>
      </c>
      <c r="P201" s="37">
        <v>0.84</v>
      </c>
      <c r="Q201">
        <v>0.84</v>
      </c>
      <c r="R201">
        <v>2400.24</v>
      </c>
      <c r="S201">
        <v>2400.24</v>
      </c>
      <c r="T201">
        <v>3000</v>
      </c>
      <c r="U201" t="s">
        <v>462</v>
      </c>
      <c r="X201" s="38">
        <v>1</v>
      </c>
      <c r="Y201" t="s">
        <v>444</v>
      </c>
      <c r="Z201" s="37">
        <v>1</v>
      </c>
      <c r="AA201" s="37">
        <v>0.7</v>
      </c>
      <c r="AB201">
        <v>100</v>
      </c>
    </row>
    <row r="202">
      <c r="A202" t="s">
        <v>839</v>
      </c>
      <c r="B202" t="s">
        <v>840</v>
      </c>
      <c r="C202" t="s">
        <v>840</v>
      </c>
      <c r="D202" t="s">
        <v>841</v>
      </c>
      <c r="E202" t="s">
        <v>842</v>
      </c>
      <c r="F202" t="s">
        <v>298</v>
      </c>
      <c r="G202" t="s">
        <v>843</v>
      </c>
      <c r="H202" t="s">
        <v>852</v>
      </c>
      <c r="I202" t="s">
        <v>853</v>
      </c>
      <c r="J202" s="38">
        <v>1</v>
      </c>
      <c r="K202" t="s">
        <v>854</v>
      </c>
      <c r="L202" t="s">
        <v>855</v>
      </c>
      <c r="M202" s="37">
        <v>1</v>
      </c>
      <c r="N202" s="37">
        <v>0.2</v>
      </c>
      <c r="O202">
        <v>1</v>
      </c>
      <c r="P202" s="37">
        <v>0.84</v>
      </c>
      <c r="Q202">
        <v>0.84</v>
      </c>
      <c r="R202">
        <v>2400.24</v>
      </c>
      <c r="S202">
        <v>2400.24</v>
      </c>
      <c r="T202">
        <v>3000</v>
      </c>
      <c r="U202" t="s">
        <v>462</v>
      </c>
      <c r="X202" s="38">
        <v>1</v>
      </c>
      <c r="Y202" t="s">
        <v>444</v>
      </c>
      <c r="Z202" s="37">
        <v>1</v>
      </c>
      <c r="AA202" s="37">
        <v>0.7</v>
      </c>
      <c r="AB202">
        <v>100</v>
      </c>
    </row>
    <row r="203">
      <c r="A203" t="s">
        <v>839</v>
      </c>
      <c r="B203" t="s">
        <v>840</v>
      </c>
      <c r="C203" t="s">
        <v>840</v>
      </c>
      <c r="D203" t="s">
        <v>841</v>
      </c>
      <c r="E203" t="s">
        <v>842</v>
      </c>
      <c r="F203" t="s">
        <v>298</v>
      </c>
      <c r="G203" t="s">
        <v>843</v>
      </c>
      <c r="H203" t="s">
        <v>852</v>
      </c>
      <c r="I203" t="s">
        <v>856</v>
      </c>
      <c r="J203" s="38">
        <v>1</v>
      </c>
      <c r="K203" t="s">
        <v>521</v>
      </c>
      <c r="L203" t="s">
        <v>857</v>
      </c>
      <c r="M203" s="37">
        <v>1</v>
      </c>
      <c r="N203" s="37">
        <v>0.1</v>
      </c>
      <c r="O203">
        <v>1</v>
      </c>
      <c r="P203" s="37">
        <v>0.84</v>
      </c>
      <c r="Q203">
        <v>0.84</v>
      </c>
      <c r="R203">
        <v>2400.24</v>
      </c>
      <c r="S203">
        <v>2400.24</v>
      </c>
      <c r="T203">
        <v>3000</v>
      </c>
      <c r="U203" t="s">
        <v>462</v>
      </c>
      <c r="X203" s="38">
        <v>1</v>
      </c>
      <c r="Y203" t="s">
        <v>444</v>
      </c>
      <c r="Z203" s="37">
        <v>1</v>
      </c>
      <c r="AA203" s="37">
        <v>0.7</v>
      </c>
      <c r="AB203">
        <v>100</v>
      </c>
    </row>
    <row r="204">
      <c r="A204" t="s">
        <v>858</v>
      </c>
      <c r="B204" t="s">
        <v>840</v>
      </c>
      <c r="C204" t="s">
        <v>840</v>
      </c>
      <c r="D204" t="s">
        <v>359</v>
      </c>
      <c r="E204" t="s">
        <v>859</v>
      </c>
      <c r="F204" t="s">
        <v>298</v>
      </c>
      <c r="G204" t="s">
        <v>843</v>
      </c>
      <c r="H204" t="s">
        <v>844</v>
      </c>
      <c r="I204" t="s">
        <v>860</v>
      </c>
      <c r="K204">
        <v>100</v>
      </c>
      <c r="L204" t="s">
        <v>857</v>
      </c>
      <c r="M204" s="37">
        <v>1</v>
      </c>
      <c r="N204" s="37">
        <v>0.3</v>
      </c>
      <c r="O204">
        <v>1</v>
      </c>
      <c r="P204" s="37">
        <v>0.6883</v>
      </c>
      <c r="Q204">
        <v>0.89</v>
      </c>
      <c r="R204">
        <v>5599.76</v>
      </c>
      <c r="S204">
        <v>5599.76</v>
      </c>
      <c r="T204">
        <v>5000</v>
      </c>
      <c r="U204">
        <v>100</v>
      </c>
      <c r="X204">
        <v>100</v>
      </c>
      <c r="Y204" t="s">
        <v>444</v>
      </c>
      <c r="Z204" s="37">
        <v>1</v>
      </c>
      <c r="AA204" s="37">
        <v>0.3</v>
      </c>
      <c r="AB204">
        <v>100</v>
      </c>
    </row>
    <row r="205">
      <c r="A205" t="s">
        <v>858</v>
      </c>
      <c r="B205" t="s">
        <v>840</v>
      </c>
      <c r="C205" t="s">
        <v>840</v>
      </c>
      <c r="D205" t="s">
        <v>359</v>
      </c>
      <c r="E205" t="s">
        <v>859</v>
      </c>
      <c r="F205" t="s">
        <v>298</v>
      </c>
      <c r="G205" t="s">
        <v>843</v>
      </c>
      <c r="H205" t="s">
        <v>844</v>
      </c>
      <c r="I205" t="s">
        <v>860</v>
      </c>
      <c r="K205">
        <v>100</v>
      </c>
      <c r="L205" t="s">
        <v>857</v>
      </c>
      <c r="M205" s="37">
        <v>1</v>
      </c>
      <c r="N205" s="37">
        <v>0.3</v>
      </c>
      <c r="O205">
        <v>1</v>
      </c>
      <c r="P205" s="37">
        <v>0.6883</v>
      </c>
      <c r="Q205">
        <v>0.89</v>
      </c>
      <c r="R205">
        <v>5599.76</v>
      </c>
      <c r="S205">
        <v>5599.76</v>
      </c>
      <c r="T205">
        <v>5000</v>
      </c>
      <c r="U205" t="s">
        <v>462</v>
      </c>
      <c r="V205">
        <v>100</v>
      </c>
      <c r="X205">
        <v>100</v>
      </c>
      <c r="Y205" t="s">
        <v>444</v>
      </c>
      <c r="Z205" s="37">
        <v>1</v>
      </c>
      <c r="AA205" s="37">
        <v>0.7</v>
      </c>
      <c r="AB205">
        <v>100</v>
      </c>
    </row>
    <row r="206">
      <c r="A206" t="s">
        <v>858</v>
      </c>
      <c r="B206" t="s">
        <v>840</v>
      </c>
      <c r="C206" t="s">
        <v>840</v>
      </c>
      <c r="D206" t="s">
        <v>359</v>
      </c>
      <c r="E206" t="s">
        <v>859</v>
      </c>
      <c r="F206" t="s">
        <v>298</v>
      </c>
      <c r="G206" t="s">
        <v>843</v>
      </c>
      <c r="H206" t="s">
        <v>847</v>
      </c>
      <c r="I206" t="s">
        <v>861</v>
      </c>
      <c r="J206" s="38">
        <v>1</v>
      </c>
      <c r="K206" t="s">
        <v>862</v>
      </c>
      <c r="L206" t="s">
        <v>857</v>
      </c>
      <c r="M206" s="37">
        <v>0.761</v>
      </c>
      <c r="N206" s="37">
        <v>0.3</v>
      </c>
      <c r="O206">
        <v>0.761</v>
      </c>
      <c r="P206" s="37">
        <v>0.6883</v>
      </c>
      <c r="Q206">
        <v>0.89</v>
      </c>
      <c r="R206">
        <v>5599.76</v>
      </c>
      <c r="S206">
        <v>5599.76</v>
      </c>
      <c r="T206">
        <v>5000</v>
      </c>
      <c r="U206" t="s">
        <v>462</v>
      </c>
      <c r="V206">
        <v>100</v>
      </c>
      <c r="X206">
        <v>100</v>
      </c>
      <c r="Y206" t="s">
        <v>444</v>
      </c>
      <c r="Z206" s="37">
        <v>1</v>
      </c>
      <c r="AA206" s="37">
        <v>0.7</v>
      </c>
      <c r="AB206">
        <v>100</v>
      </c>
    </row>
    <row r="207">
      <c r="A207" t="s">
        <v>858</v>
      </c>
      <c r="B207" t="s">
        <v>840</v>
      </c>
      <c r="C207" t="s">
        <v>840</v>
      </c>
      <c r="D207" t="s">
        <v>359</v>
      </c>
      <c r="E207" t="s">
        <v>859</v>
      </c>
      <c r="F207" t="s">
        <v>298</v>
      </c>
      <c r="G207" t="s">
        <v>843</v>
      </c>
      <c r="H207" t="s">
        <v>852</v>
      </c>
      <c r="I207" t="s">
        <v>863</v>
      </c>
      <c r="J207" s="38">
        <v>1</v>
      </c>
      <c r="K207" t="s">
        <v>864</v>
      </c>
      <c r="L207" t="s">
        <v>857</v>
      </c>
      <c r="M207" s="37">
        <v>0</v>
      </c>
      <c r="N207" s="37">
        <v>0.2</v>
      </c>
      <c r="O207">
        <v>0</v>
      </c>
      <c r="P207" s="37">
        <v>0.6883</v>
      </c>
      <c r="Q207">
        <v>0.89</v>
      </c>
      <c r="R207">
        <v>5599.76</v>
      </c>
      <c r="S207">
        <v>5599.76</v>
      </c>
      <c r="T207">
        <v>5000</v>
      </c>
      <c r="U207" t="s">
        <v>462</v>
      </c>
      <c r="V207">
        <v>100</v>
      </c>
      <c r="X207">
        <v>100</v>
      </c>
      <c r="Y207" t="s">
        <v>444</v>
      </c>
      <c r="Z207" s="37">
        <v>1</v>
      </c>
      <c r="AA207" s="37">
        <v>0.7</v>
      </c>
      <c r="AB207">
        <v>100</v>
      </c>
    </row>
    <row r="208">
      <c r="A208" t="s">
        <v>858</v>
      </c>
      <c r="B208" t="s">
        <v>840</v>
      </c>
      <c r="C208" t="s">
        <v>840</v>
      </c>
      <c r="D208" t="s">
        <v>359</v>
      </c>
      <c r="E208" t="s">
        <v>859</v>
      </c>
      <c r="F208" t="s">
        <v>298</v>
      </c>
      <c r="G208" t="s">
        <v>843</v>
      </c>
      <c r="H208" t="s">
        <v>852</v>
      </c>
      <c r="I208" t="s">
        <v>865</v>
      </c>
      <c r="J208" s="38">
        <v>1</v>
      </c>
      <c r="K208" t="s">
        <v>854</v>
      </c>
      <c r="L208" t="s">
        <v>857</v>
      </c>
      <c r="M208" s="37">
        <v>1</v>
      </c>
      <c r="N208" s="37">
        <v>0.1</v>
      </c>
      <c r="O208">
        <v>1</v>
      </c>
      <c r="P208" s="37">
        <v>0.6883</v>
      </c>
      <c r="Q208">
        <v>0.89</v>
      </c>
      <c r="R208">
        <v>5599.76</v>
      </c>
      <c r="S208">
        <v>5599.76</v>
      </c>
      <c r="T208">
        <v>5000</v>
      </c>
      <c r="U208" t="s">
        <v>462</v>
      </c>
      <c r="V208">
        <v>100</v>
      </c>
      <c r="X208">
        <v>100</v>
      </c>
      <c r="Y208" t="s">
        <v>444</v>
      </c>
      <c r="Z208" s="37">
        <v>1</v>
      </c>
      <c r="AA208" s="37">
        <v>0.7</v>
      </c>
      <c r="AB208">
        <v>100</v>
      </c>
    </row>
    <row r="209">
      <c r="A209" t="s">
        <v>858</v>
      </c>
      <c r="B209" t="s">
        <v>840</v>
      </c>
      <c r="C209" t="s">
        <v>840</v>
      </c>
      <c r="D209" t="s">
        <v>359</v>
      </c>
      <c r="E209" t="s">
        <v>859</v>
      </c>
      <c r="F209" t="s">
        <v>298</v>
      </c>
      <c r="G209" t="s">
        <v>843</v>
      </c>
      <c r="H209" t="s">
        <v>852</v>
      </c>
      <c r="I209" t="s">
        <v>866</v>
      </c>
      <c r="J209" s="38">
        <v>1</v>
      </c>
      <c r="K209" s="38">
        <v>0.6</v>
      </c>
      <c r="L209" t="s">
        <v>867</v>
      </c>
      <c r="M209" s="37">
        <v>0.6</v>
      </c>
      <c r="N209" s="37">
        <v>0.1</v>
      </c>
      <c r="O209">
        <v>0.6</v>
      </c>
      <c r="P209" s="37">
        <v>0.6883</v>
      </c>
      <c r="Q209">
        <v>0.89</v>
      </c>
      <c r="R209">
        <v>5599.76</v>
      </c>
      <c r="S209">
        <v>5599.76</v>
      </c>
      <c r="T209">
        <v>5000</v>
      </c>
      <c r="U209" t="s">
        <v>462</v>
      </c>
      <c r="V209">
        <v>100</v>
      </c>
      <c r="X209">
        <v>100</v>
      </c>
      <c r="Y209" t="s">
        <v>444</v>
      </c>
      <c r="Z209" s="37">
        <v>1</v>
      </c>
      <c r="AA209" s="37">
        <v>0.7</v>
      </c>
      <c r="AB209">
        <v>100</v>
      </c>
    </row>
    <row r="210">
      <c r="A210" t="s">
        <v>868</v>
      </c>
      <c r="B210" t="s">
        <v>840</v>
      </c>
      <c r="C210" t="s">
        <v>840</v>
      </c>
      <c r="D210" t="s">
        <v>359</v>
      </c>
      <c r="E210" t="s">
        <v>869</v>
      </c>
      <c r="F210" t="s">
        <v>298</v>
      </c>
      <c r="G210" t="s">
        <v>843</v>
      </c>
      <c r="H210" t="s">
        <v>870</v>
      </c>
      <c r="I210" t="s">
        <v>871</v>
      </c>
      <c r="K210" s="38">
        <v>1</v>
      </c>
      <c r="L210" t="s">
        <v>867</v>
      </c>
      <c r="M210" s="37">
        <v>1</v>
      </c>
      <c r="N210" s="37">
        <v>0.1</v>
      </c>
      <c r="O210">
        <v>1</v>
      </c>
      <c r="P210" s="37">
        <v>0.68172</v>
      </c>
      <c r="Q210">
        <v>0.85</v>
      </c>
      <c r="R210">
        <v>0</v>
      </c>
      <c r="S210">
        <v>0</v>
      </c>
      <c r="T210">
        <v>5000</v>
      </c>
      <c r="U210" t="s">
        <v>462</v>
      </c>
      <c r="V210">
        <v>100</v>
      </c>
      <c r="X210">
        <v>100</v>
      </c>
      <c r="Y210" t="s">
        <v>444</v>
      </c>
      <c r="Z210" s="37">
        <v>1</v>
      </c>
      <c r="AA210" s="37">
        <v>0.7</v>
      </c>
      <c r="AB210">
        <v>100</v>
      </c>
    </row>
    <row r="211">
      <c r="A211" t="s">
        <v>868</v>
      </c>
      <c r="B211" t="s">
        <v>840</v>
      </c>
      <c r="C211" t="s">
        <v>840</v>
      </c>
      <c r="D211" t="s">
        <v>359</v>
      </c>
      <c r="E211" t="s">
        <v>869</v>
      </c>
      <c r="F211" t="s">
        <v>298</v>
      </c>
      <c r="G211" t="s">
        <v>843</v>
      </c>
      <c r="H211" t="s">
        <v>872</v>
      </c>
      <c r="I211" t="s">
        <v>873</v>
      </c>
      <c r="K211" s="38">
        <v>1</v>
      </c>
      <c r="L211" t="s">
        <v>874</v>
      </c>
      <c r="M211" s="37">
        <v>1</v>
      </c>
      <c r="N211" s="37">
        <v>0.1</v>
      </c>
      <c r="O211">
        <v>1</v>
      </c>
      <c r="P211" s="37">
        <v>0.68172</v>
      </c>
      <c r="Q211">
        <v>0.85</v>
      </c>
      <c r="R211">
        <v>0</v>
      </c>
      <c r="S211">
        <v>0</v>
      </c>
      <c r="T211">
        <v>5000</v>
      </c>
      <c r="U211" t="s">
        <v>462</v>
      </c>
      <c r="V211">
        <v>100</v>
      </c>
      <c r="X211">
        <v>100</v>
      </c>
      <c r="Y211" t="s">
        <v>444</v>
      </c>
      <c r="Z211" s="37">
        <v>1</v>
      </c>
      <c r="AA211" s="37">
        <v>0.7</v>
      </c>
      <c r="AB211">
        <v>100</v>
      </c>
    </row>
    <row r="212">
      <c r="A212" t="s">
        <v>868</v>
      </c>
      <c r="B212" t="s">
        <v>840</v>
      </c>
      <c r="C212" t="s">
        <v>840</v>
      </c>
      <c r="D212" t="s">
        <v>359</v>
      </c>
      <c r="E212" t="s">
        <v>869</v>
      </c>
      <c r="F212" t="s">
        <v>298</v>
      </c>
      <c r="G212" t="s">
        <v>843</v>
      </c>
      <c r="H212" t="s">
        <v>844</v>
      </c>
      <c r="I212" t="s">
        <v>875</v>
      </c>
      <c r="K212">
        <v>1</v>
      </c>
      <c r="L212" t="s">
        <v>874</v>
      </c>
      <c r="M212" s="37">
        <v>1</v>
      </c>
      <c r="N212" s="37">
        <v>0.3</v>
      </c>
      <c r="O212">
        <v>1</v>
      </c>
      <c r="P212" s="37">
        <v>0.68172</v>
      </c>
      <c r="Q212">
        <v>0.85</v>
      </c>
      <c r="R212">
        <v>0</v>
      </c>
      <c r="S212">
        <v>0</v>
      </c>
      <c r="T212">
        <v>5000</v>
      </c>
      <c r="U212" t="s">
        <v>461</v>
      </c>
      <c r="X212">
        <v>1</v>
      </c>
      <c r="Y212" t="s">
        <v>444</v>
      </c>
      <c r="Z212" s="37">
        <v>0.01</v>
      </c>
      <c r="AA212" s="37">
        <v>0.3</v>
      </c>
      <c r="AB212">
        <v>1</v>
      </c>
    </row>
    <row r="213">
      <c r="A213" t="s">
        <v>868</v>
      </c>
      <c r="B213" t="s">
        <v>840</v>
      </c>
      <c r="C213" t="s">
        <v>840</v>
      </c>
      <c r="D213" t="s">
        <v>359</v>
      </c>
      <c r="E213" t="s">
        <v>869</v>
      </c>
      <c r="F213" t="s">
        <v>298</v>
      </c>
      <c r="G213" t="s">
        <v>843</v>
      </c>
      <c r="H213" t="s">
        <v>844</v>
      </c>
      <c r="I213" t="s">
        <v>875</v>
      </c>
      <c r="K213">
        <v>1</v>
      </c>
      <c r="L213" t="s">
        <v>874</v>
      </c>
      <c r="M213" s="37">
        <v>1</v>
      </c>
      <c r="N213" s="37">
        <v>0.3</v>
      </c>
      <c r="O213">
        <v>1</v>
      </c>
      <c r="P213" s="37">
        <v>0.68172</v>
      </c>
      <c r="Q213">
        <v>0.85</v>
      </c>
      <c r="R213">
        <v>0</v>
      </c>
      <c r="S213">
        <v>0</v>
      </c>
      <c r="T213">
        <v>5000</v>
      </c>
      <c r="U213" t="s">
        <v>462</v>
      </c>
      <c r="X213">
        <v>1</v>
      </c>
      <c r="Y213" t="s">
        <v>444</v>
      </c>
      <c r="Z213" s="37">
        <v>0.01</v>
      </c>
      <c r="AA213" s="37">
        <v>0.7</v>
      </c>
      <c r="AB213">
        <v>1</v>
      </c>
    </row>
    <row r="214">
      <c r="A214" t="s">
        <v>868</v>
      </c>
      <c r="B214" t="s">
        <v>840</v>
      </c>
      <c r="C214" t="s">
        <v>840</v>
      </c>
      <c r="D214" t="s">
        <v>359</v>
      </c>
      <c r="E214" t="s">
        <v>869</v>
      </c>
      <c r="F214" t="s">
        <v>298</v>
      </c>
      <c r="G214" t="s">
        <v>843</v>
      </c>
      <c r="H214" t="s">
        <v>844</v>
      </c>
      <c r="I214" t="s">
        <v>876</v>
      </c>
      <c r="K214">
        <v>1</v>
      </c>
      <c r="L214" t="s">
        <v>874</v>
      </c>
      <c r="M214" s="37">
        <v>0.0086</v>
      </c>
      <c r="N214" s="37">
        <v>0.2</v>
      </c>
      <c r="O214">
        <v>0.86</v>
      </c>
      <c r="P214" s="37">
        <v>0.68172</v>
      </c>
      <c r="Q214">
        <v>0.85</v>
      </c>
      <c r="R214">
        <v>0</v>
      </c>
      <c r="S214">
        <v>0</v>
      </c>
      <c r="T214">
        <v>5000</v>
      </c>
      <c r="U214" t="s">
        <v>461</v>
      </c>
      <c r="X214">
        <v>1</v>
      </c>
      <c r="Y214" t="s">
        <v>444</v>
      </c>
      <c r="Z214" s="37">
        <v>0.01</v>
      </c>
      <c r="AA214" s="37">
        <v>0.3</v>
      </c>
      <c r="AB214">
        <v>1</v>
      </c>
    </row>
    <row r="215">
      <c r="A215" t="s">
        <v>868</v>
      </c>
      <c r="B215" t="s">
        <v>840</v>
      </c>
      <c r="C215" t="s">
        <v>840</v>
      </c>
      <c r="D215" t="s">
        <v>359</v>
      </c>
      <c r="E215" t="s">
        <v>869</v>
      </c>
      <c r="F215" t="s">
        <v>298</v>
      </c>
      <c r="G215" t="s">
        <v>843</v>
      </c>
      <c r="H215" t="s">
        <v>844</v>
      </c>
      <c r="I215" t="s">
        <v>876</v>
      </c>
      <c r="K215">
        <v>1</v>
      </c>
      <c r="L215" t="s">
        <v>874</v>
      </c>
      <c r="M215" s="37">
        <v>0.0086</v>
      </c>
      <c r="N215" s="37">
        <v>0.2</v>
      </c>
      <c r="O215">
        <v>0.86</v>
      </c>
      <c r="P215" s="37">
        <v>0.68172</v>
      </c>
      <c r="Q215">
        <v>0.85</v>
      </c>
      <c r="R215">
        <v>0</v>
      </c>
      <c r="S215">
        <v>0</v>
      </c>
      <c r="T215">
        <v>5000</v>
      </c>
      <c r="U215" t="s">
        <v>462</v>
      </c>
      <c r="X215">
        <v>1</v>
      </c>
      <c r="Y215" t="s">
        <v>444</v>
      </c>
      <c r="Z215" s="37">
        <v>0.008</v>
      </c>
      <c r="AA215" s="37">
        <v>0.7</v>
      </c>
      <c r="AB215">
        <v>1</v>
      </c>
    </row>
    <row r="216">
      <c r="A216" t="s">
        <v>868</v>
      </c>
      <c r="B216" t="s">
        <v>840</v>
      </c>
      <c r="C216" t="s">
        <v>840</v>
      </c>
      <c r="D216" t="s">
        <v>359</v>
      </c>
      <c r="E216" t="s">
        <v>869</v>
      </c>
      <c r="F216" t="s">
        <v>298</v>
      </c>
      <c r="G216" t="s">
        <v>843</v>
      </c>
      <c r="H216" t="s">
        <v>847</v>
      </c>
      <c r="I216" t="s">
        <v>877</v>
      </c>
      <c r="J216" s="38">
        <v>1</v>
      </c>
      <c r="K216" s="37">
        <v>0.006</v>
      </c>
      <c r="L216" t="s">
        <v>874</v>
      </c>
      <c r="M216" s="37">
        <v>0.6</v>
      </c>
      <c r="N216" s="37">
        <v>0.3</v>
      </c>
      <c r="O216">
        <v>0.6</v>
      </c>
      <c r="P216" s="37">
        <v>0.68172</v>
      </c>
      <c r="Q216">
        <v>0.85</v>
      </c>
      <c r="R216">
        <v>0</v>
      </c>
      <c r="S216">
        <v>0</v>
      </c>
      <c r="T216">
        <v>5000</v>
      </c>
      <c r="U216" t="s">
        <v>462</v>
      </c>
      <c r="X216">
        <v>1</v>
      </c>
      <c r="Y216" t="s">
        <v>444</v>
      </c>
      <c r="Z216" s="37">
        <v>0.008</v>
      </c>
      <c r="AA216" s="37">
        <v>0.7</v>
      </c>
      <c r="AB216">
        <v>1</v>
      </c>
    </row>
    <row r="217">
      <c r="A217" t="s">
        <v>878</v>
      </c>
      <c r="B217" t="s">
        <v>840</v>
      </c>
      <c r="C217" t="s">
        <v>840</v>
      </c>
      <c r="D217" t="s">
        <v>879</v>
      </c>
      <c r="E217" t="s">
        <v>880</v>
      </c>
      <c r="F217" t="s">
        <v>298</v>
      </c>
      <c r="G217" t="s">
        <v>881</v>
      </c>
      <c r="H217" t="s">
        <v>882</v>
      </c>
      <c r="I217" t="s">
        <v>877</v>
      </c>
      <c r="J217" s="38">
        <v>1</v>
      </c>
      <c r="K217" s="38">
        <v>1</v>
      </c>
      <c r="L217" t="s">
        <v>883</v>
      </c>
      <c r="M217" s="37">
        <v>0.0125</v>
      </c>
      <c r="N217" s="37">
        <v>0.6</v>
      </c>
      <c r="O217">
        <v>1.25</v>
      </c>
      <c r="P217" s="37">
        <v>0.4935</v>
      </c>
      <c r="Q217">
        <v>1.5</v>
      </c>
      <c r="R217">
        <v>1800</v>
      </c>
      <c r="S217">
        <v>1800</v>
      </c>
      <c r="T217">
        <v>1200</v>
      </c>
      <c r="U217" t="s">
        <v>884</v>
      </c>
      <c r="V217" t="s">
        <v>885</v>
      </c>
      <c r="W217" t="s">
        <v>886</v>
      </c>
      <c r="X217">
        <v>100</v>
      </c>
      <c r="Y217" t="s">
        <v>444</v>
      </c>
      <c r="Z217" s="37">
        <v>1.25</v>
      </c>
      <c r="AA217" s="37">
        <v>0.006</v>
      </c>
      <c r="AB217">
        <v>0.42</v>
      </c>
    </row>
    <row r="218">
      <c r="A218" t="s">
        <v>878</v>
      </c>
      <c r="B218" t="s">
        <v>840</v>
      </c>
      <c r="C218" t="s">
        <v>840</v>
      </c>
      <c r="D218" t="s">
        <v>879</v>
      </c>
      <c r="E218" t="s">
        <v>880</v>
      </c>
      <c r="F218" t="s">
        <v>298</v>
      </c>
      <c r="G218" t="s">
        <v>881</v>
      </c>
      <c r="H218" t="s">
        <v>882</v>
      </c>
      <c r="I218" t="s">
        <v>877</v>
      </c>
      <c r="J218" s="38">
        <v>1</v>
      </c>
      <c r="K218" s="38">
        <v>1</v>
      </c>
      <c r="L218" t="s">
        <v>883</v>
      </c>
      <c r="M218" s="37">
        <v>0.0125</v>
      </c>
      <c r="N218" s="37">
        <v>0.6</v>
      </c>
      <c r="O218">
        <v>1.25</v>
      </c>
      <c r="P218" s="37">
        <v>0.4935</v>
      </c>
      <c r="Q218">
        <v>1.5</v>
      </c>
      <c r="R218">
        <v>1800</v>
      </c>
      <c r="S218">
        <v>1800</v>
      </c>
      <c r="T218">
        <v>1200</v>
      </c>
      <c r="U218" t="s">
        <v>887</v>
      </c>
      <c r="V218" t="s">
        <v>888</v>
      </c>
      <c r="W218" t="s">
        <v>889</v>
      </c>
      <c r="X218">
        <v>0.4</v>
      </c>
      <c r="Y218" t="s">
        <v>444</v>
      </c>
      <c r="Z218" s="37">
        <v>1</v>
      </c>
      <c r="AA218" s="37">
        <v>0.004</v>
      </c>
      <c r="AB218">
        <v>0.3</v>
      </c>
    </row>
    <row r="219">
      <c r="A219" t="s">
        <v>878</v>
      </c>
      <c r="B219" t="s">
        <v>840</v>
      </c>
      <c r="C219" t="s">
        <v>840</v>
      </c>
      <c r="D219" t="s">
        <v>879</v>
      </c>
      <c r="E219" t="s">
        <v>880</v>
      </c>
      <c r="F219" t="s">
        <v>298</v>
      </c>
      <c r="G219" t="s">
        <v>881</v>
      </c>
      <c r="H219" t="s">
        <v>890</v>
      </c>
      <c r="I219" t="s">
        <v>877</v>
      </c>
      <c r="J219" s="38">
        <v>1</v>
      </c>
      <c r="K219">
        <v>100</v>
      </c>
      <c r="L219" t="s">
        <v>883</v>
      </c>
      <c r="M219" s="37">
        <v>1.25</v>
      </c>
      <c r="N219" s="37">
        <v>0.12</v>
      </c>
      <c r="O219">
        <v>1.25</v>
      </c>
      <c r="P219" s="37">
        <v>0.4935</v>
      </c>
      <c r="Q219">
        <v>1.5</v>
      </c>
      <c r="R219">
        <v>1800</v>
      </c>
      <c r="S219">
        <v>1800</v>
      </c>
      <c r="T219">
        <v>1200</v>
      </c>
      <c r="U219" t="s">
        <v>887</v>
      </c>
      <c r="V219" t="s">
        <v>888</v>
      </c>
      <c r="W219" t="s">
        <v>889</v>
      </c>
      <c r="X219">
        <v>0.4</v>
      </c>
      <c r="Y219" t="s">
        <v>444</v>
      </c>
      <c r="Z219" s="37">
        <v>1</v>
      </c>
      <c r="AA219" s="37">
        <v>0.004</v>
      </c>
      <c r="AB219">
        <v>0.3</v>
      </c>
    </row>
    <row r="220">
      <c r="A220" t="s">
        <v>878</v>
      </c>
      <c r="B220" t="s">
        <v>840</v>
      </c>
      <c r="C220" t="s">
        <v>840</v>
      </c>
      <c r="D220" t="s">
        <v>879</v>
      </c>
      <c r="E220" t="s">
        <v>880</v>
      </c>
      <c r="F220" t="s">
        <v>298</v>
      </c>
      <c r="G220" t="s">
        <v>881</v>
      </c>
      <c r="H220" t="s">
        <v>891</v>
      </c>
      <c r="I220" t="s">
        <v>877</v>
      </c>
      <c r="J220" s="38">
        <v>1</v>
      </c>
      <c r="K220">
        <v>0</v>
      </c>
      <c r="L220" t="s">
        <v>883</v>
      </c>
      <c r="M220" s="37">
        <v>1.2</v>
      </c>
      <c r="N220" s="37">
        <v>0.28</v>
      </c>
      <c r="O220">
        <v>1.19</v>
      </c>
      <c r="P220" s="37">
        <v>0.4935</v>
      </c>
      <c r="Q220">
        <v>1.5</v>
      </c>
      <c r="R220">
        <v>1800</v>
      </c>
      <c r="S220">
        <v>1800</v>
      </c>
      <c r="T220">
        <v>1200</v>
      </c>
      <c r="U220" t="s">
        <v>892</v>
      </c>
      <c r="V220" t="s">
        <v>893</v>
      </c>
      <c r="W220" t="s">
        <v>886</v>
      </c>
      <c r="X220">
        <v>0.4</v>
      </c>
      <c r="Y220" t="s">
        <v>444</v>
      </c>
      <c r="Z220" s="37">
        <v>1</v>
      </c>
      <c r="AA220" s="37">
        <v>0.0025</v>
      </c>
      <c r="AB220">
        <v>0.3</v>
      </c>
    </row>
    <row r="221">
      <c r="A221" t="s">
        <v>878</v>
      </c>
      <c r="B221" t="s">
        <v>840</v>
      </c>
      <c r="C221" t="s">
        <v>840</v>
      </c>
      <c r="D221" t="s">
        <v>879</v>
      </c>
      <c r="E221" t="s">
        <v>880</v>
      </c>
      <c r="F221" t="s">
        <v>298</v>
      </c>
      <c r="G221" t="s">
        <v>881</v>
      </c>
      <c r="H221" t="s">
        <v>891</v>
      </c>
      <c r="I221" t="s">
        <v>877</v>
      </c>
      <c r="J221" s="38">
        <v>1</v>
      </c>
      <c r="K221">
        <v>0</v>
      </c>
      <c r="L221" t="s">
        <v>883</v>
      </c>
      <c r="M221" s="37">
        <v>1.2</v>
      </c>
      <c r="N221" s="37">
        <v>0.28</v>
      </c>
      <c r="O221">
        <v>1.19</v>
      </c>
      <c r="P221" s="37">
        <v>0.4935</v>
      </c>
      <c r="Q221">
        <v>1.5</v>
      </c>
      <c r="R221">
        <v>1800</v>
      </c>
      <c r="S221">
        <v>1800</v>
      </c>
      <c r="T221">
        <v>1200</v>
      </c>
      <c r="U221" t="s">
        <v>894</v>
      </c>
      <c r="V221" t="s">
        <v>895</v>
      </c>
      <c r="W221" t="s">
        <v>889</v>
      </c>
      <c r="X221">
        <v>0.4</v>
      </c>
      <c r="Y221" t="s">
        <v>444</v>
      </c>
      <c r="Z221" s="37">
        <v>1</v>
      </c>
      <c r="AA221" s="37">
        <v>0.0025</v>
      </c>
      <c r="AB221">
        <v>0.3</v>
      </c>
    </row>
    <row r="222">
      <c r="A222" t="s">
        <v>878</v>
      </c>
      <c r="B222" t="s">
        <v>840</v>
      </c>
      <c r="C222" t="s">
        <v>840</v>
      </c>
      <c r="D222" t="s">
        <v>879</v>
      </c>
      <c r="E222" t="s">
        <v>880</v>
      </c>
      <c r="F222" t="s">
        <v>298</v>
      </c>
      <c r="G222" t="s">
        <v>881</v>
      </c>
      <c r="H222" t="s">
        <v>891</v>
      </c>
      <c r="I222" t="s">
        <v>877</v>
      </c>
      <c r="J222" s="38">
        <v>1</v>
      </c>
      <c r="K222">
        <v>0</v>
      </c>
      <c r="L222" t="s">
        <v>883</v>
      </c>
      <c r="M222" s="37">
        <v>1.2</v>
      </c>
      <c r="N222" s="37">
        <v>0.28</v>
      </c>
      <c r="O222">
        <v>1.19</v>
      </c>
      <c r="P222" s="37">
        <v>0.4935</v>
      </c>
      <c r="Q222">
        <v>1.5</v>
      </c>
      <c r="R222">
        <v>1800</v>
      </c>
      <c r="S222">
        <v>1800</v>
      </c>
      <c r="T222">
        <v>1200</v>
      </c>
      <c r="U222" t="s">
        <v>896</v>
      </c>
      <c r="V222" t="s">
        <v>897</v>
      </c>
      <c r="W222" t="s">
        <v>898</v>
      </c>
      <c r="X222">
        <v>0.4</v>
      </c>
      <c r="Y222" t="s">
        <v>444</v>
      </c>
      <c r="Z222" s="37">
        <v>1</v>
      </c>
      <c r="AA222" s="37">
        <v>0.0025</v>
      </c>
      <c r="AB222">
        <v>0.3</v>
      </c>
    </row>
    <row r="223">
      <c r="A223" t="s">
        <v>878</v>
      </c>
      <c r="B223" t="s">
        <v>840</v>
      </c>
      <c r="C223" t="s">
        <v>840</v>
      </c>
      <c r="D223" t="s">
        <v>879</v>
      </c>
      <c r="E223" t="s">
        <v>880</v>
      </c>
      <c r="F223" t="s">
        <v>298</v>
      </c>
      <c r="G223" t="s">
        <v>881</v>
      </c>
      <c r="H223" t="s">
        <v>891</v>
      </c>
      <c r="I223" t="s">
        <v>877</v>
      </c>
      <c r="J223" s="38">
        <v>1</v>
      </c>
      <c r="K223">
        <v>0</v>
      </c>
      <c r="L223" t="s">
        <v>883</v>
      </c>
      <c r="M223" s="37">
        <v>1.2</v>
      </c>
      <c r="N223" s="37">
        <v>0.28</v>
      </c>
      <c r="O223">
        <v>1.19</v>
      </c>
      <c r="P223" s="37">
        <v>0.4935</v>
      </c>
      <c r="Q223">
        <v>1.5</v>
      </c>
      <c r="R223">
        <v>1800</v>
      </c>
      <c r="S223">
        <v>1800</v>
      </c>
      <c r="T223">
        <v>1200</v>
      </c>
      <c r="U223" t="s">
        <v>899</v>
      </c>
      <c r="V223" t="s">
        <v>900</v>
      </c>
      <c r="W223" t="s">
        <v>901</v>
      </c>
      <c r="X223">
        <v>0.4</v>
      </c>
      <c r="Y223" t="s">
        <v>444</v>
      </c>
      <c r="Z223" s="37">
        <v>1</v>
      </c>
      <c r="AA223" s="37">
        <v>0.0025</v>
      </c>
      <c r="AB223">
        <v>0.3</v>
      </c>
    </row>
    <row r="224">
      <c r="A224" t="s">
        <v>902</v>
      </c>
      <c r="B224" t="s">
        <v>840</v>
      </c>
      <c r="C224" t="s">
        <v>840</v>
      </c>
      <c r="D224" t="s">
        <v>903</v>
      </c>
      <c r="E224" t="s">
        <v>904</v>
      </c>
      <c r="F224" t="s">
        <v>298</v>
      </c>
      <c r="G224" t="s">
        <v>905</v>
      </c>
      <c r="H224" t="s">
        <v>906</v>
      </c>
      <c r="I224" t="s">
        <v>907</v>
      </c>
      <c r="J224" s="38">
        <v>1</v>
      </c>
      <c r="K224">
        <v>0</v>
      </c>
      <c r="L224" t="s">
        <v>883</v>
      </c>
      <c r="M224" s="37">
        <v>1</v>
      </c>
      <c r="N224" s="37">
        <v>0.1</v>
      </c>
      <c r="O224">
        <v>1</v>
      </c>
      <c r="P224" s="37">
        <v>1</v>
      </c>
      <c r="Q224">
        <v>1.1</v>
      </c>
      <c r="R224">
        <v>0</v>
      </c>
      <c r="S224">
        <v>0</v>
      </c>
      <c r="T224">
        <v>1200</v>
      </c>
      <c r="U224" t="s">
        <v>899</v>
      </c>
      <c r="V224" t="s">
        <v>900</v>
      </c>
      <c r="W224" t="s">
        <v>901</v>
      </c>
      <c r="X224">
        <v>0.4</v>
      </c>
      <c r="Y224" t="s">
        <v>444</v>
      </c>
      <c r="Z224" s="37">
        <v>1</v>
      </c>
      <c r="AA224" s="37">
        <v>0.0025</v>
      </c>
      <c r="AB224">
        <v>0.3</v>
      </c>
    </row>
    <row r="225">
      <c r="A225" t="s">
        <v>902</v>
      </c>
      <c r="B225" t="s">
        <v>840</v>
      </c>
      <c r="C225" t="s">
        <v>840</v>
      </c>
      <c r="D225" t="s">
        <v>903</v>
      </c>
      <c r="E225" t="s">
        <v>904</v>
      </c>
      <c r="F225" t="s">
        <v>298</v>
      </c>
      <c r="G225" t="s">
        <v>905</v>
      </c>
      <c r="H225" t="s">
        <v>908</v>
      </c>
      <c r="I225" t="s">
        <v>909</v>
      </c>
      <c r="J225" s="38">
        <v>1</v>
      </c>
      <c r="K225" s="38">
        <v>1</v>
      </c>
      <c r="L225" t="s">
        <v>883</v>
      </c>
      <c r="M225" s="37">
        <v>1</v>
      </c>
      <c r="N225" s="37">
        <v>0.4</v>
      </c>
      <c r="O225">
        <v>1</v>
      </c>
      <c r="P225" s="37">
        <v>1</v>
      </c>
      <c r="Q225">
        <v>1.1</v>
      </c>
      <c r="R225">
        <v>0</v>
      </c>
      <c r="S225">
        <v>0</v>
      </c>
      <c r="T225">
        <v>1200</v>
      </c>
      <c r="U225" t="s">
        <v>899</v>
      </c>
      <c r="V225" t="s">
        <v>900</v>
      </c>
      <c r="W225" t="s">
        <v>901</v>
      </c>
      <c r="X225">
        <v>0.4</v>
      </c>
      <c r="Y225" t="s">
        <v>444</v>
      </c>
      <c r="Z225" s="37">
        <v>1</v>
      </c>
      <c r="AA225" s="37">
        <v>0.0025</v>
      </c>
      <c r="AB225">
        <v>0.3</v>
      </c>
    </row>
    <row r="226">
      <c r="A226" t="s">
        <v>902</v>
      </c>
      <c r="B226" t="s">
        <v>840</v>
      </c>
      <c r="C226" t="s">
        <v>840</v>
      </c>
      <c r="D226" t="s">
        <v>903</v>
      </c>
      <c r="E226" t="s">
        <v>904</v>
      </c>
      <c r="F226" t="s">
        <v>298</v>
      </c>
      <c r="G226" t="s">
        <v>905</v>
      </c>
      <c r="H226" t="s">
        <v>910</v>
      </c>
      <c r="I226" t="s">
        <v>911</v>
      </c>
      <c r="J226" s="38">
        <v>1</v>
      </c>
      <c r="K226" s="38">
        <v>1</v>
      </c>
      <c r="L226" t="s">
        <v>883</v>
      </c>
      <c r="M226" s="37">
        <v>1</v>
      </c>
      <c r="N226" s="37">
        <v>0.3</v>
      </c>
      <c r="O226">
        <v>1</v>
      </c>
      <c r="P226" s="37">
        <v>1</v>
      </c>
      <c r="Q226">
        <v>1.1</v>
      </c>
      <c r="R226">
        <v>0</v>
      </c>
      <c r="S226">
        <v>0</v>
      </c>
      <c r="T226">
        <v>1200</v>
      </c>
      <c r="U226" t="s">
        <v>899</v>
      </c>
      <c r="V226" t="s">
        <v>900</v>
      </c>
      <c r="W226" t="s">
        <v>901</v>
      </c>
      <c r="X226">
        <v>0.4</v>
      </c>
      <c r="Y226" t="s">
        <v>444</v>
      </c>
      <c r="Z226" s="37">
        <v>1</v>
      </c>
      <c r="AA226" s="37">
        <v>0.0025</v>
      </c>
      <c r="AB226">
        <v>0.3</v>
      </c>
    </row>
    <row r="227">
      <c r="A227" t="s">
        <v>902</v>
      </c>
      <c r="B227" t="s">
        <v>840</v>
      </c>
      <c r="C227" t="s">
        <v>840</v>
      </c>
      <c r="D227" t="s">
        <v>903</v>
      </c>
      <c r="E227" t="s">
        <v>904</v>
      </c>
      <c r="F227" t="s">
        <v>298</v>
      </c>
      <c r="G227" t="s">
        <v>905</v>
      </c>
      <c r="H227" t="s">
        <v>872</v>
      </c>
      <c r="I227" t="s">
        <v>912</v>
      </c>
      <c r="J227" s="38">
        <v>1</v>
      </c>
      <c r="K227">
        <v>0</v>
      </c>
      <c r="L227" t="s">
        <v>883</v>
      </c>
      <c r="M227" s="37">
        <v>1</v>
      </c>
      <c r="N227" s="37">
        <v>0.2</v>
      </c>
      <c r="O227">
        <v>1.02</v>
      </c>
      <c r="P227" s="37">
        <v>1</v>
      </c>
      <c r="Q227">
        <v>1.1</v>
      </c>
      <c r="R227">
        <v>0</v>
      </c>
      <c r="S227">
        <v>0</v>
      </c>
      <c r="T227">
        <v>1200</v>
      </c>
      <c r="U227" t="s">
        <v>899</v>
      </c>
      <c r="V227" t="s">
        <v>900</v>
      </c>
      <c r="W227" t="s">
        <v>901</v>
      </c>
      <c r="X227">
        <v>0.4</v>
      </c>
      <c r="Y227" t="s">
        <v>444</v>
      </c>
      <c r="Z227" s="37">
        <v>1</v>
      </c>
      <c r="AA227" s="37">
        <v>0.0025</v>
      </c>
      <c r="AB227">
        <v>0.3</v>
      </c>
    </row>
    <row r="228">
      <c r="A228" t="s">
        <v>913</v>
      </c>
      <c r="B228" t="s">
        <v>914</v>
      </c>
      <c r="C228" t="s">
        <v>914</v>
      </c>
      <c r="D228" t="s">
        <v>915</v>
      </c>
      <c r="E228" t="s">
        <v>916</v>
      </c>
      <c r="F228" t="s">
        <v>298</v>
      </c>
      <c r="G228" t="s">
        <v>917</v>
      </c>
      <c r="H228" t="s">
        <v>918</v>
      </c>
      <c r="I228" t="s">
        <v>919</v>
      </c>
      <c r="J228" s="38">
        <v>1</v>
      </c>
      <c r="K228">
        <v>0</v>
      </c>
      <c r="L228" t="s">
        <v>920</v>
      </c>
      <c r="M228" s="37">
        <v>1</v>
      </c>
      <c r="N228" s="37">
        <v>0.5</v>
      </c>
      <c r="O228">
        <v>1</v>
      </c>
      <c r="P228" s="37">
        <v>1</v>
      </c>
      <c r="Q228">
        <v>1</v>
      </c>
      <c r="R228">
        <v>2800</v>
      </c>
      <c r="S228">
        <v>2800</v>
      </c>
      <c r="T228">
        <v>3500</v>
      </c>
      <c r="U228" t="s">
        <v>899</v>
      </c>
      <c r="V228" t="s">
        <v>900</v>
      </c>
      <c r="W228" t="s">
        <v>901</v>
      </c>
      <c r="X228">
        <v>0.4</v>
      </c>
      <c r="Y228" t="s">
        <v>444</v>
      </c>
      <c r="Z228" s="37">
        <v>1</v>
      </c>
      <c r="AA228" s="37">
        <v>0.0025</v>
      </c>
      <c r="AB228">
        <v>0.3</v>
      </c>
    </row>
    <row r="229">
      <c r="A229" t="s">
        <v>913</v>
      </c>
      <c r="B229" t="s">
        <v>914</v>
      </c>
      <c r="C229" t="s">
        <v>914</v>
      </c>
      <c r="D229" t="s">
        <v>915</v>
      </c>
      <c r="E229" t="s">
        <v>916</v>
      </c>
      <c r="F229" t="s">
        <v>298</v>
      </c>
      <c r="G229" t="s">
        <v>917</v>
      </c>
      <c r="H229" t="s">
        <v>921</v>
      </c>
      <c r="I229" t="s">
        <v>922</v>
      </c>
      <c r="J229" s="38">
        <v>1</v>
      </c>
      <c r="K229">
        <v>0</v>
      </c>
      <c r="L229" t="s">
        <v>923</v>
      </c>
      <c r="M229" s="37">
        <v>1</v>
      </c>
      <c r="N229" s="37">
        <v>0.4</v>
      </c>
      <c r="O229">
        <v>1</v>
      </c>
      <c r="P229" s="37">
        <v>1</v>
      </c>
      <c r="Q229">
        <v>1</v>
      </c>
      <c r="R229">
        <v>2800</v>
      </c>
      <c r="S229">
        <v>2800</v>
      </c>
      <c r="T229">
        <v>3500</v>
      </c>
      <c r="U229" t="s">
        <v>899</v>
      </c>
      <c r="V229" t="s">
        <v>900</v>
      </c>
      <c r="W229" t="s">
        <v>901</v>
      </c>
      <c r="X229">
        <v>0.4</v>
      </c>
      <c r="Y229" t="s">
        <v>444</v>
      </c>
      <c r="Z229" s="37">
        <v>1</v>
      </c>
      <c r="AA229" s="37">
        <v>0.0025</v>
      </c>
      <c r="AB229">
        <v>0.3</v>
      </c>
    </row>
    <row r="230">
      <c r="A230" t="s">
        <v>913</v>
      </c>
      <c r="B230" t="s">
        <v>914</v>
      </c>
      <c r="C230" t="s">
        <v>914</v>
      </c>
      <c r="D230" t="s">
        <v>915</v>
      </c>
      <c r="E230" t="s">
        <v>916</v>
      </c>
      <c r="F230" t="s">
        <v>298</v>
      </c>
      <c r="G230" t="s">
        <v>917</v>
      </c>
      <c r="H230" t="s">
        <v>924</v>
      </c>
      <c r="I230" t="s">
        <v>925</v>
      </c>
      <c r="J230" s="38">
        <v>1</v>
      </c>
      <c r="K230">
        <v>0</v>
      </c>
      <c r="L230" t="s">
        <v>926</v>
      </c>
      <c r="M230" s="37">
        <v>1</v>
      </c>
      <c r="N230" s="37">
        <v>0.1</v>
      </c>
      <c r="O230">
        <v>1</v>
      </c>
      <c r="P230" s="37">
        <v>1</v>
      </c>
      <c r="Q230">
        <v>1</v>
      </c>
      <c r="R230">
        <v>2800</v>
      </c>
      <c r="S230">
        <v>2800</v>
      </c>
      <c r="T230">
        <v>3500</v>
      </c>
      <c r="U230" t="s">
        <v>899</v>
      </c>
      <c r="V230" t="s">
        <v>900</v>
      </c>
      <c r="W230" t="s">
        <v>901</v>
      </c>
      <c r="X230">
        <v>0.4</v>
      </c>
      <c r="Y230" t="s">
        <v>444</v>
      </c>
      <c r="Z230" s="37">
        <v>1</v>
      </c>
      <c r="AA230" s="37">
        <v>0.0025</v>
      </c>
      <c r="AB230">
        <v>0.3</v>
      </c>
    </row>
    <row r="231">
      <c r="A231" t="s">
        <v>927</v>
      </c>
      <c r="B231" t="s">
        <v>914</v>
      </c>
      <c r="C231" t="s">
        <v>914</v>
      </c>
      <c r="D231" t="s">
        <v>915</v>
      </c>
      <c r="E231" t="s">
        <v>928</v>
      </c>
      <c r="F231" t="s">
        <v>298</v>
      </c>
      <c r="G231" t="s">
        <v>917</v>
      </c>
      <c r="H231" t="s">
        <v>929</v>
      </c>
      <c r="I231" t="s">
        <v>930</v>
      </c>
      <c r="J231" s="38">
        <v>1</v>
      </c>
      <c r="K231">
        <v>0</v>
      </c>
      <c r="L231">
        <v>1</v>
      </c>
      <c r="M231" s="37">
        <v>1</v>
      </c>
      <c r="N231" s="37">
        <v>0.2</v>
      </c>
      <c r="O231">
        <v>1</v>
      </c>
      <c r="P231" s="37">
        <v>0.97</v>
      </c>
      <c r="Q231">
        <v>0.97</v>
      </c>
      <c r="R231">
        <v>2716</v>
      </c>
      <c r="S231">
        <v>2716</v>
      </c>
      <c r="T231">
        <v>3500</v>
      </c>
      <c r="U231" t="s">
        <v>899</v>
      </c>
      <c r="V231" t="s">
        <v>900</v>
      </c>
      <c r="W231" t="s">
        <v>901</v>
      </c>
      <c r="X231">
        <v>0.4</v>
      </c>
      <c r="Y231" t="s">
        <v>444</v>
      </c>
      <c r="Z231" s="37">
        <v>1</v>
      </c>
      <c r="AA231" s="37">
        <v>0.0025</v>
      </c>
      <c r="AB231">
        <v>0.3</v>
      </c>
    </row>
    <row r="232">
      <c r="A232" t="s">
        <v>927</v>
      </c>
      <c r="B232" t="s">
        <v>914</v>
      </c>
      <c r="C232" t="s">
        <v>914</v>
      </c>
      <c r="D232" t="s">
        <v>915</v>
      </c>
      <c r="E232" t="s">
        <v>928</v>
      </c>
      <c r="F232" t="s">
        <v>298</v>
      </c>
      <c r="G232" t="s">
        <v>917</v>
      </c>
      <c r="H232" t="s">
        <v>918</v>
      </c>
      <c r="I232" t="s">
        <v>931</v>
      </c>
      <c r="J232" s="38">
        <v>1</v>
      </c>
      <c r="K232">
        <v>0</v>
      </c>
      <c r="L232">
        <v>1</v>
      </c>
      <c r="M232" s="37">
        <v>1</v>
      </c>
      <c r="N232" s="37">
        <v>0.4</v>
      </c>
      <c r="O232">
        <v>1</v>
      </c>
      <c r="P232" s="37">
        <v>0.97</v>
      </c>
      <c r="Q232">
        <v>0.97</v>
      </c>
      <c r="R232">
        <v>2716</v>
      </c>
      <c r="S232">
        <v>2716</v>
      </c>
      <c r="T232">
        <v>3500</v>
      </c>
      <c r="U232" t="s">
        <v>899</v>
      </c>
      <c r="V232" t="s">
        <v>900</v>
      </c>
      <c r="W232" t="s">
        <v>901</v>
      </c>
      <c r="X232">
        <v>0.4</v>
      </c>
      <c r="Y232" t="s">
        <v>444</v>
      </c>
      <c r="Z232" s="37">
        <v>1</v>
      </c>
      <c r="AA232" s="37">
        <v>0.0025</v>
      </c>
      <c r="AB232">
        <v>0.3</v>
      </c>
    </row>
    <row r="233">
      <c r="A233" t="s">
        <v>927</v>
      </c>
      <c r="B233" t="s">
        <v>914</v>
      </c>
      <c r="C233" t="s">
        <v>914</v>
      </c>
      <c r="D233" t="s">
        <v>915</v>
      </c>
      <c r="E233" t="s">
        <v>928</v>
      </c>
      <c r="F233" t="s">
        <v>298</v>
      </c>
      <c r="G233" t="s">
        <v>917</v>
      </c>
      <c r="H233" t="s">
        <v>921</v>
      </c>
      <c r="I233" t="s">
        <v>932</v>
      </c>
      <c r="J233" s="38">
        <v>1</v>
      </c>
      <c r="K233">
        <v>0</v>
      </c>
      <c r="L233">
        <v>0.9</v>
      </c>
      <c r="M233" s="37">
        <v>0.9</v>
      </c>
      <c r="N233" s="37">
        <v>0.3</v>
      </c>
      <c r="O233">
        <v>0.9</v>
      </c>
      <c r="P233" s="37">
        <v>0.97</v>
      </c>
      <c r="Q233">
        <v>0.97</v>
      </c>
      <c r="R233">
        <v>2716</v>
      </c>
      <c r="S233">
        <v>2716</v>
      </c>
      <c r="T233">
        <v>3500</v>
      </c>
      <c r="U233" t="s">
        <v>899</v>
      </c>
      <c r="V233" t="s">
        <v>900</v>
      </c>
      <c r="W233" t="s">
        <v>901</v>
      </c>
      <c r="X233">
        <v>0.4</v>
      </c>
      <c r="Y233" t="s">
        <v>444</v>
      </c>
      <c r="Z233" s="37">
        <v>1</v>
      </c>
      <c r="AA233" s="37">
        <v>0.0025</v>
      </c>
      <c r="AB233">
        <v>0.3</v>
      </c>
    </row>
    <row r="234">
      <c r="A234" t="s">
        <v>927</v>
      </c>
      <c r="B234" t="s">
        <v>914</v>
      </c>
      <c r="C234" t="s">
        <v>914</v>
      </c>
      <c r="D234" t="s">
        <v>915</v>
      </c>
      <c r="E234" t="s">
        <v>928</v>
      </c>
      <c r="F234" t="s">
        <v>298</v>
      </c>
      <c r="G234" t="s">
        <v>917</v>
      </c>
      <c r="H234" t="s">
        <v>924</v>
      </c>
      <c r="I234" t="s">
        <v>933</v>
      </c>
      <c r="J234" s="38">
        <v>1</v>
      </c>
      <c r="K234">
        <v>0</v>
      </c>
      <c r="L234">
        <v>1</v>
      </c>
      <c r="M234" s="37">
        <v>1</v>
      </c>
      <c r="N234" s="37">
        <v>0.1</v>
      </c>
      <c r="O234">
        <v>1</v>
      </c>
      <c r="P234" s="37">
        <v>0.97</v>
      </c>
      <c r="Q234">
        <v>0.97</v>
      </c>
      <c r="R234">
        <v>2716</v>
      </c>
      <c r="S234">
        <v>2716</v>
      </c>
      <c r="T234">
        <v>3500</v>
      </c>
      <c r="U234" t="s">
        <v>899</v>
      </c>
      <c r="V234" t="s">
        <v>900</v>
      </c>
      <c r="W234" t="s">
        <v>901</v>
      </c>
      <c r="X234">
        <v>0.4</v>
      </c>
      <c r="Y234" t="s">
        <v>444</v>
      </c>
      <c r="Z234" s="37">
        <v>1</v>
      </c>
      <c r="AA234" s="37">
        <v>0.0025</v>
      </c>
      <c r="AB234">
        <v>0.3</v>
      </c>
    </row>
    <row r="235">
      <c r="A235" t="s">
        <v>934</v>
      </c>
      <c r="B235" t="s">
        <v>914</v>
      </c>
      <c r="C235" t="s">
        <v>914</v>
      </c>
      <c r="D235" t="s">
        <v>915</v>
      </c>
      <c r="E235" t="s">
        <v>935</v>
      </c>
      <c r="F235" t="s">
        <v>298</v>
      </c>
      <c r="G235" t="s">
        <v>917</v>
      </c>
      <c r="H235" t="s">
        <v>929</v>
      </c>
      <c r="I235" t="s">
        <v>936</v>
      </c>
      <c r="J235" s="38">
        <v>1</v>
      </c>
      <c r="K235">
        <v>0</v>
      </c>
      <c r="L235" t="s">
        <v>937</v>
      </c>
      <c r="M235" s="37">
        <v>0.3</v>
      </c>
      <c r="N235" s="37">
        <v>0.3</v>
      </c>
      <c r="O235">
        <v>0.3</v>
      </c>
      <c r="P235" s="37">
        <v>0.79</v>
      </c>
      <c r="Q235">
        <v>0.79</v>
      </c>
      <c r="R235">
        <v>2212</v>
      </c>
      <c r="S235">
        <v>2212</v>
      </c>
      <c r="T235">
        <v>3500</v>
      </c>
      <c r="U235" t="s">
        <v>899</v>
      </c>
      <c r="V235" t="s">
        <v>900</v>
      </c>
      <c r="W235" t="s">
        <v>901</v>
      </c>
      <c r="X235">
        <v>0.4</v>
      </c>
      <c r="Y235" t="s">
        <v>444</v>
      </c>
      <c r="Z235" s="37">
        <v>1</v>
      </c>
      <c r="AA235" s="37">
        <v>0.0025</v>
      </c>
      <c r="AB235">
        <v>0.3</v>
      </c>
    </row>
    <row r="236">
      <c r="A236" t="s">
        <v>934</v>
      </c>
      <c r="B236" t="s">
        <v>914</v>
      </c>
      <c r="C236" t="s">
        <v>914</v>
      </c>
      <c r="D236" t="s">
        <v>915</v>
      </c>
      <c r="E236" t="s">
        <v>935</v>
      </c>
      <c r="F236" t="s">
        <v>298</v>
      </c>
      <c r="G236" t="s">
        <v>917</v>
      </c>
      <c r="H236" t="s">
        <v>918</v>
      </c>
      <c r="I236" t="s">
        <v>938</v>
      </c>
      <c r="J236" s="38">
        <v>1</v>
      </c>
      <c r="K236">
        <v>0</v>
      </c>
      <c r="L236" t="s">
        <v>939</v>
      </c>
      <c r="M236" s="37">
        <v>1</v>
      </c>
      <c r="N236" s="37">
        <v>0.4</v>
      </c>
      <c r="O236">
        <v>1</v>
      </c>
      <c r="P236" s="37">
        <v>0.79</v>
      </c>
      <c r="Q236">
        <v>0.79</v>
      </c>
      <c r="R236">
        <v>2212</v>
      </c>
      <c r="S236">
        <v>2212</v>
      </c>
      <c r="T236">
        <v>3500</v>
      </c>
      <c r="U236" t="s">
        <v>899</v>
      </c>
      <c r="V236" t="s">
        <v>900</v>
      </c>
      <c r="W236" t="s">
        <v>901</v>
      </c>
      <c r="X236">
        <v>0.4</v>
      </c>
      <c r="Y236" t="s">
        <v>444</v>
      </c>
      <c r="Z236" s="37">
        <v>1</v>
      </c>
      <c r="AA236" s="37">
        <v>0.0025</v>
      </c>
      <c r="AB236">
        <v>0.3</v>
      </c>
    </row>
    <row r="237">
      <c r="A237" t="s">
        <v>934</v>
      </c>
      <c r="B237" t="s">
        <v>914</v>
      </c>
      <c r="C237" t="s">
        <v>914</v>
      </c>
      <c r="D237" t="s">
        <v>915</v>
      </c>
      <c r="E237" t="s">
        <v>935</v>
      </c>
      <c r="F237" t="s">
        <v>298</v>
      </c>
      <c r="G237" t="s">
        <v>917</v>
      </c>
      <c r="H237" t="s">
        <v>921</v>
      </c>
      <c r="I237" t="s">
        <v>940</v>
      </c>
      <c r="J237" s="38">
        <v>1</v>
      </c>
      <c r="K237">
        <v>0</v>
      </c>
      <c r="L237" t="s">
        <v>941</v>
      </c>
      <c r="M237" s="37">
        <v>1</v>
      </c>
      <c r="N237" s="37">
        <v>0.2</v>
      </c>
      <c r="O237">
        <v>1</v>
      </c>
      <c r="P237" s="37">
        <v>0.79</v>
      </c>
      <c r="Q237">
        <v>0.79</v>
      </c>
      <c r="R237">
        <v>2212</v>
      </c>
      <c r="S237">
        <v>2212</v>
      </c>
      <c r="T237">
        <v>3500</v>
      </c>
      <c r="U237" t="s">
        <v>899</v>
      </c>
      <c r="V237" t="s">
        <v>900</v>
      </c>
      <c r="W237" t="s">
        <v>901</v>
      </c>
      <c r="X237">
        <v>0.4</v>
      </c>
      <c r="Y237" t="s">
        <v>444</v>
      </c>
      <c r="Z237" s="37">
        <v>1</v>
      </c>
      <c r="AA237" s="37">
        <v>0.0025</v>
      </c>
      <c r="AB237">
        <v>0.3</v>
      </c>
    </row>
    <row r="238">
      <c r="A238" t="s">
        <v>934</v>
      </c>
      <c r="B238" t="s">
        <v>914</v>
      </c>
      <c r="C238" t="s">
        <v>914</v>
      </c>
      <c r="D238" t="s">
        <v>915</v>
      </c>
      <c r="E238" t="s">
        <v>935</v>
      </c>
      <c r="F238" t="s">
        <v>298</v>
      </c>
      <c r="G238" t="s">
        <v>917</v>
      </c>
      <c r="H238" t="s">
        <v>924</v>
      </c>
      <c r="I238" t="s">
        <v>942</v>
      </c>
      <c r="J238" s="38">
        <v>1</v>
      </c>
      <c r="K238">
        <v>0</v>
      </c>
      <c r="L238" t="s">
        <v>943</v>
      </c>
      <c r="M238" s="37">
        <v>1</v>
      </c>
      <c r="N238" s="37">
        <v>0.1</v>
      </c>
      <c r="O238">
        <v>1</v>
      </c>
      <c r="P238" s="37">
        <v>0.79</v>
      </c>
      <c r="Q238">
        <v>0.79</v>
      </c>
      <c r="R238">
        <v>2212</v>
      </c>
      <c r="S238">
        <v>2212</v>
      </c>
      <c r="T238">
        <v>3500</v>
      </c>
      <c r="U238" t="s">
        <v>899</v>
      </c>
      <c r="V238" t="s">
        <v>900</v>
      </c>
      <c r="W238" t="s">
        <v>901</v>
      </c>
      <c r="X238">
        <v>0.4</v>
      </c>
      <c r="Y238" t="s">
        <v>444</v>
      </c>
      <c r="Z238" s="37">
        <v>1</v>
      </c>
      <c r="AA238" s="37">
        <v>0.0025</v>
      </c>
      <c r="AB238">
        <v>0.3</v>
      </c>
    </row>
    <row r="239">
      <c r="A239" t="s">
        <v>944</v>
      </c>
      <c r="B239" t="s">
        <v>945</v>
      </c>
      <c r="C239" t="s">
        <v>945</v>
      </c>
      <c r="D239" t="s">
        <v>946</v>
      </c>
      <c r="E239" t="s">
        <v>947</v>
      </c>
      <c r="F239" t="s">
        <v>298</v>
      </c>
      <c r="G239" t="s">
        <v>948</v>
      </c>
      <c r="H239" t="s">
        <v>949</v>
      </c>
      <c r="I239" t="s">
        <v>950</v>
      </c>
      <c r="J239" s="38">
        <v>1</v>
      </c>
      <c r="K239">
        <v>0</v>
      </c>
      <c r="L239" t="s">
        <v>943</v>
      </c>
      <c r="M239" s="37">
        <v>1</v>
      </c>
      <c r="N239" s="37">
        <v>0.5</v>
      </c>
      <c r="O239">
        <v>1</v>
      </c>
      <c r="P239" s="37">
        <v>1</v>
      </c>
      <c r="Q239">
        <v>1</v>
      </c>
      <c r="R239">
        <v>3000</v>
      </c>
      <c r="S239">
        <v>3000</v>
      </c>
      <c r="T239">
        <v>3000</v>
      </c>
      <c r="U239" t="s">
        <v>899</v>
      </c>
      <c r="V239" t="s">
        <v>900</v>
      </c>
      <c r="W239" t="s">
        <v>901</v>
      </c>
      <c r="X239">
        <v>0.4</v>
      </c>
      <c r="Y239" t="s">
        <v>444</v>
      </c>
      <c r="Z239" s="37">
        <v>1</v>
      </c>
      <c r="AA239" s="37">
        <v>0.0025</v>
      </c>
      <c r="AB239">
        <v>0.3</v>
      </c>
    </row>
    <row r="240">
      <c r="A240" t="s">
        <v>944</v>
      </c>
      <c r="B240" t="s">
        <v>945</v>
      </c>
      <c r="C240" t="s">
        <v>945</v>
      </c>
      <c r="D240" t="s">
        <v>946</v>
      </c>
      <c r="E240" t="s">
        <v>947</v>
      </c>
      <c r="F240" t="s">
        <v>298</v>
      </c>
      <c r="G240" t="s">
        <v>948</v>
      </c>
      <c r="H240" t="s">
        <v>951</v>
      </c>
      <c r="I240" t="s">
        <v>952</v>
      </c>
      <c r="J240" s="38">
        <v>1</v>
      </c>
      <c r="K240">
        <v>0</v>
      </c>
      <c r="L240" t="s">
        <v>943</v>
      </c>
      <c r="M240" s="37">
        <v>1</v>
      </c>
      <c r="N240" s="37">
        <v>0.5</v>
      </c>
      <c r="O240">
        <v>1</v>
      </c>
      <c r="P240" s="37">
        <v>1</v>
      </c>
      <c r="Q240">
        <v>1</v>
      </c>
      <c r="R240">
        <v>3000</v>
      </c>
      <c r="S240">
        <v>3000</v>
      </c>
      <c r="T240">
        <v>3000</v>
      </c>
      <c r="U240" t="s">
        <v>899</v>
      </c>
      <c r="V240" t="s">
        <v>900</v>
      </c>
      <c r="W240" t="s">
        <v>901</v>
      </c>
      <c r="X240">
        <v>0.4</v>
      </c>
      <c r="Y240" t="s">
        <v>444</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
      </c>
      <c r="L241" t="s">
        <v>961</v>
      </c>
      <c r="M241" s="37">
        <v>1.05</v>
      </c>
      <c r="N241" s="37">
        <v>0.3</v>
      </c>
      <c r="O241">
        <v>1.05</v>
      </c>
      <c r="P241" s="37">
        <v>0.915</v>
      </c>
      <c r="Q241">
        <v>0.92</v>
      </c>
      <c r="R241">
        <v>8400</v>
      </c>
      <c r="S241">
        <v>8400</v>
      </c>
      <c r="T241">
        <v>6000</v>
      </c>
      <c r="U241" t="s">
        <v>899</v>
      </c>
      <c r="V241" t="s">
        <v>900</v>
      </c>
      <c r="W241" t="s">
        <v>901</v>
      </c>
      <c r="X241">
        <v>0.4</v>
      </c>
      <c r="Y241" t="s">
        <v>444</v>
      </c>
      <c r="Z241" s="37">
        <v>1</v>
      </c>
      <c r="AA241" s="37">
        <v>0.0025</v>
      </c>
      <c r="AB241">
        <v>0.3</v>
      </c>
    </row>
    <row r="242">
      <c r="A242" t="s">
        <v>953</v>
      </c>
      <c r="B242" t="s">
        <v>954</v>
      </c>
      <c r="C242" t="s">
        <v>954</v>
      </c>
      <c r="D242" t="s">
        <v>359</v>
      </c>
      <c r="E242" t="s">
        <v>955</v>
      </c>
      <c r="F242" t="s">
        <v>298</v>
      </c>
      <c r="G242" t="s">
        <v>956</v>
      </c>
      <c r="H242" t="s">
        <v>962</v>
      </c>
      <c r="I242" t="s">
        <v>963</v>
      </c>
      <c r="J242" t="s">
        <v>709</v>
      </c>
      <c r="L242" t="s">
        <v>964</v>
      </c>
      <c r="M242" s="37">
        <v>1.5</v>
      </c>
      <c r="N242" s="37">
        <v>0.2</v>
      </c>
      <c r="O242">
        <v>1.5</v>
      </c>
      <c r="P242" s="37">
        <v>0.915</v>
      </c>
      <c r="Q242">
        <v>0.92</v>
      </c>
      <c r="R242">
        <v>8400</v>
      </c>
      <c r="S242">
        <v>8400</v>
      </c>
      <c r="T242">
        <v>6000</v>
      </c>
      <c r="U242" t="s">
        <v>899</v>
      </c>
      <c r="V242" t="s">
        <v>900</v>
      </c>
      <c r="W242" t="s">
        <v>901</v>
      </c>
      <c r="X242">
        <v>0.4</v>
      </c>
      <c r="Y242" t="s">
        <v>444</v>
      </c>
      <c r="Z242" s="37">
        <v>1</v>
      </c>
      <c r="AA242" s="37">
        <v>0.0025</v>
      </c>
      <c r="AB242">
        <v>0.3</v>
      </c>
    </row>
    <row r="243">
      <c r="A243" t="s">
        <v>953</v>
      </c>
      <c r="B243" t="s">
        <v>954</v>
      </c>
      <c r="C243" t="s">
        <v>954</v>
      </c>
      <c r="D243" t="s">
        <v>359</v>
      </c>
      <c r="E243" t="s">
        <v>955</v>
      </c>
      <c r="F243" t="s">
        <v>298</v>
      </c>
      <c r="G243" t="s">
        <v>956</v>
      </c>
      <c r="H243" t="s">
        <v>957</v>
      </c>
      <c r="I243" t="s">
        <v>965</v>
      </c>
      <c r="J243" t="s">
        <v>966</v>
      </c>
      <c r="K243" t="s">
        <v>967</v>
      </c>
      <c r="M243" s="37">
        <v>1</v>
      </c>
      <c r="N243" s="37">
        <v>0.3</v>
      </c>
      <c r="O243">
        <v>1</v>
      </c>
      <c r="P243" s="37">
        <v>0.915</v>
      </c>
      <c r="Q243">
        <v>0.92</v>
      </c>
      <c r="R243">
        <v>8400</v>
      </c>
      <c r="S243">
        <v>8400</v>
      </c>
      <c r="T243">
        <v>6000</v>
      </c>
      <c r="U243" t="s">
        <v>899</v>
      </c>
      <c r="V243" t="s">
        <v>900</v>
      </c>
      <c r="W243" t="s">
        <v>901</v>
      </c>
      <c r="X243">
        <v>0.4</v>
      </c>
      <c r="Y243" t="s">
        <v>444</v>
      </c>
      <c r="Z243" s="37">
        <v>1</v>
      </c>
      <c r="AA243" s="37">
        <v>0.0025</v>
      </c>
      <c r="AB243">
        <v>0.3</v>
      </c>
    </row>
    <row r="244">
      <c r="A244" t="s">
        <v>953</v>
      </c>
      <c r="B244" t="s">
        <v>954</v>
      </c>
      <c r="C244" t="s">
        <v>954</v>
      </c>
      <c r="D244" t="s">
        <v>359</v>
      </c>
      <c r="E244" t="s">
        <v>955</v>
      </c>
      <c r="F244" t="s">
        <v>298</v>
      </c>
      <c r="G244" t="s">
        <v>956</v>
      </c>
      <c r="H244" t="s">
        <v>962</v>
      </c>
      <c r="I244" t="s">
        <v>968</v>
      </c>
      <c r="J244" t="s">
        <v>969</v>
      </c>
      <c r="M244" s="37">
        <v>0</v>
      </c>
      <c r="N244" s="37">
        <v>0.2</v>
      </c>
      <c r="O244">
        <v>0</v>
      </c>
      <c r="P244" s="37">
        <v>0.915</v>
      </c>
      <c r="Q244">
        <v>0.92</v>
      </c>
      <c r="R244">
        <v>8400</v>
      </c>
      <c r="S244">
        <v>8400</v>
      </c>
      <c r="T244">
        <v>6000</v>
      </c>
      <c r="U244" t="s">
        <v>899</v>
      </c>
      <c r="V244" t="s">
        <v>900</v>
      </c>
      <c r="W244" t="s">
        <v>901</v>
      </c>
      <c r="X244">
        <v>0.4</v>
      </c>
      <c r="Y244" t="s">
        <v>444</v>
      </c>
      <c r="Z244" s="37">
        <v>1</v>
      </c>
      <c r="AA244" s="37">
        <v>0.0025</v>
      </c>
      <c r="AB244">
        <v>0.3</v>
      </c>
    </row>
    <row r="245">
      <c r="A245" t="s">
        <v>970</v>
      </c>
      <c r="B245" t="s">
        <v>954</v>
      </c>
      <c r="C245" t="s">
        <v>954</v>
      </c>
      <c r="D245" t="s">
        <v>359</v>
      </c>
      <c r="E245" t="s">
        <v>971</v>
      </c>
      <c r="F245" t="s">
        <v>298</v>
      </c>
      <c r="G245" t="s">
        <v>956</v>
      </c>
      <c r="H245" t="s">
        <v>972</v>
      </c>
      <c r="I245" t="s">
        <v>973</v>
      </c>
      <c r="J245" t="s">
        <v>783</v>
      </c>
      <c r="K245" t="s">
        <v>974</v>
      </c>
      <c r="M245" s="37">
        <v>0.85</v>
      </c>
      <c r="N245" s="37">
        <v>0.5</v>
      </c>
      <c r="O245">
        <v>0.85</v>
      </c>
      <c r="P245" s="37">
        <v>0.721</v>
      </c>
      <c r="Q245">
        <v>0.67</v>
      </c>
      <c r="R245">
        <v>3600</v>
      </c>
      <c r="S245">
        <v>3600</v>
      </c>
      <c r="T245">
        <v>6000</v>
      </c>
      <c r="U245" t="s">
        <v>899</v>
      </c>
      <c r="V245" t="s">
        <v>900</v>
      </c>
      <c r="W245" t="s">
        <v>901</v>
      </c>
      <c r="X245">
        <v>0.4</v>
      </c>
      <c r="Y245" t="s">
        <v>444</v>
      </c>
      <c r="Z245" s="37">
        <v>1</v>
      </c>
      <c r="AA245" s="37">
        <v>0.0025</v>
      </c>
      <c r="AB245">
        <v>0.3</v>
      </c>
    </row>
    <row r="246">
      <c r="A246" t="s">
        <v>970</v>
      </c>
      <c r="B246" t="s">
        <v>954</v>
      </c>
      <c r="C246" t="s">
        <v>954</v>
      </c>
      <c r="D246" t="s">
        <v>359</v>
      </c>
      <c r="E246" t="s">
        <v>971</v>
      </c>
      <c r="F246" t="s">
        <v>298</v>
      </c>
      <c r="G246" t="s">
        <v>956</v>
      </c>
      <c r="H246" t="s">
        <v>975</v>
      </c>
      <c r="I246" t="s">
        <v>976</v>
      </c>
      <c r="J246" t="s">
        <v>977</v>
      </c>
      <c r="K246" t="s">
        <v>978</v>
      </c>
      <c r="M246" s="37">
        <v>0.32</v>
      </c>
      <c r="N246" s="37">
        <v>0.3</v>
      </c>
      <c r="O246">
        <v>0.32</v>
      </c>
      <c r="P246" s="37">
        <v>0.721</v>
      </c>
      <c r="Q246">
        <v>0.67</v>
      </c>
      <c r="R246">
        <v>3600</v>
      </c>
      <c r="S246">
        <v>3600</v>
      </c>
      <c r="T246">
        <v>6000</v>
      </c>
      <c r="U246" t="s">
        <v>899</v>
      </c>
      <c r="V246" t="s">
        <v>900</v>
      </c>
      <c r="W246" t="s">
        <v>901</v>
      </c>
      <c r="X246">
        <v>0.4</v>
      </c>
      <c r="Y246" t="s">
        <v>444</v>
      </c>
      <c r="Z246" s="37">
        <v>1</v>
      </c>
      <c r="AA246" s="37">
        <v>0.0025</v>
      </c>
      <c r="AB246">
        <v>0.3</v>
      </c>
    </row>
    <row r="247">
      <c r="A247" t="s">
        <v>970</v>
      </c>
      <c r="B247" t="s">
        <v>954</v>
      </c>
      <c r="C247" t="s">
        <v>954</v>
      </c>
      <c r="D247" t="s">
        <v>359</v>
      </c>
      <c r="E247" t="s">
        <v>971</v>
      </c>
      <c r="F247" t="s">
        <v>298</v>
      </c>
      <c r="G247" t="s">
        <v>956</v>
      </c>
      <c r="H247" t="s">
        <v>962</v>
      </c>
      <c r="I247" t="s">
        <v>979</v>
      </c>
      <c r="J247" t="s">
        <v>980</v>
      </c>
      <c r="M247" s="37">
        <v>1</v>
      </c>
      <c r="N247" s="37">
        <v>0.2</v>
      </c>
      <c r="O247">
        <v>1</v>
      </c>
      <c r="P247" s="37">
        <v>0.721</v>
      </c>
      <c r="Q247">
        <v>0.67</v>
      </c>
      <c r="R247">
        <v>3600</v>
      </c>
      <c r="S247">
        <v>3600</v>
      </c>
      <c r="T247">
        <v>6000</v>
      </c>
      <c r="U247" t="s">
        <v>899</v>
      </c>
      <c r="V247" t="s">
        <v>900</v>
      </c>
      <c r="W247" t="s">
        <v>901</v>
      </c>
      <c r="X247">
        <v>0.4</v>
      </c>
      <c r="Y247" t="s">
        <v>444</v>
      </c>
      <c r="Z247" s="37">
        <v>1</v>
      </c>
      <c r="AA247" s="37">
        <v>0.0025</v>
      </c>
      <c r="AB247">
        <v>0.3</v>
      </c>
    </row>
    <row r="248">
      <c r="A248" t="s">
        <v>981</v>
      </c>
      <c r="B248" t="s">
        <v>954</v>
      </c>
      <c r="C248" t="s">
        <v>954</v>
      </c>
      <c r="D248" t="s">
        <v>359</v>
      </c>
      <c r="E248" t="s">
        <v>982</v>
      </c>
      <c r="F248" t="s">
        <v>298</v>
      </c>
      <c r="G248" t="s">
        <v>956</v>
      </c>
      <c r="H248" t="s">
        <v>972</v>
      </c>
      <c r="I248" t="s">
        <v>983</v>
      </c>
      <c r="J248" t="s">
        <v>984</v>
      </c>
      <c r="K248" t="s">
        <v>985</v>
      </c>
      <c r="M248" s="37">
        <v>0.825</v>
      </c>
      <c r="N248" s="37">
        <v>0.6</v>
      </c>
      <c r="O248">
        <v>0.825</v>
      </c>
      <c r="P248" s="37">
        <v>0.6008</v>
      </c>
      <c r="Q248">
        <v>0.6</v>
      </c>
      <c r="R248">
        <v>0</v>
      </c>
      <c r="S248">
        <v>0</v>
      </c>
      <c r="T248">
        <v>6000</v>
      </c>
      <c r="U248" t="s">
        <v>899</v>
      </c>
      <c r="V248" t="s">
        <v>900</v>
      </c>
      <c r="W248" t="s">
        <v>901</v>
      </c>
      <c r="X248">
        <v>0.4</v>
      </c>
      <c r="Y248" t="s">
        <v>444</v>
      </c>
      <c r="Z248" s="37">
        <v>1</v>
      </c>
      <c r="AA248" s="37">
        <v>0.0025</v>
      </c>
      <c r="AB248">
        <v>0.3</v>
      </c>
    </row>
    <row r="249">
      <c r="A249" t="s">
        <v>981</v>
      </c>
      <c r="B249" t="s">
        <v>954</v>
      </c>
      <c r="C249" t="s">
        <v>954</v>
      </c>
      <c r="D249" t="s">
        <v>359</v>
      </c>
      <c r="E249" t="s">
        <v>982</v>
      </c>
      <c r="F249" t="s">
        <v>298</v>
      </c>
      <c r="G249" t="s">
        <v>956</v>
      </c>
      <c r="H249" t="s">
        <v>957</v>
      </c>
      <c r="I249" t="s">
        <v>986</v>
      </c>
      <c r="J249" t="s">
        <v>783</v>
      </c>
      <c r="K249" t="s">
        <v>987</v>
      </c>
      <c r="M249" s="37">
        <v>1.058</v>
      </c>
      <c r="N249" s="37">
        <v>0.1</v>
      </c>
      <c r="O249">
        <v>1.06</v>
      </c>
      <c r="P249" s="37">
        <v>0.6008</v>
      </c>
      <c r="Q249">
        <v>0.6</v>
      </c>
      <c r="R249">
        <v>0</v>
      </c>
      <c r="S249">
        <v>0</v>
      </c>
      <c r="T249">
        <v>6000</v>
      </c>
      <c r="U249" t="s">
        <v>899</v>
      </c>
      <c r="V249" t="s">
        <v>900</v>
      </c>
      <c r="W249" t="s">
        <v>901</v>
      </c>
      <c r="X249">
        <v>0.4</v>
      </c>
      <c r="Y249" t="s">
        <v>444</v>
      </c>
      <c r="Z249" s="37">
        <v>1</v>
      </c>
      <c r="AA249" s="37">
        <v>0.0025</v>
      </c>
      <c r="AB249">
        <v>0.3</v>
      </c>
    </row>
    <row r="250">
      <c r="A250" t="s">
        <v>981</v>
      </c>
      <c r="B250" t="s">
        <v>954</v>
      </c>
      <c r="C250" t="s">
        <v>954</v>
      </c>
      <c r="D250" t="s">
        <v>359</v>
      </c>
      <c r="E250" t="s">
        <v>982</v>
      </c>
      <c r="F250" t="s">
        <v>298</v>
      </c>
      <c r="G250" t="s">
        <v>956</v>
      </c>
      <c r="H250" t="s">
        <v>957</v>
      </c>
      <c r="I250" t="s">
        <v>988</v>
      </c>
      <c r="J250">
        <v>2.05</v>
      </c>
      <c r="K250">
        <v>2.02</v>
      </c>
      <c r="M250" s="37">
        <v>0</v>
      </c>
      <c r="N250" s="37">
        <v>0.1</v>
      </c>
      <c r="O250">
        <v>0</v>
      </c>
      <c r="P250" s="37">
        <v>0.6008</v>
      </c>
      <c r="Q250">
        <v>0.6</v>
      </c>
      <c r="R250">
        <v>0</v>
      </c>
      <c r="S250">
        <v>0</v>
      </c>
      <c r="T250">
        <v>6000</v>
      </c>
      <c r="U250" t="s">
        <v>899</v>
      </c>
      <c r="V250" t="s">
        <v>900</v>
      </c>
      <c r="W250" t="s">
        <v>901</v>
      </c>
      <c r="X250">
        <v>0.4</v>
      </c>
      <c r="Y250" t="s">
        <v>444</v>
      </c>
      <c r="Z250" s="37">
        <v>1</v>
      </c>
      <c r="AA250" s="37">
        <v>0.0025</v>
      </c>
      <c r="AB250">
        <v>0.3</v>
      </c>
    </row>
    <row r="251">
      <c r="A251" t="s">
        <v>981</v>
      </c>
      <c r="B251" t="s">
        <v>954</v>
      </c>
      <c r="C251" t="s">
        <v>954</v>
      </c>
      <c r="D251" t="s">
        <v>359</v>
      </c>
      <c r="E251" t="s">
        <v>982</v>
      </c>
      <c r="F251" t="s">
        <v>298</v>
      </c>
      <c r="G251" t="s">
        <v>956</v>
      </c>
      <c r="H251" t="s">
        <v>962</v>
      </c>
      <c r="I251" t="s">
        <v>989</v>
      </c>
      <c r="J251" t="s">
        <v>969</v>
      </c>
      <c r="M251" s="37">
        <v>0</v>
      </c>
      <c r="N251" s="37">
        <v>0.2</v>
      </c>
      <c r="O251">
        <v>0</v>
      </c>
      <c r="P251" s="37">
        <v>0.6008</v>
      </c>
      <c r="Q251">
        <v>0.6</v>
      </c>
      <c r="R251">
        <v>0</v>
      </c>
      <c r="S251">
        <v>0</v>
      </c>
      <c r="T251">
        <v>6000</v>
      </c>
      <c r="U251" t="s">
        <v>899</v>
      </c>
      <c r="V251" t="s">
        <v>900</v>
      </c>
      <c r="W251" t="s">
        <v>901</v>
      </c>
      <c r="X251">
        <v>0.4</v>
      </c>
      <c r="Y251" t="s">
        <v>444</v>
      </c>
      <c r="Z251" s="37">
        <v>1</v>
      </c>
      <c r="AA251" s="37">
        <v>0.0025</v>
      </c>
      <c r="AB251">
        <v>0.3</v>
      </c>
    </row>
    <row r="252">
      <c r="A252" t="s">
        <v>990</v>
      </c>
      <c r="B252" t="s">
        <v>954</v>
      </c>
      <c r="C252" t="s">
        <v>954</v>
      </c>
      <c r="D252" t="s">
        <v>359</v>
      </c>
      <c r="E252" t="s">
        <v>991</v>
      </c>
      <c r="F252" t="s">
        <v>298</v>
      </c>
      <c r="G252" t="s">
        <v>956</v>
      </c>
      <c r="H252" t="s">
        <v>972</v>
      </c>
      <c r="I252" t="s">
        <v>992</v>
      </c>
      <c r="J252" t="s">
        <v>783</v>
      </c>
      <c r="K252" t="s">
        <v>993</v>
      </c>
      <c r="M252" s="37">
        <v>0.195</v>
      </c>
      <c r="N252" s="37">
        <v>0.5</v>
      </c>
      <c r="O252">
        <v>0.195</v>
      </c>
      <c r="P252" s="37">
        <v>0.314</v>
      </c>
      <c r="Q252">
        <v>0.31</v>
      </c>
      <c r="R252">
        <v>0</v>
      </c>
      <c r="S252">
        <v>0</v>
      </c>
      <c r="T252">
        <v>6000</v>
      </c>
      <c r="U252" t="s">
        <v>899</v>
      </c>
      <c r="V252" t="s">
        <v>900</v>
      </c>
      <c r="W252" t="s">
        <v>901</v>
      </c>
      <c r="X252">
        <v>0.4</v>
      </c>
      <c r="Y252" t="s">
        <v>444</v>
      </c>
      <c r="Z252" s="37">
        <v>1</v>
      </c>
      <c r="AA252" s="37">
        <v>0.0025</v>
      </c>
      <c r="AB252">
        <v>0.3</v>
      </c>
    </row>
    <row r="253">
      <c r="A253" t="s">
        <v>990</v>
      </c>
      <c r="B253" t="s">
        <v>954</v>
      </c>
      <c r="C253" t="s">
        <v>954</v>
      </c>
      <c r="D253" t="s">
        <v>359</v>
      </c>
      <c r="E253" t="s">
        <v>991</v>
      </c>
      <c r="F253" t="s">
        <v>298</v>
      </c>
      <c r="G253" t="s">
        <v>956</v>
      </c>
      <c r="H253" t="s">
        <v>962</v>
      </c>
      <c r="I253" t="s">
        <v>994</v>
      </c>
      <c r="J253" t="s">
        <v>980</v>
      </c>
      <c r="L253" t="s">
        <v>995</v>
      </c>
      <c r="M253" s="37">
        <v>1</v>
      </c>
      <c r="N253" s="37">
        <v>0.2</v>
      </c>
      <c r="O253">
        <v>1</v>
      </c>
      <c r="P253" s="37">
        <v>0.314</v>
      </c>
      <c r="Q253">
        <v>0.31</v>
      </c>
      <c r="R253">
        <v>0</v>
      </c>
      <c r="S253">
        <v>0</v>
      </c>
      <c r="T253">
        <v>6000</v>
      </c>
      <c r="U253" t="s">
        <v>899</v>
      </c>
      <c r="V253" t="s">
        <v>900</v>
      </c>
      <c r="W253" t="s">
        <v>901</v>
      </c>
      <c r="X253">
        <v>0.4</v>
      </c>
      <c r="Y253" t="s">
        <v>444</v>
      </c>
      <c r="Z253" s="37">
        <v>1</v>
      </c>
      <c r="AA253" s="37">
        <v>0.0025</v>
      </c>
      <c r="AB253">
        <v>0.3</v>
      </c>
    </row>
    <row r="254">
      <c r="A254" t="s">
        <v>990</v>
      </c>
      <c r="B254" t="s">
        <v>954</v>
      </c>
      <c r="C254" t="s">
        <v>954</v>
      </c>
      <c r="D254" t="s">
        <v>359</v>
      </c>
      <c r="E254" t="s">
        <v>991</v>
      </c>
      <c r="F254" t="s">
        <v>298</v>
      </c>
      <c r="G254" t="s">
        <v>956</v>
      </c>
      <c r="H254" t="s">
        <v>972</v>
      </c>
      <c r="I254" t="s">
        <v>996</v>
      </c>
      <c r="J254" t="s">
        <v>977</v>
      </c>
      <c r="K254" t="s">
        <v>997</v>
      </c>
      <c r="L254" t="s">
        <v>995</v>
      </c>
      <c r="M254" s="37">
        <v>0.055</v>
      </c>
      <c r="N254" s="37">
        <v>0.3</v>
      </c>
      <c r="O254">
        <v>0.055</v>
      </c>
      <c r="P254" s="37">
        <v>0.314</v>
      </c>
      <c r="Q254">
        <v>0.31</v>
      </c>
      <c r="R254">
        <v>0</v>
      </c>
      <c r="S254">
        <v>0</v>
      </c>
      <c r="T254">
        <v>6000</v>
      </c>
      <c r="U254" t="s">
        <v>899</v>
      </c>
      <c r="V254" t="s">
        <v>900</v>
      </c>
      <c r="W254" t="s">
        <v>901</v>
      </c>
      <c r="X254">
        <v>0.4</v>
      </c>
      <c r="Y254" t="s">
        <v>444</v>
      </c>
      <c r="Z254" s="37">
        <v>1</v>
      </c>
      <c r="AA254" s="37">
        <v>0.0025</v>
      </c>
      <c r="AB254">
        <v>0.3</v>
      </c>
    </row>
    <row r="255">
      <c r="A255" t="s">
        <v>998</v>
      </c>
      <c r="B255" t="s">
        <v>954</v>
      </c>
      <c r="C255" t="s">
        <v>954</v>
      </c>
      <c r="D255" t="s">
        <v>999</v>
      </c>
      <c r="E255" t="s">
        <v>1000</v>
      </c>
      <c r="F255" t="s">
        <v>298</v>
      </c>
      <c r="G255" t="s">
        <v>956</v>
      </c>
      <c r="H255" t="s">
        <v>957</v>
      </c>
      <c r="I255" t="s">
        <v>1001</v>
      </c>
      <c r="J255" t="s">
        <v>1002</v>
      </c>
      <c r="K255" t="s">
        <v>1003</v>
      </c>
      <c r="L255" t="s">
        <v>1004</v>
      </c>
      <c r="M255" s="37">
        <v>1.5</v>
      </c>
      <c r="N255" s="37">
        <v>0.3</v>
      </c>
      <c r="O255">
        <v>1.5</v>
      </c>
      <c r="P255" s="37">
        <v>0.93</v>
      </c>
      <c r="Q255">
        <v>0.93</v>
      </c>
      <c r="R255">
        <v>0</v>
      </c>
      <c r="S255">
        <v>0</v>
      </c>
      <c r="T255">
        <v>5000</v>
      </c>
      <c r="U255" t="s">
        <v>899</v>
      </c>
      <c r="V255" t="s">
        <v>900</v>
      </c>
      <c r="W255" t="s">
        <v>901</v>
      </c>
      <c r="X255">
        <v>0.4</v>
      </c>
      <c r="Y255" t="s">
        <v>444</v>
      </c>
      <c r="Z255" s="37">
        <v>1</v>
      </c>
      <c r="AA255" s="37">
        <v>0.0025</v>
      </c>
      <c r="AB255">
        <v>0.3</v>
      </c>
    </row>
    <row r="256">
      <c r="A256" t="s">
        <v>998</v>
      </c>
      <c r="B256" t="s">
        <v>954</v>
      </c>
      <c r="C256" t="s">
        <v>954</v>
      </c>
      <c r="D256" t="s">
        <v>999</v>
      </c>
      <c r="E256" t="s">
        <v>1000</v>
      </c>
      <c r="F256" t="s">
        <v>298</v>
      </c>
      <c r="G256" t="s">
        <v>956</v>
      </c>
      <c r="H256" t="s">
        <v>957</v>
      </c>
      <c r="I256" t="s">
        <v>1005</v>
      </c>
      <c r="J256" s="38">
        <v>0.52</v>
      </c>
      <c r="K256" s="37">
        <v>0.4717</v>
      </c>
      <c r="L256" t="s">
        <v>1006</v>
      </c>
      <c r="M256" s="37">
        <v>1</v>
      </c>
      <c r="N256" s="37">
        <v>0.3</v>
      </c>
      <c r="O256">
        <v>1</v>
      </c>
      <c r="P256" s="37">
        <v>0.93</v>
      </c>
      <c r="Q256">
        <v>0.93</v>
      </c>
      <c r="R256">
        <v>0</v>
      </c>
      <c r="S256">
        <v>0</v>
      </c>
      <c r="T256">
        <v>5000</v>
      </c>
      <c r="U256" t="s">
        <v>899</v>
      </c>
      <c r="V256" t="s">
        <v>900</v>
      </c>
      <c r="W256" t="s">
        <v>901</v>
      </c>
      <c r="X256">
        <v>0.4</v>
      </c>
      <c r="Y256" t="s">
        <v>444</v>
      </c>
      <c r="Z256" s="37">
        <v>1</v>
      </c>
      <c r="AA256" s="37">
        <v>0.0025</v>
      </c>
      <c r="AB256">
        <v>0.3</v>
      </c>
    </row>
    <row r="257">
      <c r="A257" t="s">
        <v>998</v>
      </c>
      <c r="B257" t="s">
        <v>954</v>
      </c>
      <c r="C257" t="s">
        <v>954</v>
      </c>
      <c r="D257" t="s">
        <v>999</v>
      </c>
      <c r="E257" t="s">
        <v>1000</v>
      </c>
      <c r="F257" t="s">
        <v>298</v>
      </c>
      <c r="G257" t="s">
        <v>956</v>
      </c>
      <c r="H257" t="s">
        <v>962</v>
      </c>
      <c r="I257" t="s">
        <v>1007</v>
      </c>
      <c r="J257" t="s">
        <v>1008</v>
      </c>
      <c r="L257" t="s">
        <v>1009</v>
      </c>
      <c r="M257" s="37">
        <v>0.9</v>
      </c>
      <c r="N257" s="37">
        <v>0.2</v>
      </c>
      <c r="O257">
        <v>0.9</v>
      </c>
      <c r="P257" s="37">
        <v>0.93</v>
      </c>
      <c r="Q257">
        <v>0.93</v>
      </c>
      <c r="R257">
        <v>0</v>
      </c>
      <c r="S257">
        <v>0</v>
      </c>
      <c r="T257">
        <v>5000</v>
      </c>
      <c r="U257" t="s">
        <v>899</v>
      </c>
      <c r="V257" t="s">
        <v>900</v>
      </c>
      <c r="W257" t="s">
        <v>901</v>
      </c>
      <c r="X257">
        <v>0.4</v>
      </c>
      <c r="Y257" t="s">
        <v>444</v>
      </c>
      <c r="Z257" s="37">
        <v>1</v>
      </c>
      <c r="AA257" s="37">
        <v>0.0025</v>
      </c>
      <c r="AB257">
        <v>0.3</v>
      </c>
    </row>
    <row r="258">
      <c r="A258" t="s">
        <v>998</v>
      </c>
      <c r="B258" t="s">
        <v>954</v>
      </c>
      <c r="C258" t="s">
        <v>954</v>
      </c>
      <c r="D258" t="s">
        <v>999</v>
      </c>
      <c r="E258" t="s">
        <v>1000</v>
      </c>
      <c r="F258" t="s">
        <v>298</v>
      </c>
      <c r="G258" t="s">
        <v>956</v>
      </c>
      <c r="H258" t="s">
        <v>962</v>
      </c>
      <c r="I258" t="s">
        <v>1010</v>
      </c>
      <c r="J258" t="s">
        <v>969</v>
      </c>
      <c r="L258" t="s">
        <v>1011</v>
      </c>
      <c r="M258" s="37">
        <v>0</v>
      </c>
      <c r="N258" s="37">
        <v>0.2</v>
      </c>
      <c r="O258">
        <v>0</v>
      </c>
      <c r="P258" s="37">
        <v>0.93</v>
      </c>
      <c r="Q258">
        <v>0.93</v>
      </c>
      <c r="R258">
        <v>0</v>
      </c>
      <c r="S258">
        <v>0</v>
      </c>
      <c r="T258">
        <v>5000</v>
      </c>
      <c r="U258" t="s">
        <v>899</v>
      </c>
      <c r="V258" t="s">
        <v>900</v>
      </c>
      <c r="W258" t="s">
        <v>901</v>
      </c>
      <c r="X258">
        <v>0.4</v>
      </c>
      <c r="Y258" t="s">
        <v>444</v>
      </c>
      <c r="Z258" s="37">
        <v>1</v>
      </c>
      <c r="AA258" s="37">
        <v>0.0025</v>
      </c>
      <c r="AB258">
        <v>0.3</v>
      </c>
    </row>
    <row r="259">
      <c r="A259" t="s">
        <v>1012</v>
      </c>
      <c r="B259" t="s">
        <v>954</v>
      </c>
      <c r="C259" t="s">
        <v>954</v>
      </c>
      <c r="D259" t="s">
        <v>1013</v>
      </c>
      <c r="E259" t="s">
        <v>1014</v>
      </c>
      <c r="F259" t="s">
        <v>298</v>
      </c>
      <c r="G259" t="s">
        <v>1015</v>
      </c>
      <c r="H259" t="s">
        <v>972</v>
      </c>
      <c r="I259" t="s">
        <v>1010</v>
      </c>
      <c r="J259" t="s">
        <v>1016</v>
      </c>
      <c r="K259" t="s">
        <v>1017</v>
      </c>
      <c r="L259" t="s">
        <v>1011</v>
      </c>
      <c r="M259" s="37">
        <v>5.03</v>
      </c>
      <c r="N259" s="37">
        <v>0.7</v>
      </c>
      <c r="O259">
        <v>5.03</v>
      </c>
      <c r="P259" s="37">
        <v>3.821</v>
      </c>
      <c r="Q259">
        <v>3.82</v>
      </c>
      <c r="R259">
        <v>2855.17</v>
      </c>
      <c r="S259">
        <v>3155.17</v>
      </c>
      <c r="T259">
        <v>1200</v>
      </c>
      <c r="U259" t="s">
        <v>899</v>
      </c>
      <c r="V259" t="s">
        <v>900</v>
      </c>
      <c r="W259" t="s">
        <v>901</v>
      </c>
      <c r="X259">
        <v>0.4</v>
      </c>
      <c r="Y259" t="s">
        <v>444</v>
      </c>
      <c r="Z259" s="37">
        <v>1</v>
      </c>
      <c r="AA259" s="37">
        <v>0.0025</v>
      </c>
      <c r="AB259">
        <v>0.3</v>
      </c>
    </row>
    <row r="260">
      <c r="A260" t="s">
        <v>1012</v>
      </c>
      <c r="B260" t="s">
        <v>954</v>
      </c>
      <c r="C260" t="s">
        <v>954</v>
      </c>
      <c r="D260" t="s">
        <v>1013</v>
      </c>
      <c r="E260" t="s">
        <v>1014</v>
      </c>
      <c r="F260" t="s">
        <v>298</v>
      </c>
      <c r="G260" t="s">
        <v>1015</v>
      </c>
      <c r="H260" t="s">
        <v>1018</v>
      </c>
      <c r="I260" t="s">
        <v>1019</v>
      </c>
      <c r="J260" t="s">
        <v>342</v>
      </c>
      <c r="K260" t="s">
        <v>342</v>
      </c>
      <c r="L260" t="s">
        <v>1011</v>
      </c>
      <c r="M260" s="37">
        <v>1</v>
      </c>
      <c r="N260" s="37">
        <v>0.3</v>
      </c>
      <c r="O260">
        <v>1</v>
      </c>
      <c r="P260" s="37">
        <v>3.821</v>
      </c>
      <c r="Q260">
        <v>3.82</v>
      </c>
      <c r="R260">
        <v>2855.17</v>
      </c>
      <c r="S260">
        <v>3155.17</v>
      </c>
      <c r="T260">
        <v>1200</v>
      </c>
      <c r="U260" t="s">
        <v>899</v>
      </c>
      <c r="V260" t="s">
        <v>900</v>
      </c>
      <c r="W260" t="s">
        <v>901</v>
      </c>
      <c r="X260">
        <v>0.4</v>
      </c>
      <c r="Y260" t="s">
        <v>444</v>
      </c>
      <c r="Z260" s="37">
        <v>1</v>
      </c>
      <c r="AA260" s="37">
        <v>0.0025</v>
      </c>
      <c r="AB260">
        <v>0.3</v>
      </c>
    </row>
    <row r="261">
      <c r="A261" t="s">
        <v>1020</v>
      </c>
      <c r="B261" t="s">
        <v>954</v>
      </c>
      <c r="C261" t="s">
        <v>954</v>
      </c>
      <c r="D261" t="s">
        <v>1013</v>
      </c>
      <c r="E261" t="s">
        <v>1021</v>
      </c>
      <c r="F261" t="s">
        <v>298</v>
      </c>
      <c r="G261" t="s">
        <v>1015</v>
      </c>
      <c r="H261" t="s">
        <v>972</v>
      </c>
      <c r="I261" t="s">
        <v>1022</v>
      </c>
      <c r="J261" t="s">
        <v>1023</v>
      </c>
      <c r="K261" t="s">
        <v>1024</v>
      </c>
      <c r="L261" t="s">
        <v>1011</v>
      </c>
      <c r="M261" s="37">
        <v>3.94</v>
      </c>
      <c r="N261" s="37">
        <v>0.7</v>
      </c>
      <c r="O261">
        <v>3.94</v>
      </c>
      <c r="P261" s="37">
        <v>3.358</v>
      </c>
      <c r="Q261">
        <v>3.36</v>
      </c>
      <c r="R261">
        <v>2637.93</v>
      </c>
      <c r="S261">
        <v>3537.93</v>
      </c>
      <c r="T261">
        <v>1500</v>
      </c>
      <c r="U261" t="s">
        <v>899</v>
      </c>
      <c r="V261" t="s">
        <v>900</v>
      </c>
      <c r="W261" t="s">
        <v>901</v>
      </c>
      <c r="X261">
        <v>0.4</v>
      </c>
      <c r="Y261" t="s">
        <v>444</v>
      </c>
      <c r="Z261" s="37">
        <v>1</v>
      </c>
      <c r="AA261" s="37">
        <v>0.0025</v>
      </c>
      <c r="AB261">
        <v>0.3</v>
      </c>
    </row>
    <row r="262">
      <c r="A262" t="s">
        <v>1020</v>
      </c>
      <c r="B262" t="s">
        <v>954</v>
      </c>
      <c r="C262" t="s">
        <v>954</v>
      </c>
      <c r="D262" t="s">
        <v>1013</v>
      </c>
      <c r="E262" t="s">
        <v>1021</v>
      </c>
      <c r="F262" t="s">
        <v>298</v>
      </c>
      <c r="G262" t="s">
        <v>1015</v>
      </c>
      <c r="H262" t="s">
        <v>1018</v>
      </c>
      <c r="I262" t="s">
        <v>1019</v>
      </c>
      <c r="J262" t="s">
        <v>342</v>
      </c>
      <c r="K262" t="s">
        <v>1025</v>
      </c>
      <c r="L262" t="s">
        <v>1011</v>
      </c>
      <c r="M262" s="37">
        <v>2</v>
      </c>
      <c r="N262" s="37">
        <v>0.3</v>
      </c>
      <c r="O262">
        <v>2</v>
      </c>
      <c r="P262" s="37">
        <v>3.358</v>
      </c>
      <c r="Q262">
        <v>3.36</v>
      </c>
      <c r="R262">
        <v>2637.93</v>
      </c>
      <c r="S262">
        <v>3537.93</v>
      </c>
      <c r="T262">
        <v>1500</v>
      </c>
      <c r="U262" t="s">
        <v>899</v>
      </c>
      <c r="V262" t="s">
        <v>900</v>
      </c>
      <c r="W262" t="s">
        <v>901</v>
      </c>
      <c r="X262">
        <v>0.4</v>
      </c>
      <c r="Y262" t="s">
        <v>444</v>
      </c>
      <c r="Z262" s="37">
        <v>1</v>
      </c>
      <c r="AA262" s="37">
        <v>0.0025</v>
      </c>
      <c r="AB262">
        <v>0.3</v>
      </c>
    </row>
    <row r="263">
      <c r="A263" t="s">
        <v>1026</v>
      </c>
      <c r="B263" t="s">
        <v>954</v>
      </c>
      <c r="C263" t="s">
        <v>954</v>
      </c>
      <c r="D263" t="s">
        <v>1013</v>
      </c>
      <c r="E263" t="s">
        <v>1027</v>
      </c>
      <c r="F263" t="s">
        <v>298</v>
      </c>
      <c r="G263" t="s">
        <v>1015</v>
      </c>
      <c r="H263" t="s">
        <v>972</v>
      </c>
      <c r="I263" t="s">
        <v>986</v>
      </c>
      <c r="J263" t="s">
        <v>783</v>
      </c>
      <c r="K263" t="s">
        <v>1028</v>
      </c>
      <c r="L263" t="s">
        <v>1029</v>
      </c>
      <c r="M263" s="37">
        <v>1.05</v>
      </c>
      <c r="N263" s="37">
        <v>0.2</v>
      </c>
      <c r="O263">
        <v>1.1471</v>
      </c>
      <c r="P263" s="37">
        <v>0.51</v>
      </c>
      <c r="Q263">
        <v>0.56</v>
      </c>
      <c r="R263">
        <v>1706.9</v>
      </c>
      <c r="S263">
        <v>1706.9</v>
      </c>
      <c r="T263">
        <v>1500</v>
      </c>
      <c r="U263" t="s">
        <v>899</v>
      </c>
      <c r="V263" t="s">
        <v>900</v>
      </c>
      <c r="W263" t="s">
        <v>901</v>
      </c>
      <c r="X263">
        <v>0.4</v>
      </c>
      <c r="Y263" t="s">
        <v>444</v>
      </c>
      <c r="Z263" s="37">
        <v>1</v>
      </c>
      <c r="AA263" s="37">
        <v>0.0025</v>
      </c>
      <c r="AB263">
        <v>0.3</v>
      </c>
    </row>
    <row r="264">
      <c r="A264" t="s">
        <v>1026</v>
      </c>
      <c r="B264" t="s">
        <v>954</v>
      </c>
      <c r="C264" t="s">
        <v>954</v>
      </c>
      <c r="D264" t="s">
        <v>1013</v>
      </c>
      <c r="E264" t="s">
        <v>1027</v>
      </c>
      <c r="F264" t="s">
        <v>298</v>
      </c>
      <c r="G264" t="s">
        <v>1015</v>
      </c>
      <c r="H264" t="s">
        <v>1018</v>
      </c>
      <c r="I264" t="s">
        <v>988</v>
      </c>
      <c r="J264" s="37">
        <v>0.0205</v>
      </c>
      <c r="K264" s="37">
        <v>0.0203</v>
      </c>
      <c r="L264" t="s">
        <v>1030</v>
      </c>
      <c r="M264" s="37">
        <v>0</v>
      </c>
      <c r="N264" s="37">
        <v>0.3</v>
      </c>
      <c r="O264">
        <v>0</v>
      </c>
      <c r="P264" s="37">
        <v>0.51</v>
      </c>
      <c r="Q264">
        <v>0.56</v>
      </c>
      <c r="R264">
        <v>1706.9</v>
      </c>
      <c r="S264">
        <v>1706.9</v>
      </c>
      <c r="T264">
        <v>1500</v>
      </c>
      <c r="U264" t="s">
        <v>899</v>
      </c>
      <c r="V264" t="s">
        <v>900</v>
      </c>
      <c r="W264" t="s">
        <v>901</v>
      </c>
      <c r="X264">
        <v>0.4</v>
      </c>
      <c r="Y264" t="s">
        <v>444</v>
      </c>
      <c r="Z264" s="37">
        <v>1</v>
      </c>
      <c r="AA264" s="37">
        <v>0.0025</v>
      </c>
      <c r="AB264">
        <v>0.3</v>
      </c>
    </row>
    <row r="265">
      <c r="A265" t="s">
        <v>1026</v>
      </c>
      <c r="B265" t="s">
        <v>954</v>
      </c>
      <c r="C265" t="s">
        <v>954</v>
      </c>
      <c r="D265" t="s">
        <v>1013</v>
      </c>
      <c r="E265" t="s">
        <v>1027</v>
      </c>
      <c r="F265" t="s">
        <v>298</v>
      </c>
      <c r="G265" t="s">
        <v>1015</v>
      </c>
      <c r="H265" t="s">
        <v>972</v>
      </c>
      <c r="I265" t="s">
        <v>1031</v>
      </c>
      <c r="J265" t="s">
        <v>1032</v>
      </c>
      <c r="K265" t="s">
        <v>1032</v>
      </c>
      <c r="L265" t="s">
        <v>1033</v>
      </c>
      <c r="M265" s="37">
        <v>1</v>
      </c>
      <c r="N265" s="37">
        <v>0.3</v>
      </c>
      <c r="O265">
        <v>1.1</v>
      </c>
      <c r="P265" s="37">
        <v>0.51</v>
      </c>
      <c r="Q265">
        <v>0.56</v>
      </c>
      <c r="R265">
        <v>1706.9</v>
      </c>
      <c r="S265">
        <v>1706.9</v>
      </c>
      <c r="T265">
        <v>1500</v>
      </c>
      <c r="U265" t="s">
        <v>899</v>
      </c>
      <c r="V265" t="s">
        <v>900</v>
      </c>
      <c r="W265" t="s">
        <v>901</v>
      </c>
      <c r="X265">
        <v>0.4</v>
      </c>
      <c r="Y265" t="s">
        <v>444</v>
      </c>
      <c r="Z265" s="37">
        <v>1</v>
      </c>
      <c r="AA265" s="37">
        <v>0.0025</v>
      </c>
      <c r="AB265">
        <v>0.3</v>
      </c>
    </row>
    <row r="266">
      <c r="A266" t="s">
        <v>1026</v>
      </c>
      <c r="B266" t="s">
        <v>954</v>
      </c>
      <c r="C266" t="s">
        <v>954</v>
      </c>
      <c r="D266" t="s">
        <v>1013</v>
      </c>
      <c r="E266" t="s">
        <v>1027</v>
      </c>
      <c r="F266" t="s">
        <v>298</v>
      </c>
      <c r="G266" t="s">
        <v>1015</v>
      </c>
      <c r="H266" t="s">
        <v>972</v>
      </c>
      <c r="I266" t="s">
        <v>1034</v>
      </c>
      <c r="J266" t="s">
        <v>1035</v>
      </c>
      <c r="K266" t="s">
        <v>709</v>
      </c>
      <c r="L266" t="s">
        <v>1036</v>
      </c>
      <c r="M266" s="37">
        <v>0</v>
      </c>
      <c r="N266" s="37">
        <v>0.2</v>
      </c>
      <c r="O266">
        <v>0</v>
      </c>
      <c r="P266" s="37">
        <v>0.51</v>
      </c>
      <c r="Q266">
        <v>0.56</v>
      </c>
      <c r="R266">
        <v>1706.9</v>
      </c>
      <c r="S266">
        <v>1706.9</v>
      </c>
      <c r="T266">
        <v>1500</v>
      </c>
      <c r="U266" t="s">
        <v>899</v>
      </c>
      <c r="V266" t="s">
        <v>900</v>
      </c>
      <c r="W266" t="s">
        <v>901</v>
      </c>
      <c r="X266">
        <v>0.4</v>
      </c>
      <c r="Y266" t="s">
        <v>444</v>
      </c>
      <c r="Z266" s="37">
        <v>1</v>
      </c>
      <c r="AA266" s="37">
        <v>0.0025</v>
      </c>
      <c r="AB266">
        <v>0.3</v>
      </c>
    </row>
    <row r="267">
      <c r="A267" t="s">
        <v>1037</v>
      </c>
      <c r="B267" t="s">
        <v>954</v>
      </c>
      <c r="C267" t="s">
        <v>954</v>
      </c>
      <c r="D267" t="s">
        <v>1013</v>
      </c>
      <c r="E267" t="s">
        <v>1038</v>
      </c>
      <c r="F267" t="s">
        <v>298</v>
      </c>
      <c r="G267" t="s">
        <v>1015</v>
      </c>
      <c r="H267" t="s">
        <v>972</v>
      </c>
      <c r="I267" t="s">
        <v>1039</v>
      </c>
      <c r="J267" t="s">
        <v>1016</v>
      </c>
      <c r="K267" t="s">
        <v>1040</v>
      </c>
      <c r="L267" t="s">
        <v>1036</v>
      </c>
      <c r="M267" s="37">
        <v>1.64</v>
      </c>
      <c r="N267" s="37">
        <v>0.7</v>
      </c>
      <c r="O267">
        <v>1.5</v>
      </c>
      <c r="P267" s="37">
        <v>1.148</v>
      </c>
      <c r="Q267">
        <v>1.05</v>
      </c>
      <c r="R267">
        <v>2172.41</v>
      </c>
      <c r="S267">
        <v>2172.41</v>
      </c>
      <c r="T267">
        <v>1500</v>
      </c>
      <c r="U267" t="s">
        <v>899</v>
      </c>
      <c r="V267" t="s">
        <v>900</v>
      </c>
      <c r="W267" t="s">
        <v>901</v>
      </c>
      <c r="X267">
        <v>0.4</v>
      </c>
      <c r="Y267" t="s">
        <v>444</v>
      </c>
      <c r="Z267" s="37">
        <v>1</v>
      </c>
      <c r="AA267" s="37">
        <v>0.0025</v>
      </c>
      <c r="AB267">
        <v>0.3</v>
      </c>
    </row>
    <row r="268">
      <c r="A268" t="s">
        <v>1037</v>
      </c>
      <c r="B268" t="s">
        <v>954</v>
      </c>
      <c r="C268" t="s">
        <v>954</v>
      </c>
      <c r="D268" t="s">
        <v>1013</v>
      </c>
      <c r="E268" t="s">
        <v>1038</v>
      </c>
      <c r="F268" t="s">
        <v>298</v>
      </c>
      <c r="G268" t="s">
        <v>1015</v>
      </c>
      <c r="H268" t="s">
        <v>1018</v>
      </c>
      <c r="I268" t="s">
        <v>1019</v>
      </c>
      <c r="J268" t="s">
        <v>342</v>
      </c>
      <c r="K268" t="s">
        <v>1041</v>
      </c>
      <c r="L268" t="s">
        <v>1036</v>
      </c>
      <c r="M268" s="37">
        <v>0</v>
      </c>
      <c r="N268" s="37">
        <v>0.3</v>
      </c>
      <c r="O268">
        <v>0</v>
      </c>
      <c r="P268" s="37">
        <v>1.148</v>
      </c>
      <c r="Q268">
        <v>1.05</v>
      </c>
      <c r="R268">
        <v>2172.41</v>
      </c>
      <c r="S268">
        <v>2172.41</v>
      </c>
      <c r="T268">
        <v>1500</v>
      </c>
      <c r="U268" t="s">
        <v>899</v>
      </c>
      <c r="V268" t="s">
        <v>900</v>
      </c>
      <c r="W268" t="s">
        <v>901</v>
      </c>
      <c r="X268">
        <v>0.4</v>
      </c>
      <c r="Y268" t="s">
        <v>444</v>
      </c>
      <c r="Z268" s="37">
        <v>1</v>
      </c>
      <c r="AA268" s="37">
        <v>0.0025</v>
      </c>
      <c r="AB268">
        <v>0.3</v>
      </c>
    </row>
    <row r="269">
      <c r="A269" t="s">
        <v>1042</v>
      </c>
      <c r="B269" t="s">
        <v>954</v>
      </c>
      <c r="C269" t="s">
        <v>954</v>
      </c>
      <c r="D269" t="s">
        <v>1013</v>
      </c>
      <c r="E269" t="s">
        <v>1043</v>
      </c>
      <c r="F269" t="s">
        <v>298</v>
      </c>
      <c r="G269" t="s">
        <v>1015</v>
      </c>
      <c r="H269" t="s">
        <v>972</v>
      </c>
      <c r="I269" t="s">
        <v>1044</v>
      </c>
      <c r="J269" t="s">
        <v>977</v>
      </c>
      <c r="K269" t="s">
        <v>1045</v>
      </c>
      <c r="L269" t="s">
        <v>1036</v>
      </c>
      <c r="M269" s="37">
        <v>0.77</v>
      </c>
      <c r="N269" s="37">
        <v>0.7</v>
      </c>
      <c r="O269">
        <v>0.616</v>
      </c>
      <c r="P269" s="37">
        <v>0.539</v>
      </c>
      <c r="Q269">
        <v>0.43</v>
      </c>
      <c r="R269">
        <v>1241.38</v>
      </c>
      <c r="S269">
        <v>1241.38</v>
      </c>
      <c r="T269">
        <v>1500</v>
      </c>
      <c r="U269" t="s">
        <v>899</v>
      </c>
      <c r="V269" t="s">
        <v>900</v>
      </c>
      <c r="W269" t="s">
        <v>901</v>
      </c>
      <c r="X269">
        <v>0.4</v>
      </c>
      <c r="Y269" t="s">
        <v>444</v>
      </c>
      <c r="Z269" s="37">
        <v>1</v>
      </c>
      <c r="AA269" s="37">
        <v>0.0025</v>
      </c>
      <c r="AB269">
        <v>0.3</v>
      </c>
    </row>
    <row r="270">
      <c r="A270" t="s">
        <v>1042</v>
      </c>
      <c r="B270" t="s">
        <v>954</v>
      </c>
      <c r="C270" t="s">
        <v>954</v>
      </c>
      <c r="D270" t="s">
        <v>1013</v>
      </c>
      <c r="E270" t="s">
        <v>1043</v>
      </c>
      <c r="F270" t="s">
        <v>298</v>
      </c>
      <c r="G270" t="s">
        <v>1015</v>
      </c>
      <c r="H270" t="s">
        <v>1018</v>
      </c>
      <c r="I270" t="s">
        <v>1019</v>
      </c>
      <c r="J270" t="s">
        <v>342</v>
      </c>
      <c r="K270" t="s">
        <v>1041</v>
      </c>
      <c r="L270" t="s">
        <v>1036</v>
      </c>
      <c r="M270" s="37">
        <v>0</v>
      </c>
      <c r="N270" s="37">
        <v>0.3</v>
      </c>
      <c r="O270">
        <v>0</v>
      </c>
      <c r="P270" s="37">
        <v>0.539</v>
      </c>
      <c r="Q270">
        <v>0.43</v>
      </c>
      <c r="R270">
        <v>1241.38</v>
      </c>
      <c r="S270">
        <v>1241.38</v>
      </c>
      <c r="T270">
        <v>1500</v>
      </c>
      <c r="U270" t="s">
        <v>899</v>
      </c>
      <c r="V270" t="s">
        <v>900</v>
      </c>
      <c r="W270" t="s">
        <v>901</v>
      </c>
      <c r="X270">
        <v>0.4</v>
      </c>
      <c r="Y270" t="s">
        <v>444</v>
      </c>
      <c r="Z270" s="37">
        <v>1</v>
      </c>
      <c r="AA270" s="37">
        <v>0.0025</v>
      </c>
      <c r="AB270">
        <v>0.3</v>
      </c>
    </row>
    <row r="271">
      <c r="A271" t="s">
        <v>1046</v>
      </c>
      <c r="B271" t="s">
        <v>954</v>
      </c>
      <c r="C271" t="s">
        <v>954</v>
      </c>
      <c r="D271" t="s">
        <v>1013</v>
      </c>
      <c r="E271" t="s">
        <v>1047</v>
      </c>
      <c r="F271" t="s">
        <v>298</v>
      </c>
      <c r="G271" t="s">
        <v>1015</v>
      </c>
      <c r="H271" t="s">
        <v>972</v>
      </c>
      <c r="I271" t="s">
        <v>1039</v>
      </c>
      <c r="J271" t="s">
        <v>1016</v>
      </c>
      <c r="K271" t="s">
        <v>1048</v>
      </c>
      <c r="L271" t="s">
        <v>1036</v>
      </c>
      <c r="M271" s="37">
        <v>0.134</v>
      </c>
      <c r="N271" s="37">
        <v>0.7</v>
      </c>
      <c r="O271">
        <v>0.1067</v>
      </c>
      <c r="P271" s="37">
        <v>0.0938</v>
      </c>
      <c r="Q271">
        <v>0.07</v>
      </c>
      <c r="R271">
        <v>310.34</v>
      </c>
      <c r="S271">
        <v>310.34</v>
      </c>
      <c r="T271">
        <v>1500</v>
      </c>
      <c r="U271" t="s">
        <v>899</v>
      </c>
      <c r="V271" t="s">
        <v>900</v>
      </c>
      <c r="W271" t="s">
        <v>901</v>
      </c>
      <c r="X271">
        <v>0.4</v>
      </c>
      <c r="Y271" t="s">
        <v>444</v>
      </c>
      <c r="Z271" s="37">
        <v>1</v>
      </c>
      <c r="AA271" s="37">
        <v>0.0025</v>
      </c>
      <c r="AB271">
        <v>0.3</v>
      </c>
    </row>
    <row r="272">
      <c r="A272" t="s">
        <v>1046</v>
      </c>
      <c r="B272" t="s">
        <v>954</v>
      </c>
      <c r="C272" t="s">
        <v>954</v>
      </c>
      <c r="D272" t="s">
        <v>1013</v>
      </c>
      <c r="E272" t="s">
        <v>1047</v>
      </c>
      <c r="F272" t="s">
        <v>298</v>
      </c>
      <c r="G272" t="s">
        <v>1015</v>
      </c>
      <c r="H272" t="s">
        <v>1018</v>
      </c>
      <c r="I272" t="s">
        <v>1019</v>
      </c>
      <c r="J272" t="s">
        <v>342</v>
      </c>
      <c r="K272" t="s">
        <v>1041</v>
      </c>
      <c r="L272" t="s">
        <v>1036</v>
      </c>
      <c r="M272" s="37">
        <v>0</v>
      </c>
      <c r="N272" s="37">
        <v>0.3</v>
      </c>
      <c r="O272">
        <v>0</v>
      </c>
      <c r="P272" s="37">
        <v>0.0938</v>
      </c>
      <c r="Q272">
        <v>0.07</v>
      </c>
      <c r="R272">
        <v>310.34</v>
      </c>
      <c r="S272">
        <v>310.34</v>
      </c>
      <c r="T272">
        <v>1500</v>
      </c>
      <c r="U272" t="s">
        <v>899</v>
      </c>
      <c r="V272" t="s">
        <v>900</v>
      </c>
      <c r="W272" t="s">
        <v>901</v>
      </c>
      <c r="X272">
        <v>0.4</v>
      </c>
      <c r="Y272" t="s">
        <v>444</v>
      </c>
      <c r="Z272" s="37">
        <v>1</v>
      </c>
      <c r="AA272" s="37">
        <v>0.0025</v>
      </c>
      <c r="AB272">
        <v>0.3</v>
      </c>
    </row>
    <row r="273">
      <c r="A273" t="s">
        <v>1049</v>
      </c>
      <c r="B273" t="s">
        <v>954</v>
      </c>
      <c r="C273" t="s">
        <v>954</v>
      </c>
      <c r="D273" t="s">
        <v>1013</v>
      </c>
      <c r="E273" t="s">
        <v>1050</v>
      </c>
      <c r="F273" t="s">
        <v>298</v>
      </c>
      <c r="G273" t="s">
        <v>1015</v>
      </c>
      <c r="H273" t="s">
        <v>972</v>
      </c>
      <c r="I273" t="s">
        <v>1051</v>
      </c>
      <c r="J273" t="s">
        <v>1016</v>
      </c>
      <c r="K273" t="s">
        <v>1052</v>
      </c>
      <c r="L273" t="s">
        <v>1036</v>
      </c>
      <c r="M273" s="37">
        <v>0.035</v>
      </c>
      <c r="N273" s="37">
        <v>0.7</v>
      </c>
      <c r="O273">
        <v>0.028</v>
      </c>
      <c r="P273" s="37">
        <v>0.0245</v>
      </c>
      <c r="Q273">
        <v>0.02</v>
      </c>
      <c r="R273">
        <v>0</v>
      </c>
      <c r="S273">
        <v>0</v>
      </c>
      <c r="T273">
        <v>1500</v>
      </c>
      <c r="U273" t="s">
        <v>899</v>
      </c>
      <c r="V273" t="s">
        <v>900</v>
      </c>
      <c r="W273" t="s">
        <v>901</v>
      </c>
      <c r="X273">
        <v>0.4</v>
      </c>
      <c r="Y273" t="s">
        <v>444</v>
      </c>
      <c r="Z273" s="37">
        <v>1</v>
      </c>
      <c r="AA273" s="37">
        <v>0.0025</v>
      </c>
      <c r="AB273">
        <v>0.3</v>
      </c>
    </row>
    <row r="274">
      <c r="A274" t="s">
        <v>1049</v>
      </c>
      <c r="B274" t="s">
        <v>954</v>
      </c>
      <c r="C274" t="s">
        <v>954</v>
      </c>
      <c r="D274" t="s">
        <v>1013</v>
      </c>
      <c r="E274" t="s">
        <v>1050</v>
      </c>
      <c r="F274" t="s">
        <v>298</v>
      </c>
      <c r="G274" t="s">
        <v>1015</v>
      </c>
      <c r="H274" t="s">
        <v>1018</v>
      </c>
      <c r="I274" t="s">
        <v>1019</v>
      </c>
      <c r="J274" t="s">
        <v>1053</v>
      </c>
      <c r="K274" t="s">
        <v>1054</v>
      </c>
      <c r="L274" t="s">
        <v>1036</v>
      </c>
      <c r="M274" s="37">
        <v>0</v>
      </c>
      <c r="N274" s="37">
        <v>0.3</v>
      </c>
      <c r="O274">
        <v>0</v>
      </c>
      <c r="P274" s="37">
        <v>0.0245</v>
      </c>
      <c r="Q274">
        <v>0.02</v>
      </c>
      <c r="R274">
        <v>0</v>
      </c>
      <c r="S274">
        <v>0</v>
      </c>
      <c r="T274">
        <v>1500</v>
      </c>
      <c r="U274" t="s">
        <v>899</v>
      </c>
      <c r="V274" t="s">
        <v>900</v>
      </c>
      <c r="W274" t="s">
        <v>901</v>
      </c>
      <c r="X274">
        <v>0.4</v>
      </c>
      <c r="Y274" t="s">
        <v>444</v>
      </c>
      <c r="Z274" s="37">
        <v>1</v>
      </c>
      <c r="AA274" s="37">
        <v>0.0025</v>
      </c>
      <c r="AB274">
        <v>0.3</v>
      </c>
    </row>
    <row r="275">
      <c r="A275" t="s">
        <v>1055</v>
      </c>
      <c r="B275" t="s">
        <v>954</v>
      </c>
      <c r="C275" t="s">
        <v>954</v>
      </c>
      <c r="D275" t="s">
        <v>1013</v>
      </c>
      <c r="E275" t="s">
        <v>1056</v>
      </c>
      <c r="F275" t="s">
        <v>298</v>
      </c>
      <c r="G275" t="s">
        <v>1015</v>
      </c>
      <c r="H275" t="s">
        <v>972</v>
      </c>
      <c r="I275" t="s">
        <v>1057</v>
      </c>
      <c r="J275" t="s">
        <v>977</v>
      </c>
      <c r="K275" t="s">
        <v>1058</v>
      </c>
      <c r="L275" t="s">
        <v>1036</v>
      </c>
      <c r="M275" s="37">
        <v>0.31</v>
      </c>
      <c r="N275" s="37">
        <v>0.7</v>
      </c>
      <c r="O275">
        <v>0.248</v>
      </c>
      <c r="P275" s="37">
        <v>0.217</v>
      </c>
      <c r="Q275">
        <v>0.17</v>
      </c>
      <c r="R275">
        <v>775.86</v>
      </c>
      <c r="S275">
        <v>775.86</v>
      </c>
      <c r="T275">
        <v>1500</v>
      </c>
      <c r="U275" t="s">
        <v>899</v>
      </c>
      <c r="V275" t="s">
        <v>900</v>
      </c>
      <c r="W275" t="s">
        <v>901</v>
      </c>
      <c r="X275">
        <v>0.4</v>
      </c>
      <c r="Y275" t="s">
        <v>444</v>
      </c>
      <c r="Z275" s="37">
        <v>1</v>
      </c>
      <c r="AA275" s="37">
        <v>0.0025</v>
      </c>
      <c r="AB275">
        <v>0.3</v>
      </c>
    </row>
    <row r="276">
      <c r="A276" t="s">
        <v>1055</v>
      </c>
      <c r="B276" t="s">
        <v>954</v>
      </c>
      <c r="C276" t="s">
        <v>954</v>
      </c>
      <c r="D276" t="s">
        <v>1013</v>
      </c>
      <c r="E276" t="s">
        <v>1056</v>
      </c>
      <c r="F276" t="s">
        <v>298</v>
      </c>
      <c r="G276" t="s">
        <v>1015</v>
      </c>
      <c r="H276" t="s">
        <v>1018</v>
      </c>
      <c r="I276" t="s">
        <v>1059</v>
      </c>
      <c r="J276" t="s">
        <v>342</v>
      </c>
      <c r="K276" t="s">
        <v>1041</v>
      </c>
      <c r="L276" t="s">
        <v>1036</v>
      </c>
      <c r="M276" s="37">
        <v>0</v>
      </c>
      <c r="N276" s="37">
        <v>0.3</v>
      </c>
      <c r="O276">
        <v>0</v>
      </c>
      <c r="P276" s="37">
        <v>0.217</v>
      </c>
      <c r="Q276">
        <v>0.17</v>
      </c>
      <c r="R276">
        <v>775.86</v>
      </c>
      <c r="S276">
        <v>775.86</v>
      </c>
      <c r="T276">
        <v>1500</v>
      </c>
      <c r="U276" t="s">
        <v>899</v>
      </c>
      <c r="V276" t="s">
        <v>900</v>
      </c>
      <c r="W276" t="s">
        <v>901</v>
      </c>
      <c r="X276">
        <v>0.4</v>
      </c>
      <c r="Y276" t="s">
        <v>444</v>
      </c>
      <c r="Z276" s="37">
        <v>1</v>
      </c>
      <c r="AA276" s="37">
        <v>0.0025</v>
      </c>
      <c r="AB276">
        <v>0.3</v>
      </c>
    </row>
    <row r="277">
      <c r="A277" t="s">
        <v>1060</v>
      </c>
      <c r="B277" t="s">
        <v>1061</v>
      </c>
      <c r="C277" t="s">
        <v>1061</v>
      </c>
      <c r="D277" t="s">
        <v>1062</v>
      </c>
      <c r="E277" t="s">
        <v>1063</v>
      </c>
      <c r="F277" t="s">
        <v>298</v>
      </c>
      <c r="G277" t="s">
        <v>1064</v>
      </c>
      <c r="H277" t="s">
        <v>1065</v>
      </c>
      <c r="I277" t="s">
        <v>1066</v>
      </c>
      <c r="K277">
        <v>85</v>
      </c>
      <c r="L277" t="s">
        <v>1067</v>
      </c>
      <c r="M277" s="37">
        <v>0.85</v>
      </c>
      <c r="N277" s="37">
        <v>0.4</v>
      </c>
      <c r="O277">
        <v>0.85</v>
      </c>
      <c r="P277" s="37">
        <v>0.845</v>
      </c>
      <c r="Q277">
        <v>0.8</v>
      </c>
      <c r="R277">
        <v>3990.1</v>
      </c>
      <c r="S277">
        <v>3990.1</v>
      </c>
      <c r="T277">
        <v>5000</v>
      </c>
      <c r="U277" t="s">
        <v>1068</v>
      </c>
      <c r="X277">
        <v>90</v>
      </c>
      <c r="Y277" t="s">
        <v>444</v>
      </c>
      <c r="Z277" s="37">
        <v>0.9</v>
      </c>
      <c r="AA277" s="37">
        <v>0.5</v>
      </c>
      <c r="AB277">
        <v>0.3</v>
      </c>
    </row>
    <row r="278">
      <c r="A278" t="s">
        <v>1060</v>
      </c>
      <c r="B278" t="s">
        <v>1061</v>
      </c>
      <c r="C278" t="s">
        <v>1061</v>
      </c>
      <c r="D278" t="s">
        <v>1062</v>
      </c>
      <c r="E278" t="s">
        <v>1063</v>
      </c>
      <c r="F278" t="s">
        <v>298</v>
      </c>
      <c r="G278" t="s">
        <v>1064</v>
      </c>
      <c r="H278" t="s">
        <v>1065</v>
      </c>
      <c r="I278" t="s">
        <v>1066</v>
      </c>
      <c r="K278">
        <v>85</v>
      </c>
      <c r="L278" t="s">
        <v>1067</v>
      </c>
      <c r="M278" s="37">
        <v>0.85</v>
      </c>
      <c r="N278" s="37">
        <v>0.4</v>
      </c>
      <c r="O278">
        <v>0.85</v>
      </c>
      <c r="P278" s="37">
        <v>0.845</v>
      </c>
      <c r="Q278">
        <v>0.8</v>
      </c>
      <c r="R278">
        <v>3990.1</v>
      </c>
      <c r="S278">
        <v>3990.1</v>
      </c>
      <c r="T278">
        <v>5000</v>
      </c>
      <c r="U278" t="s">
        <v>1069</v>
      </c>
      <c r="X278">
        <v>80</v>
      </c>
      <c r="Y278" t="s">
        <v>444</v>
      </c>
      <c r="Z278" s="37">
        <v>0.8</v>
      </c>
      <c r="AA278" s="37">
        <v>0.5</v>
      </c>
      <c r="AB278">
        <v>0.3</v>
      </c>
    </row>
    <row r="279">
      <c r="A279" t="s">
        <v>1060</v>
      </c>
      <c r="B279" t="s">
        <v>1061</v>
      </c>
      <c r="C279" t="s">
        <v>1061</v>
      </c>
      <c r="D279" t="s">
        <v>1062</v>
      </c>
      <c r="E279" t="s">
        <v>1063</v>
      </c>
      <c r="F279" t="s">
        <v>298</v>
      </c>
      <c r="G279" t="s">
        <v>1064</v>
      </c>
      <c r="H279" t="s">
        <v>1070</v>
      </c>
      <c r="I279" t="s">
        <v>1071</v>
      </c>
      <c r="K279">
        <v>80</v>
      </c>
      <c r="L279" t="s">
        <v>1072</v>
      </c>
      <c r="M279" s="37">
        <v>0.8</v>
      </c>
      <c r="N279" s="37">
        <v>0.35</v>
      </c>
      <c r="O279">
        <v>0.8</v>
      </c>
      <c r="P279" s="37">
        <v>0.845</v>
      </c>
      <c r="Q279">
        <v>0.8</v>
      </c>
      <c r="R279">
        <v>3990.1</v>
      </c>
      <c r="S279">
        <v>3990.1</v>
      </c>
      <c r="T279">
        <v>5000</v>
      </c>
      <c r="U279" t="s">
        <v>1073</v>
      </c>
      <c r="X279">
        <v>100</v>
      </c>
      <c r="Y279" t="s">
        <v>444</v>
      </c>
      <c r="Z279" s="37">
        <v>1</v>
      </c>
      <c r="AA279" s="37">
        <v>0.5</v>
      </c>
      <c r="AB279">
        <v>0.3</v>
      </c>
    </row>
    <row r="280">
      <c r="A280" t="s">
        <v>1060</v>
      </c>
      <c r="B280" t="s">
        <v>1061</v>
      </c>
      <c r="C280" t="s">
        <v>1061</v>
      </c>
      <c r="D280" t="s">
        <v>1062</v>
      </c>
      <c r="E280" t="s">
        <v>1063</v>
      </c>
      <c r="F280" t="s">
        <v>298</v>
      </c>
      <c r="G280" t="s">
        <v>1064</v>
      </c>
      <c r="H280" t="s">
        <v>1070</v>
      </c>
      <c r="I280" t="s">
        <v>1071</v>
      </c>
      <c r="K280">
        <v>80</v>
      </c>
      <c r="L280" t="s">
        <v>1072</v>
      </c>
      <c r="M280" s="37">
        <v>0.8</v>
      </c>
      <c r="N280" s="37">
        <v>0.35</v>
      </c>
      <c r="O280">
        <v>0.8</v>
      </c>
      <c r="P280" s="37">
        <v>0.845</v>
      </c>
      <c r="Q280">
        <v>0.8</v>
      </c>
      <c r="R280">
        <v>3990.1</v>
      </c>
      <c r="S280">
        <v>3990.1</v>
      </c>
      <c r="T280">
        <v>5000</v>
      </c>
      <c r="U280" t="s">
        <v>1069</v>
      </c>
      <c r="X280">
        <v>60</v>
      </c>
      <c r="Y280" t="s">
        <v>444</v>
      </c>
      <c r="Z280" s="37">
        <v>0.6</v>
      </c>
      <c r="AA280" s="37">
        <v>0.5</v>
      </c>
      <c r="AB280">
        <v>0.3</v>
      </c>
    </row>
    <row r="281">
      <c r="A281" t="s">
        <v>1060</v>
      </c>
      <c r="B281" t="s">
        <v>1061</v>
      </c>
      <c r="C281" t="s">
        <v>1061</v>
      </c>
      <c r="D281" t="s">
        <v>1062</v>
      </c>
      <c r="E281" t="s">
        <v>1063</v>
      </c>
      <c r="F281" t="s">
        <v>298</v>
      </c>
      <c r="G281" t="s">
        <v>1064</v>
      </c>
      <c r="H281" t="s">
        <v>1065</v>
      </c>
      <c r="I281" t="s">
        <v>1074</v>
      </c>
      <c r="K281">
        <v>90</v>
      </c>
      <c r="L281" t="s">
        <v>1075</v>
      </c>
      <c r="M281" s="37">
        <v>0.9</v>
      </c>
      <c r="N281" s="37">
        <v>0.25</v>
      </c>
      <c r="O281">
        <v>0.9</v>
      </c>
      <c r="P281" s="37">
        <v>0.845</v>
      </c>
      <c r="Q281">
        <v>0.8</v>
      </c>
      <c r="R281">
        <v>3990.1</v>
      </c>
      <c r="S281">
        <v>3990.1</v>
      </c>
      <c r="T281">
        <v>5000</v>
      </c>
      <c r="U281" t="s">
        <v>1076</v>
      </c>
      <c r="X281">
        <v>100</v>
      </c>
      <c r="Y281" t="s">
        <v>444</v>
      </c>
      <c r="Z281" s="37">
        <v>1</v>
      </c>
      <c r="AA281" s="37">
        <v>0.4</v>
      </c>
      <c r="AB281">
        <v>0.3</v>
      </c>
    </row>
    <row r="282">
      <c r="A282" t="s">
        <v>1060</v>
      </c>
      <c r="B282" t="s">
        <v>1061</v>
      </c>
      <c r="C282" t="s">
        <v>1061</v>
      </c>
      <c r="D282" t="s">
        <v>1062</v>
      </c>
      <c r="E282" t="s">
        <v>1063</v>
      </c>
      <c r="F282" t="s">
        <v>298</v>
      </c>
      <c r="G282" t="s">
        <v>1064</v>
      </c>
      <c r="H282" t="s">
        <v>1065</v>
      </c>
      <c r="I282" t="s">
        <v>1074</v>
      </c>
      <c r="K282">
        <v>90</v>
      </c>
      <c r="L282" t="s">
        <v>1075</v>
      </c>
      <c r="M282" s="37">
        <v>0.9</v>
      </c>
      <c r="N282" s="37">
        <v>0.25</v>
      </c>
      <c r="O282">
        <v>0.9</v>
      </c>
      <c r="P282" s="37">
        <v>0.845</v>
      </c>
      <c r="Q282">
        <v>0.8</v>
      </c>
      <c r="R282">
        <v>3990.1</v>
      </c>
      <c r="S282">
        <v>3990.1</v>
      </c>
      <c r="T282">
        <v>5000</v>
      </c>
      <c r="U282" t="s">
        <v>1077</v>
      </c>
      <c r="X282">
        <v>90</v>
      </c>
      <c r="Y282" t="s">
        <v>444</v>
      </c>
      <c r="Z282" s="37">
        <v>0.9</v>
      </c>
      <c r="AA282" s="37">
        <v>0.6</v>
      </c>
      <c r="AB282">
        <v>0.3</v>
      </c>
    </row>
    <row r="283">
      <c r="A283" t="s">
        <v>1078</v>
      </c>
      <c r="B283" t="s">
        <v>1061</v>
      </c>
      <c r="C283" t="s">
        <v>1061</v>
      </c>
      <c r="D283" t="s">
        <v>359</v>
      </c>
      <c r="E283" t="s">
        <v>1079</v>
      </c>
      <c r="F283" t="s">
        <v>298</v>
      </c>
      <c r="G283" t="s">
        <v>1064</v>
      </c>
      <c r="H283" t="s">
        <v>1065</v>
      </c>
      <c r="I283" t="s">
        <v>1080</v>
      </c>
      <c r="K283">
        <v>0.8</v>
      </c>
      <c r="L283" t="s">
        <v>1075</v>
      </c>
      <c r="M283" s="37">
        <v>0.8</v>
      </c>
      <c r="N283" s="37">
        <v>0.4</v>
      </c>
      <c r="O283">
        <v>0.8</v>
      </c>
      <c r="P283" s="37">
        <v>0.845</v>
      </c>
      <c r="Q283">
        <v>0.85</v>
      </c>
      <c r="R283">
        <v>4782.4</v>
      </c>
      <c r="S283">
        <v>4782.4</v>
      </c>
      <c r="T283">
        <v>5000</v>
      </c>
      <c r="U283" t="s">
        <v>1081</v>
      </c>
      <c r="V283" t="s">
        <v>1082</v>
      </c>
      <c r="X283">
        <v>0.5</v>
      </c>
      <c r="Y283" t="s">
        <v>444</v>
      </c>
      <c r="Z283" s="37">
        <v>1</v>
      </c>
      <c r="AA283" s="37">
        <v>0.5</v>
      </c>
      <c r="AB283">
        <v>0.3</v>
      </c>
    </row>
    <row r="284">
      <c r="A284" t="s">
        <v>1078</v>
      </c>
      <c r="B284" t="s">
        <v>1061</v>
      </c>
      <c r="C284" t="s">
        <v>1061</v>
      </c>
      <c r="D284" t="s">
        <v>359</v>
      </c>
      <c r="E284" t="s">
        <v>1079</v>
      </c>
      <c r="F284" t="s">
        <v>298</v>
      </c>
      <c r="G284" t="s">
        <v>1064</v>
      </c>
      <c r="H284" t="s">
        <v>1065</v>
      </c>
      <c r="I284" t="s">
        <v>1080</v>
      </c>
      <c r="K284">
        <v>0.8</v>
      </c>
      <c r="L284" t="s">
        <v>1075</v>
      </c>
      <c r="M284" s="37">
        <v>0.8</v>
      </c>
      <c r="N284" s="37">
        <v>0.4</v>
      </c>
      <c r="O284">
        <v>0.8</v>
      </c>
      <c r="P284" s="37">
        <v>0.845</v>
      </c>
      <c r="Q284">
        <v>0.85</v>
      </c>
      <c r="R284">
        <v>4782.4</v>
      </c>
      <c r="S284">
        <v>4782.4</v>
      </c>
      <c r="T284">
        <v>5000</v>
      </c>
      <c r="U284" t="s">
        <v>1083</v>
      </c>
      <c r="V284" t="s">
        <v>1084</v>
      </c>
      <c r="X284">
        <v>0.3</v>
      </c>
      <c r="Y284" t="s">
        <v>444</v>
      </c>
      <c r="Z284" s="37">
        <v>0.6</v>
      </c>
      <c r="AA284" s="37">
        <v>0.5</v>
      </c>
      <c r="AB284">
        <v>0.3</v>
      </c>
    </row>
    <row r="285">
      <c r="A285" t="s">
        <v>1078</v>
      </c>
      <c r="B285" t="s">
        <v>1061</v>
      </c>
      <c r="C285" t="s">
        <v>1061</v>
      </c>
      <c r="D285" t="s">
        <v>359</v>
      </c>
      <c r="E285" t="s">
        <v>1079</v>
      </c>
      <c r="F285" t="s">
        <v>298</v>
      </c>
      <c r="G285" t="s">
        <v>1064</v>
      </c>
      <c r="H285" t="s">
        <v>1065</v>
      </c>
      <c r="I285" t="s">
        <v>1085</v>
      </c>
      <c r="K285">
        <v>1</v>
      </c>
      <c r="L285" t="s">
        <v>1075</v>
      </c>
      <c r="M285" s="37">
        <v>1</v>
      </c>
      <c r="N285" s="37">
        <v>0.3</v>
      </c>
      <c r="O285">
        <v>1</v>
      </c>
      <c r="P285" s="37">
        <v>0.845</v>
      </c>
      <c r="Q285">
        <v>0.85</v>
      </c>
      <c r="R285">
        <v>4782.4</v>
      </c>
      <c r="S285">
        <v>4782.4</v>
      </c>
      <c r="T285">
        <v>5000</v>
      </c>
      <c r="U285" t="s">
        <v>1086</v>
      </c>
      <c r="X285">
        <v>1</v>
      </c>
      <c r="Y285" t="s">
        <v>444</v>
      </c>
      <c r="Z285" s="37">
        <v>1</v>
      </c>
      <c r="AA285" s="37">
        <v>0.3</v>
      </c>
      <c r="AB285">
        <v>0.3</v>
      </c>
    </row>
    <row r="286">
      <c r="A286" t="s">
        <v>1078</v>
      </c>
      <c r="B286" t="s">
        <v>1061</v>
      </c>
      <c r="C286" t="s">
        <v>1061</v>
      </c>
      <c r="D286" t="s">
        <v>359</v>
      </c>
      <c r="E286" t="s">
        <v>1079</v>
      </c>
      <c r="F286" t="s">
        <v>298</v>
      </c>
      <c r="G286" t="s">
        <v>1064</v>
      </c>
      <c r="H286" t="s">
        <v>1065</v>
      </c>
      <c r="I286" t="s">
        <v>1085</v>
      </c>
      <c r="K286">
        <v>1</v>
      </c>
      <c r="L286" t="s">
        <v>1075</v>
      </c>
      <c r="M286" s="37">
        <v>1</v>
      </c>
      <c r="N286" s="37">
        <v>0.3</v>
      </c>
      <c r="O286">
        <v>1</v>
      </c>
      <c r="P286" s="37">
        <v>0.845</v>
      </c>
      <c r="Q286">
        <v>0.85</v>
      </c>
      <c r="R286">
        <v>4782.4</v>
      </c>
      <c r="S286">
        <v>4782.4</v>
      </c>
      <c r="T286">
        <v>5000</v>
      </c>
      <c r="U286" t="s">
        <v>1087</v>
      </c>
      <c r="X286">
        <v>1</v>
      </c>
      <c r="Y286" t="s">
        <v>444</v>
      </c>
      <c r="Z286" s="37">
        <v>1</v>
      </c>
      <c r="AA286" s="37">
        <v>0.2</v>
      </c>
      <c r="AB286">
        <v>0.3</v>
      </c>
    </row>
    <row r="287">
      <c r="A287" t="s">
        <v>1078</v>
      </c>
      <c r="B287" t="s">
        <v>1061</v>
      </c>
      <c r="C287" t="s">
        <v>1061</v>
      </c>
      <c r="D287" t="s">
        <v>359</v>
      </c>
      <c r="E287" t="s">
        <v>1079</v>
      </c>
      <c r="F287" t="s">
        <v>298</v>
      </c>
      <c r="G287" t="s">
        <v>1064</v>
      </c>
      <c r="H287" t="s">
        <v>1065</v>
      </c>
      <c r="I287" t="s">
        <v>1085</v>
      </c>
      <c r="K287">
        <v>1</v>
      </c>
      <c r="L287" t="s">
        <v>1075</v>
      </c>
      <c r="M287" s="37">
        <v>1</v>
      </c>
      <c r="N287" s="37">
        <v>0.3</v>
      </c>
      <c r="O287">
        <v>1</v>
      </c>
      <c r="P287" s="37">
        <v>0.845</v>
      </c>
      <c r="Q287">
        <v>0.85</v>
      </c>
      <c r="R287">
        <v>4782.4</v>
      </c>
      <c r="S287">
        <v>4782.4</v>
      </c>
      <c r="T287">
        <v>5000</v>
      </c>
      <c r="U287" t="s">
        <v>1088</v>
      </c>
      <c r="V287" t="s">
        <v>1089</v>
      </c>
      <c r="X287">
        <v>1</v>
      </c>
      <c r="Y287" t="s">
        <v>444</v>
      </c>
      <c r="Z287" s="37">
        <v>1</v>
      </c>
      <c r="AA287" s="37">
        <v>0.5</v>
      </c>
      <c r="AB287">
        <v>0.3</v>
      </c>
    </row>
    <row r="288">
      <c r="A288" t="s">
        <v>1078</v>
      </c>
      <c r="B288" t="s">
        <v>1061</v>
      </c>
      <c r="C288" t="s">
        <v>1061</v>
      </c>
      <c r="D288" t="s">
        <v>359</v>
      </c>
      <c r="E288" t="s">
        <v>1079</v>
      </c>
      <c r="F288" t="s">
        <v>298</v>
      </c>
      <c r="G288" t="s">
        <v>1064</v>
      </c>
      <c r="H288" t="s">
        <v>1070</v>
      </c>
      <c r="I288" t="s">
        <v>1090</v>
      </c>
      <c r="K288">
        <v>0.75</v>
      </c>
      <c r="L288" t="s">
        <v>1075</v>
      </c>
      <c r="M288" s="37">
        <v>0.75</v>
      </c>
      <c r="N288" s="37">
        <v>0.3</v>
      </c>
      <c r="O288">
        <v>0.75</v>
      </c>
      <c r="P288" s="37">
        <v>0.845</v>
      </c>
      <c r="Q288">
        <v>0.85</v>
      </c>
      <c r="R288">
        <v>4782.4</v>
      </c>
      <c r="S288">
        <v>4782.4</v>
      </c>
      <c r="T288">
        <v>5000</v>
      </c>
      <c r="U288" t="s">
        <v>1091</v>
      </c>
      <c r="V288" t="s">
        <v>1092</v>
      </c>
      <c r="X288">
        <v>1</v>
      </c>
      <c r="Y288" t="s">
        <v>444</v>
      </c>
      <c r="Z288" s="37">
        <v>1</v>
      </c>
      <c r="AA288" s="37">
        <v>0.3</v>
      </c>
      <c r="AB288">
        <v>0.3</v>
      </c>
    </row>
    <row r="289">
      <c r="A289" t="s">
        <v>1078</v>
      </c>
      <c r="B289" t="s">
        <v>1061</v>
      </c>
      <c r="C289" t="s">
        <v>1061</v>
      </c>
      <c r="D289" t="s">
        <v>359</v>
      </c>
      <c r="E289" t="s">
        <v>1079</v>
      </c>
      <c r="F289" t="s">
        <v>298</v>
      </c>
      <c r="G289" t="s">
        <v>1064</v>
      </c>
      <c r="H289" t="s">
        <v>1070</v>
      </c>
      <c r="I289" t="s">
        <v>1090</v>
      </c>
      <c r="K289">
        <v>0.75</v>
      </c>
      <c r="L289" t="s">
        <v>1075</v>
      </c>
      <c r="M289" s="37">
        <v>0.75</v>
      </c>
      <c r="N289" s="37">
        <v>0.3</v>
      </c>
      <c r="O289">
        <v>0.75</v>
      </c>
      <c r="P289" s="37">
        <v>0.845</v>
      </c>
      <c r="Q289">
        <v>0.85</v>
      </c>
      <c r="R289">
        <v>4782.4</v>
      </c>
      <c r="S289">
        <v>4782.4</v>
      </c>
      <c r="T289">
        <v>5000</v>
      </c>
      <c r="U289" t="s">
        <v>1093</v>
      </c>
      <c r="X289">
        <v>1</v>
      </c>
      <c r="Y289" t="s">
        <v>444</v>
      </c>
      <c r="Z289" s="37">
        <v>1</v>
      </c>
      <c r="AA289" s="37">
        <v>0.5</v>
      </c>
      <c r="AB289">
        <v>0.3</v>
      </c>
    </row>
    <row r="290">
      <c r="A290" t="s">
        <v>1078</v>
      </c>
      <c r="B290" t="s">
        <v>1061</v>
      </c>
      <c r="C290" t="s">
        <v>1061</v>
      </c>
      <c r="D290" t="s">
        <v>359</v>
      </c>
      <c r="E290" t="s">
        <v>1079</v>
      </c>
      <c r="F290" t="s">
        <v>298</v>
      </c>
      <c r="G290" t="s">
        <v>1064</v>
      </c>
      <c r="H290" t="s">
        <v>1070</v>
      </c>
      <c r="I290" t="s">
        <v>1090</v>
      </c>
      <c r="K290">
        <v>0.75</v>
      </c>
      <c r="L290" t="s">
        <v>1075</v>
      </c>
      <c r="M290" s="37">
        <v>0.75</v>
      </c>
      <c r="N290" s="37">
        <v>0.3</v>
      </c>
      <c r="O290">
        <v>0.75</v>
      </c>
      <c r="P290" s="37">
        <v>0.845</v>
      </c>
      <c r="Q290">
        <v>0.85</v>
      </c>
      <c r="R290">
        <v>4782.4</v>
      </c>
      <c r="S290">
        <v>4782.4</v>
      </c>
      <c r="T290">
        <v>5000</v>
      </c>
      <c r="U290" t="s">
        <v>1094</v>
      </c>
      <c r="V290" t="s">
        <v>1095</v>
      </c>
      <c r="X290">
        <v>0</v>
      </c>
      <c r="Y290" t="s">
        <v>444</v>
      </c>
      <c r="Z290" s="37">
        <v>0</v>
      </c>
      <c r="AA290" s="37">
        <v>0.2</v>
      </c>
      <c r="AB290">
        <v>0.3</v>
      </c>
    </row>
    <row r="291">
      <c r="A291" t="s">
        <v>1096</v>
      </c>
      <c r="B291" t="s">
        <v>1061</v>
      </c>
      <c r="C291" t="s">
        <v>1061</v>
      </c>
      <c r="D291" t="s">
        <v>695</v>
      </c>
      <c r="E291" t="s">
        <v>1097</v>
      </c>
      <c r="F291" t="s">
        <v>298</v>
      </c>
      <c r="G291" t="s">
        <v>1064</v>
      </c>
      <c r="H291" t="s">
        <v>1098</v>
      </c>
      <c r="I291" t="s">
        <v>1099</v>
      </c>
      <c r="K291">
        <v>93.4</v>
      </c>
      <c r="L291" t="s">
        <v>1100</v>
      </c>
      <c r="M291" s="37">
        <v>0.934</v>
      </c>
      <c r="N291" s="37">
        <v>0.3</v>
      </c>
      <c r="O291">
        <v>0.934</v>
      </c>
      <c r="P291" s="37">
        <v>0.8822</v>
      </c>
      <c r="Q291">
        <v>0.82</v>
      </c>
      <c r="R291">
        <v>3071.3</v>
      </c>
      <c r="S291">
        <v>3071.3</v>
      </c>
      <c r="T291">
        <v>3000</v>
      </c>
      <c r="U291" t="s">
        <v>1101</v>
      </c>
      <c r="V291" t="s">
        <v>1102</v>
      </c>
      <c r="X291">
        <v>96.75</v>
      </c>
      <c r="Y291" t="s">
        <v>1103</v>
      </c>
      <c r="Z291" s="37">
        <v>0.9675</v>
      </c>
      <c r="AA291" s="37">
        <v>0.8</v>
      </c>
      <c r="AB291">
        <v>96.75</v>
      </c>
    </row>
    <row r="292">
      <c r="A292" t="s">
        <v>1096</v>
      </c>
      <c r="B292" t="s">
        <v>1061</v>
      </c>
      <c r="C292" t="s">
        <v>1061</v>
      </c>
      <c r="D292" t="s">
        <v>695</v>
      </c>
      <c r="E292" t="s">
        <v>1097</v>
      </c>
      <c r="F292" t="s">
        <v>298</v>
      </c>
      <c r="G292" t="s">
        <v>1064</v>
      </c>
      <c r="H292" t="s">
        <v>1098</v>
      </c>
      <c r="I292" t="s">
        <v>1099</v>
      </c>
      <c r="K292">
        <v>93.4</v>
      </c>
      <c r="L292" t="s">
        <v>1100</v>
      </c>
      <c r="M292" s="37">
        <v>0.934</v>
      </c>
      <c r="N292" s="37">
        <v>0.3</v>
      </c>
      <c r="O292">
        <v>0.934</v>
      </c>
      <c r="P292" s="37">
        <v>0.8822</v>
      </c>
      <c r="Q292">
        <v>0.82</v>
      </c>
      <c r="R292">
        <v>3071.3</v>
      </c>
      <c r="S292">
        <v>3071.3</v>
      </c>
      <c r="T292">
        <v>3000</v>
      </c>
      <c r="U292" t="s">
        <v>1104</v>
      </c>
      <c r="V292" t="s">
        <v>1105</v>
      </c>
      <c r="X292">
        <v>80</v>
      </c>
      <c r="Y292" t="s">
        <v>1106</v>
      </c>
      <c r="Z292" s="37">
        <v>0.8</v>
      </c>
      <c r="AA292" s="37">
        <v>0.2</v>
      </c>
      <c r="AB292">
        <v>80</v>
      </c>
    </row>
    <row r="293">
      <c r="A293" t="s">
        <v>1096</v>
      </c>
      <c r="B293" t="s">
        <v>1061</v>
      </c>
      <c r="C293" t="s">
        <v>1061</v>
      </c>
      <c r="D293" t="s">
        <v>695</v>
      </c>
      <c r="E293" t="s">
        <v>1097</v>
      </c>
      <c r="F293" t="s">
        <v>298</v>
      </c>
      <c r="G293" t="s">
        <v>1064</v>
      </c>
      <c r="H293" t="s">
        <v>1098</v>
      </c>
      <c r="I293" t="s">
        <v>1107</v>
      </c>
      <c r="K293">
        <v>80</v>
      </c>
      <c r="L293" t="s">
        <v>1108</v>
      </c>
      <c r="M293" s="37">
        <v>0.8</v>
      </c>
      <c r="N293" s="37">
        <v>0.4</v>
      </c>
      <c r="O293">
        <v>0.8</v>
      </c>
      <c r="P293" s="37">
        <v>0.8822</v>
      </c>
      <c r="Q293">
        <v>0.82</v>
      </c>
      <c r="R293">
        <v>3071.3</v>
      </c>
      <c r="S293">
        <v>3071.3</v>
      </c>
      <c r="T293">
        <v>3000</v>
      </c>
      <c r="U293" t="s">
        <v>1109</v>
      </c>
      <c r="X293">
        <v>80</v>
      </c>
      <c r="Y293" t="s">
        <v>1106</v>
      </c>
      <c r="Z293" s="37">
        <v>0.8</v>
      </c>
      <c r="AA293" s="37">
        <v>0.5</v>
      </c>
      <c r="AB293">
        <v>80</v>
      </c>
    </row>
    <row r="294">
      <c r="A294" t="s">
        <v>1096</v>
      </c>
      <c r="B294" t="s">
        <v>1061</v>
      </c>
      <c r="C294" t="s">
        <v>1061</v>
      </c>
      <c r="D294" t="s">
        <v>695</v>
      </c>
      <c r="E294" t="s">
        <v>1097</v>
      </c>
      <c r="F294" t="s">
        <v>298</v>
      </c>
      <c r="G294" t="s">
        <v>1064</v>
      </c>
      <c r="H294" t="s">
        <v>1098</v>
      </c>
      <c r="I294" t="s">
        <v>1107</v>
      </c>
      <c r="K294">
        <v>80</v>
      </c>
      <c r="L294" t="s">
        <v>1108</v>
      </c>
      <c r="M294" s="37">
        <v>0.8</v>
      </c>
      <c r="N294" s="37">
        <v>0.4</v>
      </c>
      <c r="O294">
        <v>0.8</v>
      </c>
      <c r="P294" s="37">
        <v>0.8822</v>
      </c>
      <c r="Q294">
        <v>0.82</v>
      </c>
      <c r="R294">
        <v>3071.3</v>
      </c>
      <c r="S294">
        <v>3071.3</v>
      </c>
      <c r="T294">
        <v>3000</v>
      </c>
      <c r="U294" t="s">
        <v>1110</v>
      </c>
      <c r="X294">
        <v>80</v>
      </c>
      <c r="Y294" t="s">
        <v>1106</v>
      </c>
      <c r="Z294" s="37">
        <v>0.8</v>
      </c>
      <c r="AA294" s="37">
        <v>0.5</v>
      </c>
      <c r="AB294">
        <v>80</v>
      </c>
    </row>
    <row r="295">
      <c r="A295" t="s">
        <v>1096</v>
      </c>
      <c r="B295" t="s">
        <v>1061</v>
      </c>
      <c r="C295" t="s">
        <v>1061</v>
      </c>
      <c r="D295" t="s">
        <v>695</v>
      </c>
      <c r="E295" t="s">
        <v>1097</v>
      </c>
      <c r="F295" t="s">
        <v>298</v>
      </c>
      <c r="G295" t="s">
        <v>1064</v>
      </c>
      <c r="H295" t="s">
        <v>1111</v>
      </c>
      <c r="I295" t="s">
        <v>1112</v>
      </c>
      <c r="K295">
        <v>94</v>
      </c>
      <c r="L295" t="s">
        <v>1108</v>
      </c>
      <c r="M295" s="37">
        <v>0.94</v>
      </c>
      <c r="N295" s="37">
        <v>0.3</v>
      </c>
      <c r="O295">
        <v>0.94</v>
      </c>
      <c r="P295" s="37">
        <v>0.8822</v>
      </c>
      <c r="Q295">
        <v>0.82</v>
      </c>
      <c r="R295">
        <v>3071.3</v>
      </c>
      <c r="S295">
        <v>3071.3</v>
      </c>
      <c r="T295">
        <v>3000</v>
      </c>
      <c r="U295" t="s">
        <v>1113</v>
      </c>
      <c r="V295" t="s">
        <v>1114</v>
      </c>
      <c r="X295">
        <v>100</v>
      </c>
      <c r="Y295" t="s">
        <v>1106</v>
      </c>
      <c r="Z295" s="37">
        <v>1</v>
      </c>
      <c r="AA295" s="37">
        <v>0.6</v>
      </c>
      <c r="AB295">
        <v>80</v>
      </c>
    </row>
    <row r="296">
      <c r="A296" t="s">
        <v>1096</v>
      </c>
      <c r="B296" t="s">
        <v>1061</v>
      </c>
      <c r="C296" t="s">
        <v>1061</v>
      </c>
      <c r="D296" t="s">
        <v>695</v>
      </c>
      <c r="E296" t="s">
        <v>1097</v>
      </c>
      <c r="F296" t="s">
        <v>298</v>
      </c>
      <c r="G296" t="s">
        <v>1064</v>
      </c>
      <c r="H296" t="s">
        <v>1111</v>
      </c>
      <c r="I296" t="s">
        <v>1112</v>
      </c>
      <c r="K296">
        <v>94</v>
      </c>
      <c r="L296" t="s">
        <v>1108</v>
      </c>
      <c r="M296" s="37">
        <v>0.94</v>
      </c>
      <c r="N296" s="37">
        <v>0.3</v>
      </c>
      <c r="O296">
        <v>0.94</v>
      </c>
      <c r="P296" s="37">
        <v>0.8822</v>
      </c>
      <c r="Q296">
        <v>0.82</v>
      </c>
      <c r="R296">
        <v>3071.3</v>
      </c>
      <c r="S296">
        <v>3071.3</v>
      </c>
      <c r="T296">
        <v>3000</v>
      </c>
      <c r="U296" t="s">
        <v>1115</v>
      </c>
      <c r="X296">
        <v>80</v>
      </c>
      <c r="Y296" t="s">
        <v>1106</v>
      </c>
      <c r="Z296" s="37">
        <v>0.8</v>
      </c>
      <c r="AA296" s="37">
        <v>0.4</v>
      </c>
      <c r="AB296">
        <v>32</v>
      </c>
    </row>
    <row r="297">
      <c r="A297" t="s">
        <v>1116</v>
      </c>
      <c r="B297" t="s">
        <v>1061</v>
      </c>
      <c r="C297" t="s">
        <v>1061</v>
      </c>
      <c r="D297" t="s">
        <v>695</v>
      </c>
      <c r="E297" t="s">
        <v>1117</v>
      </c>
      <c r="F297" t="s">
        <v>298</v>
      </c>
      <c r="G297" t="s">
        <v>1064</v>
      </c>
      <c r="H297" t="s">
        <v>1118</v>
      </c>
      <c r="I297" t="s">
        <v>1119</v>
      </c>
      <c r="K297">
        <v>87.5</v>
      </c>
      <c r="L297" t="s">
        <v>1120</v>
      </c>
      <c r="M297" s="37">
        <v>0.88</v>
      </c>
      <c r="N297" s="37">
        <v>0.4</v>
      </c>
      <c r="O297">
        <v>0.88</v>
      </c>
      <c r="P297" s="37">
        <v>0.841</v>
      </c>
      <c r="Q297">
        <v>0.84</v>
      </c>
      <c r="R297">
        <v>3234.5</v>
      </c>
      <c r="S297">
        <v>3234.5</v>
      </c>
      <c r="T297">
        <v>3000</v>
      </c>
      <c r="U297" t="s">
        <v>1115</v>
      </c>
      <c r="X297">
        <v>80</v>
      </c>
      <c r="Y297" t="s">
        <v>1106</v>
      </c>
      <c r="Z297" s="37">
        <v>0.8</v>
      </c>
      <c r="AA297" s="37">
        <v>0.4</v>
      </c>
      <c r="AB297">
        <v>32</v>
      </c>
    </row>
    <row r="298">
      <c r="A298" t="s">
        <v>1116</v>
      </c>
      <c r="B298" t="s">
        <v>1061</v>
      </c>
      <c r="C298" t="s">
        <v>1061</v>
      </c>
      <c r="D298" t="s">
        <v>695</v>
      </c>
      <c r="E298" t="s">
        <v>1117</v>
      </c>
      <c r="F298" t="s">
        <v>298</v>
      </c>
      <c r="G298" t="s">
        <v>1064</v>
      </c>
      <c r="H298" t="s">
        <v>1111</v>
      </c>
      <c r="I298" t="s">
        <v>1121</v>
      </c>
      <c r="K298">
        <v>87.5</v>
      </c>
      <c r="L298" t="s">
        <v>1122</v>
      </c>
      <c r="M298" s="37">
        <v>0.78</v>
      </c>
      <c r="N298" s="37">
        <v>0.3</v>
      </c>
      <c r="O298">
        <v>0.78</v>
      </c>
      <c r="P298" s="37">
        <v>0.841</v>
      </c>
      <c r="Q298">
        <v>0.84</v>
      </c>
      <c r="R298">
        <v>3234.5</v>
      </c>
      <c r="S298">
        <v>3234.5</v>
      </c>
      <c r="T298">
        <v>3000</v>
      </c>
      <c r="U298" t="s">
        <v>1123</v>
      </c>
      <c r="V298" t="s">
        <v>1124</v>
      </c>
      <c r="X298">
        <v>100</v>
      </c>
      <c r="Y298" t="s">
        <v>1106</v>
      </c>
      <c r="Z298" s="37">
        <v>1</v>
      </c>
      <c r="AA298" s="37">
        <v>0.5</v>
      </c>
      <c r="AB298">
        <v>32</v>
      </c>
    </row>
    <row r="299">
      <c r="A299" t="s">
        <v>1116</v>
      </c>
      <c r="B299" t="s">
        <v>1061</v>
      </c>
      <c r="C299" t="s">
        <v>1061</v>
      </c>
      <c r="D299" t="s">
        <v>695</v>
      </c>
      <c r="E299" t="s">
        <v>1117</v>
      </c>
      <c r="F299" t="s">
        <v>298</v>
      </c>
      <c r="G299" t="s">
        <v>1064</v>
      </c>
      <c r="H299" t="s">
        <v>1111</v>
      </c>
      <c r="I299" t="s">
        <v>1121</v>
      </c>
      <c r="K299">
        <v>87.5</v>
      </c>
      <c r="L299" t="s">
        <v>1122</v>
      </c>
      <c r="M299" s="37">
        <v>0.78</v>
      </c>
      <c r="N299" s="37">
        <v>0.3</v>
      </c>
      <c r="O299">
        <v>0.78</v>
      </c>
      <c r="P299" s="37">
        <v>0.841</v>
      </c>
      <c r="Q299">
        <v>0.84</v>
      </c>
      <c r="R299">
        <v>3234.5</v>
      </c>
      <c r="S299">
        <v>3234.5</v>
      </c>
      <c r="T299">
        <v>3000</v>
      </c>
      <c r="U299" t="s">
        <v>1125</v>
      </c>
      <c r="V299" t="s">
        <v>1126</v>
      </c>
      <c r="X299">
        <v>75</v>
      </c>
      <c r="Y299" t="s">
        <v>1106</v>
      </c>
      <c r="Z299" s="37">
        <v>0.75</v>
      </c>
      <c r="AA299" s="37">
        <v>0.5</v>
      </c>
      <c r="AB299">
        <v>32</v>
      </c>
    </row>
    <row r="300">
      <c r="A300" t="s">
        <v>1116</v>
      </c>
      <c r="B300" t="s">
        <v>1061</v>
      </c>
      <c r="C300" t="s">
        <v>1061</v>
      </c>
      <c r="D300" t="s">
        <v>695</v>
      </c>
      <c r="E300" t="s">
        <v>1117</v>
      </c>
      <c r="F300" t="s">
        <v>298</v>
      </c>
      <c r="G300" t="s">
        <v>1064</v>
      </c>
      <c r="H300" t="s">
        <v>1127</v>
      </c>
      <c r="I300" t="s">
        <v>1128</v>
      </c>
      <c r="K300">
        <v>90</v>
      </c>
      <c r="L300" t="s">
        <v>1129</v>
      </c>
      <c r="M300" s="37">
        <v>0.85</v>
      </c>
      <c r="N300" s="37">
        <v>0.3</v>
      </c>
      <c r="O300">
        <v>0.85</v>
      </c>
      <c r="P300" s="37">
        <v>0.841</v>
      </c>
      <c r="Q300">
        <v>0.84</v>
      </c>
      <c r="R300">
        <v>3234.5</v>
      </c>
      <c r="S300">
        <v>3234.5</v>
      </c>
      <c r="T300">
        <v>3000</v>
      </c>
      <c r="U300" t="s">
        <v>1130</v>
      </c>
      <c r="V300" t="s">
        <v>1131</v>
      </c>
      <c r="X300">
        <v>70</v>
      </c>
      <c r="Y300" t="s">
        <v>1106</v>
      </c>
      <c r="Z300" s="37">
        <v>0.7</v>
      </c>
      <c r="AA300" s="37">
        <v>0.7</v>
      </c>
      <c r="AB300">
        <v>32</v>
      </c>
    </row>
    <row r="301">
      <c r="A301" t="s">
        <v>1116</v>
      </c>
      <c r="B301" t="s">
        <v>1061</v>
      </c>
      <c r="C301" t="s">
        <v>1061</v>
      </c>
      <c r="D301" t="s">
        <v>695</v>
      </c>
      <c r="E301" t="s">
        <v>1117</v>
      </c>
      <c r="F301" t="s">
        <v>298</v>
      </c>
      <c r="G301" t="s">
        <v>1064</v>
      </c>
      <c r="H301" t="s">
        <v>1127</v>
      </c>
      <c r="I301" t="s">
        <v>1128</v>
      </c>
      <c r="K301">
        <v>90</v>
      </c>
      <c r="L301" t="s">
        <v>1129</v>
      </c>
      <c r="M301" s="37">
        <v>0.85</v>
      </c>
      <c r="N301" s="37">
        <v>0.3</v>
      </c>
      <c r="O301">
        <v>0.85</v>
      </c>
      <c r="P301" s="37">
        <v>0.841</v>
      </c>
      <c r="Q301">
        <v>0.84</v>
      </c>
      <c r="R301">
        <v>3234.5</v>
      </c>
      <c r="S301">
        <v>3234.5</v>
      </c>
      <c r="T301">
        <v>3000</v>
      </c>
      <c r="U301" t="s">
        <v>1132</v>
      </c>
      <c r="V301" t="s">
        <v>1133</v>
      </c>
      <c r="X301">
        <v>20</v>
      </c>
      <c r="Y301" t="s">
        <v>1106</v>
      </c>
      <c r="Z301" s="37">
        <v>0.2</v>
      </c>
      <c r="AA301" s="37">
        <v>0.3</v>
      </c>
      <c r="AB301">
        <v>32</v>
      </c>
    </row>
    <row r="302">
      <c r="A302" t="s">
        <v>1134</v>
      </c>
      <c r="B302" t="s">
        <v>1061</v>
      </c>
      <c r="C302" t="s">
        <v>1061</v>
      </c>
      <c r="D302" t="s">
        <v>695</v>
      </c>
      <c r="E302" t="s">
        <v>1135</v>
      </c>
      <c r="F302" t="s">
        <v>298</v>
      </c>
      <c r="G302" t="s">
        <v>1064</v>
      </c>
      <c r="H302" t="s">
        <v>1098</v>
      </c>
      <c r="I302" t="s">
        <v>1136</v>
      </c>
      <c r="K302" s="38">
        <v>1</v>
      </c>
      <c r="L302" t="s">
        <v>1137</v>
      </c>
      <c r="M302" s="37">
        <v>1</v>
      </c>
      <c r="N302" s="37">
        <v>0.3</v>
      </c>
      <c r="O302">
        <v>1</v>
      </c>
      <c r="P302" s="37">
        <v>0.84</v>
      </c>
      <c r="Q302">
        <v>0.84</v>
      </c>
      <c r="R302">
        <v>3350.9</v>
      </c>
      <c r="S302">
        <v>3350.9</v>
      </c>
      <c r="T302">
        <v>3000</v>
      </c>
      <c r="U302" t="s">
        <v>1101</v>
      </c>
      <c r="V302" t="s">
        <v>1102</v>
      </c>
      <c r="X302" s="38">
        <v>1</v>
      </c>
      <c r="Y302" t="s">
        <v>1138</v>
      </c>
      <c r="Z302" s="37">
        <v>1</v>
      </c>
      <c r="AA302" s="37">
        <v>0.8</v>
      </c>
      <c r="AB302">
        <v>80</v>
      </c>
    </row>
    <row r="303">
      <c r="A303" t="s">
        <v>1134</v>
      </c>
      <c r="B303" t="s">
        <v>1061</v>
      </c>
      <c r="C303" t="s">
        <v>1061</v>
      </c>
      <c r="D303" t="s">
        <v>695</v>
      </c>
      <c r="E303" t="s">
        <v>1135</v>
      </c>
      <c r="F303" t="s">
        <v>298</v>
      </c>
      <c r="G303" t="s">
        <v>1064</v>
      </c>
      <c r="H303" t="s">
        <v>1098</v>
      </c>
      <c r="I303" t="s">
        <v>1136</v>
      </c>
      <c r="K303" s="38">
        <v>1</v>
      </c>
      <c r="L303" t="s">
        <v>1137</v>
      </c>
      <c r="M303" s="37">
        <v>1</v>
      </c>
      <c r="N303" s="37">
        <v>0.3</v>
      </c>
      <c r="O303">
        <v>1</v>
      </c>
      <c r="P303" s="37">
        <v>0.84</v>
      </c>
      <c r="Q303">
        <v>0.84</v>
      </c>
      <c r="R303">
        <v>3350.9</v>
      </c>
      <c r="S303">
        <v>3350.9</v>
      </c>
      <c r="T303">
        <v>3000</v>
      </c>
      <c r="U303" t="s">
        <v>1104</v>
      </c>
      <c r="V303" t="s">
        <v>1105</v>
      </c>
      <c r="X303" s="38">
        <v>1</v>
      </c>
      <c r="Y303" t="s">
        <v>1139</v>
      </c>
      <c r="Z303" s="37">
        <v>1</v>
      </c>
      <c r="AA303" s="37">
        <v>0.2</v>
      </c>
      <c r="AB303">
        <v>20</v>
      </c>
    </row>
    <row r="304">
      <c r="A304" t="s">
        <v>1134</v>
      </c>
      <c r="B304" t="s">
        <v>1061</v>
      </c>
      <c r="C304" t="s">
        <v>1061</v>
      </c>
      <c r="D304" t="s">
        <v>695</v>
      </c>
      <c r="E304" t="s">
        <v>1135</v>
      </c>
      <c r="F304" t="s">
        <v>298</v>
      </c>
      <c r="G304" t="s">
        <v>1064</v>
      </c>
      <c r="H304" t="s">
        <v>1111</v>
      </c>
      <c r="I304" t="s">
        <v>1140</v>
      </c>
      <c r="K304" s="38">
        <v>0.6</v>
      </c>
      <c r="L304" t="s">
        <v>1141</v>
      </c>
      <c r="M304" s="37">
        <v>0.6</v>
      </c>
      <c r="N304" s="37">
        <v>0.3</v>
      </c>
      <c r="O304">
        <v>0.6</v>
      </c>
      <c r="P304" s="37">
        <v>0.84</v>
      </c>
      <c r="Q304">
        <v>0.84</v>
      </c>
      <c r="R304">
        <v>3350.9</v>
      </c>
      <c r="S304">
        <v>3350.9</v>
      </c>
      <c r="T304">
        <v>3000</v>
      </c>
      <c r="U304" t="s">
        <v>1142</v>
      </c>
      <c r="X304" t="s">
        <v>706</v>
      </c>
      <c r="Y304" t="s">
        <v>1143</v>
      </c>
      <c r="Z304" s="37">
        <v>0.6</v>
      </c>
      <c r="AA304" s="37">
        <v>0.4</v>
      </c>
      <c r="AB304">
        <v>40</v>
      </c>
    </row>
    <row r="305">
      <c r="A305" t="s">
        <v>1134</v>
      </c>
      <c r="B305" t="s">
        <v>1061</v>
      </c>
      <c r="C305" t="s">
        <v>1061</v>
      </c>
      <c r="D305" t="s">
        <v>695</v>
      </c>
      <c r="E305" t="s">
        <v>1135</v>
      </c>
      <c r="F305" t="s">
        <v>298</v>
      </c>
      <c r="G305" t="s">
        <v>1064</v>
      </c>
      <c r="H305" t="s">
        <v>1111</v>
      </c>
      <c r="I305" t="s">
        <v>1140</v>
      </c>
      <c r="K305" s="38">
        <v>0.6</v>
      </c>
      <c r="L305" t="s">
        <v>1141</v>
      </c>
      <c r="M305" s="37">
        <v>0.6</v>
      </c>
      <c r="N305" s="37">
        <v>0.3</v>
      </c>
      <c r="O305">
        <v>0.6</v>
      </c>
      <c r="P305" s="37">
        <v>0.84</v>
      </c>
      <c r="Q305">
        <v>0.84</v>
      </c>
      <c r="R305">
        <v>3350.9</v>
      </c>
      <c r="S305">
        <v>3350.9</v>
      </c>
      <c r="T305">
        <v>3000</v>
      </c>
      <c r="U305" t="s">
        <v>1144</v>
      </c>
      <c r="X305" s="38">
        <v>0.6</v>
      </c>
      <c r="Y305" t="s">
        <v>1145</v>
      </c>
      <c r="Z305" s="37">
        <v>0.6</v>
      </c>
      <c r="AA305" s="37">
        <v>0.6</v>
      </c>
      <c r="AB305">
        <v>36</v>
      </c>
    </row>
    <row r="306">
      <c r="A306" t="s">
        <v>1134</v>
      </c>
      <c r="B306" t="s">
        <v>1061</v>
      </c>
      <c r="C306" t="s">
        <v>1061</v>
      </c>
      <c r="D306" t="s">
        <v>695</v>
      </c>
      <c r="E306" t="s">
        <v>1135</v>
      </c>
      <c r="F306" t="s">
        <v>298</v>
      </c>
      <c r="G306" t="s">
        <v>1064</v>
      </c>
      <c r="H306" t="s">
        <v>1098</v>
      </c>
      <c r="I306" t="s">
        <v>1146</v>
      </c>
      <c r="K306" s="38">
        <v>0.9</v>
      </c>
      <c r="L306" t="s">
        <v>1147</v>
      </c>
      <c r="M306" s="37">
        <v>0.9</v>
      </c>
      <c r="N306" s="37">
        <v>0.4</v>
      </c>
      <c r="O306">
        <v>0.96</v>
      </c>
      <c r="P306" s="37">
        <v>0.84</v>
      </c>
      <c r="Q306">
        <v>0.84</v>
      </c>
      <c r="R306">
        <v>3350.9</v>
      </c>
      <c r="S306">
        <v>3350.9</v>
      </c>
      <c r="T306">
        <v>3000</v>
      </c>
      <c r="U306" t="s">
        <v>1148</v>
      </c>
      <c r="V306" t="s">
        <v>1149</v>
      </c>
      <c r="X306">
        <v>100</v>
      </c>
      <c r="Y306" t="s">
        <v>1150</v>
      </c>
      <c r="Z306" s="37">
        <v>0.9</v>
      </c>
      <c r="AA306" s="37">
        <v>0.6</v>
      </c>
      <c r="AB306">
        <v>60</v>
      </c>
    </row>
    <row r="307">
      <c r="A307" t="s">
        <v>1134</v>
      </c>
      <c r="B307" t="s">
        <v>1061</v>
      </c>
      <c r="C307" t="s">
        <v>1061</v>
      </c>
      <c r="D307" t="s">
        <v>695</v>
      </c>
      <c r="E307" t="s">
        <v>1135</v>
      </c>
      <c r="F307" t="s">
        <v>298</v>
      </c>
      <c r="G307" t="s">
        <v>1064</v>
      </c>
      <c r="H307" t="s">
        <v>1098</v>
      </c>
      <c r="I307" t="s">
        <v>1146</v>
      </c>
      <c r="K307" s="38">
        <v>0.9</v>
      </c>
      <c r="L307" t="s">
        <v>1147</v>
      </c>
      <c r="M307" s="37">
        <v>0.9</v>
      </c>
      <c r="N307" s="37">
        <v>0.4</v>
      </c>
      <c r="O307">
        <v>0.96</v>
      </c>
      <c r="P307" s="37">
        <v>0.84</v>
      </c>
      <c r="Q307">
        <v>0.84</v>
      </c>
      <c r="R307">
        <v>3350.9</v>
      </c>
      <c r="S307">
        <v>3350.9</v>
      </c>
      <c r="T307">
        <v>3000</v>
      </c>
      <c r="U307" t="s">
        <v>1151</v>
      </c>
      <c r="V307" t="s">
        <v>1152</v>
      </c>
      <c r="X307">
        <v>90</v>
      </c>
      <c r="Y307" t="s">
        <v>1153</v>
      </c>
      <c r="Z307" s="37">
        <v>0.9</v>
      </c>
      <c r="AA307" s="37">
        <v>0.4</v>
      </c>
      <c r="AB307">
        <v>36</v>
      </c>
    </row>
    <row r="308">
      <c r="A308" t="s">
        <v>1154</v>
      </c>
      <c r="B308" t="s">
        <v>1061</v>
      </c>
      <c r="C308" t="s">
        <v>1061</v>
      </c>
      <c r="D308" t="s">
        <v>1155</v>
      </c>
      <c r="E308" t="s">
        <v>1156</v>
      </c>
      <c r="F308" t="s">
        <v>298</v>
      </c>
      <c r="G308" t="s">
        <v>1157</v>
      </c>
      <c r="H308" t="s">
        <v>1158</v>
      </c>
      <c r="I308" t="s">
        <v>1159</v>
      </c>
      <c r="J308" s="38">
        <v>0.3</v>
      </c>
      <c r="K308" s="38">
        <v>1</v>
      </c>
      <c r="L308" t="s">
        <v>1160</v>
      </c>
      <c r="M308" s="37">
        <v>1</v>
      </c>
      <c r="N308" s="37">
        <v>0.3</v>
      </c>
      <c r="O308">
        <v>100</v>
      </c>
      <c r="P308" s="37">
        <v>0.888</v>
      </c>
      <c r="Q308">
        <v>88.8</v>
      </c>
      <c r="R308">
        <v>852.5</v>
      </c>
      <c r="S308">
        <v>852.5</v>
      </c>
      <c r="T308">
        <v>1200</v>
      </c>
      <c r="U308" t="s">
        <v>1161</v>
      </c>
      <c r="X308">
        <v>100</v>
      </c>
      <c r="Y308" t="s">
        <v>1153</v>
      </c>
      <c r="Z308" s="37">
        <v>1</v>
      </c>
      <c r="AA308" s="37">
        <v>0.4</v>
      </c>
      <c r="AB308">
        <v>100</v>
      </c>
    </row>
    <row r="309">
      <c r="A309" t="s">
        <v>1154</v>
      </c>
      <c r="B309" t="s">
        <v>1061</v>
      </c>
      <c r="C309" t="s">
        <v>1061</v>
      </c>
      <c r="D309" t="s">
        <v>1155</v>
      </c>
      <c r="E309" t="s">
        <v>1156</v>
      </c>
      <c r="F309" t="s">
        <v>298</v>
      </c>
      <c r="G309" t="s">
        <v>1157</v>
      </c>
      <c r="H309" t="s">
        <v>1158</v>
      </c>
      <c r="I309" t="s">
        <v>1159</v>
      </c>
      <c r="J309" s="38">
        <v>0.3</v>
      </c>
      <c r="K309" s="38">
        <v>1</v>
      </c>
      <c r="L309" t="s">
        <v>1160</v>
      </c>
      <c r="M309" s="37">
        <v>1</v>
      </c>
      <c r="N309" s="37">
        <v>0.3</v>
      </c>
      <c r="O309">
        <v>100</v>
      </c>
      <c r="P309" s="37">
        <v>0.888</v>
      </c>
      <c r="Q309">
        <v>88.8</v>
      </c>
      <c r="R309">
        <v>852.5</v>
      </c>
      <c r="S309">
        <v>852.5</v>
      </c>
      <c r="T309">
        <v>1200</v>
      </c>
      <c r="U309" t="s">
        <v>1162</v>
      </c>
      <c r="W309">
        <v>100</v>
      </c>
      <c r="X309">
        <v>100</v>
      </c>
      <c r="Y309" t="s">
        <v>1153</v>
      </c>
      <c r="Z309" s="37">
        <v>1</v>
      </c>
      <c r="AA309" s="37">
        <v>0.6</v>
      </c>
      <c r="AB309">
        <v>100</v>
      </c>
    </row>
    <row r="310">
      <c r="A310" t="s">
        <v>1154</v>
      </c>
      <c r="B310" t="s">
        <v>1061</v>
      </c>
      <c r="C310" t="s">
        <v>1061</v>
      </c>
      <c r="D310" t="s">
        <v>1155</v>
      </c>
      <c r="E310" t="s">
        <v>1156</v>
      </c>
      <c r="F310" t="s">
        <v>298</v>
      </c>
      <c r="G310" t="s">
        <v>1157</v>
      </c>
      <c r="H310" t="s">
        <v>1163</v>
      </c>
      <c r="I310" t="s">
        <v>1164</v>
      </c>
      <c r="J310" s="38">
        <v>0.7</v>
      </c>
      <c r="K310" s="38">
        <v>0.84</v>
      </c>
      <c r="L310" t="s">
        <v>1165</v>
      </c>
      <c r="M310" s="37">
        <v>0.84</v>
      </c>
      <c r="N310" s="37">
        <v>0.7</v>
      </c>
      <c r="O310">
        <v>84</v>
      </c>
      <c r="P310" s="37">
        <v>0.888</v>
      </c>
      <c r="Q310">
        <v>88.8</v>
      </c>
      <c r="R310">
        <v>852.5</v>
      </c>
      <c r="S310">
        <v>852.5</v>
      </c>
      <c r="T310">
        <v>1200</v>
      </c>
      <c r="U310" t="s">
        <v>1162</v>
      </c>
      <c r="W310">
        <v>100</v>
      </c>
      <c r="X310">
        <v>100</v>
      </c>
      <c r="Y310" t="s">
        <v>1153</v>
      </c>
      <c r="Z310" s="37">
        <v>1</v>
      </c>
      <c r="AA310" s="37">
        <v>0.6</v>
      </c>
      <c r="AB310">
        <v>100</v>
      </c>
    </row>
    <row r="311">
      <c r="A311" t="s">
        <v>1166</v>
      </c>
      <c r="B311" t="s">
        <v>1061</v>
      </c>
      <c r="C311" t="s">
        <v>1061</v>
      </c>
      <c r="D311" t="s">
        <v>1155</v>
      </c>
      <c r="E311" t="s">
        <v>1167</v>
      </c>
      <c r="F311" t="s">
        <v>298</v>
      </c>
      <c r="G311" t="s">
        <v>1157</v>
      </c>
      <c r="H311" t="s">
        <v>1158</v>
      </c>
      <c r="I311" t="s">
        <v>1168</v>
      </c>
      <c r="J311" s="38">
        <v>0.3</v>
      </c>
      <c r="K311" s="38">
        <v>0.3</v>
      </c>
      <c r="L311" t="s">
        <v>1169</v>
      </c>
      <c r="M311" s="37">
        <v>1</v>
      </c>
      <c r="N311" s="37">
        <v>0.3</v>
      </c>
      <c r="O311">
        <v>1</v>
      </c>
      <c r="P311" s="37">
        <v>0.9825</v>
      </c>
      <c r="Q311">
        <v>0.98</v>
      </c>
      <c r="R311">
        <v>1482.2</v>
      </c>
      <c r="S311">
        <v>1482.2</v>
      </c>
      <c r="T311">
        <v>1500</v>
      </c>
      <c r="U311" t="s">
        <v>1161</v>
      </c>
      <c r="W311" s="38">
        <v>0.4</v>
      </c>
      <c r="X311">
        <v>40</v>
      </c>
      <c r="Y311" t="s">
        <v>1170</v>
      </c>
      <c r="Z311" s="37">
        <v>0.4</v>
      </c>
      <c r="AA311" s="37">
        <v>0.4</v>
      </c>
      <c r="AB311">
        <v>100</v>
      </c>
    </row>
    <row r="312">
      <c r="A312" t="s">
        <v>1166</v>
      </c>
      <c r="B312" t="s">
        <v>1061</v>
      </c>
      <c r="C312" t="s">
        <v>1061</v>
      </c>
      <c r="D312" t="s">
        <v>1155</v>
      </c>
      <c r="E312" t="s">
        <v>1167</v>
      </c>
      <c r="F312" t="s">
        <v>298</v>
      </c>
      <c r="G312" t="s">
        <v>1157</v>
      </c>
      <c r="H312" t="s">
        <v>1158</v>
      </c>
      <c r="I312" t="s">
        <v>1168</v>
      </c>
      <c r="J312" s="38">
        <v>0.3</v>
      </c>
      <c r="K312" s="38">
        <v>0.3</v>
      </c>
      <c r="L312" t="s">
        <v>1169</v>
      </c>
      <c r="M312" s="37">
        <v>1</v>
      </c>
      <c r="N312" s="37">
        <v>0.3</v>
      </c>
      <c r="O312">
        <v>1</v>
      </c>
      <c r="P312" s="37">
        <v>0.9825</v>
      </c>
      <c r="Q312">
        <v>0.98</v>
      </c>
      <c r="R312">
        <v>1482.2</v>
      </c>
      <c r="S312">
        <v>1482.2</v>
      </c>
      <c r="T312">
        <v>1500</v>
      </c>
      <c r="U312" t="s">
        <v>1162</v>
      </c>
      <c r="W312" s="38">
        <v>0.6</v>
      </c>
      <c r="X312">
        <v>60</v>
      </c>
      <c r="Y312" t="s">
        <v>1170</v>
      </c>
      <c r="Z312" s="37">
        <v>0.6</v>
      </c>
      <c r="AA312" s="37">
        <v>0.6</v>
      </c>
      <c r="AB312">
        <v>100</v>
      </c>
    </row>
    <row r="313">
      <c r="A313" t="s">
        <v>1166</v>
      </c>
      <c r="B313" t="s">
        <v>1061</v>
      </c>
      <c r="C313" t="s">
        <v>1061</v>
      </c>
      <c r="D313" t="s">
        <v>1155</v>
      </c>
      <c r="E313" t="s">
        <v>1167</v>
      </c>
      <c r="F313" t="s">
        <v>298</v>
      </c>
      <c r="G313" t="s">
        <v>1157</v>
      </c>
      <c r="H313" t="s">
        <v>1163</v>
      </c>
      <c r="I313" t="s">
        <v>1171</v>
      </c>
      <c r="J313" s="38">
        <v>0.7</v>
      </c>
      <c r="K313" s="37">
        <v>0.975</v>
      </c>
      <c r="L313" t="s">
        <v>1172</v>
      </c>
      <c r="M313" s="37">
        <v>0.975</v>
      </c>
      <c r="N313" s="37">
        <v>0.7</v>
      </c>
      <c r="O313">
        <v>0.975</v>
      </c>
      <c r="P313" s="37">
        <v>0.9825</v>
      </c>
      <c r="Q313">
        <v>0.98</v>
      </c>
      <c r="R313">
        <v>1482.2</v>
      </c>
      <c r="S313">
        <v>1482.2</v>
      </c>
      <c r="T313">
        <v>1500</v>
      </c>
      <c r="U313" t="s">
        <v>1162</v>
      </c>
      <c r="W313" s="38">
        <v>0.6</v>
      </c>
      <c r="X313">
        <v>60</v>
      </c>
      <c r="Y313" t="s">
        <v>1170</v>
      </c>
      <c r="Z313" s="37">
        <v>0.6</v>
      </c>
      <c r="AA313" s="37">
        <v>0.6</v>
      </c>
      <c r="AB313">
        <v>100</v>
      </c>
    </row>
    <row r="314">
      <c r="A314" t="s">
        <v>1173</v>
      </c>
      <c r="B314" t="s">
        <v>1174</v>
      </c>
      <c r="C314" t="s">
        <v>1174</v>
      </c>
      <c r="D314" t="s">
        <v>1175</v>
      </c>
      <c r="E314" t="s">
        <v>1176</v>
      </c>
      <c r="F314" t="s">
        <v>298</v>
      </c>
      <c r="G314" t="s">
        <v>1177</v>
      </c>
      <c r="H314" t="s">
        <v>1178</v>
      </c>
      <c r="I314" t="s">
        <v>1179</v>
      </c>
      <c r="K314" s="37">
        <v>0.975</v>
      </c>
      <c r="L314" t="s">
        <v>1172</v>
      </c>
      <c r="M314" s="37">
        <v>1</v>
      </c>
      <c r="N314" s="37">
        <v>0.8</v>
      </c>
      <c r="O314">
        <v>80</v>
      </c>
      <c r="P314" s="37">
        <v>0.96</v>
      </c>
      <c r="Q314">
        <v>0.96</v>
      </c>
      <c r="R314">
        <v>0</v>
      </c>
      <c r="S314">
        <v>0</v>
      </c>
      <c r="T314">
        <v>0</v>
      </c>
      <c r="U314" t="s">
        <v>1162</v>
      </c>
      <c r="W314" s="38">
        <v>0.6</v>
      </c>
      <c r="X314">
        <v>60</v>
      </c>
      <c r="Y314" t="s">
        <v>1170</v>
      </c>
      <c r="Z314" s="37">
        <v>0.6</v>
      </c>
      <c r="AA314" s="37">
        <v>0.6</v>
      </c>
      <c r="AB314">
        <v>100</v>
      </c>
    </row>
    <row r="315">
      <c r="A315" t="s">
        <v>1173</v>
      </c>
      <c r="B315" t="s">
        <v>1174</v>
      </c>
      <c r="C315" t="s">
        <v>1174</v>
      </c>
      <c r="D315" t="s">
        <v>1175</v>
      </c>
      <c r="E315" t="s">
        <v>1176</v>
      </c>
      <c r="F315" t="s">
        <v>298</v>
      </c>
      <c r="G315" t="s">
        <v>1177</v>
      </c>
      <c r="H315" t="s">
        <v>1178</v>
      </c>
      <c r="I315" t="s">
        <v>1180</v>
      </c>
      <c r="K315" s="37">
        <v>0.975</v>
      </c>
      <c r="L315" t="s">
        <v>1172</v>
      </c>
      <c r="M315" s="37">
        <v>0.8</v>
      </c>
      <c r="N315" s="37">
        <v>0.2</v>
      </c>
      <c r="O315">
        <v>16</v>
      </c>
      <c r="P315" s="37">
        <v>0.96</v>
      </c>
      <c r="Q315">
        <v>0.96</v>
      </c>
      <c r="R315">
        <v>0</v>
      </c>
      <c r="S315">
        <v>0</v>
      </c>
      <c r="T315">
        <v>0</v>
      </c>
      <c r="U315" t="s">
        <v>1162</v>
      </c>
      <c r="W315" s="38">
        <v>0.6</v>
      </c>
      <c r="X315">
        <v>60</v>
      </c>
      <c r="Y315" t="s">
        <v>1170</v>
      </c>
      <c r="Z315" s="37">
        <v>0.6</v>
      </c>
      <c r="AA315" s="37">
        <v>0.6</v>
      </c>
      <c r="AB315">
        <v>100</v>
      </c>
    </row>
    <row r="316">
      <c r="A316" t="s">
        <v>1181</v>
      </c>
      <c r="B316" t="s">
        <v>1182</v>
      </c>
      <c r="C316" t="s">
        <v>1182</v>
      </c>
      <c r="D316" t="s">
        <v>841</v>
      </c>
      <c r="E316" t="s">
        <v>1183</v>
      </c>
      <c r="F316" t="s">
        <v>298</v>
      </c>
      <c r="G316" t="s">
        <v>1184</v>
      </c>
      <c r="H316" t="s">
        <v>1185</v>
      </c>
      <c r="I316" t="s">
        <v>1186</v>
      </c>
      <c r="J316" t="s">
        <v>1187</v>
      </c>
      <c r="K316" t="s">
        <v>1188</v>
      </c>
      <c r="L316" t="s">
        <v>1172</v>
      </c>
      <c r="M316" s="37">
        <v>0.215618</v>
      </c>
      <c r="N316" s="37">
        <v>0.25</v>
      </c>
      <c r="O316">
        <v>0.2156</v>
      </c>
      <c r="P316" s="37">
        <v>0.373905</v>
      </c>
      <c r="Q316">
        <v>0.37</v>
      </c>
      <c r="R316">
        <v>3534.14</v>
      </c>
      <c r="S316">
        <v>3534.14</v>
      </c>
      <c r="T316">
        <v>5000</v>
      </c>
      <c r="U316" t="s">
        <v>1162</v>
      </c>
      <c r="W316" s="38">
        <v>0.6</v>
      </c>
      <c r="X316">
        <v>60</v>
      </c>
      <c r="Y316" t="s">
        <v>1170</v>
      </c>
      <c r="Z316" s="37">
        <v>0.6</v>
      </c>
      <c r="AA316" s="37">
        <v>0.6</v>
      </c>
      <c r="AB316">
        <v>100</v>
      </c>
    </row>
    <row r="317">
      <c r="A317" t="s">
        <v>1181</v>
      </c>
      <c r="B317" t="s">
        <v>1182</v>
      </c>
      <c r="C317" t="s">
        <v>1182</v>
      </c>
      <c r="D317" t="s">
        <v>841</v>
      </c>
      <c r="E317" t="s">
        <v>1183</v>
      </c>
      <c r="F317" t="s">
        <v>298</v>
      </c>
      <c r="G317" t="s">
        <v>1184</v>
      </c>
      <c r="H317" t="s">
        <v>1189</v>
      </c>
      <c r="I317" t="s">
        <v>1190</v>
      </c>
      <c r="J317" t="s">
        <v>1191</v>
      </c>
      <c r="K317" t="s">
        <v>1192</v>
      </c>
      <c r="L317" t="s">
        <v>1172</v>
      </c>
      <c r="M317" s="37">
        <v>0</v>
      </c>
      <c r="N317" s="37">
        <v>0.35</v>
      </c>
      <c r="O317">
        <v>0</v>
      </c>
      <c r="P317" s="37">
        <v>0.373905</v>
      </c>
      <c r="Q317">
        <v>0.37</v>
      </c>
      <c r="R317">
        <v>3534.14</v>
      </c>
      <c r="S317">
        <v>3534.14</v>
      </c>
      <c r="T317">
        <v>5000</v>
      </c>
      <c r="U317" t="s">
        <v>1162</v>
      </c>
      <c r="W317" s="38">
        <v>0.6</v>
      </c>
      <c r="X317">
        <v>60</v>
      </c>
      <c r="Y317" t="s">
        <v>1170</v>
      </c>
      <c r="Z317" s="37">
        <v>0.6</v>
      </c>
      <c r="AA317" s="37">
        <v>0.6</v>
      </c>
      <c r="AB317">
        <v>100</v>
      </c>
    </row>
    <row r="318">
      <c r="A318" t="s">
        <v>1181</v>
      </c>
      <c r="B318" t="s">
        <v>1182</v>
      </c>
      <c r="C318" t="s">
        <v>1182</v>
      </c>
      <c r="D318" t="s">
        <v>841</v>
      </c>
      <c r="E318" t="s">
        <v>1183</v>
      </c>
      <c r="F318" t="s">
        <v>298</v>
      </c>
      <c r="G318" t="s">
        <v>1184</v>
      </c>
      <c r="H318" t="s">
        <v>1193</v>
      </c>
      <c r="I318" t="s">
        <v>1194</v>
      </c>
      <c r="J318" t="s">
        <v>1195</v>
      </c>
      <c r="K318" t="s">
        <v>1196</v>
      </c>
      <c r="L318" t="s">
        <v>1172</v>
      </c>
      <c r="M318" s="37">
        <v>0.8</v>
      </c>
      <c r="N318" s="37">
        <v>0.4</v>
      </c>
      <c r="O318">
        <v>0.8</v>
      </c>
      <c r="P318" s="37">
        <v>0.373905</v>
      </c>
      <c r="Q318">
        <v>0.37</v>
      </c>
      <c r="R318">
        <v>3534.14</v>
      </c>
      <c r="S318">
        <v>3534.14</v>
      </c>
      <c r="T318">
        <v>5000</v>
      </c>
      <c r="U318" t="s">
        <v>1162</v>
      </c>
      <c r="W318" s="38">
        <v>0.6</v>
      </c>
      <c r="X318">
        <v>60</v>
      </c>
      <c r="Y318" t="s">
        <v>1170</v>
      </c>
      <c r="Z318" s="37">
        <v>0.6</v>
      </c>
      <c r="AA318" s="37">
        <v>0.6</v>
      </c>
      <c r="AB318">
        <v>100</v>
      </c>
    </row>
    <row r="319">
      <c r="A319" t="s">
        <v>1197</v>
      </c>
      <c r="B319" t="s">
        <v>1182</v>
      </c>
      <c r="C319" t="s">
        <v>1182</v>
      </c>
      <c r="D319" t="s">
        <v>841</v>
      </c>
      <c r="E319" t="s">
        <v>1198</v>
      </c>
      <c r="F319" t="s">
        <v>298</v>
      </c>
      <c r="G319" t="s">
        <v>1184</v>
      </c>
      <c r="H319" t="s">
        <v>1185</v>
      </c>
      <c r="I319" t="s">
        <v>1199</v>
      </c>
      <c r="J319" t="s">
        <v>1200</v>
      </c>
      <c r="K319" t="s">
        <v>1201</v>
      </c>
      <c r="L319" t="s">
        <v>1172</v>
      </c>
      <c r="M319" s="37">
        <v>0.248752</v>
      </c>
      <c r="N319" s="37">
        <v>0.25</v>
      </c>
      <c r="O319">
        <v>0.2488</v>
      </c>
      <c r="P319" s="37">
        <v>0.118188</v>
      </c>
      <c r="Q319">
        <v>0.12</v>
      </c>
      <c r="R319">
        <v>2208.84</v>
      </c>
      <c r="S319">
        <v>2208.84</v>
      </c>
      <c r="T319">
        <v>5000</v>
      </c>
      <c r="U319" t="s">
        <v>1162</v>
      </c>
      <c r="W319" s="38">
        <v>0.6</v>
      </c>
      <c r="X319">
        <v>60</v>
      </c>
      <c r="Y319" t="s">
        <v>1170</v>
      </c>
      <c r="Z319" s="37">
        <v>0.6</v>
      </c>
      <c r="AA319" s="37">
        <v>0.6</v>
      </c>
      <c r="AB319">
        <v>100</v>
      </c>
    </row>
    <row r="320">
      <c r="A320" t="s">
        <v>1197</v>
      </c>
      <c r="B320" t="s">
        <v>1182</v>
      </c>
      <c r="C320" t="s">
        <v>1182</v>
      </c>
      <c r="D320" t="s">
        <v>841</v>
      </c>
      <c r="E320" t="s">
        <v>1198</v>
      </c>
      <c r="F320" t="s">
        <v>298</v>
      </c>
      <c r="G320" t="s">
        <v>1184</v>
      </c>
      <c r="H320" t="s">
        <v>1189</v>
      </c>
      <c r="I320" t="s">
        <v>1202</v>
      </c>
      <c r="J320" t="s">
        <v>1203</v>
      </c>
      <c r="K320" t="s">
        <v>1204</v>
      </c>
      <c r="L320" t="s">
        <v>1172</v>
      </c>
      <c r="M320" s="37">
        <v>0</v>
      </c>
      <c r="N320" s="37">
        <v>0.35</v>
      </c>
      <c r="O320">
        <v>0</v>
      </c>
      <c r="P320" s="37">
        <v>0.118188</v>
      </c>
      <c r="Q320">
        <v>0.12</v>
      </c>
      <c r="R320">
        <v>2208.84</v>
      </c>
      <c r="S320">
        <v>2208.84</v>
      </c>
      <c r="T320">
        <v>5000</v>
      </c>
      <c r="U320" t="s">
        <v>1162</v>
      </c>
      <c r="W320" s="38">
        <v>0.6</v>
      </c>
      <c r="X320">
        <v>60</v>
      </c>
      <c r="Y320" t="s">
        <v>1170</v>
      </c>
      <c r="Z320" s="37">
        <v>0.6</v>
      </c>
      <c r="AA320" s="37">
        <v>0.6</v>
      </c>
      <c r="AB320">
        <v>100</v>
      </c>
    </row>
    <row r="321">
      <c r="A321" t="s">
        <v>1197</v>
      </c>
      <c r="B321" t="s">
        <v>1182</v>
      </c>
      <c r="C321" t="s">
        <v>1182</v>
      </c>
      <c r="D321" t="s">
        <v>841</v>
      </c>
      <c r="E321" t="s">
        <v>1198</v>
      </c>
      <c r="F321" t="s">
        <v>298</v>
      </c>
      <c r="G321" t="s">
        <v>1184</v>
      </c>
      <c r="H321" t="s">
        <v>1193</v>
      </c>
      <c r="I321" t="s">
        <v>1194</v>
      </c>
      <c r="J321" t="s">
        <v>1195</v>
      </c>
      <c r="K321" t="s">
        <v>1205</v>
      </c>
      <c r="L321" t="s">
        <v>1172</v>
      </c>
      <c r="M321" s="37">
        <v>0.14</v>
      </c>
      <c r="N321" s="37">
        <v>0.4</v>
      </c>
      <c r="O321">
        <v>0.14</v>
      </c>
      <c r="P321" s="37">
        <v>0.118188</v>
      </c>
      <c r="Q321">
        <v>0.12</v>
      </c>
      <c r="R321">
        <v>2208.84</v>
      </c>
      <c r="S321">
        <v>2208.84</v>
      </c>
      <c r="T321">
        <v>5000</v>
      </c>
      <c r="U321" t="s">
        <v>1162</v>
      </c>
      <c r="W321" s="38">
        <v>0.6</v>
      </c>
      <c r="X321">
        <v>60</v>
      </c>
      <c r="Y321" t="s">
        <v>1170</v>
      </c>
      <c r="Z321" s="37">
        <v>0.6</v>
      </c>
      <c r="AA321" s="37">
        <v>0.6</v>
      </c>
      <c r="AB321">
        <v>100</v>
      </c>
    </row>
    <row r="322">
      <c r="A322" t="s">
        <v>1206</v>
      </c>
      <c r="B322" t="s">
        <v>1182</v>
      </c>
      <c r="C322" t="s">
        <v>1182</v>
      </c>
      <c r="D322" t="s">
        <v>359</v>
      </c>
      <c r="E322" t="s">
        <v>1207</v>
      </c>
      <c r="F322" t="s">
        <v>298</v>
      </c>
      <c r="G322" t="s">
        <v>1184</v>
      </c>
      <c r="H322" t="s">
        <v>1185</v>
      </c>
      <c r="I322" t="s">
        <v>1208</v>
      </c>
      <c r="J322" t="s">
        <v>1209</v>
      </c>
      <c r="K322" t="s">
        <v>1210</v>
      </c>
      <c r="L322" t="s">
        <v>1172</v>
      </c>
      <c r="M322" s="37">
        <v>1.125533</v>
      </c>
      <c r="N322" s="37">
        <v>0.25</v>
      </c>
      <c r="O322">
        <v>1.1255</v>
      </c>
      <c r="P322" s="37">
        <v>1.620468</v>
      </c>
      <c r="Q322">
        <v>0.97</v>
      </c>
      <c r="R322">
        <v>7068.27</v>
      </c>
      <c r="S322">
        <v>7068.27</v>
      </c>
      <c r="T322">
        <v>5000</v>
      </c>
      <c r="U322" t="s">
        <v>1162</v>
      </c>
      <c r="W322" s="38">
        <v>0.6</v>
      </c>
      <c r="X322">
        <v>60</v>
      </c>
      <c r="Y322" t="s">
        <v>1170</v>
      </c>
      <c r="Z322" s="37">
        <v>0.6</v>
      </c>
      <c r="AA322" s="37">
        <v>0.6</v>
      </c>
      <c r="AB322">
        <v>100</v>
      </c>
    </row>
    <row r="323">
      <c r="A323" t="s">
        <v>1206</v>
      </c>
      <c r="B323" t="s">
        <v>1182</v>
      </c>
      <c r="C323" t="s">
        <v>1182</v>
      </c>
      <c r="D323" t="s">
        <v>359</v>
      </c>
      <c r="E323" t="s">
        <v>1207</v>
      </c>
      <c r="F323" t="s">
        <v>298</v>
      </c>
      <c r="G323" t="s">
        <v>1184</v>
      </c>
      <c r="H323" t="s">
        <v>1189</v>
      </c>
      <c r="I323" t="s">
        <v>1211</v>
      </c>
      <c r="J323" t="s">
        <v>1212</v>
      </c>
      <c r="K323" t="s">
        <v>1213</v>
      </c>
      <c r="L323" t="s">
        <v>1172</v>
      </c>
      <c r="M323" s="37">
        <v>3.368814</v>
      </c>
      <c r="N323" s="37">
        <v>0.35</v>
      </c>
      <c r="O323">
        <v>1.5</v>
      </c>
      <c r="P323" s="37">
        <v>1.620468</v>
      </c>
      <c r="Q323">
        <v>0.97</v>
      </c>
      <c r="R323">
        <v>7068.27</v>
      </c>
      <c r="S323">
        <v>7068.27</v>
      </c>
      <c r="T323">
        <v>5000</v>
      </c>
      <c r="U323" t="s">
        <v>1162</v>
      </c>
      <c r="W323" s="38">
        <v>0.6</v>
      </c>
      <c r="X323">
        <v>60</v>
      </c>
      <c r="Y323" t="s">
        <v>1170</v>
      </c>
      <c r="Z323" s="37">
        <v>0.6</v>
      </c>
      <c r="AA323" s="37">
        <v>0.6</v>
      </c>
      <c r="AB323">
        <v>100</v>
      </c>
    </row>
    <row r="324">
      <c r="A324" t="s">
        <v>1206</v>
      </c>
      <c r="B324" t="s">
        <v>1182</v>
      </c>
      <c r="C324" t="s">
        <v>1182</v>
      </c>
      <c r="D324" t="s">
        <v>359</v>
      </c>
      <c r="E324" t="s">
        <v>1207</v>
      </c>
      <c r="F324" t="s">
        <v>298</v>
      </c>
      <c r="G324" t="s">
        <v>1184</v>
      </c>
      <c r="H324" t="s">
        <v>1193</v>
      </c>
      <c r="I324" t="s">
        <v>1194</v>
      </c>
      <c r="J324" t="s">
        <v>1195</v>
      </c>
      <c r="K324" t="s">
        <v>1214</v>
      </c>
      <c r="L324" t="s">
        <v>1172</v>
      </c>
      <c r="M324" s="37">
        <v>0.4</v>
      </c>
      <c r="N324" s="37">
        <v>0.4</v>
      </c>
      <c r="O324">
        <v>0.4</v>
      </c>
      <c r="P324" s="37">
        <v>1.620468</v>
      </c>
      <c r="Q324">
        <v>0.97</v>
      </c>
      <c r="R324">
        <v>7068.27</v>
      </c>
      <c r="S324">
        <v>7068.27</v>
      </c>
      <c r="T324">
        <v>5000</v>
      </c>
      <c r="U324" t="s">
        <v>1162</v>
      </c>
      <c r="W324" s="38">
        <v>0.6</v>
      </c>
      <c r="X324">
        <v>60</v>
      </c>
      <c r="Y324" t="s">
        <v>1170</v>
      </c>
      <c r="Z324" s="37">
        <v>0.6</v>
      </c>
      <c r="AA324" s="37">
        <v>0.6</v>
      </c>
      <c r="AB324">
        <v>100</v>
      </c>
    </row>
    <row r="325">
      <c r="A325" t="s">
        <v>1215</v>
      </c>
      <c r="B325" t="s">
        <v>1182</v>
      </c>
      <c r="C325" t="s">
        <v>1182</v>
      </c>
      <c r="D325" t="s">
        <v>1216</v>
      </c>
      <c r="E325" t="s">
        <v>1217</v>
      </c>
      <c r="F325" t="s">
        <v>298</v>
      </c>
      <c r="G325" t="s">
        <v>1184</v>
      </c>
      <c r="H325" t="s">
        <v>1185</v>
      </c>
      <c r="I325" t="s">
        <v>1218</v>
      </c>
      <c r="J325" t="s">
        <v>1219</v>
      </c>
      <c r="K325" t="s">
        <v>1220</v>
      </c>
      <c r="L325" t="s">
        <v>1172</v>
      </c>
      <c r="M325" s="37">
        <v>0.80012</v>
      </c>
      <c r="N325" s="37">
        <v>0.25</v>
      </c>
      <c r="O325">
        <v>0.8001</v>
      </c>
      <c r="P325" s="37">
        <v>1.08337</v>
      </c>
      <c r="Q325">
        <v>1.06</v>
      </c>
      <c r="R325">
        <v>3887.55</v>
      </c>
      <c r="S325">
        <v>3887.55</v>
      </c>
      <c r="T325">
        <v>2000</v>
      </c>
      <c r="U325" t="s">
        <v>1162</v>
      </c>
      <c r="W325" s="38">
        <v>0.6</v>
      </c>
      <c r="X325">
        <v>60</v>
      </c>
      <c r="Y325" t="s">
        <v>1170</v>
      </c>
      <c r="Z325" s="37">
        <v>0.6</v>
      </c>
      <c r="AA325" s="37">
        <v>0.6</v>
      </c>
      <c r="AB325">
        <v>100</v>
      </c>
    </row>
    <row r="326">
      <c r="A326" t="s">
        <v>1215</v>
      </c>
      <c r="B326" t="s">
        <v>1182</v>
      </c>
      <c r="C326" t="s">
        <v>1182</v>
      </c>
      <c r="D326" t="s">
        <v>1216</v>
      </c>
      <c r="E326" t="s">
        <v>1217</v>
      </c>
      <c r="F326" t="s">
        <v>298</v>
      </c>
      <c r="G326" t="s">
        <v>1184</v>
      </c>
      <c r="H326" t="s">
        <v>1189</v>
      </c>
      <c r="I326" t="s">
        <v>1221</v>
      </c>
      <c r="J326" t="s">
        <v>1222</v>
      </c>
      <c r="K326" t="s">
        <v>1223</v>
      </c>
      <c r="L326" t="s">
        <v>1172</v>
      </c>
      <c r="M326" s="37">
        <v>1.571449</v>
      </c>
      <c r="N326" s="37">
        <v>0.35</v>
      </c>
      <c r="O326">
        <v>1.5</v>
      </c>
      <c r="P326" s="37">
        <v>1.08337</v>
      </c>
      <c r="Q326">
        <v>1.06</v>
      </c>
      <c r="R326">
        <v>3887.55</v>
      </c>
      <c r="S326">
        <v>3887.55</v>
      </c>
      <c r="T326">
        <v>2000</v>
      </c>
      <c r="U326" t="s">
        <v>1162</v>
      </c>
      <c r="W326" s="38">
        <v>0.6</v>
      </c>
      <c r="X326">
        <v>60</v>
      </c>
      <c r="Y326" t="s">
        <v>1170</v>
      </c>
      <c r="Z326" s="37">
        <v>0.6</v>
      </c>
      <c r="AA326" s="37">
        <v>0.6</v>
      </c>
      <c r="AB326">
        <v>100</v>
      </c>
    </row>
    <row r="327">
      <c r="A327" t="s">
        <v>1215</v>
      </c>
      <c r="B327" t="s">
        <v>1182</v>
      </c>
      <c r="C327" t="s">
        <v>1182</v>
      </c>
      <c r="D327" t="s">
        <v>1216</v>
      </c>
      <c r="E327" t="s">
        <v>1217</v>
      </c>
      <c r="F327" t="s">
        <v>298</v>
      </c>
      <c r="G327" t="s">
        <v>1184</v>
      </c>
      <c r="H327" t="s">
        <v>1193</v>
      </c>
      <c r="I327" t="s">
        <v>1224</v>
      </c>
      <c r="J327" t="s">
        <v>1225</v>
      </c>
      <c r="K327" t="s">
        <v>1226</v>
      </c>
      <c r="L327" t="s">
        <v>1172</v>
      </c>
      <c r="M327" s="37">
        <v>0.833333</v>
      </c>
      <c r="N327" s="37">
        <v>0.4</v>
      </c>
      <c r="O327">
        <v>0.8333</v>
      </c>
      <c r="P327" s="37">
        <v>1.08337</v>
      </c>
      <c r="Q327">
        <v>1.06</v>
      </c>
      <c r="R327">
        <v>3887.55</v>
      </c>
      <c r="S327">
        <v>3887.55</v>
      </c>
      <c r="T327">
        <v>2000</v>
      </c>
      <c r="U327" t="s">
        <v>1162</v>
      </c>
      <c r="W327" s="38">
        <v>0.6</v>
      </c>
      <c r="X327">
        <v>60</v>
      </c>
      <c r="Y327" t="s">
        <v>1170</v>
      </c>
      <c r="Z327" s="37">
        <v>0.6</v>
      </c>
      <c r="AA327" s="37">
        <v>0.6</v>
      </c>
      <c r="AB327">
        <v>100</v>
      </c>
    </row>
    <row r="328">
      <c r="A328" t="s">
        <v>1227</v>
      </c>
      <c r="B328" t="s">
        <v>1182</v>
      </c>
      <c r="C328" t="s">
        <v>1182</v>
      </c>
      <c r="D328" t="s">
        <v>841</v>
      </c>
      <c r="E328" t="s">
        <v>1228</v>
      </c>
      <c r="F328" t="s">
        <v>298</v>
      </c>
      <c r="G328" t="s">
        <v>1184</v>
      </c>
      <c r="H328" t="s">
        <v>1185</v>
      </c>
      <c r="I328" t="s">
        <v>1229</v>
      </c>
      <c r="J328" t="s">
        <v>1200</v>
      </c>
      <c r="K328" t="s">
        <v>1230</v>
      </c>
      <c r="L328" t="s">
        <v>1172</v>
      </c>
      <c r="M328" s="37">
        <v>0.651566</v>
      </c>
      <c r="N328" s="37">
        <v>0.25</v>
      </c>
      <c r="O328">
        <v>0.6516</v>
      </c>
      <c r="P328" s="37">
        <v>0.62279</v>
      </c>
      <c r="Q328">
        <v>0.62</v>
      </c>
      <c r="R328">
        <v>5301.2</v>
      </c>
      <c r="S328">
        <v>5301.2</v>
      </c>
      <c r="T328">
        <v>5000</v>
      </c>
      <c r="U328" t="s">
        <v>1162</v>
      </c>
      <c r="W328" s="38">
        <v>0.6</v>
      </c>
      <c r="X328">
        <v>60</v>
      </c>
      <c r="Y328" t="s">
        <v>1170</v>
      </c>
      <c r="Z328" s="37">
        <v>0.6</v>
      </c>
      <c r="AA328" s="37">
        <v>0.6</v>
      </c>
      <c r="AB328">
        <v>100</v>
      </c>
    </row>
    <row r="329">
      <c r="A329" t="s">
        <v>1227</v>
      </c>
      <c r="B329" t="s">
        <v>1182</v>
      </c>
      <c r="C329" t="s">
        <v>1182</v>
      </c>
      <c r="D329" t="s">
        <v>841</v>
      </c>
      <c r="E329" t="s">
        <v>1228</v>
      </c>
      <c r="F329" t="s">
        <v>298</v>
      </c>
      <c r="G329" t="s">
        <v>1184</v>
      </c>
      <c r="H329" t="s">
        <v>1189</v>
      </c>
      <c r="I329" t="s">
        <v>1211</v>
      </c>
      <c r="J329" t="s">
        <v>1231</v>
      </c>
      <c r="K329" t="s">
        <v>1232</v>
      </c>
      <c r="L329" t="s">
        <v>1172</v>
      </c>
      <c r="M329" s="37">
        <v>0.628282</v>
      </c>
      <c r="N329" s="37">
        <v>0.35</v>
      </c>
      <c r="O329">
        <v>0.6283</v>
      </c>
      <c r="P329" s="37">
        <v>0.62279</v>
      </c>
      <c r="Q329">
        <v>0.62</v>
      </c>
      <c r="R329">
        <v>5301.2</v>
      </c>
      <c r="S329">
        <v>5301.2</v>
      </c>
      <c r="T329">
        <v>5000</v>
      </c>
      <c r="U329" t="s">
        <v>1162</v>
      </c>
      <c r="W329" s="38">
        <v>0.6</v>
      </c>
      <c r="X329">
        <v>60</v>
      </c>
      <c r="Y329" t="s">
        <v>1170</v>
      </c>
      <c r="Z329" s="37">
        <v>0.6</v>
      </c>
      <c r="AA329" s="37">
        <v>0.6</v>
      </c>
      <c r="AB329">
        <v>100</v>
      </c>
    </row>
    <row r="330">
      <c r="A330" t="s">
        <v>1227</v>
      </c>
      <c r="B330" t="s">
        <v>1182</v>
      </c>
      <c r="C330" t="s">
        <v>1182</v>
      </c>
      <c r="D330" t="s">
        <v>841</v>
      </c>
      <c r="E330" t="s">
        <v>1228</v>
      </c>
      <c r="F330" t="s">
        <v>298</v>
      </c>
      <c r="G330" t="s">
        <v>1184</v>
      </c>
      <c r="H330" t="s">
        <v>1193</v>
      </c>
      <c r="I330" t="s">
        <v>1224</v>
      </c>
      <c r="J330" t="s">
        <v>1195</v>
      </c>
      <c r="K330" t="s">
        <v>1225</v>
      </c>
      <c r="L330" t="s">
        <v>1172</v>
      </c>
      <c r="M330" s="37">
        <v>0.6</v>
      </c>
      <c r="N330" s="37">
        <v>0.4</v>
      </c>
      <c r="O330">
        <v>0.6</v>
      </c>
      <c r="P330" s="37">
        <v>0.62279</v>
      </c>
      <c r="Q330">
        <v>0.62</v>
      </c>
      <c r="R330">
        <v>5301.2</v>
      </c>
      <c r="S330">
        <v>5301.2</v>
      </c>
      <c r="T330">
        <v>5000</v>
      </c>
      <c r="U330" t="s">
        <v>1162</v>
      </c>
      <c r="W330" s="38">
        <v>0.6</v>
      </c>
      <c r="X330">
        <v>60</v>
      </c>
      <c r="Y330" t="s">
        <v>1170</v>
      </c>
      <c r="Z330" s="37">
        <v>0.6</v>
      </c>
      <c r="AA330" s="37">
        <v>0.6</v>
      </c>
      <c r="AB330">
        <v>100</v>
      </c>
    </row>
    <row r="331">
      <c r="A331" t="s">
        <v>1233</v>
      </c>
      <c r="B331" t="s">
        <v>1182</v>
      </c>
      <c r="C331" t="s">
        <v>1182</v>
      </c>
      <c r="D331" t="s">
        <v>359</v>
      </c>
      <c r="E331" t="s">
        <v>1234</v>
      </c>
      <c r="F331" t="s">
        <v>298</v>
      </c>
      <c r="G331" t="s">
        <v>1184</v>
      </c>
      <c r="H331" t="s">
        <v>1185</v>
      </c>
      <c r="I331" t="s">
        <v>1186</v>
      </c>
      <c r="J331" t="s">
        <v>1191</v>
      </c>
      <c r="K331" t="s">
        <v>1235</v>
      </c>
      <c r="L331" t="s">
        <v>1172</v>
      </c>
      <c r="M331" s="37">
        <v>0.67238</v>
      </c>
      <c r="N331" s="37">
        <v>0.25</v>
      </c>
      <c r="O331">
        <v>0.6724</v>
      </c>
      <c r="P331" s="37">
        <v>0.408095</v>
      </c>
      <c r="Q331">
        <v>0.41</v>
      </c>
      <c r="R331">
        <v>0</v>
      </c>
      <c r="S331">
        <v>0</v>
      </c>
      <c r="T331">
        <v>5000</v>
      </c>
      <c r="U331" t="s">
        <v>1162</v>
      </c>
      <c r="W331" s="38">
        <v>0.6</v>
      </c>
      <c r="X331">
        <v>60</v>
      </c>
      <c r="Y331" t="s">
        <v>1170</v>
      </c>
      <c r="Z331" s="37">
        <v>0.6</v>
      </c>
      <c r="AA331" s="37">
        <v>0.6</v>
      </c>
      <c r="AB331">
        <v>100</v>
      </c>
    </row>
    <row r="332">
      <c r="A332" t="s">
        <v>1233</v>
      </c>
      <c r="B332" t="s">
        <v>1182</v>
      </c>
      <c r="C332" t="s">
        <v>1182</v>
      </c>
      <c r="D332" t="s">
        <v>359</v>
      </c>
      <c r="E332" t="s">
        <v>1234</v>
      </c>
      <c r="F332" t="s">
        <v>298</v>
      </c>
      <c r="G332" t="s">
        <v>1184</v>
      </c>
      <c r="H332" t="s">
        <v>1189</v>
      </c>
      <c r="I332" t="s">
        <v>1190</v>
      </c>
      <c r="J332" t="s">
        <v>1236</v>
      </c>
      <c r="K332" t="s">
        <v>1237</v>
      </c>
      <c r="L332" t="s">
        <v>1172</v>
      </c>
      <c r="M332" s="37">
        <v>0</v>
      </c>
      <c r="N332" s="37">
        <v>0.35</v>
      </c>
      <c r="O332">
        <v>0</v>
      </c>
      <c r="P332" s="37">
        <v>0.408095</v>
      </c>
      <c r="Q332">
        <v>0.41</v>
      </c>
      <c r="R332">
        <v>0</v>
      </c>
      <c r="S332">
        <v>0</v>
      </c>
      <c r="T332">
        <v>5000</v>
      </c>
      <c r="U332" t="s">
        <v>1162</v>
      </c>
      <c r="W332" s="38">
        <v>0.6</v>
      </c>
      <c r="X332">
        <v>60</v>
      </c>
      <c r="Y332" t="s">
        <v>1170</v>
      </c>
      <c r="Z332" s="37">
        <v>0.6</v>
      </c>
      <c r="AA332" s="37">
        <v>0.6</v>
      </c>
      <c r="AB332">
        <v>100</v>
      </c>
    </row>
    <row r="333">
      <c r="A333" t="s">
        <v>1233</v>
      </c>
      <c r="B333" t="s">
        <v>1182</v>
      </c>
      <c r="C333" t="s">
        <v>1182</v>
      </c>
      <c r="D333" t="s">
        <v>359</v>
      </c>
      <c r="E333" t="s">
        <v>1234</v>
      </c>
      <c r="F333" t="s">
        <v>298</v>
      </c>
      <c r="G333" t="s">
        <v>1184</v>
      </c>
      <c r="H333" t="s">
        <v>1193</v>
      </c>
      <c r="I333" t="s">
        <v>1194</v>
      </c>
      <c r="J333" t="s">
        <v>1195</v>
      </c>
      <c r="K333" t="s">
        <v>1225</v>
      </c>
      <c r="L333" t="s">
        <v>1172</v>
      </c>
      <c r="M333" s="37">
        <v>0.6</v>
      </c>
      <c r="N333" s="37">
        <v>0.4</v>
      </c>
      <c r="O333">
        <v>0.6</v>
      </c>
      <c r="P333" s="37">
        <v>0.408095</v>
      </c>
      <c r="Q333">
        <v>0.41</v>
      </c>
      <c r="R333">
        <v>0</v>
      </c>
      <c r="S333">
        <v>0</v>
      </c>
      <c r="T333">
        <v>5000</v>
      </c>
      <c r="U333" t="s">
        <v>1162</v>
      </c>
      <c r="W333" s="38">
        <v>0.6</v>
      </c>
      <c r="X333">
        <v>60</v>
      </c>
      <c r="Y333" t="s">
        <v>1170</v>
      </c>
      <c r="Z333" s="37">
        <v>0.6</v>
      </c>
      <c r="AA333" s="37">
        <v>0.6</v>
      </c>
      <c r="AB333">
        <v>100</v>
      </c>
    </row>
    <row r="334">
      <c r="A334" t="s">
        <v>1238</v>
      </c>
      <c r="B334" t="s">
        <v>1182</v>
      </c>
      <c r="C334" t="s">
        <v>1182</v>
      </c>
      <c r="D334" t="s">
        <v>1216</v>
      </c>
      <c r="E334" t="s">
        <v>1239</v>
      </c>
      <c r="F334" t="s">
        <v>298</v>
      </c>
      <c r="G334" t="s">
        <v>1184</v>
      </c>
      <c r="H334" t="s">
        <v>1185</v>
      </c>
      <c r="I334" t="s">
        <v>1240</v>
      </c>
      <c r="J334" t="s">
        <v>1241</v>
      </c>
      <c r="K334" t="s">
        <v>1242</v>
      </c>
      <c r="L334" t="s">
        <v>1172</v>
      </c>
      <c r="M334" s="37">
        <v>0.504753</v>
      </c>
      <c r="N334" s="37">
        <v>0.25</v>
      </c>
      <c r="O334">
        <v>0.5048</v>
      </c>
      <c r="P334" s="37">
        <v>0.286188</v>
      </c>
      <c r="Q334">
        <v>0.29</v>
      </c>
      <c r="R334">
        <v>0</v>
      </c>
      <c r="S334">
        <v>0</v>
      </c>
      <c r="T334">
        <v>2000</v>
      </c>
      <c r="U334" t="s">
        <v>1162</v>
      </c>
      <c r="W334" s="38">
        <v>0.6</v>
      </c>
      <c r="X334">
        <v>60</v>
      </c>
      <c r="Y334" t="s">
        <v>1170</v>
      </c>
      <c r="Z334" s="37">
        <v>0.6</v>
      </c>
      <c r="AA334" s="37">
        <v>0.6</v>
      </c>
      <c r="AB334">
        <v>100</v>
      </c>
    </row>
    <row r="335">
      <c r="A335" t="s">
        <v>1238</v>
      </c>
      <c r="B335" t="s">
        <v>1182</v>
      </c>
      <c r="C335" t="s">
        <v>1182</v>
      </c>
      <c r="D335" t="s">
        <v>1216</v>
      </c>
      <c r="E335" t="s">
        <v>1239</v>
      </c>
      <c r="F335" t="s">
        <v>298</v>
      </c>
      <c r="G335" t="s">
        <v>1184</v>
      </c>
      <c r="H335" t="s">
        <v>1189</v>
      </c>
      <c r="I335" t="s">
        <v>1243</v>
      </c>
      <c r="J335" t="s">
        <v>1244</v>
      </c>
      <c r="K335" t="s">
        <v>1245</v>
      </c>
      <c r="L335" t="s">
        <v>1172</v>
      </c>
      <c r="M335" s="37">
        <v>0</v>
      </c>
      <c r="N335" s="37">
        <v>0.35</v>
      </c>
      <c r="O335">
        <v>0</v>
      </c>
      <c r="P335" s="37">
        <v>0.286188</v>
      </c>
      <c r="Q335">
        <v>0.29</v>
      </c>
      <c r="R335">
        <v>0</v>
      </c>
      <c r="S335">
        <v>0</v>
      </c>
      <c r="T335">
        <v>2000</v>
      </c>
      <c r="U335" t="s">
        <v>1162</v>
      </c>
      <c r="W335" s="38">
        <v>0.6</v>
      </c>
      <c r="X335">
        <v>60</v>
      </c>
      <c r="Y335" t="s">
        <v>1170</v>
      </c>
      <c r="Z335" s="37">
        <v>0.6</v>
      </c>
      <c r="AA335" s="37">
        <v>0.6</v>
      </c>
      <c r="AB335">
        <v>100</v>
      </c>
    </row>
    <row r="336">
      <c r="A336" t="s">
        <v>1238</v>
      </c>
      <c r="B336" t="s">
        <v>1182</v>
      </c>
      <c r="C336" t="s">
        <v>1182</v>
      </c>
      <c r="D336" t="s">
        <v>1216</v>
      </c>
      <c r="E336" t="s">
        <v>1239</v>
      </c>
      <c r="F336" t="s">
        <v>298</v>
      </c>
      <c r="G336" t="s">
        <v>1184</v>
      </c>
      <c r="H336" t="s">
        <v>1193</v>
      </c>
      <c r="I336" t="s">
        <v>1194</v>
      </c>
      <c r="J336" t="s">
        <v>1225</v>
      </c>
      <c r="K336" t="s">
        <v>1246</v>
      </c>
      <c r="L336" t="s">
        <v>1172</v>
      </c>
      <c r="M336" s="37">
        <v>0.4</v>
      </c>
      <c r="N336" s="37">
        <v>0.4</v>
      </c>
      <c r="O336">
        <v>0.4</v>
      </c>
      <c r="P336" s="37">
        <v>0.286188</v>
      </c>
      <c r="Q336">
        <v>0.29</v>
      </c>
      <c r="R336">
        <v>0</v>
      </c>
      <c r="S336">
        <v>0</v>
      </c>
      <c r="T336">
        <v>2000</v>
      </c>
      <c r="U336" t="s">
        <v>1162</v>
      </c>
      <c r="W336" s="38">
        <v>0.6</v>
      </c>
      <c r="X336">
        <v>60</v>
      </c>
      <c r="Y336" t="s">
        <v>1170</v>
      </c>
      <c r="Z336" s="37">
        <v>0.6</v>
      </c>
      <c r="AA336" s="37">
        <v>0.6</v>
      </c>
      <c r="AB336">
        <v>100</v>
      </c>
    </row>
    <row r="337">
      <c r="A337" t="s">
        <v>1247</v>
      </c>
      <c r="B337" t="s">
        <v>1182</v>
      </c>
      <c r="C337" t="s">
        <v>1182</v>
      </c>
      <c r="D337" t="s">
        <v>1216</v>
      </c>
      <c r="E337" t="s">
        <v>1248</v>
      </c>
      <c r="F337" t="s">
        <v>298</v>
      </c>
      <c r="G337" t="s">
        <v>1249</v>
      </c>
      <c r="H337" t="s">
        <v>1250</v>
      </c>
      <c r="I337" t="s">
        <v>1251</v>
      </c>
      <c r="J337" t="s">
        <v>1252</v>
      </c>
      <c r="K337" t="s">
        <v>1253</v>
      </c>
      <c r="L337" t="s">
        <v>1172</v>
      </c>
      <c r="M337" s="37">
        <v>1.159325</v>
      </c>
      <c r="N337" s="37">
        <v>0.35</v>
      </c>
      <c r="O337">
        <v>1.1593</v>
      </c>
      <c r="P337" s="37">
        <v>1.282671</v>
      </c>
      <c r="Q337">
        <v>1.38</v>
      </c>
      <c r="R337">
        <v>2400</v>
      </c>
      <c r="S337">
        <v>2400</v>
      </c>
      <c r="T337">
        <v>2000</v>
      </c>
      <c r="U337" t="s">
        <v>1162</v>
      </c>
      <c r="W337" s="38">
        <v>0.6</v>
      </c>
      <c r="X337">
        <v>60</v>
      </c>
      <c r="Y337" t="s">
        <v>1170</v>
      </c>
      <c r="Z337" s="37">
        <v>0.6</v>
      </c>
      <c r="AA337" s="37">
        <v>0.6</v>
      </c>
      <c r="AB337">
        <v>100</v>
      </c>
    </row>
    <row r="338">
      <c r="A338" t="s">
        <v>1247</v>
      </c>
      <c r="B338" t="s">
        <v>1182</v>
      </c>
      <c r="C338" t="s">
        <v>1182</v>
      </c>
      <c r="D338" t="s">
        <v>1216</v>
      </c>
      <c r="E338" t="s">
        <v>1248</v>
      </c>
      <c r="F338" t="s">
        <v>298</v>
      </c>
      <c r="G338" t="s">
        <v>1249</v>
      </c>
      <c r="H338" t="s">
        <v>1254</v>
      </c>
      <c r="I338" t="s">
        <v>1255</v>
      </c>
      <c r="J338" t="s">
        <v>1200</v>
      </c>
      <c r="K338" t="s">
        <v>1256</v>
      </c>
      <c r="L338" t="s">
        <v>1172</v>
      </c>
      <c r="M338" s="37">
        <v>1.282016</v>
      </c>
      <c r="N338" s="37">
        <v>0.45</v>
      </c>
      <c r="O338">
        <v>1.5</v>
      </c>
      <c r="P338" s="37">
        <v>1.282671</v>
      </c>
      <c r="Q338">
        <v>1.38</v>
      </c>
      <c r="R338">
        <v>2400</v>
      </c>
      <c r="S338">
        <v>2400</v>
      </c>
      <c r="T338">
        <v>2000</v>
      </c>
      <c r="U338" t="s">
        <v>1162</v>
      </c>
      <c r="W338" s="38">
        <v>0.6</v>
      </c>
      <c r="X338">
        <v>60</v>
      </c>
      <c r="Y338" t="s">
        <v>1170</v>
      </c>
      <c r="Z338" s="37">
        <v>0.6</v>
      </c>
      <c r="AA338" s="37">
        <v>0.6</v>
      </c>
      <c r="AB338">
        <v>100</v>
      </c>
    </row>
    <row r="339">
      <c r="A339" t="s">
        <v>1247</v>
      </c>
      <c r="B339" t="s">
        <v>1182</v>
      </c>
      <c r="C339" t="s">
        <v>1182</v>
      </c>
      <c r="D339" t="s">
        <v>1216</v>
      </c>
      <c r="E339" t="s">
        <v>1248</v>
      </c>
      <c r="F339" t="s">
        <v>298</v>
      </c>
      <c r="G339" t="s">
        <v>1249</v>
      </c>
      <c r="H339" t="s">
        <v>1257</v>
      </c>
      <c r="I339" t="s">
        <v>1258</v>
      </c>
      <c r="J339" t="s">
        <v>709</v>
      </c>
      <c r="K339" t="s">
        <v>706</v>
      </c>
      <c r="L339" t="s">
        <v>1172</v>
      </c>
      <c r="M339" s="37">
        <v>1.5</v>
      </c>
      <c r="N339" s="37">
        <v>0.2</v>
      </c>
      <c r="O339">
        <v>1.5</v>
      </c>
      <c r="P339" s="37">
        <v>1.282671</v>
      </c>
      <c r="Q339">
        <v>1.38</v>
      </c>
      <c r="R339">
        <v>2400</v>
      </c>
      <c r="S339">
        <v>2400</v>
      </c>
      <c r="T339">
        <v>2000</v>
      </c>
      <c r="U339" t="s">
        <v>1162</v>
      </c>
      <c r="W339" s="38">
        <v>0.6</v>
      </c>
      <c r="X339">
        <v>60</v>
      </c>
      <c r="Y339" t="s">
        <v>1170</v>
      </c>
      <c r="Z339" s="37">
        <v>0.6</v>
      </c>
      <c r="AA339" s="37">
        <v>0.6</v>
      </c>
      <c r="AB339">
        <v>100</v>
      </c>
    </row>
    <row r="340">
      <c r="A340" t="s">
        <v>1259</v>
      </c>
      <c r="B340" t="s">
        <v>1182</v>
      </c>
      <c r="C340" t="s">
        <v>1182</v>
      </c>
      <c r="D340" t="s">
        <v>1216</v>
      </c>
      <c r="E340" t="s">
        <v>1260</v>
      </c>
      <c r="F340" t="s">
        <v>298</v>
      </c>
      <c r="G340" t="s">
        <v>1249</v>
      </c>
      <c r="H340" t="s">
        <v>1250</v>
      </c>
      <c r="I340" t="s">
        <v>1261</v>
      </c>
      <c r="J340" t="s">
        <v>1262</v>
      </c>
      <c r="K340" t="s">
        <v>1263</v>
      </c>
      <c r="L340" t="s">
        <v>1172</v>
      </c>
      <c r="M340" s="37">
        <v>0.899531</v>
      </c>
      <c r="N340" s="37">
        <v>0.35</v>
      </c>
      <c r="O340">
        <v>0.8995</v>
      </c>
      <c r="P340" s="37">
        <v>0.850534</v>
      </c>
      <c r="Q340">
        <v>0.85</v>
      </c>
      <c r="R340">
        <v>0</v>
      </c>
      <c r="S340">
        <v>0</v>
      </c>
      <c r="T340">
        <v>2000</v>
      </c>
      <c r="U340" t="s">
        <v>1162</v>
      </c>
      <c r="W340" s="38">
        <v>0.6</v>
      </c>
      <c r="X340">
        <v>60</v>
      </c>
      <c r="Y340" t="s">
        <v>1170</v>
      </c>
      <c r="Z340" s="37">
        <v>0.6</v>
      </c>
      <c r="AA340" s="37">
        <v>0.6</v>
      </c>
      <c r="AB340">
        <v>100</v>
      </c>
    </row>
    <row r="341">
      <c r="A341" t="s">
        <v>1259</v>
      </c>
      <c r="B341" t="s">
        <v>1182</v>
      </c>
      <c r="C341" t="s">
        <v>1182</v>
      </c>
      <c r="D341" t="s">
        <v>1216</v>
      </c>
      <c r="E341" t="s">
        <v>1260</v>
      </c>
      <c r="F341" t="s">
        <v>298</v>
      </c>
      <c r="G341" t="s">
        <v>1249</v>
      </c>
      <c r="H341" t="s">
        <v>1254</v>
      </c>
      <c r="I341" t="s">
        <v>1264</v>
      </c>
      <c r="J341" t="s">
        <v>1265</v>
      </c>
      <c r="K341" t="s">
        <v>1266</v>
      </c>
      <c r="L341" t="s">
        <v>1172</v>
      </c>
      <c r="M341" s="37">
        <v>0.523773</v>
      </c>
      <c r="N341" s="37">
        <v>0.45</v>
      </c>
      <c r="O341">
        <v>0.5237</v>
      </c>
      <c r="P341" s="37">
        <v>0.850534</v>
      </c>
      <c r="Q341">
        <v>0.85</v>
      </c>
      <c r="R341">
        <v>0</v>
      </c>
      <c r="S341">
        <v>0</v>
      </c>
      <c r="T341">
        <v>2000</v>
      </c>
      <c r="U341" t="s">
        <v>1162</v>
      </c>
      <c r="W341" s="38">
        <v>0.6</v>
      </c>
      <c r="X341">
        <v>60</v>
      </c>
      <c r="Y341" t="s">
        <v>1170</v>
      </c>
      <c r="Z341" s="37">
        <v>0.6</v>
      </c>
      <c r="AA341" s="37">
        <v>0.6</v>
      </c>
      <c r="AB341">
        <v>100</v>
      </c>
    </row>
    <row r="342">
      <c r="A342" t="s">
        <v>1259</v>
      </c>
      <c r="B342" t="s">
        <v>1182</v>
      </c>
      <c r="C342" t="s">
        <v>1182</v>
      </c>
      <c r="D342" t="s">
        <v>1216</v>
      </c>
      <c r="E342" t="s">
        <v>1260</v>
      </c>
      <c r="F342" t="s">
        <v>298</v>
      </c>
      <c r="G342" t="s">
        <v>1249</v>
      </c>
      <c r="H342" t="s">
        <v>1257</v>
      </c>
      <c r="I342" t="s">
        <v>1258</v>
      </c>
      <c r="J342" t="s">
        <v>709</v>
      </c>
      <c r="K342" t="s">
        <v>706</v>
      </c>
      <c r="L342" t="s">
        <v>1172</v>
      </c>
      <c r="M342" s="37">
        <v>1.5</v>
      </c>
      <c r="N342" s="37">
        <v>0.2</v>
      </c>
      <c r="O342">
        <v>1.5</v>
      </c>
      <c r="P342" s="37">
        <v>0.850534</v>
      </c>
      <c r="Q342">
        <v>0.85</v>
      </c>
      <c r="R342">
        <v>0</v>
      </c>
      <c r="S342">
        <v>0</v>
      </c>
      <c r="T342">
        <v>2000</v>
      </c>
      <c r="U342" t="s">
        <v>1162</v>
      </c>
      <c r="W342" s="38">
        <v>0.6</v>
      </c>
      <c r="X342">
        <v>60</v>
      </c>
      <c r="Y342" t="s">
        <v>1170</v>
      </c>
      <c r="Z342" s="37">
        <v>0.6</v>
      </c>
      <c r="AA342" s="37">
        <v>0.6</v>
      </c>
      <c r="AB342">
        <v>100</v>
      </c>
    </row>
    <row r="343">
      <c r="A343" t="s">
        <v>1267</v>
      </c>
      <c r="B343" t="s">
        <v>1182</v>
      </c>
      <c r="C343" t="s">
        <v>1182</v>
      </c>
      <c r="D343" t="s">
        <v>359</v>
      </c>
      <c r="E343" t="s">
        <v>1268</v>
      </c>
      <c r="F343" t="s">
        <v>298</v>
      </c>
      <c r="G343" t="s">
        <v>1269</v>
      </c>
      <c r="H343" t="s">
        <v>1270</v>
      </c>
      <c r="I343" t="s">
        <v>1208</v>
      </c>
      <c r="J343" t="s">
        <v>1271</v>
      </c>
      <c r="K343" t="s">
        <v>1272</v>
      </c>
      <c r="L343" t="s">
        <v>1172</v>
      </c>
      <c r="M343" s="37">
        <v>0.912579</v>
      </c>
      <c r="N343" s="37">
        <v>0.3</v>
      </c>
      <c r="O343">
        <v>0.9126</v>
      </c>
      <c r="P343" s="37">
        <v>0.813489</v>
      </c>
      <c r="Q343">
        <v>0.81</v>
      </c>
      <c r="R343">
        <v>8000</v>
      </c>
      <c r="S343">
        <v>8000</v>
      </c>
      <c r="T343">
        <v>5000</v>
      </c>
      <c r="U343" t="s">
        <v>1162</v>
      </c>
      <c r="W343" s="38">
        <v>0.6</v>
      </c>
      <c r="X343">
        <v>60</v>
      </c>
      <c r="Y343" t="s">
        <v>1170</v>
      </c>
      <c r="Z343" s="37">
        <v>0.6</v>
      </c>
      <c r="AA343" s="37">
        <v>0.6</v>
      </c>
      <c r="AB343">
        <v>100</v>
      </c>
    </row>
    <row r="344">
      <c r="A344" t="s">
        <v>1267</v>
      </c>
      <c r="B344" t="s">
        <v>1182</v>
      </c>
      <c r="C344" t="s">
        <v>1182</v>
      </c>
      <c r="D344" t="s">
        <v>359</v>
      </c>
      <c r="E344" t="s">
        <v>1268</v>
      </c>
      <c r="F344" t="s">
        <v>298</v>
      </c>
      <c r="G344" t="s">
        <v>1269</v>
      </c>
      <c r="H344" t="s">
        <v>1273</v>
      </c>
      <c r="I344" t="s">
        <v>1274</v>
      </c>
      <c r="J344" t="s">
        <v>1275</v>
      </c>
      <c r="K344" t="s">
        <v>1276</v>
      </c>
      <c r="L344" t="s">
        <v>1172</v>
      </c>
      <c r="M344" s="37">
        <v>0.671339</v>
      </c>
      <c r="N344" s="37">
        <v>0.3</v>
      </c>
      <c r="O344">
        <v>0.6713</v>
      </c>
      <c r="P344" s="37">
        <v>0.813489</v>
      </c>
      <c r="Q344">
        <v>0.81</v>
      </c>
      <c r="R344">
        <v>8000</v>
      </c>
      <c r="S344">
        <v>8000</v>
      </c>
      <c r="T344">
        <v>5000</v>
      </c>
      <c r="U344" t="s">
        <v>1162</v>
      </c>
      <c r="W344" s="38">
        <v>0.6</v>
      </c>
      <c r="X344">
        <v>60</v>
      </c>
      <c r="Y344" t="s">
        <v>1170</v>
      </c>
      <c r="Z344" s="37">
        <v>0.6</v>
      </c>
      <c r="AA344" s="37">
        <v>0.6</v>
      </c>
      <c r="AB344">
        <v>100</v>
      </c>
    </row>
    <row r="345">
      <c r="A345" t="s">
        <v>1267</v>
      </c>
      <c r="B345" t="s">
        <v>1182</v>
      </c>
      <c r="C345" t="s">
        <v>1182</v>
      </c>
      <c r="D345" t="s">
        <v>359</v>
      </c>
      <c r="E345" t="s">
        <v>1268</v>
      </c>
      <c r="F345" t="s">
        <v>298</v>
      </c>
      <c r="G345" t="s">
        <v>1269</v>
      </c>
      <c r="H345" t="s">
        <v>1277</v>
      </c>
      <c r="I345" t="s">
        <v>1278</v>
      </c>
      <c r="J345" t="s">
        <v>1279</v>
      </c>
      <c r="K345" t="s">
        <v>1280</v>
      </c>
      <c r="L345" t="s">
        <v>1172</v>
      </c>
      <c r="M345" s="37">
        <v>0.845783</v>
      </c>
      <c r="N345" s="37">
        <v>0.4</v>
      </c>
      <c r="O345">
        <v>0.8458</v>
      </c>
      <c r="P345" s="37">
        <v>0.813489</v>
      </c>
      <c r="Q345">
        <v>0.81</v>
      </c>
      <c r="R345">
        <v>8000</v>
      </c>
      <c r="S345">
        <v>8000</v>
      </c>
      <c r="T345">
        <v>5000</v>
      </c>
      <c r="U345" t="s">
        <v>1162</v>
      </c>
      <c r="W345" s="38">
        <v>0.6</v>
      </c>
      <c r="X345">
        <v>60</v>
      </c>
      <c r="Y345" t="s">
        <v>1170</v>
      </c>
      <c r="Z345" s="37">
        <v>0.6</v>
      </c>
      <c r="AA345" s="37">
        <v>0.6</v>
      </c>
      <c r="AB345">
        <v>100</v>
      </c>
    </row>
    <row r="346">
      <c r="A346" t="s">
        <v>1281</v>
      </c>
      <c r="B346" t="s">
        <v>1182</v>
      </c>
      <c r="C346" t="s">
        <v>1182</v>
      </c>
      <c r="D346" t="s">
        <v>359</v>
      </c>
      <c r="E346" t="s">
        <v>1282</v>
      </c>
      <c r="F346" t="s">
        <v>298</v>
      </c>
      <c r="G346" t="s">
        <v>1269</v>
      </c>
      <c r="H346" t="s">
        <v>1270</v>
      </c>
      <c r="I346" t="s">
        <v>1283</v>
      </c>
      <c r="J346" t="s">
        <v>1284</v>
      </c>
      <c r="K346" t="s">
        <v>1285</v>
      </c>
      <c r="L346" t="s">
        <v>1172</v>
      </c>
      <c r="M346" s="37">
        <v>1.057181</v>
      </c>
      <c r="N346" s="37">
        <v>0.3</v>
      </c>
      <c r="O346">
        <v>1.0572</v>
      </c>
      <c r="P346" s="37">
        <v>0.651226</v>
      </c>
      <c r="Q346">
        <v>0.65</v>
      </c>
      <c r="R346">
        <v>2000</v>
      </c>
      <c r="S346">
        <v>2000</v>
      </c>
      <c r="T346">
        <v>5000</v>
      </c>
      <c r="U346" t="s">
        <v>1162</v>
      </c>
      <c r="W346" s="38">
        <v>0.6</v>
      </c>
      <c r="X346">
        <v>60</v>
      </c>
      <c r="Y346" t="s">
        <v>1170</v>
      </c>
      <c r="Z346" s="37">
        <v>0.6</v>
      </c>
      <c r="AA346" s="37">
        <v>0.6</v>
      </c>
      <c r="AB346">
        <v>100</v>
      </c>
    </row>
    <row r="347">
      <c r="A347" t="s">
        <v>1281</v>
      </c>
      <c r="B347" t="s">
        <v>1182</v>
      </c>
      <c r="C347" t="s">
        <v>1182</v>
      </c>
      <c r="D347" t="s">
        <v>359</v>
      </c>
      <c r="E347" t="s">
        <v>1282</v>
      </c>
      <c r="F347" t="s">
        <v>298</v>
      </c>
      <c r="G347" t="s">
        <v>1269</v>
      </c>
      <c r="H347" t="s">
        <v>1273</v>
      </c>
      <c r="I347" t="s">
        <v>1221</v>
      </c>
      <c r="J347" t="s">
        <v>1209</v>
      </c>
      <c r="K347" t="s">
        <v>1286</v>
      </c>
      <c r="L347" t="s">
        <v>1172</v>
      </c>
      <c r="M347" s="37">
        <v>1.045836</v>
      </c>
      <c r="N347" s="37">
        <v>0.3</v>
      </c>
      <c r="O347">
        <v>1.0458</v>
      </c>
      <c r="P347" s="37">
        <v>0.651226</v>
      </c>
      <c r="Q347">
        <v>0.65</v>
      </c>
      <c r="R347">
        <v>2000</v>
      </c>
      <c r="S347">
        <v>2000</v>
      </c>
      <c r="T347">
        <v>5000</v>
      </c>
      <c r="U347" t="s">
        <v>1162</v>
      </c>
      <c r="W347" s="38">
        <v>0.6</v>
      </c>
      <c r="X347">
        <v>60</v>
      </c>
      <c r="Y347" t="s">
        <v>1170</v>
      </c>
      <c r="Z347" s="37">
        <v>0.6</v>
      </c>
      <c r="AA347" s="37">
        <v>0.6</v>
      </c>
      <c r="AB347">
        <v>100</v>
      </c>
    </row>
    <row r="348">
      <c r="A348" t="s">
        <v>1281</v>
      </c>
      <c r="B348" t="s">
        <v>1182</v>
      </c>
      <c r="C348" t="s">
        <v>1182</v>
      </c>
      <c r="D348" t="s">
        <v>359</v>
      </c>
      <c r="E348" t="s">
        <v>1282</v>
      </c>
      <c r="F348" t="s">
        <v>298</v>
      </c>
      <c r="G348" t="s">
        <v>1269</v>
      </c>
      <c r="H348" t="s">
        <v>1270</v>
      </c>
      <c r="I348" t="s">
        <v>1287</v>
      </c>
      <c r="J348" t="s">
        <v>1191</v>
      </c>
      <c r="K348" t="s">
        <v>1288</v>
      </c>
      <c r="L348" t="s">
        <v>1172</v>
      </c>
      <c r="M348" s="37">
        <v>0.050802</v>
      </c>
      <c r="N348" s="37">
        <v>0.4</v>
      </c>
      <c r="O348">
        <v>0.0508</v>
      </c>
      <c r="P348" s="37">
        <v>0.651226</v>
      </c>
      <c r="Q348">
        <v>0.65</v>
      </c>
      <c r="R348">
        <v>2000</v>
      </c>
      <c r="S348">
        <v>2000</v>
      </c>
      <c r="T348">
        <v>5000</v>
      </c>
      <c r="U348" t="s">
        <v>1162</v>
      </c>
      <c r="W348" s="38">
        <v>0.6</v>
      </c>
      <c r="X348">
        <v>60</v>
      </c>
      <c r="Y348" t="s">
        <v>1170</v>
      </c>
      <c r="Z348" s="37">
        <v>0.6</v>
      </c>
      <c r="AA348" s="37">
        <v>0.6</v>
      </c>
      <c r="AB348">
        <v>100</v>
      </c>
    </row>
    <row r="349">
      <c r="A349" t="s">
        <v>1289</v>
      </c>
      <c r="B349" t="s">
        <v>1182</v>
      </c>
      <c r="C349" t="s">
        <v>1182</v>
      </c>
      <c r="D349" t="s">
        <v>359</v>
      </c>
      <c r="E349" t="s">
        <v>1290</v>
      </c>
      <c r="F349" t="s">
        <v>298</v>
      </c>
      <c r="G349" t="s">
        <v>1269</v>
      </c>
      <c r="H349" t="s">
        <v>1270</v>
      </c>
      <c r="I349" t="s">
        <v>1291</v>
      </c>
      <c r="J349" t="s">
        <v>1292</v>
      </c>
      <c r="K349" t="s">
        <v>1293</v>
      </c>
      <c r="L349" t="s">
        <v>1172</v>
      </c>
      <c r="M349" s="37">
        <v>0.703642</v>
      </c>
      <c r="N349" s="37">
        <v>0.3</v>
      </c>
      <c r="O349">
        <v>0.7036</v>
      </c>
      <c r="P349" s="37">
        <v>0.671785</v>
      </c>
      <c r="Q349">
        <v>0.66</v>
      </c>
      <c r="R349">
        <v>5000</v>
      </c>
      <c r="S349">
        <v>5000</v>
      </c>
      <c r="T349">
        <v>5000</v>
      </c>
      <c r="U349" t="s">
        <v>1162</v>
      </c>
      <c r="W349" s="38">
        <v>0.6</v>
      </c>
      <c r="X349">
        <v>60</v>
      </c>
      <c r="Y349" t="s">
        <v>1170</v>
      </c>
      <c r="Z349" s="37">
        <v>0.6</v>
      </c>
      <c r="AA349" s="37">
        <v>0.6</v>
      </c>
      <c r="AB349">
        <v>100</v>
      </c>
    </row>
    <row r="350">
      <c r="A350" t="s">
        <v>1289</v>
      </c>
      <c r="B350" t="s">
        <v>1182</v>
      </c>
      <c r="C350" t="s">
        <v>1182</v>
      </c>
      <c r="D350" t="s">
        <v>359</v>
      </c>
      <c r="E350" t="s">
        <v>1290</v>
      </c>
      <c r="F350" t="s">
        <v>298</v>
      </c>
      <c r="G350" t="s">
        <v>1269</v>
      </c>
      <c r="H350" t="s">
        <v>1273</v>
      </c>
      <c r="I350" t="s">
        <v>1294</v>
      </c>
      <c r="J350" t="s">
        <v>1295</v>
      </c>
      <c r="K350" t="s">
        <v>1296</v>
      </c>
      <c r="L350" t="s">
        <v>1172</v>
      </c>
      <c r="M350" s="37">
        <v>1.535642</v>
      </c>
      <c r="N350" s="37">
        <v>0.3</v>
      </c>
      <c r="O350">
        <v>1.5</v>
      </c>
      <c r="P350" s="37">
        <v>0.671785</v>
      </c>
      <c r="Q350">
        <v>0.66</v>
      </c>
      <c r="R350">
        <v>5000</v>
      </c>
      <c r="S350">
        <v>5000</v>
      </c>
      <c r="T350">
        <v>5000</v>
      </c>
      <c r="U350" t="s">
        <v>1162</v>
      </c>
      <c r="W350" s="38">
        <v>0.6</v>
      </c>
      <c r="X350">
        <v>60</v>
      </c>
      <c r="Y350" t="s">
        <v>1170</v>
      </c>
      <c r="Z350" s="37">
        <v>0.6</v>
      </c>
      <c r="AA350" s="37">
        <v>0.6</v>
      </c>
      <c r="AB350">
        <v>100</v>
      </c>
    </row>
    <row r="351">
      <c r="A351" t="s">
        <v>1289</v>
      </c>
      <c r="B351" t="s">
        <v>1182</v>
      </c>
      <c r="C351" t="s">
        <v>1182</v>
      </c>
      <c r="D351" t="s">
        <v>359</v>
      </c>
      <c r="E351" t="s">
        <v>1290</v>
      </c>
      <c r="F351" t="s">
        <v>298</v>
      </c>
      <c r="G351" t="s">
        <v>1269</v>
      </c>
      <c r="H351" t="s">
        <v>1277</v>
      </c>
      <c r="I351" t="s">
        <v>1297</v>
      </c>
      <c r="J351" s="38">
        <v>0</v>
      </c>
      <c r="K351" s="38">
        <v>-0.05</v>
      </c>
      <c r="L351" t="s">
        <v>1172</v>
      </c>
      <c r="M351" s="37">
        <v>0</v>
      </c>
      <c r="N351" s="37">
        <v>0.4</v>
      </c>
      <c r="O351">
        <v>0</v>
      </c>
      <c r="P351" s="37">
        <v>0.671785</v>
      </c>
      <c r="Q351">
        <v>0.66</v>
      </c>
      <c r="R351">
        <v>5000</v>
      </c>
      <c r="S351">
        <v>5000</v>
      </c>
      <c r="T351">
        <v>5000</v>
      </c>
      <c r="U351" t="s">
        <v>1162</v>
      </c>
      <c r="W351" s="38">
        <v>0.6</v>
      </c>
      <c r="X351">
        <v>60</v>
      </c>
      <c r="Y351" t="s">
        <v>1170</v>
      </c>
      <c r="Z351" s="37">
        <v>0.6</v>
      </c>
      <c r="AA351" s="37">
        <v>0.6</v>
      </c>
      <c r="AB351">
        <v>100</v>
      </c>
    </row>
    <row r="352">
      <c r="A352" t="s">
        <v>1298</v>
      </c>
      <c r="B352" t="s">
        <v>1299</v>
      </c>
      <c r="C352" t="s">
        <v>1299</v>
      </c>
      <c r="D352" t="s">
        <v>1300</v>
      </c>
      <c r="E352" t="s">
        <v>1301</v>
      </c>
      <c r="F352" t="s">
        <v>298</v>
      </c>
      <c r="G352" t="s">
        <v>1302</v>
      </c>
      <c r="H352" t="s">
        <v>1303</v>
      </c>
      <c r="I352" t="s">
        <v>1304</v>
      </c>
      <c r="L352" t="s">
        <v>1172</v>
      </c>
      <c r="M352" s="37">
        <v>1</v>
      </c>
      <c r="N352" s="37">
        <v>0.4</v>
      </c>
      <c r="O352">
        <v>1</v>
      </c>
      <c r="P352" s="37">
        <v>0.7505</v>
      </c>
      <c r="Q352">
        <v>0.8</v>
      </c>
      <c r="R352">
        <v>4000</v>
      </c>
      <c r="S352">
        <v>4000</v>
      </c>
      <c r="T352">
        <v>5000</v>
      </c>
      <c r="U352" t="s">
        <v>1162</v>
      </c>
      <c r="W352" s="38">
        <v>0.6</v>
      </c>
      <c r="X352">
        <v>60</v>
      </c>
      <c r="Y352" t="s">
        <v>1170</v>
      </c>
      <c r="Z352" s="37">
        <v>0.6</v>
      </c>
      <c r="AA352" s="37">
        <v>0.6</v>
      </c>
      <c r="AB352">
        <v>100</v>
      </c>
    </row>
    <row r="353">
      <c r="A353" t="s">
        <v>1298</v>
      </c>
      <c r="B353" t="s">
        <v>1299</v>
      </c>
      <c r="C353" t="s">
        <v>1299</v>
      </c>
      <c r="D353" t="s">
        <v>1300</v>
      </c>
      <c r="E353" t="s">
        <v>1301</v>
      </c>
      <c r="F353" t="s">
        <v>298</v>
      </c>
      <c r="G353" t="s">
        <v>1302</v>
      </c>
      <c r="H353" t="s">
        <v>1305</v>
      </c>
      <c r="I353" t="s">
        <v>1306</v>
      </c>
      <c r="J353" t="s">
        <v>709</v>
      </c>
      <c r="K353" t="s">
        <v>980</v>
      </c>
      <c r="L353" t="s">
        <v>1172</v>
      </c>
      <c r="M353" s="37">
        <v>0.5</v>
      </c>
      <c r="N353" s="37">
        <v>0.2</v>
      </c>
      <c r="O353">
        <v>0.5</v>
      </c>
      <c r="P353" s="37">
        <v>0.7505</v>
      </c>
      <c r="Q353">
        <v>0.8</v>
      </c>
      <c r="R353">
        <v>4000</v>
      </c>
      <c r="S353">
        <v>4000</v>
      </c>
      <c r="T353">
        <v>5000</v>
      </c>
      <c r="U353" t="s">
        <v>1162</v>
      </c>
      <c r="W353" s="38">
        <v>0.6</v>
      </c>
      <c r="X353">
        <v>60</v>
      </c>
      <c r="Y353" t="s">
        <v>1170</v>
      </c>
      <c r="Z353" s="37">
        <v>0.6</v>
      </c>
      <c r="AA353" s="37">
        <v>0.6</v>
      </c>
      <c r="AB353">
        <v>100</v>
      </c>
    </row>
    <row r="354">
      <c r="A354" t="s">
        <v>1298</v>
      </c>
      <c r="B354" t="s">
        <v>1299</v>
      </c>
      <c r="C354" t="s">
        <v>1299</v>
      </c>
      <c r="D354" t="s">
        <v>1300</v>
      </c>
      <c r="E354" t="s">
        <v>1301</v>
      </c>
      <c r="F354" t="s">
        <v>298</v>
      </c>
      <c r="G354" t="s">
        <v>1302</v>
      </c>
      <c r="H354" t="s">
        <v>1307</v>
      </c>
      <c r="I354" t="s">
        <v>1308</v>
      </c>
      <c r="J354" t="s">
        <v>980</v>
      </c>
      <c r="K354" t="s">
        <v>980</v>
      </c>
      <c r="L354" t="s">
        <v>1172</v>
      </c>
      <c r="M354" s="37">
        <v>1</v>
      </c>
      <c r="N354" s="37">
        <v>0.15</v>
      </c>
      <c r="O354">
        <v>1</v>
      </c>
      <c r="P354" s="37">
        <v>0.7505</v>
      </c>
      <c r="Q354">
        <v>0.8</v>
      </c>
      <c r="R354">
        <v>4000</v>
      </c>
      <c r="S354">
        <v>4000</v>
      </c>
      <c r="T354">
        <v>5000</v>
      </c>
      <c r="U354" t="s">
        <v>1162</v>
      </c>
      <c r="W354" s="38">
        <v>0.6</v>
      </c>
      <c r="X354">
        <v>60</v>
      </c>
      <c r="Y354" t="s">
        <v>1170</v>
      </c>
      <c r="Z354" s="37">
        <v>0.6</v>
      </c>
      <c r="AA354" s="37">
        <v>0.6</v>
      </c>
      <c r="AB354">
        <v>100</v>
      </c>
    </row>
    <row r="355">
      <c r="A355" t="s">
        <v>1298</v>
      </c>
      <c r="B355" t="s">
        <v>1299</v>
      </c>
      <c r="C355" t="s">
        <v>1299</v>
      </c>
      <c r="D355" t="s">
        <v>1300</v>
      </c>
      <c r="E355" t="s">
        <v>1301</v>
      </c>
      <c r="F355" t="s">
        <v>298</v>
      </c>
      <c r="G355" t="s">
        <v>1302</v>
      </c>
      <c r="H355" t="s">
        <v>1309</v>
      </c>
      <c r="I355" t="s">
        <v>1310</v>
      </c>
      <c r="J355" t="s">
        <v>1311</v>
      </c>
      <c r="K355" t="s">
        <v>1035</v>
      </c>
      <c r="L355" t="s">
        <v>1172</v>
      </c>
      <c r="M355" s="37">
        <v>0.5</v>
      </c>
      <c r="N355" s="37">
        <v>0.2</v>
      </c>
      <c r="O355">
        <v>0.5</v>
      </c>
      <c r="P355" s="37">
        <v>0.7505</v>
      </c>
      <c r="Q355">
        <v>0.8</v>
      </c>
      <c r="R355">
        <v>4000</v>
      </c>
      <c r="S355">
        <v>4000</v>
      </c>
      <c r="T355">
        <v>5000</v>
      </c>
      <c r="U355" t="s">
        <v>1162</v>
      </c>
      <c r="W355" s="38">
        <v>0.6</v>
      </c>
      <c r="X355">
        <v>60</v>
      </c>
      <c r="Y355" t="s">
        <v>1170</v>
      </c>
      <c r="Z355" s="37">
        <v>0.6</v>
      </c>
      <c r="AA355" s="37">
        <v>0.6</v>
      </c>
      <c r="AB355">
        <v>100</v>
      </c>
    </row>
    <row r="356">
      <c r="A356" t="s">
        <v>1298</v>
      </c>
      <c r="B356" t="s">
        <v>1299</v>
      </c>
      <c r="C356" t="s">
        <v>1299</v>
      </c>
      <c r="D356" t="s">
        <v>1300</v>
      </c>
      <c r="E356" t="s">
        <v>1301</v>
      </c>
      <c r="F356" t="s">
        <v>298</v>
      </c>
      <c r="G356" t="s">
        <v>1302</v>
      </c>
      <c r="H356" t="s">
        <v>1312</v>
      </c>
      <c r="I356" t="s">
        <v>1313</v>
      </c>
      <c r="L356" t="s">
        <v>1172</v>
      </c>
      <c r="M356" s="37">
        <v>0.01</v>
      </c>
      <c r="N356" s="37">
        <v>0.05</v>
      </c>
      <c r="O356">
        <v>1</v>
      </c>
      <c r="P356" s="37">
        <v>0.7505</v>
      </c>
      <c r="Q356">
        <v>0.8</v>
      </c>
      <c r="R356">
        <v>4000</v>
      </c>
      <c r="S356">
        <v>4000</v>
      </c>
      <c r="T356">
        <v>5000</v>
      </c>
      <c r="U356" t="s">
        <v>1162</v>
      </c>
      <c r="W356" s="38">
        <v>0.6</v>
      </c>
      <c r="X356">
        <v>60</v>
      </c>
      <c r="Y356" t="s">
        <v>1170</v>
      </c>
      <c r="Z356" s="37">
        <v>0.6</v>
      </c>
      <c r="AA356" s="37">
        <v>0.6</v>
      </c>
      <c r="AB356">
        <v>100</v>
      </c>
    </row>
    <row r="357">
      <c r="A357" t="s">
        <v>1314</v>
      </c>
      <c r="B357" t="s">
        <v>1299</v>
      </c>
      <c r="C357" t="s">
        <v>1299</v>
      </c>
      <c r="D357" t="s">
        <v>1315</v>
      </c>
      <c r="E357" t="s">
        <v>1316</v>
      </c>
      <c r="F357" t="s">
        <v>298</v>
      </c>
      <c r="G357" t="s">
        <v>1317</v>
      </c>
      <c r="H357" t="s">
        <v>1318</v>
      </c>
      <c r="I357" t="s">
        <v>1319</v>
      </c>
      <c r="J357" t="s">
        <v>1320</v>
      </c>
      <c r="K357" t="s">
        <v>1321</v>
      </c>
      <c r="L357" t="s">
        <v>1322</v>
      </c>
      <c r="M357" s="37">
        <v>0.94</v>
      </c>
      <c r="N357" s="37">
        <v>0.3</v>
      </c>
      <c r="O357">
        <v>0.94</v>
      </c>
      <c r="P357" s="37">
        <v>0.9584</v>
      </c>
      <c r="Q357">
        <v>1.02</v>
      </c>
      <c r="R357">
        <v>5020</v>
      </c>
      <c r="S357">
        <v>5020</v>
      </c>
      <c r="T357">
        <v>5000</v>
      </c>
      <c r="U357" t="s">
        <v>1162</v>
      </c>
      <c r="W357" s="38">
        <v>0.6</v>
      </c>
      <c r="X357">
        <v>60</v>
      </c>
      <c r="Y357" t="s">
        <v>1170</v>
      </c>
      <c r="Z357" s="37">
        <v>0.6</v>
      </c>
      <c r="AA357" s="37">
        <v>0.6</v>
      </c>
      <c r="AB357">
        <v>100</v>
      </c>
    </row>
    <row r="358">
      <c r="A358" t="s">
        <v>1314</v>
      </c>
      <c r="B358" t="s">
        <v>1299</v>
      </c>
      <c r="C358" t="s">
        <v>1299</v>
      </c>
      <c r="D358" t="s">
        <v>1315</v>
      </c>
      <c r="E358" t="s">
        <v>1316</v>
      </c>
      <c r="F358" t="s">
        <v>298</v>
      </c>
      <c r="G358" t="s">
        <v>1317</v>
      </c>
      <c r="H358" t="s">
        <v>1323</v>
      </c>
      <c r="I358" t="s">
        <v>1324</v>
      </c>
      <c r="J358">
        <v>100</v>
      </c>
      <c r="L358" t="s">
        <v>1325</v>
      </c>
      <c r="M358" s="37">
        <v>1</v>
      </c>
      <c r="N358" s="37">
        <v>0.3</v>
      </c>
      <c r="O358">
        <v>1.2</v>
      </c>
      <c r="P358" s="37">
        <v>0.9584</v>
      </c>
      <c r="Q358">
        <v>1.02</v>
      </c>
      <c r="R358">
        <v>5020</v>
      </c>
      <c r="S358">
        <v>5020</v>
      </c>
      <c r="T358">
        <v>5000</v>
      </c>
      <c r="U358" t="s">
        <v>1162</v>
      </c>
      <c r="W358" s="38">
        <v>0.6</v>
      </c>
      <c r="X358">
        <v>60</v>
      </c>
      <c r="Y358" t="s">
        <v>1170</v>
      </c>
      <c r="Z358" s="37">
        <v>0.6</v>
      </c>
      <c r="AA358" s="37">
        <v>0.6</v>
      </c>
      <c r="AB358">
        <v>100</v>
      </c>
    </row>
    <row r="359">
      <c r="A359" t="s">
        <v>1314</v>
      </c>
      <c r="B359" t="s">
        <v>1299</v>
      </c>
      <c r="C359" t="s">
        <v>1299</v>
      </c>
      <c r="D359" t="s">
        <v>1315</v>
      </c>
      <c r="E359" t="s">
        <v>1316</v>
      </c>
      <c r="F359" t="s">
        <v>298</v>
      </c>
      <c r="G359" t="s">
        <v>1317</v>
      </c>
      <c r="H359" t="s">
        <v>1326</v>
      </c>
      <c r="I359" t="s">
        <v>1327</v>
      </c>
      <c r="K359" t="s">
        <v>1328</v>
      </c>
      <c r="L359" t="s">
        <v>1325</v>
      </c>
      <c r="M359" s="37">
        <v>1.387</v>
      </c>
      <c r="N359" s="37">
        <v>0.2</v>
      </c>
      <c r="O359">
        <v>1.387</v>
      </c>
      <c r="P359" s="37">
        <v>0.9584</v>
      </c>
      <c r="Q359">
        <v>1.02</v>
      </c>
      <c r="R359">
        <v>5020</v>
      </c>
      <c r="S359">
        <v>5020</v>
      </c>
      <c r="T359">
        <v>5000</v>
      </c>
      <c r="U359" t="s">
        <v>1162</v>
      </c>
      <c r="W359" s="38">
        <v>0.6</v>
      </c>
      <c r="X359">
        <v>60</v>
      </c>
      <c r="Y359" t="s">
        <v>1170</v>
      </c>
      <c r="Z359" s="37">
        <v>0.6</v>
      </c>
      <c r="AA359" s="37">
        <v>0.6</v>
      </c>
      <c r="AB359">
        <v>100</v>
      </c>
    </row>
    <row r="360">
      <c r="A360" t="s">
        <v>1314</v>
      </c>
      <c r="B360" t="s">
        <v>1299</v>
      </c>
      <c r="C360" t="s">
        <v>1299</v>
      </c>
      <c r="D360" t="s">
        <v>1315</v>
      </c>
      <c r="E360" t="s">
        <v>1316</v>
      </c>
      <c r="F360" t="s">
        <v>298</v>
      </c>
      <c r="G360" t="s">
        <v>1317</v>
      </c>
      <c r="H360" t="s">
        <v>1329</v>
      </c>
      <c r="I360" t="s">
        <v>1330</v>
      </c>
      <c r="J360">
        <v>51.47</v>
      </c>
      <c r="K360">
        <v>25.5</v>
      </c>
      <c r="L360" t="s">
        <v>1331</v>
      </c>
      <c r="M360" s="37">
        <v>0.495</v>
      </c>
      <c r="N360" s="37">
        <v>0.2</v>
      </c>
      <c r="O360">
        <v>0.495</v>
      </c>
      <c r="P360" s="37">
        <v>0.9584</v>
      </c>
      <c r="Q360">
        <v>1.02</v>
      </c>
      <c r="R360">
        <v>5020</v>
      </c>
      <c r="S360">
        <v>5020</v>
      </c>
      <c r="T360">
        <v>5000</v>
      </c>
      <c r="U360" t="s">
        <v>1162</v>
      </c>
      <c r="W360" s="38">
        <v>0.6</v>
      </c>
      <c r="X360">
        <v>60</v>
      </c>
      <c r="Y360" t="s">
        <v>1170</v>
      </c>
      <c r="Z360" s="37">
        <v>0.6</v>
      </c>
      <c r="AA360" s="37">
        <v>0.6</v>
      </c>
      <c r="AB360">
        <v>100</v>
      </c>
    </row>
    <row r="361">
      <c r="A361" t="s">
        <v>1332</v>
      </c>
      <c r="B361" t="s">
        <v>1299</v>
      </c>
      <c r="C361" t="s">
        <v>1299</v>
      </c>
      <c r="D361" t="s">
        <v>1333</v>
      </c>
      <c r="E361" t="s">
        <v>1334</v>
      </c>
      <c r="F361" t="s">
        <v>298</v>
      </c>
      <c r="G361" t="s">
        <v>1317</v>
      </c>
      <c r="H361" t="s">
        <v>1329</v>
      </c>
      <c r="I361" t="s">
        <v>1335</v>
      </c>
      <c r="J361" s="38">
        <v>1</v>
      </c>
      <c r="K361" s="38">
        <v>1</v>
      </c>
      <c r="L361" t="s">
        <v>455</v>
      </c>
      <c r="M361" s="37">
        <v>1</v>
      </c>
      <c r="N361" s="37">
        <v>0.1</v>
      </c>
      <c r="O361">
        <v>1</v>
      </c>
      <c r="P361" s="37">
        <v>0.62425</v>
      </c>
      <c r="Q361">
        <v>0.61</v>
      </c>
      <c r="R361">
        <v>4610</v>
      </c>
      <c r="S361">
        <v>4610</v>
      </c>
      <c r="T361">
        <v>5000</v>
      </c>
      <c r="U361" t="s">
        <v>1162</v>
      </c>
      <c r="W361" s="38">
        <v>0.6</v>
      </c>
      <c r="X361">
        <v>60</v>
      </c>
      <c r="Y361" t="s">
        <v>1170</v>
      </c>
      <c r="Z361" s="37">
        <v>0.6</v>
      </c>
      <c r="AA361" s="37">
        <v>0.6</v>
      </c>
      <c r="AB361">
        <v>100</v>
      </c>
    </row>
    <row r="362">
      <c r="A362" t="s">
        <v>1332</v>
      </c>
      <c r="B362" t="s">
        <v>1299</v>
      </c>
      <c r="C362" t="s">
        <v>1299</v>
      </c>
      <c r="D362" t="s">
        <v>1333</v>
      </c>
      <c r="E362" t="s">
        <v>1334</v>
      </c>
      <c r="F362" t="s">
        <v>298</v>
      </c>
      <c r="G362" t="s">
        <v>1317</v>
      </c>
      <c r="H362" t="s">
        <v>1318</v>
      </c>
      <c r="I362" t="s">
        <v>1336</v>
      </c>
      <c r="J362" s="38">
        <v>1</v>
      </c>
      <c r="K362" s="38">
        <v>1</v>
      </c>
      <c r="L362" t="s">
        <v>1337</v>
      </c>
      <c r="M362" s="37">
        <v>1</v>
      </c>
      <c r="N362" s="37">
        <v>0.3</v>
      </c>
      <c r="O362">
        <v>1</v>
      </c>
      <c r="P362" s="37">
        <v>0.62425</v>
      </c>
      <c r="Q362">
        <v>0.61</v>
      </c>
      <c r="R362">
        <v>4610</v>
      </c>
      <c r="S362">
        <v>4610</v>
      </c>
      <c r="T362">
        <v>5000</v>
      </c>
      <c r="U362" t="s">
        <v>1162</v>
      </c>
      <c r="W362" s="38">
        <v>0.6</v>
      </c>
      <c r="X362">
        <v>60</v>
      </c>
      <c r="Y362" t="s">
        <v>1170</v>
      </c>
      <c r="Z362" s="37">
        <v>0.6</v>
      </c>
      <c r="AA362" s="37">
        <v>0.6</v>
      </c>
      <c r="AB362">
        <v>100</v>
      </c>
    </row>
    <row r="363">
      <c r="A363" t="s">
        <v>1332</v>
      </c>
      <c r="B363" t="s">
        <v>1299</v>
      </c>
      <c r="C363" t="s">
        <v>1299</v>
      </c>
      <c r="D363" t="s">
        <v>1333</v>
      </c>
      <c r="E363" t="s">
        <v>1334</v>
      </c>
      <c r="F363" t="s">
        <v>298</v>
      </c>
      <c r="G363" t="s">
        <v>1317</v>
      </c>
      <c r="H363" t="s">
        <v>1318</v>
      </c>
      <c r="I363" t="s">
        <v>1338</v>
      </c>
      <c r="J363" s="38">
        <v>1</v>
      </c>
      <c r="K363" s="38">
        <v>0.5</v>
      </c>
      <c r="L363" t="s">
        <v>1339</v>
      </c>
      <c r="M363" s="37">
        <v>0.5</v>
      </c>
      <c r="N363" s="37">
        <v>0.3</v>
      </c>
      <c r="O363">
        <v>0.5</v>
      </c>
      <c r="P363" s="37">
        <v>0.62425</v>
      </c>
      <c r="Q363">
        <v>0.61</v>
      </c>
      <c r="R363">
        <v>4610</v>
      </c>
      <c r="S363">
        <v>4610</v>
      </c>
      <c r="T363">
        <v>5000</v>
      </c>
      <c r="U363" t="s">
        <v>1162</v>
      </c>
      <c r="W363" s="38">
        <v>0.6</v>
      </c>
      <c r="X363">
        <v>60</v>
      </c>
      <c r="Y363" t="s">
        <v>1170</v>
      </c>
      <c r="Z363" s="37">
        <v>0.6</v>
      </c>
      <c r="AA363" s="37">
        <v>0.6</v>
      </c>
      <c r="AB363">
        <v>100</v>
      </c>
    </row>
    <row r="364">
      <c r="A364" t="s">
        <v>1332</v>
      </c>
      <c r="B364" t="s">
        <v>1299</v>
      </c>
      <c r="C364" t="s">
        <v>1299</v>
      </c>
      <c r="D364" t="s">
        <v>1333</v>
      </c>
      <c r="E364" t="s">
        <v>1334</v>
      </c>
      <c r="F364" t="s">
        <v>298</v>
      </c>
      <c r="G364" t="s">
        <v>1317</v>
      </c>
      <c r="H364" t="s">
        <v>1340</v>
      </c>
      <c r="I364" t="s">
        <v>1341</v>
      </c>
      <c r="J364" s="38">
        <v>1</v>
      </c>
      <c r="K364" s="37">
        <v>0.2475</v>
      </c>
      <c r="L364" t="s">
        <v>1342</v>
      </c>
      <c r="M364" s="37">
        <v>0.2475</v>
      </c>
      <c r="N364" s="37">
        <v>0.3</v>
      </c>
      <c r="O364">
        <v>0.198</v>
      </c>
      <c r="P364" s="37">
        <v>0.62425</v>
      </c>
      <c r="Q364">
        <v>0.61</v>
      </c>
      <c r="R364">
        <v>4610</v>
      </c>
      <c r="S364">
        <v>4610</v>
      </c>
      <c r="T364">
        <v>5000</v>
      </c>
      <c r="U364" t="s">
        <v>1162</v>
      </c>
      <c r="W364" s="38">
        <v>0.6</v>
      </c>
      <c r="X364">
        <v>60</v>
      </c>
      <c r="Y364" t="s">
        <v>1170</v>
      </c>
      <c r="Z364" s="37">
        <v>0.6</v>
      </c>
      <c r="AA364" s="37">
        <v>0.6</v>
      </c>
      <c r="AB364">
        <v>100</v>
      </c>
    </row>
    <row r="365">
      <c r="A365" t="s">
        <v>1343</v>
      </c>
      <c r="B365" t="s">
        <v>1299</v>
      </c>
      <c r="C365" t="s">
        <v>1299</v>
      </c>
      <c r="D365" t="s">
        <v>1333</v>
      </c>
      <c r="E365" t="s">
        <v>1344</v>
      </c>
      <c r="F365" t="s">
        <v>298</v>
      </c>
      <c r="G365" t="s">
        <v>1317</v>
      </c>
      <c r="H365" t="s">
        <v>1345</v>
      </c>
      <c r="I365" t="s">
        <v>1346</v>
      </c>
      <c r="J365" t="s">
        <v>980</v>
      </c>
      <c r="K365" t="s">
        <v>980</v>
      </c>
      <c r="L365" t="s">
        <v>1342</v>
      </c>
      <c r="M365" s="37">
        <v>1</v>
      </c>
      <c r="N365" s="37">
        <v>0.5</v>
      </c>
      <c r="O365">
        <v>1</v>
      </c>
      <c r="P365" s="37">
        <v>1</v>
      </c>
      <c r="Q365">
        <v>1</v>
      </c>
      <c r="R365">
        <v>5000</v>
      </c>
      <c r="S365">
        <v>5000</v>
      </c>
      <c r="T365">
        <v>5000</v>
      </c>
      <c r="U365" t="s">
        <v>1162</v>
      </c>
      <c r="W365" s="38">
        <v>0.6</v>
      </c>
      <c r="X365">
        <v>60</v>
      </c>
      <c r="Y365" t="s">
        <v>1170</v>
      </c>
      <c r="Z365" s="37">
        <v>0.6</v>
      </c>
      <c r="AA365" s="37">
        <v>0.6</v>
      </c>
      <c r="AB365">
        <v>100</v>
      </c>
    </row>
    <row r="366">
      <c r="A366" t="s">
        <v>1343</v>
      </c>
      <c r="B366" t="s">
        <v>1299</v>
      </c>
      <c r="C366" t="s">
        <v>1299</v>
      </c>
      <c r="D366" t="s">
        <v>1333</v>
      </c>
      <c r="E366" t="s">
        <v>1344</v>
      </c>
      <c r="F366" t="s">
        <v>298</v>
      </c>
      <c r="G366" t="s">
        <v>1317</v>
      </c>
      <c r="H366" t="s">
        <v>1329</v>
      </c>
      <c r="I366" t="s">
        <v>1347</v>
      </c>
      <c r="J366" t="s">
        <v>980</v>
      </c>
      <c r="K366" t="s">
        <v>980</v>
      </c>
      <c r="L366" t="s">
        <v>1342</v>
      </c>
      <c r="M366" s="37">
        <v>1</v>
      </c>
      <c r="N366" s="37">
        <v>0.5</v>
      </c>
      <c r="O366">
        <v>1</v>
      </c>
      <c r="P366" s="37">
        <v>1</v>
      </c>
      <c r="Q366">
        <v>1</v>
      </c>
      <c r="R366">
        <v>5000</v>
      </c>
      <c r="S366">
        <v>5000</v>
      </c>
      <c r="T366">
        <v>5000</v>
      </c>
      <c r="U366" t="s">
        <v>1162</v>
      </c>
      <c r="W366" s="38">
        <v>0.6</v>
      </c>
      <c r="X366">
        <v>60</v>
      </c>
      <c r="Y366" t="s">
        <v>1170</v>
      </c>
      <c r="Z366" s="37">
        <v>0.6</v>
      </c>
      <c r="AA366" s="37">
        <v>0.6</v>
      </c>
      <c r="AB366">
        <v>100</v>
      </c>
    </row>
    <row r="367">
      <c r="A367" t="s">
        <v>1348</v>
      </c>
      <c r="B367" t="s">
        <v>1299</v>
      </c>
      <c r="C367" t="s">
        <v>1299</v>
      </c>
      <c r="D367" t="s">
        <v>1349</v>
      </c>
      <c r="E367" t="s">
        <v>1350</v>
      </c>
      <c r="F367" t="s">
        <v>298</v>
      </c>
      <c r="G367" t="s">
        <v>1317</v>
      </c>
      <c r="H367" t="s">
        <v>1323</v>
      </c>
      <c r="I367" t="s">
        <v>1351</v>
      </c>
      <c r="J367" s="38">
        <v>1</v>
      </c>
      <c r="L367" t="s">
        <v>1352</v>
      </c>
      <c r="M367" s="37">
        <v>0.5</v>
      </c>
      <c r="N367" s="37">
        <v>0.25</v>
      </c>
      <c r="O367">
        <v>0.4</v>
      </c>
      <c r="P367" s="37">
        <v>0.877</v>
      </c>
      <c r="Q367">
        <v>0.94</v>
      </c>
      <c r="R367">
        <v>10820</v>
      </c>
      <c r="S367">
        <v>10820</v>
      </c>
      <c r="T367">
        <v>11000</v>
      </c>
      <c r="U367" t="s">
        <v>1162</v>
      </c>
      <c r="W367" s="38">
        <v>0.6</v>
      </c>
      <c r="X367">
        <v>60</v>
      </c>
      <c r="Y367" t="s">
        <v>1170</v>
      </c>
      <c r="Z367" s="37">
        <v>0.6</v>
      </c>
      <c r="AA367" s="37">
        <v>0.6</v>
      </c>
      <c r="AB367">
        <v>100</v>
      </c>
    </row>
    <row r="368">
      <c r="A368" t="s">
        <v>1348</v>
      </c>
      <c r="B368" t="s">
        <v>1299</v>
      </c>
      <c r="C368" t="s">
        <v>1299</v>
      </c>
      <c r="D368" t="s">
        <v>1349</v>
      </c>
      <c r="E368" t="s">
        <v>1350</v>
      </c>
      <c r="F368" t="s">
        <v>298</v>
      </c>
      <c r="G368" t="s">
        <v>1317</v>
      </c>
      <c r="H368" t="s">
        <v>1323</v>
      </c>
      <c r="I368" t="s">
        <v>1353</v>
      </c>
      <c r="J368" s="38">
        <v>1</v>
      </c>
      <c r="L368" t="s">
        <v>1354</v>
      </c>
      <c r="M368" s="37">
        <v>1</v>
      </c>
      <c r="N368" s="37">
        <v>0.25</v>
      </c>
      <c r="O368">
        <v>1.2</v>
      </c>
      <c r="P368" s="37">
        <v>0.877</v>
      </c>
      <c r="Q368">
        <v>0.94</v>
      </c>
      <c r="R368">
        <v>10820</v>
      </c>
      <c r="S368">
        <v>10820</v>
      </c>
      <c r="T368">
        <v>11000</v>
      </c>
      <c r="U368" t="s">
        <v>1162</v>
      </c>
      <c r="W368" s="38">
        <v>0.6</v>
      </c>
      <c r="X368">
        <v>60</v>
      </c>
      <c r="Y368" t="s">
        <v>1170</v>
      </c>
      <c r="Z368" s="37">
        <v>0.6</v>
      </c>
      <c r="AA368" s="37">
        <v>0.6</v>
      </c>
      <c r="AB368">
        <v>100</v>
      </c>
    </row>
    <row r="369">
      <c r="A369" t="s">
        <v>1348</v>
      </c>
      <c r="B369" t="s">
        <v>1299</v>
      </c>
      <c r="C369" t="s">
        <v>1299</v>
      </c>
      <c r="D369" t="s">
        <v>1349</v>
      </c>
      <c r="E369" t="s">
        <v>1350</v>
      </c>
      <c r="F369" t="s">
        <v>298</v>
      </c>
      <c r="G369" t="s">
        <v>1317</v>
      </c>
      <c r="H369" t="s">
        <v>1340</v>
      </c>
      <c r="I369" t="s">
        <v>1355</v>
      </c>
      <c r="J369" s="38">
        <v>1</v>
      </c>
      <c r="K369" s="38">
        <v>1</v>
      </c>
      <c r="L369" t="s">
        <v>1356</v>
      </c>
      <c r="M369" s="37">
        <v>1</v>
      </c>
      <c r="N369" s="37">
        <v>0.1</v>
      </c>
      <c r="O369">
        <v>1.2</v>
      </c>
      <c r="P369" s="37">
        <v>0.877</v>
      </c>
      <c r="Q369">
        <v>0.94</v>
      </c>
      <c r="R369">
        <v>10820</v>
      </c>
      <c r="S369">
        <v>10820</v>
      </c>
      <c r="T369">
        <v>11000</v>
      </c>
      <c r="U369" t="s">
        <v>1162</v>
      </c>
      <c r="W369" s="38">
        <v>0.6</v>
      </c>
      <c r="X369">
        <v>60</v>
      </c>
      <c r="Y369" t="s">
        <v>1170</v>
      </c>
      <c r="Z369" s="37">
        <v>0.6</v>
      </c>
      <c r="AA369" s="37">
        <v>0.6</v>
      </c>
      <c r="AB369">
        <v>100</v>
      </c>
    </row>
    <row r="370">
      <c r="A370" t="s">
        <v>1348</v>
      </c>
      <c r="B370" t="s">
        <v>1299</v>
      </c>
      <c r="C370" t="s">
        <v>1299</v>
      </c>
      <c r="D370" t="s">
        <v>1349</v>
      </c>
      <c r="E370" t="s">
        <v>1350</v>
      </c>
      <c r="F370" t="s">
        <v>298</v>
      </c>
      <c r="G370" t="s">
        <v>1317</v>
      </c>
      <c r="H370" t="s">
        <v>1340</v>
      </c>
      <c r="I370" t="s">
        <v>1357</v>
      </c>
      <c r="J370" s="38">
        <v>1</v>
      </c>
      <c r="L370" t="s">
        <v>1358</v>
      </c>
      <c r="M370" s="37">
        <v>1</v>
      </c>
      <c r="N370" s="37">
        <v>0.1</v>
      </c>
      <c r="O370">
        <v>1.2</v>
      </c>
      <c r="P370" s="37">
        <v>0.877</v>
      </c>
      <c r="Q370">
        <v>0.94</v>
      </c>
      <c r="R370">
        <v>10820</v>
      </c>
      <c r="S370">
        <v>10820</v>
      </c>
      <c r="T370">
        <v>11000</v>
      </c>
      <c r="U370" t="s">
        <v>1162</v>
      </c>
      <c r="W370" s="38">
        <v>0.6</v>
      </c>
      <c r="X370">
        <v>60</v>
      </c>
      <c r="Y370" t="s">
        <v>1170</v>
      </c>
      <c r="Z370" s="37">
        <v>0.6</v>
      </c>
      <c r="AA370" s="37">
        <v>0.6</v>
      </c>
      <c r="AB370">
        <v>100</v>
      </c>
    </row>
    <row r="371">
      <c r="A371" t="s">
        <v>1348</v>
      </c>
      <c r="B371" t="s">
        <v>1299</v>
      </c>
      <c r="C371" t="s">
        <v>1299</v>
      </c>
      <c r="D371" t="s">
        <v>1349</v>
      </c>
      <c r="E371" t="s">
        <v>1350</v>
      </c>
      <c r="F371" t="s">
        <v>298</v>
      </c>
      <c r="G371" t="s">
        <v>1317</v>
      </c>
      <c r="H371" t="s">
        <v>1318</v>
      </c>
      <c r="I371" t="s">
        <v>1359</v>
      </c>
      <c r="J371" t="s">
        <v>980</v>
      </c>
      <c r="K371" t="s">
        <v>980</v>
      </c>
      <c r="L371" t="s">
        <v>1360</v>
      </c>
      <c r="M371" s="37">
        <v>1</v>
      </c>
      <c r="N371" s="37">
        <v>0.1</v>
      </c>
      <c r="O371">
        <v>1</v>
      </c>
      <c r="P371" s="37">
        <v>0.877</v>
      </c>
      <c r="Q371">
        <v>0.94</v>
      </c>
      <c r="R371">
        <v>10820</v>
      </c>
      <c r="S371">
        <v>10820</v>
      </c>
      <c r="T371">
        <v>11000</v>
      </c>
      <c r="U371" t="s">
        <v>1162</v>
      </c>
      <c r="W371" s="38">
        <v>0.6</v>
      </c>
      <c r="X371">
        <v>60</v>
      </c>
      <c r="Y371" t="s">
        <v>1170</v>
      </c>
      <c r="Z371" s="37">
        <v>0.6</v>
      </c>
      <c r="AA371" s="37">
        <v>0.6</v>
      </c>
      <c r="AB371">
        <v>100</v>
      </c>
    </row>
    <row r="372">
      <c r="A372" t="s">
        <v>1348</v>
      </c>
      <c r="B372" t="s">
        <v>1299</v>
      </c>
      <c r="C372" t="s">
        <v>1299</v>
      </c>
      <c r="D372" t="s">
        <v>1349</v>
      </c>
      <c r="E372" t="s">
        <v>1350</v>
      </c>
      <c r="F372" t="s">
        <v>298</v>
      </c>
      <c r="G372" t="s">
        <v>1317</v>
      </c>
      <c r="H372" t="s">
        <v>1361</v>
      </c>
      <c r="I372" t="s">
        <v>1362</v>
      </c>
      <c r="K372" t="s">
        <v>1363</v>
      </c>
      <c r="L372" t="s">
        <v>1360</v>
      </c>
      <c r="M372" s="37">
        <v>1.01</v>
      </c>
      <c r="N372" s="37">
        <v>0.2</v>
      </c>
      <c r="O372">
        <v>1.01</v>
      </c>
      <c r="P372" s="37">
        <v>0.877</v>
      </c>
      <c r="Q372">
        <v>0.94</v>
      </c>
      <c r="R372">
        <v>10820</v>
      </c>
      <c r="S372">
        <v>10820</v>
      </c>
      <c r="T372">
        <v>11000</v>
      </c>
      <c r="U372" t="s">
        <v>1162</v>
      </c>
      <c r="W372" s="38">
        <v>0.6</v>
      </c>
      <c r="X372">
        <v>60</v>
      </c>
      <c r="Y372" t="s">
        <v>1170</v>
      </c>
      <c r="Z372" s="37">
        <v>0.6</v>
      </c>
      <c r="AA372" s="37">
        <v>0.6</v>
      </c>
      <c r="AB372">
        <v>100</v>
      </c>
    </row>
    <row r="373">
      <c r="A373" t="s">
        <v>1364</v>
      </c>
      <c r="B373" t="s">
        <v>1299</v>
      </c>
      <c r="C373" t="s">
        <v>1299</v>
      </c>
      <c r="D373" t="s">
        <v>1315</v>
      </c>
      <c r="E373" t="s">
        <v>1365</v>
      </c>
      <c r="F373" t="s">
        <v>298</v>
      </c>
      <c r="G373" t="s">
        <v>1317</v>
      </c>
      <c r="H373" t="s">
        <v>1323</v>
      </c>
      <c r="I373" t="s">
        <v>1366</v>
      </c>
      <c r="J373" s="38">
        <v>1</v>
      </c>
      <c r="L373" t="s">
        <v>1367</v>
      </c>
      <c r="M373" s="37">
        <v>0.83</v>
      </c>
      <c r="N373" s="37">
        <v>0.5</v>
      </c>
      <c r="O373">
        <v>0.83</v>
      </c>
      <c r="P373" s="37">
        <v>1.0016</v>
      </c>
      <c r="Q373">
        <v>0.95</v>
      </c>
      <c r="R373">
        <v>4950</v>
      </c>
      <c r="S373">
        <v>4950</v>
      </c>
      <c r="T373">
        <v>5000</v>
      </c>
      <c r="U373" t="s">
        <v>1162</v>
      </c>
      <c r="W373" s="38">
        <v>0.6</v>
      </c>
      <c r="X373">
        <v>60</v>
      </c>
      <c r="Y373" t="s">
        <v>1170</v>
      </c>
      <c r="Z373" s="37">
        <v>0.6</v>
      </c>
      <c r="AA373" s="37">
        <v>0.6</v>
      </c>
      <c r="AB373">
        <v>100</v>
      </c>
    </row>
    <row r="374">
      <c r="A374" t="s">
        <v>1364</v>
      </c>
      <c r="B374" t="s">
        <v>1299</v>
      </c>
      <c r="C374" t="s">
        <v>1299</v>
      </c>
      <c r="D374" t="s">
        <v>1315</v>
      </c>
      <c r="E374" t="s">
        <v>1365</v>
      </c>
      <c r="F374" t="s">
        <v>298</v>
      </c>
      <c r="G374" t="s">
        <v>1317</v>
      </c>
      <c r="H374" t="s">
        <v>1340</v>
      </c>
      <c r="I374" t="s">
        <v>1368</v>
      </c>
      <c r="J374" s="38">
        <v>1</v>
      </c>
      <c r="K374" s="38">
        <v>0.9</v>
      </c>
      <c r="L374" t="s">
        <v>1369</v>
      </c>
      <c r="M374" s="37">
        <v>0.9</v>
      </c>
      <c r="N374" s="37">
        <v>0.2</v>
      </c>
      <c r="O374">
        <v>0.9</v>
      </c>
      <c r="P374" s="37">
        <v>1.0016</v>
      </c>
      <c r="Q374">
        <v>0.95</v>
      </c>
      <c r="R374">
        <v>4950</v>
      </c>
      <c r="S374">
        <v>4950</v>
      </c>
      <c r="T374">
        <v>5000</v>
      </c>
      <c r="U374" t="s">
        <v>1162</v>
      </c>
      <c r="W374" s="38">
        <v>0.6</v>
      </c>
      <c r="X374">
        <v>60</v>
      </c>
      <c r="Y374" t="s">
        <v>1170</v>
      </c>
      <c r="Z374" s="37">
        <v>0.6</v>
      </c>
      <c r="AA374" s="37">
        <v>0.6</v>
      </c>
      <c r="AB374">
        <v>100</v>
      </c>
    </row>
    <row r="375">
      <c r="A375" t="s">
        <v>1364</v>
      </c>
      <c r="B375" t="s">
        <v>1299</v>
      </c>
      <c r="C375" t="s">
        <v>1299</v>
      </c>
      <c r="D375" t="s">
        <v>1315</v>
      </c>
      <c r="E375" t="s">
        <v>1365</v>
      </c>
      <c r="F375" t="s">
        <v>298</v>
      </c>
      <c r="G375" t="s">
        <v>1317</v>
      </c>
      <c r="H375" t="s">
        <v>1329</v>
      </c>
      <c r="I375" t="s">
        <v>1370</v>
      </c>
      <c r="J375" s="38">
        <v>1</v>
      </c>
      <c r="K375" s="38">
        <v>1</v>
      </c>
      <c r="L375" t="s">
        <v>1371</v>
      </c>
      <c r="M375" s="37">
        <v>1</v>
      </c>
      <c r="N375" s="37">
        <v>0.1</v>
      </c>
      <c r="O375">
        <v>1</v>
      </c>
      <c r="P375" s="37">
        <v>1.0016</v>
      </c>
      <c r="Q375">
        <v>0.95</v>
      </c>
      <c r="R375">
        <v>4950</v>
      </c>
      <c r="S375">
        <v>4950</v>
      </c>
      <c r="T375">
        <v>5000</v>
      </c>
      <c r="U375" t="s">
        <v>1162</v>
      </c>
      <c r="W375" s="38">
        <v>0.6</v>
      </c>
      <c r="X375">
        <v>60</v>
      </c>
      <c r="Y375" t="s">
        <v>1170</v>
      </c>
      <c r="Z375" s="37">
        <v>0.6</v>
      </c>
      <c r="AA375" s="37">
        <v>0.6</v>
      </c>
      <c r="AB375">
        <v>100</v>
      </c>
    </row>
    <row r="376">
      <c r="A376" t="s">
        <v>1364</v>
      </c>
      <c r="B376" t="s">
        <v>1299</v>
      </c>
      <c r="C376" t="s">
        <v>1299</v>
      </c>
      <c r="D376" t="s">
        <v>1315</v>
      </c>
      <c r="E376" t="s">
        <v>1365</v>
      </c>
      <c r="F376" t="s">
        <v>298</v>
      </c>
      <c r="G376" t="s">
        <v>1317</v>
      </c>
      <c r="H376" t="s">
        <v>1318</v>
      </c>
      <c r="I376" t="s">
        <v>1372</v>
      </c>
      <c r="J376" t="s">
        <v>980</v>
      </c>
      <c r="K376" t="s">
        <v>709</v>
      </c>
      <c r="L376" t="s">
        <v>1373</v>
      </c>
      <c r="M376" s="37">
        <v>2</v>
      </c>
      <c r="N376" s="37">
        <v>0.1</v>
      </c>
      <c r="O376">
        <v>1.5</v>
      </c>
      <c r="P376" s="37">
        <v>1.0016</v>
      </c>
      <c r="Q376">
        <v>0.95</v>
      </c>
      <c r="R376">
        <v>4950</v>
      </c>
      <c r="S376">
        <v>4950</v>
      </c>
      <c r="T376">
        <v>5000</v>
      </c>
      <c r="U376" t="s">
        <v>1162</v>
      </c>
      <c r="W376" s="38">
        <v>0.6</v>
      </c>
      <c r="X376">
        <v>60</v>
      </c>
      <c r="Y376" t="s">
        <v>1170</v>
      </c>
      <c r="Z376" s="37">
        <v>0.6</v>
      </c>
      <c r="AA376" s="37">
        <v>0.6</v>
      </c>
      <c r="AB376">
        <v>100</v>
      </c>
    </row>
    <row r="377">
      <c r="A377" t="s">
        <v>1364</v>
      </c>
      <c r="B377" t="s">
        <v>1299</v>
      </c>
      <c r="C377" t="s">
        <v>1299</v>
      </c>
      <c r="D377" t="s">
        <v>1315</v>
      </c>
      <c r="E377" t="s">
        <v>1365</v>
      </c>
      <c r="F377" t="s">
        <v>298</v>
      </c>
      <c r="G377" t="s">
        <v>1317</v>
      </c>
      <c r="H377" t="s">
        <v>1326</v>
      </c>
      <c r="I377" t="s">
        <v>1374</v>
      </c>
      <c r="K377">
        <v>1.065842371</v>
      </c>
      <c r="L377" t="s">
        <v>1375</v>
      </c>
      <c r="M377" s="37">
        <v>1.066</v>
      </c>
      <c r="N377" s="37">
        <v>0.1</v>
      </c>
      <c r="O377">
        <v>1.07</v>
      </c>
      <c r="P377" s="37">
        <v>1.0016</v>
      </c>
      <c r="Q377">
        <v>0.95</v>
      </c>
      <c r="R377">
        <v>4950</v>
      </c>
      <c r="S377">
        <v>4950</v>
      </c>
      <c r="T377">
        <v>5000</v>
      </c>
      <c r="U377" t="s">
        <v>1162</v>
      </c>
      <c r="W377" s="38">
        <v>0.6</v>
      </c>
      <c r="X377">
        <v>60</v>
      </c>
      <c r="Y377" t="s">
        <v>1170</v>
      </c>
      <c r="Z377" s="37">
        <v>0.6</v>
      </c>
      <c r="AA377" s="37">
        <v>0.6</v>
      </c>
      <c r="AB377">
        <v>100</v>
      </c>
    </row>
    <row r="378">
      <c r="A378" t="s">
        <v>1376</v>
      </c>
      <c r="B378" t="s">
        <v>1299</v>
      </c>
      <c r="C378" t="s">
        <v>1299</v>
      </c>
      <c r="D378" t="s">
        <v>1349</v>
      </c>
      <c r="E378" t="s">
        <v>1377</v>
      </c>
      <c r="F378" t="s">
        <v>298</v>
      </c>
      <c r="G378" t="s">
        <v>1317</v>
      </c>
      <c r="H378" t="s">
        <v>1318</v>
      </c>
      <c r="I378" t="s">
        <v>1378</v>
      </c>
      <c r="J378" s="38">
        <v>1</v>
      </c>
      <c r="K378" s="38">
        <v>1</v>
      </c>
      <c r="L378" t="s">
        <v>1379</v>
      </c>
      <c r="M378" s="37">
        <v>1</v>
      </c>
      <c r="N378" s="37">
        <v>0.15</v>
      </c>
      <c r="O378">
        <v>1</v>
      </c>
      <c r="P378" s="37">
        <v>0.9292</v>
      </c>
      <c r="Q378">
        <v>1</v>
      </c>
      <c r="R378">
        <v>20000</v>
      </c>
      <c r="S378">
        <v>20000</v>
      </c>
      <c r="T378">
        <v>20000</v>
      </c>
      <c r="U378" t="s">
        <v>1162</v>
      </c>
      <c r="W378" s="38">
        <v>0.6</v>
      </c>
      <c r="X378">
        <v>60</v>
      </c>
      <c r="Y378" t="s">
        <v>1170</v>
      </c>
      <c r="Z378" s="37">
        <v>0.6</v>
      </c>
      <c r="AA378" s="37">
        <v>0.6</v>
      </c>
      <c r="AB378">
        <v>100</v>
      </c>
    </row>
    <row r="379">
      <c r="A379" t="s">
        <v>1376</v>
      </c>
      <c r="B379" t="s">
        <v>1299</v>
      </c>
      <c r="C379" t="s">
        <v>1299</v>
      </c>
      <c r="D379" t="s">
        <v>1349</v>
      </c>
      <c r="E379" t="s">
        <v>1377</v>
      </c>
      <c r="F379" t="s">
        <v>298</v>
      </c>
      <c r="G379" t="s">
        <v>1317</v>
      </c>
      <c r="H379" t="s">
        <v>1326</v>
      </c>
      <c r="I379" t="s">
        <v>1380</v>
      </c>
      <c r="K379" s="37">
        <v>0.694</v>
      </c>
      <c r="L379" t="s">
        <v>1381</v>
      </c>
      <c r="M379" s="37">
        <v>0.694</v>
      </c>
      <c r="N379" s="37">
        <v>0.3</v>
      </c>
      <c r="O379">
        <v>0.5552</v>
      </c>
      <c r="P379" s="37">
        <v>0.9292</v>
      </c>
      <c r="Q379">
        <v>1</v>
      </c>
      <c r="R379">
        <v>20000</v>
      </c>
      <c r="S379">
        <v>20000</v>
      </c>
      <c r="T379">
        <v>20000</v>
      </c>
      <c r="U379" t="s">
        <v>1162</v>
      </c>
      <c r="W379" s="38">
        <v>0.6</v>
      </c>
      <c r="X379">
        <v>60</v>
      </c>
      <c r="Y379" t="s">
        <v>1170</v>
      </c>
      <c r="Z379" s="37">
        <v>0.6</v>
      </c>
      <c r="AA379" s="37">
        <v>0.6</v>
      </c>
      <c r="AB379">
        <v>100</v>
      </c>
    </row>
    <row r="380">
      <c r="A380" t="s">
        <v>1376</v>
      </c>
      <c r="B380" t="s">
        <v>1299</v>
      </c>
      <c r="C380" t="s">
        <v>1299</v>
      </c>
      <c r="D380" t="s">
        <v>1349</v>
      </c>
      <c r="E380" t="s">
        <v>1377</v>
      </c>
      <c r="F380" t="s">
        <v>298</v>
      </c>
      <c r="G380" t="s">
        <v>1317</v>
      </c>
      <c r="H380" t="s">
        <v>1323</v>
      </c>
      <c r="I380" t="s">
        <v>1382</v>
      </c>
      <c r="J380" s="38">
        <v>1</v>
      </c>
      <c r="L380" t="s">
        <v>1383</v>
      </c>
      <c r="M380" s="37">
        <v>1</v>
      </c>
      <c r="N380" s="37">
        <v>0.2</v>
      </c>
      <c r="O380">
        <v>1.2</v>
      </c>
      <c r="P380" s="37">
        <v>0.9292</v>
      </c>
      <c r="Q380">
        <v>1</v>
      </c>
      <c r="R380">
        <v>20000</v>
      </c>
      <c r="S380">
        <v>20000</v>
      </c>
      <c r="T380">
        <v>20000</v>
      </c>
      <c r="U380" t="s">
        <v>1162</v>
      </c>
      <c r="W380" s="38">
        <v>0.6</v>
      </c>
      <c r="X380">
        <v>60</v>
      </c>
      <c r="Y380" t="s">
        <v>1170</v>
      </c>
      <c r="Z380" s="37">
        <v>0.6</v>
      </c>
      <c r="AA380" s="37">
        <v>0.6</v>
      </c>
      <c r="AB380">
        <v>100</v>
      </c>
    </row>
    <row r="381">
      <c r="A381" t="s">
        <v>1376</v>
      </c>
      <c r="B381" t="s">
        <v>1299</v>
      </c>
      <c r="C381" t="s">
        <v>1299</v>
      </c>
      <c r="D381" t="s">
        <v>1349</v>
      </c>
      <c r="E381" t="s">
        <v>1377</v>
      </c>
      <c r="F381" t="s">
        <v>298</v>
      </c>
      <c r="G381" t="s">
        <v>1317</v>
      </c>
      <c r="H381" t="s">
        <v>1323</v>
      </c>
      <c r="I381" t="s">
        <v>1384</v>
      </c>
      <c r="J381" s="38">
        <v>0.1</v>
      </c>
      <c r="L381" t="s">
        <v>1385</v>
      </c>
      <c r="M381" s="37">
        <v>1.21</v>
      </c>
      <c r="N381" s="37">
        <v>0.1</v>
      </c>
      <c r="O381">
        <v>1.2</v>
      </c>
      <c r="P381" s="37">
        <v>0.9292</v>
      </c>
      <c r="Q381">
        <v>1</v>
      </c>
      <c r="R381">
        <v>20000</v>
      </c>
      <c r="S381">
        <v>20000</v>
      </c>
      <c r="T381">
        <v>20000</v>
      </c>
      <c r="U381" t="s">
        <v>1162</v>
      </c>
      <c r="W381" s="38">
        <v>0.6</v>
      </c>
      <c r="X381">
        <v>60</v>
      </c>
      <c r="Y381" t="s">
        <v>1170</v>
      </c>
      <c r="Z381" s="37">
        <v>0.6</v>
      </c>
      <c r="AA381" s="37">
        <v>0.6</v>
      </c>
      <c r="AB381">
        <v>100</v>
      </c>
    </row>
    <row r="382">
      <c r="A382" t="s">
        <v>1376</v>
      </c>
      <c r="B382" t="s">
        <v>1299</v>
      </c>
      <c r="C382" t="s">
        <v>1299</v>
      </c>
      <c r="D382" t="s">
        <v>1349</v>
      </c>
      <c r="E382" t="s">
        <v>1377</v>
      </c>
      <c r="F382" t="s">
        <v>298</v>
      </c>
      <c r="G382" t="s">
        <v>1317</v>
      </c>
      <c r="H382" t="s">
        <v>1340</v>
      </c>
      <c r="I382" t="s">
        <v>1386</v>
      </c>
      <c r="J382" s="38">
        <v>1</v>
      </c>
      <c r="K382" s="38">
        <v>1</v>
      </c>
      <c r="L382" t="s">
        <v>1387</v>
      </c>
      <c r="M382" s="37">
        <v>1</v>
      </c>
      <c r="N382" s="37">
        <v>0.05</v>
      </c>
      <c r="O382">
        <v>1.2</v>
      </c>
      <c r="P382" s="37">
        <v>0.9292</v>
      </c>
      <c r="Q382">
        <v>1</v>
      </c>
      <c r="R382">
        <v>20000</v>
      </c>
      <c r="S382">
        <v>20000</v>
      </c>
      <c r="T382">
        <v>20000</v>
      </c>
      <c r="U382" t="s">
        <v>1162</v>
      </c>
      <c r="W382" s="38">
        <v>0.6</v>
      </c>
      <c r="X382">
        <v>60</v>
      </c>
      <c r="Y382" t="s">
        <v>1170</v>
      </c>
      <c r="Z382" s="37">
        <v>0.6</v>
      </c>
      <c r="AA382" s="37">
        <v>0.6</v>
      </c>
      <c r="AB382">
        <v>100</v>
      </c>
    </row>
    <row r="383">
      <c r="A383" t="s">
        <v>1376</v>
      </c>
      <c r="B383" t="s">
        <v>1299</v>
      </c>
      <c r="C383" t="s">
        <v>1299</v>
      </c>
      <c r="D383" t="s">
        <v>1349</v>
      </c>
      <c r="E383" t="s">
        <v>1377</v>
      </c>
      <c r="F383" t="s">
        <v>298</v>
      </c>
      <c r="G383" t="s">
        <v>1317</v>
      </c>
      <c r="H383" t="s">
        <v>1340</v>
      </c>
      <c r="I383" t="s">
        <v>1388</v>
      </c>
      <c r="J383" s="38">
        <v>1</v>
      </c>
      <c r="K383" s="38">
        <v>1</v>
      </c>
      <c r="L383" t="s">
        <v>1389</v>
      </c>
      <c r="M383" s="37">
        <v>1</v>
      </c>
      <c r="N383" s="37">
        <v>0.05</v>
      </c>
      <c r="O383">
        <v>1.2</v>
      </c>
      <c r="P383" s="37">
        <v>0.9292</v>
      </c>
      <c r="Q383">
        <v>1</v>
      </c>
      <c r="R383">
        <v>20000</v>
      </c>
      <c r="S383">
        <v>20000</v>
      </c>
      <c r="T383">
        <v>20000</v>
      </c>
      <c r="U383" t="s">
        <v>1162</v>
      </c>
      <c r="W383" s="38">
        <v>0.6</v>
      </c>
      <c r="X383">
        <v>60</v>
      </c>
      <c r="Y383" t="s">
        <v>1170</v>
      </c>
      <c r="Z383" s="37">
        <v>0.6</v>
      </c>
      <c r="AA383" s="37">
        <v>0.6</v>
      </c>
      <c r="AB383">
        <v>100</v>
      </c>
    </row>
    <row r="384">
      <c r="A384" t="s">
        <v>1376</v>
      </c>
      <c r="B384" t="s">
        <v>1299</v>
      </c>
      <c r="C384" t="s">
        <v>1299</v>
      </c>
      <c r="D384" t="s">
        <v>1349</v>
      </c>
      <c r="E384" t="s">
        <v>1377</v>
      </c>
      <c r="F384" t="s">
        <v>298</v>
      </c>
      <c r="G384" t="s">
        <v>1317</v>
      </c>
      <c r="H384" t="s">
        <v>1340</v>
      </c>
      <c r="I384" t="s">
        <v>1390</v>
      </c>
      <c r="J384" s="38">
        <v>1</v>
      </c>
      <c r="K384" s="38">
        <v>1</v>
      </c>
      <c r="L384" t="s">
        <v>1391</v>
      </c>
      <c r="M384" s="37">
        <v>1</v>
      </c>
      <c r="N384" s="37">
        <v>0.05</v>
      </c>
      <c r="O384">
        <v>1.2</v>
      </c>
      <c r="P384" s="37">
        <v>0.9292</v>
      </c>
      <c r="Q384">
        <v>1</v>
      </c>
      <c r="R384">
        <v>20000</v>
      </c>
      <c r="S384">
        <v>20000</v>
      </c>
      <c r="T384">
        <v>20000</v>
      </c>
      <c r="U384" t="s">
        <v>1162</v>
      </c>
      <c r="W384" s="38">
        <v>0.6</v>
      </c>
      <c r="X384">
        <v>60</v>
      </c>
      <c r="Y384" t="s">
        <v>1170</v>
      </c>
      <c r="Z384" s="37">
        <v>0.6</v>
      </c>
      <c r="AA384" s="37">
        <v>0.6</v>
      </c>
      <c r="AB384">
        <v>100</v>
      </c>
    </row>
    <row r="385">
      <c r="A385" t="s">
        <v>1376</v>
      </c>
      <c r="B385" t="s">
        <v>1299</v>
      </c>
      <c r="C385" t="s">
        <v>1299</v>
      </c>
      <c r="D385" t="s">
        <v>1349</v>
      </c>
      <c r="E385" t="s">
        <v>1377</v>
      </c>
      <c r="F385" t="s">
        <v>298</v>
      </c>
      <c r="G385" t="s">
        <v>1317</v>
      </c>
      <c r="H385" t="s">
        <v>1329</v>
      </c>
      <c r="I385" t="s">
        <v>1392</v>
      </c>
      <c r="J385" t="s">
        <v>980</v>
      </c>
      <c r="K385" t="s">
        <v>980</v>
      </c>
      <c r="L385" t="s">
        <v>1393</v>
      </c>
      <c r="M385" s="37">
        <v>1</v>
      </c>
      <c r="N385" s="37">
        <v>0.1</v>
      </c>
      <c r="O385">
        <v>1</v>
      </c>
      <c r="P385" s="37">
        <v>0.9292</v>
      </c>
      <c r="Q385">
        <v>1</v>
      </c>
      <c r="R385">
        <v>20000</v>
      </c>
      <c r="S385">
        <v>20000</v>
      </c>
      <c r="T385">
        <v>20000</v>
      </c>
      <c r="U385" t="s">
        <v>1162</v>
      </c>
      <c r="W385" s="38">
        <v>0.6</v>
      </c>
      <c r="X385">
        <v>60</v>
      </c>
      <c r="Y385" t="s">
        <v>1170</v>
      </c>
      <c r="Z385" s="37">
        <v>0.6</v>
      </c>
      <c r="AA385" s="37">
        <v>0.6</v>
      </c>
      <c r="AB385">
        <v>100</v>
      </c>
    </row>
    <row r="386">
      <c r="A386" t="s">
        <v>1394</v>
      </c>
      <c r="B386" t="s">
        <v>1395</v>
      </c>
      <c r="C386" t="s">
        <v>1395</v>
      </c>
      <c r="D386" t="s">
        <v>1396</v>
      </c>
      <c r="E386" t="s">
        <v>1397</v>
      </c>
      <c r="F386" t="s">
        <v>298</v>
      </c>
      <c r="G386" t="s">
        <v>1398</v>
      </c>
      <c r="H386" t="s">
        <v>1399</v>
      </c>
      <c r="I386" t="s">
        <v>1400</v>
      </c>
      <c r="J386" t="s">
        <v>1401</v>
      </c>
      <c r="K386" t="s">
        <v>1402</v>
      </c>
      <c r="L386" t="s">
        <v>1403</v>
      </c>
      <c r="M386" s="37">
        <v>0.62</v>
      </c>
      <c r="N386" s="37">
        <v>1</v>
      </c>
      <c r="O386">
        <v>0.56</v>
      </c>
      <c r="P386" s="37">
        <v>0.62</v>
      </c>
      <c r="Q386">
        <v>0.56</v>
      </c>
      <c r="R386">
        <v>2545.45</v>
      </c>
      <c r="S386">
        <v>2545.45</v>
      </c>
      <c r="T386">
        <v>3000</v>
      </c>
      <c r="U386" t="s">
        <v>1162</v>
      </c>
      <c r="W386" s="38">
        <v>0.6</v>
      </c>
      <c r="X386">
        <v>60</v>
      </c>
      <c r="Y386" t="s">
        <v>1170</v>
      </c>
      <c r="Z386" s="37">
        <v>0.6</v>
      </c>
      <c r="AA386" s="37">
        <v>0.6</v>
      </c>
      <c r="AB386">
        <v>100</v>
      </c>
    </row>
    <row r="387">
      <c r="A387" t="s">
        <v>1404</v>
      </c>
      <c r="B387" t="s">
        <v>1395</v>
      </c>
      <c r="C387" t="s">
        <v>1395</v>
      </c>
      <c r="D387" t="s">
        <v>1396</v>
      </c>
      <c r="E387" t="s">
        <v>1405</v>
      </c>
      <c r="F387" t="s">
        <v>298</v>
      </c>
      <c r="G387" t="s">
        <v>1398</v>
      </c>
      <c r="H387" t="s">
        <v>1399</v>
      </c>
      <c r="I387" t="s">
        <v>1406</v>
      </c>
      <c r="J387" t="s">
        <v>1407</v>
      </c>
      <c r="K387" t="s">
        <v>1407</v>
      </c>
      <c r="L387" t="s">
        <v>1408</v>
      </c>
      <c r="M387" s="37">
        <v>1</v>
      </c>
      <c r="N387" s="37">
        <v>1</v>
      </c>
      <c r="O387">
        <v>1</v>
      </c>
      <c r="P387" s="37">
        <v>1</v>
      </c>
      <c r="Q387">
        <v>1</v>
      </c>
      <c r="R387">
        <v>3818.18</v>
      </c>
      <c r="S387">
        <v>3818.18</v>
      </c>
      <c r="T387">
        <v>3000</v>
      </c>
      <c r="U387" t="s">
        <v>1162</v>
      </c>
      <c r="W387" s="38">
        <v>0.6</v>
      </c>
      <c r="X387">
        <v>60</v>
      </c>
      <c r="Y387" t="s">
        <v>1170</v>
      </c>
      <c r="Z387" s="37">
        <v>0.6</v>
      </c>
      <c r="AA387" s="37">
        <v>0.6</v>
      </c>
      <c r="AB387">
        <v>100</v>
      </c>
    </row>
    <row r="388">
      <c r="A388" t="s">
        <v>1409</v>
      </c>
      <c r="B388" t="s">
        <v>1395</v>
      </c>
      <c r="C388" t="s">
        <v>1395</v>
      </c>
      <c r="D388" t="s">
        <v>359</v>
      </c>
      <c r="E388" t="s">
        <v>1410</v>
      </c>
      <c r="F388" t="s">
        <v>298</v>
      </c>
      <c r="G388" t="s">
        <v>1398</v>
      </c>
      <c r="H388" t="s">
        <v>1399</v>
      </c>
      <c r="I388" t="s">
        <v>1411</v>
      </c>
      <c r="J388" t="s">
        <v>1412</v>
      </c>
      <c r="K388" t="s">
        <v>1413</v>
      </c>
      <c r="L388" t="s">
        <v>1414</v>
      </c>
      <c r="M388" s="37">
        <v>0.4667</v>
      </c>
      <c r="N388" s="37">
        <v>1</v>
      </c>
      <c r="O388">
        <v>0.33</v>
      </c>
      <c r="P388" s="37">
        <v>0.4667</v>
      </c>
      <c r="Q388">
        <v>0.33</v>
      </c>
      <c r="R388">
        <v>3181.82</v>
      </c>
      <c r="S388">
        <v>3181.82</v>
      </c>
      <c r="T388">
        <v>5000</v>
      </c>
      <c r="U388" t="s">
        <v>1162</v>
      </c>
      <c r="W388" s="38">
        <v>0.6</v>
      </c>
      <c r="X388">
        <v>60</v>
      </c>
      <c r="Y388" t="s">
        <v>1170</v>
      </c>
      <c r="Z388" s="37">
        <v>0.6</v>
      </c>
      <c r="AA388" s="37">
        <v>0.6</v>
      </c>
      <c r="AB388">
        <v>100</v>
      </c>
    </row>
    <row r="389">
      <c r="A389" t="s">
        <v>1415</v>
      </c>
      <c r="B389" t="s">
        <v>1395</v>
      </c>
      <c r="C389" t="s">
        <v>1395</v>
      </c>
      <c r="D389" t="s">
        <v>1396</v>
      </c>
      <c r="E389" t="s">
        <v>1416</v>
      </c>
      <c r="F389" t="s">
        <v>298</v>
      </c>
      <c r="G389" t="s">
        <v>1398</v>
      </c>
      <c r="H389" t="s">
        <v>1399</v>
      </c>
      <c r="I389" t="s">
        <v>1417</v>
      </c>
      <c r="J389" t="s">
        <v>1418</v>
      </c>
      <c r="K389" t="s">
        <v>1419</v>
      </c>
      <c r="L389" t="s">
        <v>1420</v>
      </c>
      <c r="M389" s="37">
        <v>1.175</v>
      </c>
      <c r="N389" s="37">
        <v>1</v>
      </c>
      <c r="O389">
        <v>1.175</v>
      </c>
      <c r="P389" s="37">
        <v>1.175</v>
      </c>
      <c r="Q389">
        <v>1.18</v>
      </c>
      <c r="R389">
        <v>4454.55</v>
      </c>
      <c r="S389">
        <v>4454.55</v>
      </c>
      <c r="T389">
        <v>3000</v>
      </c>
      <c r="U389" t="s">
        <v>1162</v>
      </c>
      <c r="W389" s="38">
        <v>0.6</v>
      </c>
      <c r="X389">
        <v>60</v>
      </c>
      <c r="Y389" t="s">
        <v>1170</v>
      </c>
      <c r="Z389" s="37">
        <v>0.6</v>
      </c>
      <c r="AA389" s="37">
        <v>0.6</v>
      </c>
      <c r="AB389">
        <v>100</v>
      </c>
    </row>
    <row r="390">
      <c r="A390" t="s">
        <v>1421</v>
      </c>
      <c r="B390" t="s">
        <v>1395</v>
      </c>
      <c r="C390" t="s">
        <v>1395</v>
      </c>
      <c r="D390" t="s">
        <v>359</v>
      </c>
      <c r="E390" t="s">
        <v>1422</v>
      </c>
      <c r="F390" t="s">
        <v>298</v>
      </c>
      <c r="G390" t="s">
        <v>1398</v>
      </c>
      <c r="H390" t="s">
        <v>1399</v>
      </c>
      <c r="I390" t="s">
        <v>1423</v>
      </c>
      <c r="J390" t="s">
        <v>1424</v>
      </c>
      <c r="K390" t="s">
        <v>709</v>
      </c>
      <c r="L390" t="s">
        <v>1425</v>
      </c>
      <c r="M390" s="37">
        <v>0.333</v>
      </c>
      <c r="N390" s="37">
        <v>1</v>
      </c>
      <c r="O390">
        <v>0.2331</v>
      </c>
      <c r="P390" s="37">
        <v>0.333</v>
      </c>
      <c r="Q390">
        <v>0.23</v>
      </c>
      <c r="R390">
        <v>0</v>
      </c>
      <c r="S390">
        <v>0</v>
      </c>
      <c r="T390">
        <v>5000</v>
      </c>
      <c r="U390" t="s">
        <v>1162</v>
      </c>
      <c r="W390" s="38">
        <v>0.6</v>
      </c>
      <c r="X390">
        <v>60</v>
      </c>
      <c r="Y390" t="s">
        <v>1170</v>
      </c>
      <c r="Z390" s="37">
        <v>0.6</v>
      </c>
      <c r="AA390" s="37">
        <v>0.6</v>
      </c>
      <c r="AB390">
        <v>100</v>
      </c>
    </row>
    <row r="391">
      <c r="A391" t="s">
        <v>1426</v>
      </c>
      <c r="B391" t="s">
        <v>1395</v>
      </c>
      <c r="C391" t="s">
        <v>1395</v>
      </c>
      <c r="D391" t="s">
        <v>1427</v>
      </c>
      <c r="E391" t="s">
        <v>1428</v>
      </c>
      <c r="F391" t="s">
        <v>298</v>
      </c>
      <c r="G391" t="s">
        <v>1429</v>
      </c>
      <c r="H391" t="s">
        <v>1430</v>
      </c>
      <c r="I391" t="s">
        <v>1431</v>
      </c>
      <c r="J391">
        <v>100</v>
      </c>
      <c r="K391">
        <v>100</v>
      </c>
      <c r="L391" t="s">
        <v>1432</v>
      </c>
      <c r="M391" s="37">
        <v>1</v>
      </c>
      <c r="N391" s="37">
        <v>0.6</v>
      </c>
      <c r="O391">
        <v>1</v>
      </c>
      <c r="P391" s="37">
        <v>0.95</v>
      </c>
      <c r="Q391">
        <v>0.94</v>
      </c>
      <c r="R391">
        <v>2820</v>
      </c>
      <c r="S391">
        <v>2820</v>
      </c>
      <c r="T391">
        <v>3000</v>
      </c>
      <c r="U391" t="s">
        <v>1162</v>
      </c>
      <c r="W391" s="38">
        <v>0.6</v>
      </c>
      <c r="X391">
        <v>60</v>
      </c>
      <c r="Y391" t="s">
        <v>1170</v>
      </c>
      <c r="Z391" s="37">
        <v>0.6</v>
      </c>
      <c r="AA391" s="37">
        <v>0.6</v>
      </c>
      <c r="AB391">
        <v>100</v>
      </c>
    </row>
    <row r="392">
      <c r="A392" t="s">
        <v>1426</v>
      </c>
      <c r="B392" t="s">
        <v>1395</v>
      </c>
      <c r="C392" t="s">
        <v>1395</v>
      </c>
      <c r="D392" t="s">
        <v>1427</v>
      </c>
      <c r="E392" t="s">
        <v>1428</v>
      </c>
      <c r="F392" t="s">
        <v>298</v>
      </c>
      <c r="G392" t="s">
        <v>1429</v>
      </c>
      <c r="H392" t="s">
        <v>1430</v>
      </c>
      <c r="I392" t="s">
        <v>1433</v>
      </c>
      <c r="J392">
        <v>100</v>
      </c>
      <c r="K392">
        <v>100</v>
      </c>
      <c r="L392" t="s">
        <v>1434</v>
      </c>
      <c r="M392" s="37">
        <v>1</v>
      </c>
      <c r="N392" s="37">
        <v>0.3</v>
      </c>
      <c r="O392">
        <v>1</v>
      </c>
      <c r="P392" s="37">
        <v>0.95</v>
      </c>
      <c r="Q392">
        <v>0.94</v>
      </c>
      <c r="R392">
        <v>2820</v>
      </c>
      <c r="S392">
        <v>2820</v>
      </c>
      <c r="T392">
        <v>3000</v>
      </c>
      <c r="U392" t="s">
        <v>1162</v>
      </c>
      <c r="W392" s="38">
        <v>0.6</v>
      </c>
      <c r="X392">
        <v>60</v>
      </c>
      <c r="Y392" t="s">
        <v>1170</v>
      </c>
      <c r="Z392" s="37">
        <v>0.6</v>
      </c>
      <c r="AA392" s="37">
        <v>0.6</v>
      </c>
      <c r="AB392">
        <v>100</v>
      </c>
    </row>
    <row r="393">
      <c r="A393" t="s">
        <v>1426</v>
      </c>
      <c r="B393" t="s">
        <v>1395</v>
      </c>
      <c r="C393" t="s">
        <v>1395</v>
      </c>
      <c r="D393" t="s">
        <v>1427</v>
      </c>
      <c r="E393" t="s">
        <v>1428</v>
      </c>
      <c r="F393" t="s">
        <v>298</v>
      </c>
      <c r="G393" t="s">
        <v>1429</v>
      </c>
      <c r="H393" t="s">
        <v>1435</v>
      </c>
      <c r="I393" t="s">
        <v>1436</v>
      </c>
      <c r="J393" t="s">
        <v>588</v>
      </c>
      <c r="K393" t="s">
        <v>1437</v>
      </c>
      <c r="L393" t="s">
        <v>1438</v>
      </c>
      <c r="M393" s="37">
        <v>0.5</v>
      </c>
      <c r="N393" s="37">
        <v>0.1</v>
      </c>
      <c r="O393">
        <v>0.35</v>
      </c>
      <c r="P393" s="37">
        <v>0.95</v>
      </c>
      <c r="Q393">
        <v>0.94</v>
      </c>
      <c r="R393">
        <v>2820</v>
      </c>
      <c r="S393">
        <v>2820</v>
      </c>
      <c r="T393">
        <v>3000</v>
      </c>
      <c r="U393" t="s">
        <v>1162</v>
      </c>
      <c r="W393" s="38">
        <v>0.6</v>
      </c>
      <c r="X393">
        <v>60</v>
      </c>
      <c r="Y393" t="s">
        <v>1170</v>
      </c>
      <c r="Z393" s="37">
        <v>0.6</v>
      </c>
      <c r="AA393" s="37">
        <v>0.6</v>
      </c>
      <c r="AB393">
        <v>100</v>
      </c>
    </row>
    <row r="394">
      <c r="A394" t="s">
        <v>1439</v>
      </c>
      <c r="B394" t="s">
        <v>1395</v>
      </c>
      <c r="C394" t="s">
        <v>1395</v>
      </c>
      <c r="D394" t="s">
        <v>581</v>
      </c>
      <c r="E394" t="s">
        <v>1440</v>
      </c>
      <c r="F394" t="s">
        <v>298</v>
      </c>
      <c r="G394" t="s">
        <v>1441</v>
      </c>
      <c r="H394" t="s">
        <v>1399</v>
      </c>
      <c r="I394" t="s">
        <v>1442</v>
      </c>
      <c r="J394" t="s">
        <v>1401</v>
      </c>
      <c r="K394" t="s">
        <v>1401</v>
      </c>
      <c r="L394" t="s">
        <v>1443</v>
      </c>
      <c r="M394" s="37">
        <v>1</v>
      </c>
      <c r="N394" s="37">
        <v>0.8</v>
      </c>
      <c r="O394">
        <v>1</v>
      </c>
      <c r="P394" s="37">
        <v>0.98</v>
      </c>
      <c r="Q394">
        <v>0.98</v>
      </c>
      <c r="R394">
        <v>3549.3</v>
      </c>
      <c r="S394">
        <v>3549.3</v>
      </c>
      <c r="T394">
        <v>3000</v>
      </c>
      <c r="U394" t="s">
        <v>1162</v>
      </c>
      <c r="W394" s="38">
        <v>0.6</v>
      </c>
      <c r="X394">
        <v>60</v>
      </c>
      <c r="Y394" t="s">
        <v>1170</v>
      </c>
      <c r="Z394" s="37">
        <v>0.6</v>
      </c>
      <c r="AA394" s="37">
        <v>0.6</v>
      </c>
      <c r="AB394">
        <v>100</v>
      </c>
    </row>
    <row r="395">
      <c r="A395" t="s">
        <v>1439</v>
      </c>
      <c r="B395" t="s">
        <v>1395</v>
      </c>
      <c r="C395" t="s">
        <v>1395</v>
      </c>
      <c r="D395" t="s">
        <v>581</v>
      </c>
      <c r="E395" t="s">
        <v>1440</v>
      </c>
      <c r="F395" t="s">
        <v>298</v>
      </c>
      <c r="G395" t="s">
        <v>1441</v>
      </c>
      <c r="H395" t="s">
        <v>1444</v>
      </c>
      <c r="I395" t="s">
        <v>1445</v>
      </c>
      <c r="J395" s="38">
        <v>1</v>
      </c>
      <c r="K395" s="38">
        <v>0.9</v>
      </c>
      <c r="M395" s="37">
        <v>0.9</v>
      </c>
      <c r="N395" s="37">
        <v>0.2</v>
      </c>
      <c r="O395">
        <v>0.9</v>
      </c>
      <c r="P395" s="37">
        <v>0.98</v>
      </c>
      <c r="Q395">
        <v>0.98</v>
      </c>
      <c r="R395">
        <v>3549.3</v>
      </c>
      <c r="S395">
        <v>3549.3</v>
      </c>
      <c r="T395">
        <v>3000</v>
      </c>
      <c r="U395" t="s">
        <v>1162</v>
      </c>
      <c r="W395" s="38">
        <v>0.6</v>
      </c>
      <c r="X395">
        <v>60</v>
      </c>
      <c r="Y395" t="s">
        <v>1170</v>
      </c>
      <c r="Z395" s="37">
        <v>0.6</v>
      </c>
      <c r="AA395" s="37">
        <v>0.6</v>
      </c>
      <c r="AB395">
        <v>100</v>
      </c>
    </row>
    <row r="396">
      <c r="A396" t="s">
        <v>1446</v>
      </c>
      <c r="B396" t="s">
        <v>1395</v>
      </c>
      <c r="C396" t="s">
        <v>1395</v>
      </c>
      <c r="D396" t="s">
        <v>581</v>
      </c>
      <c r="E396" t="s">
        <v>1447</v>
      </c>
      <c r="F396" t="s">
        <v>298</v>
      </c>
      <c r="G396" t="s">
        <v>1441</v>
      </c>
      <c r="H396" t="s">
        <v>1399</v>
      </c>
      <c r="I396" t="s">
        <v>1448</v>
      </c>
      <c r="J396" t="s">
        <v>1449</v>
      </c>
      <c r="K396" t="s">
        <v>1450</v>
      </c>
      <c r="L396" t="s">
        <v>1451</v>
      </c>
      <c r="M396" s="37">
        <v>0.44</v>
      </c>
      <c r="N396" s="37">
        <v>0.7</v>
      </c>
      <c r="O396">
        <v>0.308</v>
      </c>
      <c r="P396" s="37">
        <v>0.4367</v>
      </c>
      <c r="Q396">
        <v>0.41</v>
      </c>
      <c r="R396">
        <v>2957.75</v>
      </c>
      <c r="S396">
        <v>2957.75</v>
      </c>
      <c r="T396">
        <v>3000</v>
      </c>
      <c r="U396" t="s">
        <v>1162</v>
      </c>
      <c r="W396" s="38">
        <v>0.6</v>
      </c>
      <c r="X396">
        <v>60</v>
      </c>
      <c r="Y396" t="s">
        <v>1170</v>
      </c>
      <c r="Z396" s="37">
        <v>0.6</v>
      </c>
      <c r="AA396" s="37">
        <v>0.6</v>
      </c>
      <c r="AB396">
        <v>100</v>
      </c>
    </row>
    <row r="397">
      <c r="A397" t="s">
        <v>1446</v>
      </c>
      <c r="B397" t="s">
        <v>1395</v>
      </c>
      <c r="C397" t="s">
        <v>1395</v>
      </c>
      <c r="D397" t="s">
        <v>581</v>
      </c>
      <c r="E397" t="s">
        <v>1447</v>
      </c>
      <c r="F397" t="s">
        <v>298</v>
      </c>
      <c r="G397" t="s">
        <v>1441</v>
      </c>
      <c r="H397" t="s">
        <v>1452</v>
      </c>
      <c r="I397" t="s">
        <v>1453</v>
      </c>
      <c r="J397" t="s">
        <v>1454</v>
      </c>
      <c r="K397" t="s">
        <v>706</v>
      </c>
      <c r="L397" t="s">
        <v>1455</v>
      </c>
      <c r="M397" s="37">
        <v>0.429</v>
      </c>
      <c r="N397" s="37">
        <v>0.3</v>
      </c>
      <c r="O397">
        <v>0.3</v>
      </c>
      <c r="P397" s="37">
        <v>0.4367</v>
      </c>
      <c r="Q397">
        <v>0.41</v>
      </c>
      <c r="R397">
        <v>2957.75</v>
      </c>
      <c r="S397">
        <v>2957.75</v>
      </c>
      <c r="T397">
        <v>3000</v>
      </c>
      <c r="U397" t="s">
        <v>1162</v>
      </c>
      <c r="W397" s="38">
        <v>0.6</v>
      </c>
      <c r="X397">
        <v>60</v>
      </c>
      <c r="Y397" t="s">
        <v>1170</v>
      </c>
      <c r="Z397" s="37">
        <v>0.6</v>
      </c>
      <c r="AA397" s="37">
        <v>0.6</v>
      </c>
      <c r="AB397">
        <v>100</v>
      </c>
    </row>
    <row r="398">
      <c r="A398" t="s">
        <v>1456</v>
      </c>
      <c r="B398" t="s">
        <v>1395</v>
      </c>
      <c r="C398" t="s">
        <v>1395</v>
      </c>
      <c r="D398" t="s">
        <v>581</v>
      </c>
      <c r="E398" t="s">
        <v>1457</v>
      </c>
      <c r="F398" t="s">
        <v>298</v>
      </c>
      <c r="G398" t="s">
        <v>1441</v>
      </c>
      <c r="H398" t="s">
        <v>1399</v>
      </c>
      <c r="I398" t="s">
        <v>1458</v>
      </c>
      <c r="J398" t="s">
        <v>1459</v>
      </c>
      <c r="K398" t="s">
        <v>1460</v>
      </c>
      <c r="L398" t="s">
        <v>1461</v>
      </c>
      <c r="M398" s="37">
        <v>0.3667</v>
      </c>
      <c r="N398" s="37">
        <v>0.75</v>
      </c>
      <c r="O398">
        <v>0.26</v>
      </c>
      <c r="P398" s="37">
        <v>0.337525</v>
      </c>
      <c r="Q398">
        <v>0.24</v>
      </c>
      <c r="R398">
        <v>1577.46</v>
      </c>
      <c r="S398">
        <v>1577.46</v>
      </c>
      <c r="T398">
        <v>2000</v>
      </c>
      <c r="U398" t="s">
        <v>1162</v>
      </c>
      <c r="W398" s="38">
        <v>0.6</v>
      </c>
      <c r="X398">
        <v>60</v>
      </c>
      <c r="Y398" t="s">
        <v>1170</v>
      </c>
      <c r="Z398" s="37">
        <v>0.6</v>
      </c>
      <c r="AA398" s="37">
        <v>0.6</v>
      </c>
      <c r="AB398">
        <v>100</v>
      </c>
    </row>
    <row r="399">
      <c r="A399" t="s">
        <v>1456</v>
      </c>
      <c r="B399" t="s">
        <v>1395</v>
      </c>
      <c r="C399" t="s">
        <v>1395</v>
      </c>
      <c r="D399" t="s">
        <v>581</v>
      </c>
      <c r="E399" t="s">
        <v>1457</v>
      </c>
      <c r="F399" t="s">
        <v>298</v>
      </c>
      <c r="G399" t="s">
        <v>1441</v>
      </c>
      <c r="H399" t="s">
        <v>1399</v>
      </c>
      <c r="I399" t="s">
        <v>1462</v>
      </c>
      <c r="J399" t="s">
        <v>1418</v>
      </c>
      <c r="K399" t="s">
        <v>980</v>
      </c>
      <c r="L399" t="s">
        <v>1463</v>
      </c>
      <c r="M399" s="37">
        <v>0.25</v>
      </c>
      <c r="N399" s="37">
        <v>0.25</v>
      </c>
      <c r="O399">
        <v>0.175</v>
      </c>
      <c r="P399" s="37">
        <v>0.337525</v>
      </c>
      <c r="Q399">
        <v>0.24</v>
      </c>
      <c r="R399">
        <v>1577.46</v>
      </c>
      <c r="S399">
        <v>1577.46</v>
      </c>
      <c r="T399">
        <v>2000</v>
      </c>
      <c r="U399" t="s">
        <v>1162</v>
      </c>
      <c r="W399" s="38">
        <v>0.6</v>
      </c>
      <c r="X399">
        <v>60</v>
      </c>
      <c r="Y399" t="s">
        <v>1170</v>
      </c>
      <c r="Z399" s="37">
        <v>0.6</v>
      </c>
      <c r="AA399" s="37">
        <v>0.6</v>
      </c>
      <c r="AB399">
        <v>100</v>
      </c>
    </row>
    <row r="400">
      <c r="A400" t="s">
        <v>1464</v>
      </c>
      <c r="B400" t="s">
        <v>1395</v>
      </c>
      <c r="C400" t="s">
        <v>1395</v>
      </c>
      <c r="D400" t="s">
        <v>581</v>
      </c>
      <c r="E400" t="s">
        <v>1465</v>
      </c>
      <c r="F400" t="s">
        <v>298</v>
      </c>
      <c r="G400" t="s">
        <v>1441</v>
      </c>
      <c r="H400" t="s">
        <v>1399</v>
      </c>
      <c r="I400" t="s">
        <v>1466</v>
      </c>
      <c r="J400" t="s">
        <v>1467</v>
      </c>
      <c r="K400" t="s">
        <v>817</v>
      </c>
      <c r="L400" t="s">
        <v>1468</v>
      </c>
      <c r="M400" s="37">
        <v>0</v>
      </c>
      <c r="N400" s="37">
        <v>0.7</v>
      </c>
      <c r="O400">
        <v>0</v>
      </c>
      <c r="P400" s="37">
        <v>0.09999</v>
      </c>
      <c r="Q400">
        <v>0.17</v>
      </c>
      <c r="R400">
        <v>1774.65</v>
      </c>
      <c r="S400">
        <v>1774.65</v>
      </c>
      <c r="T400">
        <v>3000</v>
      </c>
      <c r="U400" t="s">
        <v>1162</v>
      </c>
      <c r="W400" s="38">
        <v>0.6</v>
      </c>
      <c r="X400">
        <v>60</v>
      </c>
      <c r="Y400" t="s">
        <v>1170</v>
      </c>
      <c r="Z400" s="37">
        <v>0.6</v>
      </c>
      <c r="AA400" s="37">
        <v>0.6</v>
      </c>
      <c r="AB400">
        <v>100</v>
      </c>
    </row>
    <row r="401">
      <c r="A401" t="s">
        <v>1464</v>
      </c>
      <c r="B401" t="s">
        <v>1395</v>
      </c>
      <c r="C401" t="s">
        <v>1395</v>
      </c>
      <c r="D401" t="s">
        <v>581</v>
      </c>
      <c r="E401" t="s">
        <v>1465</v>
      </c>
      <c r="F401" t="s">
        <v>298</v>
      </c>
      <c r="G401" t="s">
        <v>1441</v>
      </c>
      <c r="H401" t="s">
        <v>1452</v>
      </c>
      <c r="I401" t="s">
        <v>1469</v>
      </c>
      <c r="J401" t="s">
        <v>1424</v>
      </c>
      <c r="K401" t="s">
        <v>709</v>
      </c>
      <c r="L401" t="s">
        <v>1470</v>
      </c>
      <c r="M401" s="37">
        <v>0.3333</v>
      </c>
      <c r="N401" s="37">
        <v>0.3</v>
      </c>
      <c r="O401">
        <v>0.2333</v>
      </c>
      <c r="P401" s="37">
        <v>0.09999</v>
      </c>
      <c r="Q401">
        <v>0.17</v>
      </c>
      <c r="R401">
        <v>1774.65</v>
      </c>
      <c r="S401">
        <v>1774.65</v>
      </c>
      <c r="T401">
        <v>3000</v>
      </c>
      <c r="U401" t="s">
        <v>1162</v>
      </c>
      <c r="W401" s="38">
        <v>0.6</v>
      </c>
      <c r="X401">
        <v>60</v>
      </c>
      <c r="Y401" t="s">
        <v>1170</v>
      </c>
      <c r="Z401" s="37">
        <v>0.6</v>
      </c>
      <c r="AA401" s="37">
        <v>0.6</v>
      </c>
      <c r="AB401">
        <v>100</v>
      </c>
    </row>
    <row r="402">
      <c r="A402" t="s">
        <v>1471</v>
      </c>
      <c r="B402" t="s">
        <v>1395</v>
      </c>
      <c r="C402" t="s">
        <v>1395</v>
      </c>
      <c r="D402" t="s">
        <v>1472</v>
      </c>
      <c r="E402" t="s">
        <v>1473</v>
      </c>
      <c r="F402" t="s">
        <v>298</v>
      </c>
      <c r="G402" t="s">
        <v>1441</v>
      </c>
      <c r="H402" t="s">
        <v>1452</v>
      </c>
      <c r="I402" t="s">
        <v>1474</v>
      </c>
      <c r="J402" s="38">
        <v>0.85</v>
      </c>
      <c r="K402" s="37">
        <v>0.85714285714</v>
      </c>
      <c r="L402" t="s">
        <v>1475</v>
      </c>
      <c r="M402" s="37">
        <v>1.008403</v>
      </c>
      <c r="N402" s="37">
        <v>0.8</v>
      </c>
      <c r="O402">
        <v>1.0084</v>
      </c>
      <c r="P402" s="37">
        <v>0.973389</v>
      </c>
      <c r="Q402">
        <v>1.07</v>
      </c>
      <c r="R402">
        <v>4140.85</v>
      </c>
      <c r="S402">
        <v>4140.85</v>
      </c>
      <c r="T402">
        <v>3000</v>
      </c>
      <c r="U402" t="s">
        <v>1162</v>
      </c>
      <c r="W402" s="38">
        <v>0.6</v>
      </c>
      <c r="X402">
        <v>60</v>
      </c>
      <c r="Y402" t="s">
        <v>1170</v>
      </c>
      <c r="Z402" s="37">
        <v>0.6</v>
      </c>
      <c r="AA402" s="37">
        <v>0.6</v>
      </c>
      <c r="AB402">
        <v>100</v>
      </c>
    </row>
    <row r="403">
      <c r="A403" t="s">
        <v>1471</v>
      </c>
      <c r="B403" t="s">
        <v>1395</v>
      </c>
      <c r="C403" t="s">
        <v>1395</v>
      </c>
      <c r="D403" t="s">
        <v>1472</v>
      </c>
      <c r="E403" t="s">
        <v>1473</v>
      </c>
      <c r="F403" t="s">
        <v>298</v>
      </c>
      <c r="G403" t="s">
        <v>1441</v>
      </c>
      <c r="H403" t="s">
        <v>1476</v>
      </c>
      <c r="I403" t="s">
        <v>1477</v>
      </c>
      <c r="J403" s="38">
        <v>0.9</v>
      </c>
      <c r="K403" s="37">
        <v>0.83333333333</v>
      </c>
      <c r="L403" t="s">
        <v>1478</v>
      </c>
      <c r="M403" s="37">
        <v>0.833333</v>
      </c>
      <c r="N403" s="37">
        <v>0.2</v>
      </c>
      <c r="O403">
        <v>0.8333</v>
      </c>
      <c r="P403" s="37">
        <v>0.973389</v>
      </c>
      <c r="Q403">
        <v>1.07</v>
      </c>
      <c r="R403">
        <v>4140.85</v>
      </c>
      <c r="S403">
        <v>4140.85</v>
      </c>
      <c r="T403">
        <v>3000</v>
      </c>
      <c r="U403" t="s">
        <v>1162</v>
      </c>
      <c r="W403" s="38">
        <v>0.6</v>
      </c>
      <c r="X403">
        <v>60</v>
      </c>
      <c r="Y403" t="s">
        <v>1170</v>
      </c>
      <c r="Z403" s="37">
        <v>0.6</v>
      </c>
      <c r="AA403" s="37">
        <v>0.6</v>
      </c>
      <c r="AB403">
        <v>100</v>
      </c>
    </row>
    <row r="404">
      <c r="A404" t="s">
        <v>1479</v>
      </c>
      <c r="B404" t="s">
        <v>1480</v>
      </c>
      <c r="C404" t="s">
        <v>1480</v>
      </c>
      <c r="D404" t="s">
        <v>1481</v>
      </c>
      <c r="E404" t="s">
        <v>1482</v>
      </c>
      <c r="F404" t="s">
        <v>298</v>
      </c>
      <c r="G404" t="s">
        <v>1483</v>
      </c>
      <c r="H404" t="s">
        <v>1484</v>
      </c>
      <c r="I404" t="s">
        <v>1485</v>
      </c>
      <c r="J404" t="s">
        <v>709</v>
      </c>
      <c r="K404" t="s">
        <v>706</v>
      </c>
      <c r="L404" t="s">
        <v>1478</v>
      </c>
      <c r="M404" s="37">
        <v>1.5</v>
      </c>
      <c r="N404" s="37">
        <v>0.1</v>
      </c>
      <c r="O404">
        <v>1.5</v>
      </c>
      <c r="P404" s="37">
        <v>1.11996</v>
      </c>
      <c r="Q404">
        <v>0.7</v>
      </c>
      <c r="R404">
        <v>3570</v>
      </c>
      <c r="S404">
        <v>3570</v>
      </c>
      <c r="T404">
        <v>5000</v>
      </c>
      <c r="U404" t="s">
        <v>1162</v>
      </c>
      <c r="W404" s="38">
        <v>0.6</v>
      </c>
      <c r="X404">
        <v>60</v>
      </c>
      <c r="Y404" t="s">
        <v>1170</v>
      </c>
      <c r="Z404" s="37">
        <v>0.6</v>
      </c>
      <c r="AA404" s="37">
        <v>0.6</v>
      </c>
      <c r="AB404">
        <v>100</v>
      </c>
    </row>
    <row r="405">
      <c r="A405" t="s">
        <v>1479</v>
      </c>
      <c r="B405" t="s">
        <v>1480</v>
      </c>
      <c r="C405" t="s">
        <v>1480</v>
      </c>
      <c r="D405" t="s">
        <v>1481</v>
      </c>
      <c r="E405" t="s">
        <v>1482</v>
      </c>
      <c r="F405" t="s">
        <v>298</v>
      </c>
      <c r="G405" t="s">
        <v>1483</v>
      </c>
      <c r="H405" t="s">
        <v>1484</v>
      </c>
      <c r="I405" t="s">
        <v>1486</v>
      </c>
      <c r="J405" t="s">
        <v>1418</v>
      </c>
      <c r="K405" t="s">
        <v>709</v>
      </c>
      <c r="L405" t="s">
        <v>1478</v>
      </c>
      <c r="M405" s="37">
        <v>0.5</v>
      </c>
      <c r="N405" s="37">
        <v>0.1</v>
      </c>
      <c r="O405">
        <v>0.4</v>
      </c>
      <c r="P405" s="37">
        <v>1.11996</v>
      </c>
      <c r="Q405">
        <v>0.7</v>
      </c>
      <c r="R405">
        <v>3570</v>
      </c>
      <c r="S405">
        <v>3570</v>
      </c>
      <c r="T405">
        <v>5000</v>
      </c>
      <c r="U405" t="s">
        <v>1162</v>
      </c>
      <c r="W405" s="38">
        <v>0.6</v>
      </c>
      <c r="X405">
        <v>60</v>
      </c>
      <c r="Y405" t="s">
        <v>1170</v>
      </c>
      <c r="Z405" s="37">
        <v>0.6</v>
      </c>
      <c r="AA405" s="37">
        <v>0.6</v>
      </c>
      <c r="AB405">
        <v>100</v>
      </c>
    </row>
    <row r="406">
      <c r="A406" t="s">
        <v>1479</v>
      </c>
      <c r="B406" t="s">
        <v>1480</v>
      </c>
      <c r="C406" t="s">
        <v>1480</v>
      </c>
      <c r="D406" t="s">
        <v>1481</v>
      </c>
      <c r="E406" t="s">
        <v>1482</v>
      </c>
      <c r="F406" t="s">
        <v>298</v>
      </c>
      <c r="G406" t="s">
        <v>1483</v>
      </c>
      <c r="H406" t="s">
        <v>1487</v>
      </c>
      <c r="I406" t="s">
        <v>1488</v>
      </c>
      <c r="J406" t="s">
        <v>1489</v>
      </c>
      <c r="K406" t="s">
        <v>1490</v>
      </c>
      <c r="L406" t="s">
        <v>1478</v>
      </c>
      <c r="M406" s="37">
        <v>2.75</v>
      </c>
      <c r="N406" s="37">
        <v>0.2</v>
      </c>
      <c r="O406">
        <v>1.5</v>
      </c>
      <c r="P406" s="37">
        <v>1.11996</v>
      </c>
      <c r="Q406">
        <v>0.7</v>
      </c>
      <c r="R406">
        <v>3570</v>
      </c>
      <c r="S406">
        <v>3570</v>
      </c>
      <c r="T406">
        <v>5000</v>
      </c>
      <c r="U406" t="s">
        <v>1162</v>
      </c>
      <c r="W406" s="38">
        <v>0.6</v>
      </c>
      <c r="X406">
        <v>60</v>
      </c>
      <c r="Y406" t="s">
        <v>1170</v>
      </c>
      <c r="Z406" s="37">
        <v>0.6</v>
      </c>
      <c r="AA406" s="37">
        <v>0.6</v>
      </c>
      <c r="AB406">
        <v>100</v>
      </c>
    </row>
    <row r="407">
      <c r="A407" t="s">
        <v>1479</v>
      </c>
      <c r="B407" t="s">
        <v>1480</v>
      </c>
      <c r="C407" t="s">
        <v>1480</v>
      </c>
      <c r="D407" t="s">
        <v>1481</v>
      </c>
      <c r="E407" t="s">
        <v>1482</v>
      </c>
      <c r="F407" t="s">
        <v>298</v>
      </c>
      <c r="G407" t="s">
        <v>1483</v>
      </c>
      <c r="H407" t="s">
        <v>1491</v>
      </c>
      <c r="I407" t="s">
        <v>1492</v>
      </c>
      <c r="J407" t="s">
        <v>1493</v>
      </c>
      <c r="K407" t="s">
        <v>1494</v>
      </c>
      <c r="L407" t="s">
        <v>1478</v>
      </c>
      <c r="M407" s="37">
        <v>0.67</v>
      </c>
      <c r="N407" s="37">
        <v>0.4</v>
      </c>
      <c r="O407">
        <v>0.54</v>
      </c>
      <c r="P407" s="37">
        <v>1.11996</v>
      </c>
      <c r="Q407">
        <v>0.7</v>
      </c>
      <c r="R407">
        <v>3570</v>
      </c>
      <c r="S407">
        <v>3570</v>
      </c>
      <c r="T407">
        <v>5000</v>
      </c>
      <c r="U407" t="s">
        <v>1162</v>
      </c>
      <c r="W407" s="38">
        <v>0.6</v>
      </c>
      <c r="X407">
        <v>60</v>
      </c>
      <c r="Y407" t="s">
        <v>1170</v>
      </c>
      <c r="Z407" s="37">
        <v>0.6</v>
      </c>
      <c r="AA407" s="37">
        <v>0.6</v>
      </c>
      <c r="AB407">
        <v>100</v>
      </c>
    </row>
    <row r="408">
      <c r="A408" t="s">
        <v>1479</v>
      </c>
      <c r="B408" t="s">
        <v>1480</v>
      </c>
      <c r="C408" t="s">
        <v>1480</v>
      </c>
      <c r="D408" t="s">
        <v>1481</v>
      </c>
      <c r="E408" t="s">
        <v>1482</v>
      </c>
      <c r="F408" t="s">
        <v>298</v>
      </c>
      <c r="G408" t="s">
        <v>1483</v>
      </c>
      <c r="H408" t="s">
        <v>1495</v>
      </c>
      <c r="I408" t="s">
        <v>1496</v>
      </c>
      <c r="J408" t="s">
        <v>1497</v>
      </c>
      <c r="K408" t="s">
        <v>1498</v>
      </c>
      <c r="L408" t="s">
        <v>1478</v>
      </c>
      <c r="M408" s="37">
        <v>0.5098</v>
      </c>
      <c r="N408" s="37">
        <v>0.2</v>
      </c>
      <c r="O408">
        <v>0</v>
      </c>
      <c r="P408" s="37">
        <v>1.11996</v>
      </c>
      <c r="Q408">
        <v>0.7</v>
      </c>
      <c r="R408">
        <v>3570</v>
      </c>
      <c r="S408">
        <v>3570</v>
      </c>
      <c r="T408">
        <v>5000</v>
      </c>
      <c r="U408" t="s">
        <v>1162</v>
      </c>
      <c r="W408" s="38">
        <v>0.6</v>
      </c>
      <c r="X408">
        <v>60</v>
      </c>
      <c r="Y408" t="s">
        <v>1170</v>
      </c>
      <c r="Z408" s="37">
        <v>0.6</v>
      </c>
      <c r="AA408" s="37">
        <v>0.6</v>
      </c>
      <c r="AB408">
        <v>100</v>
      </c>
    </row>
    <row r="409">
      <c r="A409" t="s">
        <v>1499</v>
      </c>
      <c r="B409" t="s">
        <v>1500</v>
      </c>
      <c r="C409" t="s">
        <v>1500</v>
      </c>
      <c r="D409" t="s">
        <v>1501</v>
      </c>
      <c r="E409" t="s">
        <v>1502</v>
      </c>
      <c r="F409" t="s">
        <v>298</v>
      </c>
      <c r="G409" t="s">
        <v>1483</v>
      </c>
      <c r="H409" t="s">
        <v>1491</v>
      </c>
      <c r="I409" t="s">
        <v>1503</v>
      </c>
      <c r="J409" t="s">
        <v>1504</v>
      </c>
      <c r="K409" t="s">
        <v>1505</v>
      </c>
      <c r="L409" t="s">
        <v>1506</v>
      </c>
      <c r="M409" s="37">
        <v>0.8194</v>
      </c>
      <c r="N409" s="37">
        <v>0.5</v>
      </c>
      <c r="O409">
        <v>0.819</v>
      </c>
      <c r="P409" s="37">
        <v>0.89492</v>
      </c>
      <c r="Q409">
        <v>0.67</v>
      </c>
      <c r="R409">
        <v>2856</v>
      </c>
      <c r="S409">
        <v>2256</v>
      </c>
      <c r="T409">
        <v>5000</v>
      </c>
      <c r="U409" t="s">
        <v>1162</v>
      </c>
      <c r="W409" s="38">
        <v>0.6</v>
      </c>
      <c r="X409">
        <v>60</v>
      </c>
      <c r="Y409" t="s">
        <v>1170</v>
      </c>
      <c r="Z409" s="37">
        <v>0.6</v>
      </c>
      <c r="AA409" s="37">
        <v>0.6</v>
      </c>
      <c r="AB409">
        <v>100</v>
      </c>
    </row>
    <row r="410">
      <c r="A410" t="s">
        <v>1499</v>
      </c>
      <c r="B410" t="s">
        <v>1500</v>
      </c>
      <c r="C410" t="s">
        <v>1500</v>
      </c>
      <c r="D410" t="s">
        <v>1501</v>
      </c>
      <c r="E410" t="s">
        <v>1502</v>
      </c>
      <c r="F410" t="s">
        <v>298</v>
      </c>
      <c r="G410" t="s">
        <v>1483</v>
      </c>
      <c r="H410" t="s">
        <v>1491</v>
      </c>
      <c r="I410" t="s">
        <v>1507</v>
      </c>
      <c r="J410" t="s">
        <v>1508</v>
      </c>
      <c r="K410" t="s">
        <v>1509</v>
      </c>
      <c r="L410" t="s">
        <v>1506</v>
      </c>
      <c r="M410" s="37">
        <v>3.7633</v>
      </c>
      <c r="N410" s="37">
        <v>0.1</v>
      </c>
      <c r="O410">
        <v>1.5</v>
      </c>
      <c r="P410" s="37">
        <v>0.89492</v>
      </c>
      <c r="Q410">
        <v>0.67</v>
      </c>
      <c r="R410">
        <v>2856</v>
      </c>
      <c r="S410">
        <v>2256</v>
      </c>
      <c r="T410">
        <v>5000</v>
      </c>
      <c r="U410" t="s">
        <v>1162</v>
      </c>
      <c r="W410" s="38">
        <v>0.6</v>
      </c>
      <c r="X410">
        <v>60</v>
      </c>
      <c r="Y410" t="s">
        <v>1170</v>
      </c>
      <c r="Z410" s="37">
        <v>0.6</v>
      </c>
      <c r="AA410" s="37">
        <v>0.6</v>
      </c>
      <c r="AB410">
        <v>100</v>
      </c>
    </row>
    <row r="411">
      <c r="A411" t="s">
        <v>1499</v>
      </c>
      <c r="B411" t="s">
        <v>1500</v>
      </c>
      <c r="C411" t="s">
        <v>1500</v>
      </c>
      <c r="D411" t="s">
        <v>1501</v>
      </c>
      <c r="E411" t="s">
        <v>1502</v>
      </c>
      <c r="F411" t="s">
        <v>298</v>
      </c>
      <c r="G411" t="s">
        <v>1483</v>
      </c>
      <c r="H411" t="s">
        <v>1495</v>
      </c>
      <c r="I411" t="s">
        <v>1496</v>
      </c>
      <c r="J411" t="s">
        <v>1510</v>
      </c>
      <c r="K411" t="s">
        <v>1511</v>
      </c>
      <c r="L411" t="s">
        <v>1506</v>
      </c>
      <c r="M411" s="37">
        <v>0</v>
      </c>
      <c r="N411" s="37">
        <v>0.3</v>
      </c>
      <c r="O411">
        <v>0</v>
      </c>
      <c r="P411" s="37">
        <v>0.89492</v>
      </c>
      <c r="Q411">
        <v>0.67</v>
      </c>
      <c r="R411">
        <v>2856</v>
      </c>
      <c r="S411">
        <v>2256</v>
      </c>
      <c r="T411">
        <v>5000</v>
      </c>
      <c r="U411" t="s">
        <v>1162</v>
      </c>
      <c r="W411" s="38">
        <v>0.6</v>
      </c>
      <c r="X411">
        <v>60</v>
      </c>
      <c r="Y411" t="s">
        <v>1170</v>
      </c>
      <c r="Z411" s="37">
        <v>0.6</v>
      </c>
      <c r="AA411" s="37">
        <v>0.6</v>
      </c>
      <c r="AB411">
        <v>100</v>
      </c>
    </row>
    <row r="412">
      <c r="A412" t="s">
        <v>1499</v>
      </c>
      <c r="B412" t="s">
        <v>1500</v>
      </c>
      <c r="C412" t="s">
        <v>1500</v>
      </c>
      <c r="D412" t="s">
        <v>1501</v>
      </c>
      <c r="E412" t="s">
        <v>1502</v>
      </c>
      <c r="F412" t="s">
        <v>298</v>
      </c>
      <c r="G412" t="s">
        <v>1483</v>
      </c>
      <c r="H412" t="s">
        <v>1512</v>
      </c>
      <c r="I412" t="s">
        <v>1513</v>
      </c>
      <c r="J412" t="s">
        <v>1514</v>
      </c>
      <c r="K412" t="s">
        <v>1515</v>
      </c>
      <c r="L412" t="s">
        <v>1506</v>
      </c>
      <c r="M412" s="37">
        <v>1.0889</v>
      </c>
      <c r="N412" s="37">
        <v>0.1</v>
      </c>
      <c r="O412">
        <v>1.09</v>
      </c>
      <c r="P412" s="37">
        <v>0.89492</v>
      </c>
      <c r="Q412">
        <v>0.67</v>
      </c>
      <c r="R412">
        <v>2856</v>
      </c>
      <c r="S412">
        <v>2256</v>
      </c>
      <c r="T412">
        <v>5000</v>
      </c>
      <c r="U412" t="s">
        <v>1162</v>
      </c>
      <c r="W412" s="38">
        <v>0.6</v>
      </c>
      <c r="X412">
        <v>60</v>
      </c>
      <c r="Y412" t="s">
        <v>1170</v>
      </c>
      <c r="Z412" s="37">
        <v>0.6</v>
      </c>
      <c r="AA412" s="37">
        <v>0.6</v>
      </c>
      <c r="AB412">
        <v>100</v>
      </c>
    </row>
    <row r="413">
      <c r="A413" t="s">
        <v>1516</v>
      </c>
      <c r="B413" t="s">
        <v>1517</v>
      </c>
      <c r="C413" t="s">
        <v>1517</v>
      </c>
      <c r="D413" t="s">
        <v>1501</v>
      </c>
      <c r="E413" t="s">
        <v>1518</v>
      </c>
      <c r="F413" t="s">
        <v>298</v>
      </c>
      <c r="G413" t="s">
        <v>1483</v>
      </c>
      <c r="H413" t="s">
        <v>1491</v>
      </c>
      <c r="I413">
        <v>1260000</v>
      </c>
      <c r="J413" t="s">
        <v>1519</v>
      </c>
      <c r="K413" t="s">
        <v>1520</v>
      </c>
      <c r="L413" t="s">
        <v>1506</v>
      </c>
      <c r="M413" s="37">
        <v>0.73</v>
      </c>
      <c r="N413" s="37">
        <v>0.35</v>
      </c>
      <c r="O413">
        <v>0.58</v>
      </c>
      <c r="P413" s="37">
        <v>0.653705</v>
      </c>
      <c r="Q413">
        <v>0.47</v>
      </c>
      <c r="R413">
        <v>357</v>
      </c>
      <c r="S413">
        <v>723.67</v>
      </c>
      <c r="T413">
        <v>5000</v>
      </c>
      <c r="U413" t="s">
        <v>1162</v>
      </c>
      <c r="W413" s="38">
        <v>0.6</v>
      </c>
      <c r="X413">
        <v>60</v>
      </c>
      <c r="Y413" t="s">
        <v>1170</v>
      </c>
      <c r="Z413" s="37">
        <v>0.6</v>
      </c>
      <c r="AA413" s="37">
        <v>0.6</v>
      </c>
      <c r="AB413">
        <v>100</v>
      </c>
    </row>
    <row r="414">
      <c r="A414" t="s">
        <v>1516</v>
      </c>
      <c r="B414" t="s">
        <v>1517</v>
      </c>
      <c r="C414" t="s">
        <v>1517</v>
      </c>
      <c r="D414" t="s">
        <v>1501</v>
      </c>
      <c r="E414" t="s">
        <v>1518</v>
      </c>
      <c r="F414" t="s">
        <v>298</v>
      </c>
      <c r="G414" t="s">
        <v>1483</v>
      </c>
      <c r="H414" t="s">
        <v>1521</v>
      </c>
      <c r="I414">
        <v>1349000</v>
      </c>
      <c r="J414" t="s">
        <v>1522</v>
      </c>
      <c r="K414" t="s">
        <v>1523</v>
      </c>
      <c r="L414" t="s">
        <v>1506</v>
      </c>
      <c r="M414" s="37">
        <v>0.3247</v>
      </c>
      <c r="N414" s="37">
        <v>0.15</v>
      </c>
      <c r="O414">
        <v>0.26</v>
      </c>
      <c r="P414" s="37">
        <v>0.653705</v>
      </c>
      <c r="Q414">
        <v>0.47</v>
      </c>
      <c r="R414">
        <v>357</v>
      </c>
      <c r="S414">
        <v>723.67</v>
      </c>
      <c r="T414">
        <v>5000</v>
      </c>
      <c r="U414" t="s">
        <v>1162</v>
      </c>
      <c r="W414" s="38">
        <v>0.6</v>
      </c>
      <c r="X414">
        <v>60</v>
      </c>
      <c r="Y414" t="s">
        <v>1170</v>
      </c>
      <c r="Z414" s="37">
        <v>0.6</v>
      </c>
      <c r="AA414" s="37">
        <v>0.6</v>
      </c>
      <c r="AB414">
        <v>100</v>
      </c>
    </row>
    <row r="415">
      <c r="A415" t="s">
        <v>1516</v>
      </c>
      <c r="B415" t="s">
        <v>1517</v>
      </c>
      <c r="C415" t="s">
        <v>1517</v>
      </c>
      <c r="D415" t="s">
        <v>1501</v>
      </c>
      <c r="E415" t="s">
        <v>1518</v>
      </c>
      <c r="F415" t="s">
        <v>298</v>
      </c>
      <c r="G415" t="s">
        <v>1483</v>
      </c>
      <c r="H415" t="s">
        <v>1524</v>
      </c>
      <c r="I415">
        <v>0.7</v>
      </c>
      <c r="J415" s="37">
        <v>0.007</v>
      </c>
      <c r="K415" s="38">
        <v>0</v>
      </c>
      <c r="L415" t="s">
        <v>1506</v>
      </c>
      <c r="M415" s="37">
        <v>0</v>
      </c>
      <c r="N415" s="37">
        <v>0.2</v>
      </c>
      <c r="O415">
        <v>0</v>
      </c>
      <c r="P415" s="37">
        <v>0.653705</v>
      </c>
      <c r="Q415">
        <v>0.47</v>
      </c>
      <c r="R415">
        <v>357</v>
      </c>
      <c r="S415">
        <v>723.67</v>
      </c>
      <c r="T415">
        <v>5000</v>
      </c>
      <c r="U415" t="s">
        <v>1162</v>
      </c>
      <c r="W415" s="38">
        <v>0.6</v>
      </c>
      <c r="X415">
        <v>60</v>
      </c>
      <c r="Y415" t="s">
        <v>1170</v>
      </c>
      <c r="Z415" s="37">
        <v>0.6</v>
      </c>
      <c r="AA415" s="37">
        <v>0.6</v>
      </c>
      <c r="AB415">
        <v>100</v>
      </c>
    </row>
    <row r="416">
      <c r="A416" t="s">
        <v>1516</v>
      </c>
      <c r="B416" t="s">
        <v>1517</v>
      </c>
      <c r="C416" t="s">
        <v>1517</v>
      </c>
      <c r="D416" t="s">
        <v>1501</v>
      </c>
      <c r="E416" t="s">
        <v>1518</v>
      </c>
      <c r="F416" t="s">
        <v>298</v>
      </c>
      <c r="G416" t="s">
        <v>1483</v>
      </c>
      <c r="H416" t="s">
        <v>1487</v>
      </c>
      <c r="I416" t="s">
        <v>1525</v>
      </c>
      <c r="J416" t="s">
        <v>706</v>
      </c>
      <c r="K416" t="s">
        <v>1454</v>
      </c>
      <c r="L416" t="s">
        <v>1506</v>
      </c>
      <c r="M416" s="37">
        <v>2.33</v>
      </c>
      <c r="N416" s="37">
        <v>0.15</v>
      </c>
      <c r="O416">
        <v>1.5</v>
      </c>
      <c r="P416" s="37">
        <v>0.653705</v>
      </c>
      <c r="Q416">
        <v>0.47</v>
      </c>
      <c r="R416">
        <v>357</v>
      </c>
      <c r="S416">
        <v>723.67</v>
      </c>
      <c r="T416">
        <v>5000</v>
      </c>
      <c r="U416" t="s">
        <v>1162</v>
      </c>
      <c r="W416" s="38">
        <v>0.6</v>
      </c>
      <c r="X416">
        <v>60</v>
      </c>
      <c r="Y416" t="s">
        <v>1170</v>
      </c>
      <c r="Z416" s="37">
        <v>0.6</v>
      </c>
      <c r="AA416" s="37">
        <v>0.6</v>
      </c>
      <c r="AB416">
        <v>100</v>
      </c>
    </row>
    <row r="417">
      <c r="A417" t="s">
        <v>1516</v>
      </c>
      <c r="B417" t="s">
        <v>1517</v>
      </c>
      <c r="C417" t="s">
        <v>1517</v>
      </c>
      <c r="D417" t="s">
        <v>1501</v>
      </c>
      <c r="E417" t="s">
        <v>1518</v>
      </c>
      <c r="F417" t="s">
        <v>298</v>
      </c>
      <c r="G417" t="s">
        <v>1483</v>
      </c>
      <c r="H417" t="s">
        <v>1526</v>
      </c>
      <c r="I417" t="s">
        <v>1527</v>
      </c>
      <c r="J417" t="s">
        <v>1528</v>
      </c>
      <c r="K417" t="s">
        <v>1529</v>
      </c>
      <c r="L417" t="s">
        <v>1506</v>
      </c>
      <c r="M417" s="37">
        <v>0</v>
      </c>
      <c r="N417" s="37">
        <v>0.15</v>
      </c>
      <c r="O417">
        <v>0</v>
      </c>
      <c r="P417" s="37">
        <v>0.653705</v>
      </c>
      <c r="Q417">
        <v>0.47</v>
      </c>
      <c r="R417">
        <v>357</v>
      </c>
      <c r="S417">
        <v>723.67</v>
      </c>
      <c r="T417">
        <v>5000</v>
      </c>
      <c r="U417" t="s">
        <v>1162</v>
      </c>
      <c r="W417" s="38">
        <v>0.6</v>
      </c>
      <c r="X417">
        <v>60</v>
      </c>
      <c r="Y417" t="s">
        <v>1170</v>
      </c>
      <c r="Z417" s="37">
        <v>0.6</v>
      </c>
      <c r="AA417" s="37">
        <v>0.6</v>
      </c>
      <c r="AB417">
        <v>100</v>
      </c>
    </row>
    <row r="418">
      <c r="A418" t="s">
        <v>1530</v>
      </c>
      <c r="B418" t="s">
        <v>1531</v>
      </c>
      <c r="C418" t="s">
        <v>1531</v>
      </c>
      <c r="D418" t="s">
        <v>1501</v>
      </c>
      <c r="E418" t="s">
        <v>1532</v>
      </c>
      <c r="F418" t="s">
        <v>298</v>
      </c>
      <c r="G418" t="s">
        <v>1483</v>
      </c>
      <c r="H418" t="s">
        <v>1491</v>
      </c>
      <c r="I418" t="s">
        <v>1533</v>
      </c>
      <c r="J418" t="s">
        <v>1533</v>
      </c>
      <c r="K418" t="s">
        <v>1534</v>
      </c>
      <c r="L418" t="s">
        <v>1506</v>
      </c>
      <c r="M418" s="37">
        <v>0.57</v>
      </c>
      <c r="N418" s="37">
        <v>0.5</v>
      </c>
      <c r="O418">
        <v>0.459</v>
      </c>
      <c r="P418" s="37">
        <v>0.541</v>
      </c>
      <c r="Q418">
        <v>0.47</v>
      </c>
      <c r="R418">
        <v>1071</v>
      </c>
      <c r="S418">
        <v>1421</v>
      </c>
      <c r="T418">
        <v>5000</v>
      </c>
      <c r="U418" t="s">
        <v>1162</v>
      </c>
      <c r="W418" s="38">
        <v>0.6</v>
      </c>
      <c r="X418">
        <v>60</v>
      </c>
      <c r="Y418" t="s">
        <v>1170</v>
      </c>
      <c r="Z418" s="37">
        <v>0.6</v>
      </c>
      <c r="AA418" s="37">
        <v>0.6</v>
      </c>
      <c r="AB418">
        <v>100</v>
      </c>
    </row>
    <row r="419">
      <c r="A419" t="s">
        <v>1530</v>
      </c>
      <c r="B419" t="s">
        <v>1531</v>
      </c>
      <c r="C419" t="s">
        <v>1531</v>
      </c>
      <c r="D419" t="s">
        <v>1501</v>
      </c>
      <c r="E419" t="s">
        <v>1532</v>
      </c>
      <c r="F419" t="s">
        <v>298</v>
      </c>
      <c r="G419" t="s">
        <v>1483</v>
      </c>
      <c r="H419" t="s">
        <v>1495</v>
      </c>
      <c r="I419">
        <v>-130000</v>
      </c>
      <c r="J419" t="s">
        <v>1535</v>
      </c>
      <c r="K419" t="s">
        <v>1536</v>
      </c>
      <c r="L419" t="s">
        <v>1506</v>
      </c>
      <c r="M419" s="37">
        <v>0</v>
      </c>
      <c r="N419" s="37">
        <v>0.3</v>
      </c>
      <c r="O419">
        <v>0</v>
      </c>
      <c r="P419" s="37">
        <v>0.541</v>
      </c>
      <c r="Q419">
        <v>0.47</v>
      </c>
      <c r="R419">
        <v>1071</v>
      </c>
      <c r="S419">
        <v>1421</v>
      </c>
      <c r="T419">
        <v>5000</v>
      </c>
      <c r="U419" t="s">
        <v>1162</v>
      </c>
      <c r="W419" s="38">
        <v>0.6</v>
      </c>
      <c r="X419">
        <v>60</v>
      </c>
      <c r="Y419" t="s">
        <v>1170</v>
      </c>
      <c r="Z419" s="37">
        <v>0.6</v>
      </c>
      <c r="AA419" s="37">
        <v>0.6</v>
      </c>
      <c r="AB419">
        <v>100</v>
      </c>
    </row>
    <row r="420">
      <c r="A420" t="s">
        <v>1530</v>
      </c>
      <c r="B420" t="s">
        <v>1531</v>
      </c>
      <c r="C420" t="s">
        <v>1531</v>
      </c>
      <c r="D420" t="s">
        <v>1501</v>
      </c>
      <c r="E420" t="s">
        <v>1532</v>
      </c>
      <c r="F420" t="s">
        <v>298</v>
      </c>
      <c r="G420" t="s">
        <v>1483</v>
      </c>
      <c r="H420" t="s">
        <v>1512</v>
      </c>
      <c r="I420" t="s">
        <v>1537</v>
      </c>
      <c r="J420" t="s">
        <v>1538</v>
      </c>
      <c r="K420" t="s">
        <v>1539</v>
      </c>
      <c r="L420" t="s">
        <v>1506</v>
      </c>
      <c r="M420" s="37">
        <v>0.9</v>
      </c>
      <c r="N420" s="37">
        <v>0.1</v>
      </c>
      <c r="O420">
        <v>0.91</v>
      </c>
      <c r="P420" s="37">
        <v>0.541</v>
      </c>
      <c r="Q420">
        <v>0.47</v>
      </c>
      <c r="R420">
        <v>1071</v>
      </c>
      <c r="S420">
        <v>1421</v>
      </c>
      <c r="T420">
        <v>5000</v>
      </c>
      <c r="U420" t="s">
        <v>1162</v>
      </c>
      <c r="W420" s="38">
        <v>0.6</v>
      </c>
      <c r="X420">
        <v>60</v>
      </c>
      <c r="Y420" t="s">
        <v>1170</v>
      </c>
      <c r="Z420" s="37">
        <v>0.6</v>
      </c>
      <c r="AA420" s="37">
        <v>0.6</v>
      </c>
      <c r="AB420">
        <v>100</v>
      </c>
    </row>
    <row r="421">
      <c r="A421" t="s">
        <v>1530</v>
      </c>
      <c r="B421" t="s">
        <v>1531</v>
      </c>
      <c r="C421" t="s">
        <v>1531</v>
      </c>
      <c r="D421" t="s">
        <v>1501</v>
      </c>
      <c r="E421" t="s">
        <v>1532</v>
      </c>
      <c r="F421" t="s">
        <v>298</v>
      </c>
      <c r="G421" t="s">
        <v>1483</v>
      </c>
      <c r="H421" t="s">
        <v>1526</v>
      </c>
      <c r="I421" t="s">
        <v>1507</v>
      </c>
      <c r="J421" t="s">
        <v>1540</v>
      </c>
      <c r="K421" t="s">
        <v>1541</v>
      </c>
      <c r="L421" t="s">
        <v>1506</v>
      </c>
      <c r="M421" s="37">
        <v>1.66</v>
      </c>
      <c r="N421" s="37">
        <v>0.1</v>
      </c>
      <c r="O421">
        <v>1.5</v>
      </c>
      <c r="P421" s="37">
        <v>0.541</v>
      </c>
      <c r="Q421">
        <v>0.47</v>
      </c>
      <c r="R421">
        <v>1071</v>
      </c>
      <c r="S421">
        <v>1421</v>
      </c>
      <c r="T421">
        <v>5000</v>
      </c>
      <c r="U421" t="s">
        <v>1162</v>
      </c>
      <c r="W421" s="38">
        <v>0.6</v>
      </c>
      <c r="X421">
        <v>60</v>
      </c>
      <c r="Y421" t="s">
        <v>1170</v>
      </c>
      <c r="Z421" s="37">
        <v>0.6</v>
      </c>
      <c r="AA421" s="37">
        <v>0.6</v>
      </c>
      <c r="AB421">
        <v>100</v>
      </c>
    </row>
    <row r="422">
      <c r="A422" t="s">
        <v>1542</v>
      </c>
      <c r="B422" t="s">
        <v>1543</v>
      </c>
      <c r="C422" t="s">
        <v>1543</v>
      </c>
      <c r="D422" t="s">
        <v>1501</v>
      </c>
      <c r="E422" t="s">
        <v>1544</v>
      </c>
      <c r="F422" t="s">
        <v>298</v>
      </c>
      <c r="G422" t="s">
        <v>1483</v>
      </c>
      <c r="H422" t="s">
        <v>1491</v>
      </c>
      <c r="J422" t="s">
        <v>1545</v>
      </c>
      <c r="K422" t="s">
        <v>1546</v>
      </c>
      <c r="L422" t="s">
        <v>1506</v>
      </c>
      <c r="M422" s="37">
        <v>0.929</v>
      </c>
      <c r="N422" s="37">
        <v>0.45</v>
      </c>
      <c r="O422">
        <v>0.93</v>
      </c>
      <c r="P422" s="37">
        <v>2.05047</v>
      </c>
      <c r="Q422">
        <v>1.15</v>
      </c>
      <c r="R422">
        <v>8925</v>
      </c>
      <c r="S422">
        <v>9291.67</v>
      </c>
      <c r="T422">
        <v>5000</v>
      </c>
      <c r="U422" t="s">
        <v>1162</v>
      </c>
      <c r="W422" s="38">
        <v>0.6</v>
      </c>
      <c r="X422">
        <v>60</v>
      </c>
      <c r="Y422" t="s">
        <v>1170</v>
      </c>
      <c r="Z422" s="37">
        <v>0.6</v>
      </c>
      <c r="AA422" s="37">
        <v>0.6</v>
      </c>
      <c r="AB422">
        <v>100</v>
      </c>
    </row>
    <row r="423">
      <c r="A423" t="s">
        <v>1542</v>
      </c>
      <c r="B423" t="s">
        <v>1543</v>
      </c>
      <c r="C423" t="s">
        <v>1543</v>
      </c>
      <c r="D423" t="s">
        <v>1501</v>
      </c>
      <c r="E423" t="s">
        <v>1544</v>
      </c>
      <c r="F423" t="s">
        <v>298</v>
      </c>
      <c r="G423" t="s">
        <v>1483</v>
      </c>
      <c r="H423" t="s">
        <v>1526</v>
      </c>
      <c r="I423" t="s">
        <v>1547</v>
      </c>
      <c r="J423" t="s">
        <v>1548</v>
      </c>
      <c r="K423" t="s">
        <v>1549</v>
      </c>
      <c r="L423" t="s">
        <v>1506</v>
      </c>
      <c r="M423" s="37">
        <v>0.698</v>
      </c>
      <c r="N423" s="37">
        <v>0.1</v>
      </c>
      <c r="O423">
        <v>0.56</v>
      </c>
      <c r="P423" s="37">
        <v>2.05047</v>
      </c>
      <c r="Q423">
        <v>1.15</v>
      </c>
      <c r="R423">
        <v>8925</v>
      </c>
      <c r="S423">
        <v>9291.67</v>
      </c>
      <c r="T423">
        <v>5000</v>
      </c>
      <c r="U423" t="s">
        <v>1162</v>
      </c>
      <c r="W423" s="38">
        <v>0.6</v>
      </c>
      <c r="X423">
        <v>60</v>
      </c>
      <c r="Y423" t="s">
        <v>1170</v>
      </c>
      <c r="Z423" s="37">
        <v>0.6</v>
      </c>
      <c r="AA423" s="37">
        <v>0.6</v>
      </c>
      <c r="AB423">
        <v>100</v>
      </c>
    </row>
    <row r="424">
      <c r="A424" t="s">
        <v>1542</v>
      </c>
      <c r="B424" t="s">
        <v>1543</v>
      </c>
      <c r="C424" t="s">
        <v>1543</v>
      </c>
      <c r="D424" t="s">
        <v>1501</v>
      </c>
      <c r="E424" t="s">
        <v>1544</v>
      </c>
      <c r="F424" t="s">
        <v>298</v>
      </c>
      <c r="G424" t="s">
        <v>1483</v>
      </c>
      <c r="H424" t="s">
        <v>1550</v>
      </c>
      <c r="I424" t="s">
        <v>1551</v>
      </c>
      <c r="J424" t="s">
        <v>980</v>
      </c>
      <c r="K424" t="s">
        <v>709</v>
      </c>
      <c r="L424" t="s">
        <v>1506</v>
      </c>
      <c r="M424" s="37">
        <v>2</v>
      </c>
      <c r="N424" s="37">
        <v>0.1</v>
      </c>
      <c r="O424">
        <v>1.5</v>
      </c>
      <c r="P424" s="37">
        <v>2.05047</v>
      </c>
      <c r="Q424">
        <v>1.15</v>
      </c>
      <c r="R424">
        <v>8925</v>
      </c>
      <c r="S424">
        <v>9291.67</v>
      </c>
      <c r="T424">
        <v>5000</v>
      </c>
      <c r="U424" t="s">
        <v>1162</v>
      </c>
      <c r="W424" s="38">
        <v>0.6</v>
      </c>
      <c r="X424">
        <v>60</v>
      </c>
      <c r="Y424" t="s">
        <v>1170</v>
      </c>
      <c r="Z424" s="37">
        <v>0.6</v>
      </c>
      <c r="AA424" s="37">
        <v>0.6</v>
      </c>
      <c r="AB424">
        <v>100</v>
      </c>
    </row>
    <row r="425">
      <c r="A425" t="s">
        <v>1542</v>
      </c>
      <c r="B425" t="s">
        <v>1543</v>
      </c>
      <c r="C425" t="s">
        <v>1543</v>
      </c>
      <c r="D425" t="s">
        <v>1501</v>
      </c>
      <c r="E425" t="s">
        <v>1544</v>
      </c>
      <c r="F425" t="s">
        <v>298</v>
      </c>
      <c r="G425" t="s">
        <v>1483</v>
      </c>
      <c r="H425" t="s">
        <v>1524</v>
      </c>
      <c r="J425" s="37">
        <v>0.0172</v>
      </c>
      <c r="K425" s="37">
        <v>0.067</v>
      </c>
      <c r="L425" t="s">
        <v>1506</v>
      </c>
      <c r="M425" s="37">
        <v>3.8932</v>
      </c>
      <c r="N425" s="37">
        <v>0.35</v>
      </c>
      <c r="O425">
        <v>1.5</v>
      </c>
      <c r="P425" s="37">
        <v>2.05047</v>
      </c>
      <c r="Q425">
        <v>1.15</v>
      </c>
      <c r="R425">
        <v>8925</v>
      </c>
      <c r="S425">
        <v>9291.67</v>
      </c>
      <c r="T425">
        <v>5000</v>
      </c>
      <c r="U425" t="s">
        <v>1162</v>
      </c>
      <c r="W425" s="38">
        <v>0.6</v>
      </c>
      <c r="X425">
        <v>60</v>
      </c>
      <c r="Y425" t="s">
        <v>1170</v>
      </c>
      <c r="Z425" s="37">
        <v>0.6</v>
      </c>
      <c r="AA425" s="37">
        <v>0.6</v>
      </c>
      <c r="AB425">
        <v>100</v>
      </c>
    </row>
    <row r="426">
      <c r="A426" t="s">
        <v>1552</v>
      </c>
      <c r="B426" t="s">
        <v>1553</v>
      </c>
      <c r="C426" t="s">
        <v>1553</v>
      </c>
      <c r="D426" t="s">
        <v>1554</v>
      </c>
      <c r="E426" t="s">
        <v>1555</v>
      </c>
      <c r="F426" t="s">
        <v>298</v>
      </c>
      <c r="G426" t="s">
        <v>1483</v>
      </c>
      <c r="H426" t="s">
        <v>1495</v>
      </c>
      <c r="I426">
        <v>-72.6</v>
      </c>
      <c r="J426" t="s">
        <v>1556</v>
      </c>
      <c r="K426" t="s">
        <v>1557</v>
      </c>
      <c r="L426" t="s">
        <v>1506</v>
      </c>
      <c r="M426" s="37">
        <v>0</v>
      </c>
      <c r="N426" s="37">
        <v>0.3</v>
      </c>
      <c r="O426">
        <v>0</v>
      </c>
      <c r="P426" s="37">
        <v>0.4555</v>
      </c>
      <c r="Q426">
        <v>0.48</v>
      </c>
      <c r="R426">
        <v>1785</v>
      </c>
      <c r="S426">
        <v>1785</v>
      </c>
      <c r="T426">
        <v>5000</v>
      </c>
      <c r="U426" t="s">
        <v>1162</v>
      </c>
      <c r="W426" s="38">
        <v>0.6</v>
      </c>
      <c r="X426">
        <v>60</v>
      </c>
      <c r="Y426" t="s">
        <v>1170</v>
      </c>
      <c r="Z426" s="37">
        <v>0.6</v>
      </c>
      <c r="AA426" s="37">
        <v>0.6</v>
      </c>
      <c r="AB426">
        <v>100</v>
      </c>
    </row>
    <row r="427">
      <c r="A427" t="s">
        <v>1552</v>
      </c>
      <c r="B427" t="s">
        <v>1553</v>
      </c>
      <c r="C427" t="s">
        <v>1553</v>
      </c>
      <c r="D427" t="s">
        <v>1554</v>
      </c>
      <c r="E427" t="s">
        <v>1555</v>
      </c>
      <c r="F427" t="s">
        <v>298</v>
      </c>
      <c r="G427" t="s">
        <v>1483</v>
      </c>
      <c r="H427" t="s">
        <v>1526</v>
      </c>
      <c r="I427" t="s">
        <v>1558</v>
      </c>
      <c r="J427" t="s">
        <v>1559</v>
      </c>
      <c r="K427" t="s">
        <v>1560</v>
      </c>
      <c r="L427" t="s">
        <v>1506</v>
      </c>
      <c r="M427" s="37">
        <v>0.73</v>
      </c>
      <c r="N427" s="37">
        <v>0.35</v>
      </c>
      <c r="O427">
        <v>0.59</v>
      </c>
      <c r="P427" s="37">
        <v>0.4555</v>
      </c>
      <c r="Q427">
        <v>0.48</v>
      </c>
      <c r="R427">
        <v>1785</v>
      </c>
      <c r="S427">
        <v>1785</v>
      </c>
      <c r="T427">
        <v>5000</v>
      </c>
      <c r="U427" t="s">
        <v>1162</v>
      </c>
      <c r="W427" s="38">
        <v>0.6</v>
      </c>
      <c r="X427">
        <v>60</v>
      </c>
      <c r="Y427" t="s">
        <v>1170</v>
      </c>
      <c r="Z427" s="37">
        <v>0.6</v>
      </c>
      <c r="AA427" s="37">
        <v>0.6</v>
      </c>
      <c r="AB427">
        <v>100</v>
      </c>
    </row>
    <row r="428">
      <c r="A428" t="s">
        <v>1552</v>
      </c>
      <c r="B428" t="s">
        <v>1553</v>
      </c>
      <c r="C428" t="s">
        <v>1553</v>
      </c>
      <c r="D428" t="s">
        <v>1554</v>
      </c>
      <c r="E428" t="s">
        <v>1555</v>
      </c>
      <c r="F428" t="s">
        <v>298</v>
      </c>
      <c r="G428" t="s">
        <v>1483</v>
      </c>
      <c r="H428" t="s">
        <v>1526</v>
      </c>
      <c r="I428" t="s">
        <v>1561</v>
      </c>
      <c r="J428" s="38">
        <v>1</v>
      </c>
      <c r="K428" s="38">
        <v>1</v>
      </c>
      <c r="L428" t="s">
        <v>1506</v>
      </c>
      <c r="M428" s="37">
        <v>1</v>
      </c>
      <c r="N428" s="37">
        <v>0.1</v>
      </c>
      <c r="O428">
        <v>1.5</v>
      </c>
      <c r="P428" s="37">
        <v>0.4555</v>
      </c>
      <c r="Q428">
        <v>0.48</v>
      </c>
      <c r="R428">
        <v>1785</v>
      </c>
      <c r="S428">
        <v>1785</v>
      </c>
      <c r="T428">
        <v>5000</v>
      </c>
      <c r="U428" t="s">
        <v>1162</v>
      </c>
      <c r="W428" s="38">
        <v>0.6</v>
      </c>
      <c r="X428">
        <v>60</v>
      </c>
      <c r="Y428" t="s">
        <v>1170</v>
      </c>
      <c r="Z428" s="37">
        <v>0.6</v>
      </c>
      <c r="AA428" s="37">
        <v>0.6</v>
      </c>
      <c r="AB428">
        <v>100</v>
      </c>
    </row>
    <row r="429">
      <c r="A429" t="s">
        <v>1552</v>
      </c>
      <c r="B429" t="s">
        <v>1553</v>
      </c>
      <c r="C429" t="s">
        <v>1553</v>
      </c>
      <c r="D429" t="s">
        <v>1554</v>
      </c>
      <c r="E429" t="s">
        <v>1555</v>
      </c>
      <c r="F429" t="s">
        <v>298</v>
      </c>
      <c r="G429" t="s">
        <v>1483</v>
      </c>
      <c r="H429" t="s">
        <v>1526</v>
      </c>
      <c r="I429" t="s">
        <v>1562</v>
      </c>
      <c r="J429" s="38">
        <v>1</v>
      </c>
      <c r="K429" s="38">
        <v>0.25</v>
      </c>
      <c r="L429" t="s">
        <v>1506</v>
      </c>
      <c r="M429" s="37">
        <v>0.25</v>
      </c>
      <c r="N429" s="37">
        <v>0.2</v>
      </c>
      <c r="O429">
        <v>0.25</v>
      </c>
      <c r="P429" s="37">
        <v>0.4555</v>
      </c>
      <c r="Q429">
        <v>0.48</v>
      </c>
      <c r="R429">
        <v>1785</v>
      </c>
      <c r="S429">
        <v>1785</v>
      </c>
      <c r="T429">
        <v>5000</v>
      </c>
      <c r="U429" t="s">
        <v>1162</v>
      </c>
      <c r="W429" s="38">
        <v>0.6</v>
      </c>
      <c r="X429">
        <v>60</v>
      </c>
      <c r="Y429" t="s">
        <v>1170</v>
      </c>
      <c r="Z429" s="37">
        <v>0.6</v>
      </c>
      <c r="AA429" s="37">
        <v>0.6</v>
      </c>
      <c r="AB429">
        <v>100</v>
      </c>
    </row>
    <row r="430">
      <c r="A430" t="s">
        <v>1552</v>
      </c>
      <c r="B430" t="s">
        <v>1553</v>
      </c>
      <c r="C430" t="s">
        <v>1553</v>
      </c>
      <c r="D430" t="s">
        <v>1554</v>
      </c>
      <c r="E430" t="s">
        <v>1555</v>
      </c>
      <c r="F430" t="s">
        <v>298</v>
      </c>
      <c r="G430" t="s">
        <v>1483</v>
      </c>
      <c r="H430" t="s">
        <v>1526</v>
      </c>
      <c r="I430" t="s">
        <v>1563</v>
      </c>
      <c r="J430" s="38">
        <v>1</v>
      </c>
      <c r="K430" s="38">
        <v>1</v>
      </c>
      <c r="L430" t="s">
        <v>1506</v>
      </c>
      <c r="M430" s="37">
        <v>1</v>
      </c>
      <c r="N430" s="37">
        <v>0.05</v>
      </c>
      <c r="O430">
        <v>1.5</v>
      </c>
      <c r="P430" s="37">
        <v>0.4555</v>
      </c>
      <c r="Q430">
        <v>0.48</v>
      </c>
      <c r="R430">
        <v>1785</v>
      </c>
      <c r="S430">
        <v>1785</v>
      </c>
      <c r="T430">
        <v>5000</v>
      </c>
      <c r="U430" t="s">
        <v>1162</v>
      </c>
      <c r="W430" s="38">
        <v>0.6</v>
      </c>
      <c r="X430">
        <v>60</v>
      </c>
      <c r="Y430" t="s">
        <v>1170</v>
      </c>
      <c r="Z430" s="37">
        <v>0.6</v>
      </c>
      <c r="AA430" s="37">
        <v>0.6</v>
      </c>
      <c r="AB430">
        <v>100</v>
      </c>
    </row>
    <row r="431">
      <c r="A431" t="s">
        <v>1564</v>
      </c>
      <c r="B431" t="s">
        <v>1565</v>
      </c>
      <c r="C431" t="s">
        <v>1565</v>
      </c>
      <c r="D431" t="s">
        <v>1501</v>
      </c>
      <c r="E431" t="s">
        <v>1566</v>
      </c>
      <c r="F431" t="s">
        <v>298</v>
      </c>
      <c r="G431" t="s">
        <v>1483</v>
      </c>
      <c r="H431" t="s">
        <v>1491</v>
      </c>
      <c r="I431">
        <v>1680000</v>
      </c>
      <c r="J431" t="s">
        <v>1567</v>
      </c>
      <c r="K431" t="s">
        <v>1568</v>
      </c>
      <c r="L431" t="s">
        <v>1506</v>
      </c>
      <c r="M431" s="37">
        <v>0.62</v>
      </c>
      <c r="N431" s="37">
        <v>0.35</v>
      </c>
      <c r="O431">
        <v>0.49</v>
      </c>
      <c r="P431" s="37">
        <v>0.815005</v>
      </c>
      <c r="Q431">
        <v>0.76</v>
      </c>
      <c r="R431">
        <v>3927</v>
      </c>
      <c r="S431">
        <v>2827</v>
      </c>
      <c r="T431">
        <v>5000</v>
      </c>
      <c r="U431" t="s">
        <v>1162</v>
      </c>
      <c r="W431" s="38">
        <v>0.6</v>
      </c>
      <c r="X431">
        <v>60</v>
      </c>
      <c r="Y431" t="s">
        <v>1170</v>
      </c>
      <c r="Z431" s="37">
        <v>0.6</v>
      </c>
      <c r="AA431" s="37">
        <v>0.6</v>
      </c>
      <c r="AB431">
        <v>100</v>
      </c>
    </row>
    <row r="432">
      <c r="A432" t="s">
        <v>1564</v>
      </c>
      <c r="B432" t="s">
        <v>1565</v>
      </c>
      <c r="C432" t="s">
        <v>1565</v>
      </c>
      <c r="D432" t="s">
        <v>1501</v>
      </c>
      <c r="E432" t="s">
        <v>1566</v>
      </c>
      <c r="F432" t="s">
        <v>298</v>
      </c>
      <c r="G432" t="s">
        <v>1483</v>
      </c>
      <c r="H432" t="s">
        <v>1521</v>
      </c>
      <c r="I432">
        <v>2783000</v>
      </c>
      <c r="J432" t="s">
        <v>1569</v>
      </c>
      <c r="K432" t="s">
        <v>1570</v>
      </c>
      <c r="L432" t="s">
        <v>1506</v>
      </c>
      <c r="M432" s="37">
        <v>0.34</v>
      </c>
      <c r="N432" s="37">
        <v>0.15</v>
      </c>
      <c r="O432">
        <v>0.28</v>
      </c>
      <c r="P432" s="37">
        <v>0.815005</v>
      </c>
      <c r="Q432">
        <v>0.76</v>
      </c>
      <c r="R432">
        <v>3927</v>
      </c>
      <c r="S432">
        <v>2827</v>
      </c>
      <c r="T432">
        <v>5000</v>
      </c>
      <c r="U432" t="s">
        <v>1162</v>
      </c>
      <c r="W432" s="38">
        <v>0.6</v>
      </c>
      <c r="X432">
        <v>60</v>
      </c>
      <c r="Y432" t="s">
        <v>1170</v>
      </c>
      <c r="Z432" s="37">
        <v>0.6</v>
      </c>
      <c r="AA432" s="37">
        <v>0.6</v>
      </c>
      <c r="AB432">
        <v>100</v>
      </c>
    </row>
    <row r="433">
      <c r="A433" t="s">
        <v>1564</v>
      </c>
      <c r="B433" t="s">
        <v>1565</v>
      </c>
      <c r="C433" t="s">
        <v>1565</v>
      </c>
      <c r="D433" t="s">
        <v>1501</v>
      </c>
      <c r="E433" t="s">
        <v>1566</v>
      </c>
      <c r="F433" t="s">
        <v>298</v>
      </c>
      <c r="G433" t="s">
        <v>1483</v>
      </c>
      <c r="H433" t="s">
        <v>1526</v>
      </c>
      <c r="I433" t="s">
        <v>1571</v>
      </c>
      <c r="J433">
        <v>3</v>
      </c>
      <c r="K433">
        <v>8</v>
      </c>
      <c r="L433" t="s">
        <v>1506</v>
      </c>
      <c r="M433" s="37">
        <v>2.66</v>
      </c>
      <c r="N433" s="37">
        <v>0.15</v>
      </c>
      <c r="O433">
        <v>1.5</v>
      </c>
      <c r="P433" s="37">
        <v>0.815005</v>
      </c>
      <c r="Q433">
        <v>0.76</v>
      </c>
      <c r="R433">
        <v>3927</v>
      </c>
      <c r="S433">
        <v>2827</v>
      </c>
      <c r="T433">
        <v>5000</v>
      </c>
      <c r="U433" t="s">
        <v>1162</v>
      </c>
      <c r="W433" s="38">
        <v>0.6</v>
      </c>
      <c r="X433">
        <v>60</v>
      </c>
      <c r="Y433" t="s">
        <v>1170</v>
      </c>
      <c r="Z433" s="37">
        <v>0.6</v>
      </c>
      <c r="AA433" s="37">
        <v>0.6</v>
      </c>
      <c r="AB433">
        <v>100</v>
      </c>
    </row>
    <row r="434">
      <c r="A434" t="s">
        <v>1564</v>
      </c>
      <c r="B434" t="s">
        <v>1565</v>
      </c>
      <c r="C434" t="s">
        <v>1565</v>
      </c>
      <c r="D434" t="s">
        <v>1501</v>
      </c>
      <c r="E434" t="s">
        <v>1566</v>
      </c>
      <c r="F434" t="s">
        <v>298</v>
      </c>
      <c r="G434" t="s">
        <v>1483</v>
      </c>
      <c r="H434" t="s">
        <v>1524</v>
      </c>
      <c r="I434" s="37">
        <v>0.0856</v>
      </c>
      <c r="J434" s="37">
        <v>0.0856</v>
      </c>
      <c r="K434" s="38">
        <v>0</v>
      </c>
      <c r="L434" t="s">
        <v>1506</v>
      </c>
      <c r="M434" s="37">
        <v>0</v>
      </c>
      <c r="N434" s="37">
        <v>0.2</v>
      </c>
      <c r="O434">
        <v>0</v>
      </c>
      <c r="P434" s="37">
        <v>0.815005</v>
      </c>
      <c r="Q434">
        <v>0.76</v>
      </c>
      <c r="R434">
        <v>3927</v>
      </c>
      <c r="S434">
        <v>2827</v>
      </c>
      <c r="T434">
        <v>5000</v>
      </c>
      <c r="U434" t="s">
        <v>1162</v>
      </c>
      <c r="W434" s="38">
        <v>0.6</v>
      </c>
      <c r="X434">
        <v>60</v>
      </c>
      <c r="Y434" t="s">
        <v>1170</v>
      </c>
      <c r="Z434" s="37">
        <v>0.6</v>
      </c>
      <c r="AA434" s="37">
        <v>0.6</v>
      </c>
      <c r="AB434">
        <v>100</v>
      </c>
    </row>
    <row r="435">
      <c r="A435" t="s">
        <v>1564</v>
      </c>
      <c r="B435" t="s">
        <v>1565</v>
      </c>
      <c r="C435" t="s">
        <v>1565</v>
      </c>
      <c r="D435" t="s">
        <v>1501</v>
      </c>
      <c r="E435" t="s">
        <v>1566</v>
      </c>
      <c r="F435" t="s">
        <v>298</v>
      </c>
      <c r="G435" t="s">
        <v>1483</v>
      </c>
      <c r="H435" t="s">
        <v>1491</v>
      </c>
      <c r="I435">
        <v>5000</v>
      </c>
      <c r="J435">
        <v>5000</v>
      </c>
      <c r="K435">
        <v>4933.5</v>
      </c>
      <c r="L435" t="s">
        <v>1506</v>
      </c>
      <c r="M435" s="37">
        <v>0.9867</v>
      </c>
      <c r="N435" s="37">
        <v>0.15</v>
      </c>
      <c r="O435">
        <v>0.99</v>
      </c>
      <c r="P435" s="37">
        <v>0.815005</v>
      </c>
      <c r="Q435">
        <v>0.76</v>
      </c>
      <c r="R435">
        <v>3927</v>
      </c>
      <c r="S435">
        <v>2827</v>
      </c>
      <c r="T435">
        <v>5000</v>
      </c>
      <c r="U435" t="s">
        <v>1162</v>
      </c>
      <c r="W435" s="38">
        <v>0.6</v>
      </c>
      <c r="X435">
        <v>60</v>
      </c>
      <c r="Y435" t="s">
        <v>1170</v>
      </c>
      <c r="Z435" s="37">
        <v>0.6</v>
      </c>
      <c r="AA435" s="37">
        <v>0.6</v>
      </c>
      <c r="AB435">
        <v>100</v>
      </c>
    </row>
    <row r="436">
      <c r="A436" t="s">
        <v>1572</v>
      </c>
      <c r="B436" t="s">
        <v>1573</v>
      </c>
      <c r="C436" t="s">
        <v>1573</v>
      </c>
      <c r="D436" t="s">
        <v>1501</v>
      </c>
      <c r="E436" t="s">
        <v>1574</v>
      </c>
      <c r="F436" t="s">
        <v>298</v>
      </c>
      <c r="G436" t="s">
        <v>1483</v>
      </c>
      <c r="H436" t="s">
        <v>1526</v>
      </c>
      <c r="I436" t="s">
        <v>1492</v>
      </c>
      <c r="J436" t="s">
        <v>1575</v>
      </c>
      <c r="K436" t="s">
        <v>1576</v>
      </c>
      <c r="L436" t="s">
        <v>1506</v>
      </c>
      <c r="M436" s="37">
        <v>0.7388</v>
      </c>
      <c r="N436" s="37">
        <v>0.5</v>
      </c>
      <c r="O436">
        <v>0.591</v>
      </c>
      <c r="P436" s="37">
        <v>1.00876</v>
      </c>
      <c r="Q436">
        <v>0.93</v>
      </c>
      <c r="R436">
        <v>6069</v>
      </c>
      <c r="S436">
        <v>6419</v>
      </c>
      <c r="T436">
        <v>5000</v>
      </c>
      <c r="U436" t="s">
        <v>1162</v>
      </c>
      <c r="W436" s="38">
        <v>0.6</v>
      </c>
      <c r="X436">
        <v>60</v>
      </c>
      <c r="Y436" t="s">
        <v>1170</v>
      </c>
      <c r="Z436" s="37">
        <v>0.6</v>
      </c>
      <c r="AA436" s="37">
        <v>0.6</v>
      </c>
      <c r="AB436">
        <v>100</v>
      </c>
    </row>
    <row r="437">
      <c r="A437" t="s">
        <v>1572</v>
      </c>
      <c r="B437" t="s">
        <v>1573</v>
      </c>
      <c r="C437" t="s">
        <v>1573</v>
      </c>
      <c r="D437" t="s">
        <v>1501</v>
      </c>
      <c r="E437" t="s">
        <v>1574</v>
      </c>
      <c r="F437" t="s">
        <v>298</v>
      </c>
      <c r="G437" t="s">
        <v>1483</v>
      </c>
      <c r="H437" t="s">
        <v>1495</v>
      </c>
      <c r="I437" t="s">
        <v>1496</v>
      </c>
      <c r="J437" t="s">
        <v>1577</v>
      </c>
      <c r="K437" t="s">
        <v>1578</v>
      </c>
      <c r="L437" t="s">
        <v>1506</v>
      </c>
      <c r="M437" s="37">
        <v>1.3484</v>
      </c>
      <c r="N437" s="37">
        <v>0.4</v>
      </c>
      <c r="O437">
        <v>1.35</v>
      </c>
      <c r="P437" s="37">
        <v>1.00876</v>
      </c>
      <c r="Q437">
        <v>0.93</v>
      </c>
      <c r="R437">
        <v>6069</v>
      </c>
      <c r="S437">
        <v>6419</v>
      </c>
      <c r="T437">
        <v>5000</v>
      </c>
      <c r="U437" t="s">
        <v>1162</v>
      </c>
      <c r="W437" s="38">
        <v>0.6</v>
      </c>
      <c r="X437">
        <v>60</v>
      </c>
      <c r="Y437" t="s">
        <v>1170</v>
      </c>
      <c r="Z437" s="37">
        <v>0.6</v>
      </c>
      <c r="AA437" s="37">
        <v>0.6</v>
      </c>
      <c r="AB437">
        <v>100</v>
      </c>
    </row>
    <row r="438">
      <c r="A438" t="s">
        <v>1572</v>
      </c>
      <c r="B438" t="s">
        <v>1573</v>
      </c>
      <c r="C438" t="s">
        <v>1573</v>
      </c>
      <c r="D438" t="s">
        <v>1501</v>
      </c>
      <c r="E438" t="s">
        <v>1574</v>
      </c>
      <c r="F438" t="s">
        <v>298</v>
      </c>
      <c r="G438" t="s">
        <v>1483</v>
      </c>
      <c r="H438" t="s">
        <v>1526</v>
      </c>
      <c r="I438" t="s">
        <v>1579</v>
      </c>
      <c r="J438" t="s">
        <v>709</v>
      </c>
      <c r="K438" t="s">
        <v>709</v>
      </c>
      <c r="L438" t="s">
        <v>1506</v>
      </c>
      <c r="M438" s="37">
        <v>1</v>
      </c>
      <c r="N438" s="37">
        <v>0.1</v>
      </c>
      <c r="O438">
        <v>1</v>
      </c>
      <c r="P438" s="37">
        <v>1.00876</v>
      </c>
      <c r="Q438">
        <v>0.93</v>
      </c>
      <c r="R438">
        <v>6069</v>
      </c>
      <c r="S438">
        <v>6419</v>
      </c>
      <c r="T438">
        <v>5000</v>
      </c>
      <c r="U438" t="s">
        <v>1162</v>
      </c>
      <c r="W438" s="38">
        <v>0.6</v>
      </c>
      <c r="X438">
        <v>60</v>
      </c>
      <c r="Y438" t="s">
        <v>1170</v>
      </c>
      <c r="Z438" s="37">
        <v>0.6</v>
      </c>
      <c r="AA438" s="37">
        <v>0.6</v>
      </c>
      <c r="AB438">
        <v>100</v>
      </c>
    </row>
    <row r="439">
      <c r="A439" t="s">
        <v>1580</v>
      </c>
      <c r="B439" t="s">
        <v>1581</v>
      </c>
      <c r="C439" t="s">
        <v>1581</v>
      </c>
      <c r="D439" t="s">
        <v>1582</v>
      </c>
      <c r="E439" t="s">
        <v>1583</v>
      </c>
      <c r="F439" t="s">
        <v>298</v>
      </c>
      <c r="G439" t="s">
        <v>1483</v>
      </c>
      <c r="H439" t="s">
        <v>1491</v>
      </c>
      <c r="I439" t="s">
        <v>1584</v>
      </c>
      <c r="J439" t="s">
        <v>1585</v>
      </c>
      <c r="K439" t="s">
        <v>1586</v>
      </c>
      <c r="L439" t="s">
        <v>1506</v>
      </c>
      <c r="M439" s="37">
        <v>0.8505</v>
      </c>
      <c r="N439" s="37">
        <v>0.4</v>
      </c>
      <c r="O439">
        <v>0.8505</v>
      </c>
      <c r="P439" s="37">
        <v>0.55653</v>
      </c>
      <c r="Q439">
        <v>0.56</v>
      </c>
      <c r="R439">
        <v>2499</v>
      </c>
      <c r="S439">
        <v>2399</v>
      </c>
      <c r="T439">
        <v>6000</v>
      </c>
      <c r="U439" t="s">
        <v>1162</v>
      </c>
      <c r="W439" s="38">
        <v>0.6</v>
      </c>
      <c r="X439">
        <v>60</v>
      </c>
      <c r="Y439" t="s">
        <v>1170</v>
      </c>
      <c r="Z439" s="37">
        <v>0.6</v>
      </c>
      <c r="AA439" s="37">
        <v>0.6</v>
      </c>
      <c r="AB439">
        <v>100</v>
      </c>
    </row>
    <row r="440">
      <c r="A440" t="s">
        <v>1580</v>
      </c>
      <c r="B440" t="s">
        <v>1581</v>
      </c>
      <c r="C440" t="s">
        <v>1581</v>
      </c>
      <c r="D440" t="s">
        <v>1582</v>
      </c>
      <c r="E440" t="s">
        <v>1583</v>
      </c>
      <c r="F440" t="s">
        <v>298</v>
      </c>
      <c r="G440" t="s">
        <v>1483</v>
      </c>
      <c r="H440" t="s">
        <v>1484</v>
      </c>
      <c r="I440" t="s">
        <v>1587</v>
      </c>
      <c r="J440" t="s">
        <v>980</v>
      </c>
      <c r="K440" t="s">
        <v>817</v>
      </c>
      <c r="L440" t="s">
        <v>1506</v>
      </c>
      <c r="M440" s="37">
        <v>0</v>
      </c>
      <c r="N440" s="37">
        <v>0.1</v>
      </c>
      <c r="O440">
        <v>0</v>
      </c>
      <c r="P440" s="37">
        <v>0.55653</v>
      </c>
      <c r="Q440">
        <v>0.56</v>
      </c>
      <c r="R440">
        <v>2499</v>
      </c>
      <c r="S440">
        <v>2399</v>
      </c>
      <c r="T440">
        <v>6000</v>
      </c>
      <c r="U440" t="s">
        <v>1162</v>
      </c>
      <c r="W440" s="38">
        <v>0.6</v>
      </c>
      <c r="X440">
        <v>60</v>
      </c>
      <c r="Y440" t="s">
        <v>1170</v>
      </c>
      <c r="Z440" s="37">
        <v>0.6</v>
      </c>
      <c r="AA440" s="37">
        <v>0.6</v>
      </c>
      <c r="AB440">
        <v>100</v>
      </c>
    </row>
    <row r="441">
      <c r="A441" t="s">
        <v>1580</v>
      </c>
      <c r="B441" t="s">
        <v>1581</v>
      </c>
      <c r="C441" t="s">
        <v>1581</v>
      </c>
      <c r="D441" t="s">
        <v>1582</v>
      </c>
      <c r="E441" t="s">
        <v>1583</v>
      </c>
      <c r="F441" t="s">
        <v>298</v>
      </c>
      <c r="G441" t="s">
        <v>1483</v>
      </c>
      <c r="H441" t="s">
        <v>1526</v>
      </c>
      <c r="I441" t="s">
        <v>1507</v>
      </c>
      <c r="J441" t="s">
        <v>1016</v>
      </c>
      <c r="K441" t="s">
        <v>984</v>
      </c>
      <c r="L441" t="s">
        <v>1506</v>
      </c>
      <c r="M441" s="37">
        <v>1.33</v>
      </c>
      <c r="N441" s="37">
        <v>0.1</v>
      </c>
      <c r="O441">
        <v>1.33</v>
      </c>
      <c r="P441" s="37">
        <v>0.55653</v>
      </c>
      <c r="Q441">
        <v>0.56</v>
      </c>
      <c r="R441">
        <v>2499</v>
      </c>
      <c r="S441">
        <v>2399</v>
      </c>
      <c r="T441">
        <v>6000</v>
      </c>
      <c r="U441" t="s">
        <v>1162</v>
      </c>
      <c r="W441" s="38">
        <v>0.6</v>
      </c>
      <c r="X441">
        <v>60</v>
      </c>
      <c r="Y441" t="s">
        <v>1170</v>
      </c>
      <c r="Z441" s="37">
        <v>0.6</v>
      </c>
      <c r="AA441" s="37">
        <v>0.6</v>
      </c>
      <c r="AB441">
        <v>100</v>
      </c>
    </row>
    <row r="442">
      <c r="A442" t="s">
        <v>1580</v>
      </c>
      <c r="B442" t="s">
        <v>1581</v>
      </c>
      <c r="C442" t="s">
        <v>1581</v>
      </c>
      <c r="D442" t="s">
        <v>1582</v>
      </c>
      <c r="E442" t="s">
        <v>1583</v>
      </c>
      <c r="F442" t="s">
        <v>298</v>
      </c>
      <c r="G442" t="s">
        <v>1483</v>
      </c>
      <c r="H442" t="s">
        <v>1524</v>
      </c>
      <c r="I442" t="s">
        <v>1588</v>
      </c>
      <c r="J442" s="37">
        <v>-0.015</v>
      </c>
      <c r="K442" s="37">
        <v>-0.1193</v>
      </c>
      <c r="L442" t="s">
        <v>1506</v>
      </c>
      <c r="M442" s="37">
        <v>0</v>
      </c>
      <c r="N442" s="37">
        <v>0.3</v>
      </c>
      <c r="O442">
        <v>0</v>
      </c>
      <c r="P442" s="37">
        <v>0.55653</v>
      </c>
      <c r="Q442">
        <v>0.56</v>
      </c>
      <c r="R442">
        <v>2499</v>
      </c>
      <c r="S442">
        <v>2399</v>
      </c>
      <c r="T442">
        <v>6000</v>
      </c>
      <c r="U442" t="s">
        <v>1162</v>
      </c>
      <c r="W442" s="38">
        <v>0.6</v>
      </c>
      <c r="X442">
        <v>60</v>
      </c>
      <c r="Y442" t="s">
        <v>1170</v>
      </c>
      <c r="Z442" s="37">
        <v>0.6</v>
      </c>
      <c r="AA442" s="37">
        <v>0.6</v>
      </c>
      <c r="AB442">
        <v>100</v>
      </c>
    </row>
    <row r="443">
      <c r="A443" t="s">
        <v>1580</v>
      </c>
      <c r="B443" t="s">
        <v>1581</v>
      </c>
      <c r="C443" t="s">
        <v>1581</v>
      </c>
      <c r="D443" t="s">
        <v>1582</v>
      </c>
      <c r="E443" t="s">
        <v>1583</v>
      </c>
      <c r="F443" t="s">
        <v>298</v>
      </c>
      <c r="G443" t="s">
        <v>1483</v>
      </c>
      <c r="H443" t="s">
        <v>1512</v>
      </c>
      <c r="I443" t="s">
        <v>1589</v>
      </c>
      <c r="J443" t="s">
        <v>1590</v>
      </c>
      <c r="K443" t="s">
        <v>1591</v>
      </c>
      <c r="L443" t="s">
        <v>1506</v>
      </c>
      <c r="M443" s="37">
        <v>0.8333</v>
      </c>
      <c r="N443" s="37">
        <v>0.1</v>
      </c>
      <c r="O443">
        <v>0.8333</v>
      </c>
      <c r="P443" s="37">
        <v>0.55653</v>
      </c>
      <c r="Q443">
        <v>0.56</v>
      </c>
      <c r="R443">
        <v>2499</v>
      </c>
      <c r="S443">
        <v>2399</v>
      </c>
      <c r="T443">
        <v>6000</v>
      </c>
      <c r="U443" t="s">
        <v>1162</v>
      </c>
      <c r="W443" s="38">
        <v>0.6</v>
      </c>
      <c r="X443">
        <v>60</v>
      </c>
      <c r="Y443" t="s">
        <v>1170</v>
      </c>
      <c r="Z443" s="37">
        <v>0.6</v>
      </c>
      <c r="AA443" s="37">
        <v>0.6</v>
      </c>
      <c r="AB443">
        <v>100</v>
      </c>
    </row>
    <row r="444">
      <c r="A444" t="s">
        <v>1592</v>
      </c>
      <c r="B444" t="s">
        <v>1593</v>
      </c>
      <c r="C444" t="s">
        <v>1593</v>
      </c>
      <c r="D444" t="s">
        <v>359</v>
      </c>
      <c r="E444" t="s">
        <v>1594</v>
      </c>
      <c r="F444" t="s">
        <v>298</v>
      </c>
      <c r="G444" t="s">
        <v>1483</v>
      </c>
      <c r="H444" t="s">
        <v>1491</v>
      </c>
      <c r="J444" t="s">
        <v>1595</v>
      </c>
      <c r="K444" t="s">
        <v>1596</v>
      </c>
      <c r="L444" t="s">
        <v>1506</v>
      </c>
      <c r="M444" s="37">
        <v>0.5033</v>
      </c>
      <c r="N444" s="37">
        <v>0.35</v>
      </c>
      <c r="O444">
        <v>0.4</v>
      </c>
      <c r="P444" s="37">
        <v>0.889755</v>
      </c>
      <c r="Q444">
        <v>0.82</v>
      </c>
      <c r="R444">
        <v>4641</v>
      </c>
      <c r="S444">
        <v>5007.67</v>
      </c>
      <c r="T444">
        <v>5000</v>
      </c>
      <c r="U444" t="s">
        <v>1162</v>
      </c>
      <c r="W444" s="38">
        <v>0.6</v>
      </c>
      <c r="X444">
        <v>60</v>
      </c>
      <c r="Y444" t="s">
        <v>1170</v>
      </c>
      <c r="Z444" s="37">
        <v>0.6</v>
      </c>
      <c r="AA444" s="37">
        <v>0.6</v>
      </c>
      <c r="AB444">
        <v>100</v>
      </c>
    </row>
    <row r="445">
      <c r="A445" t="s">
        <v>1592</v>
      </c>
      <c r="B445" t="s">
        <v>1593</v>
      </c>
      <c r="C445" t="s">
        <v>1593</v>
      </c>
      <c r="D445" t="s">
        <v>359</v>
      </c>
      <c r="E445" t="s">
        <v>1594</v>
      </c>
      <c r="F445" t="s">
        <v>298</v>
      </c>
      <c r="G445" t="s">
        <v>1483</v>
      </c>
      <c r="H445" t="s">
        <v>1521</v>
      </c>
      <c r="J445" t="s">
        <v>1597</v>
      </c>
      <c r="K445" t="s">
        <v>1598</v>
      </c>
      <c r="L445" t="s">
        <v>1506</v>
      </c>
      <c r="M445" s="37">
        <v>1.0811</v>
      </c>
      <c r="N445" s="37">
        <v>0.15</v>
      </c>
      <c r="O445">
        <v>1.5</v>
      </c>
      <c r="P445" s="37">
        <v>0.889755</v>
      </c>
      <c r="Q445">
        <v>0.82</v>
      </c>
      <c r="R445">
        <v>4641</v>
      </c>
      <c r="S445">
        <v>5007.67</v>
      </c>
      <c r="T445">
        <v>5000</v>
      </c>
      <c r="U445" t="s">
        <v>1162</v>
      </c>
      <c r="W445" s="38">
        <v>0.6</v>
      </c>
      <c r="X445">
        <v>60</v>
      </c>
      <c r="Y445" t="s">
        <v>1170</v>
      </c>
      <c r="Z445" s="37">
        <v>0.6</v>
      </c>
      <c r="AA445" s="37">
        <v>0.6</v>
      </c>
      <c r="AB445">
        <v>100</v>
      </c>
    </row>
    <row r="446">
      <c r="A446" t="s">
        <v>1592</v>
      </c>
      <c r="B446" t="s">
        <v>1593</v>
      </c>
      <c r="C446" t="s">
        <v>1593</v>
      </c>
      <c r="D446" t="s">
        <v>359</v>
      </c>
      <c r="E446" t="s">
        <v>1594</v>
      </c>
      <c r="F446" t="s">
        <v>298</v>
      </c>
      <c r="G446" t="s">
        <v>1483</v>
      </c>
      <c r="H446" t="s">
        <v>1524</v>
      </c>
      <c r="J446" s="37">
        <v>0.1152</v>
      </c>
      <c r="K446" s="37">
        <v>0.013</v>
      </c>
      <c r="L446" t="s">
        <v>1506</v>
      </c>
      <c r="M446" s="37">
        <v>0.1129</v>
      </c>
      <c r="N446" s="37">
        <v>0.2</v>
      </c>
      <c r="O446">
        <v>0</v>
      </c>
      <c r="P446" s="37">
        <v>0.889755</v>
      </c>
      <c r="Q446">
        <v>0.82</v>
      </c>
      <c r="R446">
        <v>4641</v>
      </c>
      <c r="S446">
        <v>5007.67</v>
      </c>
      <c r="T446">
        <v>5000</v>
      </c>
      <c r="U446" t="s">
        <v>1162</v>
      </c>
      <c r="W446" s="38">
        <v>0.6</v>
      </c>
      <c r="X446">
        <v>60</v>
      </c>
      <c r="Y446" t="s">
        <v>1170</v>
      </c>
      <c r="Z446" s="37">
        <v>0.6</v>
      </c>
      <c r="AA446" s="37">
        <v>0.6</v>
      </c>
      <c r="AB446">
        <v>100</v>
      </c>
    </row>
    <row r="447">
      <c r="A447" t="s">
        <v>1592</v>
      </c>
      <c r="B447" t="s">
        <v>1593</v>
      </c>
      <c r="C447" t="s">
        <v>1593</v>
      </c>
      <c r="D447" t="s">
        <v>359</v>
      </c>
      <c r="E447" t="s">
        <v>1594</v>
      </c>
      <c r="F447" t="s">
        <v>298</v>
      </c>
      <c r="G447" t="s">
        <v>1483</v>
      </c>
      <c r="H447" t="s">
        <v>1526</v>
      </c>
      <c r="I447" t="s">
        <v>1599</v>
      </c>
      <c r="J447" t="s">
        <v>706</v>
      </c>
      <c r="K447" t="s">
        <v>1424</v>
      </c>
      <c r="L447" t="s">
        <v>1506</v>
      </c>
      <c r="M447" s="37">
        <v>2</v>
      </c>
      <c r="N447" s="37">
        <v>0.15</v>
      </c>
      <c r="O447">
        <v>1.5</v>
      </c>
      <c r="P447" s="37">
        <v>0.889755</v>
      </c>
      <c r="Q447">
        <v>0.82</v>
      </c>
      <c r="R447">
        <v>4641</v>
      </c>
      <c r="S447">
        <v>5007.67</v>
      </c>
      <c r="T447">
        <v>5000</v>
      </c>
      <c r="U447" t="s">
        <v>1162</v>
      </c>
      <c r="W447" s="38">
        <v>0.6</v>
      </c>
      <c r="X447">
        <v>60</v>
      </c>
      <c r="Y447" t="s">
        <v>1170</v>
      </c>
      <c r="Z447" s="37">
        <v>0.6</v>
      </c>
      <c r="AA447" s="37">
        <v>0.6</v>
      </c>
      <c r="AB447">
        <v>100</v>
      </c>
    </row>
    <row r="448">
      <c r="A448" t="s">
        <v>1592</v>
      </c>
      <c r="B448" t="s">
        <v>1593</v>
      </c>
      <c r="C448" t="s">
        <v>1593</v>
      </c>
      <c r="D448" t="s">
        <v>359</v>
      </c>
      <c r="E448" t="s">
        <v>1594</v>
      </c>
      <c r="F448" t="s">
        <v>298</v>
      </c>
      <c r="G448" t="s">
        <v>1483</v>
      </c>
      <c r="H448" t="s">
        <v>1526</v>
      </c>
      <c r="I448" t="s">
        <v>1600</v>
      </c>
      <c r="J448" t="s">
        <v>1601</v>
      </c>
      <c r="K448" t="s">
        <v>1602</v>
      </c>
      <c r="L448" t="s">
        <v>1506</v>
      </c>
      <c r="M448" s="37">
        <v>1.5257</v>
      </c>
      <c r="N448" s="37">
        <v>0.15</v>
      </c>
      <c r="O448">
        <v>1.5</v>
      </c>
      <c r="P448" s="37">
        <v>0.889755</v>
      </c>
      <c r="Q448">
        <v>0.82</v>
      </c>
      <c r="R448">
        <v>4641</v>
      </c>
      <c r="S448">
        <v>5007.67</v>
      </c>
      <c r="T448">
        <v>5000</v>
      </c>
      <c r="U448" t="s">
        <v>1162</v>
      </c>
      <c r="W448" s="38">
        <v>0.6</v>
      </c>
      <c r="X448">
        <v>60</v>
      </c>
      <c r="Y448" t="s">
        <v>1170</v>
      </c>
      <c r="Z448" s="37">
        <v>0.6</v>
      </c>
      <c r="AA448" s="37">
        <v>0.6</v>
      </c>
      <c r="AB448">
        <v>100</v>
      </c>
    </row>
    <row r="449">
      <c r="A449" t="s">
        <v>1603</v>
      </c>
      <c r="B449" t="s">
        <v>1543</v>
      </c>
      <c r="C449" t="s">
        <v>1543</v>
      </c>
      <c r="D449" t="s">
        <v>359</v>
      </c>
      <c r="E449" t="s">
        <v>1604</v>
      </c>
      <c r="F449" t="s">
        <v>298</v>
      </c>
      <c r="G449" t="s">
        <v>1605</v>
      </c>
      <c r="H449" t="s">
        <v>1526</v>
      </c>
      <c r="I449" t="s">
        <v>1606</v>
      </c>
      <c r="J449" s="38">
        <v>1</v>
      </c>
      <c r="K449" s="38">
        <v>0.3</v>
      </c>
      <c r="L449" t="s">
        <v>1506</v>
      </c>
      <c r="M449" s="37">
        <v>0.3</v>
      </c>
      <c r="N449" s="37">
        <v>0.1</v>
      </c>
      <c r="O449">
        <v>0.24</v>
      </c>
      <c r="P449" s="37">
        <v>2.127</v>
      </c>
      <c r="Q449">
        <v>1.01</v>
      </c>
      <c r="R449">
        <v>6500</v>
      </c>
      <c r="S449">
        <v>6424.73</v>
      </c>
      <c r="T449">
        <v>5000</v>
      </c>
      <c r="U449" t="s">
        <v>1162</v>
      </c>
      <c r="W449" s="38">
        <v>0.6</v>
      </c>
      <c r="X449">
        <v>60</v>
      </c>
      <c r="Y449" t="s">
        <v>1170</v>
      </c>
      <c r="Z449" s="37">
        <v>0.6</v>
      </c>
      <c r="AA449" s="37">
        <v>0.6</v>
      </c>
      <c r="AB449">
        <v>100</v>
      </c>
    </row>
    <row r="450">
      <c r="A450" t="s">
        <v>1603</v>
      </c>
      <c r="B450" t="s">
        <v>1543</v>
      </c>
      <c r="C450" t="s">
        <v>1543</v>
      </c>
      <c r="D450" t="s">
        <v>359</v>
      </c>
      <c r="E450" t="s">
        <v>1604</v>
      </c>
      <c r="F450" t="s">
        <v>298</v>
      </c>
      <c r="G450" t="s">
        <v>1605</v>
      </c>
      <c r="H450" t="s">
        <v>1524</v>
      </c>
      <c r="I450" t="s">
        <v>1607</v>
      </c>
      <c r="J450" s="38">
        <v>0.02</v>
      </c>
      <c r="K450" s="37">
        <v>0.1037</v>
      </c>
      <c r="L450" t="s">
        <v>1506</v>
      </c>
      <c r="M450" s="37">
        <v>5.19</v>
      </c>
      <c r="N450" s="37">
        <v>0.3</v>
      </c>
      <c r="O450">
        <v>1.5</v>
      </c>
      <c r="P450" s="37">
        <v>2.127</v>
      </c>
      <c r="Q450">
        <v>1.01</v>
      </c>
      <c r="R450">
        <v>6500</v>
      </c>
      <c r="S450">
        <v>6424.73</v>
      </c>
      <c r="T450">
        <v>5000</v>
      </c>
      <c r="U450" t="s">
        <v>1162</v>
      </c>
      <c r="W450" s="38">
        <v>0.6</v>
      </c>
      <c r="X450">
        <v>60</v>
      </c>
      <c r="Y450" t="s">
        <v>1170</v>
      </c>
      <c r="Z450" s="37">
        <v>0.6</v>
      </c>
      <c r="AA450" s="37">
        <v>0.6</v>
      </c>
      <c r="AB450">
        <v>100</v>
      </c>
    </row>
    <row r="451">
      <c r="A451" t="s">
        <v>1603</v>
      </c>
      <c r="B451" t="s">
        <v>1543</v>
      </c>
      <c r="C451" t="s">
        <v>1543</v>
      </c>
      <c r="D451" t="s">
        <v>359</v>
      </c>
      <c r="E451" t="s">
        <v>1604</v>
      </c>
      <c r="F451" t="s">
        <v>298</v>
      </c>
      <c r="G451" t="s">
        <v>1605</v>
      </c>
      <c r="H451" t="s">
        <v>1487</v>
      </c>
      <c r="I451" t="s">
        <v>1608</v>
      </c>
      <c r="J451">
        <v>1035000</v>
      </c>
      <c r="K451">
        <v>930000</v>
      </c>
      <c r="L451" t="s">
        <v>1506</v>
      </c>
      <c r="M451" s="37">
        <v>0.9</v>
      </c>
      <c r="N451" s="37">
        <v>0.6</v>
      </c>
      <c r="O451">
        <v>0.9</v>
      </c>
      <c r="P451" s="37">
        <v>2.127</v>
      </c>
      <c r="Q451">
        <v>1.01</v>
      </c>
      <c r="R451">
        <v>6500</v>
      </c>
      <c r="S451">
        <v>6424.73</v>
      </c>
      <c r="T451">
        <v>5000</v>
      </c>
      <c r="U451" t="s">
        <v>1162</v>
      </c>
      <c r="W451" s="38">
        <v>0.6</v>
      </c>
      <c r="X451">
        <v>60</v>
      </c>
      <c r="Y451" t="s">
        <v>1170</v>
      </c>
      <c r="Z451" s="37">
        <v>0.6</v>
      </c>
      <c r="AA451" s="37">
        <v>0.6</v>
      </c>
      <c r="AB451">
        <v>100</v>
      </c>
    </row>
    <row r="452">
      <c r="A452" t="s">
        <v>1609</v>
      </c>
      <c r="B452" t="s">
        <v>1543</v>
      </c>
      <c r="C452" t="s">
        <v>1543</v>
      </c>
      <c r="D452" t="s">
        <v>359</v>
      </c>
      <c r="E452" t="s">
        <v>1610</v>
      </c>
      <c r="F452" t="s">
        <v>298</v>
      </c>
      <c r="G452" t="s">
        <v>1605</v>
      </c>
      <c r="H452" t="s">
        <v>1491</v>
      </c>
      <c r="I452" t="s">
        <v>1611</v>
      </c>
      <c r="J452" t="s">
        <v>1612</v>
      </c>
      <c r="K452" t="s">
        <v>1613</v>
      </c>
      <c r="L452" t="s">
        <v>1506</v>
      </c>
      <c r="M452" s="37">
        <v>0.67</v>
      </c>
      <c r="N452" s="37">
        <v>0.6</v>
      </c>
      <c r="O452">
        <v>0.53</v>
      </c>
      <c r="P452" s="37">
        <v>0.969</v>
      </c>
      <c r="Q452">
        <v>0.81</v>
      </c>
      <c r="R452">
        <v>3500</v>
      </c>
      <c r="S452">
        <v>3537.63</v>
      </c>
      <c r="T452">
        <v>5000</v>
      </c>
      <c r="U452" t="s">
        <v>1162</v>
      </c>
      <c r="W452" s="38">
        <v>0.6</v>
      </c>
      <c r="X452">
        <v>60</v>
      </c>
      <c r="Y452" t="s">
        <v>1170</v>
      </c>
      <c r="Z452" s="37">
        <v>0.6</v>
      </c>
      <c r="AA452" s="37">
        <v>0.6</v>
      </c>
      <c r="AB452">
        <v>100</v>
      </c>
    </row>
    <row r="453">
      <c r="A453" t="s">
        <v>1609</v>
      </c>
      <c r="B453" t="s">
        <v>1543</v>
      </c>
      <c r="C453" t="s">
        <v>1543</v>
      </c>
      <c r="D453" t="s">
        <v>359</v>
      </c>
      <c r="E453" t="s">
        <v>1610</v>
      </c>
      <c r="F453" t="s">
        <v>298</v>
      </c>
      <c r="G453" t="s">
        <v>1605</v>
      </c>
      <c r="H453" t="s">
        <v>1524</v>
      </c>
      <c r="J453" s="38">
        <v>0.04</v>
      </c>
      <c r="K453" s="37">
        <v>0.0696</v>
      </c>
      <c r="L453" t="s">
        <v>1506</v>
      </c>
      <c r="M453" s="37">
        <v>1.74</v>
      </c>
      <c r="N453" s="37">
        <v>0.3</v>
      </c>
      <c r="O453">
        <v>1.5</v>
      </c>
      <c r="P453" s="37">
        <v>0.969</v>
      </c>
      <c r="Q453">
        <v>0.81</v>
      </c>
      <c r="R453">
        <v>3500</v>
      </c>
      <c r="S453">
        <v>3537.63</v>
      </c>
      <c r="T453">
        <v>5000</v>
      </c>
      <c r="U453" t="s">
        <v>1162</v>
      </c>
      <c r="W453" s="38">
        <v>0.6</v>
      </c>
      <c r="X453">
        <v>60</v>
      </c>
      <c r="Y453" t="s">
        <v>1170</v>
      </c>
      <c r="Z453" s="37">
        <v>0.6</v>
      </c>
      <c r="AA453" s="37">
        <v>0.6</v>
      </c>
      <c r="AB453">
        <v>100</v>
      </c>
    </row>
    <row r="454">
      <c r="A454" t="s">
        <v>1609</v>
      </c>
      <c r="B454" t="s">
        <v>1543</v>
      </c>
      <c r="C454" t="s">
        <v>1543</v>
      </c>
      <c r="D454" t="s">
        <v>359</v>
      </c>
      <c r="E454" t="s">
        <v>1610</v>
      </c>
      <c r="F454" t="s">
        <v>298</v>
      </c>
      <c r="G454" t="s">
        <v>1605</v>
      </c>
      <c r="H454" t="s">
        <v>1526</v>
      </c>
      <c r="I454" t="s">
        <v>1614</v>
      </c>
      <c r="J454">
        <v>1</v>
      </c>
      <c r="K454">
        <v>0.6</v>
      </c>
      <c r="L454" t="s">
        <v>1506</v>
      </c>
      <c r="M454" s="37">
        <v>0.6</v>
      </c>
      <c r="N454" s="37">
        <v>0.05</v>
      </c>
      <c r="O454">
        <v>0.48</v>
      </c>
      <c r="P454" s="37">
        <v>0.969</v>
      </c>
      <c r="Q454">
        <v>0.81</v>
      </c>
      <c r="R454">
        <v>3500</v>
      </c>
      <c r="S454">
        <v>3537.63</v>
      </c>
      <c r="T454">
        <v>5000</v>
      </c>
      <c r="U454" t="s">
        <v>1162</v>
      </c>
      <c r="W454" s="38">
        <v>0.6</v>
      </c>
      <c r="X454">
        <v>60</v>
      </c>
      <c r="Y454" t="s">
        <v>1170</v>
      </c>
      <c r="Z454" s="37">
        <v>0.6</v>
      </c>
      <c r="AA454" s="37">
        <v>0.6</v>
      </c>
      <c r="AB454">
        <v>100</v>
      </c>
    </row>
    <row r="455">
      <c r="A455" t="s">
        <v>1609</v>
      </c>
      <c r="B455" t="s">
        <v>1543</v>
      </c>
      <c r="C455" t="s">
        <v>1543</v>
      </c>
      <c r="D455" t="s">
        <v>359</v>
      </c>
      <c r="E455" t="s">
        <v>1610</v>
      </c>
      <c r="F455" t="s">
        <v>298</v>
      </c>
      <c r="G455" t="s">
        <v>1605</v>
      </c>
      <c r="H455" t="s">
        <v>1526</v>
      </c>
      <c r="I455" t="s">
        <v>1615</v>
      </c>
      <c r="J455">
        <v>1</v>
      </c>
      <c r="K455">
        <v>0.3</v>
      </c>
      <c r="L455" t="s">
        <v>1506</v>
      </c>
      <c r="M455" s="37">
        <v>0.3</v>
      </c>
      <c r="N455" s="37">
        <v>0.05</v>
      </c>
      <c r="O455">
        <v>0.24</v>
      </c>
      <c r="P455" s="37">
        <v>0.969</v>
      </c>
      <c r="Q455">
        <v>0.81</v>
      </c>
      <c r="R455">
        <v>3500</v>
      </c>
      <c r="S455">
        <v>3537.63</v>
      </c>
      <c r="T455">
        <v>5000</v>
      </c>
      <c r="U455" t="s">
        <v>1162</v>
      </c>
      <c r="W455" s="38">
        <v>0.6</v>
      </c>
      <c r="X455">
        <v>60</v>
      </c>
      <c r="Y455" t="s">
        <v>1170</v>
      </c>
      <c r="Z455" s="37">
        <v>0.6</v>
      </c>
      <c r="AA455" s="37">
        <v>0.6</v>
      </c>
      <c r="AB455">
        <v>100</v>
      </c>
    </row>
    <row r="456">
      <c r="A456" t="s">
        <v>1616</v>
      </c>
      <c r="B456" t="s">
        <v>1543</v>
      </c>
      <c r="C456" t="s">
        <v>1543</v>
      </c>
      <c r="D456" t="s">
        <v>1617</v>
      </c>
      <c r="E456" t="s">
        <v>1618</v>
      </c>
      <c r="F456" t="s">
        <v>298</v>
      </c>
      <c r="G456" t="s">
        <v>1605</v>
      </c>
      <c r="H456" t="s">
        <v>1487</v>
      </c>
      <c r="I456" t="s">
        <v>1619</v>
      </c>
      <c r="J456" t="s">
        <v>1620</v>
      </c>
      <c r="K456" t="s">
        <v>1621</v>
      </c>
      <c r="L456" t="s">
        <v>1506</v>
      </c>
      <c r="M456" s="37">
        <v>0.96</v>
      </c>
      <c r="N456" s="37">
        <v>0.6</v>
      </c>
      <c r="O456">
        <v>0.9599</v>
      </c>
      <c r="P456" s="37">
        <v>0.90075</v>
      </c>
      <c r="Q456">
        <v>0.89</v>
      </c>
      <c r="R456">
        <v>5000</v>
      </c>
      <c r="S456">
        <v>5037.63</v>
      </c>
      <c r="T456">
        <v>5000</v>
      </c>
      <c r="U456" t="s">
        <v>1162</v>
      </c>
      <c r="W456" s="38">
        <v>0.6</v>
      </c>
      <c r="X456">
        <v>60</v>
      </c>
      <c r="Y456" t="s">
        <v>1170</v>
      </c>
      <c r="Z456" s="37">
        <v>0.6</v>
      </c>
      <c r="AA456" s="37">
        <v>0.6</v>
      </c>
      <c r="AB456">
        <v>100</v>
      </c>
    </row>
    <row r="457">
      <c r="A457" t="s">
        <v>1616</v>
      </c>
      <c r="B457" t="s">
        <v>1543</v>
      </c>
      <c r="C457" t="s">
        <v>1543</v>
      </c>
      <c r="D457" t="s">
        <v>1617</v>
      </c>
      <c r="E457" t="s">
        <v>1618</v>
      </c>
      <c r="F457" t="s">
        <v>298</v>
      </c>
      <c r="G457" t="s">
        <v>1605</v>
      </c>
      <c r="H457" t="s">
        <v>1524</v>
      </c>
      <c r="I457" t="s">
        <v>1588</v>
      </c>
      <c r="J457" s="38">
        <v>0.04</v>
      </c>
      <c r="K457" s="37">
        <v>0.0393</v>
      </c>
      <c r="L457" t="s">
        <v>1506</v>
      </c>
      <c r="M457" s="37">
        <v>0.9825</v>
      </c>
      <c r="N457" s="37">
        <v>0.3</v>
      </c>
      <c r="O457">
        <v>0.9825</v>
      </c>
      <c r="P457" s="37">
        <v>0.90075</v>
      </c>
      <c r="Q457">
        <v>0.89</v>
      </c>
      <c r="R457">
        <v>5000</v>
      </c>
      <c r="S457">
        <v>5037.63</v>
      </c>
      <c r="T457">
        <v>5000</v>
      </c>
      <c r="U457" t="s">
        <v>1162</v>
      </c>
      <c r="W457" s="38">
        <v>0.6</v>
      </c>
      <c r="X457">
        <v>60</v>
      </c>
      <c r="Y457" t="s">
        <v>1170</v>
      </c>
      <c r="Z457" s="37">
        <v>0.6</v>
      </c>
      <c r="AA457" s="37">
        <v>0.6</v>
      </c>
      <c r="AB457">
        <v>100</v>
      </c>
    </row>
    <row r="458">
      <c r="A458" t="s">
        <v>1616</v>
      </c>
      <c r="B458" t="s">
        <v>1543</v>
      </c>
      <c r="C458" t="s">
        <v>1543</v>
      </c>
      <c r="D458" t="s">
        <v>1617</v>
      </c>
      <c r="E458" t="s">
        <v>1618</v>
      </c>
      <c r="F458" t="s">
        <v>298</v>
      </c>
      <c r="G458" t="s">
        <v>1605</v>
      </c>
      <c r="H458" t="s">
        <v>1526</v>
      </c>
      <c r="I458" t="s">
        <v>1622</v>
      </c>
      <c r="J458" s="38">
        <v>1</v>
      </c>
      <c r="K458" s="38">
        <v>0.3</v>
      </c>
      <c r="L458" t="s">
        <v>1506</v>
      </c>
      <c r="M458" s="37">
        <v>0.3</v>
      </c>
      <c r="N458" s="37">
        <v>0.1</v>
      </c>
      <c r="O458">
        <v>0.24</v>
      </c>
      <c r="P458" s="37">
        <v>0.90075</v>
      </c>
      <c r="Q458">
        <v>0.89</v>
      </c>
      <c r="R458">
        <v>5000</v>
      </c>
      <c r="S458">
        <v>5037.63</v>
      </c>
      <c r="T458">
        <v>5000</v>
      </c>
      <c r="U458" t="s">
        <v>1162</v>
      </c>
      <c r="W458" s="38">
        <v>0.6</v>
      </c>
      <c r="X458">
        <v>60</v>
      </c>
      <c r="Y458" t="s">
        <v>1170</v>
      </c>
      <c r="Z458" s="37">
        <v>0.6</v>
      </c>
      <c r="AA458" s="37">
        <v>0.6</v>
      </c>
      <c r="AB458">
        <v>100</v>
      </c>
    </row>
    <row r="459">
      <c r="A459" t="s">
        <v>1623</v>
      </c>
      <c r="B459" t="s">
        <v>1624</v>
      </c>
      <c r="C459" t="s">
        <v>1624</v>
      </c>
      <c r="D459" t="s">
        <v>1625</v>
      </c>
      <c r="E459" t="s">
        <v>1626</v>
      </c>
      <c r="F459" t="s">
        <v>298</v>
      </c>
      <c r="G459" t="s">
        <v>1627</v>
      </c>
      <c r="H459" t="s">
        <v>1628</v>
      </c>
      <c r="I459" t="s">
        <v>1629</v>
      </c>
      <c r="J459" t="s">
        <v>1630</v>
      </c>
      <c r="K459" t="s">
        <v>1631</v>
      </c>
      <c r="L459" t="s">
        <v>1506</v>
      </c>
      <c r="M459" s="37">
        <v>0.9</v>
      </c>
      <c r="N459" s="37">
        <v>0.3</v>
      </c>
      <c r="O459">
        <v>0.9</v>
      </c>
      <c r="P459" s="37">
        <v>0.925</v>
      </c>
      <c r="Q459">
        <v>0.93</v>
      </c>
      <c r="R459">
        <v>2693.59</v>
      </c>
      <c r="S459">
        <v>2693.59</v>
      </c>
      <c r="T459">
        <v>3000</v>
      </c>
      <c r="U459" t="s">
        <v>1162</v>
      </c>
      <c r="W459" s="38">
        <v>0.6</v>
      </c>
      <c r="X459">
        <v>60</v>
      </c>
      <c r="Y459" t="s">
        <v>1170</v>
      </c>
      <c r="Z459" s="37">
        <v>0.6</v>
      </c>
      <c r="AA459" s="37">
        <v>0.6</v>
      </c>
      <c r="AB459">
        <v>100</v>
      </c>
    </row>
    <row r="460">
      <c r="A460" t="s">
        <v>1623</v>
      </c>
      <c r="B460" t="s">
        <v>1624</v>
      </c>
      <c r="C460" t="s">
        <v>1624</v>
      </c>
      <c r="D460" t="s">
        <v>1625</v>
      </c>
      <c r="E460" t="s">
        <v>1626</v>
      </c>
      <c r="F460" t="s">
        <v>298</v>
      </c>
      <c r="G460" t="s">
        <v>1627</v>
      </c>
      <c r="H460" t="s">
        <v>1632</v>
      </c>
      <c r="I460" t="s">
        <v>1633</v>
      </c>
      <c r="J460" t="s">
        <v>1204</v>
      </c>
      <c r="K460" t="s">
        <v>1204</v>
      </c>
      <c r="L460" t="s">
        <v>1506</v>
      </c>
      <c r="M460" s="37">
        <v>1</v>
      </c>
      <c r="N460" s="37">
        <v>0.2</v>
      </c>
      <c r="O460">
        <v>1</v>
      </c>
      <c r="P460" s="37">
        <v>0.925</v>
      </c>
      <c r="Q460">
        <v>0.93</v>
      </c>
      <c r="R460">
        <v>2693.59</v>
      </c>
      <c r="S460">
        <v>2693.59</v>
      </c>
      <c r="T460">
        <v>3000</v>
      </c>
      <c r="U460" t="s">
        <v>1162</v>
      </c>
      <c r="W460" s="38">
        <v>0.6</v>
      </c>
      <c r="X460">
        <v>60</v>
      </c>
      <c r="Y460" t="s">
        <v>1170</v>
      </c>
      <c r="Z460" s="37">
        <v>0.6</v>
      </c>
      <c r="AA460" s="37">
        <v>0.6</v>
      </c>
      <c r="AB460">
        <v>100</v>
      </c>
    </row>
    <row r="461">
      <c r="A461" t="s">
        <v>1623</v>
      </c>
      <c r="B461" t="s">
        <v>1624</v>
      </c>
      <c r="C461" t="s">
        <v>1624</v>
      </c>
      <c r="D461" t="s">
        <v>1625</v>
      </c>
      <c r="E461" t="s">
        <v>1626</v>
      </c>
      <c r="F461" t="s">
        <v>298</v>
      </c>
      <c r="G461" t="s">
        <v>1627</v>
      </c>
      <c r="H461" t="s">
        <v>1634</v>
      </c>
      <c r="I461" t="s">
        <v>1635</v>
      </c>
      <c r="J461" s="38">
        <v>1</v>
      </c>
      <c r="K461" s="38">
        <v>1</v>
      </c>
      <c r="L461" t="s">
        <v>1506</v>
      </c>
      <c r="M461" s="37">
        <v>1</v>
      </c>
      <c r="N461" s="37">
        <v>0.2</v>
      </c>
      <c r="O461">
        <v>1</v>
      </c>
      <c r="P461" s="37">
        <v>0.925</v>
      </c>
      <c r="Q461">
        <v>0.93</v>
      </c>
      <c r="R461">
        <v>2693.59</v>
      </c>
      <c r="S461">
        <v>2693.59</v>
      </c>
      <c r="T461">
        <v>3000</v>
      </c>
      <c r="U461" t="s">
        <v>1162</v>
      </c>
      <c r="W461" s="38">
        <v>0.6</v>
      </c>
      <c r="X461">
        <v>60</v>
      </c>
      <c r="Y461" t="s">
        <v>1170</v>
      </c>
      <c r="Z461" s="37">
        <v>0.6</v>
      </c>
      <c r="AA461" s="37">
        <v>0.6</v>
      </c>
      <c r="AB461">
        <v>100</v>
      </c>
    </row>
    <row r="462">
      <c r="A462" t="s">
        <v>1623</v>
      </c>
      <c r="B462" t="s">
        <v>1624</v>
      </c>
      <c r="C462" t="s">
        <v>1624</v>
      </c>
      <c r="D462" t="s">
        <v>1625</v>
      </c>
      <c r="E462" t="s">
        <v>1626</v>
      </c>
      <c r="F462" t="s">
        <v>298</v>
      </c>
      <c r="G462" t="s">
        <v>1627</v>
      </c>
      <c r="H462" t="s">
        <v>1636</v>
      </c>
      <c r="I462" t="s">
        <v>1637</v>
      </c>
      <c r="J462" t="s">
        <v>1638</v>
      </c>
      <c r="K462" s="38">
        <v>1</v>
      </c>
      <c r="L462">
        <v>8.05475</v>
      </c>
      <c r="M462" s="37">
        <v>0.85</v>
      </c>
      <c r="N462" s="37">
        <v>0.3</v>
      </c>
      <c r="O462">
        <v>0.85</v>
      </c>
      <c r="P462" s="37">
        <v>0.925</v>
      </c>
      <c r="Q462">
        <v>0.93</v>
      </c>
      <c r="R462">
        <v>2693.59</v>
      </c>
      <c r="S462">
        <v>2693.59</v>
      </c>
      <c r="T462">
        <v>3000</v>
      </c>
      <c r="U462" t="s">
        <v>1162</v>
      </c>
      <c r="W462" s="38">
        <v>0.6</v>
      </c>
      <c r="X462">
        <v>60</v>
      </c>
      <c r="Y462" t="s">
        <v>1170</v>
      </c>
      <c r="Z462" s="37">
        <v>0.6</v>
      </c>
      <c r="AA462" s="37">
        <v>0.6</v>
      </c>
      <c r="AB462">
        <v>100</v>
      </c>
    </row>
    <row r="463">
      <c r="A463" t="s">
        <v>1639</v>
      </c>
      <c r="B463" t="s">
        <v>1624</v>
      </c>
      <c r="C463" t="s">
        <v>1624</v>
      </c>
      <c r="D463" t="s">
        <v>1625</v>
      </c>
      <c r="E463" t="s">
        <v>1640</v>
      </c>
      <c r="F463" t="s">
        <v>298</v>
      </c>
      <c r="G463" t="s">
        <v>1627</v>
      </c>
      <c r="H463" t="s">
        <v>1636</v>
      </c>
      <c r="I463" t="s">
        <v>1641</v>
      </c>
      <c r="J463" t="s">
        <v>1638</v>
      </c>
      <c r="K463" s="38">
        <v>1</v>
      </c>
      <c r="L463" t="s">
        <v>1642</v>
      </c>
      <c r="M463" s="37">
        <v>0.9411</v>
      </c>
      <c r="N463" s="37">
        <v>0.3</v>
      </c>
      <c r="O463">
        <v>0.94</v>
      </c>
      <c r="P463" s="37">
        <v>0.95233</v>
      </c>
      <c r="Q463">
        <v>0.95</v>
      </c>
      <c r="R463">
        <v>3142.52</v>
      </c>
      <c r="S463">
        <v>3142.52</v>
      </c>
      <c r="T463">
        <v>3000</v>
      </c>
      <c r="U463" t="s">
        <v>1162</v>
      </c>
      <c r="W463" s="38">
        <v>0.6</v>
      </c>
      <c r="X463">
        <v>60</v>
      </c>
      <c r="Y463" t="s">
        <v>1170</v>
      </c>
      <c r="Z463" s="37">
        <v>0.6</v>
      </c>
      <c r="AA463" s="37">
        <v>0.6</v>
      </c>
      <c r="AB463">
        <v>100</v>
      </c>
    </row>
    <row r="464">
      <c r="A464" t="s">
        <v>1639</v>
      </c>
      <c r="B464" t="s">
        <v>1624</v>
      </c>
      <c r="C464" t="s">
        <v>1624</v>
      </c>
      <c r="D464" t="s">
        <v>1625</v>
      </c>
      <c r="E464" t="s">
        <v>1640</v>
      </c>
      <c r="F464" t="s">
        <v>298</v>
      </c>
      <c r="G464" t="s">
        <v>1627</v>
      </c>
      <c r="H464" t="s">
        <v>1628</v>
      </c>
      <c r="I464" t="s">
        <v>1643</v>
      </c>
      <c r="J464" t="s">
        <v>1630</v>
      </c>
      <c r="K464" t="s">
        <v>1631</v>
      </c>
      <c r="L464" t="s">
        <v>1644</v>
      </c>
      <c r="M464" s="37">
        <v>0.9</v>
      </c>
      <c r="N464" s="37">
        <v>0.3</v>
      </c>
      <c r="O464">
        <v>0.9</v>
      </c>
      <c r="P464" s="37">
        <v>0.95233</v>
      </c>
      <c r="Q464">
        <v>0.95</v>
      </c>
      <c r="R464">
        <v>3142.52</v>
      </c>
      <c r="S464">
        <v>3142.52</v>
      </c>
      <c r="T464">
        <v>3000</v>
      </c>
      <c r="U464" t="s">
        <v>1162</v>
      </c>
      <c r="W464" s="38">
        <v>0.6</v>
      </c>
      <c r="X464">
        <v>60</v>
      </c>
      <c r="Y464" t="s">
        <v>1170</v>
      </c>
      <c r="Z464" s="37">
        <v>0.6</v>
      </c>
      <c r="AA464" s="37">
        <v>0.6</v>
      </c>
      <c r="AB464">
        <v>100</v>
      </c>
    </row>
    <row r="465">
      <c r="A465" t="s">
        <v>1639</v>
      </c>
      <c r="B465" t="s">
        <v>1624</v>
      </c>
      <c r="C465" t="s">
        <v>1624</v>
      </c>
      <c r="D465" t="s">
        <v>1625</v>
      </c>
      <c r="E465" t="s">
        <v>1640</v>
      </c>
      <c r="F465" t="s">
        <v>298</v>
      </c>
      <c r="G465" t="s">
        <v>1627</v>
      </c>
      <c r="H465" t="s">
        <v>1632</v>
      </c>
      <c r="I465" t="s">
        <v>1645</v>
      </c>
      <c r="J465" t="s">
        <v>1204</v>
      </c>
      <c r="K465" t="s">
        <v>1646</v>
      </c>
      <c r="L465" t="s">
        <v>1647</v>
      </c>
      <c r="M465" s="37">
        <v>1</v>
      </c>
      <c r="N465" s="37">
        <v>0.2</v>
      </c>
      <c r="O465">
        <v>1</v>
      </c>
      <c r="P465" s="37">
        <v>0.95233</v>
      </c>
      <c r="Q465">
        <v>0.95</v>
      </c>
      <c r="R465">
        <v>3142.52</v>
      </c>
      <c r="S465">
        <v>3142.52</v>
      </c>
      <c r="T465">
        <v>3000</v>
      </c>
      <c r="U465" t="s">
        <v>1162</v>
      </c>
      <c r="W465" s="38">
        <v>0.6</v>
      </c>
      <c r="X465">
        <v>60</v>
      </c>
      <c r="Y465" t="s">
        <v>1170</v>
      </c>
      <c r="Z465" s="37">
        <v>0.6</v>
      </c>
      <c r="AA465" s="37">
        <v>0.6</v>
      </c>
      <c r="AB465">
        <v>100</v>
      </c>
    </row>
    <row r="466">
      <c r="A466" t="s">
        <v>1639</v>
      </c>
      <c r="B466" t="s">
        <v>1624</v>
      </c>
      <c r="C466" t="s">
        <v>1624</v>
      </c>
      <c r="D466" t="s">
        <v>1625</v>
      </c>
      <c r="E466" t="s">
        <v>1640</v>
      </c>
      <c r="F466" t="s">
        <v>298</v>
      </c>
      <c r="G466" t="s">
        <v>1627</v>
      </c>
      <c r="H466" t="s">
        <v>1634</v>
      </c>
      <c r="I466" t="s">
        <v>1648</v>
      </c>
      <c r="J466" s="38">
        <v>1</v>
      </c>
      <c r="K466" s="38">
        <v>1</v>
      </c>
      <c r="L466" t="s">
        <v>1649</v>
      </c>
      <c r="M466" s="37">
        <v>1</v>
      </c>
      <c r="N466" s="37">
        <v>0.2</v>
      </c>
      <c r="O466">
        <v>1</v>
      </c>
      <c r="P466" s="37">
        <v>0.95233</v>
      </c>
      <c r="Q466">
        <v>0.95</v>
      </c>
      <c r="R466">
        <v>3142.52</v>
      </c>
      <c r="S466">
        <v>3142.52</v>
      </c>
      <c r="T466">
        <v>3000</v>
      </c>
      <c r="U466" t="s">
        <v>1162</v>
      </c>
      <c r="W466" s="38">
        <v>0.6</v>
      </c>
      <c r="X466">
        <v>60</v>
      </c>
      <c r="Y466" t="s">
        <v>1170</v>
      </c>
      <c r="Z466" s="37">
        <v>0.6</v>
      </c>
      <c r="AA466" s="37">
        <v>0.6</v>
      </c>
      <c r="AB466">
        <v>100</v>
      </c>
    </row>
    <row r="467">
      <c r="A467" t="s">
        <v>1650</v>
      </c>
      <c r="B467" t="s">
        <v>1624</v>
      </c>
      <c r="C467" t="s">
        <v>1624</v>
      </c>
      <c r="D467" t="s">
        <v>1625</v>
      </c>
      <c r="E467" t="s">
        <v>1651</v>
      </c>
      <c r="F467" t="s">
        <v>298</v>
      </c>
      <c r="G467" t="s">
        <v>1627</v>
      </c>
      <c r="H467" t="s">
        <v>1652</v>
      </c>
      <c r="I467" t="s">
        <v>1653</v>
      </c>
      <c r="J467" s="38">
        <v>0.6</v>
      </c>
      <c r="K467" s="38">
        <v>1</v>
      </c>
      <c r="L467" t="s">
        <v>1654</v>
      </c>
      <c r="M467" s="37">
        <v>0.8462</v>
      </c>
      <c r="N467" s="37">
        <v>0.2</v>
      </c>
      <c r="O467">
        <v>1</v>
      </c>
      <c r="P467" s="37">
        <v>0.92684</v>
      </c>
      <c r="Q467">
        <v>0.96</v>
      </c>
      <c r="R467">
        <v>3292.16</v>
      </c>
      <c r="S467">
        <v>3292.16</v>
      </c>
      <c r="T467">
        <v>3000</v>
      </c>
      <c r="U467" t="s">
        <v>1162</v>
      </c>
      <c r="W467" s="38">
        <v>0.6</v>
      </c>
      <c r="X467">
        <v>60</v>
      </c>
      <c r="Y467" t="s">
        <v>1170</v>
      </c>
      <c r="Z467" s="37">
        <v>0.6</v>
      </c>
      <c r="AA467" s="37">
        <v>0.6</v>
      </c>
      <c r="AB467">
        <v>100</v>
      </c>
    </row>
    <row r="468">
      <c r="A468" t="s">
        <v>1650</v>
      </c>
      <c r="B468" t="s">
        <v>1624</v>
      </c>
      <c r="C468" t="s">
        <v>1624</v>
      </c>
      <c r="D468" t="s">
        <v>1625</v>
      </c>
      <c r="E468" t="s">
        <v>1651</v>
      </c>
      <c r="F468" t="s">
        <v>298</v>
      </c>
      <c r="G468" t="s">
        <v>1627</v>
      </c>
      <c r="H468" t="s">
        <v>1655</v>
      </c>
      <c r="I468" t="s">
        <v>1656</v>
      </c>
      <c r="J468" s="38">
        <v>0.02</v>
      </c>
      <c r="K468" t="s">
        <v>1657</v>
      </c>
      <c r="L468" t="s">
        <v>1654</v>
      </c>
      <c r="M468" s="37">
        <v>1</v>
      </c>
      <c r="N468" s="37">
        <v>0.1</v>
      </c>
      <c r="O468">
        <v>1</v>
      </c>
      <c r="P468" s="37">
        <v>0.92684</v>
      </c>
      <c r="Q468">
        <v>0.96</v>
      </c>
      <c r="R468">
        <v>3292.16</v>
      </c>
      <c r="S468">
        <v>3292.16</v>
      </c>
      <c r="T468">
        <v>3000</v>
      </c>
      <c r="U468" t="s">
        <v>1162</v>
      </c>
      <c r="W468" s="38">
        <v>0.6</v>
      </c>
      <c r="X468">
        <v>60</v>
      </c>
      <c r="Y468" t="s">
        <v>1170</v>
      </c>
      <c r="Z468" s="37">
        <v>0.6</v>
      </c>
      <c r="AA468" s="37">
        <v>0.6</v>
      </c>
      <c r="AB468">
        <v>100</v>
      </c>
    </row>
    <row r="469">
      <c r="A469" t="s">
        <v>1650</v>
      </c>
      <c r="B469" t="s">
        <v>1624</v>
      </c>
      <c r="C469" t="s">
        <v>1624</v>
      </c>
      <c r="D469" t="s">
        <v>1625</v>
      </c>
      <c r="E469" t="s">
        <v>1651</v>
      </c>
      <c r="F469" t="s">
        <v>298</v>
      </c>
      <c r="G469" t="s">
        <v>1627</v>
      </c>
      <c r="H469" t="s">
        <v>1658</v>
      </c>
      <c r="I469" t="s">
        <v>1659</v>
      </c>
      <c r="J469" s="38">
        <v>1</v>
      </c>
      <c r="K469" t="s">
        <v>1657</v>
      </c>
      <c r="L469" t="s">
        <v>1660</v>
      </c>
      <c r="M469" s="37">
        <v>0.956</v>
      </c>
      <c r="N469" s="37">
        <v>0.2</v>
      </c>
      <c r="O469">
        <v>0.956</v>
      </c>
      <c r="P469" s="37">
        <v>0.92684</v>
      </c>
      <c r="Q469">
        <v>0.96</v>
      </c>
      <c r="R469">
        <v>3292.16</v>
      </c>
      <c r="S469">
        <v>3292.16</v>
      </c>
      <c r="T469">
        <v>3000</v>
      </c>
      <c r="U469" t="s">
        <v>1162</v>
      </c>
      <c r="W469" s="38">
        <v>0.6</v>
      </c>
      <c r="X469">
        <v>60</v>
      </c>
      <c r="Y469" t="s">
        <v>1170</v>
      </c>
      <c r="Z469" s="37">
        <v>0.6</v>
      </c>
      <c r="AA469" s="37">
        <v>0.6</v>
      </c>
      <c r="AB469">
        <v>100</v>
      </c>
    </row>
    <row r="470">
      <c r="A470" t="s">
        <v>1650</v>
      </c>
      <c r="B470" t="s">
        <v>1624</v>
      </c>
      <c r="C470" t="s">
        <v>1624</v>
      </c>
      <c r="D470" t="s">
        <v>1625</v>
      </c>
      <c r="E470" t="s">
        <v>1651</v>
      </c>
      <c r="F470" t="s">
        <v>298</v>
      </c>
      <c r="G470" t="s">
        <v>1627</v>
      </c>
      <c r="H470" t="s">
        <v>1661</v>
      </c>
      <c r="I470" t="s">
        <v>1662</v>
      </c>
      <c r="J470" t="s">
        <v>817</v>
      </c>
      <c r="K470" t="s">
        <v>817</v>
      </c>
      <c r="L470" t="s">
        <v>1663</v>
      </c>
      <c r="M470" s="37">
        <v>1</v>
      </c>
      <c r="N470" s="37">
        <v>0.2</v>
      </c>
      <c r="O470">
        <v>1</v>
      </c>
      <c r="P470" s="37">
        <v>0.92684</v>
      </c>
      <c r="Q470">
        <v>0.96</v>
      </c>
      <c r="R470">
        <v>3292.16</v>
      </c>
      <c r="S470">
        <v>3292.16</v>
      </c>
      <c r="T470">
        <v>3000</v>
      </c>
      <c r="U470" t="s">
        <v>1162</v>
      </c>
      <c r="W470" s="38">
        <v>0.6</v>
      </c>
      <c r="X470">
        <v>60</v>
      </c>
      <c r="Y470" t="s">
        <v>1170</v>
      </c>
      <c r="Z470" s="37">
        <v>0.6</v>
      </c>
      <c r="AA470" s="37">
        <v>0.6</v>
      </c>
      <c r="AB470">
        <v>100</v>
      </c>
    </row>
    <row r="471">
      <c r="A471" t="s">
        <v>1650</v>
      </c>
      <c r="B471" t="s">
        <v>1624</v>
      </c>
      <c r="C471" t="s">
        <v>1624</v>
      </c>
      <c r="D471" t="s">
        <v>1625</v>
      </c>
      <c r="E471" t="s">
        <v>1651</v>
      </c>
      <c r="F471" t="s">
        <v>298</v>
      </c>
      <c r="G471" t="s">
        <v>1627</v>
      </c>
      <c r="H471" t="s">
        <v>1636</v>
      </c>
      <c r="I471" t="s">
        <v>1664</v>
      </c>
      <c r="J471" s="38">
        <v>1</v>
      </c>
      <c r="K471" t="s">
        <v>817</v>
      </c>
      <c r="L471">
        <f t="shared" ref="L471:L472" si="0">(7.88*0.3+7.94*0.3+7.55*0.2+7.06*0.2)*1.1/9.5=0.888</f>
      </c>
      <c r="M471" s="37">
        <v>0.888</v>
      </c>
      <c r="N471" s="37">
        <v>0.3</v>
      </c>
      <c r="O471">
        <v>0.888</v>
      </c>
      <c r="P471" s="37">
        <v>0.92684</v>
      </c>
      <c r="Q471">
        <v>0.96</v>
      </c>
      <c r="R471">
        <v>3292.16</v>
      </c>
      <c r="S471">
        <v>3292.16</v>
      </c>
      <c r="T471">
        <v>3000</v>
      </c>
      <c r="U471" t="s">
        <v>1162</v>
      </c>
      <c r="W471" s="38">
        <v>0.6</v>
      </c>
      <c r="X471">
        <v>60</v>
      </c>
      <c r="Y471" t="s">
        <v>1170</v>
      </c>
      <c r="Z471" s="37">
        <v>0.6</v>
      </c>
      <c r="AA471" s="37">
        <v>0.6</v>
      </c>
      <c r="AB471">
        <v>100</v>
      </c>
    </row>
    <row r="472">
      <c r="A472" t="s">
        <v>1665</v>
      </c>
      <c r="B472" t="s">
        <v>1624</v>
      </c>
      <c r="C472" t="s">
        <v>1624</v>
      </c>
      <c r="D472" t="s">
        <v>359</v>
      </c>
      <c r="E472" t="s">
        <v>1666</v>
      </c>
      <c r="F472" t="s">
        <v>298</v>
      </c>
      <c r="G472" t="s">
        <v>1627</v>
      </c>
      <c r="H472" t="s">
        <v>1661</v>
      </c>
      <c r="I472" t="s">
        <v>1667</v>
      </c>
      <c r="J472">
        <v>0</v>
      </c>
      <c r="K472" s="38">
        <v>1</v>
      </c>
      <c r="L472">
        <f t="shared" si="0"/>
      </c>
      <c r="M472" s="37">
        <v>1</v>
      </c>
      <c r="N472" s="37">
        <v>0.2</v>
      </c>
      <c r="O472">
        <v>1</v>
      </c>
      <c r="P472" s="37">
        <v>1.115967</v>
      </c>
      <c r="Q472">
        <v>0.96</v>
      </c>
      <c r="R472">
        <v>5736.34</v>
      </c>
      <c r="S472">
        <v>5736.34</v>
      </c>
      <c r="T472">
        <v>5000</v>
      </c>
      <c r="U472" t="s">
        <v>1162</v>
      </c>
      <c r="W472" s="38">
        <v>0.6</v>
      </c>
      <c r="X472">
        <v>60</v>
      </c>
      <c r="Y472" t="s">
        <v>1170</v>
      </c>
      <c r="Z472" s="37">
        <v>0.6</v>
      </c>
      <c r="AA472" s="37">
        <v>0.6</v>
      </c>
      <c r="AB472">
        <v>100</v>
      </c>
    </row>
    <row r="473">
      <c r="A473" t="s">
        <v>1665</v>
      </c>
      <c r="B473" t="s">
        <v>1624</v>
      </c>
      <c r="C473" t="s">
        <v>1624</v>
      </c>
      <c r="D473" t="s">
        <v>359</v>
      </c>
      <c r="E473" t="s">
        <v>1666</v>
      </c>
      <c r="F473" t="s">
        <v>298</v>
      </c>
      <c r="G473" t="s">
        <v>1627</v>
      </c>
      <c r="H473" t="s">
        <v>1658</v>
      </c>
      <c r="I473" t="s">
        <v>1668</v>
      </c>
      <c r="J473">
        <v>100</v>
      </c>
      <c r="K473" s="38">
        <v>1</v>
      </c>
      <c r="L473" t="s">
        <v>1669</v>
      </c>
      <c r="M473" s="37">
        <v>1.51</v>
      </c>
      <c r="N473" s="37">
        <v>0.2</v>
      </c>
      <c r="O473">
        <v>1</v>
      </c>
      <c r="P473" s="37">
        <v>1.115967</v>
      </c>
      <c r="Q473">
        <v>0.96</v>
      </c>
      <c r="R473">
        <v>5736.34</v>
      </c>
      <c r="S473">
        <v>5736.34</v>
      </c>
      <c r="T473">
        <v>5000</v>
      </c>
      <c r="U473" t="s">
        <v>1162</v>
      </c>
      <c r="W473" s="38">
        <v>0.6</v>
      </c>
      <c r="X473">
        <v>60</v>
      </c>
      <c r="Y473" t="s">
        <v>1170</v>
      </c>
      <c r="Z473" s="37">
        <v>0.6</v>
      </c>
      <c r="AA473" s="37">
        <v>0.6</v>
      </c>
      <c r="AB473">
        <v>100</v>
      </c>
    </row>
    <row r="474">
      <c r="A474" t="s">
        <v>1665</v>
      </c>
      <c r="B474" t="s">
        <v>1624</v>
      </c>
      <c r="C474" t="s">
        <v>1624</v>
      </c>
      <c r="D474" t="s">
        <v>359</v>
      </c>
      <c r="E474" t="s">
        <v>1666</v>
      </c>
      <c r="F474" t="s">
        <v>298</v>
      </c>
      <c r="G474" t="s">
        <v>1627</v>
      </c>
      <c r="H474" t="s">
        <v>1655</v>
      </c>
      <c r="I474" t="s">
        <v>1670</v>
      </c>
      <c r="J474" s="38">
        <v>0.03</v>
      </c>
      <c r="K474" t="s">
        <v>1671</v>
      </c>
      <c r="L474" t="s">
        <v>1672</v>
      </c>
      <c r="M474" s="37">
        <v>1.496667</v>
      </c>
      <c r="N474" s="37">
        <v>0.1</v>
      </c>
      <c r="O474">
        <v>1</v>
      </c>
      <c r="P474" s="37">
        <v>1.115967</v>
      </c>
      <c r="Q474">
        <v>0.96</v>
      </c>
      <c r="R474">
        <v>5736.34</v>
      </c>
      <c r="S474">
        <v>5736.34</v>
      </c>
      <c r="T474">
        <v>5000</v>
      </c>
      <c r="U474" t="s">
        <v>1162</v>
      </c>
      <c r="W474" s="38">
        <v>0.6</v>
      </c>
      <c r="X474">
        <v>60</v>
      </c>
      <c r="Y474" t="s">
        <v>1170</v>
      </c>
      <c r="Z474" s="37">
        <v>0.6</v>
      </c>
      <c r="AA474" s="37">
        <v>0.6</v>
      </c>
      <c r="AB474">
        <v>100</v>
      </c>
    </row>
    <row r="475">
      <c r="A475" t="s">
        <v>1665</v>
      </c>
      <c r="B475" t="s">
        <v>1624</v>
      </c>
      <c r="C475" t="s">
        <v>1624</v>
      </c>
      <c r="D475" t="s">
        <v>359</v>
      </c>
      <c r="E475" t="s">
        <v>1666</v>
      </c>
      <c r="F475" t="s">
        <v>298</v>
      </c>
      <c r="G475" t="s">
        <v>1627</v>
      </c>
      <c r="H475" t="s">
        <v>1652</v>
      </c>
      <c r="I475" t="s">
        <v>1673</v>
      </c>
      <c r="J475" s="38">
        <v>0.4</v>
      </c>
      <c r="K475" t="s">
        <v>521</v>
      </c>
      <c r="L475" t="s">
        <v>1674</v>
      </c>
      <c r="M475" s="37">
        <v>1</v>
      </c>
      <c r="N475" s="37">
        <v>0.2</v>
      </c>
      <c r="O475">
        <v>1</v>
      </c>
      <c r="P475" s="37">
        <v>1.115967</v>
      </c>
      <c r="Q475">
        <v>0.96</v>
      </c>
      <c r="R475">
        <v>5736.34</v>
      </c>
      <c r="S475">
        <v>5736.34</v>
      </c>
      <c r="T475">
        <v>5000</v>
      </c>
      <c r="U475" t="s">
        <v>1162</v>
      </c>
      <c r="W475" s="38">
        <v>0.6</v>
      </c>
      <c r="X475">
        <v>60</v>
      </c>
      <c r="Y475" t="s">
        <v>1170</v>
      </c>
      <c r="Z475" s="37">
        <v>0.6</v>
      </c>
      <c r="AA475" s="37">
        <v>0.6</v>
      </c>
      <c r="AB475">
        <v>100</v>
      </c>
    </row>
    <row r="476">
      <c r="A476" t="s">
        <v>1665</v>
      </c>
      <c r="B476" t="s">
        <v>1624</v>
      </c>
      <c r="C476" t="s">
        <v>1624</v>
      </c>
      <c r="D476" t="s">
        <v>359</v>
      </c>
      <c r="E476" t="s">
        <v>1666</v>
      </c>
      <c r="F476" t="s">
        <v>298</v>
      </c>
      <c r="G476" t="s">
        <v>1627</v>
      </c>
      <c r="H476" t="s">
        <v>1636</v>
      </c>
      <c r="I476" t="s">
        <v>1675</v>
      </c>
      <c r="J476" t="s">
        <v>1638</v>
      </c>
      <c r="K476" t="s">
        <v>521</v>
      </c>
      <c r="L476" t="s">
        <v>1676</v>
      </c>
      <c r="M476" s="37">
        <v>0.881</v>
      </c>
      <c r="N476" s="37">
        <v>0.3</v>
      </c>
      <c r="O476">
        <v>0.881</v>
      </c>
      <c r="P476" s="37">
        <v>1.115967</v>
      </c>
      <c r="Q476">
        <v>0.96</v>
      </c>
      <c r="R476">
        <v>5736.34</v>
      </c>
      <c r="S476">
        <v>5736.34</v>
      </c>
      <c r="T476">
        <v>5000</v>
      </c>
      <c r="U476" t="s">
        <v>1162</v>
      </c>
      <c r="W476" s="38">
        <v>0.6</v>
      </c>
      <c r="X476">
        <v>60</v>
      </c>
      <c r="Y476" t="s">
        <v>1170</v>
      </c>
      <c r="Z476" s="37">
        <v>0.6</v>
      </c>
      <c r="AA476" s="37">
        <v>0.6</v>
      </c>
      <c r="AB476">
        <v>100</v>
      </c>
    </row>
    <row r="477">
      <c r="A477" t="s">
        <v>1677</v>
      </c>
      <c r="B477" t="s">
        <v>1624</v>
      </c>
      <c r="C477" t="s">
        <v>1624</v>
      </c>
      <c r="D477" t="s">
        <v>1625</v>
      </c>
      <c r="E477" t="s">
        <v>1678</v>
      </c>
      <c r="F477" t="s">
        <v>298</v>
      </c>
      <c r="G477" t="s">
        <v>1627</v>
      </c>
      <c r="H477" t="s">
        <v>1679</v>
      </c>
      <c r="I477" t="s">
        <v>1680</v>
      </c>
      <c r="J477" s="38">
        <v>1</v>
      </c>
      <c r="K477" t="s">
        <v>521</v>
      </c>
      <c r="L477" t="s">
        <v>1681</v>
      </c>
      <c r="M477" s="37">
        <v>1</v>
      </c>
      <c r="N477" s="37">
        <v>0.1</v>
      </c>
      <c r="O477">
        <v>1</v>
      </c>
      <c r="P477" s="37">
        <v>1.01138</v>
      </c>
      <c r="Q477">
        <v>0.95</v>
      </c>
      <c r="R477">
        <v>1895.49</v>
      </c>
      <c r="S477">
        <v>1895.49</v>
      </c>
      <c r="T477">
        <v>2000</v>
      </c>
      <c r="U477" t="s">
        <v>1162</v>
      </c>
      <c r="W477" s="38">
        <v>0.6</v>
      </c>
      <c r="X477">
        <v>60</v>
      </c>
      <c r="Y477" t="s">
        <v>1170</v>
      </c>
      <c r="Z477" s="37">
        <v>0.6</v>
      </c>
      <c r="AA477" s="37">
        <v>0.6</v>
      </c>
      <c r="AB477">
        <v>100</v>
      </c>
    </row>
    <row r="478">
      <c r="A478" t="s">
        <v>1677</v>
      </c>
      <c r="B478" t="s">
        <v>1624</v>
      </c>
      <c r="C478" t="s">
        <v>1624</v>
      </c>
      <c r="D478" t="s">
        <v>1625</v>
      </c>
      <c r="E478" t="s">
        <v>1678</v>
      </c>
      <c r="F478" t="s">
        <v>298</v>
      </c>
      <c r="G478" t="s">
        <v>1627</v>
      </c>
      <c r="H478" t="s">
        <v>1682</v>
      </c>
      <c r="I478" t="s">
        <v>1683</v>
      </c>
      <c r="J478" s="38">
        <v>0.3</v>
      </c>
      <c r="K478" s="37">
        <v>0.3095</v>
      </c>
      <c r="L478" t="s">
        <v>1684</v>
      </c>
      <c r="M478" s="37">
        <v>1.03</v>
      </c>
      <c r="N478" s="37">
        <v>0.05</v>
      </c>
      <c r="O478">
        <v>1</v>
      </c>
      <c r="P478" s="37">
        <v>1.01138</v>
      </c>
      <c r="Q478">
        <v>0.95</v>
      </c>
      <c r="R478">
        <v>1895.49</v>
      </c>
      <c r="S478">
        <v>1895.49</v>
      </c>
      <c r="T478">
        <v>2000</v>
      </c>
      <c r="U478" t="s">
        <v>1162</v>
      </c>
      <c r="W478" s="38">
        <v>0.6</v>
      </c>
      <c r="X478">
        <v>60</v>
      </c>
      <c r="Y478" t="s">
        <v>1170</v>
      </c>
      <c r="Z478" s="37">
        <v>0.6</v>
      </c>
      <c r="AA478" s="37">
        <v>0.6</v>
      </c>
      <c r="AB478">
        <v>100</v>
      </c>
    </row>
    <row r="479">
      <c r="A479" t="s">
        <v>1677</v>
      </c>
      <c r="B479" t="s">
        <v>1624</v>
      </c>
      <c r="C479" t="s">
        <v>1624</v>
      </c>
      <c r="D479" t="s">
        <v>1625</v>
      </c>
      <c r="E479" t="s">
        <v>1678</v>
      </c>
      <c r="F479" t="s">
        <v>298</v>
      </c>
      <c r="G479" t="s">
        <v>1627</v>
      </c>
      <c r="H479" t="s">
        <v>1682</v>
      </c>
      <c r="I479" t="s">
        <v>1685</v>
      </c>
      <c r="J479" s="38">
        <v>0.2</v>
      </c>
      <c r="K479" s="37">
        <v>0.2419</v>
      </c>
      <c r="L479" t="s">
        <v>1686</v>
      </c>
      <c r="M479" s="37">
        <v>1.2</v>
      </c>
      <c r="N479" s="37">
        <v>0.05</v>
      </c>
      <c r="O479">
        <v>1</v>
      </c>
      <c r="P479" s="37">
        <v>1.01138</v>
      </c>
      <c r="Q479">
        <v>0.95</v>
      </c>
      <c r="R479">
        <v>1895.49</v>
      </c>
      <c r="S479">
        <v>1895.49</v>
      </c>
      <c r="T479">
        <v>2000</v>
      </c>
      <c r="U479" t="s">
        <v>1162</v>
      </c>
      <c r="W479" s="38">
        <v>0.6</v>
      </c>
      <c r="X479">
        <v>60</v>
      </c>
      <c r="Y479" t="s">
        <v>1170</v>
      </c>
      <c r="Z479" s="37">
        <v>0.6</v>
      </c>
      <c r="AA479" s="37">
        <v>0.6</v>
      </c>
      <c r="AB479">
        <v>100</v>
      </c>
    </row>
    <row r="480">
      <c r="A480" t="s">
        <v>1677</v>
      </c>
      <c r="B480" t="s">
        <v>1624</v>
      </c>
      <c r="C480" t="s">
        <v>1624</v>
      </c>
      <c r="D480" t="s">
        <v>1625</v>
      </c>
      <c r="E480" t="s">
        <v>1678</v>
      </c>
      <c r="F480" t="s">
        <v>298</v>
      </c>
      <c r="G480" t="s">
        <v>1627</v>
      </c>
      <c r="H480" t="s">
        <v>1652</v>
      </c>
      <c r="I480" t="s">
        <v>1687</v>
      </c>
      <c r="J480" s="38">
        <v>0.3</v>
      </c>
      <c r="K480" s="37">
        <v>0.3529</v>
      </c>
      <c r="L480" t="s">
        <v>1688</v>
      </c>
      <c r="M480" s="37">
        <v>1.17</v>
      </c>
      <c r="N480" s="37">
        <v>0.2</v>
      </c>
      <c r="O480">
        <v>1</v>
      </c>
      <c r="P480" s="37">
        <v>1.01138</v>
      </c>
      <c r="Q480">
        <v>0.95</v>
      </c>
      <c r="R480">
        <v>1895.49</v>
      </c>
      <c r="S480">
        <v>1895.49</v>
      </c>
      <c r="T480">
        <v>2000</v>
      </c>
      <c r="U480" t="s">
        <v>1162</v>
      </c>
      <c r="W480" s="38">
        <v>0.6</v>
      </c>
      <c r="X480">
        <v>60</v>
      </c>
      <c r="Y480" t="s">
        <v>1170</v>
      </c>
      <c r="Z480" s="37">
        <v>0.6</v>
      </c>
      <c r="AA480" s="37">
        <v>0.6</v>
      </c>
      <c r="AB480">
        <v>100</v>
      </c>
    </row>
    <row r="481">
      <c r="A481" t="s">
        <v>1677</v>
      </c>
      <c r="B481" t="s">
        <v>1624</v>
      </c>
      <c r="C481" t="s">
        <v>1624</v>
      </c>
      <c r="D481" t="s">
        <v>1625</v>
      </c>
      <c r="E481" t="s">
        <v>1678</v>
      </c>
      <c r="F481" t="s">
        <v>298</v>
      </c>
      <c r="G481" t="s">
        <v>1627</v>
      </c>
      <c r="H481" t="s">
        <v>1658</v>
      </c>
      <c r="I481" t="s">
        <v>1689</v>
      </c>
      <c r="J481" s="38">
        <v>1</v>
      </c>
      <c r="K481" s="37">
        <v>0.3529</v>
      </c>
      <c r="L481" t="s">
        <v>1690</v>
      </c>
      <c r="M481" s="37">
        <v>1.08</v>
      </c>
      <c r="N481" s="37">
        <v>0.2</v>
      </c>
      <c r="O481">
        <v>1</v>
      </c>
      <c r="P481" s="37">
        <v>1.01138</v>
      </c>
      <c r="Q481">
        <v>0.95</v>
      </c>
      <c r="R481">
        <v>1895.49</v>
      </c>
      <c r="S481">
        <v>1895.49</v>
      </c>
      <c r="T481">
        <v>2000</v>
      </c>
      <c r="U481" t="s">
        <v>1162</v>
      </c>
      <c r="W481" s="38">
        <v>0.6</v>
      </c>
      <c r="X481">
        <v>60</v>
      </c>
      <c r="Y481" t="s">
        <v>1170</v>
      </c>
      <c r="Z481" s="37">
        <v>0.6</v>
      </c>
      <c r="AA481" s="37">
        <v>0.6</v>
      </c>
      <c r="AB481">
        <v>100</v>
      </c>
    </row>
    <row r="482">
      <c r="A482" t="s">
        <v>1677</v>
      </c>
      <c r="B482" t="s">
        <v>1624</v>
      </c>
      <c r="C482" t="s">
        <v>1624</v>
      </c>
      <c r="D482" t="s">
        <v>1625</v>
      </c>
      <c r="E482" t="s">
        <v>1678</v>
      </c>
      <c r="F482" t="s">
        <v>298</v>
      </c>
      <c r="G482" t="s">
        <v>1627</v>
      </c>
      <c r="H482" t="s">
        <v>1679</v>
      </c>
      <c r="I482" t="s">
        <v>1691</v>
      </c>
      <c r="J482" s="38">
        <v>1</v>
      </c>
      <c r="K482" t="s">
        <v>1692</v>
      </c>
      <c r="L482" t="s">
        <v>1693</v>
      </c>
      <c r="M482" s="37">
        <v>0.8747</v>
      </c>
      <c r="N482" s="37">
        <v>0.4</v>
      </c>
      <c r="O482">
        <v>0.875</v>
      </c>
      <c r="P482" s="37">
        <v>1.01138</v>
      </c>
      <c r="Q482">
        <v>0.95</v>
      </c>
      <c r="R482">
        <v>1895.49</v>
      </c>
      <c r="S482">
        <v>1895.49</v>
      </c>
      <c r="T482">
        <v>2000</v>
      </c>
      <c r="U482" t="s">
        <v>1162</v>
      </c>
      <c r="W482" s="38">
        <v>0.6</v>
      </c>
      <c r="X482">
        <v>60</v>
      </c>
      <c r="Y482" t="s">
        <v>1170</v>
      </c>
      <c r="Z482" s="37">
        <v>0.6</v>
      </c>
      <c r="AA482" s="37">
        <v>0.6</v>
      </c>
      <c r="AB482">
        <v>100</v>
      </c>
    </row>
    <row r="483">
      <c r="A483" t="s">
        <v>1694</v>
      </c>
      <c r="B483" t="s">
        <v>1624</v>
      </c>
      <c r="C483" t="s">
        <v>1624</v>
      </c>
      <c r="D483" t="s">
        <v>359</v>
      </c>
      <c r="E483" t="s">
        <v>1695</v>
      </c>
      <c r="F483" t="s">
        <v>298</v>
      </c>
      <c r="G483" t="s">
        <v>1627</v>
      </c>
      <c r="H483" t="s">
        <v>1636</v>
      </c>
      <c r="I483" t="s">
        <v>1696</v>
      </c>
      <c r="J483" t="s">
        <v>1638</v>
      </c>
      <c r="K483" t="s">
        <v>1692</v>
      </c>
      <c r="L483" t="s">
        <v>1697</v>
      </c>
      <c r="M483" s="37">
        <v>0.8214</v>
      </c>
      <c r="N483" s="37">
        <v>0.3</v>
      </c>
      <c r="O483">
        <v>0.82</v>
      </c>
      <c r="P483" s="37">
        <v>0.89089</v>
      </c>
      <c r="Q483">
        <v>0.86</v>
      </c>
      <c r="R483">
        <v>4239.9</v>
      </c>
      <c r="S483">
        <v>4239.9</v>
      </c>
      <c r="T483">
        <v>5000</v>
      </c>
      <c r="U483" t="s">
        <v>1162</v>
      </c>
      <c r="W483" s="38">
        <v>0.6</v>
      </c>
      <c r="X483">
        <v>60</v>
      </c>
      <c r="Y483" t="s">
        <v>1170</v>
      </c>
      <c r="Z483" s="37">
        <v>0.6</v>
      </c>
      <c r="AA483" s="37">
        <v>0.6</v>
      </c>
      <c r="AB483">
        <v>100</v>
      </c>
    </row>
    <row r="484">
      <c r="A484" t="s">
        <v>1694</v>
      </c>
      <c r="B484" t="s">
        <v>1624</v>
      </c>
      <c r="C484" t="s">
        <v>1624</v>
      </c>
      <c r="D484" t="s">
        <v>359</v>
      </c>
      <c r="E484" t="s">
        <v>1695</v>
      </c>
      <c r="F484" t="s">
        <v>298</v>
      </c>
      <c r="G484" t="s">
        <v>1627</v>
      </c>
      <c r="H484" t="s">
        <v>1661</v>
      </c>
      <c r="I484" t="s">
        <v>1698</v>
      </c>
      <c r="J484">
        <v>0</v>
      </c>
      <c r="K484">
        <v>80</v>
      </c>
      <c r="L484" t="s">
        <v>1699</v>
      </c>
      <c r="M484" s="37">
        <v>0.8</v>
      </c>
      <c r="N484" s="37">
        <v>0.2</v>
      </c>
      <c r="O484">
        <v>0.8</v>
      </c>
      <c r="P484" s="37">
        <v>0.89089</v>
      </c>
      <c r="Q484">
        <v>0.86</v>
      </c>
      <c r="R484">
        <v>4239.9</v>
      </c>
      <c r="S484">
        <v>4239.9</v>
      </c>
      <c r="T484">
        <v>5000</v>
      </c>
      <c r="U484" t="s">
        <v>1162</v>
      </c>
      <c r="W484" s="38">
        <v>0.6</v>
      </c>
      <c r="X484">
        <v>60</v>
      </c>
      <c r="Y484" t="s">
        <v>1170</v>
      </c>
      <c r="Z484" s="37">
        <v>0.6</v>
      </c>
      <c r="AA484" s="37">
        <v>0.6</v>
      </c>
      <c r="AB484">
        <v>100</v>
      </c>
    </row>
    <row r="485">
      <c r="A485" t="s">
        <v>1694</v>
      </c>
      <c r="B485" t="s">
        <v>1624</v>
      </c>
      <c r="C485" t="s">
        <v>1624</v>
      </c>
      <c r="D485" t="s">
        <v>359</v>
      </c>
      <c r="E485" t="s">
        <v>1695</v>
      </c>
      <c r="F485" t="s">
        <v>298</v>
      </c>
      <c r="G485" t="s">
        <v>1627</v>
      </c>
      <c r="H485" t="s">
        <v>1652</v>
      </c>
      <c r="I485" t="s">
        <v>1700</v>
      </c>
      <c r="J485" s="38">
        <v>0.6</v>
      </c>
      <c r="K485" t="s">
        <v>1701</v>
      </c>
      <c r="L485" t="s">
        <v>1702</v>
      </c>
      <c r="M485" s="37">
        <v>0.8333</v>
      </c>
      <c r="N485" s="37">
        <v>0.2</v>
      </c>
      <c r="O485">
        <v>0.83</v>
      </c>
      <c r="P485" s="37">
        <v>0.89089</v>
      </c>
      <c r="Q485">
        <v>0.86</v>
      </c>
      <c r="R485">
        <v>4239.9</v>
      </c>
      <c r="S485">
        <v>4239.9</v>
      </c>
      <c r="T485">
        <v>5000</v>
      </c>
      <c r="U485" t="s">
        <v>1162</v>
      </c>
      <c r="W485" s="38">
        <v>0.6</v>
      </c>
      <c r="X485">
        <v>60</v>
      </c>
      <c r="Y485" t="s">
        <v>1170</v>
      </c>
      <c r="Z485" s="37">
        <v>0.6</v>
      </c>
      <c r="AA485" s="37">
        <v>0.6</v>
      </c>
      <c r="AB485">
        <v>100</v>
      </c>
    </row>
    <row r="486">
      <c r="A486" t="s">
        <v>1694</v>
      </c>
      <c r="B486" t="s">
        <v>1624</v>
      </c>
      <c r="C486" t="s">
        <v>1624</v>
      </c>
      <c r="D486" t="s">
        <v>359</v>
      </c>
      <c r="E486" t="s">
        <v>1695</v>
      </c>
      <c r="F486" t="s">
        <v>298</v>
      </c>
      <c r="G486" t="s">
        <v>1627</v>
      </c>
      <c r="H486" t="s">
        <v>1658</v>
      </c>
      <c r="I486" t="s">
        <v>1703</v>
      </c>
      <c r="J486" s="38">
        <v>1</v>
      </c>
      <c r="K486" t="s">
        <v>1701</v>
      </c>
      <c r="L486" t="s">
        <v>1704</v>
      </c>
      <c r="M486" s="37">
        <v>0.9557</v>
      </c>
      <c r="N486" s="37">
        <v>0.2</v>
      </c>
      <c r="O486">
        <v>0.96</v>
      </c>
      <c r="P486" s="37">
        <v>0.89089</v>
      </c>
      <c r="Q486">
        <v>0.86</v>
      </c>
      <c r="R486">
        <v>4239.9</v>
      </c>
      <c r="S486">
        <v>4239.9</v>
      </c>
      <c r="T486">
        <v>5000</v>
      </c>
      <c r="U486" t="s">
        <v>1162</v>
      </c>
      <c r="W486" s="38">
        <v>0.6</v>
      </c>
      <c r="X486">
        <v>60</v>
      </c>
      <c r="Y486" t="s">
        <v>1170</v>
      </c>
      <c r="Z486" s="37">
        <v>0.6</v>
      </c>
      <c r="AA486" s="37">
        <v>0.6</v>
      </c>
      <c r="AB486">
        <v>100</v>
      </c>
    </row>
    <row r="487">
      <c r="A487" t="s">
        <v>1694</v>
      </c>
      <c r="B487" t="s">
        <v>1624</v>
      </c>
      <c r="C487" t="s">
        <v>1624</v>
      </c>
      <c r="D487" t="s">
        <v>359</v>
      </c>
      <c r="E487" t="s">
        <v>1695</v>
      </c>
      <c r="F487" t="s">
        <v>298</v>
      </c>
      <c r="G487" t="s">
        <v>1627</v>
      </c>
      <c r="H487" t="s">
        <v>1655</v>
      </c>
      <c r="I487" t="s">
        <v>1705</v>
      </c>
      <c r="J487" s="37">
        <v>0.015</v>
      </c>
      <c r="K487" t="s">
        <v>1706</v>
      </c>
      <c r="L487" t="s">
        <v>1707</v>
      </c>
      <c r="M487" s="37">
        <v>1.2667</v>
      </c>
      <c r="N487" s="37">
        <v>0.1</v>
      </c>
      <c r="O487">
        <v>1</v>
      </c>
      <c r="P487" s="37">
        <v>0.89089</v>
      </c>
      <c r="Q487">
        <v>0.86</v>
      </c>
      <c r="R487">
        <v>4239.9</v>
      </c>
      <c r="S487">
        <v>4239.9</v>
      </c>
      <c r="T487">
        <v>5000</v>
      </c>
      <c r="U487" t="s">
        <v>1162</v>
      </c>
      <c r="W487" s="38">
        <v>0.6</v>
      </c>
      <c r="X487">
        <v>60</v>
      </c>
      <c r="Y487" t="s">
        <v>1170</v>
      </c>
      <c r="Z487" s="37">
        <v>0.6</v>
      </c>
      <c r="AA487" s="37">
        <v>0.6</v>
      </c>
      <c r="AB487">
        <v>100</v>
      </c>
    </row>
    <row r="488">
      <c r="A488" t="s">
        <v>1708</v>
      </c>
      <c r="B488" t="s">
        <v>1624</v>
      </c>
      <c r="C488" t="s">
        <v>1624</v>
      </c>
      <c r="D488" t="s">
        <v>1625</v>
      </c>
      <c r="E488" t="s">
        <v>1709</v>
      </c>
      <c r="F488" t="s">
        <v>298</v>
      </c>
      <c r="G488" t="s">
        <v>1627</v>
      </c>
      <c r="H488" t="s">
        <v>1679</v>
      </c>
      <c r="J488" s="38">
        <v>1</v>
      </c>
      <c r="K488" s="38">
        <v>1</v>
      </c>
      <c r="L488" t="s">
        <v>1710</v>
      </c>
      <c r="M488" s="37">
        <v>1</v>
      </c>
      <c r="N488" s="37">
        <v>0.1</v>
      </c>
      <c r="O488">
        <v>1</v>
      </c>
      <c r="P488" s="37">
        <v>0.76405</v>
      </c>
      <c r="Q488">
        <v>0.95</v>
      </c>
      <c r="R488">
        <v>0</v>
      </c>
      <c r="S488">
        <v>0</v>
      </c>
      <c r="T488">
        <v>2000</v>
      </c>
      <c r="U488" t="s">
        <v>1162</v>
      </c>
      <c r="W488" s="38">
        <v>0.6</v>
      </c>
      <c r="X488">
        <v>60</v>
      </c>
      <c r="Y488" t="s">
        <v>1170</v>
      </c>
      <c r="Z488" s="37">
        <v>0.6</v>
      </c>
      <c r="AA488" s="37">
        <v>0.6</v>
      </c>
      <c r="AB488">
        <v>100</v>
      </c>
    </row>
    <row r="489">
      <c r="A489" t="s">
        <v>1708</v>
      </c>
      <c r="B489" t="s">
        <v>1624</v>
      </c>
      <c r="C489" t="s">
        <v>1624</v>
      </c>
      <c r="D489" t="s">
        <v>1625</v>
      </c>
      <c r="E489" t="s">
        <v>1709</v>
      </c>
      <c r="F489" t="s">
        <v>298</v>
      </c>
      <c r="G489" t="s">
        <v>1627</v>
      </c>
      <c r="H489" t="s">
        <v>1682</v>
      </c>
      <c r="I489" t="s">
        <v>1683</v>
      </c>
      <c r="J489" s="38">
        <v>0.3</v>
      </c>
      <c r="K489" s="37">
        <v>0.3095</v>
      </c>
      <c r="L489" t="s">
        <v>1711</v>
      </c>
      <c r="M489" s="37">
        <v>0.3095</v>
      </c>
      <c r="N489" s="37">
        <v>0.05</v>
      </c>
      <c r="O489">
        <v>1</v>
      </c>
      <c r="P489" s="37">
        <v>0.76405</v>
      </c>
      <c r="Q489">
        <v>0.95</v>
      </c>
      <c r="R489">
        <v>0</v>
      </c>
      <c r="S489">
        <v>0</v>
      </c>
      <c r="T489">
        <v>2000</v>
      </c>
      <c r="U489" t="s">
        <v>1162</v>
      </c>
      <c r="W489" s="38">
        <v>0.6</v>
      </c>
      <c r="X489">
        <v>60</v>
      </c>
      <c r="Y489" t="s">
        <v>1170</v>
      </c>
      <c r="Z489" s="37">
        <v>0.6</v>
      </c>
      <c r="AA489" s="37">
        <v>0.6</v>
      </c>
      <c r="AB489">
        <v>100</v>
      </c>
    </row>
    <row r="490">
      <c r="A490" t="s">
        <v>1708</v>
      </c>
      <c r="B490" t="s">
        <v>1624</v>
      </c>
      <c r="C490" t="s">
        <v>1624</v>
      </c>
      <c r="D490" t="s">
        <v>1625</v>
      </c>
      <c r="E490" t="s">
        <v>1709</v>
      </c>
      <c r="F490" t="s">
        <v>298</v>
      </c>
      <c r="G490" t="s">
        <v>1627</v>
      </c>
      <c r="H490" t="s">
        <v>1679</v>
      </c>
      <c r="I490" t="s">
        <v>1712</v>
      </c>
      <c r="J490" s="38">
        <v>0.2</v>
      </c>
      <c r="K490" s="37">
        <v>0.2419</v>
      </c>
      <c r="L490" t="s">
        <v>1713</v>
      </c>
      <c r="M490" s="37">
        <v>0.2419</v>
      </c>
      <c r="N490" s="37">
        <v>0.05</v>
      </c>
      <c r="O490">
        <v>1</v>
      </c>
      <c r="P490" s="37">
        <v>0.76405</v>
      </c>
      <c r="Q490">
        <v>0.95</v>
      </c>
      <c r="R490">
        <v>0</v>
      </c>
      <c r="S490">
        <v>0</v>
      </c>
      <c r="T490">
        <v>2000</v>
      </c>
      <c r="U490" t="s">
        <v>1162</v>
      </c>
      <c r="W490" s="38">
        <v>0.6</v>
      </c>
      <c r="X490">
        <v>60</v>
      </c>
      <c r="Y490" t="s">
        <v>1170</v>
      </c>
      <c r="Z490" s="37">
        <v>0.6</v>
      </c>
      <c r="AA490" s="37">
        <v>0.6</v>
      </c>
      <c r="AB490">
        <v>100</v>
      </c>
    </row>
    <row r="491">
      <c r="A491" t="s">
        <v>1708</v>
      </c>
      <c r="B491" t="s">
        <v>1624</v>
      </c>
      <c r="C491" t="s">
        <v>1624</v>
      </c>
      <c r="D491" t="s">
        <v>1625</v>
      </c>
      <c r="E491" t="s">
        <v>1709</v>
      </c>
      <c r="F491" t="s">
        <v>298</v>
      </c>
      <c r="G491" t="s">
        <v>1627</v>
      </c>
      <c r="H491" t="s">
        <v>1658</v>
      </c>
      <c r="J491" s="38">
        <v>1</v>
      </c>
      <c r="K491" s="37">
        <v>0.2419</v>
      </c>
      <c r="L491" t="s">
        <v>1714</v>
      </c>
      <c r="M491" s="37">
        <v>1.0879</v>
      </c>
      <c r="N491" s="37">
        <v>0.2</v>
      </c>
      <c r="O491">
        <v>1</v>
      </c>
      <c r="P491" s="37">
        <v>0.76405</v>
      </c>
      <c r="Q491">
        <v>0.95</v>
      </c>
      <c r="R491">
        <v>0</v>
      </c>
      <c r="S491">
        <v>0</v>
      </c>
      <c r="T491">
        <v>2000</v>
      </c>
      <c r="U491" t="s">
        <v>1162</v>
      </c>
      <c r="W491" s="38">
        <v>0.6</v>
      </c>
      <c r="X491">
        <v>60</v>
      </c>
      <c r="Y491" t="s">
        <v>1170</v>
      </c>
      <c r="Z491" s="37">
        <v>0.6</v>
      </c>
      <c r="AA491" s="37">
        <v>0.6</v>
      </c>
      <c r="AB491">
        <v>100</v>
      </c>
    </row>
    <row r="492">
      <c r="A492" t="s">
        <v>1708</v>
      </c>
      <c r="B492" t="s">
        <v>1624</v>
      </c>
      <c r="C492" t="s">
        <v>1624</v>
      </c>
      <c r="D492" t="s">
        <v>1625</v>
      </c>
      <c r="E492" t="s">
        <v>1709</v>
      </c>
      <c r="F492" t="s">
        <v>298</v>
      </c>
      <c r="G492" t="s">
        <v>1627</v>
      </c>
      <c r="H492" t="s">
        <v>1636</v>
      </c>
      <c r="I492" t="s">
        <v>1715</v>
      </c>
      <c r="J492" s="38">
        <v>1</v>
      </c>
      <c r="K492" s="37">
        <v>0.2419</v>
      </c>
      <c r="L492" t="s">
        <v>1716</v>
      </c>
      <c r="M492" s="37">
        <v>0.8708</v>
      </c>
      <c r="N492" s="37">
        <v>0.4</v>
      </c>
      <c r="O492">
        <v>0.871</v>
      </c>
      <c r="P492" s="37">
        <v>0.76405</v>
      </c>
      <c r="Q492">
        <v>0.95</v>
      </c>
      <c r="R492">
        <v>0</v>
      </c>
      <c r="S492">
        <v>0</v>
      </c>
      <c r="T492">
        <v>2000</v>
      </c>
      <c r="U492" t="s">
        <v>1162</v>
      </c>
      <c r="W492" s="38">
        <v>0.6</v>
      </c>
      <c r="X492">
        <v>60</v>
      </c>
      <c r="Y492" t="s">
        <v>1170</v>
      </c>
      <c r="Z492" s="37">
        <v>0.6</v>
      </c>
      <c r="AA492" s="37">
        <v>0.6</v>
      </c>
      <c r="AB492">
        <v>100</v>
      </c>
    </row>
    <row r="493">
      <c r="A493" t="s">
        <v>1708</v>
      </c>
      <c r="B493" t="s">
        <v>1624</v>
      </c>
      <c r="C493" t="s">
        <v>1624</v>
      </c>
      <c r="D493" t="s">
        <v>1625</v>
      </c>
      <c r="E493" t="s">
        <v>1709</v>
      </c>
      <c r="F493" t="s">
        <v>298</v>
      </c>
      <c r="G493" t="s">
        <v>1627</v>
      </c>
      <c r="H493" t="s">
        <v>1652</v>
      </c>
      <c r="J493" s="38">
        <v>0.3</v>
      </c>
      <c r="K493" s="37">
        <v>0.3529</v>
      </c>
      <c r="L493" t="s">
        <v>1717</v>
      </c>
      <c r="M493" s="37">
        <v>0.3529</v>
      </c>
      <c r="N493" s="37">
        <v>0.2</v>
      </c>
      <c r="O493">
        <v>1</v>
      </c>
      <c r="P493" s="37">
        <v>0.76405</v>
      </c>
      <c r="Q493">
        <v>0.95</v>
      </c>
      <c r="R493">
        <v>0</v>
      </c>
      <c r="S493">
        <v>0</v>
      </c>
      <c r="T493">
        <v>2000</v>
      </c>
      <c r="U493" t="s">
        <v>1162</v>
      </c>
      <c r="W493" s="38">
        <v>0.6</v>
      </c>
      <c r="X493">
        <v>60</v>
      </c>
      <c r="Y493" t="s">
        <v>1170</v>
      </c>
      <c r="Z493" s="37">
        <v>0.6</v>
      </c>
      <c r="AA493" s="37">
        <v>0.6</v>
      </c>
      <c r="AB493">
        <v>100</v>
      </c>
    </row>
    <row r="494">
      <c r="A494" t="s">
        <v>1718</v>
      </c>
      <c r="B494" t="s">
        <v>1624</v>
      </c>
      <c r="C494" t="s">
        <v>1624</v>
      </c>
      <c r="D494" t="s">
        <v>359</v>
      </c>
      <c r="E494" t="s">
        <v>1719</v>
      </c>
      <c r="F494" t="s">
        <v>298</v>
      </c>
      <c r="G494" t="s">
        <v>1627</v>
      </c>
      <c r="H494" t="s">
        <v>1661</v>
      </c>
      <c r="I494" t="s">
        <v>1720</v>
      </c>
      <c r="J494">
        <v>0</v>
      </c>
      <c r="K494">
        <v>2</v>
      </c>
      <c r="L494" t="s">
        <v>1717</v>
      </c>
      <c r="M494" s="37">
        <v>0.8</v>
      </c>
      <c r="N494" s="37">
        <v>0.2</v>
      </c>
      <c r="O494">
        <v>0.8</v>
      </c>
      <c r="P494" s="37">
        <v>0.92342</v>
      </c>
      <c r="Q494">
        <v>0.9</v>
      </c>
      <c r="R494">
        <v>0</v>
      </c>
      <c r="S494">
        <v>0</v>
      </c>
      <c r="T494">
        <v>5000</v>
      </c>
      <c r="U494" t="s">
        <v>1162</v>
      </c>
      <c r="W494" s="38">
        <v>0.6</v>
      </c>
      <c r="X494">
        <v>60</v>
      </c>
      <c r="Y494" t="s">
        <v>1170</v>
      </c>
      <c r="Z494" s="37">
        <v>0.6</v>
      </c>
      <c r="AA494" s="37">
        <v>0.6</v>
      </c>
      <c r="AB494">
        <v>100</v>
      </c>
    </row>
    <row r="495">
      <c r="A495" t="s">
        <v>1718</v>
      </c>
      <c r="B495" t="s">
        <v>1624</v>
      </c>
      <c r="C495" t="s">
        <v>1624</v>
      </c>
      <c r="D495" t="s">
        <v>359</v>
      </c>
      <c r="E495" t="s">
        <v>1719</v>
      </c>
      <c r="F495" t="s">
        <v>298</v>
      </c>
      <c r="G495" t="s">
        <v>1627</v>
      </c>
      <c r="H495" t="s">
        <v>1658</v>
      </c>
      <c r="I495" t="s">
        <v>1721</v>
      </c>
      <c r="J495" s="38">
        <v>1</v>
      </c>
      <c r="K495">
        <v>2</v>
      </c>
      <c r="L495" t="s">
        <v>1717</v>
      </c>
      <c r="M495" s="37">
        <v>0.9557</v>
      </c>
      <c r="N495" s="37">
        <v>0.2</v>
      </c>
      <c r="O495">
        <v>0.9557</v>
      </c>
      <c r="P495" s="37">
        <v>0.92342</v>
      </c>
      <c r="Q495">
        <v>0.9</v>
      </c>
      <c r="R495">
        <v>0</v>
      </c>
      <c r="S495">
        <v>0</v>
      </c>
      <c r="T495">
        <v>5000</v>
      </c>
      <c r="U495" t="s">
        <v>1162</v>
      </c>
      <c r="W495" s="38">
        <v>0.6</v>
      </c>
      <c r="X495">
        <v>60</v>
      </c>
      <c r="Y495" t="s">
        <v>1170</v>
      </c>
      <c r="Z495" s="37">
        <v>0.6</v>
      </c>
      <c r="AA495" s="37">
        <v>0.6</v>
      </c>
      <c r="AB495">
        <v>100</v>
      </c>
    </row>
    <row r="496">
      <c r="A496" t="s">
        <v>1718</v>
      </c>
      <c r="B496" t="s">
        <v>1624</v>
      </c>
      <c r="C496" t="s">
        <v>1624</v>
      </c>
      <c r="D496" t="s">
        <v>359</v>
      </c>
      <c r="E496" t="s">
        <v>1719</v>
      </c>
      <c r="F496" t="s">
        <v>298</v>
      </c>
      <c r="G496" t="s">
        <v>1627</v>
      </c>
      <c r="H496" t="s">
        <v>1655</v>
      </c>
      <c r="I496" t="s">
        <v>1722</v>
      </c>
      <c r="J496" s="37">
        <v>0.015</v>
      </c>
      <c r="K496" t="s">
        <v>1723</v>
      </c>
      <c r="L496" t="s">
        <v>1717</v>
      </c>
      <c r="M496" s="37">
        <v>1.2667</v>
      </c>
      <c r="N496" s="37">
        <v>0.1</v>
      </c>
      <c r="O496">
        <v>1</v>
      </c>
      <c r="P496" s="37">
        <v>0.92342</v>
      </c>
      <c r="Q496">
        <v>0.9</v>
      </c>
      <c r="R496">
        <v>0</v>
      </c>
      <c r="S496">
        <v>0</v>
      </c>
      <c r="T496">
        <v>5000</v>
      </c>
      <c r="U496" t="s">
        <v>1162</v>
      </c>
      <c r="W496" s="38">
        <v>0.6</v>
      </c>
      <c r="X496">
        <v>60</v>
      </c>
      <c r="Y496" t="s">
        <v>1170</v>
      </c>
      <c r="Z496" s="37">
        <v>0.6</v>
      </c>
      <c r="AA496" s="37">
        <v>0.6</v>
      </c>
      <c r="AB496">
        <v>100</v>
      </c>
    </row>
    <row r="497">
      <c r="A497" t="s">
        <v>1718</v>
      </c>
      <c r="B497" t="s">
        <v>1624</v>
      </c>
      <c r="C497" t="s">
        <v>1624</v>
      </c>
      <c r="D497" t="s">
        <v>359</v>
      </c>
      <c r="E497" t="s">
        <v>1719</v>
      </c>
      <c r="F497" t="s">
        <v>298</v>
      </c>
      <c r="G497" t="s">
        <v>1627</v>
      </c>
      <c r="H497" t="s">
        <v>1636</v>
      </c>
      <c r="I497" t="s">
        <v>1724</v>
      </c>
      <c r="J497" t="s">
        <v>1638</v>
      </c>
      <c r="K497" t="s">
        <v>1723</v>
      </c>
      <c r="L497" t="s">
        <v>1725</v>
      </c>
      <c r="M497" s="37">
        <v>0.8187</v>
      </c>
      <c r="N497" s="37">
        <v>0.3</v>
      </c>
      <c r="O497">
        <v>0.8187</v>
      </c>
      <c r="P497" s="37">
        <v>0.92342</v>
      </c>
      <c r="Q497">
        <v>0.9</v>
      </c>
      <c r="R497">
        <v>0</v>
      </c>
      <c r="S497">
        <v>0</v>
      </c>
      <c r="T497">
        <v>5000</v>
      </c>
      <c r="U497" t="s">
        <v>1162</v>
      </c>
      <c r="W497" s="38">
        <v>0.6</v>
      </c>
      <c r="X497">
        <v>60</v>
      </c>
      <c r="Y497" t="s">
        <v>1170</v>
      </c>
      <c r="Z497" s="37">
        <v>0.6</v>
      </c>
      <c r="AA497" s="37">
        <v>0.6</v>
      </c>
      <c r="AB497">
        <v>100</v>
      </c>
    </row>
    <row r="498">
      <c r="A498" t="s">
        <v>1718</v>
      </c>
      <c r="B498" t="s">
        <v>1624</v>
      </c>
      <c r="C498" t="s">
        <v>1624</v>
      </c>
      <c r="D498" t="s">
        <v>359</v>
      </c>
      <c r="E498" t="s">
        <v>1719</v>
      </c>
      <c r="F498" t="s">
        <v>298</v>
      </c>
      <c r="G498" t="s">
        <v>1627</v>
      </c>
      <c r="H498" t="s">
        <v>1652</v>
      </c>
      <c r="I498" t="s">
        <v>1726</v>
      </c>
      <c r="J498" s="38">
        <v>0.5</v>
      </c>
      <c r="K498" t="s">
        <v>1727</v>
      </c>
      <c r="L498" t="s">
        <v>1725</v>
      </c>
      <c r="M498" s="37">
        <v>1</v>
      </c>
      <c r="N498" s="37">
        <v>0.2</v>
      </c>
      <c r="O498">
        <v>1</v>
      </c>
      <c r="P498" s="37">
        <v>0.92342</v>
      </c>
      <c r="Q498">
        <v>0.9</v>
      </c>
      <c r="R498">
        <v>0</v>
      </c>
      <c r="S498">
        <v>0</v>
      </c>
      <c r="T498">
        <v>5000</v>
      </c>
      <c r="U498" t="s">
        <v>1162</v>
      </c>
      <c r="W498" s="38">
        <v>0.6</v>
      </c>
      <c r="X498">
        <v>60</v>
      </c>
      <c r="Y498" t="s">
        <v>1170</v>
      </c>
      <c r="Z498" s="37">
        <v>0.6</v>
      </c>
      <c r="AA498" s="37">
        <v>0.6</v>
      </c>
      <c r="AB498">
        <v>100</v>
      </c>
    </row>
    <row r="499">
      <c r="A499" t="s">
        <v>1728</v>
      </c>
      <c r="B499" t="s">
        <v>1624</v>
      </c>
      <c r="C499" t="s">
        <v>1624</v>
      </c>
      <c r="D499" t="s">
        <v>1729</v>
      </c>
      <c r="E499" t="s">
        <v>1730</v>
      </c>
      <c r="F499" t="s">
        <v>298</v>
      </c>
      <c r="G499" t="s">
        <v>1731</v>
      </c>
      <c r="H499" t="s">
        <v>1679</v>
      </c>
      <c r="I499" t="s">
        <v>1732</v>
      </c>
      <c r="J499" s="38">
        <v>1</v>
      </c>
      <c r="K499" t="s">
        <v>521</v>
      </c>
      <c r="L499" t="s">
        <v>1725</v>
      </c>
      <c r="M499" s="37">
        <v>0.2</v>
      </c>
      <c r="N499" s="37">
        <v>0.2</v>
      </c>
      <c r="O499">
        <v>1</v>
      </c>
      <c r="P499" s="37">
        <v>0.84</v>
      </c>
      <c r="Q499">
        <v>1</v>
      </c>
      <c r="R499">
        <v>1200</v>
      </c>
      <c r="S499">
        <v>1200</v>
      </c>
      <c r="T499">
        <v>1200</v>
      </c>
      <c r="U499" t="s">
        <v>1162</v>
      </c>
      <c r="W499" s="38">
        <v>0.6</v>
      </c>
      <c r="X499">
        <v>60</v>
      </c>
      <c r="Y499" t="s">
        <v>1170</v>
      </c>
      <c r="Z499" s="37">
        <v>0.6</v>
      </c>
      <c r="AA499" s="37">
        <v>0.6</v>
      </c>
      <c r="AB499">
        <v>100</v>
      </c>
    </row>
    <row r="500">
      <c r="A500" t="s">
        <v>1728</v>
      </c>
      <c r="B500" t="s">
        <v>1624</v>
      </c>
      <c r="C500" t="s">
        <v>1624</v>
      </c>
      <c r="D500" t="s">
        <v>1729</v>
      </c>
      <c r="E500" t="s">
        <v>1730</v>
      </c>
      <c r="F500" t="s">
        <v>298</v>
      </c>
      <c r="G500" t="s">
        <v>1731</v>
      </c>
      <c r="H500" t="s">
        <v>1636</v>
      </c>
      <c r="I500" t="s">
        <v>1733</v>
      </c>
      <c r="J500">
        <v>9</v>
      </c>
      <c r="K500">
        <v>0</v>
      </c>
      <c r="L500" t="s">
        <v>1734</v>
      </c>
      <c r="M500" s="37">
        <v>1</v>
      </c>
      <c r="N500" s="37">
        <v>0.8</v>
      </c>
      <c r="O500">
        <v>1</v>
      </c>
      <c r="P500" s="37">
        <v>0.84</v>
      </c>
      <c r="Q500">
        <v>1</v>
      </c>
      <c r="R500">
        <v>1200</v>
      </c>
      <c r="S500">
        <v>1200</v>
      </c>
      <c r="T500">
        <v>1200</v>
      </c>
      <c r="U500" t="s">
        <v>1162</v>
      </c>
      <c r="W500" s="38">
        <v>0.6</v>
      </c>
      <c r="X500">
        <v>60</v>
      </c>
      <c r="Y500" t="s">
        <v>1170</v>
      </c>
      <c r="Z500" s="37">
        <v>0.6</v>
      </c>
      <c r="AA500" s="37">
        <v>0.6</v>
      </c>
      <c r="AB500">
        <v>100</v>
      </c>
    </row>
    <row r="501">
      <c r="A501" t="s">
        <v>1735</v>
      </c>
      <c r="B501" t="s">
        <v>1736</v>
      </c>
      <c r="C501" t="s">
        <v>1736</v>
      </c>
      <c r="D501" t="s">
        <v>1737</v>
      </c>
      <c r="E501" t="s">
        <v>1738</v>
      </c>
      <c r="F501" t="s">
        <v>298</v>
      </c>
      <c r="G501" t="s">
        <v>1739</v>
      </c>
      <c r="H501" t="s">
        <v>1740</v>
      </c>
      <c r="I501" t="s">
        <v>1741</v>
      </c>
      <c r="J501" s="38">
        <v>1</v>
      </c>
      <c r="K501" s="38">
        <v>1</v>
      </c>
      <c r="L501" t="s">
        <v>1742</v>
      </c>
      <c r="M501" s="37">
        <v>1</v>
      </c>
      <c r="N501" s="37">
        <v>0.3</v>
      </c>
      <c r="O501">
        <v>1</v>
      </c>
      <c r="P501" s="37">
        <v>1</v>
      </c>
      <c r="Q501">
        <v>1</v>
      </c>
      <c r="R501">
        <v>2000</v>
      </c>
      <c r="S501">
        <v>2000</v>
      </c>
      <c r="T501">
        <v>2000</v>
      </c>
      <c r="U501" t="s">
        <v>1162</v>
      </c>
      <c r="W501" s="38">
        <v>0.6</v>
      </c>
      <c r="X501">
        <v>60</v>
      </c>
      <c r="Y501" t="s">
        <v>1170</v>
      </c>
      <c r="Z501" s="37">
        <v>0.6</v>
      </c>
      <c r="AA501" s="37">
        <v>0.6</v>
      </c>
      <c r="AB501">
        <v>100</v>
      </c>
    </row>
    <row r="502">
      <c r="A502" t="s">
        <v>1735</v>
      </c>
      <c r="B502" t="s">
        <v>1736</v>
      </c>
      <c r="C502" t="s">
        <v>1736</v>
      </c>
      <c r="D502" t="s">
        <v>1737</v>
      </c>
      <c r="E502" t="s">
        <v>1738</v>
      </c>
      <c r="F502" t="s">
        <v>298</v>
      </c>
      <c r="G502" t="s">
        <v>1739</v>
      </c>
      <c r="H502" t="s">
        <v>1740</v>
      </c>
      <c r="I502" t="s">
        <v>1743</v>
      </c>
      <c r="J502" s="38">
        <v>1</v>
      </c>
      <c r="K502" s="38">
        <v>1</v>
      </c>
      <c r="L502" t="s">
        <v>1744</v>
      </c>
      <c r="M502" s="37">
        <v>1</v>
      </c>
      <c r="N502" s="37">
        <v>0.4</v>
      </c>
      <c r="O502">
        <v>1</v>
      </c>
      <c r="P502" s="37">
        <v>1</v>
      </c>
      <c r="Q502">
        <v>1</v>
      </c>
      <c r="R502">
        <v>2000</v>
      </c>
      <c r="S502">
        <v>2000</v>
      </c>
      <c r="T502">
        <v>2000</v>
      </c>
      <c r="U502" t="s">
        <v>1162</v>
      </c>
      <c r="W502" s="38">
        <v>0.6</v>
      </c>
      <c r="X502">
        <v>60</v>
      </c>
      <c r="Y502" t="s">
        <v>1170</v>
      </c>
      <c r="Z502" s="37">
        <v>0.6</v>
      </c>
      <c r="AA502" s="37">
        <v>0.6</v>
      </c>
      <c r="AB502">
        <v>100</v>
      </c>
    </row>
    <row r="503">
      <c r="A503" t="s">
        <v>1735</v>
      </c>
      <c r="B503" t="s">
        <v>1736</v>
      </c>
      <c r="C503" t="s">
        <v>1736</v>
      </c>
      <c r="D503" t="s">
        <v>1737</v>
      </c>
      <c r="E503" t="s">
        <v>1738</v>
      </c>
      <c r="F503" t="s">
        <v>298</v>
      </c>
      <c r="G503" t="s">
        <v>1739</v>
      </c>
      <c r="H503" t="s">
        <v>1740</v>
      </c>
      <c r="I503" t="s">
        <v>1745</v>
      </c>
      <c r="J503" s="38">
        <v>1</v>
      </c>
      <c r="K503" s="38">
        <v>1</v>
      </c>
      <c r="L503" t="s">
        <v>1746</v>
      </c>
      <c r="M503" s="37">
        <v>1</v>
      </c>
      <c r="N503" s="37">
        <v>0.15</v>
      </c>
      <c r="O503">
        <v>1</v>
      </c>
      <c r="P503" s="37">
        <v>1</v>
      </c>
      <c r="Q503">
        <v>1</v>
      </c>
      <c r="R503">
        <v>2000</v>
      </c>
      <c r="S503">
        <v>2000</v>
      </c>
      <c r="T503">
        <v>2000</v>
      </c>
      <c r="U503" t="s">
        <v>1162</v>
      </c>
      <c r="W503" s="38">
        <v>0.6</v>
      </c>
      <c r="X503">
        <v>60</v>
      </c>
      <c r="Y503" t="s">
        <v>1170</v>
      </c>
      <c r="Z503" s="37">
        <v>0.6</v>
      </c>
      <c r="AA503" s="37">
        <v>0.6</v>
      </c>
      <c r="AB503">
        <v>100</v>
      </c>
    </row>
    <row r="504">
      <c r="A504" t="s">
        <v>1735</v>
      </c>
      <c r="B504" t="s">
        <v>1736</v>
      </c>
      <c r="C504" t="s">
        <v>1736</v>
      </c>
      <c r="D504" t="s">
        <v>1737</v>
      </c>
      <c r="E504" t="s">
        <v>1738</v>
      </c>
      <c r="F504" t="s">
        <v>298</v>
      </c>
      <c r="G504" t="s">
        <v>1739</v>
      </c>
      <c r="H504" t="s">
        <v>1740</v>
      </c>
      <c r="I504" t="s">
        <v>1747</v>
      </c>
      <c r="J504" s="38">
        <v>1</v>
      </c>
      <c r="K504" s="38">
        <v>1</v>
      </c>
      <c r="L504" t="s">
        <v>1748</v>
      </c>
      <c r="M504" s="37">
        <v>1</v>
      </c>
      <c r="N504" s="37">
        <v>0.15</v>
      </c>
      <c r="O504">
        <v>1</v>
      </c>
      <c r="P504" s="37">
        <v>1</v>
      </c>
      <c r="Q504">
        <v>1</v>
      </c>
      <c r="R504">
        <v>2000</v>
      </c>
      <c r="S504">
        <v>2000</v>
      </c>
      <c r="T504">
        <v>2000</v>
      </c>
      <c r="U504" t="s">
        <v>1162</v>
      </c>
      <c r="W504" s="38">
        <v>0.6</v>
      </c>
      <c r="X504">
        <v>60</v>
      </c>
      <c r="Y504" t="s">
        <v>1170</v>
      </c>
      <c r="Z504" s="37">
        <v>0.6</v>
      </c>
      <c r="AA504" s="37">
        <v>0.6</v>
      </c>
      <c r="AB504">
        <v>100</v>
      </c>
    </row>
    <row r="505">
      <c r="A505" t="s">
        <v>1749</v>
      </c>
      <c r="B505" t="s">
        <v>1553</v>
      </c>
      <c r="C505" t="s">
        <v>1553</v>
      </c>
      <c r="D505" t="s">
        <v>1750</v>
      </c>
      <c r="E505" t="s">
        <v>1751</v>
      </c>
      <c r="F505" t="s">
        <v>298</v>
      </c>
      <c r="G505" t="s">
        <v>1752</v>
      </c>
      <c r="H505" t="s">
        <v>1753</v>
      </c>
      <c r="I505" t="s">
        <v>1754</v>
      </c>
      <c r="J505" t="s">
        <v>1755</v>
      </c>
      <c r="K505" t="s">
        <v>1756</v>
      </c>
      <c r="L505" t="s">
        <v>1757</v>
      </c>
      <c r="M505" s="37">
        <v>1.28</v>
      </c>
      <c r="N505" s="37">
        <v>0.3</v>
      </c>
      <c r="O505">
        <v>1.2</v>
      </c>
      <c r="P505" s="37">
        <v>1.326</v>
      </c>
      <c r="Q505">
        <v>1.28</v>
      </c>
      <c r="R505">
        <v>2100</v>
      </c>
      <c r="S505">
        <v>2100</v>
      </c>
      <c r="T505">
        <v>3000</v>
      </c>
      <c r="U505" t="s">
        <v>1162</v>
      </c>
      <c r="W505" s="38">
        <v>0.6</v>
      </c>
      <c r="X505">
        <v>60</v>
      </c>
      <c r="Y505" t="s">
        <v>1170</v>
      </c>
      <c r="Z505" s="37">
        <v>0.6</v>
      </c>
      <c r="AA505" s="37">
        <v>0.6</v>
      </c>
      <c r="AB505">
        <v>100</v>
      </c>
    </row>
    <row r="506">
      <c r="A506" t="s">
        <v>1749</v>
      </c>
      <c r="B506" t="s">
        <v>1553</v>
      </c>
      <c r="C506" t="s">
        <v>1553</v>
      </c>
      <c r="D506" t="s">
        <v>1750</v>
      </c>
      <c r="E506" t="s">
        <v>1751</v>
      </c>
      <c r="F506" t="s">
        <v>298</v>
      </c>
      <c r="G506" t="s">
        <v>1752</v>
      </c>
      <c r="H506" t="s">
        <v>1758</v>
      </c>
      <c r="I506" t="s">
        <v>1759</v>
      </c>
      <c r="J506" t="s">
        <v>1760</v>
      </c>
      <c r="K506" t="s">
        <v>1760</v>
      </c>
      <c r="L506" t="s">
        <v>1761</v>
      </c>
      <c r="M506" s="37">
        <v>1.14</v>
      </c>
      <c r="N506" s="37">
        <v>0.3</v>
      </c>
      <c r="O506">
        <v>1.08</v>
      </c>
      <c r="P506" s="37">
        <v>1.326</v>
      </c>
      <c r="Q506">
        <v>1.28</v>
      </c>
      <c r="R506">
        <v>2100</v>
      </c>
      <c r="S506">
        <v>2100</v>
      </c>
      <c r="T506">
        <v>3000</v>
      </c>
      <c r="U506" t="s">
        <v>1162</v>
      </c>
      <c r="W506" s="38">
        <v>0.6</v>
      </c>
      <c r="X506">
        <v>60</v>
      </c>
      <c r="Y506" t="s">
        <v>1170</v>
      </c>
      <c r="Z506" s="37">
        <v>0.6</v>
      </c>
      <c r="AA506" s="37">
        <v>0.6</v>
      </c>
      <c r="AB506">
        <v>100</v>
      </c>
    </row>
    <row r="507">
      <c r="A507" t="s">
        <v>1749</v>
      </c>
      <c r="B507" t="s">
        <v>1553</v>
      </c>
      <c r="C507" t="s">
        <v>1553</v>
      </c>
      <c r="D507" t="s">
        <v>1750</v>
      </c>
      <c r="E507" t="s">
        <v>1751</v>
      </c>
      <c r="F507" t="s">
        <v>298</v>
      </c>
      <c r="G507" t="s">
        <v>1752</v>
      </c>
      <c r="H507" t="s">
        <v>1762</v>
      </c>
      <c r="I507" t="s">
        <v>1763</v>
      </c>
      <c r="J507" t="s">
        <v>1755</v>
      </c>
      <c r="K507" t="s">
        <v>1764</v>
      </c>
      <c r="L507" t="s">
        <v>1765</v>
      </c>
      <c r="M507" s="37">
        <v>1.5</v>
      </c>
      <c r="N507" s="37">
        <v>0.4</v>
      </c>
      <c r="O507">
        <v>1.5</v>
      </c>
      <c r="P507" s="37">
        <v>1.326</v>
      </c>
      <c r="Q507">
        <v>1.28</v>
      </c>
      <c r="R507">
        <v>2100</v>
      </c>
      <c r="S507">
        <v>2100</v>
      </c>
      <c r="T507">
        <v>3000</v>
      </c>
      <c r="U507" t="s">
        <v>1162</v>
      </c>
      <c r="W507" s="38">
        <v>0.6</v>
      </c>
      <c r="X507">
        <v>60</v>
      </c>
      <c r="Y507" t="s">
        <v>1170</v>
      </c>
      <c r="Z507" s="37">
        <v>0.6</v>
      </c>
      <c r="AA507" s="37">
        <v>0.6</v>
      </c>
      <c r="AB507">
        <v>100</v>
      </c>
    </row>
    <row r="508">
      <c r="A508" t="s">
        <v>1766</v>
      </c>
      <c r="B508" t="s">
        <v>1553</v>
      </c>
      <c r="C508" t="s">
        <v>1553</v>
      </c>
      <c r="D508" t="s">
        <v>1750</v>
      </c>
      <c r="E508" t="s">
        <v>1767</v>
      </c>
      <c r="F508" t="s">
        <v>298</v>
      </c>
      <c r="G508" t="s">
        <v>1752</v>
      </c>
      <c r="H508" t="s">
        <v>1753</v>
      </c>
      <c r="J508" t="s">
        <v>1768</v>
      </c>
      <c r="K508" t="s">
        <v>1769</v>
      </c>
      <c r="L508" t="s">
        <v>1765</v>
      </c>
      <c r="M508" s="37">
        <v>1.28</v>
      </c>
      <c r="N508" s="37">
        <v>0.3</v>
      </c>
      <c r="O508">
        <v>1.2</v>
      </c>
      <c r="P508" s="37">
        <v>1.164</v>
      </c>
      <c r="Q508">
        <v>1.3</v>
      </c>
      <c r="R508">
        <v>3900</v>
      </c>
      <c r="S508">
        <v>3900</v>
      </c>
      <c r="T508">
        <v>3000</v>
      </c>
      <c r="U508" t="s">
        <v>1162</v>
      </c>
      <c r="W508" s="38">
        <v>0.6</v>
      </c>
      <c r="X508">
        <v>60</v>
      </c>
      <c r="Y508" t="s">
        <v>1170</v>
      </c>
      <c r="Z508" s="37">
        <v>0.6</v>
      </c>
      <c r="AA508" s="37">
        <v>0.6</v>
      </c>
      <c r="AB508">
        <v>100</v>
      </c>
    </row>
    <row r="509">
      <c r="A509" t="s">
        <v>1766</v>
      </c>
      <c r="B509" t="s">
        <v>1553</v>
      </c>
      <c r="C509" t="s">
        <v>1553</v>
      </c>
      <c r="D509" t="s">
        <v>1750</v>
      </c>
      <c r="E509" t="s">
        <v>1767</v>
      </c>
      <c r="F509" t="s">
        <v>298</v>
      </c>
      <c r="G509" t="s">
        <v>1752</v>
      </c>
      <c r="H509" t="s">
        <v>1758</v>
      </c>
      <c r="J509" t="s">
        <v>1760</v>
      </c>
      <c r="K509" t="s">
        <v>1760</v>
      </c>
      <c r="L509" t="s">
        <v>1765</v>
      </c>
      <c r="M509" s="37">
        <v>1.2</v>
      </c>
      <c r="N509" s="37">
        <v>0.3</v>
      </c>
      <c r="O509">
        <v>1.12</v>
      </c>
      <c r="P509" s="37">
        <v>1.164</v>
      </c>
      <c r="Q509">
        <v>1.3</v>
      </c>
      <c r="R509">
        <v>3900</v>
      </c>
      <c r="S509">
        <v>3900</v>
      </c>
      <c r="T509">
        <v>3000</v>
      </c>
      <c r="U509" t="s">
        <v>1162</v>
      </c>
      <c r="W509" s="38">
        <v>0.6</v>
      </c>
      <c r="X509">
        <v>60</v>
      </c>
      <c r="Y509" t="s">
        <v>1170</v>
      </c>
      <c r="Z509" s="37">
        <v>0.6</v>
      </c>
      <c r="AA509" s="37">
        <v>0.6</v>
      </c>
      <c r="AB509">
        <v>100</v>
      </c>
    </row>
    <row r="510">
      <c r="A510" t="s">
        <v>1766</v>
      </c>
      <c r="B510" t="s">
        <v>1553</v>
      </c>
      <c r="C510" t="s">
        <v>1553</v>
      </c>
      <c r="D510" t="s">
        <v>1750</v>
      </c>
      <c r="E510" t="s">
        <v>1767</v>
      </c>
      <c r="F510" t="s">
        <v>298</v>
      </c>
      <c r="G510" t="s">
        <v>1752</v>
      </c>
      <c r="H510" t="s">
        <v>1762</v>
      </c>
      <c r="J510" t="s">
        <v>1768</v>
      </c>
      <c r="K510" t="s">
        <v>1770</v>
      </c>
      <c r="L510" t="s">
        <v>1765</v>
      </c>
      <c r="M510" s="37">
        <v>1.05</v>
      </c>
      <c r="N510" s="37">
        <v>0.4</v>
      </c>
      <c r="O510">
        <v>1.5</v>
      </c>
      <c r="P510" s="37">
        <v>1.164</v>
      </c>
      <c r="Q510">
        <v>1.3</v>
      </c>
      <c r="R510">
        <v>3900</v>
      </c>
      <c r="S510">
        <v>3900</v>
      </c>
      <c r="T510">
        <v>3000</v>
      </c>
      <c r="U510" t="s">
        <v>1162</v>
      </c>
      <c r="W510" s="38">
        <v>0.6</v>
      </c>
      <c r="X510">
        <v>60</v>
      </c>
      <c r="Y510" t="s">
        <v>1170</v>
      </c>
      <c r="Z510" s="37">
        <v>0.6</v>
      </c>
      <c r="AA510" s="37">
        <v>0.6</v>
      </c>
      <c r="AB510">
        <v>100</v>
      </c>
    </row>
    <row r="511">
      <c r="A511" t="s">
        <v>1771</v>
      </c>
      <c r="B511" t="s">
        <v>1736</v>
      </c>
      <c r="C511" t="s">
        <v>1736</v>
      </c>
      <c r="D511" t="s">
        <v>1772</v>
      </c>
      <c r="E511" t="s">
        <v>1773</v>
      </c>
      <c r="F511" t="s">
        <v>298</v>
      </c>
      <c r="G511" t="s">
        <v>1774</v>
      </c>
      <c r="H511" t="s">
        <v>1775</v>
      </c>
      <c r="I511" t="s">
        <v>1776</v>
      </c>
      <c r="J511" t="s">
        <v>1777</v>
      </c>
      <c r="K511" t="s">
        <v>1778</v>
      </c>
      <c r="L511" t="s">
        <v>1765</v>
      </c>
      <c r="M511" s="37">
        <v>2.57</v>
      </c>
      <c r="N511" s="37">
        <v>0.2</v>
      </c>
      <c r="O511">
        <v>1</v>
      </c>
      <c r="P511" s="37">
        <v>2.319</v>
      </c>
      <c r="Q511">
        <v>0.93</v>
      </c>
      <c r="R511">
        <v>4666.67</v>
      </c>
      <c r="S511">
        <v>4666.67</v>
      </c>
      <c r="T511">
        <v>5000</v>
      </c>
      <c r="U511" t="s">
        <v>1162</v>
      </c>
      <c r="W511" s="38">
        <v>0.6</v>
      </c>
      <c r="X511">
        <v>60</v>
      </c>
      <c r="Y511" t="s">
        <v>1170</v>
      </c>
      <c r="Z511" s="37">
        <v>0.6</v>
      </c>
      <c r="AA511" s="37">
        <v>0.6</v>
      </c>
      <c r="AB511">
        <v>100</v>
      </c>
    </row>
    <row r="512">
      <c r="A512" t="s">
        <v>1771</v>
      </c>
      <c r="B512" t="s">
        <v>1736</v>
      </c>
      <c r="C512" t="s">
        <v>1736</v>
      </c>
      <c r="D512" t="s">
        <v>1772</v>
      </c>
      <c r="E512" t="s">
        <v>1773</v>
      </c>
      <c r="F512" t="s">
        <v>298</v>
      </c>
      <c r="G512" t="s">
        <v>1774</v>
      </c>
      <c r="H512" t="s">
        <v>1775</v>
      </c>
      <c r="I512" t="s">
        <v>1779</v>
      </c>
      <c r="J512" t="s">
        <v>1780</v>
      </c>
      <c r="K512" t="s">
        <v>1781</v>
      </c>
      <c r="L512" t="s">
        <v>1765</v>
      </c>
      <c r="M512" s="37">
        <v>1.89</v>
      </c>
      <c r="N512" s="37">
        <v>0.2</v>
      </c>
      <c r="O512">
        <v>1</v>
      </c>
      <c r="P512" s="37">
        <v>2.319</v>
      </c>
      <c r="Q512">
        <v>0.93</v>
      </c>
      <c r="R512">
        <v>4666.67</v>
      </c>
      <c r="S512">
        <v>4666.67</v>
      </c>
      <c r="T512">
        <v>5000</v>
      </c>
      <c r="U512" t="s">
        <v>1162</v>
      </c>
      <c r="W512" s="38">
        <v>0.6</v>
      </c>
      <c r="X512">
        <v>60</v>
      </c>
      <c r="Y512" t="s">
        <v>1170</v>
      </c>
      <c r="Z512" s="37">
        <v>0.6</v>
      </c>
      <c r="AA512" s="37">
        <v>0.6</v>
      </c>
      <c r="AB512">
        <v>100</v>
      </c>
    </row>
    <row r="513">
      <c r="A513" t="s">
        <v>1771</v>
      </c>
      <c r="B513" t="s">
        <v>1736</v>
      </c>
      <c r="C513" t="s">
        <v>1736</v>
      </c>
      <c r="D513" t="s">
        <v>1772</v>
      </c>
      <c r="E513" t="s">
        <v>1773</v>
      </c>
      <c r="F513" t="s">
        <v>298</v>
      </c>
      <c r="G513" t="s">
        <v>1774</v>
      </c>
      <c r="H513" t="s">
        <v>1775</v>
      </c>
      <c r="I513" t="s">
        <v>1782</v>
      </c>
      <c r="J513" t="s">
        <v>1783</v>
      </c>
      <c r="K513" t="s">
        <v>1784</v>
      </c>
      <c r="L513" t="s">
        <v>1765</v>
      </c>
      <c r="M513" s="37">
        <v>1.97</v>
      </c>
      <c r="N513" s="37">
        <v>0.2</v>
      </c>
      <c r="O513">
        <v>1</v>
      </c>
      <c r="P513" s="37">
        <v>2.319</v>
      </c>
      <c r="Q513">
        <v>0.93</v>
      </c>
      <c r="R513">
        <v>4666.67</v>
      </c>
      <c r="S513">
        <v>4666.67</v>
      </c>
      <c r="T513">
        <v>5000</v>
      </c>
      <c r="U513" t="s">
        <v>1162</v>
      </c>
      <c r="W513" s="38">
        <v>0.6</v>
      </c>
      <c r="X513">
        <v>60</v>
      </c>
      <c r="Y513" t="s">
        <v>1170</v>
      </c>
      <c r="Z513" s="37">
        <v>0.6</v>
      </c>
      <c r="AA513" s="37">
        <v>0.6</v>
      </c>
      <c r="AB513">
        <v>100</v>
      </c>
    </row>
    <row r="514">
      <c r="A514" t="s">
        <v>1771</v>
      </c>
      <c r="B514" t="s">
        <v>1736</v>
      </c>
      <c r="C514" t="s">
        <v>1736</v>
      </c>
      <c r="D514" t="s">
        <v>1772</v>
      </c>
      <c r="E514" t="s">
        <v>1773</v>
      </c>
      <c r="F514" t="s">
        <v>298</v>
      </c>
      <c r="G514" t="s">
        <v>1774</v>
      </c>
      <c r="H514" t="s">
        <v>1775</v>
      </c>
      <c r="I514" t="s">
        <v>1785</v>
      </c>
      <c r="J514" t="s">
        <v>1424</v>
      </c>
      <c r="K514" t="s">
        <v>1786</v>
      </c>
      <c r="L514" t="s">
        <v>1765</v>
      </c>
      <c r="M514" s="37">
        <v>4.5</v>
      </c>
      <c r="N514" s="37">
        <v>0.2</v>
      </c>
      <c r="O514">
        <v>1</v>
      </c>
      <c r="P514" s="37">
        <v>2.319</v>
      </c>
      <c r="Q514">
        <v>0.93</v>
      </c>
      <c r="R514">
        <v>4666.67</v>
      </c>
      <c r="S514">
        <v>4666.67</v>
      </c>
      <c r="T514">
        <v>5000</v>
      </c>
      <c r="U514" t="s">
        <v>1162</v>
      </c>
      <c r="W514" s="38">
        <v>0.6</v>
      </c>
      <c r="X514">
        <v>60</v>
      </c>
      <c r="Y514" t="s">
        <v>1170</v>
      </c>
      <c r="Z514" s="37">
        <v>0.6</v>
      </c>
      <c r="AA514" s="37">
        <v>0.6</v>
      </c>
      <c r="AB514">
        <v>100</v>
      </c>
    </row>
    <row r="515">
      <c r="A515" t="s">
        <v>1771</v>
      </c>
      <c r="B515" t="s">
        <v>1736</v>
      </c>
      <c r="C515" t="s">
        <v>1736</v>
      </c>
      <c r="D515" t="s">
        <v>1772</v>
      </c>
      <c r="E515" t="s">
        <v>1773</v>
      </c>
      <c r="F515" t="s">
        <v>298</v>
      </c>
      <c r="G515" t="s">
        <v>1774</v>
      </c>
      <c r="H515" t="s">
        <v>1787</v>
      </c>
      <c r="I515" t="s">
        <v>1788</v>
      </c>
      <c r="J515" s="38">
        <v>1</v>
      </c>
      <c r="K515" s="38">
        <v>1</v>
      </c>
      <c r="L515" t="s">
        <v>1765</v>
      </c>
      <c r="M515" s="37">
        <v>1</v>
      </c>
      <c r="N515" s="37">
        <v>0.1</v>
      </c>
      <c r="O515">
        <v>1</v>
      </c>
      <c r="P515" s="37">
        <v>2.319</v>
      </c>
      <c r="Q515">
        <v>0.93</v>
      </c>
      <c r="R515">
        <v>4666.67</v>
      </c>
      <c r="S515">
        <v>4666.67</v>
      </c>
      <c r="T515">
        <v>5000</v>
      </c>
      <c r="U515" t="s">
        <v>1162</v>
      </c>
      <c r="W515" s="38">
        <v>0.6</v>
      </c>
      <c r="X515">
        <v>60</v>
      </c>
      <c r="Y515" t="s">
        <v>1170</v>
      </c>
      <c r="Z515" s="37">
        <v>0.6</v>
      </c>
      <c r="AA515" s="37">
        <v>0.6</v>
      </c>
      <c r="AB515">
        <v>100</v>
      </c>
    </row>
    <row r="516">
      <c r="A516" t="s">
        <v>1771</v>
      </c>
      <c r="B516" t="s">
        <v>1736</v>
      </c>
      <c r="C516" t="s">
        <v>1736</v>
      </c>
      <c r="D516" t="s">
        <v>1772</v>
      </c>
      <c r="E516" t="s">
        <v>1773</v>
      </c>
      <c r="F516" t="s">
        <v>298</v>
      </c>
      <c r="G516" t="s">
        <v>1774</v>
      </c>
      <c r="H516" t="s">
        <v>1787</v>
      </c>
      <c r="I516" t="s">
        <v>1789</v>
      </c>
      <c r="J516" s="38">
        <v>1</v>
      </c>
      <c r="K516" s="38">
        <v>0.33</v>
      </c>
      <c r="L516" t="s">
        <v>1765</v>
      </c>
      <c r="M516" s="37">
        <v>0.33</v>
      </c>
      <c r="N516" s="37">
        <v>0.1</v>
      </c>
      <c r="O516">
        <v>0.33</v>
      </c>
      <c r="P516" s="37">
        <v>2.319</v>
      </c>
      <c r="Q516">
        <v>0.93</v>
      </c>
      <c r="R516">
        <v>4666.67</v>
      </c>
      <c r="S516">
        <v>4666.67</v>
      </c>
      <c r="T516">
        <v>5000</v>
      </c>
      <c r="U516" t="s">
        <v>1162</v>
      </c>
      <c r="W516" s="38">
        <v>0.6</v>
      </c>
      <c r="X516">
        <v>60</v>
      </c>
      <c r="Y516" t="s">
        <v>1170</v>
      </c>
      <c r="Z516" s="37">
        <v>0.6</v>
      </c>
      <c r="AA516" s="37">
        <v>0.6</v>
      </c>
      <c r="AB516">
        <v>100</v>
      </c>
    </row>
    <row r="517">
      <c r="A517" t="s">
        <v>1790</v>
      </c>
      <c r="B517" t="s">
        <v>1553</v>
      </c>
      <c r="C517" t="s">
        <v>1553</v>
      </c>
      <c r="D517" t="s">
        <v>1791</v>
      </c>
      <c r="E517" t="s">
        <v>1792</v>
      </c>
      <c r="F517" t="s">
        <v>298</v>
      </c>
      <c r="G517" t="s">
        <v>1793</v>
      </c>
      <c r="H517" t="s">
        <v>1740</v>
      </c>
      <c r="I517" t="s">
        <v>1794</v>
      </c>
      <c r="J517" s="38">
        <v>0.8</v>
      </c>
      <c r="K517" s="38">
        <v>1</v>
      </c>
      <c r="L517" t="s">
        <v>1765</v>
      </c>
      <c r="M517" s="37">
        <v>1.25</v>
      </c>
      <c r="N517" s="37">
        <v>0.25</v>
      </c>
      <c r="O517">
        <v>1.2</v>
      </c>
      <c r="P517" s="37">
        <v>1.16975</v>
      </c>
      <c r="Q517">
        <v>1.1</v>
      </c>
      <c r="R517">
        <v>3600</v>
      </c>
      <c r="S517">
        <v>3600</v>
      </c>
      <c r="T517">
        <v>3000</v>
      </c>
      <c r="U517" t="s">
        <v>1162</v>
      </c>
      <c r="W517" s="38">
        <v>0.6</v>
      </c>
      <c r="X517">
        <v>60</v>
      </c>
      <c r="Y517" t="s">
        <v>1170</v>
      </c>
      <c r="Z517" s="37">
        <v>0.6</v>
      </c>
      <c r="AA517" s="37">
        <v>0.6</v>
      </c>
      <c r="AB517">
        <v>100</v>
      </c>
    </row>
    <row r="518">
      <c r="A518" t="s">
        <v>1790</v>
      </c>
      <c r="B518" t="s">
        <v>1553</v>
      </c>
      <c r="C518" t="s">
        <v>1553</v>
      </c>
      <c r="D518" t="s">
        <v>1791</v>
      </c>
      <c r="E518" t="s">
        <v>1792</v>
      </c>
      <c r="F518" t="s">
        <v>298</v>
      </c>
      <c r="G518" t="s">
        <v>1793</v>
      </c>
      <c r="H518" t="s">
        <v>1740</v>
      </c>
      <c r="I518" t="s">
        <v>1795</v>
      </c>
      <c r="J518" s="38">
        <v>0.7</v>
      </c>
      <c r="K518" s="38">
        <v>1</v>
      </c>
      <c r="L518" t="s">
        <v>1765</v>
      </c>
      <c r="M518" s="37">
        <v>1.429</v>
      </c>
      <c r="N518" s="37">
        <v>0.25</v>
      </c>
      <c r="O518">
        <v>1.2</v>
      </c>
      <c r="P518" s="37">
        <v>1.16975</v>
      </c>
      <c r="Q518">
        <v>1.1</v>
      </c>
      <c r="R518">
        <v>3600</v>
      </c>
      <c r="S518">
        <v>3600</v>
      </c>
      <c r="T518">
        <v>3000</v>
      </c>
      <c r="U518" t="s">
        <v>1162</v>
      </c>
      <c r="W518" s="38">
        <v>0.6</v>
      </c>
      <c r="X518">
        <v>60</v>
      </c>
      <c r="Y518" t="s">
        <v>1170</v>
      </c>
      <c r="Z518" s="37">
        <v>0.6</v>
      </c>
      <c r="AA518" s="37">
        <v>0.6</v>
      </c>
      <c r="AB518">
        <v>100</v>
      </c>
    </row>
    <row r="519">
      <c r="A519" t="s">
        <v>1790</v>
      </c>
      <c r="B519" t="s">
        <v>1553</v>
      </c>
      <c r="C519" t="s">
        <v>1553</v>
      </c>
      <c r="D519" t="s">
        <v>1791</v>
      </c>
      <c r="E519" t="s">
        <v>1792</v>
      </c>
      <c r="F519" t="s">
        <v>298</v>
      </c>
      <c r="G519" t="s">
        <v>1793</v>
      </c>
      <c r="H519" t="s">
        <v>1796</v>
      </c>
      <c r="I519" t="s">
        <v>1797</v>
      </c>
      <c r="L519" t="s">
        <v>1798</v>
      </c>
      <c r="M519" s="37">
        <v>1</v>
      </c>
      <c r="N519" s="37">
        <v>0.15</v>
      </c>
      <c r="O519">
        <v>1</v>
      </c>
      <c r="P519" s="37">
        <v>1.16975</v>
      </c>
      <c r="Q519">
        <v>1.1</v>
      </c>
      <c r="R519">
        <v>3600</v>
      </c>
      <c r="S519">
        <v>3600</v>
      </c>
      <c r="T519">
        <v>3000</v>
      </c>
      <c r="U519" t="s">
        <v>1162</v>
      </c>
      <c r="W519" s="38">
        <v>0.6</v>
      </c>
      <c r="X519">
        <v>60</v>
      </c>
      <c r="Y519" t="s">
        <v>1170</v>
      </c>
      <c r="Z519" s="37">
        <v>0.6</v>
      </c>
      <c r="AA519" s="37">
        <v>0.6</v>
      </c>
      <c r="AB519">
        <v>100</v>
      </c>
    </row>
    <row r="520">
      <c r="A520" t="s">
        <v>1790</v>
      </c>
      <c r="B520" t="s">
        <v>1553</v>
      </c>
      <c r="C520" t="s">
        <v>1553</v>
      </c>
      <c r="D520" t="s">
        <v>1791</v>
      </c>
      <c r="E520" t="s">
        <v>1792</v>
      </c>
      <c r="F520" t="s">
        <v>298</v>
      </c>
      <c r="G520" t="s">
        <v>1793</v>
      </c>
      <c r="H520" t="s">
        <v>1796</v>
      </c>
      <c r="I520" t="s">
        <v>1799</v>
      </c>
      <c r="L520" t="s">
        <v>1800</v>
      </c>
      <c r="M520" s="37">
        <v>1</v>
      </c>
      <c r="N520" s="37">
        <v>0.15</v>
      </c>
      <c r="O520">
        <v>1</v>
      </c>
      <c r="P520" s="37">
        <v>1.16975</v>
      </c>
      <c r="Q520">
        <v>1.1</v>
      </c>
      <c r="R520">
        <v>3600</v>
      </c>
      <c r="S520">
        <v>3600</v>
      </c>
      <c r="T520">
        <v>3000</v>
      </c>
      <c r="U520" t="s">
        <v>1162</v>
      </c>
      <c r="W520" s="38">
        <v>0.6</v>
      </c>
      <c r="X520">
        <v>60</v>
      </c>
      <c r="Y520" t="s">
        <v>1170</v>
      </c>
      <c r="Z520" s="37">
        <v>0.6</v>
      </c>
      <c r="AA520" s="37">
        <v>0.6</v>
      </c>
      <c r="AB520">
        <v>100</v>
      </c>
    </row>
    <row r="521">
      <c r="A521" t="s">
        <v>1790</v>
      </c>
      <c r="B521" t="s">
        <v>1553</v>
      </c>
      <c r="C521" t="s">
        <v>1553</v>
      </c>
      <c r="D521" t="s">
        <v>1791</v>
      </c>
      <c r="E521" t="s">
        <v>1792</v>
      </c>
      <c r="F521" t="s">
        <v>298</v>
      </c>
      <c r="G521" t="s">
        <v>1793</v>
      </c>
      <c r="H521" t="s">
        <v>1796</v>
      </c>
      <c r="I521" t="s">
        <v>1801</v>
      </c>
      <c r="L521" t="s">
        <v>1802</v>
      </c>
      <c r="M521" s="37">
        <v>1</v>
      </c>
      <c r="N521" s="37">
        <v>0.1</v>
      </c>
      <c r="O521">
        <v>1</v>
      </c>
      <c r="P521" s="37">
        <v>1.16975</v>
      </c>
      <c r="Q521">
        <v>1.1</v>
      </c>
      <c r="R521">
        <v>3600</v>
      </c>
      <c r="S521">
        <v>3600</v>
      </c>
      <c r="T521">
        <v>3000</v>
      </c>
      <c r="U521" t="s">
        <v>1162</v>
      </c>
      <c r="W521" s="38">
        <v>0.6</v>
      </c>
      <c r="X521">
        <v>60</v>
      </c>
      <c r="Y521" t="s">
        <v>1170</v>
      </c>
      <c r="Z521" s="37">
        <v>0.6</v>
      </c>
      <c r="AA521" s="37">
        <v>0.6</v>
      </c>
      <c r="AB521">
        <v>100</v>
      </c>
    </row>
    <row r="522">
      <c r="A522" t="s">
        <v>1790</v>
      </c>
      <c r="B522" t="s">
        <v>1553</v>
      </c>
      <c r="C522" t="s">
        <v>1553</v>
      </c>
      <c r="D522" t="s">
        <v>1791</v>
      </c>
      <c r="E522" t="s">
        <v>1792</v>
      </c>
      <c r="F522" t="s">
        <v>298</v>
      </c>
      <c r="G522" t="s">
        <v>1793</v>
      </c>
      <c r="H522" t="s">
        <v>1796</v>
      </c>
      <c r="I522" t="s">
        <v>1803</v>
      </c>
      <c r="L522" t="s">
        <v>1804</v>
      </c>
      <c r="M522" s="37">
        <v>1</v>
      </c>
      <c r="N522" s="37">
        <v>0.1</v>
      </c>
      <c r="O522">
        <v>1</v>
      </c>
      <c r="P522" s="37">
        <v>1.16975</v>
      </c>
      <c r="Q522">
        <v>1.1</v>
      </c>
      <c r="R522">
        <v>3600</v>
      </c>
      <c r="S522">
        <v>3600</v>
      </c>
      <c r="T522">
        <v>3000</v>
      </c>
      <c r="U522" t="s">
        <v>1162</v>
      </c>
      <c r="W522" s="38">
        <v>0.6</v>
      </c>
      <c r="X522">
        <v>60</v>
      </c>
      <c r="Y522" t="s">
        <v>1170</v>
      </c>
      <c r="Z522" s="37">
        <v>0.6</v>
      </c>
      <c r="AA522" s="37">
        <v>0.6</v>
      </c>
      <c r="AB522">
        <v>100</v>
      </c>
    </row>
    <row r="523">
      <c r="A523" t="s">
        <v>1805</v>
      </c>
      <c r="B523" t="s">
        <v>1553</v>
      </c>
      <c r="C523" t="s">
        <v>1553</v>
      </c>
      <c r="D523" t="s">
        <v>1791</v>
      </c>
      <c r="E523" t="s">
        <v>1806</v>
      </c>
      <c r="F523" t="s">
        <v>298</v>
      </c>
      <c r="G523" t="s">
        <v>1793</v>
      </c>
      <c r="H523" t="s">
        <v>1740</v>
      </c>
      <c r="I523" t="s">
        <v>1807</v>
      </c>
      <c r="J523" s="38">
        <v>0.8</v>
      </c>
      <c r="K523" s="38">
        <v>1</v>
      </c>
      <c r="L523" t="s">
        <v>1808</v>
      </c>
      <c r="M523" s="37">
        <v>1.25</v>
      </c>
      <c r="N523" s="37">
        <v>0.25</v>
      </c>
      <c r="O523">
        <v>1.2</v>
      </c>
      <c r="P523" s="37">
        <v>1.105</v>
      </c>
      <c r="Q523">
        <v>1.09</v>
      </c>
      <c r="R523">
        <v>2400</v>
      </c>
      <c r="S523">
        <v>2400</v>
      </c>
      <c r="T523">
        <v>3000</v>
      </c>
      <c r="U523" t="s">
        <v>1162</v>
      </c>
      <c r="W523" s="38">
        <v>0.6</v>
      </c>
      <c r="X523">
        <v>60</v>
      </c>
      <c r="Y523" t="s">
        <v>1170</v>
      </c>
      <c r="Z523" s="37">
        <v>0.6</v>
      </c>
      <c r="AA523" s="37">
        <v>0.6</v>
      </c>
      <c r="AB523">
        <v>100</v>
      </c>
    </row>
    <row r="524">
      <c r="A524" t="s">
        <v>1805</v>
      </c>
      <c r="B524" t="s">
        <v>1553</v>
      </c>
      <c r="C524" t="s">
        <v>1553</v>
      </c>
      <c r="D524" t="s">
        <v>1791</v>
      </c>
      <c r="E524" t="s">
        <v>1806</v>
      </c>
      <c r="F524" t="s">
        <v>298</v>
      </c>
      <c r="G524" t="s">
        <v>1793</v>
      </c>
      <c r="H524" t="s">
        <v>1740</v>
      </c>
      <c r="I524" t="s">
        <v>1809</v>
      </c>
      <c r="J524" s="38">
        <v>0.7</v>
      </c>
      <c r="K524" s="37">
        <v>0.8222</v>
      </c>
      <c r="L524" t="s">
        <v>1810</v>
      </c>
      <c r="M524" s="37">
        <v>1.17</v>
      </c>
      <c r="N524" s="37">
        <v>0.25</v>
      </c>
      <c r="O524">
        <v>1.17</v>
      </c>
      <c r="P524" s="37">
        <v>1.105</v>
      </c>
      <c r="Q524">
        <v>1.09</v>
      </c>
      <c r="R524">
        <v>2400</v>
      </c>
      <c r="S524">
        <v>2400</v>
      </c>
      <c r="T524">
        <v>3000</v>
      </c>
      <c r="U524" t="s">
        <v>1162</v>
      </c>
      <c r="W524" s="38">
        <v>0.6</v>
      </c>
      <c r="X524">
        <v>60</v>
      </c>
      <c r="Y524" t="s">
        <v>1170</v>
      </c>
      <c r="Z524" s="37">
        <v>0.6</v>
      </c>
      <c r="AA524" s="37">
        <v>0.6</v>
      </c>
      <c r="AB524">
        <v>100</v>
      </c>
    </row>
    <row r="525">
      <c r="A525" t="s">
        <v>1805</v>
      </c>
      <c r="B525" t="s">
        <v>1553</v>
      </c>
      <c r="C525" t="s">
        <v>1553</v>
      </c>
      <c r="D525" t="s">
        <v>1791</v>
      </c>
      <c r="E525" t="s">
        <v>1806</v>
      </c>
      <c r="F525" t="s">
        <v>298</v>
      </c>
      <c r="G525" t="s">
        <v>1793</v>
      </c>
      <c r="H525" t="s">
        <v>1796</v>
      </c>
      <c r="I525" t="s">
        <v>1797</v>
      </c>
      <c r="K525" t="s">
        <v>455</v>
      </c>
      <c r="L525" t="s">
        <v>1811</v>
      </c>
      <c r="M525" s="37">
        <v>1</v>
      </c>
      <c r="N525" s="37">
        <v>0.15</v>
      </c>
      <c r="O525">
        <v>1</v>
      </c>
      <c r="P525" s="37">
        <v>1.105</v>
      </c>
      <c r="Q525">
        <v>1.09</v>
      </c>
      <c r="R525">
        <v>2400</v>
      </c>
      <c r="S525">
        <v>2400</v>
      </c>
      <c r="T525">
        <v>3000</v>
      </c>
      <c r="U525" t="s">
        <v>1162</v>
      </c>
      <c r="W525" s="38">
        <v>0.6</v>
      </c>
      <c r="X525">
        <v>60</v>
      </c>
      <c r="Y525" t="s">
        <v>1170</v>
      </c>
      <c r="Z525" s="37">
        <v>0.6</v>
      </c>
      <c r="AA525" s="37">
        <v>0.6</v>
      </c>
      <c r="AB525">
        <v>100</v>
      </c>
    </row>
    <row r="526">
      <c r="A526" t="s">
        <v>1805</v>
      </c>
      <c r="B526" t="s">
        <v>1553</v>
      </c>
      <c r="C526" t="s">
        <v>1553</v>
      </c>
      <c r="D526" t="s">
        <v>1791</v>
      </c>
      <c r="E526" t="s">
        <v>1806</v>
      </c>
      <c r="F526" t="s">
        <v>298</v>
      </c>
      <c r="G526" t="s">
        <v>1793</v>
      </c>
      <c r="H526" t="s">
        <v>1796</v>
      </c>
      <c r="I526" t="s">
        <v>1799</v>
      </c>
      <c r="K526" t="s">
        <v>455</v>
      </c>
      <c r="L526" t="s">
        <v>1812</v>
      </c>
      <c r="M526" s="37">
        <v>1</v>
      </c>
      <c r="N526" s="37">
        <v>0.15</v>
      </c>
      <c r="O526">
        <v>1</v>
      </c>
      <c r="P526" s="37">
        <v>1.105</v>
      </c>
      <c r="Q526">
        <v>1.09</v>
      </c>
      <c r="R526">
        <v>2400</v>
      </c>
      <c r="S526">
        <v>2400</v>
      </c>
      <c r="T526">
        <v>3000</v>
      </c>
      <c r="U526" t="s">
        <v>1162</v>
      </c>
      <c r="W526" s="38">
        <v>0.6</v>
      </c>
      <c r="X526">
        <v>60</v>
      </c>
      <c r="Y526" t="s">
        <v>1170</v>
      </c>
      <c r="Z526" s="37">
        <v>0.6</v>
      </c>
      <c r="AA526" s="37">
        <v>0.6</v>
      </c>
      <c r="AB526">
        <v>100</v>
      </c>
    </row>
    <row r="527">
      <c r="A527" t="s">
        <v>1805</v>
      </c>
      <c r="B527" t="s">
        <v>1553</v>
      </c>
      <c r="C527" t="s">
        <v>1553</v>
      </c>
      <c r="D527" t="s">
        <v>1791</v>
      </c>
      <c r="E527" t="s">
        <v>1806</v>
      </c>
      <c r="F527" t="s">
        <v>298</v>
      </c>
      <c r="G527" t="s">
        <v>1793</v>
      </c>
      <c r="H527" t="s">
        <v>1796</v>
      </c>
      <c r="I527" t="s">
        <v>1801</v>
      </c>
      <c r="K527" t="s">
        <v>455</v>
      </c>
      <c r="L527" t="s">
        <v>1802</v>
      </c>
      <c r="M527" s="37">
        <v>1</v>
      </c>
      <c r="N527" s="37">
        <v>0.1</v>
      </c>
      <c r="O527">
        <v>1</v>
      </c>
      <c r="P527" s="37">
        <v>1.105</v>
      </c>
      <c r="Q527">
        <v>1.09</v>
      </c>
      <c r="R527">
        <v>2400</v>
      </c>
      <c r="S527">
        <v>2400</v>
      </c>
      <c r="T527">
        <v>3000</v>
      </c>
      <c r="U527" t="s">
        <v>1162</v>
      </c>
      <c r="W527" s="38">
        <v>0.6</v>
      </c>
      <c r="X527">
        <v>60</v>
      </c>
      <c r="Y527" t="s">
        <v>1170</v>
      </c>
      <c r="Z527" s="37">
        <v>0.6</v>
      </c>
      <c r="AA527" s="37">
        <v>0.6</v>
      </c>
      <c r="AB527">
        <v>100</v>
      </c>
    </row>
    <row r="528">
      <c r="A528" t="s">
        <v>1805</v>
      </c>
      <c r="B528" t="s">
        <v>1553</v>
      </c>
      <c r="C528" t="s">
        <v>1553</v>
      </c>
      <c r="D528" t="s">
        <v>1791</v>
      </c>
      <c r="E528" t="s">
        <v>1806</v>
      </c>
      <c r="F528" t="s">
        <v>298</v>
      </c>
      <c r="G528" t="s">
        <v>1793</v>
      </c>
      <c r="H528" t="s">
        <v>1796</v>
      </c>
      <c r="I528" t="s">
        <v>1803</v>
      </c>
      <c r="K528" t="s">
        <v>455</v>
      </c>
      <c r="L528" t="s">
        <v>455</v>
      </c>
      <c r="M528" s="37">
        <v>1</v>
      </c>
      <c r="N528" s="37">
        <v>0.1</v>
      </c>
      <c r="O528">
        <v>1</v>
      </c>
      <c r="P528" s="37">
        <v>1.105</v>
      </c>
      <c r="Q528">
        <v>1.09</v>
      </c>
      <c r="R528">
        <v>2400</v>
      </c>
      <c r="S528">
        <v>2400</v>
      </c>
      <c r="T528">
        <v>3000</v>
      </c>
      <c r="U528" t="s">
        <v>1162</v>
      </c>
      <c r="W528" s="38">
        <v>0.6</v>
      </c>
      <c r="X528">
        <v>60</v>
      </c>
      <c r="Y528" t="s">
        <v>1170</v>
      </c>
      <c r="Z528" s="37">
        <v>0.6</v>
      </c>
      <c r="AA528" s="37">
        <v>0.6</v>
      </c>
      <c r="AB528">
        <v>100</v>
      </c>
    </row>
    <row r="529">
      <c r="A529" t="s">
        <v>1813</v>
      </c>
      <c r="B529" t="s">
        <v>1736</v>
      </c>
      <c r="C529" t="s">
        <v>1736</v>
      </c>
      <c r="D529" t="s">
        <v>1814</v>
      </c>
      <c r="E529" t="s">
        <v>1815</v>
      </c>
      <c r="F529" t="s">
        <v>298</v>
      </c>
      <c r="G529" t="s">
        <v>1816</v>
      </c>
      <c r="H529" t="s">
        <v>1740</v>
      </c>
      <c r="J529" s="38">
        <v>1</v>
      </c>
      <c r="K529" s="38">
        <v>1</v>
      </c>
      <c r="L529" t="s">
        <v>455</v>
      </c>
      <c r="M529" s="37">
        <v>1</v>
      </c>
      <c r="N529" s="37">
        <v>0.5</v>
      </c>
      <c r="O529">
        <v>100</v>
      </c>
      <c r="P529" s="37">
        <v>1</v>
      </c>
      <c r="Q529">
        <v>100</v>
      </c>
      <c r="R529">
        <v>1000</v>
      </c>
      <c r="S529">
        <v>1000</v>
      </c>
      <c r="T529">
        <v>1000</v>
      </c>
      <c r="U529" t="s">
        <v>1162</v>
      </c>
      <c r="W529" s="38">
        <v>0.6</v>
      </c>
      <c r="X529">
        <v>60</v>
      </c>
      <c r="Y529" t="s">
        <v>1170</v>
      </c>
      <c r="Z529" s="37">
        <v>0.6</v>
      </c>
      <c r="AA529" s="37">
        <v>0.6</v>
      </c>
      <c r="AB529">
        <v>100</v>
      </c>
    </row>
    <row r="530">
      <c r="A530" t="s">
        <v>1813</v>
      </c>
      <c r="B530" t="s">
        <v>1736</v>
      </c>
      <c r="C530" t="s">
        <v>1736</v>
      </c>
      <c r="D530" t="s">
        <v>1814</v>
      </c>
      <c r="E530" t="s">
        <v>1815</v>
      </c>
      <c r="F530" t="s">
        <v>298</v>
      </c>
      <c r="G530" t="s">
        <v>1816</v>
      </c>
      <c r="H530" t="s">
        <v>1817</v>
      </c>
      <c r="J530" s="38">
        <v>1</v>
      </c>
      <c r="K530" s="38">
        <v>1</v>
      </c>
      <c r="M530" s="37">
        <v>1</v>
      </c>
      <c r="N530" s="37">
        <v>0.5</v>
      </c>
      <c r="O530">
        <v>100</v>
      </c>
      <c r="P530" s="37">
        <v>1</v>
      </c>
      <c r="Q530">
        <v>100</v>
      </c>
      <c r="R530">
        <v>1000</v>
      </c>
      <c r="S530">
        <v>1000</v>
      </c>
      <c r="T530">
        <v>1000</v>
      </c>
      <c r="U530" t="s">
        <v>1162</v>
      </c>
      <c r="W530" s="38">
        <v>0.6</v>
      </c>
      <c r="X530">
        <v>60</v>
      </c>
      <c r="Y530" t="s">
        <v>1170</v>
      </c>
      <c r="Z530" s="37">
        <v>0.6</v>
      </c>
      <c r="AA530" s="37">
        <v>0.6</v>
      </c>
      <c r="AB530">
        <v>100</v>
      </c>
    </row>
    <row r="531">
      <c r="A531" t="s">
        <v>1818</v>
      </c>
      <c r="B531" t="s">
        <v>1736</v>
      </c>
      <c r="C531" t="s">
        <v>1736</v>
      </c>
      <c r="D531" t="s">
        <v>1819</v>
      </c>
      <c r="E531" t="s">
        <v>1820</v>
      </c>
      <c r="F531" t="s">
        <v>298</v>
      </c>
      <c r="G531" t="s">
        <v>1816</v>
      </c>
      <c r="H531" t="s">
        <v>1740</v>
      </c>
      <c r="I531" t="s">
        <v>1821</v>
      </c>
      <c r="J531" s="38">
        <v>1</v>
      </c>
      <c r="K531" s="38">
        <v>1</v>
      </c>
      <c r="M531" s="37">
        <v>1</v>
      </c>
      <c r="N531" s="37">
        <v>0.5</v>
      </c>
      <c r="O531">
        <v>1</v>
      </c>
      <c r="P531" s="37">
        <v>1</v>
      </c>
      <c r="Q531">
        <v>1</v>
      </c>
      <c r="R531">
        <v>1000</v>
      </c>
      <c r="S531">
        <v>1000</v>
      </c>
      <c r="T531">
        <v>1000</v>
      </c>
      <c r="U531" t="s">
        <v>1162</v>
      </c>
      <c r="W531" s="38">
        <v>0.6</v>
      </c>
      <c r="X531">
        <v>60</v>
      </c>
      <c r="Y531" t="s">
        <v>1170</v>
      </c>
      <c r="Z531" s="37">
        <v>0.6</v>
      </c>
      <c r="AA531" s="37">
        <v>0.6</v>
      </c>
      <c r="AB531">
        <v>100</v>
      </c>
    </row>
    <row r="532">
      <c r="A532" t="s">
        <v>1818</v>
      </c>
      <c r="B532" t="s">
        <v>1736</v>
      </c>
      <c r="C532" t="s">
        <v>1736</v>
      </c>
      <c r="D532" t="s">
        <v>1819</v>
      </c>
      <c r="E532" t="s">
        <v>1820</v>
      </c>
      <c r="F532" t="s">
        <v>298</v>
      </c>
      <c r="G532" t="s">
        <v>1816</v>
      </c>
      <c r="H532" t="s">
        <v>1817</v>
      </c>
      <c r="I532" t="s">
        <v>1822</v>
      </c>
      <c r="J532" s="38">
        <v>1</v>
      </c>
      <c r="K532" s="38">
        <v>1</v>
      </c>
      <c r="M532" s="37">
        <v>1</v>
      </c>
      <c r="N532" s="37">
        <v>0.5</v>
      </c>
      <c r="O532">
        <v>1</v>
      </c>
      <c r="P532" s="37">
        <v>1</v>
      </c>
      <c r="Q532">
        <v>1</v>
      </c>
      <c r="R532">
        <v>1000</v>
      </c>
      <c r="S532">
        <v>1000</v>
      </c>
      <c r="T532">
        <v>1000</v>
      </c>
      <c r="U532" t="s">
        <v>1162</v>
      </c>
      <c r="W532" s="38">
        <v>0.6</v>
      </c>
      <c r="X532">
        <v>60</v>
      </c>
      <c r="Y532" t="s">
        <v>1170</v>
      </c>
      <c r="Z532" s="37">
        <v>0.6</v>
      </c>
      <c r="AA532" s="37">
        <v>0.6</v>
      </c>
      <c r="AB532">
        <v>100</v>
      </c>
    </row>
    <row r="533">
      <c r="A533" t="s">
        <v>1823</v>
      </c>
      <c r="B533" t="s">
        <v>1500</v>
      </c>
      <c r="C533" t="s">
        <v>1500</v>
      </c>
      <c r="D533" t="s">
        <v>1824</v>
      </c>
      <c r="E533" t="s">
        <v>1825</v>
      </c>
      <c r="F533" t="s">
        <v>298</v>
      </c>
      <c r="G533" t="s">
        <v>1826</v>
      </c>
      <c r="H533" t="s">
        <v>1491</v>
      </c>
      <c r="I533" t="s">
        <v>1827</v>
      </c>
      <c r="J533" t="s">
        <v>1828</v>
      </c>
      <c r="K533" t="s">
        <v>1829</v>
      </c>
      <c r="M533" s="37">
        <v>0.99</v>
      </c>
      <c r="N533" s="37">
        <v>0.5</v>
      </c>
      <c r="O533">
        <v>0.99</v>
      </c>
      <c r="P533" s="37">
        <v>1.00633</v>
      </c>
      <c r="Q533">
        <v>0.98</v>
      </c>
      <c r="R533">
        <v>7119.87</v>
      </c>
      <c r="S533">
        <v>6919.87</v>
      </c>
      <c r="T533">
        <v>6000</v>
      </c>
      <c r="U533" t="s">
        <v>1162</v>
      </c>
      <c r="W533" s="38">
        <v>0.6</v>
      </c>
      <c r="X533">
        <v>60</v>
      </c>
      <c r="Y533" t="s">
        <v>1170</v>
      </c>
      <c r="Z533" s="37">
        <v>0.6</v>
      </c>
      <c r="AA533" s="37">
        <v>0.6</v>
      </c>
      <c r="AB533">
        <v>100</v>
      </c>
    </row>
    <row r="534">
      <c r="A534" t="s">
        <v>1823</v>
      </c>
      <c r="B534" t="s">
        <v>1500</v>
      </c>
      <c r="C534" t="s">
        <v>1500</v>
      </c>
      <c r="D534" t="s">
        <v>1824</v>
      </c>
      <c r="E534" t="s">
        <v>1825</v>
      </c>
      <c r="F534" t="s">
        <v>298</v>
      </c>
      <c r="G534" t="s">
        <v>1826</v>
      </c>
      <c r="H534" t="s">
        <v>1491</v>
      </c>
      <c r="I534" t="s">
        <v>1507</v>
      </c>
      <c r="J534" t="s">
        <v>977</v>
      </c>
      <c r="K534" t="s">
        <v>1830</v>
      </c>
      <c r="M534" s="37">
        <v>0.015</v>
      </c>
      <c r="N534" s="37">
        <v>0.15</v>
      </c>
      <c r="O534">
        <v>1.5</v>
      </c>
      <c r="P534" s="37">
        <v>1.00633</v>
      </c>
      <c r="Q534">
        <v>0.98</v>
      </c>
      <c r="R534">
        <v>7119.87</v>
      </c>
      <c r="S534">
        <v>6919.87</v>
      </c>
      <c r="T534">
        <v>6000</v>
      </c>
      <c r="U534" t="s">
        <v>1162</v>
      </c>
      <c r="W534" s="38">
        <v>0.6</v>
      </c>
      <c r="X534">
        <v>60</v>
      </c>
      <c r="Y534" t="s">
        <v>1170</v>
      </c>
      <c r="Z534" s="37">
        <v>0.6</v>
      </c>
      <c r="AA534" s="37">
        <v>0.6</v>
      </c>
      <c r="AB534">
        <v>100</v>
      </c>
    </row>
    <row r="535">
      <c r="A535" t="s">
        <v>1823</v>
      </c>
      <c r="B535" t="s">
        <v>1500</v>
      </c>
      <c r="C535" t="s">
        <v>1500</v>
      </c>
      <c r="D535" t="s">
        <v>1824</v>
      </c>
      <c r="E535" t="s">
        <v>1825</v>
      </c>
      <c r="F535" t="s">
        <v>298</v>
      </c>
      <c r="G535" t="s">
        <v>1826</v>
      </c>
      <c r="H535" t="s">
        <v>1491</v>
      </c>
      <c r="I535" t="s">
        <v>1547</v>
      </c>
      <c r="J535" t="s">
        <v>1831</v>
      </c>
      <c r="K535" t="s">
        <v>1832</v>
      </c>
      <c r="M535" s="37">
        <v>5.08</v>
      </c>
      <c r="N535" s="37">
        <v>0.1</v>
      </c>
      <c r="O535">
        <v>1.5</v>
      </c>
      <c r="P535" s="37">
        <v>1.00633</v>
      </c>
      <c r="Q535">
        <v>0.98</v>
      </c>
      <c r="R535">
        <v>7119.87</v>
      </c>
      <c r="S535">
        <v>6919.87</v>
      </c>
      <c r="T535">
        <v>6000</v>
      </c>
      <c r="U535" t="s">
        <v>1162</v>
      </c>
      <c r="W535" s="38">
        <v>0.6</v>
      </c>
      <c r="X535">
        <v>60</v>
      </c>
      <c r="Y535" t="s">
        <v>1170</v>
      </c>
      <c r="Z535" s="37">
        <v>0.6</v>
      </c>
      <c r="AA535" s="37">
        <v>0.6</v>
      </c>
      <c r="AB535">
        <v>100</v>
      </c>
    </row>
    <row r="536">
      <c r="A536" t="s">
        <v>1823</v>
      </c>
      <c r="B536" t="s">
        <v>1500</v>
      </c>
      <c r="C536" t="s">
        <v>1500</v>
      </c>
      <c r="D536" t="s">
        <v>1824</v>
      </c>
      <c r="E536" t="s">
        <v>1825</v>
      </c>
      <c r="F536" t="s">
        <v>298</v>
      </c>
      <c r="G536" t="s">
        <v>1826</v>
      </c>
      <c r="H536" t="s">
        <v>1512</v>
      </c>
      <c r="I536" t="s">
        <v>1513</v>
      </c>
      <c r="J536" t="s">
        <v>1590</v>
      </c>
      <c r="K536" t="s">
        <v>1833</v>
      </c>
      <c r="L536" s="38">
        <v>1.08</v>
      </c>
      <c r="M536" s="37">
        <v>0.0108</v>
      </c>
      <c r="N536" s="37">
        <v>0.1</v>
      </c>
      <c r="O536">
        <v>1.08</v>
      </c>
      <c r="P536" s="37">
        <v>1.00633</v>
      </c>
      <c r="Q536">
        <v>0.98</v>
      </c>
      <c r="R536">
        <v>7119.87</v>
      </c>
      <c r="S536">
        <v>6919.87</v>
      </c>
      <c r="T536">
        <v>6000</v>
      </c>
      <c r="U536" t="s">
        <v>1162</v>
      </c>
      <c r="W536" s="38">
        <v>0.6</v>
      </c>
      <c r="X536">
        <v>60</v>
      </c>
      <c r="Y536" t="s">
        <v>1170</v>
      </c>
      <c r="Z536" s="37">
        <v>0.6</v>
      </c>
      <c r="AA536" s="37">
        <v>0.6</v>
      </c>
      <c r="AB536">
        <v>100</v>
      </c>
    </row>
    <row r="537">
      <c r="A537" t="s">
        <v>1823</v>
      </c>
      <c r="B537" t="s">
        <v>1500</v>
      </c>
      <c r="C537" t="s">
        <v>1500</v>
      </c>
      <c r="D537" t="s">
        <v>1824</v>
      </c>
      <c r="E537" t="s">
        <v>1825</v>
      </c>
      <c r="F537" t="s">
        <v>298</v>
      </c>
      <c r="G537" t="s">
        <v>1826</v>
      </c>
      <c r="H537" t="s">
        <v>1495</v>
      </c>
      <c r="I537" t="s">
        <v>1834</v>
      </c>
      <c r="J537" t="s">
        <v>1835</v>
      </c>
      <c r="K537" t="s">
        <v>1836</v>
      </c>
      <c r="L537" s="38">
        <v>1.08</v>
      </c>
      <c r="M537" s="37">
        <v>0</v>
      </c>
      <c r="N537" s="37">
        <v>0.15</v>
      </c>
      <c r="O537">
        <v>0</v>
      </c>
      <c r="P537" s="37">
        <v>1.00633</v>
      </c>
      <c r="Q537">
        <v>0.98</v>
      </c>
      <c r="R537">
        <v>7119.87</v>
      </c>
      <c r="S537">
        <v>6919.87</v>
      </c>
      <c r="T537">
        <v>6000</v>
      </c>
      <c r="U537" t="s">
        <v>1162</v>
      </c>
      <c r="W537" s="38">
        <v>0.6</v>
      </c>
      <c r="X537">
        <v>60</v>
      </c>
      <c r="Y537" t="s">
        <v>1170</v>
      </c>
      <c r="Z537" s="37">
        <v>0.6</v>
      </c>
      <c r="AA537" s="37">
        <v>0.6</v>
      </c>
      <c r="AB537">
        <v>100</v>
      </c>
    </row>
    <row r="538">
      <c r="A538" t="s">
        <v>1837</v>
      </c>
      <c r="B538" t="s">
        <v>1500</v>
      </c>
      <c r="C538" t="s">
        <v>1500</v>
      </c>
      <c r="D538" t="s">
        <v>1824</v>
      </c>
      <c r="E538" t="s">
        <v>1838</v>
      </c>
      <c r="F538" t="s">
        <v>298</v>
      </c>
      <c r="G538" t="s">
        <v>1826</v>
      </c>
      <c r="H538" t="s">
        <v>1491</v>
      </c>
      <c r="J538" t="s">
        <v>1839</v>
      </c>
      <c r="K538" t="s">
        <v>1840</v>
      </c>
      <c r="L538" s="38">
        <v>1.08</v>
      </c>
      <c r="M538" s="37">
        <v>1.13</v>
      </c>
      <c r="N538" s="37">
        <v>0.5</v>
      </c>
      <c r="O538">
        <v>1.134</v>
      </c>
      <c r="P538" s="37">
        <v>1.785</v>
      </c>
      <c r="Q538">
        <v>1.06</v>
      </c>
      <c r="R538">
        <v>7572.33</v>
      </c>
      <c r="S538">
        <v>7172.33</v>
      </c>
      <c r="T538">
        <v>6000</v>
      </c>
      <c r="U538" t="s">
        <v>1162</v>
      </c>
      <c r="W538" s="38">
        <v>0.6</v>
      </c>
      <c r="X538">
        <v>60</v>
      </c>
      <c r="Y538" t="s">
        <v>1170</v>
      </c>
      <c r="Z538" s="37">
        <v>0.6</v>
      </c>
      <c r="AA538" s="37">
        <v>0.6</v>
      </c>
      <c r="AB538">
        <v>100</v>
      </c>
    </row>
    <row r="539">
      <c r="A539" t="s">
        <v>1837</v>
      </c>
      <c r="B539" t="s">
        <v>1500</v>
      </c>
      <c r="C539" t="s">
        <v>1500</v>
      </c>
      <c r="D539" t="s">
        <v>1824</v>
      </c>
      <c r="E539" t="s">
        <v>1838</v>
      </c>
      <c r="F539" t="s">
        <v>298</v>
      </c>
      <c r="G539" t="s">
        <v>1826</v>
      </c>
      <c r="H539" t="s">
        <v>1526</v>
      </c>
      <c r="I539" t="s">
        <v>1841</v>
      </c>
      <c r="J539" t="s">
        <v>1842</v>
      </c>
      <c r="K539" t="s">
        <v>1843</v>
      </c>
      <c r="L539" s="38">
        <v>1.08</v>
      </c>
      <c r="M539" s="37">
        <v>5.2</v>
      </c>
      <c r="N539" s="37">
        <v>0.15</v>
      </c>
      <c r="O539">
        <v>1.5</v>
      </c>
      <c r="P539" s="37">
        <v>1.785</v>
      </c>
      <c r="Q539">
        <v>1.06</v>
      </c>
      <c r="R539">
        <v>7572.33</v>
      </c>
      <c r="S539">
        <v>7172.33</v>
      </c>
      <c r="T539">
        <v>6000</v>
      </c>
      <c r="U539" t="s">
        <v>1162</v>
      </c>
      <c r="W539" s="38">
        <v>0.6</v>
      </c>
      <c r="X539">
        <v>60</v>
      </c>
      <c r="Y539" t="s">
        <v>1170</v>
      </c>
      <c r="Z539" s="37">
        <v>0.6</v>
      </c>
      <c r="AA539" s="37">
        <v>0.6</v>
      </c>
      <c r="AB539">
        <v>100</v>
      </c>
    </row>
    <row r="540">
      <c r="A540" t="s">
        <v>1837</v>
      </c>
      <c r="B540" t="s">
        <v>1500</v>
      </c>
      <c r="C540" t="s">
        <v>1500</v>
      </c>
      <c r="D540" t="s">
        <v>1824</v>
      </c>
      <c r="E540" t="s">
        <v>1838</v>
      </c>
      <c r="F540" t="s">
        <v>298</v>
      </c>
      <c r="G540" t="s">
        <v>1826</v>
      </c>
      <c r="H540" t="s">
        <v>1526</v>
      </c>
      <c r="I540" t="s">
        <v>1844</v>
      </c>
      <c r="J540" t="s">
        <v>1845</v>
      </c>
      <c r="K540" t="s">
        <v>1846</v>
      </c>
      <c r="L540" s="38">
        <v>1.08</v>
      </c>
      <c r="M540" s="37">
        <v>3.23</v>
      </c>
      <c r="N540" s="37">
        <v>0.1</v>
      </c>
      <c r="O540">
        <v>1.5</v>
      </c>
      <c r="P540" s="37">
        <v>1.785</v>
      </c>
      <c r="Q540">
        <v>1.06</v>
      </c>
      <c r="R540">
        <v>7572.33</v>
      </c>
      <c r="S540">
        <v>7172.33</v>
      </c>
      <c r="T540">
        <v>6000</v>
      </c>
      <c r="U540" t="s">
        <v>1162</v>
      </c>
      <c r="W540" s="38">
        <v>0.6</v>
      </c>
      <c r="X540">
        <v>60</v>
      </c>
      <c r="Y540" t="s">
        <v>1170</v>
      </c>
      <c r="Z540" s="37">
        <v>0.6</v>
      </c>
      <c r="AA540" s="37">
        <v>0.6</v>
      </c>
      <c r="AB540">
        <v>100</v>
      </c>
    </row>
    <row r="541">
      <c r="A541" t="s">
        <v>1837</v>
      </c>
      <c r="B541" t="s">
        <v>1500</v>
      </c>
      <c r="C541" t="s">
        <v>1500</v>
      </c>
      <c r="D541" t="s">
        <v>1824</v>
      </c>
      <c r="E541" t="s">
        <v>1838</v>
      </c>
      <c r="F541" t="s">
        <v>298</v>
      </c>
      <c r="G541" t="s">
        <v>1826</v>
      </c>
      <c r="H541" t="s">
        <v>1512</v>
      </c>
      <c r="J541" t="s">
        <v>1847</v>
      </c>
      <c r="K541" t="s">
        <v>1848</v>
      </c>
      <c r="L541" s="38">
        <v>1.08</v>
      </c>
      <c r="M541" s="37">
        <v>1.17</v>
      </c>
      <c r="N541" s="37">
        <v>0.1</v>
      </c>
      <c r="O541">
        <v>1.167</v>
      </c>
      <c r="P541" s="37">
        <v>1.785</v>
      </c>
      <c r="Q541">
        <v>1.06</v>
      </c>
      <c r="R541">
        <v>7572.33</v>
      </c>
      <c r="S541">
        <v>7172.33</v>
      </c>
      <c r="T541">
        <v>6000</v>
      </c>
      <c r="U541" t="s">
        <v>1162</v>
      </c>
      <c r="W541" s="38">
        <v>0.6</v>
      </c>
      <c r="X541">
        <v>60</v>
      </c>
      <c r="Y541" t="s">
        <v>1170</v>
      </c>
      <c r="Z541" s="37">
        <v>0.6</v>
      </c>
      <c r="AA541" s="37">
        <v>0.6</v>
      </c>
      <c r="AB541">
        <v>100</v>
      </c>
    </row>
    <row r="542">
      <c r="A542" t="s">
        <v>1837</v>
      </c>
      <c r="B542" t="s">
        <v>1500</v>
      </c>
      <c r="C542" t="s">
        <v>1500</v>
      </c>
      <c r="D542" t="s">
        <v>1824</v>
      </c>
      <c r="E542" t="s">
        <v>1838</v>
      </c>
      <c r="F542" t="s">
        <v>298</v>
      </c>
      <c r="G542" t="s">
        <v>1826</v>
      </c>
      <c r="H542" t="s">
        <v>1495</v>
      </c>
      <c r="J542" t="s">
        <v>1497</v>
      </c>
      <c r="K542" t="s">
        <v>1849</v>
      </c>
      <c r="L542" s="38">
        <v>1.08</v>
      </c>
      <c r="M542" s="37">
        <v>0</v>
      </c>
      <c r="N542" s="37">
        <v>0.15</v>
      </c>
      <c r="O542">
        <v>0</v>
      </c>
      <c r="P542" s="37">
        <v>1.785</v>
      </c>
      <c r="Q542">
        <v>1.06</v>
      </c>
      <c r="R542">
        <v>7572.33</v>
      </c>
      <c r="S542">
        <v>7172.33</v>
      </c>
      <c r="T542">
        <v>6000</v>
      </c>
      <c r="U542" t="s">
        <v>1162</v>
      </c>
      <c r="W542" s="38">
        <v>0.6</v>
      </c>
      <c r="X542">
        <v>60</v>
      </c>
      <c r="Y542" t="s">
        <v>1170</v>
      </c>
      <c r="Z542" s="37">
        <v>0.6</v>
      </c>
      <c r="AA542" s="37">
        <v>0.6</v>
      </c>
      <c r="AB542">
        <v>100</v>
      </c>
    </row>
    <row r="543">
      <c r="A543" t="s">
        <v>1850</v>
      </c>
      <c r="B543" t="s">
        <v>1851</v>
      </c>
      <c r="C543" t="s">
        <v>1851</v>
      </c>
      <c r="D543" t="s">
        <v>1824</v>
      </c>
      <c r="E543" t="s">
        <v>1852</v>
      </c>
      <c r="F543" t="s">
        <v>298</v>
      </c>
      <c r="G543" t="s">
        <v>1826</v>
      </c>
      <c r="H543" t="s">
        <v>1491</v>
      </c>
      <c r="I543" t="s">
        <v>1853</v>
      </c>
      <c r="J543" t="s">
        <v>1828</v>
      </c>
      <c r="K543" t="s">
        <v>1854</v>
      </c>
      <c r="L543" s="38">
        <v>1.08</v>
      </c>
      <c r="M543" s="37">
        <v>0.88</v>
      </c>
      <c r="N543" s="37">
        <v>0.5</v>
      </c>
      <c r="O543">
        <v>0.88</v>
      </c>
      <c r="P543" s="37">
        <v>0.995</v>
      </c>
      <c r="Q543">
        <v>0.92</v>
      </c>
      <c r="R543">
        <v>5680.82</v>
      </c>
      <c r="S543">
        <v>5766.53</v>
      </c>
      <c r="T543">
        <v>6000</v>
      </c>
      <c r="U543" t="s">
        <v>1162</v>
      </c>
      <c r="W543" s="38">
        <v>0.6</v>
      </c>
      <c r="X543">
        <v>60</v>
      </c>
      <c r="Y543" t="s">
        <v>1170</v>
      </c>
      <c r="Z543" s="37">
        <v>0.6</v>
      </c>
      <c r="AA543" s="37">
        <v>0.6</v>
      </c>
      <c r="AB543">
        <v>100</v>
      </c>
    </row>
    <row r="544">
      <c r="A544" t="s">
        <v>1850</v>
      </c>
      <c r="B544" t="s">
        <v>1851</v>
      </c>
      <c r="C544" t="s">
        <v>1851</v>
      </c>
      <c r="D544" t="s">
        <v>1824</v>
      </c>
      <c r="E544" t="s">
        <v>1852</v>
      </c>
      <c r="F544" t="s">
        <v>298</v>
      </c>
      <c r="G544" t="s">
        <v>1826</v>
      </c>
      <c r="H544" t="s">
        <v>1491</v>
      </c>
      <c r="I544" t="s">
        <v>1507</v>
      </c>
      <c r="J544" t="s">
        <v>977</v>
      </c>
      <c r="K544" t="s">
        <v>1855</v>
      </c>
      <c r="L544" s="38">
        <v>1.08</v>
      </c>
      <c r="M544" s="37">
        <v>2.02</v>
      </c>
      <c r="N544" s="37">
        <v>0.15</v>
      </c>
      <c r="O544">
        <v>1.5</v>
      </c>
      <c r="P544" s="37">
        <v>0.995</v>
      </c>
      <c r="Q544">
        <v>0.92</v>
      </c>
      <c r="R544">
        <v>5680.82</v>
      </c>
      <c r="S544">
        <v>5766.53</v>
      </c>
      <c r="T544">
        <v>6000</v>
      </c>
      <c r="U544" t="s">
        <v>1162</v>
      </c>
      <c r="W544" s="38">
        <v>0.6</v>
      </c>
      <c r="X544">
        <v>60</v>
      </c>
      <c r="Y544" t="s">
        <v>1170</v>
      </c>
      <c r="Z544" s="37">
        <v>0.6</v>
      </c>
      <c r="AA544" s="37">
        <v>0.6</v>
      </c>
      <c r="AB544">
        <v>100</v>
      </c>
    </row>
    <row r="545">
      <c r="A545" t="s">
        <v>1850</v>
      </c>
      <c r="B545" t="s">
        <v>1851</v>
      </c>
      <c r="C545" t="s">
        <v>1851</v>
      </c>
      <c r="D545" t="s">
        <v>1824</v>
      </c>
      <c r="E545" t="s">
        <v>1852</v>
      </c>
      <c r="F545" t="s">
        <v>298</v>
      </c>
      <c r="G545" t="s">
        <v>1826</v>
      </c>
      <c r="H545" t="s">
        <v>1491</v>
      </c>
      <c r="I545" t="s">
        <v>1547</v>
      </c>
      <c r="J545" t="s">
        <v>1831</v>
      </c>
      <c r="K545" t="s">
        <v>1856</v>
      </c>
      <c r="L545" s="38">
        <v>1.08</v>
      </c>
      <c r="M545" s="37">
        <v>1.5</v>
      </c>
      <c r="N545" s="37">
        <v>0.1</v>
      </c>
      <c r="O545">
        <v>1.5</v>
      </c>
      <c r="P545" s="37">
        <v>0.995</v>
      </c>
      <c r="Q545">
        <v>0.92</v>
      </c>
      <c r="R545">
        <v>5680.82</v>
      </c>
      <c r="S545">
        <v>5766.53</v>
      </c>
      <c r="T545">
        <v>6000</v>
      </c>
      <c r="U545" t="s">
        <v>1162</v>
      </c>
      <c r="W545" s="38">
        <v>0.6</v>
      </c>
      <c r="X545">
        <v>60</v>
      </c>
      <c r="Y545" t="s">
        <v>1170</v>
      </c>
      <c r="Z545" s="37">
        <v>0.6</v>
      </c>
      <c r="AA545" s="37">
        <v>0.6</v>
      </c>
      <c r="AB545">
        <v>100</v>
      </c>
    </row>
    <row r="546">
      <c r="A546" t="s">
        <v>1850</v>
      </c>
      <c r="B546" t="s">
        <v>1851</v>
      </c>
      <c r="C546" t="s">
        <v>1851</v>
      </c>
      <c r="D546" t="s">
        <v>1824</v>
      </c>
      <c r="E546" t="s">
        <v>1852</v>
      </c>
      <c r="F546" t="s">
        <v>298</v>
      </c>
      <c r="G546" t="s">
        <v>1826</v>
      </c>
      <c r="H546" t="s">
        <v>1512</v>
      </c>
      <c r="I546" t="s">
        <v>1513</v>
      </c>
      <c r="J546" t="s">
        <v>1590</v>
      </c>
      <c r="K546" t="s">
        <v>1857</v>
      </c>
      <c r="L546" s="38">
        <v>1.08</v>
      </c>
      <c r="M546" s="37">
        <v>1.02</v>
      </c>
      <c r="N546" s="37">
        <v>0.1</v>
      </c>
      <c r="O546">
        <v>1.02</v>
      </c>
      <c r="P546" s="37">
        <v>0.995</v>
      </c>
      <c r="Q546">
        <v>0.92</v>
      </c>
      <c r="R546">
        <v>5680.82</v>
      </c>
      <c r="S546">
        <v>5766.53</v>
      </c>
      <c r="T546">
        <v>6000</v>
      </c>
      <c r="U546" t="s">
        <v>1162</v>
      </c>
      <c r="W546" s="38">
        <v>0.6</v>
      </c>
      <c r="X546">
        <v>60</v>
      </c>
      <c r="Y546" t="s">
        <v>1170</v>
      </c>
      <c r="Z546" s="37">
        <v>0.6</v>
      </c>
      <c r="AA546" s="37">
        <v>0.6</v>
      </c>
      <c r="AB546">
        <v>100</v>
      </c>
    </row>
    <row r="547">
      <c r="A547" t="s">
        <v>1850</v>
      </c>
      <c r="B547" t="s">
        <v>1851</v>
      </c>
      <c r="C547" t="s">
        <v>1851</v>
      </c>
      <c r="D547" t="s">
        <v>1824</v>
      </c>
      <c r="E547" t="s">
        <v>1852</v>
      </c>
      <c r="F547" t="s">
        <v>298</v>
      </c>
      <c r="G547" t="s">
        <v>1826</v>
      </c>
      <c r="H547" t="s">
        <v>1495</v>
      </c>
      <c r="I547" t="s">
        <v>1834</v>
      </c>
      <c r="J547" t="s">
        <v>1835</v>
      </c>
      <c r="K547" t="s">
        <v>1858</v>
      </c>
      <c r="L547" s="38">
        <v>1.08</v>
      </c>
      <c r="M547" s="37">
        <v>0</v>
      </c>
      <c r="N547" s="37">
        <v>0.15</v>
      </c>
      <c r="O547">
        <v>0</v>
      </c>
      <c r="P547" s="37">
        <v>0.995</v>
      </c>
      <c r="Q547">
        <v>0.92</v>
      </c>
      <c r="R547">
        <v>5680.82</v>
      </c>
      <c r="S547">
        <v>5766.53</v>
      </c>
      <c r="T547">
        <v>6000</v>
      </c>
      <c r="U547" t="s">
        <v>1162</v>
      </c>
      <c r="W547" s="38">
        <v>0.6</v>
      </c>
      <c r="X547">
        <v>60</v>
      </c>
      <c r="Y547" t="s">
        <v>1170</v>
      </c>
      <c r="Z547" s="37">
        <v>0.6</v>
      </c>
      <c r="AA547" s="37">
        <v>0.6</v>
      </c>
      <c r="AB547">
        <v>100</v>
      </c>
    </row>
    <row r="548">
      <c r="A548" t="s">
        <v>1859</v>
      </c>
      <c r="B548" t="s">
        <v>1860</v>
      </c>
      <c r="C548" t="s">
        <v>1860</v>
      </c>
      <c r="D548" t="s">
        <v>1861</v>
      </c>
      <c r="E548" t="s">
        <v>1862</v>
      </c>
      <c r="F548" t="s">
        <v>298</v>
      </c>
      <c r="G548" t="s">
        <v>1863</v>
      </c>
      <c r="H548" t="s">
        <v>1864</v>
      </c>
      <c r="I548" t="s">
        <v>1865</v>
      </c>
      <c r="J548" s="38">
        <v>1</v>
      </c>
      <c r="K548" t="s">
        <v>1866</v>
      </c>
      <c r="L548" t="s">
        <v>1867</v>
      </c>
      <c r="M548" s="37">
        <v>1</v>
      </c>
      <c r="N548" s="37">
        <v>0.25</v>
      </c>
      <c r="O548">
        <v>1</v>
      </c>
      <c r="P548" s="37">
        <v>0.7378</v>
      </c>
      <c r="Q548">
        <v>0.74</v>
      </c>
      <c r="R548">
        <v>3680</v>
      </c>
      <c r="S548">
        <v>3680</v>
      </c>
      <c r="T548">
        <v>5000</v>
      </c>
      <c r="U548" t="s">
        <v>1162</v>
      </c>
      <c r="W548" s="38">
        <v>0.6</v>
      </c>
      <c r="X548">
        <v>60</v>
      </c>
      <c r="Y548" t="s">
        <v>1170</v>
      </c>
      <c r="Z548" s="37">
        <v>0.6</v>
      </c>
      <c r="AA548" s="37">
        <v>0.6</v>
      </c>
      <c r="AB548">
        <v>100</v>
      </c>
    </row>
    <row r="549">
      <c r="A549" t="s">
        <v>1859</v>
      </c>
      <c r="B549" t="s">
        <v>1860</v>
      </c>
      <c r="C549" t="s">
        <v>1860</v>
      </c>
      <c r="D549" t="s">
        <v>1861</v>
      </c>
      <c r="E549" t="s">
        <v>1862</v>
      </c>
      <c r="F549" t="s">
        <v>298</v>
      </c>
      <c r="G549" t="s">
        <v>1863</v>
      </c>
      <c r="H549" t="s">
        <v>1864</v>
      </c>
      <c r="I549" t="s">
        <v>1868</v>
      </c>
      <c r="J549">
        <v>100</v>
      </c>
      <c r="K549" t="s">
        <v>1866</v>
      </c>
      <c r="L549" t="s">
        <v>1869</v>
      </c>
      <c r="M549" s="37">
        <v>1</v>
      </c>
      <c r="N549" s="37">
        <v>0.25</v>
      </c>
      <c r="O549">
        <v>1</v>
      </c>
      <c r="P549" s="37">
        <v>0.7378</v>
      </c>
      <c r="Q549">
        <v>0.74</v>
      </c>
      <c r="R549">
        <v>3680</v>
      </c>
      <c r="S549">
        <v>3680</v>
      </c>
      <c r="T549">
        <v>5000</v>
      </c>
      <c r="U549" t="s">
        <v>1162</v>
      </c>
      <c r="W549" s="38">
        <v>0.6</v>
      </c>
      <c r="X549">
        <v>60</v>
      </c>
      <c r="Y549" t="s">
        <v>1170</v>
      </c>
      <c r="Z549" s="37">
        <v>0.6</v>
      </c>
      <c r="AA549" s="37">
        <v>0.6</v>
      </c>
      <c r="AB549">
        <v>100</v>
      </c>
    </row>
    <row r="550">
      <c r="A550" t="s">
        <v>1859</v>
      </c>
      <c r="B550" t="s">
        <v>1860</v>
      </c>
      <c r="C550" t="s">
        <v>1860</v>
      </c>
      <c r="D550" t="s">
        <v>1861</v>
      </c>
      <c r="E550" t="s">
        <v>1862</v>
      </c>
      <c r="F550" t="s">
        <v>298</v>
      </c>
      <c r="G550" t="s">
        <v>1863</v>
      </c>
      <c r="H550" t="s">
        <v>1864</v>
      </c>
      <c r="I550" t="s">
        <v>1870</v>
      </c>
      <c r="J550">
        <v>100</v>
      </c>
      <c r="K550" t="s">
        <v>1866</v>
      </c>
      <c r="L550" t="s">
        <v>1871</v>
      </c>
      <c r="M550" s="37">
        <v>1</v>
      </c>
      <c r="N550" s="37">
        <v>0.2</v>
      </c>
      <c r="O550">
        <v>1</v>
      </c>
      <c r="P550" s="37">
        <v>0.7378</v>
      </c>
      <c r="Q550">
        <v>0.74</v>
      </c>
      <c r="R550">
        <v>3680</v>
      </c>
      <c r="S550">
        <v>3680</v>
      </c>
      <c r="T550">
        <v>5000</v>
      </c>
      <c r="U550" t="s">
        <v>1162</v>
      </c>
      <c r="W550" s="38">
        <v>0.6</v>
      </c>
      <c r="X550">
        <v>60</v>
      </c>
      <c r="Y550" t="s">
        <v>1170</v>
      </c>
      <c r="Z550" s="37">
        <v>0.6</v>
      </c>
      <c r="AA550" s="37">
        <v>0.6</v>
      </c>
      <c r="AB550">
        <v>100</v>
      </c>
    </row>
    <row r="551">
      <c r="A551" t="s">
        <v>1859</v>
      </c>
      <c r="B551" t="s">
        <v>1860</v>
      </c>
      <c r="C551" t="s">
        <v>1860</v>
      </c>
      <c r="D551" t="s">
        <v>1861</v>
      </c>
      <c r="E551" t="s">
        <v>1862</v>
      </c>
      <c r="F551" t="s">
        <v>298</v>
      </c>
      <c r="G551" t="s">
        <v>1863</v>
      </c>
      <c r="H551" t="s">
        <v>1872</v>
      </c>
      <c r="I551" t="s">
        <v>1873</v>
      </c>
      <c r="J551">
        <v>100</v>
      </c>
      <c r="K551" t="s">
        <v>1866</v>
      </c>
      <c r="L551" t="s">
        <v>1874</v>
      </c>
      <c r="M551" s="37">
        <v>0.126</v>
      </c>
      <c r="N551" s="37">
        <v>0.3</v>
      </c>
      <c r="O551">
        <v>0.12</v>
      </c>
      <c r="P551" s="37">
        <v>0.7378</v>
      </c>
      <c r="Q551">
        <v>0.74</v>
      </c>
      <c r="R551">
        <v>3680</v>
      </c>
      <c r="S551">
        <v>3680</v>
      </c>
      <c r="T551">
        <v>5000</v>
      </c>
      <c r="U551" t="s">
        <v>1162</v>
      </c>
      <c r="W551" s="38">
        <v>0.6</v>
      </c>
      <c r="X551">
        <v>60</v>
      </c>
      <c r="Y551" t="s">
        <v>1170</v>
      </c>
      <c r="Z551" s="37">
        <v>0.6</v>
      </c>
      <c r="AA551" s="37">
        <v>0.6</v>
      </c>
      <c r="AB551">
        <v>100</v>
      </c>
    </row>
    <row r="552">
      <c r="A552" t="s">
        <v>1875</v>
      </c>
      <c r="B552" t="s">
        <v>1860</v>
      </c>
      <c r="C552" t="s">
        <v>1860</v>
      </c>
      <c r="D552" t="s">
        <v>1876</v>
      </c>
      <c r="E552" t="s">
        <v>1877</v>
      </c>
      <c r="F552" t="s">
        <v>298</v>
      </c>
      <c r="G552" t="s">
        <v>1878</v>
      </c>
      <c r="H552" t="s">
        <v>1879</v>
      </c>
      <c r="I552" t="s">
        <v>1880</v>
      </c>
      <c r="J552" s="38">
        <v>1</v>
      </c>
      <c r="K552" s="38">
        <v>1</v>
      </c>
      <c r="L552" t="s">
        <v>1881</v>
      </c>
      <c r="M552" s="37">
        <v>1</v>
      </c>
      <c r="N552" s="37">
        <v>0.4</v>
      </c>
      <c r="O552">
        <v>1</v>
      </c>
      <c r="P552" s="37">
        <v>1</v>
      </c>
      <c r="Q552">
        <v>1</v>
      </c>
      <c r="R552">
        <v>1200</v>
      </c>
      <c r="S552">
        <v>1200</v>
      </c>
      <c r="T552">
        <v>1200</v>
      </c>
      <c r="U552" t="s">
        <v>1162</v>
      </c>
      <c r="W552" s="38">
        <v>0.6</v>
      </c>
      <c r="X552">
        <v>60</v>
      </c>
      <c r="Y552" t="s">
        <v>1170</v>
      </c>
      <c r="Z552" s="37">
        <v>0.6</v>
      </c>
      <c r="AA552" s="37">
        <v>0.6</v>
      </c>
      <c r="AB552">
        <v>100</v>
      </c>
    </row>
    <row r="553">
      <c r="A553" t="s">
        <v>1875</v>
      </c>
      <c r="B553" t="s">
        <v>1860</v>
      </c>
      <c r="C553" t="s">
        <v>1860</v>
      </c>
      <c r="D553" t="s">
        <v>1876</v>
      </c>
      <c r="E553" t="s">
        <v>1877</v>
      </c>
      <c r="F553" t="s">
        <v>298</v>
      </c>
      <c r="G553" t="s">
        <v>1878</v>
      </c>
      <c r="H553" t="s">
        <v>1879</v>
      </c>
      <c r="I553" t="s">
        <v>1882</v>
      </c>
      <c r="J553" s="38">
        <v>1</v>
      </c>
      <c r="K553" s="38">
        <v>1</v>
      </c>
      <c r="L553" t="s">
        <v>1883</v>
      </c>
      <c r="M553" s="37">
        <v>1</v>
      </c>
      <c r="N553" s="37">
        <v>0.2</v>
      </c>
      <c r="O553">
        <v>1</v>
      </c>
      <c r="P553" s="37">
        <v>1</v>
      </c>
      <c r="Q553">
        <v>1</v>
      </c>
      <c r="R553">
        <v>1200</v>
      </c>
      <c r="S553">
        <v>1200</v>
      </c>
      <c r="T553">
        <v>1200</v>
      </c>
      <c r="U553" t="s">
        <v>1162</v>
      </c>
      <c r="W553" s="38">
        <v>0.6</v>
      </c>
      <c r="X553">
        <v>60</v>
      </c>
      <c r="Y553" t="s">
        <v>1170</v>
      </c>
      <c r="Z553" s="37">
        <v>0.6</v>
      </c>
      <c r="AA553" s="37">
        <v>0.6</v>
      </c>
      <c r="AB553">
        <v>100</v>
      </c>
    </row>
    <row r="554">
      <c r="A554" t="s">
        <v>1875</v>
      </c>
      <c r="B554" t="s">
        <v>1860</v>
      </c>
      <c r="C554" t="s">
        <v>1860</v>
      </c>
      <c r="D554" t="s">
        <v>1876</v>
      </c>
      <c r="E554" t="s">
        <v>1877</v>
      </c>
      <c r="F554" t="s">
        <v>298</v>
      </c>
      <c r="G554" t="s">
        <v>1878</v>
      </c>
      <c r="H554" t="s">
        <v>1879</v>
      </c>
      <c r="I554" t="s">
        <v>1884</v>
      </c>
      <c r="J554" s="38">
        <v>1</v>
      </c>
      <c r="K554" s="38">
        <v>1</v>
      </c>
      <c r="L554" t="s">
        <v>1885</v>
      </c>
      <c r="M554" s="37">
        <v>1</v>
      </c>
      <c r="N554" s="37">
        <v>0.05</v>
      </c>
      <c r="O554">
        <v>1</v>
      </c>
      <c r="P554" s="37">
        <v>1</v>
      </c>
      <c r="Q554">
        <v>1</v>
      </c>
      <c r="R554">
        <v>1200</v>
      </c>
      <c r="S554">
        <v>1200</v>
      </c>
      <c r="T554">
        <v>1200</v>
      </c>
      <c r="U554" t="s">
        <v>1162</v>
      </c>
      <c r="W554" s="38">
        <v>0.6</v>
      </c>
      <c r="X554">
        <v>60</v>
      </c>
      <c r="Y554" t="s">
        <v>1170</v>
      </c>
      <c r="Z554" s="37">
        <v>0.6</v>
      </c>
      <c r="AA554" s="37">
        <v>0.6</v>
      </c>
      <c r="AB554">
        <v>100</v>
      </c>
    </row>
    <row r="555">
      <c r="A555" t="s">
        <v>1875</v>
      </c>
      <c r="B555" t="s">
        <v>1860</v>
      </c>
      <c r="C555" t="s">
        <v>1860</v>
      </c>
      <c r="D555" t="s">
        <v>1876</v>
      </c>
      <c r="E555" t="s">
        <v>1877</v>
      </c>
      <c r="F555" t="s">
        <v>298</v>
      </c>
      <c r="G555" t="s">
        <v>1878</v>
      </c>
      <c r="H555" t="s">
        <v>1879</v>
      </c>
      <c r="I555" t="s">
        <v>1886</v>
      </c>
      <c r="J555" s="38">
        <v>1</v>
      </c>
      <c r="K555" s="38">
        <v>1</v>
      </c>
      <c r="L555" t="s">
        <v>1887</v>
      </c>
      <c r="M555" s="37">
        <v>1</v>
      </c>
      <c r="N555" s="37">
        <v>0.25</v>
      </c>
      <c r="O555">
        <v>1</v>
      </c>
      <c r="P555" s="37">
        <v>1</v>
      </c>
      <c r="Q555">
        <v>1</v>
      </c>
      <c r="R555">
        <v>1200</v>
      </c>
      <c r="S555">
        <v>1200</v>
      </c>
      <c r="T555">
        <v>1200</v>
      </c>
      <c r="U555" t="s">
        <v>1162</v>
      </c>
      <c r="W555" s="38">
        <v>0.6</v>
      </c>
      <c r="X555">
        <v>60</v>
      </c>
      <c r="Y555" t="s">
        <v>1170</v>
      </c>
      <c r="Z555" s="37">
        <v>0.6</v>
      </c>
      <c r="AA555" s="37">
        <v>0.6</v>
      </c>
      <c r="AB555">
        <v>100</v>
      </c>
    </row>
    <row r="556">
      <c r="A556" t="s">
        <v>1875</v>
      </c>
      <c r="B556" t="s">
        <v>1860</v>
      </c>
      <c r="C556" t="s">
        <v>1860</v>
      </c>
      <c r="D556" t="s">
        <v>1876</v>
      </c>
      <c r="E556" t="s">
        <v>1877</v>
      </c>
      <c r="F556" t="s">
        <v>298</v>
      </c>
      <c r="G556" t="s">
        <v>1878</v>
      </c>
      <c r="H556" t="s">
        <v>1879</v>
      </c>
      <c r="I556" t="s">
        <v>1888</v>
      </c>
      <c r="J556">
        <v>100</v>
      </c>
      <c r="K556" s="38">
        <v>1</v>
      </c>
      <c r="L556" t="s">
        <v>1889</v>
      </c>
      <c r="M556" s="37">
        <v>1</v>
      </c>
      <c r="N556" s="37">
        <v>0.1</v>
      </c>
      <c r="O556">
        <v>1</v>
      </c>
      <c r="P556" s="37">
        <v>1</v>
      </c>
      <c r="Q556">
        <v>1</v>
      </c>
      <c r="R556">
        <v>1200</v>
      </c>
      <c r="S556">
        <v>1200</v>
      </c>
      <c r="T556">
        <v>1200</v>
      </c>
      <c r="U556" t="s">
        <v>1162</v>
      </c>
      <c r="W556" s="38">
        <v>0.6</v>
      </c>
      <c r="X556">
        <v>60</v>
      </c>
      <c r="Y556" t="s">
        <v>1170</v>
      </c>
      <c r="Z556" s="37">
        <v>0.6</v>
      </c>
      <c r="AA556" s="37">
        <v>0.6</v>
      </c>
      <c r="AB556">
        <v>100</v>
      </c>
    </row>
    <row r="557">
      <c r="A557" t="s">
        <v>1890</v>
      </c>
      <c r="B557" t="s">
        <v>1860</v>
      </c>
      <c r="C557" t="s">
        <v>1860</v>
      </c>
      <c r="D557" t="s">
        <v>1891</v>
      </c>
      <c r="E557" t="s">
        <v>1892</v>
      </c>
      <c r="F557" t="s">
        <v>298</v>
      </c>
      <c r="G557" t="s">
        <v>1893</v>
      </c>
      <c r="H557" t="s">
        <v>1894</v>
      </c>
      <c r="J557" t="s">
        <v>1895</v>
      </c>
      <c r="K557" t="s">
        <v>1895</v>
      </c>
      <c r="L557" t="s">
        <v>1889</v>
      </c>
      <c r="M557" s="37">
        <v>1</v>
      </c>
      <c r="N557" s="37">
        <v>0.4</v>
      </c>
      <c r="O557">
        <v>1</v>
      </c>
      <c r="P557" s="37">
        <v>1.025</v>
      </c>
      <c r="Q557">
        <v>1.03</v>
      </c>
      <c r="R557">
        <v>2596.15</v>
      </c>
      <c r="S557">
        <v>2596.15</v>
      </c>
      <c r="T557">
        <v>3000</v>
      </c>
      <c r="U557" t="s">
        <v>1162</v>
      </c>
      <c r="W557" s="38">
        <v>0.6</v>
      </c>
      <c r="X557">
        <v>60</v>
      </c>
      <c r="Y557" t="s">
        <v>1170</v>
      </c>
      <c r="Z557" s="37">
        <v>0.6</v>
      </c>
      <c r="AA557" s="37">
        <v>0.6</v>
      </c>
      <c r="AB557">
        <v>100</v>
      </c>
    </row>
    <row r="558">
      <c r="A558" t="s">
        <v>1890</v>
      </c>
      <c r="B558" t="s">
        <v>1860</v>
      </c>
      <c r="C558" t="s">
        <v>1860</v>
      </c>
      <c r="D558" t="s">
        <v>1891</v>
      </c>
      <c r="E558" t="s">
        <v>1892</v>
      </c>
      <c r="F558" t="s">
        <v>298</v>
      </c>
      <c r="G558" t="s">
        <v>1893</v>
      </c>
      <c r="H558" t="s">
        <v>1896</v>
      </c>
      <c r="J558" t="s">
        <v>1897</v>
      </c>
      <c r="K558" t="s">
        <v>1898</v>
      </c>
      <c r="L558" t="s">
        <v>1889</v>
      </c>
      <c r="M558" s="37">
        <v>1.5</v>
      </c>
      <c r="N558" s="37">
        <v>0.2</v>
      </c>
      <c r="O558">
        <v>1.5</v>
      </c>
      <c r="P558" s="37">
        <v>1.025</v>
      </c>
      <c r="Q558">
        <v>1.03</v>
      </c>
      <c r="R558">
        <v>2596.15</v>
      </c>
      <c r="S558">
        <v>2596.15</v>
      </c>
      <c r="T558">
        <v>3000</v>
      </c>
      <c r="U558" t="s">
        <v>1162</v>
      </c>
      <c r="W558" s="38">
        <v>0.6</v>
      </c>
      <c r="X558">
        <v>60</v>
      </c>
      <c r="Y558" t="s">
        <v>1170</v>
      </c>
      <c r="Z558" s="37">
        <v>0.6</v>
      </c>
      <c r="AA558" s="37">
        <v>0.6</v>
      </c>
      <c r="AB558">
        <v>100</v>
      </c>
    </row>
    <row r="559">
      <c r="A559" t="s">
        <v>1890</v>
      </c>
      <c r="B559" t="s">
        <v>1860</v>
      </c>
      <c r="C559" t="s">
        <v>1860</v>
      </c>
      <c r="D559" t="s">
        <v>1891</v>
      </c>
      <c r="E559" t="s">
        <v>1892</v>
      </c>
      <c r="F559" t="s">
        <v>298</v>
      </c>
      <c r="G559" t="s">
        <v>1893</v>
      </c>
      <c r="H559" t="s">
        <v>1899</v>
      </c>
      <c r="L559" t="s">
        <v>1889</v>
      </c>
      <c r="M559" s="37">
        <v>0.8125</v>
      </c>
      <c r="N559" s="37">
        <v>0.4</v>
      </c>
      <c r="O559">
        <v>0.8125</v>
      </c>
      <c r="P559" s="37">
        <v>1.025</v>
      </c>
      <c r="Q559">
        <v>1.03</v>
      </c>
      <c r="R559">
        <v>2596.15</v>
      </c>
      <c r="S559">
        <v>2596.15</v>
      </c>
      <c r="T559">
        <v>3000</v>
      </c>
      <c r="U559" t="s">
        <v>1900</v>
      </c>
      <c r="V559" t="s">
        <v>1901</v>
      </c>
      <c r="X559" t="s">
        <v>455</v>
      </c>
      <c r="Y559" t="s">
        <v>1170</v>
      </c>
      <c r="Z559" s="37">
        <v>1</v>
      </c>
      <c r="AA559" s="37">
        <v>0.1</v>
      </c>
      <c r="AB559">
        <v>100</v>
      </c>
    </row>
    <row r="560">
      <c r="A560" t="s">
        <v>1890</v>
      </c>
      <c r="B560" t="s">
        <v>1860</v>
      </c>
      <c r="C560" t="s">
        <v>1860</v>
      </c>
      <c r="D560" t="s">
        <v>1891</v>
      </c>
      <c r="E560" t="s">
        <v>1892</v>
      </c>
      <c r="F560" t="s">
        <v>298</v>
      </c>
      <c r="G560" t="s">
        <v>1893</v>
      </c>
      <c r="H560" t="s">
        <v>1899</v>
      </c>
      <c r="L560" t="s">
        <v>1889</v>
      </c>
      <c r="M560" s="37">
        <v>0.8125</v>
      </c>
      <c r="N560" s="37">
        <v>0.4</v>
      </c>
      <c r="O560">
        <v>0.8125</v>
      </c>
      <c r="P560" s="37">
        <v>1.025</v>
      </c>
      <c r="Q560">
        <v>1.03</v>
      </c>
      <c r="R560">
        <v>2596.15</v>
      </c>
      <c r="S560">
        <v>2596.15</v>
      </c>
      <c r="T560">
        <v>3000</v>
      </c>
      <c r="U560" t="s">
        <v>1902</v>
      </c>
      <c r="V560" t="s">
        <v>1901</v>
      </c>
      <c r="X560" t="s">
        <v>455</v>
      </c>
      <c r="Y560" t="s">
        <v>1170</v>
      </c>
      <c r="Z560" s="37">
        <v>1</v>
      </c>
      <c r="AA560" s="37">
        <v>0.15</v>
      </c>
      <c r="AB560">
        <v>100</v>
      </c>
    </row>
    <row r="561">
      <c r="A561" t="s">
        <v>1890</v>
      </c>
      <c r="B561" t="s">
        <v>1860</v>
      </c>
      <c r="C561" t="s">
        <v>1860</v>
      </c>
      <c r="D561" t="s">
        <v>1891</v>
      </c>
      <c r="E561" t="s">
        <v>1892</v>
      </c>
      <c r="F561" t="s">
        <v>298</v>
      </c>
      <c r="G561" t="s">
        <v>1893</v>
      </c>
      <c r="H561" t="s">
        <v>1899</v>
      </c>
      <c r="L561" t="s">
        <v>1889</v>
      </c>
      <c r="M561" s="37">
        <v>0.8125</v>
      </c>
      <c r="N561" s="37">
        <v>0.4</v>
      </c>
      <c r="O561">
        <v>0.8125</v>
      </c>
      <c r="P561" s="37">
        <v>1.025</v>
      </c>
      <c r="Q561">
        <v>1.03</v>
      </c>
      <c r="R561">
        <v>2596.15</v>
      </c>
      <c r="S561">
        <v>2596.15</v>
      </c>
      <c r="T561">
        <v>3000</v>
      </c>
      <c r="U561" t="s">
        <v>1903</v>
      </c>
      <c r="X561" t="s">
        <v>1904</v>
      </c>
      <c r="Y561" t="s">
        <v>1170</v>
      </c>
      <c r="Z561" s="37">
        <v>0.5</v>
      </c>
      <c r="AA561" s="37">
        <v>0.15</v>
      </c>
      <c r="AB561">
        <v>100</v>
      </c>
    </row>
    <row r="562">
      <c r="A562" t="s">
        <v>1905</v>
      </c>
      <c r="B562" t="s">
        <v>1860</v>
      </c>
      <c r="C562" t="s">
        <v>1860</v>
      </c>
      <c r="D562" t="s">
        <v>1891</v>
      </c>
      <c r="E562" t="s">
        <v>1906</v>
      </c>
      <c r="F562" t="s">
        <v>298</v>
      </c>
      <c r="G562" t="s">
        <v>1893</v>
      </c>
      <c r="H562" t="s">
        <v>1894</v>
      </c>
      <c r="J562" t="s">
        <v>1907</v>
      </c>
      <c r="K562" t="s">
        <v>1908</v>
      </c>
      <c r="L562" t="s">
        <v>1889</v>
      </c>
      <c r="M562" s="37">
        <v>1</v>
      </c>
      <c r="N562" s="37">
        <v>0.4</v>
      </c>
      <c r="O562">
        <v>1</v>
      </c>
      <c r="P562" s="37">
        <v>1.1</v>
      </c>
      <c r="Q562">
        <v>1.1</v>
      </c>
      <c r="R562">
        <v>3173.08</v>
      </c>
      <c r="S562">
        <v>3173.08</v>
      </c>
      <c r="T562">
        <v>3000</v>
      </c>
      <c r="U562" t="s">
        <v>1903</v>
      </c>
      <c r="X562" t="s">
        <v>1904</v>
      </c>
      <c r="Y562" t="s">
        <v>1170</v>
      </c>
      <c r="Z562" s="37">
        <v>0.5</v>
      </c>
      <c r="AA562" s="37">
        <v>0.15</v>
      </c>
      <c r="AB562">
        <v>100</v>
      </c>
    </row>
    <row r="563">
      <c r="A563" t="s">
        <v>1905</v>
      </c>
      <c r="B563" t="s">
        <v>1860</v>
      </c>
      <c r="C563" t="s">
        <v>1860</v>
      </c>
      <c r="D563" t="s">
        <v>1891</v>
      </c>
      <c r="E563" t="s">
        <v>1906</v>
      </c>
      <c r="F563" t="s">
        <v>298</v>
      </c>
      <c r="G563" t="s">
        <v>1893</v>
      </c>
      <c r="H563" t="s">
        <v>1896</v>
      </c>
      <c r="J563" t="s">
        <v>1909</v>
      </c>
      <c r="K563" t="s">
        <v>1910</v>
      </c>
      <c r="L563" t="s">
        <v>1889</v>
      </c>
      <c r="M563" s="37">
        <v>1.5</v>
      </c>
      <c r="N563" s="37">
        <v>0.2</v>
      </c>
      <c r="O563">
        <v>1.5</v>
      </c>
      <c r="P563" s="37">
        <v>1.1</v>
      </c>
      <c r="Q563">
        <v>1.1</v>
      </c>
      <c r="R563">
        <v>3173.08</v>
      </c>
      <c r="S563">
        <v>3173.08</v>
      </c>
      <c r="T563">
        <v>3000</v>
      </c>
      <c r="U563" t="s">
        <v>1903</v>
      </c>
      <c r="X563" t="s">
        <v>1904</v>
      </c>
      <c r="Y563" t="s">
        <v>1170</v>
      </c>
      <c r="Z563" s="37">
        <v>0.5</v>
      </c>
      <c r="AA563" s="37">
        <v>0.15</v>
      </c>
      <c r="AB563">
        <v>100</v>
      </c>
    </row>
    <row r="564">
      <c r="A564" t="s">
        <v>1905</v>
      </c>
      <c r="B564" t="s">
        <v>1860</v>
      </c>
      <c r="C564" t="s">
        <v>1860</v>
      </c>
      <c r="D564" t="s">
        <v>1891</v>
      </c>
      <c r="E564" t="s">
        <v>1906</v>
      </c>
      <c r="F564" t="s">
        <v>298</v>
      </c>
      <c r="G564" t="s">
        <v>1893</v>
      </c>
      <c r="H564" t="s">
        <v>1899</v>
      </c>
      <c r="K564" t="s">
        <v>1910</v>
      </c>
      <c r="L564" t="s">
        <v>1889</v>
      </c>
      <c r="M564" s="37">
        <v>1</v>
      </c>
      <c r="N564" s="37">
        <v>0.4</v>
      </c>
      <c r="O564">
        <v>1</v>
      </c>
      <c r="P564" s="37">
        <v>1.1</v>
      </c>
      <c r="Q564">
        <v>1.1</v>
      </c>
      <c r="R564">
        <v>3173.08</v>
      </c>
      <c r="S564">
        <v>3173.08</v>
      </c>
      <c r="T564">
        <v>3000</v>
      </c>
      <c r="U564" t="s">
        <v>1911</v>
      </c>
      <c r="V564" t="s">
        <v>1912</v>
      </c>
      <c r="X564" t="s">
        <v>1913</v>
      </c>
      <c r="Y564" t="s">
        <v>1170</v>
      </c>
      <c r="Z564" s="37">
        <v>1</v>
      </c>
      <c r="AA564" s="37">
        <v>0.15</v>
      </c>
      <c r="AB564">
        <v>1</v>
      </c>
    </row>
    <row r="565">
      <c r="A565" t="s">
        <v>1905</v>
      </c>
      <c r="B565" t="s">
        <v>1860</v>
      </c>
      <c r="C565" t="s">
        <v>1860</v>
      </c>
      <c r="D565" t="s">
        <v>1891</v>
      </c>
      <c r="E565" t="s">
        <v>1906</v>
      </c>
      <c r="F565" t="s">
        <v>298</v>
      </c>
      <c r="G565" t="s">
        <v>1893</v>
      </c>
      <c r="H565" t="s">
        <v>1899</v>
      </c>
      <c r="K565" t="s">
        <v>1910</v>
      </c>
      <c r="L565" t="s">
        <v>1889</v>
      </c>
      <c r="M565" s="37">
        <v>1</v>
      </c>
      <c r="N565" s="37">
        <v>0.4</v>
      </c>
      <c r="O565">
        <v>1</v>
      </c>
      <c r="P565" s="37">
        <v>1.1</v>
      </c>
      <c r="Q565">
        <v>1.1</v>
      </c>
      <c r="R565">
        <v>3173.08</v>
      </c>
      <c r="S565">
        <v>3173.08</v>
      </c>
      <c r="T565">
        <v>3000</v>
      </c>
      <c r="U565" t="s">
        <v>1914</v>
      </c>
      <c r="V565" t="s">
        <v>1901</v>
      </c>
      <c r="X565" t="s">
        <v>1914</v>
      </c>
      <c r="Y565" t="s">
        <v>1170</v>
      </c>
      <c r="Z565" s="37">
        <v>1</v>
      </c>
      <c r="AA565" s="37">
        <v>0.1</v>
      </c>
      <c r="AB565">
        <v>1</v>
      </c>
    </row>
    <row r="566">
      <c r="A566" t="s">
        <v>1905</v>
      </c>
      <c r="B566" t="s">
        <v>1860</v>
      </c>
      <c r="C566" t="s">
        <v>1860</v>
      </c>
      <c r="D566" t="s">
        <v>1891</v>
      </c>
      <c r="E566" t="s">
        <v>1906</v>
      </c>
      <c r="F566" t="s">
        <v>298</v>
      </c>
      <c r="G566" t="s">
        <v>1893</v>
      </c>
      <c r="H566" t="s">
        <v>1899</v>
      </c>
      <c r="K566" t="s">
        <v>1910</v>
      </c>
      <c r="L566" t="s">
        <v>1889</v>
      </c>
      <c r="M566" s="37">
        <v>1</v>
      </c>
      <c r="N566" s="37">
        <v>0.4</v>
      </c>
      <c r="O566">
        <v>1</v>
      </c>
      <c r="P566" s="37">
        <v>1.1</v>
      </c>
      <c r="Q566">
        <v>1.1</v>
      </c>
      <c r="R566">
        <v>3173.08</v>
      </c>
      <c r="S566">
        <v>3173.08</v>
      </c>
      <c r="T566">
        <v>3000</v>
      </c>
      <c r="U566" t="s">
        <v>1915</v>
      </c>
      <c r="X566" t="s">
        <v>1916</v>
      </c>
      <c r="Y566" t="s">
        <v>1170</v>
      </c>
      <c r="Z566" s="37">
        <v>1</v>
      </c>
      <c r="AA566" s="37">
        <v>0.15</v>
      </c>
      <c r="AB566">
        <v>1</v>
      </c>
    </row>
    <row r="567">
      <c r="A567" t="s">
        <v>1917</v>
      </c>
      <c r="B567" t="s">
        <v>1860</v>
      </c>
      <c r="C567" t="s">
        <v>1860</v>
      </c>
      <c r="D567" t="s">
        <v>1891</v>
      </c>
      <c r="E567" t="s">
        <v>1918</v>
      </c>
      <c r="F567" t="s">
        <v>298</v>
      </c>
      <c r="G567" t="s">
        <v>1893</v>
      </c>
      <c r="H567" t="s">
        <v>1894</v>
      </c>
      <c r="J567" t="s">
        <v>1919</v>
      </c>
      <c r="K567">
        <v>0.846</v>
      </c>
      <c r="L567" t="s">
        <v>1889</v>
      </c>
      <c r="M567" s="37">
        <v>0.85</v>
      </c>
      <c r="N567" s="37">
        <v>0.4</v>
      </c>
      <c r="O567">
        <v>0.85</v>
      </c>
      <c r="P567" s="37">
        <v>0.74</v>
      </c>
      <c r="Q567">
        <v>0.74</v>
      </c>
      <c r="R567">
        <v>2307.69</v>
      </c>
      <c r="S567">
        <v>2307.69</v>
      </c>
      <c r="T567">
        <v>3000</v>
      </c>
      <c r="U567" t="s">
        <v>1915</v>
      </c>
      <c r="X567" t="s">
        <v>1916</v>
      </c>
      <c r="Y567" t="s">
        <v>1170</v>
      </c>
      <c r="Z567" s="37">
        <v>1</v>
      </c>
      <c r="AA567" s="37">
        <v>0.15</v>
      </c>
      <c r="AB567">
        <v>1</v>
      </c>
    </row>
    <row r="568">
      <c r="A568" t="s">
        <v>1917</v>
      </c>
      <c r="B568" t="s">
        <v>1860</v>
      </c>
      <c r="C568" t="s">
        <v>1860</v>
      </c>
      <c r="D568" t="s">
        <v>1891</v>
      </c>
      <c r="E568" t="s">
        <v>1918</v>
      </c>
      <c r="F568" t="s">
        <v>298</v>
      </c>
      <c r="G568" t="s">
        <v>1893</v>
      </c>
      <c r="H568" t="s">
        <v>1896</v>
      </c>
      <c r="J568" t="s">
        <v>1920</v>
      </c>
      <c r="K568">
        <v>0</v>
      </c>
      <c r="L568" t="s">
        <v>1889</v>
      </c>
      <c r="M568" s="37">
        <v>0</v>
      </c>
      <c r="N568" s="37">
        <v>0.2</v>
      </c>
      <c r="O568">
        <v>0</v>
      </c>
      <c r="P568" s="37">
        <v>0.74</v>
      </c>
      <c r="Q568">
        <v>0.74</v>
      </c>
      <c r="R568">
        <v>2307.69</v>
      </c>
      <c r="S568">
        <v>2307.69</v>
      </c>
      <c r="T568">
        <v>3000</v>
      </c>
      <c r="U568" t="s">
        <v>1915</v>
      </c>
      <c r="X568" t="s">
        <v>1916</v>
      </c>
      <c r="Y568" t="s">
        <v>1170</v>
      </c>
      <c r="Z568" s="37">
        <v>1</v>
      </c>
      <c r="AA568" s="37">
        <v>0.15</v>
      </c>
      <c r="AB568">
        <v>1</v>
      </c>
    </row>
    <row r="569">
      <c r="A569" t="s">
        <v>1917</v>
      </c>
      <c r="B569" t="s">
        <v>1860</v>
      </c>
      <c r="C569" t="s">
        <v>1860</v>
      </c>
      <c r="D569" t="s">
        <v>1891</v>
      </c>
      <c r="E569" t="s">
        <v>1918</v>
      </c>
      <c r="F569" t="s">
        <v>298</v>
      </c>
      <c r="G569" t="s">
        <v>1893</v>
      </c>
      <c r="H569" t="s">
        <v>1899</v>
      </c>
      <c r="K569">
        <v>1</v>
      </c>
      <c r="L569" t="s">
        <v>1889</v>
      </c>
      <c r="M569" s="37">
        <v>1</v>
      </c>
      <c r="N569" s="37">
        <v>0.4</v>
      </c>
      <c r="O569">
        <v>1</v>
      </c>
      <c r="P569" s="37">
        <v>0.74</v>
      </c>
      <c r="Q569">
        <v>0.74</v>
      </c>
      <c r="R569">
        <v>2307.69</v>
      </c>
      <c r="S569">
        <v>2307.69</v>
      </c>
      <c r="T569">
        <v>3000</v>
      </c>
      <c r="U569" t="s">
        <v>1921</v>
      </c>
      <c r="V569" t="s">
        <v>1901</v>
      </c>
      <c r="X569">
        <v>1</v>
      </c>
      <c r="Y569" t="s">
        <v>1170</v>
      </c>
      <c r="Z569" s="37">
        <v>1</v>
      </c>
      <c r="AA569" s="37">
        <v>0.1</v>
      </c>
      <c r="AB569">
        <v>1</v>
      </c>
    </row>
    <row r="570">
      <c r="A570" t="s">
        <v>1917</v>
      </c>
      <c r="B570" t="s">
        <v>1860</v>
      </c>
      <c r="C570" t="s">
        <v>1860</v>
      </c>
      <c r="D570" t="s">
        <v>1891</v>
      </c>
      <c r="E570" t="s">
        <v>1918</v>
      </c>
      <c r="F570" t="s">
        <v>298</v>
      </c>
      <c r="G570" t="s">
        <v>1893</v>
      </c>
      <c r="H570" t="s">
        <v>1899</v>
      </c>
      <c r="K570">
        <v>1</v>
      </c>
      <c r="L570" t="s">
        <v>1889</v>
      </c>
      <c r="M570" s="37">
        <v>1</v>
      </c>
      <c r="N570" s="37">
        <v>0.4</v>
      </c>
      <c r="O570">
        <v>1</v>
      </c>
      <c r="P570" s="37">
        <v>0.74</v>
      </c>
      <c r="Q570">
        <v>0.74</v>
      </c>
      <c r="R570">
        <v>2307.69</v>
      </c>
      <c r="S570">
        <v>2307.69</v>
      </c>
      <c r="T570">
        <v>3000</v>
      </c>
      <c r="U570" t="s">
        <v>1922</v>
      </c>
      <c r="V570" t="s">
        <v>1901</v>
      </c>
      <c r="X570">
        <v>1</v>
      </c>
      <c r="Y570" t="s">
        <v>1170</v>
      </c>
      <c r="Z570" s="37">
        <v>1</v>
      </c>
      <c r="AA570" s="37">
        <v>0.15</v>
      </c>
      <c r="AB570">
        <v>1</v>
      </c>
    </row>
    <row r="571">
      <c r="A571" t="s">
        <v>1917</v>
      </c>
      <c r="B571" t="s">
        <v>1860</v>
      </c>
      <c r="C571" t="s">
        <v>1860</v>
      </c>
      <c r="D571" t="s">
        <v>1891</v>
      </c>
      <c r="E571" t="s">
        <v>1918</v>
      </c>
      <c r="F571" t="s">
        <v>298</v>
      </c>
      <c r="G571" t="s">
        <v>1893</v>
      </c>
      <c r="H571" t="s">
        <v>1899</v>
      </c>
      <c r="K571">
        <v>1</v>
      </c>
      <c r="L571" t="s">
        <v>1889</v>
      </c>
      <c r="M571" s="37">
        <v>1</v>
      </c>
      <c r="N571" s="37">
        <v>0.4</v>
      </c>
      <c r="O571">
        <v>1</v>
      </c>
      <c r="P571" s="37">
        <v>0.74</v>
      </c>
      <c r="Q571">
        <v>0.74</v>
      </c>
      <c r="R571">
        <v>2307.69</v>
      </c>
      <c r="S571">
        <v>2307.69</v>
      </c>
      <c r="T571">
        <v>3000</v>
      </c>
      <c r="U571" t="s">
        <v>1923</v>
      </c>
      <c r="X571">
        <v>1</v>
      </c>
      <c r="Y571" t="s">
        <v>1170</v>
      </c>
      <c r="Z571" s="37">
        <v>1</v>
      </c>
      <c r="AA571" s="37">
        <v>0.15</v>
      </c>
      <c r="AB571">
        <v>1</v>
      </c>
    </row>
    <row r="572">
      <c r="A572" t="s">
        <v>1924</v>
      </c>
      <c r="B572" t="s">
        <v>1860</v>
      </c>
      <c r="C572" t="s">
        <v>1860</v>
      </c>
      <c r="D572" t="s">
        <v>1891</v>
      </c>
      <c r="E572" t="s">
        <v>1925</v>
      </c>
      <c r="F572" t="s">
        <v>298</v>
      </c>
      <c r="G572" t="s">
        <v>1893</v>
      </c>
      <c r="H572" t="s">
        <v>1894</v>
      </c>
      <c r="I572" t="s">
        <v>1926</v>
      </c>
      <c r="J572" t="s">
        <v>1927</v>
      </c>
      <c r="K572" t="s">
        <v>1928</v>
      </c>
      <c r="L572" t="s">
        <v>1929</v>
      </c>
      <c r="M572" s="37">
        <v>1</v>
      </c>
      <c r="N572" s="37">
        <v>0.4</v>
      </c>
      <c r="O572">
        <v>1</v>
      </c>
      <c r="P572" s="37">
        <v>1.222222</v>
      </c>
      <c r="Q572">
        <v>1.18</v>
      </c>
      <c r="R572">
        <v>3461.54</v>
      </c>
      <c r="S572">
        <v>3461.54</v>
      </c>
      <c r="T572">
        <v>3000</v>
      </c>
      <c r="U572" t="s">
        <v>1923</v>
      </c>
      <c r="X572">
        <v>1</v>
      </c>
      <c r="Y572" t="s">
        <v>1170</v>
      </c>
      <c r="Z572" s="37">
        <v>1</v>
      </c>
      <c r="AA572" s="37">
        <v>0.15</v>
      </c>
      <c r="AB572">
        <v>1</v>
      </c>
    </row>
    <row r="573">
      <c r="A573" t="s">
        <v>1924</v>
      </c>
      <c r="B573" t="s">
        <v>1860</v>
      </c>
      <c r="C573" t="s">
        <v>1860</v>
      </c>
      <c r="D573" t="s">
        <v>1891</v>
      </c>
      <c r="E573" t="s">
        <v>1925</v>
      </c>
      <c r="F573" t="s">
        <v>298</v>
      </c>
      <c r="G573" t="s">
        <v>1893</v>
      </c>
      <c r="H573" t="s">
        <v>1896</v>
      </c>
      <c r="I573" t="s">
        <v>1930</v>
      </c>
      <c r="J573" t="s">
        <v>1053</v>
      </c>
      <c r="K573" t="s">
        <v>1931</v>
      </c>
      <c r="L573" t="s">
        <v>1932</v>
      </c>
      <c r="M573" s="37">
        <v>2.111111</v>
      </c>
      <c r="N573" s="37">
        <v>0.2</v>
      </c>
      <c r="O573">
        <v>1.5</v>
      </c>
      <c r="P573" s="37">
        <v>1.222222</v>
      </c>
      <c r="Q573">
        <v>1.18</v>
      </c>
      <c r="R573">
        <v>3461.54</v>
      </c>
      <c r="S573">
        <v>3461.54</v>
      </c>
      <c r="T573">
        <v>3000</v>
      </c>
      <c r="U573" t="s">
        <v>1923</v>
      </c>
      <c r="X573">
        <v>1</v>
      </c>
      <c r="Y573" t="s">
        <v>1170</v>
      </c>
      <c r="Z573" s="37">
        <v>1</v>
      </c>
      <c r="AA573" s="37">
        <v>0.15</v>
      </c>
      <c r="AB573">
        <v>1</v>
      </c>
    </row>
    <row r="574">
      <c r="A574" t="s">
        <v>1924</v>
      </c>
      <c r="B574" t="s">
        <v>1860</v>
      </c>
      <c r="C574" t="s">
        <v>1860</v>
      </c>
      <c r="D574" t="s">
        <v>1891</v>
      </c>
      <c r="E574" t="s">
        <v>1925</v>
      </c>
      <c r="F574" t="s">
        <v>298</v>
      </c>
      <c r="G574" t="s">
        <v>1893</v>
      </c>
      <c r="H574" t="s">
        <v>1899</v>
      </c>
      <c r="I574" t="s">
        <v>1933</v>
      </c>
      <c r="K574" s="38">
        <v>1</v>
      </c>
      <c r="L574" t="s">
        <v>455</v>
      </c>
      <c r="M574" s="37">
        <v>1</v>
      </c>
      <c r="N574" s="37">
        <v>0.4</v>
      </c>
      <c r="O574">
        <v>1.188</v>
      </c>
      <c r="P574" s="37">
        <v>1.222222</v>
      </c>
      <c r="Q574">
        <v>1.18</v>
      </c>
      <c r="R574">
        <v>3461.54</v>
      </c>
      <c r="S574">
        <v>3461.54</v>
      </c>
      <c r="T574">
        <v>3000</v>
      </c>
      <c r="U574" t="s">
        <v>1934</v>
      </c>
      <c r="V574" t="s">
        <v>1901</v>
      </c>
      <c r="W574" t="s">
        <v>1935</v>
      </c>
      <c r="X574" t="s">
        <v>1936</v>
      </c>
      <c r="Y574" t="s">
        <v>1937</v>
      </c>
      <c r="Z574" s="37">
        <v>1.5</v>
      </c>
      <c r="AA574" s="37">
        <v>0.15</v>
      </c>
      <c r="AB574">
        <v>1.5</v>
      </c>
    </row>
    <row r="575">
      <c r="A575" t="s">
        <v>1924</v>
      </c>
      <c r="B575" t="s">
        <v>1860</v>
      </c>
      <c r="C575" t="s">
        <v>1860</v>
      </c>
      <c r="D575" t="s">
        <v>1891</v>
      </c>
      <c r="E575" t="s">
        <v>1925</v>
      </c>
      <c r="F575" t="s">
        <v>298</v>
      </c>
      <c r="G575" t="s">
        <v>1893</v>
      </c>
      <c r="H575" t="s">
        <v>1899</v>
      </c>
      <c r="I575" t="s">
        <v>1933</v>
      </c>
      <c r="K575" s="38">
        <v>1</v>
      </c>
      <c r="L575" t="s">
        <v>455</v>
      </c>
      <c r="M575" s="37">
        <v>1</v>
      </c>
      <c r="N575" s="37">
        <v>0.4</v>
      </c>
      <c r="O575">
        <v>1.188</v>
      </c>
      <c r="P575" s="37">
        <v>1.222222</v>
      </c>
      <c r="Q575">
        <v>1.18</v>
      </c>
      <c r="R575">
        <v>3461.54</v>
      </c>
      <c r="S575">
        <v>3461.54</v>
      </c>
      <c r="T575">
        <v>3000</v>
      </c>
      <c r="U575" t="s">
        <v>1938</v>
      </c>
      <c r="V575" t="s">
        <v>1901</v>
      </c>
      <c r="W575" t="s">
        <v>1939</v>
      </c>
      <c r="X575" t="s">
        <v>1939</v>
      </c>
      <c r="Y575" t="s">
        <v>1940</v>
      </c>
      <c r="Z575" s="37">
        <v>1</v>
      </c>
      <c r="AA575" s="37">
        <v>0.1</v>
      </c>
      <c r="AB575">
        <v>1</v>
      </c>
    </row>
    <row r="576">
      <c r="A576" t="s">
        <v>1924</v>
      </c>
      <c r="B576" t="s">
        <v>1860</v>
      </c>
      <c r="C576" t="s">
        <v>1860</v>
      </c>
      <c r="D576" t="s">
        <v>1891</v>
      </c>
      <c r="E576" t="s">
        <v>1925</v>
      </c>
      <c r="F576" t="s">
        <v>298</v>
      </c>
      <c r="G576" t="s">
        <v>1893</v>
      </c>
      <c r="H576" t="s">
        <v>1899</v>
      </c>
      <c r="I576" t="s">
        <v>1933</v>
      </c>
      <c r="K576" s="38">
        <v>1</v>
      </c>
      <c r="L576" t="s">
        <v>455</v>
      </c>
      <c r="M576" s="37">
        <v>1</v>
      </c>
      <c r="N576" s="37">
        <v>0.4</v>
      </c>
      <c r="O576">
        <v>1.188</v>
      </c>
      <c r="P576" s="37">
        <v>1.222222</v>
      </c>
      <c r="Q576">
        <v>1.18</v>
      </c>
      <c r="R576">
        <v>3461.54</v>
      </c>
      <c r="S576">
        <v>3461.54</v>
      </c>
      <c r="T576">
        <v>3000</v>
      </c>
      <c r="U576" t="s">
        <v>1914</v>
      </c>
      <c r="V576" t="s">
        <v>1941</v>
      </c>
      <c r="X576" t="s">
        <v>1941</v>
      </c>
      <c r="Y576" t="s">
        <v>1914</v>
      </c>
      <c r="Z576" s="37">
        <v>1</v>
      </c>
      <c r="AA576" s="37">
        <v>0.15</v>
      </c>
      <c r="AB576">
        <v>1</v>
      </c>
    </row>
    <row r="577">
      <c r="A577" t="s">
        <v>1942</v>
      </c>
      <c r="B577" t="s">
        <v>1860</v>
      </c>
      <c r="C577" t="s">
        <v>1860</v>
      </c>
      <c r="D577" t="s">
        <v>359</v>
      </c>
      <c r="E577" t="s">
        <v>1943</v>
      </c>
      <c r="F577" t="s">
        <v>298</v>
      </c>
      <c r="G577" t="s">
        <v>1893</v>
      </c>
      <c r="H577" t="s">
        <v>1894</v>
      </c>
      <c r="I577" t="s">
        <v>1944</v>
      </c>
      <c r="J577" t="s">
        <v>1945</v>
      </c>
      <c r="K577">
        <v>2.8</v>
      </c>
      <c r="L577" t="s">
        <v>455</v>
      </c>
      <c r="M577" s="37">
        <v>1</v>
      </c>
      <c r="N577" s="37">
        <v>0.4</v>
      </c>
      <c r="O577">
        <v>1</v>
      </c>
      <c r="P577" s="37">
        <v>1.1</v>
      </c>
      <c r="Q577">
        <v>1.1</v>
      </c>
      <c r="R577">
        <v>5288.46</v>
      </c>
      <c r="S577">
        <v>5288.46</v>
      </c>
      <c r="T577">
        <v>5000</v>
      </c>
      <c r="U577" t="s">
        <v>1914</v>
      </c>
      <c r="V577" t="s">
        <v>1941</v>
      </c>
      <c r="X577" t="s">
        <v>1941</v>
      </c>
      <c r="Y577" t="s">
        <v>1914</v>
      </c>
      <c r="Z577" s="37">
        <v>1</v>
      </c>
      <c r="AA577" s="37">
        <v>0.15</v>
      </c>
      <c r="AB577">
        <v>1</v>
      </c>
    </row>
    <row r="578">
      <c r="A578" t="s">
        <v>1942</v>
      </c>
      <c r="B578" t="s">
        <v>1860</v>
      </c>
      <c r="C578" t="s">
        <v>1860</v>
      </c>
      <c r="D578" t="s">
        <v>359</v>
      </c>
      <c r="E578" t="s">
        <v>1943</v>
      </c>
      <c r="F578" t="s">
        <v>298</v>
      </c>
      <c r="G578" t="s">
        <v>1893</v>
      </c>
      <c r="H578" t="s">
        <v>1896</v>
      </c>
      <c r="I578" t="s">
        <v>1944</v>
      </c>
      <c r="J578" t="s">
        <v>1946</v>
      </c>
      <c r="K578">
        <v>4</v>
      </c>
      <c r="L578" t="s">
        <v>455</v>
      </c>
      <c r="M578" s="37">
        <v>1.5</v>
      </c>
      <c r="N578" s="37">
        <v>0.2</v>
      </c>
      <c r="O578">
        <v>1.5</v>
      </c>
      <c r="P578" s="37">
        <v>1.1</v>
      </c>
      <c r="Q578">
        <v>1.1</v>
      </c>
      <c r="R578">
        <v>5288.46</v>
      </c>
      <c r="S578">
        <v>5288.46</v>
      </c>
      <c r="T578">
        <v>5000</v>
      </c>
      <c r="U578" t="s">
        <v>1914</v>
      </c>
      <c r="V578" t="s">
        <v>1941</v>
      </c>
      <c r="X578" t="s">
        <v>1941</v>
      </c>
      <c r="Y578" t="s">
        <v>1914</v>
      </c>
      <c r="Z578" s="37">
        <v>1</v>
      </c>
      <c r="AA578" s="37">
        <v>0.15</v>
      </c>
      <c r="AB578">
        <v>1</v>
      </c>
    </row>
    <row r="579">
      <c r="A579" t="s">
        <v>1942</v>
      </c>
      <c r="B579" t="s">
        <v>1860</v>
      </c>
      <c r="C579" t="s">
        <v>1860</v>
      </c>
      <c r="D579" t="s">
        <v>359</v>
      </c>
      <c r="E579" t="s">
        <v>1943</v>
      </c>
      <c r="F579" t="s">
        <v>298</v>
      </c>
      <c r="G579" t="s">
        <v>1893</v>
      </c>
      <c r="H579" t="s">
        <v>1899</v>
      </c>
      <c r="I579" t="s">
        <v>1947</v>
      </c>
      <c r="K579">
        <v>1</v>
      </c>
      <c r="L579" t="s">
        <v>455</v>
      </c>
      <c r="M579" s="37">
        <v>1</v>
      </c>
      <c r="N579" s="37">
        <v>0.15</v>
      </c>
      <c r="O579">
        <v>1</v>
      </c>
      <c r="P579" s="37">
        <v>1.1</v>
      </c>
      <c r="Q579">
        <v>1.1</v>
      </c>
      <c r="R579">
        <v>5288.46</v>
      </c>
      <c r="S579">
        <v>5288.46</v>
      </c>
      <c r="T579">
        <v>5000</v>
      </c>
      <c r="U579" t="s">
        <v>1948</v>
      </c>
      <c r="V579" t="s">
        <v>1901</v>
      </c>
      <c r="X579">
        <v>1</v>
      </c>
      <c r="Y579" t="s">
        <v>1914</v>
      </c>
      <c r="Z579" s="37">
        <v>1</v>
      </c>
      <c r="AA579" s="37">
        <v>1</v>
      </c>
      <c r="AB579">
        <v>1</v>
      </c>
    </row>
    <row r="580">
      <c r="A580" t="s">
        <v>1942</v>
      </c>
      <c r="B580" t="s">
        <v>1860</v>
      </c>
      <c r="C580" t="s">
        <v>1860</v>
      </c>
      <c r="D580" t="s">
        <v>359</v>
      </c>
      <c r="E580" t="s">
        <v>1943</v>
      </c>
      <c r="F580" t="s">
        <v>298</v>
      </c>
      <c r="G580" t="s">
        <v>1893</v>
      </c>
      <c r="H580" t="s">
        <v>1899</v>
      </c>
      <c r="I580" t="s">
        <v>1949</v>
      </c>
      <c r="K580">
        <v>1</v>
      </c>
      <c r="L580" t="s">
        <v>455</v>
      </c>
      <c r="M580" s="37">
        <v>1</v>
      </c>
      <c r="N580" s="37">
        <v>0.15</v>
      </c>
      <c r="O580">
        <v>1</v>
      </c>
      <c r="P580" s="37">
        <v>1.1</v>
      </c>
      <c r="Q580">
        <v>1.1</v>
      </c>
      <c r="R580">
        <v>5288.46</v>
      </c>
      <c r="S580">
        <v>5288.46</v>
      </c>
      <c r="T580">
        <v>5000</v>
      </c>
      <c r="U580" t="s">
        <v>1948</v>
      </c>
      <c r="V580" t="s">
        <v>1901</v>
      </c>
      <c r="X580">
        <v>1</v>
      </c>
      <c r="Y580" t="s">
        <v>1914</v>
      </c>
      <c r="Z580" s="37">
        <v>1</v>
      </c>
      <c r="AA580" s="37">
        <v>1</v>
      </c>
      <c r="AB580">
        <v>1</v>
      </c>
    </row>
    <row r="581">
      <c r="A581" t="s">
        <v>1942</v>
      </c>
      <c r="B581" t="s">
        <v>1860</v>
      </c>
      <c r="C581" t="s">
        <v>1860</v>
      </c>
      <c r="D581" t="s">
        <v>359</v>
      </c>
      <c r="E581" t="s">
        <v>1943</v>
      </c>
      <c r="F581" t="s">
        <v>298</v>
      </c>
      <c r="G581" t="s">
        <v>1893</v>
      </c>
      <c r="H581" t="s">
        <v>1899</v>
      </c>
      <c r="I581" t="s">
        <v>1950</v>
      </c>
      <c r="K581">
        <v>1</v>
      </c>
      <c r="L581" t="s">
        <v>455</v>
      </c>
      <c r="M581" s="37">
        <v>1</v>
      </c>
      <c r="N581" s="37">
        <v>0.1</v>
      </c>
      <c r="O581">
        <v>1</v>
      </c>
      <c r="P581" s="37">
        <v>1.1</v>
      </c>
      <c r="Q581">
        <v>1.1</v>
      </c>
      <c r="R581">
        <v>5288.46</v>
      </c>
      <c r="S581">
        <v>5288.46</v>
      </c>
      <c r="T581">
        <v>5000</v>
      </c>
      <c r="U581" t="s">
        <v>1948</v>
      </c>
      <c r="V581" t="s">
        <v>1901</v>
      </c>
      <c r="X581">
        <v>1</v>
      </c>
      <c r="Y581" t="s">
        <v>1914</v>
      </c>
      <c r="Z581" s="37">
        <v>1</v>
      </c>
      <c r="AA581" s="37">
        <v>1</v>
      </c>
      <c r="AB581">
        <v>1</v>
      </c>
    </row>
    <row r="582">
      <c r="A582" t="s">
        <v>1951</v>
      </c>
      <c r="B582" t="s">
        <v>1860</v>
      </c>
      <c r="C582" t="s">
        <v>1860</v>
      </c>
      <c r="D582" t="s">
        <v>1891</v>
      </c>
      <c r="E582" t="s">
        <v>1952</v>
      </c>
      <c r="F582" t="s">
        <v>298</v>
      </c>
      <c r="G582" t="s">
        <v>1893</v>
      </c>
      <c r="H582" t="s">
        <v>1894</v>
      </c>
      <c r="I582" t="s">
        <v>1953</v>
      </c>
      <c r="J582" t="s">
        <v>1954</v>
      </c>
      <c r="K582">
        <v>0</v>
      </c>
      <c r="L582" t="s">
        <v>455</v>
      </c>
      <c r="M582" s="37">
        <v>0.01</v>
      </c>
      <c r="N582" s="37">
        <v>0.4</v>
      </c>
      <c r="O582">
        <v>1</v>
      </c>
      <c r="P582" s="37">
        <v>0.011</v>
      </c>
      <c r="Q582">
        <v>1.1</v>
      </c>
      <c r="R582">
        <v>3173.08</v>
      </c>
      <c r="S582">
        <v>3173.08</v>
      </c>
      <c r="T582">
        <v>3000</v>
      </c>
      <c r="U582" t="s">
        <v>1948</v>
      </c>
      <c r="V582" t="s">
        <v>1901</v>
      </c>
      <c r="X582">
        <v>1</v>
      </c>
      <c r="Y582" t="s">
        <v>1914</v>
      </c>
      <c r="Z582" s="37">
        <v>1</v>
      </c>
      <c r="AA582" s="37">
        <v>1</v>
      </c>
      <c r="AB582">
        <v>1</v>
      </c>
    </row>
    <row r="583">
      <c r="A583" t="s">
        <v>1951</v>
      </c>
      <c r="B583" t="s">
        <v>1860</v>
      </c>
      <c r="C583" t="s">
        <v>1860</v>
      </c>
      <c r="D583" t="s">
        <v>1891</v>
      </c>
      <c r="E583" t="s">
        <v>1952</v>
      </c>
      <c r="F583" t="s">
        <v>298</v>
      </c>
      <c r="G583" t="s">
        <v>1893</v>
      </c>
      <c r="H583" t="s">
        <v>1896</v>
      </c>
      <c r="I583" t="s">
        <v>1955</v>
      </c>
      <c r="J583" t="s">
        <v>1956</v>
      </c>
      <c r="K583">
        <v>4.03</v>
      </c>
      <c r="L583" t="s">
        <v>455</v>
      </c>
      <c r="M583" s="37">
        <v>0.015</v>
      </c>
      <c r="N583" s="37">
        <v>0.2</v>
      </c>
      <c r="O583">
        <v>1.5</v>
      </c>
      <c r="P583" s="37">
        <v>0.011</v>
      </c>
      <c r="Q583">
        <v>1.1</v>
      </c>
      <c r="R583">
        <v>3173.08</v>
      </c>
      <c r="S583">
        <v>3173.08</v>
      </c>
      <c r="T583">
        <v>3000</v>
      </c>
      <c r="U583" t="s">
        <v>1948</v>
      </c>
      <c r="V583" t="s">
        <v>1901</v>
      </c>
      <c r="X583">
        <v>1</v>
      </c>
      <c r="Y583" t="s">
        <v>1914</v>
      </c>
      <c r="Z583" s="37">
        <v>1</v>
      </c>
      <c r="AA583" s="37">
        <v>1</v>
      </c>
      <c r="AB583">
        <v>1</v>
      </c>
    </row>
    <row r="584">
      <c r="A584" t="s">
        <v>1951</v>
      </c>
      <c r="B584" t="s">
        <v>1860</v>
      </c>
      <c r="C584" t="s">
        <v>1860</v>
      </c>
      <c r="D584" t="s">
        <v>1891</v>
      </c>
      <c r="E584" t="s">
        <v>1952</v>
      </c>
      <c r="F584" t="s">
        <v>298</v>
      </c>
      <c r="G584" t="s">
        <v>1893</v>
      </c>
      <c r="H584" t="s">
        <v>1899</v>
      </c>
      <c r="K584">
        <v>4.03</v>
      </c>
      <c r="L584" t="s">
        <v>455</v>
      </c>
      <c r="M584" s="37">
        <v>0.01</v>
      </c>
      <c r="N584" s="37">
        <v>0.4</v>
      </c>
      <c r="O584">
        <v>1</v>
      </c>
      <c r="P584" s="37">
        <v>0.011</v>
      </c>
      <c r="Q584">
        <v>1.1</v>
      </c>
      <c r="R584">
        <v>3173.08</v>
      </c>
      <c r="S584">
        <v>3173.08</v>
      </c>
      <c r="T584">
        <v>3000</v>
      </c>
      <c r="U584" t="s">
        <v>1948</v>
      </c>
      <c r="V584" t="s">
        <v>1957</v>
      </c>
      <c r="X584" t="s">
        <v>1958</v>
      </c>
      <c r="Y584" t="s">
        <v>1914</v>
      </c>
      <c r="Z584" s="37">
        <v>0.01</v>
      </c>
      <c r="AA584" s="37">
        <v>0.1</v>
      </c>
      <c r="AB584">
        <v>1</v>
      </c>
    </row>
    <row r="585">
      <c r="A585" t="s">
        <v>1951</v>
      </c>
      <c r="B585" t="s">
        <v>1860</v>
      </c>
      <c r="C585" t="s">
        <v>1860</v>
      </c>
      <c r="D585" t="s">
        <v>1891</v>
      </c>
      <c r="E585" t="s">
        <v>1952</v>
      </c>
      <c r="F585" t="s">
        <v>298</v>
      </c>
      <c r="G585" t="s">
        <v>1893</v>
      </c>
      <c r="H585" t="s">
        <v>1899</v>
      </c>
      <c r="K585">
        <v>4.03</v>
      </c>
      <c r="L585" t="s">
        <v>455</v>
      </c>
      <c r="M585" s="37">
        <v>0.01</v>
      </c>
      <c r="N585" s="37">
        <v>0.4</v>
      </c>
      <c r="O585">
        <v>1</v>
      </c>
      <c r="P585" s="37">
        <v>0.011</v>
      </c>
      <c r="Q585">
        <v>1.1</v>
      </c>
      <c r="R585">
        <v>3173.08</v>
      </c>
      <c r="S585">
        <v>3173.08</v>
      </c>
      <c r="T585">
        <v>3000</v>
      </c>
      <c r="U585" t="s">
        <v>1959</v>
      </c>
      <c r="V585" t="s">
        <v>1960</v>
      </c>
      <c r="X585" t="s">
        <v>1961</v>
      </c>
      <c r="Y585" t="s">
        <v>1914</v>
      </c>
      <c r="Z585" s="37">
        <v>0.01</v>
      </c>
      <c r="AA585" s="37">
        <v>0.15</v>
      </c>
      <c r="AB585">
        <v>1</v>
      </c>
    </row>
    <row r="586">
      <c r="A586" t="s">
        <v>1951</v>
      </c>
      <c r="B586" t="s">
        <v>1860</v>
      </c>
      <c r="C586" t="s">
        <v>1860</v>
      </c>
      <c r="D586" t="s">
        <v>1891</v>
      </c>
      <c r="E586" t="s">
        <v>1952</v>
      </c>
      <c r="F586" t="s">
        <v>298</v>
      </c>
      <c r="G586" t="s">
        <v>1893</v>
      </c>
      <c r="H586" t="s">
        <v>1899</v>
      </c>
      <c r="K586">
        <v>4.03</v>
      </c>
      <c r="L586" t="s">
        <v>455</v>
      </c>
      <c r="M586" s="37">
        <v>0.01</v>
      </c>
      <c r="N586" s="37">
        <v>0.4</v>
      </c>
      <c r="O586">
        <v>1</v>
      </c>
      <c r="P586" s="37">
        <v>0.011</v>
      </c>
      <c r="Q586">
        <v>1.1</v>
      </c>
      <c r="R586">
        <v>3173.08</v>
      </c>
      <c r="S586">
        <v>3173.08</v>
      </c>
      <c r="T586">
        <v>3000</v>
      </c>
      <c r="U586" t="s">
        <v>1962</v>
      </c>
      <c r="V586" t="s">
        <v>1963</v>
      </c>
      <c r="X586" t="s">
        <v>1964</v>
      </c>
      <c r="Y586" t="s">
        <v>1914</v>
      </c>
      <c r="Z586" s="37">
        <v>0.01</v>
      </c>
      <c r="AA586" s="37">
        <v>0.15</v>
      </c>
      <c r="AB586">
        <v>1</v>
      </c>
    </row>
    <row r="587">
      <c r="A587" t="s">
        <v>1965</v>
      </c>
      <c r="B587" t="s">
        <v>1966</v>
      </c>
      <c r="C587" t="s">
        <v>1966</v>
      </c>
      <c r="D587" t="s">
        <v>1967</v>
      </c>
      <c r="E587" t="s">
        <v>1968</v>
      </c>
      <c r="F587" t="s">
        <v>298</v>
      </c>
      <c r="G587" t="s">
        <v>1969</v>
      </c>
      <c r="H587" t="s">
        <v>1970</v>
      </c>
      <c r="I587" t="s">
        <v>1971</v>
      </c>
      <c r="L587" t="s">
        <v>1972</v>
      </c>
      <c r="M587" s="37">
        <v>1</v>
      </c>
      <c r="N587" s="37">
        <v>0.5</v>
      </c>
      <c r="O587">
        <v>1</v>
      </c>
      <c r="P587" s="37">
        <v>1</v>
      </c>
      <c r="Q587">
        <v>1</v>
      </c>
      <c r="R587">
        <v>3500</v>
      </c>
      <c r="S587">
        <v>3500</v>
      </c>
      <c r="T587">
        <v>5000</v>
      </c>
      <c r="U587" t="s">
        <v>1962</v>
      </c>
      <c r="V587" t="s">
        <v>1963</v>
      </c>
      <c r="X587" t="s">
        <v>1964</v>
      </c>
      <c r="Y587" t="s">
        <v>1914</v>
      </c>
      <c r="Z587" s="37">
        <v>0.01</v>
      </c>
      <c r="AA587" s="37">
        <v>0.15</v>
      </c>
      <c r="AB587">
        <v>1</v>
      </c>
    </row>
    <row r="588">
      <c r="A588" t="s">
        <v>1965</v>
      </c>
      <c r="B588" t="s">
        <v>1966</v>
      </c>
      <c r="C588" t="s">
        <v>1966</v>
      </c>
      <c r="D588" t="s">
        <v>1967</v>
      </c>
      <c r="E588" t="s">
        <v>1968</v>
      </c>
      <c r="F588" t="s">
        <v>298</v>
      </c>
      <c r="G588" t="s">
        <v>1969</v>
      </c>
      <c r="H588" t="s">
        <v>1973</v>
      </c>
      <c r="I588" t="s">
        <v>1974</v>
      </c>
      <c r="J588" t="s">
        <v>709</v>
      </c>
      <c r="L588" t="s">
        <v>1975</v>
      </c>
      <c r="M588" s="37">
        <v>1</v>
      </c>
      <c r="N588" s="37">
        <v>0.5</v>
      </c>
      <c r="O588">
        <v>1</v>
      </c>
      <c r="P588" s="37">
        <v>1</v>
      </c>
      <c r="Q588">
        <v>1</v>
      </c>
      <c r="R588">
        <v>3500</v>
      </c>
      <c r="S588">
        <v>3500</v>
      </c>
      <c r="T588">
        <v>5000</v>
      </c>
      <c r="U588" t="s">
        <v>1962</v>
      </c>
      <c r="V588" t="s">
        <v>1963</v>
      </c>
      <c r="X588" t="s">
        <v>1964</v>
      </c>
      <c r="Y588" t="s">
        <v>1914</v>
      </c>
      <c r="Z588" s="37">
        <v>0.01</v>
      </c>
      <c r="AA588" s="37">
        <v>0.15</v>
      </c>
      <c r="AB588">
        <v>1</v>
      </c>
    </row>
    <row r="589">
      <c r="A589" t="s">
        <v>1976</v>
      </c>
      <c r="B589" t="s">
        <v>1966</v>
      </c>
      <c r="C589" t="s">
        <v>1966</v>
      </c>
      <c r="D589" t="s">
        <v>1977</v>
      </c>
      <c r="E589" t="s">
        <v>1978</v>
      </c>
      <c r="F589" t="s">
        <v>298</v>
      </c>
      <c r="G589" t="s">
        <v>1969</v>
      </c>
      <c r="H589" t="s">
        <v>1973</v>
      </c>
      <c r="I589" t="s">
        <v>1979</v>
      </c>
      <c r="J589" t="s">
        <v>709</v>
      </c>
      <c r="L589" t="s">
        <v>1980</v>
      </c>
      <c r="M589" s="37">
        <v>1</v>
      </c>
      <c r="N589" s="37">
        <v>0.4</v>
      </c>
      <c r="O589">
        <v>1.2</v>
      </c>
      <c r="P589" s="37">
        <v>1</v>
      </c>
      <c r="Q589">
        <v>1.17</v>
      </c>
      <c r="R589">
        <v>2457</v>
      </c>
      <c r="S589">
        <v>2457</v>
      </c>
      <c r="T589">
        <v>3000</v>
      </c>
      <c r="U589" t="s">
        <v>1962</v>
      </c>
      <c r="V589" t="s">
        <v>1963</v>
      </c>
      <c r="X589" t="s">
        <v>1964</v>
      </c>
      <c r="Y589" t="s">
        <v>1914</v>
      </c>
      <c r="Z589" s="37">
        <v>0.01</v>
      </c>
      <c r="AA589" s="37">
        <v>0.15</v>
      </c>
      <c r="AB589">
        <v>1</v>
      </c>
    </row>
    <row r="590">
      <c r="A590" t="s">
        <v>1976</v>
      </c>
      <c r="B590" t="s">
        <v>1966</v>
      </c>
      <c r="C590" t="s">
        <v>1966</v>
      </c>
      <c r="D590" t="s">
        <v>1977</v>
      </c>
      <c r="E590" t="s">
        <v>1978</v>
      </c>
      <c r="F590" t="s">
        <v>298</v>
      </c>
      <c r="G590" t="s">
        <v>1969</v>
      </c>
      <c r="H590" t="s">
        <v>1970</v>
      </c>
      <c r="I590" t="s">
        <v>1981</v>
      </c>
      <c r="L590" t="s">
        <v>1982</v>
      </c>
      <c r="M590" s="37">
        <v>1</v>
      </c>
      <c r="N590" s="37">
        <v>0.3</v>
      </c>
      <c r="O590">
        <v>1.2</v>
      </c>
      <c r="P590" s="37">
        <v>1</v>
      </c>
      <c r="Q590">
        <v>1.17</v>
      </c>
      <c r="R590">
        <v>2457</v>
      </c>
      <c r="S590">
        <v>2457</v>
      </c>
      <c r="T590">
        <v>3000</v>
      </c>
      <c r="U590" t="s">
        <v>1962</v>
      </c>
      <c r="V590" t="s">
        <v>1963</v>
      </c>
      <c r="X590" t="s">
        <v>1964</v>
      </c>
      <c r="Y590" t="s">
        <v>1914</v>
      </c>
      <c r="Z590" s="37">
        <v>0.01</v>
      </c>
      <c r="AA590" s="37">
        <v>0.15</v>
      </c>
      <c r="AB590">
        <v>1</v>
      </c>
    </row>
    <row r="591">
      <c r="A591" t="s">
        <v>1976</v>
      </c>
      <c r="B591" t="s">
        <v>1966</v>
      </c>
      <c r="C591" t="s">
        <v>1966</v>
      </c>
      <c r="D591" t="s">
        <v>1977</v>
      </c>
      <c r="E591" t="s">
        <v>1978</v>
      </c>
      <c r="F591" t="s">
        <v>298</v>
      </c>
      <c r="G591" t="s">
        <v>1969</v>
      </c>
      <c r="H591" t="s">
        <v>1970</v>
      </c>
      <c r="I591" t="s">
        <v>1983</v>
      </c>
      <c r="L591" t="s">
        <v>1984</v>
      </c>
      <c r="M591" s="37">
        <v>1</v>
      </c>
      <c r="N591" s="37">
        <v>0.3</v>
      </c>
      <c r="O591">
        <v>1.1</v>
      </c>
      <c r="P591" s="37">
        <v>1</v>
      </c>
      <c r="Q591">
        <v>1.17</v>
      </c>
      <c r="R591">
        <v>2457</v>
      </c>
      <c r="S591">
        <v>2457</v>
      </c>
      <c r="T591">
        <v>3000</v>
      </c>
      <c r="U591" t="s">
        <v>1962</v>
      </c>
      <c r="V591" t="s">
        <v>1963</v>
      </c>
      <c r="X591" t="s">
        <v>1964</v>
      </c>
      <c r="Y591" t="s">
        <v>1914</v>
      </c>
      <c r="Z591" s="37">
        <v>0.01</v>
      </c>
      <c r="AA591" s="37">
        <v>0.15</v>
      </c>
      <c r="AB591">
        <v>1</v>
      </c>
    </row>
    <row r="592">
      <c r="A592" t="s">
        <v>1985</v>
      </c>
      <c r="B592" t="s">
        <v>1966</v>
      </c>
      <c r="C592" t="s">
        <v>1966</v>
      </c>
      <c r="D592" t="s">
        <v>1977</v>
      </c>
      <c r="E592" t="s">
        <v>1986</v>
      </c>
      <c r="F592" t="s">
        <v>298</v>
      </c>
      <c r="G592" t="s">
        <v>1969</v>
      </c>
      <c r="H592" t="s">
        <v>1970</v>
      </c>
      <c r="I592" t="s">
        <v>1987</v>
      </c>
      <c r="J592">
        <v>1</v>
      </c>
      <c r="L592" t="s">
        <v>1988</v>
      </c>
      <c r="M592" s="37">
        <v>1</v>
      </c>
      <c r="N592" s="37">
        <v>0.95</v>
      </c>
      <c r="O592">
        <v>1</v>
      </c>
      <c r="P592" s="37">
        <v>0.95</v>
      </c>
      <c r="Q592">
        <v>0.95</v>
      </c>
      <c r="R592">
        <v>3230</v>
      </c>
      <c r="S592">
        <v>3230</v>
      </c>
      <c r="T592">
        <v>3400</v>
      </c>
      <c r="U592" t="s">
        <v>1962</v>
      </c>
      <c r="V592" t="s">
        <v>1963</v>
      </c>
      <c r="X592" t="s">
        <v>1964</v>
      </c>
      <c r="Y592" t="s">
        <v>1914</v>
      </c>
      <c r="Z592" s="37">
        <v>0.01</v>
      </c>
      <c r="AA592" s="37">
        <v>0.15</v>
      </c>
      <c r="AB592">
        <v>1</v>
      </c>
    </row>
    <row r="593">
      <c r="A593" t="s">
        <v>1985</v>
      </c>
      <c r="B593" t="s">
        <v>1966</v>
      </c>
      <c r="C593" t="s">
        <v>1966</v>
      </c>
      <c r="D593" t="s">
        <v>1977</v>
      </c>
      <c r="E593" t="s">
        <v>1986</v>
      </c>
      <c r="F593" t="s">
        <v>298</v>
      </c>
      <c r="G593" t="s">
        <v>1969</v>
      </c>
      <c r="H593" t="s">
        <v>1973</v>
      </c>
      <c r="I593" t="s">
        <v>1989</v>
      </c>
      <c r="J593" s="38">
        <v>1</v>
      </c>
      <c r="L593" t="s">
        <v>1990</v>
      </c>
      <c r="M593" s="37">
        <v>0</v>
      </c>
      <c r="N593" s="37">
        <v>0.05</v>
      </c>
      <c r="O593">
        <v>0</v>
      </c>
      <c r="P593" s="37">
        <v>0.95</v>
      </c>
      <c r="Q593">
        <v>0.95</v>
      </c>
      <c r="R593">
        <v>3230</v>
      </c>
      <c r="S593">
        <v>3230</v>
      </c>
      <c r="T593">
        <v>3400</v>
      </c>
      <c r="U593" t="s">
        <v>1962</v>
      </c>
      <c r="V593" t="s">
        <v>1963</v>
      </c>
      <c r="X593" t="s">
        <v>1964</v>
      </c>
      <c r="Y593" t="s">
        <v>1914</v>
      </c>
      <c r="Z593" s="37">
        <v>0.01</v>
      </c>
      <c r="AA593" s="37">
        <v>0.15</v>
      </c>
      <c r="AB593">
        <v>1</v>
      </c>
    </row>
    <row r="594">
      <c r="A594" t="s">
        <v>1991</v>
      </c>
      <c r="B594" t="s">
        <v>1966</v>
      </c>
      <c r="C594" t="s">
        <v>1966</v>
      </c>
      <c r="D594" t="s">
        <v>1977</v>
      </c>
      <c r="E594" t="s">
        <v>1992</v>
      </c>
      <c r="F594" t="s">
        <v>298</v>
      </c>
      <c r="G594" t="s">
        <v>1969</v>
      </c>
      <c r="H594" t="s">
        <v>1973</v>
      </c>
      <c r="I594" t="s">
        <v>1993</v>
      </c>
      <c r="J594" s="38">
        <v>1</v>
      </c>
      <c r="L594" t="s">
        <v>1994</v>
      </c>
      <c r="M594" s="37">
        <v>1.2</v>
      </c>
      <c r="N594" s="37">
        <v>0.5</v>
      </c>
      <c r="O594">
        <v>1</v>
      </c>
      <c r="P594" s="37">
        <v>1.2</v>
      </c>
      <c r="Q594">
        <v>1</v>
      </c>
      <c r="R594">
        <v>2380</v>
      </c>
      <c r="S594">
        <v>2380</v>
      </c>
      <c r="T594">
        <v>3400</v>
      </c>
      <c r="U594" t="s">
        <v>1962</v>
      </c>
      <c r="V594" t="s">
        <v>1963</v>
      </c>
      <c r="X594" t="s">
        <v>1964</v>
      </c>
      <c r="Y594" t="s">
        <v>1914</v>
      </c>
      <c r="Z594" s="37">
        <v>0.01</v>
      </c>
      <c r="AA594" s="37">
        <v>0.15</v>
      </c>
      <c r="AB594">
        <v>1</v>
      </c>
    </row>
    <row r="595">
      <c r="A595" t="s">
        <v>1991</v>
      </c>
      <c r="B595" t="s">
        <v>1966</v>
      </c>
      <c r="C595" t="s">
        <v>1966</v>
      </c>
      <c r="D595" t="s">
        <v>1977</v>
      </c>
      <c r="E595" t="s">
        <v>1992</v>
      </c>
      <c r="F595" t="s">
        <v>298</v>
      </c>
      <c r="G595" t="s">
        <v>1969</v>
      </c>
      <c r="H595" t="s">
        <v>1970</v>
      </c>
      <c r="I595" t="s">
        <v>1995</v>
      </c>
      <c r="L595" t="s">
        <v>1994</v>
      </c>
      <c r="M595" s="37">
        <v>1.2</v>
      </c>
      <c r="N595" s="37">
        <v>0.5</v>
      </c>
      <c r="O595">
        <v>1</v>
      </c>
      <c r="P595" s="37">
        <v>1.2</v>
      </c>
      <c r="Q595">
        <v>1</v>
      </c>
      <c r="R595">
        <v>2380</v>
      </c>
      <c r="S595">
        <v>2380</v>
      </c>
      <c r="T595">
        <v>3400</v>
      </c>
      <c r="U595" t="s">
        <v>1962</v>
      </c>
      <c r="V595" t="s">
        <v>1963</v>
      </c>
      <c r="X595" t="s">
        <v>1964</v>
      </c>
      <c r="Y595" t="s">
        <v>1914</v>
      </c>
      <c r="Z595" s="37">
        <v>0.01</v>
      </c>
      <c r="AA595" s="37">
        <v>0.15</v>
      </c>
      <c r="AB595">
        <v>1</v>
      </c>
    </row>
    <row r="596">
      <c r="A596" t="s">
        <v>1996</v>
      </c>
      <c r="B596" t="s">
        <v>1966</v>
      </c>
      <c r="C596" t="s">
        <v>1966</v>
      </c>
      <c r="D596" t="s">
        <v>1977</v>
      </c>
      <c r="E596" t="s">
        <v>1997</v>
      </c>
      <c r="F596" t="s">
        <v>298</v>
      </c>
      <c r="G596" t="s">
        <v>1969</v>
      </c>
      <c r="H596" t="s">
        <v>1970</v>
      </c>
      <c r="I596" t="s">
        <v>1998</v>
      </c>
      <c r="L596" t="s">
        <v>1999</v>
      </c>
      <c r="M596" s="37">
        <v>1</v>
      </c>
      <c r="N596" s="37">
        <v>0.2</v>
      </c>
      <c r="O596">
        <v>1</v>
      </c>
      <c r="P596" s="37">
        <v>1</v>
      </c>
      <c r="Q596">
        <v>1</v>
      </c>
      <c r="R596">
        <v>2380</v>
      </c>
      <c r="S596">
        <v>2380</v>
      </c>
      <c r="T596">
        <v>3400</v>
      </c>
      <c r="U596" t="s">
        <v>1962</v>
      </c>
      <c r="V596" t="s">
        <v>1963</v>
      </c>
      <c r="X596" t="s">
        <v>1964</v>
      </c>
      <c r="Y596" t="s">
        <v>1914</v>
      </c>
      <c r="Z596" s="37">
        <v>0.01</v>
      </c>
      <c r="AA596" s="37">
        <v>0.15</v>
      </c>
      <c r="AB596">
        <v>1</v>
      </c>
    </row>
    <row r="597">
      <c r="A597" t="s">
        <v>1996</v>
      </c>
      <c r="B597" t="s">
        <v>1966</v>
      </c>
      <c r="C597" t="s">
        <v>1966</v>
      </c>
      <c r="D597" t="s">
        <v>1977</v>
      </c>
      <c r="E597" t="s">
        <v>1997</v>
      </c>
      <c r="F597" t="s">
        <v>298</v>
      </c>
      <c r="G597" t="s">
        <v>1969</v>
      </c>
      <c r="H597" t="s">
        <v>1970</v>
      </c>
      <c r="I597" t="s">
        <v>2000</v>
      </c>
      <c r="L597" t="s">
        <v>2001</v>
      </c>
      <c r="M597" s="37">
        <v>1</v>
      </c>
      <c r="N597" s="37">
        <v>0.2</v>
      </c>
      <c r="O597">
        <v>1</v>
      </c>
      <c r="P597" s="37">
        <v>1</v>
      </c>
      <c r="Q597">
        <v>1</v>
      </c>
      <c r="R597">
        <v>2380</v>
      </c>
      <c r="S597">
        <v>2380</v>
      </c>
      <c r="T597">
        <v>3400</v>
      </c>
      <c r="U597" t="s">
        <v>1962</v>
      </c>
      <c r="V597" t="s">
        <v>1963</v>
      </c>
      <c r="X597" t="s">
        <v>1964</v>
      </c>
      <c r="Y597" t="s">
        <v>1914</v>
      </c>
      <c r="Z597" s="37">
        <v>0.01</v>
      </c>
      <c r="AA597" s="37">
        <v>0.15</v>
      </c>
      <c r="AB597">
        <v>1</v>
      </c>
    </row>
    <row r="598">
      <c r="A598" t="s">
        <v>1996</v>
      </c>
      <c r="B598" t="s">
        <v>1966</v>
      </c>
      <c r="C598" t="s">
        <v>1966</v>
      </c>
      <c r="D598" t="s">
        <v>1977</v>
      </c>
      <c r="E598" t="s">
        <v>1997</v>
      </c>
      <c r="F598" t="s">
        <v>298</v>
      </c>
      <c r="G598" t="s">
        <v>1969</v>
      </c>
      <c r="H598" t="s">
        <v>1970</v>
      </c>
      <c r="I598" t="s">
        <v>2002</v>
      </c>
      <c r="L598" t="s">
        <v>2003</v>
      </c>
      <c r="M598" s="37">
        <v>1</v>
      </c>
      <c r="N598" s="37">
        <v>0.1</v>
      </c>
      <c r="O598">
        <v>1</v>
      </c>
      <c r="P598" s="37">
        <v>1</v>
      </c>
      <c r="Q598">
        <v>1</v>
      </c>
      <c r="R598">
        <v>2380</v>
      </c>
      <c r="S598">
        <v>2380</v>
      </c>
      <c r="T598">
        <v>3400</v>
      </c>
      <c r="U598" t="s">
        <v>1962</v>
      </c>
      <c r="V598" t="s">
        <v>1963</v>
      </c>
      <c r="X598" t="s">
        <v>1964</v>
      </c>
      <c r="Y598" t="s">
        <v>1914</v>
      </c>
      <c r="Z598" s="37">
        <v>0.01</v>
      </c>
      <c r="AA598" s="37">
        <v>0.15</v>
      </c>
      <c r="AB598">
        <v>1</v>
      </c>
    </row>
    <row r="599">
      <c r="A599" t="s">
        <v>1996</v>
      </c>
      <c r="B599" t="s">
        <v>1966</v>
      </c>
      <c r="C599" t="s">
        <v>1966</v>
      </c>
      <c r="D599" t="s">
        <v>1977</v>
      </c>
      <c r="E599" t="s">
        <v>1997</v>
      </c>
      <c r="F599" t="s">
        <v>298</v>
      </c>
      <c r="G599" t="s">
        <v>1969</v>
      </c>
      <c r="H599" t="s">
        <v>1973</v>
      </c>
      <c r="I599" t="s">
        <v>2004</v>
      </c>
      <c r="J599" s="38">
        <v>1</v>
      </c>
      <c r="L599" t="s">
        <v>455</v>
      </c>
      <c r="M599" s="37">
        <v>1</v>
      </c>
      <c r="N599" s="37">
        <v>0.5</v>
      </c>
      <c r="O599">
        <v>1</v>
      </c>
      <c r="P599" s="37">
        <v>1</v>
      </c>
      <c r="Q599">
        <v>1</v>
      </c>
      <c r="R599">
        <v>2380</v>
      </c>
      <c r="S599">
        <v>2380</v>
      </c>
      <c r="T599">
        <v>3400</v>
      </c>
      <c r="U599" t="s">
        <v>1962</v>
      </c>
      <c r="V599" t="s">
        <v>1963</v>
      </c>
      <c r="X599" t="s">
        <v>1964</v>
      </c>
      <c r="Y599" t="s">
        <v>1914</v>
      </c>
      <c r="Z599" s="37">
        <v>0.01</v>
      </c>
      <c r="AA599" s="37">
        <v>0.15</v>
      </c>
      <c r="AB599">
        <v>1</v>
      </c>
    </row>
    <row r="600">
      <c r="A600" t="s">
        <v>2005</v>
      </c>
      <c r="B600" t="s">
        <v>1966</v>
      </c>
      <c r="C600" t="s">
        <v>1966</v>
      </c>
      <c r="D600" t="s">
        <v>2006</v>
      </c>
      <c r="E600" t="s">
        <v>2007</v>
      </c>
      <c r="F600" t="s">
        <v>298</v>
      </c>
      <c r="G600" t="s">
        <v>1969</v>
      </c>
      <c r="H600" t="s">
        <v>1973</v>
      </c>
      <c r="I600" t="s">
        <v>2008</v>
      </c>
      <c r="J600" t="s">
        <v>1418</v>
      </c>
      <c r="L600" t="s">
        <v>2009</v>
      </c>
      <c r="M600" s="37">
        <v>1</v>
      </c>
      <c r="N600" s="37">
        <v>0.5</v>
      </c>
      <c r="O600">
        <v>1</v>
      </c>
      <c r="P600" s="37">
        <v>1</v>
      </c>
      <c r="Q600">
        <v>1</v>
      </c>
      <c r="R600">
        <v>5600</v>
      </c>
      <c r="S600">
        <v>5600</v>
      </c>
      <c r="T600">
        <v>8000</v>
      </c>
      <c r="U600" t="s">
        <v>1962</v>
      </c>
      <c r="V600" t="s">
        <v>1963</v>
      </c>
      <c r="X600" t="s">
        <v>1964</v>
      </c>
      <c r="Y600" t="s">
        <v>1914</v>
      </c>
      <c r="Z600" s="37">
        <v>0.01</v>
      </c>
      <c r="AA600" s="37">
        <v>0.15</v>
      </c>
      <c r="AB600">
        <v>1</v>
      </c>
    </row>
    <row r="601">
      <c r="A601" t="s">
        <v>2005</v>
      </c>
      <c r="B601" t="s">
        <v>1966</v>
      </c>
      <c r="C601" t="s">
        <v>1966</v>
      </c>
      <c r="D601" t="s">
        <v>2006</v>
      </c>
      <c r="E601" t="s">
        <v>2007</v>
      </c>
      <c r="F601" t="s">
        <v>298</v>
      </c>
      <c r="G601" t="s">
        <v>1969</v>
      </c>
      <c r="H601" t="s">
        <v>1970</v>
      </c>
      <c r="I601" t="s">
        <v>2010</v>
      </c>
      <c r="L601" t="s">
        <v>2011</v>
      </c>
      <c r="M601" s="37">
        <v>1</v>
      </c>
      <c r="N601" s="37">
        <v>0.5</v>
      </c>
      <c r="O601">
        <v>1</v>
      </c>
      <c r="P601" s="37">
        <v>1</v>
      </c>
      <c r="Q601">
        <v>1</v>
      </c>
      <c r="R601">
        <v>5600</v>
      </c>
      <c r="S601">
        <v>5600</v>
      </c>
      <c r="T601">
        <v>8000</v>
      </c>
      <c r="U601" t="s">
        <v>1962</v>
      </c>
      <c r="V601" t="s">
        <v>1963</v>
      </c>
      <c r="X601" t="s">
        <v>1964</v>
      </c>
      <c r="Y601" t="s">
        <v>1914</v>
      </c>
      <c r="Z601" s="37">
        <v>0.01</v>
      </c>
      <c r="AA601" s="37">
        <v>0.15</v>
      </c>
      <c r="AB601">
        <v>1</v>
      </c>
    </row>
    <row r="602">
      <c r="A602" t="s">
        <v>2012</v>
      </c>
      <c r="B602" t="s">
        <v>1966</v>
      </c>
      <c r="C602" t="s">
        <v>1966</v>
      </c>
      <c r="D602" t="s">
        <v>1977</v>
      </c>
      <c r="E602" t="s">
        <v>2013</v>
      </c>
      <c r="F602" t="s">
        <v>298</v>
      </c>
      <c r="G602" t="s">
        <v>1969</v>
      </c>
      <c r="H602" t="s">
        <v>1970</v>
      </c>
      <c r="I602" t="s">
        <v>2014</v>
      </c>
      <c r="L602" t="s">
        <v>2015</v>
      </c>
      <c r="M602" s="37">
        <v>1</v>
      </c>
      <c r="N602" s="37">
        <v>0.3</v>
      </c>
      <c r="O602">
        <v>1</v>
      </c>
      <c r="P602" s="37">
        <v>1</v>
      </c>
      <c r="Q602">
        <v>1</v>
      </c>
      <c r="R602">
        <v>2380</v>
      </c>
      <c r="S602">
        <v>2380</v>
      </c>
      <c r="T602">
        <v>3400</v>
      </c>
      <c r="U602" t="s">
        <v>1962</v>
      </c>
      <c r="V602" t="s">
        <v>1963</v>
      </c>
      <c r="X602" t="s">
        <v>1964</v>
      </c>
      <c r="Y602" t="s">
        <v>1914</v>
      </c>
      <c r="Z602" s="37">
        <v>0.01</v>
      </c>
      <c r="AA602" s="37">
        <v>0.15</v>
      </c>
      <c r="AB602">
        <v>1</v>
      </c>
    </row>
    <row r="603">
      <c r="A603" t="s">
        <v>2012</v>
      </c>
      <c r="B603" t="s">
        <v>1966</v>
      </c>
      <c r="C603" t="s">
        <v>1966</v>
      </c>
      <c r="D603" t="s">
        <v>1977</v>
      </c>
      <c r="E603" t="s">
        <v>2013</v>
      </c>
      <c r="F603" t="s">
        <v>298</v>
      </c>
      <c r="G603" t="s">
        <v>1969</v>
      </c>
      <c r="H603" t="s">
        <v>1970</v>
      </c>
      <c r="I603" t="s">
        <v>2016</v>
      </c>
      <c r="L603" t="s">
        <v>2017</v>
      </c>
      <c r="M603" s="37">
        <v>1</v>
      </c>
      <c r="N603" s="37">
        <v>0.3</v>
      </c>
      <c r="O603">
        <v>1</v>
      </c>
      <c r="P603" s="37">
        <v>1</v>
      </c>
      <c r="Q603">
        <v>1</v>
      </c>
      <c r="R603">
        <v>2380</v>
      </c>
      <c r="S603">
        <v>2380</v>
      </c>
      <c r="T603">
        <v>3400</v>
      </c>
      <c r="U603" t="s">
        <v>1962</v>
      </c>
      <c r="V603" t="s">
        <v>1963</v>
      </c>
      <c r="X603" t="s">
        <v>1964</v>
      </c>
      <c r="Y603" t="s">
        <v>1914</v>
      </c>
      <c r="Z603" s="37">
        <v>0.01</v>
      </c>
      <c r="AA603" s="37">
        <v>0.15</v>
      </c>
      <c r="AB603">
        <v>1</v>
      </c>
    </row>
    <row r="604">
      <c r="A604" t="s">
        <v>2012</v>
      </c>
      <c r="B604" t="s">
        <v>1966</v>
      </c>
      <c r="C604" t="s">
        <v>1966</v>
      </c>
      <c r="D604" t="s">
        <v>1977</v>
      </c>
      <c r="E604" t="s">
        <v>2013</v>
      </c>
      <c r="F604" t="s">
        <v>298</v>
      </c>
      <c r="G604" t="s">
        <v>1969</v>
      </c>
      <c r="H604" t="s">
        <v>1973</v>
      </c>
      <c r="I604" t="s">
        <v>2018</v>
      </c>
      <c r="J604" s="38">
        <v>1</v>
      </c>
      <c r="L604" t="s">
        <v>2017</v>
      </c>
      <c r="M604" s="37">
        <v>1</v>
      </c>
      <c r="N604" s="37">
        <v>0.4</v>
      </c>
      <c r="O604">
        <v>1</v>
      </c>
      <c r="P604" s="37">
        <v>1</v>
      </c>
      <c r="Q604">
        <v>1</v>
      </c>
      <c r="R604">
        <v>2380</v>
      </c>
      <c r="S604">
        <v>2380</v>
      </c>
      <c r="T604">
        <v>3400</v>
      </c>
      <c r="U604" t="s">
        <v>1962</v>
      </c>
      <c r="V604" t="s">
        <v>1963</v>
      </c>
      <c r="X604" t="s">
        <v>1964</v>
      </c>
      <c r="Y604" t="s">
        <v>1914</v>
      </c>
      <c r="Z604" s="37">
        <v>0.01</v>
      </c>
      <c r="AA604" s="37">
        <v>0.15</v>
      </c>
      <c r="AB604">
        <v>1</v>
      </c>
    </row>
    <row r="605">
      <c r="A605" t="s">
        <v>2019</v>
      </c>
      <c r="B605" t="s">
        <v>945</v>
      </c>
      <c r="C605" t="s">
        <v>945</v>
      </c>
      <c r="D605" t="s">
        <v>2020</v>
      </c>
      <c r="E605" t="s">
        <v>2021</v>
      </c>
      <c r="F605" t="s">
        <v>298</v>
      </c>
      <c r="G605" t="s">
        <v>2022</v>
      </c>
      <c r="H605" t="s">
        <v>2023</v>
      </c>
      <c r="I605" t="s">
        <v>2024</v>
      </c>
      <c r="J605" s="38">
        <v>1</v>
      </c>
      <c r="L605" t="s">
        <v>2025</v>
      </c>
      <c r="M605" s="37">
        <v>1</v>
      </c>
      <c r="N605" s="37">
        <v>0.4</v>
      </c>
      <c r="O605">
        <v>1</v>
      </c>
      <c r="P605" s="37">
        <v>1</v>
      </c>
      <c r="Q605">
        <v>1</v>
      </c>
      <c r="R605">
        <v>3000</v>
      </c>
      <c r="S605">
        <v>3000</v>
      </c>
      <c r="T605">
        <v>3000</v>
      </c>
      <c r="U605" t="s">
        <v>1962</v>
      </c>
      <c r="V605" t="s">
        <v>1963</v>
      </c>
      <c r="X605" t="s">
        <v>1964</v>
      </c>
      <c r="Y605" t="s">
        <v>1914</v>
      </c>
      <c r="Z605" s="37">
        <v>0.01</v>
      </c>
      <c r="AA605" s="37">
        <v>0.15</v>
      </c>
      <c r="AB605">
        <v>1</v>
      </c>
    </row>
    <row r="606">
      <c r="A606" t="s">
        <v>2019</v>
      </c>
      <c r="B606" t="s">
        <v>945</v>
      </c>
      <c r="C606" t="s">
        <v>945</v>
      </c>
      <c r="D606" t="s">
        <v>2020</v>
      </c>
      <c r="E606" t="s">
        <v>2021</v>
      </c>
      <c r="F606" t="s">
        <v>298</v>
      </c>
      <c r="G606" t="s">
        <v>2022</v>
      </c>
      <c r="H606" t="s">
        <v>2026</v>
      </c>
      <c r="I606" t="s">
        <v>2027</v>
      </c>
      <c r="J606" s="38">
        <v>1</v>
      </c>
      <c r="K606" s="38">
        <v>1</v>
      </c>
      <c r="L606" t="s">
        <v>2028</v>
      </c>
      <c r="M606" s="37">
        <v>1</v>
      </c>
      <c r="N606" s="37">
        <v>0.6</v>
      </c>
      <c r="O606">
        <v>1</v>
      </c>
      <c r="P606" s="37">
        <v>1</v>
      </c>
      <c r="Q606">
        <v>1</v>
      </c>
      <c r="R606">
        <v>3000</v>
      </c>
      <c r="S606">
        <v>3000</v>
      </c>
      <c r="T606">
        <v>3000</v>
      </c>
      <c r="U606" t="s">
        <v>1962</v>
      </c>
      <c r="V606" t="s">
        <v>1963</v>
      </c>
      <c r="X606" t="s">
        <v>1964</v>
      </c>
      <c r="Y606" t="s">
        <v>1914</v>
      </c>
      <c r="Z606" s="37">
        <v>0.01</v>
      </c>
      <c r="AA606" s="37">
        <v>0.15</v>
      </c>
      <c r="AB606">
        <v>1</v>
      </c>
    </row>
    <row r="607">
      <c r="A607" t="s">
        <v>2029</v>
      </c>
      <c r="B607" t="s">
        <v>945</v>
      </c>
      <c r="C607" t="s">
        <v>945</v>
      </c>
      <c r="D607" t="s">
        <v>2020</v>
      </c>
      <c r="E607" t="s">
        <v>2030</v>
      </c>
      <c r="F607" t="s">
        <v>298</v>
      </c>
      <c r="G607" t="s">
        <v>2022</v>
      </c>
      <c r="H607" t="s">
        <v>2026</v>
      </c>
      <c r="I607" t="s">
        <v>2031</v>
      </c>
      <c r="J607" s="38">
        <v>1</v>
      </c>
      <c r="K607" s="38">
        <v>1</v>
      </c>
      <c r="L607" t="s">
        <v>2031</v>
      </c>
      <c r="M607" s="37">
        <v>1</v>
      </c>
      <c r="N607" s="37">
        <v>0.3</v>
      </c>
      <c r="O607">
        <v>1</v>
      </c>
      <c r="P607" s="37">
        <v>1</v>
      </c>
      <c r="Q607">
        <v>1.5</v>
      </c>
      <c r="R607">
        <v>3600</v>
      </c>
      <c r="S607">
        <v>3600</v>
      </c>
      <c r="T607">
        <v>3000</v>
      </c>
      <c r="U607" t="s">
        <v>1962</v>
      </c>
      <c r="V607" t="s">
        <v>1963</v>
      </c>
      <c r="X607" t="s">
        <v>1964</v>
      </c>
      <c r="Y607" t="s">
        <v>1914</v>
      </c>
      <c r="Z607" s="37">
        <v>0.01</v>
      </c>
      <c r="AA607" s="37">
        <v>0.15</v>
      </c>
      <c r="AB607">
        <v>1</v>
      </c>
    </row>
    <row r="608">
      <c r="A608" t="s">
        <v>2029</v>
      </c>
      <c r="B608" t="s">
        <v>945</v>
      </c>
      <c r="C608" t="s">
        <v>945</v>
      </c>
      <c r="D608" t="s">
        <v>2020</v>
      </c>
      <c r="E608" t="s">
        <v>2030</v>
      </c>
      <c r="F608" t="s">
        <v>298</v>
      </c>
      <c r="G608" t="s">
        <v>2022</v>
      </c>
      <c r="H608" t="s">
        <v>2023</v>
      </c>
      <c r="I608" t="s">
        <v>2032</v>
      </c>
      <c r="J608" s="38">
        <v>1</v>
      </c>
      <c r="L608" t="s">
        <v>2032</v>
      </c>
      <c r="M608" s="37">
        <v>1</v>
      </c>
      <c r="N608" s="37">
        <v>0.7</v>
      </c>
      <c r="O608">
        <v>1</v>
      </c>
      <c r="P608" s="37">
        <v>1</v>
      </c>
      <c r="Q608">
        <v>1.5</v>
      </c>
      <c r="R608">
        <v>3600</v>
      </c>
      <c r="S608">
        <v>3600</v>
      </c>
      <c r="T608">
        <v>3000</v>
      </c>
      <c r="U608" t="s">
        <v>1962</v>
      </c>
      <c r="V608" t="s">
        <v>1963</v>
      </c>
      <c r="X608" t="s">
        <v>1964</v>
      </c>
      <c r="Y608" t="s">
        <v>1914</v>
      </c>
      <c r="Z608" s="37">
        <v>0.01</v>
      </c>
      <c r="AA608" s="37">
        <v>0.15</v>
      </c>
      <c r="AB608">
        <v>1</v>
      </c>
    </row>
    <row r="609">
      <c r="A609" t="s">
        <v>2033</v>
      </c>
      <c r="B609" t="s">
        <v>945</v>
      </c>
      <c r="C609" t="s">
        <v>945</v>
      </c>
      <c r="D609" t="s">
        <v>2034</v>
      </c>
      <c r="E609" t="s">
        <v>2035</v>
      </c>
      <c r="F609" t="s">
        <v>298</v>
      </c>
      <c r="G609" t="s">
        <v>2022</v>
      </c>
      <c r="H609" t="s">
        <v>2023</v>
      </c>
      <c r="I609" t="s">
        <v>2036</v>
      </c>
      <c r="J609" s="38">
        <v>0.9</v>
      </c>
      <c r="L609" t="s">
        <v>2032</v>
      </c>
      <c r="M609" s="37">
        <v>1</v>
      </c>
      <c r="N609" s="37">
        <v>0.4</v>
      </c>
      <c r="O609">
        <v>1</v>
      </c>
      <c r="P609" s="37">
        <v>1</v>
      </c>
      <c r="Q609">
        <v>1</v>
      </c>
      <c r="R609">
        <v>500</v>
      </c>
      <c r="S609">
        <v>500</v>
      </c>
      <c r="T609">
        <v>0</v>
      </c>
      <c r="U609" t="s">
        <v>1962</v>
      </c>
      <c r="V609" t="s">
        <v>1963</v>
      </c>
      <c r="X609" t="s">
        <v>1964</v>
      </c>
      <c r="Y609" t="s">
        <v>1914</v>
      </c>
      <c r="Z609" s="37">
        <v>0.01</v>
      </c>
      <c r="AA609" s="37">
        <v>0.15</v>
      </c>
      <c r="AB609">
        <v>1</v>
      </c>
    </row>
    <row r="610">
      <c r="A610" t="s">
        <v>2033</v>
      </c>
      <c r="B610" t="s">
        <v>945</v>
      </c>
      <c r="C610" t="s">
        <v>945</v>
      </c>
      <c r="D610" t="s">
        <v>2034</v>
      </c>
      <c r="E610" t="s">
        <v>2035</v>
      </c>
      <c r="F610" t="s">
        <v>298</v>
      </c>
      <c r="G610" t="s">
        <v>2022</v>
      </c>
      <c r="H610" t="s">
        <v>2026</v>
      </c>
      <c r="I610" t="s">
        <v>2037</v>
      </c>
      <c r="J610" s="38">
        <v>1</v>
      </c>
      <c r="K610" s="38">
        <v>1</v>
      </c>
      <c r="M610" s="37">
        <v>1</v>
      </c>
      <c r="N610" s="37">
        <v>0.6</v>
      </c>
      <c r="O610">
        <v>1</v>
      </c>
      <c r="P610" s="37">
        <v>1</v>
      </c>
      <c r="Q610">
        <v>1</v>
      </c>
      <c r="R610">
        <v>500</v>
      </c>
      <c r="S610">
        <v>500</v>
      </c>
      <c r="T610">
        <v>0</v>
      </c>
      <c r="U610" t="s">
        <v>1962</v>
      </c>
      <c r="V610" t="s">
        <v>1963</v>
      </c>
      <c r="X610" t="s">
        <v>1964</v>
      </c>
      <c r="Y610" t="s">
        <v>1914</v>
      </c>
      <c r="Z610" s="37">
        <v>0.01</v>
      </c>
      <c r="AA610" s="37">
        <v>0.15</v>
      </c>
      <c r="AB610">
        <v>1</v>
      </c>
    </row>
    <row r="611">
      <c r="A611" t="s">
        <v>2038</v>
      </c>
      <c r="B611" t="s">
        <v>1966</v>
      </c>
      <c r="C611" t="s">
        <v>1966</v>
      </c>
      <c r="D611" t="s">
        <v>359</v>
      </c>
      <c r="E611" t="s">
        <v>2039</v>
      </c>
      <c r="F611" t="s">
        <v>298</v>
      </c>
      <c r="G611" t="s">
        <v>1969</v>
      </c>
      <c r="H611" t="s">
        <v>1973</v>
      </c>
      <c r="I611" t="s">
        <v>2040</v>
      </c>
      <c r="J611" s="38">
        <v>1</v>
      </c>
      <c r="L611" t="s">
        <v>2041</v>
      </c>
      <c r="M611" s="37">
        <v>1</v>
      </c>
      <c r="N611" s="37">
        <v>0.3</v>
      </c>
      <c r="O611">
        <v>1</v>
      </c>
      <c r="P611" s="37">
        <v>1</v>
      </c>
      <c r="Q611">
        <v>1</v>
      </c>
      <c r="R611">
        <v>0</v>
      </c>
      <c r="S611">
        <v>0</v>
      </c>
      <c r="T611">
        <v>5000</v>
      </c>
      <c r="U611" t="s">
        <v>1962</v>
      </c>
      <c r="V611" t="s">
        <v>1963</v>
      </c>
      <c r="X611" t="s">
        <v>1964</v>
      </c>
      <c r="Y611" t="s">
        <v>1914</v>
      </c>
      <c r="Z611" s="37">
        <v>0.01</v>
      </c>
      <c r="AA611" s="37">
        <v>0.15</v>
      </c>
      <c r="AB611">
        <v>1</v>
      </c>
    </row>
    <row r="612">
      <c r="A612" t="s">
        <v>2038</v>
      </c>
      <c r="B612" t="s">
        <v>1966</v>
      </c>
      <c r="C612" t="s">
        <v>1966</v>
      </c>
      <c r="D612" t="s">
        <v>359</v>
      </c>
      <c r="E612" t="s">
        <v>2039</v>
      </c>
      <c r="F612" t="s">
        <v>298</v>
      </c>
      <c r="G612" t="s">
        <v>1969</v>
      </c>
      <c r="H612" t="s">
        <v>1973</v>
      </c>
      <c r="I612" t="s">
        <v>2042</v>
      </c>
      <c r="J612" s="38">
        <v>1</v>
      </c>
      <c r="L612" t="s">
        <v>2043</v>
      </c>
      <c r="M612" s="37">
        <v>1</v>
      </c>
      <c r="N612" s="37">
        <v>0.3</v>
      </c>
      <c r="O612">
        <v>1</v>
      </c>
      <c r="P612" s="37">
        <v>1</v>
      </c>
      <c r="Q612">
        <v>1</v>
      </c>
      <c r="R612">
        <v>0</v>
      </c>
      <c r="S612">
        <v>0</v>
      </c>
      <c r="T612">
        <v>5000</v>
      </c>
      <c r="U612" t="s">
        <v>1962</v>
      </c>
      <c r="V612" t="s">
        <v>1963</v>
      </c>
      <c r="X612" t="s">
        <v>1964</v>
      </c>
      <c r="Y612" t="s">
        <v>1914</v>
      </c>
      <c r="Z612" s="37">
        <v>0.01</v>
      </c>
      <c r="AA612" s="37">
        <v>0.15</v>
      </c>
      <c r="AB612">
        <v>1</v>
      </c>
    </row>
    <row r="613">
      <c r="A613" t="s">
        <v>2038</v>
      </c>
      <c r="B613" t="s">
        <v>1966</v>
      </c>
      <c r="C613" t="s">
        <v>1966</v>
      </c>
      <c r="D613" t="s">
        <v>359</v>
      </c>
      <c r="E613" t="s">
        <v>2039</v>
      </c>
      <c r="F613" t="s">
        <v>298</v>
      </c>
      <c r="G613" t="s">
        <v>1969</v>
      </c>
      <c r="H613" t="s">
        <v>1970</v>
      </c>
      <c r="I613" t="s">
        <v>2044</v>
      </c>
      <c r="L613" t="s">
        <v>2045</v>
      </c>
      <c r="M613" s="37">
        <v>1</v>
      </c>
      <c r="N613" s="37">
        <v>0.4</v>
      </c>
      <c r="O613">
        <v>1</v>
      </c>
      <c r="P613" s="37">
        <v>1</v>
      </c>
      <c r="Q613">
        <v>1</v>
      </c>
      <c r="R613">
        <v>0</v>
      </c>
      <c r="S613">
        <v>0</v>
      </c>
      <c r="T613">
        <v>5000</v>
      </c>
      <c r="U613" t="s">
        <v>1962</v>
      </c>
      <c r="V613" t="s">
        <v>1963</v>
      </c>
      <c r="X613" t="s">
        <v>1964</v>
      </c>
      <c r="Y613" t="s">
        <v>1914</v>
      </c>
      <c r="Z613" s="37">
        <v>0.01</v>
      </c>
      <c r="AA613" s="37">
        <v>0.15</v>
      </c>
      <c r="AB613">
        <v>1</v>
      </c>
    </row>
    <row r="614">
      <c r="A614" t="s">
        <v>2046</v>
      </c>
      <c r="B614" t="s">
        <v>1966</v>
      </c>
      <c r="C614" t="s">
        <v>1966</v>
      </c>
      <c r="D614" t="s">
        <v>359</v>
      </c>
      <c r="E614" t="s">
        <v>2047</v>
      </c>
      <c r="F614" t="s">
        <v>298</v>
      </c>
      <c r="G614" t="s">
        <v>1969</v>
      </c>
      <c r="H614" t="s">
        <v>1973</v>
      </c>
      <c r="I614" t="s">
        <v>2048</v>
      </c>
      <c r="J614" s="38">
        <v>1</v>
      </c>
      <c r="L614" t="s">
        <v>2049</v>
      </c>
      <c r="M614" s="37">
        <v>1</v>
      </c>
      <c r="N614" s="37">
        <v>0.2</v>
      </c>
      <c r="O614">
        <v>1</v>
      </c>
      <c r="P614" s="37">
        <v>1</v>
      </c>
      <c r="Q614">
        <v>1</v>
      </c>
      <c r="R614">
        <v>0</v>
      </c>
      <c r="S614">
        <v>0</v>
      </c>
      <c r="T614">
        <v>5000</v>
      </c>
      <c r="U614" t="s">
        <v>1962</v>
      </c>
      <c r="V614" t="s">
        <v>1963</v>
      </c>
      <c r="X614" t="s">
        <v>1964</v>
      </c>
      <c r="Y614" t="s">
        <v>1914</v>
      </c>
      <c r="Z614" s="37">
        <v>0.01</v>
      </c>
      <c r="AA614" s="37">
        <v>0.15</v>
      </c>
      <c r="AB614">
        <v>1</v>
      </c>
    </row>
    <row r="615">
      <c r="A615" t="s">
        <v>2046</v>
      </c>
      <c r="B615" t="s">
        <v>1966</v>
      </c>
      <c r="C615" t="s">
        <v>1966</v>
      </c>
      <c r="D615" t="s">
        <v>359</v>
      </c>
      <c r="E615" t="s">
        <v>2047</v>
      </c>
      <c r="F615" t="s">
        <v>298</v>
      </c>
      <c r="G615" t="s">
        <v>1969</v>
      </c>
      <c r="H615" t="s">
        <v>1973</v>
      </c>
      <c r="I615" t="s">
        <v>2050</v>
      </c>
      <c r="J615" s="38">
        <v>1</v>
      </c>
      <c r="L615" t="s">
        <v>2051</v>
      </c>
      <c r="M615" s="37">
        <v>1</v>
      </c>
      <c r="N615" s="37">
        <v>0.3</v>
      </c>
      <c r="O615">
        <v>1</v>
      </c>
      <c r="P615" s="37">
        <v>1</v>
      </c>
      <c r="Q615">
        <v>1</v>
      </c>
      <c r="R615">
        <v>0</v>
      </c>
      <c r="S615">
        <v>0</v>
      </c>
      <c r="T615">
        <v>5000</v>
      </c>
      <c r="U615" t="s">
        <v>1962</v>
      </c>
      <c r="V615" t="s">
        <v>1963</v>
      </c>
      <c r="X615" t="s">
        <v>1964</v>
      </c>
      <c r="Y615" t="s">
        <v>1914</v>
      </c>
      <c r="Z615" s="37">
        <v>0.01</v>
      </c>
      <c r="AA615" s="37">
        <v>0.15</v>
      </c>
      <c r="AB615">
        <v>1</v>
      </c>
    </row>
    <row r="616">
      <c r="A616" t="s">
        <v>2046</v>
      </c>
      <c r="B616" t="s">
        <v>1966</v>
      </c>
      <c r="C616" t="s">
        <v>1966</v>
      </c>
      <c r="D616" t="s">
        <v>359</v>
      </c>
      <c r="E616" t="s">
        <v>2047</v>
      </c>
      <c r="F616" t="s">
        <v>298</v>
      </c>
      <c r="G616" t="s">
        <v>1969</v>
      </c>
      <c r="H616" t="s">
        <v>1973</v>
      </c>
      <c r="I616" t="s">
        <v>2052</v>
      </c>
      <c r="J616" s="38">
        <v>1</v>
      </c>
      <c r="L616" t="s">
        <v>2053</v>
      </c>
      <c r="M616" s="37">
        <v>1</v>
      </c>
      <c r="N616" s="37">
        <v>0.3</v>
      </c>
      <c r="O616">
        <v>1</v>
      </c>
      <c r="P616" s="37">
        <v>1</v>
      </c>
      <c r="Q616">
        <v>1</v>
      </c>
      <c r="R616">
        <v>0</v>
      </c>
      <c r="S616">
        <v>0</v>
      </c>
      <c r="T616">
        <v>5000</v>
      </c>
      <c r="U616" t="s">
        <v>1962</v>
      </c>
      <c r="V616" t="s">
        <v>1963</v>
      </c>
      <c r="X616" t="s">
        <v>1964</v>
      </c>
      <c r="Y616" t="s">
        <v>1914</v>
      </c>
      <c r="Z616" s="37">
        <v>0.01</v>
      </c>
      <c r="AA616" s="37">
        <v>0.15</v>
      </c>
      <c r="AB616">
        <v>1</v>
      </c>
    </row>
    <row r="617">
      <c r="A617" t="s">
        <v>2046</v>
      </c>
      <c r="B617" t="s">
        <v>1966</v>
      </c>
      <c r="C617" t="s">
        <v>1966</v>
      </c>
      <c r="D617" t="s">
        <v>359</v>
      </c>
      <c r="E617" t="s">
        <v>2047</v>
      </c>
      <c r="F617" t="s">
        <v>298</v>
      </c>
      <c r="G617" t="s">
        <v>1969</v>
      </c>
      <c r="H617" t="s">
        <v>1973</v>
      </c>
      <c r="I617" t="s">
        <v>2054</v>
      </c>
      <c r="J617" s="38">
        <v>1</v>
      </c>
      <c r="L617" t="s">
        <v>2055</v>
      </c>
      <c r="M617" s="37">
        <v>1</v>
      </c>
      <c r="N617" s="37">
        <v>0.2</v>
      </c>
      <c r="O617">
        <v>1</v>
      </c>
      <c r="P617" s="37">
        <v>1</v>
      </c>
      <c r="Q617">
        <v>1</v>
      </c>
      <c r="R617">
        <v>0</v>
      </c>
      <c r="S617">
        <v>0</v>
      </c>
      <c r="T617">
        <v>5000</v>
      </c>
      <c r="U617" t="s">
        <v>1962</v>
      </c>
      <c r="V617" t="s">
        <v>1963</v>
      </c>
      <c r="X617" t="s">
        <v>1964</v>
      </c>
      <c r="Y617" t="s">
        <v>1914</v>
      </c>
      <c r="Z617" s="37">
        <v>0.01</v>
      </c>
      <c r="AA617" s="37">
        <v>0.15</v>
      </c>
      <c r="AB617">
        <v>1</v>
      </c>
    </row>
    <row r="618">
      <c r="A618" t="s">
        <v>2056</v>
      </c>
      <c r="B618" t="s">
        <v>2057</v>
      </c>
      <c r="C618" t="s">
        <v>2057</v>
      </c>
      <c r="D618" t="s">
        <v>2058</v>
      </c>
      <c r="E618" t="s">
        <v>2059</v>
      </c>
      <c r="F618" t="s">
        <v>298</v>
      </c>
      <c r="G618" t="s">
        <v>2060</v>
      </c>
      <c r="H618" t="s">
        <v>2061</v>
      </c>
      <c r="I618" t="s">
        <v>2062</v>
      </c>
      <c r="J618" s="38">
        <v>1</v>
      </c>
      <c r="K618" t="s">
        <v>2063</v>
      </c>
      <c r="L618" t="s">
        <v>2064</v>
      </c>
      <c r="M618" s="37">
        <v>1</v>
      </c>
      <c r="N618" s="37">
        <v>0.3</v>
      </c>
      <c r="O618">
        <v>1</v>
      </c>
      <c r="P618" s="37">
        <v>1</v>
      </c>
      <c r="Q618">
        <v>1</v>
      </c>
      <c r="R618">
        <v>1300</v>
      </c>
      <c r="S618">
        <v>1300</v>
      </c>
      <c r="T618">
        <v>1300</v>
      </c>
      <c r="U618" t="s">
        <v>1962</v>
      </c>
      <c r="V618" t="s">
        <v>1963</v>
      </c>
      <c r="X618" t="s">
        <v>1964</v>
      </c>
      <c r="Y618" t="s">
        <v>1914</v>
      </c>
      <c r="Z618" s="37">
        <v>0.01</v>
      </c>
      <c r="AA618" s="37">
        <v>0.15</v>
      </c>
      <c r="AB618">
        <v>1</v>
      </c>
    </row>
    <row r="619">
      <c r="A619" t="s">
        <v>2056</v>
      </c>
      <c r="B619" t="s">
        <v>2057</v>
      </c>
      <c r="C619" t="s">
        <v>2057</v>
      </c>
      <c r="D619" t="s">
        <v>2058</v>
      </c>
      <c r="E619" t="s">
        <v>2059</v>
      </c>
      <c r="F619" t="s">
        <v>298</v>
      </c>
      <c r="G619" t="s">
        <v>2060</v>
      </c>
      <c r="H619" t="s">
        <v>2061</v>
      </c>
      <c r="I619" t="s">
        <v>2065</v>
      </c>
      <c r="J619" s="38">
        <v>1</v>
      </c>
      <c r="K619" s="38">
        <v>1</v>
      </c>
      <c r="L619" t="s">
        <v>2066</v>
      </c>
      <c r="M619" s="37">
        <v>1</v>
      </c>
      <c r="N619" s="37">
        <v>0.3</v>
      </c>
      <c r="O619">
        <v>1</v>
      </c>
      <c r="P619" s="37">
        <v>1</v>
      </c>
      <c r="Q619">
        <v>1</v>
      </c>
      <c r="R619">
        <v>1300</v>
      </c>
      <c r="S619">
        <v>1300</v>
      </c>
      <c r="T619">
        <v>1300</v>
      </c>
      <c r="U619" t="s">
        <v>1962</v>
      </c>
      <c r="V619" t="s">
        <v>1963</v>
      </c>
      <c r="X619" t="s">
        <v>1964</v>
      </c>
      <c r="Y619" t="s">
        <v>1914</v>
      </c>
      <c r="Z619" s="37">
        <v>0.01</v>
      </c>
      <c r="AA619" s="37">
        <v>0.15</v>
      </c>
      <c r="AB619">
        <v>1</v>
      </c>
    </row>
    <row r="620">
      <c r="A620" t="s">
        <v>2056</v>
      </c>
      <c r="B620" t="s">
        <v>2057</v>
      </c>
      <c r="C620" t="s">
        <v>2057</v>
      </c>
      <c r="D620" t="s">
        <v>2058</v>
      </c>
      <c r="E620" t="s">
        <v>2059</v>
      </c>
      <c r="F620" t="s">
        <v>298</v>
      </c>
      <c r="G620" t="s">
        <v>2060</v>
      </c>
      <c r="H620" t="s">
        <v>2061</v>
      </c>
      <c r="I620" t="s">
        <v>2067</v>
      </c>
      <c r="J620" s="38">
        <v>1</v>
      </c>
      <c r="K620" s="38">
        <v>1</v>
      </c>
      <c r="L620" t="s">
        <v>2068</v>
      </c>
      <c r="M620" s="37">
        <v>1</v>
      </c>
      <c r="N620" s="37">
        <v>0.4</v>
      </c>
      <c r="O620">
        <v>1</v>
      </c>
      <c r="P620" s="37">
        <v>1</v>
      </c>
      <c r="Q620">
        <v>1</v>
      </c>
      <c r="R620">
        <v>1300</v>
      </c>
      <c r="S620">
        <v>1300</v>
      </c>
      <c r="T620">
        <v>1300</v>
      </c>
      <c r="U620" t="s">
        <v>1962</v>
      </c>
      <c r="V620" t="s">
        <v>1963</v>
      </c>
      <c r="X620" t="s">
        <v>1964</v>
      </c>
      <c r="Y620" t="s">
        <v>1914</v>
      </c>
      <c r="Z620" s="37">
        <v>0.01</v>
      </c>
      <c r="AA620" s="37">
        <v>0.15</v>
      </c>
      <c r="AB620">
        <v>1</v>
      </c>
    </row>
    <row r="621">
      <c r="A621" t="s">
        <v>2069</v>
      </c>
      <c r="B621" t="s">
        <v>2057</v>
      </c>
      <c r="C621" t="s">
        <v>2057</v>
      </c>
      <c r="D621" t="s">
        <v>2070</v>
      </c>
      <c r="E621" t="s">
        <v>2071</v>
      </c>
      <c r="F621" t="s">
        <v>298</v>
      </c>
      <c r="G621" t="s">
        <v>2060</v>
      </c>
      <c r="H621" t="s">
        <v>2061</v>
      </c>
      <c r="I621" t="s">
        <v>2072</v>
      </c>
      <c r="J621">
        <v>100</v>
      </c>
      <c r="K621">
        <v>80</v>
      </c>
      <c r="L621" t="s">
        <v>2073</v>
      </c>
      <c r="M621" s="37">
        <v>0.8</v>
      </c>
      <c r="N621" s="37">
        <v>0.3</v>
      </c>
      <c r="O621">
        <v>0.8</v>
      </c>
      <c r="P621" s="37">
        <v>0.94</v>
      </c>
      <c r="Q621">
        <v>0.94</v>
      </c>
      <c r="R621">
        <v>1222</v>
      </c>
      <c r="S621">
        <v>1222</v>
      </c>
      <c r="T621">
        <v>1300</v>
      </c>
      <c r="U621" t="s">
        <v>1962</v>
      </c>
      <c r="V621" t="s">
        <v>1963</v>
      </c>
      <c r="X621" t="s">
        <v>1964</v>
      </c>
      <c r="Y621" t="s">
        <v>1914</v>
      </c>
      <c r="Z621" s="37">
        <v>0.01</v>
      </c>
      <c r="AA621" s="37">
        <v>0.15</v>
      </c>
      <c r="AB621">
        <v>1</v>
      </c>
    </row>
    <row r="622">
      <c r="A622" t="s">
        <v>2069</v>
      </c>
      <c r="B622" t="s">
        <v>2057</v>
      </c>
      <c r="C622" t="s">
        <v>2057</v>
      </c>
      <c r="D622" t="s">
        <v>2070</v>
      </c>
      <c r="E622" t="s">
        <v>2071</v>
      </c>
      <c r="F622" t="s">
        <v>298</v>
      </c>
      <c r="G622" t="s">
        <v>2060</v>
      </c>
      <c r="H622" t="s">
        <v>2061</v>
      </c>
      <c r="I622" t="s">
        <v>2074</v>
      </c>
      <c r="J622">
        <v>100</v>
      </c>
      <c r="K622">
        <v>100</v>
      </c>
      <c r="L622" t="s">
        <v>2075</v>
      </c>
      <c r="M622" s="37">
        <v>1</v>
      </c>
      <c r="N622" s="37">
        <v>0.4</v>
      </c>
      <c r="O622">
        <v>1</v>
      </c>
      <c r="P622" s="37">
        <v>0.94</v>
      </c>
      <c r="Q622">
        <v>0.94</v>
      </c>
      <c r="R622">
        <v>1222</v>
      </c>
      <c r="S622">
        <v>1222</v>
      </c>
      <c r="T622">
        <v>1300</v>
      </c>
      <c r="U622" t="s">
        <v>1962</v>
      </c>
      <c r="V622" t="s">
        <v>1963</v>
      </c>
      <c r="X622" t="s">
        <v>1964</v>
      </c>
      <c r="Y622" t="s">
        <v>1914</v>
      </c>
      <c r="Z622" s="37">
        <v>0.01</v>
      </c>
      <c r="AA622" s="37">
        <v>0.15</v>
      </c>
      <c r="AB622">
        <v>1</v>
      </c>
    </row>
    <row r="623">
      <c r="A623" t="s">
        <v>2069</v>
      </c>
      <c r="B623" t="s">
        <v>2057</v>
      </c>
      <c r="C623" t="s">
        <v>2057</v>
      </c>
      <c r="D623" t="s">
        <v>2070</v>
      </c>
      <c r="E623" t="s">
        <v>2071</v>
      </c>
      <c r="F623" t="s">
        <v>298</v>
      </c>
      <c r="G623" t="s">
        <v>2060</v>
      </c>
      <c r="H623" t="s">
        <v>2061</v>
      </c>
      <c r="I623" t="s">
        <v>2076</v>
      </c>
      <c r="J623">
        <v>100</v>
      </c>
      <c r="K623">
        <v>100</v>
      </c>
      <c r="L623" t="s">
        <v>2077</v>
      </c>
      <c r="M623" s="37">
        <v>1</v>
      </c>
      <c r="N623" s="37">
        <v>0.3</v>
      </c>
      <c r="O623">
        <v>1</v>
      </c>
      <c r="P623" s="37">
        <v>0.94</v>
      </c>
      <c r="Q623">
        <v>0.94</v>
      </c>
      <c r="R623">
        <v>1222</v>
      </c>
      <c r="S623">
        <v>1222</v>
      </c>
      <c r="T623">
        <v>1300</v>
      </c>
      <c r="U623" t="s">
        <v>1962</v>
      </c>
      <c r="V623" t="s">
        <v>1963</v>
      </c>
      <c r="X623" t="s">
        <v>1964</v>
      </c>
      <c r="Y623" t="s">
        <v>1914</v>
      </c>
      <c r="Z623" s="37">
        <v>0.01</v>
      </c>
      <c r="AA623" s="37">
        <v>0.15</v>
      </c>
      <c r="AB623">
        <v>1</v>
      </c>
    </row>
    <row r="624">
      <c r="A624" t="s">
        <v>2078</v>
      </c>
      <c r="B624" t="s">
        <v>2057</v>
      </c>
      <c r="C624" t="s">
        <v>2057</v>
      </c>
      <c r="D624" t="s">
        <v>2079</v>
      </c>
      <c r="E624" t="s">
        <v>2080</v>
      </c>
      <c r="F624" t="s">
        <v>298</v>
      </c>
      <c r="G624" t="s">
        <v>2081</v>
      </c>
      <c r="H624" t="s">
        <v>2082</v>
      </c>
      <c r="I624" t="s">
        <v>2083</v>
      </c>
      <c r="J624">
        <v>100</v>
      </c>
      <c r="K624" s="38">
        <v>1</v>
      </c>
      <c r="L624" t="s">
        <v>2084</v>
      </c>
      <c r="M624" s="37">
        <v>1</v>
      </c>
      <c r="N624" s="37">
        <v>1</v>
      </c>
      <c r="O624">
        <v>1</v>
      </c>
      <c r="P624" s="37">
        <v>1</v>
      </c>
      <c r="Q624">
        <v>1</v>
      </c>
      <c r="R624">
        <v>300</v>
      </c>
      <c r="S624">
        <v>300</v>
      </c>
      <c r="T624">
        <v>300</v>
      </c>
      <c r="U624" t="s">
        <v>1962</v>
      </c>
      <c r="V624" t="s">
        <v>1963</v>
      </c>
      <c r="X624" t="s">
        <v>1964</v>
      </c>
      <c r="Y624" t="s">
        <v>1914</v>
      </c>
      <c r="Z624" s="37">
        <v>0.01</v>
      </c>
      <c r="AA624" s="37">
        <v>0.15</v>
      </c>
      <c r="AB624">
        <v>1</v>
      </c>
    </row>
    <row r="625">
      <c r="A625" t="s">
        <v>2085</v>
      </c>
      <c r="B625" t="s">
        <v>2057</v>
      </c>
      <c r="C625" t="s">
        <v>2057</v>
      </c>
      <c r="D625" t="s">
        <v>2086</v>
      </c>
      <c r="E625" t="s">
        <v>2087</v>
      </c>
      <c r="F625" t="s">
        <v>298</v>
      </c>
      <c r="G625" t="s">
        <v>2081</v>
      </c>
      <c r="H625" t="s">
        <v>2082</v>
      </c>
      <c r="I625" t="s">
        <v>2083</v>
      </c>
      <c r="J625">
        <v>100</v>
      </c>
      <c r="K625" s="38">
        <v>1</v>
      </c>
      <c r="L625" t="s">
        <v>2084</v>
      </c>
      <c r="M625" s="37">
        <v>1</v>
      </c>
      <c r="N625" s="37">
        <v>1</v>
      </c>
      <c r="O625">
        <v>1</v>
      </c>
      <c r="P625" s="37">
        <v>1</v>
      </c>
      <c r="Q625">
        <v>1</v>
      </c>
      <c r="R625">
        <v>300</v>
      </c>
      <c r="S625">
        <v>300</v>
      </c>
      <c r="T625">
        <v>300</v>
      </c>
      <c r="U625" t="s">
        <v>1962</v>
      </c>
      <c r="V625" t="s">
        <v>1963</v>
      </c>
      <c r="X625" t="s">
        <v>1964</v>
      </c>
      <c r="Y625" t="s">
        <v>1914</v>
      </c>
      <c r="Z625" s="37">
        <v>0.01</v>
      </c>
      <c r="AA625" s="37">
        <v>0.15</v>
      </c>
      <c r="AB625">
        <v>1</v>
      </c>
    </row>
    <row r="626">
      <c r="A626" t="s">
        <v>2088</v>
      </c>
      <c r="B626" t="s">
        <v>2057</v>
      </c>
      <c r="C626" t="s">
        <v>2057</v>
      </c>
      <c r="D626" t="s">
        <v>2089</v>
      </c>
      <c r="E626" t="s">
        <v>2090</v>
      </c>
      <c r="F626" t="s">
        <v>298</v>
      </c>
      <c r="G626" t="s">
        <v>2081</v>
      </c>
      <c r="H626" t="s">
        <v>2082</v>
      </c>
      <c r="I626" t="s">
        <v>2083</v>
      </c>
      <c r="J626">
        <v>100</v>
      </c>
      <c r="K626" s="38">
        <v>1</v>
      </c>
      <c r="L626" t="s">
        <v>2084</v>
      </c>
      <c r="M626" s="37">
        <v>1</v>
      </c>
      <c r="N626" s="37">
        <v>1</v>
      </c>
      <c r="O626">
        <v>1</v>
      </c>
      <c r="P626" s="37">
        <v>1</v>
      </c>
      <c r="Q626">
        <v>1</v>
      </c>
      <c r="R626">
        <v>300</v>
      </c>
      <c r="S626">
        <v>300</v>
      </c>
      <c r="T626">
        <v>300</v>
      </c>
      <c r="U626" t="s">
        <v>1962</v>
      </c>
      <c r="V626" t="s">
        <v>1963</v>
      </c>
      <c r="X626" t="s">
        <v>1964</v>
      </c>
      <c r="Y626" t="s">
        <v>1914</v>
      </c>
      <c r="Z626" s="37">
        <v>0.01</v>
      </c>
      <c r="AA626" s="37">
        <v>0.15</v>
      </c>
      <c r="AB626">
        <v>1</v>
      </c>
    </row>
    <row r="627">
      <c r="A627" t="s">
        <v>2091</v>
      </c>
      <c r="B627" t="s">
        <v>2057</v>
      </c>
      <c r="C627" t="s">
        <v>2057</v>
      </c>
      <c r="D627" t="s">
        <v>2089</v>
      </c>
      <c r="E627" t="s">
        <v>2092</v>
      </c>
      <c r="F627" t="s">
        <v>298</v>
      </c>
      <c r="G627" t="s">
        <v>2093</v>
      </c>
      <c r="H627" t="s">
        <v>2094</v>
      </c>
      <c r="I627" t="s">
        <v>2095</v>
      </c>
      <c r="L627">
        <v>90</v>
      </c>
      <c r="M627" s="37">
        <v>0.9</v>
      </c>
      <c r="N627" s="37">
        <v>1</v>
      </c>
      <c r="O627">
        <v>0.9</v>
      </c>
      <c r="P627" s="37">
        <v>0.9</v>
      </c>
      <c r="Q627">
        <v>0.9</v>
      </c>
      <c r="R627">
        <v>200</v>
      </c>
      <c r="S627">
        <v>200</v>
      </c>
      <c r="T627">
        <v>200</v>
      </c>
      <c r="U627" t="s">
        <v>1962</v>
      </c>
      <c r="V627" t="s">
        <v>1963</v>
      </c>
      <c r="X627" t="s">
        <v>1964</v>
      </c>
      <c r="Y627" t="s">
        <v>1914</v>
      </c>
      <c r="Z627" s="37">
        <v>0.01</v>
      </c>
      <c r="AA627" s="37">
        <v>0.15</v>
      </c>
      <c r="AB627">
        <v>1</v>
      </c>
    </row>
    <row r="628">
      <c r="A628" t="s">
        <v>2096</v>
      </c>
      <c r="B628" t="s">
        <v>2057</v>
      </c>
      <c r="C628" t="s">
        <v>2057</v>
      </c>
      <c r="D628" t="s">
        <v>2089</v>
      </c>
      <c r="E628" t="s">
        <v>2097</v>
      </c>
      <c r="F628" t="s">
        <v>298</v>
      </c>
      <c r="G628" t="s">
        <v>2093</v>
      </c>
      <c r="H628" t="s">
        <v>2094</v>
      </c>
      <c r="I628" t="s">
        <v>2095</v>
      </c>
      <c r="L628">
        <v>100</v>
      </c>
      <c r="M628" s="37">
        <v>1</v>
      </c>
      <c r="N628" s="37">
        <v>1</v>
      </c>
      <c r="O628">
        <v>1</v>
      </c>
      <c r="P628" s="37">
        <v>1</v>
      </c>
      <c r="Q628">
        <v>1</v>
      </c>
      <c r="R628">
        <v>300</v>
      </c>
      <c r="S628">
        <v>300</v>
      </c>
      <c r="T628">
        <v>300</v>
      </c>
      <c r="U628" t="s">
        <v>1962</v>
      </c>
      <c r="V628" t="s">
        <v>1963</v>
      </c>
      <c r="X628" t="s">
        <v>1964</v>
      </c>
      <c r="Y628" t="s">
        <v>1914</v>
      </c>
      <c r="Z628" s="37">
        <v>0.01</v>
      </c>
      <c r="AA628" s="37">
        <v>0.15</v>
      </c>
      <c r="AB628">
        <v>1</v>
      </c>
    </row>
    <row r="629">
      <c r="A629" t="s">
        <v>2098</v>
      </c>
      <c r="B629" t="s">
        <v>2057</v>
      </c>
      <c r="C629" t="s">
        <v>2057</v>
      </c>
      <c r="D629" t="s">
        <v>2089</v>
      </c>
      <c r="E629" t="s">
        <v>2099</v>
      </c>
      <c r="F629" t="s">
        <v>298</v>
      </c>
      <c r="G629" t="s">
        <v>2093</v>
      </c>
      <c r="H629" t="s">
        <v>2094</v>
      </c>
      <c r="I629" t="s">
        <v>2095</v>
      </c>
      <c r="L629">
        <v>100</v>
      </c>
      <c r="M629" s="37">
        <v>1</v>
      </c>
      <c r="N629" s="37">
        <v>1</v>
      </c>
      <c r="O629">
        <v>1</v>
      </c>
      <c r="P629" s="37">
        <v>1</v>
      </c>
      <c r="Q629">
        <v>1</v>
      </c>
      <c r="R629">
        <v>300</v>
      </c>
      <c r="S629">
        <v>300</v>
      </c>
      <c r="T629">
        <v>300</v>
      </c>
      <c r="U629" t="s">
        <v>1962</v>
      </c>
      <c r="V629" t="s">
        <v>1963</v>
      </c>
      <c r="X629" t="s">
        <v>1964</v>
      </c>
      <c r="Y629" t="s">
        <v>1914</v>
      </c>
      <c r="Z629" s="37">
        <v>0.01</v>
      </c>
      <c r="AA629" s="37">
        <v>0.15</v>
      </c>
      <c r="AB629">
        <v>1</v>
      </c>
    </row>
    <row r="630">
      <c r="A630" t="s">
        <v>2100</v>
      </c>
      <c r="B630" t="s">
        <v>2057</v>
      </c>
      <c r="C630" t="s">
        <v>2057</v>
      </c>
      <c r="D630" t="s">
        <v>2089</v>
      </c>
      <c r="E630" t="s">
        <v>2101</v>
      </c>
      <c r="F630" t="s">
        <v>298</v>
      </c>
      <c r="G630" t="s">
        <v>2093</v>
      </c>
      <c r="H630" t="s">
        <v>2094</v>
      </c>
      <c r="I630" t="s">
        <v>2095</v>
      </c>
      <c r="L630">
        <v>100</v>
      </c>
      <c r="M630" s="37">
        <v>1</v>
      </c>
      <c r="N630" s="37">
        <v>1</v>
      </c>
      <c r="O630">
        <v>1</v>
      </c>
      <c r="P630" s="37">
        <v>1</v>
      </c>
      <c r="Q630">
        <v>1</v>
      </c>
      <c r="R630">
        <v>0</v>
      </c>
      <c r="S630">
        <v>0</v>
      </c>
      <c r="T630">
        <v>300</v>
      </c>
      <c r="U630" t="s">
        <v>1962</v>
      </c>
      <c r="V630" t="s">
        <v>1963</v>
      </c>
      <c r="X630" t="s">
        <v>1964</v>
      </c>
      <c r="Y630" t="s">
        <v>1914</v>
      </c>
      <c r="Z630" s="37">
        <v>0.01</v>
      </c>
      <c r="AA630" s="37">
        <v>0.15</v>
      </c>
      <c r="AB630">
        <v>1</v>
      </c>
    </row>
    <row r="631">
      <c r="A631" t="s">
        <v>2102</v>
      </c>
      <c r="B631" t="s">
        <v>2057</v>
      </c>
      <c r="C631" t="s">
        <v>2057</v>
      </c>
      <c r="D631" t="s">
        <v>2089</v>
      </c>
      <c r="E631" t="s">
        <v>2103</v>
      </c>
      <c r="F631" t="s">
        <v>298</v>
      </c>
      <c r="G631" t="s">
        <v>2093</v>
      </c>
      <c r="H631" t="s">
        <v>2094</v>
      </c>
      <c r="I631" t="s">
        <v>2095</v>
      </c>
      <c r="L631">
        <v>100</v>
      </c>
      <c r="M631" s="37">
        <v>1</v>
      </c>
      <c r="N631" s="37">
        <v>1</v>
      </c>
      <c r="O631">
        <v>1</v>
      </c>
      <c r="P631" s="37">
        <v>1</v>
      </c>
      <c r="Q631">
        <v>1</v>
      </c>
      <c r="R631">
        <v>0</v>
      </c>
      <c r="S631">
        <v>0</v>
      </c>
      <c r="T631">
        <v>300</v>
      </c>
      <c r="U631" t="s">
        <v>1962</v>
      </c>
      <c r="V631" t="s">
        <v>1963</v>
      </c>
      <c r="X631" t="s">
        <v>1964</v>
      </c>
      <c r="Y631" t="s">
        <v>1914</v>
      </c>
      <c r="Z631" s="37">
        <v>0.01</v>
      </c>
      <c r="AA631" s="37">
        <v>0.15</v>
      </c>
      <c r="AB631">
        <v>1</v>
      </c>
    </row>
    <row r="632">
      <c r="A632" t="s">
        <v>2104</v>
      </c>
      <c r="B632" t="s">
        <v>2057</v>
      </c>
      <c r="C632" t="s">
        <v>2057</v>
      </c>
      <c r="D632" t="s">
        <v>2105</v>
      </c>
      <c r="E632" t="s">
        <v>2106</v>
      </c>
      <c r="F632" t="s">
        <v>298</v>
      </c>
      <c r="G632" t="s">
        <v>2107</v>
      </c>
      <c r="H632" t="s">
        <v>2108</v>
      </c>
      <c r="I632" t="s">
        <v>2109</v>
      </c>
      <c r="L632" t="s">
        <v>2110</v>
      </c>
      <c r="M632" s="37">
        <v>1</v>
      </c>
      <c r="N632" s="37">
        <v>0.4</v>
      </c>
      <c r="O632">
        <v>1</v>
      </c>
      <c r="P632" s="37">
        <v>0.925</v>
      </c>
      <c r="Q632">
        <v>0.88</v>
      </c>
      <c r="R632">
        <v>1144</v>
      </c>
      <c r="S632">
        <v>1144</v>
      </c>
      <c r="T632">
        <v>1300</v>
      </c>
      <c r="U632" t="s">
        <v>1962</v>
      </c>
      <c r="V632" t="s">
        <v>1963</v>
      </c>
      <c r="X632" t="s">
        <v>1964</v>
      </c>
      <c r="Y632" t="s">
        <v>1914</v>
      </c>
      <c r="Z632" s="37">
        <v>0.01</v>
      </c>
      <c r="AA632" s="37">
        <v>0.15</v>
      </c>
      <c r="AB632">
        <v>1</v>
      </c>
    </row>
    <row r="633">
      <c r="A633" t="s">
        <v>2104</v>
      </c>
      <c r="B633" t="s">
        <v>2057</v>
      </c>
      <c r="C633" t="s">
        <v>2057</v>
      </c>
      <c r="D633" t="s">
        <v>2105</v>
      </c>
      <c r="E633" t="s">
        <v>2106</v>
      </c>
      <c r="F633" t="s">
        <v>298</v>
      </c>
      <c r="G633" t="s">
        <v>2107</v>
      </c>
      <c r="H633" t="s">
        <v>2108</v>
      </c>
      <c r="I633" t="s">
        <v>2111</v>
      </c>
      <c r="L633" t="s">
        <v>2112</v>
      </c>
      <c r="M633" s="37">
        <v>1</v>
      </c>
      <c r="N633" s="37">
        <v>0.3</v>
      </c>
      <c r="O633">
        <v>1</v>
      </c>
      <c r="P633" s="37">
        <v>0.925</v>
      </c>
      <c r="Q633">
        <v>0.88</v>
      </c>
      <c r="R633">
        <v>1144</v>
      </c>
      <c r="S633">
        <v>1144</v>
      </c>
      <c r="T633">
        <v>1300</v>
      </c>
      <c r="U633" t="s">
        <v>1962</v>
      </c>
      <c r="V633" t="s">
        <v>1963</v>
      </c>
      <c r="X633" t="s">
        <v>1964</v>
      </c>
      <c r="Y633" t="s">
        <v>1914</v>
      </c>
      <c r="Z633" s="37">
        <v>0.01</v>
      </c>
      <c r="AA633" s="37">
        <v>0.15</v>
      </c>
      <c r="AB633">
        <v>1</v>
      </c>
    </row>
    <row r="634">
      <c r="A634" t="s">
        <v>2104</v>
      </c>
      <c r="B634" t="s">
        <v>2057</v>
      </c>
      <c r="C634" t="s">
        <v>2057</v>
      </c>
      <c r="D634" t="s">
        <v>2105</v>
      </c>
      <c r="E634" t="s">
        <v>2106</v>
      </c>
      <c r="F634" t="s">
        <v>298</v>
      </c>
      <c r="G634" t="s">
        <v>2107</v>
      </c>
      <c r="H634" t="s">
        <v>2108</v>
      </c>
      <c r="I634" t="s">
        <v>2113</v>
      </c>
      <c r="L634" t="s">
        <v>2114</v>
      </c>
      <c r="M634" s="37">
        <v>0.75</v>
      </c>
      <c r="N634" s="37">
        <v>0.3</v>
      </c>
      <c r="O634">
        <v>0.6</v>
      </c>
      <c r="P634" s="37">
        <v>0.925</v>
      </c>
      <c r="Q634">
        <v>0.88</v>
      </c>
      <c r="R634">
        <v>1144</v>
      </c>
      <c r="S634">
        <v>1144</v>
      </c>
      <c r="T634">
        <v>1300</v>
      </c>
      <c r="U634" t="s">
        <v>1962</v>
      </c>
      <c r="V634" t="s">
        <v>1963</v>
      </c>
      <c r="X634" t="s">
        <v>1964</v>
      </c>
      <c r="Y634" t="s">
        <v>1914</v>
      </c>
      <c r="Z634" s="37">
        <v>0.01</v>
      </c>
      <c r="AA634" s="37">
        <v>0.15</v>
      </c>
      <c r="AB634">
        <v>1</v>
      </c>
    </row>
    <row r="635">
      <c r="A635" t="s">
        <v>2115</v>
      </c>
      <c r="B635" t="s">
        <v>2057</v>
      </c>
      <c r="C635" t="s">
        <v>2057</v>
      </c>
      <c r="D635" t="s">
        <v>2116</v>
      </c>
      <c r="E635" t="s">
        <v>2117</v>
      </c>
      <c r="F635" t="s">
        <v>298</v>
      </c>
      <c r="G635" t="s">
        <v>2107</v>
      </c>
      <c r="H635" t="s">
        <v>2108</v>
      </c>
      <c r="I635" t="s">
        <v>2118</v>
      </c>
      <c r="L635" t="s">
        <v>2119</v>
      </c>
      <c r="M635" s="37">
        <v>0.9</v>
      </c>
      <c r="N635" s="37">
        <v>0.3</v>
      </c>
      <c r="O635">
        <v>0.9</v>
      </c>
      <c r="P635" s="37">
        <v>0.954</v>
      </c>
      <c r="Q635">
        <v>0.95</v>
      </c>
      <c r="R635">
        <v>2102.4</v>
      </c>
      <c r="S635">
        <v>2102.4</v>
      </c>
      <c r="T635">
        <v>2000</v>
      </c>
      <c r="U635" t="s">
        <v>1962</v>
      </c>
      <c r="V635" t="s">
        <v>1963</v>
      </c>
      <c r="X635" t="s">
        <v>1964</v>
      </c>
      <c r="Y635" t="s">
        <v>1914</v>
      </c>
      <c r="Z635" s="37">
        <v>0.01</v>
      </c>
      <c r="AA635" s="37">
        <v>0.15</v>
      </c>
      <c r="AB635">
        <v>1</v>
      </c>
    </row>
    <row r="636">
      <c r="A636" t="s">
        <v>2115</v>
      </c>
      <c r="B636" t="s">
        <v>2057</v>
      </c>
      <c r="C636" t="s">
        <v>2057</v>
      </c>
      <c r="D636" t="s">
        <v>2116</v>
      </c>
      <c r="E636" t="s">
        <v>2117</v>
      </c>
      <c r="F636" t="s">
        <v>298</v>
      </c>
      <c r="G636" t="s">
        <v>2107</v>
      </c>
      <c r="H636" t="s">
        <v>2108</v>
      </c>
      <c r="I636" t="s">
        <v>2120</v>
      </c>
      <c r="L636" t="s">
        <v>2121</v>
      </c>
      <c r="M636" s="37">
        <v>1</v>
      </c>
      <c r="N636" s="37">
        <v>0.3</v>
      </c>
      <c r="O636">
        <v>1</v>
      </c>
      <c r="P636" s="37">
        <v>0.954</v>
      </c>
      <c r="Q636">
        <v>0.95</v>
      </c>
      <c r="R636">
        <v>2102.4</v>
      </c>
      <c r="S636">
        <v>2102.4</v>
      </c>
      <c r="T636">
        <v>2000</v>
      </c>
      <c r="U636" t="s">
        <v>1962</v>
      </c>
      <c r="V636" t="s">
        <v>1963</v>
      </c>
      <c r="X636" t="s">
        <v>1964</v>
      </c>
      <c r="Y636" t="s">
        <v>1914</v>
      </c>
      <c r="Z636" s="37">
        <v>0.01</v>
      </c>
      <c r="AA636" s="37">
        <v>0.15</v>
      </c>
      <c r="AB636">
        <v>1</v>
      </c>
    </row>
    <row r="637">
      <c r="A637" t="s">
        <v>2115</v>
      </c>
      <c r="B637" t="s">
        <v>2057</v>
      </c>
      <c r="C637" t="s">
        <v>2057</v>
      </c>
      <c r="D637" t="s">
        <v>2116</v>
      </c>
      <c r="E637" t="s">
        <v>2117</v>
      </c>
      <c r="F637" t="s">
        <v>298</v>
      </c>
      <c r="G637" t="s">
        <v>2107</v>
      </c>
      <c r="H637" t="s">
        <v>2108</v>
      </c>
      <c r="I637" t="s">
        <v>2122</v>
      </c>
      <c r="L637" t="s">
        <v>2123</v>
      </c>
      <c r="M637" s="37">
        <v>1</v>
      </c>
      <c r="N637" s="37">
        <v>0.2</v>
      </c>
      <c r="O637">
        <v>1</v>
      </c>
      <c r="P637" s="37">
        <v>0.954</v>
      </c>
      <c r="Q637">
        <v>0.95</v>
      </c>
      <c r="R637">
        <v>2102.4</v>
      </c>
      <c r="S637">
        <v>2102.4</v>
      </c>
      <c r="T637">
        <v>2000</v>
      </c>
      <c r="U637" t="s">
        <v>1962</v>
      </c>
      <c r="V637" t="s">
        <v>1963</v>
      </c>
      <c r="X637" t="s">
        <v>1964</v>
      </c>
      <c r="Y637" t="s">
        <v>1914</v>
      </c>
      <c r="Z637" s="37">
        <v>0.01</v>
      </c>
      <c r="AA637" s="37">
        <v>0.15</v>
      </c>
      <c r="AB637">
        <v>1</v>
      </c>
    </row>
    <row r="638">
      <c r="A638" t="s">
        <v>2115</v>
      </c>
      <c r="B638" t="s">
        <v>2057</v>
      </c>
      <c r="C638" t="s">
        <v>2057</v>
      </c>
      <c r="D638" t="s">
        <v>2116</v>
      </c>
      <c r="E638" t="s">
        <v>2117</v>
      </c>
      <c r="F638" t="s">
        <v>298</v>
      </c>
      <c r="G638" t="s">
        <v>2107</v>
      </c>
      <c r="H638" t="s">
        <v>2108</v>
      </c>
      <c r="I638" t="s">
        <v>2124</v>
      </c>
      <c r="L638" t="s">
        <v>2125</v>
      </c>
      <c r="M638" s="37">
        <v>0.92</v>
      </c>
      <c r="N638" s="37">
        <v>0.2</v>
      </c>
      <c r="O638">
        <v>0.92</v>
      </c>
      <c r="P638" s="37">
        <v>0.954</v>
      </c>
      <c r="Q638">
        <v>0.95</v>
      </c>
      <c r="R638">
        <v>2102.4</v>
      </c>
      <c r="S638">
        <v>2102.4</v>
      </c>
      <c r="T638">
        <v>2000</v>
      </c>
      <c r="U638" t="s">
        <v>1962</v>
      </c>
      <c r="V638" t="s">
        <v>1963</v>
      </c>
      <c r="X638" t="s">
        <v>1964</v>
      </c>
      <c r="Y638" t="s">
        <v>1914</v>
      </c>
      <c r="Z638" s="37">
        <v>0.01</v>
      </c>
      <c r="AA638" s="37">
        <v>0.15</v>
      </c>
      <c r="AB638">
        <v>1</v>
      </c>
    </row>
    <row r="639">
      <c r="A639" t="s">
        <v>2126</v>
      </c>
      <c r="B639" t="s">
        <v>2057</v>
      </c>
      <c r="C639" t="s">
        <v>2057</v>
      </c>
      <c r="D639" t="s">
        <v>359</v>
      </c>
      <c r="E639" t="s">
        <v>2127</v>
      </c>
      <c r="F639" t="s">
        <v>298</v>
      </c>
      <c r="G639" t="s">
        <v>2107</v>
      </c>
      <c r="H639" t="s">
        <v>2128</v>
      </c>
      <c r="I639" t="s">
        <v>2129</v>
      </c>
      <c r="L639" t="s">
        <v>2130</v>
      </c>
      <c r="M639" s="37">
        <v>0.9</v>
      </c>
      <c r="N639" s="37">
        <v>0.45</v>
      </c>
      <c r="O639">
        <v>0.9</v>
      </c>
      <c r="P639" s="37">
        <v>0.955</v>
      </c>
      <c r="Q639">
        <v>0.96</v>
      </c>
      <c r="R639">
        <v>5076</v>
      </c>
      <c r="S639">
        <v>5076</v>
      </c>
      <c r="T639">
        <v>5000</v>
      </c>
      <c r="U639" t="s">
        <v>1962</v>
      </c>
      <c r="V639" t="s">
        <v>1963</v>
      </c>
      <c r="X639" t="s">
        <v>1964</v>
      </c>
      <c r="Y639" t="s">
        <v>1914</v>
      </c>
      <c r="Z639" s="37">
        <v>0.01</v>
      </c>
      <c r="AA639" s="37">
        <v>0.15</v>
      </c>
      <c r="AB639">
        <v>1</v>
      </c>
    </row>
    <row r="640">
      <c r="A640" t="s">
        <v>2126</v>
      </c>
      <c r="B640" t="s">
        <v>2057</v>
      </c>
      <c r="C640" t="s">
        <v>2057</v>
      </c>
      <c r="D640" t="s">
        <v>359</v>
      </c>
      <c r="E640" t="s">
        <v>2127</v>
      </c>
      <c r="F640" t="s">
        <v>298</v>
      </c>
      <c r="G640" t="s">
        <v>2107</v>
      </c>
      <c r="H640" t="s">
        <v>2128</v>
      </c>
      <c r="I640" t="s">
        <v>2131</v>
      </c>
      <c r="L640" t="s">
        <v>2132</v>
      </c>
      <c r="M640" s="37">
        <v>1</v>
      </c>
      <c r="N640" s="37">
        <v>0.25</v>
      </c>
      <c r="O640">
        <v>1</v>
      </c>
      <c r="P640" s="37">
        <v>0.955</v>
      </c>
      <c r="Q640">
        <v>0.96</v>
      </c>
      <c r="R640">
        <v>5076</v>
      </c>
      <c r="S640">
        <v>5076</v>
      </c>
      <c r="T640">
        <v>5000</v>
      </c>
      <c r="U640" t="s">
        <v>1962</v>
      </c>
      <c r="V640" t="s">
        <v>1963</v>
      </c>
      <c r="X640" t="s">
        <v>1964</v>
      </c>
      <c r="Y640" t="s">
        <v>1914</v>
      </c>
      <c r="Z640" s="37">
        <v>0.01</v>
      </c>
      <c r="AA640" s="37">
        <v>0.15</v>
      </c>
      <c r="AB640">
        <v>1</v>
      </c>
    </row>
    <row r="641">
      <c r="A641" t="s">
        <v>2126</v>
      </c>
      <c r="B641" t="s">
        <v>2057</v>
      </c>
      <c r="C641" t="s">
        <v>2057</v>
      </c>
      <c r="D641" t="s">
        <v>359</v>
      </c>
      <c r="E641" t="s">
        <v>2127</v>
      </c>
      <c r="F641" t="s">
        <v>298</v>
      </c>
      <c r="G641" t="s">
        <v>2107</v>
      </c>
      <c r="H641" t="s">
        <v>2133</v>
      </c>
      <c r="I641" t="s">
        <v>2134</v>
      </c>
      <c r="J641" s="38">
        <v>1</v>
      </c>
      <c r="K641" s="38">
        <v>1</v>
      </c>
      <c r="L641" t="s">
        <v>2135</v>
      </c>
      <c r="M641" s="37">
        <v>1</v>
      </c>
      <c r="N641" s="37">
        <v>0.3</v>
      </c>
      <c r="O641">
        <v>1</v>
      </c>
      <c r="P641" s="37">
        <v>0.955</v>
      </c>
      <c r="Q641">
        <v>0.96</v>
      </c>
      <c r="R641">
        <v>5076</v>
      </c>
      <c r="S641">
        <v>5076</v>
      </c>
      <c r="T641">
        <v>5000</v>
      </c>
      <c r="U641" t="s">
        <v>1962</v>
      </c>
      <c r="V641" t="s">
        <v>1963</v>
      </c>
      <c r="X641" t="s">
        <v>1964</v>
      </c>
      <c r="Y641" t="s">
        <v>1914</v>
      </c>
      <c r="Z641" s="37">
        <v>0.01</v>
      </c>
      <c r="AA641" s="37">
        <v>0.15</v>
      </c>
      <c r="AB641">
        <v>1</v>
      </c>
    </row>
    <row r="642">
      <c r="A642" t="s">
        <v>2136</v>
      </c>
      <c r="B642" t="s">
        <v>2057</v>
      </c>
      <c r="C642" t="s">
        <v>2057</v>
      </c>
      <c r="D642" t="s">
        <v>2137</v>
      </c>
      <c r="E642" t="s">
        <v>2138</v>
      </c>
      <c r="F642" t="s">
        <v>298</v>
      </c>
      <c r="G642" t="s">
        <v>2107</v>
      </c>
      <c r="H642" t="s">
        <v>2108</v>
      </c>
      <c r="I642" t="s">
        <v>2139</v>
      </c>
      <c r="L642" t="s">
        <v>2140</v>
      </c>
      <c r="M642" s="37">
        <v>1</v>
      </c>
      <c r="N642" s="37">
        <v>0.3</v>
      </c>
      <c r="O642">
        <v>1</v>
      </c>
      <c r="P642" s="37">
        <v>0.92</v>
      </c>
      <c r="Q642">
        <v>0.92</v>
      </c>
      <c r="R642">
        <v>1932</v>
      </c>
      <c r="S642">
        <v>1932</v>
      </c>
      <c r="T642">
        <v>2000</v>
      </c>
      <c r="U642" t="s">
        <v>1962</v>
      </c>
      <c r="V642" t="s">
        <v>1963</v>
      </c>
      <c r="X642" t="s">
        <v>1964</v>
      </c>
      <c r="Y642" t="s">
        <v>1914</v>
      </c>
      <c r="Z642" s="37">
        <v>0.01</v>
      </c>
      <c r="AA642" s="37">
        <v>0.15</v>
      </c>
      <c r="AB642">
        <v>1</v>
      </c>
    </row>
    <row r="643">
      <c r="A643" t="s">
        <v>2136</v>
      </c>
      <c r="B643" t="s">
        <v>2057</v>
      </c>
      <c r="C643" t="s">
        <v>2057</v>
      </c>
      <c r="D643" t="s">
        <v>2137</v>
      </c>
      <c r="E643" t="s">
        <v>2138</v>
      </c>
      <c r="F643" t="s">
        <v>298</v>
      </c>
      <c r="G643" t="s">
        <v>2107</v>
      </c>
      <c r="H643" t="s">
        <v>2108</v>
      </c>
      <c r="I643" t="s">
        <v>2141</v>
      </c>
      <c r="L643" t="s">
        <v>2142</v>
      </c>
      <c r="M643" s="37">
        <v>0.8</v>
      </c>
      <c r="N643" s="37">
        <v>0.4</v>
      </c>
      <c r="O643">
        <v>0.8</v>
      </c>
      <c r="P643" s="37">
        <v>0.92</v>
      </c>
      <c r="Q643">
        <v>0.92</v>
      </c>
      <c r="R643">
        <v>1932</v>
      </c>
      <c r="S643">
        <v>1932</v>
      </c>
      <c r="T643">
        <v>2000</v>
      </c>
      <c r="U643" t="s">
        <v>1962</v>
      </c>
      <c r="V643" t="s">
        <v>1963</v>
      </c>
      <c r="X643" t="s">
        <v>1964</v>
      </c>
      <c r="Y643" t="s">
        <v>1914</v>
      </c>
      <c r="Z643" s="37">
        <v>0.01</v>
      </c>
      <c r="AA643" s="37">
        <v>0.15</v>
      </c>
      <c r="AB643">
        <v>1</v>
      </c>
    </row>
    <row r="644">
      <c r="A644" t="s">
        <v>2136</v>
      </c>
      <c r="B644" t="s">
        <v>2057</v>
      </c>
      <c r="C644" t="s">
        <v>2057</v>
      </c>
      <c r="D644" t="s">
        <v>2137</v>
      </c>
      <c r="E644" t="s">
        <v>2138</v>
      </c>
      <c r="F644" t="s">
        <v>298</v>
      </c>
      <c r="G644" t="s">
        <v>2107</v>
      </c>
      <c r="H644" t="s">
        <v>2108</v>
      </c>
      <c r="I644" t="s">
        <v>2143</v>
      </c>
      <c r="L644" t="s">
        <v>2144</v>
      </c>
      <c r="M644" s="37">
        <v>1</v>
      </c>
      <c r="N644" s="37">
        <v>0.3</v>
      </c>
      <c r="O644">
        <v>1</v>
      </c>
      <c r="P644" s="37">
        <v>0.92</v>
      </c>
      <c r="Q644">
        <v>0.92</v>
      </c>
      <c r="R644">
        <v>1932</v>
      </c>
      <c r="S644">
        <v>1932</v>
      </c>
      <c r="T644">
        <v>2000</v>
      </c>
      <c r="U644" t="s">
        <v>1962</v>
      </c>
      <c r="V644" t="s">
        <v>1963</v>
      </c>
      <c r="X644" t="s">
        <v>1964</v>
      </c>
      <c r="Y644" t="s">
        <v>1914</v>
      </c>
      <c r="Z644" s="37">
        <v>0.01</v>
      </c>
      <c r="AA644" s="37">
        <v>0.15</v>
      </c>
      <c r="AB644">
        <v>1</v>
      </c>
    </row>
    <row r="645">
      <c r="A645" t="s">
        <v>2145</v>
      </c>
      <c r="B645" t="s">
        <v>2057</v>
      </c>
      <c r="C645" t="s">
        <v>2057</v>
      </c>
      <c r="D645" t="s">
        <v>359</v>
      </c>
      <c r="E645" t="s">
        <v>2146</v>
      </c>
      <c r="F645" t="s">
        <v>298</v>
      </c>
      <c r="G645" t="s">
        <v>2107</v>
      </c>
      <c r="H645" t="s">
        <v>2108</v>
      </c>
      <c r="I645" t="s">
        <v>2147</v>
      </c>
      <c r="L645">
        <v>50</v>
      </c>
      <c r="M645" s="37">
        <v>0.5</v>
      </c>
      <c r="N645" s="37">
        <v>0.35</v>
      </c>
      <c r="O645">
        <v>0.4</v>
      </c>
      <c r="P645" s="37">
        <v>0.525</v>
      </c>
      <c r="Q645">
        <v>0.49</v>
      </c>
      <c r="R645">
        <v>0</v>
      </c>
      <c r="S645">
        <v>0</v>
      </c>
      <c r="T645">
        <v>5000</v>
      </c>
      <c r="U645" t="s">
        <v>1962</v>
      </c>
      <c r="V645" t="s">
        <v>1963</v>
      </c>
      <c r="X645" t="s">
        <v>1964</v>
      </c>
      <c r="Y645" t="s">
        <v>1914</v>
      </c>
      <c r="Z645" s="37">
        <v>0.01</v>
      </c>
      <c r="AA645" s="37">
        <v>0.15</v>
      </c>
      <c r="AB645">
        <v>1</v>
      </c>
    </row>
    <row r="646">
      <c r="A646" t="s">
        <v>2145</v>
      </c>
      <c r="B646" t="s">
        <v>2057</v>
      </c>
      <c r="C646" t="s">
        <v>2057</v>
      </c>
      <c r="D646" t="s">
        <v>359</v>
      </c>
      <c r="E646" t="s">
        <v>2146</v>
      </c>
      <c r="F646" t="s">
        <v>298</v>
      </c>
      <c r="G646" t="s">
        <v>2107</v>
      </c>
      <c r="H646" t="s">
        <v>2133</v>
      </c>
      <c r="I646" t="s">
        <v>2076</v>
      </c>
      <c r="J646">
        <v>100</v>
      </c>
      <c r="K646" s="38">
        <v>1</v>
      </c>
      <c r="L646" t="s">
        <v>2148</v>
      </c>
      <c r="M646" s="37">
        <v>1</v>
      </c>
      <c r="N646" s="37">
        <v>0.35</v>
      </c>
      <c r="O646">
        <v>1</v>
      </c>
      <c r="P646" s="37">
        <v>0.525</v>
      </c>
      <c r="Q646">
        <v>0.49</v>
      </c>
      <c r="R646">
        <v>0</v>
      </c>
      <c r="S646">
        <v>0</v>
      </c>
      <c r="T646">
        <v>5000</v>
      </c>
      <c r="U646" t="s">
        <v>1962</v>
      </c>
      <c r="V646" t="s">
        <v>1963</v>
      </c>
      <c r="X646" t="s">
        <v>1964</v>
      </c>
      <c r="Y646" t="s">
        <v>1914</v>
      </c>
      <c r="Z646" s="37">
        <v>0.01</v>
      </c>
      <c r="AA646" s="37">
        <v>0.15</v>
      </c>
      <c r="AB646">
        <v>1</v>
      </c>
    </row>
    <row r="647">
      <c r="A647" t="s">
        <v>2145</v>
      </c>
      <c r="B647" t="s">
        <v>2057</v>
      </c>
      <c r="C647" t="s">
        <v>2057</v>
      </c>
      <c r="D647" t="s">
        <v>359</v>
      </c>
      <c r="E647" t="s">
        <v>2146</v>
      </c>
      <c r="F647" t="s">
        <v>298</v>
      </c>
      <c r="G647" t="s">
        <v>2107</v>
      </c>
      <c r="H647" t="s">
        <v>2128</v>
      </c>
      <c r="I647" t="s">
        <v>2149</v>
      </c>
      <c r="L647" t="s">
        <v>2150</v>
      </c>
      <c r="M647" s="37">
        <v>0</v>
      </c>
      <c r="N647" s="37">
        <v>0.3</v>
      </c>
      <c r="O647">
        <v>0</v>
      </c>
      <c r="P647" s="37">
        <v>0.525</v>
      </c>
      <c r="Q647">
        <v>0.49</v>
      </c>
      <c r="R647">
        <v>0</v>
      </c>
      <c r="S647">
        <v>0</v>
      </c>
      <c r="T647">
        <v>5000</v>
      </c>
      <c r="U647" t="s">
        <v>1962</v>
      </c>
      <c r="V647" t="s">
        <v>1963</v>
      </c>
      <c r="X647" t="s">
        <v>1964</v>
      </c>
      <c r="Y647" t="s">
        <v>1914</v>
      </c>
      <c r="Z647" s="37">
        <v>0.01</v>
      </c>
      <c r="AA647" s="37">
        <v>0.15</v>
      </c>
      <c r="AB647">
        <v>1</v>
      </c>
    </row>
    <row r="648">
      <c r="A648" t="s">
        <v>2151</v>
      </c>
      <c r="B648" t="s">
        <v>2057</v>
      </c>
      <c r="C648" t="s">
        <v>2057</v>
      </c>
      <c r="D648" t="s">
        <v>359</v>
      </c>
      <c r="E648" t="s">
        <v>2152</v>
      </c>
      <c r="F648" t="s">
        <v>298</v>
      </c>
      <c r="G648" t="s">
        <v>2107</v>
      </c>
      <c r="H648" t="s">
        <v>2108</v>
      </c>
      <c r="I648" t="s">
        <v>2153</v>
      </c>
      <c r="L648" t="s">
        <v>2154</v>
      </c>
      <c r="M648" s="37">
        <v>1.1</v>
      </c>
      <c r="N648" s="37">
        <v>0.35</v>
      </c>
      <c r="O648">
        <v>1.1</v>
      </c>
      <c r="P648" s="37">
        <v>0.895</v>
      </c>
      <c r="Q648">
        <v>0.9</v>
      </c>
      <c r="R648">
        <v>0</v>
      </c>
      <c r="S648">
        <v>0</v>
      </c>
      <c r="T648">
        <v>5000</v>
      </c>
      <c r="U648" t="s">
        <v>1962</v>
      </c>
      <c r="V648" t="s">
        <v>1963</v>
      </c>
      <c r="X648" t="s">
        <v>1964</v>
      </c>
      <c r="Y648" t="s">
        <v>1914</v>
      </c>
      <c r="Z648" s="37">
        <v>0.01</v>
      </c>
      <c r="AA648" s="37">
        <v>0.15</v>
      </c>
      <c r="AB648">
        <v>1</v>
      </c>
    </row>
    <row r="649">
      <c r="A649" t="s">
        <v>2151</v>
      </c>
      <c r="B649" t="s">
        <v>2057</v>
      </c>
      <c r="C649" t="s">
        <v>2057</v>
      </c>
      <c r="D649" t="s">
        <v>359</v>
      </c>
      <c r="E649" t="s">
        <v>2152</v>
      </c>
      <c r="F649" t="s">
        <v>298</v>
      </c>
      <c r="G649" t="s">
        <v>2107</v>
      </c>
      <c r="H649" t="s">
        <v>2108</v>
      </c>
      <c r="I649" t="s">
        <v>2155</v>
      </c>
      <c r="L649" t="s">
        <v>2156</v>
      </c>
      <c r="M649" s="37">
        <v>0.6</v>
      </c>
      <c r="N649" s="37">
        <v>0.35</v>
      </c>
      <c r="O649">
        <v>0.6</v>
      </c>
      <c r="P649" s="37">
        <v>0.895</v>
      </c>
      <c r="Q649">
        <v>0.9</v>
      </c>
      <c r="R649">
        <v>0</v>
      </c>
      <c r="S649">
        <v>0</v>
      </c>
      <c r="T649">
        <v>5000</v>
      </c>
      <c r="U649" t="s">
        <v>1962</v>
      </c>
      <c r="V649" t="s">
        <v>1963</v>
      </c>
      <c r="X649" t="s">
        <v>1964</v>
      </c>
      <c r="Y649" t="s">
        <v>1914</v>
      </c>
      <c r="Z649" s="37">
        <v>0.01</v>
      </c>
      <c r="AA649" s="37">
        <v>0.15</v>
      </c>
      <c r="AB649">
        <v>1</v>
      </c>
    </row>
    <row r="650">
      <c r="A650" t="s">
        <v>2151</v>
      </c>
      <c r="B650" t="s">
        <v>2057</v>
      </c>
      <c r="C650" t="s">
        <v>2057</v>
      </c>
      <c r="D650" t="s">
        <v>359</v>
      </c>
      <c r="E650" t="s">
        <v>2152</v>
      </c>
      <c r="F650" t="s">
        <v>298</v>
      </c>
      <c r="G650" t="s">
        <v>2107</v>
      </c>
      <c r="H650" t="s">
        <v>2108</v>
      </c>
      <c r="I650" t="s">
        <v>2157</v>
      </c>
      <c r="L650" t="s">
        <v>2158</v>
      </c>
      <c r="M650" s="37">
        <v>1</v>
      </c>
      <c r="N650" s="37">
        <v>0.3</v>
      </c>
      <c r="O650">
        <v>1</v>
      </c>
      <c r="P650" s="37">
        <v>0.895</v>
      </c>
      <c r="Q650">
        <v>0.9</v>
      </c>
      <c r="R650">
        <v>0</v>
      </c>
      <c r="S650">
        <v>0</v>
      </c>
      <c r="T650">
        <v>5000</v>
      </c>
      <c r="U650" t="s">
        <v>1962</v>
      </c>
      <c r="V650" t="s">
        <v>1963</v>
      </c>
      <c r="X650" t="s">
        <v>1964</v>
      </c>
      <c r="Y650" t="s">
        <v>1914</v>
      </c>
      <c r="Z650" s="37">
        <v>0.01</v>
      </c>
      <c r="AA650" s="37">
        <v>0.15</v>
      </c>
      <c r="AB650">
        <v>1</v>
      </c>
    </row>
    <row r="651">
      <c r="A651" t="s">
        <v>2159</v>
      </c>
      <c r="B651" t="s">
        <v>2057</v>
      </c>
      <c r="C651" t="s">
        <v>2057</v>
      </c>
      <c r="D651" t="s">
        <v>2160</v>
      </c>
      <c r="E651" t="s">
        <v>2161</v>
      </c>
      <c r="F651" t="s">
        <v>298</v>
      </c>
      <c r="G651" t="s">
        <v>2107</v>
      </c>
      <c r="H651" t="s">
        <v>2108</v>
      </c>
      <c r="I651" t="s">
        <v>2162</v>
      </c>
      <c r="L651" t="s">
        <v>2163</v>
      </c>
      <c r="M651" s="37">
        <v>1</v>
      </c>
      <c r="N651" s="37">
        <v>0.45</v>
      </c>
      <c r="O651">
        <v>1</v>
      </c>
      <c r="P651" s="37">
        <v>1</v>
      </c>
      <c r="Q651">
        <v>1</v>
      </c>
      <c r="R651">
        <v>0</v>
      </c>
      <c r="S651">
        <v>0</v>
      </c>
      <c r="T651">
        <v>3000</v>
      </c>
      <c r="U651" t="s">
        <v>1962</v>
      </c>
      <c r="V651" t="s">
        <v>1963</v>
      </c>
      <c r="X651" t="s">
        <v>1964</v>
      </c>
      <c r="Y651" t="s">
        <v>1914</v>
      </c>
      <c r="Z651" s="37">
        <v>0.01</v>
      </c>
      <c r="AA651" s="37">
        <v>0.15</v>
      </c>
      <c r="AB651">
        <v>1</v>
      </c>
    </row>
    <row r="652">
      <c r="A652" t="s">
        <v>2159</v>
      </c>
      <c r="B652" t="s">
        <v>2057</v>
      </c>
      <c r="C652" t="s">
        <v>2057</v>
      </c>
      <c r="D652" t="s">
        <v>2160</v>
      </c>
      <c r="E652" t="s">
        <v>2161</v>
      </c>
      <c r="F652" t="s">
        <v>298</v>
      </c>
      <c r="G652" t="s">
        <v>2107</v>
      </c>
      <c r="H652" t="s">
        <v>2108</v>
      </c>
      <c r="I652" t="s">
        <v>2164</v>
      </c>
      <c r="L652" t="s">
        <v>2165</v>
      </c>
      <c r="M652" s="37">
        <v>1</v>
      </c>
      <c r="N652" s="37">
        <v>0.3</v>
      </c>
      <c r="O652">
        <v>1</v>
      </c>
      <c r="P652" s="37">
        <v>1</v>
      </c>
      <c r="Q652">
        <v>1</v>
      </c>
      <c r="R652">
        <v>0</v>
      </c>
      <c r="S652">
        <v>0</v>
      </c>
      <c r="T652">
        <v>3000</v>
      </c>
      <c r="U652" t="s">
        <v>1962</v>
      </c>
      <c r="V652" t="s">
        <v>1963</v>
      </c>
      <c r="X652" t="s">
        <v>1964</v>
      </c>
      <c r="Y652" t="s">
        <v>1914</v>
      </c>
      <c r="Z652" s="37">
        <v>0.01</v>
      </c>
      <c r="AA652" s="37">
        <v>0.15</v>
      </c>
      <c r="AB652">
        <v>1</v>
      </c>
    </row>
    <row r="653">
      <c r="A653" t="s">
        <v>2159</v>
      </c>
      <c r="B653" t="s">
        <v>2057</v>
      </c>
      <c r="C653" t="s">
        <v>2057</v>
      </c>
      <c r="D653" t="s">
        <v>2160</v>
      </c>
      <c r="E653" t="s">
        <v>2161</v>
      </c>
      <c r="F653" t="s">
        <v>298</v>
      </c>
      <c r="G653" t="s">
        <v>2107</v>
      </c>
      <c r="H653" t="s">
        <v>2108</v>
      </c>
      <c r="I653" t="s">
        <v>2166</v>
      </c>
      <c r="L653" t="s">
        <v>2167</v>
      </c>
      <c r="M653" s="37">
        <v>1</v>
      </c>
      <c r="N653" s="37">
        <v>0.25</v>
      </c>
      <c r="O653">
        <v>1</v>
      </c>
      <c r="P653" s="37">
        <v>1</v>
      </c>
      <c r="Q653">
        <v>1</v>
      </c>
      <c r="R653">
        <v>0</v>
      </c>
      <c r="S653">
        <v>0</v>
      </c>
      <c r="T653">
        <v>3000</v>
      </c>
      <c r="U653" t="s">
        <v>1962</v>
      </c>
      <c r="V653" t="s">
        <v>1963</v>
      </c>
      <c r="X653" t="s">
        <v>1964</v>
      </c>
      <c r="Y653" t="s">
        <v>1914</v>
      </c>
      <c r="Z653" s="37">
        <v>0.01</v>
      </c>
      <c r="AA653" s="37">
        <v>0.15</v>
      </c>
      <c r="AB653">
        <v>1</v>
      </c>
    </row>
    <row r="654">
      <c r="A654" t="s">
        <v>2168</v>
      </c>
      <c r="B654" t="s">
        <v>2057</v>
      </c>
      <c r="C654" t="s">
        <v>2057</v>
      </c>
      <c r="D654" t="s">
        <v>2169</v>
      </c>
      <c r="E654" t="s">
        <v>2170</v>
      </c>
      <c r="F654" t="s">
        <v>298</v>
      </c>
      <c r="G654" t="s">
        <v>2171</v>
      </c>
      <c r="H654" t="s">
        <v>2108</v>
      </c>
      <c r="I654" t="s">
        <v>2172</v>
      </c>
      <c r="L654" t="s">
        <v>2173</v>
      </c>
      <c r="M654" s="37">
        <v>1</v>
      </c>
      <c r="N654" s="37">
        <v>0.3</v>
      </c>
      <c r="O654">
        <v>1</v>
      </c>
      <c r="P654" s="37">
        <v>1</v>
      </c>
      <c r="Q654">
        <v>1</v>
      </c>
      <c r="R654">
        <v>3000</v>
      </c>
      <c r="S654">
        <v>3000</v>
      </c>
      <c r="T654">
        <v>3000</v>
      </c>
      <c r="U654" t="s">
        <v>1962</v>
      </c>
      <c r="V654" t="s">
        <v>1963</v>
      </c>
      <c r="X654" t="s">
        <v>1964</v>
      </c>
      <c r="Y654" t="s">
        <v>1914</v>
      </c>
      <c r="Z654" s="37">
        <v>0.01</v>
      </c>
      <c r="AA654" s="37">
        <v>0.15</v>
      </c>
      <c r="AB654">
        <v>1</v>
      </c>
    </row>
    <row r="655">
      <c r="A655" t="s">
        <v>2168</v>
      </c>
      <c r="B655" t="s">
        <v>2057</v>
      </c>
      <c r="C655" t="s">
        <v>2057</v>
      </c>
      <c r="D655" t="s">
        <v>2169</v>
      </c>
      <c r="E655" t="s">
        <v>2170</v>
      </c>
      <c r="F655" t="s">
        <v>298</v>
      </c>
      <c r="G655" t="s">
        <v>2171</v>
      </c>
      <c r="H655" t="s">
        <v>2108</v>
      </c>
      <c r="I655" t="s">
        <v>2174</v>
      </c>
      <c r="L655" t="s">
        <v>2175</v>
      </c>
      <c r="M655" s="37">
        <v>1</v>
      </c>
      <c r="N655" s="37">
        <v>0.3</v>
      </c>
      <c r="O655">
        <v>1</v>
      </c>
      <c r="P655" s="37">
        <v>1</v>
      </c>
      <c r="Q655">
        <v>1</v>
      </c>
      <c r="R655">
        <v>3000</v>
      </c>
      <c r="S655">
        <v>3000</v>
      </c>
      <c r="T655">
        <v>3000</v>
      </c>
      <c r="U655" t="s">
        <v>1962</v>
      </c>
      <c r="V655" t="s">
        <v>1963</v>
      </c>
      <c r="X655" t="s">
        <v>1964</v>
      </c>
      <c r="Y655" t="s">
        <v>1914</v>
      </c>
      <c r="Z655" s="37">
        <v>0.01</v>
      </c>
      <c r="AA655" s="37">
        <v>0.15</v>
      </c>
      <c r="AB655">
        <v>1</v>
      </c>
    </row>
    <row r="656">
      <c r="A656" t="s">
        <v>2168</v>
      </c>
      <c r="B656" t="s">
        <v>2057</v>
      </c>
      <c r="C656" t="s">
        <v>2057</v>
      </c>
      <c r="D656" t="s">
        <v>2169</v>
      </c>
      <c r="E656" t="s">
        <v>2170</v>
      </c>
      <c r="F656" t="s">
        <v>298</v>
      </c>
      <c r="G656" t="s">
        <v>2171</v>
      </c>
      <c r="H656" t="s">
        <v>2108</v>
      </c>
      <c r="I656" t="s">
        <v>2176</v>
      </c>
      <c r="L656" t="s">
        <v>2177</v>
      </c>
      <c r="M656" s="37">
        <v>1</v>
      </c>
      <c r="N656" s="37">
        <v>0.4</v>
      </c>
      <c r="O656">
        <v>1</v>
      </c>
      <c r="P656" s="37">
        <v>1</v>
      </c>
      <c r="Q656">
        <v>1</v>
      </c>
      <c r="R656">
        <v>3000</v>
      </c>
      <c r="S656">
        <v>3000</v>
      </c>
      <c r="T656">
        <v>3000</v>
      </c>
      <c r="U656" t="s">
        <v>1962</v>
      </c>
      <c r="V656" t="s">
        <v>1963</v>
      </c>
      <c r="X656" t="s">
        <v>1964</v>
      </c>
      <c r="Y656" t="s">
        <v>1914</v>
      </c>
      <c r="Z656" s="37">
        <v>0.01</v>
      </c>
      <c r="AA656" s="37">
        <v>0.15</v>
      </c>
      <c r="AB656">
        <v>1</v>
      </c>
    </row>
    <row r="657">
      <c r="A657" t="s">
        <v>2178</v>
      </c>
      <c r="B657" t="s">
        <v>2179</v>
      </c>
      <c r="C657" t="s">
        <v>2179</v>
      </c>
      <c r="D657" t="s">
        <v>2180</v>
      </c>
      <c r="E657" t="s">
        <v>2181</v>
      </c>
      <c r="F657" t="s">
        <v>298</v>
      </c>
      <c r="G657" t="s">
        <v>2182</v>
      </c>
      <c r="H657" t="s">
        <v>2183</v>
      </c>
      <c r="I657" t="s">
        <v>2184</v>
      </c>
      <c r="J657">
        <v>14</v>
      </c>
      <c r="K657">
        <v>100</v>
      </c>
      <c r="L657" t="s">
        <v>2185</v>
      </c>
      <c r="M657" s="37">
        <v>1</v>
      </c>
      <c r="N657" s="37">
        <v>0.25</v>
      </c>
      <c r="O657">
        <v>25</v>
      </c>
      <c r="P657" s="37">
        <v>0.851</v>
      </c>
      <c r="Q657">
        <v>86</v>
      </c>
      <c r="R657">
        <v>1700</v>
      </c>
      <c r="S657">
        <v>2137</v>
      </c>
      <c r="T657">
        <v>2000</v>
      </c>
      <c r="U657" t="s">
        <v>1962</v>
      </c>
      <c r="V657" t="s">
        <v>1963</v>
      </c>
      <c r="X657" t="s">
        <v>1964</v>
      </c>
      <c r="Y657" t="s">
        <v>1914</v>
      </c>
      <c r="Z657" s="37">
        <v>0.01</v>
      </c>
      <c r="AA657" s="37">
        <v>0.15</v>
      </c>
      <c r="AB657">
        <v>1</v>
      </c>
    </row>
    <row r="658">
      <c r="A658" t="s">
        <v>2178</v>
      </c>
      <c r="B658" t="s">
        <v>2179</v>
      </c>
      <c r="C658" t="s">
        <v>2179</v>
      </c>
      <c r="D658" t="s">
        <v>2180</v>
      </c>
      <c r="E658" t="s">
        <v>2181</v>
      </c>
      <c r="F658" t="s">
        <v>298</v>
      </c>
      <c r="G658" t="s">
        <v>2182</v>
      </c>
      <c r="H658" t="s">
        <v>2186</v>
      </c>
      <c r="I658" t="s">
        <v>2187</v>
      </c>
      <c r="J658">
        <v>100</v>
      </c>
      <c r="K658">
        <v>76</v>
      </c>
      <c r="L658" t="s">
        <v>2188</v>
      </c>
      <c r="M658" s="37">
        <v>0.76</v>
      </c>
      <c r="N658" s="37">
        <v>0.1</v>
      </c>
      <c r="O658">
        <v>8</v>
      </c>
      <c r="P658" s="37">
        <v>0.851</v>
      </c>
      <c r="Q658">
        <v>86</v>
      </c>
      <c r="R658">
        <v>1700</v>
      </c>
      <c r="S658">
        <v>2137</v>
      </c>
      <c r="T658">
        <v>2000</v>
      </c>
      <c r="U658" t="s">
        <v>1962</v>
      </c>
      <c r="V658" t="s">
        <v>1963</v>
      </c>
      <c r="X658" t="s">
        <v>1964</v>
      </c>
      <c r="Y658" t="s">
        <v>1914</v>
      </c>
      <c r="Z658" s="37">
        <v>0.01</v>
      </c>
      <c r="AA658" s="37">
        <v>0.15</v>
      </c>
      <c r="AB658">
        <v>1</v>
      </c>
    </row>
    <row r="659">
      <c r="A659" t="s">
        <v>2178</v>
      </c>
      <c r="B659" t="s">
        <v>2179</v>
      </c>
      <c r="C659" t="s">
        <v>2179</v>
      </c>
      <c r="D659" t="s">
        <v>2180</v>
      </c>
      <c r="E659" t="s">
        <v>2181</v>
      </c>
      <c r="F659" t="s">
        <v>298</v>
      </c>
      <c r="G659" t="s">
        <v>2182</v>
      </c>
      <c r="H659" t="s">
        <v>2189</v>
      </c>
      <c r="I659" t="s">
        <v>2190</v>
      </c>
      <c r="J659" s="38">
        <v>0.91</v>
      </c>
      <c r="K659" t="s">
        <v>521</v>
      </c>
      <c r="L659" t="s">
        <v>2185</v>
      </c>
      <c r="M659" s="37">
        <v>1</v>
      </c>
      <c r="N659" s="37">
        <v>0.15</v>
      </c>
      <c r="O659">
        <v>15</v>
      </c>
      <c r="P659" s="37">
        <v>0.851</v>
      </c>
      <c r="Q659">
        <v>86</v>
      </c>
      <c r="R659">
        <v>1700</v>
      </c>
      <c r="S659">
        <v>2137</v>
      </c>
      <c r="T659">
        <v>2000</v>
      </c>
      <c r="U659" t="s">
        <v>1962</v>
      </c>
      <c r="V659" t="s">
        <v>1963</v>
      </c>
      <c r="X659" t="s">
        <v>1964</v>
      </c>
      <c r="Y659" t="s">
        <v>1914</v>
      </c>
      <c r="Z659" s="37">
        <v>0.01</v>
      </c>
      <c r="AA659" s="37">
        <v>0.15</v>
      </c>
      <c r="AB659">
        <v>1</v>
      </c>
    </row>
    <row r="660">
      <c r="A660" t="s">
        <v>2178</v>
      </c>
      <c r="B660" t="s">
        <v>2179</v>
      </c>
      <c r="C660" t="s">
        <v>2179</v>
      </c>
      <c r="D660" t="s">
        <v>2180</v>
      </c>
      <c r="E660" t="s">
        <v>2181</v>
      </c>
      <c r="F660" t="s">
        <v>298</v>
      </c>
      <c r="G660" t="s">
        <v>2182</v>
      </c>
      <c r="H660" t="s">
        <v>2189</v>
      </c>
      <c r="I660" t="s">
        <v>2191</v>
      </c>
      <c r="J660" s="38">
        <v>0.95</v>
      </c>
      <c r="K660" t="s">
        <v>521</v>
      </c>
      <c r="L660" t="s">
        <v>2192</v>
      </c>
      <c r="M660" s="37">
        <v>1</v>
      </c>
      <c r="N660" s="37">
        <v>0.25</v>
      </c>
      <c r="O660">
        <v>25</v>
      </c>
      <c r="P660" s="37">
        <v>0.851</v>
      </c>
      <c r="Q660">
        <v>86</v>
      </c>
      <c r="R660">
        <v>1700</v>
      </c>
      <c r="S660">
        <v>2137</v>
      </c>
      <c r="T660">
        <v>2000</v>
      </c>
      <c r="U660" t="s">
        <v>1962</v>
      </c>
      <c r="V660" t="s">
        <v>1963</v>
      </c>
      <c r="X660" t="s">
        <v>1964</v>
      </c>
      <c r="Y660" t="s">
        <v>1914</v>
      </c>
      <c r="Z660" s="37">
        <v>0.01</v>
      </c>
      <c r="AA660" s="37">
        <v>0.15</v>
      </c>
      <c r="AB660">
        <v>1</v>
      </c>
    </row>
    <row r="661">
      <c r="A661" t="s">
        <v>2178</v>
      </c>
      <c r="B661" t="s">
        <v>2179</v>
      </c>
      <c r="C661" t="s">
        <v>2179</v>
      </c>
      <c r="D661" t="s">
        <v>2180</v>
      </c>
      <c r="E661" t="s">
        <v>2181</v>
      </c>
      <c r="F661" t="s">
        <v>298</v>
      </c>
      <c r="G661" t="s">
        <v>2182</v>
      </c>
      <c r="H661" t="s">
        <v>2193</v>
      </c>
      <c r="I661" t="s">
        <v>2194</v>
      </c>
      <c r="J661" s="38">
        <v>0.7</v>
      </c>
      <c r="K661" t="s">
        <v>1727</v>
      </c>
      <c r="L661" t="s">
        <v>2195</v>
      </c>
      <c r="M661" s="37">
        <v>0.5</v>
      </c>
      <c r="N661" s="37">
        <v>0.25</v>
      </c>
      <c r="O661">
        <v>13</v>
      </c>
      <c r="P661" s="37">
        <v>0.851</v>
      </c>
      <c r="Q661">
        <v>86</v>
      </c>
      <c r="R661">
        <v>1700</v>
      </c>
      <c r="S661">
        <v>2137</v>
      </c>
      <c r="T661">
        <v>2000</v>
      </c>
      <c r="U661" t="s">
        <v>1962</v>
      </c>
      <c r="V661" t="s">
        <v>1963</v>
      </c>
      <c r="X661" t="s">
        <v>1964</v>
      </c>
      <c r="Y661" t="s">
        <v>1914</v>
      </c>
      <c r="Z661" s="37">
        <v>0.01</v>
      </c>
      <c r="AA661" s="37">
        <v>0.15</v>
      </c>
      <c r="AB661">
        <v>1</v>
      </c>
    </row>
    <row r="662">
      <c r="A662" t="s">
        <v>2196</v>
      </c>
      <c r="B662" t="s">
        <v>2179</v>
      </c>
      <c r="C662" t="s">
        <v>2179</v>
      </c>
      <c r="D662" t="s">
        <v>2180</v>
      </c>
      <c r="E662" t="s">
        <v>2197</v>
      </c>
      <c r="F662" t="s">
        <v>298</v>
      </c>
      <c r="G662" t="s">
        <v>2182</v>
      </c>
      <c r="H662" t="s">
        <v>2183</v>
      </c>
      <c r="I662" t="s">
        <v>2198</v>
      </c>
      <c r="J662" t="s">
        <v>2199</v>
      </c>
      <c r="K662" t="s">
        <v>2200</v>
      </c>
      <c r="L662" t="s">
        <v>2201</v>
      </c>
      <c r="M662" s="37">
        <v>1</v>
      </c>
      <c r="N662" s="37">
        <v>0.25</v>
      </c>
      <c r="O662">
        <v>25</v>
      </c>
      <c r="P662" s="37">
        <v>0.855</v>
      </c>
      <c r="Q662">
        <v>85.5</v>
      </c>
      <c r="R662">
        <v>1710</v>
      </c>
      <c r="S662">
        <v>2176</v>
      </c>
      <c r="T662">
        <v>2000</v>
      </c>
      <c r="U662" t="s">
        <v>1962</v>
      </c>
      <c r="V662" t="s">
        <v>1963</v>
      </c>
      <c r="X662" t="s">
        <v>1964</v>
      </c>
      <c r="Y662" t="s">
        <v>1914</v>
      </c>
      <c r="Z662" s="37">
        <v>0.01</v>
      </c>
      <c r="AA662" s="37">
        <v>0.15</v>
      </c>
      <c r="AB662">
        <v>1</v>
      </c>
    </row>
    <row r="663">
      <c r="A663" t="s">
        <v>2196</v>
      </c>
      <c r="B663" t="s">
        <v>2179</v>
      </c>
      <c r="C663" t="s">
        <v>2179</v>
      </c>
      <c r="D663" t="s">
        <v>2180</v>
      </c>
      <c r="E663" t="s">
        <v>2197</v>
      </c>
      <c r="F663" t="s">
        <v>298</v>
      </c>
      <c r="G663" t="s">
        <v>2182</v>
      </c>
      <c r="H663" t="s">
        <v>2186</v>
      </c>
      <c r="I663" t="s">
        <v>2202</v>
      </c>
      <c r="J663" s="38">
        <v>0.99</v>
      </c>
      <c r="K663" t="s">
        <v>2203</v>
      </c>
      <c r="L663" t="s">
        <v>2201</v>
      </c>
      <c r="M663" s="37">
        <v>0.8</v>
      </c>
      <c r="N663" s="37">
        <v>0.1</v>
      </c>
      <c r="O663">
        <v>8</v>
      </c>
      <c r="P663" s="37">
        <v>0.855</v>
      </c>
      <c r="Q663">
        <v>85.5</v>
      </c>
      <c r="R663">
        <v>1710</v>
      </c>
      <c r="S663">
        <v>2176</v>
      </c>
      <c r="T663">
        <v>2000</v>
      </c>
      <c r="U663" t="s">
        <v>1962</v>
      </c>
      <c r="V663" t="s">
        <v>1963</v>
      </c>
      <c r="X663" t="s">
        <v>1964</v>
      </c>
      <c r="Y663" t="s">
        <v>1914</v>
      </c>
      <c r="Z663" s="37">
        <v>0.01</v>
      </c>
      <c r="AA663" s="37">
        <v>0.15</v>
      </c>
      <c r="AB663">
        <v>1</v>
      </c>
    </row>
    <row r="664">
      <c r="A664" t="s">
        <v>2196</v>
      </c>
      <c r="B664" t="s">
        <v>2179</v>
      </c>
      <c r="C664" t="s">
        <v>2179</v>
      </c>
      <c r="D664" t="s">
        <v>2180</v>
      </c>
      <c r="E664" t="s">
        <v>2197</v>
      </c>
      <c r="F664" t="s">
        <v>298</v>
      </c>
      <c r="G664" t="s">
        <v>2182</v>
      </c>
      <c r="H664" t="s">
        <v>2189</v>
      </c>
      <c r="I664" t="s">
        <v>2204</v>
      </c>
      <c r="J664" s="38">
        <v>0.91</v>
      </c>
      <c r="K664" t="s">
        <v>2205</v>
      </c>
      <c r="L664" t="s">
        <v>2201</v>
      </c>
      <c r="M664" s="37">
        <v>1</v>
      </c>
      <c r="N664" s="37">
        <v>0.15</v>
      </c>
      <c r="O664">
        <v>15</v>
      </c>
      <c r="P664" s="37">
        <v>0.855</v>
      </c>
      <c r="Q664">
        <v>85.5</v>
      </c>
      <c r="R664">
        <v>1710</v>
      </c>
      <c r="S664">
        <v>2176</v>
      </c>
      <c r="T664">
        <v>2000</v>
      </c>
      <c r="U664" t="s">
        <v>1962</v>
      </c>
      <c r="V664" t="s">
        <v>1963</v>
      </c>
      <c r="X664" t="s">
        <v>1964</v>
      </c>
      <c r="Y664" t="s">
        <v>1914</v>
      </c>
      <c r="Z664" s="37">
        <v>0.01</v>
      </c>
      <c r="AA664" s="37">
        <v>0.15</v>
      </c>
      <c r="AB664">
        <v>1</v>
      </c>
    </row>
    <row r="665">
      <c r="A665" t="s">
        <v>2196</v>
      </c>
      <c r="B665" t="s">
        <v>2179</v>
      </c>
      <c r="C665" t="s">
        <v>2179</v>
      </c>
      <c r="D665" t="s">
        <v>2180</v>
      </c>
      <c r="E665" t="s">
        <v>2197</v>
      </c>
      <c r="F665" t="s">
        <v>298</v>
      </c>
      <c r="G665" t="s">
        <v>2182</v>
      </c>
      <c r="H665" t="s">
        <v>2189</v>
      </c>
      <c r="I665" t="s">
        <v>2206</v>
      </c>
      <c r="J665" s="38">
        <v>0.95</v>
      </c>
      <c r="K665" t="s">
        <v>2207</v>
      </c>
      <c r="L665" t="s">
        <v>2201</v>
      </c>
      <c r="M665" s="37">
        <v>1</v>
      </c>
      <c r="N665" s="37">
        <v>0.25</v>
      </c>
      <c r="O665">
        <v>25</v>
      </c>
      <c r="P665" s="37">
        <v>0.855</v>
      </c>
      <c r="Q665">
        <v>85.5</v>
      </c>
      <c r="R665">
        <v>1710</v>
      </c>
      <c r="S665">
        <v>2176</v>
      </c>
      <c r="T665">
        <v>2000</v>
      </c>
      <c r="U665" t="s">
        <v>1962</v>
      </c>
      <c r="V665" t="s">
        <v>1963</v>
      </c>
      <c r="X665" t="s">
        <v>1964</v>
      </c>
      <c r="Y665" t="s">
        <v>1914</v>
      </c>
      <c r="Z665" s="37">
        <v>0.01</v>
      </c>
      <c r="AA665" s="37">
        <v>0.15</v>
      </c>
      <c r="AB665">
        <v>1</v>
      </c>
    </row>
    <row r="666">
      <c r="A666" t="s">
        <v>2196</v>
      </c>
      <c r="B666" t="s">
        <v>2179</v>
      </c>
      <c r="C666" t="s">
        <v>2179</v>
      </c>
      <c r="D666" t="s">
        <v>2180</v>
      </c>
      <c r="E666" t="s">
        <v>2197</v>
      </c>
      <c r="F666" t="s">
        <v>298</v>
      </c>
      <c r="G666" t="s">
        <v>2182</v>
      </c>
      <c r="H666" t="s">
        <v>2193</v>
      </c>
      <c r="I666" t="s">
        <v>2208</v>
      </c>
      <c r="J666" s="38">
        <v>0.7</v>
      </c>
      <c r="K666" t="s">
        <v>2209</v>
      </c>
      <c r="L666" t="s">
        <v>2201</v>
      </c>
      <c r="M666" s="37">
        <v>0.5</v>
      </c>
      <c r="N666" s="37">
        <v>0.25</v>
      </c>
      <c r="O666">
        <v>12.5</v>
      </c>
      <c r="P666" s="37">
        <v>0.855</v>
      </c>
      <c r="Q666">
        <v>85.5</v>
      </c>
      <c r="R666">
        <v>1710</v>
      </c>
      <c r="S666">
        <v>2176</v>
      </c>
      <c r="T666">
        <v>2000</v>
      </c>
      <c r="U666" t="s">
        <v>1962</v>
      </c>
      <c r="V666" t="s">
        <v>1963</v>
      </c>
      <c r="X666" t="s">
        <v>1964</v>
      </c>
      <c r="Y666" t="s">
        <v>1914</v>
      </c>
      <c r="Z666" s="37">
        <v>0.01</v>
      </c>
      <c r="AA666" s="37">
        <v>0.15</v>
      </c>
      <c r="AB666">
        <v>1</v>
      </c>
    </row>
    <row r="667">
      <c r="A667" t="s">
        <v>2210</v>
      </c>
      <c r="B667" t="s">
        <v>2179</v>
      </c>
      <c r="C667" t="s">
        <v>2179</v>
      </c>
      <c r="D667" t="s">
        <v>2211</v>
      </c>
      <c r="E667" t="s">
        <v>2212</v>
      </c>
      <c r="F667" t="s">
        <v>298</v>
      </c>
      <c r="G667" t="s">
        <v>2182</v>
      </c>
      <c r="H667" t="s">
        <v>2183</v>
      </c>
      <c r="I667" t="s">
        <v>2213</v>
      </c>
      <c r="J667" t="s">
        <v>2199</v>
      </c>
      <c r="K667" t="s">
        <v>2199</v>
      </c>
      <c r="L667" t="s">
        <v>2214</v>
      </c>
      <c r="M667" s="37">
        <v>1</v>
      </c>
      <c r="N667" s="37">
        <v>0.25</v>
      </c>
      <c r="O667">
        <v>25</v>
      </c>
      <c r="P667" s="37">
        <v>0.943</v>
      </c>
      <c r="Q667">
        <v>94.2</v>
      </c>
      <c r="R667">
        <v>1880</v>
      </c>
      <c r="S667">
        <v>2364</v>
      </c>
      <c r="T667">
        <v>2000</v>
      </c>
      <c r="U667" t="s">
        <v>1962</v>
      </c>
      <c r="V667" t="s">
        <v>1963</v>
      </c>
      <c r="X667" t="s">
        <v>1964</v>
      </c>
      <c r="Y667" t="s">
        <v>1914</v>
      </c>
      <c r="Z667" s="37">
        <v>0.01</v>
      </c>
      <c r="AA667" s="37">
        <v>0.15</v>
      </c>
      <c r="AB667">
        <v>1</v>
      </c>
    </row>
    <row r="668">
      <c r="A668" t="s">
        <v>2210</v>
      </c>
      <c r="B668" t="s">
        <v>2179</v>
      </c>
      <c r="C668" t="s">
        <v>2179</v>
      </c>
      <c r="D668" t="s">
        <v>2211</v>
      </c>
      <c r="E668" t="s">
        <v>2212</v>
      </c>
      <c r="F668" t="s">
        <v>298</v>
      </c>
      <c r="G668" t="s">
        <v>2182</v>
      </c>
      <c r="H668" t="s">
        <v>2186</v>
      </c>
      <c r="I668" t="s">
        <v>2215</v>
      </c>
      <c r="J668" s="38">
        <v>0.99</v>
      </c>
      <c r="K668" s="38">
        <v>0.78</v>
      </c>
      <c r="L668" t="s">
        <v>2216</v>
      </c>
      <c r="M668" s="37">
        <v>0.78</v>
      </c>
      <c r="N668" s="37">
        <v>0.1</v>
      </c>
      <c r="O668">
        <v>7.8</v>
      </c>
      <c r="P668" s="37">
        <v>0.943</v>
      </c>
      <c r="Q668">
        <v>94.2</v>
      </c>
      <c r="R668">
        <v>1880</v>
      </c>
      <c r="S668">
        <v>2364</v>
      </c>
      <c r="T668">
        <v>2000</v>
      </c>
      <c r="U668" t="s">
        <v>1962</v>
      </c>
      <c r="V668" t="s">
        <v>1963</v>
      </c>
      <c r="X668" t="s">
        <v>1964</v>
      </c>
      <c r="Y668" t="s">
        <v>1914</v>
      </c>
      <c r="Z668" s="37">
        <v>0.01</v>
      </c>
      <c r="AA668" s="37">
        <v>0.15</v>
      </c>
      <c r="AB668">
        <v>1</v>
      </c>
    </row>
    <row r="669">
      <c r="A669" t="s">
        <v>2210</v>
      </c>
      <c r="B669" t="s">
        <v>2179</v>
      </c>
      <c r="C669" t="s">
        <v>2179</v>
      </c>
      <c r="D669" t="s">
        <v>2211</v>
      </c>
      <c r="E669" t="s">
        <v>2212</v>
      </c>
      <c r="F669" t="s">
        <v>298</v>
      </c>
      <c r="G669" t="s">
        <v>2182</v>
      </c>
      <c r="H669" t="s">
        <v>2189</v>
      </c>
      <c r="I669" t="s">
        <v>2217</v>
      </c>
      <c r="J669" s="38">
        <v>0.91</v>
      </c>
      <c r="K669" t="s">
        <v>2207</v>
      </c>
      <c r="L669" t="s">
        <v>2214</v>
      </c>
      <c r="M669" s="37">
        <v>1</v>
      </c>
      <c r="N669" s="37">
        <v>0.15</v>
      </c>
      <c r="O669">
        <v>15</v>
      </c>
      <c r="P669" s="37">
        <v>0.943</v>
      </c>
      <c r="Q669">
        <v>94.2</v>
      </c>
      <c r="R669">
        <v>1880</v>
      </c>
      <c r="S669">
        <v>2364</v>
      </c>
      <c r="T669">
        <v>2000</v>
      </c>
      <c r="U669" t="s">
        <v>1962</v>
      </c>
      <c r="V669" t="s">
        <v>1963</v>
      </c>
      <c r="X669" t="s">
        <v>1964</v>
      </c>
      <c r="Y669" t="s">
        <v>1914</v>
      </c>
      <c r="Z669" s="37">
        <v>0.01</v>
      </c>
      <c r="AA669" s="37">
        <v>0.15</v>
      </c>
      <c r="AB669">
        <v>1</v>
      </c>
    </row>
    <row r="670">
      <c r="A670" t="s">
        <v>2210</v>
      </c>
      <c r="B670" t="s">
        <v>2179</v>
      </c>
      <c r="C670" t="s">
        <v>2179</v>
      </c>
      <c r="D670" t="s">
        <v>2211</v>
      </c>
      <c r="E670" t="s">
        <v>2212</v>
      </c>
      <c r="F670" t="s">
        <v>298</v>
      </c>
      <c r="G670" t="s">
        <v>2182</v>
      </c>
      <c r="H670" t="s">
        <v>2183</v>
      </c>
      <c r="I670" t="s">
        <v>2218</v>
      </c>
      <c r="J670" s="38">
        <v>0.95</v>
      </c>
      <c r="K670" s="38">
        <v>0.95</v>
      </c>
      <c r="L670" s="38">
        <v>0.95</v>
      </c>
      <c r="M670" s="37">
        <v>1</v>
      </c>
      <c r="N670" s="37">
        <v>0.25</v>
      </c>
      <c r="O670">
        <v>25</v>
      </c>
      <c r="P670" s="37">
        <v>0.943</v>
      </c>
      <c r="Q670">
        <v>94.2</v>
      </c>
      <c r="R670">
        <v>1880</v>
      </c>
      <c r="S670">
        <v>2364</v>
      </c>
      <c r="T670">
        <v>2000</v>
      </c>
      <c r="U670" t="s">
        <v>1962</v>
      </c>
      <c r="V670" t="s">
        <v>1963</v>
      </c>
      <c r="X670" t="s">
        <v>1964</v>
      </c>
      <c r="Y670" t="s">
        <v>1914</v>
      </c>
      <c r="Z670" s="37">
        <v>0.01</v>
      </c>
      <c r="AA670" s="37">
        <v>0.15</v>
      </c>
      <c r="AB670">
        <v>1</v>
      </c>
    </row>
    <row r="671">
      <c r="A671" t="s">
        <v>2210</v>
      </c>
      <c r="B671" t="s">
        <v>2179</v>
      </c>
      <c r="C671" t="s">
        <v>2179</v>
      </c>
      <c r="D671" t="s">
        <v>2211</v>
      </c>
      <c r="E671" t="s">
        <v>2212</v>
      </c>
      <c r="F671" t="s">
        <v>298</v>
      </c>
      <c r="G671" t="s">
        <v>2182</v>
      </c>
      <c r="H671" t="s">
        <v>2219</v>
      </c>
      <c r="I671" t="s">
        <v>2220</v>
      </c>
      <c r="J671" t="s">
        <v>2221</v>
      </c>
      <c r="K671" t="s">
        <v>2222</v>
      </c>
      <c r="L671" t="s">
        <v>2223</v>
      </c>
      <c r="M671" s="37">
        <v>0.86</v>
      </c>
      <c r="N671" s="37">
        <v>0.25</v>
      </c>
      <c r="O671">
        <v>21.4</v>
      </c>
      <c r="P671" s="37">
        <v>0.943</v>
      </c>
      <c r="Q671">
        <v>94.2</v>
      </c>
      <c r="R671">
        <v>1880</v>
      </c>
      <c r="S671">
        <v>2364</v>
      </c>
      <c r="T671">
        <v>2000</v>
      </c>
      <c r="U671" t="s">
        <v>1962</v>
      </c>
      <c r="V671" t="s">
        <v>1963</v>
      </c>
      <c r="X671" t="s">
        <v>1964</v>
      </c>
      <c r="Y671" t="s">
        <v>1914</v>
      </c>
      <c r="Z671" s="37">
        <v>0.01</v>
      </c>
      <c r="AA671" s="37">
        <v>0.15</v>
      </c>
      <c r="AB671">
        <v>1</v>
      </c>
    </row>
    <row r="672">
      <c r="A672" t="s">
        <v>2224</v>
      </c>
      <c r="B672" t="s">
        <v>2179</v>
      </c>
      <c r="C672" t="s">
        <v>2179</v>
      </c>
      <c r="D672" t="s">
        <v>2180</v>
      </c>
      <c r="E672" t="s">
        <v>2225</v>
      </c>
      <c r="F672" t="s">
        <v>298</v>
      </c>
      <c r="G672" t="s">
        <v>2182</v>
      </c>
      <c r="H672" t="s">
        <v>2183</v>
      </c>
      <c r="I672" t="s">
        <v>2226</v>
      </c>
      <c r="J672" t="s">
        <v>2199</v>
      </c>
      <c r="K672" t="s">
        <v>2227</v>
      </c>
      <c r="L672" t="s">
        <v>2185</v>
      </c>
      <c r="M672" s="37">
        <v>1</v>
      </c>
      <c r="N672" s="37">
        <v>0.25</v>
      </c>
      <c r="O672">
        <v>25</v>
      </c>
      <c r="P672" s="37">
        <v>0.9135</v>
      </c>
      <c r="Q672">
        <v>91.4</v>
      </c>
      <c r="R672">
        <v>1820</v>
      </c>
      <c r="S672">
        <v>2479</v>
      </c>
      <c r="T672">
        <v>2500</v>
      </c>
      <c r="U672" t="s">
        <v>1962</v>
      </c>
      <c r="V672" t="s">
        <v>1963</v>
      </c>
      <c r="X672" t="s">
        <v>1964</v>
      </c>
      <c r="Y672" t="s">
        <v>1914</v>
      </c>
      <c r="Z672" s="37">
        <v>0.01</v>
      </c>
      <c r="AA672" s="37">
        <v>0.15</v>
      </c>
      <c r="AB672">
        <v>1</v>
      </c>
    </row>
    <row r="673">
      <c r="A673" t="s">
        <v>2224</v>
      </c>
      <c r="B673" t="s">
        <v>2179</v>
      </c>
      <c r="C673" t="s">
        <v>2179</v>
      </c>
      <c r="D673" t="s">
        <v>2180</v>
      </c>
      <c r="E673" t="s">
        <v>2225</v>
      </c>
      <c r="F673" t="s">
        <v>298</v>
      </c>
      <c r="G673" t="s">
        <v>2182</v>
      </c>
      <c r="H673" t="s">
        <v>2186</v>
      </c>
      <c r="I673" t="s">
        <v>2187</v>
      </c>
      <c r="J673" s="38">
        <v>0.99</v>
      </c>
      <c r="K673" s="38">
        <v>0.76</v>
      </c>
      <c r="L673" t="s">
        <v>2228</v>
      </c>
      <c r="M673" s="37">
        <v>0.76</v>
      </c>
      <c r="N673" s="37">
        <v>0.1</v>
      </c>
      <c r="O673">
        <v>7.6</v>
      </c>
      <c r="P673" s="37">
        <v>0.9135</v>
      </c>
      <c r="Q673">
        <v>91.4</v>
      </c>
      <c r="R673">
        <v>1820</v>
      </c>
      <c r="S673">
        <v>2479</v>
      </c>
      <c r="T673">
        <v>2500</v>
      </c>
      <c r="U673" t="s">
        <v>1962</v>
      </c>
      <c r="V673" t="s">
        <v>1963</v>
      </c>
      <c r="X673" t="s">
        <v>1964</v>
      </c>
      <c r="Y673" t="s">
        <v>1914</v>
      </c>
      <c r="Z673" s="37">
        <v>0.01</v>
      </c>
      <c r="AA673" s="37">
        <v>0.15</v>
      </c>
      <c r="AB673">
        <v>1</v>
      </c>
    </row>
    <row r="674">
      <c r="A674" t="s">
        <v>2224</v>
      </c>
      <c r="B674" t="s">
        <v>2179</v>
      </c>
      <c r="C674" t="s">
        <v>2179</v>
      </c>
      <c r="D674" t="s">
        <v>2180</v>
      </c>
      <c r="E674" t="s">
        <v>2225</v>
      </c>
      <c r="F674" t="s">
        <v>298</v>
      </c>
      <c r="G674" t="s">
        <v>2182</v>
      </c>
      <c r="H674" t="s">
        <v>2189</v>
      </c>
      <c r="I674" t="s">
        <v>2190</v>
      </c>
      <c r="J674" s="38">
        <v>0.91</v>
      </c>
      <c r="K674" s="38">
        <v>0.94</v>
      </c>
      <c r="L674" t="s">
        <v>2185</v>
      </c>
      <c r="M674" s="37">
        <v>1</v>
      </c>
      <c r="N674" s="37">
        <v>0.15</v>
      </c>
      <c r="O674">
        <v>15</v>
      </c>
      <c r="P674" s="37">
        <v>0.9135</v>
      </c>
      <c r="Q674">
        <v>91.4</v>
      </c>
      <c r="R674">
        <v>1820</v>
      </c>
      <c r="S674">
        <v>2479</v>
      </c>
      <c r="T674">
        <v>2500</v>
      </c>
      <c r="U674" t="s">
        <v>1962</v>
      </c>
      <c r="V674" t="s">
        <v>1963</v>
      </c>
      <c r="X674" t="s">
        <v>1964</v>
      </c>
      <c r="Y674" t="s">
        <v>1914</v>
      </c>
      <c r="Z674" s="37">
        <v>0.01</v>
      </c>
      <c r="AA674" s="37">
        <v>0.15</v>
      </c>
      <c r="AB674">
        <v>1</v>
      </c>
    </row>
    <row r="675">
      <c r="A675" t="s">
        <v>2224</v>
      </c>
      <c r="B675" t="s">
        <v>2179</v>
      </c>
      <c r="C675" t="s">
        <v>2179</v>
      </c>
      <c r="D675" t="s">
        <v>2180</v>
      </c>
      <c r="E675" t="s">
        <v>2225</v>
      </c>
      <c r="F675" t="s">
        <v>298</v>
      </c>
      <c r="G675" t="s">
        <v>2182</v>
      </c>
      <c r="H675" t="s">
        <v>2189</v>
      </c>
      <c r="I675" t="s">
        <v>2206</v>
      </c>
      <c r="J675" s="38">
        <v>0.95</v>
      </c>
      <c r="K675" s="38">
        <v>0.95</v>
      </c>
      <c r="L675" t="s">
        <v>2229</v>
      </c>
      <c r="M675" s="37">
        <v>1</v>
      </c>
      <c r="N675" s="37">
        <v>0.25</v>
      </c>
      <c r="O675">
        <v>25</v>
      </c>
      <c r="P675" s="37">
        <v>0.9135</v>
      </c>
      <c r="Q675">
        <v>91.4</v>
      </c>
      <c r="R675">
        <v>1820</v>
      </c>
      <c r="S675">
        <v>2479</v>
      </c>
      <c r="T675">
        <v>2500</v>
      </c>
      <c r="U675" t="s">
        <v>1962</v>
      </c>
      <c r="V675" t="s">
        <v>1963</v>
      </c>
      <c r="X675" t="s">
        <v>1964</v>
      </c>
      <c r="Y675" t="s">
        <v>1914</v>
      </c>
      <c r="Z675" s="37">
        <v>0.01</v>
      </c>
      <c r="AA675" s="37">
        <v>0.15</v>
      </c>
      <c r="AB675">
        <v>1</v>
      </c>
    </row>
    <row r="676">
      <c r="A676" t="s">
        <v>2224</v>
      </c>
      <c r="B676" t="s">
        <v>2179</v>
      </c>
      <c r="C676" t="s">
        <v>2179</v>
      </c>
      <c r="D676" t="s">
        <v>2180</v>
      </c>
      <c r="E676" t="s">
        <v>2225</v>
      </c>
      <c r="F676" t="s">
        <v>298</v>
      </c>
      <c r="G676" t="s">
        <v>2182</v>
      </c>
      <c r="H676" t="s">
        <v>2219</v>
      </c>
      <c r="I676" t="s">
        <v>2230</v>
      </c>
      <c r="J676" t="s">
        <v>2221</v>
      </c>
      <c r="K676" t="s">
        <v>2231</v>
      </c>
      <c r="L676" t="s">
        <v>2232</v>
      </c>
      <c r="M676" s="37">
        <v>0.75</v>
      </c>
      <c r="N676" s="37">
        <v>0.25</v>
      </c>
      <c r="O676">
        <v>18.8</v>
      </c>
      <c r="P676" s="37">
        <v>0.9135</v>
      </c>
      <c r="Q676">
        <v>91.4</v>
      </c>
      <c r="R676">
        <v>1820</v>
      </c>
      <c r="S676">
        <v>2479</v>
      </c>
      <c r="T676">
        <v>2500</v>
      </c>
      <c r="U676" t="s">
        <v>1962</v>
      </c>
      <c r="V676" t="s">
        <v>1963</v>
      </c>
      <c r="X676" t="s">
        <v>1964</v>
      </c>
      <c r="Y676" t="s">
        <v>1914</v>
      </c>
      <c r="Z676" s="37">
        <v>0.01</v>
      </c>
      <c r="AA676" s="37">
        <v>0.15</v>
      </c>
      <c r="AB676">
        <v>1</v>
      </c>
    </row>
    <row r="677">
      <c r="A677" t="s">
        <v>2233</v>
      </c>
      <c r="B677" t="s">
        <v>2179</v>
      </c>
      <c r="C677" t="s">
        <v>2179</v>
      </c>
      <c r="D677" t="s">
        <v>2180</v>
      </c>
      <c r="E677" t="s">
        <v>2234</v>
      </c>
      <c r="F677" t="s">
        <v>298</v>
      </c>
      <c r="G677" t="s">
        <v>2235</v>
      </c>
      <c r="H677" t="s">
        <v>2236</v>
      </c>
      <c r="I677" t="s">
        <v>2237</v>
      </c>
      <c r="J677">
        <v>2500</v>
      </c>
      <c r="K677">
        <v>1513</v>
      </c>
      <c r="L677" t="s">
        <v>2232</v>
      </c>
      <c r="M677" s="37">
        <v>0.5</v>
      </c>
      <c r="N677" s="37">
        <v>0.3</v>
      </c>
      <c r="O677">
        <v>15</v>
      </c>
      <c r="P677" s="37">
        <v>0.7</v>
      </c>
      <c r="Q677">
        <v>70</v>
      </c>
      <c r="R677">
        <v>1050</v>
      </c>
      <c r="S677">
        <v>1050</v>
      </c>
      <c r="T677">
        <v>1200</v>
      </c>
      <c r="U677" t="s">
        <v>1962</v>
      </c>
      <c r="V677" t="s">
        <v>1963</v>
      </c>
      <c r="X677" t="s">
        <v>1964</v>
      </c>
      <c r="Y677" t="s">
        <v>1914</v>
      </c>
      <c r="Z677" s="37">
        <v>0.01</v>
      </c>
      <c r="AA677" s="37">
        <v>0.15</v>
      </c>
      <c r="AB677">
        <v>1</v>
      </c>
    </row>
    <row r="678">
      <c r="A678" t="s">
        <v>2233</v>
      </c>
      <c r="B678" t="s">
        <v>2179</v>
      </c>
      <c r="C678" t="s">
        <v>2179</v>
      </c>
      <c r="D678" t="s">
        <v>2180</v>
      </c>
      <c r="E678" t="s">
        <v>2234</v>
      </c>
      <c r="F678" t="s">
        <v>298</v>
      </c>
      <c r="G678" t="s">
        <v>2235</v>
      </c>
      <c r="H678" t="s">
        <v>2238</v>
      </c>
      <c r="I678" t="s">
        <v>2239</v>
      </c>
      <c r="J678" s="38">
        <v>0.75</v>
      </c>
      <c r="K678" t="s">
        <v>2240</v>
      </c>
      <c r="L678" t="s">
        <v>2232</v>
      </c>
      <c r="M678" s="37">
        <v>0.5</v>
      </c>
      <c r="N678" s="37">
        <v>0.3</v>
      </c>
      <c r="O678">
        <v>15</v>
      </c>
      <c r="P678" s="37">
        <v>0.7</v>
      </c>
      <c r="Q678">
        <v>70</v>
      </c>
      <c r="R678">
        <v>1050</v>
      </c>
      <c r="S678">
        <v>1050</v>
      </c>
      <c r="T678">
        <v>1200</v>
      </c>
      <c r="U678" t="s">
        <v>1962</v>
      </c>
      <c r="V678" t="s">
        <v>1963</v>
      </c>
      <c r="X678" t="s">
        <v>1964</v>
      </c>
      <c r="Y678" t="s">
        <v>1914</v>
      </c>
      <c r="Z678" s="37">
        <v>0.01</v>
      </c>
      <c r="AA678" s="37">
        <v>0.15</v>
      </c>
      <c r="AB678">
        <v>1</v>
      </c>
    </row>
    <row r="679">
      <c r="A679" t="s">
        <v>2233</v>
      </c>
      <c r="B679" t="s">
        <v>2179</v>
      </c>
      <c r="C679" t="s">
        <v>2179</v>
      </c>
      <c r="D679" t="s">
        <v>2180</v>
      </c>
      <c r="E679" t="s">
        <v>2234</v>
      </c>
      <c r="F679" t="s">
        <v>298</v>
      </c>
      <c r="G679" t="s">
        <v>2235</v>
      </c>
      <c r="H679" t="s">
        <v>2241</v>
      </c>
      <c r="I679" t="s">
        <v>2242</v>
      </c>
      <c r="J679" s="38">
        <v>1</v>
      </c>
      <c r="K679" t="s">
        <v>521</v>
      </c>
      <c r="L679" t="s">
        <v>2232</v>
      </c>
      <c r="M679" s="37">
        <v>1</v>
      </c>
      <c r="N679" s="37">
        <v>0.25</v>
      </c>
      <c r="O679">
        <v>25</v>
      </c>
      <c r="P679" s="37">
        <v>0.7</v>
      </c>
      <c r="Q679">
        <v>70</v>
      </c>
      <c r="R679">
        <v>1050</v>
      </c>
      <c r="S679">
        <v>1050</v>
      </c>
      <c r="T679">
        <v>1200</v>
      </c>
      <c r="U679" t="s">
        <v>1962</v>
      </c>
      <c r="V679" t="s">
        <v>1963</v>
      </c>
      <c r="X679" t="s">
        <v>1964</v>
      </c>
      <c r="Y679" t="s">
        <v>1914</v>
      </c>
      <c r="Z679" s="37">
        <v>0.01</v>
      </c>
      <c r="AA679" s="37">
        <v>0.15</v>
      </c>
      <c r="AB679">
        <v>1</v>
      </c>
    </row>
    <row r="680">
      <c r="A680" t="s">
        <v>2233</v>
      </c>
      <c r="B680" t="s">
        <v>2179</v>
      </c>
      <c r="C680" t="s">
        <v>2179</v>
      </c>
      <c r="D680" t="s">
        <v>2180</v>
      </c>
      <c r="E680" t="s">
        <v>2234</v>
      </c>
      <c r="F680" t="s">
        <v>298</v>
      </c>
      <c r="G680" t="s">
        <v>2235</v>
      </c>
      <c r="H680" t="s">
        <v>2243</v>
      </c>
      <c r="I680" t="s">
        <v>2244</v>
      </c>
      <c r="J680" s="38">
        <v>1</v>
      </c>
      <c r="K680" t="s">
        <v>521</v>
      </c>
      <c r="L680" t="s">
        <v>2232</v>
      </c>
      <c r="M680" s="37">
        <v>1</v>
      </c>
      <c r="N680" s="37">
        <v>0.15</v>
      </c>
      <c r="O680">
        <v>15</v>
      </c>
      <c r="P680" s="37">
        <v>0.7</v>
      </c>
      <c r="Q680">
        <v>70</v>
      </c>
      <c r="R680">
        <v>1050</v>
      </c>
      <c r="S680">
        <v>1050</v>
      </c>
      <c r="T680">
        <v>1200</v>
      </c>
      <c r="U680" t="s">
        <v>1962</v>
      </c>
      <c r="V680" t="s">
        <v>1963</v>
      </c>
      <c r="X680" t="s">
        <v>1964</v>
      </c>
      <c r="Y680" t="s">
        <v>1914</v>
      </c>
      <c r="Z680" s="37">
        <v>0.01</v>
      </c>
      <c r="AA680" s="37">
        <v>0.15</v>
      </c>
      <c r="AB680">
        <v>1</v>
      </c>
    </row>
    <row r="681">
      <c r="A681" t="s">
        <v>2245</v>
      </c>
      <c r="B681" t="s">
        <v>2179</v>
      </c>
      <c r="C681" t="s">
        <v>2179</v>
      </c>
      <c r="D681" t="s">
        <v>2180</v>
      </c>
      <c r="E681" t="s">
        <v>2246</v>
      </c>
      <c r="F681" t="s">
        <v>298</v>
      </c>
      <c r="G681" t="s">
        <v>2235</v>
      </c>
      <c r="H681" t="s">
        <v>2247</v>
      </c>
      <c r="J681" s="38">
        <v>1</v>
      </c>
      <c r="K681" t="s">
        <v>2248</v>
      </c>
      <c r="M681" s="37">
        <v>0.84</v>
      </c>
      <c r="N681" s="37">
        <v>0.3</v>
      </c>
      <c r="O681">
        <v>25</v>
      </c>
      <c r="P681" s="37">
        <v>0.832</v>
      </c>
      <c r="Q681">
        <v>83</v>
      </c>
      <c r="R681">
        <v>1248</v>
      </c>
      <c r="S681">
        <v>1248</v>
      </c>
      <c r="T681">
        <v>1500</v>
      </c>
      <c r="U681" t="s">
        <v>1962</v>
      </c>
      <c r="V681" t="s">
        <v>1963</v>
      </c>
      <c r="X681" t="s">
        <v>1964</v>
      </c>
      <c r="Y681" t="s">
        <v>1914</v>
      </c>
      <c r="Z681" s="37">
        <v>0.01</v>
      </c>
      <c r="AA681" s="37">
        <v>0.15</v>
      </c>
      <c r="AB681">
        <v>1</v>
      </c>
    </row>
    <row r="682">
      <c r="A682" t="s">
        <v>2245</v>
      </c>
      <c r="B682" t="s">
        <v>2179</v>
      </c>
      <c r="C682" t="s">
        <v>2179</v>
      </c>
      <c r="D682" t="s">
        <v>2180</v>
      </c>
      <c r="E682" t="s">
        <v>2246</v>
      </c>
      <c r="F682" t="s">
        <v>298</v>
      </c>
      <c r="G682" t="s">
        <v>2235</v>
      </c>
      <c r="H682" t="s">
        <v>2249</v>
      </c>
      <c r="J682" s="38">
        <v>1</v>
      </c>
      <c r="K682" s="37">
        <v>0.993</v>
      </c>
      <c r="M682" s="37">
        <v>0.7</v>
      </c>
      <c r="N682" s="37">
        <v>0.3</v>
      </c>
      <c r="O682">
        <v>21</v>
      </c>
      <c r="P682" s="37">
        <v>0.832</v>
      </c>
      <c r="Q682">
        <v>83</v>
      </c>
      <c r="R682">
        <v>1248</v>
      </c>
      <c r="S682">
        <v>1248</v>
      </c>
      <c r="T682">
        <v>1500</v>
      </c>
      <c r="U682" t="s">
        <v>1962</v>
      </c>
      <c r="V682" t="s">
        <v>1963</v>
      </c>
      <c r="X682" t="s">
        <v>1964</v>
      </c>
      <c r="Y682" t="s">
        <v>1914</v>
      </c>
      <c r="Z682" s="37">
        <v>0.01</v>
      </c>
      <c r="AA682" s="37">
        <v>0.15</v>
      </c>
      <c r="AB682">
        <v>1</v>
      </c>
    </row>
    <row r="683">
      <c r="A683" t="s">
        <v>2245</v>
      </c>
      <c r="B683" t="s">
        <v>2179</v>
      </c>
      <c r="C683" t="s">
        <v>2179</v>
      </c>
      <c r="D683" t="s">
        <v>2180</v>
      </c>
      <c r="E683" t="s">
        <v>2246</v>
      </c>
      <c r="F683" t="s">
        <v>298</v>
      </c>
      <c r="G683" t="s">
        <v>2235</v>
      </c>
      <c r="H683" t="s">
        <v>2250</v>
      </c>
      <c r="J683">
        <v>1000</v>
      </c>
      <c r="K683" t="s">
        <v>2251</v>
      </c>
      <c r="M683" s="37">
        <v>1</v>
      </c>
      <c r="N683" s="37">
        <v>0.3</v>
      </c>
      <c r="O683">
        <v>30</v>
      </c>
      <c r="P683" s="37">
        <v>0.832</v>
      </c>
      <c r="Q683">
        <v>83</v>
      </c>
      <c r="R683">
        <v>1248</v>
      </c>
      <c r="S683">
        <v>1248</v>
      </c>
      <c r="T683">
        <v>1500</v>
      </c>
      <c r="U683" t="s">
        <v>1962</v>
      </c>
      <c r="V683" t="s">
        <v>1963</v>
      </c>
      <c r="X683" t="s">
        <v>1964</v>
      </c>
      <c r="Y683" t="s">
        <v>1914</v>
      </c>
      <c r="Z683" s="37">
        <v>0.01</v>
      </c>
      <c r="AA683" s="37">
        <v>0.15</v>
      </c>
      <c r="AB683">
        <v>1</v>
      </c>
    </row>
    <row r="684">
      <c r="A684" t="s">
        <v>2245</v>
      </c>
      <c r="B684" t="s">
        <v>2179</v>
      </c>
      <c r="C684" t="s">
        <v>2179</v>
      </c>
      <c r="D684" t="s">
        <v>2180</v>
      </c>
      <c r="E684" t="s">
        <v>2246</v>
      </c>
      <c r="F684" t="s">
        <v>298</v>
      </c>
      <c r="G684" t="s">
        <v>2235</v>
      </c>
      <c r="H684" t="s">
        <v>2249</v>
      </c>
      <c r="J684" s="38">
        <v>1</v>
      </c>
      <c r="K684" t="s">
        <v>2252</v>
      </c>
      <c r="M684" s="37">
        <v>0.7</v>
      </c>
      <c r="N684" s="37">
        <v>0.1</v>
      </c>
      <c r="O684">
        <v>7</v>
      </c>
      <c r="P684" s="37">
        <v>0.832</v>
      </c>
      <c r="Q684">
        <v>83</v>
      </c>
      <c r="R684">
        <v>1248</v>
      </c>
      <c r="S684">
        <v>1248</v>
      </c>
      <c r="T684">
        <v>1500</v>
      </c>
      <c r="U684" t="s">
        <v>1962</v>
      </c>
      <c r="V684" t="s">
        <v>1963</v>
      </c>
      <c r="X684" t="s">
        <v>1964</v>
      </c>
      <c r="Y684" t="s">
        <v>1914</v>
      </c>
      <c r="Z684" s="37">
        <v>0.01</v>
      </c>
      <c r="AA684" s="37">
        <v>0.15</v>
      </c>
      <c r="AB684">
        <v>1</v>
      </c>
    </row>
    <row r="685">
      <c r="A685" t="s">
        <v>2253</v>
      </c>
      <c r="B685" t="s">
        <v>2057</v>
      </c>
      <c r="C685" t="s">
        <v>2057</v>
      </c>
      <c r="D685" t="s">
        <v>2254</v>
      </c>
      <c r="E685" t="s">
        <v>2255</v>
      </c>
      <c r="F685" t="s">
        <v>298</v>
      </c>
      <c r="G685" t="s">
        <v>2171</v>
      </c>
      <c r="H685" t="s">
        <v>2108</v>
      </c>
      <c r="I685" t="s">
        <v>2256</v>
      </c>
      <c r="L685" t="s">
        <v>2257</v>
      </c>
      <c r="M685" s="37">
        <v>1</v>
      </c>
      <c r="N685" s="37">
        <v>0.3</v>
      </c>
      <c r="O685">
        <v>1</v>
      </c>
      <c r="P685" s="37">
        <v>0.96</v>
      </c>
      <c r="Q685">
        <v>0.96</v>
      </c>
      <c r="R685">
        <v>0</v>
      </c>
      <c r="S685">
        <v>0</v>
      </c>
      <c r="T685">
        <v>2000</v>
      </c>
      <c r="U685" t="s">
        <v>1962</v>
      </c>
      <c r="V685" t="s">
        <v>1963</v>
      </c>
      <c r="X685" t="s">
        <v>1964</v>
      </c>
      <c r="Y685" t="s">
        <v>1914</v>
      </c>
      <c r="Z685" s="37">
        <v>0.01</v>
      </c>
      <c r="AA685" s="37">
        <v>0.15</v>
      </c>
      <c r="AB685">
        <v>1</v>
      </c>
    </row>
    <row r="686">
      <c r="A686" t="s">
        <v>2253</v>
      </c>
      <c r="B686" t="s">
        <v>2057</v>
      </c>
      <c r="C686" t="s">
        <v>2057</v>
      </c>
      <c r="D686" t="s">
        <v>2254</v>
      </c>
      <c r="E686" t="s">
        <v>2255</v>
      </c>
      <c r="F686" t="s">
        <v>298</v>
      </c>
      <c r="G686" t="s">
        <v>2171</v>
      </c>
      <c r="H686" t="s">
        <v>2108</v>
      </c>
      <c r="I686" t="s">
        <v>2258</v>
      </c>
      <c r="L686" t="s">
        <v>2259</v>
      </c>
      <c r="M686" s="37">
        <v>1</v>
      </c>
      <c r="N686" s="37">
        <v>0.3</v>
      </c>
      <c r="O686">
        <v>1</v>
      </c>
      <c r="P686" s="37">
        <v>0.96</v>
      </c>
      <c r="Q686">
        <v>0.96</v>
      </c>
      <c r="R686">
        <v>0</v>
      </c>
      <c r="S686">
        <v>0</v>
      </c>
      <c r="T686">
        <v>2000</v>
      </c>
      <c r="U686" t="s">
        <v>1962</v>
      </c>
      <c r="V686" t="s">
        <v>1963</v>
      </c>
      <c r="X686" t="s">
        <v>1964</v>
      </c>
      <c r="Y686" t="s">
        <v>1914</v>
      </c>
      <c r="Z686" s="37">
        <v>0.01</v>
      </c>
      <c r="AA686" s="37">
        <v>0.15</v>
      </c>
      <c r="AB686">
        <v>1</v>
      </c>
    </row>
    <row r="687">
      <c r="A687" t="s">
        <v>2253</v>
      </c>
      <c r="B687" t="s">
        <v>2057</v>
      </c>
      <c r="C687" t="s">
        <v>2057</v>
      </c>
      <c r="D687" t="s">
        <v>2254</v>
      </c>
      <c r="E687" t="s">
        <v>2255</v>
      </c>
      <c r="F687" t="s">
        <v>298</v>
      </c>
      <c r="G687" t="s">
        <v>2171</v>
      </c>
      <c r="H687" t="s">
        <v>2108</v>
      </c>
      <c r="I687" t="s">
        <v>2260</v>
      </c>
      <c r="L687" t="s">
        <v>2261</v>
      </c>
      <c r="M687" s="37">
        <v>0.9</v>
      </c>
      <c r="N687" s="37">
        <v>0.4</v>
      </c>
      <c r="O687">
        <v>0.9</v>
      </c>
      <c r="P687" s="37">
        <v>0.96</v>
      </c>
      <c r="Q687">
        <v>0.96</v>
      </c>
      <c r="R687">
        <v>0</v>
      </c>
      <c r="S687">
        <v>0</v>
      </c>
      <c r="T687">
        <v>2000</v>
      </c>
      <c r="U687" t="s">
        <v>1962</v>
      </c>
      <c r="V687" t="s">
        <v>1963</v>
      </c>
      <c r="X687" t="s">
        <v>1964</v>
      </c>
      <c r="Y687" t="s">
        <v>1914</v>
      </c>
      <c r="Z687" s="37">
        <v>0.01</v>
      </c>
      <c r="AA687" s="37">
        <v>0.15</v>
      </c>
      <c r="AB687">
        <v>1</v>
      </c>
    </row>
    <row r="688">
      <c r="A688" t="s">
        <v>2262</v>
      </c>
      <c r="B688" t="s">
        <v>2179</v>
      </c>
      <c r="C688" t="s">
        <v>2179</v>
      </c>
      <c r="D688" t="s">
        <v>2180</v>
      </c>
      <c r="E688" t="s">
        <v>2263</v>
      </c>
      <c r="F688" t="s">
        <v>298</v>
      </c>
      <c r="G688" t="s">
        <v>2264</v>
      </c>
      <c r="H688" t="s">
        <v>2265</v>
      </c>
      <c r="I688" t="s">
        <v>2266</v>
      </c>
      <c r="J688" t="s">
        <v>2267</v>
      </c>
      <c r="K688" t="s">
        <v>2268</v>
      </c>
      <c r="L688" t="s">
        <v>2261</v>
      </c>
      <c r="M688" s="37">
        <v>0.7</v>
      </c>
      <c r="N688" s="37">
        <v>0.1</v>
      </c>
      <c r="O688">
        <v>7</v>
      </c>
      <c r="P688" s="37">
        <v>0.815</v>
      </c>
      <c r="Q688">
        <v>82</v>
      </c>
      <c r="R688">
        <v>1875</v>
      </c>
      <c r="S688">
        <v>1846</v>
      </c>
      <c r="T688">
        <v>1500</v>
      </c>
      <c r="U688" t="s">
        <v>1962</v>
      </c>
      <c r="V688" t="s">
        <v>1963</v>
      </c>
      <c r="X688" t="s">
        <v>1964</v>
      </c>
      <c r="Y688" t="s">
        <v>1914</v>
      </c>
      <c r="Z688" s="37">
        <v>0.01</v>
      </c>
      <c r="AA688" s="37">
        <v>0.15</v>
      </c>
      <c r="AB688">
        <v>1</v>
      </c>
    </row>
    <row r="689">
      <c r="A689" t="s">
        <v>2262</v>
      </c>
      <c r="B689" t="s">
        <v>2179</v>
      </c>
      <c r="C689" t="s">
        <v>2179</v>
      </c>
      <c r="D689" t="s">
        <v>2180</v>
      </c>
      <c r="E689" t="s">
        <v>2263</v>
      </c>
      <c r="F689" t="s">
        <v>298</v>
      </c>
      <c r="G689" t="s">
        <v>2264</v>
      </c>
      <c r="H689" t="s">
        <v>2269</v>
      </c>
      <c r="I689" t="s">
        <v>2266</v>
      </c>
      <c r="J689" s="38">
        <v>1</v>
      </c>
      <c r="K689" t="s">
        <v>521</v>
      </c>
      <c r="L689" t="s">
        <v>2261</v>
      </c>
      <c r="M689" s="37">
        <v>1</v>
      </c>
      <c r="N689" s="37">
        <v>0.05</v>
      </c>
      <c r="O689">
        <v>5</v>
      </c>
      <c r="P689" s="37">
        <v>0.815</v>
      </c>
      <c r="Q689">
        <v>82</v>
      </c>
      <c r="R689">
        <v>1875</v>
      </c>
      <c r="S689">
        <v>1846</v>
      </c>
      <c r="T689">
        <v>1500</v>
      </c>
      <c r="U689" t="s">
        <v>1962</v>
      </c>
      <c r="V689" t="s">
        <v>1963</v>
      </c>
      <c r="X689" t="s">
        <v>1964</v>
      </c>
      <c r="Y689" t="s">
        <v>1914</v>
      </c>
      <c r="Z689" s="37">
        <v>0.01</v>
      </c>
      <c r="AA689" s="37">
        <v>0.15</v>
      </c>
      <c r="AB689">
        <v>1</v>
      </c>
    </row>
    <row r="690">
      <c r="A690" t="s">
        <v>2262</v>
      </c>
      <c r="B690" t="s">
        <v>2179</v>
      </c>
      <c r="C690" t="s">
        <v>2179</v>
      </c>
      <c r="D690" t="s">
        <v>2180</v>
      </c>
      <c r="E690" t="s">
        <v>2263</v>
      </c>
      <c r="F690" t="s">
        <v>298</v>
      </c>
      <c r="G690" t="s">
        <v>2264</v>
      </c>
      <c r="H690" t="s">
        <v>2270</v>
      </c>
      <c r="I690" t="s">
        <v>2266</v>
      </c>
      <c r="J690" s="38">
        <v>1</v>
      </c>
      <c r="K690" t="s">
        <v>2271</v>
      </c>
      <c r="L690" t="s">
        <v>2261</v>
      </c>
      <c r="M690" s="37">
        <v>0.7</v>
      </c>
      <c r="N690" s="37">
        <v>0.35</v>
      </c>
      <c r="O690">
        <v>24.5</v>
      </c>
      <c r="P690" s="37">
        <v>0.815</v>
      </c>
      <c r="Q690">
        <v>82</v>
      </c>
      <c r="R690">
        <v>1875</v>
      </c>
      <c r="S690">
        <v>1846</v>
      </c>
      <c r="T690">
        <v>1500</v>
      </c>
      <c r="U690" t="s">
        <v>1962</v>
      </c>
      <c r="V690" t="s">
        <v>1963</v>
      </c>
      <c r="X690" t="s">
        <v>1964</v>
      </c>
      <c r="Y690" t="s">
        <v>1914</v>
      </c>
      <c r="Z690" s="37">
        <v>0.01</v>
      </c>
      <c r="AA690" s="37">
        <v>0.15</v>
      </c>
      <c r="AB690">
        <v>1</v>
      </c>
    </row>
    <row r="691">
      <c r="A691" t="s">
        <v>2262</v>
      </c>
      <c r="B691" t="s">
        <v>2179</v>
      </c>
      <c r="C691" t="s">
        <v>2179</v>
      </c>
      <c r="D691" t="s">
        <v>2180</v>
      </c>
      <c r="E691" t="s">
        <v>2263</v>
      </c>
      <c r="F691" t="s">
        <v>298</v>
      </c>
      <c r="G691" t="s">
        <v>2264</v>
      </c>
      <c r="H691" t="s">
        <v>2272</v>
      </c>
      <c r="I691" t="s">
        <v>2273</v>
      </c>
      <c r="J691" s="38">
        <v>1</v>
      </c>
      <c r="K691" t="s">
        <v>2271</v>
      </c>
      <c r="L691">
        <v>17315</v>
      </c>
      <c r="M691" s="37">
        <v>0.9</v>
      </c>
      <c r="N691" s="37">
        <v>0.5</v>
      </c>
      <c r="O691">
        <v>45</v>
      </c>
      <c r="P691" s="37">
        <v>0.815</v>
      </c>
      <c r="Q691">
        <v>82</v>
      </c>
      <c r="R691">
        <v>1875</v>
      </c>
      <c r="S691">
        <v>1846</v>
      </c>
      <c r="T691">
        <v>1500</v>
      </c>
      <c r="U691" t="s">
        <v>1962</v>
      </c>
      <c r="V691" t="s">
        <v>1963</v>
      </c>
      <c r="X691" t="s">
        <v>1964</v>
      </c>
      <c r="Y691" t="s">
        <v>1914</v>
      </c>
      <c r="Z691" s="37">
        <v>0.01</v>
      </c>
      <c r="AA691" s="37">
        <v>0.15</v>
      </c>
      <c r="AB691">
        <v>1</v>
      </c>
    </row>
    <row r="692">
      <c r="A692" t="s">
        <v>2274</v>
      </c>
      <c r="B692" t="s">
        <v>2179</v>
      </c>
      <c r="C692" t="s">
        <v>2179</v>
      </c>
      <c r="D692" t="s">
        <v>2180</v>
      </c>
      <c r="E692" t="s">
        <v>2275</v>
      </c>
      <c r="F692" t="s">
        <v>298</v>
      </c>
      <c r="G692" t="s">
        <v>2264</v>
      </c>
      <c r="H692" t="s">
        <v>2265</v>
      </c>
      <c r="I692" t="s">
        <v>2266</v>
      </c>
      <c r="J692" t="s">
        <v>2267</v>
      </c>
      <c r="K692" t="s">
        <v>2267</v>
      </c>
      <c r="L692">
        <v>17315</v>
      </c>
      <c r="M692" s="37">
        <v>1</v>
      </c>
      <c r="N692" s="37">
        <v>0.1</v>
      </c>
      <c r="O692">
        <v>10</v>
      </c>
      <c r="P692" s="37">
        <v>0.886</v>
      </c>
      <c r="Q692">
        <v>77</v>
      </c>
      <c r="R692">
        <v>1350</v>
      </c>
      <c r="S692">
        <v>1350</v>
      </c>
      <c r="T692">
        <v>1500</v>
      </c>
      <c r="U692" t="s">
        <v>1962</v>
      </c>
      <c r="V692" t="s">
        <v>1963</v>
      </c>
      <c r="X692" t="s">
        <v>1964</v>
      </c>
      <c r="Y692" t="s">
        <v>1914</v>
      </c>
      <c r="Z692" s="37">
        <v>0.01</v>
      </c>
      <c r="AA692" s="37">
        <v>0.15</v>
      </c>
      <c r="AB692">
        <v>1</v>
      </c>
    </row>
    <row r="693">
      <c r="A693" t="s">
        <v>2274</v>
      </c>
      <c r="B693" t="s">
        <v>2179</v>
      </c>
      <c r="C693" t="s">
        <v>2179</v>
      </c>
      <c r="D693" t="s">
        <v>2180</v>
      </c>
      <c r="E693" t="s">
        <v>2275</v>
      </c>
      <c r="F693" t="s">
        <v>298</v>
      </c>
      <c r="G693" t="s">
        <v>2264</v>
      </c>
      <c r="H693" t="s">
        <v>2269</v>
      </c>
      <c r="I693" t="s">
        <v>2269</v>
      </c>
      <c r="J693" s="38">
        <v>1</v>
      </c>
      <c r="K693" s="38">
        <v>1</v>
      </c>
      <c r="L693">
        <v>17315</v>
      </c>
      <c r="M693" s="37">
        <v>1</v>
      </c>
      <c r="N693" s="37">
        <v>0.05</v>
      </c>
      <c r="O693">
        <v>5</v>
      </c>
      <c r="P693" s="37">
        <v>0.886</v>
      </c>
      <c r="Q693">
        <v>77</v>
      </c>
      <c r="R693">
        <v>1350</v>
      </c>
      <c r="S693">
        <v>1350</v>
      </c>
      <c r="T693">
        <v>1500</v>
      </c>
      <c r="U693" t="s">
        <v>1962</v>
      </c>
      <c r="V693" t="s">
        <v>1963</v>
      </c>
      <c r="X693" t="s">
        <v>1964</v>
      </c>
      <c r="Y693" t="s">
        <v>1914</v>
      </c>
      <c r="Z693" s="37">
        <v>0.01</v>
      </c>
      <c r="AA693" s="37">
        <v>0.15</v>
      </c>
      <c r="AB693">
        <v>1</v>
      </c>
    </row>
    <row r="694">
      <c r="A694" t="s">
        <v>2274</v>
      </c>
      <c r="B694" t="s">
        <v>2179</v>
      </c>
      <c r="C694" t="s">
        <v>2179</v>
      </c>
      <c r="D694" t="s">
        <v>2180</v>
      </c>
      <c r="E694" t="s">
        <v>2275</v>
      </c>
      <c r="F694" t="s">
        <v>298</v>
      </c>
      <c r="G694" t="s">
        <v>2264</v>
      </c>
      <c r="H694" t="s">
        <v>2270</v>
      </c>
      <c r="I694">
        <v>1</v>
      </c>
      <c r="J694">
        <v>100</v>
      </c>
      <c r="K694">
        <v>96</v>
      </c>
      <c r="L694">
        <v>96</v>
      </c>
      <c r="M694" s="37">
        <v>0.96</v>
      </c>
      <c r="N694" s="37">
        <v>0.35</v>
      </c>
      <c r="O694">
        <v>24.5</v>
      </c>
      <c r="P694" s="37">
        <v>0.886</v>
      </c>
      <c r="Q694">
        <v>77</v>
      </c>
      <c r="R694">
        <v>1350</v>
      </c>
      <c r="S694">
        <v>1350</v>
      </c>
      <c r="T694">
        <v>1500</v>
      </c>
      <c r="U694" t="s">
        <v>1962</v>
      </c>
      <c r="V694" t="s">
        <v>1963</v>
      </c>
      <c r="X694" t="s">
        <v>1964</v>
      </c>
      <c r="Y694" t="s">
        <v>1914</v>
      </c>
      <c r="Z694" s="37">
        <v>0.01</v>
      </c>
      <c r="AA694" s="37">
        <v>0.15</v>
      </c>
      <c r="AB694">
        <v>1</v>
      </c>
    </row>
    <row r="695">
      <c r="A695" t="s">
        <v>2274</v>
      </c>
      <c r="B695" t="s">
        <v>2179</v>
      </c>
      <c r="C695" t="s">
        <v>2179</v>
      </c>
      <c r="D695" t="s">
        <v>2180</v>
      </c>
      <c r="E695" t="s">
        <v>2275</v>
      </c>
      <c r="F695" t="s">
        <v>298</v>
      </c>
      <c r="G695" t="s">
        <v>2264</v>
      </c>
      <c r="H695" t="s">
        <v>2272</v>
      </c>
      <c r="J695" s="38">
        <v>1</v>
      </c>
      <c r="K695">
        <v>96</v>
      </c>
      <c r="L695" t="s">
        <v>2276</v>
      </c>
      <c r="M695" s="37">
        <v>0.8</v>
      </c>
      <c r="N695" s="37">
        <v>0.5</v>
      </c>
      <c r="O695">
        <v>40</v>
      </c>
      <c r="P695" s="37">
        <v>0.886</v>
      </c>
      <c r="Q695">
        <v>77</v>
      </c>
      <c r="R695">
        <v>1350</v>
      </c>
      <c r="S695">
        <v>1350</v>
      </c>
      <c r="T695">
        <v>1500</v>
      </c>
      <c r="U695" t="s">
        <v>1962</v>
      </c>
      <c r="V695" t="s">
        <v>1963</v>
      </c>
      <c r="X695" t="s">
        <v>1964</v>
      </c>
      <c r="Y695" t="s">
        <v>1914</v>
      </c>
      <c r="Z695" s="37">
        <v>0.01</v>
      </c>
      <c r="AA695" s="37">
        <v>0.15</v>
      </c>
      <c r="AB695">
        <v>1</v>
      </c>
    </row>
    <row r="696">
      <c r="A696" t="s">
        <v>2277</v>
      </c>
      <c r="B696" t="s">
        <v>2179</v>
      </c>
      <c r="C696" t="s">
        <v>2179</v>
      </c>
      <c r="D696" t="s">
        <v>2180</v>
      </c>
      <c r="E696" t="s">
        <v>2278</v>
      </c>
      <c r="F696" t="s">
        <v>298</v>
      </c>
      <c r="G696" t="s">
        <v>2264</v>
      </c>
      <c r="H696" t="s">
        <v>2265</v>
      </c>
      <c r="I696" t="s">
        <v>2266</v>
      </c>
      <c r="J696" t="s">
        <v>2267</v>
      </c>
      <c r="K696" t="s">
        <v>2279</v>
      </c>
      <c r="L696" t="s">
        <v>2276</v>
      </c>
      <c r="M696" s="37">
        <v>0.7</v>
      </c>
      <c r="N696" s="37">
        <v>0.1</v>
      </c>
      <c r="O696">
        <v>7</v>
      </c>
      <c r="P696" s="37">
        <v>0.715</v>
      </c>
      <c r="Q696">
        <v>72</v>
      </c>
      <c r="R696">
        <v>1125</v>
      </c>
      <c r="S696">
        <v>1125</v>
      </c>
      <c r="T696">
        <v>1500</v>
      </c>
      <c r="U696" t="s">
        <v>1962</v>
      </c>
      <c r="V696" t="s">
        <v>1963</v>
      </c>
      <c r="X696" t="s">
        <v>1964</v>
      </c>
      <c r="Y696" t="s">
        <v>1914</v>
      </c>
      <c r="Z696" s="37">
        <v>0.01</v>
      </c>
      <c r="AA696" s="37">
        <v>0.15</v>
      </c>
      <c r="AB696">
        <v>1</v>
      </c>
    </row>
    <row r="697">
      <c r="A697" t="s">
        <v>2277</v>
      </c>
      <c r="B697" t="s">
        <v>2179</v>
      </c>
      <c r="C697" t="s">
        <v>2179</v>
      </c>
      <c r="D697" t="s">
        <v>2180</v>
      </c>
      <c r="E697" t="s">
        <v>2278</v>
      </c>
      <c r="F697" t="s">
        <v>298</v>
      </c>
      <c r="G697" t="s">
        <v>2264</v>
      </c>
      <c r="H697" t="s">
        <v>2269</v>
      </c>
      <c r="I697" t="s">
        <v>2269</v>
      </c>
      <c r="J697">
        <v>100</v>
      </c>
      <c r="K697" s="38">
        <v>1</v>
      </c>
      <c r="L697" t="s">
        <v>2276</v>
      </c>
      <c r="M697" s="37">
        <v>1</v>
      </c>
      <c r="N697" s="37">
        <v>0.05</v>
      </c>
      <c r="O697">
        <v>5</v>
      </c>
      <c r="P697" s="37">
        <v>0.715</v>
      </c>
      <c r="Q697">
        <v>72</v>
      </c>
      <c r="R697">
        <v>1125</v>
      </c>
      <c r="S697">
        <v>1125</v>
      </c>
      <c r="T697">
        <v>1500</v>
      </c>
      <c r="U697" t="s">
        <v>1962</v>
      </c>
      <c r="V697" t="s">
        <v>1963</v>
      </c>
      <c r="X697" t="s">
        <v>1964</v>
      </c>
      <c r="Y697" t="s">
        <v>1914</v>
      </c>
      <c r="Z697" s="37">
        <v>0.01</v>
      </c>
      <c r="AA697" s="37">
        <v>0.15</v>
      </c>
      <c r="AB697">
        <v>1</v>
      </c>
    </row>
    <row r="698">
      <c r="A698" t="s">
        <v>2277</v>
      </c>
      <c r="B698" t="s">
        <v>2179</v>
      </c>
      <c r="C698" t="s">
        <v>2179</v>
      </c>
      <c r="D698" t="s">
        <v>2180</v>
      </c>
      <c r="E698" t="s">
        <v>2278</v>
      </c>
      <c r="F698" t="s">
        <v>298</v>
      </c>
      <c r="G698" t="s">
        <v>2264</v>
      </c>
      <c r="H698" t="s">
        <v>2270</v>
      </c>
      <c r="I698" t="s">
        <v>2270</v>
      </c>
      <c r="J698">
        <v>100</v>
      </c>
      <c r="K698" s="37">
        <v>0.973</v>
      </c>
      <c r="L698" t="s">
        <v>2276</v>
      </c>
      <c r="M698" s="37">
        <v>0.7</v>
      </c>
      <c r="N698" s="37">
        <v>0.35</v>
      </c>
      <c r="O698">
        <v>24.5</v>
      </c>
      <c r="P698" s="37">
        <v>0.715</v>
      </c>
      <c r="Q698">
        <v>72</v>
      </c>
      <c r="R698">
        <v>1125</v>
      </c>
      <c r="S698">
        <v>1125</v>
      </c>
      <c r="T698">
        <v>1500</v>
      </c>
      <c r="U698" t="s">
        <v>1962</v>
      </c>
      <c r="V698" t="s">
        <v>1963</v>
      </c>
      <c r="X698" t="s">
        <v>1964</v>
      </c>
      <c r="Y698" t="s">
        <v>1914</v>
      </c>
      <c r="Z698" s="37">
        <v>0.01</v>
      </c>
      <c r="AA698" s="37">
        <v>0.15</v>
      </c>
      <c r="AB698">
        <v>1</v>
      </c>
    </row>
    <row r="699">
      <c r="A699" t="s">
        <v>2277</v>
      </c>
      <c r="B699" t="s">
        <v>2179</v>
      </c>
      <c r="C699" t="s">
        <v>2179</v>
      </c>
      <c r="D699" t="s">
        <v>2180</v>
      </c>
      <c r="E699" t="s">
        <v>2278</v>
      </c>
      <c r="F699" t="s">
        <v>298</v>
      </c>
      <c r="G699" t="s">
        <v>2264</v>
      </c>
      <c r="H699" t="s">
        <v>2272</v>
      </c>
      <c r="I699" t="s">
        <v>2272</v>
      </c>
      <c r="J699">
        <v>100</v>
      </c>
      <c r="K699">
        <v>0</v>
      </c>
      <c r="L699">
        <v>14817</v>
      </c>
      <c r="M699" s="37">
        <v>0.7</v>
      </c>
      <c r="N699" s="37">
        <v>0.5</v>
      </c>
      <c r="O699">
        <v>35</v>
      </c>
      <c r="P699" s="37">
        <v>0.715</v>
      </c>
      <c r="Q699">
        <v>72</v>
      </c>
      <c r="R699">
        <v>1125</v>
      </c>
      <c r="S699">
        <v>1125</v>
      </c>
      <c r="T699">
        <v>1500</v>
      </c>
      <c r="U699" t="s">
        <v>1962</v>
      </c>
      <c r="V699" t="s">
        <v>1963</v>
      </c>
      <c r="X699" t="s">
        <v>1964</v>
      </c>
      <c r="Y699" t="s">
        <v>1914</v>
      </c>
      <c r="Z699" s="37">
        <v>0.01</v>
      </c>
      <c r="AA699" s="37">
        <v>0.15</v>
      </c>
      <c r="AB699">
        <v>1</v>
      </c>
    </row>
    <row r="700">
      <c r="A700" t="s">
        <v>2280</v>
      </c>
      <c r="B700" t="s">
        <v>2179</v>
      </c>
      <c r="C700" t="s">
        <v>2179</v>
      </c>
      <c r="D700" t="s">
        <v>2180</v>
      </c>
      <c r="E700" t="s">
        <v>2281</v>
      </c>
      <c r="F700" t="s">
        <v>298</v>
      </c>
      <c r="G700" t="s">
        <v>2264</v>
      </c>
      <c r="H700" t="s">
        <v>2265</v>
      </c>
      <c r="I700" t="s">
        <v>2282</v>
      </c>
      <c r="J700" s="38">
        <v>1</v>
      </c>
      <c r="K700" s="38">
        <v>0.7</v>
      </c>
      <c r="L700">
        <v>14817</v>
      </c>
      <c r="M700" s="37">
        <v>0.7</v>
      </c>
      <c r="N700" s="37">
        <v>0.1</v>
      </c>
      <c r="O700">
        <v>7</v>
      </c>
      <c r="P700" s="37">
        <v>0.865</v>
      </c>
      <c r="Q700">
        <v>87</v>
      </c>
      <c r="R700">
        <v>2250</v>
      </c>
      <c r="S700">
        <v>2250</v>
      </c>
      <c r="T700">
        <v>1500</v>
      </c>
      <c r="U700" t="s">
        <v>1962</v>
      </c>
      <c r="V700" t="s">
        <v>1963</v>
      </c>
      <c r="X700" t="s">
        <v>1964</v>
      </c>
      <c r="Y700" t="s">
        <v>1914</v>
      </c>
      <c r="Z700" s="37">
        <v>0.01</v>
      </c>
      <c r="AA700" s="37">
        <v>0.15</v>
      </c>
      <c r="AB700">
        <v>1</v>
      </c>
    </row>
    <row r="701">
      <c r="A701" t="s">
        <v>2280</v>
      </c>
      <c r="B701" t="s">
        <v>2179</v>
      </c>
      <c r="C701" t="s">
        <v>2179</v>
      </c>
      <c r="D701" t="s">
        <v>2180</v>
      </c>
      <c r="E701" t="s">
        <v>2281</v>
      </c>
      <c r="F701" t="s">
        <v>298</v>
      </c>
      <c r="G701" t="s">
        <v>2264</v>
      </c>
      <c r="H701" t="s">
        <v>2269</v>
      </c>
      <c r="I701" t="s">
        <v>2269</v>
      </c>
      <c r="J701" s="38">
        <v>1</v>
      </c>
      <c r="K701" t="s">
        <v>521</v>
      </c>
      <c r="L701">
        <v>14817</v>
      </c>
      <c r="M701" s="37">
        <v>1</v>
      </c>
      <c r="N701" s="37">
        <v>0.05</v>
      </c>
      <c r="O701">
        <v>10</v>
      </c>
      <c r="P701" s="37">
        <v>0.865</v>
      </c>
      <c r="Q701">
        <v>87</v>
      </c>
      <c r="R701">
        <v>2250</v>
      </c>
      <c r="S701">
        <v>2250</v>
      </c>
      <c r="T701">
        <v>1500</v>
      </c>
      <c r="U701" t="s">
        <v>1962</v>
      </c>
      <c r="V701" t="s">
        <v>1963</v>
      </c>
      <c r="X701" t="s">
        <v>1964</v>
      </c>
      <c r="Y701" t="s">
        <v>1914</v>
      </c>
      <c r="Z701" s="37">
        <v>0.01</v>
      </c>
      <c r="AA701" s="37">
        <v>0.15</v>
      </c>
      <c r="AB701">
        <v>1</v>
      </c>
    </row>
    <row r="702">
      <c r="A702" t="s">
        <v>2280</v>
      </c>
      <c r="B702" t="s">
        <v>2179</v>
      </c>
      <c r="C702" t="s">
        <v>2179</v>
      </c>
      <c r="D702" t="s">
        <v>2180</v>
      </c>
      <c r="E702" t="s">
        <v>2281</v>
      </c>
      <c r="F702" t="s">
        <v>298</v>
      </c>
      <c r="G702" t="s">
        <v>2264</v>
      </c>
      <c r="H702" t="s">
        <v>2270</v>
      </c>
      <c r="I702" t="s">
        <v>2283</v>
      </c>
      <c r="J702" s="38">
        <v>1</v>
      </c>
      <c r="K702" s="37">
        <v>0.953</v>
      </c>
      <c r="L702">
        <v>14817</v>
      </c>
      <c r="M702" s="37">
        <v>0.7</v>
      </c>
      <c r="N702" s="37">
        <v>0.35</v>
      </c>
      <c r="O702">
        <v>24.5</v>
      </c>
      <c r="P702" s="37">
        <v>0.865</v>
      </c>
      <c r="Q702">
        <v>87</v>
      </c>
      <c r="R702">
        <v>2250</v>
      </c>
      <c r="S702">
        <v>2250</v>
      </c>
      <c r="T702">
        <v>1500</v>
      </c>
      <c r="U702" t="s">
        <v>1962</v>
      </c>
      <c r="V702" t="s">
        <v>1963</v>
      </c>
      <c r="X702" t="s">
        <v>1964</v>
      </c>
      <c r="Y702" t="s">
        <v>1914</v>
      </c>
      <c r="Z702" s="37">
        <v>0.01</v>
      </c>
      <c r="AA702" s="37">
        <v>0.15</v>
      </c>
      <c r="AB702">
        <v>1</v>
      </c>
    </row>
    <row r="703">
      <c r="A703" t="s">
        <v>2280</v>
      </c>
      <c r="B703" t="s">
        <v>2179</v>
      </c>
      <c r="C703" t="s">
        <v>2179</v>
      </c>
      <c r="D703" t="s">
        <v>2180</v>
      </c>
      <c r="E703" t="s">
        <v>2281</v>
      </c>
      <c r="F703" t="s">
        <v>298</v>
      </c>
      <c r="G703" t="s">
        <v>2264</v>
      </c>
      <c r="H703" t="s">
        <v>2272</v>
      </c>
      <c r="I703" t="s">
        <v>2273</v>
      </c>
      <c r="J703" s="38">
        <v>1</v>
      </c>
      <c r="K703" s="37">
        <v>0.953</v>
      </c>
      <c r="L703">
        <v>18986</v>
      </c>
      <c r="M703" s="37">
        <v>1</v>
      </c>
      <c r="N703" s="37">
        <v>0.5</v>
      </c>
      <c r="O703">
        <v>50</v>
      </c>
      <c r="P703" s="37">
        <v>0.865</v>
      </c>
      <c r="Q703">
        <v>87</v>
      </c>
      <c r="R703">
        <v>2250</v>
      </c>
      <c r="S703">
        <v>2250</v>
      </c>
      <c r="T703">
        <v>1500</v>
      </c>
      <c r="U703" t="s">
        <v>1962</v>
      </c>
      <c r="V703" t="s">
        <v>1963</v>
      </c>
      <c r="X703" t="s">
        <v>1964</v>
      </c>
      <c r="Y703" t="s">
        <v>1914</v>
      </c>
      <c r="Z703" s="37">
        <v>0.01</v>
      </c>
      <c r="AA703" s="37">
        <v>0.15</v>
      </c>
      <c r="AB703">
        <v>1</v>
      </c>
    </row>
    <row r="704">
      <c r="A704" t="s">
        <v>2284</v>
      </c>
      <c r="B704" t="s">
        <v>2179</v>
      </c>
      <c r="C704" t="s">
        <v>2179</v>
      </c>
      <c r="D704" t="s">
        <v>2180</v>
      </c>
      <c r="E704" t="s">
        <v>2285</v>
      </c>
      <c r="F704" t="s">
        <v>298</v>
      </c>
      <c r="G704" t="s">
        <v>2264</v>
      </c>
      <c r="H704" t="s">
        <v>2265</v>
      </c>
      <c r="I704" t="s">
        <v>2266</v>
      </c>
      <c r="J704" s="38">
        <v>0</v>
      </c>
      <c r="K704" t="s">
        <v>2286</v>
      </c>
      <c r="L704" s="38">
        <v>0.7</v>
      </c>
      <c r="M704" s="37">
        <v>1</v>
      </c>
      <c r="N704" s="37">
        <v>0.1</v>
      </c>
      <c r="O704">
        <v>70</v>
      </c>
      <c r="P704" s="37">
        <v>1</v>
      </c>
      <c r="Q704">
        <v>67</v>
      </c>
      <c r="R704">
        <v>900</v>
      </c>
      <c r="S704">
        <v>900</v>
      </c>
      <c r="T704">
        <v>1500</v>
      </c>
      <c r="U704" t="s">
        <v>1962</v>
      </c>
      <c r="V704" t="s">
        <v>1963</v>
      </c>
      <c r="X704" t="s">
        <v>1964</v>
      </c>
      <c r="Y704" t="s">
        <v>1914</v>
      </c>
      <c r="Z704" s="37">
        <v>0.01</v>
      </c>
      <c r="AA704" s="37">
        <v>0.15</v>
      </c>
      <c r="AB704">
        <v>1</v>
      </c>
    </row>
    <row r="705">
      <c r="A705" t="s">
        <v>2284</v>
      </c>
      <c r="B705" t="s">
        <v>2179</v>
      </c>
      <c r="C705" t="s">
        <v>2179</v>
      </c>
      <c r="D705" t="s">
        <v>2180</v>
      </c>
      <c r="E705" t="s">
        <v>2285</v>
      </c>
      <c r="F705" t="s">
        <v>298</v>
      </c>
      <c r="G705" t="s">
        <v>2264</v>
      </c>
      <c r="H705" t="s">
        <v>2269</v>
      </c>
      <c r="I705" t="s">
        <v>2287</v>
      </c>
      <c r="J705" s="38">
        <v>1</v>
      </c>
      <c r="K705" t="s">
        <v>521</v>
      </c>
      <c r="L705" s="38">
        <v>1</v>
      </c>
      <c r="M705" s="37">
        <v>1</v>
      </c>
      <c r="N705" s="37">
        <v>0.05</v>
      </c>
      <c r="O705">
        <v>100</v>
      </c>
      <c r="P705" s="37">
        <v>1</v>
      </c>
      <c r="Q705">
        <v>67</v>
      </c>
      <c r="R705">
        <v>900</v>
      </c>
      <c r="S705">
        <v>900</v>
      </c>
      <c r="T705">
        <v>1500</v>
      </c>
      <c r="U705" t="s">
        <v>1962</v>
      </c>
      <c r="V705" t="s">
        <v>1963</v>
      </c>
      <c r="X705" t="s">
        <v>1964</v>
      </c>
      <c r="Y705" t="s">
        <v>1914</v>
      </c>
      <c r="Z705" s="37">
        <v>0.01</v>
      </c>
      <c r="AA705" s="37">
        <v>0.15</v>
      </c>
      <c r="AB705">
        <v>1</v>
      </c>
    </row>
    <row r="706">
      <c r="A706" t="s">
        <v>2284</v>
      </c>
      <c r="B706" t="s">
        <v>2179</v>
      </c>
      <c r="C706" t="s">
        <v>2179</v>
      </c>
      <c r="D706" t="s">
        <v>2180</v>
      </c>
      <c r="E706" t="s">
        <v>2285</v>
      </c>
      <c r="F706" t="s">
        <v>298</v>
      </c>
      <c r="G706" t="s">
        <v>2264</v>
      </c>
      <c r="H706" t="s">
        <v>2270</v>
      </c>
      <c r="I706" t="s">
        <v>2288</v>
      </c>
      <c r="J706" s="38">
        <v>1</v>
      </c>
      <c r="K706" t="s">
        <v>2289</v>
      </c>
      <c r="L706" s="37">
        <v>0.963</v>
      </c>
      <c r="M706" s="37">
        <v>1</v>
      </c>
      <c r="N706" s="37">
        <v>0.35</v>
      </c>
      <c r="O706">
        <v>70</v>
      </c>
      <c r="P706" s="37">
        <v>1</v>
      </c>
      <c r="Q706">
        <v>67</v>
      </c>
      <c r="R706">
        <v>900</v>
      </c>
      <c r="S706">
        <v>900</v>
      </c>
      <c r="T706">
        <v>1500</v>
      </c>
      <c r="U706" t="s">
        <v>1962</v>
      </c>
      <c r="V706" t="s">
        <v>1963</v>
      </c>
      <c r="X706" t="s">
        <v>1964</v>
      </c>
      <c r="Y706" t="s">
        <v>1914</v>
      </c>
      <c r="Z706" s="37">
        <v>0.01</v>
      </c>
      <c r="AA706" s="37">
        <v>0.15</v>
      </c>
      <c r="AB706">
        <v>1</v>
      </c>
    </row>
    <row r="707">
      <c r="A707" t="s">
        <v>2284</v>
      </c>
      <c r="B707" t="s">
        <v>2179</v>
      </c>
      <c r="C707" t="s">
        <v>2179</v>
      </c>
      <c r="D707" t="s">
        <v>2180</v>
      </c>
      <c r="E707" t="s">
        <v>2285</v>
      </c>
      <c r="F707" t="s">
        <v>298</v>
      </c>
      <c r="G707" t="s">
        <v>2264</v>
      </c>
      <c r="H707" t="s">
        <v>2272</v>
      </c>
      <c r="I707" t="s">
        <v>2290</v>
      </c>
      <c r="J707" t="s">
        <v>2291</v>
      </c>
      <c r="K707" t="s">
        <v>2289</v>
      </c>
      <c r="L707" s="38">
        <v>0.6</v>
      </c>
      <c r="M707" s="37">
        <v>1</v>
      </c>
      <c r="N707" s="37">
        <v>0.5</v>
      </c>
      <c r="O707">
        <v>60</v>
      </c>
      <c r="P707" s="37">
        <v>1</v>
      </c>
      <c r="Q707">
        <v>67</v>
      </c>
      <c r="R707">
        <v>900</v>
      </c>
      <c r="S707">
        <v>900</v>
      </c>
      <c r="T707">
        <v>1500</v>
      </c>
      <c r="U707" t="s">
        <v>1962</v>
      </c>
      <c r="V707" t="s">
        <v>1963</v>
      </c>
      <c r="X707" t="s">
        <v>1964</v>
      </c>
      <c r="Y707" t="s">
        <v>1914</v>
      </c>
      <c r="Z707" s="37">
        <v>0.01</v>
      </c>
      <c r="AA707" s="37">
        <v>0.15</v>
      </c>
      <c r="AB707">
        <v>1</v>
      </c>
    </row>
    <row r="708">
      <c r="A708" t="s">
        <v>2292</v>
      </c>
      <c r="B708" t="s">
        <v>2179</v>
      </c>
      <c r="C708" t="s">
        <v>2179</v>
      </c>
      <c r="D708" t="s">
        <v>2180</v>
      </c>
      <c r="E708" t="s">
        <v>2293</v>
      </c>
      <c r="F708" t="s">
        <v>298</v>
      </c>
      <c r="G708" t="s">
        <v>2294</v>
      </c>
      <c r="H708" t="s">
        <v>2295</v>
      </c>
      <c r="I708" t="s">
        <v>2290</v>
      </c>
      <c r="J708" s="38">
        <v>0.35</v>
      </c>
      <c r="K708" t="s">
        <v>2296</v>
      </c>
      <c r="L708" s="38">
        <v>0.6</v>
      </c>
      <c r="M708" s="37">
        <v>0</v>
      </c>
      <c r="N708" s="37">
        <v>0.3</v>
      </c>
      <c r="O708">
        <v>0</v>
      </c>
      <c r="P708" s="37">
        <v>0.7</v>
      </c>
      <c r="Q708">
        <v>70</v>
      </c>
      <c r="R708">
        <v>1050</v>
      </c>
      <c r="S708">
        <v>1284</v>
      </c>
      <c r="T708">
        <v>1500</v>
      </c>
      <c r="U708" t="s">
        <v>1962</v>
      </c>
      <c r="V708" t="s">
        <v>1963</v>
      </c>
      <c r="X708" t="s">
        <v>1964</v>
      </c>
      <c r="Y708" t="s">
        <v>1914</v>
      </c>
      <c r="Z708" s="37">
        <v>0.01</v>
      </c>
      <c r="AA708" s="37">
        <v>0.15</v>
      </c>
      <c r="AB708">
        <v>1</v>
      </c>
    </row>
    <row r="709">
      <c r="A709" t="s">
        <v>2292</v>
      </c>
      <c r="B709" t="s">
        <v>2179</v>
      </c>
      <c r="C709" t="s">
        <v>2179</v>
      </c>
      <c r="D709" t="s">
        <v>2180</v>
      </c>
      <c r="E709" t="s">
        <v>2293</v>
      </c>
      <c r="F709" t="s">
        <v>298</v>
      </c>
      <c r="G709" t="s">
        <v>2294</v>
      </c>
      <c r="H709" t="s">
        <v>2183</v>
      </c>
      <c r="I709" t="s">
        <v>2183</v>
      </c>
      <c r="J709" t="s">
        <v>2297</v>
      </c>
      <c r="K709" t="s">
        <v>2298</v>
      </c>
      <c r="L709" s="38">
        <v>0.6</v>
      </c>
      <c r="M709" s="37">
        <v>1</v>
      </c>
      <c r="N709" s="37">
        <v>0.4</v>
      </c>
      <c r="O709">
        <v>40</v>
      </c>
      <c r="P709" s="37">
        <v>0.7</v>
      </c>
      <c r="Q709">
        <v>70</v>
      </c>
      <c r="R709">
        <v>1050</v>
      </c>
      <c r="S709">
        <v>1284</v>
      </c>
      <c r="T709">
        <v>1500</v>
      </c>
      <c r="U709" t="s">
        <v>1962</v>
      </c>
      <c r="V709" t="s">
        <v>1963</v>
      </c>
      <c r="X709" t="s">
        <v>1964</v>
      </c>
      <c r="Y709" t="s">
        <v>1914</v>
      </c>
      <c r="Z709" s="37">
        <v>0.01</v>
      </c>
      <c r="AA709" s="37">
        <v>0.15</v>
      </c>
      <c r="AB709">
        <v>1</v>
      </c>
    </row>
    <row r="710">
      <c r="A710" t="s">
        <v>2292</v>
      </c>
      <c r="B710" t="s">
        <v>2179</v>
      </c>
      <c r="C710" t="s">
        <v>2179</v>
      </c>
      <c r="D710" t="s">
        <v>2180</v>
      </c>
      <c r="E710" t="s">
        <v>2293</v>
      </c>
      <c r="F710" t="s">
        <v>298</v>
      </c>
      <c r="G710" t="s">
        <v>2294</v>
      </c>
      <c r="H710" t="s">
        <v>2189</v>
      </c>
      <c r="I710" t="s">
        <v>2299</v>
      </c>
      <c r="J710" s="38">
        <v>0.96</v>
      </c>
      <c r="K710" t="s">
        <v>2300</v>
      </c>
      <c r="L710" s="38">
        <v>0.6</v>
      </c>
      <c r="M710" s="37">
        <v>1</v>
      </c>
      <c r="N710" s="37">
        <v>0.3</v>
      </c>
      <c r="O710">
        <v>30</v>
      </c>
      <c r="P710" s="37">
        <v>0.7</v>
      </c>
      <c r="Q710">
        <v>70</v>
      </c>
      <c r="R710">
        <v>1050</v>
      </c>
      <c r="S710">
        <v>1284</v>
      </c>
      <c r="T710">
        <v>1500</v>
      </c>
      <c r="U710" t="s">
        <v>1962</v>
      </c>
      <c r="V710" t="s">
        <v>1963</v>
      </c>
      <c r="X710" t="s">
        <v>1964</v>
      </c>
      <c r="Y710" t="s">
        <v>1914</v>
      </c>
      <c r="Z710" s="37">
        <v>0.01</v>
      </c>
      <c r="AA710" s="37">
        <v>0.15</v>
      </c>
      <c r="AB710">
        <v>1</v>
      </c>
    </row>
    <row r="711">
      <c r="A711" t="s">
        <v>2301</v>
      </c>
      <c r="B711" t="s">
        <v>2179</v>
      </c>
      <c r="C711" t="s">
        <v>2179</v>
      </c>
      <c r="D711" t="s">
        <v>2180</v>
      </c>
      <c r="E711" t="s">
        <v>2302</v>
      </c>
      <c r="F711" t="s">
        <v>298</v>
      </c>
      <c r="G711" t="s">
        <v>2294</v>
      </c>
      <c r="H711" t="s">
        <v>2295</v>
      </c>
      <c r="I711" t="s">
        <v>2303</v>
      </c>
      <c r="J711" s="38">
        <v>0.35</v>
      </c>
      <c r="K711" t="s">
        <v>2304</v>
      </c>
      <c r="L711" s="38">
        <v>0.6</v>
      </c>
      <c r="M711" s="37">
        <v>1</v>
      </c>
      <c r="N711" s="37">
        <v>0.3</v>
      </c>
      <c r="O711">
        <v>30</v>
      </c>
      <c r="P711" s="37">
        <v>0.82</v>
      </c>
      <c r="Q711">
        <v>82</v>
      </c>
      <c r="R711">
        <v>1230</v>
      </c>
      <c r="S711">
        <v>1230</v>
      </c>
      <c r="T711">
        <v>1500</v>
      </c>
      <c r="U711" t="s">
        <v>1962</v>
      </c>
      <c r="V711" t="s">
        <v>1963</v>
      </c>
      <c r="X711" t="s">
        <v>1964</v>
      </c>
      <c r="Y711" t="s">
        <v>1914</v>
      </c>
      <c r="Z711" s="37">
        <v>0.01</v>
      </c>
      <c r="AA711" s="37">
        <v>0.15</v>
      </c>
      <c r="AB711">
        <v>1</v>
      </c>
    </row>
    <row r="712">
      <c r="A712" t="s">
        <v>2301</v>
      </c>
      <c r="B712" t="s">
        <v>2179</v>
      </c>
      <c r="C712" t="s">
        <v>2179</v>
      </c>
      <c r="D712" t="s">
        <v>2180</v>
      </c>
      <c r="E712" t="s">
        <v>2302</v>
      </c>
      <c r="F712" t="s">
        <v>298</v>
      </c>
      <c r="G712" t="s">
        <v>2294</v>
      </c>
      <c r="H712" t="s">
        <v>2183</v>
      </c>
      <c r="I712" t="s">
        <v>2305</v>
      </c>
      <c r="J712" t="s">
        <v>2306</v>
      </c>
      <c r="K712" t="s">
        <v>2307</v>
      </c>
      <c r="L712" s="38">
        <v>0.6</v>
      </c>
      <c r="M712" s="37">
        <v>0.7</v>
      </c>
      <c r="N712" s="37">
        <v>0.4</v>
      </c>
      <c r="O712">
        <v>28</v>
      </c>
      <c r="P712" s="37">
        <v>0.82</v>
      </c>
      <c r="Q712">
        <v>82</v>
      </c>
      <c r="R712">
        <v>1230</v>
      </c>
      <c r="S712">
        <v>1230</v>
      </c>
      <c r="T712">
        <v>1500</v>
      </c>
      <c r="U712" t="s">
        <v>1962</v>
      </c>
      <c r="V712" t="s">
        <v>1963</v>
      </c>
      <c r="X712" t="s">
        <v>1964</v>
      </c>
      <c r="Y712" t="s">
        <v>1914</v>
      </c>
      <c r="Z712" s="37">
        <v>0.01</v>
      </c>
      <c r="AA712" s="37">
        <v>0.15</v>
      </c>
      <c r="AB712">
        <v>1</v>
      </c>
    </row>
    <row r="713">
      <c r="A713" t="s">
        <v>2301</v>
      </c>
      <c r="B713" t="s">
        <v>2179</v>
      </c>
      <c r="C713" t="s">
        <v>2179</v>
      </c>
      <c r="D713" t="s">
        <v>2180</v>
      </c>
      <c r="E713" t="s">
        <v>2302</v>
      </c>
      <c r="F713" t="s">
        <v>298</v>
      </c>
      <c r="G713" t="s">
        <v>2294</v>
      </c>
      <c r="H713" t="s">
        <v>2189</v>
      </c>
      <c r="I713" t="s">
        <v>2299</v>
      </c>
      <c r="J713" s="38">
        <v>0.96</v>
      </c>
      <c r="K713" t="s">
        <v>2207</v>
      </c>
      <c r="L713" s="38">
        <v>0.6</v>
      </c>
      <c r="M713" s="37">
        <v>0.8</v>
      </c>
      <c r="N713" s="37">
        <v>0.3</v>
      </c>
      <c r="O713">
        <v>24</v>
      </c>
      <c r="P713" s="37">
        <v>0.82</v>
      </c>
      <c r="Q713">
        <v>82</v>
      </c>
      <c r="R713">
        <v>1230</v>
      </c>
      <c r="S713">
        <v>1230</v>
      </c>
      <c r="T713">
        <v>1500</v>
      </c>
      <c r="U713" t="s">
        <v>1962</v>
      </c>
      <c r="V713" t="s">
        <v>1963</v>
      </c>
      <c r="X713" t="s">
        <v>1964</v>
      </c>
      <c r="Y713" t="s">
        <v>1914</v>
      </c>
      <c r="Z713" s="37">
        <v>0.01</v>
      </c>
      <c r="AA713" s="37">
        <v>0.15</v>
      </c>
      <c r="AB713">
        <v>1</v>
      </c>
    </row>
    <row r="714">
      <c r="A714" t="s">
        <v>2308</v>
      </c>
      <c r="B714" t="s">
        <v>2179</v>
      </c>
      <c r="C714" t="s">
        <v>2179</v>
      </c>
      <c r="D714" t="s">
        <v>2180</v>
      </c>
      <c r="E714" t="s">
        <v>2309</v>
      </c>
      <c r="F714" t="s">
        <v>298</v>
      </c>
      <c r="G714" t="s">
        <v>2294</v>
      </c>
      <c r="H714" t="s">
        <v>2295</v>
      </c>
      <c r="I714" t="s">
        <v>2299</v>
      </c>
      <c r="J714" s="38">
        <v>0.35</v>
      </c>
      <c r="K714" s="38">
        <v>0.28</v>
      </c>
      <c r="L714" s="38">
        <v>0.6</v>
      </c>
      <c r="M714" s="37">
        <v>0.6</v>
      </c>
      <c r="N714" s="37">
        <v>0.3</v>
      </c>
      <c r="O714">
        <v>18</v>
      </c>
      <c r="P714" s="37">
        <v>0.82</v>
      </c>
      <c r="Q714">
        <v>82</v>
      </c>
      <c r="R714">
        <v>1230</v>
      </c>
      <c r="S714">
        <v>1361</v>
      </c>
      <c r="T714">
        <v>1500</v>
      </c>
      <c r="U714" t="s">
        <v>1962</v>
      </c>
      <c r="V714" t="s">
        <v>1963</v>
      </c>
      <c r="X714" t="s">
        <v>1964</v>
      </c>
      <c r="Y714" t="s">
        <v>1914</v>
      </c>
      <c r="Z714" s="37">
        <v>0.01</v>
      </c>
      <c r="AA714" s="37">
        <v>0.15</v>
      </c>
      <c r="AB714">
        <v>1</v>
      </c>
    </row>
    <row r="715">
      <c r="A715" t="s">
        <v>2308</v>
      </c>
      <c r="B715" t="s">
        <v>2179</v>
      </c>
      <c r="C715" t="s">
        <v>2179</v>
      </c>
      <c r="D715" t="s">
        <v>2180</v>
      </c>
      <c r="E715" t="s">
        <v>2309</v>
      </c>
      <c r="F715" t="s">
        <v>298</v>
      </c>
      <c r="G715" t="s">
        <v>2294</v>
      </c>
      <c r="H715" t="s">
        <v>2183</v>
      </c>
      <c r="I715" t="s">
        <v>2299</v>
      </c>
      <c r="J715" t="s">
        <v>2310</v>
      </c>
      <c r="K715" t="s">
        <v>2310</v>
      </c>
      <c r="L715" s="38">
        <v>0.6</v>
      </c>
      <c r="M715" s="37">
        <v>1</v>
      </c>
      <c r="N715" s="37">
        <v>0.4</v>
      </c>
      <c r="O715">
        <v>40</v>
      </c>
      <c r="P715" s="37">
        <v>0.82</v>
      </c>
      <c r="Q715">
        <v>82</v>
      </c>
      <c r="R715">
        <v>1230</v>
      </c>
      <c r="S715">
        <v>1361</v>
      </c>
      <c r="T715">
        <v>1500</v>
      </c>
      <c r="U715" t="s">
        <v>1962</v>
      </c>
      <c r="V715" t="s">
        <v>1963</v>
      </c>
      <c r="X715" t="s">
        <v>1964</v>
      </c>
      <c r="Y715" t="s">
        <v>1914</v>
      </c>
      <c r="Z715" s="37">
        <v>0.01</v>
      </c>
      <c r="AA715" s="37">
        <v>0.15</v>
      </c>
      <c r="AB715">
        <v>1</v>
      </c>
    </row>
    <row r="716">
      <c r="A716" t="s">
        <v>2308</v>
      </c>
      <c r="B716" t="s">
        <v>2179</v>
      </c>
      <c r="C716" t="s">
        <v>2179</v>
      </c>
      <c r="D716" t="s">
        <v>2180</v>
      </c>
      <c r="E716" t="s">
        <v>2309</v>
      </c>
      <c r="F716" t="s">
        <v>298</v>
      </c>
      <c r="G716" t="s">
        <v>2294</v>
      </c>
      <c r="H716" t="s">
        <v>2189</v>
      </c>
      <c r="I716" t="s">
        <v>2299</v>
      </c>
      <c r="J716" s="38">
        <v>0.96</v>
      </c>
      <c r="K716" s="38">
        <v>0.95</v>
      </c>
      <c r="L716" s="38">
        <v>0.6</v>
      </c>
      <c r="M716" s="37">
        <v>0.8</v>
      </c>
      <c r="N716" s="37">
        <v>0.3</v>
      </c>
      <c r="O716">
        <v>24</v>
      </c>
      <c r="P716" s="37">
        <v>0.82</v>
      </c>
      <c r="Q716">
        <v>82</v>
      </c>
      <c r="R716">
        <v>1230</v>
      </c>
      <c r="S716">
        <v>1361</v>
      </c>
      <c r="T716">
        <v>1500</v>
      </c>
      <c r="U716" t="s">
        <v>1962</v>
      </c>
      <c r="V716" t="s">
        <v>1963</v>
      </c>
      <c r="X716" t="s">
        <v>1964</v>
      </c>
      <c r="Y716" t="s">
        <v>1914</v>
      </c>
      <c r="Z716" s="37">
        <v>0.01</v>
      </c>
      <c r="AA716" s="37">
        <v>0.15</v>
      </c>
      <c r="AB716">
        <v>1</v>
      </c>
    </row>
    <row r="717">
      <c r="A717" t="s">
        <v>2311</v>
      </c>
      <c r="B717" t="s">
        <v>2179</v>
      </c>
      <c r="C717" t="s">
        <v>2179</v>
      </c>
      <c r="D717" t="s">
        <v>2180</v>
      </c>
      <c r="E717" t="s">
        <v>2312</v>
      </c>
      <c r="F717" t="s">
        <v>298</v>
      </c>
      <c r="G717" t="s">
        <v>2294</v>
      </c>
      <c r="H717" t="s">
        <v>2295</v>
      </c>
      <c r="I717" t="s">
        <v>2299</v>
      </c>
      <c r="J717" s="38">
        <v>0.35</v>
      </c>
      <c r="K717" s="38">
        <v>0.33</v>
      </c>
      <c r="L717" s="38">
        <v>0.6</v>
      </c>
      <c r="M717" s="37">
        <v>1</v>
      </c>
      <c r="N717" s="37">
        <v>0.35</v>
      </c>
      <c r="O717">
        <v>35</v>
      </c>
      <c r="P717" s="37">
        <v>1</v>
      </c>
      <c r="Q717">
        <v>100</v>
      </c>
      <c r="R717">
        <v>1200</v>
      </c>
      <c r="S717">
        <v>1500</v>
      </c>
      <c r="T717">
        <v>1200</v>
      </c>
      <c r="U717" t="s">
        <v>1962</v>
      </c>
      <c r="V717" t="s">
        <v>1963</v>
      </c>
      <c r="X717" t="s">
        <v>1964</v>
      </c>
      <c r="Y717" t="s">
        <v>1914</v>
      </c>
      <c r="Z717" s="37">
        <v>0.01</v>
      </c>
      <c r="AA717" s="37">
        <v>0.15</v>
      </c>
      <c r="AB717">
        <v>1</v>
      </c>
    </row>
    <row r="718">
      <c r="A718" t="s">
        <v>2311</v>
      </c>
      <c r="B718" t="s">
        <v>2179</v>
      </c>
      <c r="C718" t="s">
        <v>2179</v>
      </c>
      <c r="D718" t="s">
        <v>2180</v>
      </c>
      <c r="E718" t="s">
        <v>2312</v>
      </c>
      <c r="F718" t="s">
        <v>298</v>
      </c>
      <c r="G718" t="s">
        <v>2294</v>
      </c>
      <c r="H718" t="s">
        <v>2183</v>
      </c>
      <c r="I718" t="s">
        <v>2299</v>
      </c>
      <c r="J718" t="s">
        <v>2310</v>
      </c>
      <c r="K718" t="s">
        <v>2310</v>
      </c>
      <c r="L718" s="38">
        <v>0.6</v>
      </c>
      <c r="M718" s="37">
        <v>1</v>
      </c>
      <c r="N718" s="37">
        <v>0.45</v>
      </c>
      <c r="O718">
        <v>45</v>
      </c>
      <c r="P718" s="37">
        <v>1</v>
      </c>
      <c r="Q718">
        <v>100</v>
      </c>
      <c r="R718">
        <v>1200</v>
      </c>
      <c r="S718">
        <v>1500</v>
      </c>
      <c r="T718">
        <v>1200</v>
      </c>
      <c r="U718" t="s">
        <v>1962</v>
      </c>
      <c r="V718" t="s">
        <v>1963</v>
      </c>
      <c r="X718" t="s">
        <v>1964</v>
      </c>
      <c r="Y718" t="s">
        <v>1914</v>
      </c>
      <c r="Z718" s="37">
        <v>0.01</v>
      </c>
      <c r="AA718" s="37">
        <v>0.15</v>
      </c>
      <c r="AB718">
        <v>1</v>
      </c>
    </row>
    <row r="719">
      <c r="A719" t="s">
        <v>2311</v>
      </c>
      <c r="B719" t="s">
        <v>2179</v>
      </c>
      <c r="C719" t="s">
        <v>2179</v>
      </c>
      <c r="D719" t="s">
        <v>2180</v>
      </c>
      <c r="E719" t="s">
        <v>2312</v>
      </c>
      <c r="F719" t="s">
        <v>298</v>
      </c>
      <c r="G719" t="s">
        <v>2294</v>
      </c>
      <c r="H719" t="s">
        <v>2186</v>
      </c>
      <c r="I719" t="s">
        <v>2299</v>
      </c>
      <c r="J719" s="38">
        <v>1</v>
      </c>
      <c r="K719" s="38">
        <v>1</v>
      </c>
      <c r="L719" s="38">
        <v>0.6</v>
      </c>
      <c r="M719" s="37">
        <v>1</v>
      </c>
      <c r="N719" s="37">
        <v>0.2</v>
      </c>
      <c r="O719">
        <v>20</v>
      </c>
      <c r="P719" s="37">
        <v>1</v>
      </c>
      <c r="Q719">
        <v>100</v>
      </c>
      <c r="R719">
        <v>1200</v>
      </c>
      <c r="S719">
        <v>1500</v>
      </c>
      <c r="T719">
        <v>1200</v>
      </c>
      <c r="U719" t="s">
        <v>1962</v>
      </c>
      <c r="V719" t="s">
        <v>1963</v>
      </c>
      <c r="X719" t="s">
        <v>1964</v>
      </c>
      <c r="Y719" t="s">
        <v>1914</v>
      </c>
      <c r="Z719" s="37">
        <v>0.01</v>
      </c>
      <c r="AA719" s="37">
        <v>0.15</v>
      </c>
      <c r="AB719">
        <v>1</v>
      </c>
    </row>
    <row r="720">
      <c r="A720" t="s">
        <v>2313</v>
      </c>
      <c r="B720" t="s">
        <v>2179</v>
      </c>
      <c r="C720" t="s">
        <v>2179</v>
      </c>
      <c r="D720" t="s">
        <v>2180</v>
      </c>
      <c r="E720" t="s">
        <v>2314</v>
      </c>
      <c r="F720" t="s">
        <v>298</v>
      </c>
      <c r="G720" t="s">
        <v>2294</v>
      </c>
      <c r="H720" t="s">
        <v>2295</v>
      </c>
      <c r="I720" t="s">
        <v>2303</v>
      </c>
      <c r="J720" s="38">
        <v>0.35</v>
      </c>
      <c r="K720" t="s">
        <v>2315</v>
      </c>
      <c r="M720" s="37">
        <v>1</v>
      </c>
      <c r="N720" s="37">
        <v>0.3</v>
      </c>
      <c r="O720">
        <v>30</v>
      </c>
      <c r="P720" s="37">
        <v>0.94</v>
      </c>
      <c r="Q720">
        <v>94</v>
      </c>
      <c r="R720">
        <v>1128</v>
      </c>
      <c r="S720">
        <v>1551</v>
      </c>
      <c r="T720">
        <v>1200</v>
      </c>
      <c r="U720" t="s">
        <v>1962</v>
      </c>
      <c r="V720" t="s">
        <v>1963</v>
      </c>
      <c r="X720" t="s">
        <v>1964</v>
      </c>
      <c r="Y720" t="s">
        <v>1914</v>
      </c>
      <c r="Z720" s="37">
        <v>0.01</v>
      </c>
      <c r="AA720" s="37">
        <v>0.15</v>
      </c>
      <c r="AB720">
        <v>1</v>
      </c>
    </row>
    <row r="721">
      <c r="A721" t="s">
        <v>2313</v>
      </c>
      <c r="B721" t="s">
        <v>2179</v>
      </c>
      <c r="C721" t="s">
        <v>2179</v>
      </c>
      <c r="D721" t="s">
        <v>2180</v>
      </c>
      <c r="E721" t="s">
        <v>2314</v>
      </c>
      <c r="F721" t="s">
        <v>298</v>
      </c>
      <c r="G721" t="s">
        <v>2294</v>
      </c>
      <c r="H721" t="s">
        <v>2183</v>
      </c>
      <c r="I721" t="s">
        <v>2305</v>
      </c>
      <c r="J721" t="s">
        <v>2306</v>
      </c>
      <c r="K721" t="s">
        <v>2316</v>
      </c>
      <c r="M721" s="37">
        <v>1</v>
      </c>
      <c r="N721" s="37">
        <v>0.4</v>
      </c>
      <c r="O721">
        <v>40</v>
      </c>
      <c r="P721" s="37">
        <v>0.94</v>
      </c>
      <c r="Q721">
        <v>94</v>
      </c>
      <c r="R721">
        <v>1128</v>
      </c>
      <c r="S721">
        <v>1551</v>
      </c>
      <c r="T721">
        <v>1200</v>
      </c>
      <c r="U721" t="s">
        <v>1962</v>
      </c>
      <c r="V721" t="s">
        <v>1963</v>
      </c>
      <c r="X721" t="s">
        <v>1964</v>
      </c>
      <c r="Y721" t="s">
        <v>1914</v>
      </c>
      <c r="Z721" s="37">
        <v>0.01</v>
      </c>
      <c r="AA721" s="37">
        <v>0.15</v>
      </c>
      <c r="AB721">
        <v>1</v>
      </c>
    </row>
    <row r="722">
      <c r="A722" t="s">
        <v>2313</v>
      </c>
      <c r="B722" t="s">
        <v>2179</v>
      </c>
      <c r="C722" t="s">
        <v>2179</v>
      </c>
      <c r="D722" t="s">
        <v>2180</v>
      </c>
      <c r="E722" t="s">
        <v>2314</v>
      </c>
      <c r="F722" t="s">
        <v>298</v>
      </c>
      <c r="G722" t="s">
        <v>2294</v>
      </c>
      <c r="H722" t="s">
        <v>2189</v>
      </c>
      <c r="I722" t="s">
        <v>2299</v>
      </c>
      <c r="J722" s="38">
        <v>0.96</v>
      </c>
      <c r="K722" t="s">
        <v>2317</v>
      </c>
      <c r="M722" s="37">
        <v>0.8</v>
      </c>
      <c r="N722" s="37">
        <v>0.3</v>
      </c>
      <c r="O722">
        <v>24</v>
      </c>
      <c r="P722" s="37">
        <v>0.94</v>
      </c>
      <c r="Q722">
        <v>94</v>
      </c>
      <c r="R722">
        <v>1128</v>
      </c>
      <c r="S722">
        <v>1551</v>
      </c>
      <c r="T722">
        <v>1200</v>
      </c>
      <c r="U722" t="s">
        <v>1962</v>
      </c>
      <c r="V722" t="s">
        <v>1963</v>
      </c>
      <c r="X722" t="s">
        <v>1964</v>
      </c>
      <c r="Y722" t="s">
        <v>1914</v>
      </c>
      <c r="Z722" s="37">
        <v>0.01</v>
      </c>
      <c r="AA722" s="37">
        <v>0.15</v>
      </c>
      <c r="AB722">
        <v>1</v>
      </c>
    </row>
    <row r="723">
      <c r="A723" t="s">
        <v>2318</v>
      </c>
      <c r="B723" t="s">
        <v>2179</v>
      </c>
      <c r="C723" t="s">
        <v>2179</v>
      </c>
      <c r="D723" t="s">
        <v>2180</v>
      </c>
      <c r="E723" t="s">
        <v>2319</v>
      </c>
      <c r="F723" t="s">
        <v>298</v>
      </c>
      <c r="G723" t="s">
        <v>2294</v>
      </c>
      <c r="H723" t="s">
        <v>2295</v>
      </c>
      <c r="I723" t="s">
        <v>2299</v>
      </c>
      <c r="J723" s="38">
        <v>0.35</v>
      </c>
      <c r="K723" s="38">
        <v>0.21</v>
      </c>
      <c r="M723" s="37">
        <v>0.4</v>
      </c>
      <c r="N723" s="37">
        <v>0.3</v>
      </c>
      <c r="O723">
        <v>12</v>
      </c>
      <c r="P723" s="37">
        <v>0.58</v>
      </c>
      <c r="Q723">
        <v>58</v>
      </c>
      <c r="R723">
        <v>696</v>
      </c>
      <c r="S723">
        <v>680</v>
      </c>
      <c r="T723">
        <v>1200</v>
      </c>
      <c r="U723" t="s">
        <v>1962</v>
      </c>
      <c r="V723" t="s">
        <v>1963</v>
      </c>
      <c r="X723" t="s">
        <v>1964</v>
      </c>
      <c r="Y723" t="s">
        <v>1914</v>
      </c>
      <c r="Z723" s="37">
        <v>0.01</v>
      </c>
      <c r="AA723" s="37">
        <v>0.15</v>
      </c>
      <c r="AB723">
        <v>1</v>
      </c>
    </row>
    <row r="724">
      <c r="A724" t="s">
        <v>2318</v>
      </c>
      <c r="B724" t="s">
        <v>2179</v>
      </c>
      <c r="C724" t="s">
        <v>2179</v>
      </c>
      <c r="D724" t="s">
        <v>2180</v>
      </c>
      <c r="E724" t="s">
        <v>2319</v>
      </c>
      <c r="F724" t="s">
        <v>298</v>
      </c>
      <c r="G724" t="s">
        <v>2294</v>
      </c>
      <c r="H724" t="s">
        <v>2183</v>
      </c>
      <c r="I724" t="s">
        <v>2299</v>
      </c>
      <c r="J724" t="s">
        <v>2310</v>
      </c>
      <c r="K724" t="s">
        <v>2199</v>
      </c>
      <c r="M724" s="37">
        <v>0.7</v>
      </c>
      <c r="N724" s="37">
        <v>0.4</v>
      </c>
      <c r="O724">
        <v>28</v>
      </c>
      <c r="P724" s="37">
        <v>0.58</v>
      </c>
      <c r="Q724">
        <v>58</v>
      </c>
      <c r="R724">
        <v>696</v>
      </c>
      <c r="S724">
        <v>680</v>
      </c>
      <c r="T724">
        <v>1200</v>
      </c>
      <c r="U724" t="s">
        <v>1962</v>
      </c>
      <c r="V724" t="s">
        <v>1963</v>
      </c>
      <c r="X724" t="s">
        <v>1964</v>
      </c>
      <c r="Y724" t="s">
        <v>1914</v>
      </c>
      <c r="Z724" s="37">
        <v>0.01</v>
      </c>
      <c r="AA724" s="37">
        <v>0.15</v>
      </c>
      <c r="AB724">
        <v>1</v>
      </c>
    </row>
    <row r="725">
      <c r="A725" t="s">
        <v>2318</v>
      </c>
      <c r="B725" t="s">
        <v>2179</v>
      </c>
      <c r="C725" t="s">
        <v>2179</v>
      </c>
      <c r="D725" t="s">
        <v>2180</v>
      </c>
      <c r="E725" t="s">
        <v>2319</v>
      </c>
      <c r="F725" t="s">
        <v>298</v>
      </c>
      <c r="G725" t="s">
        <v>2294</v>
      </c>
      <c r="H725" t="s">
        <v>2189</v>
      </c>
      <c r="I725" t="s">
        <v>2299</v>
      </c>
      <c r="J725" s="38">
        <v>0.96</v>
      </c>
      <c r="K725" s="38">
        <v>0.91</v>
      </c>
      <c r="M725" s="37">
        <v>0.6</v>
      </c>
      <c r="N725" s="37">
        <v>0.3</v>
      </c>
      <c r="O725">
        <v>18</v>
      </c>
      <c r="P725" s="37">
        <v>0.58</v>
      </c>
      <c r="Q725">
        <v>58</v>
      </c>
      <c r="R725">
        <v>696</v>
      </c>
      <c r="S725">
        <v>680</v>
      </c>
      <c r="T725">
        <v>1200</v>
      </c>
      <c r="U725" t="s">
        <v>1962</v>
      </c>
      <c r="V725" t="s">
        <v>1963</v>
      </c>
      <c r="X725" t="s">
        <v>1964</v>
      </c>
      <c r="Y725" t="s">
        <v>1914</v>
      </c>
      <c r="Z725" s="37">
        <v>0.01</v>
      </c>
      <c r="AA725" s="37">
        <v>0.15</v>
      </c>
      <c r="AB725">
        <v>1</v>
      </c>
    </row>
    <row r="726">
      <c r="A726" t="s">
        <v>2320</v>
      </c>
      <c r="B726" t="s">
        <v>2179</v>
      </c>
      <c r="C726" t="s">
        <v>2179</v>
      </c>
      <c r="D726" t="s">
        <v>2180</v>
      </c>
      <c r="E726" t="s">
        <v>2321</v>
      </c>
      <c r="F726" t="s">
        <v>298</v>
      </c>
      <c r="G726" t="s">
        <v>2294</v>
      </c>
      <c r="H726" t="s">
        <v>2295</v>
      </c>
      <c r="I726" t="s">
        <v>2299</v>
      </c>
      <c r="J726" s="38">
        <v>0.35</v>
      </c>
      <c r="K726" s="38">
        <v>0.17</v>
      </c>
      <c r="M726" s="37">
        <v>0</v>
      </c>
      <c r="N726" s="37">
        <v>0.3</v>
      </c>
      <c r="O726">
        <v>0</v>
      </c>
      <c r="P726" s="37">
        <v>0.46</v>
      </c>
      <c r="Q726">
        <v>46</v>
      </c>
      <c r="R726">
        <v>690</v>
      </c>
      <c r="S726">
        <v>690</v>
      </c>
      <c r="T726">
        <v>1200</v>
      </c>
      <c r="U726" t="s">
        <v>1962</v>
      </c>
      <c r="V726" t="s">
        <v>1963</v>
      </c>
      <c r="X726" t="s">
        <v>1964</v>
      </c>
      <c r="Y726" t="s">
        <v>1914</v>
      </c>
      <c r="Z726" s="37">
        <v>0.01</v>
      </c>
      <c r="AA726" s="37">
        <v>0.15</v>
      </c>
      <c r="AB726">
        <v>1</v>
      </c>
    </row>
    <row r="727">
      <c r="A727" t="s">
        <v>2320</v>
      </c>
      <c r="B727" t="s">
        <v>2179</v>
      </c>
      <c r="C727" t="s">
        <v>2179</v>
      </c>
      <c r="D727" t="s">
        <v>2180</v>
      </c>
      <c r="E727" t="s">
        <v>2321</v>
      </c>
      <c r="F727" t="s">
        <v>298</v>
      </c>
      <c r="G727" t="s">
        <v>2294</v>
      </c>
      <c r="H727" t="s">
        <v>2183</v>
      </c>
      <c r="I727" t="s">
        <v>2299</v>
      </c>
      <c r="J727" t="s">
        <v>2310</v>
      </c>
      <c r="K727" t="s">
        <v>2322</v>
      </c>
      <c r="M727" s="37">
        <v>0.7</v>
      </c>
      <c r="N727" s="37">
        <v>0.4</v>
      </c>
      <c r="O727">
        <v>28</v>
      </c>
      <c r="P727" s="37">
        <v>0.46</v>
      </c>
      <c r="Q727">
        <v>46</v>
      </c>
      <c r="R727">
        <v>690</v>
      </c>
      <c r="S727">
        <v>690</v>
      </c>
      <c r="T727">
        <v>1200</v>
      </c>
      <c r="U727" t="s">
        <v>1962</v>
      </c>
      <c r="V727" t="s">
        <v>1963</v>
      </c>
      <c r="X727" t="s">
        <v>1964</v>
      </c>
      <c r="Y727" t="s">
        <v>1914</v>
      </c>
      <c r="Z727" s="37">
        <v>0.01</v>
      </c>
      <c r="AA727" s="37">
        <v>0.15</v>
      </c>
      <c r="AB727">
        <v>1</v>
      </c>
    </row>
    <row r="728">
      <c r="A728" t="s">
        <v>2320</v>
      </c>
      <c r="B728" t="s">
        <v>2179</v>
      </c>
      <c r="C728" t="s">
        <v>2179</v>
      </c>
      <c r="D728" t="s">
        <v>2180</v>
      </c>
      <c r="E728" t="s">
        <v>2321</v>
      </c>
      <c r="F728" t="s">
        <v>298</v>
      </c>
      <c r="G728" t="s">
        <v>2294</v>
      </c>
      <c r="H728" t="s">
        <v>2189</v>
      </c>
      <c r="I728" t="s">
        <v>2299</v>
      </c>
      <c r="J728" s="38">
        <v>0.96</v>
      </c>
      <c r="K728" s="38">
        <v>0.93</v>
      </c>
      <c r="M728" s="37">
        <v>0.6</v>
      </c>
      <c r="N728" s="37">
        <v>0.3</v>
      </c>
      <c r="O728">
        <v>18</v>
      </c>
      <c r="P728" s="37">
        <v>0.46</v>
      </c>
      <c r="Q728">
        <v>46</v>
      </c>
      <c r="R728">
        <v>690</v>
      </c>
      <c r="S728">
        <v>690</v>
      </c>
      <c r="T728">
        <v>1200</v>
      </c>
      <c r="U728" t="s">
        <v>1962</v>
      </c>
      <c r="V728" t="s">
        <v>1963</v>
      </c>
      <c r="X728" t="s">
        <v>1964</v>
      </c>
      <c r="Y728" t="s">
        <v>1914</v>
      </c>
      <c r="Z728" s="37">
        <v>0.01</v>
      </c>
      <c r="AA728" s="37">
        <v>0.15</v>
      </c>
      <c r="AB728">
        <v>1</v>
      </c>
    </row>
    <row r="729">
      <c r="A729" t="s">
        <v>2323</v>
      </c>
      <c r="B729" t="s">
        <v>2179</v>
      </c>
      <c r="C729" t="s">
        <v>2179</v>
      </c>
      <c r="D729" t="s">
        <v>2180</v>
      </c>
      <c r="E729" t="s">
        <v>2324</v>
      </c>
      <c r="F729" t="s">
        <v>298</v>
      </c>
      <c r="G729" t="s">
        <v>2294</v>
      </c>
      <c r="H729" t="s">
        <v>2295</v>
      </c>
      <c r="I729" t="s">
        <v>2295</v>
      </c>
      <c r="J729" s="38">
        <v>0.25</v>
      </c>
      <c r="K729" s="38">
        <v>0.38</v>
      </c>
      <c r="L729" s="38">
        <v>1</v>
      </c>
      <c r="M729" s="37">
        <v>0.35</v>
      </c>
      <c r="N729" s="37">
        <v>0.35</v>
      </c>
      <c r="O729">
        <v>35</v>
      </c>
      <c r="P729" s="37">
        <v>0.365</v>
      </c>
      <c r="Q729">
        <v>100</v>
      </c>
      <c r="R729">
        <v>1200</v>
      </c>
      <c r="S729">
        <v>1380</v>
      </c>
      <c r="T729">
        <v>1200</v>
      </c>
      <c r="U729" t="s">
        <v>1962</v>
      </c>
      <c r="V729" t="s">
        <v>1963</v>
      </c>
      <c r="X729" t="s">
        <v>1964</v>
      </c>
      <c r="Y729" t="s">
        <v>1914</v>
      </c>
      <c r="Z729" s="37">
        <v>0.01</v>
      </c>
      <c r="AA729" s="37">
        <v>0.15</v>
      </c>
      <c r="AB729">
        <v>1</v>
      </c>
    </row>
    <row r="730">
      <c r="A730" t="s">
        <v>2323</v>
      </c>
      <c r="B730" t="s">
        <v>2179</v>
      </c>
      <c r="C730" t="s">
        <v>2179</v>
      </c>
      <c r="D730" t="s">
        <v>2180</v>
      </c>
      <c r="E730" t="s">
        <v>2324</v>
      </c>
      <c r="F730" t="s">
        <v>298</v>
      </c>
      <c r="G730" t="s">
        <v>2294</v>
      </c>
      <c r="H730" t="s">
        <v>2183</v>
      </c>
      <c r="I730" t="s">
        <v>2183</v>
      </c>
      <c r="J730" t="s">
        <v>2310</v>
      </c>
      <c r="K730" t="s">
        <v>2310</v>
      </c>
      <c r="L730" s="38">
        <v>1</v>
      </c>
      <c r="M730" s="37">
        <v>0.45</v>
      </c>
      <c r="N730" s="37">
        <v>0.45</v>
      </c>
      <c r="O730">
        <v>45</v>
      </c>
      <c r="P730" s="37">
        <v>0.365</v>
      </c>
      <c r="Q730">
        <v>100</v>
      </c>
      <c r="R730">
        <v>1200</v>
      </c>
      <c r="S730">
        <v>1380</v>
      </c>
      <c r="T730">
        <v>1200</v>
      </c>
      <c r="U730" t="s">
        <v>1962</v>
      </c>
      <c r="V730" t="s">
        <v>1963</v>
      </c>
      <c r="X730" t="s">
        <v>1964</v>
      </c>
      <c r="Y730" t="s">
        <v>1914</v>
      </c>
      <c r="Z730" s="37">
        <v>0.01</v>
      </c>
      <c r="AA730" s="37">
        <v>0.15</v>
      </c>
      <c r="AB730">
        <v>1</v>
      </c>
    </row>
    <row r="731">
      <c r="A731" t="s">
        <v>2323</v>
      </c>
      <c r="B731" t="s">
        <v>2179</v>
      </c>
      <c r="C731" t="s">
        <v>2179</v>
      </c>
      <c r="D731" t="s">
        <v>2180</v>
      </c>
      <c r="E731" t="s">
        <v>2324</v>
      </c>
      <c r="F731" t="s">
        <v>298</v>
      </c>
      <c r="G731" t="s">
        <v>2294</v>
      </c>
      <c r="H731" t="s">
        <v>2186</v>
      </c>
      <c r="I731" t="s">
        <v>2186</v>
      </c>
      <c r="J731" s="38">
        <v>0.99</v>
      </c>
      <c r="K731" t="s">
        <v>2063</v>
      </c>
      <c r="L731" s="38">
        <v>1</v>
      </c>
      <c r="M731" s="37">
        <v>0.2</v>
      </c>
      <c r="N731" s="37">
        <v>0.2</v>
      </c>
      <c r="O731">
        <v>20</v>
      </c>
      <c r="P731" s="37">
        <v>0.365</v>
      </c>
      <c r="Q731">
        <v>100</v>
      </c>
      <c r="R731">
        <v>1200</v>
      </c>
      <c r="S731">
        <v>1380</v>
      </c>
      <c r="T731">
        <v>1200</v>
      </c>
      <c r="U731" t="s">
        <v>1962</v>
      </c>
      <c r="V731" t="s">
        <v>1963</v>
      </c>
      <c r="X731" t="s">
        <v>1964</v>
      </c>
      <c r="Y731" t="s">
        <v>1914</v>
      </c>
      <c r="Z731" s="37">
        <v>0.01</v>
      </c>
      <c r="AA731" s="37">
        <v>0.15</v>
      </c>
      <c r="AB731">
        <v>1</v>
      </c>
    </row>
    <row r="732">
      <c r="A732" t="s">
        <v>2325</v>
      </c>
      <c r="B732" t="s">
        <v>2179</v>
      </c>
      <c r="C732" t="s">
        <v>2179</v>
      </c>
      <c r="D732" t="s">
        <v>2180</v>
      </c>
      <c r="E732" t="s">
        <v>2326</v>
      </c>
      <c r="F732" t="s">
        <v>298</v>
      </c>
      <c r="G732" t="s">
        <v>2294</v>
      </c>
      <c r="H732" t="s">
        <v>2295</v>
      </c>
      <c r="I732" t="s">
        <v>2295</v>
      </c>
      <c r="J732" s="38">
        <v>0.35</v>
      </c>
      <c r="K732" s="38">
        <v>0.32</v>
      </c>
      <c r="L732" s="38">
        <v>1</v>
      </c>
      <c r="M732" s="37">
        <v>0.8</v>
      </c>
      <c r="N732" s="37">
        <v>0.3</v>
      </c>
      <c r="O732">
        <v>24</v>
      </c>
      <c r="P732" s="37">
        <v>0.94</v>
      </c>
      <c r="Q732">
        <v>94</v>
      </c>
      <c r="R732">
        <v>1128</v>
      </c>
      <c r="S732">
        <v>1646</v>
      </c>
      <c r="T732">
        <v>1200</v>
      </c>
      <c r="U732" t="s">
        <v>1962</v>
      </c>
      <c r="V732" t="s">
        <v>1963</v>
      </c>
      <c r="X732" t="s">
        <v>1964</v>
      </c>
      <c r="Y732" t="s">
        <v>1914</v>
      </c>
      <c r="Z732" s="37">
        <v>0.01</v>
      </c>
      <c r="AA732" s="37">
        <v>0.15</v>
      </c>
      <c r="AB732">
        <v>1</v>
      </c>
    </row>
    <row r="733">
      <c r="A733" t="s">
        <v>2325</v>
      </c>
      <c r="B733" t="s">
        <v>2179</v>
      </c>
      <c r="C733" t="s">
        <v>2179</v>
      </c>
      <c r="D733" t="s">
        <v>2180</v>
      </c>
      <c r="E733" t="s">
        <v>2326</v>
      </c>
      <c r="F733" t="s">
        <v>298</v>
      </c>
      <c r="G733" t="s">
        <v>2294</v>
      </c>
      <c r="H733" t="s">
        <v>2183</v>
      </c>
      <c r="I733" t="s">
        <v>2183</v>
      </c>
      <c r="J733" t="s">
        <v>2306</v>
      </c>
      <c r="K733" t="s">
        <v>2327</v>
      </c>
      <c r="L733" s="38">
        <v>1</v>
      </c>
      <c r="M733" s="37">
        <v>1</v>
      </c>
      <c r="N733" s="37">
        <v>0.4</v>
      </c>
      <c r="O733">
        <v>40</v>
      </c>
      <c r="P733" s="37">
        <v>0.94</v>
      </c>
      <c r="Q733">
        <v>94</v>
      </c>
      <c r="R733">
        <v>1128</v>
      </c>
      <c r="S733">
        <v>1646</v>
      </c>
      <c r="T733">
        <v>1200</v>
      </c>
      <c r="U733" t="s">
        <v>1962</v>
      </c>
      <c r="V733" t="s">
        <v>1963</v>
      </c>
      <c r="X733" t="s">
        <v>1964</v>
      </c>
      <c r="Y733" t="s">
        <v>1914</v>
      </c>
      <c r="Z733" s="37">
        <v>0.01</v>
      </c>
      <c r="AA733" s="37">
        <v>0.15</v>
      </c>
      <c r="AB733">
        <v>1</v>
      </c>
    </row>
    <row r="734">
      <c r="A734" t="s">
        <v>2325</v>
      </c>
      <c r="B734" t="s">
        <v>2179</v>
      </c>
      <c r="C734" t="s">
        <v>2179</v>
      </c>
      <c r="D734" t="s">
        <v>2180</v>
      </c>
      <c r="E734" t="s">
        <v>2326</v>
      </c>
      <c r="F734" t="s">
        <v>298</v>
      </c>
      <c r="G734" t="s">
        <v>2294</v>
      </c>
      <c r="H734" t="s">
        <v>2189</v>
      </c>
      <c r="I734" t="s">
        <v>2189</v>
      </c>
      <c r="J734" s="38">
        <v>0.96</v>
      </c>
      <c r="K734" s="38">
        <v>0.96</v>
      </c>
      <c r="L734" s="38">
        <v>1</v>
      </c>
      <c r="M734" s="37">
        <v>1</v>
      </c>
      <c r="N734" s="37">
        <v>0.3</v>
      </c>
      <c r="O734">
        <v>30</v>
      </c>
      <c r="P734" s="37">
        <v>0.94</v>
      </c>
      <c r="Q734">
        <v>94</v>
      </c>
      <c r="R734">
        <v>1128</v>
      </c>
      <c r="S734">
        <v>1646</v>
      </c>
      <c r="T734">
        <v>1200</v>
      </c>
      <c r="U734" t="s">
        <v>1962</v>
      </c>
      <c r="V734" t="s">
        <v>1963</v>
      </c>
      <c r="X734" t="s">
        <v>1964</v>
      </c>
      <c r="Y734" t="s">
        <v>1914</v>
      </c>
      <c r="Z734" s="37">
        <v>0.01</v>
      </c>
      <c r="AA734" s="37">
        <v>0.15</v>
      </c>
      <c r="AB734">
        <v>1</v>
      </c>
    </row>
    <row r="735">
      <c r="A735" t="s">
        <v>2328</v>
      </c>
      <c r="B735" t="s">
        <v>2179</v>
      </c>
      <c r="C735" t="s">
        <v>2179</v>
      </c>
      <c r="D735" t="s">
        <v>2180</v>
      </c>
      <c r="E735" t="s">
        <v>2329</v>
      </c>
      <c r="F735" t="s">
        <v>298</v>
      </c>
      <c r="G735" t="s">
        <v>2294</v>
      </c>
      <c r="H735" t="s">
        <v>2295</v>
      </c>
      <c r="I735" t="s">
        <v>2303</v>
      </c>
      <c r="J735" s="38">
        <v>0.35</v>
      </c>
      <c r="K735" s="38">
        <v>0.16</v>
      </c>
      <c r="L735" s="38">
        <v>1</v>
      </c>
      <c r="M735" s="37">
        <v>0</v>
      </c>
      <c r="N735" s="37">
        <v>0.35</v>
      </c>
      <c r="O735">
        <v>0</v>
      </c>
      <c r="P735" s="37">
        <v>0.425</v>
      </c>
      <c r="Q735">
        <v>94</v>
      </c>
      <c r="R735">
        <v>1128</v>
      </c>
      <c r="S735">
        <v>1479</v>
      </c>
      <c r="T735">
        <v>1200</v>
      </c>
      <c r="U735" t="s">
        <v>1962</v>
      </c>
      <c r="V735" t="s">
        <v>1963</v>
      </c>
      <c r="X735" t="s">
        <v>1964</v>
      </c>
      <c r="Y735" t="s">
        <v>1914</v>
      </c>
      <c r="Z735" s="37">
        <v>0.01</v>
      </c>
      <c r="AA735" s="37">
        <v>0.15</v>
      </c>
      <c r="AB735">
        <v>1</v>
      </c>
    </row>
    <row r="736">
      <c r="A736" t="s">
        <v>2328</v>
      </c>
      <c r="B736" t="s">
        <v>2179</v>
      </c>
      <c r="C736" t="s">
        <v>2179</v>
      </c>
      <c r="D736" t="s">
        <v>2180</v>
      </c>
      <c r="E736" t="s">
        <v>2329</v>
      </c>
      <c r="F736" t="s">
        <v>298</v>
      </c>
      <c r="G736" t="s">
        <v>2294</v>
      </c>
      <c r="H736" t="s">
        <v>2183</v>
      </c>
      <c r="I736" t="s">
        <v>2330</v>
      </c>
      <c r="J736" t="s">
        <v>2306</v>
      </c>
      <c r="K736" t="s">
        <v>2331</v>
      </c>
      <c r="L736" s="38">
        <v>1</v>
      </c>
      <c r="M736" s="37">
        <v>0.5</v>
      </c>
      <c r="N736" s="37">
        <v>0.45</v>
      </c>
      <c r="O736">
        <v>22.5</v>
      </c>
      <c r="P736" s="37">
        <v>0.425</v>
      </c>
      <c r="Q736">
        <v>94</v>
      </c>
      <c r="R736">
        <v>1128</v>
      </c>
      <c r="S736">
        <v>1479</v>
      </c>
      <c r="T736">
        <v>1200</v>
      </c>
      <c r="U736" t="s">
        <v>1962</v>
      </c>
      <c r="V736" t="s">
        <v>1963</v>
      </c>
      <c r="X736" t="s">
        <v>1964</v>
      </c>
      <c r="Y736" t="s">
        <v>1914</v>
      </c>
      <c r="Z736" s="37">
        <v>0.01</v>
      </c>
      <c r="AA736" s="37">
        <v>0.15</v>
      </c>
      <c r="AB736">
        <v>1</v>
      </c>
    </row>
    <row r="737">
      <c r="A737" t="s">
        <v>2328</v>
      </c>
      <c r="B737" t="s">
        <v>2179</v>
      </c>
      <c r="C737" t="s">
        <v>2179</v>
      </c>
      <c r="D737" t="s">
        <v>2180</v>
      </c>
      <c r="E737" t="s">
        <v>2329</v>
      </c>
      <c r="F737" t="s">
        <v>298</v>
      </c>
      <c r="G737" t="s">
        <v>2294</v>
      </c>
      <c r="H737" t="s">
        <v>2186</v>
      </c>
      <c r="I737" t="s">
        <v>2332</v>
      </c>
      <c r="J737" s="38">
        <v>1</v>
      </c>
      <c r="K737" s="38">
        <v>1</v>
      </c>
      <c r="L737" s="38">
        <v>1</v>
      </c>
      <c r="M737" s="37">
        <v>1</v>
      </c>
      <c r="N737" s="37">
        <v>0.2</v>
      </c>
      <c r="O737">
        <v>20</v>
      </c>
      <c r="P737" s="37">
        <v>0.425</v>
      </c>
      <c r="Q737">
        <v>94</v>
      </c>
      <c r="R737">
        <v>1128</v>
      </c>
      <c r="S737">
        <v>1479</v>
      </c>
      <c r="T737">
        <v>1200</v>
      </c>
      <c r="U737" t="s">
        <v>1962</v>
      </c>
      <c r="V737" t="s">
        <v>1963</v>
      </c>
      <c r="X737" t="s">
        <v>1964</v>
      </c>
      <c r="Y737" t="s">
        <v>1914</v>
      </c>
      <c r="Z737" s="37">
        <v>0.01</v>
      </c>
      <c r="AA737" s="37">
        <v>0.15</v>
      </c>
      <c r="AB737">
        <v>1</v>
      </c>
    </row>
    <row r="738">
      <c r="A738" t="s">
        <v>2333</v>
      </c>
      <c r="B738" t="s">
        <v>2179</v>
      </c>
      <c r="C738" t="s">
        <v>2179</v>
      </c>
      <c r="D738" t="s">
        <v>2180</v>
      </c>
      <c r="E738" t="s">
        <v>2334</v>
      </c>
      <c r="F738" t="s">
        <v>298</v>
      </c>
      <c r="G738" t="s">
        <v>2294</v>
      </c>
      <c r="H738" t="s">
        <v>2295</v>
      </c>
      <c r="I738" t="s">
        <v>2335</v>
      </c>
      <c r="J738" s="38">
        <v>0.35</v>
      </c>
      <c r="K738" s="38">
        <v>0.14</v>
      </c>
      <c r="L738" t="s">
        <v>2335</v>
      </c>
      <c r="M738" s="37">
        <v>0.14</v>
      </c>
      <c r="N738" s="37">
        <v>0.3</v>
      </c>
      <c r="O738">
        <v>0</v>
      </c>
      <c r="P738" s="37">
        <v>0.682</v>
      </c>
      <c r="Q738">
        <v>23.2</v>
      </c>
      <c r="R738">
        <v>768</v>
      </c>
      <c r="S738">
        <v>768</v>
      </c>
      <c r="T738">
        <v>1200</v>
      </c>
      <c r="U738" t="s">
        <v>1962</v>
      </c>
      <c r="V738" t="s">
        <v>1963</v>
      </c>
      <c r="X738" t="s">
        <v>1964</v>
      </c>
      <c r="Y738" t="s">
        <v>1914</v>
      </c>
      <c r="Z738" s="37">
        <v>0.01</v>
      </c>
      <c r="AA738" s="37">
        <v>0.15</v>
      </c>
      <c r="AB738">
        <v>1</v>
      </c>
    </row>
    <row r="739">
      <c r="A739" t="s">
        <v>2333</v>
      </c>
      <c r="B739" t="s">
        <v>2179</v>
      </c>
      <c r="C739" t="s">
        <v>2179</v>
      </c>
      <c r="D739" t="s">
        <v>2180</v>
      </c>
      <c r="E739" t="s">
        <v>2334</v>
      </c>
      <c r="F739" t="s">
        <v>298</v>
      </c>
      <c r="G739" t="s">
        <v>2294</v>
      </c>
      <c r="H739" t="s">
        <v>2183</v>
      </c>
      <c r="I739" t="s">
        <v>2305</v>
      </c>
      <c r="J739" t="s">
        <v>2306</v>
      </c>
      <c r="K739" t="s">
        <v>2336</v>
      </c>
      <c r="L739" t="s">
        <v>2305</v>
      </c>
      <c r="M739" s="37">
        <v>1</v>
      </c>
      <c r="N739" s="37">
        <v>0.4</v>
      </c>
      <c r="O739">
        <v>40</v>
      </c>
      <c r="P739" s="37">
        <v>0.682</v>
      </c>
      <c r="Q739">
        <v>23.2</v>
      </c>
      <c r="R739">
        <v>768</v>
      </c>
      <c r="S739">
        <v>768</v>
      </c>
      <c r="T739">
        <v>1200</v>
      </c>
      <c r="U739" t="s">
        <v>1962</v>
      </c>
      <c r="V739" t="s">
        <v>1963</v>
      </c>
      <c r="X739" t="s">
        <v>1964</v>
      </c>
      <c r="Y739" t="s">
        <v>1914</v>
      </c>
      <c r="Z739" s="37">
        <v>0.01</v>
      </c>
      <c r="AA739" s="37">
        <v>0.15</v>
      </c>
      <c r="AB739">
        <v>1</v>
      </c>
    </row>
    <row r="740">
      <c r="A740" t="s">
        <v>2333</v>
      </c>
      <c r="B740" t="s">
        <v>2179</v>
      </c>
      <c r="C740" t="s">
        <v>2179</v>
      </c>
      <c r="D740" t="s">
        <v>2180</v>
      </c>
      <c r="E740" t="s">
        <v>2334</v>
      </c>
      <c r="F740" t="s">
        <v>298</v>
      </c>
      <c r="G740" t="s">
        <v>2294</v>
      </c>
      <c r="H740" t="s">
        <v>2189</v>
      </c>
      <c r="I740" t="s">
        <v>2299</v>
      </c>
      <c r="J740" s="38">
        <v>0.96</v>
      </c>
      <c r="K740" s="38">
        <v>0.95</v>
      </c>
      <c r="L740" t="s">
        <v>2299</v>
      </c>
      <c r="M740" s="37">
        <v>0.8</v>
      </c>
      <c r="N740" s="37">
        <v>0.3</v>
      </c>
      <c r="O740">
        <v>24</v>
      </c>
      <c r="P740" s="37">
        <v>0.682</v>
      </c>
      <c r="Q740">
        <v>23.2</v>
      </c>
      <c r="R740">
        <v>768</v>
      </c>
      <c r="S740">
        <v>768</v>
      </c>
      <c r="T740">
        <v>1200</v>
      </c>
      <c r="U740" t="s">
        <v>1962</v>
      </c>
      <c r="V740" t="s">
        <v>1963</v>
      </c>
      <c r="X740" t="s">
        <v>1964</v>
      </c>
      <c r="Y740" t="s">
        <v>1914</v>
      </c>
      <c r="Z740" s="37">
        <v>0.01</v>
      </c>
      <c r="AA740" s="37">
        <v>0.15</v>
      </c>
      <c r="AB740">
        <v>1</v>
      </c>
    </row>
    <row r="741">
      <c r="A741" t="s">
        <v>2337</v>
      </c>
      <c r="B741" t="s">
        <v>2179</v>
      </c>
      <c r="C741" t="s">
        <v>2179</v>
      </c>
      <c r="D741" t="s">
        <v>2180</v>
      </c>
      <c r="E741" t="s">
        <v>2338</v>
      </c>
      <c r="F741" t="s">
        <v>298</v>
      </c>
      <c r="G741" t="s">
        <v>2294</v>
      </c>
      <c r="H741" t="s">
        <v>2295</v>
      </c>
      <c r="I741" t="s">
        <v>2299</v>
      </c>
      <c r="J741" s="38">
        <v>1</v>
      </c>
      <c r="K741" s="38">
        <v>0.18</v>
      </c>
      <c r="L741" t="s">
        <v>2299</v>
      </c>
      <c r="M741" s="37">
        <v>0</v>
      </c>
      <c r="N741" s="37">
        <v>0.35</v>
      </c>
      <c r="O741">
        <v>0</v>
      </c>
      <c r="P741" s="37">
        <v>0.515</v>
      </c>
      <c r="Q741">
        <v>52</v>
      </c>
      <c r="R741">
        <v>714</v>
      </c>
      <c r="S741">
        <v>714</v>
      </c>
      <c r="T741">
        <v>1200</v>
      </c>
      <c r="U741" t="s">
        <v>1962</v>
      </c>
      <c r="V741" t="s">
        <v>1963</v>
      </c>
      <c r="X741" t="s">
        <v>1964</v>
      </c>
      <c r="Y741" t="s">
        <v>1914</v>
      </c>
      <c r="Z741" s="37">
        <v>0.01</v>
      </c>
      <c r="AA741" s="37">
        <v>0.15</v>
      </c>
      <c r="AB741">
        <v>1</v>
      </c>
    </row>
    <row r="742">
      <c r="A742" t="s">
        <v>2337</v>
      </c>
      <c r="B742" t="s">
        <v>2179</v>
      </c>
      <c r="C742" t="s">
        <v>2179</v>
      </c>
      <c r="D742" t="s">
        <v>2180</v>
      </c>
      <c r="E742" t="s">
        <v>2338</v>
      </c>
      <c r="F742" t="s">
        <v>298</v>
      </c>
      <c r="G742" t="s">
        <v>2294</v>
      </c>
      <c r="H742" t="s">
        <v>2183</v>
      </c>
      <c r="I742" t="s">
        <v>2339</v>
      </c>
      <c r="J742" t="s">
        <v>2310</v>
      </c>
      <c r="K742" t="s">
        <v>2199</v>
      </c>
      <c r="L742" t="s">
        <v>2299</v>
      </c>
      <c r="M742" s="37">
        <v>0.7</v>
      </c>
      <c r="N742" s="37">
        <v>0.45</v>
      </c>
      <c r="O742">
        <v>31.5</v>
      </c>
      <c r="P742" s="37">
        <v>0.515</v>
      </c>
      <c r="Q742">
        <v>52</v>
      </c>
      <c r="R742">
        <v>714</v>
      </c>
      <c r="S742">
        <v>714</v>
      </c>
      <c r="T742">
        <v>1200</v>
      </c>
      <c r="U742" t="s">
        <v>1962</v>
      </c>
      <c r="V742" t="s">
        <v>1963</v>
      </c>
      <c r="X742" t="s">
        <v>1964</v>
      </c>
      <c r="Y742" t="s">
        <v>1914</v>
      </c>
      <c r="Z742" s="37">
        <v>0.01</v>
      </c>
      <c r="AA742" s="37">
        <v>0.15</v>
      </c>
      <c r="AB742">
        <v>1</v>
      </c>
    </row>
    <row r="743">
      <c r="A743" t="s">
        <v>2337</v>
      </c>
      <c r="B743" t="s">
        <v>2179</v>
      </c>
      <c r="C743" t="s">
        <v>2179</v>
      </c>
      <c r="D743" t="s">
        <v>2180</v>
      </c>
      <c r="E743" t="s">
        <v>2338</v>
      </c>
      <c r="F743" t="s">
        <v>298</v>
      </c>
      <c r="G743" t="s">
        <v>2294</v>
      </c>
      <c r="H743" t="s">
        <v>2186</v>
      </c>
      <c r="I743">
        <v>1</v>
      </c>
      <c r="J743" s="38">
        <v>1</v>
      </c>
      <c r="K743" s="38">
        <v>1</v>
      </c>
      <c r="L743" t="s">
        <v>2299</v>
      </c>
      <c r="M743" s="37">
        <v>1</v>
      </c>
      <c r="N743" s="37">
        <v>0.2</v>
      </c>
      <c r="O743">
        <v>20</v>
      </c>
      <c r="P743" s="37">
        <v>0.515</v>
      </c>
      <c r="Q743">
        <v>52</v>
      </c>
      <c r="R743">
        <v>714</v>
      </c>
      <c r="S743">
        <v>714</v>
      </c>
      <c r="T743">
        <v>1200</v>
      </c>
      <c r="U743" t="s">
        <v>1962</v>
      </c>
      <c r="V743" t="s">
        <v>1963</v>
      </c>
      <c r="X743" t="s">
        <v>1964</v>
      </c>
      <c r="Y743" t="s">
        <v>1914</v>
      </c>
      <c r="Z743" s="37">
        <v>0.01</v>
      </c>
      <c r="AA743" s="37">
        <v>0.15</v>
      </c>
      <c r="AB743">
        <v>1</v>
      </c>
    </row>
    <row r="744">
      <c r="A744" t="s">
        <v>2340</v>
      </c>
      <c r="B744" t="s">
        <v>2179</v>
      </c>
      <c r="C744" t="s">
        <v>2179</v>
      </c>
      <c r="D744" t="s">
        <v>2180</v>
      </c>
      <c r="E744" t="s">
        <v>2341</v>
      </c>
      <c r="F744" t="s">
        <v>298</v>
      </c>
      <c r="G744" t="s">
        <v>2294</v>
      </c>
      <c r="H744" t="s">
        <v>2295</v>
      </c>
      <c r="I744" t="s">
        <v>2295</v>
      </c>
      <c r="J744" s="38">
        <v>0.35</v>
      </c>
      <c r="K744" t="s">
        <v>2342</v>
      </c>
      <c r="L744" t="s">
        <v>2299</v>
      </c>
      <c r="M744" s="37">
        <v>1</v>
      </c>
      <c r="N744" s="37">
        <v>0.3</v>
      </c>
      <c r="O744">
        <v>30</v>
      </c>
      <c r="P744" s="37">
        <v>0.88</v>
      </c>
      <c r="Q744">
        <v>88</v>
      </c>
      <c r="R744">
        <v>0</v>
      </c>
      <c r="S744">
        <v>0</v>
      </c>
      <c r="T744">
        <v>1200</v>
      </c>
      <c r="U744" t="s">
        <v>1962</v>
      </c>
      <c r="V744" t="s">
        <v>1963</v>
      </c>
      <c r="X744" t="s">
        <v>1964</v>
      </c>
      <c r="Y744" t="s">
        <v>1914</v>
      </c>
      <c r="Z744" s="37">
        <v>0.01</v>
      </c>
      <c r="AA744" s="37">
        <v>0.15</v>
      </c>
      <c r="AB744">
        <v>1</v>
      </c>
    </row>
    <row r="745">
      <c r="A745" t="s">
        <v>2340</v>
      </c>
      <c r="B745" t="s">
        <v>2179</v>
      </c>
      <c r="C745" t="s">
        <v>2179</v>
      </c>
      <c r="D745" t="s">
        <v>2180</v>
      </c>
      <c r="E745" t="s">
        <v>2341</v>
      </c>
      <c r="F745" t="s">
        <v>298</v>
      </c>
      <c r="G745" t="s">
        <v>2294</v>
      </c>
      <c r="H745" t="s">
        <v>2183</v>
      </c>
      <c r="I745" t="s">
        <v>2305</v>
      </c>
      <c r="J745" s="38">
        <v>0.13</v>
      </c>
      <c r="K745" t="s">
        <v>2343</v>
      </c>
      <c r="L745" t="s">
        <v>2299</v>
      </c>
      <c r="M745" s="37">
        <v>1</v>
      </c>
      <c r="N745" s="37">
        <v>0.4</v>
      </c>
      <c r="O745">
        <v>40</v>
      </c>
      <c r="P745" s="37">
        <v>0.88</v>
      </c>
      <c r="Q745">
        <v>88</v>
      </c>
      <c r="R745">
        <v>0</v>
      </c>
      <c r="S745">
        <v>0</v>
      </c>
      <c r="T745">
        <v>1200</v>
      </c>
      <c r="U745" t="s">
        <v>1962</v>
      </c>
      <c r="V745" t="s">
        <v>1963</v>
      </c>
      <c r="X745" t="s">
        <v>1964</v>
      </c>
      <c r="Y745" t="s">
        <v>1914</v>
      </c>
      <c r="Z745" s="37">
        <v>0.01</v>
      </c>
      <c r="AA745" s="37">
        <v>0.15</v>
      </c>
      <c r="AB745">
        <v>1</v>
      </c>
    </row>
    <row r="746">
      <c r="A746" t="s">
        <v>2340</v>
      </c>
      <c r="B746" t="s">
        <v>2179</v>
      </c>
      <c r="C746" t="s">
        <v>2179</v>
      </c>
      <c r="D746" t="s">
        <v>2180</v>
      </c>
      <c r="E746" t="s">
        <v>2341</v>
      </c>
      <c r="F746" t="s">
        <v>298</v>
      </c>
      <c r="G746" t="s">
        <v>2294</v>
      </c>
      <c r="H746" t="s">
        <v>2189</v>
      </c>
      <c r="I746" t="s">
        <v>2305</v>
      </c>
      <c r="J746" s="38">
        <v>0.96</v>
      </c>
      <c r="K746" t="s">
        <v>2344</v>
      </c>
      <c r="L746" t="s">
        <v>2299</v>
      </c>
      <c r="M746" s="37">
        <v>0.6</v>
      </c>
      <c r="N746" s="37">
        <v>0.3</v>
      </c>
      <c r="O746">
        <v>18</v>
      </c>
      <c r="P746" s="37">
        <v>0.88</v>
      </c>
      <c r="Q746">
        <v>88</v>
      </c>
      <c r="R746">
        <v>0</v>
      </c>
      <c r="S746">
        <v>0</v>
      </c>
      <c r="T746">
        <v>1200</v>
      </c>
      <c r="U746" t="s">
        <v>1962</v>
      </c>
      <c r="V746" t="s">
        <v>1963</v>
      </c>
      <c r="X746" t="s">
        <v>1964</v>
      </c>
      <c r="Y746" t="s">
        <v>1914</v>
      </c>
      <c r="Z746" s="37">
        <v>0.01</v>
      </c>
      <c r="AA746" s="37">
        <v>0.15</v>
      </c>
      <c r="AB746">
        <v>1</v>
      </c>
    </row>
    <row r="747">
      <c r="A747" t="s">
        <v>2345</v>
      </c>
      <c r="B747" t="s">
        <v>2179</v>
      </c>
      <c r="C747" t="s">
        <v>2179</v>
      </c>
      <c r="D747" t="s">
        <v>2180</v>
      </c>
      <c r="E747" t="s">
        <v>2346</v>
      </c>
      <c r="F747" t="s">
        <v>298</v>
      </c>
      <c r="G747" t="s">
        <v>2294</v>
      </c>
      <c r="H747" t="s">
        <v>2295</v>
      </c>
      <c r="I747" t="s">
        <v>2305</v>
      </c>
      <c r="J747" s="38">
        <v>0.35</v>
      </c>
      <c r="K747" t="s">
        <v>2347</v>
      </c>
      <c r="L747" t="s">
        <v>2299</v>
      </c>
      <c r="M747" s="37">
        <v>0.6</v>
      </c>
      <c r="N747" s="37">
        <v>0.35</v>
      </c>
      <c r="O747">
        <v>21</v>
      </c>
      <c r="P747" s="37">
        <v>0.86</v>
      </c>
      <c r="Q747">
        <v>86</v>
      </c>
      <c r="R747">
        <v>1056</v>
      </c>
      <c r="S747">
        <v>1056</v>
      </c>
      <c r="T747">
        <v>1200</v>
      </c>
      <c r="U747" t="s">
        <v>1962</v>
      </c>
      <c r="V747" t="s">
        <v>1963</v>
      </c>
      <c r="X747" t="s">
        <v>1964</v>
      </c>
      <c r="Y747" t="s">
        <v>1914</v>
      </c>
      <c r="Z747" s="37">
        <v>0.01</v>
      </c>
      <c r="AA747" s="37">
        <v>0.15</v>
      </c>
      <c r="AB747">
        <v>1</v>
      </c>
    </row>
    <row r="748">
      <c r="A748" t="s">
        <v>2345</v>
      </c>
      <c r="B748" t="s">
        <v>2179</v>
      </c>
      <c r="C748" t="s">
        <v>2179</v>
      </c>
      <c r="D748" t="s">
        <v>2180</v>
      </c>
      <c r="E748" t="s">
        <v>2346</v>
      </c>
      <c r="F748" t="s">
        <v>298</v>
      </c>
      <c r="G748" t="s">
        <v>2294</v>
      </c>
      <c r="H748" t="s">
        <v>2183</v>
      </c>
      <c r="I748" t="s">
        <v>2305</v>
      </c>
      <c r="J748" t="s">
        <v>2310</v>
      </c>
      <c r="K748" t="s">
        <v>2200</v>
      </c>
      <c r="L748" t="s">
        <v>2299</v>
      </c>
      <c r="M748" s="37">
        <v>1</v>
      </c>
      <c r="N748" s="37">
        <v>0.45</v>
      </c>
      <c r="O748">
        <v>45</v>
      </c>
      <c r="P748" s="37">
        <v>0.86</v>
      </c>
      <c r="Q748">
        <v>86</v>
      </c>
      <c r="R748">
        <v>1056</v>
      </c>
      <c r="S748">
        <v>1056</v>
      </c>
      <c r="T748">
        <v>1200</v>
      </c>
      <c r="U748" t="s">
        <v>1962</v>
      </c>
      <c r="V748" t="s">
        <v>1963</v>
      </c>
      <c r="X748" t="s">
        <v>1964</v>
      </c>
      <c r="Y748" t="s">
        <v>1914</v>
      </c>
      <c r="Z748" s="37">
        <v>0.01</v>
      </c>
      <c r="AA748" s="37">
        <v>0.15</v>
      </c>
      <c r="AB748">
        <v>1</v>
      </c>
    </row>
    <row r="749">
      <c r="A749" t="s">
        <v>2345</v>
      </c>
      <c r="B749" t="s">
        <v>2179</v>
      </c>
      <c r="C749" t="s">
        <v>2179</v>
      </c>
      <c r="D749" t="s">
        <v>2180</v>
      </c>
      <c r="E749" t="s">
        <v>2346</v>
      </c>
      <c r="F749" t="s">
        <v>298</v>
      </c>
      <c r="G749" t="s">
        <v>2294</v>
      </c>
      <c r="H749" t="s">
        <v>2186</v>
      </c>
      <c r="I749" t="s">
        <v>2305</v>
      </c>
      <c r="J749" s="38">
        <v>1</v>
      </c>
      <c r="K749" t="s">
        <v>521</v>
      </c>
      <c r="L749" t="s">
        <v>2299</v>
      </c>
      <c r="M749" s="37">
        <v>1</v>
      </c>
      <c r="N749" s="37">
        <v>0.2</v>
      </c>
      <c r="O749">
        <v>20</v>
      </c>
      <c r="P749" s="37">
        <v>0.86</v>
      </c>
      <c r="Q749">
        <v>86</v>
      </c>
      <c r="R749">
        <v>1056</v>
      </c>
      <c r="S749">
        <v>1056</v>
      </c>
      <c r="T749">
        <v>1200</v>
      </c>
      <c r="U749" t="s">
        <v>1962</v>
      </c>
      <c r="V749" t="s">
        <v>1963</v>
      </c>
      <c r="X749" t="s">
        <v>1964</v>
      </c>
      <c r="Y749" t="s">
        <v>1914</v>
      </c>
      <c r="Z749" s="37">
        <v>0.01</v>
      </c>
      <c r="AA749" s="37">
        <v>0.15</v>
      </c>
      <c r="AB749">
        <v>1</v>
      </c>
    </row>
    <row r="750">
      <c r="A750" t="s">
        <v>2348</v>
      </c>
      <c r="B750" t="s">
        <v>2179</v>
      </c>
      <c r="C750" t="s">
        <v>2179</v>
      </c>
      <c r="D750" t="s">
        <v>2180</v>
      </c>
      <c r="E750" t="s">
        <v>2349</v>
      </c>
      <c r="F750" t="s">
        <v>298</v>
      </c>
      <c r="G750" t="s">
        <v>2294</v>
      </c>
      <c r="H750" t="s">
        <v>2295</v>
      </c>
      <c r="I750" t="s">
        <v>2350</v>
      </c>
      <c r="J750" s="38">
        <v>0.35</v>
      </c>
      <c r="K750" s="38">
        <v>0.38</v>
      </c>
      <c r="L750" t="s">
        <v>2299</v>
      </c>
      <c r="M750" s="37">
        <v>1</v>
      </c>
      <c r="N750" s="37">
        <v>0.35</v>
      </c>
      <c r="O750">
        <v>35</v>
      </c>
      <c r="P750" s="37">
        <v>1</v>
      </c>
      <c r="Q750">
        <v>100</v>
      </c>
      <c r="R750">
        <v>1200</v>
      </c>
      <c r="S750">
        <v>1304</v>
      </c>
      <c r="T750">
        <v>1200</v>
      </c>
      <c r="U750" t="s">
        <v>1962</v>
      </c>
      <c r="V750" t="s">
        <v>1963</v>
      </c>
      <c r="X750" t="s">
        <v>1964</v>
      </c>
      <c r="Y750" t="s">
        <v>1914</v>
      </c>
      <c r="Z750" s="37">
        <v>0.01</v>
      </c>
      <c r="AA750" s="37">
        <v>0.15</v>
      </c>
      <c r="AB750">
        <v>1</v>
      </c>
    </row>
    <row r="751">
      <c r="A751" t="s">
        <v>2348</v>
      </c>
      <c r="B751" t="s">
        <v>2179</v>
      </c>
      <c r="C751" t="s">
        <v>2179</v>
      </c>
      <c r="D751" t="s">
        <v>2180</v>
      </c>
      <c r="E751" t="s">
        <v>2349</v>
      </c>
      <c r="F751" t="s">
        <v>298</v>
      </c>
      <c r="G751" t="s">
        <v>2294</v>
      </c>
      <c r="H751" t="s">
        <v>2183</v>
      </c>
      <c r="I751" t="s">
        <v>2305</v>
      </c>
      <c r="J751" t="s">
        <v>2306</v>
      </c>
      <c r="K751" t="s">
        <v>2316</v>
      </c>
      <c r="L751" t="s">
        <v>2299</v>
      </c>
      <c r="M751" s="37">
        <v>1</v>
      </c>
      <c r="N751" s="37">
        <v>0.45</v>
      </c>
      <c r="O751">
        <v>45</v>
      </c>
      <c r="P751" s="37">
        <v>1</v>
      </c>
      <c r="Q751">
        <v>100</v>
      </c>
      <c r="R751">
        <v>1200</v>
      </c>
      <c r="S751">
        <v>1304</v>
      </c>
      <c r="T751">
        <v>1200</v>
      </c>
      <c r="U751" t="s">
        <v>1962</v>
      </c>
      <c r="V751" t="s">
        <v>1963</v>
      </c>
      <c r="X751" t="s">
        <v>1964</v>
      </c>
      <c r="Y751" t="s">
        <v>1914</v>
      </c>
      <c r="Z751" s="37">
        <v>0.01</v>
      </c>
      <c r="AA751" s="37">
        <v>0.15</v>
      </c>
      <c r="AB751">
        <v>1</v>
      </c>
    </row>
    <row r="752">
      <c r="A752" t="s">
        <v>2348</v>
      </c>
      <c r="B752" t="s">
        <v>2179</v>
      </c>
      <c r="C752" t="s">
        <v>2179</v>
      </c>
      <c r="D752" t="s">
        <v>2180</v>
      </c>
      <c r="E752" t="s">
        <v>2349</v>
      </c>
      <c r="F752" t="s">
        <v>298</v>
      </c>
      <c r="G752" t="s">
        <v>2294</v>
      </c>
      <c r="H752" t="s">
        <v>2186</v>
      </c>
      <c r="I752" t="s">
        <v>2351</v>
      </c>
      <c r="J752" s="38">
        <v>1</v>
      </c>
      <c r="K752" t="s">
        <v>521</v>
      </c>
      <c r="L752" t="s">
        <v>2299</v>
      </c>
      <c r="M752" s="37">
        <v>1</v>
      </c>
      <c r="N752" s="37">
        <v>0.2</v>
      </c>
      <c r="O752">
        <v>20</v>
      </c>
      <c r="P752" s="37">
        <v>1</v>
      </c>
      <c r="Q752">
        <v>100</v>
      </c>
      <c r="R752">
        <v>1200</v>
      </c>
      <c r="S752">
        <v>1304</v>
      </c>
      <c r="T752">
        <v>1200</v>
      </c>
      <c r="U752" t="s">
        <v>1962</v>
      </c>
      <c r="V752" t="s">
        <v>1963</v>
      </c>
      <c r="X752" t="s">
        <v>1964</v>
      </c>
      <c r="Y752" t="s">
        <v>1914</v>
      </c>
      <c r="Z752" s="37">
        <v>0.01</v>
      </c>
      <c r="AA752" s="37">
        <v>0.15</v>
      </c>
      <c r="AB752">
        <v>1</v>
      </c>
    </row>
    <row r="753">
      <c r="A753" t="s">
        <v>2352</v>
      </c>
      <c r="B753" t="s">
        <v>2179</v>
      </c>
      <c r="C753" t="s">
        <v>2179</v>
      </c>
      <c r="D753" t="s">
        <v>2180</v>
      </c>
      <c r="E753" t="s">
        <v>2353</v>
      </c>
      <c r="F753" t="s">
        <v>298</v>
      </c>
      <c r="G753" t="s">
        <v>2294</v>
      </c>
      <c r="H753" t="s">
        <v>2295</v>
      </c>
      <c r="I753" t="s">
        <v>2351</v>
      </c>
      <c r="J753" s="38">
        <v>0.35</v>
      </c>
      <c r="K753" s="38">
        <v>0.16</v>
      </c>
      <c r="L753" t="s">
        <v>2299</v>
      </c>
      <c r="M753" s="37">
        <v>0</v>
      </c>
      <c r="N753" s="37">
        <v>0.35</v>
      </c>
      <c r="O753">
        <v>0</v>
      </c>
      <c r="P753" s="37">
        <v>0.425</v>
      </c>
      <c r="Q753">
        <v>42.5</v>
      </c>
      <c r="R753">
        <v>630</v>
      </c>
      <c r="S753">
        <v>630</v>
      </c>
      <c r="T753">
        <v>1200</v>
      </c>
      <c r="U753" t="s">
        <v>1962</v>
      </c>
      <c r="V753" t="s">
        <v>1963</v>
      </c>
      <c r="X753" t="s">
        <v>1964</v>
      </c>
      <c r="Y753" t="s">
        <v>1914</v>
      </c>
      <c r="Z753" s="37">
        <v>0.01</v>
      </c>
      <c r="AA753" s="37">
        <v>0.15</v>
      </c>
      <c r="AB753">
        <v>1</v>
      </c>
    </row>
    <row r="754">
      <c r="A754" t="s">
        <v>2352</v>
      </c>
      <c r="B754" t="s">
        <v>2179</v>
      </c>
      <c r="C754" t="s">
        <v>2179</v>
      </c>
      <c r="D754" t="s">
        <v>2180</v>
      </c>
      <c r="E754" t="s">
        <v>2353</v>
      </c>
      <c r="F754" t="s">
        <v>298</v>
      </c>
      <c r="G754" t="s">
        <v>2294</v>
      </c>
      <c r="H754" t="s">
        <v>2183</v>
      </c>
      <c r="I754" t="s">
        <v>2330</v>
      </c>
      <c r="J754" t="s">
        <v>2310</v>
      </c>
      <c r="K754" t="s">
        <v>2354</v>
      </c>
      <c r="L754" t="s">
        <v>2299</v>
      </c>
      <c r="M754" s="37">
        <v>0.5</v>
      </c>
      <c r="N754" s="37">
        <v>0.45</v>
      </c>
      <c r="O754">
        <v>22.5</v>
      </c>
      <c r="P754" s="37">
        <v>0.425</v>
      </c>
      <c r="Q754">
        <v>42.5</v>
      </c>
      <c r="R754">
        <v>630</v>
      </c>
      <c r="S754">
        <v>630</v>
      </c>
      <c r="T754">
        <v>1200</v>
      </c>
      <c r="U754" t="s">
        <v>1962</v>
      </c>
      <c r="V754" t="s">
        <v>1963</v>
      </c>
      <c r="X754" t="s">
        <v>1964</v>
      </c>
      <c r="Y754" t="s">
        <v>1914</v>
      </c>
      <c r="Z754" s="37">
        <v>0.01</v>
      </c>
      <c r="AA754" s="37">
        <v>0.15</v>
      </c>
      <c r="AB754">
        <v>1</v>
      </c>
    </row>
    <row r="755">
      <c r="A755" t="s">
        <v>2352</v>
      </c>
      <c r="B755" t="s">
        <v>2179</v>
      </c>
      <c r="C755" t="s">
        <v>2179</v>
      </c>
      <c r="D755" t="s">
        <v>2180</v>
      </c>
      <c r="E755" t="s">
        <v>2353</v>
      </c>
      <c r="F755" t="s">
        <v>298</v>
      </c>
      <c r="G755" t="s">
        <v>2294</v>
      </c>
      <c r="H755" t="s">
        <v>2186</v>
      </c>
      <c r="I755" t="s">
        <v>2330</v>
      </c>
      <c r="J755" s="38">
        <v>1</v>
      </c>
      <c r="K755" s="38">
        <v>1</v>
      </c>
      <c r="L755" t="s">
        <v>2299</v>
      </c>
      <c r="M755" s="37">
        <v>1</v>
      </c>
      <c r="N755" s="37">
        <v>0.2</v>
      </c>
      <c r="O755">
        <v>20</v>
      </c>
      <c r="P755" s="37">
        <v>0.425</v>
      </c>
      <c r="Q755">
        <v>42.5</v>
      </c>
      <c r="R755">
        <v>630</v>
      </c>
      <c r="S755">
        <v>630</v>
      </c>
      <c r="T755">
        <v>1200</v>
      </c>
      <c r="U755" t="s">
        <v>1962</v>
      </c>
      <c r="V755" t="s">
        <v>1963</v>
      </c>
      <c r="X755" t="s">
        <v>1964</v>
      </c>
      <c r="Y755" t="s">
        <v>1914</v>
      </c>
      <c r="Z755" s="37">
        <v>0.01</v>
      </c>
      <c r="AA755" s="37">
        <v>0.15</v>
      </c>
      <c r="AB755">
        <v>1</v>
      </c>
    </row>
    <row r="756">
      <c r="A756" t="s">
        <v>2355</v>
      </c>
      <c r="B756" t="s">
        <v>2356</v>
      </c>
      <c r="C756" t="s">
        <v>2356</v>
      </c>
      <c r="D756" t="s">
        <v>2357</v>
      </c>
      <c r="E756" t="s">
        <v>2358</v>
      </c>
      <c r="F756" t="s">
        <v>298</v>
      </c>
      <c r="G756" t="s">
        <v>2359</v>
      </c>
      <c r="H756" t="s">
        <v>2360</v>
      </c>
      <c r="I756" t="s">
        <v>2361</v>
      </c>
      <c r="L756" t="s">
        <v>2084</v>
      </c>
      <c r="M756" s="37">
        <v>1</v>
      </c>
      <c r="N756" s="37">
        <v>0.1</v>
      </c>
      <c r="O756">
        <v>1</v>
      </c>
      <c r="P756" s="37">
        <v>0.88239</v>
      </c>
      <c r="Q756">
        <v>0.86</v>
      </c>
      <c r="R756">
        <v>1033.13</v>
      </c>
      <c r="S756">
        <v>1033.13</v>
      </c>
      <c r="T756">
        <v>1200</v>
      </c>
      <c r="U756" t="s">
        <v>1962</v>
      </c>
      <c r="V756" t="s">
        <v>1963</v>
      </c>
      <c r="X756" t="s">
        <v>1964</v>
      </c>
      <c r="Y756" t="s">
        <v>1914</v>
      </c>
      <c r="Z756" s="37">
        <v>0.01</v>
      </c>
      <c r="AA756" s="37">
        <v>0.15</v>
      </c>
      <c r="AB756">
        <v>1</v>
      </c>
    </row>
    <row r="757">
      <c r="A757" t="s">
        <v>2355</v>
      </c>
      <c r="B757" t="s">
        <v>2356</v>
      </c>
      <c r="C757" t="s">
        <v>2356</v>
      </c>
      <c r="D757" t="s">
        <v>2357</v>
      </c>
      <c r="E757" t="s">
        <v>2358</v>
      </c>
      <c r="F757" t="s">
        <v>298</v>
      </c>
      <c r="G757" t="s">
        <v>2359</v>
      </c>
      <c r="H757" t="s">
        <v>2362</v>
      </c>
      <c r="I757" t="s">
        <v>2363</v>
      </c>
      <c r="J757">
        <v>111</v>
      </c>
      <c r="L757" t="s">
        <v>2364</v>
      </c>
      <c r="M757" s="37">
        <v>0.91652</v>
      </c>
      <c r="N757" s="37">
        <v>0.75</v>
      </c>
      <c r="O757">
        <v>0.9165</v>
      </c>
      <c r="P757" s="37">
        <v>0.88239</v>
      </c>
      <c r="Q757">
        <v>0.86</v>
      </c>
      <c r="R757">
        <v>1033.13</v>
      </c>
      <c r="S757">
        <v>1033.13</v>
      </c>
      <c r="T757">
        <v>1200</v>
      </c>
      <c r="U757" t="s">
        <v>2365</v>
      </c>
      <c r="V757" t="s">
        <v>2366</v>
      </c>
      <c r="W757" t="s">
        <v>2367</v>
      </c>
      <c r="Y757" t="s">
        <v>2368</v>
      </c>
      <c r="Z757" s="37">
        <v>0.769</v>
      </c>
      <c r="AA757" s="37">
        <v>0.1</v>
      </c>
      <c r="AB757">
        <v>0.769</v>
      </c>
    </row>
    <row r="758">
      <c r="A758" t="s">
        <v>2355</v>
      </c>
      <c r="B758" t="s">
        <v>2356</v>
      </c>
      <c r="C758" t="s">
        <v>2356</v>
      </c>
      <c r="D758" t="s">
        <v>2357</v>
      </c>
      <c r="E758" t="s">
        <v>2358</v>
      </c>
      <c r="F758" t="s">
        <v>298</v>
      </c>
      <c r="G758" t="s">
        <v>2359</v>
      </c>
      <c r="H758" t="s">
        <v>2362</v>
      </c>
      <c r="I758" t="s">
        <v>2363</v>
      </c>
      <c r="J758">
        <v>111</v>
      </c>
      <c r="L758" t="s">
        <v>2364</v>
      </c>
      <c r="M758" s="37">
        <v>0.91652</v>
      </c>
      <c r="N758" s="37">
        <v>0.75</v>
      </c>
      <c r="O758">
        <v>0.9165</v>
      </c>
      <c r="P758" s="37">
        <v>0.88239</v>
      </c>
      <c r="Q758">
        <v>0.86</v>
      </c>
      <c r="R758">
        <v>1033.13</v>
      </c>
      <c r="S758">
        <v>1033.13</v>
      </c>
      <c r="T758">
        <v>1200</v>
      </c>
      <c r="U758" t="s">
        <v>2369</v>
      </c>
      <c r="V758" t="s">
        <v>2366</v>
      </c>
      <c r="W758" t="s">
        <v>1035</v>
      </c>
      <c r="Y758" t="s">
        <v>2370</v>
      </c>
      <c r="Z758" s="37">
        <v>0.8</v>
      </c>
      <c r="AA758" s="37">
        <v>0.1</v>
      </c>
      <c r="AB758">
        <v>0.8</v>
      </c>
    </row>
    <row r="759">
      <c r="A759" t="s">
        <v>2355</v>
      </c>
      <c r="B759" t="s">
        <v>2356</v>
      </c>
      <c r="C759" t="s">
        <v>2356</v>
      </c>
      <c r="D759" t="s">
        <v>2357</v>
      </c>
      <c r="E759" t="s">
        <v>2358</v>
      </c>
      <c r="F759" t="s">
        <v>298</v>
      </c>
      <c r="G759" t="s">
        <v>2359</v>
      </c>
      <c r="H759" t="s">
        <v>2362</v>
      </c>
      <c r="I759" t="s">
        <v>2363</v>
      </c>
      <c r="J759">
        <v>111</v>
      </c>
      <c r="L759" t="s">
        <v>2364</v>
      </c>
      <c r="M759" s="37">
        <v>0.91652</v>
      </c>
      <c r="N759" s="37">
        <v>0.75</v>
      </c>
      <c r="O759">
        <v>0.9165</v>
      </c>
      <c r="P759" s="37">
        <v>0.88239</v>
      </c>
      <c r="Q759">
        <v>0.86</v>
      </c>
      <c r="R759">
        <v>1033.13</v>
      </c>
      <c r="S759">
        <v>1033.13</v>
      </c>
      <c r="T759">
        <v>1200</v>
      </c>
      <c r="U759" t="s">
        <v>2371</v>
      </c>
      <c r="V759" t="s">
        <v>2366</v>
      </c>
      <c r="W759" t="s">
        <v>1786</v>
      </c>
      <c r="Y759">
        <v>27</v>
      </c>
      <c r="Z759" s="37">
        <v>1</v>
      </c>
      <c r="AA759" s="37">
        <v>0.3</v>
      </c>
      <c r="AB759">
        <v>1</v>
      </c>
    </row>
    <row r="760">
      <c r="A760" t="s">
        <v>2355</v>
      </c>
      <c r="B760" t="s">
        <v>2356</v>
      </c>
      <c r="C760" t="s">
        <v>2356</v>
      </c>
      <c r="D760" t="s">
        <v>2357</v>
      </c>
      <c r="E760" t="s">
        <v>2358</v>
      </c>
      <c r="F760" t="s">
        <v>298</v>
      </c>
      <c r="G760" t="s">
        <v>2359</v>
      </c>
      <c r="H760" t="s">
        <v>2362</v>
      </c>
      <c r="I760" t="s">
        <v>2372</v>
      </c>
      <c r="J760">
        <v>2</v>
      </c>
      <c r="L760" t="s">
        <v>2084</v>
      </c>
      <c r="M760" s="37">
        <v>1</v>
      </c>
      <c r="N760" s="37">
        <v>0.04</v>
      </c>
      <c r="O760">
        <v>1</v>
      </c>
      <c r="P760" s="37">
        <v>0.88239</v>
      </c>
      <c r="Q760">
        <v>0.86</v>
      </c>
      <c r="R760">
        <v>1033.13</v>
      </c>
      <c r="S760">
        <v>1033.13</v>
      </c>
      <c r="T760">
        <v>1200</v>
      </c>
      <c r="U760" t="s">
        <v>2365</v>
      </c>
      <c r="V760" t="s">
        <v>2373</v>
      </c>
      <c r="W760">
        <v>1</v>
      </c>
      <c r="Y760" t="s">
        <v>2084</v>
      </c>
      <c r="Z760" s="37">
        <v>1</v>
      </c>
      <c r="AA760" s="37">
        <v>0.02</v>
      </c>
      <c r="AB760">
        <v>1</v>
      </c>
    </row>
    <row r="761">
      <c r="A761" t="s">
        <v>2355</v>
      </c>
      <c r="B761" t="s">
        <v>2356</v>
      </c>
      <c r="C761" t="s">
        <v>2356</v>
      </c>
      <c r="D761" t="s">
        <v>2357</v>
      </c>
      <c r="E761" t="s">
        <v>2358</v>
      </c>
      <c r="F761" t="s">
        <v>298</v>
      </c>
      <c r="G761" t="s">
        <v>2359</v>
      </c>
      <c r="H761" t="s">
        <v>2362</v>
      </c>
      <c r="I761" t="s">
        <v>2372</v>
      </c>
      <c r="J761">
        <v>2</v>
      </c>
      <c r="L761" t="s">
        <v>2084</v>
      </c>
      <c r="M761" s="37">
        <v>1</v>
      </c>
      <c r="N761" s="37">
        <v>0.04</v>
      </c>
      <c r="O761">
        <v>1</v>
      </c>
      <c r="P761" s="37">
        <v>0.88239</v>
      </c>
      <c r="Q761">
        <v>0.86</v>
      </c>
      <c r="R761">
        <v>1033.13</v>
      </c>
      <c r="S761">
        <v>1033.13</v>
      </c>
      <c r="T761">
        <v>1200</v>
      </c>
      <c r="U761" t="s">
        <v>2371</v>
      </c>
      <c r="V761" t="s">
        <v>2373</v>
      </c>
      <c r="W761">
        <v>1</v>
      </c>
      <c r="Y761" t="s">
        <v>2084</v>
      </c>
      <c r="Z761" s="37">
        <v>1</v>
      </c>
      <c r="AA761" s="37">
        <v>0.02</v>
      </c>
      <c r="AB761">
        <v>1</v>
      </c>
    </row>
    <row r="762">
      <c r="A762" t="s">
        <v>2355</v>
      </c>
      <c r="B762" t="s">
        <v>2356</v>
      </c>
      <c r="C762" t="s">
        <v>2356</v>
      </c>
      <c r="D762" t="s">
        <v>2357</v>
      </c>
      <c r="E762" t="s">
        <v>2358</v>
      </c>
      <c r="F762" t="s">
        <v>298</v>
      </c>
      <c r="G762" t="s">
        <v>2359</v>
      </c>
      <c r="H762" t="s">
        <v>2362</v>
      </c>
      <c r="I762" t="s">
        <v>2374</v>
      </c>
      <c r="J762" t="s">
        <v>1755</v>
      </c>
      <c r="L762" t="s">
        <v>2375</v>
      </c>
      <c r="M762" s="37">
        <v>0.5</v>
      </c>
      <c r="N762" s="37">
        <v>0.11</v>
      </c>
      <c r="O762">
        <v>0.5</v>
      </c>
      <c r="P762" s="37">
        <v>0.88239</v>
      </c>
      <c r="Q762">
        <v>0.86</v>
      </c>
      <c r="R762">
        <v>1033.13</v>
      </c>
      <c r="S762">
        <v>1033.13</v>
      </c>
      <c r="T762">
        <v>1200</v>
      </c>
      <c r="U762" t="s">
        <v>2376</v>
      </c>
      <c r="V762" t="s">
        <v>2377</v>
      </c>
      <c r="W762" t="s">
        <v>2378</v>
      </c>
      <c r="Y762" t="s">
        <v>2379</v>
      </c>
      <c r="Z762" s="37">
        <v>0</v>
      </c>
      <c r="AA762" s="37">
        <v>0.055</v>
      </c>
      <c r="AB762">
        <v>0</v>
      </c>
    </row>
    <row r="763">
      <c r="A763" t="s">
        <v>2355</v>
      </c>
      <c r="B763" t="s">
        <v>2356</v>
      </c>
      <c r="C763" t="s">
        <v>2356</v>
      </c>
      <c r="D763" t="s">
        <v>2357</v>
      </c>
      <c r="E763" t="s">
        <v>2358</v>
      </c>
      <c r="F763" t="s">
        <v>298</v>
      </c>
      <c r="G763" t="s">
        <v>2359</v>
      </c>
      <c r="H763" t="s">
        <v>2362</v>
      </c>
      <c r="I763" t="s">
        <v>2374</v>
      </c>
      <c r="J763" t="s">
        <v>1755</v>
      </c>
      <c r="L763" t="s">
        <v>2375</v>
      </c>
      <c r="M763" s="37">
        <v>0.5</v>
      </c>
      <c r="N763" s="37">
        <v>0.11</v>
      </c>
      <c r="O763">
        <v>0.5</v>
      </c>
      <c r="P763" s="37">
        <v>0.88239</v>
      </c>
      <c r="Q763">
        <v>0.86</v>
      </c>
      <c r="R763">
        <v>1033.13</v>
      </c>
      <c r="S763">
        <v>1033.13</v>
      </c>
      <c r="T763">
        <v>1200</v>
      </c>
      <c r="U763" t="s">
        <v>2380</v>
      </c>
      <c r="V763" t="s">
        <v>2084</v>
      </c>
      <c r="W763" t="s">
        <v>2378</v>
      </c>
      <c r="Y763" t="s">
        <v>2084</v>
      </c>
      <c r="Z763" s="37">
        <v>1</v>
      </c>
      <c r="AA763" s="37">
        <v>0.055</v>
      </c>
      <c r="AB763">
        <v>1</v>
      </c>
    </row>
    <row r="764">
      <c r="A764" t="s">
        <v>2381</v>
      </c>
      <c r="B764" t="s">
        <v>2356</v>
      </c>
      <c r="C764" t="s">
        <v>2356</v>
      </c>
      <c r="D764" t="s">
        <v>2357</v>
      </c>
      <c r="E764" t="s">
        <v>2382</v>
      </c>
      <c r="F764" t="s">
        <v>298</v>
      </c>
      <c r="G764" t="s">
        <v>2359</v>
      </c>
      <c r="H764" t="s">
        <v>2383</v>
      </c>
      <c r="I764" t="s">
        <v>2384</v>
      </c>
      <c r="L764" t="s">
        <v>2385</v>
      </c>
      <c r="M764" s="37">
        <v>1</v>
      </c>
      <c r="N764" s="37">
        <v>0.5</v>
      </c>
      <c r="O764">
        <v>1</v>
      </c>
      <c r="P764" s="37">
        <v>0.918</v>
      </c>
      <c r="Q764">
        <v>0.89</v>
      </c>
      <c r="R764">
        <v>900</v>
      </c>
      <c r="S764">
        <v>900</v>
      </c>
      <c r="T764">
        <v>1000</v>
      </c>
      <c r="U764" t="s">
        <v>2380</v>
      </c>
      <c r="V764" t="s">
        <v>2084</v>
      </c>
      <c r="W764" t="s">
        <v>2378</v>
      </c>
      <c r="Y764" t="s">
        <v>2084</v>
      </c>
      <c r="Z764" s="37">
        <v>1</v>
      </c>
      <c r="AA764" s="37">
        <v>0.055</v>
      </c>
      <c r="AB764">
        <v>1</v>
      </c>
    </row>
    <row r="765">
      <c r="A765" t="s">
        <v>2381</v>
      </c>
      <c r="B765" t="s">
        <v>2356</v>
      </c>
      <c r="C765" t="s">
        <v>2356</v>
      </c>
      <c r="D765" t="s">
        <v>2357</v>
      </c>
      <c r="E765" t="s">
        <v>2382</v>
      </c>
      <c r="F765" t="s">
        <v>298</v>
      </c>
      <c r="G765" t="s">
        <v>2359</v>
      </c>
      <c r="H765" t="s">
        <v>2362</v>
      </c>
      <c r="I765" t="s">
        <v>2386</v>
      </c>
      <c r="J765" t="s">
        <v>2387</v>
      </c>
      <c r="L765" t="s">
        <v>2388</v>
      </c>
      <c r="M765" s="37">
        <v>0.76</v>
      </c>
      <c r="N765" s="37">
        <v>0.3</v>
      </c>
      <c r="O765">
        <v>0.76</v>
      </c>
      <c r="P765" s="37">
        <v>0.918</v>
      </c>
      <c r="Q765">
        <v>0.89</v>
      </c>
      <c r="R765">
        <v>900</v>
      </c>
      <c r="S765">
        <v>900</v>
      </c>
      <c r="T765">
        <v>1000</v>
      </c>
      <c r="U765" t="s">
        <v>2365</v>
      </c>
      <c r="W765" t="s">
        <v>2389</v>
      </c>
      <c r="Y765" t="s">
        <v>2390</v>
      </c>
      <c r="Z765" s="37">
        <v>1</v>
      </c>
      <c r="AA765" s="37">
        <v>0.1</v>
      </c>
      <c r="AB765">
        <v>1</v>
      </c>
    </row>
    <row r="766">
      <c r="A766" t="s">
        <v>2381</v>
      </c>
      <c r="B766" t="s">
        <v>2356</v>
      </c>
      <c r="C766" t="s">
        <v>2356</v>
      </c>
      <c r="D766" t="s">
        <v>2357</v>
      </c>
      <c r="E766" t="s">
        <v>2382</v>
      </c>
      <c r="F766" t="s">
        <v>298</v>
      </c>
      <c r="G766" t="s">
        <v>2359</v>
      </c>
      <c r="H766" t="s">
        <v>2362</v>
      </c>
      <c r="I766" t="s">
        <v>2386</v>
      </c>
      <c r="J766" t="s">
        <v>2387</v>
      </c>
      <c r="L766" t="s">
        <v>2388</v>
      </c>
      <c r="M766" s="37">
        <v>0.76</v>
      </c>
      <c r="N766" s="37">
        <v>0.3</v>
      </c>
      <c r="O766">
        <v>0.76</v>
      </c>
      <c r="P766" s="37">
        <v>0.918</v>
      </c>
      <c r="Q766">
        <v>0.89</v>
      </c>
      <c r="R766">
        <v>900</v>
      </c>
      <c r="S766">
        <v>900</v>
      </c>
      <c r="T766">
        <v>1000</v>
      </c>
      <c r="U766" t="s">
        <v>2369</v>
      </c>
      <c r="W766" t="s">
        <v>2389</v>
      </c>
      <c r="Y766" t="s">
        <v>2391</v>
      </c>
      <c r="Z766" s="37">
        <v>0.2</v>
      </c>
      <c r="AA766" s="37">
        <v>0.1</v>
      </c>
      <c r="AB766">
        <v>1</v>
      </c>
    </row>
    <row r="767">
      <c r="A767" t="s">
        <v>2381</v>
      </c>
      <c r="B767" t="s">
        <v>2356</v>
      </c>
      <c r="C767" t="s">
        <v>2356</v>
      </c>
      <c r="D767" t="s">
        <v>2357</v>
      </c>
      <c r="E767" t="s">
        <v>2382</v>
      </c>
      <c r="F767" t="s">
        <v>298</v>
      </c>
      <c r="G767" t="s">
        <v>2359</v>
      </c>
      <c r="H767" t="s">
        <v>2362</v>
      </c>
      <c r="I767" t="s">
        <v>2386</v>
      </c>
      <c r="J767" t="s">
        <v>2387</v>
      </c>
      <c r="L767" t="s">
        <v>2388</v>
      </c>
      <c r="M767" s="37">
        <v>0.76</v>
      </c>
      <c r="N767" s="37">
        <v>0.3</v>
      </c>
      <c r="O767">
        <v>0.76</v>
      </c>
      <c r="P767" s="37">
        <v>0.918</v>
      </c>
      <c r="Q767">
        <v>0.89</v>
      </c>
      <c r="R767">
        <v>900</v>
      </c>
      <c r="S767">
        <v>900</v>
      </c>
      <c r="T767">
        <v>1000</v>
      </c>
      <c r="U767" t="s">
        <v>2371</v>
      </c>
      <c r="W767" t="s">
        <v>2392</v>
      </c>
      <c r="Y767" t="s">
        <v>2393</v>
      </c>
      <c r="Z767" s="37">
        <v>1</v>
      </c>
      <c r="AA767" s="37">
        <v>0.1</v>
      </c>
      <c r="AB767">
        <v>1</v>
      </c>
    </row>
    <row r="768">
      <c r="A768" t="s">
        <v>2381</v>
      </c>
      <c r="B768" t="s">
        <v>2356</v>
      </c>
      <c r="C768" t="s">
        <v>2356</v>
      </c>
      <c r="D768" t="s">
        <v>2357</v>
      </c>
      <c r="E768" t="s">
        <v>2382</v>
      </c>
      <c r="F768" t="s">
        <v>298</v>
      </c>
      <c r="G768" t="s">
        <v>2359</v>
      </c>
      <c r="H768" t="s">
        <v>2362</v>
      </c>
      <c r="I768" t="s">
        <v>2394</v>
      </c>
      <c r="J768" t="s">
        <v>2395</v>
      </c>
      <c r="L768" t="s">
        <v>2396</v>
      </c>
      <c r="M768" s="37">
        <v>0.95</v>
      </c>
      <c r="N768" s="37">
        <v>0.2</v>
      </c>
      <c r="O768">
        <v>0.95</v>
      </c>
      <c r="P768" s="37">
        <v>0.918</v>
      </c>
      <c r="Q768">
        <v>0.89</v>
      </c>
      <c r="R768">
        <v>900</v>
      </c>
      <c r="S768">
        <v>900</v>
      </c>
      <c r="T768">
        <v>1000</v>
      </c>
      <c r="U768" t="s">
        <v>2365</v>
      </c>
      <c r="W768" t="s">
        <v>2397</v>
      </c>
      <c r="Y768" t="s">
        <v>2398</v>
      </c>
      <c r="Z768" s="37">
        <v>1</v>
      </c>
      <c r="AA768" s="37">
        <v>0.05</v>
      </c>
      <c r="AB768">
        <v>1</v>
      </c>
    </row>
    <row r="769">
      <c r="A769" t="s">
        <v>2381</v>
      </c>
      <c r="B769" t="s">
        <v>2356</v>
      </c>
      <c r="C769" t="s">
        <v>2356</v>
      </c>
      <c r="D769" t="s">
        <v>2357</v>
      </c>
      <c r="E769" t="s">
        <v>2382</v>
      </c>
      <c r="F769" t="s">
        <v>298</v>
      </c>
      <c r="G769" t="s">
        <v>2359</v>
      </c>
      <c r="H769" t="s">
        <v>2362</v>
      </c>
      <c r="I769" t="s">
        <v>2394</v>
      </c>
      <c r="J769" t="s">
        <v>2395</v>
      </c>
      <c r="L769" t="s">
        <v>2396</v>
      </c>
      <c r="M769" s="37">
        <v>0.95</v>
      </c>
      <c r="N769" s="37">
        <v>0.2</v>
      </c>
      <c r="O769">
        <v>0.95</v>
      </c>
      <c r="P769" s="37">
        <v>0.918</v>
      </c>
      <c r="Q769">
        <v>0.89</v>
      </c>
      <c r="R769">
        <v>900</v>
      </c>
      <c r="S769">
        <v>900</v>
      </c>
      <c r="T769">
        <v>1000</v>
      </c>
      <c r="U769" t="s">
        <v>2369</v>
      </c>
      <c r="W769" t="s">
        <v>2397</v>
      </c>
      <c r="Y769" t="s">
        <v>2399</v>
      </c>
      <c r="Z769" s="37">
        <v>0.4</v>
      </c>
      <c r="AA769" s="37">
        <v>0.05</v>
      </c>
      <c r="AB769">
        <v>1</v>
      </c>
    </row>
    <row r="770">
      <c r="A770" t="s">
        <v>2381</v>
      </c>
      <c r="B770" t="s">
        <v>2356</v>
      </c>
      <c r="C770" t="s">
        <v>2356</v>
      </c>
      <c r="D770" t="s">
        <v>2357</v>
      </c>
      <c r="E770" t="s">
        <v>2382</v>
      </c>
      <c r="F770" t="s">
        <v>298</v>
      </c>
      <c r="G770" t="s">
        <v>2359</v>
      </c>
      <c r="H770" t="s">
        <v>2362</v>
      </c>
      <c r="I770" t="s">
        <v>2394</v>
      </c>
      <c r="J770" t="s">
        <v>2395</v>
      </c>
      <c r="L770" t="s">
        <v>2396</v>
      </c>
      <c r="M770" s="37">
        <v>0.95</v>
      </c>
      <c r="N770" s="37">
        <v>0.2</v>
      </c>
      <c r="O770">
        <v>0.95</v>
      </c>
      <c r="P770" s="37">
        <v>0.918</v>
      </c>
      <c r="Q770">
        <v>0.89</v>
      </c>
      <c r="R770">
        <v>900</v>
      </c>
      <c r="S770">
        <v>900</v>
      </c>
      <c r="T770">
        <v>1000</v>
      </c>
      <c r="U770" t="s">
        <v>2371</v>
      </c>
      <c r="W770" t="s">
        <v>2387</v>
      </c>
      <c r="Y770" t="s">
        <v>2400</v>
      </c>
      <c r="Z770" s="37">
        <v>1</v>
      </c>
      <c r="AA770" s="37">
        <v>0.1</v>
      </c>
      <c r="AB770">
        <v>1</v>
      </c>
    </row>
    <row r="771">
      <c r="A771" t="s">
        <v>2401</v>
      </c>
      <c r="B771" t="s">
        <v>2356</v>
      </c>
      <c r="C771" t="s">
        <v>2356</v>
      </c>
      <c r="D771" t="s">
        <v>2357</v>
      </c>
      <c r="E771" t="s">
        <v>2402</v>
      </c>
      <c r="F771" t="s">
        <v>298</v>
      </c>
      <c r="G771" t="s">
        <v>2403</v>
      </c>
      <c r="H771" t="s">
        <v>2404</v>
      </c>
      <c r="I771" t="s">
        <v>2405</v>
      </c>
      <c r="J771" t="s">
        <v>1755</v>
      </c>
      <c r="K771" t="s">
        <v>1755</v>
      </c>
      <c r="L771" t="s">
        <v>2406</v>
      </c>
      <c r="M771" s="37">
        <v>1</v>
      </c>
      <c r="N771" s="37">
        <v>0.8</v>
      </c>
      <c r="O771">
        <v>1</v>
      </c>
      <c r="P771" s="37">
        <v>1</v>
      </c>
      <c r="Q771">
        <v>1</v>
      </c>
      <c r="R771">
        <v>1429</v>
      </c>
      <c r="S771">
        <v>1429</v>
      </c>
      <c r="T771">
        <v>1300</v>
      </c>
      <c r="U771" t="s">
        <v>2371</v>
      </c>
      <c r="W771" t="s">
        <v>2387</v>
      </c>
      <c r="Y771" t="s">
        <v>2400</v>
      </c>
      <c r="Z771" s="37">
        <v>1</v>
      </c>
      <c r="AA771" s="37">
        <v>0.1</v>
      </c>
      <c r="AB771">
        <v>1</v>
      </c>
    </row>
    <row r="772">
      <c r="A772" t="s">
        <v>2401</v>
      </c>
      <c r="B772" t="s">
        <v>2356</v>
      </c>
      <c r="C772" t="s">
        <v>2356</v>
      </c>
      <c r="D772" t="s">
        <v>2357</v>
      </c>
      <c r="E772" t="s">
        <v>2402</v>
      </c>
      <c r="F772" t="s">
        <v>298</v>
      </c>
      <c r="G772" t="s">
        <v>2403</v>
      </c>
      <c r="H772" t="s">
        <v>2407</v>
      </c>
      <c r="I772" t="s">
        <v>2408</v>
      </c>
      <c r="J772" t="s">
        <v>1755</v>
      </c>
      <c r="L772" t="s">
        <v>2409</v>
      </c>
      <c r="M772" s="37">
        <v>1</v>
      </c>
      <c r="N772" s="37">
        <v>0.1</v>
      </c>
      <c r="O772">
        <v>1</v>
      </c>
      <c r="P772" s="37">
        <v>1</v>
      </c>
      <c r="Q772">
        <v>1</v>
      </c>
      <c r="R772">
        <v>1429</v>
      </c>
      <c r="S772">
        <v>1429</v>
      </c>
      <c r="T772">
        <v>1300</v>
      </c>
      <c r="U772" t="s">
        <v>2371</v>
      </c>
      <c r="W772" t="s">
        <v>2387</v>
      </c>
      <c r="Y772" t="s">
        <v>2400</v>
      </c>
      <c r="Z772" s="37">
        <v>1</v>
      </c>
      <c r="AA772" s="37">
        <v>0.1</v>
      </c>
      <c r="AB772">
        <v>1</v>
      </c>
    </row>
    <row r="773">
      <c r="A773" t="s">
        <v>2401</v>
      </c>
      <c r="B773" t="s">
        <v>2356</v>
      </c>
      <c r="C773" t="s">
        <v>2356</v>
      </c>
      <c r="D773" t="s">
        <v>2357</v>
      </c>
      <c r="E773" t="s">
        <v>2402</v>
      </c>
      <c r="F773" t="s">
        <v>298</v>
      </c>
      <c r="G773" t="s">
        <v>2403</v>
      </c>
      <c r="H773" t="s">
        <v>2410</v>
      </c>
      <c r="I773" t="s">
        <v>2411</v>
      </c>
      <c r="J773" t="s">
        <v>1755</v>
      </c>
      <c r="L773" t="s">
        <v>2412</v>
      </c>
      <c r="M773" s="37">
        <v>1</v>
      </c>
      <c r="N773" s="37">
        <v>0.1</v>
      </c>
      <c r="O773">
        <v>1</v>
      </c>
      <c r="P773" s="37">
        <v>1</v>
      </c>
      <c r="Q773">
        <v>1</v>
      </c>
      <c r="R773">
        <v>1429</v>
      </c>
      <c r="S773">
        <v>1429</v>
      </c>
      <c r="T773">
        <v>1300</v>
      </c>
      <c r="U773" t="s">
        <v>2371</v>
      </c>
      <c r="W773" t="s">
        <v>2387</v>
      </c>
      <c r="Y773" t="s">
        <v>2400</v>
      </c>
      <c r="Z773" s="37">
        <v>1</v>
      </c>
      <c r="AA773" s="37">
        <v>0.1</v>
      </c>
      <c r="AB773">
        <v>1</v>
      </c>
    </row>
    <row r="774">
      <c r="A774" t="s">
        <v>2413</v>
      </c>
      <c r="B774" t="s">
        <v>2356</v>
      </c>
      <c r="C774" t="s">
        <v>2356</v>
      </c>
      <c r="D774" t="s">
        <v>2357</v>
      </c>
      <c r="E774" t="s">
        <v>2414</v>
      </c>
      <c r="F774" t="s">
        <v>298</v>
      </c>
      <c r="G774" t="s">
        <v>2403</v>
      </c>
      <c r="H774" t="s">
        <v>2404</v>
      </c>
      <c r="I774" t="s">
        <v>2415</v>
      </c>
      <c r="J774" t="s">
        <v>1755</v>
      </c>
      <c r="K774" t="s">
        <v>1755</v>
      </c>
      <c r="L774" t="s">
        <v>2412</v>
      </c>
      <c r="M774" s="37">
        <v>1</v>
      </c>
      <c r="N774" s="37">
        <v>0.8</v>
      </c>
      <c r="O774">
        <v>1</v>
      </c>
      <c r="P774" s="37">
        <v>1</v>
      </c>
      <c r="Q774">
        <v>1</v>
      </c>
      <c r="R774">
        <v>1329</v>
      </c>
      <c r="S774">
        <v>1329</v>
      </c>
      <c r="T774">
        <v>1200</v>
      </c>
      <c r="U774" t="s">
        <v>2371</v>
      </c>
      <c r="W774" t="s">
        <v>2387</v>
      </c>
      <c r="Y774" t="s">
        <v>2400</v>
      </c>
      <c r="Z774" s="37">
        <v>1</v>
      </c>
      <c r="AA774" s="37">
        <v>0.1</v>
      </c>
      <c r="AB774">
        <v>1</v>
      </c>
    </row>
    <row r="775">
      <c r="A775" t="s">
        <v>2413</v>
      </c>
      <c r="B775" t="s">
        <v>2356</v>
      </c>
      <c r="C775" t="s">
        <v>2356</v>
      </c>
      <c r="D775" t="s">
        <v>2357</v>
      </c>
      <c r="E775" t="s">
        <v>2414</v>
      </c>
      <c r="F775" t="s">
        <v>298</v>
      </c>
      <c r="G775" t="s">
        <v>2403</v>
      </c>
      <c r="H775" t="s">
        <v>2407</v>
      </c>
      <c r="I775" t="s">
        <v>2408</v>
      </c>
      <c r="J775" t="s">
        <v>1755</v>
      </c>
      <c r="L775" t="s">
        <v>2416</v>
      </c>
      <c r="M775" s="37">
        <v>1</v>
      </c>
      <c r="N775" s="37">
        <v>0.1</v>
      </c>
      <c r="O775">
        <v>1</v>
      </c>
      <c r="P775" s="37">
        <v>1</v>
      </c>
      <c r="Q775">
        <v>1</v>
      </c>
      <c r="R775">
        <v>1329</v>
      </c>
      <c r="S775">
        <v>1329</v>
      </c>
      <c r="T775">
        <v>1200</v>
      </c>
      <c r="U775" t="s">
        <v>2371</v>
      </c>
      <c r="W775" t="s">
        <v>2387</v>
      </c>
      <c r="Y775" t="s">
        <v>2400</v>
      </c>
      <c r="Z775" s="37">
        <v>1</v>
      </c>
      <c r="AA775" s="37">
        <v>0.1</v>
      </c>
      <c r="AB775">
        <v>1</v>
      </c>
    </row>
    <row r="776">
      <c r="A776" t="s">
        <v>2413</v>
      </c>
      <c r="B776" t="s">
        <v>2356</v>
      </c>
      <c r="C776" t="s">
        <v>2356</v>
      </c>
      <c r="D776" t="s">
        <v>2357</v>
      </c>
      <c r="E776" t="s">
        <v>2414</v>
      </c>
      <c r="F776" t="s">
        <v>298</v>
      </c>
      <c r="G776" t="s">
        <v>2403</v>
      </c>
      <c r="H776" t="s">
        <v>2410</v>
      </c>
      <c r="I776" t="s">
        <v>2416</v>
      </c>
      <c r="J776" t="s">
        <v>1755</v>
      </c>
      <c r="L776" t="s">
        <v>2417</v>
      </c>
      <c r="M776" s="37">
        <v>1</v>
      </c>
      <c r="N776" s="37">
        <v>0.1</v>
      </c>
      <c r="O776">
        <v>1</v>
      </c>
      <c r="P776" s="37">
        <v>1</v>
      </c>
      <c r="Q776">
        <v>1</v>
      </c>
      <c r="R776">
        <v>1329</v>
      </c>
      <c r="S776">
        <v>1329</v>
      </c>
      <c r="T776">
        <v>1200</v>
      </c>
      <c r="U776" t="s">
        <v>2371</v>
      </c>
      <c r="W776" t="s">
        <v>2387</v>
      </c>
      <c r="Y776" t="s">
        <v>2400</v>
      </c>
      <c r="Z776" s="37">
        <v>1</v>
      </c>
      <c r="AA776" s="37">
        <v>0.1</v>
      </c>
      <c r="AB776">
        <v>1</v>
      </c>
    </row>
    <row r="777">
      <c r="A777" t="s">
        <v>2418</v>
      </c>
      <c r="B777" t="s">
        <v>2356</v>
      </c>
      <c r="C777" t="s">
        <v>2356</v>
      </c>
      <c r="D777" t="s">
        <v>2357</v>
      </c>
      <c r="E777" t="s">
        <v>2419</v>
      </c>
      <c r="F777" t="s">
        <v>298</v>
      </c>
      <c r="G777" t="s">
        <v>2403</v>
      </c>
      <c r="H777" t="s">
        <v>2404</v>
      </c>
      <c r="I777" t="s">
        <v>2420</v>
      </c>
      <c r="J777" t="s">
        <v>1755</v>
      </c>
      <c r="K777" t="s">
        <v>2421</v>
      </c>
      <c r="L777" t="s">
        <v>2422</v>
      </c>
      <c r="M777" s="37">
        <v>0.98</v>
      </c>
      <c r="N777" s="37">
        <v>0.6</v>
      </c>
      <c r="O777">
        <v>0.98</v>
      </c>
      <c r="P777" s="37">
        <v>0.87395</v>
      </c>
      <c r="Q777">
        <v>0.97</v>
      </c>
      <c r="R777">
        <v>1164</v>
      </c>
      <c r="S777">
        <v>1164</v>
      </c>
      <c r="T777">
        <v>1200</v>
      </c>
      <c r="U777" t="s">
        <v>2371</v>
      </c>
      <c r="W777" t="s">
        <v>2387</v>
      </c>
      <c r="Y777" t="s">
        <v>2400</v>
      </c>
      <c r="Z777" s="37">
        <v>1</v>
      </c>
      <c r="AA777" s="37">
        <v>0.1</v>
      </c>
      <c r="AB777">
        <v>1</v>
      </c>
    </row>
    <row r="778">
      <c r="A778" t="s">
        <v>2418</v>
      </c>
      <c r="B778" t="s">
        <v>2356</v>
      </c>
      <c r="C778" t="s">
        <v>2356</v>
      </c>
      <c r="D778" t="s">
        <v>2357</v>
      </c>
      <c r="E778" t="s">
        <v>2419</v>
      </c>
      <c r="F778" t="s">
        <v>298</v>
      </c>
      <c r="G778" t="s">
        <v>2403</v>
      </c>
      <c r="H778" t="s">
        <v>2407</v>
      </c>
      <c r="I778" t="s">
        <v>2423</v>
      </c>
      <c r="J778" t="s">
        <v>1755</v>
      </c>
      <c r="L778" t="s">
        <v>2424</v>
      </c>
      <c r="M778" s="37">
        <v>1</v>
      </c>
      <c r="N778" s="37">
        <v>0.1</v>
      </c>
      <c r="O778">
        <v>1</v>
      </c>
      <c r="P778" s="37">
        <v>0.87395</v>
      </c>
      <c r="Q778">
        <v>0.97</v>
      </c>
      <c r="R778">
        <v>1164</v>
      </c>
      <c r="S778">
        <v>1164</v>
      </c>
      <c r="T778">
        <v>1200</v>
      </c>
      <c r="U778" t="s">
        <v>2371</v>
      </c>
      <c r="W778" t="s">
        <v>2387</v>
      </c>
      <c r="Y778" t="s">
        <v>2400</v>
      </c>
      <c r="Z778" s="37">
        <v>1</v>
      </c>
      <c r="AA778" s="37">
        <v>0.1</v>
      </c>
      <c r="AB778">
        <v>1</v>
      </c>
    </row>
    <row r="779">
      <c r="A779" t="s">
        <v>2418</v>
      </c>
      <c r="B779" t="s">
        <v>2356</v>
      </c>
      <c r="C779" t="s">
        <v>2356</v>
      </c>
      <c r="D779" t="s">
        <v>2357</v>
      </c>
      <c r="E779" t="s">
        <v>2419</v>
      </c>
      <c r="F779" t="s">
        <v>298</v>
      </c>
      <c r="G779" t="s">
        <v>2403</v>
      </c>
      <c r="H779" t="s">
        <v>2410</v>
      </c>
      <c r="I779" t="s">
        <v>2425</v>
      </c>
      <c r="J779" t="s">
        <v>1755</v>
      </c>
      <c r="L779" t="s">
        <v>2426</v>
      </c>
      <c r="M779" s="37">
        <v>0.0095</v>
      </c>
      <c r="N779" s="37">
        <v>0.1</v>
      </c>
      <c r="O779">
        <v>0.95</v>
      </c>
      <c r="P779" s="37">
        <v>0.87395</v>
      </c>
      <c r="Q779">
        <v>0.97</v>
      </c>
      <c r="R779">
        <v>1164</v>
      </c>
      <c r="S779">
        <v>1164</v>
      </c>
      <c r="T779">
        <v>1200</v>
      </c>
      <c r="U779" t="s">
        <v>2371</v>
      </c>
      <c r="W779" t="s">
        <v>2387</v>
      </c>
      <c r="Y779" t="s">
        <v>2400</v>
      </c>
      <c r="Z779" s="37">
        <v>1</v>
      </c>
      <c r="AA779" s="37">
        <v>0.1</v>
      </c>
      <c r="AB779">
        <v>1</v>
      </c>
    </row>
    <row r="780">
      <c r="A780" t="s">
        <v>2418</v>
      </c>
      <c r="B780" t="s">
        <v>2356</v>
      </c>
      <c r="C780" t="s">
        <v>2356</v>
      </c>
      <c r="D780" t="s">
        <v>2357</v>
      </c>
      <c r="E780" t="s">
        <v>2419</v>
      </c>
      <c r="F780" t="s">
        <v>298</v>
      </c>
      <c r="G780" t="s">
        <v>2403</v>
      </c>
      <c r="H780" t="s">
        <v>2404</v>
      </c>
      <c r="I780" t="s">
        <v>2427</v>
      </c>
      <c r="J780" t="s">
        <v>1755</v>
      </c>
      <c r="K780" t="s">
        <v>1755</v>
      </c>
      <c r="L780" t="s">
        <v>2428</v>
      </c>
      <c r="M780" s="37">
        <v>1</v>
      </c>
      <c r="N780" s="37">
        <v>0.05</v>
      </c>
      <c r="O780">
        <v>1</v>
      </c>
      <c r="P780" s="37">
        <v>0.87395</v>
      </c>
      <c r="Q780">
        <v>0.97</v>
      </c>
      <c r="R780">
        <v>1164</v>
      </c>
      <c r="S780">
        <v>1164</v>
      </c>
      <c r="T780">
        <v>1200</v>
      </c>
      <c r="U780" t="s">
        <v>2371</v>
      </c>
      <c r="W780" t="s">
        <v>2387</v>
      </c>
      <c r="Y780" t="s">
        <v>2400</v>
      </c>
      <c r="Z780" s="37">
        <v>1</v>
      </c>
      <c r="AA780" s="37">
        <v>0.1</v>
      </c>
      <c r="AB780">
        <v>1</v>
      </c>
    </row>
    <row r="781">
      <c r="A781" t="s">
        <v>2418</v>
      </c>
      <c r="B781" t="s">
        <v>2356</v>
      </c>
      <c r="C781" t="s">
        <v>2356</v>
      </c>
      <c r="D781" t="s">
        <v>2357</v>
      </c>
      <c r="E781" t="s">
        <v>2419</v>
      </c>
      <c r="F781" t="s">
        <v>298</v>
      </c>
      <c r="G781" t="s">
        <v>2403</v>
      </c>
      <c r="H781" t="s">
        <v>2404</v>
      </c>
      <c r="I781" t="s">
        <v>2429</v>
      </c>
      <c r="J781" t="s">
        <v>1755</v>
      </c>
      <c r="K781" t="s">
        <v>2430</v>
      </c>
      <c r="L781" t="s">
        <v>2431</v>
      </c>
      <c r="M781" s="37">
        <v>0.9</v>
      </c>
      <c r="N781" s="37">
        <v>0.15</v>
      </c>
      <c r="O781">
        <v>0.9</v>
      </c>
      <c r="P781" s="37">
        <v>0.87395</v>
      </c>
      <c r="Q781">
        <v>0.97</v>
      </c>
      <c r="R781">
        <v>1164</v>
      </c>
      <c r="S781">
        <v>1164</v>
      </c>
      <c r="T781">
        <v>1200</v>
      </c>
      <c r="U781" t="s">
        <v>2371</v>
      </c>
      <c r="W781" t="s">
        <v>2387</v>
      </c>
      <c r="Y781" t="s">
        <v>2400</v>
      </c>
      <c r="Z781" s="37">
        <v>1</v>
      </c>
      <c r="AA781" s="37">
        <v>0.1</v>
      </c>
      <c r="AB781">
        <v>1</v>
      </c>
    </row>
    <row r="782">
      <c r="A782" t="s">
        <v>2432</v>
      </c>
      <c r="B782" t="s">
        <v>2356</v>
      </c>
      <c r="C782" t="s">
        <v>2356</v>
      </c>
      <c r="D782" t="s">
        <v>2357</v>
      </c>
      <c r="E782" t="s">
        <v>2433</v>
      </c>
      <c r="F782" t="s">
        <v>298</v>
      </c>
      <c r="G782" t="s">
        <v>2403</v>
      </c>
      <c r="H782" t="s">
        <v>2404</v>
      </c>
      <c r="I782" t="s">
        <v>2434</v>
      </c>
      <c r="J782" t="s">
        <v>1755</v>
      </c>
      <c r="K782" t="s">
        <v>1755</v>
      </c>
      <c r="L782" t="s">
        <v>2435</v>
      </c>
      <c r="M782" s="37">
        <v>0.98</v>
      </c>
      <c r="N782" s="37">
        <v>0.8</v>
      </c>
      <c r="O782">
        <v>0.98</v>
      </c>
      <c r="P782" s="37">
        <v>0.964</v>
      </c>
      <c r="Q782">
        <v>0.96</v>
      </c>
      <c r="R782">
        <v>1152</v>
      </c>
      <c r="S782">
        <v>1152</v>
      </c>
      <c r="T782">
        <v>1200</v>
      </c>
      <c r="U782" t="s">
        <v>2371</v>
      </c>
      <c r="W782" t="s">
        <v>2387</v>
      </c>
      <c r="Y782" t="s">
        <v>2400</v>
      </c>
      <c r="Z782" s="37">
        <v>1</v>
      </c>
      <c r="AA782" s="37">
        <v>0.1</v>
      </c>
      <c r="AB782">
        <v>1</v>
      </c>
    </row>
    <row r="783">
      <c r="A783" t="s">
        <v>2432</v>
      </c>
      <c r="B783" t="s">
        <v>2356</v>
      </c>
      <c r="C783" t="s">
        <v>2356</v>
      </c>
      <c r="D783" t="s">
        <v>2357</v>
      </c>
      <c r="E783" t="s">
        <v>2433</v>
      </c>
      <c r="F783" t="s">
        <v>298</v>
      </c>
      <c r="G783" t="s">
        <v>2403</v>
      </c>
      <c r="H783" t="s">
        <v>2407</v>
      </c>
      <c r="I783" t="s">
        <v>2408</v>
      </c>
      <c r="J783" t="s">
        <v>1755</v>
      </c>
      <c r="L783" t="s">
        <v>2436</v>
      </c>
      <c r="M783" s="37">
        <v>0.9</v>
      </c>
      <c r="N783" s="37">
        <v>0.1</v>
      </c>
      <c r="O783">
        <v>0.9</v>
      </c>
      <c r="P783" s="37">
        <v>0.964</v>
      </c>
      <c r="Q783">
        <v>0.96</v>
      </c>
      <c r="R783">
        <v>1152</v>
      </c>
      <c r="S783">
        <v>1152</v>
      </c>
      <c r="T783">
        <v>1200</v>
      </c>
      <c r="U783" t="s">
        <v>2371</v>
      </c>
      <c r="W783" t="s">
        <v>2387</v>
      </c>
      <c r="Y783" t="s">
        <v>2400</v>
      </c>
      <c r="Z783" s="37">
        <v>1</v>
      </c>
      <c r="AA783" s="37">
        <v>0.1</v>
      </c>
      <c r="AB783">
        <v>1</v>
      </c>
    </row>
    <row r="784">
      <c r="A784" t="s">
        <v>2432</v>
      </c>
      <c r="B784" t="s">
        <v>2356</v>
      </c>
      <c r="C784" t="s">
        <v>2356</v>
      </c>
      <c r="D784" t="s">
        <v>2357</v>
      </c>
      <c r="E784" t="s">
        <v>2433</v>
      </c>
      <c r="F784" t="s">
        <v>298</v>
      </c>
      <c r="G784" t="s">
        <v>2403</v>
      </c>
      <c r="H784" t="s">
        <v>2410</v>
      </c>
      <c r="I784" t="s">
        <v>2411</v>
      </c>
      <c r="J784" t="s">
        <v>1755</v>
      </c>
      <c r="L784" t="s">
        <v>2437</v>
      </c>
      <c r="M784" s="37">
        <v>0.9</v>
      </c>
      <c r="N784" s="37">
        <v>0.1</v>
      </c>
      <c r="O784">
        <v>0.9</v>
      </c>
      <c r="P784" s="37">
        <v>0.964</v>
      </c>
      <c r="Q784">
        <v>0.96</v>
      </c>
      <c r="R784">
        <v>1152</v>
      </c>
      <c r="S784">
        <v>1152</v>
      </c>
      <c r="T784">
        <v>1200</v>
      </c>
      <c r="U784" t="s">
        <v>2371</v>
      </c>
      <c r="W784" t="s">
        <v>2387</v>
      </c>
      <c r="Y784" t="s">
        <v>2400</v>
      </c>
      <c r="Z784" s="37">
        <v>1</v>
      </c>
      <c r="AA784" s="37">
        <v>0.1</v>
      </c>
      <c r="AB784">
        <v>1</v>
      </c>
    </row>
    <row r="785">
      <c r="A785" t="s">
        <v>2438</v>
      </c>
      <c r="B785" t="s">
        <v>2356</v>
      </c>
      <c r="C785" t="s">
        <v>2356</v>
      </c>
      <c r="D785" t="s">
        <v>2357</v>
      </c>
      <c r="E785" t="s">
        <v>2439</v>
      </c>
      <c r="F785" t="s">
        <v>298</v>
      </c>
      <c r="G785" t="s">
        <v>2403</v>
      </c>
      <c r="H785" t="s">
        <v>2404</v>
      </c>
      <c r="I785" t="s">
        <v>2440</v>
      </c>
      <c r="J785" s="38">
        <v>1</v>
      </c>
      <c r="K785" s="38">
        <v>1</v>
      </c>
      <c r="L785" t="s">
        <v>2437</v>
      </c>
      <c r="M785" s="37">
        <v>1</v>
      </c>
      <c r="N785" s="37">
        <v>0.2</v>
      </c>
      <c r="O785">
        <v>1</v>
      </c>
      <c r="P785" s="37">
        <v>0.957</v>
      </c>
      <c r="Q785">
        <v>0.95</v>
      </c>
      <c r="R785">
        <v>1140</v>
      </c>
      <c r="S785">
        <v>1140</v>
      </c>
      <c r="T785">
        <v>1200</v>
      </c>
      <c r="U785" t="s">
        <v>2371</v>
      </c>
      <c r="W785" t="s">
        <v>2387</v>
      </c>
      <c r="Y785" t="s">
        <v>2400</v>
      </c>
      <c r="Z785" s="37">
        <v>1</v>
      </c>
      <c r="AA785" s="37">
        <v>0.1</v>
      </c>
      <c r="AB785">
        <v>1</v>
      </c>
    </row>
    <row r="786">
      <c r="A786" t="s">
        <v>2438</v>
      </c>
      <c r="B786" t="s">
        <v>2356</v>
      </c>
      <c r="C786" t="s">
        <v>2356</v>
      </c>
      <c r="D786" t="s">
        <v>2357</v>
      </c>
      <c r="E786" t="s">
        <v>2439</v>
      </c>
      <c r="F786" t="s">
        <v>298</v>
      </c>
      <c r="G786" t="s">
        <v>2403</v>
      </c>
      <c r="H786" t="s">
        <v>2407</v>
      </c>
      <c r="I786" t="s">
        <v>2408</v>
      </c>
      <c r="J786" s="38">
        <v>1</v>
      </c>
      <c r="L786" t="s">
        <v>2441</v>
      </c>
      <c r="M786" s="37">
        <v>0.9</v>
      </c>
      <c r="N786" s="37">
        <v>0.1</v>
      </c>
      <c r="O786">
        <v>0.9</v>
      </c>
      <c r="P786" s="37">
        <v>0.957</v>
      </c>
      <c r="Q786">
        <v>0.95</v>
      </c>
      <c r="R786">
        <v>1140</v>
      </c>
      <c r="S786">
        <v>1140</v>
      </c>
      <c r="T786">
        <v>1200</v>
      </c>
      <c r="U786" t="s">
        <v>2371</v>
      </c>
      <c r="W786" t="s">
        <v>2387</v>
      </c>
      <c r="Y786" t="s">
        <v>2400</v>
      </c>
      <c r="Z786" s="37">
        <v>1</v>
      </c>
      <c r="AA786" s="37">
        <v>0.1</v>
      </c>
      <c r="AB786">
        <v>1</v>
      </c>
    </row>
    <row r="787">
      <c r="A787" t="s">
        <v>2438</v>
      </c>
      <c r="B787" t="s">
        <v>2356</v>
      </c>
      <c r="C787" t="s">
        <v>2356</v>
      </c>
      <c r="D787" t="s">
        <v>2357</v>
      </c>
      <c r="E787" t="s">
        <v>2439</v>
      </c>
      <c r="F787" t="s">
        <v>298</v>
      </c>
      <c r="G787" t="s">
        <v>2403</v>
      </c>
      <c r="H787" t="s">
        <v>2410</v>
      </c>
      <c r="I787" t="s">
        <v>2411</v>
      </c>
      <c r="J787" s="38">
        <v>1</v>
      </c>
      <c r="L787" t="s">
        <v>2442</v>
      </c>
      <c r="M787" s="37">
        <v>0.85</v>
      </c>
      <c r="N787" s="37">
        <v>0.1</v>
      </c>
      <c r="O787">
        <v>0.85</v>
      </c>
      <c r="P787" s="37">
        <v>0.957</v>
      </c>
      <c r="Q787">
        <v>0.95</v>
      </c>
      <c r="R787">
        <v>1140</v>
      </c>
      <c r="S787">
        <v>1140</v>
      </c>
      <c r="T787">
        <v>1200</v>
      </c>
      <c r="U787" t="s">
        <v>2371</v>
      </c>
      <c r="W787" t="s">
        <v>2387</v>
      </c>
      <c r="Y787" t="s">
        <v>2400</v>
      </c>
      <c r="Z787" s="37">
        <v>1</v>
      </c>
      <c r="AA787" s="37">
        <v>0.1</v>
      </c>
      <c r="AB787">
        <v>1</v>
      </c>
    </row>
    <row r="788">
      <c r="A788" t="s">
        <v>2438</v>
      </c>
      <c r="B788" t="s">
        <v>2356</v>
      </c>
      <c r="C788" t="s">
        <v>2356</v>
      </c>
      <c r="D788" t="s">
        <v>2357</v>
      </c>
      <c r="E788" t="s">
        <v>2439</v>
      </c>
      <c r="F788" t="s">
        <v>298</v>
      </c>
      <c r="G788" t="s">
        <v>2403</v>
      </c>
      <c r="H788" t="s">
        <v>2404</v>
      </c>
      <c r="I788" t="s">
        <v>2443</v>
      </c>
      <c r="J788" s="38">
        <v>1</v>
      </c>
      <c r="K788" s="38">
        <v>1</v>
      </c>
      <c r="L788" t="s">
        <v>2442</v>
      </c>
      <c r="M788" s="37">
        <v>1</v>
      </c>
      <c r="N788" s="37">
        <v>0.1</v>
      </c>
      <c r="O788">
        <v>1</v>
      </c>
      <c r="P788" s="37">
        <v>0.957</v>
      </c>
      <c r="Q788">
        <v>0.95</v>
      </c>
      <c r="R788">
        <v>1140</v>
      </c>
      <c r="S788">
        <v>1140</v>
      </c>
      <c r="T788">
        <v>1200</v>
      </c>
      <c r="U788" t="s">
        <v>2371</v>
      </c>
      <c r="W788" t="s">
        <v>2387</v>
      </c>
      <c r="Y788" t="s">
        <v>2400</v>
      </c>
      <c r="Z788" s="37">
        <v>1</v>
      </c>
      <c r="AA788" s="37">
        <v>0.1</v>
      </c>
      <c r="AB788">
        <v>1</v>
      </c>
    </row>
    <row r="789">
      <c r="A789" t="s">
        <v>2438</v>
      </c>
      <c r="B789" t="s">
        <v>2356</v>
      </c>
      <c r="C789" t="s">
        <v>2356</v>
      </c>
      <c r="D789" t="s">
        <v>2357</v>
      </c>
      <c r="E789" t="s">
        <v>2439</v>
      </c>
      <c r="F789" t="s">
        <v>298</v>
      </c>
      <c r="G789" t="s">
        <v>2403</v>
      </c>
      <c r="H789" t="s">
        <v>2404</v>
      </c>
      <c r="I789" t="s">
        <v>2444</v>
      </c>
      <c r="J789" s="38">
        <v>1</v>
      </c>
      <c r="K789" s="38">
        <v>1</v>
      </c>
      <c r="L789" t="s">
        <v>2442</v>
      </c>
      <c r="M789" s="37">
        <v>1</v>
      </c>
      <c r="N789" s="37">
        <v>0.05</v>
      </c>
      <c r="O789">
        <v>1</v>
      </c>
      <c r="P789" s="37">
        <v>0.957</v>
      </c>
      <c r="Q789">
        <v>0.95</v>
      </c>
      <c r="R789">
        <v>1140</v>
      </c>
      <c r="S789">
        <v>1140</v>
      </c>
      <c r="T789">
        <v>1200</v>
      </c>
      <c r="U789" t="s">
        <v>2371</v>
      </c>
      <c r="W789" t="s">
        <v>2387</v>
      </c>
      <c r="Y789" t="s">
        <v>2400</v>
      </c>
      <c r="Z789" s="37">
        <v>1</v>
      </c>
      <c r="AA789" s="37">
        <v>0.1</v>
      </c>
      <c r="AB789">
        <v>1</v>
      </c>
    </row>
    <row r="790">
      <c r="A790" t="s">
        <v>2438</v>
      </c>
      <c r="B790" t="s">
        <v>2356</v>
      </c>
      <c r="C790" t="s">
        <v>2356</v>
      </c>
      <c r="D790" t="s">
        <v>2357</v>
      </c>
      <c r="E790" t="s">
        <v>2439</v>
      </c>
      <c r="F790" t="s">
        <v>298</v>
      </c>
      <c r="G790" t="s">
        <v>2403</v>
      </c>
      <c r="H790" t="s">
        <v>2404</v>
      </c>
      <c r="I790" t="s">
        <v>2445</v>
      </c>
      <c r="J790" t="s">
        <v>1755</v>
      </c>
      <c r="K790" t="s">
        <v>2446</v>
      </c>
      <c r="L790" t="s">
        <v>2442</v>
      </c>
      <c r="M790" s="37">
        <v>0.96</v>
      </c>
      <c r="N790" s="37">
        <v>0.45</v>
      </c>
      <c r="O790">
        <v>0.96</v>
      </c>
      <c r="P790" s="37">
        <v>0.957</v>
      </c>
      <c r="Q790">
        <v>0.95</v>
      </c>
      <c r="R790">
        <v>1140</v>
      </c>
      <c r="S790">
        <v>1140</v>
      </c>
      <c r="T790">
        <v>1200</v>
      </c>
      <c r="U790" t="s">
        <v>2371</v>
      </c>
      <c r="W790" t="s">
        <v>2387</v>
      </c>
      <c r="Y790" t="s">
        <v>2400</v>
      </c>
      <c r="Z790" s="37">
        <v>1</v>
      </c>
      <c r="AA790" s="37">
        <v>0.1</v>
      </c>
      <c r="AB790">
        <v>1</v>
      </c>
    </row>
    <row r="791">
      <c r="A791" t="s">
        <v>2447</v>
      </c>
      <c r="B791" t="s">
        <v>2356</v>
      </c>
      <c r="C791" t="s">
        <v>2356</v>
      </c>
      <c r="D791" t="s">
        <v>2357</v>
      </c>
      <c r="E791" t="s">
        <v>2448</v>
      </c>
      <c r="F791" t="s">
        <v>298</v>
      </c>
      <c r="G791" t="s">
        <v>2403</v>
      </c>
      <c r="H791" t="s">
        <v>2404</v>
      </c>
      <c r="I791" t="s">
        <v>2445</v>
      </c>
      <c r="J791" t="s">
        <v>1755</v>
      </c>
      <c r="K791" t="s">
        <v>1755</v>
      </c>
      <c r="L791" t="s">
        <v>2442</v>
      </c>
      <c r="M791" s="37">
        <v>1</v>
      </c>
      <c r="N791" s="37">
        <v>0.8</v>
      </c>
      <c r="O791">
        <v>1</v>
      </c>
      <c r="P791" s="37">
        <v>1</v>
      </c>
      <c r="Q791">
        <v>1</v>
      </c>
      <c r="R791">
        <v>1329</v>
      </c>
      <c r="S791">
        <v>1329</v>
      </c>
      <c r="T791">
        <v>1200</v>
      </c>
      <c r="U791" t="s">
        <v>2371</v>
      </c>
      <c r="W791" t="s">
        <v>2387</v>
      </c>
      <c r="Y791" t="s">
        <v>2400</v>
      </c>
      <c r="Z791" s="37">
        <v>1</v>
      </c>
      <c r="AA791" s="37">
        <v>0.1</v>
      </c>
      <c r="AB791">
        <v>1</v>
      </c>
    </row>
    <row r="792">
      <c r="A792" t="s">
        <v>2447</v>
      </c>
      <c r="B792" t="s">
        <v>2356</v>
      </c>
      <c r="C792" t="s">
        <v>2356</v>
      </c>
      <c r="D792" t="s">
        <v>2357</v>
      </c>
      <c r="E792" t="s">
        <v>2448</v>
      </c>
      <c r="F792" t="s">
        <v>298</v>
      </c>
      <c r="G792" t="s">
        <v>2403</v>
      </c>
      <c r="H792" t="s">
        <v>2407</v>
      </c>
      <c r="I792" t="s">
        <v>2408</v>
      </c>
      <c r="J792" t="s">
        <v>1755</v>
      </c>
      <c r="L792" t="s">
        <v>2449</v>
      </c>
      <c r="M792" s="37">
        <v>1</v>
      </c>
      <c r="N792" s="37">
        <v>0.1</v>
      </c>
      <c r="O792">
        <v>1</v>
      </c>
      <c r="P792" s="37">
        <v>1</v>
      </c>
      <c r="Q792">
        <v>1</v>
      </c>
      <c r="R792">
        <v>1329</v>
      </c>
      <c r="S792">
        <v>1329</v>
      </c>
      <c r="T792">
        <v>1200</v>
      </c>
      <c r="U792" t="s">
        <v>2371</v>
      </c>
      <c r="W792" t="s">
        <v>2387</v>
      </c>
      <c r="Y792" t="s">
        <v>2400</v>
      </c>
      <c r="Z792" s="37">
        <v>1</v>
      </c>
      <c r="AA792" s="37">
        <v>0.1</v>
      </c>
      <c r="AB792">
        <v>1</v>
      </c>
    </row>
    <row r="793">
      <c r="A793" t="s">
        <v>2447</v>
      </c>
      <c r="B793" t="s">
        <v>2356</v>
      </c>
      <c r="C793" t="s">
        <v>2356</v>
      </c>
      <c r="D793" t="s">
        <v>2357</v>
      </c>
      <c r="E793" t="s">
        <v>2448</v>
      </c>
      <c r="F793" t="s">
        <v>298</v>
      </c>
      <c r="G793" t="s">
        <v>2403</v>
      </c>
      <c r="H793" t="s">
        <v>2410</v>
      </c>
      <c r="I793" t="s">
        <v>2411</v>
      </c>
      <c r="J793" t="s">
        <v>1755</v>
      </c>
      <c r="L793" t="s">
        <v>2450</v>
      </c>
      <c r="M793" s="37">
        <v>1</v>
      </c>
      <c r="N793" s="37">
        <v>0.1</v>
      </c>
      <c r="O793">
        <v>1</v>
      </c>
      <c r="P793" s="37">
        <v>1</v>
      </c>
      <c r="Q793">
        <v>1</v>
      </c>
      <c r="R793">
        <v>1329</v>
      </c>
      <c r="S793">
        <v>1329</v>
      </c>
      <c r="T793">
        <v>1200</v>
      </c>
      <c r="U793" t="s">
        <v>2371</v>
      </c>
      <c r="W793" t="s">
        <v>2387</v>
      </c>
      <c r="Y793" t="s">
        <v>2400</v>
      </c>
      <c r="Z793" s="37">
        <v>1</v>
      </c>
      <c r="AA793" s="37">
        <v>0.1</v>
      </c>
      <c r="AB793">
        <v>1</v>
      </c>
    </row>
    <row r="794">
      <c r="A794" t="s">
        <v>2451</v>
      </c>
      <c r="B794" t="s">
        <v>2356</v>
      </c>
      <c r="C794" t="s">
        <v>2356</v>
      </c>
      <c r="D794" t="s">
        <v>2357</v>
      </c>
      <c r="E794" t="s">
        <v>2452</v>
      </c>
      <c r="F794" t="s">
        <v>298</v>
      </c>
      <c r="G794" t="s">
        <v>2403</v>
      </c>
      <c r="H794" t="s">
        <v>2404</v>
      </c>
      <c r="I794" t="s">
        <v>2453</v>
      </c>
      <c r="J794" t="s">
        <v>1755</v>
      </c>
      <c r="K794" t="s">
        <v>2454</v>
      </c>
      <c r="L794" t="s">
        <v>2455</v>
      </c>
      <c r="M794" s="37">
        <v>1</v>
      </c>
      <c r="N794" s="37">
        <v>0.8</v>
      </c>
      <c r="O794">
        <v>1</v>
      </c>
      <c r="P794" s="37">
        <v>1</v>
      </c>
      <c r="Q794">
        <v>1</v>
      </c>
      <c r="R794">
        <v>1329</v>
      </c>
      <c r="S794">
        <v>1329</v>
      </c>
      <c r="T794">
        <v>1200</v>
      </c>
      <c r="U794" t="s">
        <v>2371</v>
      </c>
      <c r="W794" t="s">
        <v>2387</v>
      </c>
      <c r="Y794" t="s">
        <v>2400</v>
      </c>
      <c r="Z794" s="37">
        <v>1</v>
      </c>
      <c r="AA794" s="37">
        <v>0.1</v>
      </c>
      <c r="AB794">
        <v>1</v>
      </c>
    </row>
    <row r="795">
      <c r="A795" t="s">
        <v>2451</v>
      </c>
      <c r="B795" t="s">
        <v>2356</v>
      </c>
      <c r="C795" t="s">
        <v>2356</v>
      </c>
      <c r="D795" t="s">
        <v>2357</v>
      </c>
      <c r="E795" t="s">
        <v>2452</v>
      </c>
      <c r="F795" t="s">
        <v>298</v>
      </c>
      <c r="G795" t="s">
        <v>2403</v>
      </c>
      <c r="H795" t="s">
        <v>2407</v>
      </c>
      <c r="I795" t="s">
        <v>2408</v>
      </c>
      <c r="J795" t="s">
        <v>1755</v>
      </c>
      <c r="L795" t="s">
        <v>2456</v>
      </c>
      <c r="M795" s="37">
        <v>1</v>
      </c>
      <c r="N795" s="37">
        <v>0.1</v>
      </c>
      <c r="O795">
        <v>1</v>
      </c>
      <c r="P795" s="37">
        <v>1</v>
      </c>
      <c r="Q795">
        <v>1</v>
      </c>
      <c r="R795">
        <v>1329</v>
      </c>
      <c r="S795">
        <v>1329</v>
      </c>
      <c r="T795">
        <v>1200</v>
      </c>
      <c r="U795" t="s">
        <v>2371</v>
      </c>
      <c r="W795" t="s">
        <v>2387</v>
      </c>
      <c r="Y795" t="s">
        <v>2400</v>
      </c>
      <c r="Z795" s="37">
        <v>1</v>
      </c>
      <c r="AA795" s="37">
        <v>0.1</v>
      </c>
      <c r="AB795">
        <v>1</v>
      </c>
    </row>
    <row r="796">
      <c r="A796" t="s">
        <v>2451</v>
      </c>
      <c r="B796" t="s">
        <v>2356</v>
      </c>
      <c r="C796" t="s">
        <v>2356</v>
      </c>
      <c r="D796" t="s">
        <v>2357</v>
      </c>
      <c r="E796" t="s">
        <v>2452</v>
      </c>
      <c r="F796" t="s">
        <v>298</v>
      </c>
      <c r="G796" t="s">
        <v>2403</v>
      </c>
      <c r="H796" t="s">
        <v>2410</v>
      </c>
      <c r="I796" t="s">
        <v>2411</v>
      </c>
      <c r="J796" t="s">
        <v>1755</v>
      </c>
      <c r="L796" t="s">
        <v>2457</v>
      </c>
      <c r="M796" s="37">
        <v>1</v>
      </c>
      <c r="N796" s="37">
        <v>0.1</v>
      </c>
      <c r="O796">
        <v>1</v>
      </c>
      <c r="P796" s="37">
        <v>1</v>
      </c>
      <c r="Q796">
        <v>1</v>
      </c>
      <c r="R796">
        <v>1329</v>
      </c>
      <c r="S796">
        <v>1329</v>
      </c>
      <c r="T796">
        <v>1200</v>
      </c>
      <c r="U796" t="s">
        <v>2371</v>
      </c>
      <c r="W796" t="s">
        <v>2387</v>
      </c>
      <c r="Y796" t="s">
        <v>2400</v>
      </c>
      <c r="Z796" s="37">
        <v>1</v>
      </c>
      <c r="AA796" s="37">
        <v>0.1</v>
      </c>
      <c r="AB796">
        <v>1</v>
      </c>
    </row>
    <row r="797">
      <c r="A797" t="s">
        <v>2458</v>
      </c>
      <c r="B797" t="s">
        <v>2356</v>
      </c>
      <c r="C797" t="s">
        <v>2356</v>
      </c>
      <c r="D797" t="s">
        <v>2357</v>
      </c>
      <c r="E797" t="s">
        <v>2459</v>
      </c>
      <c r="F797" t="s">
        <v>298</v>
      </c>
      <c r="G797" t="s">
        <v>2403</v>
      </c>
      <c r="H797" t="s">
        <v>2404</v>
      </c>
      <c r="I797" t="s">
        <v>2445</v>
      </c>
      <c r="J797" t="s">
        <v>1755</v>
      </c>
      <c r="K797" t="s">
        <v>1755</v>
      </c>
      <c r="L797" t="s">
        <v>2457</v>
      </c>
      <c r="M797" s="37">
        <v>1</v>
      </c>
      <c r="N797" s="37">
        <v>0.4</v>
      </c>
      <c r="O797">
        <v>1</v>
      </c>
      <c r="P797" s="37">
        <v>0.964</v>
      </c>
      <c r="Q797">
        <v>0.96</v>
      </c>
      <c r="R797">
        <v>1152</v>
      </c>
      <c r="S797">
        <v>1152</v>
      </c>
      <c r="T797">
        <v>1200</v>
      </c>
      <c r="U797" t="s">
        <v>2371</v>
      </c>
      <c r="W797" t="s">
        <v>2387</v>
      </c>
      <c r="Y797" t="s">
        <v>2400</v>
      </c>
      <c r="Z797" s="37">
        <v>1</v>
      </c>
      <c r="AA797" s="37">
        <v>0.1</v>
      </c>
      <c r="AB797">
        <v>1</v>
      </c>
    </row>
    <row r="798">
      <c r="A798" t="s">
        <v>2458</v>
      </c>
      <c r="B798" t="s">
        <v>2356</v>
      </c>
      <c r="C798" t="s">
        <v>2356</v>
      </c>
      <c r="D798" t="s">
        <v>2357</v>
      </c>
      <c r="E798" t="s">
        <v>2459</v>
      </c>
      <c r="F798" t="s">
        <v>298</v>
      </c>
      <c r="G798" t="s">
        <v>2403</v>
      </c>
      <c r="H798" t="s">
        <v>2407</v>
      </c>
      <c r="I798" t="s">
        <v>2408</v>
      </c>
      <c r="J798" t="s">
        <v>1755</v>
      </c>
      <c r="L798" t="s">
        <v>2460</v>
      </c>
      <c r="M798" s="37">
        <v>0.93</v>
      </c>
      <c r="N798" s="37">
        <v>0.1</v>
      </c>
      <c r="O798">
        <v>0.93</v>
      </c>
      <c r="P798" s="37">
        <v>0.964</v>
      </c>
      <c r="Q798">
        <v>0.96</v>
      </c>
      <c r="R798">
        <v>1152</v>
      </c>
      <c r="S798">
        <v>1152</v>
      </c>
      <c r="T798">
        <v>1200</v>
      </c>
      <c r="U798" t="s">
        <v>2371</v>
      </c>
      <c r="W798" t="s">
        <v>2387</v>
      </c>
      <c r="Y798" t="s">
        <v>2400</v>
      </c>
      <c r="Z798" s="37">
        <v>1</v>
      </c>
      <c r="AA798" s="37">
        <v>0.1</v>
      </c>
      <c r="AB798">
        <v>1</v>
      </c>
    </row>
    <row r="799">
      <c r="A799" t="s">
        <v>2458</v>
      </c>
      <c r="B799" t="s">
        <v>2356</v>
      </c>
      <c r="C799" t="s">
        <v>2356</v>
      </c>
      <c r="D799" t="s">
        <v>2357</v>
      </c>
      <c r="E799" t="s">
        <v>2459</v>
      </c>
      <c r="F799" t="s">
        <v>298</v>
      </c>
      <c r="G799" t="s">
        <v>2403</v>
      </c>
      <c r="H799" t="s">
        <v>2410</v>
      </c>
      <c r="I799" t="s">
        <v>2411</v>
      </c>
      <c r="J799" t="s">
        <v>1755</v>
      </c>
      <c r="M799" s="37">
        <v>0.95</v>
      </c>
      <c r="N799" s="37">
        <v>0.1</v>
      </c>
      <c r="O799">
        <v>0.95</v>
      </c>
      <c r="P799" s="37">
        <v>0.964</v>
      </c>
      <c r="Q799">
        <v>0.96</v>
      </c>
      <c r="R799">
        <v>1152</v>
      </c>
      <c r="S799">
        <v>1152</v>
      </c>
      <c r="T799">
        <v>1200</v>
      </c>
      <c r="U799" t="s">
        <v>2371</v>
      </c>
      <c r="W799" t="s">
        <v>2387</v>
      </c>
      <c r="Y799" t="s">
        <v>2400</v>
      </c>
      <c r="Z799" s="37">
        <v>1</v>
      </c>
      <c r="AA799" s="37">
        <v>0.1</v>
      </c>
      <c r="AB799">
        <v>1</v>
      </c>
    </row>
    <row r="800">
      <c r="A800" t="s">
        <v>2458</v>
      </c>
      <c r="B800" t="s">
        <v>2356</v>
      </c>
      <c r="C800" t="s">
        <v>2356</v>
      </c>
      <c r="D800" t="s">
        <v>2357</v>
      </c>
      <c r="E800" t="s">
        <v>2459</v>
      </c>
      <c r="F800" t="s">
        <v>298</v>
      </c>
      <c r="G800" t="s">
        <v>2403</v>
      </c>
      <c r="H800" t="s">
        <v>2404</v>
      </c>
      <c r="I800" t="s">
        <v>2461</v>
      </c>
      <c r="J800" t="s">
        <v>1755</v>
      </c>
      <c r="K800" t="s">
        <v>2462</v>
      </c>
      <c r="M800" s="37">
        <v>0.84</v>
      </c>
      <c r="N800" s="37">
        <v>0.15</v>
      </c>
      <c r="O800">
        <v>0.84</v>
      </c>
      <c r="P800" s="37">
        <v>0.964</v>
      </c>
      <c r="Q800">
        <v>0.96</v>
      </c>
      <c r="R800">
        <v>1152</v>
      </c>
      <c r="S800">
        <v>1152</v>
      </c>
      <c r="T800">
        <v>1200</v>
      </c>
      <c r="U800" t="s">
        <v>2371</v>
      </c>
      <c r="W800" t="s">
        <v>2387</v>
      </c>
      <c r="Y800" t="s">
        <v>2400</v>
      </c>
      <c r="Z800" s="37">
        <v>1</v>
      </c>
      <c r="AA800" s="37">
        <v>0.1</v>
      </c>
      <c r="AB800">
        <v>1</v>
      </c>
    </row>
    <row r="801">
      <c r="A801" t="s">
        <v>2458</v>
      </c>
      <c r="B801" t="s">
        <v>2356</v>
      </c>
      <c r="C801" t="s">
        <v>2356</v>
      </c>
      <c r="D801" t="s">
        <v>2357</v>
      </c>
      <c r="E801" t="s">
        <v>2459</v>
      </c>
      <c r="F801" t="s">
        <v>298</v>
      </c>
      <c r="G801" t="s">
        <v>2403</v>
      </c>
      <c r="H801" t="s">
        <v>2404</v>
      </c>
      <c r="I801" t="s">
        <v>2463</v>
      </c>
      <c r="J801" t="s">
        <v>1755</v>
      </c>
      <c r="K801" t="s">
        <v>1755</v>
      </c>
      <c r="M801" s="37">
        <v>1</v>
      </c>
      <c r="N801" s="37">
        <v>0.25</v>
      </c>
      <c r="O801">
        <v>1</v>
      </c>
      <c r="P801" s="37">
        <v>0.964</v>
      </c>
      <c r="Q801">
        <v>0.96</v>
      </c>
      <c r="R801">
        <v>1152</v>
      </c>
      <c r="S801">
        <v>1152</v>
      </c>
      <c r="T801">
        <v>1200</v>
      </c>
      <c r="U801" t="s">
        <v>2371</v>
      </c>
      <c r="W801" t="s">
        <v>2387</v>
      </c>
      <c r="Y801" t="s">
        <v>2400</v>
      </c>
      <c r="Z801" s="37">
        <v>1</v>
      </c>
      <c r="AA801" s="37">
        <v>0.1</v>
      </c>
      <c r="AB801">
        <v>1</v>
      </c>
    </row>
    <row r="802">
      <c r="A802" t="s">
        <v>2464</v>
      </c>
      <c r="B802" t="s">
        <v>2356</v>
      </c>
      <c r="C802" t="s">
        <v>2356</v>
      </c>
      <c r="D802" t="s">
        <v>2357</v>
      </c>
      <c r="E802" t="s">
        <v>2465</v>
      </c>
      <c r="F802" t="s">
        <v>298</v>
      </c>
      <c r="G802" t="s">
        <v>2403</v>
      </c>
      <c r="H802" t="s">
        <v>2407</v>
      </c>
      <c r="I802" t="s">
        <v>2408</v>
      </c>
      <c r="J802" t="s">
        <v>1755</v>
      </c>
      <c r="L802" t="s">
        <v>2466</v>
      </c>
      <c r="M802" s="37">
        <v>1</v>
      </c>
      <c r="N802" s="37">
        <v>0.1</v>
      </c>
      <c r="O802">
        <v>1</v>
      </c>
      <c r="P802" s="37">
        <v>0.99</v>
      </c>
      <c r="Q802">
        <v>0.99</v>
      </c>
      <c r="R802">
        <v>1188</v>
      </c>
      <c r="S802">
        <v>1188</v>
      </c>
      <c r="T802">
        <v>1200</v>
      </c>
      <c r="U802" t="s">
        <v>2371</v>
      </c>
      <c r="W802" t="s">
        <v>2387</v>
      </c>
      <c r="Y802" t="s">
        <v>2400</v>
      </c>
      <c r="Z802" s="37">
        <v>1</v>
      </c>
      <c r="AA802" s="37">
        <v>0.1</v>
      </c>
      <c r="AB802">
        <v>1</v>
      </c>
    </row>
    <row r="803">
      <c r="A803" t="s">
        <v>2464</v>
      </c>
      <c r="B803" t="s">
        <v>2356</v>
      </c>
      <c r="C803" t="s">
        <v>2356</v>
      </c>
      <c r="D803" t="s">
        <v>2357</v>
      </c>
      <c r="E803" t="s">
        <v>2465</v>
      </c>
      <c r="F803" t="s">
        <v>298</v>
      </c>
      <c r="G803" t="s">
        <v>2403</v>
      </c>
      <c r="H803" t="s">
        <v>2410</v>
      </c>
      <c r="I803" t="s">
        <v>2411</v>
      </c>
      <c r="J803" t="s">
        <v>1755</v>
      </c>
      <c r="L803" t="s">
        <v>2467</v>
      </c>
      <c r="M803" s="37">
        <v>0.9</v>
      </c>
      <c r="N803" s="37">
        <v>0.1</v>
      </c>
      <c r="O803">
        <v>0.9</v>
      </c>
      <c r="P803" s="37">
        <v>0.99</v>
      </c>
      <c r="Q803">
        <v>0.99</v>
      </c>
      <c r="R803">
        <v>1188</v>
      </c>
      <c r="S803">
        <v>1188</v>
      </c>
      <c r="T803">
        <v>1200</v>
      </c>
      <c r="U803" t="s">
        <v>2371</v>
      </c>
      <c r="W803" t="s">
        <v>2387</v>
      </c>
      <c r="Y803" t="s">
        <v>2400</v>
      </c>
      <c r="Z803" s="37">
        <v>1</v>
      </c>
      <c r="AA803" s="37">
        <v>0.1</v>
      </c>
      <c r="AB803">
        <v>1</v>
      </c>
    </row>
    <row r="804">
      <c r="A804" t="s">
        <v>2464</v>
      </c>
      <c r="B804" t="s">
        <v>2356</v>
      </c>
      <c r="C804" t="s">
        <v>2356</v>
      </c>
      <c r="D804" t="s">
        <v>2357</v>
      </c>
      <c r="E804" t="s">
        <v>2465</v>
      </c>
      <c r="F804" t="s">
        <v>298</v>
      </c>
      <c r="G804" t="s">
        <v>2403</v>
      </c>
      <c r="H804" t="s">
        <v>2404</v>
      </c>
      <c r="I804" t="s">
        <v>2468</v>
      </c>
      <c r="J804" t="s">
        <v>1755</v>
      </c>
      <c r="K804" t="s">
        <v>1755</v>
      </c>
      <c r="L804" t="s">
        <v>2467</v>
      </c>
      <c r="M804" s="37">
        <v>1</v>
      </c>
      <c r="N804" s="37">
        <v>0.8</v>
      </c>
      <c r="O804">
        <v>1</v>
      </c>
      <c r="P804" s="37">
        <v>0.99</v>
      </c>
      <c r="Q804">
        <v>0.99</v>
      </c>
      <c r="R804">
        <v>1188</v>
      </c>
      <c r="S804">
        <v>1188</v>
      </c>
      <c r="T804">
        <v>1200</v>
      </c>
      <c r="U804" t="s">
        <v>2371</v>
      </c>
      <c r="W804" t="s">
        <v>2387</v>
      </c>
      <c r="Y804" t="s">
        <v>2400</v>
      </c>
      <c r="Z804" s="37">
        <v>1</v>
      </c>
      <c r="AA804" s="37">
        <v>0.1</v>
      </c>
      <c r="AB804">
        <v>1</v>
      </c>
    </row>
    <row r="805">
      <c r="A805" t="s">
        <v>2469</v>
      </c>
      <c r="B805" t="s">
        <v>2356</v>
      </c>
      <c r="C805" t="s">
        <v>2356</v>
      </c>
      <c r="D805" t="s">
        <v>2357</v>
      </c>
      <c r="E805" t="s">
        <v>2470</v>
      </c>
      <c r="F805" t="s">
        <v>298</v>
      </c>
      <c r="G805" t="s">
        <v>2403</v>
      </c>
      <c r="H805" t="s">
        <v>2404</v>
      </c>
      <c r="I805" t="s">
        <v>2471</v>
      </c>
      <c r="J805" t="s">
        <v>1755</v>
      </c>
      <c r="K805" t="s">
        <v>1755</v>
      </c>
      <c r="L805" t="s">
        <v>2467</v>
      </c>
      <c r="M805" s="37">
        <v>1</v>
      </c>
      <c r="N805" s="37">
        <v>0.8</v>
      </c>
      <c r="O805">
        <v>1</v>
      </c>
      <c r="P805" s="37">
        <v>0.99</v>
      </c>
      <c r="Q805">
        <v>0.99</v>
      </c>
      <c r="R805">
        <v>1188</v>
      </c>
      <c r="S805">
        <v>1188</v>
      </c>
      <c r="T805">
        <v>1200</v>
      </c>
      <c r="U805" t="s">
        <v>2371</v>
      </c>
      <c r="W805" t="s">
        <v>2387</v>
      </c>
      <c r="Y805" t="s">
        <v>2400</v>
      </c>
      <c r="Z805" s="37">
        <v>1</v>
      </c>
      <c r="AA805" s="37">
        <v>0.1</v>
      </c>
      <c r="AB805">
        <v>1</v>
      </c>
    </row>
    <row r="806">
      <c r="A806" t="s">
        <v>2469</v>
      </c>
      <c r="B806" t="s">
        <v>2356</v>
      </c>
      <c r="C806" t="s">
        <v>2356</v>
      </c>
      <c r="D806" t="s">
        <v>2357</v>
      </c>
      <c r="E806" t="s">
        <v>2470</v>
      </c>
      <c r="F806" t="s">
        <v>298</v>
      </c>
      <c r="G806" t="s">
        <v>2403</v>
      </c>
      <c r="H806" t="s">
        <v>2407</v>
      </c>
      <c r="I806" t="s">
        <v>2408</v>
      </c>
      <c r="J806" t="s">
        <v>1755</v>
      </c>
      <c r="L806" t="s">
        <v>2472</v>
      </c>
      <c r="M806" s="37">
        <v>1</v>
      </c>
      <c r="N806" s="37">
        <v>0.1</v>
      </c>
      <c r="O806">
        <v>1</v>
      </c>
      <c r="P806" s="37">
        <v>0.99</v>
      </c>
      <c r="Q806">
        <v>0.99</v>
      </c>
      <c r="R806">
        <v>1188</v>
      </c>
      <c r="S806">
        <v>1188</v>
      </c>
      <c r="T806">
        <v>1200</v>
      </c>
      <c r="U806" t="s">
        <v>2371</v>
      </c>
      <c r="W806" t="s">
        <v>2387</v>
      </c>
      <c r="Y806" t="s">
        <v>2400</v>
      </c>
      <c r="Z806" s="37">
        <v>1</v>
      </c>
      <c r="AA806" s="37">
        <v>0.1</v>
      </c>
      <c r="AB806">
        <v>1</v>
      </c>
    </row>
    <row r="807">
      <c r="A807" t="s">
        <v>2469</v>
      </c>
      <c r="B807" t="s">
        <v>2356</v>
      </c>
      <c r="C807" t="s">
        <v>2356</v>
      </c>
      <c r="D807" t="s">
        <v>2357</v>
      </c>
      <c r="E807" t="s">
        <v>2470</v>
      </c>
      <c r="F807" t="s">
        <v>298</v>
      </c>
      <c r="G807" t="s">
        <v>2403</v>
      </c>
      <c r="H807" t="s">
        <v>2410</v>
      </c>
      <c r="I807" t="s">
        <v>2411</v>
      </c>
      <c r="J807" t="s">
        <v>1755</v>
      </c>
      <c r="L807" t="s">
        <v>2473</v>
      </c>
      <c r="M807" s="37">
        <v>0.9</v>
      </c>
      <c r="N807" s="37">
        <v>0.1</v>
      </c>
      <c r="O807">
        <v>0.9</v>
      </c>
      <c r="P807" s="37">
        <v>0.99</v>
      </c>
      <c r="Q807">
        <v>0.99</v>
      </c>
      <c r="R807">
        <v>1188</v>
      </c>
      <c r="S807">
        <v>1188</v>
      </c>
      <c r="T807">
        <v>1200</v>
      </c>
      <c r="U807" t="s">
        <v>2371</v>
      </c>
      <c r="W807" t="s">
        <v>2387</v>
      </c>
      <c r="Y807" t="s">
        <v>2400</v>
      </c>
      <c r="Z807" s="37">
        <v>1</v>
      </c>
      <c r="AA807" s="37">
        <v>0.1</v>
      </c>
      <c r="AB807">
        <v>1</v>
      </c>
    </row>
    <row r="808">
      <c r="A808" t="s">
        <v>2474</v>
      </c>
      <c r="B808" t="s">
        <v>2356</v>
      </c>
      <c r="C808" t="s">
        <v>2356</v>
      </c>
      <c r="D808" t="s">
        <v>2357</v>
      </c>
      <c r="E808" t="s">
        <v>2475</v>
      </c>
      <c r="F808" t="s">
        <v>298</v>
      </c>
      <c r="G808" t="s">
        <v>2403</v>
      </c>
      <c r="H808" t="s">
        <v>2404</v>
      </c>
      <c r="I808" t="s">
        <v>2411</v>
      </c>
      <c r="J808" t="s">
        <v>1755</v>
      </c>
      <c r="K808" t="s">
        <v>1755</v>
      </c>
      <c r="L808" t="s">
        <v>2473</v>
      </c>
      <c r="M808" s="37">
        <v>1</v>
      </c>
      <c r="N808" s="37">
        <v>0.8</v>
      </c>
      <c r="O808">
        <v>1</v>
      </c>
      <c r="P808" s="37">
        <v>0.99</v>
      </c>
      <c r="Q808">
        <v>0.99</v>
      </c>
      <c r="R808">
        <v>1188</v>
      </c>
      <c r="S808">
        <v>1188</v>
      </c>
      <c r="T808">
        <v>1200</v>
      </c>
      <c r="U808" t="s">
        <v>2371</v>
      </c>
      <c r="W808" t="s">
        <v>2387</v>
      </c>
      <c r="Y808" t="s">
        <v>2400</v>
      </c>
      <c r="Z808" s="37">
        <v>1</v>
      </c>
      <c r="AA808" s="37">
        <v>0.1</v>
      </c>
      <c r="AB808">
        <v>1</v>
      </c>
    </row>
    <row r="809">
      <c r="A809" t="s">
        <v>2474</v>
      </c>
      <c r="B809" t="s">
        <v>2356</v>
      </c>
      <c r="C809" t="s">
        <v>2356</v>
      </c>
      <c r="D809" t="s">
        <v>2357</v>
      </c>
      <c r="E809" t="s">
        <v>2475</v>
      </c>
      <c r="F809" t="s">
        <v>298</v>
      </c>
      <c r="G809" t="s">
        <v>2403</v>
      </c>
      <c r="H809" t="s">
        <v>2407</v>
      </c>
      <c r="I809" t="s">
        <v>2408</v>
      </c>
      <c r="J809" t="s">
        <v>1755</v>
      </c>
      <c r="L809" t="s">
        <v>2476</v>
      </c>
      <c r="M809" s="37">
        <v>1</v>
      </c>
      <c r="N809" s="37">
        <v>0.1</v>
      </c>
      <c r="O809">
        <v>1</v>
      </c>
      <c r="P809" s="37">
        <v>0.99</v>
      </c>
      <c r="Q809">
        <v>0.99</v>
      </c>
      <c r="R809">
        <v>1188</v>
      </c>
      <c r="S809">
        <v>1188</v>
      </c>
      <c r="T809">
        <v>1200</v>
      </c>
      <c r="U809" t="s">
        <v>2371</v>
      </c>
      <c r="W809" t="s">
        <v>2387</v>
      </c>
      <c r="Y809" t="s">
        <v>2400</v>
      </c>
      <c r="Z809" s="37">
        <v>1</v>
      </c>
      <c r="AA809" s="37">
        <v>0.1</v>
      </c>
      <c r="AB809">
        <v>1</v>
      </c>
    </row>
    <row r="810">
      <c r="A810" t="s">
        <v>2474</v>
      </c>
      <c r="B810" t="s">
        <v>2356</v>
      </c>
      <c r="C810" t="s">
        <v>2356</v>
      </c>
      <c r="D810" t="s">
        <v>2357</v>
      </c>
      <c r="E810" t="s">
        <v>2475</v>
      </c>
      <c r="F810" t="s">
        <v>298</v>
      </c>
      <c r="G810" t="s">
        <v>2403</v>
      </c>
      <c r="H810" t="s">
        <v>2410</v>
      </c>
      <c r="I810" t="s">
        <v>2411</v>
      </c>
      <c r="J810" t="s">
        <v>1755</v>
      </c>
      <c r="L810" t="s">
        <v>2477</v>
      </c>
      <c r="M810" s="37">
        <v>0.9</v>
      </c>
      <c r="N810" s="37">
        <v>0.1</v>
      </c>
      <c r="O810">
        <v>0.9</v>
      </c>
      <c r="P810" s="37">
        <v>0.99</v>
      </c>
      <c r="Q810">
        <v>0.99</v>
      </c>
      <c r="R810">
        <v>1188</v>
      </c>
      <c r="S810">
        <v>1188</v>
      </c>
      <c r="T810">
        <v>1200</v>
      </c>
      <c r="U810" t="s">
        <v>2371</v>
      </c>
      <c r="W810" t="s">
        <v>2387</v>
      </c>
      <c r="Y810" t="s">
        <v>2400</v>
      </c>
      <c r="Z810" s="37">
        <v>1</v>
      </c>
      <c r="AA810" s="37">
        <v>0.1</v>
      </c>
      <c r="AB810">
        <v>1</v>
      </c>
    </row>
    <row r="811">
      <c r="A811" t="s">
        <v>2478</v>
      </c>
      <c r="B811" t="s">
        <v>2356</v>
      </c>
      <c r="C811" t="s">
        <v>2356</v>
      </c>
      <c r="D811" t="s">
        <v>2357</v>
      </c>
      <c r="E811" t="s">
        <v>2479</v>
      </c>
      <c r="F811" t="s">
        <v>298</v>
      </c>
      <c r="G811" t="s">
        <v>2403</v>
      </c>
      <c r="H811" t="s">
        <v>2404</v>
      </c>
      <c r="I811" t="s">
        <v>2480</v>
      </c>
      <c r="J811" t="s">
        <v>1755</v>
      </c>
      <c r="K811" t="s">
        <v>1755</v>
      </c>
      <c r="L811" t="s">
        <v>2481</v>
      </c>
      <c r="M811" s="37">
        <v>0.93</v>
      </c>
      <c r="N811" s="37">
        <v>0.8</v>
      </c>
      <c r="O811">
        <v>0.93</v>
      </c>
      <c r="P811" s="37">
        <v>0.841</v>
      </c>
      <c r="Q811">
        <v>0.84</v>
      </c>
      <c r="R811">
        <v>1008</v>
      </c>
      <c r="S811">
        <v>1008</v>
      </c>
      <c r="T811">
        <v>1200</v>
      </c>
      <c r="U811" t="s">
        <v>2371</v>
      </c>
      <c r="W811" t="s">
        <v>2387</v>
      </c>
      <c r="Y811" t="s">
        <v>2400</v>
      </c>
      <c r="Z811" s="37">
        <v>1</v>
      </c>
      <c r="AA811" s="37">
        <v>0.1</v>
      </c>
      <c r="AB811">
        <v>1</v>
      </c>
    </row>
    <row r="812">
      <c r="A812" t="s">
        <v>2478</v>
      </c>
      <c r="B812" t="s">
        <v>2356</v>
      </c>
      <c r="C812" t="s">
        <v>2356</v>
      </c>
      <c r="D812" t="s">
        <v>2357</v>
      </c>
      <c r="E812" t="s">
        <v>2479</v>
      </c>
      <c r="F812" t="s">
        <v>298</v>
      </c>
      <c r="G812" t="s">
        <v>2403</v>
      </c>
      <c r="H812" t="s">
        <v>2407</v>
      </c>
      <c r="I812" t="s">
        <v>2408</v>
      </c>
      <c r="J812" t="s">
        <v>1755</v>
      </c>
      <c r="L812" t="s">
        <v>2482</v>
      </c>
      <c r="M812" s="37">
        <v>0.47</v>
      </c>
      <c r="N812" s="37">
        <v>0.1</v>
      </c>
      <c r="O812">
        <v>0.47</v>
      </c>
      <c r="P812" s="37">
        <v>0.841</v>
      </c>
      <c r="Q812">
        <v>0.84</v>
      </c>
      <c r="R812">
        <v>1008</v>
      </c>
      <c r="S812">
        <v>1008</v>
      </c>
      <c r="T812">
        <v>1200</v>
      </c>
      <c r="U812" t="s">
        <v>2371</v>
      </c>
      <c r="W812" t="s">
        <v>2387</v>
      </c>
      <c r="Y812" t="s">
        <v>2400</v>
      </c>
      <c r="Z812" s="37">
        <v>1</v>
      </c>
      <c r="AA812" s="37">
        <v>0.1</v>
      </c>
      <c r="AB812">
        <v>1</v>
      </c>
    </row>
    <row r="813">
      <c r="A813" t="s">
        <v>2478</v>
      </c>
      <c r="B813" t="s">
        <v>2356</v>
      </c>
      <c r="C813" t="s">
        <v>2356</v>
      </c>
      <c r="D813" t="s">
        <v>2357</v>
      </c>
      <c r="E813" t="s">
        <v>2479</v>
      </c>
      <c r="F813" t="s">
        <v>298</v>
      </c>
      <c r="G813" t="s">
        <v>2403</v>
      </c>
      <c r="H813" t="s">
        <v>2410</v>
      </c>
      <c r="I813" t="s">
        <v>2411</v>
      </c>
      <c r="J813" t="s">
        <v>1755</v>
      </c>
      <c r="L813" t="s">
        <v>2483</v>
      </c>
      <c r="M813" s="37">
        <v>0.5</v>
      </c>
      <c r="N813" s="37">
        <v>0.1</v>
      </c>
      <c r="O813">
        <v>0.5</v>
      </c>
      <c r="P813" s="37">
        <v>0.841</v>
      </c>
      <c r="Q813">
        <v>0.84</v>
      </c>
      <c r="R813">
        <v>1008</v>
      </c>
      <c r="S813">
        <v>1008</v>
      </c>
      <c r="T813">
        <v>1200</v>
      </c>
      <c r="U813" t="s">
        <v>2371</v>
      </c>
      <c r="W813" t="s">
        <v>2387</v>
      </c>
      <c r="Y813" t="s">
        <v>2400</v>
      </c>
      <c r="Z813" s="37">
        <v>1</v>
      </c>
      <c r="AA813" s="37">
        <v>0.1</v>
      </c>
      <c r="AB813">
        <v>1</v>
      </c>
    </row>
    <row r="814">
      <c r="A814" t="s">
        <v>2484</v>
      </c>
      <c r="B814" t="s">
        <v>2356</v>
      </c>
      <c r="C814" t="s">
        <v>2356</v>
      </c>
      <c r="D814" t="s">
        <v>2357</v>
      </c>
      <c r="E814" t="s">
        <v>2485</v>
      </c>
      <c r="F814" t="s">
        <v>298</v>
      </c>
      <c r="G814" t="s">
        <v>2403</v>
      </c>
      <c r="H814" t="s">
        <v>2404</v>
      </c>
      <c r="I814" t="s">
        <v>2486</v>
      </c>
      <c r="J814" t="s">
        <v>1755</v>
      </c>
      <c r="K814" t="s">
        <v>2487</v>
      </c>
      <c r="L814" t="s">
        <v>2488</v>
      </c>
      <c r="M814" s="37">
        <v>0.94</v>
      </c>
      <c r="N814" s="37">
        <v>0.8</v>
      </c>
      <c r="O814">
        <v>0.94</v>
      </c>
      <c r="P814" s="37">
        <v>0.932</v>
      </c>
      <c r="Q814">
        <v>0.93</v>
      </c>
      <c r="R814">
        <v>1116</v>
      </c>
      <c r="S814">
        <v>1116</v>
      </c>
      <c r="T814">
        <v>1200</v>
      </c>
      <c r="U814" t="s">
        <v>2371</v>
      </c>
      <c r="W814" t="s">
        <v>2387</v>
      </c>
      <c r="Y814" t="s">
        <v>2400</v>
      </c>
      <c r="Z814" s="37">
        <v>1</v>
      </c>
      <c r="AA814" s="37">
        <v>0.1</v>
      </c>
      <c r="AB814">
        <v>1</v>
      </c>
    </row>
    <row r="815">
      <c r="A815" t="s">
        <v>2484</v>
      </c>
      <c r="B815" t="s">
        <v>2356</v>
      </c>
      <c r="C815" t="s">
        <v>2356</v>
      </c>
      <c r="D815" t="s">
        <v>2357</v>
      </c>
      <c r="E815" t="s">
        <v>2485</v>
      </c>
      <c r="F815" t="s">
        <v>298</v>
      </c>
      <c r="G815" t="s">
        <v>2403</v>
      </c>
      <c r="H815" t="s">
        <v>2407</v>
      </c>
      <c r="I815" t="s">
        <v>2408</v>
      </c>
      <c r="J815" t="s">
        <v>1755</v>
      </c>
      <c r="L815" t="s">
        <v>2489</v>
      </c>
      <c r="M815" s="37">
        <v>0.9</v>
      </c>
      <c r="N815" s="37">
        <v>0.1</v>
      </c>
      <c r="O815">
        <v>0.9</v>
      </c>
      <c r="P815" s="37">
        <v>0.932</v>
      </c>
      <c r="Q815">
        <v>0.93</v>
      </c>
      <c r="R815">
        <v>1116</v>
      </c>
      <c r="S815">
        <v>1116</v>
      </c>
      <c r="T815">
        <v>1200</v>
      </c>
      <c r="U815" t="s">
        <v>2371</v>
      </c>
      <c r="W815" t="s">
        <v>2387</v>
      </c>
      <c r="Y815" t="s">
        <v>2400</v>
      </c>
      <c r="Z815" s="37">
        <v>1</v>
      </c>
      <c r="AA815" s="37">
        <v>0.1</v>
      </c>
      <c r="AB815">
        <v>1</v>
      </c>
    </row>
    <row r="816">
      <c r="A816" t="s">
        <v>2484</v>
      </c>
      <c r="B816" t="s">
        <v>2356</v>
      </c>
      <c r="C816" t="s">
        <v>2356</v>
      </c>
      <c r="D816" t="s">
        <v>2357</v>
      </c>
      <c r="E816" t="s">
        <v>2485</v>
      </c>
      <c r="F816" t="s">
        <v>298</v>
      </c>
      <c r="G816" t="s">
        <v>2403</v>
      </c>
      <c r="H816" t="s">
        <v>2410</v>
      </c>
      <c r="I816" t="s">
        <v>2411</v>
      </c>
      <c r="J816" t="s">
        <v>1755</v>
      </c>
      <c r="L816" t="s">
        <v>2490</v>
      </c>
      <c r="M816" s="37">
        <v>0.9</v>
      </c>
      <c r="N816" s="37">
        <v>0.1</v>
      </c>
      <c r="O816">
        <v>0.9</v>
      </c>
      <c r="P816" s="37">
        <v>0.932</v>
      </c>
      <c r="Q816">
        <v>0.93</v>
      </c>
      <c r="R816">
        <v>1116</v>
      </c>
      <c r="S816">
        <v>1116</v>
      </c>
      <c r="T816">
        <v>1200</v>
      </c>
      <c r="U816" t="s">
        <v>2371</v>
      </c>
      <c r="W816" t="s">
        <v>2387</v>
      </c>
      <c r="Y816" t="s">
        <v>2400</v>
      </c>
      <c r="Z816" s="37">
        <v>1</v>
      </c>
      <c r="AA816" s="37">
        <v>0.1</v>
      </c>
      <c r="AB816">
        <v>1</v>
      </c>
    </row>
    <row r="817">
      <c r="A817" t="s">
        <v>2491</v>
      </c>
      <c r="B817" t="s">
        <v>2356</v>
      </c>
      <c r="C817" t="s">
        <v>2356</v>
      </c>
      <c r="D817" t="s">
        <v>2357</v>
      </c>
      <c r="E817" t="s">
        <v>2492</v>
      </c>
      <c r="F817" t="s">
        <v>298</v>
      </c>
      <c r="G817" t="s">
        <v>2403</v>
      </c>
      <c r="H817" t="s">
        <v>2404</v>
      </c>
      <c r="I817" t="s">
        <v>2493</v>
      </c>
      <c r="J817" t="s">
        <v>1755</v>
      </c>
      <c r="K817" t="s">
        <v>1755</v>
      </c>
      <c r="L817" t="s">
        <v>2494</v>
      </c>
      <c r="M817" s="37">
        <v>0.8</v>
      </c>
      <c r="N817" s="37">
        <v>0.8</v>
      </c>
      <c r="O817">
        <v>1</v>
      </c>
      <c r="P817" s="37">
        <v>0.833</v>
      </c>
      <c r="Q817">
        <v>0.99</v>
      </c>
      <c r="R817">
        <v>1188</v>
      </c>
      <c r="S817">
        <v>1188</v>
      </c>
      <c r="T817">
        <v>1000</v>
      </c>
      <c r="U817" t="s">
        <v>2371</v>
      </c>
      <c r="W817" t="s">
        <v>2387</v>
      </c>
      <c r="Y817" t="s">
        <v>2400</v>
      </c>
      <c r="Z817" s="37">
        <v>1</v>
      </c>
      <c r="AA817" s="37">
        <v>0.1</v>
      </c>
      <c r="AB817">
        <v>1</v>
      </c>
    </row>
    <row r="818">
      <c r="A818" t="s">
        <v>2491</v>
      </c>
      <c r="B818" t="s">
        <v>2356</v>
      </c>
      <c r="C818" t="s">
        <v>2356</v>
      </c>
      <c r="D818" t="s">
        <v>2357</v>
      </c>
      <c r="E818" t="s">
        <v>2492</v>
      </c>
      <c r="F818" t="s">
        <v>298</v>
      </c>
      <c r="G818" t="s">
        <v>2403</v>
      </c>
      <c r="H818" t="s">
        <v>2407</v>
      </c>
      <c r="I818" t="s">
        <v>2408</v>
      </c>
      <c r="J818" t="s">
        <v>1755</v>
      </c>
      <c r="L818" t="s">
        <v>2495</v>
      </c>
      <c r="M818" s="37">
        <v>0.93</v>
      </c>
      <c r="N818" s="37">
        <v>0.1</v>
      </c>
      <c r="O818">
        <v>0.93</v>
      </c>
      <c r="P818" s="37">
        <v>0.833</v>
      </c>
      <c r="Q818">
        <v>0.99</v>
      </c>
      <c r="R818">
        <v>1188</v>
      </c>
      <c r="S818">
        <v>1188</v>
      </c>
      <c r="T818">
        <v>1000</v>
      </c>
      <c r="U818" t="s">
        <v>2371</v>
      </c>
      <c r="W818" t="s">
        <v>2387</v>
      </c>
      <c r="Y818" t="s">
        <v>2400</v>
      </c>
      <c r="Z818" s="37">
        <v>1</v>
      </c>
      <c r="AA818" s="37">
        <v>0.1</v>
      </c>
      <c r="AB818">
        <v>1</v>
      </c>
    </row>
    <row r="819">
      <c r="A819" t="s">
        <v>2491</v>
      </c>
      <c r="B819" t="s">
        <v>2356</v>
      </c>
      <c r="C819" t="s">
        <v>2356</v>
      </c>
      <c r="D819" t="s">
        <v>2357</v>
      </c>
      <c r="E819" t="s">
        <v>2492</v>
      </c>
      <c r="F819" t="s">
        <v>298</v>
      </c>
      <c r="G819" t="s">
        <v>2403</v>
      </c>
      <c r="H819" t="s">
        <v>2410</v>
      </c>
      <c r="I819" t="s">
        <v>2411</v>
      </c>
      <c r="J819" t="s">
        <v>1755</v>
      </c>
      <c r="L819" t="s">
        <v>2495</v>
      </c>
      <c r="M819" s="37">
        <v>1</v>
      </c>
      <c r="N819" s="37">
        <v>0.1</v>
      </c>
      <c r="O819">
        <v>1</v>
      </c>
      <c r="P819" s="37">
        <v>0.833</v>
      </c>
      <c r="Q819">
        <v>0.99</v>
      </c>
      <c r="R819">
        <v>1188</v>
      </c>
      <c r="S819">
        <v>1188</v>
      </c>
      <c r="T819">
        <v>1000</v>
      </c>
      <c r="U819" t="s">
        <v>2371</v>
      </c>
      <c r="W819" t="s">
        <v>2387</v>
      </c>
      <c r="Y819" t="s">
        <v>2400</v>
      </c>
      <c r="Z819" s="37">
        <v>1</v>
      </c>
      <c r="AA819" s="37">
        <v>0.1</v>
      </c>
      <c r="AB819">
        <v>1</v>
      </c>
    </row>
    <row r="820">
      <c r="A820" t="s">
        <v>2496</v>
      </c>
      <c r="B820" t="s">
        <v>2497</v>
      </c>
      <c r="C820" t="s">
        <v>2497</v>
      </c>
      <c r="D820" t="s">
        <v>359</v>
      </c>
      <c r="E820" t="s">
        <v>2498</v>
      </c>
      <c r="F820" t="s">
        <v>298</v>
      </c>
      <c r="G820" t="s">
        <v>2499</v>
      </c>
      <c r="H820" t="s">
        <v>2500</v>
      </c>
      <c r="I820" t="s">
        <v>2501</v>
      </c>
      <c r="J820" t="s">
        <v>2502</v>
      </c>
      <c r="K820" t="s">
        <v>2503</v>
      </c>
      <c r="L820" t="s">
        <v>2495</v>
      </c>
      <c r="M820" s="37">
        <v>0.9</v>
      </c>
      <c r="N820" s="37">
        <v>0.3</v>
      </c>
      <c r="O820">
        <v>0.9</v>
      </c>
      <c r="P820" s="37">
        <v>0.702</v>
      </c>
      <c r="Q820">
        <v>0.83</v>
      </c>
      <c r="R820">
        <v>4150</v>
      </c>
      <c r="S820">
        <v>4150</v>
      </c>
      <c r="T820">
        <v>5000</v>
      </c>
      <c r="U820" t="s">
        <v>2371</v>
      </c>
      <c r="W820" t="s">
        <v>2387</v>
      </c>
      <c r="Y820" t="s">
        <v>2400</v>
      </c>
      <c r="Z820" s="37">
        <v>1</v>
      </c>
      <c r="AA820" s="37">
        <v>0.1</v>
      </c>
      <c r="AB820">
        <v>1</v>
      </c>
    </row>
    <row r="821">
      <c r="A821" t="s">
        <v>2496</v>
      </c>
      <c r="B821" t="s">
        <v>2497</v>
      </c>
      <c r="C821" t="s">
        <v>2497</v>
      </c>
      <c r="D821" t="s">
        <v>359</v>
      </c>
      <c r="E821" t="s">
        <v>2498</v>
      </c>
      <c r="F821" t="s">
        <v>298</v>
      </c>
      <c r="G821" t="s">
        <v>2499</v>
      </c>
      <c r="H821" t="s">
        <v>2504</v>
      </c>
      <c r="I821" t="s">
        <v>2505</v>
      </c>
      <c r="J821" s="38">
        <v>1</v>
      </c>
      <c r="K821" s="38">
        <v>1</v>
      </c>
      <c r="L821" t="s">
        <v>2506</v>
      </c>
      <c r="M821" s="37">
        <v>0.56</v>
      </c>
      <c r="N821" s="37">
        <v>0.3</v>
      </c>
      <c r="O821">
        <v>1</v>
      </c>
      <c r="P821" s="37">
        <v>0.702</v>
      </c>
      <c r="Q821">
        <v>0.83</v>
      </c>
      <c r="R821">
        <v>4150</v>
      </c>
      <c r="S821">
        <v>4150</v>
      </c>
      <c r="T821">
        <v>5000</v>
      </c>
      <c r="U821" t="s">
        <v>2371</v>
      </c>
      <c r="W821" t="s">
        <v>2387</v>
      </c>
      <c r="Y821" t="s">
        <v>2400</v>
      </c>
      <c r="Z821" s="37">
        <v>1</v>
      </c>
      <c r="AA821" s="37">
        <v>0.1</v>
      </c>
      <c r="AB821">
        <v>1</v>
      </c>
    </row>
    <row r="822">
      <c r="A822" t="s">
        <v>2496</v>
      </c>
      <c r="B822" t="s">
        <v>2497</v>
      </c>
      <c r="C822" t="s">
        <v>2497</v>
      </c>
      <c r="D822" t="s">
        <v>359</v>
      </c>
      <c r="E822" t="s">
        <v>2498</v>
      </c>
      <c r="F822" t="s">
        <v>298</v>
      </c>
      <c r="G822" t="s">
        <v>2499</v>
      </c>
      <c r="H822" t="s">
        <v>2507</v>
      </c>
      <c r="I822" t="s">
        <v>2508</v>
      </c>
      <c r="J822" s="38">
        <v>1</v>
      </c>
      <c r="K822" s="38">
        <v>1</v>
      </c>
      <c r="L822" t="s">
        <v>2509</v>
      </c>
      <c r="M822" s="37">
        <v>0.5</v>
      </c>
      <c r="N822" s="37">
        <v>0.3</v>
      </c>
      <c r="O822">
        <v>0.5</v>
      </c>
      <c r="P822" s="37">
        <v>0.702</v>
      </c>
      <c r="Q822">
        <v>0.83</v>
      </c>
      <c r="R822">
        <v>4150</v>
      </c>
      <c r="S822">
        <v>4150</v>
      </c>
      <c r="T822">
        <v>5000</v>
      </c>
      <c r="U822" t="s">
        <v>2371</v>
      </c>
      <c r="W822" t="s">
        <v>2387</v>
      </c>
      <c r="Y822" t="s">
        <v>2400</v>
      </c>
      <c r="Z822" s="37">
        <v>1</v>
      </c>
      <c r="AA822" s="37">
        <v>0.1</v>
      </c>
      <c r="AB822">
        <v>1</v>
      </c>
    </row>
    <row r="823">
      <c r="A823" t="s">
        <v>2496</v>
      </c>
      <c r="B823" t="s">
        <v>2497</v>
      </c>
      <c r="C823" t="s">
        <v>2497</v>
      </c>
      <c r="D823" t="s">
        <v>359</v>
      </c>
      <c r="E823" t="s">
        <v>2498</v>
      </c>
      <c r="F823" t="s">
        <v>298</v>
      </c>
      <c r="G823" t="s">
        <v>2499</v>
      </c>
      <c r="H823" t="s">
        <v>2500</v>
      </c>
      <c r="I823" t="s">
        <v>2510</v>
      </c>
      <c r="J823" s="38">
        <v>1</v>
      </c>
      <c r="K823" s="38">
        <v>1.14</v>
      </c>
      <c r="L823" t="s">
        <v>2511</v>
      </c>
      <c r="M823" s="37">
        <v>1.14</v>
      </c>
      <c r="N823" s="37">
        <v>0.1</v>
      </c>
      <c r="O823">
        <v>1.1</v>
      </c>
      <c r="P823" s="37">
        <v>0.702</v>
      </c>
      <c r="Q823">
        <v>0.83</v>
      </c>
      <c r="R823">
        <v>4150</v>
      </c>
      <c r="S823">
        <v>4150</v>
      </c>
      <c r="T823">
        <v>5000</v>
      </c>
      <c r="U823" t="s">
        <v>2371</v>
      </c>
      <c r="W823" t="s">
        <v>2387</v>
      </c>
      <c r="Y823" t="s">
        <v>2400</v>
      </c>
      <c r="Z823" s="37">
        <v>1</v>
      </c>
      <c r="AA823" s="37">
        <v>0.1</v>
      </c>
      <c r="AB823">
        <v>1</v>
      </c>
    </row>
    <row r="824">
      <c r="A824" t="s">
        <v>2512</v>
      </c>
      <c r="B824" t="s">
        <v>2497</v>
      </c>
      <c r="C824" t="s">
        <v>2497</v>
      </c>
      <c r="D824" t="s">
        <v>2357</v>
      </c>
      <c r="E824" t="s">
        <v>2513</v>
      </c>
      <c r="F824" t="s">
        <v>298</v>
      </c>
      <c r="G824" t="s">
        <v>2499</v>
      </c>
      <c r="H824" t="s">
        <v>2514</v>
      </c>
      <c r="I824" t="s">
        <v>2515</v>
      </c>
      <c r="K824" s="38">
        <v>1.14</v>
      </c>
      <c r="L824" t="s">
        <v>455</v>
      </c>
      <c r="M824" s="37">
        <v>1</v>
      </c>
      <c r="N824" s="37">
        <v>0.35</v>
      </c>
      <c r="O824">
        <v>1</v>
      </c>
      <c r="P824" s="37">
        <v>0.695</v>
      </c>
      <c r="Q824">
        <v>0.7</v>
      </c>
      <c r="R824">
        <v>834</v>
      </c>
      <c r="S824">
        <v>834</v>
      </c>
      <c r="T824">
        <v>1200</v>
      </c>
      <c r="U824" t="s">
        <v>2371</v>
      </c>
      <c r="W824" t="s">
        <v>2387</v>
      </c>
      <c r="Y824" t="s">
        <v>2400</v>
      </c>
      <c r="Z824" s="37">
        <v>1</v>
      </c>
      <c r="AA824" s="37">
        <v>0.1</v>
      </c>
      <c r="AB824">
        <v>1</v>
      </c>
    </row>
    <row r="825">
      <c r="A825" t="s">
        <v>2512</v>
      </c>
      <c r="B825" t="s">
        <v>2497</v>
      </c>
      <c r="C825" t="s">
        <v>2497</v>
      </c>
      <c r="D825" t="s">
        <v>2357</v>
      </c>
      <c r="E825" t="s">
        <v>2513</v>
      </c>
      <c r="F825" t="s">
        <v>298</v>
      </c>
      <c r="G825" t="s">
        <v>2499</v>
      </c>
      <c r="H825" t="s">
        <v>2514</v>
      </c>
      <c r="I825" t="s">
        <v>2516</v>
      </c>
      <c r="L825" t="s">
        <v>2517</v>
      </c>
      <c r="M825" s="37">
        <v>0.1</v>
      </c>
      <c r="N825" s="37">
        <v>0.3</v>
      </c>
      <c r="O825">
        <v>0.1</v>
      </c>
      <c r="P825" s="37">
        <v>0.695</v>
      </c>
      <c r="Q825">
        <v>0.7</v>
      </c>
      <c r="R825">
        <v>834</v>
      </c>
      <c r="S825">
        <v>834</v>
      </c>
      <c r="T825">
        <v>1200</v>
      </c>
      <c r="U825" t="s">
        <v>2371</v>
      </c>
      <c r="W825" t="s">
        <v>2387</v>
      </c>
      <c r="Y825" t="s">
        <v>2400</v>
      </c>
      <c r="Z825" s="37">
        <v>1</v>
      </c>
      <c r="AA825" s="37">
        <v>0.1</v>
      </c>
      <c r="AB825">
        <v>1</v>
      </c>
    </row>
    <row r="826">
      <c r="A826" t="s">
        <v>2512</v>
      </c>
      <c r="B826" t="s">
        <v>2497</v>
      </c>
      <c r="C826" t="s">
        <v>2497</v>
      </c>
      <c r="D826" t="s">
        <v>2357</v>
      </c>
      <c r="E826" t="s">
        <v>2513</v>
      </c>
      <c r="F826" t="s">
        <v>298</v>
      </c>
      <c r="G826" t="s">
        <v>2499</v>
      </c>
      <c r="H826" t="s">
        <v>2514</v>
      </c>
      <c r="I826" t="s">
        <v>2518</v>
      </c>
      <c r="L826" t="s">
        <v>2519</v>
      </c>
      <c r="M826" s="37">
        <v>0.9</v>
      </c>
      <c r="N826" s="37">
        <v>0.35</v>
      </c>
      <c r="O826">
        <v>0.9</v>
      </c>
      <c r="P826" s="37">
        <v>0.695</v>
      </c>
      <c r="Q826">
        <v>0.7</v>
      </c>
      <c r="R826">
        <v>834</v>
      </c>
      <c r="S826">
        <v>834</v>
      </c>
      <c r="T826">
        <v>1200</v>
      </c>
      <c r="U826" t="s">
        <v>2371</v>
      </c>
      <c r="W826" t="s">
        <v>2387</v>
      </c>
      <c r="Y826" t="s">
        <v>2400</v>
      </c>
      <c r="Z826" s="37">
        <v>1</v>
      </c>
      <c r="AA826" s="37">
        <v>0.1</v>
      </c>
      <c r="AB826">
        <v>1</v>
      </c>
    </row>
    <row r="827">
      <c r="A827" t="s">
        <v>2520</v>
      </c>
      <c r="B827" t="s">
        <v>2497</v>
      </c>
      <c r="C827" t="s">
        <v>2497</v>
      </c>
      <c r="D827" t="s">
        <v>2521</v>
      </c>
      <c r="E827" t="s">
        <v>2522</v>
      </c>
      <c r="F827" t="s">
        <v>298</v>
      </c>
      <c r="G827" t="s">
        <v>2499</v>
      </c>
      <c r="H827" t="s">
        <v>2500</v>
      </c>
      <c r="I827" t="s">
        <v>2523</v>
      </c>
      <c r="J827" s="38">
        <v>1</v>
      </c>
      <c r="K827" s="37">
        <v>0.503</v>
      </c>
      <c r="L827" t="s">
        <v>2524</v>
      </c>
      <c r="M827" s="37">
        <v>0.503</v>
      </c>
      <c r="N827" s="37">
        <v>0.25</v>
      </c>
      <c r="O827">
        <v>0.503</v>
      </c>
      <c r="P827" s="37">
        <v>0.812</v>
      </c>
      <c r="Q827">
        <v>0.81</v>
      </c>
      <c r="R827">
        <v>4050</v>
      </c>
      <c r="S827">
        <v>4050</v>
      </c>
      <c r="T827">
        <v>5000</v>
      </c>
      <c r="U827" t="s">
        <v>2371</v>
      </c>
      <c r="W827" t="s">
        <v>2387</v>
      </c>
      <c r="Y827" t="s">
        <v>2400</v>
      </c>
      <c r="Z827" s="37">
        <v>1</v>
      </c>
      <c r="AA827" s="37">
        <v>0.1</v>
      </c>
      <c r="AB827">
        <v>1</v>
      </c>
    </row>
    <row r="828">
      <c r="A828" t="s">
        <v>2520</v>
      </c>
      <c r="B828" t="s">
        <v>2497</v>
      </c>
      <c r="C828" t="s">
        <v>2497</v>
      </c>
      <c r="D828" t="s">
        <v>2521</v>
      </c>
      <c r="E828" t="s">
        <v>2522</v>
      </c>
      <c r="F828" t="s">
        <v>298</v>
      </c>
      <c r="G828" t="s">
        <v>2499</v>
      </c>
      <c r="H828" t="s">
        <v>2500</v>
      </c>
      <c r="I828" t="s">
        <v>2525</v>
      </c>
      <c r="J828" t="s">
        <v>980</v>
      </c>
      <c r="K828" t="s">
        <v>980</v>
      </c>
      <c r="L828" t="s">
        <v>2526</v>
      </c>
      <c r="M828" s="37">
        <v>0.95</v>
      </c>
      <c r="N828" s="37">
        <v>0.25</v>
      </c>
      <c r="O828">
        <v>0.95</v>
      </c>
      <c r="P828" s="37">
        <v>0.812</v>
      </c>
      <c r="Q828">
        <v>0.81</v>
      </c>
      <c r="R828">
        <v>4050</v>
      </c>
      <c r="S828">
        <v>4050</v>
      </c>
      <c r="T828">
        <v>5000</v>
      </c>
      <c r="U828" t="s">
        <v>2371</v>
      </c>
      <c r="W828" t="s">
        <v>2387</v>
      </c>
      <c r="Y828" t="s">
        <v>2400</v>
      </c>
      <c r="Z828" s="37">
        <v>1</v>
      </c>
      <c r="AA828" s="37">
        <v>0.1</v>
      </c>
      <c r="AB828">
        <v>1</v>
      </c>
    </row>
    <row r="829">
      <c r="A829" t="s">
        <v>2520</v>
      </c>
      <c r="B829" t="s">
        <v>2497</v>
      </c>
      <c r="C829" t="s">
        <v>2497</v>
      </c>
      <c r="D829" t="s">
        <v>2521</v>
      </c>
      <c r="E829" t="s">
        <v>2522</v>
      </c>
      <c r="F829" t="s">
        <v>298</v>
      </c>
      <c r="G829" t="s">
        <v>2499</v>
      </c>
      <c r="H829" t="s">
        <v>2500</v>
      </c>
      <c r="I829" t="s">
        <v>2527</v>
      </c>
      <c r="J829" s="38">
        <v>1</v>
      </c>
      <c r="K829" s="37">
        <v>0.875</v>
      </c>
      <c r="L829" t="s">
        <v>2528</v>
      </c>
      <c r="M829" s="37">
        <v>0.875</v>
      </c>
      <c r="N829" s="37">
        <v>0.25</v>
      </c>
      <c r="O829">
        <v>0.875</v>
      </c>
      <c r="P829" s="37">
        <v>0.812</v>
      </c>
      <c r="Q829">
        <v>0.81</v>
      </c>
      <c r="R829">
        <v>4050</v>
      </c>
      <c r="S829">
        <v>4050</v>
      </c>
      <c r="T829">
        <v>5000</v>
      </c>
      <c r="U829" t="s">
        <v>2371</v>
      </c>
      <c r="W829" t="s">
        <v>2387</v>
      </c>
      <c r="Y829" t="s">
        <v>2400</v>
      </c>
      <c r="Z829" s="37">
        <v>1</v>
      </c>
      <c r="AA829" s="37">
        <v>0.1</v>
      </c>
      <c r="AB829">
        <v>1</v>
      </c>
    </row>
    <row r="830">
      <c r="A830" t="s">
        <v>2520</v>
      </c>
      <c r="B830" t="s">
        <v>2497</v>
      </c>
      <c r="C830" t="s">
        <v>2497</v>
      </c>
      <c r="D830" t="s">
        <v>2521</v>
      </c>
      <c r="E830" t="s">
        <v>2522</v>
      </c>
      <c r="F830" t="s">
        <v>298</v>
      </c>
      <c r="G830" t="s">
        <v>2499</v>
      </c>
      <c r="H830" t="s">
        <v>2500</v>
      </c>
      <c r="I830" t="s">
        <v>2529</v>
      </c>
      <c r="J830" t="s">
        <v>980</v>
      </c>
      <c r="K830" t="s">
        <v>980</v>
      </c>
      <c r="L830" t="s">
        <v>2530</v>
      </c>
      <c r="M830" s="37">
        <v>0.92</v>
      </c>
      <c r="N830" s="37">
        <v>0.25</v>
      </c>
      <c r="O830">
        <v>0.92</v>
      </c>
      <c r="P830" s="37">
        <v>0.812</v>
      </c>
      <c r="Q830">
        <v>0.81</v>
      </c>
      <c r="R830">
        <v>4050</v>
      </c>
      <c r="S830">
        <v>4050</v>
      </c>
      <c r="T830">
        <v>5000</v>
      </c>
      <c r="U830" t="s">
        <v>2371</v>
      </c>
      <c r="W830" t="s">
        <v>2387</v>
      </c>
      <c r="Y830" t="s">
        <v>2400</v>
      </c>
      <c r="Z830" s="37">
        <v>1</v>
      </c>
      <c r="AA830" s="37">
        <v>0.1</v>
      </c>
      <c r="AB830">
        <v>1</v>
      </c>
    </row>
    <row r="831">
      <c r="A831" t="s">
        <v>2531</v>
      </c>
      <c r="B831" t="s">
        <v>2497</v>
      </c>
      <c r="C831" t="s">
        <v>2497</v>
      </c>
      <c r="D831" t="s">
        <v>1013</v>
      </c>
      <c r="E831" t="s">
        <v>2532</v>
      </c>
      <c r="F831" t="s">
        <v>298</v>
      </c>
      <c r="G831" t="s">
        <v>2499</v>
      </c>
      <c r="H831" t="s">
        <v>2514</v>
      </c>
      <c r="I831" t="s">
        <v>2533</v>
      </c>
      <c r="K831" t="s">
        <v>980</v>
      </c>
      <c r="L831" t="s">
        <v>2534</v>
      </c>
      <c r="M831" s="37">
        <v>0.834</v>
      </c>
      <c r="N831" s="37">
        <v>1</v>
      </c>
      <c r="O831">
        <v>0.834</v>
      </c>
      <c r="P831" s="37">
        <v>0.834</v>
      </c>
      <c r="Q831">
        <v>0.83</v>
      </c>
      <c r="R831">
        <v>1251</v>
      </c>
      <c r="S831">
        <v>1251</v>
      </c>
      <c r="T831">
        <v>1500</v>
      </c>
      <c r="U831" t="s">
        <v>2371</v>
      </c>
      <c r="W831" t="s">
        <v>2387</v>
      </c>
      <c r="Y831" t="s">
        <v>2400</v>
      </c>
      <c r="Z831" s="37">
        <v>1</v>
      </c>
      <c r="AA831" s="37">
        <v>0.1</v>
      </c>
      <c r="AB831">
        <v>1</v>
      </c>
    </row>
    <row r="832">
      <c r="A832" t="s">
        <v>2535</v>
      </c>
      <c r="B832" t="s">
        <v>2497</v>
      </c>
      <c r="C832" t="s">
        <v>2497</v>
      </c>
      <c r="D832" t="s">
        <v>2357</v>
      </c>
      <c r="E832" t="s">
        <v>2536</v>
      </c>
      <c r="F832" t="s">
        <v>298</v>
      </c>
      <c r="G832" t="s">
        <v>2499</v>
      </c>
      <c r="H832" t="s">
        <v>2514</v>
      </c>
      <c r="I832" t="s">
        <v>2537</v>
      </c>
      <c r="K832" t="s">
        <v>980</v>
      </c>
      <c r="L832" t="s">
        <v>2538</v>
      </c>
      <c r="M832" s="37">
        <v>1</v>
      </c>
      <c r="N832" s="37">
        <v>0.3</v>
      </c>
      <c r="O832">
        <v>1</v>
      </c>
      <c r="P832" s="37">
        <v>0.75045</v>
      </c>
      <c r="Q832">
        <v>0.75</v>
      </c>
      <c r="R832">
        <v>0</v>
      </c>
      <c r="S832">
        <v>0</v>
      </c>
      <c r="T832">
        <v>1200</v>
      </c>
      <c r="U832" t="s">
        <v>2371</v>
      </c>
      <c r="W832" t="s">
        <v>2387</v>
      </c>
      <c r="Y832" t="s">
        <v>2400</v>
      </c>
      <c r="Z832" s="37">
        <v>1</v>
      </c>
      <c r="AA832" s="37">
        <v>0.1</v>
      </c>
      <c r="AB832">
        <v>1</v>
      </c>
    </row>
    <row r="833">
      <c r="A833" t="s">
        <v>2535</v>
      </c>
      <c r="B833" t="s">
        <v>2497</v>
      </c>
      <c r="C833" t="s">
        <v>2497</v>
      </c>
      <c r="D833" t="s">
        <v>2357</v>
      </c>
      <c r="E833" t="s">
        <v>2536</v>
      </c>
      <c r="F833" t="s">
        <v>298</v>
      </c>
      <c r="G833" t="s">
        <v>2499</v>
      </c>
      <c r="H833" t="s">
        <v>2514</v>
      </c>
      <c r="I833" t="s">
        <v>2539</v>
      </c>
      <c r="L833" t="s">
        <v>2540</v>
      </c>
      <c r="M833" s="37">
        <v>0.6</v>
      </c>
      <c r="N833" s="37">
        <v>0.35</v>
      </c>
      <c r="O833">
        <v>0.6</v>
      </c>
      <c r="P833" s="37">
        <v>0.75045</v>
      </c>
      <c r="Q833">
        <v>0.75</v>
      </c>
      <c r="R833">
        <v>0</v>
      </c>
      <c r="S833">
        <v>0</v>
      </c>
      <c r="T833">
        <v>1200</v>
      </c>
      <c r="U833" t="s">
        <v>2371</v>
      </c>
      <c r="W833" t="s">
        <v>2387</v>
      </c>
      <c r="Y833" t="s">
        <v>2400</v>
      </c>
      <c r="Z833" s="37">
        <v>1</v>
      </c>
      <c r="AA833" s="37">
        <v>0.1</v>
      </c>
      <c r="AB833">
        <v>1</v>
      </c>
    </row>
    <row r="834">
      <c r="A834" t="s">
        <v>2535</v>
      </c>
      <c r="B834" t="s">
        <v>2497</v>
      </c>
      <c r="C834" t="s">
        <v>2497</v>
      </c>
      <c r="D834" t="s">
        <v>2357</v>
      </c>
      <c r="E834" t="s">
        <v>2536</v>
      </c>
      <c r="F834" t="s">
        <v>298</v>
      </c>
      <c r="G834" t="s">
        <v>2499</v>
      </c>
      <c r="H834" t="s">
        <v>2500</v>
      </c>
      <c r="I834" t="s">
        <v>2541</v>
      </c>
      <c r="J834" s="38">
        <v>1</v>
      </c>
      <c r="K834" s="38">
        <v>0.74</v>
      </c>
      <c r="L834" t="s">
        <v>2542</v>
      </c>
      <c r="M834" s="37">
        <v>0.687</v>
      </c>
      <c r="N834" s="37">
        <v>0.35</v>
      </c>
      <c r="O834">
        <v>0.687</v>
      </c>
      <c r="P834" s="37">
        <v>0.75045</v>
      </c>
      <c r="Q834">
        <v>0.75</v>
      </c>
      <c r="R834">
        <v>0</v>
      </c>
      <c r="S834">
        <v>0</v>
      </c>
      <c r="T834">
        <v>1200</v>
      </c>
      <c r="U834" t="s">
        <v>2371</v>
      </c>
      <c r="W834" t="s">
        <v>2387</v>
      </c>
      <c r="Y834" t="s">
        <v>2400</v>
      </c>
      <c r="Z834" s="37">
        <v>1</v>
      </c>
      <c r="AA834" s="37">
        <v>0.1</v>
      </c>
      <c r="AB834">
        <v>1</v>
      </c>
    </row>
    <row r="835">
      <c r="A835" t="s">
        <v>2543</v>
      </c>
      <c r="B835" t="s">
        <v>2497</v>
      </c>
      <c r="C835" t="s">
        <v>2497</v>
      </c>
      <c r="D835" t="s">
        <v>1013</v>
      </c>
      <c r="E835" t="s">
        <v>2544</v>
      </c>
      <c r="F835" t="s">
        <v>298</v>
      </c>
      <c r="G835" t="s">
        <v>2499</v>
      </c>
      <c r="H835" t="s">
        <v>2514</v>
      </c>
      <c r="I835" t="s">
        <v>2545</v>
      </c>
      <c r="K835" s="38">
        <v>0.74</v>
      </c>
      <c r="L835" t="s">
        <v>2546</v>
      </c>
      <c r="M835" s="37">
        <v>0.1</v>
      </c>
      <c r="N835" s="37">
        <v>1</v>
      </c>
      <c r="O835">
        <v>0.1</v>
      </c>
      <c r="P835" s="37">
        <v>0.1</v>
      </c>
      <c r="Q835">
        <v>0.1</v>
      </c>
      <c r="R835">
        <v>150</v>
      </c>
      <c r="S835">
        <v>150</v>
      </c>
      <c r="T835">
        <v>1500</v>
      </c>
      <c r="U835" t="s">
        <v>2371</v>
      </c>
      <c r="W835" t="s">
        <v>2387</v>
      </c>
      <c r="Y835" t="s">
        <v>2400</v>
      </c>
      <c r="Z835" s="37">
        <v>1</v>
      </c>
      <c r="AA835" s="37">
        <v>0.1</v>
      </c>
      <c r="AB835">
        <v>1</v>
      </c>
    </row>
    <row r="836">
      <c r="A836" t="s">
        <v>2547</v>
      </c>
      <c r="B836" t="s">
        <v>2548</v>
      </c>
      <c r="C836" t="s">
        <v>2548</v>
      </c>
      <c r="D836" t="s">
        <v>2549</v>
      </c>
      <c r="E836" t="s">
        <v>2550</v>
      </c>
      <c r="F836" t="s">
        <v>298</v>
      </c>
      <c r="G836" t="s">
        <v>2551</v>
      </c>
      <c r="H836" t="s">
        <v>2552</v>
      </c>
      <c r="I836" t="s">
        <v>2553</v>
      </c>
      <c r="J836" t="s">
        <v>2554</v>
      </c>
      <c r="K836" t="s">
        <v>2555</v>
      </c>
      <c r="L836" t="s">
        <v>2546</v>
      </c>
      <c r="M836" s="37">
        <v>1.12</v>
      </c>
      <c r="N836" s="37">
        <v>0.5</v>
      </c>
      <c r="O836">
        <v>1.12</v>
      </c>
      <c r="P836" s="37">
        <v>1.063</v>
      </c>
      <c r="Q836">
        <v>1.06</v>
      </c>
      <c r="R836">
        <v>3180</v>
      </c>
      <c r="S836">
        <v>3180</v>
      </c>
      <c r="T836">
        <v>3000</v>
      </c>
      <c r="U836" t="s">
        <v>2371</v>
      </c>
      <c r="W836" t="s">
        <v>2387</v>
      </c>
      <c r="Y836" t="s">
        <v>2400</v>
      </c>
      <c r="Z836" s="37">
        <v>1</v>
      </c>
      <c r="AA836" s="37">
        <v>0.1</v>
      </c>
      <c r="AB836">
        <v>1</v>
      </c>
    </row>
    <row r="837">
      <c r="A837" t="s">
        <v>2547</v>
      </c>
      <c r="B837" t="s">
        <v>2548</v>
      </c>
      <c r="C837" t="s">
        <v>2548</v>
      </c>
      <c r="D837" t="s">
        <v>2549</v>
      </c>
      <c r="E837" t="s">
        <v>2550</v>
      </c>
      <c r="F837" t="s">
        <v>298</v>
      </c>
      <c r="G837" t="s">
        <v>2551</v>
      </c>
      <c r="H837" t="s">
        <v>2556</v>
      </c>
      <c r="I837" t="s">
        <v>2557</v>
      </c>
      <c r="J837">
        <v>1.8</v>
      </c>
      <c r="K837">
        <v>1.82</v>
      </c>
      <c r="L837" t="s">
        <v>2546</v>
      </c>
      <c r="M837" s="37">
        <v>1.01</v>
      </c>
      <c r="N837" s="37">
        <v>0.3</v>
      </c>
      <c r="O837">
        <v>1</v>
      </c>
      <c r="P837" s="37">
        <v>1.063</v>
      </c>
      <c r="Q837">
        <v>1.06</v>
      </c>
      <c r="R837">
        <v>3180</v>
      </c>
      <c r="S837">
        <v>3180</v>
      </c>
      <c r="T837">
        <v>3000</v>
      </c>
      <c r="U837" t="s">
        <v>2371</v>
      </c>
      <c r="W837" t="s">
        <v>2387</v>
      </c>
      <c r="Y837" t="s">
        <v>2400</v>
      </c>
      <c r="Z837" s="37">
        <v>1</v>
      </c>
      <c r="AA837" s="37">
        <v>0.1</v>
      </c>
      <c r="AB837">
        <v>1</v>
      </c>
    </row>
    <row r="838">
      <c r="A838" t="s">
        <v>2547</v>
      </c>
      <c r="B838" t="s">
        <v>2548</v>
      </c>
      <c r="C838" t="s">
        <v>2548</v>
      </c>
      <c r="D838" t="s">
        <v>2549</v>
      </c>
      <c r="E838" t="s">
        <v>2550</v>
      </c>
      <c r="F838" t="s">
        <v>298</v>
      </c>
      <c r="G838" t="s">
        <v>2551</v>
      </c>
      <c r="H838" t="s">
        <v>2558</v>
      </c>
      <c r="I838" t="s">
        <v>2559</v>
      </c>
      <c r="J838" t="s">
        <v>969</v>
      </c>
      <c r="K838" t="s">
        <v>969</v>
      </c>
      <c r="L838" t="s">
        <v>2546</v>
      </c>
      <c r="M838" s="37">
        <v>1</v>
      </c>
      <c r="N838" s="37">
        <v>0.2</v>
      </c>
      <c r="O838">
        <v>1</v>
      </c>
      <c r="P838" s="37">
        <v>1.063</v>
      </c>
      <c r="Q838">
        <v>1.06</v>
      </c>
      <c r="R838">
        <v>3180</v>
      </c>
      <c r="S838">
        <v>3180</v>
      </c>
      <c r="T838">
        <v>3000</v>
      </c>
      <c r="U838" t="s">
        <v>2371</v>
      </c>
      <c r="W838" t="s">
        <v>2387</v>
      </c>
      <c r="Y838" t="s">
        <v>2400</v>
      </c>
      <c r="Z838" s="37">
        <v>1</v>
      </c>
      <c r="AA838" s="37">
        <v>0.1</v>
      </c>
      <c r="AB838">
        <v>1</v>
      </c>
    </row>
    <row r="839">
      <c r="A839" t="s">
        <v>2560</v>
      </c>
      <c r="B839" t="s">
        <v>2548</v>
      </c>
      <c r="C839" t="s">
        <v>2548</v>
      </c>
      <c r="D839" t="s">
        <v>2561</v>
      </c>
      <c r="E839" t="s">
        <v>2562</v>
      </c>
      <c r="F839" t="s">
        <v>298</v>
      </c>
      <c r="G839" t="s">
        <v>2551</v>
      </c>
      <c r="H839" t="s">
        <v>2552</v>
      </c>
      <c r="I839" t="s">
        <v>2563</v>
      </c>
      <c r="J839" t="s">
        <v>2564</v>
      </c>
      <c r="K839" t="s">
        <v>1595</v>
      </c>
      <c r="L839" t="s">
        <v>2565</v>
      </c>
      <c r="M839" s="37">
        <v>1.6</v>
      </c>
      <c r="N839" s="37">
        <v>0.5</v>
      </c>
      <c r="O839">
        <v>1.5</v>
      </c>
      <c r="P839" s="37">
        <v>1.3</v>
      </c>
      <c r="Q839">
        <v>1.05</v>
      </c>
      <c r="R839">
        <v>0</v>
      </c>
      <c r="S839">
        <v>0</v>
      </c>
      <c r="T839">
        <v>2000</v>
      </c>
      <c r="U839" t="s">
        <v>2371</v>
      </c>
      <c r="W839" t="s">
        <v>2387</v>
      </c>
      <c r="Y839" t="s">
        <v>2400</v>
      </c>
      <c r="Z839" s="37">
        <v>1</v>
      </c>
      <c r="AA839" s="37">
        <v>0.1</v>
      </c>
      <c r="AB839">
        <v>1</v>
      </c>
    </row>
    <row r="840">
      <c r="A840" t="s">
        <v>2560</v>
      </c>
      <c r="B840" t="s">
        <v>2548</v>
      </c>
      <c r="C840" t="s">
        <v>2548</v>
      </c>
      <c r="D840" t="s">
        <v>2561</v>
      </c>
      <c r="E840" t="s">
        <v>2562</v>
      </c>
      <c r="F840" t="s">
        <v>298</v>
      </c>
      <c r="G840" t="s">
        <v>2551</v>
      </c>
      <c r="H840" t="s">
        <v>2558</v>
      </c>
      <c r="I840" t="s">
        <v>2566</v>
      </c>
      <c r="J840" t="s">
        <v>969</v>
      </c>
      <c r="K840" t="s">
        <v>2567</v>
      </c>
      <c r="L840" t="s">
        <v>2565</v>
      </c>
      <c r="M840" s="37">
        <v>1</v>
      </c>
      <c r="N840" s="37">
        <v>0.3</v>
      </c>
      <c r="O840">
        <v>1</v>
      </c>
      <c r="P840" s="37">
        <v>1.3</v>
      </c>
      <c r="Q840">
        <v>1.05</v>
      </c>
      <c r="R840">
        <v>0</v>
      </c>
      <c r="S840">
        <v>0</v>
      </c>
      <c r="T840">
        <v>2000</v>
      </c>
      <c r="U840" t="s">
        <v>2371</v>
      </c>
      <c r="W840" t="s">
        <v>2387</v>
      </c>
      <c r="Y840" t="s">
        <v>2400</v>
      </c>
      <c r="Z840" s="37">
        <v>1</v>
      </c>
      <c r="AA840" s="37">
        <v>0.1</v>
      </c>
      <c r="AB840">
        <v>1</v>
      </c>
    </row>
    <row r="841">
      <c r="A841" t="s">
        <v>2560</v>
      </c>
      <c r="B841" t="s">
        <v>2548</v>
      </c>
      <c r="C841" t="s">
        <v>2548</v>
      </c>
      <c r="D841" t="s">
        <v>2561</v>
      </c>
      <c r="E841" t="s">
        <v>2562</v>
      </c>
      <c r="F841" t="s">
        <v>298</v>
      </c>
      <c r="G841" t="s">
        <v>2551</v>
      </c>
      <c r="H841" t="s">
        <v>2568</v>
      </c>
      <c r="I841" t="s">
        <v>2569</v>
      </c>
      <c r="J841" s="38">
        <v>1</v>
      </c>
      <c r="K841" s="38">
        <v>1</v>
      </c>
      <c r="L841" t="s">
        <v>2565</v>
      </c>
      <c r="M841" s="37">
        <v>1</v>
      </c>
      <c r="N841" s="37">
        <v>0.2</v>
      </c>
      <c r="O841">
        <v>1</v>
      </c>
      <c r="P841" s="37">
        <v>1.3</v>
      </c>
      <c r="Q841">
        <v>1.05</v>
      </c>
      <c r="R841">
        <v>0</v>
      </c>
      <c r="S841">
        <v>0</v>
      </c>
      <c r="T841">
        <v>2000</v>
      </c>
      <c r="U841" t="s">
        <v>2371</v>
      </c>
      <c r="W841" t="s">
        <v>2387</v>
      </c>
      <c r="Y841" t="s">
        <v>2400</v>
      </c>
      <c r="Z841" s="37">
        <v>1</v>
      </c>
      <c r="AA841" s="37">
        <v>0.1</v>
      </c>
      <c r="AB841">
        <v>1</v>
      </c>
    </row>
    <row r="842">
      <c r="A842" t="s">
        <v>2570</v>
      </c>
      <c r="B842" t="s">
        <v>2548</v>
      </c>
      <c r="C842" t="s">
        <v>2548</v>
      </c>
      <c r="D842" t="s">
        <v>2571</v>
      </c>
      <c r="E842" t="s">
        <v>2572</v>
      </c>
      <c r="F842" t="s">
        <v>298</v>
      </c>
      <c r="G842" t="s">
        <v>2551</v>
      </c>
      <c r="H842" t="s">
        <v>2552</v>
      </c>
      <c r="I842" t="s">
        <v>2573</v>
      </c>
      <c r="J842" t="s">
        <v>2564</v>
      </c>
      <c r="K842" t="s">
        <v>2574</v>
      </c>
      <c r="L842" t="s">
        <v>2575</v>
      </c>
      <c r="M842" s="37">
        <v>1</v>
      </c>
      <c r="N842" s="37">
        <v>0.6</v>
      </c>
      <c r="O842">
        <v>1.1</v>
      </c>
      <c r="P842" s="37">
        <v>0.6</v>
      </c>
      <c r="Q842">
        <v>0.66</v>
      </c>
      <c r="R842">
        <v>0</v>
      </c>
      <c r="S842">
        <v>0</v>
      </c>
      <c r="T842">
        <v>2000</v>
      </c>
      <c r="U842" t="s">
        <v>2371</v>
      </c>
      <c r="W842" t="s">
        <v>2387</v>
      </c>
      <c r="Y842" t="s">
        <v>2400</v>
      </c>
      <c r="Z842" s="37">
        <v>1</v>
      </c>
      <c r="AA842" s="37">
        <v>0.1</v>
      </c>
      <c r="AB842">
        <v>1</v>
      </c>
    </row>
    <row r="843">
      <c r="A843" t="s">
        <v>2570</v>
      </c>
      <c r="B843" t="s">
        <v>2548</v>
      </c>
      <c r="C843" t="s">
        <v>2548</v>
      </c>
      <c r="D843" t="s">
        <v>2571</v>
      </c>
      <c r="E843" t="s">
        <v>2572</v>
      </c>
      <c r="F843" t="s">
        <v>298</v>
      </c>
      <c r="G843" t="s">
        <v>2551</v>
      </c>
      <c r="H843" t="s">
        <v>2576</v>
      </c>
      <c r="I843" t="s">
        <v>2577</v>
      </c>
      <c r="J843" t="s">
        <v>2578</v>
      </c>
      <c r="L843" t="s">
        <v>2575</v>
      </c>
      <c r="M843" s="37">
        <v>0</v>
      </c>
      <c r="N843" s="37">
        <v>0.4</v>
      </c>
      <c r="O843">
        <v>0</v>
      </c>
      <c r="P843" s="37">
        <v>0.6</v>
      </c>
      <c r="Q843">
        <v>0.66</v>
      </c>
      <c r="R843">
        <v>0</v>
      </c>
      <c r="S843">
        <v>0</v>
      </c>
      <c r="T843">
        <v>2000</v>
      </c>
      <c r="U843" t="s">
        <v>2371</v>
      </c>
      <c r="W843" t="s">
        <v>2387</v>
      </c>
      <c r="Y843" t="s">
        <v>2400</v>
      </c>
      <c r="Z843" s="37">
        <v>1</v>
      </c>
      <c r="AA843" s="37">
        <v>0.1</v>
      </c>
      <c r="AB843">
        <v>1</v>
      </c>
    </row>
    <row r="844">
      <c r="A844" t="s">
        <v>2579</v>
      </c>
      <c r="B844" t="s">
        <v>2548</v>
      </c>
      <c r="C844" t="s">
        <v>2548</v>
      </c>
      <c r="D844" t="s">
        <v>2549</v>
      </c>
      <c r="E844" t="s">
        <v>2580</v>
      </c>
      <c r="F844" t="s">
        <v>298</v>
      </c>
      <c r="G844" t="s">
        <v>2551</v>
      </c>
      <c r="H844" t="s">
        <v>2558</v>
      </c>
      <c r="I844" t="s">
        <v>2581</v>
      </c>
      <c r="J844" s="38">
        <v>1</v>
      </c>
      <c r="K844" s="38">
        <v>1</v>
      </c>
      <c r="L844" t="s">
        <v>2582</v>
      </c>
      <c r="M844" s="37">
        <v>1</v>
      </c>
      <c r="N844" s="37">
        <v>0.3</v>
      </c>
      <c r="O844">
        <v>1</v>
      </c>
      <c r="P844" s="37">
        <v>1</v>
      </c>
      <c r="Q844">
        <v>1</v>
      </c>
      <c r="R844">
        <v>0</v>
      </c>
      <c r="S844">
        <v>0</v>
      </c>
      <c r="T844">
        <v>3000</v>
      </c>
      <c r="U844" t="s">
        <v>2371</v>
      </c>
      <c r="W844" t="s">
        <v>2387</v>
      </c>
      <c r="Y844" t="s">
        <v>2400</v>
      </c>
      <c r="Z844" s="37">
        <v>1</v>
      </c>
      <c r="AA844" s="37">
        <v>0.1</v>
      </c>
      <c r="AB844">
        <v>1</v>
      </c>
    </row>
    <row r="845">
      <c r="A845" t="s">
        <v>2579</v>
      </c>
      <c r="B845" t="s">
        <v>2548</v>
      </c>
      <c r="C845" t="s">
        <v>2548</v>
      </c>
      <c r="D845" t="s">
        <v>2549</v>
      </c>
      <c r="E845" t="s">
        <v>2580</v>
      </c>
      <c r="F845" t="s">
        <v>298</v>
      </c>
      <c r="G845" t="s">
        <v>2551</v>
      </c>
      <c r="H845" t="s">
        <v>2552</v>
      </c>
      <c r="I845" t="s">
        <v>2583</v>
      </c>
      <c r="J845" t="s">
        <v>1575</v>
      </c>
      <c r="K845" t="s">
        <v>2584</v>
      </c>
      <c r="L845" t="s">
        <v>2585</v>
      </c>
      <c r="M845" s="37">
        <v>1</v>
      </c>
      <c r="N845" s="37">
        <v>0.5</v>
      </c>
      <c r="O845">
        <v>1</v>
      </c>
      <c r="P845" s="37">
        <v>1</v>
      </c>
      <c r="Q845">
        <v>1</v>
      </c>
      <c r="R845">
        <v>0</v>
      </c>
      <c r="S845">
        <v>0</v>
      </c>
      <c r="T845">
        <v>3000</v>
      </c>
      <c r="U845" t="s">
        <v>2371</v>
      </c>
      <c r="W845" t="s">
        <v>2387</v>
      </c>
      <c r="Y845" t="s">
        <v>2400</v>
      </c>
      <c r="Z845" s="37">
        <v>1</v>
      </c>
      <c r="AA845" s="37">
        <v>0.1</v>
      </c>
      <c r="AB845">
        <v>1</v>
      </c>
    </row>
    <row r="846">
      <c r="A846" t="s">
        <v>2579</v>
      </c>
      <c r="B846" t="s">
        <v>2548</v>
      </c>
      <c r="C846" t="s">
        <v>2548</v>
      </c>
      <c r="D846" t="s">
        <v>2549</v>
      </c>
      <c r="E846" t="s">
        <v>2580</v>
      </c>
      <c r="F846" t="s">
        <v>298</v>
      </c>
      <c r="G846" t="s">
        <v>2551</v>
      </c>
      <c r="H846" t="s">
        <v>2556</v>
      </c>
      <c r="I846" t="s">
        <v>2586</v>
      </c>
      <c r="J846" s="38">
        <v>1</v>
      </c>
      <c r="K846" s="38">
        <v>1</v>
      </c>
      <c r="L846" t="s">
        <v>2587</v>
      </c>
      <c r="M846" s="37">
        <v>1</v>
      </c>
      <c r="N846" s="37">
        <v>0.2</v>
      </c>
      <c r="O846">
        <v>1</v>
      </c>
      <c r="P846" s="37">
        <v>1</v>
      </c>
      <c r="Q846">
        <v>1</v>
      </c>
      <c r="R846">
        <v>0</v>
      </c>
      <c r="S846">
        <v>0</v>
      </c>
      <c r="T846">
        <v>3000</v>
      </c>
      <c r="U846" t="s">
        <v>2371</v>
      </c>
      <c r="W846" t="s">
        <v>2387</v>
      </c>
      <c r="Y846" t="s">
        <v>2400</v>
      </c>
      <c r="Z846" s="37">
        <v>1</v>
      </c>
      <c r="AA846" s="37">
        <v>0.1</v>
      </c>
      <c r="AB846">
        <v>1</v>
      </c>
    </row>
    <row r="847">
      <c r="A847" t="s">
        <v>2588</v>
      </c>
      <c r="B847" t="s">
        <v>2548</v>
      </c>
      <c r="C847" t="s">
        <v>2548</v>
      </c>
      <c r="D847" t="s">
        <v>2549</v>
      </c>
      <c r="E847" t="s">
        <v>2589</v>
      </c>
      <c r="F847" t="s">
        <v>298</v>
      </c>
      <c r="G847" t="s">
        <v>2551</v>
      </c>
      <c r="H847" t="s">
        <v>2552</v>
      </c>
      <c r="I847" t="s">
        <v>2590</v>
      </c>
      <c r="J847" t="s">
        <v>1575</v>
      </c>
      <c r="K847" t="s">
        <v>2591</v>
      </c>
      <c r="L847" t="s">
        <v>455</v>
      </c>
      <c r="M847" s="37">
        <v>1</v>
      </c>
      <c r="N847" s="37">
        <v>0.5</v>
      </c>
      <c r="O847">
        <v>1.5</v>
      </c>
      <c r="P847" s="37">
        <v>1</v>
      </c>
      <c r="Q847">
        <v>1.41</v>
      </c>
      <c r="R847">
        <v>0</v>
      </c>
      <c r="S847">
        <v>0</v>
      </c>
      <c r="T847">
        <v>3000</v>
      </c>
      <c r="U847" t="s">
        <v>2371</v>
      </c>
      <c r="W847" t="s">
        <v>2387</v>
      </c>
      <c r="Y847" t="s">
        <v>2400</v>
      </c>
      <c r="Z847" s="37">
        <v>1</v>
      </c>
      <c r="AA847" s="37">
        <v>0.1</v>
      </c>
      <c r="AB847">
        <v>1</v>
      </c>
    </row>
    <row r="848">
      <c r="A848" t="s">
        <v>2588</v>
      </c>
      <c r="B848" t="s">
        <v>2548</v>
      </c>
      <c r="C848" t="s">
        <v>2548</v>
      </c>
      <c r="D848" t="s">
        <v>2549</v>
      </c>
      <c r="E848" t="s">
        <v>2589</v>
      </c>
      <c r="F848" t="s">
        <v>298</v>
      </c>
      <c r="G848" t="s">
        <v>2551</v>
      </c>
      <c r="H848" t="s">
        <v>2556</v>
      </c>
      <c r="I848" t="s">
        <v>2592</v>
      </c>
      <c r="J848" s="37">
        <v>0.0185</v>
      </c>
      <c r="K848" t="s">
        <v>2593</v>
      </c>
      <c r="L848" t="s">
        <v>455</v>
      </c>
      <c r="M848" s="37">
        <v>1</v>
      </c>
      <c r="N848" s="37">
        <v>0.2</v>
      </c>
      <c r="O848">
        <v>1.5</v>
      </c>
      <c r="P848" s="37">
        <v>1</v>
      </c>
      <c r="Q848">
        <v>1.41</v>
      </c>
      <c r="R848">
        <v>0</v>
      </c>
      <c r="S848">
        <v>0</v>
      </c>
      <c r="T848">
        <v>3000</v>
      </c>
      <c r="U848" t="s">
        <v>2371</v>
      </c>
      <c r="W848" t="s">
        <v>2387</v>
      </c>
      <c r="Y848" t="s">
        <v>2400</v>
      </c>
      <c r="Z848" s="37">
        <v>1</v>
      </c>
      <c r="AA848" s="37">
        <v>0.1</v>
      </c>
      <c r="AB848">
        <v>1</v>
      </c>
    </row>
    <row r="849">
      <c r="A849" t="s">
        <v>2588</v>
      </c>
      <c r="B849" t="s">
        <v>2548</v>
      </c>
      <c r="C849" t="s">
        <v>2548</v>
      </c>
      <c r="D849" t="s">
        <v>2549</v>
      </c>
      <c r="E849" t="s">
        <v>2589</v>
      </c>
      <c r="F849" t="s">
        <v>298</v>
      </c>
      <c r="G849" t="s">
        <v>2551</v>
      </c>
      <c r="H849" t="s">
        <v>2594</v>
      </c>
      <c r="I849" t="s">
        <v>2595</v>
      </c>
      <c r="J849" t="s">
        <v>969</v>
      </c>
      <c r="K849" t="s">
        <v>2596</v>
      </c>
      <c r="L849" t="s">
        <v>455</v>
      </c>
      <c r="M849" s="37">
        <v>1</v>
      </c>
      <c r="N849" s="37">
        <v>0.3</v>
      </c>
      <c r="O849">
        <v>1.2</v>
      </c>
      <c r="P849" s="37">
        <v>1</v>
      </c>
      <c r="Q849">
        <v>1.41</v>
      </c>
      <c r="R849">
        <v>0</v>
      </c>
      <c r="S849">
        <v>0</v>
      </c>
      <c r="T849">
        <v>3000</v>
      </c>
      <c r="U849" t="s">
        <v>2371</v>
      </c>
      <c r="W849" t="s">
        <v>2387</v>
      </c>
      <c r="Y849" t="s">
        <v>2400</v>
      </c>
      <c r="Z849" s="37">
        <v>1</v>
      </c>
      <c r="AA849" s="37">
        <v>0.1</v>
      </c>
      <c r="AB849">
        <v>1</v>
      </c>
    </row>
    <row r="850">
      <c r="A850" t="s">
        <v>2597</v>
      </c>
      <c r="B850" t="s">
        <v>2548</v>
      </c>
      <c r="C850" t="s">
        <v>2548</v>
      </c>
      <c r="D850" t="s">
        <v>2561</v>
      </c>
      <c r="E850" t="s">
        <v>2598</v>
      </c>
      <c r="F850" t="s">
        <v>298</v>
      </c>
      <c r="G850" t="s">
        <v>2551</v>
      </c>
      <c r="H850" t="s">
        <v>2558</v>
      </c>
      <c r="I850" t="s">
        <v>2599</v>
      </c>
      <c r="J850" t="s">
        <v>2564</v>
      </c>
      <c r="K850" t="s">
        <v>2600</v>
      </c>
      <c r="L850" t="s">
        <v>455</v>
      </c>
      <c r="M850" s="37">
        <v>1.03</v>
      </c>
      <c r="N850" s="37">
        <v>0.5</v>
      </c>
      <c r="O850">
        <v>1</v>
      </c>
      <c r="P850" s="37">
        <v>0.91501</v>
      </c>
      <c r="Q850">
        <v>0.9</v>
      </c>
      <c r="R850">
        <v>0</v>
      </c>
      <c r="S850">
        <v>0</v>
      </c>
      <c r="T850">
        <v>2000</v>
      </c>
      <c r="U850" t="s">
        <v>2371</v>
      </c>
      <c r="W850" t="s">
        <v>2387</v>
      </c>
      <c r="Y850" t="s">
        <v>2400</v>
      </c>
      <c r="Z850" s="37">
        <v>1</v>
      </c>
      <c r="AA850" s="37">
        <v>0.1</v>
      </c>
      <c r="AB850">
        <v>1</v>
      </c>
    </row>
    <row r="851">
      <c r="A851" t="s">
        <v>2597</v>
      </c>
      <c r="B851" t="s">
        <v>2548</v>
      </c>
      <c r="C851" t="s">
        <v>2548</v>
      </c>
      <c r="D851" t="s">
        <v>2561</v>
      </c>
      <c r="E851" t="s">
        <v>2598</v>
      </c>
      <c r="F851" t="s">
        <v>298</v>
      </c>
      <c r="G851" t="s">
        <v>2551</v>
      </c>
      <c r="H851" t="s">
        <v>2594</v>
      </c>
      <c r="I851" t="s">
        <v>2566</v>
      </c>
      <c r="J851" t="s">
        <v>969</v>
      </c>
      <c r="K851" t="s">
        <v>342</v>
      </c>
      <c r="L851" t="s">
        <v>455</v>
      </c>
      <c r="M851" s="37">
        <v>0.6667</v>
      </c>
      <c r="N851" s="37">
        <v>0.3</v>
      </c>
      <c r="O851">
        <v>0.67</v>
      </c>
      <c r="P851" s="37">
        <v>0.91501</v>
      </c>
      <c r="Q851">
        <v>0.9</v>
      </c>
      <c r="R851">
        <v>0</v>
      </c>
      <c r="S851">
        <v>0</v>
      </c>
      <c r="T851">
        <v>2000</v>
      </c>
      <c r="U851" t="s">
        <v>2371</v>
      </c>
      <c r="W851" t="s">
        <v>2387</v>
      </c>
      <c r="Y851" t="s">
        <v>2400</v>
      </c>
      <c r="Z851" s="37">
        <v>1</v>
      </c>
      <c r="AA851" s="37">
        <v>0.1</v>
      </c>
      <c r="AB851">
        <v>1</v>
      </c>
    </row>
    <row r="852">
      <c r="A852" t="s">
        <v>2597</v>
      </c>
      <c r="B852" t="s">
        <v>2548</v>
      </c>
      <c r="C852" t="s">
        <v>2548</v>
      </c>
      <c r="D852" t="s">
        <v>2561</v>
      </c>
      <c r="E852" t="s">
        <v>2598</v>
      </c>
      <c r="F852" t="s">
        <v>298</v>
      </c>
      <c r="G852" t="s">
        <v>2551</v>
      </c>
      <c r="H852" t="s">
        <v>2568</v>
      </c>
      <c r="I852" t="s">
        <v>2601</v>
      </c>
      <c r="J852" s="38">
        <v>1</v>
      </c>
      <c r="K852" s="38">
        <v>1</v>
      </c>
      <c r="L852" t="s">
        <v>455</v>
      </c>
      <c r="M852" s="37">
        <v>1</v>
      </c>
      <c r="N852" s="37">
        <v>0.2</v>
      </c>
      <c r="O852">
        <v>1</v>
      </c>
      <c r="P852" s="37">
        <v>0.91501</v>
      </c>
      <c r="Q852">
        <v>0.9</v>
      </c>
      <c r="R852">
        <v>0</v>
      </c>
      <c r="S852">
        <v>0</v>
      </c>
      <c r="T852">
        <v>2000</v>
      </c>
      <c r="U852" t="s">
        <v>2371</v>
      </c>
      <c r="W852" t="s">
        <v>2387</v>
      </c>
      <c r="Y852" t="s">
        <v>2400</v>
      </c>
      <c r="Z852" s="37">
        <v>1</v>
      </c>
      <c r="AA852" s="37">
        <v>0.1</v>
      </c>
      <c r="AB852">
        <v>1</v>
      </c>
    </row>
    <row r="853">
      <c r="A853" t="s">
        <v>2602</v>
      </c>
      <c r="B853" t="s">
        <v>2548</v>
      </c>
      <c r="C853" t="s">
        <v>2548</v>
      </c>
      <c r="D853" t="s">
        <v>2561</v>
      </c>
      <c r="E853" t="s">
        <v>2603</v>
      </c>
      <c r="F853" t="s">
        <v>298</v>
      </c>
      <c r="G853" t="s">
        <v>2551</v>
      </c>
      <c r="H853" t="s">
        <v>2552</v>
      </c>
      <c r="I853" t="s">
        <v>2599</v>
      </c>
      <c r="J853" t="s">
        <v>777</v>
      </c>
      <c r="K853" t="s">
        <v>2604</v>
      </c>
      <c r="L853" t="s">
        <v>455</v>
      </c>
      <c r="M853" s="37">
        <v>0.145469</v>
      </c>
      <c r="N853" s="37">
        <v>0.5</v>
      </c>
      <c r="O853">
        <v>0.1164</v>
      </c>
      <c r="P853" s="37">
        <v>0.272735</v>
      </c>
      <c r="Q853">
        <v>0.26</v>
      </c>
      <c r="R853">
        <v>0</v>
      </c>
      <c r="S853">
        <v>0</v>
      </c>
      <c r="T853">
        <v>2000</v>
      </c>
      <c r="U853" t="s">
        <v>2371</v>
      </c>
      <c r="W853" t="s">
        <v>2387</v>
      </c>
      <c r="Y853" t="s">
        <v>2400</v>
      </c>
      <c r="Z853" s="37">
        <v>1</v>
      </c>
      <c r="AA853" s="37">
        <v>0.1</v>
      </c>
      <c r="AB853">
        <v>1</v>
      </c>
    </row>
    <row r="854">
      <c r="A854" t="s">
        <v>2602</v>
      </c>
      <c r="B854" t="s">
        <v>2548</v>
      </c>
      <c r="C854" t="s">
        <v>2548</v>
      </c>
      <c r="D854" t="s">
        <v>2561</v>
      </c>
      <c r="E854" t="s">
        <v>2603</v>
      </c>
      <c r="F854" t="s">
        <v>298</v>
      </c>
      <c r="G854" t="s">
        <v>2551</v>
      </c>
      <c r="H854" t="s">
        <v>2568</v>
      </c>
      <c r="I854" t="s">
        <v>2601</v>
      </c>
      <c r="J854" s="38">
        <v>1</v>
      </c>
      <c r="K854" s="38">
        <v>1</v>
      </c>
      <c r="L854" t="s">
        <v>455</v>
      </c>
      <c r="M854" s="37">
        <v>1</v>
      </c>
      <c r="N854" s="37">
        <v>0.2</v>
      </c>
      <c r="O854">
        <v>1</v>
      </c>
      <c r="P854" s="37">
        <v>0.272735</v>
      </c>
      <c r="Q854">
        <v>0.26</v>
      </c>
      <c r="R854">
        <v>0</v>
      </c>
      <c r="S854">
        <v>0</v>
      </c>
      <c r="T854">
        <v>2000</v>
      </c>
      <c r="U854" t="s">
        <v>2371</v>
      </c>
      <c r="W854" t="s">
        <v>2387</v>
      </c>
      <c r="Y854" t="s">
        <v>2400</v>
      </c>
      <c r="Z854" s="37">
        <v>1</v>
      </c>
      <c r="AA854" s="37">
        <v>0.1</v>
      </c>
      <c r="AB854">
        <v>1</v>
      </c>
    </row>
    <row r="855">
      <c r="A855" t="s">
        <v>2602</v>
      </c>
      <c r="B855" t="s">
        <v>2548</v>
      </c>
      <c r="C855" t="s">
        <v>2548</v>
      </c>
      <c r="D855" t="s">
        <v>2561</v>
      </c>
      <c r="E855" t="s">
        <v>2603</v>
      </c>
      <c r="F855" t="s">
        <v>298</v>
      </c>
      <c r="G855" t="s">
        <v>2551</v>
      </c>
      <c r="H855" t="s">
        <v>2558</v>
      </c>
      <c r="I855" t="s">
        <v>2605</v>
      </c>
      <c r="J855" t="s">
        <v>969</v>
      </c>
      <c r="K855" t="s">
        <v>1041</v>
      </c>
      <c r="M855" s="37">
        <v>0</v>
      </c>
      <c r="N855" s="37">
        <v>0.3</v>
      </c>
      <c r="O855">
        <v>0</v>
      </c>
      <c r="P855" s="37">
        <v>0.272735</v>
      </c>
      <c r="Q855">
        <v>0.26</v>
      </c>
      <c r="R855">
        <v>0</v>
      </c>
      <c r="S855">
        <v>0</v>
      </c>
      <c r="T855">
        <v>2000</v>
      </c>
      <c r="U855" t="s">
        <v>2371</v>
      </c>
      <c r="W855" t="s">
        <v>2387</v>
      </c>
      <c r="Y855" t="s">
        <v>2400</v>
      </c>
      <c r="Z855" s="37">
        <v>1</v>
      </c>
      <c r="AA855" s="37">
        <v>0.1</v>
      </c>
      <c r="AB855">
        <v>1</v>
      </c>
    </row>
    <row r="856">
      <c r="A856" t="s">
        <v>2606</v>
      </c>
      <c r="B856" t="s">
        <v>2607</v>
      </c>
      <c r="C856" t="s">
        <v>2607</v>
      </c>
      <c r="D856" t="s">
        <v>2608</v>
      </c>
      <c r="E856" t="s">
        <v>2609</v>
      </c>
      <c r="F856" t="s">
        <v>298</v>
      </c>
      <c r="G856" t="s">
        <v>2610</v>
      </c>
      <c r="H856" t="s">
        <v>2611</v>
      </c>
      <c r="I856" t="s">
        <v>2612</v>
      </c>
      <c r="J856" t="s">
        <v>2613</v>
      </c>
      <c r="K856" t="s">
        <v>2614</v>
      </c>
      <c r="L856" t="s">
        <v>2615</v>
      </c>
      <c r="M856" s="37">
        <v>1.1408</v>
      </c>
      <c r="N856" s="37">
        <v>0.15</v>
      </c>
      <c r="O856">
        <v>1.141</v>
      </c>
      <c r="P856" s="37">
        <v>1.44321</v>
      </c>
      <c r="Q856">
        <v>0.99</v>
      </c>
      <c r="R856">
        <v>2721.77</v>
      </c>
      <c r="S856">
        <v>2721.77</v>
      </c>
      <c r="T856">
        <v>3000</v>
      </c>
      <c r="U856" t="s">
        <v>2371</v>
      </c>
      <c r="W856" t="s">
        <v>2387</v>
      </c>
      <c r="Y856" t="s">
        <v>2400</v>
      </c>
      <c r="Z856" s="37">
        <v>1</v>
      </c>
      <c r="AA856" s="37">
        <v>0.1</v>
      </c>
      <c r="AB856">
        <v>1</v>
      </c>
    </row>
    <row r="857">
      <c r="A857" t="s">
        <v>2606</v>
      </c>
      <c r="B857" t="s">
        <v>2607</v>
      </c>
      <c r="C857" t="s">
        <v>2607</v>
      </c>
      <c r="D857" t="s">
        <v>2608</v>
      </c>
      <c r="E857" t="s">
        <v>2609</v>
      </c>
      <c r="F857" t="s">
        <v>298</v>
      </c>
      <c r="G857" t="s">
        <v>2610</v>
      </c>
      <c r="H857" t="s">
        <v>2611</v>
      </c>
      <c r="I857" t="s">
        <v>2616</v>
      </c>
      <c r="J857" t="s">
        <v>2617</v>
      </c>
      <c r="K857" t="s">
        <v>2618</v>
      </c>
      <c r="L857" t="s">
        <v>2615</v>
      </c>
      <c r="M857" s="37">
        <v>0.9806</v>
      </c>
      <c r="N857" s="37">
        <v>0.15</v>
      </c>
      <c r="O857">
        <v>0.981</v>
      </c>
      <c r="P857" s="37">
        <v>1.44321</v>
      </c>
      <c r="Q857">
        <v>0.99</v>
      </c>
      <c r="R857">
        <v>2721.77</v>
      </c>
      <c r="S857">
        <v>2721.77</v>
      </c>
      <c r="T857">
        <v>3000</v>
      </c>
      <c r="U857" t="s">
        <v>2371</v>
      </c>
      <c r="W857" t="s">
        <v>2387</v>
      </c>
      <c r="Y857" t="s">
        <v>2400</v>
      </c>
      <c r="Z857" s="37">
        <v>1</v>
      </c>
      <c r="AA857" s="37">
        <v>0.1</v>
      </c>
      <c r="AB857">
        <v>1</v>
      </c>
    </row>
    <row r="858">
      <c r="A858" t="s">
        <v>2606</v>
      </c>
      <c r="B858" t="s">
        <v>2607</v>
      </c>
      <c r="C858" t="s">
        <v>2607</v>
      </c>
      <c r="D858" t="s">
        <v>2608</v>
      </c>
      <c r="E858" t="s">
        <v>2609</v>
      </c>
      <c r="F858" t="s">
        <v>298</v>
      </c>
      <c r="G858" t="s">
        <v>2610</v>
      </c>
      <c r="H858" t="s">
        <v>2619</v>
      </c>
      <c r="I858" t="s">
        <v>2620</v>
      </c>
      <c r="J858">
        <v>0.2</v>
      </c>
      <c r="K858">
        <v>0.09</v>
      </c>
      <c r="L858" t="s">
        <v>2615</v>
      </c>
      <c r="M858" s="37">
        <v>0.45</v>
      </c>
      <c r="N858" s="37">
        <v>0.25</v>
      </c>
      <c r="O858">
        <v>0.45</v>
      </c>
      <c r="P858" s="37">
        <v>1.44321</v>
      </c>
      <c r="Q858">
        <v>0.99</v>
      </c>
      <c r="R858">
        <v>2721.77</v>
      </c>
      <c r="S858">
        <v>2721.77</v>
      </c>
      <c r="T858">
        <v>3000</v>
      </c>
      <c r="U858" t="s">
        <v>2371</v>
      </c>
      <c r="W858" t="s">
        <v>2387</v>
      </c>
      <c r="Y858" t="s">
        <v>2400</v>
      </c>
      <c r="Z858" s="37">
        <v>1</v>
      </c>
      <c r="AA858" s="37">
        <v>0.1</v>
      </c>
      <c r="AB858">
        <v>1</v>
      </c>
    </row>
    <row r="859">
      <c r="A859" t="s">
        <v>2606</v>
      </c>
      <c r="B859" t="s">
        <v>2607</v>
      </c>
      <c r="C859" t="s">
        <v>2607</v>
      </c>
      <c r="D859" t="s">
        <v>2608</v>
      </c>
      <c r="E859" t="s">
        <v>2609</v>
      </c>
      <c r="F859" t="s">
        <v>298</v>
      </c>
      <c r="G859" t="s">
        <v>2610</v>
      </c>
      <c r="H859" t="s">
        <v>2619</v>
      </c>
      <c r="I859" t="s">
        <v>2621</v>
      </c>
      <c r="J859">
        <v>0.07</v>
      </c>
      <c r="K859">
        <v>0.23</v>
      </c>
      <c r="L859" t="s">
        <v>2615</v>
      </c>
      <c r="M859" s="37">
        <v>3.28</v>
      </c>
      <c r="N859" s="37">
        <v>0.25</v>
      </c>
      <c r="O859">
        <v>1.5</v>
      </c>
      <c r="P859" s="37">
        <v>1.44321</v>
      </c>
      <c r="Q859">
        <v>0.99</v>
      </c>
      <c r="R859">
        <v>2721.77</v>
      </c>
      <c r="S859">
        <v>2721.77</v>
      </c>
      <c r="T859">
        <v>3000</v>
      </c>
      <c r="U859" t="s">
        <v>2371</v>
      </c>
      <c r="W859" t="s">
        <v>2387</v>
      </c>
      <c r="Y859" t="s">
        <v>2400</v>
      </c>
      <c r="Z859" s="37">
        <v>1</v>
      </c>
      <c r="AA859" s="37">
        <v>0.1</v>
      </c>
      <c r="AB859">
        <v>1</v>
      </c>
    </row>
    <row r="860">
      <c r="A860" t="s">
        <v>2606</v>
      </c>
      <c r="B860" t="s">
        <v>2607</v>
      </c>
      <c r="C860" t="s">
        <v>2607</v>
      </c>
      <c r="D860" t="s">
        <v>2608</v>
      </c>
      <c r="E860" t="s">
        <v>2609</v>
      </c>
      <c r="F860" t="s">
        <v>298</v>
      </c>
      <c r="G860" t="s">
        <v>2610</v>
      </c>
      <c r="H860" t="s">
        <v>2622</v>
      </c>
      <c r="I860" t="s">
        <v>2623</v>
      </c>
      <c r="K860">
        <v>9</v>
      </c>
      <c r="L860" t="s">
        <v>2615</v>
      </c>
      <c r="M860" s="37">
        <v>1.125</v>
      </c>
      <c r="N860" s="37">
        <v>0.1</v>
      </c>
      <c r="O860">
        <v>1</v>
      </c>
      <c r="P860" s="37">
        <v>1.44321</v>
      </c>
      <c r="Q860">
        <v>0.99</v>
      </c>
      <c r="R860">
        <v>2721.77</v>
      </c>
      <c r="S860">
        <v>2721.77</v>
      </c>
      <c r="T860">
        <v>3000</v>
      </c>
      <c r="U860" t="s">
        <v>2371</v>
      </c>
      <c r="W860" t="s">
        <v>2387</v>
      </c>
      <c r="Y860" t="s">
        <v>2400</v>
      </c>
      <c r="Z860" s="37">
        <v>1</v>
      </c>
      <c r="AA860" s="37">
        <v>0.1</v>
      </c>
      <c r="AB860">
        <v>1</v>
      </c>
    </row>
    <row r="861">
      <c r="A861" t="s">
        <v>2606</v>
      </c>
      <c r="B861" t="s">
        <v>2607</v>
      </c>
      <c r="C861" t="s">
        <v>2607</v>
      </c>
      <c r="D861" t="s">
        <v>2608</v>
      </c>
      <c r="E861" t="s">
        <v>2609</v>
      </c>
      <c r="F861" t="s">
        <v>298</v>
      </c>
      <c r="G861" t="s">
        <v>2610</v>
      </c>
      <c r="H861" t="s">
        <v>2622</v>
      </c>
      <c r="I861" t="s">
        <v>2624</v>
      </c>
      <c r="K861" t="s">
        <v>2625</v>
      </c>
      <c r="L861" t="s">
        <v>2615</v>
      </c>
      <c r="M861" s="37">
        <v>0.8</v>
      </c>
      <c r="N861" s="37">
        <v>0.1</v>
      </c>
      <c r="O861">
        <v>0.8</v>
      </c>
      <c r="P861" s="37">
        <v>1.44321</v>
      </c>
      <c r="Q861">
        <v>0.99</v>
      </c>
      <c r="R861">
        <v>2721.77</v>
      </c>
      <c r="S861">
        <v>2721.77</v>
      </c>
      <c r="T861">
        <v>3000</v>
      </c>
      <c r="U861" t="s">
        <v>2371</v>
      </c>
      <c r="W861" t="s">
        <v>2387</v>
      </c>
      <c r="Y861" t="s">
        <v>2400</v>
      </c>
      <c r="Z861" s="37">
        <v>1</v>
      </c>
      <c r="AA861" s="37">
        <v>0.1</v>
      </c>
      <c r="AB861">
        <v>1</v>
      </c>
    </row>
    <row r="862">
      <c r="A862" t="s">
        <v>2626</v>
      </c>
      <c r="B862" t="s">
        <v>2607</v>
      </c>
      <c r="C862" t="s">
        <v>2607</v>
      </c>
      <c r="D862" t="s">
        <v>2608</v>
      </c>
      <c r="E862" t="s">
        <v>2627</v>
      </c>
      <c r="F862" t="s">
        <v>298</v>
      </c>
      <c r="G862" t="s">
        <v>2610</v>
      </c>
      <c r="H862" t="s">
        <v>2611</v>
      </c>
      <c r="I862" t="s">
        <v>2628</v>
      </c>
      <c r="J862" t="s">
        <v>2629</v>
      </c>
      <c r="K862" t="s">
        <v>2630</v>
      </c>
      <c r="L862" t="s">
        <v>2615</v>
      </c>
      <c r="M862" s="37">
        <v>1.0047</v>
      </c>
      <c r="N862" s="37">
        <v>0.18</v>
      </c>
      <c r="O862">
        <v>1.407</v>
      </c>
      <c r="P862" s="37">
        <v>1.035966</v>
      </c>
      <c r="Q862">
        <v>1.14</v>
      </c>
      <c r="R862">
        <v>3931.45</v>
      </c>
      <c r="S862">
        <v>3931.45</v>
      </c>
      <c r="T862">
        <v>3000</v>
      </c>
      <c r="U862" t="s">
        <v>2371</v>
      </c>
      <c r="W862" t="s">
        <v>2387</v>
      </c>
      <c r="Y862" t="s">
        <v>2400</v>
      </c>
      <c r="Z862" s="37">
        <v>1</v>
      </c>
      <c r="AA862" s="37">
        <v>0.1</v>
      </c>
      <c r="AB862">
        <v>1</v>
      </c>
    </row>
    <row r="863">
      <c r="A863" t="s">
        <v>2626</v>
      </c>
      <c r="B863" t="s">
        <v>2607</v>
      </c>
      <c r="C863" t="s">
        <v>2607</v>
      </c>
      <c r="D863" t="s">
        <v>2608</v>
      </c>
      <c r="E863" t="s">
        <v>2627</v>
      </c>
      <c r="F863" t="s">
        <v>298</v>
      </c>
      <c r="G863" t="s">
        <v>2610</v>
      </c>
      <c r="H863" t="s">
        <v>2619</v>
      </c>
      <c r="I863" t="s">
        <v>2631</v>
      </c>
      <c r="J863">
        <v>0.1</v>
      </c>
      <c r="K863">
        <v>0.11</v>
      </c>
      <c r="L863" t="s">
        <v>2615</v>
      </c>
      <c r="M863" s="37">
        <v>1.1</v>
      </c>
      <c r="N863" s="37">
        <v>0.2</v>
      </c>
      <c r="O863">
        <v>1.1</v>
      </c>
      <c r="P863" s="37">
        <v>1.035966</v>
      </c>
      <c r="Q863">
        <v>1.14</v>
      </c>
      <c r="R863">
        <v>3931.45</v>
      </c>
      <c r="S863">
        <v>3931.45</v>
      </c>
      <c r="T863">
        <v>3000</v>
      </c>
      <c r="U863" t="s">
        <v>2371</v>
      </c>
      <c r="W863" t="s">
        <v>2387</v>
      </c>
      <c r="Y863" t="s">
        <v>2400</v>
      </c>
      <c r="Z863" s="37">
        <v>1</v>
      </c>
      <c r="AA863" s="37">
        <v>0.1</v>
      </c>
      <c r="AB863">
        <v>1</v>
      </c>
    </row>
    <row r="864">
      <c r="A864" t="s">
        <v>2626</v>
      </c>
      <c r="B864" t="s">
        <v>2607</v>
      </c>
      <c r="C864" t="s">
        <v>2607</v>
      </c>
      <c r="D864" t="s">
        <v>2608</v>
      </c>
      <c r="E864" t="s">
        <v>2627</v>
      </c>
      <c r="F864" t="s">
        <v>298</v>
      </c>
      <c r="G864" t="s">
        <v>2610</v>
      </c>
      <c r="H864" t="s">
        <v>2632</v>
      </c>
      <c r="I864" t="s">
        <v>2633</v>
      </c>
      <c r="J864" t="s">
        <v>1401</v>
      </c>
      <c r="K864" t="s">
        <v>1401</v>
      </c>
      <c r="L864" t="s">
        <v>2615</v>
      </c>
      <c r="M864" s="37">
        <v>1</v>
      </c>
      <c r="N864" s="37">
        <v>0.3</v>
      </c>
      <c r="O864">
        <v>1</v>
      </c>
      <c r="P864" s="37">
        <v>1.035966</v>
      </c>
      <c r="Q864">
        <v>1.14</v>
      </c>
      <c r="R864">
        <v>3931.45</v>
      </c>
      <c r="S864">
        <v>3931.45</v>
      </c>
      <c r="T864">
        <v>3000</v>
      </c>
      <c r="U864" t="s">
        <v>2371</v>
      </c>
      <c r="W864" t="s">
        <v>2387</v>
      </c>
      <c r="Y864" t="s">
        <v>2400</v>
      </c>
      <c r="Z864" s="37">
        <v>1</v>
      </c>
      <c r="AA864" s="37">
        <v>0.1</v>
      </c>
      <c r="AB864">
        <v>1</v>
      </c>
    </row>
    <row r="865">
      <c r="A865" t="s">
        <v>2626</v>
      </c>
      <c r="B865" t="s">
        <v>2607</v>
      </c>
      <c r="C865" t="s">
        <v>2607</v>
      </c>
      <c r="D865" t="s">
        <v>2608</v>
      </c>
      <c r="E865" t="s">
        <v>2627</v>
      </c>
      <c r="F865" t="s">
        <v>298</v>
      </c>
      <c r="G865" t="s">
        <v>2610</v>
      </c>
      <c r="H865" t="s">
        <v>2622</v>
      </c>
      <c r="I865" t="s">
        <v>2634</v>
      </c>
      <c r="K865" t="s">
        <v>2635</v>
      </c>
      <c r="L865" t="s">
        <v>2615</v>
      </c>
      <c r="M865" s="37">
        <v>1</v>
      </c>
      <c r="N865" s="37">
        <v>0.2</v>
      </c>
      <c r="O865">
        <v>1</v>
      </c>
      <c r="P865" s="37">
        <v>1.035966</v>
      </c>
      <c r="Q865">
        <v>1.14</v>
      </c>
      <c r="R865">
        <v>3931.45</v>
      </c>
      <c r="S865">
        <v>3931.45</v>
      </c>
      <c r="T865">
        <v>3000</v>
      </c>
      <c r="U865" t="s">
        <v>2371</v>
      </c>
      <c r="W865" t="s">
        <v>2387</v>
      </c>
      <c r="Y865" t="s">
        <v>2400</v>
      </c>
      <c r="Z865" s="37">
        <v>1</v>
      </c>
      <c r="AA865" s="37">
        <v>0.1</v>
      </c>
      <c r="AB865">
        <v>1</v>
      </c>
    </row>
    <row r="866">
      <c r="A866" t="s">
        <v>2626</v>
      </c>
      <c r="B866" t="s">
        <v>2607</v>
      </c>
      <c r="C866" t="s">
        <v>2607</v>
      </c>
      <c r="D866" t="s">
        <v>2608</v>
      </c>
      <c r="E866" t="s">
        <v>2627</v>
      </c>
      <c r="F866" t="s">
        <v>298</v>
      </c>
      <c r="G866" t="s">
        <v>2610</v>
      </c>
      <c r="H866" t="s">
        <v>2611</v>
      </c>
      <c r="I866" t="s">
        <v>2636</v>
      </c>
      <c r="J866" t="s">
        <v>2637</v>
      </c>
      <c r="K866" t="s">
        <v>2638</v>
      </c>
      <c r="L866" t="s">
        <v>2615</v>
      </c>
      <c r="M866" s="37">
        <v>1.126</v>
      </c>
      <c r="N866" s="37">
        <v>0.12</v>
      </c>
      <c r="O866">
        <v>1.408</v>
      </c>
      <c r="P866" s="37">
        <v>1.035966</v>
      </c>
      <c r="Q866">
        <v>1.14</v>
      </c>
      <c r="R866">
        <v>3931.45</v>
      </c>
      <c r="S866">
        <v>3931.45</v>
      </c>
      <c r="T866">
        <v>3000</v>
      </c>
      <c r="U866" t="s">
        <v>2371</v>
      </c>
      <c r="W866" t="s">
        <v>2387</v>
      </c>
      <c r="Y866" t="s">
        <v>2400</v>
      </c>
      <c r="Z866" s="37">
        <v>1</v>
      </c>
      <c r="AA866" s="37">
        <v>0.1</v>
      </c>
      <c r="AB866">
        <v>1</v>
      </c>
    </row>
    <row r="867">
      <c r="A867" t="s">
        <v>2639</v>
      </c>
      <c r="B867" t="s">
        <v>2607</v>
      </c>
      <c r="C867" t="s">
        <v>2607</v>
      </c>
      <c r="D867" t="s">
        <v>2608</v>
      </c>
      <c r="E867" t="s">
        <v>2640</v>
      </c>
      <c r="F867" t="s">
        <v>298</v>
      </c>
      <c r="G867" t="s">
        <v>2610</v>
      </c>
      <c r="H867" t="s">
        <v>2632</v>
      </c>
      <c r="I867" t="s">
        <v>2641</v>
      </c>
      <c r="J867" t="s">
        <v>2642</v>
      </c>
      <c r="K867" t="s">
        <v>2642</v>
      </c>
      <c r="L867" t="s">
        <v>2615</v>
      </c>
      <c r="M867" s="37">
        <v>1</v>
      </c>
      <c r="N867" s="37">
        <v>0.3</v>
      </c>
      <c r="O867">
        <v>1</v>
      </c>
      <c r="P867" s="37">
        <v>0.98708</v>
      </c>
      <c r="Q867">
        <v>1.09</v>
      </c>
      <c r="R867">
        <v>3629.03</v>
      </c>
      <c r="S867">
        <v>3629.03</v>
      </c>
      <c r="T867">
        <v>3000</v>
      </c>
      <c r="U867" t="s">
        <v>2371</v>
      </c>
      <c r="W867" t="s">
        <v>2387</v>
      </c>
      <c r="Y867" t="s">
        <v>2400</v>
      </c>
      <c r="Z867" s="37">
        <v>1</v>
      </c>
      <c r="AA867" s="37">
        <v>0.1</v>
      </c>
      <c r="AB867">
        <v>1</v>
      </c>
    </row>
    <row r="868">
      <c r="A868" t="s">
        <v>2639</v>
      </c>
      <c r="B868" t="s">
        <v>2607</v>
      </c>
      <c r="C868" t="s">
        <v>2607</v>
      </c>
      <c r="D868" t="s">
        <v>2608</v>
      </c>
      <c r="E868" t="s">
        <v>2640</v>
      </c>
      <c r="F868" t="s">
        <v>298</v>
      </c>
      <c r="G868" t="s">
        <v>2610</v>
      </c>
      <c r="H868" t="s">
        <v>2622</v>
      </c>
      <c r="I868" t="s">
        <v>2643</v>
      </c>
      <c r="K868" s="38">
        <v>1</v>
      </c>
      <c r="L868" t="s">
        <v>2615</v>
      </c>
      <c r="M868" s="37">
        <v>1</v>
      </c>
      <c r="N868" s="37">
        <v>0.2</v>
      </c>
      <c r="O868">
        <v>1</v>
      </c>
      <c r="P868" s="37">
        <v>0.98708</v>
      </c>
      <c r="Q868">
        <v>1.09</v>
      </c>
      <c r="R868">
        <v>3629.03</v>
      </c>
      <c r="S868">
        <v>3629.03</v>
      </c>
      <c r="T868">
        <v>3000</v>
      </c>
      <c r="U868" t="s">
        <v>2371</v>
      </c>
      <c r="W868" t="s">
        <v>2387</v>
      </c>
      <c r="Y868" t="s">
        <v>2400</v>
      </c>
      <c r="Z868" s="37">
        <v>1</v>
      </c>
      <c r="AA868" s="37">
        <v>0.1</v>
      </c>
      <c r="AB868">
        <v>1</v>
      </c>
    </row>
    <row r="869">
      <c r="A869" t="s">
        <v>2639</v>
      </c>
      <c r="B869" t="s">
        <v>2607</v>
      </c>
      <c r="C869" t="s">
        <v>2607</v>
      </c>
      <c r="D869" t="s">
        <v>2608</v>
      </c>
      <c r="E869" t="s">
        <v>2640</v>
      </c>
      <c r="F869" t="s">
        <v>298</v>
      </c>
      <c r="G869" t="s">
        <v>2610</v>
      </c>
      <c r="H869" t="s">
        <v>2611</v>
      </c>
      <c r="I869" t="s">
        <v>2644</v>
      </c>
      <c r="J869" t="s">
        <v>317</v>
      </c>
      <c r="K869" t="s">
        <v>2645</v>
      </c>
      <c r="L869" t="s">
        <v>2615</v>
      </c>
      <c r="M869" s="37">
        <v>0.9986</v>
      </c>
      <c r="N869" s="37">
        <v>0.3</v>
      </c>
      <c r="O869">
        <v>1.348</v>
      </c>
      <c r="P869" s="37">
        <v>0.98708</v>
      </c>
      <c r="Q869">
        <v>1.09</v>
      </c>
      <c r="R869">
        <v>3629.03</v>
      </c>
      <c r="S869">
        <v>3629.03</v>
      </c>
      <c r="T869">
        <v>3000</v>
      </c>
      <c r="U869" t="s">
        <v>2371</v>
      </c>
      <c r="W869" t="s">
        <v>2387</v>
      </c>
      <c r="Y869" t="s">
        <v>2400</v>
      </c>
      <c r="Z869" s="37">
        <v>1</v>
      </c>
      <c r="AA869" s="37">
        <v>0.1</v>
      </c>
      <c r="AB869">
        <v>1</v>
      </c>
    </row>
    <row r="870">
      <c r="A870" t="s">
        <v>2639</v>
      </c>
      <c r="B870" t="s">
        <v>2607</v>
      </c>
      <c r="C870" t="s">
        <v>2607</v>
      </c>
      <c r="D870" t="s">
        <v>2608</v>
      </c>
      <c r="E870" t="s">
        <v>2640</v>
      </c>
      <c r="F870" t="s">
        <v>298</v>
      </c>
      <c r="G870" t="s">
        <v>2610</v>
      </c>
      <c r="H870" t="s">
        <v>2622</v>
      </c>
      <c r="I870" t="s">
        <v>2646</v>
      </c>
      <c r="K870" s="37">
        <v>0.9375</v>
      </c>
      <c r="L870" t="s">
        <v>2615</v>
      </c>
      <c r="M870" s="37">
        <v>0.9375</v>
      </c>
      <c r="N870" s="37">
        <v>0.2</v>
      </c>
      <c r="O870">
        <v>0.9375</v>
      </c>
      <c r="P870" s="37">
        <v>0.98708</v>
      </c>
      <c r="Q870">
        <v>1.09</v>
      </c>
      <c r="R870">
        <v>3629.03</v>
      </c>
      <c r="S870">
        <v>3629.03</v>
      </c>
      <c r="T870">
        <v>3000</v>
      </c>
      <c r="U870" t="s">
        <v>2371</v>
      </c>
      <c r="W870" t="s">
        <v>2387</v>
      </c>
      <c r="Y870" t="s">
        <v>2400</v>
      </c>
      <c r="Z870" s="37">
        <v>1</v>
      </c>
      <c r="AA870" s="37">
        <v>0.1</v>
      </c>
      <c r="AB870">
        <v>1</v>
      </c>
    </row>
    <row r="871">
      <c r="A871" t="s">
        <v>2647</v>
      </c>
      <c r="B871" t="s">
        <v>2607</v>
      </c>
      <c r="C871" t="s">
        <v>2607</v>
      </c>
      <c r="D871" t="s">
        <v>2608</v>
      </c>
      <c r="E871" t="s">
        <v>2648</v>
      </c>
      <c r="F871" t="s">
        <v>298</v>
      </c>
      <c r="G871" t="s">
        <v>2610</v>
      </c>
      <c r="H871" t="s">
        <v>2611</v>
      </c>
      <c r="I871" t="s">
        <v>2649</v>
      </c>
      <c r="J871">
        <v>1955865.36</v>
      </c>
      <c r="K871">
        <v>1864024.57</v>
      </c>
      <c r="L871" t="s">
        <v>2615</v>
      </c>
      <c r="M871" s="37">
        <v>1.0493</v>
      </c>
      <c r="N871" s="37">
        <v>0.21</v>
      </c>
      <c r="O871">
        <v>1.417</v>
      </c>
      <c r="P871" s="37">
        <v>0.73812</v>
      </c>
      <c r="Q871">
        <v>0.82</v>
      </c>
      <c r="R871">
        <v>2116.94</v>
      </c>
      <c r="S871">
        <v>2116.94</v>
      </c>
      <c r="T871">
        <v>3000</v>
      </c>
      <c r="U871" t="s">
        <v>2371</v>
      </c>
      <c r="W871" t="s">
        <v>2387</v>
      </c>
      <c r="Y871" t="s">
        <v>2400</v>
      </c>
      <c r="Z871" s="37">
        <v>1</v>
      </c>
      <c r="AA871" s="37">
        <v>0.1</v>
      </c>
      <c r="AB871">
        <v>1</v>
      </c>
    </row>
    <row r="872">
      <c r="A872" t="s">
        <v>2647</v>
      </c>
      <c r="B872" t="s">
        <v>2607</v>
      </c>
      <c r="C872" t="s">
        <v>2607</v>
      </c>
      <c r="D872" t="s">
        <v>2608</v>
      </c>
      <c r="E872" t="s">
        <v>2648</v>
      </c>
      <c r="F872" t="s">
        <v>298</v>
      </c>
      <c r="G872" t="s">
        <v>2610</v>
      </c>
      <c r="H872" t="s">
        <v>2619</v>
      </c>
      <c r="I872" t="s">
        <v>2650</v>
      </c>
      <c r="J872">
        <v>0.06</v>
      </c>
      <c r="K872">
        <v>0</v>
      </c>
      <c r="L872" t="s">
        <v>2615</v>
      </c>
      <c r="M872" s="37">
        <v>0</v>
      </c>
      <c r="N872" s="37">
        <v>0.2</v>
      </c>
      <c r="O872">
        <v>0</v>
      </c>
      <c r="P872" s="37">
        <v>0.73812</v>
      </c>
      <c r="Q872">
        <v>0.82</v>
      </c>
      <c r="R872">
        <v>2116.94</v>
      </c>
      <c r="S872">
        <v>2116.94</v>
      </c>
      <c r="T872">
        <v>3000</v>
      </c>
      <c r="U872" t="s">
        <v>2371</v>
      </c>
      <c r="W872" t="s">
        <v>2387</v>
      </c>
      <c r="Y872" t="s">
        <v>2400</v>
      </c>
      <c r="Z872" s="37">
        <v>1</v>
      </c>
      <c r="AA872" s="37">
        <v>0.1</v>
      </c>
      <c r="AB872">
        <v>1</v>
      </c>
    </row>
    <row r="873">
      <c r="A873" t="s">
        <v>2647</v>
      </c>
      <c r="B873" t="s">
        <v>2607</v>
      </c>
      <c r="C873" t="s">
        <v>2607</v>
      </c>
      <c r="D873" t="s">
        <v>2608</v>
      </c>
      <c r="E873" t="s">
        <v>2648</v>
      </c>
      <c r="F873" t="s">
        <v>298</v>
      </c>
      <c r="G873" t="s">
        <v>2610</v>
      </c>
      <c r="H873" t="s">
        <v>2632</v>
      </c>
      <c r="I873" t="s">
        <v>2651</v>
      </c>
      <c r="J873">
        <v>2</v>
      </c>
      <c r="K873">
        <v>2</v>
      </c>
      <c r="L873" t="s">
        <v>2652</v>
      </c>
      <c r="M873" s="37">
        <v>1</v>
      </c>
      <c r="N873" s="37">
        <v>0.3</v>
      </c>
      <c r="O873">
        <v>1</v>
      </c>
      <c r="P873" s="37">
        <v>0.73812</v>
      </c>
      <c r="Q873">
        <v>0.82</v>
      </c>
      <c r="R873">
        <v>2116.94</v>
      </c>
      <c r="S873">
        <v>2116.94</v>
      </c>
      <c r="T873">
        <v>3000</v>
      </c>
      <c r="U873" t="s">
        <v>2371</v>
      </c>
      <c r="W873" t="s">
        <v>2387</v>
      </c>
      <c r="Y873" t="s">
        <v>2400</v>
      </c>
      <c r="Z873" s="37">
        <v>1</v>
      </c>
      <c r="AA873" s="37">
        <v>0.1</v>
      </c>
      <c r="AB873">
        <v>1</v>
      </c>
    </row>
    <row r="874">
      <c r="A874" t="s">
        <v>2647</v>
      </c>
      <c r="B874" t="s">
        <v>2607</v>
      </c>
      <c r="C874" t="s">
        <v>2607</v>
      </c>
      <c r="D874" t="s">
        <v>2608</v>
      </c>
      <c r="E874" t="s">
        <v>2648</v>
      </c>
      <c r="F874" t="s">
        <v>298</v>
      </c>
      <c r="G874" t="s">
        <v>2610</v>
      </c>
      <c r="H874" t="s">
        <v>2622</v>
      </c>
      <c r="I874" t="s">
        <v>2634</v>
      </c>
      <c r="K874">
        <v>1</v>
      </c>
      <c r="L874" t="s">
        <v>2653</v>
      </c>
      <c r="M874" s="37">
        <v>0.6</v>
      </c>
      <c r="N874" s="37">
        <v>0.2</v>
      </c>
      <c r="O874">
        <v>0.6</v>
      </c>
      <c r="P874" s="37">
        <v>0.73812</v>
      </c>
      <c r="Q874">
        <v>0.82</v>
      </c>
      <c r="R874">
        <v>2116.94</v>
      </c>
      <c r="S874">
        <v>2116.94</v>
      </c>
      <c r="T874">
        <v>3000</v>
      </c>
      <c r="U874" t="s">
        <v>2371</v>
      </c>
      <c r="W874" t="s">
        <v>2387</v>
      </c>
      <c r="Y874" t="s">
        <v>2400</v>
      </c>
      <c r="Z874" s="37">
        <v>1</v>
      </c>
      <c r="AA874" s="37">
        <v>0.1</v>
      </c>
      <c r="AB874">
        <v>1</v>
      </c>
    </row>
    <row r="875">
      <c r="A875" t="s">
        <v>2647</v>
      </c>
      <c r="B875" t="s">
        <v>2607</v>
      </c>
      <c r="C875" t="s">
        <v>2607</v>
      </c>
      <c r="D875" t="s">
        <v>2608</v>
      </c>
      <c r="E875" t="s">
        <v>2648</v>
      </c>
      <c r="F875" t="s">
        <v>298</v>
      </c>
      <c r="G875" t="s">
        <v>2610</v>
      </c>
      <c r="H875" t="s">
        <v>2619</v>
      </c>
      <c r="I875" t="s">
        <v>2654</v>
      </c>
      <c r="J875">
        <v>221722.76</v>
      </c>
      <c r="K875">
        <v>204114.97</v>
      </c>
      <c r="L875" t="s">
        <v>2653</v>
      </c>
      <c r="M875" s="37">
        <v>1.0863</v>
      </c>
      <c r="N875" s="37">
        <v>0.09</v>
      </c>
      <c r="O875">
        <v>1.086</v>
      </c>
      <c r="P875" s="37">
        <v>0.73812</v>
      </c>
      <c r="Q875">
        <v>0.82</v>
      </c>
      <c r="R875">
        <v>2116.94</v>
      </c>
      <c r="S875">
        <v>2116.94</v>
      </c>
      <c r="T875">
        <v>3000</v>
      </c>
      <c r="U875" t="s">
        <v>2371</v>
      </c>
      <c r="W875" t="s">
        <v>2387</v>
      </c>
      <c r="Y875" t="s">
        <v>2400</v>
      </c>
      <c r="Z875" s="37">
        <v>1</v>
      </c>
      <c r="AA875" s="37">
        <v>0.1</v>
      </c>
      <c r="AB875">
        <v>1</v>
      </c>
    </row>
    <row r="876">
      <c r="A876" t="s">
        <v>2655</v>
      </c>
      <c r="B876" t="s">
        <v>2607</v>
      </c>
      <c r="C876" t="s">
        <v>2607</v>
      </c>
      <c r="D876" t="s">
        <v>359</v>
      </c>
      <c r="E876" t="s">
        <v>2656</v>
      </c>
      <c r="F876" t="s">
        <v>298</v>
      </c>
      <c r="G876" t="s">
        <v>2610</v>
      </c>
      <c r="H876" t="s">
        <v>2611</v>
      </c>
      <c r="I876" t="s">
        <v>2657</v>
      </c>
      <c r="J876">
        <v>2705290.95</v>
      </c>
      <c r="K876">
        <v>2366766.2922</v>
      </c>
      <c r="L876" t="s">
        <v>2653</v>
      </c>
      <c r="M876" s="37">
        <v>1.143</v>
      </c>
      <c r="N876" s="37">
        <v>0.3</v>
      </c>
      <c r="O876">
        <v>1.487</v>
      </c>
      <c r="P876" s="37">
        <v>0.988355</v>
      </c>
      <c r="Q876">
        <v>1.06</v>
      </c>
      <c r="R876">
        <v>5544.35</v>
      </c>
      <c r="S876">
        <v>5544.35</v>
      </c>
      <c r="T876">
        <v>5000</v>
      </c>
      <c r="U876" t="s">
        <v>2371</v>
      </c>
      <c r="W876" t="s">
        <v>2387</v>
      </c>
      <c r="Y876" t="s">
        <v>2400</v>
      </c>
      <c r="Z876" s="37">
        <v>1</v>
      </c>
      <c r="AA876" s="37">
        <v>0.1</v>
      </c>
      <c r="AB876">
        <v>1</v>
      </c>
    </row>
    <row r="877">
      <c r="A877" t="s">
        <v>2655</v>
      </c>
      <c r="B877" t="s">
        <v>2607</v>
      </c>
      <c r="C877" t="s">
        <v>2607</v>
      </c>
      <c r="D877" t="s">
        <v>359</v>
      </c>
      <c r="E877" t="s">
        <v>2656</v>
      </c>
      <c r="F877" t="s">
        <v>298</v>
      </c>
      <c r="G877" t="s">
        <v>2610</v>
      </c>
      <c r="H877" t="s">
        <v>2622</v>
      </c>
      <c r="I877" t="s">
        <v>2634</v>
      </c>
      <c r="J877">
        <v>2705290.95</v>
      </c>
      <c r="K877">
        <v>1</v>
      </c>
      <c r="L877" t="s">
        <v>2658</v>
      </c>
      <c r="M877" s="37">
        <v>1</v>
      </c>
      <c r="N877" s="37">
        <v>0.2</v>
      </c>
      <c r="O877">
        <v>1</v>
      </c>
      <c r="P877" s="37">
        <v>0.988355</v>
      </c>
      <c r="Q877">
        <v>1.06</v>
      </c>
      <c r="R877">
        <v>5544.35</v>
      </c>
      <c r="S877">
        <v>5544.35</v>
      </c>
      <c r="T877">
        <v>5000</v>
      </c>
      <c r="U877" t="s">
        <v>2371</v>
      </c>
      <c r="W877" t="s">
        <v>2387</v>
      </c>
      <c r="Y877" t="s">
        <v>2400</v>
      </c>
      <c r="Z877" s="37">
        <v>1</v>
      </c>
      <c r="AA877" s="37">
        <v>0.1</v>
      </c>
      <c r="AB877">
        <v>1</v>
      </c>
    </row>
    <row r="878">
      <c r="A878" t="s">
        <v>2655</v>
      </c>
      <c r="B878" t="s">
        <v>2607</v>
      </c>
      <c r="C878" t="s">
        <v>2607</v>
      </c>
      <c r="D878" t="s">
        <v>359</v>
      </c>
      <c r="E878" t="s">
        <v>2656</v>
      </c>
      <c r="F878" t="s">
        <v>298</v>
      </c>
      <c r="G878" t="s">
        <v>2610</v>
      </c>
      <c r="H878" t="s">
        <v>2622</v>
      </c>
      <c r="I878" t="s">
        <v>2659</v>
      </c>
      <c r="K878">
        <v>1</v>
      </c>
      <c r="M878" s="37">
        <v>1</v>
      </c>
      <c r="N878" s="37">
        <v>0.3</v>
      </c>
      <c r="O878">
        <v>1</v>
      </c>
      <c r="P878" s="37">
        <v>0.988355</v>
      </c>
      <c r="Q878">
        <v>1.06</v>
      </c>
      <c r="R878">
        <v>5544.35</v>
      </c>
      <c r="S878">
        <v>5544.35</v>
      </c>
      <c r="T878">
        <v>5000</v>
      </c>
      <c r="U878" t="s">
        <v>2371</v>
      </c>
      <c r="W878" t="s">
        <v>2387</v>
      </c>
      <c r="Y878" t="s">
        <v>2400</v>
      </c>
      <c r="Z878" s="37">
        <v>1</v>
      </c>
      <c r="AA878" s="37">
        <v>0.1</v>
      </c>
      <c r="AB878">
        <v>1</v>
      </c>
    </row>
    <row r="879">
      <c r="A879" t="s">
        <v>2655</v>
      </c>
      <c r="B879" t="s">
        <v>2607</v>
      </c>
      <c r="C879" t="s">
        <v>2607</v>
      </c>
      <c r="D879" t="s">
        <v>359</v>
      </c>
      <c r="E879" t="s">
        <v>2656</v>
      </c>
      <c r="F879" t="s">
        <v>298</v>
      </c>
      <c r="G879" t="s">
        <v>2610</v>
      </c>
      <c r="H879" t="s">
        <v>2619</v>
      </c>
      <c r="I879" t="s">
        <v>2660</v>
      </c>
      <c r="J879">
        <v>8.8</v>
      </c>
      <c r="K879">
        <v>8.77</v>
      </c>
      <c r="M879" s="37">
        <v>0.727273</v>
      </c>
      <c r="N879" s="37">
        <v>0.2</v>
      </c>
      <c r="O879">
        <v>0.5818</v>
      </c>
      <c r="P879" s="37">
        <v>0.988355</v>
      </c>
      <c r="Q879">
        <v>1.06</v>
      </c>
      <c r="R879">
        <v>5544.35</v>
      </c>
      <c r="S879">
        <v>5544.35</v>
      </c>
      <c r="T879">
        <v>5000</v>
      </c>
      <c r="U879" t="s">
        <v>2371</v>
      </c>
      <c r="W879" t="s">
        <v>2387</v>
      </c>
      <c r="Y879" t="s">
        <v>2400</v>
      </c>
      <c r="Z879" s="37">
        <v>1</v>
      </c>
      <c r="AA879" s="37">
        <v>0.1</v>
      </c>
      <c r="AB879">
        <v>1</v>
      </c>
    </row>
    <row r="880">
      <c r="A880" t="s">
        <v>2661</v>
      </c>
      <c r="B880" t="s">
        <v>2607</v>
      </c>
      <c r="C880" t="s">
        <v>2607</v>
      </c>
      <c r="D880" t="s">
        <v>2608</v>
      </c>
      <c r="E880" t="s">
        <v>2662</v>
      </c>
      <c r="F880" t="s">
        <v>298</v>
      </c>
      <c r="G880" t="s">
        <v>2610</v>
      </c>
      <c r="H880" t="s">
        <v>2611</v>
      </c>
      <c r="I880" t="s">
        <v>2663</v>
      </c>
      <c r="J880">
        <v>1245292.32</v>
      </c>
      <c r="K880">
        <v>1216437</v>
      </c>
      <c r="M880" s="37">
        <v>1.024</v>
      </c>
      <c r="N880" s="37">
        <v>0.15</v>
      </c>
      <c r="O880">
        <v>1.331</v>
      </c>
      <c r="P880" s="37">
        <v>0.94955</v>
      </c>
      <c r="Q880">
        <v>1</v>
      </c>
      <c r="R880">
        <v>3024.19</v>
      </c>
      <c r="S880">
        <v>3024.19</v>
      </c>
      <c r="T880">
        <v>3000</v>
      </c>
      <c r="U880" t="s">
        <v>2371</v>
      </c>
      <c r="W880" t="s">
        <v>2387</v>
      </c>
      <c r="Y880" t="s">
        <v>2400</v>
      </c>
      <c r="Z880" s="37">
        <v>1</v>
      </c>
      <c r="AA880" s="37">
        <v>0.1</v>
      </c>
      <c r="AB880">
        <v>1</v>
      </c>
    </row>
    <row r="881">
      <c r="A881" t="s">
        <v>2661</v>
      </c>
      <c r="B881" t="s">
        <v>2607</v>
      </c>
      <c r="C881" t="s">
        <v>2607</v>
      </c>
      <c r="D881" t="s">
        <v>2608</v>
      </c>
      <c r="E881" t="s">
        <v>2662</v>
      </c>
      <c r="F881" t="s">
        <v>298</v>
      </c>
      <c r="G881" t="s">
        <v>2610</v>
      </c>
      <c r="H881" t="s">
        <v>2622</v>
      </c>
      <c r="I881" t="s">
        <v>2634</v>
      </c>
      <c r="J881">
        <v>1245292.32</v>
      </c>
      <c r="K881" t="s">
        <v>2664</v>
      </c>
      <c r="L881" t="s">
        <v>2665</v>
      </c>
      <c r="M881" s="37">
        <v>1</v>
      </c>
      <c r="N881" s="37">
        <v>0.2</v>
      </c>
      <c r="O881">
        <v>1</v>
      </c>
      <c r="P881" s="37">
        <v>0.94955</v>
      </c>
      <c r="Q881">
        <v>1</v>
      </c>
      <c r="R881">
        <v>3024.19</v>
      </c>
      <c r="S881">
        <v>3024.19</v>
      </c>
      <c r="T881">
        <v>3000</v>
      </c>
      <c r="U881" t="s">
        <v>2371</v>
      </c>
      <c r="W881" t="s">
        <v>2387</v>
      </c>
      <c r="Y881" t="s">
        <v>2400</v>
      </c>
      <c r="Z881" s="37">
        <v>1</v>
      </c>
      <c r="AA881" s="37">
        <v>0.1</v>
      </c>
      <c r="AB881">
        <v>1</v>
      </c>
    </row>
    <row r="882">
      <c r="A882" t="s">
        <v>2661</v>
      </c>
      <c r="B882" t="s">
        <v>2607</v>
      </c>
      <c r="C882" t="s">
        <v>2607</v>
      </c>
      <c r="D882" t="s">
        <v>2608</v>
      </c>
      <c r="E882" t="s">
        <v>2662</v>
      </c>
      <c r="F882" t="s">
        <v>298</v>
      </c>
      <c r="G882" t="s">
        <v>2610</v>
      </c>
      <c r="H882" t="s">
        <v>2619</v>
      </c>
      <c r="I882" t="s">
        <v>2666</v>
      </c>
      <c r="J882" t="s">
        <v>2667</v>
      </c>
      <c r="K882" t="s">
        <v>2668</v>
      </c>
      <c r="L882" t="s">
        <v>2665</v>
      </c>
      <c r="M882" s="37">
        <v>1.5</v>
      </c>
      <c r="N882" s="37">
        <v>0.2</v>
      </c>
      <c r="O882">
        <v>1.5</v>
      </c>
      <c r="P882" s="37">
        <v>0.94955</v>
      </c>
      <c r="Q882">
        <v>1</v>
      </c>
      <c r="R882">
        <v>3024.19</v>
      </c>
      <c r="S882">
        <v>3024.19</v>
      </c>
      <c r="T882">
        <v>3000</v>
      </c>
      <c r="U882" t="s">
        <v>2371</v>
      </c>
      <c r="W882" t="s">
        <v>2387</v>
      </c>
      <c r="Y882" t="s">
        <v>2400</v>
      </c>
      <c r="Z882" s="37">
        <v>1</v>
      </c>
      <c r="AA882" s="37">
        <v>0.1</v>
      </c>
      <c r="AB882">
        <v>1</v>
      </c>
    </row>
    <row r="883">
      <c r="A883" t="s">
        <v>2661</v>
      </c>
      <c r="B883" t="s">
        <v>2607</v>
      </c>
      <c r="C883" t="s">
        <v>2607</v>
      </c>
      <c r="D883" t="s">
        <v>2608</v>
      </c>
      <c r="E883" t="s">
        <v>2662</v>
      </c>
      <c r="F883" t="s">
        <v>298</v>
      </c>
      <c r="G883" t="s">
        <v>2610</v>
      </c>
      <c r="H883" t="s">
        <v>2632</v>
      </c>
      <c r="I883" t="s">
        <v>2669</v>
      </c>
      <c r="J883" t="s">
        <v>586</v>
      </c>
      <c r="K883" t="s">
        <v>588</v>
      </c>
      <c r="L883" t="s">
        <v>2665</v>
      </c>
      <c r="M883" s="37">
        <v>0.5</v>
      </c>
      <c r="N883" s="37">
        <v>0.3</v>
      </c>
      <c r="O883">
        <v>0.5</v>
      </c>
      <c r="P883" s="37">
        <v>0.94955</v>
      </c>
      <c r="Q883">
        <v>1</v>
      </c>
      <c r="R883">
        <v>3024.19</v>
      </c>
      <c r="S883">
        <v>3024.19</v>
      </c>
      <c r="T883">
        <v>3000</v>
      </c>
      <c r="U883" t="s">
        <v>2371</v>
      </c>
      <c r="W883" t="s">
        <v>2387</v>
      </c>
      <c r="Y883" t="s">
        <v>2400</v>
      </c>
      <c r="Z883" s="37">
        <v>1</v>
      </c>
      <c r="AA883" s="37">
        <v>0.1</v>
      </c>
      <c r="AB883">
        <v>1</v>
      </c>
    </row>
    <row r="884">
      <c r="A884" t="s">
        <v>2661</v>
      </c>
      <c r="B884" t="s">
        <v>2607</v>
      </c>
      <c r="C884" t="s">
        <v>2607</v>
      </c>
      <c r="D884" t="s">
        <v>2608</v>
      </c>
      <c r="E884" t="s">
        <v>2662</v>
      </c>
      <c r="F884" t="s">
        <v>298</v>
      </c>
      <c r="G884" t="s">
        <v>2610</v>
      </c>
      <c r="H884" t="s">
        <v>2611</v>
      </c>
      <c r="I884" t="s">
        <v>2670</v>
      </c>
      <c r="J884">
        <v>548487.08</v>
      </c>
      <c r="K884">
        <v>563952</v>
      </c>
      <c r="L884" t="s">
        <v>2665</v>
      </c>
      <c r="M884" s="37">
        <v>0.973</v>
      </c>
      <c r="N884" s="37">
        <v>0.15</v>
      </c>
      <c r="O884">
        <v>0.973</v>
      </c>
      <c r="P884" s="37">
        <v>0.94955</v>
      </c>
      <c r="Q884">
        <v>1</v>
      </c>
      <c r="R884">
        <v>3024.19</v>
      </c>
      <c r="S884">
        <v>3024.19</v>
      </c>
      <c r="T884">
        <v>3000</v>
      </c>
      <c r="U884" t="s">
        <v>2371</v>
      </c>
      <c r="W884" t="s">
        <v>2387</v>
      </c>
      <c r="Y884" t="s">
        <v>2400</v>
      </c>
      <c r="Z884" s="37">
        <v>1</v>
      </c>
      <c r="AA884" s="37">
        <v>0.1</v>
      </c>
      <c r="AB884">
        <v>1</v>
      </c>
    </row>
    <row r="885">
      <c r="A885" t="s">
        <v>2671</v>
      </c>
      <c r="B885" t="s">
        <v>2607</v>
      </c>
      <c r="C885" t="s">
        <v>2607</v>
      </c>
      <c r="D885" t="s">
        <v>359</v>
      </c>
      <c r="E885" t="s">
        <v>2672</v>
      </c>
      <c r="F885" t="s">
        <v>298</v>
      </c>
      <c r="G885" t="s">
        <v>2610</v>
      </c>
      <c r="H885" t="s">
        <v>2611</v>
      </c>
      <c r="I885" t="s">
        <v>2673</v>
      </c>
      <c r="J885" t="s">
        <v>2674</v>
      </c>
      <c r="K885" t="s">
        <v>2675</v>
      </c>
      <c r="L885" t="s">
        <v>2665</v>
      </c>
      <c r="M885" s="37">
        <v>1.0802</v>
      </c>
      <c r="N885" s="37">
        <v>0.21</v>
      </c>
      <c r="O885">
        <v>1.08</v>
      </c>
      <c r="P885" s="37">
        <v>0.899561</v>
      </c>
      <c r="Q885">
        <v>0.9</v>
      </c>
      <c r="R885">
        <v>4032.26</v>
      </c>
      <c r="S885">
        <v>4032.26</v>
      </c>
      <c r="T885">
        <v>5000</v>
      </c>
      <c r="U885" t="s">
        <v>2371</v>
      </c>
      <c r="W885" t="s">
        <v>2387</v>
      </c>
      <c r="Y885" t="s">
        <v>2400</v>
      </c>
      <c r="Z885" s="37">
        <v>1</v>
      </c>
      <c r="AA885" s="37">
        <v>0.1</v>
      </c>
      <c r="AB885">
        <v>1</v>
      </c>
    </row>
    <row r="886">
      <c r="A886" t="s">
        <v>2671</v>
      </c>
      <c r="B886" t="s">
        <v>2607</v>
      </c>
      <c r="C886" t="s">
        <v>2607</v>
      </c>
      <c r="D886" t="s">
        <v>359</v>
      </c>
      <c r="E886" t="s">
        <v>2672</v>
      </c>
      <c r="F886" t="s">
        <v>298</v>
      </c>
      <c r="G886" t="s">
        <v>2610</v>
      </c>
      <c r="H886" t="s">
        <v>2632</v>
      </c>
      <c r="I886" t="s">
        <v>2676</v>
      </c>
      <c r="J886">
        <v>3</v>
      </c>
      <c r="K886">
        <v>2</v>
      </c>
      <c r="L886" t="s">
        <v>2677</v>
      </c>
      <c r="M886" s="37">
        <v>0.667</v>
      </c>
      <c r="N886" s="37">
        <v>0.3</v>
      </c>
      <c r="O886">
        <v>0.667</v>
      </c>
      <c r="P886" s="37">
        <v>0.899561</v>
      </c>
      <c r="Q886">
        <v>0.9</v>
      </c>
      <c r="R886">
        <v>4032.26</v>
      </c>
      <c r="S886">
        <v>4032.26</v>
      </c>
      <c r="T886">
        <v>5000</v>
      </c>
      <c r="U886" t="s">
        <v>2371</v>
      </c>
      <c r="W886" t="s">
        <v>2387</v>
      </c>
      <c r="Y886" t="s">
        <v>2400</v>
      </c>
      <c r="Z886" s="37">
        <v>1</v>
      </c>
      <c r="AA886" s="37">
        <v>0.1</v>
      </c>
      <c r="AB886">
        <v>1</v>
      </c>
    </row>
    <row r="887">
      <c r="A887" t="s">
        <v>2671</v>
      </c>
      <c r="B887" t="s">
        <v>2607</v>
      </c>
      <c r="C887" t="s">
        <v>2607</v>
      </c>
      <c r="D887" t="s">
        <v>359</v>
      </c>
      <c r="E887" t="s">
        <v>2672</v>
      </c>
      <c r="F887" t="s">
        <v>298</v>
      </c>
      <c r="G887" t="s">
        <v>2610</v>
      </c>
      <c r="H887" t="s">
        <v>2611</v>
      </c>
      <c r="I887" t="s">
        <v>2678</v>
      </c>
      <c r="J887" t="s">
        <v>2679</v>
      </c>
      <c r="K887" t="s">
        <v>2680</v>
      </c>
      <c r="L887" t="s">
        <v>2677</v>
      </c>
      <c r="M887" s="37">
        <v>1.0291</v>
      </c>
      <c r="N887" s="37">
        <v>0.09</v>
      </c>
      <c r="O887">
        <v>1.029</v>
      </c>
      <c r="P887" s="37">
        <v>0.899561</v>
      </c>
      <c r="Q887">
        <v>0.9</v>
      </c>
      <c r="R887">
        <v>4032.26</v>
      </c>
      <c r="S887">
        <v>4032.26</v>
      </c>
      <c r="T887">
        <v>5000</v>
      </c>
      <c r="U887" t="s">
        <v>2371</v>
      </c>
      <c r="W887" t="s">
        <v>2387</v>
      </c>
      <c r="Y887" t="s">
        <v>2400</v>
      </c>
      <c r="Z887" s="37">
        <v>1</v>
      </c>
      <c r="AA887" s="37">
        <v>0.1</v>
      </c>
      <c r="AB887">
        <v>1</v>
      </c>
    </row>
    <row r="888">
      <c r="A888" t="s">
        <v>2671</v>
      </c>
      <c r="B888" t="s">
        <v>2607</v>
      </c>
      <c r="C888" t="s">
        <v>2607</v>
      </c>
      <c r="D888" t="s">
        <v>359</v>
      </c>
      <c r="E888" t="s">
        <v>2672</v>
      </c>
      <c r="F888" t="s">
        <v>298</v>
      </c>
      <c r="G888" t="s">
        <v>2610</v>
      </c>
      <c r="H888" t="s">
        <v>2622</v>
      </c>
      <c r="I888" t="s">
        <v>2681</v>
      </c>
      <c r="L888" t="s">
        <v>2682</v>
      </c>
      <c r="M888" s="37">
        <v>1</v>
      </c>
      <c r="N888" s="37">
        <v>0.1</v>
      </c>
      <c r="O888">
        <v>1</v>
      </c>
      <c r="P888" s="37">
        <v>0.899561</v>
      </c>
      <c r="Q888">
        <v>0.9</v>
      </c>
      <c r="R888">
        <v>4032.26</v>
      </c>
      <c r="S888">
        <v>4032.26</v>
      </c>
      <c r="T888">
        <v>5000</v>
      </c>
      <c r="U888" t="s">
        <v>2371</v>
      </c>
      <c r="W888" t="s">
        <v>2387</v>
      </c>
      <c r="Y888" t="s">
        <v>2400</v>
      </c>
      <c r="Z888" s="37">
        <v>1</v>
      </c>
      <c r="AA888" s="37">
        <v>0.1</v>
      </c>
      <c r="AB888">
        <v>1</v>
      </c>
    </row>
    <row r="889">
      <c r="A889" t="s">
        <v>2671</v>
      </c>
      <c r="B889" t="s">
        <v>2607</v>
      </c>
      <c r="C889" t="s">
        <v>2607</v>
      </c>
      <c r="D889" t="s">
        <v>359</v>
      </c>
      <c r="E889" t="s">
        <v>2672</v>
      </c>
      <c r="F889" t="s">
        <v>298</v>
      </c>
      <c r="G889" t="s">
        <v>2610</v>
      </c>
      <c r="H889" t="s">
        <v>2622</v>
      </c>
      <c r="I889" t="s">
        <v>2683</v>
      </c>
      <c r="K889" t="s">
        <v>2684</v>
      </c>
      <c r="L889" t="s">
        <v>2682</v>
      </c>
      <c r="M889" s="37">
        <v>1</v>
      </c>
      <c r="N889" s="37">
        <v>0.1</v>
      </c>
      <c r="O889">
        <v>1</v>
      </c>
      <c r="P889" s="37">
        <v>0.899561</v>
      </c>
      <c r="Q889">
        <v>0.9</v>
      </c>
      <c r="R889">
        <v>4032.26</v>
      </c>
      <c r="S889">
        <v>4032.26</v>
      </c>
      <c r="T889">
        <v>5000</v>
      </c>
      <c r="U889" t="s">
        <v>2371</v>
      </c>
      <c r="W889" t="s">
        <v>2387</v>
      </c>
      <c r="Y889" t="s">
        <v>2400</v>
      </c>
      <c r="Z889" s="37">
        <v>1</v>
      </c>
      <c r="AA889" s="37">
        <v>0.1</v>
      </c>
      <c r="AB889">
        <v>1</v>
      </c>
    </row>
    <row r="890">
      <c r="A890" t="s">
        <v>2671</v>
      </c>
      <c r="B890" t="s">
        <v>2607</v>
      </c>
      <c r="C890" t="s">
        <v>2607</v>
      </c>
      <c r="D890" t="s">
        <v>359</v>
      </c>
      <c r="E890" t="s">
        <v>2672</v>
      </c>
      <c r="F890" t="s">
        <v>298</v>
      </c>
      <c r="G890" t="s">
        <v>2610</v>
      </c>
      <c r="H890" t="s">
        <v>2622</v>
      </c>
      <c r="I890" t="s">
        <v>2685</v>
      </c>
      <c r="K890" t="s">
        <v>2686</v>
      </c>
      <c r="L890" t="s">
        <v>2682</v>
      </c>
      <c r="M890" s="37">
        <v>1</v>
      </c>
      <c r="N890" s="37">
        <v>0.1</v>
      </c>
      <c r="O890">
        <v>1</v>
      </c>
      <c r="P890" s="37">
        <v>0.899561</v>
      </c>
      <c r="Q890">
        <v>0.9</v>
      </c>
      <c r="R890">
        <v>4032.26</v>
      </c>
      <c r="S890">
        <v>4032.26</v>
      </c>
      <c r="T890">
        <v>5000</v>
      </c>
      <c r="U890" t="s">
        <v>2371</v>
      </c>
      <c r="W890" t="s">
        <v>2387</v>
      </c>
      <c r="Y890" t="s">
        <v>2400</v>
      </c>
      <c r="Z890" s="37">
        <v>1</v>
      </c>
      <c r="AA890" s="37">
        <v>0.1</v>
      </c>
      <c r="AB890">
        <v>1</v>
      </c>
    </row>
    <row r="891">
      <c r="A891" t="s">
        <v>2671</v>
      </c>
      <c r="B891" t="s">
        <v>2607</v>
      </c>
      <c r="C891" t="s">
        <v>2607</v>
      </c>
      <c r="D891" t="s">
        <v>359</v>
      </c>
      <c r="E891" t="s">
        <v>2672</v>
      </c>
      <c r="F891" t="s">
        <v>298</v>
      </c>
      <c r="G891" t="s">
        <v>2610</v>
      </c>
      <c r="H891" t="s">
        <v>2622</v>
      </c>
      <c r="I891" t="s">
        <v>2687</v>
      </c>
      <c r="K891" t="s">
        <v>2688</v>
      </c>
      <c r="L891" t="s">
        <v>2682</v>
      </c>
      <c r="M891" s="37">
        <v>0.8</v>
      </c>
      <c r="N891" s="37">
        <v>0.1</v>
      </c>
      <c r="O891">
        <v>0.8</v>
      </c>
      <c r="P891" s="37">
        <v>0.899561</v>
      </c>
      <c r="Q891">
        <v>0.9</v>
      </c>
      <c r="R891">
        <v>4032.26</v>
      </c>
      <c r="S891">
        <v>4032.26</v>
      </c>
      <c r="T891">
        <v>5000</v>
      </c>
      <c r="U891" t="s">
        <v>2371</v>
      </c>
      <c r="W891" t="s">
        <v>2387</v>
      </c>
      <c r="Y891" t="s">
        <v>2400</v>
      </c>
      <c r="Z891" s="37">
        <v>1</v>
      </c>
      <c r="AA891" s="37">
        <v>0.1</v>
      </c>
      <c r="AB891">
        <v>1</v>
      </c>
    </row>
    <row r="892">
      <c r="A892" t="s">
        <v>2689</v>
      </c>
      <c r="B892" t="s">
        <v>2607</v>
      </c>
      <c r="C892" t="s">
        <v>2607</v>
      </c>
      <c r="D892" t="s">
        <v>2608</v>
      </c>
      <c r="E892" t="s">
        <v>2690</v>
      </c>
      <c r="F892" t="s">
        <v>298</v>
      </c>
      <c r="G892" t="s">
        <v>2610</v>
      </c>
      <c r="H892" t="s">
        <v>2611</v>
      </c>
      <c r="I892" t="s">
        <v>2691</v>
      </c>
      <c r="J892" s="38">
        <v>1</v>
      </c>
      <c r="K892" t="s">
        <v>2692</v>
      </c>
      <c r="L892" t="s">
        <v>2682</v>
      </c>
      <c r="M892" s="37">
        <v>1</v>
      </c>
      <c r="N892" s="37">
        <v>0.2</v>
      </c>
      <c r="O892">
        <v>1</v>
      </c>
      <c r="P892" s="37">
        <v>0.9142</v>
      </c>
      <c r="Q892">
        <v>0.91</v>
      </c>
      <c r="R892">
        <v>7280000</v>
      </c>
      <c r="S892">
        <v>7280000</v>
      </c>
      <c r="T892">
        <v>5000</v>
      </c>
      <c r="U892" t="s">
        <v>2371</v>
      </c>
      <c r="W892" t="s">
        <v>2387</v>
      </c>
      <c r="Y892" t="s">
        <v>2400</v>
      </c>
      <c r="Z892" s="37">
        <v>1</v>
      </c>
      <c r="AA892" s="37">
        <v>0.1</v>
      </c>
      <c r="AB892">
        <v>1</v>
      </c>
    </row>
    <row r="893">
      <c r="A893" t="s">
        <v>2689</v>
      </c>
      <c r="B893" t="s">
        <v>2607</v>
      </c>
      <c r="C893" t="s">
        <v>2607</v>
      </c>
      <c r="D893" t="s">
        <v>2608</v>
      </c>
      <c r="E893" t="s">
        <v>2690</v>
      </c>
      <c r="F893" t="s">
        <v>298</v>
      </c>
      <c r="G893" t="s">
        <v>2610</v>
      </c>
      <c r="H893" t="s">
        <v>2622</v>
      </c>
      <c r="I893" t="s">
        <v>2693</v>
      </c>
      <c r="J893" s="38">
        <v>1</v>
      </c>
      <c r="K893">
        <v>5</v>
      </c>
      <c r="L893" t="s">
        <v>2682</v>
      </c>
      <c r="M893" s="37">
        <v>0.714</v>
      </c>
      <c r="N893" s="37">
        <v>0.3</v>
      </c>
      <c r="O893">
        <v>0.714</v>
      </c>
      <c r="P893" s="37">
        <v>0.9142</v>
      </c>
      <c r="Q893">
        <v>0.91</v>
      </c>
      <c r="R893">
        <v>7280000</v>
      </c>
      <c r="S893">
        <v>7280000</v>
      </c>
      <c r="T893">
        <v>5000</v>
      </c>
      <c r="U893" t="s">
        <v>2371</v>
      </c>
      <c r="W893" t="s">
        <v>2387</v>
      </c>
      <c r="Y893" t="s">
        <v>2400</v>
      </c>
      <c r="Z893" s="37">
        <v>1</v>
      </c>
      <c r="AA893" s="37">
        <v>0.1</v>
      </c>
      <c r="AB893">
        <v>1</v>
      </c>
    </row>
    <row r="894">
      <c r="A894" t="s">
        <v>2689</v>
      </c>
      <c r="B894" t="s">
        <v>2607</v>
      </c>
      <c r="C894" t="s">
        <v>2607</v>
      </c>
      <c r="D894" t="s">
        <v>2608</v>
      </c>
      <c r="E894" t="s">
        <v>2690</v>
      </c>
      <c r="F894" t="s">
        <v>298</v>
      </c>
      <c r="G894" t="s">
        <v>2610</v>
      </c>
      <c r="H894" t="s">
        <v>2622</v>
      </c>
      <c r="I894" t="s">
        <v>2694</v>
      </c>
      <c r="K894" t="s">
        <v>455</v>
      </c>
      <c r="L894" t="s">
        <v>2682</v>
      </c>
      <c r="M894" s="37">
        <v>1</v>
      </c>
      <c r="N894" s="37">
        <v>0.2</v>
      </c>
      <c r="O894">
        <v>1</v>
      </c>
      <c r="P894" s="37">
        <v>0.9142</v>
      </c>
      <c r="Q894">
        <v>0.91</v>
      </c>
      <c r="R894">
        <v>7280000</v>
      </c>
      <c r="S894">
        <v>7280000</v>
      </c>
      <c r="T894">
        <v>5000</v>
      </c>
      <c r="U894" t="s">
        <v>2371</v>
      </c>
      <c r="W894" t="s">
        <v>2387</v>
      </c>
      <c r="Y894" t="s">
        <v>2400</v>
      </c>
      <c r="Z894" s="37">
        <v>1</v>
      </c>
      <c r="AA894" s="37">
        <v>0.1</v>
      </c>
      <c r="AB894">
        <v>1</v>
      </c>
    </row>
    <row r="895">
      <c r="A895" t="s">
        <v>2689</v>
      </c>
      <c r="B895" t="s">
        <v>2607</v>
      </c>
      <c r="C895" t="s">
        <v>2607</v>
      </c>
      <c r="D895" t="s">
        <v>2608</v>
      </c>
      <c r="E895" t="s">
        <v>2690</v>
      </c>
      <c r="F895" t="s">
        <v>298</v>
      </c>
      <c r="G895" t="s">
        <v>2610</v>
      </c>
      <c r="H895" t="s">
        <v>2632</v>
      </c>
      <c r="I895" t="s">
        <v>2695</v>
      </c>
      <c r="J895" s="38">
        <v>1</v>
      </c>
      <c r="K895" t="s">
        <v>2692</v>
      </c>
      <c r="L895" t="s">
        <v>2682</v>
      </c>
      <c r="M895" s="37">
        <v>1</v>
      </c>
      <c r="N895" s="37">
        <v>0.2</v>
      </c>
      <c r="O895">
        <v>1</v>
      </c>
      <c r="P895" s="37">
        <v>0.9142</v>
      </c>
      <c r="Q895">
        <v>0.91</v>
      </c>
      <c r="R895">
        <v>7280000</v>
      </c>
      <c r="S895">
        <v>7280000</v>
      </c>
      <c r="T895">
        <v>5000</v>
      </c>
      <c r="U895" t="s">
        <v>2371</v>
      </c>
      <c r="W895" t="s">
        <v>2387</v>
      </c>
      <c r="Y895" t="s">
        <v>2400</v>
      </c>
      <c r="Z895" s="37">
        <v>1</v>
      </c>
      <c r="AA895" s="37">
        <v>0.1</v>
      </c>
      <c r="AB895">
        <v>1</v>
      </c>
    </row>
    <row r="896">
      <c r="A896" t="s">
        <v>2689</v>
      </c>
      <c r="B896" t="s">
        <v>2607</v>
      </c>
      <c r="C896" t="s">
        <v>2607</v>
      </c>
      <c r="D896" t="s">
        <v>2608</v>
      </c>
      <c r="E896" t="s">
        <v>2690</v>
      </c>
      <c r="F896" t="s">
        <v>298</v>
      </c>
      <c r="G896" t="s">
        <v>2610</v>
      </c>
      <c r="H896" t="s">
        <v>2622</v>
      </c>
      <c r="I896" t="s">
        <v>2696</v>
      </c>
      <c r="K896" t="s">
        <v>455</v>
      </c>
      <c r="L896" t="s">
        <v>2682</v>
      </c>
      <c r="M896" s="37">
        <v>1</v>
      </c>
      <c r="N896" s="37">
        <v>0.1</v>
      </c>
      <c r="O896">
        <v>1</v>
      </c>
      <c r="P896" s="37">
        <v>0.9142</v>
      </c>
      <c r="Q896">
        <v>0.91</v>
      </c>
      <c r="R896">
        <v>7280000</v>
      </c>
      <c r="S896">
        <v>7280000</v>
      </c>
      <c r="T896">
        <v>5000</v>
      </c>
      <c r="U896" t="s">
        <v>2371</v>
      </c>
      <c r="W896" t="s">
        <v>2387</v>
      </c>
      <c r="Y896" t="s">
        <v>2400</v>
      </c>
      <c r="Z896" s="37">
        <v>1</v>
      </c>
      <c r="AA896" s="37">
        <v>0.1</v>
      </c>
      <c r="AB896">
        <v>1</v>
      </c>
    </row>
    <row r="897">
      <c r="A897" t="s">
        <v>2697</v>
      </c>
      <c r="B897" t="s">
        <v>2698</v>
      </c>
      <c r="C897" t="s">
        <v>2698</v>
      </c>
      <c r="D897" t="s">
        <v>2699</v>
      </c>
      <c r="E897" t="s">
        <v>2700</v>
      </c>
      <c r="F897" t="s">
        <v>298</v>
      </c>
      <c r="G897" t="s">
        <v>2701</v>
      </c>
      <c r="H897" t="s">
        <v>2702</v>
      </c>
      <c r="I897" t="s">
        <v>2703</v>
      </c>
      <c r="J897" t="s">
        <v>2704</v>
      </c>
      <c r="K897" t="s">
        <v>2705</v>
      </c>
      <c r="L897" t="s">
        <v>2682</v>
      </c>
      <c r="M897" s="37">
        <v>0.381</v>
      </c>
      <c r="N897" s="37">
        <v>0.3</v>
      </c>
      <c r="O897">
        <v>0.3048</v>
      </c>
      <c r="P897" s="37">
        <v>0.8143</v>
      </c>
      <c r="Q897">
        <v>0.79</v>
      </c>
      <c r="R897">
        <v>2370</v>
      </c>
      <c r="S897">
        <v>2370</v>
      </c>
      <c r="T897">
        <v>3000</v>
      </c>
      <c r="U897" t="s">
        <v>2371</v>
      </c>
      <c r="W897" t="s">
        <v>2387</v>
      </c>
      <c r="Y897" t="s">
        <v>2400</v>
      </c>
      <c r="Z897" s="37">
        <v>1</v>
      </c>
      <c r="AA897" s="37">
        <v>0.1</v>
      </c>
      <c r="AB897">
        <v>1</v>
      </c>
    </row>
    <row r="898">
      <c r="A898" t="s">
        <v>2697</v>
      </c>
      <c r="B898" t="s">
        <v>2698</v>
      </c>
      <c r="C898" t="s">
        <v>2698</v>
      </c>
      <c r="D898" t="s">
        <v>2699</v>
      </c>
      <c r="E898" t="s">
        <v>2700</v>
      </c>
      <c r="F898" t="s">
        <v>298</v>
      </c>
      <c r="G898" t="s">
        <v>2701</v>
      </c>
      <c r="H898" t="s">
        <v>2706</v>
      </c>
      <c r="I898" t="s">
        <v>2707</v>
      </c>
      <c r="J898">
        <v>3</v>
      </c>
      <c r="L898" t="s">
        <v>2708</v>
      </c>
      <c r="M898" s="37">
        <v>1</v>
      </c>
      <c r="N898" s="37">
        <v>0.3</v>
      </c>
      <c r="O898">
        <v>1</v>
      </c>
      <c r="P898" s="37">
        <v>0.8143</v>
      </c>
      <c r="Q898">
        <v>0.79</v>
      </c>
      <c r="R898">
        <v>2370</v>
      </c>
      <c r="S898">
        <v>2370</v>
      </c>
      <c r="T898">
        <v>3000</v>
      </c>
      <c r="U898" t="s">
        <v>2371</v>
      </c>
      <c r="W898" t="s">
        <v>2387</v>
      </c>
      <c r="Y898" t="s">
        <v>2400</v>
      </c>
      <c r="Z898" s="37">
        <v>1</v>
      </c>
      <c r="AA898" s="37">
        <v>0.1</v>
      </c>
      <c r="AB898">
        <v>1</v>
      </c>
    </row>
    <row r="899">
      <c r="A899" t="s">
        <v>2697</v>
      </c>
      <c r="B899" t="s">
        <v>2698</v>
      </c>
      <c r="C899" t="s">
        <v>2698</v>
      </c>
      <c r="D899" t="s">
        <v>2699</v>
      </c>
      <c r="E899" t="s">
        <v>2700</v>
      </c>
      <c r="F899" t="s">
        <v>298</v>
      </c>
      <c r="G899" t="s">
        <v>2701</v>
      </c>
      <c r="H899" t="s">
        <v>2709</v>
      </c>
      <c r="I899" t="s">
        <v>2710</v>
      </c>
      <c r="J899">
        <v>1</v>
      </c>
      <c r="L899" t="s">
        <v>2711</v>
      </c>
      <c r="M899" s="37">
        <v>1</v>
      </c>
      <c r="N899" s="37">
        <v>0.28</v>
      </c>
      <c r="O899">
        <v>1</v>
      </c>
      <c r="P899" s="37">
        <v>0.8143</v>
      </c>
      <c r="Q899">
        <v>0.79</v>
      </c>
      <c r="R899">
        <v>2370</v>
      </c>
      <c r="S899">
        <v>2370</v>
      </c>
      <c r="T899">
        <v>3000</v>
      </c>
      <c r="U899" t="s">
        <v>2371</v>
      </c>
      <c r="W899" t="s">
        <v>2387</v>
      </c>
      <c r="Y899" t="s">
        <v>2400</v>
      </c>
      <c r="Z899" s="37">
        <v>1</v>
      </c>
      <c r="AA899" s="37">
        <v>0.1</v>
      </c>
      <c r="AB899">
        <v>1</v>
      </c>
    </row>
    <row r="900">
      <c r="A900" t="s">
        <v>2697</v>
      </c>
      <c r="B900" t="s">
        <v>2698</v>
      </c>
      <c r="C900" t="s">
        <v>2698</v>
      </c>
      <c r="D900" t="s">
        <v>2699</v>
      </c>
      <c r="E900" t="s">
        <v>2700</v>
      </c>
      <c r="F900" t="s">
        <v>298</v>
      </c>
      <c r="G900" t="s">
        <v>2701</v>
      </c>
      <c r="H900" t="s">
        <v>2712</v>
      </c>
      <c r="I900" t="s">
        <v>2713</v>
      </c>
      <c r="J900">
        <v>1</v>
      </c>
      <c r="K900">
        <v>3</v>
      </c>
      <c r="L900" t="s">
        <v>2711</v>
      </c>
      <c r="M900" s="37">
        <v>1</v>
      </c>
      <c r="N900" s="37">
        <v>0.12</v>
      </c>
      <c r="O900">
        <v>1</v>
      </c>
      <c r="P900" s="37">
        <v>0.8143</v>
      </c>
      <c r="Q900">
        <v>0.79</v>
      </c>
      <c r="R900">
        <v>2370</v>
      </c>
      <c r="S900">
        <v>2370</v>
      </c>
      <c r="T900">
        <v>3000</v>
      </c>
      <c r="U900" t="s">
        <v>2371</v>
      </c>
      <c r="W900" t="s">
        <v>2387</v>
      </c>
      <c r="Y900" t="s">
        <v>2400</v>
      </c>
      <c r="Z900" s="37">
        <v>1</v>
      </c>
      <c r="AA900" s="37">
        <v>0.1</v>
      </c>
      <c r="AB900">
        <v>1</v>
      </c>
    </row>
    <row r="901">
      <c r="A901" t="s">
        <v>2714</v>
      </c>
      <c r="B901" t="s">
        <v>2698</v>
      </c>
      <c r="C901" t="s">
        <v>2698</v>
      </c>
      <c r="D901" t="s">
        <v>2699</v>
      </c>
      <c r="E901" t="s">
        <v>2715</v>
      </c>
      <c r="F901" t="s">
        <v>298</v>
      </c>
      <c r="G901" t="s">
        <v>2701</v>
      </c>
      <c r="H901" t="s">
        <v>2702</v>
      </c>
      <c r="I901" t="s">
        <v>2703</v>
      </c>
      <c r="J901" t="s">
        <v>2564</v>
      </c>
      <c r="K901" t="s">
        <v>2716</v>
      </c>
      <c r="L901" s="37">
        <v>0.381</v>
      </c>
      <c r="M901" s="37">
        <v>0.381</v>
      </c>
      <c r="N901" s="37">
        <v>0.3</v>
      </c>
      <c r="O901">
        <v>0.3048</v>
      </c>
      <c r="P901" s="37">
        <v>0.9643</v>
      </c>
      <c r="Q901">
        <v>0.94</v>
      </c>
      <c r="R901">
        <v>2820</v>
      </c>
      <c r="S901">
        <v>2820</v>
      </c>
      <c r="T901">
        <v>3000</v>
      </c>
      <c r="U901" t="s">
        <v>2371</v>
      </c>
      <c r="W901" t="s">
        <v>2387</v>
      </c>
      <c r="Y901" t="s">
        <v>2400</v>
      </c>
      <c r="Z901" s="37">
        <v>1</v>
      </c>
      <c r="AA901" s="37">
        <v>0.1</v>
      </c>
      <c r="AB901">
        <v>1</v>
      </c>
    </row>
    <row r="902">
      <c r="A902" t="s">
        <v>2714</v>
      </c>
      <c r="B902" t="s">
        <v>2698</v>
      </c>
      <c r="C902" t="s">
        <v>2698</v>
      </c>
      <c r="D902" t="s">
        <v>2699</v>
      </c>
      <c r="E902" t="s">
        <v>2715</v>
      </c>
      <c r="F902" t="s">
        <v>298</v>
      </c>
      <c r="G902" t="s">
        <v>2701</v>
      </c>
      <c r="H902" t="s">
        <v>2706</v>
      </c>
      <c r="I902" t="s">
        <v>2717</v>
      </c>
      <c r="J902" t="s">
        <v>709</v>
      </c>
      <c r="L902" t="s">
        <v>2718</v>
      </c>
      <c r="M902" s="37">
        <v>1.5</v>
      </c>
      <c r="N902" s="37">
        <v>0.3</v>
      </c>
      <c r="O902">
        <v>1.5</v>
      </c>
      <c r="P902" s="37">
        <v>0.9643</v>
      </c>
      <c r="Q902">
        <v>0.94</v>
      </c>
      <c r="R902">
        <v>2820</v>
      </c>
      <c r="S902">
        <v>2820</v>
      </c>
      <c r="T902">
        <v>3000</v>
      </c>
      <c r="U902" t="s">
        <v>2371</v>
      </c>
      <c r="W902" t="s">
        <v>2387</v>
      </c>
      <c r="Y902" t="s">
        <v>2400</v>
      </c>
      <c r="Z902" s="37">
        <v>1</v>
      </c>
      <c r="AA902" s="37">
        <v>0.1</v>
      </c>
      <c r="AB902">
        <v>1</v>
      </c>
    </row>
    <row r="903">
      <c r="A903" t="s">
        <v>2714</v>
      </c>
      <c r="B903" t="s">
        <v>2698</v>
      </c>
      <c r="C903" t="s">
        <v>2698</v>
      </c>
      <c r="D903" t="s">
        <v>2699</v>
      </c>
      <c r="E903" t="s">
        <v>2715</v>
      </c>
      <c r="F903" t="s">
        <v>298</v>
      </c>
      <c r="G903" t="s">
        <v>2701</v>
      </c>
      <c r="H903" t="s">
        <v>2709</v>
      </c>
      <c r="I903" t="s">
        <v>2719</v>
      </c>
      <c r="J903">
        <v>1</v>
      </c>
      <c r="L903" t="s">
        <v>2720</v>
      </c>
      <c r="M903" s="37">
        <v>1</v>
      </c>
      <c r="N903" s="37">
        <v>0.4</v>
      </c>
      <c r="O903">
        <v>1</v>
      </c>
      <c r="P903" s="37">
        <v>0.9643</v>
      </c>
      <c r="Q903">
        <v>0.94</v>
      </c>
      <c r="R903">
        <v>2820</v>
      </c>
      <c r="S903">
        <v>2820</v>
      </c>
      <c r="T903">
        <v>3000</v>
      </c>
      <c r="U903" t="s">
        <v>2371</v>
      </c>
      <c r="W903" t="s">
        <v>2387</v>
      </c>
      <c r="Y903" t="s">
        <v>2400</v>
      </c>
      <c r="Z903" s="37">
        <v>1</v>
      </c>
      <c r="AA903" s="37">
        <v>0.1</v>
      </c>
      <c r="AB903">
        <v>1</v>
      </c>
    </row>
    <row r="904">
      <c r="A904" t="s">
        <v>2721</v>
      </c>
      <c r="B904" t="s">
        <v>2698</v>
      </c>
      <c r="C904" t="s">
        <v>2698</v>
      </c>
      <c r="D904" t="s">
        <v>2699</v>
      </c>
      <c r="E904" t="s">
        <v>2722</v>
      </c>
      <c r="F904" t="s">
        <v>298</v>
      </c>
      <c r="G904" t="s">
        <v>2701</v>
      </c>
      <c r="H904" t="s">
        <v>2702</v>
      </c>
      <c r="I904" t="s">
        <v>2723</v>
      </c>
      <c r="J904">
        <v>1.5</v>
      </c>
      <c r="K904" t="s">
        <v>2724</v>
      </c>
      <c r="L904" t="s">
        <v>2720</v>
      </c>
      <c r="M904" s="37">
        <v>0.473</v>
      </c>
      <c r="N904" s="37">
        <v>0.3</v>
      </c>
      <c r="O904">
        <v>0.3784</v>
      </c>
      <c r="P904" s="37">
        <v>0.9919</v>
      </c>
      <c r="Q904">
        <v>0.77</v>
      </c>
      <c r="R904">
        <v>2310</v>
      </c>
      <c r="S904">
        <v>2310</v>
      </c>
      <c r="T904">
        <v>3000</v>
      </c>
      <c r="U904" t="s">
        <v>2371</v>
      </c>
      <c r="W904" t="s">
        <v>2387</v>
      </c>
      <c r="Y904" t="s">
        <v>2400</v>
      </c>
      <c r="Z904" s="37">
        <v>1</v>
      </c>
      <c r="AA904" s="37">
        <v>0.1</v>
      </c>
      <c r="AB904">
        <v>1</v>
      </c>
    </row>
    <row r="905">
      <c r="A905" t="s">
        <v>2721</v>
      </c>
      <c r="B905" t="s">
        <v>2698</v>
      </c>
      <c r="C905" t="s">
        <v>2698</v>
      </c>
      <c r="D905" t="s">
        <v>2699</v>
      </c>
      <c r="E905" t="s">
        <v>2722</v>
      </c>
      <c r="F905" t="s">
        <v>298</v>
      </c>
      <c r="G905" t="s">
        <v>2701</v>
      </c>
      <c r="H905" t="s">
        <v>2725</v>
      </c>
      <c r="I905" t="s">
        <v>2717</v>
      </c>
      <c r="J905">
        <v>1.5</v>
      </c>
      <c r="K905" t="s">
        <v>2726</v>
      </c>
      <c r="L905" t="s">
        <v>2720</v>
      </c>
      <c r="M905" s="37">
        <v>1.5</v>
      </c>
      <c r="N905" s="37">
        <v>0.3</v>
      </c>
      <c r="O905">
        <v>1.5</v>
      </c>
      <c r="P905" s="37">
        <v>0.9919</v>
      </c>
      <c r="Q905">
        <v>0.77</v>
      </c>
      <c r="R905">
        <v>2310</v>
      </c>
      <c r="S905">
        <v>2310</v>
      </c>
      <c r="T905">
        <v>3000</v>
      </c>
      <c r="U905" t="s">
        <v>2371</v>
      </c>
      <c r="W905" t="s">
        <v>2387</v>
      </c>
      <c r="Y905" t="s">
        <v>2400</v>
      </c>
      <c r="Z905" s="37">
        <v>1</v>
      </c>
      <c r="AA905" s="37">
        <v>0.1</v>
      </c>
      <c r="AB905">
        <v>1</v>
      </c>
    </row>
    <row r="906">
      <c r="A906" t="s">
        <v>2721</v>
      </c>
      <c r="B906" t="s">
        <v>2698</v>
      </c>
      <c r="C906" t="s">
        <v>2698</v>
      </c>
      <c r="D906" t="s">
        <v>2699</v>
      </c>
      <c r="E906" t="s">
        <v>2722</v>
      </c>
      <c r="F906" t="s">
        <v>298</v>
      </c>
      <c r="G906" t="s">
        <v>2701</v>
      </c>
      <c r="H906" t="s">
        <v>2712</v>
      </c>
      <c r="I906" t="s">
        <v>2719</v>
      </c>
      <c r="J906">
        <v>1</v>
      </c>
      <c r="K906" t="s">
        <v>2727</v>
      </c>
      <c r="L906" t="s">
        <v>2720</v>
      </c>
      <c r="M906" s="37">
        <v>1</v>
      </c>
      <c r="N906" s="37">
        <v>0.4</v>
      </c>
      <c r="O906">
        <v>1</v>
      </c>
      <c r="P906" s="37">
        <v>0.9919</v>
      </c>
      <c r="Q906">
        <v>0.77</v>
      </c>
      <c r="R906">
        <v>2310</v>
      </c>
      <c r="S906">
        <v>2310</v>
      </c>
      <c r="T906">
        <v>3000</v>
      </c>
      <c r="U906" t="s">
        <v>2371</v>
      </c>
      <c r="W906" t="s">
        <v>2387</v>
      </c>
      <c r="Y906" t="s">
        <v>2400</v>
      </c>
      <c r="Z906" s="37">
        <v>1</v>
      </c>
      <c r="AA906" s="37">
        <v>0.1</v>
      </c>
      <c r="AB906">
        <v>1</v>
      </c>
    </row>
    <row r="907">
      <c r="A907" t="s">
        <v>2728</v>
      </c>
      <c r="B907" t="s">
        <v>2698</v>
      </c>
      <c r="C907" t="s">
        <v>2698</v>
      </c>
      <c r="D907" t="s">
        <v>359</v>
      </c>
      <c r="E907" t="s">
        <v>2729</v>
      </c>
      <c r="F907" t="s">
        <v>298</v>
      </c>
      <c r="G907" t="s">
        <v>2701</v>
      </c>
      <c r="H907" t="s">
        <v>2702</v>
      </c>
      <c r="I907" t="s">
        <v>2730</v>
      </c>
      <c r="J907" t="s">
        <v>2731</v>
      </c>
      <c r="K907" t="s">
        <v>2732</v>
      </c>
      <c r="L907" t="s">
        <v>2720</v>
      </c>
      <c r="M907" s="37">
        <v>0.736923</v>
      </c>
      <c r="N907" s="37">
        <v>0.3</v>
      </c>
      <c r="O907">
        <v>0.5895</v>
      </c>
      <c r="P907" s="37">
        <v>0.866057</v>
      </c>
      <c r="Q907">
        <v>0.74</v>
      </c>
      <c r="R907">
        <v>4920</v>
      </c>
      <c r="S907">
        <v>4920</v>
      </c>
      <c r="T907">
        <v>6000</v>
      </c>
      <c r="U907" t="s">
        <v>2371</v>
      </c>
      <c r="W907" t="s">
        <v>2387</v>
      </c>
      <c r="Y907" t="s">
        <v>2400</v>
      </c>
      <c r="Z907" s="37">
        <v>1</v>
      </c>
      <c r="AA907" s="37">
        <v>0.1</v>
      </c>
      <c r="AB907">
        <v>1</v>
      </c>
    </row>
    <row r="908">
      <c r="A908" t="s">
        <v>2728</v>
      </c>
      <c r="B908" t="s">
        <v>2698</v>
      </c>
      <c r="C908" t="s">
        <v>2698</v>
      </c>
      <c r="D908" t="s">
        <v>359</v>
      </c>
      <c r="E908" t="s">
        <v>2729</v>
      </c>
      <c r="F908" t="s">
        <v>298</v>
      </c>
      <c r="G908" t="s">
        <v>2701</v>
      </c>
      <c r="H908" t="s">
        <v>2706</v>
      </c>
      <c r="I908" t="s">
        <v>2733</v>
      </c>
      <c r="J908" t="s">
        <v>980</v>
      </c>
      <c r="L908" t="s">
        <v>2734</v>
      </c>
      <c r="M908" s="37">
        <v>1</v>
      </c>
      <c r="N908" s="37">
        <v>0.1</v>
      </c>
      <c r="O908">
        <v>1</v>
      </c>
      <c r="P908" s="37">
        <v>0.866057</v>
      </c>
      <c r="Q908">
        <v>0.74</v>
      </c>
      <c r="R908">
        <v>4920</v>
      </c>
      <c r="S908">
        <v>4920</v>
      </c>
      <c r="T908">
        <v>6000</v>
      </c>
      <c r="U908" t="s">
        <v>2371</v>
      </c>
      <c r="W908" t="s">
        <v>2387</v>
      </c>
      <c r="Y908" t="s">
        <v>2400</v>
      </c>
      <c r="Z908" s="37">
        <v>1</v>
      </c>
      <c r="AA908" s="37">
        <v>0.1</v>
      </c>
      <c r="AB908">
        <v>1</v>
      </c>
    </row>
    <row r="909">
      <c r="A909" t="s">
        <v>2728</v>
      </c>
      <c r="B909" t="s">
        <v>2698</v>
      </c>
      <c r="C909" t="s">
        <v>2698</v>
      </c>
      <c r="D909" t="s">
        <v>359</v>
      </c>
      <c r="E909" t="s">
        <v>2729</v>
      </c>
      <c r="F909" t="s">
        <v>298</v>
      </c>
      <c r="G909" t="s">
        <v>2701</v>
      </c>
      <c r="H909" t="s">
        <v>2725</v>
      </c>
      <c r="I909" t="s">
        <v>2707</v>
      </c>
      <c r="J909" t="s">
        <v>1459</v>
      </c>
      <c r="K909" t="s">
        <v>586</v>
      </c>
      <c r="L909" t="s">
        <v>2735</v>
      </c>
      <c r="M909" s="37">
        <v>0.6666</v>
      </c>
      <c r="N909" s="37">
        <v>0.3</v>
      </c>
      <c r="O909">
        <v>0.5333</v>
      </c>
      <c r="P909" s="37">
        <v>0.866057</v>
      </c>
      <c r="Q909">
        <v>0.74</v>
      </c>
      <c r="R909">
        <v>4920</v>
      </c>
      <c r="S909">
        <v>4920</v>
      </c>
      <c r="T909">
        <v>6000</v>
      </c>
      <c r="U909" t="s">
        <v>2371</v>
      </c>
      <c r="W909" t="s">
        <v>2387</v>
      </c>
      <c r="Y909" t="s">
        <v>2400</v>
      </c>
      <c r="Z909" s="37">
        <v>1</v>
      </c>
      <c r="AA909" s="37">
        <v>0.1</v>
      </c>
      <c r="AB909">
        <v>1</v>
      </c>
    </row>
    <row r="910">
      <c r="A910" t="s">
        <v>2728</v>
      </c>
      <c r="B910" t="s">
        <v>2698</v>
      </c>
      <c r="C910" t="s">
        <v>2698</v>
      </c>
      <c r="D910" t="s">
        <v>359</v>
      </c>
      <c r="E910" t="s">
        <v>2729</v>
      </c>
      <c r="F910" t="s">
        <v>298</v>
      </c>
      <c r="G910" t="s">
        <v>2701</v>
      </c>
      <c r="H910" t="s">
        <v>2736</v>
      </c>
      <c r="I910" t="s">
        <v>2710</v>
      </c>
      <c r="J910">
        <v>2</v>
      </c>
      <c r="K910">
        <v>2</v>
      </c>
      <c r="L910" t="s">
        <v>2737</v>
      </c>
      <c r="M910" s="37">
        <v>1</v>
      </c>
      <c r="N910" s="37">
        <v>0.21</v>
      </c>
      <c r="O910">
        <v>1</v>
      </c>
      <c r="P910" s="37">
        <v>0.866057</v>
      </c>
      <c r="Q910">
        <v>0.74</v>
      </c>
      <c r="R910">
        <v>4920</v>
      </c>
      <c r="S910">
        <v>4920</v>
      </c>
      <c r="T910">
        <v>6000</v>
      </c>
      <c r="U910" t="s">
        <v>2371</v>
      </c>
      <c r="W910" t="s">
        <v>2387</v>
      </c>
      <c r="Y910" t="s">
        <v>2400</v>
      </c>
      <c r="Z910" s="37">
        <v>1</v>
      </c>
      <c r="AA910" s="37">
        <v>0.1</v>
      </c>
      <c r="AB910">
        <v>1</v>
      </c>
    </row>
    <row r="911">
      <c r="A911" t="s">
        <v>2728</v>
      </c>
      <c r="B911" t="s">
        <v>2698</v>
      </c>
      <c r="C911" t="s">
        <v>2698</v>
      </c>
      <c r="D911" t="s">
        <v>359</v>
      </c>
      <c r="E911" t="s">
        <v>2729</v>
      </c>
      <c r="F911" t="s">
        <v>298</v>
      </c>
      <c r="G911" t="s">
        <v>2701</v>
      </c>
      <c r="H911" t="s">
        <v>2712</v>
      </c>
      <c r="I911" t="s">
        <v>2713</v>
      </c>
      <c r="J911" t="s">
        <v>2738</v>
      </c>
      <c r="K911" t="s">
        <v>2739</v>
      </c>
      <c r="L911" t="s">
        <v>2740</v>
      </c>
      <c r="M911" s="37">
        <v>1.5</v>
      </c>
      <c r="N911" s="37">
        <v>0.09</v>
      </c>
      <c r="O911">
        <v>1</v>
      </c>
      <c r="P911" s="37">
        <v>0.866057</v>
      </c>
      <c r="Q911">
        <v>0.74</v>
      </c>
      <c r="R911">
        <v>4920</v>
      </c>
      <c r="S911">
        <v>4920</v>
      </c>
      <c r="T911">
        <v>6000</v>
      </c>
      <c r="U911" t="s">
        <v>2371</v>
      </c>
      <c r="W911" t="s">
        <v>2387</v>
      </c>
      <c r="Y911" t="s">
        <v>2400</v>
      </c>
      <c r="Z911" s="37">
        <v>1</v>
      </c>
      <c r="AA911" s="37">
        <v>0.1</v>
      </c>
      <c r="AB911">
        <v>1</v>
      </c>
    </row>
    <row r="912">
      <c r="A912" t="s">
        <v>2741</v>
      </c>
      <c r="B912" t="s">
        <v>2698</v>
      </c>
      <c r="C912" t="s">
        <v>2698</v>
      </c>
      <c r="D912" t="s">
        <v>2699</v>
      </c>
      <c r="E912" t="s">
        <v>2742</v>
      </c>
      <c r="F912" t="s">
        <v>298</v>
      </c>
      <c r="G912" t="s">
        <v>2701</v>
      </c>
      <c r="H912" t="s">
        <v>2702</v>
      </c>
      <c r="I912" t="s">
        <v>2743</v>
      </c>
      <c r="J912" t="s">
        <v>2744</v>
      </c>
      <c r="K912" t="s">
        <v>2745</v>
      </c>
      <c r="L912" t="s">
        <v>2740</v>
      </c>
      <c r="M912" s="37">
        <v>0.7487</v>
      </c>
      <c r="N912" s="37">
        <v>0.3</v>
      </c>
      <c r="O912">
        <v>0.599</v>
      </c>
      <c r="P912" s="37">
        <v>1.07461</v>
      </c>
      <c r="Q912">
        <v>1.03</v>
      </c>
      <c r="R912">
        <v>3210</v>
      </c>
      <c r="S912">
        <v>3210</v>
      </c>
      <c r="T912">
        <v>3000</v>
      </c>
      <c r="U912" t="s">
        <v>2371</v>
      </c>
      <c r="W912" t="s">
        <v>2387</v>
      </c>
      <c r="Y912" t="s">
        <v>2400</v>
      </c>
      <c r="Z912" s="37">
        <v>1</v>
      </c>
      <c r="AA912" s="37">
        <v>0.1</v>
      </c>
      <c r="AB912">
        <v>1</v>
      </c>
    </row>
    <row r="913">
      <c r="A913" t="s">
        <v>2741</v>
      </c>
      <c r="B913" t="s">
        <v>2698</v>
      </c>
      <c r="C913" t="s">
        <v>2698</v>
      </c>
      <c r="D913" t="s">
        <v>2699</v>
      </c>
      <c r="E913" t="s">
        <v>2742</v>
      </c>
      <c r="F913" t="s">
        <v>298</v>
      </c>
      <c r="G913" t="s">
        <v>2701</v>
      </c>
      <c r="H913" t="s">
        <v>2712</v>
      </c>
      <c r="I913" t="s">
        <v>2719</v>
      </c>
      <c r="J913">
        <v>1</v>
      </c>
      <c r="K913">
        <v>100</v>
      </c>
      <c r="L913" t="s">
        <v>2746</v>
      </c>
      <c r="M913" s="37">
        <v>1</v>
      </c>
      <c r="N913" s="37">
        <v>0.4</v>
      </c>
      <c r="O913">
        <v>1</v>
      </c>
      <c r="P913" s="37">
        <v>1.07461</v>
      </c>
      <c r="Q913">
        <v>1.03</v>
      </c>
      <c r="R913">
        <v>3210</v>
      </c>
      <c r="S913">
        <v>3210</v>
      </c>
      <c r="T913">
        <v>3000</v>
      </c>
      <c r="U913" t="s">
        <v>2371</v>
      </c>
      <c r="W913" t="s">
        <v>2387</v>
      </c>
      <c r="Y913" t="s">
        <v>2400</v>
      </c>
      <c r="Z913" s="37">
        <v>1</v>
      </c>
      <c r="AA913" s="37">
        <v>0.1</v>
      </c>
      <c r="AB913">
        <v>1</v>
      </c>
    </row>
    <row r="914">
      <c r="A914" t="s">
        <v>2741</v>
      </c>
      <c r="B914" t="s">
        <v>2698</v>
      </c>
      <c r="C914" t="s">
        <v>2698</v>
      </c>
      <c r="D914" t="s">
        <v>2699</v>
      </c>
      <c r="E914" t="s">
        <v>2742</v>
      </c>
      <c r="F914" t="s">
        <v>298</v>
      </c>
      <c r="G914" t="s">
        <v>2701</v>
      </c>
      <c r="H914" t="s">
        <v>2725</v>
      </c>
      <c r="I914" t="s">
        <v>2747</v>
      </c>
      <c r="J914" t="s">
        <v>980</v>
      </c>
      <c r="K914" t="s">
        <v>709</v>
      </c>
      <c r="L914" t="s">
        <v>2748</v>
      </c>
      <c r="M914" s="37">
        <v>1.5</v>
      </c>
      <c r="N914" s="37">
        <v>0.3</v>
      </c>
      <c r="O914">
        <v>1.5</v>
      </c>
      <c r="P914" s="37">
        <v>1.07461</v>
      </c>
      <c r="Q914">
        <v>1.03</v>
      </c>
      <c r="R914">
        <v>3210</v>
      </c>
      <c r="S914">
        <v>3210</v>
      </c>
      <c r="T914">
        <v>3000</v>
      </c>
      <c r="U914" t="s">
        <v>2371</v>
      </c>
      <c r="W914" t="s">
        <v>2387</v>
      </c>
      <c r="Y914" t="s">
        <v>2400</v>
      </c>
      <c r="Z914" s="37">
        <v>1</v>
      </c>
      <c r="AA914" s="37">
        <v>0.1</v>
      </c>
      <c r="AB914">
        <v>1</v>
      </c>
    </row>
    <row r="915">
      <c r="A915" t="s">
        <v>2749</v>
      </c>
      <c r="B915" t="s">
        <v>2698</v>
      </c>
      <c r="C915" t="s">
        <v>2698</v>
      </c>
      <c r="D915" t="s">
        <v>2750</v>
      </c>
      <c r="E915" t="s">
        <v>2751</v>
      </c>
      <c r="F915" t="s">
        <v>298</v>
      </c>
      <c r="G915" t="s">
        <v>2752</v>
      </c>
      <c r="H915" t="s">
        <v>2753</v>
      </c>
      <c r="I915" t="s">
        <v>2754</v>
      </c>
      <c r="K915" t="s">
        <v>709</v>
      </c>
      <c r="L915" t="s">
        <v>2755</v>
      </c>
      <c r="M915" s="37">
        <v>1</v>
      </c>
      <c r="N915" s="37">
        <v>0.3</v>
      </c>
      <c r="O915">
        <v>0.3</v>
      </c>
      <c r="P915" s="37">
        <v>1</v>
      </c>
      <c r="Q915">
        <v>1</v>
      </c>
      <c r="R915">
        <v>2200</v>
      </c>
      <c r="S915">
        <v>2200</v>
      </c>
      <c r="T915">
        <v>2200</v>
      </c>
      <c r="U915" t="s">
        <v>2371</v>
      </c>
      <c r="W915" t="s">
        <v>2387</v>
      </c>
      <c r="Y915" t="s">
        <v>2400</v>
      </c>
      <c r="Z915" s="37">
        <v>1</v>
      </c>
      <c r="AA915" s="37">
        <v>0.1</v>
      </c>
      <c r="AB915">
        <v>1</v>
      </c>
    </row>
    <row r="916">
      <c r="A916" t="s">
        <v>2749</v>
      </c>
      <c r="B916" t="s">
        <v>2698</v>
      </c>
      <c r="C916" t="s">
        <v>2698</v>
      </c>
      <c r="D916" t="s">
        <v>2750</v>
      </c>
      <c r="E916" t="s">
        <v>2751</v>
      </c>
      <c r="F916" t="s">
        <v>298</v>
      </c>
      <c r="G916" t="s">
        <v>2752</v>
      </c>
      <c r="H916" t="s">
        <v>2753</v>
      </c>
      <c r="I916" t="s">
        <v>2756</v>
      </c>
      <c r="K916" t="s">
        <v>709</v>
      </c>
      <c r="L916" t="s">
        <v>2757</v>
      </c>
      <c r="M916" s="37">
        <v>1</v>
      </c>
      <c r="N916" s="37">
        <v>0.3</v>
      </c>
      <c r="O916">
        <v>0.3</v>
      </c>
      <c r="P916" s="37">
        <v>1</v>
      </c>
      <c r="Q916">
        <v>1</v>
      </c>
      <c r="R916">
        <v>2200</v>
      </c>
      <c r="S916">
        <v>2200</v>
      </c>
      <c r="T916">
        <v>2200</v>
      </c>
      <c r="U916" t="s">
        <v>2371</v>
      </c>
      <c r="W916" t="s">
        <v>2387</v>
      </c>
      <c r="Y916" t="s">
        <v>2400</v>
      </c>
      <c r="Z916" s="37">
        <v>1</v>
      </c>
      <c r="AA916" s="37">
        <v>0.1</v>
      </c>
      <c r="AB916">
        <v>1</v>
      </c>
    </row>
    <row r="917">
      <c r="A917" t="s">
        <v>2749</v>
      </c>
      <c r="B917" t="s">
        <v>2698</v>
      </c>
      <c r="C917" t="s">
        <v>2698</v>
      </c>
      <c r="D917" t="s">
        <v>2750</v>
      </c>
      <c r="E917" t="s">
        <v>2751</v>
      </c>
      <c r="F917" t="s">
        <v>298</v>
      </c>
      <c r="G917" t="s">
        <v>2752</v>
      </c>
      <c r="H917" t="s">
        <v>2758</v>
      </c>
      <c r="I917" t="s">
        <v>2759</v>
      </c>
      <c r="K917" t="s">
        <v>709</v>
      </c>
      <c r="L917" t="s">
        <v>2760</v>
      </c>
      <c r="M917" s="37">
        <v>1</v>
      </c>
      <c r="N917" s="37">
        <v>0.3</v>
      </c>
      <c r="O917">
        <v>0.3</v>
      </c>
      <c r="P917" s="37">
        <v>1</v>
      </c>
      <c r="Q917">
        <v>1</v>
      </c>
      <c r="R917">
        <v>2200</v>
      </c>
      <c r="S917">
        <v>2200</v>
      </c>
      <c r="T917">
        <v>2200</v>
      </c>
      <c r="U917" t="s">
        <v>2371</v>
      </c>
      <c r="W917" t="s">
        <v>2387</v>
      </c>
      <c r="Y917" t="s">
        <v>2400</v>
      </c>
      <c r="Z917" s="37">
        <v>1</v>
      </c>
      <c r="AA917" s="37">
        <v>0.1</v>
      </c>
      <c r="AB917">
        <v>1</v>
      </c>
    </row>
    <row r="918">
      <c r="A918" t="s">
        <v>2749</v>
      </c>
      <c r="B918" t="s">
        <v>2698</v>
      </c>
      <c r="C918" t="s">
        <v>2698</v>
      </c>
      <c r="D918" t="s">
        <v>2750</v>
      </c>
      <c r="E918" t="s">
        <v>2751</v>
      </c>
      <c r="F918" t="s">
        <v>298</v>
      </c>
      <c r="G918" t="s">
        <v>2752</v>
      </c>
      <c r="H918" t="s">
        <v>2761</v>
      </c>
      <c r="I918" t="s">
        <v>2762</v>
      </c>
      <c r="J918">
        <v>1</v>
      </c>
      <c r="K918" t="s">
        <v>709</v>
      </c>
      <c r="L918" t="s">
        <v>2763</v>
      </c>
      <c r="M918" s="37">
        <v>1</v>
      </c>
      <c r="N918" s="37">
        <v>0.1</v>
      </c>
      <c r="O918">
        <v>0.1</v>
      </c>
      <c r="P918" s="37">
        <v>1</v>
      </c>
      <c r="Q918">
        <v>1</v>
      </c>
      <c r="R918">
        <v>2200</v>
      </c>
      <c r="S918">
        <v>2200</v>
      </c>
      <c r="T918">
        <v>2200</v>
      </c>
      <c r="U918" t="s">
        <v>2371</v>
      </c>
      <c r="W918" t="s">
        <v>2387</v>
      </c>
      <c r="Y918" t="s">
        <v>2400</v>
      </c>
      <c r="Z918" s="37">
        <v>1</v>
      </c>
      <c r="AA918" s="37">
        <v>0.1</v>
      </c>
      <c r="AB918">
        <v>1</v>
      </c>
    </row>
    <row r="919">
      <c r="A919" t="s">
        <v>2764</v>
      </c>
      <c r="B919" t="s">
        <v>2698</v>
      </c>
      <c r="C919" t="s">
        <v>2698</v>
      </c>
      <c r="D919" t="s">
        <v>2765</v>
      </c>
      <c r="E919" t="s">
        <v>2766</v>
      </c>
      <c r="F919" t="s">
        <v>298</v>
      </c>
      <c r="G919" t="s">
        <v>2767</v>
      </c>
      <c r="H919" t="s">
        <v>2768</v>
      </c>
      <c r="I919" t="s">
        <v>2769</v>
      </c>
      <c r="J919">
        <v>1</v>
      </c>
      <c r="K919">
        <v>1</v>
      </c>
      <c r="L919" t="s">
        <v>2770</v>
      </c>
      <c r="M919" s="37">
        <v>1</v>
      </c>
      <c r="N919" s="37">
        <v>0.3</v>
      </c>
      <c r="O919">
        <v>100</v>
      </c>
      <c r="P919" s="37">
        <v>0.85</v>
      </c>
      <c r="Q919">
        <v>85</v>
      </c>
      <c r="R919">
        <v>1700</v>
      </c>
      <c r="S919">
        <v>1700</v>
      </c>
      <c r="T919">
        <v>2000</v>
      </c>
      <c r="U919" t="s">
        <v>2771</v>
      </c>
      <c r="V919" t="s">
        <v>2772</v>
      </c>
      <c r="Y919" t="s">
        <v>2400</v>
      </c>
      <c r="Z919" s="37">
        <v>1</v>
      </c>
      <c r="AA919" s="37">
        <v>0.5</v>
      </c>
      <c r="AB919">
        <v>1</v>
      </c>
    </row>
    <row r="920">
      <c r="A920" t="s">
        <v>2764</v>
      </c>
      <c r="B920" t="s">
        <v>2698</v>
      </c>
      <c r="C920" t="s">
        <v>2698</v>
      </c>
      <c r="D920" t="s">
        <v>2765</v>
      </c>
      <c r="E920" t="s">
        <v>2766</v>
      </c>
      <c r="F920" t="s">
        <v>298</v>
      </c>
      <c r="G920" t="s">
        <v>2767</v>
      </c>
      <c r="H920" t="s">
        <v>2768</v>
      </c>
      <c r="I920" t="s">
        <v>2769</v>
      </c>
      <c r="J920">
        <v>1</v>
      </c>
      <c r="K920">
        <v>1</v>
      </c>
      <c r="L920" t="s">
        <v>2770</v>
      </c>
      <c r="M920" s="37">
        <v>1</v>
      </c>
      <c r="N920" s="37">
        <v>0.3</v>
      </c>
      <c r="O920">
        <v>100</v>
      </c>
      <c r="P920" s="37">
        <v>0.85</v>
      </c>
      <c r="Q920">
        <v>85</v>
      </c>
      <c r="R920">
        <v>1700</v>
      </c>
      <c r="S920">
        <v>1700</v>
      </c>
      <c r="T920">
        <v>2000</v>
      </c>
      <c r="U920" t="s">
        <v>2773</v>
      </c>
      <c r="V920" t="s">
        <v>2774</v>
      </c>
      <c r="Y920" t="s">
        <v>2400</v>
      </c>
      <c r="Z920" s="37">
        <v>1</v>
      </c>
      <c r="AA920" s="37">
        <v>0.5</v>
      </c>
      <c r="AB920">
        <v>1</v>
      </c>
    </row>
    <row r="921">
      <c r="A921" t="s">
        <v>2764</v>
      </c>
      <c r="B921" t="s">
        <v>2698</v>
      </c>
      <c r="C921" t="s">
        <v>2698</v>
      </c>
      <c r="D921" t="s">
        <v>2765</v>
      </c>
      <c r="E921" t="s">
        <v>2766</v>
      </c>
      <c r="F921" t="s">
        <v>298</v>
      </c>
      <c r="G921" t="s">
        <v>2767</v>
      </c>
      <c r="H921" t="s">
        <v>2775</v>
      </c>
      <c r="I921" t="s">
        <v>2776</v>
      </c>
      <c r="J921">
        <v>1</v>
      </c>
      <c r="L921" t="s">
        <v>2777</v>
      </c>
      <c r="M921" s="37">
        <v>0.5</v>
      </c>
      <c r="N921" s="37">
        <v>0.3</v>
      </c>
      <c r="O921">
        <v>50</v>
      </c>
      <c r="P921" s="37">
        <v>0.85</v>
      </c>
      <c r="Q921">
        <v>85</v>
      </c>
      <c r="R921">
        <v>1700</v>
      </c>
      <c r="S921">
        <v>1700</v>
      </c>
      <c r="T921">
        <v>2000</v>
      </c>
      <c r="U921" t="s">
        <v>2773</v>
      </c>
      <c r="V921" t="s">
        <v>2774</v>
      </c>
      <c r="Y921" t="s">
        <v>2400</v>
      </c>
      <c r="Z921" s="37">
        <v>1</v>
      </c>
      <c r="AA921" s="37">
        <v>0.5</v>
      </c>
      <c r="AB921">
        <v>1</v>
      </c>
    </row>
    <row r="922">
      <c r="A922" t="s">
        <v>2764</v>
      </c>
      <c r="B922" t="s">
        <v>2698</v>
      </c>
      <c r="C922" t="s">
        <v>2698</v>
      </c>
      <c r="D922" t="s">
        <v>2765</v>
      </c>
      <c r="E922" t="s">
        <v>2766</v>
      </c>
      <c r="F922" t="s">
        <v>298</v>
      </c>
      <c r="G922" t="s">
        <v>2767</v>
      </c>
      <c r="H922" t="s">
        <v>2778</v>
      </c>
      <c r="I922" t="s">
        <v>2779</v>
      </c>
      <c r="J922">
        <v>1</v>
      </c>
      <c r="K922">
        <v>1</v>
      </c>
      <c r="L922" t="s">
        <v>2780</v>
      </c>
      <c r="M922" s="37">
        <v>1</v>
      </c>
      <c r="N922" s="37">
        <v>0.4</v>
      </c>
      <c r="O922">
        <v>100</v>
      </c>
      <c r="P922" s="37">
        <v>0.85</v>
      </c>
      <c r="Q922">
        <v>85</v>
      </c>
      <c r="R922">
        <v>1700</v>
      </c>
      <c r="S922">
        <v>1700</v>
      </c>
      <c r="T922">
        <v>2000</v>
      </c>
      <c r="U922" t="s">
        <v>2773</v>
      </c>
      <c r="V922" t="s">
        <v>2774</v>
      </c>
      <c r="Y922" t="s">
        <v>2400</v>
      </c>
      <c r="Z922" s="37">
        <v>1</v>
      </c>
      <c r="AA922" s="37">
        <v>0.5</v>
      </c>
      <c r="AB922">
        <v>1</v>
      </c>
    </row>
    <row r="923">
      <c r="A923" t="s">
        <v>2781</v>
      </c>
      <c r="B923" t="s">
        <v>2698</v>
      </c>
      <c r="C923" t="s">
        <v>2698</v>
      </c>
      <c r="D923" t="s">
        <v>2765</v>
      </c>
      <c r="E923" t="s">
        <v>2782</v>
      </c>
      <c r="F923" t="s">
        <v>298</v>
      </c>
      <c r="G923" t="s">
        <v>2767</v>
      </c>
      <c r="H923" t="s">
        <v>2768</v>
      </c>
      <c r="I923" t="s">
        <v>2783</v>
      </c>
      <c r="J923">
        <v>1</v>
      </c>
      <c r="K923">
        <v>1</v>
      </c>
      <c r="L923" t="s">
        <v>2784</v>
      </c>
      <c r="M923" s="37">
        <v>1</v>
      </c>
      <c r="N923" s="37">
        <v>0.3</v>
      </c>
      <c r="O923">
        <v>100</v>
      </c>
      <c r="P923" s="37">
        <v>1</v>
      </c>
      <c r="Q923">
        <v>100</v>
      </c>
      <c r="R923">
        <v>2000</v>
      </c>
      <c r="S923">
        <v>2000</v>
      </c>
      <c r="T923">
        <v>2000</v>
      </c>
      <c r="U923" t="s">
        <v>2771</v>
      </c>
      <c r="V923" t="s">
        <v>2772</v>
      </c>
      <c r="W923">
        <v>1</v>
      </c>
      <c r="X923">
        <v>1</v>
      </c>
      <c r="Y923" t="s">
        <v>2400</v>
      </c>
      <c r="Z923" s="37">
        <v>1</v>
      </c>
      <c r="AA923" s="37">
        <v>0.5</v>
      </c>
      <c r="AB923">
        <v>1</v>
      </c>
    </row>
    <row r="924">
      <c r="A924" t="s">
        <v>2781</v>
      </c>
      <c r="B924" t="s">
        <v>2698</v>
      </c>
      <c r="C924" t="s">
        <v>2698</v>
      </c>
      <c r="D924" t="s">
        <v>2765</v>
      </c>
      <c r="E924" t="s">
        <v>2782</v>
      </c>
      <c r="F924" t="s">
        <v>298</v>
      </c>
      <c r="G924" t="s">
        <v>2767</v>
      </c>
      <c r="H924" t="s">
        <v>2768</v>
      </c>
      <c r="I924" t="s">
        <v>2783</v>
      </c>
      <c r="J924">
        <v>1</v>
      </c>
      <c r="K924">
        <v>1</v>
      </c>
      <c r="L924" t="s">
        <v>2784</v>
      </c>
      <c r="M924" s="37">
        <v>1</v>
      </c>
      <c r="N924" s="37">
        <v>0.3</v>
      </c>
      <c r="O924">
        <v>100</v>
      </c>
      <c r="P924" s="37">
        <v>1</v>
      </c>
      <c r="Q924">
        <v>100</v>
      </c>
      <c r="R924">
        <v>2000</v>
      </c>
      <c r="S924">
        <v>2000</v>
      </c>
      <c r="T924">
        <v>2000</v>
      </c>
      <c r="U924" t="s">
        <v>2773</v>
      </c>
      <c r="V924" t="s">
        <v>2774</v>
      </c>
      <c r="W924">
        <v>1</v>
      </c>
      <c r="X924">
        <v>1</v>
      </c>
      <c r="Y924" t="s">
        <v>2400</v>
      </c>
      <c r="Z924" s="37">
        <v>1</v>
      </c>
      <c r="AA924" s="37">
        <v>0.5</v>
      </c>
      <c r="AB924">
        <v>1</v>
      </c>
    </row>
    <row r="925">
      <c r="A925" t="s">
        <v>2781</v>
      </c>
      <c r="B925" t="s">
        <v>2698</v>
      </c>
      <c r="C925" t="s">
        <v>2698</v>
      </c>
      <c r="D925" t="s">
        <v>2765</v>
      </c>
      <c r="E925" t="s">
        <v>2782</v>
      </c>
      <c r="F925" t="s">
        <v>298</v>
      </c>
      <c r="G925" t="s">
        <v>2767</v>
      </c>
      <c r="H925" t="s">
        <v>2775</v>
      </c>
      <c r="I925" t="s">
        <v>2785</v>
      </c>
      <c r="J925">
        <v>1</v>
      </c>
      <c r="L925" t="s">
        <v>2786</v>
      </c>
      <c r="M925" s="37">
        <v>1</v>
      </c>
      <c r="N925" s="37">
        <v>0.3</v>
      </c>
      <c r="O925">
        <v>100</v>
      </c>
      <c r="P925" s="37">
        <v>1</v>
      </c>
      <c r="Q925">
        <v>100</v>
      </c>
      <c r="R925">
        <v>2000</v>
      </c>
      <c r="S925">
        <v>2000</v>
      </c>
      <c r="T925">
        <v>2000</v>
      </c>
      <c r="U925" t="s">
        <v>2773</v>
      </c>
      <c r="V925" t="s">
        <v>2774</v>
      </c>
      <c r="W925">
        <v>1</v>
      </c>
      <c r="X925">
        <v>1</v>
      </c>
      <c r="Y925" t="s">
        <v>2400</v>
      </c>
      <c r="Z925" s="37">
        <v>1</v>
      </c>
      <c r="AA925" s="37">
        <v>0.5</v>
      </c>
      <c r="AB925">
        <v>1</v>
      </c>
    </row>
    <row r="926">
      <c r="A926" t="s">
        <v>2781</v>
      </c>
      <c r="B926" t="s">
        <v>2698</v>
      </c>
      <c r="C926" t="s">
        <v>2698</v>
      </c>
      <c r="D926" t="s">
        <v>2765</v>
      </c>
      <c r="E926" t="s">
        <v>2782</v>
      </c>
      <c r="F926" t="s">
        <v>298</v>
      </c>
      <c r="G926" t="s">
        <v>2767</v>
      </c>
      <c r="H926" t="s">
        <v>2778</v>
      </c>
      <c r="I926" t="s">
        <v>2779</v>
      </c>
      <c r="J926">
        <v>1</v>
      </c>
      <c r="K926">
        <v>1</v>
      </c>
      <c r="L926" t="s">
        <v>2787</v>
      </c>
      <c r="M926" s="37">
        <v>1</v>
      </c>
      <c r="N926" s="37">
        <v>0.4</v>
      </c>
      <c r="O926">
        <v>100</v>
      </c>
      <c r="P926" s="37">
        <v>1</v>
      </c>
      <c r="Q926">
        <v>100</v>
      </c>
      <c r="R926">
        <v>2000</v>
      </c>
      <c r="S926">
        <v>2000</v>
      </c>
      <c r="T926">
        <v>2000</v>
      </c>
      <c r="U926" t="s">
        <v>2773</v>
      </c>
      <c r="V926" t="s">
        <v>2774</v>
      </c>
      <c r="W926">
        <v>1</v>
      </c>
      <c r="X926">
        <v>1</v>
      </c>
      <c r="Y926" t="s">
        <v>2400</v>
      </c>
      <c r="Z926" s="37">
        <v>1</v>
      </c>
      <c r="AA926" s="37">
        <v>0.5</v>
      </c>
      <c r="AB926">
        <v>1</v>
      </c>
    </row>
    <row r="927">
      <c r="A927" t="s">
        <v>2788</v>
      </c>
      <c r="B927" t="s">
        <v>2789</v>
      </c>
      <c r="C927" t="s">
        <v>2789</v>
      </c>
      <c r="D927" t="s">
        <v>2790</v>
      </c>
      <c r="E927" t="s">
        <v>2791</v>
      </c>
      <c r="F927" t="s">
        <v>298</v>
      </c>
      <c r="G927" t="s">
        <v>2792</v>
      </c>
      <c r="H927" t="s">
        <v>2793</v>
      </c>
      <c r="I927" t="s">
        <v>2794</v>
      </c>
      <c r="J927">
        <v>1</v>
      </c>
      <c r="K927">
        <v>1.3</v>
      </c>
      <c r="L927">
        <v>1</v>
      </c>
      <c r="M927" s="37">
        <v>1.3</v>
      </c>
      <c r="N927" s="37">
        <v>0.1</v>
      </c>
      <c r="O927">
        <v>1.3</v>
      </c>
      <c r="P927" s="37">
        <v>0.866</v>
      </c>
      <c r="Q927">
        <v>1.03</v>
      </c>
      <c r="R927">
        <v>3361.11</v>
      </c>
      <c r="S927">
        <v>3361.11</v>
      </c>
      <c r="T927">
        <v>3000</v>
      </c>
      <c r="U927" t="s">
        <v>2773</v>
      </c>
      <c r="V927" t="s">
        <v>2774</v>
      </c>
      <c r="W927">
        <v>1</v>
      </c>
      <c r="X927">
        <v>1</v>
      </c>
      <c r="Y927" t="s">
        <v>2400</v>
      </c>
      <c r="Z927" s="37">
        <v>1</v>
      </c>
      <c r="AA927" s="37">
        <v>0.5</v>
      </c>
      <c r="AB927">
        <v>1</v>
      </c>
    </row>
    <row r="928">
      <c r="A928" t="s">
        <v>2788</v>
      </c>
      <c r="B928" t="s">
        <v>2789</v>
      </c>
      <c r="C928" t="s">
        <v>2789</v>
      </c>
      <c r="D928" t="s">
        <v>2790</v>
      </c>
      <c r="E928" t="s">
        <v>2791</v>
      </c>
      <c r="F928" t="s">
        <v>298</v>
      </c>
      <c r="G928" t="s">
        <v>2792</v>
      </c>
      <c r="H928" t="s">
        <v>2795</v>
      </c>
      <c r="I928" t="s">
        <v>2796</v>
      </c>
      <c r="J928">
        <v>1</v>
      </c>
      <c r="L928">
        <v>1</v>
      </c>
      <c r="M928" s="37">
        <v>0.795</v>
      </c>
      <c r="N928" s="37">
        <v>0.8</v>
      </c>
      <c r="O928">
        <v>0.9938</v>
      </c>
      <c r="P928" s="37">
        <v>0.866</v>
      </c>
      <c r="Q928">
        <v>1.03</v>
      </c>
      <c r="R928">
        <v>3361.11</v>
      </c>
      <c r="S928">
        <v>3361.11</v>
      </c>
      <c r="T928">
        <v>3000</v>
      </c>
      <c r="U928" t="s">
        <v>2797</v>
      </c>
      <c r="V928">
        <v>1</v>
      </c>
      <c r="W928" s="38">
        <v>0.01</v>
      </c>
      <c r="Y928">
        <v>1</v>
      </c>
      <c r="Z928" s="37">
        <v>0.00795</v>
      </c>
      <c r="AA928" s="37">
        <v>1</v>
      </c>
      <c r="AB928">
        <v>1</v>
      </c>
    </row>
    <row r="929">
      <c r="A929" t="s">
        <v>2788</v>
      </c>
      <c r="B929" t="s">
        <v>2789</v>
      </c>
      <c r="C929" t="s">
        <v>2789</v>
      </c>
      <c r="D929" t="s">
        <v>2790</v>
      </c>
      <c r="E929" t="s">
        <v>2791</v>
      </c>
      <c r="F929" t="s">
        <v>298</v>
      </c>
      <c r="G929" t="s">
        <v>2792</v>
      </c>
      <c r="H929" t="s">
        <v>2798</v>
      </c>
      <c r="I929" t="s">
        <v>2799</v>
      </c>
      <c r="J929">
        <v>1</v>
      </c>
      <c r="K929">
        <v>1</v>
      </c>
      <c r="L929">
        <v>1</v>
      </c>
      <c r="M929" s="37">
        <v>1</v>
      </c>
      <c r="N929" s="37">
        <v>0.1</v>
      </c>
      <c r="O929">
        <v>1</v>
      </c>
      <c r="P929" s="37">
        <v>0.866</v>
      </c>
      <c r="Q929">
        <v>1.03</v>
      </c>
      <c r="R929">
        <v>3361.11</v>
      </c>
      <c r="S929">
        <v>3361.11</v>
      </c>
      <c r="T929">
        <v>3000</v>
      </c>
      <c r="U929" t="s">
        <v>2797</v>
      </c>
      <c r="V929">
        <v>1</v>
      </c>
      <c r="W929" s="38">
        <v>0.01</v>
      </c>
      <c r="Y929">
        <v>1</v>
      </c>
      <c r="Z929" s="37">
        <v>0.00795</v>
      </c>
      <c r="AA929" s="37">
        <v>1</v>
      </c>
      <c r="AB929">
        <v>1</v>
      </c>
    </row>
    <row r="930">
      <c r="A930" t="s">
        <v>2800</v>
      </c>
      <c r="B930" t="s">
        <v>2789</v>
      </c>
      <c r="C930" t="s">
        <v>2789</v>
      </c>
      <c r="D930" t="s">
        <v>2790</v>
      </c>
      <c r="E930" t="s">
        <v>2801</v>
      </c>
      <c r="F930" t="s">
        <v>298</v>
      </c>
      <c r="G930" t="s">
        <v>2792</v>
      </c>
      <c r="H930" t="s">
        <v>2793</v>
      </c>
      <c r="I930" t="s">
        <v>2794</v>
      </c>
      <c r="J930">
        <v>1</v>
      </c>
      <c r="K930">
        <v>60</v>
      </c>
      <c r="L930">
        <v>1</v>
      </c>
      <c r="M930" s="37">
        <v>0.6</v>
      </c>
      <c r="N930" s="37">
        <v>0.1</v>
      </c>
      <c r="O930">
        <v>0.6</v>
      </c>
      <c r="P930" s="37">
        <v>0.95</v>
      </c>
      <c r="Q930">
        <v>0.95</v>
      </c>
      <c r="R930">
        <v>3055.56</v>
      </c>
      <c r="S930">
        <v>3055.56</v>
      </c>
      <c r="T930">
        <v>3000</v>
      </c>
      <c r="U930" t="s">
        <v>2797</v>
      </c>
      <c r="V930">
        <v>1</v>
      </c>
      <c r="W930" s="38">
        <v>0.01</v>
      </c>
      <c r="Y930">
        <v>1</v>
      </c>
      <c r="Z930" s="37">
        <v>0.00795</v>
      </c>
      <c r="AA930" s="37">
        <v>1</v>
      </c>
      <c r="AB930">
        <v>1</v>
      </c>
    </row>
    <row r="931">
      <c r="A931" t="s">
        <v>2800</v>
      </c>
      <c r="B931" t="s">
        <v>2789</v>
      </c>
      <c r="C931" t="s">
        <v>2789</v>
      </c>
      <c r="D931" t="s">
        <v>2790</v>
      </c>
      <c r="E931" t="s">
        <v>2801</v>
      </c>
      <c r="F931" t="s">
        <v>298</v>
      </c>
      <c r="G931" t="s">
        <v>2792</v>
      </c>
      <c r="H931" t="s">
        <v>2795</v>
      </c>
      <c r="I931">
        <v>1</v>
      </c>
      <c r="J931">
        <v>1</v>
      </c>
      <c r="L931">
        <v>1</v>
      </c>
      <c r="M931" s="37">
        <v>0.9875</v>
      </c>
      <c r="N931" s="37">
        <v>0.8</v>
      </c>
      <c r="O931">
        <v>0.9875</v>
      </c>
      <c r="P931" s="37">
        <v>0.95</v>
      </c>
      <c r="Q931">
        <v>0.95</v>
      </c>
      <c r="R931">
        <v>3055.56</v>
      </c>
      <c r="S931">
        <v>3055.56</v>
      </c>
      <c r="T931">
        <v>3000</v>
      </c>
      <c r="U931" t="s">
        <v>2802</v>
      </c>
      <c r="Y931">
        <v>1</v>
      </c>
      <c r="Z931" s="37">
        <v>0.9875</v>
      </c>
      <c r="AA931" s="37">
        <v>1</v>
      </c>
      <c r="AB931">
        <v>0.9875</v>
      </c>
    </row>
    <row r="932">
      <c r="A932" t="s">
        <v>2800</v>
      </c>
      <c r="B932" t="s">
        <v>2789</v>
      </c>
      <c r="C932" t="s">
        <v>2789</v>
      </c>
      <c r="D932" t="s">
        <v>2790</v>
      </c>
      <c r="E932" t="s">
        <v>2801</v>
      </c>
      <c r="F932" t="s">
        <v>298</v>
      </c>
      <c r="G932" t="s">
        <v>2792</v>
      </c>
      <c r="H932" t="s">
        <v>2798</v>
      </c>
      <c r="I932" t="s">
        <v>2799</v>
      </c>
      <c r="J932">
        <v>1</v>
      </c>
      <c r="K932">
        <v>1</v>
      </c>
      <c r="L932">
        <v>1</v>
      </c>
      <c r="M932" s="37">
        <v>1</v>
      </c>
      <c r="N932" s="37">
        <v>0.1</v>
      </c>
      <c r="O932">
        <v>1</v>
      </c>
      <c r="P932" s="37">
        <v>0.95</v>
      </c>
      <c r="Q932">
        <v>0.95</v>
      </c>
      <c r="R932">
        <v>3055.56</v>
      </c>
      <c r="S932">
        <v>3055.56</v>
      </c>
      <c r="T932">
        <v>3000</v>
      </c>
      <c r="U932" t="s">
        <v>2802</v>
      </c>
      <c r="Y932">
        <v>1</v>
      </c>
      <c r="Z932" s="37">
        <v>0.9875</v>
      </c>
      <c r="AA932" s="37">
        <v>1</v>
      </c>
      <c r="AB932">
        <v>0.9875</v>
      </c>
    </row>
    <row r="933">
      <c r="A933" t="s">
        <v>2803</v>
      </c>
      <c r="B933" t="s">
        <v>2789</v>
      </c>
      <c r="C933" t="s">
        <v>2789</v>
      </c>
      <c r="D933" t="s">
        <v>359</v>
      </c>
      <c r="E933" t="s">
        <v>2804</v>
      </c>
      <c r="F933" t="s">
        <v>298</v>
      </c>
      <c r="G933" t="s">
        <v>2792</v>
      </c>
      <c r="H933" t="s">
        <v>2793</v>
      </c>
      <c r="I933" t="s">
        <v>2794</v>
      </c>
      <c r="J933">
        <v>1</v>
      </c>
      <c r="K933">
        <v>90</v>
      </c>
      <c r="L933" t="s">
        <v>2805</v>
      </c>
      <c r="M933" s="37">
        <v>0.9</v>
      </c>
      <c r="N933" s="37">
        <v>0.1</v>
      </c>
      <c r="O933">
        <v>0.9</v>
      </c>
      <c r="P933" s="37">
        <v>0.93</v>
      </c>
      <c r="Q933">
        <v>0.93</v>
      </c>
      <c r="R933">
        <v>4583.33</v>
      </c>
      <c r="S933">
        <v>4583.33</v>
      </c>
      <c r="T933">
        <v>5000</v>
      </c>
      <c r="U933" t="s">
        <v>2802</v>
      </c>
      <c r="Y933">
        <v>1</v>
      </c>
      <c r="Z933" s="37">
        <v>0.9875</v>
      </c>
      <c r="AA933" s="37">
        <v>1</v>
      </c>
      <c r="AB933">
        <v>0.9875</v>
      </c>
    </row>
    <row r="934">
      <c r="A934" t="s">
        <v>2803</v>
      </c>
      <c r="B934" t="s">
        <v>2789</v>
      </c>
      <c r="C934" t="s">
        <v>2789</v>
      </c>
      <c r="D934" t="s">
        <v>359</v>
      </c>
      <c r="E934" t="s">
        <v>2804</v>
      </c>
      <c r="F934" t="s">
        <v>298</v>
      </c>
      <c r="G934" t="s">
        <v>2792</v>
      </c>
      <c r="H934" t="s">
        <v>2795</v>
      </c>
      <c r="I934" t="s">
        <v>2796</v>
      </c>
      <c r="J934">
        <v>1</v>
      </c>
      <c r="L934" t="s">
        <v>2084</v>
      </c>
      <c r="M934" s="37">
        <v>0.9375</v>
      </c>
      <c r="N934" s="37">
        <v>0.8</v>
      </c>
      <c r="O934">
        <v>0.9375</v>
      </c>
      <c r="P934" s="37">
        <v>0.93</v>
      </c>
      <c r="Q934">
        <v>0.93</v>
      </c>
      <c r="R934">
        <v>4583.33</v>
      </c>
      <c r="S934">
        <v>4583.33</v>
      </c>
      <c r="T934">
        <v>5000</v>
      </c>
      <c r="U934" t="s">
        <v>2806</v>
      </c>
      <c r="Y934" t="s">
        <v>2807</v>
      </c>
      <c r="Z934" s="37">
        <v>0.8</v>
      </c>
      <c r="AA934" s="37">
        <v>0.05</v>
      </c>
      <c r="AB934">
        <v>0.8</v>
      </c>
    </row>
    <row r="935">
      <c r="A935" t="s">
        <v>2803</v>
      </c>
      <c r="B935" t="s">
        <v>2789</v>
      </c>
      <c r="C935" t="s">
        <v>2789</v>
      </c>
      <c r="D935" t="s">
        <v>359</v>
      </c>
      <c r="E935" t="s">
        <v>2804</v>
      </c>
      <c r="F935" t="s">
        <v>298</v>
      </c>
      <c r="G935" t="s">
        <v>2792</v>
      </c>
      <c r="H935" t="s">
        <v>2795</v>
      </c>
      <c r="I935" t="s">
        <v>2796</v>
      </c>
      <c r="J935">
        <v>1</v>
      </c>
      <c r="L935" t="s">
        <v>2084</v>
      </c>
      <c r="M935" s="37">
        <v>0.9375</v>
      </c>
      <c r="N935" s="37">
        <v>0.8</v>
      </c>
      <c r="O935">
        <v>0.9375</v>
      </c>
      <c r="P935" s="37">
        <v>0.93</v>
      </c>
      <c r="Q935">
        <v>0.93</v>
      </c>
      <c r="R935">
        <v>4583.33</v>
      </c>
      <c r="S935">
        <v>4583.33</v>
      </c>
      <c r="T935">
        <v>5000</v>
      </c>
      <c r="U935" t="s">
        <v>2808</v>
      </c>
      <c r="Y935" t="s">
        <v>2809</v>
      </c>
      <c r="Z935" s="37">
        <v>1</v>
      </c>
      <c r="AA935" s="37">
        <v>0.1</v>
      </c>
      <c r="AB935">
        <v>1</v>
      </c>
    </row>
    <row r="936">
      <c r="A936" t="s">
        <v>2803</v>
      </c>
      <c r="B936" t="s">
        <v>2789</v>
      </c>
      <c r="C936" t="s">
        <v>2789</v>
      </c>
      <c r="D936" t="s">
        <v>359</v>
      </c>
      <c r="E936" t="s">
        <v>2804</v>
      </c>
      <c r="F936" t="s">
        <v>298</v>
      </c>
      <c r="G936" t="s">
        <v>2792</v>
      </c>
      <c r="H936" t="s">
        <v>2795</v>
      </c>
      <c r="I936" t="s">
        <v>2796</v>
      </c>
      <c r="J936">
        <v>1</v>
      </c>
      <c r="L936" t="s">
        <v>2084</v>
      </c>
      <c r="M936" s="37">
        <v>0.9375</v>
      </c>
      <c r="N936" s="37">
        <v>0.8</v>
      </c>
      <c r="O936">
        <v>0.9375</v>
      </c>
      <c r="P936" s="37">
        <v>0.93</v>
      </c>
      <c r="Q936">
        <v>0.93</v>
      </c>
      <c r="R936">
        <v>4583.33</v>
      </c>
      <c r="S936">
        <v>4583.33</v>
      </c>
      <c r="T936">
        <v>5000</v>
      </c>
      <c r="U936" t="s">
        <v>2810</v>
      </c>
      <c r="Y936" t="s">
        <v>2811</v>
      </c>
      <c r="Z936" s="37">
        <v>1</v>
      </c>
      <c r="AA936" s="37">
        <v>0.05</v>
      </c>
      <c r="AB936">
        <v>1</v>
      </c>
    </row>
    <row r="937">
      <c r="A937" t="s">
        <v>2803</v>
      </c>
      <c r="B937" t="s">
        <v>2789</v>
      </c>
      <c r="C937" t="s">
        <v>2789</v>
      </c>
      <c r="D937" t="s">
        <v>359</v>
      </c>
      <c r="E937" t="s">
        <v>2804</v>
      </c>
      <c r="F937" t="s">
        <v>298</v>
      </c>
      <c r="G937" t="s">
        <v>2792</v>
      </c>
      <c r="H937" t="s">
        <v>2795</v>
      </c>
      <c r="I937" t="s">
        <v>2796</v>
      </c>
      <c r="J937">
        <v>1</v>
      </c>
      <c r="L937" t="s">
        <v>2084</v>
      </c>
      <c r="M937" s="37">
        <v>0.9375</v>
      </c>
      <c r="N937" s="37">
        <v>0.8</v>
      </c>
      <c r="O937">
        <v>0.9375</v>
      </c>
      <c r="P937" s="37">
        <v>0.93</v>
      </c>
      <c r="Q937">
        <v>0.93</v>
      </c>
      <c r="R937">
        <v>4583.33</v>
      </c>
      <c r="S937">
        <v>4583.33</v>
      </c>
      <c r="T937">
        <v>5000</v>
      </c>
      <c r="U937" t="s">
        <v>2812</v>
      </c>
      <c r="Y937" t="s">
        <v>2813</v>
      </c>
      <c r="Z937" s="37">
        <v>1</v>
      </c>
      <c r="AA937" s="37">
        <v>0.05</v>
      </c>
      <c r="AB937">
        <v>1</v>
      </c>
    </row>
    <row r="938">
      <c r="A938" t="s">
        <v>2803</v>
      </c>
      <c r="B938" t="s">
        <v>2789</v>
      </c>
      <c r="C938" t="s">
        <v>2789</v>
      </c>
      <c r="D938" t="s">
        <v>359</v>
      </c>
      <c r="E938" t="s">
        <v>2804</v>
      </c>
      <c r="F938" t="s">
        <v>298</v>
      </c>
      <c r="G938" t="s">
        <v>2792</v>
      </c>
      <c r="H938" t="s">
        <v>2795</v>
      </c>
      <c r="I938" t="s">
        <v>2796</v>
      </c>
      <c r="J938">
        <v>1</v>
      </c>
      <c r="L938" t="s">
        <v>2084</v>
      </c>
      <c r="M938" s="37">
        <v>0.9375</v>
      </c>
      <c r="N938" s="37">
        <v>0.8</v>
      </c>
      <c r="O938">
        <v>0.9375</v>
      </c>
      <c r="P938" s="37">
        <v>0.93</v>
      </c>
      <c r="Q938">
        <v>0.93</v>
      </c>
      <c r="R938">
        <v>4583.33</v>
      </c>
      <c r="S938">
        <v>4583.33</v>
      </c>
      <c r="T938">
        <v>5000</v>
      </c>
      <c r="U938" t="s">
        <v>2814</v>
      </c>
      <c r="Y938" t="s">
        <v>2815</v>
      </c>
      <c r="Z938" s="37">
        <v>1</v>
      </c>
      <c r="AA938" s="37">
        <v>0.1</v>
      </c>
      <c r="AB938">
        <v>1</v>
      </c>
    </row>
    <row r="939">
      <c r="A939" t="s">
        <v>2803</v>
      </c>
      <c r="B939" t="s">
        <v>2789</v>
      </c>
      <c r="C939" t="s">
        <v>2789</v>
      </c>
      <c r="D939" t="s">
        <v>359</v>
      </c>
      <c r="E939" t="s">
        <v>2804</v>
      </c>
      <c r="F939" t="s">
        <v>298</v>
      </c>
      <c r="G939" t="s">
        <v>2792</v>
      </c>
      <c r="H939" t="s">
        <v>2795</v>
      </c>
      <c r="I939" t="s">
        <v>2796</v>
      </c>
      <c r="J939">
        <v>1</v>
      </c>
      <c r="L939" t="s">
        <v>2084</v>
      </c>
      <c r="M939" s="37">
        <v>0.9375</v>
      </c>
      <c r="N939" s="37">
        <v>0.8</v>
      </c>
      <c r="O939">
        <v>0.9375</v>
      </c>
      <c r="P939" s="37">
        <v>0.93</v>
      </c>
      <c r="Q939">
        <v>0.93</v>
      </c>
      <c r="R939">
        <v>4583.33</v>
      </c>
      <c r="S939">
        <v>4583.33</v>
      </c>
      <c r="T939">
        <v>5000</v>
      </c>
      <c r="U939" t="s">
        <v>2816</v>
      </c>
      <c r="Y939" t="s">
        <v>2084</v>
      </c>
      <c r="Z939" s="37">
        <v>1</v>
      </c>
      <c r="AA939" s="37">
        <v>0.05</v>
      </c>
      <c r="AB939">
        <v>1</v>
      </c>
    </row>
    <row r="940">
      <c r="A940" t="s">
        <v>2803</v>
      </c>
      <c r="B940" t="s">
        <v>2789</v>
      </c>
      <c r="C940" t="s">
        <v>2789</v>
      </c>
      <c r="D940" t="s">
        <v>359</v>
      </c>
      <c r="E940" t="s">
        <v>2804</v>
      </c>
      <c r="F940" t="s">
        <v>298</v>
      </c>
      <c r="G940" t="s">
        <v>2792</v>
      </c>
      <c r="H940" t="s">
        <v>2795</v>
      </c>
      <c r="I940" t="s">
        <v>2796</v>
      </c>
      <c r="J940">
        <v>1</v>
      </c>
      <c r="L940" t="s">
        <v>2084</v>
      </c>
      <c r="M940" s="37">
        <v>0.9375</v>
      </c>
      <c r="N940" s="37">
        <v>0.8</v>
      </c>
      <c r="O940">
        <v>0.9375</v>
      </c>
      <c r="P940" s="37">
        <v>0.93</v>
      </c>
      <c r="Q940">
        <v>0.93</v>
      </c>
      <c r="R940">
        <v>4583.33</v>
      </c>
      <c r="S940">
        <v>4583.33</v>
      </c>
      <c r="T940">
        <v>5000</v>
      </c>
      <c r="U940" t="s">
        <v>2817</v>
      </c>
      <c r="Y940" t="s">
        <v>2818</v>
      </c>
      <c r="Z940" s="37">
        <v>1</v>
      </c>
      <c r="AA940" s="37">
        <v>0.05</v>
      </c>
      <c r="AB940">
        <v>1</v>
      </c>
    </row>
    <row r="941">
      <c r="A941" t="s">
        <v>2803</v>
      </c>
      <c r="B941" t="s">
        <v>2789</v>
      </c>
      <c r="C941" t="s">
        <v>2789</v>
      </c>
      <c r="D941" t="s">
        <v>359</v>
      </c>
      <c r="E941" t="s">
        <v>2804</v>
      </c>
      <c r="F941" t="s">
        <v>298</v>
      </c>
      <c r="G941" t="s">
        <v>2792</v>
      </c>
      <c r="H941" t="s">
        <v>2795</v>
      </c>
      <c r="I941" t="s">
        <v>2796</v>
      </c>
      <c r="J941">
        <v>1</v>
      </c>
      <c r="L941" t="s">
        <v>2084</v>
      </c>
      <c r="M941" s="37">
        <v>0.9375</v>
      </c>
      <c r="N941" s="37">
        <v>0.8</v>
      </c>
      <c r="O941">
        <v>0.9375</v>
      </c>
      <c r="P941" s="37">
        <v>0.93</v>
      </c>
      <c r="Q941">
        <v>0.93</v>
      </c>
      <c r="R941">
        <v>4583.33</v>
      </c>
      <c r="S941">
        <v>4583.33</v>
      </c>
      <c r="T941">
        <v>5000</v>
      </c>
      <c r="U941" t="s">
        <v>2819</v>
      </c>
      <c r="Y941" t="s">
        <v>2820</v>
      </c>
      <c r="Z941" s="37">
        <v>1.1</v>
      </c>
      <c r="AA941" s="37">
        <v>0.1</v>
      </c>
      <c r="AB941">
        <v>1.1</v>
      </c>
    </row>
    <row r="942">
      <c r="A942" t="s">
        <v>2803</v>
      </c>
      <c r="B942" t="s">
        <v>2789</v>
      </c>
      <c r="C942" t="s">
        <v>2789</v>
      </c>
      <c r="D942" t="s">
        <v>359</v>
      </c>
      <c r="E942" t="s">
        <v>2804</v>
      </c>
      <c r="F942" t="s">
        <v>298</v>
      </c>
      <c r="G942" t="s">
        <v>2792</v>
      </c>
      <c r="H942" t="s">
        <v>2795</v>
      </c>
      <c r="I942" t="s">
        <v>2796</v>
      </c>
      <c r="J942">
        <v>1</v>
      </c>
      <c r="L942" t="s">
        <v>2084</v>
      </c>
      <c r="M942" s="37">
        <v>0.9375</v>
      </c>
      <c r="N942" s="37">
        <v>0.8</v>
      </c>
      <c r="O942">
        <v>0.9375</v>
      </c>
      <c r="P942" s="37">
        <v>0.93</v>
      </c>
      <c r="Q942">
        <v>0.93</v>
      </c>
      <c r="R942">
        <v>4583.33</v>
      </c>
      <c r="S942">
        <v>4583.33</v>
      </c>
      <c r="T942">
        <v>5000</v>
      </c>
      <c r="U942" t="s">
        <v>2821</v>
      </c>
      <c r="Y942" t="s">
        <v>2809</v>
      </c>
      <c r="Z942" s="37">
        <v>1</v>
      </c>
      <c r="AA942" s="37">
        <v>0.1</v>
      </c>
      <c r="AB942">
        <v>1</v>
      </c>
    </row>
    <row r="943">
      <c r="A943" t="s">
        <v>2803</v>
      </c>
      <c r="B943" t="s">
        <v>2789</v>
      </c>
      <c r="C943" t="s">
        <v>2789</v>
      </c>
      <c r="D943" t="s">
        <v>359</v>
      </c>
      <c r="E943" t="s">
        <v>2804</v>
      </c>
      <c r="F943" t="s">
        <v>298</v>
      </c>
      <c r="G943" t="s">
        <v>2792</v>
      </c>
      <c r="H943" t="s">
        <v>2795</v>
      </c>
      <c r="I943" t="s">
        <v>2796</v>
      </c>
      <c r="J943">
        <v>1</v>
      </c>
      <c r="L943" t="s">
        <v>2084</v>
      </c>
      <c r="M943" s="37">
        <v>0.9375</v>
      </c>
      <c r="N943" s="37">
        <v>0.8</v>
      </c>
      <c r="O943">
        <v>0.9375</v>
      </c>
      <c r="P943" s="37">
        <v>0.93</v>
      </c>
      <c r="Q943">
        <v>0.93</v>
      </c>
      <c r="R943">
        <v>4583.33</v>
      </c>
      <c r="S943">
        <v>4583.33</v>
      </c>
      <c r="T943">
        <v>5000</v>
      </c>
      <c r="U943" t="s">
        <v>2822</v>
      </c>
      <c r="Y943" t="s">
        <v>2823</v>
      </c>
      <c r="Z943" s="37">
        <v>0.5</v>
      </c>
      <c r="AA943" s="37">
        <v>0.1</v>
      </c>
      <c r="AB943">
        <v>0.5</v>
      </c>
    </row>
    <row r="944">
      <c r="A944" t="s">
        <v>2803</v>
      </c>
      <c r="B944" t="s">
        <v>2789</v>
      </c>
      <c r="C944" t="s">
        <v>2789</v>
      </c>
      <c r="D944" t="s">
        <v>359</v>
      </c>
      <c r="E944" t="s">
        <v>2804</v>
      </c>
      <c r="F944" t="s">
        <v>298</v>
      </c>
      <c r="G944" t="s">
        <v>2792</v>
      </c>
      <c r="H944" t="s">
        <v>2795</v>
      </c>
      <c r="I944" t="s">
        <v>2796</v>
      </c>
      <c r="J944">
        <v>1</v>
      </c>
      <c r="L944" t="s">
        <v>2084</v>
      </c>
      <c r="M944" s="37">
        <v>0.9375</v>
      </c>
      <c r="N944" s="37">
        <v>0.8</v>
      </c>
      <c r="O944">
        <v>0.9375</v>
      </c>
      <c r="P944" s="37">
        <v>0.93</v>
      </c>
      <c r="Q944">
        <v>0.93</v>
      </c>
      <c r="R944">
        <v>4583.33</v>
      </c>
      <c r="S944">
        <v>4583.33</v>
      </c>
      <c r="T944">
        <v>5000</v>
      </c>
      <c r="U944" t="s">
        <v>2824</v>
      </c>
      <c r="Y944" t="s">
        <v>2825</v>
      </c>
      <c r="Z944" s="37">
        <v>1</v>
      </c>
      <c r="AA944" s="37">
        <v>0.05</v>
      </c>
      <c r="AB944">
        <v>1</v>
      </c>
    </row>
    <row r="945">
      <c r="A945" t="s">
        <v>2803</v>
      </c>
      <c r="B945" t="s">
        <v>2789</v>
      </c>
      <c r="C945" t="s">
        <v>2789</v>
      </c>
      <c r="D945" t="s">
        <v>359</v>
      </c>
      <c r="E945" t="s">
        <v>2804</v>
      </c>
      <c r="F945" t="s">
        <v>298</v>
      </c>
      <c r="G945" t="s">
        <v>2792</v>
      </c>
      <c r="H945" t="s">
        <v>2798</v>
      </c>
      <c r="I945" t="s">
        <v>2799</v>
      </c>
      <c r="J945">
        <v>1</v>
      </c>
      <c r="K945">
        <v>90</v>
      </c>
      <c r="L945" t="s">
        <v>2826</v>
      </c>
      <c r="M945" s="37">
        <v>0.9</v>
      </c>
      <c r="N945" s="37">
        <v>0.1</v>
      </c>
      <c r="O945">
        <v>0.9</v>
      </c>
      <c r="P945" s="37">
        <v>0.93</v>
      </c>
      <c r="Q945">
        <v>0.93</v>
      </c>
      <c r="R945">
        <v>4583.33</v>
      </c>
      <c r="S945">
        <v>4583.33</v>
      </c>
      <c r="T945">
        <v>5000</v>
      </c>
      <c r="U945" t="s">
        <v>2824</v>
      </c>
      <c r="Y945" t="s">
        <v>2825</v>
      </c>
      <c r="Z945" s="37">
        <v>1</v>
      </c>
      <c r="AA945" s="37">
        <v>0.05</v>
      </c>
      <c r="AB945">
        <v>1</v>
      </c>
    </row>
    <row r="946">
      <c r="A946" t="s">
        <v>2827</v>
      </c>
      <c r="B946" t="s">
        <v>2789</v>
      </c>
      <c r="C946" t="s">
        <v>2789</v>
      </c>
      <c r="D946" t="s">
        <v>359</v>
      </c>
      <c r="E946" t="s">
        <v>2828</v>
      </c>
      <c r="F946" t="s">
        <v>298</v>
      </c>
      <c r="G946" t="s">
        <v>2792</v>
      </c>
      <c r="H946" t="s">
        <v>2795</v>
      </c>
      <c r="I946" t="s">
        <v>2796</v>
      </c>
      <c r="J946">
        <v>1</v>
      </c>
      <c r="L946" t="s">
        <v>455</v>
      </c>
      <c r="M946" s="37">
        <v>1</v>
      </c>
      <c r="N946" s="37">
        <v>0.9</v>
      </c>
      <c r="O946">
        <v>100</v>
      </c>
      <c r="P946" s="37">
        <v>0.98</v>
      </c>
      <c r="Q946">
        <v>0.99</v>
      </c>
      <c r="R946">
        <v>0</v>
      </c>
      <c r="S946">
        <v>0</v>
      </c>
      <c r="T946">
        <v>5000</v>
      </c>
      <c r="U946" t="s">
        <v>2829</v>
      </c>
      <c r="Y946" t="s">
        <v>2084</v>
      </c>
      <c r="Z946" s="37">
        <v>1</v>
      </c>
      <c r="AA946" s="37">
        <v>0.1</v>
      </c>
      <c r="AB946">
        <v>1</v>
      </c>
    </row>
    <row r="947">
      <c r="A947" t="s">
        <v>2827</v>
      </c>
      <c r="B947" t="s">
        <v>2789</v>
      </c>
      <c r="C947" t="s">
        <v>2789</v>
      </c>
      <c r="D947" t="s">
        <v>359</v>
      </c>
      <c r="E947" t="s">
        <v>2828</v>
      </c>
      <c r="F947" t="s">
        <v>298</v>
      </c>
      <c r="G947" t="s">
        <v>2792</v>
      </c>
      <c r="H947" t="s">
        <v>2795</v>
      </c>
      <c r="I947" t="s">
        <v>2796</v>
      </c>
      <c r="J947">
        <v>1</v>
      </c>
      <c r="L947" t="s">
        <v>455</v>
      </c>
      <c r="M947" s="37">
        <v>1</v>
      </c>
      <c r="N947" s="37">
        <v>0.9</v>
      </c>
      <c r="O947">
        <v>100</v>
      </c>
      <c r="P947" s="37">
        <v>0.98</v>
      </c>
      <c r="Q947">
        <v>0.99</v>
      </c>
      <c r="R947">
        <v>0</v>
      </c>
      <c r="S947">
        <v>0</v>
      </c>
      <c r="T947">
        <v>5000</v>
      </c>
      <c r="U947" t="s">
        <v>2830</v>
      </c>
      <c r="Y947" t="s">
        <v>2811</v>
      </c>
      <c r="Z947" s="37">
        <v>1</v>
      </c>
      <c r="AA947" s="37">
        <v>0.1</v>
      </c>
      <c r="AB947">
        <v>1</v>
      </c>
    </row>
    <row r="948">
      <c r="A948" t="s">
        <v>2827</v>
      </c>
      <c r="B948" t="s">
        <v>2789</v>
      </c>
      <c r="C948" t="s">
        <v>2789</v>
      </c>
      <c r="D948" t="s">
        <v>359</v>
      </c>
      <c r="E948" t="s">
        <v>2828</v>
      </c>
      <c r="F948" t="s">
        <v>298</v>
      </c>
      <c r="G948" t="s">
        <v>2792</v>
      </c>
      <c r="H948" t="s">
        <v>2795</v>
      </c>
      <c r="I948" t="s">
        <v>2796</v>
      </c>
      <c r="J948">
        <v>1</v>
      </c>
      <c r="L948" t="s">
        <v>455</v>
      </c>
      <c r="M948" s="37">
        <v>1</v>
      </c>
      <c r="N948" s="37">
        <v>0.9</v>
      </c>
      <c r="O948">
        <v>100</v>
      </c>
      <c r="P948" s="37">
        <v>0.98</v>
      </c>
      <c r="Q948">
        <v>0.99</v>
      </c>
      <c r="R948">
        <v>0</v>
      </c>
      <c r="S948">
        <v>0</v>
      </c>
      <c r="T948">
        <v>5000</v>
      </c>
      <c r="U948" t="s">
        <v>2831</v>
      </c>
      <c r="Y948" t="s">
        <v>2811</v>
      </c>
      <c r="Z948" s="37">
        <v>1</v>
      </c>
      <c r="AA948" s="37">
        <v>0.1</v>
      </c>
      <c r="AB948">
        <v>1</v>
      </c>
    </row>
    <row r="949">
      <c r="A949" t="s">
        <v>2827</v>
      </c>
      <c r="B949" t="s">
        <v>2789</v>
      </c>
      <c r="C949" t="s">
        <v>2789</v>
      </c>
      <c r="D949" t="s">
        <v>359</v>
      </c>
      <c r="E949" t="s">
        <v>2828</v>
      </c>
      <c r="F949" t="s">
        <v>298</v>
      </c>
      <c r="G949" t="s">
        <v>2792</v>
      </c>
      <c r="H949" t="s">
        <v>2795</v>
      </c>
      <c r="I949" t="s">
        <v>2796</v>
      </c>
      <c r="J949">
        <v>1</v>
      </c>
      <c r="L949" t="s">
        <v>455</v>
      </c>
      <c r="M949" s="37">
        <v>1</v>
      </c>
      <c r="N949" s="37">
        <v>0.9</v>
      </c>
      <c r="O949">
        <v>100</v>
      </c>
      <c r="P949" s="37">
        <v>0.98</v>
      </c>
      <c r="Q949">
        <v>0.99</v>
      </c>
      <c r="R949">
        <v>0</v>
      </c>
      <c r="S949">
        <v>0</v>
      </c>
      <c r="T949">
        <v>5000</v>
      </c>
      <c r="U949" t="s">
        <v>2832</v>
      </c>
      <c r="Y949" t="s">
        <v>2833</v>
      </c>
      <c r="Z949" s="37">
        <v>1</v>
      </c>
      <c r="AA949" s="37">
        <v>0.05</v>
      </c>
      <c r="AB949">
        <v>0.5</v>
      </c>
    </row>
    <row r="950">
      <c r="A950" t="s">
        <v>2827</v>
      </c>
      <c r="B950" t="s">
        <v>2789</v>
      </c>
      <c r="C950" t="s">
        <v>2789</v>
      </c>
      <c r="D950" t="s">
        <v>359</v>
      </c>
      <c r="E950" t="s">
        <v>2828</v>
      </c>
      <c r="F950" t="s">
        <v>298</v>
      </c>
      <c r="G950" t="s">
        <v>2792</v>
      </c>
      <c r="H950" t="s">
        <v>2795</v>
      </c>
      <c r="I950" t="s">
        <v>2796</v>
      </c>
      <c r="J950">
        <v>1</v>
      </c>
      <c r="L950" t="s">
        <v>455</v>
      </c>
      <c r="M950" s="37">
        <v>1</v>
      </c>
      <c r="N950" s="37">
        <v>0.9</v>
      </c>
      <c r="O950">
        <v>100</v>
      </c>
      <c r="P950" s="37">
        <v>0.98</v>
      </c>
      <c r="Q950">
        <v>0.99</v>
      </c>
      <c r="R950">
        <v>0</v>
      </c>
      <c r="S950">
        <v>0</v>
      </c>
      <c r="T950">
        <v>5000</v>
      </c>
      <c r="U950" t="s">
        <v>2834</v>
      </c>
      <c r="Y950" t="s">
        <v>2084</v>
      </c>
      <c r="Z950" s="37">
        <v>1</v>
      </c>
      <c r="AA950" s="37">
        <v>0.1</v>
      </c>
      <c r="AB950">
        <v>1</v>
      </c>
    </row>
    <row r="951">
      <c r="A951" t="s">
        <v>2827</v>
      </c>
      <c r="B951" t="s">
        <v>2789</v>
      </c>
      <c r="C951" t="s">
        <v>2789</v>
      </c>
      <c r="D951" t="s">
        <v>359</v>
      </c>
      <c r="E951" t="s">
        <v>2828</v>
      </c>
      <c r="F951" t="s">
        <v>298</v>
      </c>
      <c r="G951" t="s">
        <v>2792</v>
      </c>
      <c r="H951" t="s">
        <v>2795</v>
      </c>
      <c r="I951" t="s">
        <v>2796</v>
      </c>
      <c r="J951">
        <v>1</v>
      </c>
      <c r="L951" t="s">
        <v>455</v>
      </c>
      <c r="M951" s="37">
        <v>1</v>
      </c>
      <c r="N951" s="37">
        <v>0.9</v>
      </c>
      <c r="O951">
        <v>100</v>
      </c>
      <c r="P951" s="37">
        <v>0.98</v>
      </c>
      <c r="Q951">
        <v>0.99</v>
      </c>
      <c r="R951">
        <v>0</v>
      </c>
      <c r="S951">
        <v>0</v>
      </c>
      <c r="T951">
        <v>5000</v>
      </c>
      <c r="U951" t="s">
        <v>2835</v>
      </c>
      <c r="Y951" t="s">
        <v>2084</v>
      </c>
      <c r="Z951" s="37">
        <v>1</v>
      </c>
      <c r="AA951" s="37">
        <v>0.05</v>
      </c>
      <c r="AB951">
        <v>0.5</v>
      </c>
    </row>
    <row r="952">
      <c r="A952" t="s">
        <v>2827</v>
      </c>
      <c r="B952" t="s">
        <v>2789</v>
      </c>
      <c r="C952" t="s">
        <v>2789</v>
      </c>
      <c r="D952" t="s">
        <v>359</v>
      </c>
      <c r="E952" t="s">
        <v>2828</v>
      </c>
      <c r="F952" t="s">
        <v>298</v>
      </c>
      <c r="G952" t="s">
        <v>2792</v>
      </c>
      <c r="H952" t="s">
        <v>2795</v>
      </c>
      <c r="I952" t="s">
        <v>2796</v>
      </c>
      <c r="J952">
        <v>1</v>
      </c>
      <c r="L952" t="s">
        <v>455</v>
      </c>
      <c r="M952" s="37">
        <v>1</v>
      </c>
      <c r="N952" s="37">
        <v>0.9</v>
      </c>
      <c r="O952">
        <v>100</v>
      </c>
      <c r="P952" s="37">
        <v>0.98</v>
      </c>
      <c r="Q952">
        <v>0.99</v>
      </c>
      <c r="R952">
        <v>0</v>
      </c>
      <c r="S952">
        <v>0</v>
      </c>
      <c r="T952">
        <v>5000</v>
      </c>
      <c r="U952" t="s">
        <v>2836</v>
      </c>
      <c r="Z952" s="37">
        <v>1</v>
      </c>
      <c r="AA952" s="37">
        <v>0.1</v>
      </c>
      <c r="AB952">
        <v>1</v>
      </c>
    </row>
    <row r="953">
      <c r="A953" t="s">
        <v>2827</v>
      </c>
      <c r="B953" t="s">
        <v>2789</v>
      </c>
      <c r="C953" t="s">
        <v>2789</v>
      </c>
      <c r="D953" t="s">
        <v>359</v>
      </c>
      <c r="E953" t="s">
        <v>2828</v>
      </c>
      <c r="F953" t="s">
        <v>298</v>
      </c>
      <c r="G953" t="s">
        <v>2792</v>
      </c>
      <c r="H953" t="s">
        <v>2795</v>
      </c>
      <c r="I953" t="s">
        <v>2796</v>
      </c>
      <c r="J953">
        <v>1</v>
      </c>
      <c r="L953" t="s">
        <v>455</v>
      </c>
      <c r="M953" s="37">
        <v>1</v>
      </c>
      <c r="N953" s="37">
        <v>0.9</v>
      </c>
      <c r="O953">
        <v>100</v>
      </c>
      <c r="P953" s="37">
        <v>0.98</v>
      </c>
      <c r="Q953">
        <v>0.99</v>
      </c>
      <c r="R953">
        <v>0</v>
      </c>
      <c r="S953">
        <v>0</v>
      </c>
      <c r="T953">
        <v>5000</v>
      </c>
      <c r="U953" t="s">
        <v>2837</v>
      </c>
      <c r="Y953" t="s">
        <v>2084</v>
      </c>
      <c r="Z953" s="37">
        <v>1</v>
      </c>
      <c r="AA953" s="37">
        <v>0.05</v>
      </c>
      <c r="AB953">
        <v>0.5</v>
      </c>
    </row>
    <row r="954">
      <c r="A954" t="s">
        <v>2827</v>
      </c>
      <c r="B954" t="s">
        <v>2789</v>
      </c>
      <c r="C954" t="s">
        <v>2789</v>
      </c>
      <c r="D954" t="s">
        <v>359</v>
      </c>
      <c r="E954" t="s">
        <v>2828</v>
      </c>
      <c r="F954" t="s">
        <v>298</v>
      </c>
      <c r="G954" t="s">
        <v>2792</v>
      </c>
      <c r="H954" t="s">
        <v>2795</v>
      </c>
      <c r="I954" t="s">
        <v>2796</v>
      </c>
      <c r="J954">
        <v>1</v>
      </c>
      <c r="L954" t="s">
        <v>455</v>
      </c>
      <c r="M954" s="37">
        <v>1</v>
      </c>
      <c r="N954" s="37">
        <v>0.9</v>
      </c>
      <c r="O954">
        <v>100</v>
      </c>
      <c r="P954" s="37">
        <v>0.98</v>
      </c>
      <c r="Q954">
        <v>0.99</v>
      </c>
      <c r="R954">
        <v>0</v>
      </c>
      <c r="S954">
        <v>0</v>
      </c>
      <c r="T954">
        <v>5000</v>
      </c>
      <c r="U954" t="s">
        <v>2838</v>
      </c>
      <c r="Y954" t="s">
        <v>2084</v>
      </c>
      <c r="Z954" s="37">
        <v>1</v>
      </c>
      <c r="AA954" s="37">
        <v>0.05</v>
      </c>
      <c r="AB954">
        <v>0.5</v>
      </c>
    </row>
    <row r="955">
      <c r="A955" t="s">
        <v>2827</v>
      </c>
      <c r="B955" t="s">
        <v>2789</v>
      </c>
      <c r="C955" t="s">
        <v>2789</v>
      </c>
      <c r="D955" t="s">
        <v>359</v>
      </c>
      <c r="E955" t="s">
        <v>2828</v>
      </c>
      <c r="F955" t="s">
        <v>298</v>
      </c>
      <c r="G955" t="s">
        <v>2792</v>
      </c>
      <c r="H955" t="s">
        <v>2795</v>
      </c>
      <c r="I955" t="s">
        <v>2796</v>
      </c>
      <c r="J955">
        <v>1</v>
      </c>
      <c r="L955" t="s">
        <v>455</v>
      </c>
      <c r="M955" s="37">
        <v>1</v>
      </c>
      <c r="N955" s="37">
        <v>0.9</v>
      </c>
      <c r="O955">
        <v>100</v>
      </c>
      <c r="P955" s="37">
        <v>0.98</v>
      </c>
      <c r="Q955">
        <v>0.99</v>
      </c>
      <c r="R955">
        <v>0</v>
      </c>
      <c r="S955">
        <v>0</v>
      </c>
      <c r="T955">
        <v>5000</v>
      </c>
      <c r="U955" t="s">
        <v>2839</v>
      </c>
      <c r="Y955" t="s">
        <v>2084</v>
      </c>
      <c r="Z955" s="37">
        <v>1</v>
      </c>
      <c r="AA955" s="37">
        <v>0.1</v>
      </c>
      <c r="AB955">
        <v>1</v>
      </c>
    </row>
    <row r="956">
      <c r="A956" t="s">
        <v>2827</v>
      </c>
      <c r="B956" t="s">
        <v>2789</v>
      </c>
      <c r="C956" t="s">
        <v>2789</v>
      </c>
      <c r="D956" t="s">
        <v>359</v>
      </c>
      <c r="E956" t="s">
        <v>2828</v>
      </c>
      <c r="F956" t="s">
        <v>298</v>
      </c>
      <c r="G956" t="s">
        <v>2792</v>
      </c>
      <c r="H956" t="s">
        <v>2795</v>
      </c>
      <c r="I956" t="s">
        <v>2796</v>
      </c>
      <c r="J956">
        <v>1</v>
      </c>
      <c r="L956" t="s">
        <v>455</v>
      </c>
      <c r="M956" s="37">
        <v>1</v>
      </c>
      <c r="N956" s="37">
        <v>0.9</v>
      </c>
      <c r="O956">
        <v>100</v>
      </c>
      <c r="P956" s="37">
        <v>0.98</v>
      </c>
      <c r="Q956">
        <v>0.99</v>
      </c>
      <c r="R956">
        <v>0</v>
      </c>
      <c r="S956">
        <v>0</v>
      </c>
      <c r="T956">
        <v>5000</v>
      </c>
      <c r="U956" t="s">
        <v>2840</v>
      </c>
      <c r="Z956" s="37">
        <v>1</v>
      </c>
      <c r="AA956" s="37">
        <v>0.1</v>
      </c>
      <c r="AB956">
        <v>1.1</v>
      </c>
    </row>
    <row r="957">
      <c r="A957" t="s">
        <v>2827</v>
      </c>
      <c r="B957" t="s">
        <v>2789</v>
      </c>
      <c r="C957" t="s">
        <v>2789</v>
      </c>
      <c r="D957" t="s">
        <v>359</v>
      </c>
      <c r="E957" t="s">
        <v>2828</v>
      </c>
      <c r="F957" t="s">
        <v>298</v>
      </c>
      <c r="G957" t="s">
        <v>2792</v>
      </c>
      <c r="H957" t="s">
        <v>2798</v>
      </c>
      <c r="I957" t="s">
        <v>2799</v>
      </c>
      <c r="J957">
        <v>1</v>
      </c>
      <c r="K957">
        <v>0.8</v>
      </c>
      <c r="L957" t="s">
        <v>455</v>
      </c>
      <c r="M957" s="37">
        <v>0.8</v>
      </c>
      <c r="N957" s="37">
        <v>0.1</v>
      </c>
      <c r="O957">
        <v>0.8</v>
      </c>
      <c r="P957" s="37">
        <v>0.98</v>
      </c>
      <c r="Q957">
        <v>0.99</v>
      </c>
      <c r="R957">
        <v>0</v>
      </c>
      <c r="S957">
        <v>0</v>
      </c>
      <c r="T957">
        <v>5000</v>
      </c>
      <c r="U957" t="s">
        <v>2840</v>
      </c>
      <c r="Z957" s="37">
        <v>1</v>
      </c>
      <c r="AA957" s="37">
        <v>0.1</v>
      </c>
      <c r="AB957">
        <v>1.1</v>
      </c>
    </row>
    <row r="958">
      <c r="A958" t="s">
        <v>2841</v>
      </c>
      <c r="B958" t="s">
        <v>2842</v>
      </c>
      <c r="C958" t="s">
        <v>2842</v>
      </c>
      <c r="D958" t="s">
        <v>2843</v>
      </c>
      <c r="E958" t="s">
        <v>2844</v>
      </c>
      <c r="F958" t="s">
        <v>298</v>
      </c>
      <c r="G958" t="s">
        <v>2845</v>
      </c>
      <c r="H958" t="s">
        <v>2846</v>
      </c>
      <c r="I958" t="s">
        <v>2847</v>
      </c>
      <c r="J958">
        <v>7.5</v>
      </c>
      <c r="K958" s="38">
        <v>1</v>
      </c>
      <c r="L958" t="s">
        <v>2848</v>
      </c>
      <c r="M958" s="37">
        <v>1</v>
      </c>
      <c r="N958" s="37">
        <v>0.2</v>
      </c>
      <c r="O958">
        <v>100</v>
      </c>
      <c r="P958" s="37">
        <v>1.04</v>
      </c>
      <c r="Q958">
        <v>104</v>
      </c>
      <c r="R958">
        <v>2708</v>
      </c>
      <c r="S958">
        <v>2708</v>
      </c>
      <c r="T958">
        <v>3000</v>
      </c>
      <c r="U958" t="s">
        <v>2840</v>
      </c>
      <c r="Z958" s="37">
        <v>1</v>
      </c>
      <c r="AA958" s="37">
        <v>0.1</v>
      </c>
      <c r="AB958">
        <v>1.1</v>
      </c>
    </row>
    <row r="959">
      <c r="A959" t="s">
        <v>2841</v>
      </c>
      <c r="B959" t="s">
        <v>2842</v>
      </c>
      <c r="C959" t="s">
        <v>2842</v>
      </c>
      <c r="D959" t="s">
        <v>2843</v>
      </c>
      <c r="E959" t="s">
        <v>2844</v>
      </c>
      <c r="F959" t="s">
        <v>298</v>
      </c>
      <c r="G959" t="s">
        <v>2845</v>
      </c>
      <c r="H959" t="s">
        <v>2846</v>
      </c>
      <c r="I959" t="s">
        <v>2849</v>
      </c>
      <c r="J959">
        <v>7.15</v>
      </c>
      <c r="K959" s="38">
        <v>1.05</v>
      </c>
      <c r="L959" t="s">
        <v>2850</v>
      </c>
      <c r="M959" s="37">
        <v>1.05</v>
      </c>
      <c r="N959" s="37">
        <v>0.2</v>
      </c>
      <c r="O959">
        <v>105</v>
      </c>
      <c r="P959" s="37">
        <v>1.04</v>
      </c>
      <c r="Q959">
        <v>104</v>
      </c>
      <c r="R959">
        <v>2708</v>
      </c>
      <c r="S959">
        <v>2708</v>
      </c>
      <c r="T959">
        <v>3000</v>
      </c>
      <c r="U959" t="s">
        <v>2840</v>
      </c>
      <c r="Z959" s="37">
        <v>1</v>
      </c>
      <c r="AA959" s="37">
        <v>0.1</v>
      </c>
      <c r="AB959">
        <v>1.1</v>
      </c>
    </row>
    <row r="960">
      <c r="A960" t="s">
        <v>2841</v>
      </c>
      <c r="B960" t="s">
        <v>2842</v>
      </c>
      <c r="C960" t="s">
        <v>2842</v>
      </c>
      <c r="D960" t="s">
        <v>2843</v>
      </c>
      <c r="E960" t="s">
        <v>2844</v>
      </c>
      <c r="F960" t="s">
        <v>298</v>
      </c>
      <c r="G960" t="s">
        <v>2845</v>
      </c>
      <c r="H960" t="s">
        <v>2846</v>
      </c>
      <c r="I960" t="s">
        <v>2851</v>
      </c>
      <c r="J960">
        <v>7.23</v>
      </c>
      <c r="K960" s="38">
        <v>1.05</v>
      </c>
      <c r="L960" t="s">
        <v>2852</v>
      </c>
      <c r="M960" s="37">
        <v>1.05</v>
      </c>
      <c r="N960" s="37">
        <v>0.2</v>
      </c>
      <c r="O960">
        <v>105</v>
      </c>
      <c r="P960" s="37">
        <v>1.04</v>
      </c>
      <c r="Q960">
        <v>104</v>
      </c>
      <c r="R960">
        <v>2708</v>
      </c>
      <c r="S960">
        <v>2708</v>
      </c>
      <c r="T960">
        <v>3000</v>
      </c>
      <c r="U960" t="s">
        <v>2840</v>
      </c>
      <c r="Z960" s="37">
        <v>1</v>
      </c>
      <c r="AA960" s="37">
        <v>0.1</v>
      </c>
      <c r="AB960">
        <v>1.1</v>
      </c>
    </row>
    <row r="961">
      <c r="A961" t="s">
        <v>2841</v>
      </c>
      <c r="B961" t="s">
        <v>2842</v>
      </c>
      <c r="C961" t="s">
        <v>2842</v>
      </c>
      <c r="D961" t="s">
        <v>2843</v>
      </c>
      <c r="E961" t="s">
        <v>2844</v>
      </c>
      <c r="F961" t="s">
        <v>298</v>
      </c>
      <c r="G961" t="s">
        <v>2845</v>
      </c>
      <c r="H961" t="s">
        <v>2846</v>
      </c>
      <c r="I961" t="s">
        <v>2853</v>
      </c>
      <c r="J961">
        <v>7.15</v>
      </c>
      <c r="K961" s="38">
        <v>1.05</v>
      </c>
      <c r="L961" t="s">
        <v>2854</v>
      </c>
      <c r="M961" s="37">
        <v>1.05</v>
      </c>
      <c r="N961" s="37">
        <v>0.2</v>
      </c>
      <c r="O961">
        <v>105</v>
      </c>
      <c r="P961" s="37">
        <v>1.04</v>
      </c>
      <c r="Q961">
        <v>104</v>
      </c>
      <c r="R961">
        <v>2708</v>
      </c>
      <c r="S961">
        <v>2708</v>
      </c>
      <c r="T961">
        <v>3000</v>
      </c>
      <c r="U961" t="s">
        <v>2840</v>
      </c>
      <c r="Z961" s="37">
        <v>1</v>
      </c>
      <c r="AA961" s="37">
        <v>0.1</v>
      </c>
      <c r="AB961">
        <v>1.1</v>
      </c>
    </row>
    <row r="962">
      <c r="A962" t="s">
        <v>2841</v>
      </c>
      <c r="B962" t="s">
        <v>2842</v>
      </c>
      <c r="C962" t="s">
        <v>2842</v>
      </c>
      <c r="D962" t="s">
        <v>2843</v>
      </c>
      <c r="E962" t="s">
        <v>2844</v>
      </c>
      <c r="F962" t="s">
        <v>298</v>
      </c>
      <c r="G962" t="s">
        <v>2845</v>
      </c>
      <c r="H962" t="s">
        <v>2846</v>
      </c>
      <c r="I962" t="s">
        <v>2855</v>
      </c>
      <c r="J962">
        <v>7.28</v>
      </c>
      <c r="K962" s="38">
        <v>1.05</v>
      </c>
      <c r="L962" t="s">
        <v>2856</v>
      </c>
      <c r="M962" s="37">
        <v>1.05</v>
      </c>
      <c r="N962" s="37">
        <v>0.2</v>
      </c>
      <c r="O962">
        <v>105</v>
      </c>
      <c r="P962" s="37">
        <v>1.04</v>
      </c>
      <c r="Q962">
        <v>104</v>
      </c>
      <c r="R962">
        <v>2708</v>
      </c>
      <c r="S962">
        <v>2708</v>
      </c>
      <c r="T962">
        <v>3000</v>
      </c>
      <c r="U962" t="s">
        <v>2840</v>
      </c>
      <c r="Z962" s="37">
        <v>1</v>
      </c>
      <c r="AA962" s="37">
        <v>0.1</v>
      </c>
      <c r="AB962">
        <v>1.1</v>
      </c>
    </row>
    <row r="963">
      <c r="A963" t="s">
        <v>2857</v>
      </c>
      <c r="B963" t="s">
        <v>2842</v>
      </c>
      <c r="C963" t="s">
        <v>2842</v>
      </c>
      <c r="D963" t="s">
        <v>2843</v>
      </c>
      <c r="E963" t="s">
        <v>2858</v>
      </c>
      <c r="F963" t="s">
        <v>298</v>
      </c>
      <c r="G963" t="s">
        <v>2845</v>
      </c>
      <c r="H963" t="s">
        <v>2846</v>
      </c>
      <c r="I963" t="s">
        <v>2859</v>
      </c>
      <c r="J963">
        <v>1</v>
      </c>
      <c r="K963">
        <v>110</v>
      </c>
      <c r="L963" t="s">
        <v>2860</v>
      </c>
      <c r="M963" s="37">
        <v>1.1</v>
      </c>
      <c r="N963" s="37">
        <v>0.2</v>
      </c>
      <c r="O963">
        <v>0.22</v>
      </c>
      <c r="P963" s="37">
        <v>1.05</v>
      </c>
      <c r="Q963">
        <v>105</v>
      </c>
      <c r="R963">
        <v>3135</v>
      </c>
      <c r="S963">
        <v>3135</v>
      </c>
      <c r="T963">
        <v>3000</v>
      </c>
      <c r="U963" t="s">
        <v>2840</v>
      </c>
      <c r="Z963" s="37">
        <v>1</v>
      </c>
      <c r="AA963" s="37">
        <v>0.1</v>
      </c>
      <c r="AB963">
        <v>1.1</v>
      </c>
    </row>
    <row r="964">
      <c r="A964" t="s">
        <v>2857</v>
      </c>
      <c r="B964" t="s">
        <v>2842</v>
      </c>
      <c r="C964" t="s">
        <v>2842</v>
      </c>
      <c r="D964" t="s">
        <v>2843</v>
      </c>
      <c r="E964" t="s">
        <v>2858</v>
      </c>
      <c r="F964" t="s">
        <v>298</v>
      </c>
      <c r="G964" t="s">
        <v>2845</v>
      </c>
      <c r="H964" t="s">
        <v>2846</v>
      </c>
      <c r="I964" t="s">
        <v>2861</v>
      </c>
      <c r="J964">
        <v>1</v>
      </c>
      <c r="K964">
        <v>100</v>
      </c>
      <c r="L964" t="s">
        <v>2862</v>
      </c>
      <c r="M964" s="37">
        <v>1</v>
      </c>
      <c r="N964" s="37">
        <v>0.2</v>
      </c>
      <c r="O964">
        <v>0.2</v>
      </c>
      <c r="P964" s="37">
        <v>1.05</v>
      </c>
      <c r="Q964">
        <v>105</v>
      </c>
      <c r="R964">
        <v>3135</v>
      </c>
      <c r="S964">
        <v>3135</v>
      </c>
      <c r="T964">
        <v>3000</v>
      </c>
      <c r="U964" t="s">
        <v>2840</v>
      </c>
      <c r="Z964" s="37">
        <v>1</v>
      </c>
      <c r="AA964" s="37">
        <v>0.1</v>
      </c>
      <c r="AB964">
        <v>1.1</v>
      </c>
    </row>
    <row r="965">
      <c r="A965" t="s">
        <v>2857</v>
      </c>
      <c r="B965" t="s">
        <v>2842</v>
      </c>
      <c r="C965" t="s">
        <v>2842</v>
      </c>
      <c r="D965" t="s">
        <v>2843</v>
      </c>
      <c r="E965" t="s">
        <v>2858</v>
      </c>
      <c r="F965" t="s">
        <v>298</v>
      </c>
      <c r="G965" t="s">
        <v>2845</v>
      </c>
      <c r="H965" t="s">
        <v>2863</v>
      </c>
      <c r="I965" t="s">
        <v>2864</v>
      </c>
      <c r="J965">
        <v>1</v>
      </c>
      <c r="K965">
        <v>100</v>
      </c>
      <c r="L965" t="s">
        <v>2865</v>
      </c>
      <c r="M965" s="37">
        <v>1.1</v>
      </c>
      <c r="N965" s="37">
        <v>0.2</v>
      </c>
      <c r="O965">
        <v>0.22</v>
      </c>
      <c r="P965" s="37">
        <v>1.05</v>
      </c>
      <c r="Q965">
        <v>105</v>
      </c>
      <c r="R965">
        <v>3135</v>
      </c>
      <c r="S965">
        <v>3135</v>
      </c>
      <c r="T965">
        <v>3000</v>
      </c>
      <c r="U965" t="s">
        <v>2840</v>
      </c>
      <c r="Z965" s="37">
        <v>1</v>
      </c>
      <c r="AA965" s="37">
        <v>0.1</v>
      </c>
      <c r="AB965">
        <v>1.1</v>
      </c>
    </row>
    <row r="966">
      <c r="A966" t="s">
        <v>2857</v>
      </c>
      <c r="B966" t="s">
        <v>2842</v>
      </c>
      <c r="C966" t="s">
        <v>2842</v>
      </c>
      <c r="D966" t="s">
        <v>2843</v>
      </c>
      <c r="E966" t="s">
        <v>2858</v>
      </c>
      <c r="F966" t="s">
        <v>298</v>
      </c>
      <c r="G966" t="s">
        <v>2845</v>
      </c>
      <c r="H966" t="s">
        <v>2846</v>
      </c>
      <c r="I966" t="s">
        <v>2866</v>
      </c>
      <c r="J966">
        <v>1</v>
      </c>
      <c r="K966">
        <v>105</v>
      </c>
      <c r="L966" t="s">
        <v>2867</v>
      </c>
      <c r="M966" s="37">
        <v>1.05</v>
      </c>
      <c r="N966" s="37">
        <v>0.2</v>
      </c>
      <c r="O966">
        <v>0.21</v>
      </c>
      <c r="P966" s="37">
        <v>1.05</v>
      </c>
      <c r="Q966">
        <v>105</v>
      </c>
      <c r="R966">
        <v>3135</v>
      </c>
      <c r="S966">
        <v>3135</v>
      </c>
      <c r="T966">
        <v>3000</v>
      </c>
      <c r="U966" t="s">
        <v>2840</v>
      </c>
      <c r="Z966" s="37">
        <v>1</v>
      </c>
      <c r="AA966" s="37">
        <v>0.1</v>
      </c>
      <c r="AB966">
        <v>1.1</v>
      </c>
    </row>
    <row r="967">
      <c r="A967" t="s">
        <v>2857</v>
      </c>
      <c r="B967" t="s">
        <v>2842</v>
      </c>
      <c r="C967" t="s">
        <v>2842</v>
      </c>
      <c r="D967" t="s">
        <v>2843</v>
      </c>
      <c r="E967" t="s">
        <v>2858</v>
      </c>
      <c r="F967" t="s">
        <v>298</v>
      </c>
      <c r="G967" t="s">
        <v>2845</v>
      </c>
      <c r="H967" t="s">
        <v>2846</v>
      </c>
      <c r="I967" t="s">
        <v>2868</v>
      </c>
      <c r="J967">
        <v>1</v>
      </c>
      <c r="K967">
        <v>100</v>
      </c>
      <c r="L967" t="s">
        <v>2869</v>
      </c>
      <c r="M967" s="37">
        <v>1</v>
      </c>
      <c r="N967" s="37">
        <v>0.2</v>
      </c>
      <c r="O967">
        <v>0.2</v>
      </c>
      <c r="P967" s="37">
        <v>1.05</v>
      </c>
      <c r="Q967">
        <v>105</v>
      </c>
      <c r="R967">
        <v>3135</v>
      </c>
      <c r="S967">
        <v>3135</v>
      </c>
      <c r="T967">
        <v>3000</v>
      </c>
      <c r="U967" t="s">
        <v>2840</v>
      </c>
      <c r="Z967" s="37">
        <v>1</v>
      </c>
      <c r="AA967" s="37">
        <v>0.1</v>
      </c>
      <c r="AB967">
        <v>1.1</v>
      </c>
    </row>
    <row r="968">
      <c r="A968" t="s">
        <v>2870</v>
      </c>
      <c r="B968" t="s">
        <v>2842</v>
      </c>
      <c r="C968" t="s">
        <v>2842</v>
      </c>
      <c r="D968" t="s">
        <v>2843</v>
      </c>
      <c r="E968" t="s">
        <v>2871</v>
      </c>
      <c r="F968" t="s">
        <v>298</v>
      </c>
      <c r="G968" t="s">
        <v>2845</v>
      </c>
      <c r="H968" t="s">
        <v>2846</v>
      </c>
      <c r="I968" t="s">
        <v>2872</v>
      </c>
      <c r="J968">
        <v>7.21</v>
      </c>
      <c r="K968">
        <v>1</v>
      </c>
      <c r="L968" t="s">
        <v>2869</v>
      </c>
      <c r="M968" s="37">
        <v>1.05</v>
      </c>
      <c r="N968" s="37">
        <v>0.2</v>
      </c>
      <c r="O968">
        <v>105</v>
      </c>
      <c r="P968" s="37">
        <v>1.04</v>
      </c>
      <c r="Q968">
        <v>104</v>
      </c>
      <c r="R968">
        <v>2708</v>
      </c>
      <c r="S968">
        <v>2708</v>
      </c>
      <c r="T968">
        <v>3000</v>
      </c>
      <c r="U968" t="s">
        <v>2840</v>
      </c>
      <c r="Z968" s="37">
        <v>1</v>
      </c>
      <c r="AA968" s="37">
        <v>0.1</v>
      </c>
      <c r="AB968">
        <v>1.1</v>
      </c>
    </row>
    <row r="969">
      <c r="A969" t="s">
        <v>2870</v>
      </c>
      <c r="B969" t="s">
        <v>2842</v>
      </c>
      <c r="C969" t="s">
        <v>2842</v>
      </c>
      <c r="D969" t="s">
        <v>2843</v>
      </c>
      <c r="E969" t="s">
        <v>2871</v>
      </c>
      <c r="F969" t="s">
        <v>298</v>
      </c>
      <c r="G969" t="s">
        <v>2845</v>
      </c>
      <c r="H969" t="s">
        <v>2846</v>
      </c>
      <c r="I969" t="s">
        <v>2873</v>
      </c>
      <c r="J969">
        <v>7.15</v>
      </c>
      <c r="K969">
        <v>1</v>
      </c>
      <c r="L969" t="s">
        <v>2869</v>
      </c>
      <c r="M969" s="37">
        <v>1.05</v>
      </c>
      <c r="N969" s="37">
        <v>0.2</v>
      </c>
      <c r="O969">
        <v>105</v>
      </c>
      <c r="P969" s="37">
        <v>1.04</v>
      </c>
      <c r="Q969">
        <v>104</v>
      </c>
      <c r="R969">
        <v>2708</v>
      </c>
      <c r="S969">
        <v>2708</v>
      </c>
      <c r="T969">
        <v>3000</v>
      </c>
      <c r="U969" t="s">
        <v>2840</v>
      </c>
      <c r="Z969" s="37">
        <v>1</v>
      </c>
      <c r="AA969" s="37">
        <v>0.1</v>
      </c>
      <c r="AB969">
        <v>1.1</v>
      </c>
    </row>
    <row r="970">
      <c r="A970" t="s">
        <v>2870</v>
      </c>
      <c r="B970" t="s">
        <v>2842</v>
      </c>
      <c r="C970" t="s">
        <v>2842</v>
      </c>
      <c r="D970" t="s">
        <v>2843</v>
      </c>
      <c r="E970" t="s">
        <v>2871</v>
      </c>
      <c r="F970" t="s">
        <v>298</v>
      </c>
      <c r="G970" t="s">
        <v>2845</v>
      </c>
      <c r="H970" t="s">
        <v>2846</v>
      </c>
      <c r="I970" t="s">
        <v>2874</v>
      </c>
      <c r="J970">
        <v>7.17</v>
      </c>
      <c r="K970">
        <v>1</v>
      </c>
      <c r="L970" t="s">
        <v>2869</v>
      </c>
      <c r="M970" s="37">
        <v>1</v>
      </c>
      <c r="N970" s="37">
        <v>0.2</v>
      </c>
      <c r="O970">
        <v>100</v>
      </c>
      <c r="P970" s="37">
        <v>1.04</v>
      </c>
      <c r="Q970">
        <v>104</v>
      </c>
      <c r="R970">
        <v>2708</v>
      </c>
      <c r="S970">
        <v>2708</v>
      </c>
      <c r="T970">
        <v>3000</v>
      </c>
      <c r="U970" t="s">
        <v>2840</v>
      </c>
      <c r="Z970" s="37">
        <v>1</v>
      </c>
      <c r="AA970" s="37">
        <v>0.1</v>
      </c>
      <c r="AB970">
        <v>1.1</v>
      </c>
    </row>
    <row r="971">
      <c r="A971" t="s">
        <v>2870</v>
      </c>
      <c r="B971" t="s">
        <v>2842</v>
      </c>
      <c r="C971" t="s">
        <v>2842</v>
      </c>
      <c r="D971" t="s">
        <v>2843</v>
      </c>
      <c r="E971" t="s">
        <v>2871</v>
      </c>
      <c r="F971" t="s">
        <v>298</v>
      </c>
      <c r="G971" t="s">
        <v>2845</v>
      </c>
      <c r="H971" t="s">
        <v>2846</v>
      </c>
      <c r="I971" t="s">
        <v>2875</v>
      </c>
      <c r="J971">
        <v>7.11</v>
      </c>
      <c r="K971">
        <v>1</v>
      </c>
      <c r="L971" t="s">
        <v>2869</v>
      </c>
      <c r="M971" s="37">
        <v>1</v>
      </c>
      <c r="N971" s="37">
        <v>0.2</v>
      </c>
      <c r="O971">
        <v>100</v>
      </c>
      <c r="P971" s="37">
        <v>1.04</v>
      </c>
      <c r="Q971">
        <v>104</v>
      </c>
      <c r="R971">
        <v>2708</v>
      </c>
      <c r="S971">
        <v>2708</v>
      </c>
      <c r="T971">
        <v>3000</v>
      </c>
      <c r="U971" t="s">
        <v>2840</v>
      </c>
      <c r="Z971" s="37">
        <v>1</v>
      </c>
      <c r="AA971" s="37">
        <v>0.1</v>
      </c>
      <c r="AB971">
        <v>1.1</v>
      </c>
    </row>
    <row r="972">
      <c r="A972" t="s">
        <v>2870</v>
      </c>
      <c r="B972" t="s">
        <v>2842</v>
      </c>
      <c r="C972" t="s">
        <v>2842</v>
      </c>
      <c r="D972" t="s">
        <v>2843</v>
      </c>
      <c r="E972" t="s">
        <v>2871</v>
      </c>
      <c r="F972" t="s">
        <v>298</v>
      </c>
      <c r="G972" t="s">
        <v>2845</v>
      </c>
      <c r="H972" t="s">
        <v>2846</v>
      </c>
      <c r="I972" t="s">
        <v>2876</v>
      </c>
      <c r="J972">
        <v>7.15</v>
      </c>
      <c r="K972">
        <v>1</v>
      </c>
      <c r="L972" t="s">
        <v>2869</v>
      </c>
      <c r="M972" s="37">
        <v>1.1</v>
      </c>
      <c r="N972" s="37">
        <v>0.2</v>
      </c>
      <c r="O972">
        <v>110</v>
      </c>
      <c r="P972" s="37">
        <v>1.04</v>
      </c>
      <c r="Q972">
        <v>104</v>
      </c>
      <c r="R972">
        <v>2708</v>
      </c>
      <c r="S972">
        <v>2708</v>
      </c>
      <c r="T972">
        <v>3000</v>
      </c>
      <c r="U972" t="s">
        <v>2840</v>
      </c>
      <c r="Z972" s="37">
        <v>1</v>
      </c>
      <c r="AA972" s="37">
        <v>0.1</v>
      </c>
      <c r="AB972">
        <v>1.1</v>
      </c>
    </row>
    <row r="973">
      <c r="A973" t="s">
        <v>2877</v>
      </c>
      <c r="B973" t="s">
        <v>2842</v>
      </c>
      <c r="C973" t="s">
        <v>2842</v>
      </c>
      <c r="D973" t="s">
        <v>359</v>
      </c>
      <c r="E973" t="s">
        <v>2878</v>
      </c>
      <c r="F973" t="s">
        <v>298</v>
      </c>
      <c r="G973" t="s">
        <v>2845</v>
      </c>
      <c r="H973" t="s">
        <v>2846</v>
      </c>
      <c r="I973" t="s">
        <v>2879</v>
      </c>
      <c r="J973">
        <v>1</v>
      </c>
      <c r="K973">
        <v>1.1</v>
      </c>
      <c r="L973" t="s">
        <v>2869</v>
      </c>
      <c r="M973" s="37">
        <v>1.1</v>
      </c>
      <c r="N973" s="37">
        <v>0.2</v>
      </c>
      <c r="O973">
        <v>110</v>
      </c>
      <c r="P973" s="37">
        <v>1.044</v>
      </c>
      <c r="Q973">
        <v>104.4</v>
      </c>
      <c r="R973">
        <v>4988</v>
      </c>
      <c r="S973">
        <v>4988</v>
      </c>
      <c r="T973">
        <v>5000</v>
      </c>
      <c r="U973" t="s">
        <v>2840</v>
      </c>
      <c r="Z973" s="37">
        <v>1</v>
      </c>
      <c r="AA973" s="37">
        <v>0.1</v>
      </c>
      <c r="AB973">
        <v>1.1</v>
      </c>
    </row>
    <row r="974">
      <c r="A974" t="s">
        <v>2877</v>
      </c>
      <c r="B974" t="s">
        <v>2842</v>
      </c>
      <c r="C974" t="s">
        <v>2842</v>
      </c>
      <c r="D974" t="s">
        <v>359</v>
      </c>
      <c r="E974" t="s">
        <v>2878</v>
      </c>
      <c r="F974" t="s">
        <v>298</v>
      </c>
      <c r="G974" t="s">
        <v>2845</v>
      </c>
      <c r="H974" t="s">
        <v>2846</v>
      </c>
      <c r="I974" t="s">
        <v>2880</v>
      </c>
      <c r="J974">
        <v>1</v>
      </c>
      <c r="K974">
        <v>1.05</v>
      </c>
      <c r="L974" t="s">
        <v>2869</v>
      </c>
      <c r="M974" s="37">
        <v>1.05</v>
      </c>
      <c r="N974" s="37">
        <v>0.2</v>
      </c>
      <c r="O974">
        <v>105</v>
      </c>
      <c r="P974" s="37">
        <v>1.044</v>
      </c>
      <c r="Q974">
        <v>104.4</v>
      </c>
      <c r="R974">
        <v>4988</v>
      </c>
      <c r="S974">
        <v>4988</v>
      </c>
      <c r="T974">
        <v>5000</v>
      </c>
      <c r="U974" t="s">
        <v>2840</v>
      </c>
      <c r="Z974" s="37">
        <v>1</v>
      </c>
      <c r="AA974" s="37">
        <v>0.1</v>
      </c>
      <c r="AB974">
        <v>1.1</v>
      </c>
    </row>
    <row r="975">
      <c r="A975" t="s">
        <v>2877</v>
      </c>
      <c r="B975" t="s">
        <v>2842</v>
      </c>
      <c r="C975" t="s">
        <v>2842</v>
      </c>
      <c r="D975" t="s">
        <v>359</v>
      </c>
      <c r="E975" t="s">
        <v>2878</v>
      </c>
      <c r="F975" t="s">
        <v>298</v>
      </c>
      <c r="G975" t="s">
        <v>2845</v>
      </c>
      <c r="H975" t="s">
        <v>2846</v>
      </c>
      <c r="I975" t="s">
        <v>2881</v>
      </c>
      <c r="J975">
        <v>1</v>
      </c>
      <c r="K975">
        <v>1</v>
      </c>
      <c r="L975" t="s">
        <v>2869</v>
      </c>
      <c r="M975" s="37">
        <v>1</v>
      </c>
      <c r="N975" s="37">
        <v>0.2</v>
      </c>
      <c r="O975">
        <v>100</v>
      </c>
      <c r="P975" s="37">
        <v>1.044</v>
      </c>
      <c r="Q975">
        <v>104.4</v>
      </c>
      <c r="R975">
        <v>4988</v>
      </c>
      <c r="S975">
        <v>4988</v>
      </c>
      <c r="T975">
        <v>5000</v>
      </c>
      <c r="U975" t="s">
        <v>2840</v>
      </c>
      <c r="Z975" s="37">
        <v>1</v>
      </c>
      <c r="AA975" s="37">
        <v>0.1</v>
      </c>
      <c r="AB975">
        <v>1.1</v>
      </c>
    </row>
    <row r="976">
      <c r="A976" t="s">
        <v>2877</v>
      </c>
      <c r="B976" t="s">
        <v>2842</v>
      </c>
      <c r="C976" t="s">
        <v>2842</v>
      </c>
      <c r="D976" t="s">
        <v>359</v>
      </c>
      <c r="E976" t="s">
        <v>2878</v>
      </c>
      <c r="F976" t="s">
        <v>298</v>
      </c>
      <c r="G976" t="s">
        <v>2845</v>
      </c>
      <c r="H976" t="s">
        <v>2846</v>
      </c>
      <c r="I976" t="s">
        <v>2882</v>
      </c>
      <c r="J976">
        <v>1</v>
      </c>
      <c r="K976">
        <v>1.05</v>
      </c>
      <c r="L976" t="s">
        <v>2869</v>
      </c>
      <c r="M976" s="37">
        <v>1.05</v>
      </c>
      <c r="N976" s="37">
        <v>0.2</v>
      </c>
      <c r="O976">
        <v>105</v>
      </c>
      <c r="P976" s="37">
        <v>1.044</v>
      </c>
      <c r="Q976">
        <v>104.4</v>
      </c>
      <c r="R976">
        <v>4988</v>
      </c>
      <c r="S976">
        <v>4988</v>
      </c>
      <c r="T976">
        <v>5000</v>
      </c>
      <c r="U976" t="s">
        <v>2840</v>
      </c>
      <c r="Z976" s="37">
        <v>1</v>
      </c>
      <c r="AA976" s="37">
        <v>0.1</v>
      </c>
      <c r="AB976">
        <v>1.1</v>
      </c>
    </row>
    <row r="977">
      <c r="A977" t="s">
        <v>2877</v>
      </c>
      <c r="B977" t="s">
        <v>2842</v>
      </c>
      <c r="C977" t="s">
        <v>2842</v>
      </c>
      <c r="D977" t="s">
        <v>359</v>
      </c>
      <c r="E977" t="s">
        <v>2878</v>
      </c>
      <c r="F977" t="s">
        <v>298</v>
      </c>
      <c r="G977" t="s">
        <v>2845</v>
      </c>
      <c r="H977" t="s">
        <v>2846</v>
      </c>
      <c r="I977" t="s">
        <v>2883</v>
      </c>
      <c r="J977">
        <v>1</v>
      </c>
      <c r="K977">
        <v>1.02</v>
      </c>
      <c r="L977" t="s">
        <v>2869</v>
      </c>
      <c r="M977" s="37">
        <v>1.02</v>
      </c>
      <c r="N977" s="37">
        <v>0.2</v>
      </c>
      <c r="O977">
        <v>102</v>
      </c>
      <c r="P977" s="37">
        <v>1.044</v>
      </c>
      <c r="Q977">
        <v>104.4</v>
      </c>
      <c r="R977">
        <v>4988</v>
      </c>
      <c r="S977">
        <v>4988</v>
      </c>
      <c r="T977">
        <v>5000</v>
      </c>
      <c r="U977" t="s">
        <v>2840</v>
      </c>
      <c r="Z977" s="37">
        <v>1</v>
      </c>
      <c r="AA977" s="37">
        <v>0.1</v>
      </c>
      <c r="AB977">
        <v>1.1</v>
      </c>
    </row>
    <row r="978">
      <c r="A978" t="s">
        <v>2884</v>
      </c>
      <c r="B978" t="s">
        <v>2842</v>
      </c>
      <c r="C978" t="s">
        <v>2842</v>
      </c>
      <c r="D978" t="s">
        <v>359</v>
      </c>
      <c r="E978" t="s">
        <v>2885</v>
      </c>
      <c r="F978" t="s">
        <v>298</v>
      </c>
      <c r="G978" t="s">
        <v>2845</v>
      </c>
      <c r="H978" t="s">
        <v>2846</v>
      </c>
      <c r="I978" t="s">
        <v>2886</v>
      </c>
      <c r="J978">
        <v>7.29</v>
      </c>
      <c r="K978">
        <v>105</v>
      </c>
      <c r="L978" t="s">
        <v>455</v>
      </c>
      <c r="M978" s="37">
        <v>1.05</v>
      </c>
      <c r="N978" s="37">
        <v>0.2</v>
      </c>
      <c r="O978">
        <v>105</v>
      </c>
      <c r="P978" s="37">
        <v>1.06</v>
      </c>
      <c r="Q978">
        <v>106</v>
      </c>
      <c r="R978">
        <v>5463</v>
      </c>
      <c r="S978">
        <v>5463</v>
      </c>
      <c r="T978">
        <v>5000</v>
      </c>
      <c r="U978" t="s">
        <v>2840</v>
      </c>
      <c r="Z978" s="37">
        <v>1</v>
      </c>
      <c r="AA978" s="37">
        <v>0.1</v>
      </c>
      <c r="AB978">
        <v>1.1</v>
      </c>
    </row>
    <row r="979">
      <c r="A979" t="s">
        <v>2884</v>
      </c>
      <c r="B979" t="s">
        <v>2842</v>
      </c>
      <c r="C979" t="s">
        <v>2842</v>
      </c>
      <c r="D979" t="s">
        <v>359</v>
      </c>
      <c r="E979" t="s">
        <v>2885</v>
      </c>
      <c r="F979" t="s">
        <v>298</v>
      </c>
      <c r="G979" t="s">
        <v>2845</v>
      </c>
      <c r="H979" t="s">
        <v>2846</v>
      </c>
      <c r="I979" t="s">
        <v>2887</v>
      </c>
      <c r="J979">
        <v>7.3</v>
      </c>
      <c r="K979">
        <v>110</v>
      </c>
      <c r="L979" t="s">
        <v>455</v>
      </c>
      <c r="M979" s="37">
        <v>1.1</v>
      </c>
      <c r="N979" s="37">
        <v>0.2</v>
      </c>
      <c r="O979">
        <v>110</v>
      </c>
      <c r="P979" s="37">
        <v>1.06</v>
      </c>
      <c r="Q979">
        <v>106</v>
      </c>
      <c r="R979">
        <v>5463</v>
      </c>
      <c r="S979">
        <v>5463</v>
      </c>
      <c r="T979">
        <v>5000</v>
      </c>
      <c r="U979" t="s">
        <v>2840</v>
      </c>
      <c r="Z979" s="37">
        <v>1</v>
      </c>
      <c r="AA979" s="37">
        <v>0.1</v>
      </c>
      <c r="AB979">
        <v>1.1</v>
      </c>
    </row>
    <row r="980">
      <c r="A980" t="s">
        <v>2884</v>
      </c>
      <c r="B980" t="s">
        <v>2842</v>
      </c>
      <c r="C980" t="s">
        <v>2842</v>
      </c>
      <c r="D980" t="s">
        <v>359</v>
      </c>
      <c r="E980" t="s">
        <v>2885</v>
      </c>
      <c r="F980" t="s">
        <v>298</v>
      </c>
      <c r="G980" t="s">
        <v>2845</v>
      </c>
      <c r="H980" t="s">
        <v>2846</v>
      </c>
      <c r="I980" t="s">
        <v>2888</v>
      </c>
      <c r="J980">
        <v>7.28</v>
      </c>
      <c r="K980">
        <v>105</v>
      </c>
      <c r="L980" t="s">
        <v>455</v>
      </c>
      <c r="M980" s="37">
        <v>1.05</v>
      </c>
      <c r="N980" s="37">
        <v>0.2</v>
      </c>
      <c r="O980">
        <v>105</v>
      </c>
      <c r="P980" s="37">
        <v>1.06</v>
      </c>
      <c r="Q980">
        <v>106</v>
      </c>
      <c r="R980">
        <v>5463</v>
      </c>
      <c r="S980">
        <v>5463</v>
      </c>
      <c r="T980">
        <v>5000</v>
      </c>
      <c r="U980" t="s">
        <v>2840</v>
      </c>
      <c r="Z980" s="37">
        <v>1</v>
      </c>
      <c r="AA980" s="37">
        <v>0.1</v>
      </c>
      <c r="AB980">
        <v>1.1</v>
      </c>
    </row>
    <row r="981">
      <c r="A981" t="s">
        <v>2884</v>
      </c>
      <c r="B981" t="s">
        <v>2842</v>
      </c>
      <c r="C981" t="s">
        <v>2842</v>
      </c>
      <c r="D981" t="s">
        <v>359</v>
      </c>
      <c r="E981" t="s">
        <v>2885</v>
      </c>
      <c r="F981" t="s">
        <v>298</v>
      </c>
      <c r="G981" t="s">
        <v>2845</v>
      </c>
      <c r="H981" t="s">
        <v>2846</v>
      </c>
      <c r="I981" t="s">
        <v>2889</v>
      </c>
      <c r="J981">
        <v>7.2</v>
      </c>
      <c r="K981">
        <v>105</v>
      </c>
      <c r="L981" t="s">
        <v>455</v>
      </c>
      <c r="M981" s="37">
        <v>1.05</v>
      </c>
      <c r="N981" s="37">
        <v>0.2</v>
      </c>
      <c r="O981">
        <v>105</v>
      </c>
      <c r="P981" s="37">
        <v>1.06</v>
      </c>
      <c r="Q981">
        <v>106</v>
      </c>
      <c r="R981">
        <v>5463</v>
      </c>
      <c r="S981">
        <v>5463</v>
      </c>
      <c r="T981">
        <v>5000</v>
      </c>
      <c r="U981" t="s">
        <v>2840</v>
      </c>
      <c r="Z981" s="37">
        <v>1</v>
      </c>
      <c r="AA981" s="37">
        <v>0.1</v>
      </c>
      <c r="AB981">
        <v>1.1</v>
      </c>
    </row>
    <row r="982">
      <c r="A982" t="s">
        <v>2884</v>
      </c>
      <c r="B982" t="s">
        <v>2842</v>
      </c>
      <c r="C982" t="s">
        <v>2842</v>
      </c>
      <c r="D982" t="s">
        <v>359</v>
      </c>
      <c r="E982" t="s">
        <v>2885</v>
      </c>
      <c r="F982" t="s">
        <v>298</v>
      </c>
      <c r="G982" t="s">
        <v>2845</v>
      </c>
      <c r="H982" t="s">
        <v>2846</v>
      </c>
      <c r="I982" t="s">
        <v>2890</v>
      </c>
      <c r="J982">
        <v>7.31</v>
      </c>
      <c r="K982">
        <v>105</v>
      </c>
      <c r="L982" t="s">
        <v>455</v>
      </c>
      <c r="M982" s="37">
        <v>1.05</v>
      </c>
      <c r="N982" s="37">
        <v>0.2</v>
      </c>
      <c r="O982">
        <v>105</v>
      </c>
      <c r="P982" s="37">
        <v>1.06</v>
      </c>
      <c r="Q982">
        <v>106</v>
      </c>
      <c r="R982">
        <v>5463</v>
      </c>
      <c r="S982">
        <v>5463</v>
      </c>
      <c r="T982">
        <v>5000</v>
      </c>
      <c r="U982" t="s">
        <v>2840</v>
      </c>
      <c r="Z982" s="37">
        <v>1</v>
      </c>
      <c r="AA982" s="37">
        <v>0.1</v>
      </c>
      <c r="AB982">
        <v>1.1</v>
      </c>
    </row>
    <row r="983">
      <c r="A983" t="s">
        <v>2891</v>
      </c>
      <c r="B983" t="s">
        <v>2842</v>
      </c>
      <c r="C983" t="s">
        <v>2842</v>
      </c>
      <c r="D983" t="s">
        <v>359</v>
      </c>
      <c r="E983" t="s">
        <v>2892</v>
      </c>
      <c r="F983" t="s">
        <v>298</v>
      </c>
      <c r="G983" t="s">
        <v>2845</v>
      </c>
      <c r="H983" t="s">
        <v>2846</v>
      </c>
      <c r="I983" t="s">
        <v>2893</v>
      </c>
      <c r="J983">
        <v>7.31</v>
      </c>
      <c r="K983">
        <v>100</v>
      </c>
      <c r="L983" t="s">
        <v>455</v>
      </c>
      <c r="M983" s="37">
        <v>1</v>
      </c>
      <c r="N983" s="37">
        <v>0.25</v>
      </c>
      <c r="O983">
        <v>100</v>
      </c>
      <c r="P983" s="37">
        <v>1</v>
      </c>
      <c r="Q983">
        <v>100</v>
      </c>
      <c r="R983">
        <v>0</v>
      </c>
      <c r="S983">
        <v>0</v>
      </c>
      <c r="T983">
        <v>5000</v>
      </c>
      <c r="U983" t="s">
        <v>2840</v>
      </c>
      <c r="Z983" s="37">
        <v>1</v>
      </c>
      <c r="AA983" s="37">
        <v>0.1</v>
      </c>
      <c r="AB983">
        <v>1.1</v>
      </c>
    </row>
    <row r="984">
      <c r="A984" t="s">
        <v>2891</v>
      </c>
      <c r="B984" t="s">
        <v>2842</v>
      </c>
      <c r="C984" t="s">
        <v>2842</v>
      </c>
      <c r="D984" t="s">
        <v>359</v>
      </c>
      <c r="E984" t="s">
        <v>2892</v>
      </c>
      <c r="F984" t="s">
        <v>298</v>
      </c>
      <c r="G984" t="s">
        <v>2845</v>
      </c>
      <c r="H984" t="s">
        <v>2846</v>
      </c>
      <c r="I984" t="s">
        <v>2894</v>
      </c>
      <c r="J984">
        <v>7.31</v>
      </c>
      <c r="K984">
        <v>100</v>
      </c>
      <c r="L984" t="s">
        <v>455</v>
      </c>
      <c r="M984" s="37">
        <v>1</v>
      </c>
      <c r="N984" s="37">
        <v>0.25</v>
      </c>
      <c r="O984">
        <v>100</v>
      </c>
      <c r="P984" s="37">
        <v>1</v>
      </c>
      <c r="Q984">
        <v>100</v>
      </c>
      <c r="R984">
        <v>0</v>
      </c>
      <c r="S984">
        <v>0</v>
      </c>
      <c r="T984">
        <v>5000</v>
      </c>
      <c r="U984" t="s">
        <v>2840</v>
      </c>
      <c r="Z984" s="37">
        <v>1</v>
      </c>
      <c r="AA984" s="37">
        <v>0.1</v>
      </c>
      <c r="AB984">
        <v>1.1</v>
      </c>
    </row>
    <row r="985">
      <c r="A985" t="s">
        <v>2891</v>
      </c>
      <c r="B985" t="s">
        <v>2842</v>
      </c>
      <c r="C985" t="s">
        <v>2842</v>
      </c>
      <c r="D985" t="s">
        <v>359</v>
      </c>
      <c r="E985" t="s">
        <v>2892</v>
      </c>
      <c r="F985" t="s">
        <v>298</v>
      </c>
      <c r="G985" t="s">
        <v>2845</v>
      </c>
      <c r="H985" t="s">
        <v>2846</v>
      </c>
      <c r="I985" t="s">
        <v>2895</v>
      </c>
      <c r="J985">
        <v>7.31</v>
      </c>
      <c r="K985">
        <v>100</v>
      </c>
      <c r="L985" t="s">
        <v>455</v>
      </c>
      <c r="M985" s="37">
        <v>1</v>
      </c>
      <c r="N985" s="37">
        <v>0.25</v>
      </c>
      <c r="O985">
        <v>100</v>
      </c>
      <c r="P985" s="37">
        <v>1</v>
      </c>
      <c r="Q985">
        <v>100</v>
      </c>
      <c r="R985">
        <v>0</v>
      </c>
      <c r="S985">
        <v>0</v>
      </c>
      <c r="T985">
        <v>5000</v>
      </c>
      <c r="U985" t="s">
        <v>2840</v>
      </c>
      <c r="Z985" s="37">
        <v>1</v>
      </c>
      <c r="AA985" s="37">
        <v>0.1</v>
      </c>
      <c r="AB985">
        <v>1.1</v>
      </c>
    </row>
    <row r="986">
      <c r="A986" t="s">
        <v>2891</v>
      </c>
      <c r="B986" t="s">
        <v>2842</v>
      </c>
      <c r="C986" t="s">
        <v>2842</v>
      </c>
      <c r="D986" t="s">
        <v>359</v>
      </c>
      <c r="E986" t="s">
        <v>2892</v>
      </c>
      <c r="F986" t="s">
        <v>298</v>
      </c>
      <c r="G986" t="s">
        <v>2845</v>
      </c>
      <c r="H986" t="s">
        <v>2846</v>
      </c>
      <c r="I986" t="s">
        <v>2896</v>
      </c>
      <c r="J986">
        <v>7.31</v>
      </c>
      <c r="K986">
        <v>100</v>
      </c>
      <c r="L986">
        <v>100</v>
      </c>
      <c r="M986" s="37">
        <v>1</v>
      </c>
      <c r="N986" s="37">
        <v>0.25</v>
      </c>
      <c r="O986">
        <v>100</v>
      </c>
      <c r="P986" s="37">
        <v>1</v>
      </c>
      <c r="Q986">
        <v>100</v>
      </c>
      <c r="R986">
        <v>0</v>
      </c>
      <c r="S986">
        <v>0</v>
      </c>
      <c r="T986">
        <v>5000</v>
      </c>
      <c r="U986" t="s">
        <v>2840</v>
      </c>
      <c r="Z986" s="37">
        <v>1</v>
      </c>
      <c r="AA986" s="37">
        <v>0.1</v>
      </c>
      <c r="AB986">
        <v>1.1</v>
      </c>
    </row>
    <row r="987">
      <c r="A987" t="s">
        <v>2897</v>
      </c>
      <c r="B987" t="s">
        <v>1531</v>
      </c>
      <c r="C987" t="s">
        <v>1531</v>
      </c>
      <c r="D987" t="s">
        <v>359</v>
      </c>
      <c r="E987" t="s">
        <v>2898</v>
      </c>
      <c r="F987" t="s">
        <v>298</v>
      </c>
      <c r="G987" t="s">
        <v>1826</v>
      </c>
      <c r="H987" t="s">
        <v>1491</v>
      </c>
      <c r="I987" t="s">
        <v>1611</v>
      </c>
      <c r="J987" t="s">
        <v>2899</v>
      </c>
      <c r="K987" t="s">
        <v>2900</v>
      </c>
      <c r="L987">
        <v>100</v>
      </c>
      <c r="M987" s="37">
        <v>0.4</v>
      </c>
      <c r="N987" s="37">
        <v>0.5</v>
      </c>
      <c r="O987">
        <v>0.316</v>
      </c>
      <c r="P987" s="37">
        <v>0.4515</v>
      </c>
      <c r="Q987">
        <v>0.39</v>
      </c>
      <c r="R987">
        <v>3783.02</v>
      </c>
      <c r="S987">
        <v>-771.67</v>
      </c>
      <c r="T987">
        <v>5000</v>
      </c>
      <c r="U987" t="s">
        <v>2840</v>
      </c>
      <c r="Z987" s="37">
        <v>1</v>
      </c>
      <c r="AA987" s="37">
        <v>0.1</v>
      </c>
      <c r="AB987">
        <v>1.1</v>
      </c>
    </row>
    <row r="988">
      <c r="A988" t="s">
        <v>2897</v>
      </c>
      <c r="B988" t="s">
        <v>1531</v>
      </c>
      <c r="C988" t="s">
        <v>1531</v>
      </c>
      <c r="D988" t="s">
        <v>359</v>
      </c>
      <c r="E988" t="s">
        <v>2898</v>
      </c>
      <c r="F988" t="s">
        <v>298</v>
      </c>
      <c r="G988" t="s">
        <v>1826</v>
      </c>
      <c r="H988" t="s">
        <v>1512</v>
      </c>
      <c r="I988" t="s">
        <v>2901</v>
      </c>
      <c r="J988">
        <v>100</v>
      </c>
      <c r="K988">
        <v>75</v>
      </c>
      <c r="L988">
        <v>100</v>
      </c>
      <c r="M988" s="37">
        <v>0.75</v>
      </c>
      <c r="N988" s="37">
        <v>0.1</v>
      </c>
      <c r="O988">
        <v>0.6</v>
      </c>
      <c r="P988" s="37">
        <v>0.4515</v>
      </c>
      <c r="Q988">
        <v>0.39</v>
      </c>
      <c r="R988">
        <v>3783.02</v>
      </c>
      <c r="S988">
        <v>-771.67</v>
      </c>
      <c r="T988">
        <v>5000</v>
      </c>
      <c r="U988" t="s">
        <v>2840</v>
      </c>
      <c r="Z988" s="37">
        <v>1</v>
      </c>
      <c r="AA988" s="37">
        <v>0.1</v>
      </c>
      <c r="AB988">
        <v>1.1</v>
      </c>
    </row>
    <row r="989">
      <c r="A989" t="s">
        <v>2897</v>
      </c>
      <c r="B989" t="s">
        <v>1531</v>
      </c>
      <c r="C989" t="s">
        <v>1531</v>
      </c>
      <c r="D989" t="s">
        <v>359</v>
      </c>
      <c r="E989" t="s">
        <v>2898</v>
      </c>
      <c r="F989" t="s">
        <v>298</v>
      </c>
      <c r="G989" t="s">
        <v>1826</v>
      </c>
      <c r="H989" t="s">
        <v>1526</v>
      </c>
      <c r="I989" t="s">
        <v>2902</v>
      </c>
      <c r="J989">
        <v>10</v>
      </c>
      <c r="K989">
        <v>10.1</v>
      </c>
      <c r="L989">
        <v>100</v>
      </c>
      <c r="M989" s="37">
        <v>1.01</v>
      </c>
      <c r="N989" s="37">
        <v>0.15</v>
      </c>
      <c r="O989">
        <v>1.012</v>
      </c>
      <c r="P989" s="37">
        <v>0.4515</v>
      </c>
      <c r="Q989">
        <v>0.39</v>
      </c>
      <c r="R989">
        <v>3783.02</v>
      </c>
      <c r="S989">
        <v>-771.67</v>
      </c>
      <c r="T989">
        <v>5000</v>
      </c>
      <c r="U989" t="s">
        <v>2840</v>
      </c>
      <c r="Z989" s="37">
        <v>1</v>
      </c>
      <c r="AA989" s="37">
        <v>0.1</v>
      </c>
      <c r="AB989">
        <v>1.1</v>
      </c>
    </row>
    <row r="990">
      <c r="A990" t="s">
        <v>2897</v>
      </c>
      <c r="B990" t="s">
        <v>1531</v>
      </c>
      <c r="C990" t="s">
        <v>1531</v>
      </c>
      <c r="D990" t="s">
        <v>359</v>
      </c>
      <c r="E990" t="s">
        <v>2898</v>
      </c>
      <c r="F990" t="s">
        <v>298</v>
      </c>
      <c r="G990" t="s">
        <v>1826</v>
      </c>
      <c r="H990" t="s">
        <v>1526</v>
      </c>
      <c r="I990" t="s">
        <v>1547</v>
      </c>
      <c r="J990">
        <v>2</v>
      </c>
      <c r="K990">
        <v>0.5</v>
      </c>
      <c r="L990">
        <v>100</v>
      </c>
      <c r="M990" s="37">
        <v>0.25</v>
      </c>
      <c r="N990" s="37">
        <v>0.1</v>
      </c>
      <c r="O990">
        <v>0.202</v>
      </c>
      <c r="P990" s="37">
        <v>0.4515</v>
      </c>
      <c r="Q990">
        <v>0.39</v>
      </c>
      <c r="R990">
        <v>3783.02</v>
      </c>
      <c r="S990">
        <v>-771.67</v>
      </c>
      <c r="T990">
        <v>5000</v>
      </c>
      <c r="U990" t="s">
        <v>2840</v>
      </c>
      <c r="Z990" s="37">
        <v>1</v>
      </c>
      <c r="AA990" s="37">
        <v>0.1</v>
      </c>
      <c r="AB990">
        <v>1.1</v>
      </c>
    </row>
    <row r="991">
      <c r="A991" t="s">
        <v>2897</v>
      </c>
      <c r="B991" t="s">
        <v>1531</v>
      </c>
      <c r="C991" t="s">
        <v>1531</v>
      </c>
      <c r="D991" t="s">
        <v>359</v>
      </c>
      <c r="E991" t="s">
        <v>2898</v>
      </c>
      <c r="F991" t="s">
        <v>298</v>
      </c>
      <c r="G991" t="s">
        <v>1826</v>
      </c>
      <c r="H991" t="s">
        <v>1495</v>
      </c>
      <c r="I991" t="s">
        <v>2903</v>
      </c>
      <c r="J991">
        <v>-13</v>
      </c>
      <c r="K991">
        <v>0</v>
      </c>
      <c r="L991">
        <v>100</v>
      </c>
      <c r="M991" s="37">
        <v>0</v>
      </c>
      <c r="N991" s="37">
        <v>0.15</v>
      </c>
      <c r="O991">
        <v>0</v>
      </c>
      <c r="P991" s="37">
        <v>0.4515</v>
      </c>
      <c r="Q991">
        <v>0.39</v>
      </c>
      <c r="R991">
        <v>3783.02</v>
      </c>
      <c r="S991">
        <v>-771.67</v>
      </c>
      <c r="T991">
        <v>5000</v>
      </c>
      <c r="U991" t="s">
        <v>2840</v>
      </c>
      <c r="Z991" s="37">
        <v>1</v>
      </c>
      <c r="AA991" s="37">
        <v>0.1</v>
      </c>
      <c r="AB991">
        <v>1.1</v>
      </c>
    </row>
    <row r="992">
      <c r="A992" t="s">
        <v>2904</v>
      </c>
      <c r="B992" t="s">
        <v>1531</v>
      </c>
      <c r="C992" t="s">
        <v>1531</v>
      </c>
      <c r="D992" t="s">
        <v>1824</v>
      </c>
      <c r="E992" t="s">
        <v>2905</v>
      </c>
      <c r="F992" t="s">
        <v>298</v>
      </c>
      <c r="G992" t="s">
        <v>1826</v>
      </c>
      <c r="H992" t="s">
        <v>1491</v>
      </c>
      <c r="I992" t="s">
        <v>1611</v>
      </c>
      <c r="J992" t="s">
        <v>777</v>
      </c>
      <c r="K992" t="s">
        <v>2906</v>
      </c>
      <c r="L992">
        <v>100</v>
      </c>
      <c r="M992" s="37">
        <v>0.44</v>
      </c>
      <c r="N992" s="37">
        <v>0.5</v>
      </c>
      <c r="O992">
        <v>0.352</v>
      </c>
      <c r="P992" s="37">
        <v>0.477</v>
      </c>
      <c r="Q992">
        <v>0.43</v>
      </c>
      <c r="R992">
        <v>4241.76</v>
      </c>
      <c r="S992">
        <v>4327.47</v>
      </c>
      <c r="T992">
        <v>6000</v>
      </c>
      <c r="U992" t="s">
        <v>2840</v>
      </c>
      <c r="Z992" s="37">
        <v>1</v>
      </c>
      <c r="AA992" s="37">
        <v>0.1</v>
      </c>
      <c r="AB992">
        <v>1.1</v>
      </c>
    </row>
    <row r="993">
      <c r="A993" t="s">
        <v>2904</v>
      </c>
      <c r="B993" t="s">
        <v>1531</v>
      </c>
      <c r="C993" t="s">
        <v>1531</v>
      </c>
      <c r="D993" t="s">
        <v>1824</v>
      </c>
      <c r="E993" t="s">
        <v>2905</v>
      </c>
      <c r="F993" t="s">
        <v>298</v>
      </c>
      <c r="G993" t="s">
        <v>1826</v>
      </c>
      <c r="H993" t="s">
        <v>1512</v>
      </c>
      <c r="I993" t="s">
        <v>2907</v>
      </c>
      <c r="J993" t="s">
        <v>2908</v>
      </c>
      <c r="K993" t="s">
        <v>2909</v>
      </c>
      <c r="L993">
        <v>100</v>
      </c>
      <c r="M993" s="37">
        <v>0.83</v>
      </c>
      <c r="N993" s="37">
        <v>0.1</v>
      </c>
      <c r="O993">
        <v>0.828</v>
      </c>
      <c r="P993" s="37">
        <v>0.477</v>
      </c>
      <c r="Q993">
        <v>0.43</v>
      </c>
      <c r="R993">
        <v>4241.76</v>
      </c>
      <c r="S993">
        <v>4327.47</v>
      </c>
      <c r="T993">
        <v>6000</v>
      </c>
      <c r="U993" t="s">
        <v>2840</v>
      </c>
      <c r="Z993" s="37">
        <v>1</v>
      </c>
      <c r="AA993" s="37">
        <v>0.1</v>
      </c>
      <c r="AB993">
        <v>1.1</v>
      </c>
    </row>
    <row r="994">
      <c r="A994" t="s">
        <v>2904</v>
      </c>
      <c r="B994" t="s">
        <v>1531</v>
      </c>
      <c r="C994" t="s">
        <v>1531</v>
      </c>
      <c r="D994" t="s">
        <v>1824</v>
      </c>
      <c r="E994" t="s">
        <v>2905</v>
      </c>
      <c r="F994" t="s">
        <v>298</v>
      </c>
      <c r="G994" t="s">
        <v>1826</v>
      </c>
      <c r="H994" t="s">
        <v>1526</v>
      </c>
      <c r="I994" t="s">
        <v>2910</v>
      </c>
      <c r="J994" t="s">
        <v>1016</v>
      </c>
      <c r="K994" t="s">
        <v>2911</v>
      </c>
      <c r="L994">
        <v>100</v>
      </c>
      <c r="M994" s="37">
        <v>1.16</v>
      </c>
      <c r="N994" s="37">
        <v>0.15</v>
      </c>
      <c r="O994">
        <v>1.163</v>
      </c>
      <c r="P994" s="37">
        <v>0.477</v>
      </c>
      <c r="Q994">
        <v>0.43</v>
      </c>
      <c r="R994">
        <v>4241.76</v>
      </c>
      <c r="S994">
        <v>4327.47</v>
      </c>
      <c r="T994">
        <v>6000</v>
      </c>
      <c r="U994" t="s">
        <v>2840</v>
      </c>
      <c r="Z994" s="37">
        <v>1</v>
      </c>
      <c r="AA994" s="37">
        <v>0.1</v>
      </c>
      <c r="AB994">
        <v>1.1</v>
      </c>
    </row>
    <row r="995">
      <c r="A995" t="s">
        <v>2904</v>
      </c>
      <c r="B995" t="s">
        <v>1531</v>
      </c>
      <c r="C995" t="s">
        <v>1531</v>
      </c>
      <c r="D995" t="s">
        <v>1824</v>
      </c>
      <c r="E995" t="s">
        <v>2905</v>
      </c>
      <c r="F995" t="s">
        <v>298</v>
      </c>
      <c r="G995" t="s">
        <v>1826</v>
      </c>
      <c r="H995" t="s">
        <v>1526</v>
      </c>
      <c r="I995" t="s">
        <v>1844</v>
      </c>
      <c r="J995" t="s">
        <v>1048</v>
      </c>
      <c r="K995" t="s">
        <v>1529</v>
      </c>
      <c r="L995">
        <v>100</v>
      </c>
      <c r="M995" s="37">
        <v>0</v>
      </c>
      <c r="N995" s="37">
        <v>0.1</v>
      </c>
      <c r="O995">
        <v>0</v>
      </c>
      <c r="P995" s="37">
        <v>0.477</v>
      </c>
      <c r="Q995">
        <v>0.43</v>
      </c>
      <c r="R995">
        <v>4241.76</v>
      </c>
      <c r="S995">
        <v>4327.47</v>
      </c>
      <c r="T995">
        <v>6000</v>
      </c>
      <c r="U995" t="s">
        <v>2840</v>
      </c>
      <c r="Z995" s="37">
        <v>1</v>
      </c>
      <c r="AA995" s="37">
        <v>0.1</v>
      </c>
      <c r="AB995">
        <v>1.1</v>
      </c>
    </row>
    <row r="996">
      <c r="A996" t="s">
        <v>2904</v>
      </c>
      <c r="B996" t="s">
        <v>1531</v>
      </c>
      <c r="C996" t="s">
        <v>1531</v>
      </c>
      <c r="D996" t="s">
        <v>1824</v>
      </c>
      <c r="E996" t="s">
        <v>2905</v>
      </c>
      <c r="F996" t="s">
        <v>298</v>
      </c>
      <c r="G996" t="s">
        <v>1826</v>
      </c>
      <c r="H996" t="s">
        <v>1495</v>
      </c>
      <c r="I996" t="s">
        <v>1496</v>
      </c>
      <c r="J996" t="s">
        <v>2912</v>
      </c>
      <c r="K996" t="s">
        <v>2913</v>
      </c>
      <c r="L996">
        <v>100</v>
      </c>
      <c r="M996" s="37">
        <v>0</v>
      </c>
      <c r="N996" s="37">
        <v>0.15</v>
      </c>
      <c r="O996">
        <v>0</v>
      </c>
      <c r="P996" s="37">
        <v>0.477</v>
      </c>
      <c r="Q996">
        <v>0.43</v>
      </c>
      <c r="R996">
        <v>4241.76</v>
      </c>
      <c r="S996">
        <v>4327.47</v>
      </c>
      <c r="T996">
        <v>6000</v>
      </c>
      <c r="U996" t="s">
        <v>2840</v>
      </c>
      <c r="Z996" s="37">
        <v>1</v>
      </c>
      <c r="AA996" s="37">
        <v>0.1</v>
      </c>
      <c r="AB996">
        <v>1.1</v>
      </c>
    </row>
    <row r="997">
      <c r="A997" t="s">
        <v>2914</v>
      </c>
      <c r="B997" t="s">
        <v>2915</v>
      </c>
      <c r="C997" t="s">
        <v>2915</v>
      </c>
      <c r="D997" t="s">
        <v>1824</v>
      </c>
      <c r="E997" t="s">
        <v>2916</v>
      </c>
      <c r="F997" t="s">
        <v>298</v>
      </c>
      <c r="G997" t="s">
        <v>1826</v>
      </c>
      <c r="H997" t="s">
        <v>1491</v>
      </c>
      <c r="I997" t="s">
        <v>1611</v>
      </c>
      <c r="J997" t="s">
        <v>1839</v>
      </c>
      <c r="K997" t="s">
        <v>2917</v>
      </c>
      <c r="L997">
        <v>100</v>
      </c>
      <c r="M997" s="37">
        <v>0.56</v>
      </c>
      <c r="N997" s="37">
        <v>0.5</v>
      </c>
      <c r="O997">
        <v>0.452</v>
      </c>
      <c r="P997" s="37">
        <v>0.63</v>
      </c>
      <c r="Q997">
        <v>0.54</v>
      </c>
      <c r="R997">
        <v>4731.92</v>
      </c>
      <c r="S997">
        <v>4817.63</v>
      </c>
      <c r="T997">
        <v>6000</v>
      </c>
      <c r="U997" t="s">
        <v>2840</v>
      </c>
      <c r="Z997" s="37">
        <v>1</v>
      </c>
      <c r="AA997" s="37">
        <v>0.1</v>
      </c>
      <c r="AB997">
        <v>1.1</v>
      </c>
    </row>
    <row r="998">
      <c r="A998" t="s">
        <v>2914</v>
      </c>
      <c r="B998" t="s">
        <v>2915</v>
      </c>
      <c r="C998" t="s">
        <v>2915</v>
      </c>
      <c r="D998" t="s">
        <v>1824</v>
      </c>
      <c r="E998" t="s">
        <v>2916</v>
      </c>
      <c r="F998" t="s">
        <v>298</v>
      </c>
      <c r="G998" t="s">
        <v>1826</v>
      </c>
      <c r="H998" t="s">
        <v>1512</v>
      </c>
      <c r="I998" t="s">
        <v>2918</v>
      </c>
      <c r="J998" t="s">
        <v>2919</v>
      </c>
      <c r="K998" t="s">
        <v>2920</v>
      </c>
      <c r="L998">
        <v>100</v>
      </c>
      <c r="M998" s="37">
        <v>0.92</v>
      </c>
      <c r="N998" s="37">
        <v>0.1</v>
      </c>
      <c r="O998">
        <v>0.923</v>
      </c>
      <c r="P998" s="37">
        <v>0.63</v>
      </c>
      <c r="Q998">
        <v>0.54</v>
      </c>
      <c r="R998">
        <v>4731.92</v>
      </c>
      <c r="S998">
        <v>4817.63</v>
      </c>
      <c r="T998">
        <v>6000</v>
      </c>
      <c r="U998" t="s">
        <v>2840</v>
      </c>
      <c r="Z998" s="37">
        <v>1</v>
      </c>
      <c r="AA998" s="37">
        <v>0.1</v>
      </c>
      <c r="AB998">
        <v>1.1</v>
      </c>
    </row>
    <row r="999">
      <c r="A999" t="s">
        <v>2914</v>
      </c>
      <c r="B999" t="s">
        <v>2915</v>
      </c>
      <c r="C999" t="s">
        <v>2915</v>
      </c>
      <c r="D999" t="s">
        <v>1824</v>
      </c>
      <c r="E999" t="s">
        <v>2916</v>
      </c>
      <c r="F999" t="s">
        <v>298</v>
      </c>
      <c r="G999" t="s">
        <v>1826</v>
      </c>
      <c r="H999" t="s">
        <v>1526</v>
      </c>
      <c r="I999" t="s">
        <v>2910</v>
      </c>
      <c r="J999" t="s">
        <v>2921</v>
      </c>
      <c r="K999" t="s">
        <v>2922</v>
      </c>
      <c r="L999">
        <v>100</v>
      </c>
      <c r="M999" s="37">
        <v>1.72</v>
      </c>
      <c r="N999" s="37">
        <v>0.15</v>
      </c>
      <c r="O999">
        <v>1.5</v>
      </c>
      <c r="P999" s="37">
        <v>0.63</v>
      </c>
      <c r="Q999">
        <v>0.54</v>
      </c>
      <c r="R999">
        <v>4731.92</v>
      </c>
      <c r="S999">
        <v>4817.63</v>
      </c>
      <c r="T999">
        <v>6000</v>
      </c>
      <c r="U999" t="s">
        <v>2840</v>
      </c>
      <c r="Z999" s="37">
        <v>1</v>
      </c>
      <c r="AA999" s="37">
        <v>0.1</v>
      </c>
      <c r="AB999">
        <v>1.1</v>
      </c>
    </row>
    <row r="1000">
      <c r="A1000" t="s">
        <v>2914</v>
      </c>
      <c r="B1000" t="s">
        <v>2915</v>
      </c>
      <c r="C1000" t="s">
        <v>2915</v>
      </c>
      <c r="D1000" t="s">
        <v>1824</v>
      </c>
      <c r="E1000" t="s">
        <v>2916</v>
      </c>
      <c r="F1000" t="s">
        <v>298</v>
      </c>
      <c r="G1000" t="s">
        <v>1826</v>
      </c>
      <c r="H1000" t="s">
        <v>1526</v>
      </c>
      <c r="I1000" t="s">
        <v>2923</v>
      </c>
      <c r="J1000" t="s">
        <v>1920</v>
      </c>
      <c r="K1000" t="s">
        <v>2924</v>
      </c>
      <c r="L1000">
        <v>100</v>
      </c>
      <c r="M1000" s="37">
        <v>0</v>
      </c>
      <c r="N1000" s="37">
        <v>0.1</v>
      </c>
      <c r="O1000">
        <v>0</v>
      </c>
      <c r="P1000" s="37">
        <v>0.63</v>
      </c>
      <c r="Q1000">
        <v>0.54</v>
      </c>
      <c r="R1000">
        <v>4731.92</v>
      </c>
      <c r="S1000">
        <v>4817.63</v>
      </c>
      <c r="T1000">
        <v>6000</v>
      </c>
      <c r="U1000" t="s">
        <v>2840</v>
      </c>
      <c r="Z1000" s="37">
        <v>1</v>
      </c>
      <c r="AA1000" s="37">
        <v>0.1</v>
      </c>
      <c r="AB1000">
        <v>1.1</v>
      </c>
    </row>
    <row r="1001">
      <c r="A1001" t="s">
        <v>2914</v>
      </c>
      <c r="B1001" t="s">
        <v>2915</v>
      </c>
      <c r="C1001" t="s">
        <v>2915</v>
      </c>
      <c r="D1001" t="s">
        <v>1824</v>
      </c>
      <c r="E1001" t="s">
        <v>2916</v>
      </c>
      <c r="F1001" t="s">
        <v>298</v>
      </c>
      <c r="G1001" t="s">
        <v>1826</v>
      </c>
      <c r="H1001" t="s">
        <v>1495</v>
      </c>
      <c r="I1001" t="s">
        <v>1496</v>
      </c>
      <c r="J1001" t="s">
        <v>1535</v>
      </c>
      <c r="K1001" t="s">
        <v>2925</v>
      </c>
      <c r="L1001">
        <v>100</v>
      </c>
      <c r="M1001" s="37">
        <v>0</v>
      </c>
      <c r="N1001" s="37">
        <v>0.15</v>
      </c>
      <c r="O1001">
        <v>0</v>
      </c>
      <c r="P1001" s="37">
        <v>0.63</v>
      </c>
      <c r="Q1001">
        <v>0.54</v>
      </c>
      <c r="R1001">
        <v>4731.92</v>
      </c>
      <c r="S1001">
        <v>4817.63</v>
      </c>
      <c r="T1001">
        <v>6000</v>
      </c>
      <c r="U1001" t="s">
        <v>2840</v>
      </c>
      <c r="Z1001" s="37">
        <v>1</v>
      </c>
      <c r="AA1001" s="37">
        <v>0.1</v>
      </c>
      <c r="AB1001">
        <v>1.1</v>
      </c>
    </row>
    <row r="1002">
      <c r="A1002" t="s">
        <v>2926</v>
      </c>
      <c r="B1002" t="s">
        <v>2927</v>
      </c>
      <c r="C1002" t="s">
        <v>2927</v>
      </c>
      <c r="D1002" t="s">
        <v>1824</v>
      </c>
      <c r="E1002" t="s">
        <v>2928</v>
      </c>
      <c r="F1002" t="s">
        <v>298</v>
      </c>
      <c r="G1002" t="s">
        <v>1826</v>
      </c>
      <c r="H1002" t="s">
        <v>1526</v>
      </c>
      <c r="I1002" t="s">
        <v>2929</v>
      </c>
      <c r="J1002" t="s">
        <v>2930</v>
      </c>
      <c r="K1002" t="s">
        <v>2931</v>
      </c>
      <c r="L1002">
        <v>100</v>
      </c>
      <c r="M1002" s="37">
        <v>0.99</v>
      </c>
      <c r="N1002" s="37">
        <v>0.5</v>
      </c>
      <c r="O1002">
        <v>0.99</v>
      </c>
      <c r="P1002" s="37">
        <v>1.6965</v>
      </c>
      <c r="Q1002">
        <v>0.98</v>
      </c>
      <c r="R1002">
        <v>6133.27</v>
      </c>
      <c r="S1002">
        <v>6218.98</v>
      </c>
      <c r="T1002">
        <v>6000</v>
      </c>
      <c r="U1002" t="s">
        <v>2840</v>
      </c>
      <c r="Z1002" s="37">
        <v>1</v>
      </c>
      <c r="AA1002" s="37">
        <v>0.1</v>
      </c>
      <c r="AB1002">
        <v>1.1</v>
      </c>
    </row>
    <row r="1003">
      <c r="A1003" t="s">
        <v>2926</v>
      </c>
      <c r="B1003" t="s">
        <v>2927</v>
      </c>
      <c r="C1003" t="s">
        <v>2927</v>
      </c>
      <c r="D1003" t="s">
        <v>1824</v>
      </c>
      <c r="E1003" t="s">
        <v>2928</v>
      </c>
      <c r="F1003" t="s">
        <v>298</v>
      </c>
      <c r="G1003" t="s">
        <v>1826</v>
      </c>
      <c r="H1003" t="s">
        <v>1526</v>
      </c>
      <c r="I1003" t="s">
        <v>1513</v>
      </c>
      <c r="J1003" t="s">
        <v>1595</v>
      </c>
      <c r="K1003" t="s">
        <v>2932</v>
      </c>
      <c r="L1003">
        <v>100</v>
      </c>
      <c r="M1003" s="37">
        <v>1.06</v>
      </c>
      <c r="N1003" s="37">
        <v>0.1</v>
      </c>
      <c r="O1003">
        <v>1.06</v>
      </c>
      <c r="P1003" s="37">
        <v>1.6965</v>
      </c>
      <c r="Q1003">
        <v>0.98</v>
      </c>
      <c r="R1003">
        <v>6133.27</v>
      </c>
      <c r="S1003">
        <v>6218.98</v>
      </c>
      <c r="T1003">
        <v>6000</v>
      </c>
      <c r="U1003" t="s">
        <v>2840</v>
      </c>
      <c r="Z1003" s="37">
        <v>1</v>
      </c>
      <c r="AA1003" s="37">
        <v>0.1</v>
      </c>
      <c r="AB1003">
        <v>1.1</v>
      </c>
    </row>
    <row r="1004">
      <c r="A1004" t="s">
        <v>2926</v>
      </c>
      <c r="B1004" t="s">
        <v>2927</v>
      </c>
      <c r="C1004" t="s">
        <v>2927</v>
      </c>
      <c r="D1004" t="s">
        <v>1824</v>
      </c>
      <c r="E1004" t="s">
        <v>2928</v>
      </c>
      <c r="F1004" t="s">
        <v>298</v>
      </c>
      <c r="G1004" t="s">
        <v>1826</v>
      </c>
      <c r="H1004" t="s">
        <v>1526</v>
      </c>
      <c r="I1004" t="s">
        <v>2902</v>
      </c>
      <c r="J1004" t="s">
        <v>2933</v>
      </c>
      <c r="K1004" t="s">
        <v>2934</v>
      </c>
      <c r="L1004">
        <v>100</v>
      </c>
      <c r="M1004" s="37">
        <v>3.29</v>
      </c>
      <c r="N1004" s="37">
        <v>0.15</v>
      </c>
      <c r="O1004">
        <v>1.5</v>
      </c>
      <c r="P1004" s="37">
        <v>1.6965</v>
      </c>
      <c r="Q1004">
        <v>0.98</v>
      </c>
      <c r="R1004">
        <v>6133.27</v>
      </c>
      <c r="S1004">
        <v>6218.98</v>
      </c>
      <c r="T1004">
        <v>6000</v>
      </c>
      <c r="U1004" t="s">
        <v>2840</v>
      </c>
      <c r="Z1004" s="37">
        <v>1</v>
      </c>
      <c r="AA1004" s="37">
        <v>0.1</v>
      </c>
      <c r="AB1004">
        <v>1.1</v>
      </c>
    </row>
    <row r="1005">
      <c r="A1005" t="s">
        <v>2926</v>
      </c>
      <c r="B1005" t="s">
        <v>2927</v>
      </c>
      <c r="C1005" t="s">
        <v>2927</v>
      </c>
      <c r="D1005" t="s">
        <v>1824</v>
      </c>
      <c r="E1005" t="s">
        <v>2928</v>
      </c>
      <c r="F1005" t="s">
        <v>298</v>
      </c>
      <c r="G1005" t="s">
        <v>1826</v>
      </c>
      <c r="H1005" t="s">
        <v>1526</v>
      </c>
      <c r="I1005" t="s">
        <v>2935</v>
      </c>
      <c r="J1005" t="s">
        <v>1048</v>
      </c>
      <c r="K1005" t="s">
        <v>2936</v>
      </c>
      <c r="L1005">
        <v>100</v>
      </c>
      <c r="M1005" s="37">
        <v>6.02</v>
      </c>
      <c r="N1005" s="37">
        <v>0.1</v>
      </c>
      <c r="O1005">
        <v>1.5</v>
      </c>
      <c r="P1005" s="37">
        <v>1.6965</v>
      </c>
      <c r="Q1005">
        <v>0.98</v>
      </c>
      <c r="R1005">
        <v>6133.27</v>
      </c>
      <c r="S1005">
        <v>6218.98</v>
      </c>
      <c r="T1005">
        <v>6000</v>
      </c>
      <c r="U1005" t="s">
        <v>2840</v>
      </c>
      <c r="Z1005" s="37">
        <v>1</v>
      </c>
      <c r="AA1005" s="37">
        <v>0.1</v>
      </c>
      <c r="AB1005">
        <v>1.1</v>
      </c>
    </row>
    <row r="1006">
      <c r="A1006" t="s">
        <v>2926</v>
      </c>
      <c r="B1006" t="s">
        <v>2927</v>
      </c>
      <c r="C1006" t="s">
        <v>2927</v>
      </c>
      <c r="D1006" t="s">
        <v>1824</v>
      </c>
      <c r="E1006" t="s">
        <v>2928</v>
      </c>
      <c r="F1006" t="s">
        <v>298</v>
      </c>
      <c r="G1006" t="s">
        <v>1826</v>
      </c>
      <c r="H1006" t="s">
        <v>1526</v>
      </c>
      <c r="I1006" t="s">
        <v>1834</v>
      </c>
      <c r="J1006" t="s">
        <v>2912</v>
      </c>
      <c r="K1006" t="s">
        <v>2913</v>
      </c>
      <c r="L1006">
        <v>100</v>
      </c>
      <c r="M1006" s="37">
        <v>0</v>
      </c>
      <c r="N1006" s="37">
        <v>0.15</v>
      </c>
      <c r="O1006">
        <v>0</v>
      </c>
      <c r="P1006" s="37">
        <v>1.6965</v>
      </c>
      <c r="Q1006">
        <v>0.98</v>
      </c>
      <c r="R1006">
        <v>6133.27</v>
      </c>
      <c r="S1006">
        <v>6218.98</v>
      </c>
      <c r="T1006">
        <v>6000</v>
      </c>
      <c r="U1006" t="s">
        <v>2840</v>
      </c>
      <c r="Z1006" s="37">
        <v>1</v>
      </c>
      <c r="AA1006" s="37">
        <v>0.1</v>
      </c>
      <c r="AB1006">
        <v>1.1</v>
      </c>
    </row>
    <row r="1007">
      <c r="A1007" t="s">
        <v>2937</v>
      </c>
      <c r="B1007" t="s">
        <v>2938</v>
      </c>
      <c r="C1007" t="s">
        <v>2938</v>
      </c>
      <c r="D1007" t="s">
        <v>1824</v>
      </c>
      <c r="E1007" t="s">
        <v>2939</v>
      </c>
      <c r="F1007" t="s">
        <v>298</v>
      </c>
      <c r="G1007" t="s">
        <v>1826</v>
      </c>
      <c r="H1007" t="s">
        <v>1491</v>
      </c>
      <c r="J1007" t="s">
        <v>2940</v>
      </c>
      <c r="K1007" t="s">
        <v>2941</v>
      </c>
      <c r="L1007">
        <v>100</v>
      </c>
      <c r="M1007" s="37">
        <v>0.39</v>
      </c>
      <c r="N1007" s="37">
        <v>0.5</v>
      </c>
      <c r="O1007">
        <v>0.314</v>
      </c>
      <c r="P1007" s="37">
        <v>0.589</v>
      </c>
      <c r="Q1007">
        <v>0.55</v>
      </c>
      <c r="R1007">
        <v>5184.37</v>
      </c>
      <c r="S1007">
        <v>5270.08</v>
      </c>
      <c r="T1007">
        <v>6000</v>
      </c>
      <c r="U1007" t="s">
        <v>2840</v>
      </c>
      <c r="Z1007" s="37">
        <v>1</v>
      </c>
      <c r="AA1007" s="37">
        <v>0.1</v>
      </c>
      <c r="AB1007">
        <v>1.1</v>
      </c>
    </row>
    <row r="1008">
      <c r="A1008" t="s">
        <v>2937</v>
      </c>
      <c r="B1008" t="s">
        <v>2938</v>
      </c>
      <c r="C1008" t="s">
        <v>2938</v>
      </c>
      <c r="D1008" t="s">
        <v>1824</v>
      </c>
      <c r="E1008" t="s">
        <v>2939</v>
      </c>
      <c r="F1008" t="s">
        <v>298</v>
      </c>
      <c r="G1008" t="s">
        <v>1826</v>
      </c>
      <c r="H1008" t="s">
        <v>1526</v>
      </c>
      <c r="I1008" t="s">
        <v>1507</v>
      </c>
      <c r="J1008" t="s">
        <v>1842</v>
      </c>
      <c r="K1008" t="s">
        <v>1842</v>
      </c>
      <c r="L1008">
        <v>100</v>
      </c>
      <c r="M1008" s="37">
        <v>1</v>
      </c>
      <c r="N1008" s="37">
        <v>0.15</v>
      </c>
      <c r="O1008">
        <v>1.003</v>
      </c>
      <c r="P1008" s="37">
        <v>0.589</v>
      </c>
      <c r="Q1008">
        <v>0.55</v>
      </c>
      <c r="R1008">
        <v>5184.37</v>
      </c>
      <c r="S1008">
        <v>5270.08</v>
      </c>
      <c r="T1008">
        <v>6000</v>
      </c>
      <c r="U1008" t="s">
        <v>2840</v>
      </c>
      <c r="Z1008" s="37">
        <v>1</v>
      </c>
      <c r="AA1008" s="37">
        <v>0.1</v>
      </c>
      <c r="AB1008">
        <v>1.1</v>
      </c>
    </row>
    <row r="1009">
      <c r="A1009" t="s">
        <v>2937</v>
      </c>
      <c r="B1009" t="s">
        <v>2938</v>
      </c>
      <c r="C1009" t="s">
        <v>2938</v>
      </c>
      <c r="D1009" t="s">
        <v>1824</v>
      </c>
      <c r="E1009" t="s">
        <v>2939</v>
      </c>
      <c r="F1009" t="s">
        <v>298</v>
      </c>
      <c r="G1009" t="s">
        <v>1826</v>
      </c>
      <c r="H1009" t="s">
        <v>1512</v>
      </c>
      <c r="J1009" t="s">
        <v>2942</v>
      </c>
      <c r="K1009" t="s">
        <v>2943</v>
      </c>
      <c r="L1009">
        <v>100</v>
      </c>
      <c r="M1009" s="37">
        <v>1.07</v>
      </c>
      <c r="N1009" s="37">
        <v>0.1</v>
      </c>
      <c r="O1009">
        <v>1.071</v>
      </c>
      <c r="P1009" s="37">
        <v>0.589</v>
      </c>
      <c r="Q1009">
        <v>0.55</v>
      </c>
      <c r="R1009">
        <v>5184.37</v>
      </c>
      <c r="S1009">
        <v>5270.08</v>
      </c>
      <c r="T1009">
        <v>6000</v>
      </c>
      <c r="U1009" t="s">
        <v>2840</v>
      </c>
      <c r="Z1009" s="37">
        <v>1</v>
      </c>
      <c r="AA1009" s="37">
        <v>0.1</v>
      </c>
      <c r="AB1009">
        <v>1.1</v>
      </c>
    </row>
    <row r="1010">
      <c r="A1010" t="s">
        <v>2937</v>
      </c>
      <c r="B1010" t="s">
        <v>2938</v>
      </c>
      <c r="C1010" t="s">
        <v>2938</v>
      </c>
      <c r="D1010" t="s">
        <v>1824</v>
      </c>
      <c r="E1010" t="s">
        <v>2939</v>
      </c>
      <c r="F1010" t="s">
        <v>298</v>
      </c>
      <c r="G1010" t="s">
        <v>1826</v>
      </c>
      <c r="H1010" t="s">
        <v>1495</v>
      </c>
      <c r="J1010" t="s">
        <v>1535</v>
      </c>
      <c r="K1010" t="s">
        <v>2925</v>
      </c>
      <c r="L1010">
        <v>100</v>
      </c>
      <c r="M1010" s="37">
        <v>0</v>
      </c>
      <c r="N1010" s="37">
        <v>0.15</v>
      </c>
      <c r="O1010">
        <v>0</v>
      </c>
      <c r="P1010" s="37">
        <v>0.589</v>
      </c>
      <c r="Q1010">
        <v>0.55</v>
      </c>
      <c r="R1010">
        <v>5184.37</v>
      </c>
      <c r="S1010">
        <v>5270.08</v>
      </c>
      <c r="T1010">
        <v>6000</v>
      </c>
      <c r="U1010" t="s">
        <v>2840</v>
      </c>
      <c r="Z1010" s="37">
        <v>1</v>
      </c>
      <c r="AA1010" s="37">
        <v>0.1</v>
      </c>
      <c r="AB1010">
        <v>1.1</v>
      </c>
    </row>
    <row r="1011">
      <c r="A1011" t="s">
        <v>2937</v>
      </c>
      <c r="B1011" t="s">
        <v>2938</v>
      </c>
      <c r="C1011" t="s">
        <v>2938</v>
      </c>
      <c r="D1011" t="s">
        <v>1824</v>
      </c>
      <c r="E1011" t="s">
        <v>2939</v>
      </c>
      <c r="F1011" t="s">
        <v>298</v>
      </c>
      <c r="G1011" t="s">
        <v>1826</v>
      </c>
      <c r="H1011" t="s">
        <v>1526</v>
      </c>
      <c r="I1011" t="s">
        <v>1547</v>
      </c>
      <c r="J1011" t="s">
        <v>1920</v>
      </c>
      <c r="K1011" t="s">
        <v>2944</v>
      </c>
      <c r="L1011">
        <v>100</v>
      </c>
      <c r="M1011" s="37">
        <v>1.37</v>
      </c>
      <c r="N1011" s="37">
        <v>0.1</v>
      </c>
      <c r="O1011">
        <v>1.367</v>
      </c>
      <c r="P1011" s="37">
        <v>0.589</v>
      </c>
      <c r="Q1011">
        <v>0.55</v>
      </c>
      <c r="R1011">
        <v>5184.37</v>
      </c>
      <c r="S1011">
        <v>5270.08</v>
      </c>
      <c r="T1011">
        <v>6000</v>
      </c>
      <c r="U1011" t="s">
        <v>2840</v>
      </c>
      <c r="Z1011" s="37">
        <v>1</v>
      </c>
      <c r="AA1011" s="37">
        <v>0.1</v>
      </c>
      <c r="AB1011">
        <v>1.1</v>
      </c>
    </row>
    <row r="1012">
      <c r="A1012" t="s">
        <v>2945</v>
      </c>
      <c r="B1012" t="s">
        <v>1966</v>
      </c>
      <c r="C1012" t="s">
        <v>1966</v>
      </c>
      <c r="D1012" t="s">
        <v>2946</v>
      </c>
      <c r="E1012" t="s">
        <v>2947</v>
      </c>
      <c r="F1012" t="s">
        <v>298</v>
      </c>
      <c r="G1012" t="s">
        <v>2948</v>
      </c>
      <c r="H1012" t="s">
        <v>2949</v>
      </c>
      <c r="I1012" t="s">
        <v>2950</v>
      </c>
      <c r="J1012" t="s">
        <v>2940</v>
      </c>
      <c r="K1012" t="s">
        <v>2951</v>
      </c>
      <c r="L1012">
        <v>100</v>
      </c>
      <c r="M1012" s="37">
        <v>1.25</v>
      </c>
      <c r="N1012" s="37">
        <v>0.4</v>
      </c>
      <c r="O1012">
        <v>1.25</v>
      </c>
      <c r="P1012" s="37">
        <v>1.6352</v>
      </c>
      <c r="Q1012">
        <v>1.4</v>
      </c>
      <c r="R1012">
        <v>2520</v>
      </c>
      <c r="S1012">
        <v>2520</v>
      </c>
      <c r="T1012">
        <v>3000</v>
      </c>
      <c r="U1012" t="s">
        <v>2840</v>
      </c>
      <c r="Z1012" s="37">
        <v>1</v>
      </c>
      <c r="AA1012" s="37">
        <v>0.1</v>
      </c>
      <c r="AB1012">
        <v>1.1</v>
      </c>
    </row>
    <row r="1013">
      <c r="A1013" t="s">
        <v>2945</v>
      </c>
      <c r="B1013" t="s">
        <v>1966</v>
      </c>
      <c r="C1013" t="s">
        <v>1966</v>
      </c>
      <c r="D1013" t="s">
        <v>2946</v>
      </c>
      <c r="E1013" t="s">
        <v>2947</v>
      </c>
      <c r="F1013" t="s">
        <v>298</v>
      </c>
      <c r="G1013" t="s">
        <v>2948</v>
      </c>
      <c r="H1013" t="s">
        <v>2952</v>
      </c>
      <c r="I1013" t="s">
        <v>2953</v>
      </c>
      <c r="J1013" t="s">
        <v>1842</v>
      </c>
      <c r="K1013" t="s">
        <v>2954</v>
      </c>
      <c r="L1013">
        <v>100</v>
      </c>
      <c r="M1013" s="37">
        <v>1.892</v>
      </c>
      <c r="N1013" s="37">
        <v>0.3</v>
      </c>
      <c r="O1013">
        <v>1.5</v>
      </c>
      <c r="P1013" s="37">
        <v>1.6352</v>
      </c>
      <c r="Q1013">
        <v>1.4</v>
      </c>
      <c r="R1013">
        <v>2520</v>
      </c>
      <c r="S1013">
        <v>2520</v>
      </c>
      <c r="T1013">
        <v>3000</v>
      </c>
      <c r="U1013" t="s">
        <v>2840</v>
      </c>
      <c r="Z1013" s="37">
        <v>1</v>
      </c>
      <c r="AA1013" s="37">
        <v>0.1</v>
      </c>
      <c r="AB1013">
        <v>1.1</v>
      </c>
    </row>
    <row r="1014">
      <c r="A1014" t="s">
        <v>2945</v>
      </c>
      <c r="B1014" t="s">
        <v>1966</v>
      </c>
      <c r="C1014" t="s">
        <v>1966</v>
      </c>
      <c r="D1014" t="s">
        <v>2946</v>
      </c>
      <c r="E1014" t="s">
        <v>2947</v>
      </c>
      <c r="F1014" t="s">
        <v>298</v>
      </c>
      <c r="G1014" t="s">
        <v>2948</v>
      </c>
      <c r="H1014" t="s">
        <v>2949</v>
      </c>
      <c r="I1014" t="s">
        <v>2955</v>
      </c>
      <c r="J1014" t="s">
        <v>2956</v>
      </c>
      <c r="K1014" t="s">
        <v>2957</v>
      </c>
      <c r="L1014">
        <v>100</v>
      </c>
      <c r="M1014" s="37">
        <v>1.892</v>
      </c>
      <c r="N1014" s="37">
        <v>0.3</v>
      </c>
      <c r="O1014">
        <v>1.5</v>
      </c>
      <c r="P1014" s="37">
        <v>1.6352</v>
      </c>
      <c r="Q1014">
        <v>1.4</v>
      </c>
      <c r="R1014">
        <v>2520</v>
      </c>
      <c r="S1014">
        <v>2520</v>
      </c>
      <c r="T1014">
        <v>3000</v>
      </c>
      <c r="U1014" t="s">
        <v>2840</v>
      </c>
      <c r="Z1014" s="37">
        <v>1</v>
      </c>
      <c r="AA1014" s="37">
        <v>0.1</v>
      </c>
      <c r="AB1014">
        <v>1.1</v>
      </c>
    </row>
    <row r="1015">
      <c r="A1015" t="s">
        <v>2958</v>
      </c>
      <c r="B1015" t="s">
        <v>914</v>
      </c>
      <c r="C1015" t="s">
        <v>914</v>
      </c>
      <c r="D1015" t="s">
        <v>2946</v>
      </c>
      <c r="E1015" t="s">
        <v>2959</v>
      </c>
      <c r="F1015" t="s">
        <v>298</v>
      </c>
      <c r="G1015" t="s">
        <v>2948</v>
      </c>
      <c r="H1015" t="s">
        <v>2960</v>
      </c>
      <c r="I1015" t="s">
        <v>2961</v>
      </c>
      <c r="J1015" t="s">
        <v>2956</v>
      </c>
      <c r="L1015">
        <v>100</v>
      </c>
      <c r="M1015" s="37">
        <v>1</v>
      </c>
      <c r="N1015" s="37">
        <v>0.3</v>
      </c>
      <c r="O1015">
        <v>1</v>
      </c>
      <c r="P1015" s="37">
        <v>1</v>
      </c>
      <c r="Q1015">
        <v>1</v>
      </c>
      <c r="R1015">
        <v>3000</v>
      </c>
      <c r="S1015">
        <v>3000</v>
      </c>
      <c r="T1015">
        <v>5000</v>
      </c>
      <c r="U1015" t="s">
        <v>2840</v>
      </c>
      <c r="Z1015" s="37">
        <v>1</v>
      </c>
      <c r="AA1015" s="37">
        <v>0.1</v>
      </c>
      <c r="AB1015">
        <v>1.1</v>
      </c>
    </row>
    <row r="1016">
      <c r="A1016" t="s">
        <v>2958</v>
      </c>
      <c r="B1016" t="s">
        <v>914</v>
      </c>
      <c r="C1016" t="s">
        <v>914</v>
      </c>
      <c r="D1016" t="s">
        <v>2946</v>
      </c>
      <c r="E1016" t="s">
        <v>2959</v>
      </c>
      <c r="F1016" t="s">
        <v>298</v>
      </c>
      <c r="G1016" t="s">
        <v>2948</v>
      </c>
      <c r="H1016" t="s">
        <v>2960</v>
      </c>
      <c r="I1016" t="s">
        <v>2962</v>
      </c>
      <c r="L1016">
        <v>100</v>
      </c>
      <c r="M1016" s="37">
        <v>1</v>
      </c>
      <c r="N1016" s="37">
        <v>0.3</v>
      </c>
      <c r="O1016">
        <v>1</v>
      </c>
      <c r="P1016" s="37">
        <v>1</v>
      </c>
      <c r="Q1016">
        <v>1</v>
      </c>
      <c r="R1016">
        <v>3000</v>
      </c>
      <c r="S1016">
        <v>3000</v>
      </c>
      <c r="T1016">
        <v>5000</v>
      </c>
      <c r="U1016" t="s">
        <v>2840</v>
      </c>
      <c r="Z1016" s="37">
        <v>1</v>
      </c>
      <c r="AA1016" s="37">
        <v>0.1</v>
      </c>
      <c r="AB1016">
        <v>1.1</v>
      </c>
    </row>
    <row r="1017">
      <c r="A1017" t="s">
        <v>2958</v>
      </c>
      <c r="B1017" t="s">
        <v>914</v>
      </c>
      <c r="C1017" t="s">
        <v>914</v>
      </c>
      <c r="D1017" t="s">
        <v>2946</v>
      </c>
      <c r="E1017" t="s">
        <v>2959</v>
      </c>
      <c r="F1017" t="s">
        <v>298</v>
      </c>
      <c r="G1017" t="s">
        <v>2948</v>
      </c>
      <c r="H1017" t="s">
        <v>2960</v>
      </c>
      <c r="I1017" t="s">
        <v>2963</v>
      </c>
      <c r="L1017">
        <v>100</v>
      </c>
      <c r="M1017" s="37">
        <v>1</v>
      </c>
      <c r="N1017" s="37">
        <v>0.3</v>
      </c>
      <c r="O1017">
        <v>1</v>
      </c>
      <c r="P1017" s="37">
        <v>1</v>
      </c>
      <c r="Q1017">
        <v>1</v>
      </c>
      <c r="R1017">
        <v>3000</v>
      </c>
      <c r="S1017">
        <v>3000</v>
      </c>
      <c r="T1017">
        <v>5000</v>
      </c>
      <c r="U1017" t="s">
        <v>2840</v>
      </c>
      <c r="Z1017" s="37">
        <v>1</v>
      </c>
      <c r="AA1017" s="37">
        <v>0.1</v>
      </c>
      <c r="AB1017">
        <v>1.1</v>
      </c>
    </row>
    <row r="1018">
      <c r="A1018" t="s">
        <v>2958</v>
      </c>
      <c r="B1018" t="s">
        <v>914</v>
      </c>
      <c r="C1018" t="s">
        <v>914</v>
      </c>
      <c r="D1018" t="s">
        <v>2946</v>
      </c>
      <c r="E1018" t="s">
        <v>2959</v>
      </c>
      <c r="F1018" t="s">
        <v>298</v>
      </c>
      <c r="G1018" t="s">
        <v>2948</v>
      </c>
      <c r="H1018" t="s">
        <v>2960</v>
      </c>
      <c r="I1018" t="s">
        <v>2964</v>
      </c>
      <c r="L1018">
        <v>100</v>
      </c>
      <c r="M1018" s="37">
        <v>1</v>
      </c>
      <c r="N1018" s="37">
        <v>0.1</v>
      </c>
      <c r="O1018">
        <v>1</v>
      </c>
      <c r="P1018" s="37">
        <v>1</v>
      </c>
      <c r="Q1018">
        <v>1</v>
      </c>
      <c r="R1018">
        <v>3000</v>
      </c>
      <c r="S1018">
        <v>3000</v>
      </c>
      <c r="T1018">
        <v>5000</v>
      </c>
      <c r="U1018" t="s">
        <v>2840</v>
      </c>
      <c r="Z1018" s="37">
        <v>1</v>
      </c>
      <c r="AA1018" s="37">
        <v>0.1</v>
      </c>
      <c r="AB1018">
        <v>1.1</v>
      </c>
    </row>
    <row r="1019">
      <c r="A1019" t="s">
        <v>2965</v>
      </c>
      <c r="B1019" t="s">
        <v>2966</v>
      </c>
      <c r="C1019" t="s">
        <v>2966</v>
      </c>
      <c r="D1019" t="s">
        <v>2967</v>
      </c>
      <c r="E1019" t="s">
        <v>2968</v>
      </c>
      <c r="F1019" t="s">
        <v>298</v>
      </c>
      <c r="G1019" t="s">
        <v>2948</v>
      </c>
      <c r="H1019" t="s">
        <v>2949</v>
      </c>
      <c r="I1019" t="s">
        <v>2969</v>
      </c>
      <c r="J1019">
        <v>100</v>
      </c>
      <c r="K1019">
        <v>100</v>
      </c>
      <c r="L1019">
        <v>100</v>
      </c>
      <c r="M1019" s="37">
        <v>1</v>
      </c>
      <c r="N1019" s="37">
        <v>0.3</v>
      </c>
      <c r="O1019">
        <v>0.3</v>
      </c>
      <c r="P1019" s="37">
        <v>0.9774</v>
      </c>
      <c r="Q1019">
        <v>0.97</v>
      </c>
      <c r="R1019">
        <v>2910</v>
      </c>
      <c r="S1019">
        <v>2910</v>
      </c>
      <c r="T1019">
        <v>5000</v>
      </c>
      <c r="U1019" t="s">
        <v>2840</v>
      </c>
      <c r="Z1019" s="37">
        <v>1</v>
      </c>
      <c r="AA1019" s="37">
        <v>0.1</v>
      </c>
      <c r="AB1019">
        <v>1.1</v>
      </c>
    </row>
    <row r="1020">
      <c r="A1020" t="s">
        <v>2965</v>
      </c>
      <c r="B1020" t="s">
        <v>2966</v>
      </c>
      <c r="C1020" t="s">
        <v>2966</v>
      </c>
      <c r="D1020" t="s">
        <v>2967</v>
      </c>
      <c r="E1020" t="s">
        <v>2968</v>
      </c>
      <c r="F1020" t="s">
        <v>298</v>
      </c>
      <c r="G1020" t="s">
        <v>2948</v>
      </c>
      <c r="H1020" t="s">
        <v>2960</v>
      </c>
      <c r="I1020" t="s">
        <v>2970</v>
      </c>
      <c r="J1020">
        <v>100</v>
      </c>
      <c r="L1020">
        <v>100</v>
      </c>
      <c r="M1020" s="37">
        <v>1</v>
      </c>
      <c r="N1020" s="37">
        <v>0.25</v>
      </c>
      <c r="O1020">
        <v>0.25</v>
      </c>
      <c r="P1020" s="37">
        <v>0.9774</v>
      </c>
      <c r="Q1020">
        <v>0.97</v>
      </c>
      <c r="R1020">
        <v>2910</v>
      </c>
      <c r="S1020">
        <v>2910</v>
      </c>
      <c r="T1020">
        <v>5000</v>
      </c>
      <c r="U1020" t="s">
        <v>2840</v>
      </c>
      <c r="Z1020" s="37">
        <v>1</v>
      </c>
      <c r="AA1020" s="37">
        <v>0.1</v>
      </c>
      <c r="AB1020">
        <v>1.1</v>
      </c>
    </row>
    <row r="1021">
      <c r="A1021" t="s">
        <v>2965</v>
      </c>
      <c r="B1021" t="s">
        <v>2966</v>
      </c>
      <c r="C1021" t="s">
        <v>2966</v>
      </c>
      <c r="D1021" t="s">
        <v>2967</v>
      </c>
      <c r="E1021" t="s">
        <v>2968</v>
      </c>
      <c r="F1021" t="s">
        <v>298</v>
      </c>
      <c r="G1021" t="s">
        <v>2948</v>
      </c>
      <c r="H1021" t="s">
        <v>2952</v>
      </c>
      <c r="I1021" t="s">
        <v>2971</v>
      </c>
      <c r="J1021">
        <v>100</v>
      </c>
      <c r="K1021">
        <v>100</v>
      </c>
      <c r="L1021">
        <v>100</v>
      </c>
      <c r="M1021" s="37">
        <v>1</v>
      </c>
      <c r="N1021" s="37">
        <v>0.25</v>
      </c>
      <c r="O1021">
        <v>0.25</v>
      </c>
      <c r="P1021" s="37">
        <v>0.9774</v>
      </c>
      <c r="Q1021">
        <v>0.97</v>
      </c>
      <c r="R1021">
        <v>2910</v>
      </c>
      <c r="S1021">
        <v>2910</v>
      </c>
      <c r="T1021">
        <v>5000</v>
      </c>
      <c r="U1021" t="s">
        <v>2840</v>
      </c>
      <c r="Z1021" s="37">
        <v>1</v>
      </c>
      <c r="AA1021" s="37">
        <v>0.1</v>
      </c>
      <c r="AB1021">
        <v>1.1</v>
      </c>
    </row>
    <row r="1022">
      <c r="A1022" t="s">
        <v>2965</v>
      </c>
      <c r="B1022" t="s">
        <v>2966</v>
      </c>
      <c r="C1022" t="s">
        <v>2966</v>
      </c>
      <c r="D1022" t="s">
        <v>2967</v>
      </c>
      <c r="E1022" t="s">
        <v>2968</v>
      </c>
      <c r="F1022" t="s">
        <v>298</v>
      </c>
      <c r="G1022" t="s">
        <v>2948</v>
      </c>
      <c r="H1022" t="s">
        <v>2949</v>
      </c>
      <c r="I1022" t="s">
        <v>2972</v>
      </c>
      <c r="J1022">
        <v>100</v>
      </c>
      <c r="K1022" s="37">
        <v>0.887</v>
      </c>
      <c r="L1022">
        <v>100</v>
      </c>
      <c r="M1022" s="37">
        <v>0.887</v>
      </c>
      <c r="N1022" s="37">
        <v>0.2</v>
      </c>
      <c r="O1022">
        <v>0.17</v>
      </c>
      <c r="P1022" s="37">
        <v>0.9774</v>
      </c>
      <c r="Q1022">
        <v>0.97</v>
      </c>
      <c r="R1022">
        <v>2910</v>
      </c>
      <c r="S1022">
        <v>2910</v>
      </c>
      <c r="T1022">
        <v>5000</v>
      </c>
      <c r="U1022" t="s">
        <v>2840</v>
      </c>
      <c r="Z1022" s="37">
        <v>1</v>
      </c>
      <c r="AA1022" s="37">
        <v>0.1</v>
      </c>
      <c r="AB1022">
        <v>1.1</v>
      </c>
    </row>
    <row r="1023">
      <c r="A1023" t="s">
        <v>2973</v>
      </c>
      <c r="B1023" t="s">
        <v>580</v>
      </c>
      <c r="C1023" t="s">
        <v>580</v>
      </c>
      <c r="D1023" t="s">
        <v>1396</v>
      </c>
      <c r="E1023" t="s">
        <v>2974</v>
      </c>
      <c r="F1023" t="s">
        <v>298</v>
      </c>
      <c r="G1023" t="s">
        <v>2975</v>
      </c>
      <c r="H1023" t="s">
        <v>2976</v>
      </c>
      <c r="I1023" t="s">
        <v>2977</v>
      </c>
      <c r="J1023">
        <v>1</v>
      </c>
      <c r="K1023">
        <v>0</v>
      </c>
      <c r="L1023">
        <v>100</v>
      </c>
      <c r="M1023" s="37">
        <v>0</v>
      </c>
      <c r="N1023" s="37">
        <v>0.3</v>
      </c>
      <c r="O1023">
        <v>0.3</v>
      </c>
      <c r="P1023" s="37">
        <v>0.325</v>
      </c>
      <c r="Q1023">
        <v>0.3</v>
      </c>
      <c r="R1023">
        <v>3000</v>
      </c>
      <c r="S1023">
        <v>3000</v>
      </c>
      <c r="T1023">
        <v>3000</v>
      </c>
      <c r="U1023" t="s">
        <v>2840</v>
      </c>
      <c r="Z1023" s="37">
        <v>1</v>
      </c>
      <c r="AA1023" s="37">
        <v>0.1</v>
      </c>
      <c r="AB1023">
        <v>1.1</v>
      </c>
    </row>
    <row r="1024">
      <c r="A1024" t="s">
        <v>2973</v>
      </c>
      <c r="B1024" t="s">
        <v>580</v>
      </c>
      <c r="C1024" t="s">
        <v>580</v>
      </c>
      <c r="D1024" t="s">
        <v>1396</v>
      </c>
      <c r="E1024" t="s">
        <v>2974</v>
      </c>
      <c r="F1024" t="s">
        <v>298</v>
      </c>
      <c r="G1024" t="s">
        <v>2975</v>
      </c>
      <c r="H1024" t="s">
        <v>2978</v>
      </c>
      <c r="I1024" t="s">
        <v>2979</v>
      </c>
      <c r="J1024" t="s">
        <v>2642</v>
      </c>
      <c r="K1024">
        <v>1</v>
      </c>
      <c r="L1024" t="s">
        <v>589</v>
      </c>
      <c r="M1024" s="37">
        <v>0.25</v>
      </c>
      <c r="N1024" s="37">
        <v>0.5</v>
      </c>
      <c r="O1024">
        <v>0.3</v>
      </c>
      <c r="P1024" s="37">
        <v>0.325</v>
      </c>
      <c r="Q1024">
        <v>0.3</v>
      </c>
      <c r="R1024">
        <v>3000</v>
      </c>
      <c r="S1024">
        <v>3000</v>
      </c>
      <c r="T1024">
        <v>3000</v>
      </c>
      <c r="U1024" t="s">
        <v>2840</v>
      </c>
      <c r="Z1024" s="37">
        <v>1</v>
      </c>
      <c r="AA1024" s="37">
        <v>0.1</v>
      </c>
      <c r="AB1024">
        <v>1.1</v>
      </c>
    </row>
    <row r="1025">
      <c r="A1025" t="s">
        <v>2973</v>
      </c>
      <c r="B1025" t="s">
        <v>580</v>
      </c>
      <c r="C1025" t="s">
        <v>580</v>
      </c>
      <c r="D1025" t="s">
        <v>1396</v>
      </c>
      <c r="E1025" t="s">
        <v>2974</v>
      </c>
      <c r="F1025" t="s">
        <v>298</v>
      </c>
      <c r="G1025" t="s">
        <v>2975</v>
      </c>
      <c r="H1025" t="s">
        <v>2980</v>
      </c>
      <c r="I1025" t="s">
        <v>2979</v>
      </c>
      <c r="J1025">
        <v>1</v>
      </c>
      <c r="K1025">
        <v>1</v>
      </c>
      <c r="L1025" t="s">
        <v>2981</v>
      </c>
      <c r="M1025" s="37">
        <v>1</v>
      </c>
      <c r="N1025" s="37">
        <v>0.2</v>
      </c>
      <c r="O1025">
        <v>0.3</v>
      </c>
      <c r="P1025" s="37">
        <v>0.325</v>
      </c>
      <c r="Q1025">
        <v>0.3</v>
      </c>
      <c r="R1025">
        <v>3000</v>
      </c>
      <c r="S1025">
        <v>3000</v>
      </c>
      <c r="T1025">
        <v>3000</v>
      </c>
      <c r="U1025" t="s">
        <v>2840</v>
      </c>
      <c r="Z1025" s="37">
        <v>1</v>
      </c>
      <c r="AA1025" s="37">
        <v>0.1</v>
      </c>
      <c r="AB1025">
        <v>1.1</v>
      </c>
    </row>
    <row r="1026">
      <c r="A1026" t="s">
        <v>2982</v>
      </c>
      <c r="B1026" t="s">
        <v>580</v>
      </c>
      <c r="C1026" t="s">
        <v>580</v>
      </c>
      <c r="D1026" t="s">
        <v>581</v>
      </c>
      <c r="E1026" t="s">
        <v>2983</v>
      </c>
      <c r="F1026" t="s">
        <v>298</v>
      </c>
      <c r="G1026" t="s">
        <v>2975</v>
      </c>
      <c r="H1026" t="s">
        <v>2978</v>
      </c>
      <c r="I1026" t="s">
        <v>2984</v>
      </c>
      <c r="J1026">
        <v>4</v>
      </c>
      <c r="K1026">
        <v>4.7</v>
      </c>
      <c r="L1026" t="s">
        <v>2985</v>
      </c>
      <c r="M1026" s="37">
        <v>1.175</v>
      </c>
      <c r="N1026" s="37">
        <v>0.5</v>
      </c>
      <c r="O1026">
        <v>1.0075</v>
      </c>
      <c r="P1026" s="37">
        <v>1.0375</v>
      </c>
      <c r="Q1026">
        <v>1.01</v>
      </c>
      <c r="R1026">
        <v>2000</v>
      </c>
      <c r="S1026">
        <v>2000</v>
      </c>
      <c r="T1026">
        <v>2000</v>
      </c>
      <c r="U1026" t="s">
        <v>2840</v>
      </c>
      <c r="Z1026" s="37">
        <v>1</v>
      </c>
      <c r="AA1026" s="37">
        <v>0.1</v>
      </c>
      <c r="AB1026">
        <v>1.1</v>
      </c>
    </row>
    <row r="1027">
      <c r="A1027" t="s">
        <v>2982</v>
      </c>
      <c r="B1027" t="s">
        <v>580</v>
      </c>
      <c r="C1027" t="s">
        <v>580</v>
      </c>
      <c r="D1027" t="s">
        <v>581</v>
      </c>
      <c r="E1027" t="s">
        <v>2983</v>
      </c>
      <c r="F1027" t="s">
        <v>298</v>
      </c>
      <c r="G1027" t="s">
        <v>2975</v>
      </c>
      <c r="H1027" t="s">
        <v>2980</v>
      </c>
      <c r="I1027" t="s">
        <v>2984</v>
      </c>
      <c r="J1027">
        <v>1</v>
      </c>
      <c r="K1027">
        <v>0.75</v>
      </c>
      <c r="L1027" t="s">
        <v>2985</v>
      </c>
      <c r="M1027" s="37">
        <v>0.75</v>
      </c>
      <c r="N1027" s="37">
        <v>0.2</v>
      </c>
      <c r="O1027">
        <v>1.0075</v>
      </c>
      <c r="P1027" s="37">
        <v>1.0375</v>
      </c>
      <c r="Q1027">
        <v>1.01</v>
      </c>
      <c r="R1027">
        <v>2000</v>
      </c>
      <c r="S1027">
        <v>2000</v>
      </c>
      <c r="T1027">
        <v>2000</v>
      </c>
      <c r="U1027" t="s">
        <v>2840</v>
      </c>
      <c r="Z1027" s="37">
        <v>1</v>
      </c>
      <c r="AA1027" s="37">
        <v>0.1</v>
      </c>
      <c r="AB1027">
        <v>1.1</v>
      </c>
    </row>
    <row r="1028">
      <c r="A1028" t="s">
        <v>2982</v>
      </c>
      <c r="B1028" t="s">
        <v>580</v>
      </c>
      <c r="C1028" t="s">
        <v>580</v>
      </c>
      <c r="D1028" t="s">
        <v>581</v>
      </c>
      <c r="E1028" t="s">
        <v>2983</v>
      </c>
      <c r="F1028" t="s">
        <v>298</v>
      </c>
      <c r="G1028" t="s">
        <v>2975</v>
      </c>
      <c r="H1028" t="s">
        <v>2978</v>
      </c>
      <c r="I1028" t="s">
        <v>2986</v>
      </c>
      <c r="J1028">
        <v>2</v>
      </c>
      <c r="K1028">
        <v>2</v>
      </c>
      <c r="L1028" t="s">
        <v>2985</v>
      </c>
      <c r="M1028" s="37">
        <v>1</v>
      </c>
      <c r="N1028" s="37">
        <v>0.3</v>
      </c>
      <c r="O1028">
        <v>1.0075</v>
      </c>
      <c r="P1028" s="37">
        <v>1.0375</v>
      </c>
      <c r="Q1028">
        <v>1.01</v>
      </c>
      <c r="R1028">
        <v>2000</v>
      </c>
      <c r="S1028">
        <v>2000</v>
      </c>
      <c r="T1028">
        <v>2000</v>
      </c>
      <c r="U1028" t="s">
        <v>2840</v>
      </c>
      <c r="Z1028" s="37">
        <v>1</v>
      </c>
      <c r="AA1028" s="37">
        <v>0.1</v>
      </c>
      <c r="AB1028">
        <v>1.1</v>
      </c>
    </row>
    <row r="1029">
      <c r="A1029" t="s">
        <v>2987</v>
      </c>
      <c r="B1029" t="s">
        <v>2607</v>
      </c>
      <c r="C1029" t="s">
        <v>2607</v>
      </c>
      <c r="D1029" t="s">
        <v>2988</v>
      </c>
      <c r="E1029" t="s">
        <v>2989</v>
      </c>
      <c r="F1029" t="s">
        <v>298</v>
      </c>
      <c r="G1029" t="s">
        <v>2975</v>
      </c>
      <c r="H1029" t="s">
        <v>2976</v>
      </c>
      <c r="I1029" t="s">
        <v>2990</v>
      </c>
      <c r="J1029">
        <v>1</v>
      </c>
      <c r="K1029">
        <v>1</v>
      </c>
      <c r="L1029" t="s">
        <v>2985</v>
      </c>
      <c r="M1029" s="37">
        <v>1</v>
      </c>
      <c r="N1029" s="37">
        <v>0.2</v>
      </c>
      <c r="O1029">
        <v>0.36</v>
      </c>
      <c r="P1029" s="37">
        <v>0.4</v>
      </c>
      <c r="Q1029">
        <v>0.36</v>
      </c>
      <c r="R1029">
        <v>3000</v>
      </c>
      <c r="S1029">
        <v>3000</v>
      </c>
      <c r="T1029">
        <v>3000</v>
      </c>
      <c r="U1029" t="s">
        <v>2840</v>
      </c>
      <c r="Z1029" s="37">
        <v>1</v>
      </c>
      <c r="AA1029" s="37">
        <v>0.1</v>
      </c>
      <c r="AB1029">
        <v>1.1</v>
      </c>
    </row>
    <row r="1030">
      <c r="A1030" t="s">
        <v>2987</v>
      </c>
      <c r="B1030" t="s">
        <v>2607</v>
      </c>
      <c r="C1030" t="s">
        <v>2607</v>
      </c>
      <c r="D1030" t="s">
        <v>2988</v>
      </c>
      <c r="E1030" t="s">
        <v>2989</v>
      </c>
      <c r="F1030" t="s">
        <v>298</v>
      </c>
      <c r="G1030" t="s">
        <v>2975</v>
      </c>
      <c r="H1030" t="s">
        <v>2976</v>
      </c>
      <c r="I1030" t="s">
        <v>2991</v>
      </c>
      <c r="J1030">
        <v>1</v>
      </c>
      <c r="K1030">
        <v>0</v>
      </c>
      <c r="L1030" t="s">
        <v>2985</v>
      </c>
      <c r="M1030" s="37">
        <v>0</v>
      </c>
      <c r="N1030" s="37">
        <v>0.2</v>
      </c>
      <c r="O1030">
        <v>0.36</v>
      </c>
      <c r="P1030" s="37">
        <v>0.4</v>
      </c>
      <c r="Q1030">
        <v>0.36</v>
      </c>
      <c r="R1030">
        <v>3000</v>
      </c>
      <c r="S1030">
        <v>3000</v>
      </c>
      <c r="T1030">
        <v>3000</v>
      </c>
      <c r="U1030" t="s">
        <v>2840</v>
      </c>
      <c r="Z1030" s="37">
        <v>1</v>
      </c>
      <c r="AA1030" s="37">
        <v>0.1</v>
      </c>
      <c r="AB1030">
        <v>1.1</v>
      </c>
    </row>
    <row r="1031">
      <c r="A1031" t="s">
        <v>2987</v>
      </c>
      <c r="B1031" t="s">
        <v>2607</v>
      </c>
      <c r="C1031" t="s">
        <v>2607</v>
      </c>
      <c r="D1031" t="s">
        <v>2988</v>
      </c>
      <c r="E1031" t="s">
        <v>2989</v>
      </c>
      <c r="F1031" t="s">
        <v>298</v>
      </c>
      <c r="G1031" t="s">
        <v>2975</v>
      </c>
      <c r="H1031" t="s">
        <v>584</v>
      </c>
      <c r="I1031" t="s">
        <v>2992</v>
      </c>
      <c r="J1031">
        <v>2</v>
      </c>
      <c r="K1031">
        <v>1</v>
      </c>
      <c r="L1031" t="s">
        <v>2985</v>
      </c>
      <c r="M1031" s="37">
        <v>0.5</v>
      </c>
      <c r="N1031" s="37">
        <v>0.4</v>
      </c>
      <c r="O1031">
        <v>0.36</v>
      </c>
      <c r="P1031" s="37">
        <v>0.4</v>
      </c>
      <c r="Q1031">
        <v>0.36</v>
      </c>
      <c r="R1031">
        <v>3000</v>
      </c>
      <c r="S1031">
        <v>3000</v>
      </c>
      <c r="T1031">
        <v>3000</v>
      </c>
      <c r="U1031" t="s">
        <v>2840</v>
      </c>
      <c r="Z1031" s="37">
        <v>1</v>
      </c>
      <c r="AA1031" s="37">
        <v>0.1</v>
      </c>
      <c r="AB1031">
        <v>1.1</v>
      </c>
    </row>
    <row r="1032">
      <c r="A1032" t="s">
        <v>2987</v>
      </c>
      <c r="B1032" t="s">
        <v>2607</v>
      </c>
      <c r="C1032" t="s">
        <v>2607</v>
      </c>
      <c r="D1032" t="s">
        <v>2988</v>
      </c>
      <c r="E1032" t="s">
        <v>2989</v>
      </c>
      <c r="F1032" t="s">
        <v>298</v>
      </c>
      <c r="G1032" t="s">
        <v>2975</v>
      </c>
      <c r="H1032" t="s">
        <v>584</v>
      </c>
      <c r="I1032" t="s">
        <v>2993</v>
      </c>
      <c r="J1032">
        <v>1</v>
      </c>
      <c r="K1032">
        <v>0</v>
      </c>
      <c r="L1032" t="s">
        <v>2985</v>
      </c>
      <c r="M1032" s="37">
        <v>0</v>
      </c>
      <c r="N1032" s="37">
        <v>0.2</v>
      </c>
      <c r="O1032">
        <v>0.36</v>
      </c>
      <c r="P1032" s="37">
        <v>0.4</v>
      </c>
      <c r="Q1032">
        <v>0.36</v>
      </c>
      <c r="R1032">
        <v>3000</v>
      </c>
      <c r="S1032">
        <v>3000</v>
      </c>
      <c r="T1032">
        <v>3000</v>
      </c>
      <c r="U1032" t="s">
        <v>2840</v>
      </c>
      <c r="Z1032" s="37">
        <v>1</v>
      </c>
      <c r="AA1032" s="37">
        <v>0.1</v>
      </c>
      <c r="AB1032">
        <v>1.1</v>
      </c>
    </row>
    <row r="1033">
      <c r="A1033" t="s">
        <v>2994</v>
      </c>
      <c r="B1033" t="s">
        <v>2607</v>
      </c>
      <c r="C1033" t="s">
        <v>2607</v>
      </c>
      <c r="D1033" t="s">
        <v>581</v>
      </c>
      <c r="E1033" t="s">
        <v>2995</v>
      </c>
      <c r="F1033" t="s">
        <v>298</v>
      </c>
      <c r="G1033" t="s">
        <v>2975</v>
      </c>
      <c r="H1033" t="s">
        <v>2976</v>
      </c>
      <c r="I1033" t="s">
        <v>2996</v>
      </c>
      <c r="J1033">
        <v>1</v>
      </c>
      <c r="K1033">
        <v>0</v>
      </c>
      <c r="L1033" t="s">
        <v>2985</v>
      </c>
      <c r="M1033" s="37">
        <v>0</v>
      </c>
      <c r="N1033" s="37">
        <v>0.2</v>
      </c>
      <c r="O1033">
        <v>1.07</v>
      </c>
      <c r="P1033" s="37">
        <v>1.028</v>
      </c>
      <c r="Q1033">
        <v>1.07</v>
      </c>
      <c r="R1033">
        <v>2000</v>
      </c>
      <c r="S1033">
        <v>2000</v>
      </c>
      <c r="T1033">
        <v>2000</v>
      </c>
      <c r="U1033" t="s">
        <v>2840</v>
      </c>
      <c r="Z1033" s="37">
        <v>1</v>
      </c>
      <c r="AA1033" s="37">
        <v>0.1</v>
      </c>
      <c r="AB1033">
        <v>1.1</v>
      </c>
    </row>
    <row r="1034">
      <c r="A1034" t="s">
        <v>2994</v>
      </c>
      <c r="B1034" t="s">
        <v>2607</v>
      </c>
      <c r="C1034" t="s">
        <v>2607</v>
      </c>
      <c r="D1034" t="s">
        <v>581</v>
      </c>
      <c r="E1034" t="s">
        <v>2995</v>
      </c>
      <c r="F1034" t="s">
        <v>298</v>
      </c>
      <c r="G1034" t="s">
        <v>2975</v>
      </c>
      <c r="H1034" t="s">
        <v>2978</v>
      </c>
      <c r="I1034" t="s">
        <v>2997</v>
      </c>
      <c r="J1034">
        <v>6</v>
      </c>
      <c r="K1034">
        <v>8.4</v>
      </c>
      <c r="L1034" t="s">
        <v>2998</v>
      </c>
      <c r="M1034" s="37">
        <v>1.4</v>
      </c>
      <c r="N1034" s="37">
        <v>0.6</v>
      </c>
      <c r="O1034">
        <v>1.07</v>
      </c>
      <c r="P1034" s="37">
        <v>1.028</v>
      </c>
      <c r="Q1034">
        <v>1.07</v>
      </c>
      <c r="R1034">
        <v>2000</v>
      </c>
      <c r="S1034">
        <v>2000</v>
      </c>
      <c r="T1034">
        <v>2000</v>
      </c>
      <c r="U1034" t="s">
        <v>2840</v>
      </c>
      <c r="Z1034" s="37">
        <v>1</v>
      </c>
      <c r="AA1034" s="37">
        <v>0.1</v>
      </c>
      <c r="AB1034">
        <v>1.1</v>
      </c>
    </row>
    <row r="1035">
      <c r="A1035" t="s">
        <v>2994</v>
      </c>
      <c r="B1035" t="s">
        <v>2607</v>
      </c>
      <c r="C1035" t="s">
        <v>2607</v>
      </c>
      <c r="D1035" t="s">
        <v>581</v>
      </c>
      <c r="E1035" t="s">
        <v>2995</v>
      </c>
      <c r="F1035" t="s">
        <v>298</v>
      </c>
      <c r="G1035" t="s">
        <v>2975</v>
      </c>
      <c r="H1035" t="s">
        <v>2980</v>
      </c>
      <c r="I1035" t="s">
        <v>2997</v>
      </c>
      <c r="J1035">
        <v>1</v>
      </c>
      <c r="K1035">
        <v>0.94</v>
      </c>
      <c r="L1035" t="s">
        <v>2999</v>
      </c>
      <c r="M1035" s="37">
        <v>0.94</v>
      </c>
      <c r="N1035" s="37">
        <v>0.2</v>
      </c>
      <c r="O1035">
        <v>1.07</v>
      </c>
      <c r="P1035" s="37">
        <v>1.028</v>
      </c>
      <c r="Q1035">
        <v>1.07</v>
      </c>
      <c r="R1035">
        <v>2000</v>
      </c>
      <c r="S1035">
        <v>2000</v>
      </c>
      <c r="T1035">
        <v>2000</v>
      </c>
      <c r="U1035" t="s">
        <v>2840</v>
      </c>
      <c r="Z1035" s="37">
        <v>1</v>
      </c>
      <c r="AA1035" s="37">
        <v>0.1</v>
      </c>
      <c r="AB1035">
        <v>1.1</v>
      </c>
    </row>
    <row r="1036">
      <c r="A1036" t="s">
        <v>3000</v>
      </c>
      <c r="B1036" t="s">
        <v>580</v>
      </c>
      <c r="C1036" t="s">
        <v>580</v>
      </c>
      <c r="D1036" t="s">
        <v>1396</v>
      </c>
      <c r="E1036" t="s">
        <v>3001</v>
      </c>
      <c r="F1036" t="s">
        <v>298</v>
      </c>
      <c r="G1036" t="s">
        <v>2975</v>
      </c>
      <c r="H1036" t="s">
        <v>2978</v>
      </c>
      <c r="I1036" t="s">
        <v>2984</v>
      </c>
      <c r="J1036">
        <v>4</v>
      </c>
      <c r="K1036">
        <v>3</v>
      </c>
      <c r="L1036" t="s">
        <v>2999</v>
      </c>
      <c r="M1036" s="37">
        <v>0.75</v>
      </c>
      <c r="N1036" s="37">
        <v>0.4</v>
      </c>
      <c r="O1036">
        <v>0.52</v>
      </c>
      <c r="P1036" s="37">
        <v>0.6</v>
      </c>
      <c r="Q1036">
        <v>0.52</v>
      </c>
      <c r="R1036">
        <v>3000</v>
      </c>
      <c r="S1036">
        <v>3000</v>
      </c>
      <c r="T1036">
        <v>3000</v>
      </c>
      <c r="U1036" t="s">
        <v>2840</v>
      </c>
      <c r="Z1036" s="37">
        <v>1</v>
      </c>
      <c r="AA1036" s="37">
        <v>0.1</v>
      </c>
      <c r="AB1036">
        <v>1.1</v>
      </c>
    </row>
    <row r="1037">
      <c r="A1037" t="s">
        <v>3000</v>
      </c>
      <c r="B1037" t="s">
        <v>580</v>
      </c>
      <c r="C1037" t="s">
        <v>580</v>
      </c>
      <c r="D1037" t="s">
        <v>1396</v>
      </c>
      <c r="E1037" t="s">
        <v>3001</v>
      </c>
      <c r="F1037" t="s">
        <v>298</v>
      </c>
      <c r="G1037" t="s">
        <v>2975</v>
      </c>
      <c r="H1037" t="s">
        <v>2978</v>
      </c>
      <c r="I1037" t="s">
        <v>3002</v>
      </c>
      <c r="J1037">
        <v>1</v>
      </c>
      <c r="K1037">
        <v>1</v>
      </c>
      <c r="L1037" t="s">
        <v>2999</v>
      </c>
      <c r="M1037" s="37">
        <v>1</v>
      </c>
      <c r="N1037" s="37">
        <v>0.2</v>
      </c>
      <c r="O1037">
        <v>0.52</v>
      </c>
      <c r="P1037" s="37">
        <v>0.6</v>
      </c>
      <c r="Q1037">
        <v>0.52</v>
      </c>
      <c r="R1037">
        <v>3000</v>
      </c>
      <c r="S1037">
        <v>3000</v>
      </c>
      <c r="T1037">
        <v>3000</v>
      </c>
      <c r="U1037" t="s">
        <v>2840</v>
      </c>
      <c r="Z1037" s="37">
        <v>1</v>
      </c>
      <c r="AA1037" s="37">
        <v>0.1</v>
      </c>
      <c r="AB1037">
        <v>1.1</v>
      </c>
    </row>
    <row r="1038">
      <c r="A1038" t="s">
        <v>3000</v>
      </c>
      <c r="B1038" t="s">
        <v>580</v>
      </c>
      <c r="C1038" t="s">
        <v>580</v>
      </c>
      <c r="D1038" t="s">
        <v>1396</v>
      </c>
      <c r="E1038" t="s">
        <v>3001</v>
      </c>
      <c r="F1038" t="s">
        <v>298</v>
      </c>
      <c r="G1038" t="s">
        <v>2975</v>
      </c>
      <c r="H1038" t="s">
        <v>2980</v>
      </c>
      <c r="I1038" t="s">
        <v>3002</v>
      </c>
      <c r="J1038">
        <v>1</v>
      </c>
      <c r="K1038">
        <v>0.5</v>
      </c>
      <c r="L1038" t="s">
        <v>2999</v>
      </c>
      <c r="M1038" s="37">
        <v>0.5</v>
      </c>
      <c r="N1038" s="37">
        <v>0.2</v>
      </c>
      <c r="O1038">
        <v>0.52</v>
      </c>
      <c r="P1038" s="37">
        <v>0.6</v>
      </c>
      <c r="Q1038">
        <v>0.52</v>
      </c>
      <c r="R1038">
        <v>3000</v>
      </c>
      <c r="S1038">
        <v>3000</v>
      </c>
      <c r="T1038">
        <v>3000</v>
      </c>
      <c r="U1038" t="s">
        <v>2840</v>
      </c>
      <c r="Z1038" s="37">
        <v>1</v>
      </c>
      <c r="AA1038" s="37">
        <v>0.1</v>
      </c>
      <c r="AB1038">
        <v>1.1</v>
      </c>
    </row>
    <row r="1039">
      <c r="A1039" t="s">
        <v>3000</v>
      </c>
      <c r="B1039" t="s">
        <v>580</v>
      </c>
      <c r="C1039" t="s">
        <v>580</v>
      </c>
      <c r="D1039" t="s">
        <v>1396</v>
      </c>
      <c r="E1039" t="s">
        <v>3001</v>
      </c>
      <c r="F1039" t="s">
        <v>298</v>
      </c>
      <c r="G1039" t="s">
        <v>2975</v>
      </c>
      <c r="H1039" t="s">
        <v>584</v>
      </c>
      <c r="I1039" t="s">
        <v>3003</v>
      </c>
      <c r="J1039">
        <v>1</v>
      </c>
      <c r="K1039">
        <v>0</v>
      </c>
      <c r="L1039" t="s">
        <v>2999</v>
      </c>
      <c r="M1039" s="37">
        <v>0</v>
      </c>
      <c r="N1039" s="37">
        <v>0.2</v>
      </c>
      <c r="O1039">
        <v>0.52</v>
      </c>
      <c r="P1039" s="37">
        <v>0.6</v>
      </c>
      <c r="Q1039">
        <v>0.52</v>
      </c>
      <c r="R1039">
        <v>3000</v>
      </c>
      <c r="S1039">
        <v>3000</v>
      </c>
      <c r="T1039">
        <v>3000</v>
      </c>
      <c r="U1039" t="s">
        <v>2840</v>
      </c>
      <c r="Z1039" s="37">
        <v>1</v>
      </c>
      <c r="AA1039" s="37">
        <v>0.1</v>
      </c>
      <c r="AB1039">
        <v>1.1</v>
      </c>
    </row>
    <row r="1040">
      <c r="A1040" t="s">
        <v>3004</v>
      </c>
      <c r="B1040" t="s">
        <v>2607</v>
      </c>
      <c r="C1040" t="s">
        <v>2607</v>
      </c>
      <c r="D1040" t="s">
        <v>3005</v>
      </c>
      <c r="E1040" t="s">
        <v>3006</v>
      </c>
      <c r="F1040" t="s">
        <v>298</v>
      </c>
      <c r="G1040" t="s">
        <v>3007</v>
      </c>
      <c r="H1040" t="s">
        <v>3008</v>
      </c>
      <c r="I1040" t="s">
        <v>3003</v>
      </c>
      <c r="J1040">
        <v>1</v>
      </c>
      <c r="K1040">
        <v>1</v>
      </c>
      <c r="L1040" t="s">
        <v>3009</v>
      </c>
      <c r="M1040" s="37">
        <v>1</v>
      </c>
      <c r="N1040" s="37">
        <v>1</v>
      </c>
      <c r="O1040">
        <v>1</v>
      </c>
      <c r="P1040" s="37">
        <v>1</v>
      </c>
      <c r="Q1040">
        <v>1</v>
      </c>
      <c r="R1040">
        <v>500</v>
      </c>
      <c r="S1040">
        <v>500</v>
      </c>
      <c r="T1040">
        <v>500</v>
      </c>
      <c r="U1040" t="s">
        <v>2840</v>
      </c>
      <c r="Z1040" s="37">
        <v>1</v>
      </c>
      <c r="AA1040" s="37">
        <v>0.1</v>
      </c>
      <c r="AB1040">
        <v>1.1</v>
      </c>
    </row>
    <row r="1041">
      <c r="A1041" t="s">
        <v>3010</v>
      </c>
      <c r="B1041" t="s">
        <v>2607</v>
      </c>
      <c r="C1041" t="s">
        <v>2607</v>
      </c>
      <c r="D1041" t="s">
        <v>3005</v>
      </c>
      <c r="E1041" t="s">
        <v>3011</v>
      </c>
      <c r="F1041" t="s">
        <v>298</v>
      </c>
      <c r="G1041" t="s">
        <v>3007</v>
      </c>
      <c r="H1041" t="s">
        <v>3008</v>
      </c>
      <c r="I1041" t="s">
        <v>3003</v>
      </c>
      <c r="J1041">
        <v>1</v>
      </c>
      <c r="K1041">
        <v>0</v>
      </c>
      <c r="L1041" t="s">
        <v>3009</v>
      </c>
      <c r="M1041" s="37">
        <v>0</v>
      </c>
      <c r="N1041" s="37">
        <v>1</v>
      </c>
      <c r="O1041">
        <v>0</v>
      </c>
      <c r="P1041" s="37">
        <v>0</v>
      </c>
      <c r="Q1041">
        <v>0</v>
      </c>
      <c r="R1041">
        <v>0</v>
      </c>
      <c r="S1041">
        <v>0</v>
      </c>
      <c r="T1041">
        <v>500</v>
      </c>
      <c r="U1041" t="s">
        <v>2840</v>
      </c>
      <c r="Z1041" s="37">
        <v>1</v>
      </c>
      <c r="AA1041" s="37">
        <v>0.1</v>
      </c>
      <c r="AB1041">
        <v>1.1</v>
      </c>
    </row>
    <row r="1042">
      <c r="A1042" t="s">
        <v>3012</v>
      </c>
      <c r="B1042" t="s">
        <v>2607</v>
      </c>
      <c r="C1042" t="s">
        <v>2607</v>
      </c>
      <c r="D1042" t="s">
        <v>3005</v>
      </c>
      <c r="E1042" t="s">
        <v>3013</v>
      </c>
      <c r="F1042" t="s">
        <v>298</v>
      </c>
      <c r="G1042" t="s">
        <v>3007</v>
      </c>
      <c r="H1042" t="s">
        <v>3008</v>
      </c>
      <c r="I1042" t="s">
        <v>3003</v>
      </c>
      <c r="J1042">
        <v>1</v>
      </c>
      <c r="K1042">
        <v>0.4</v>
      </c>
      <c r="L1042" t="s">
        <v>3014</v>
      </c>
      <c r="M1042" s="37">
        <v>0.4</v>
      </c>
      <c r="N1042" s="37">
        <v>1</v>
      </c>
      <c r="O1042">
        <v>0.4</v>
      </c>
      <c r="P1042" s="37">
        <v>0.4</v>
      </c>
      <c r="Q1042">
        <v>0.4</v>
      </c>
      <c r="R1042">
        <v>200</v>
      </c>
      <c r="S1042">
        <v>200</v>
      </c>
      <c r="T1042">
        <v>500</v>
      </c>
      <c r="U1042" t="s">
        <v>2840</v>
      </c>
      <c r="Z1042" s="37">
        <v>1</v>
      </c>
      <c r="AA1042" s="37">
        <v>0.1</v>
      </c>
      <c r="AB1042">
        <v>1.1</v>
      </c>
    </row>
    <row r="1043">
      <c r="A1043" t="s">
        <v>3015</v>
      </c>
      <c r="B1043" t="s">
        <v>295</v>
      </c>
      <c r="C1043" t="s">
        <v>295</v>
      </c>
      <c r="D1043" t="s">
        <v>3016</v>
      </c>
      <c r="E1043" t="s">
        <v>3017</v>
      </c>
      <c r="F1043" t="s">
        <v>298</v>
      </c>
      <c r="G1043" t="s">
        <v>3018</v>
      </c>
      <c r="H1043" t="s">
        <v>3019</v>
      </c>
      <c r="I1043" t="s">
        <v>3003</v>
      </c>
      <c r="J1043" s="38">
        <v>1</v>
      </c>
      <c r="K1043" t="s">
        <v>2063</v>
      </c>
      <c r="L1043" t="s">
        <v>3020</v>
      </c>
      <c r="M1043" s="37">
        <v>0.5</v>
      </c>
      <c r="N1043" s="37">
        <v>0.5</v>
      </c>
      <c r="O1043">
        <v>1</v>
      </c>
      <c r="P1043" s="37">
        <v>0.7</v>
      </c>
      <c r="Q1043">
        <v>0.95</v>
      </c>
      <c r="R1043">
        <v>1200</v>
      </c>
      <c r="S1043">
        <v>1200</v>
      </c>
      <c r="T1043">
        <v>1200</v>
      </c>
      <c r="U1043" t="s">
        <v>2840</v>
      </c>
      <c r="Z1043" s="37">
        <v>1</v>
      </c>
      <c r="AA1043" s="37">
        <v>0.1</v>
      </c>
      <c r="AB1043">
        <v>1.1</v>
      </c>
    </row>
    <row r="1044">
      <c r="A1044" t="s">
        <v>3015</v>
      </c>
      <c r="B1044" t="s">
        <v>295</v>
      </c>
      <c r="C1044" t="s">
        <v>295</v>
      </c>
      <c r="D1044" t="s">
        <v>3016</v>
      </c>
      <c r="E1044" t="s">
        <v>3017</v>
      </c>
      <c r="F1044" t="s">
        <v>298</v>
      </c>
      <c r="G1044" t="s">
        <v>3018</v>
      </c>
      <c r="H1044" t="s">
        <v>3021</v>
      </c>
      <c r="I1044" t="s">
        <v>3022</v>
      </c>
      <c r="J1044" s="38">
        <v>1</v>
      </c>
      <c r="K1044" t="s">
        <v>3023</v>
      </c>
      <c r="L1044" t="s">
        <v>3024</v>
      </c>
      <c r="M1044" s="37">
        <v>0.9</v>
      </c>
      <c r="N1044" s="37">
        <v>0.5</v>
      </c>
      <c r="O1044">
        <v>0.9</v>
      </c>
      <c r="P1044" s="37">
        <v>0.7</v>
      </c>
      <c r="Q1044">
        <v>0.95</v>
      </c>
      <c r="R1044">
        <v>1200</v>
      </c>
      <c r="S1044">
        <v>1200</v>
      </c>
      <c r="T1044">
        <v>1200</v>
      </c>
      <c r="U1044" t="s">
        <v>2840</v>
      </c>
      <c r="Z1044" s="37">
        <v>1</v>
      </c>
      <c r="AA1044" s="37">
        <v>0.1</v>
      </c>
      <c r="AB1044">
        <v>1.1</v>
      </c>
    </row>
    <row r="1045">
      <c r="A1045" t="s">
        <v>3025</v>
      </c>
      <c r="B1045" t="s">
        <v>295</v>
      </c>
      <c r="C1045" t="s">
        <v>295</v>
      </c>
      <c r="D1045" t="s">
        <v>3026</v>
      </c>
      <c r="E1045" t="s">
        <v>3027</v>
      </c>
      <c r="F1045" t="s">
        <v>298</v>
      </c>
      <c r="G1045" t="s">
        <v>3028</v>
      </c>
      <c r="H1045" t="s">
        <v>3029</v>
      </c>
      <c r="I1045" t="s">
        <v>3030</v>
      </c>
      <c r="J1045" s="38">
        <v>0.83</v>
      </c>
      <c r="K1045" s="37">
        <v>0.8355</v>
      </c>
      <c r="L1045" t="s">
        <v>3024</v>
      </c>
      <c r="M1045" s="37">
        <v>1</v>
      </c>
      <c r="N1045" s="37">
        <v>0.2</v>
      </c>
      <c r="O1045">
        <v>1</v>
      </c>
      <c r="P1045" s="37">
        <v>1.17</v>
      </c>
      <c r="Q1045">
        <v>1.02</v>
      </c>
      <c r="R1045">
        <v>5100</v>
      </c>
      <c r="S1045">
        <v>5100</v>
      </c>
      <c r="T1045">
        <v>5000</v>
      </c>
      <c r="U1045" t="s">
        <v>2840</v>
      </c>
      <c r="Z1045" s="37">
        <v>1</v>
      </c>
      <c r="AA1045" s="37">
        <v>0.1</v>
      </c>
      <c r="AB1045">
        <v>1.1</v>
      </c>
    </row>
    <row r="1046">
      <c r="A1046" t="s">
        <v>3025</v>
      </c>
      <c r="B1046" t="s">
        <v>295</v>
      </c>
      <c r="C1046" t="s">
        <v>295</v>
      </c>
      <c r="D1046" t="s">
        <v>3026</v>
      </c>
      <c r="E1046" t="s">
        <v>3027</v>
      </c>
      <c r="F1046" t="s">
        <v>298</v>
      </c>
      <c r="G1046" t="s">
        <v>3028</v>
      </c>
      <c r="H1046" t="s">
        <v>315</v>
      </c>
      <c r="I1046" t="s">
        <v>3031</v>
      </c>
      <c r="J1046" t="s">
        <v>3032</v>
      </c>
      <c r="K1046" t="s">
        <v>3033</v>
      </c>
      <c r="L1046" t="s">
        <v>3024</v>
      </c>
      <c r="M1046" s="37">
        <v>1</v>
      </c>
      <c r="N1046" s="37">
        <v>0.2</v>
      </c>
      <c r="O1046">
        <v>1</v>
      </c>
      <c r="P1046" s="37">
        <v>1.17</v>
      </c>
      <c r="Q1046">
        <v>1.02</v>
      </c>
      <c r="R1046">
        <v>5100</v>
      </c>
      <c r="S1046">
        <v>5100</v>
      </c>
      <c r="T1046">
        <v>5000</v>
      </c>
      <c r="U1046" t="s">
        <v>2840</v>
      </c>
      <c r="Z1046" s="37">
        <v>1</v>
      </c>
      <c r="AA1046" s="37">
        <v>0.1</v>
      </c>
      <c r="AB1046">
        <v>1.1</v>
      </c>
    </row>
    <row r="1047">
      <c r="A1047" t="s">
        <v>3025</v>
      </c>
      <c r="B1047" t="s">
        <v>295</v>
      </c>
      <c r="C1047" t="s">
        <v>295</v>
      </c>
      <c r="D1047" t="s">
        <v>3026</v>
      </c>
      <c r="E1047" t="s">
        <v>3027</v>
      </c>
      <c r="F1047" t="s">
        <v>298</v>
      </c>
      <c r="G1047" t="s">
        <v>3028</v>
      </c>
      <c r="H1047" t="s">
        <v>3034</v>
      </c>
      <c r="I1047" t="s">
        <v>3035</v>
      </c>
      <c r="J1047" t="s">
        <v>977</v>
      </c>
      <c r="K1047" t="s">
        <v>3036</v>
      </c>
      <c r="L1047" t="s">
        <v>3024</v>
      </c>
      <c r="M1047" s="37">
        <v>1.35</v>
      </c>
      <c r="N1047" s="37">
        <v>0.2</v>
      </c>
      <c r="O1047">
        <v>1</v>
      </c>
      <c r="P1047" s="37">
        <v>1.17</v>
      </c>
      <c r="Q1047">
        <v>1.02</v>
      </c>
      <c r="R1047">
        <v>5100</v>
      </c>
      <c r="S1047">
        <v>5100</v>
      </c>
      <c r="T1047">
        <v>5000</v>
      </c>
      <c r="U1047" t="s">
        <v>2840</v>
      </c>
      <c r="Z1047" s="37">
        <v>1</v>
      </c>
      <c r="AA1047" s="37">
        <v>0.1</v>
      </c>
      <c r="AB1047">
        <v>1.1</v>
      </c>
    </row>
    <row r="1048">
      <c r="A1048" t="s">
        <v>3025</v>
      </c>
      <c r="B1048" t="s">
        <v>295</v>
      </c>
      <c r="C1048" t="s">
        <v>295</v>
      </c>
      <c r="D1048" t="s">
        <v>3026</v>
      </c>
      <c r="E1048" t="s">
        <v>3027</v>
      </c>
      <c r="F1048" t="s">
        <v>298</v>
      </c>
      <c r="G1048" t="s">
        <v>3028</v>
      </c>
      <c r="H1048" t="s">
        <v>3037</v>
      </c>
      <c r="I1048" t="s">
        <v>3038</v>
      </c>
      <c r="J1048" t="s">
        <v>1053</v>
      </c>
      <c r="K1048" t="s">
        <v>3039</v>
      </c>
      <c r="L1048" t="s">
        <v>3024</v>
      </c>
      <c r="M1048" s="37">
        <v>1.5</v>
      </c>
      <c r="N1048" s="37">
        <v>0.2</v>
      </c>
      <c r="O1048">
        <v>1.5</v>
      </c>
      <c r="P1048" s="37">
        <v>1.17</v>
      </c>
      <c r="Q1048">
        <v>1.02</v>
      </c>
      <c r="R1048">
        <v>5100</v>
      </c>
      <c r="S1048">
        <v>5100</v>
      </c>
      <c r="T1048">
        <v>5000</v>
      </c>
      <c r="U1048" t="s">
        <v>2840</v>
      </c>
      <c r="Z1048" s="37">
        <v>1</v>
      </c>
      <c r="AA1048" s="37">
        <v>0.1</v>
      </c>
      <c r="AB1048">
        <v>1.1</v>
      </c>
    </row>
    <row r="1049">
      <c r="A1049" t="s">
        <v>3025</v>
      </c>
      <c r="B1049" t="s">
        <v>295</v>
      </c>
      <c r="C1049" t="s">
        <v>295</v>
      </c>
      <c r="D1049" t="s">
        <v>3026</v>
      </c>
      <c r="E1049" t="s">
        <v>3027</v>
      </c>
      <c r="F1049" t="s">
        <v>298</v>
      </c>
      <c r="G1049" t="s">
        <v>3028</v>
      </c>
      <c r="H1049" t="s">
        <v>3040</v>
      </c>
      <c r="I1049" t="s">
        <v>3041</v>
      </c>
      <c r="J1049" s="38">
        <v>0.95</v>
      </c>
      <c r="K1049" s="37">
        <v>0.9722</v>
      </c>
      <c r="L1049" t="s">
        <v>3024</v>
      </c>
      <c r="M1049" s="37">
        <v>1</v>
      </c>
      <c r="N1049" s="37">
        <v>0.2</v>
      </c>
      <c r="O1049">
        <v>1</v>
      </c>
      <c r="P1049" s="37">
        <v>1.17</v>
      </c>
      <c r="Q1049">
        <v>1.02</v>
      </c>
      <c r="R1049">
        <v>5100</v>
      </c>
      <c r="S1049">
        <v>5100</v>
      </c>
      <c r="T1049">
        <v>5000</v>
      </c>
      <c r="U1049" t="s">
        <v>2840</v>
      </c>
      <c r="Z1049" s="37">
        <v>1</v>
      </c>
      <c r="AA1049" s="37">
        <v>0.1</v>
      </c>
      <c r="AB1049">
        <v>1.1</v>
      </c>
    </row>
    <row r="1050">
      <c r="A1050" t="s">
        <v>3042</v>
      </c>
      <c r="B1050" t="s">
        <v>1860</v>
      </c>
      <c r="C1050" t="s">
        <v>1860</v>
      </c>
      <c r="D1050" t="s">
        <v>3043</v>
      </c>
      <c r="E1050" t="s">
        <v>3044</v>
      </c>
      <c r="F1050" t="s">
        <v>298</v>
      </c>
      <c r="G1050" t="s">
        <v>3045</v>
      </c>
      <c r="H1050" t="s">
        <v>3046</v>
      </c>
      <c r="I1050" t="s">
        <v>3047</v>
      </c>
      <c r="J1050">
        <v>69.7</v>
      </c>
      <c r="K1050">
        <v>148</v>
      </c>
      <c r="L1050" t="s">
        <v>3024</v>
      </c>
      <c r="M1050" s="37">
        <v>1</v>
      </c>
      <c r="N1050" s="37">
        <v>0.5</v>
      </c>
      <c r="O1050">
        <v>1</v>
      </c>
      <c r="P1050" s="37">
        <v>1.101</v>
      </c>
      <c r="Q1050">
        <v>1.2</v>
      </c>
      <c r="R1050">
        <v>5400</v>
      </c>
      <c r="S1050">
        <v>5400</v>
      </c>
      <c r="T1050">
        <v>5000</v>
      </c>
      <c r="U1050" t="s">
        <v>2840</v>
      </c>
      <c r="Z1050" s="37">
        <v>1</v>
      </c>
      <c r="AA1050" s="37">
        <v>0.1</v>
      </c>
      <c r="AB1050">
        <v>1.1</v>
      </c>
    </row>
    <row r="1051">
      <c r="A1051" t="s">
        <v>3042</v>
      </c>
      <c r="B1051" t="s">
        <v>1860</v>
      </c>
      <c r="C1051" t="s">
        <v>1860</v>
      </c>
      <c r="D1051" t="s">
        <v>3043</v>
      </c>
      <c r="E1051" t="s">
        <v>3044</v>
      </c>
      <c r="F1051" t="s">
        <v>298</v>
      </c>
      <c r="G1051" t="s">
        <v>3045</v>
      </c>
      <c r="H1051" t="s">
        <v>3048</v>
      </c>
      <c r="I1051" t="s">
        <v>3049</v>
      </c>
      <c r="J1051">
        <v>13</v>
      </c>
      <c r="K1051" t="s">
        <v>3050</v>
      </c>
      <c r="L1051" t="s">
        <v>3024</v>
      </c>
      <c r="M1051" s="37">
        <v>1.5</v>
      </c>
      <c r="N1051" s="37">
        <v>0.4</v>
      </c>
      <c r="O1051">
        <v>1.5</v>
      </c>
      <c r="P1051" s="37">
        <v>1.101</v>
      </c>
      <c r="Q1051">
        <v>1.2</v>
      </c>
      <c r="R1051">
        <v>5400</v>
      </c>
      <c r="S1051">
        <v>5400</v>
      </c>
      <c r="T1051">
        <v>5000</v>
      </c>
      <c r="U1051" t="s">
        <v>2840</v>
      </c>
      <c r="Z1051" s="37">
        <v>1</v>
      </c>
      <c r="AA1051" s="37">
        <v>0.1</v>
      </c>
      <c r="AB1051">
        <v>1.1</v>
      </c>
    </row>
    <row r="1052">
      <c r="A1052" t="s">
        <v>3042</v>
      </c>
      <c r="B1052" t="s">
        <v>1860</v>
      </c>
      <c r="C1052" t="s">
        <v>1860</v>
      </c>
      <c r="D1052" t="s">
        <v>3043</v>
      </c>
      <c r="E1052" t="s">
        <v>3044</v>
      </c>
      <c r="F1052" t="s">
        <v>298</v>
      </c>
      <c r="G1052" t="s">
        <v>3045</v>
      </c>
      <c r="H1052" t="s">
        <v>3051</v>
      </c>
      <c r="I1052" t="s">
        <v>1468</v>
      </c>
      <c r="J1052">
        <v>0</v>
      </c>
      <c r="K1052">
        <v>0</v>
      </c>
      <c r="L1052" t="s">
        <v>3024</v>
      </c>
      <c r="M1052" s="37">
        <v>0</v>
      </c>
      <c r="N1052" s="37">
        <v>0</v>
      </c>
      <c r="O1052">
        <v>0</v>
      </c>
      <c r="P1052" s="37">
        <v>1.101</v>
      </c>
      <c r="Q1052">
        <v>1.2</v>
      </c>
      <c r="R1052">
        <v>5400</v>
      </c>
      <c r="S1052">
        <v>5400</v>
      </c>
      <c r="T1052">
        <v>5000</v>
      </c>
      <c r="U1052" t="s">
        <v>1468</v>
      </c>
      <c r="X1052">
        <v>0</v>
      </c>
      <c r="Z1052" s="37">
        <v>0</v>
      </c>
      <c r="AA1052" s="37">
        <v>1</v>
      </c>
      <c r="AB1052">
        <v>0</v>
      </c>
    </row>
    <row r="1053">
      <c r="A1053" t="s">
        <v>3042</v>
      </c>
      <c r="B1053" t="s">
        <v>1860</v>
      </c>
      <c r="C1053" t="s">
        <v>1860</v>
      </c>
      <c r="D1053" t="s">
        <v>3043</v>
      </c>
      <c r="E1053" t="s">
        <v>3044</v>
      </c>
      <c r="F1053" t="s">
        <v>298</v>
      </c>
      <c r="G1053" t="s">
        <v>3045</v>
      </c>
      <c r="H1053" t="s">
        <v>3052</v>
      </c>
      <c r="I1053" t="s">
        <v>1468</v>
      </c>
      <c r="J1053">
        <v>1</v>
      </c>
      <c r="K1053">
        <v>1</v>
      </c>
      <c r="L1053" t="s">
        <v>3024</v>
      </c>
      <c r="M1053" s="37">
        <v>0.01</v>
      </c>
      <c r="N1053" s="37">
        <v>0.1</v>
      </c>
      <c r="O1053">
        <v>1</v>
      </c>
      <c r="P1053" s="37">
        <v>1.101</v>
      </c>
      <c r="Q1053">
        <v>1.2</v>
      </c>
      <c r="R1053">
        <v>5400</v>
      </c>
      <c r="S1053">
        <v>5400</v>
      </c>
      <c r="T1053">
        <v>5000</v>
      </c>
      <c r="U1053" t="s">
        <v>1950</v>
      </c>
      <c r="X1053">
        <v>1</v>
      </c>
      <c r="Y1053" t="s">
        <v>3053</v>
      </c>
      <c r="Z1053" s="37">
        <v>1</v>
      </c>
      <c r="AA1053" s="37">
        <v>0.33</v>
      </c>
      <c r="AB1053">
        <v>0</v>
      </c>
    </row>
    <row r="1054">
      <c r="A1054" t="s">
        <v>3042</v>
      </c>
      <c r="B1054" t="s">
        <v>1860</v>
      </c>
      <c r="C1054" t="s">
        <v>1860</v>
      </c>
      <c r="D1054" t="s">
        <v>3043</v>
      </c>
      <c r="E1054" t="s">
        <v>3044</v>
      </c>
      <c r="F1054" t="s">
        <v>298</v>
      </c>
      <c r="G1054" t="s">
        <v>3045</v>
      </c>
      <c r="H1054" t="s">
        <v>3052</v>
      </c>
      <c r="I1054" t="s">
        <v>1468</v>
      </c>
      <c r="J1054">
        <v>1</v>
      </c>
      <c r="K1054">
        <v>1</v>
      </c>
      <c r="L1054" t="s">
        <v>3024</v>
      </c>
      <c r="M1054" s="37">
        <v>0.01</v>
      </c>
      <c r="N1054" s="37">
        <v>0.1</v>
      </c>
      <c r="O1054">
        <v>1</v>
      </c>
      <c r="P1054" s="37">
        <v>1.101</v>
      </c>
      <c r="Q1054">
        <v>1.2</v>
      </c>
      <c r="R1054">
        <v>5400</v>
      </c>
      <c r="S1054">
        <v>5400</v>
      </c>
      <c r="T1054">
        <v>5000</v>
      </c>
      <c r="U1054" t="s">
        <v>3054</v>
      </c>
      <c r="W1054">
        <v>1</v>
      </c>
      <c r="X1054">
        <v>1</v>
      </c>
      <c r="Y1054" t="s">
        <v>3055</v>
      </c>
      <c r="Z1054" s="37">
        <v>1</v>
      </c>
      <c r="AA1054" s="37">
        <v>0.33</v>
      </c>
      <c r="AB1054">
        <v>0</v>
      </c>
    </row>
    <row r="1055">
      <c r="A1055" t="s">
        <v>3042</v>
      </c>
      <c r="B1055" t="s">
        <v>1860</v>
      </c>
      <c r="C1055" t="s">
        <v>1860</v>
      </c>
      <c r="D1055" t="s">
        <v>3043</v>
      </c>
      <c r="E1055" t="s">
        <v>3044</v>
      </c>
      <c r="F1055" t="s">
        <v>298</v>
      </c>
      <c r="G1055" t="s">
        <v>3045</v>
      </c>
      <c r="H1055" t="s">
        <v>3052</v>
      </c>
      <c r="I1055" t="s">
        <v>1468</v>
      </c>
      <c r="J1055">
        <v>1</v>
      </c>
      <c r="K1055">
        <v>1</v>
      </c>
      <c r="L1055" t="s">
        <v>3024</v>
      </c>
      <c r="M1055" s="37">
        <v>0.01</v>
      </c>
      <c r="N1055" s="37">
        <v>0.1</v>
      </c>
      <c r="O1055">
        <v>1</v>
      </c>
      <c r="P1055" s="37">
        <v>1.101</v>
      </c>
      <c r="Q1055">
        <v>1.2</v>
      </c>
      <c r="R1055">
        <v>5400</v>
      </c>
      <c r="S1055">
        <v>5400</v>
      </c>
      <c r="T1055">
        <v>5000</v>
      </c>
      <c r="U1055" t="s">
        <v>3056</v>
      </c>
      <c r="V1055" t="s">
        <v>455</v>
      </c>
      <c r="X1055">
        <v>1</v>
      </c>
      <c r="Z1055" s="37">
        <v>0.01</v>
      </c>
      <c r="AA1055" s="37">
        <v>0.34</v>
      </c>
      <c r="AB1055">
        <v>0</v>
      </c>
    </row>
    <row r="1056">
      <c r="A1056" t="s">
        <v>3057</v>
      </c>
      <c r="B1056" t="s">
        <v>2179</v>
      </c>
      <c r="C1056" t="s">
        <v>2179</v>
      </c>
      <c r="D1056" t="s">
        <v>3058</v>
      </c>
      <c r="E1056" t="s">
        <v>3059</v>
      </c>
      <c r="F1056" t="s">
        <v>298</v>
      </c>
      <c r="G1056" t="s">
        <v>3060</v>
      </c>
      <c r="H1056" t="s">
        <v>3061</v>
      </c>
      <c r="I1056" t="s">
        <v>3062</v>
      </c>
      <c r="J1056" t="s">
        <v>3063</v>
      </c>
      <c r="K1056" t="s">
        <v>3064</v>
      </c>
      <c r="L1056" t="s">
        <v>3024</v>
      </c>
      <c r="M1056" s="37">
        <v>1.33</v>
      </c>
      <c r="N1056" s="37">
        <v>0.3</v>
      </c>
      <c r="O1056">
        <v>40</v>
      </c>
      <c r="P1056" s="37">
        <v>1.099</v>
      </c>
      <c r="Q1056">
        <v>1.1</v>
      </c>
      <c r="R1056">
        <v>2200</v>
      </c>
      <c r="S1056">
        <v>2200</v>
      </c>
      <c r="T1056">
        <v>2000</v>
      </c>
      <c r="U1056" t="s">
        <v>3056</v>
      </c>
      <c r="V1056" t="s">
        <v>455</v>
      </c>
      <c r="X1056">
        <v>1</v>
      </c>
      <c r="Z1056" s="37">
        <v>0.01</v>
      </c>
      <c r="AA1056" s="37">
        <v>0.34</v>
      </c>
      <c r="AB1056">
        <v>0</v>
      </c>
    </row>
    <row r="1057">
      <c r="A1057" t="s">
        <v>3057</v>
      </c>
      <c r="B1057" t="s">
        <v>2179</v>
      </c>
      <c r="C1057" t="s">
        <v>2179</v>
      </c>
      <c r="D1057" t="s">
        <v>3058</v>
      </c>
      <c r="E1057" t="s">
        <v>3059</v>
      </c>
      <c r="F1057" t="s">
        <v>298</v>
      </c>
      <c r="G1057" t="s">
        <v>3060</v>
      </c>
      <c r="H1057" t="s">
        <v>3065</v>
      </c>
      <c r="I1057" t="s">
        <v>3066</v>
      </c>
      <c r="J1057" t="s">
        <v>3067</v>
      </c>
      <c r="K1057" t="s">
        <v>3068</v>
      </c>
      <c r="L1057" t="s">
        <v>3024</v>
      </c>
      <c r="M1057" s="37">
        <v>1</v>
      </c>
      <c r="N1057" s="37">
        <v>0.15</v>
      </c>
      <c r="O1057">
        <v>15</v>
      </c>
      <c r="P1057" s="37">
        <v>1.099</v>
      </c>
      <c r="Q1057">
        <v>1.1</v>
      </c>
      <c r="R1057">
        <v>2200</v>
      </c>
      <c r="S1057">
        <v>2200</v>
      </c>
      <c r="T1057">
        <v>2000</v>
      </c>
      <c r="U1057" t="s">
        <v>3056</v>
      </c>
      <c r="V1057" t="s">
        <v>455</v>
      </c>
      <c r="X1057">
        <v>1</v>
      </c>
      <c r="Z1057" s="37">
        <v>0.01</v>
      </c>
      <c r="AA1057" s="37">
        <v>0.34</v>
      </c>
      <c r="AB1057">
        <v>0</v>
      </c>
    </row>
    <row r="1058">
      <c r="A1058" t="s">
        <v>3057</v>
      </c>
      <c r="B1058" t="s">
        <v>2179</v>
      </c>
      <c r="C1058" t="s">
        <v>2179</v>
      </c>
      <c r="D1058" t="s">
        <v>3058</v>
      </c>
      <c r="E1058" t="s">
        <v>3059</v>
      </c>
      <c r="F1058" t="s">
        <v>298</v>
      </c>
      <c r="G1058" t="s">
        <v>3060</v>
      </c>
      <c r="H1058" t="s">
        <v>3069</v>
      </c>
      <c r="I1058" t="s">
        <v>3070</v>
      </c>
      <c r="J1058" t="s">
        <v>3071</v>
      </c>
      <c r="K1058" t="s">
        <v>3072</v>
      </c>
      <c r="L1058" t="s">
        <v>3024</v>
      </c>
      <c r="M1058" s="37">
        <v>1</v>
      </c>
      <c r="N1058" s="37">
        <v>0.55</v>
      </c>
      <c r="O1058">
        <v>55</v>
      </c>
      <c r="P1058" s="37">
        <v>1.099</v>
      </c>
      <c r="Q1058">
        <v>1.1</v>
      </c>
      <c r="R1058">
        <v>2200</v>
      </c>
      <c r="S1058">
        <v>2200</v>
      </c>
      <c r="T1058">
        <v>2000</v>
      </c>
      <c r="U1058" t="s">
        <v>3056</v>
      </c>
      <c r="V1058" t="s">
        <v>455</v>
      </c>
      <c r="X1058">
        <v>1</v>
      </c>
      <c r="Z1058" s="37">
        <v>0.01</v>
      </c>
      <c r="AA1058" s="37">
        <v>0.34</v>
      </c>
      <c r="AB1058">
        <v>0</v>
      </c>
    </row>
    <row r="1059">
      <c r="A1059" t="s">
        <v>3073</v>
      </c>
      <c r="B1059" t="s">
        <v>2842</v>
      </c>
      <c r="C1059" t="s">
        <v>2842</v>
      </c>
      <c r="D1059" t="s">
        <v>3074</v>
      </c>
      <c r="E1059" t="s">
        <v>3075</v>
      </c>
      <c r="F1059" t="s">
        <v>298</v>
      </c>
      <c r="G1059" t="s">
        <v>3076</v>
      </c>
      <c r="H1059" t="s">
        <v>3077</v>
      </c>
      <c r="I1059" t="s">
        <v>3078</v>
      </c>
      <c r="J1059" t="s">
        <v>3071</v>
      </c>
      <c r="K1059">
        <v>0</v>
      </c>
      <c r="L1059" t="s">
        <v>3079</v>
      </c>
      <c r="M1059" s="37">
        <v>0.75</v>
      </c>
      <c r="N1059" s="37">
        <v>0.1</v>
      </c>
      <c r="O1059">
        <v>75</v>
      </c>
      <c r="P1059" s="37">
        <v>1.013</v>
      </c>
      <c r="Q1059">
        <v>1.01</v>
      </c>
      <c r="R1059">
        <v>5000</v>
      </c>
      <c r="S1059">
        <v>5000</v>
      </c>
      <c r="T1059">
        <v>5000</v>
      </c>
      <c r="U1059" t="s">
        <v>3056</v>
      </c>
      <c r="V1059" t="s">
        <v>455</v>
      </c>
      <c r="X1059">
        <v>1</v>
      </c>
      <c r="Z1059" s="37">
        <v>0.01</v>
      </c>
      <c r="AA1059" s="37">
        <v>0.34</v>
      </c>
      <c r="AB1059">
        <v>0</v>
      </c>
    </row>
    <row r="1060">
      <c r="A1060" t="s">
        <v>3073</v>
      </c>
      <c r="B1060" t="s">
        <v>2842</v>
      </c>
      <c r="C1060" t="s">
        <v>2842</v>
      </c>
      <c r="D1060" t="s">
        <v>3074</v>
      </c>
      <c r="E1060" t="s">
        <v>3075</v>
      </c>
      <c r="F1060" t="s">
        <v>298</v>
      </c>
      <c r="G1060" t="s">
        <v>3076</v>
      </c>
      <c r="H1060" t="s">
        <v>3080</v>
      </c>
      <c r="I1060" t="s">
        <v>3081</v>
      </c>
      <c r="J1060" t="s">
        <v>3082</v>
      </c>
      <c r="K1060" t="s">
        <v>3083</v>
      </c>
      <c r="L1060" t="s">
        <v>3084</v>
      </c>
      <c r="M1060" s="37">
        <v>1.19</v>
      </c>
      <c r="N1060" s="37">
        <v>0.2</v>
      </c>
      <c r="O1060">
        <v>119</v>
      </c>
      <c r="P1060" s="37">
        <v>1.013</v>
      </c>
      <c r="Q1060">
        <v>1.01</v>
      </c>
      <c r="R1060">
        <v>5000</v>
      </c>
      <c r="S1060">
        <v>5000</v>
      </c>
      <c r="T1060">
        <v>5000</v>
      </c>
      <c r="U1060" t="s">
        <v>3056</v>
      </c>
      <c r="V1060" t="s">
        <v>455</v>
      </c>
      <c r="X1060">
        <v>1</v>
      </c>
      <c r="Z1060" s="37">
        <v>0.01</v>
      </c>
      <c r="AA1060" s="37">
        <v>0.34</v>
      </c>
      <c r="AB1060">
        <v>0</v>
      </c>
    </row>
    <row r="1061">
      <c r="A1061" t="s">
        <v>3073</v>
      </c>
      <c r="B1061" t="s">
        <v>2842</v>
      </c>
      <c r="C1061" t="s">
        <v>2842</v>
      </c>
      <c r="D1061" t="s">
        <v>3074</v>
      </c>
      <c r="E1061" t="s">
        <v>3075</v>
      </c>
      <c r="F1061" t="s">
        <v>298</v>
      </c>
      <c r="G1061" t="s">
        <v>3076</v>
      </c>
      <c r="H1061" t="s">
        <v>3085</v>
      </c>
      <c r="I1061" t="s">
        <v>3086</v>
      </c>
      <c r="J1061" t="s">
        <v>3082</v>
      </c>
      <c r="K1061">
        <v>0</v>
      </c>
      <c r="L1061" t="s">
        <v>3087</v>
      </c>
      <c r="M1061" s="37">
        <v>1</v>
      </c>
      <c r="N1061" s="37">
        <v>0.7</v>
      </c>
      <c r="O1061">
        <v>100</v>
      </c>
      <c r="P1061" s="37">
        <v>1.013</v>
      </c>
      <c r="Q1061">
        <v>1.01</v>
      </c>
      <c r="R1061">
        <v>5000</v>
      </c>
      <c r="S1061">
        <v>5000</v>
      </c>
      <c r="T1061">
        <v>5000</v>
      </c>
      <c r="U1061" t="s">
        <v>3056</v>
      </c>
      <c r="V1061" t="s">
        <v>455</v>
      </c>
      <c r="X1061">
        <v>1</v>
      </c>
      <c r="Z1061" s="37">
        <v>0.01</v>
      </c>
      <c r="AA1061" s="37">
        <v>0.34</v>
      </c>
      <c r="AB1061">
        <v>0</v>
      </c>
    </row>
    <row r="1062">
      <c r="A1062" t="s">
        <v>3088</v>
      </c>
      <c r="B1062" t="s">
        <v>1624</v>
      </c>
      <c r="C1062" t="s">
        <v>1624</v>
      </c>
      <c r="D1062" t="s">
        <v>3089</v>
      </c>
      <c r="E1062" t="s">
        <v>3090</v>
      </c>
      <c r="F1062" t="s">
        <v>298</v>
      </c>
      <c r="G1062" t="s">
        <v>3091</v>
      </c>
      <c r="H1062" t="s">
        <v>3092</v>
      </c>
      <c r="I1062" t="s">
        <v>3093</v>
      </c>
      <c r="J1062">
        <v>99</v>
      </c>
      <c r="K1062" s="38">
        <v>1</v>
      </c>
      <c r="L1062" t="s">
        <v>3087</v>
      </c>
      <c r="M1062" s="37">
        <v>1</v>
      </c>
      <c r="N1062" s="37">
        <v>0.25</v>
      </c>
      <c r="O1062">
        <v>1</v>
      </c>
      <c r="P1062" s="37">
        <v>1.1</v>
      </c>
      <c r="Q1062">
        <v>1.05</v>
      </c>
      <c r="R1062">
        <v>2100</v>
      </c>
      <c r="S1062">
        <v>2100</v>
      </c>
      <c r="T1062">
        <v>2000</v>
      </c>
      <c r="U1062" t="s">
        <v>3056</v>
      </c>
      <c r="V1062" t="s">
        <v>455</v>
      </c>
      <c r="X1062">
        <v>1</v>
      </c>
      <c r="Z1062" s="37">
        <v>0.01</v>
      </c>
      <c r="AA1062" s="37">
        <v>0.34</v>
      </c>
      <c r="AB1062">
        <v>0</v>
      </c>
    </row>
    <row r="1063">
      <c r="A1063" t="s">
        <v>3088</v>
      </c>
      <c r="B1063" t="s">
        <v>1624</v>
      </c>
      <c r="C1063" t="s">
        <v>1624</v>
      </c>
      <c r="D1063" t="s">
        <v>3089</v>
      </c>
      <c r="E1063" t="s">
        <v>3090</v>
      </c>
      <c r="F1063" t="s">
        <v>298</v>
      </c>
      <c r="G1063" t="s">
        <v>3091</v>
      </c>
      <c r="H1063" t="s">
        <v>3094</v>
      </c>
      <c r="I1063" t="s">
        <v>3094</v>
      </c>
      <c r="J1063">
        <v>100</v>
      </c>
      <c r="K1063" s="37">
        <v>0.9983</v>
      </c>
      <c r="L1063" t="s">
        <v>3087</v>
      </c>
      <c r="M1063" s="37">
        <v>1</v>
      </c>
      <c r="N1063" s="37">
        <v>0.3</v>
      </c>
      <c r="O1063">
        <v>1</v>
      </c>
      <c r="P1063" s="37">
        <v>1.1</v>
      </c>
      <c r="Q1063">
        <v>1.05</v>
      </c>
      <c r="R1063">
        <v>2100</v>
      </c>
      <c r="S1063">
        <v>2100</v>
      </c>
      <c r="T1063">
        <v>2000</v>
      </c>
      <c r="U1063" t="s">
        <v>3056</v>
      </c>
      <c r="V1063" t="s">
        <v>455</v>
      </c>
      <c r="X1063">
        <v>1</v>
      </c>
      <c r="Z1063" s="37">
        <v>0.01</v>
      </c>
      <c r="AA1063" s="37">
        <v>0.34</v>
      </c>
      <c r="AB1063">
        <v>0</v>
      </c>
    </row>
    <row r="1064">
      <c r="A1064" t="s">
        <v>3088</v>
      </c>
      <c r="B1064" t="s">
        <v>1624</v>
      </c>
      <c r="C1064" t="s">
        <v>1624</v>
      </c>
      <c r="D1064" t="s">
        <v>3089</v>
      </c>
      <c r="E1064" t="s">
        <v>3090</v>
      </c>
      <c r="F1064" t="s">
        <v>298</v>
      </c>
      <c r="G1064" t="s">
        <v>3091</v>
      </c>
      <c r="H1064" t="s">
        <v>3095</v>
      </c>
      <c r="I1064" t="s">
        <v>3096</v>
      </c>
      <c r="J1064">
        <v>100</v>
      </c>
      <c r="K1064" s="38">
        <v>1</v>
      </c>
      <c r="L1064" t="s">
        <v>3087</v>
      </c>
      <c r="M1064" s="37">
        <v>1</v>
      </c>
      <c r="N1064" s="37">
        <v>0.1</v>
      </c>
      <c r="O1064">
        <v>1</v>
      </c>
      <c r="P1064" s="37">
        <v>1.1</v>
      </c>
      <c r="Q1064">
        <v>1.05</v>
      </c>
      <c r="R1064">
        <v>2100</v>
      </c>
      <c r="S1064">
        <v>2100</v>
      </c>
      <c r="T1064">
        <v>2000</v>
      </c>
      <c r="U1064" t="s">
        <v>3056</v>
      </c>
      <c r="V1064" t="s">
        <v>455</v>
      </c>
      <c r="X1064">
        <v>1</v>
      </c>
      <c r="Z1064" s="37">
        <v>0.01</v>
      </c>
      <c r="AA1064" s="37">
        <v>0.34</v>
      </c>
      <c r="AB1064">
        <v>0</v>
      </c>
    </row>
    <row r="1065">
      <c r="A1065" t="s">
        <v>3088</v>
      </c>
      <c r="B1065" t="s">
        <v>1624</v>
      </c>
      <c r="C1065" t="s">
        <v>1624</v>
      </c>
      <c r="D1065" t="s">
        <v>3089</v>
      </c>
      <c r="E1065" t="s">
        <v>3090</v>
      </c>
      <c r="F1065" t="s">
        <v>298</v>
      </c>
      <c r="G1065" t="s">
        <v>3091</v>
      </c>
      <c r="H1065" t="s">
        <v>3097</v>
      </c>
      <c r="I1065" t="s">
        <v>3098</v>
      </c>
      <c r="J1065">
        <v>0</v>
      </c>
      <c r="K1065" t="s">
        <v>1204</v>
      </c>
      <c r="L1065" t="s">
        <v>3087</v>
      </c>
      <c r="M1065" s="37">
        <v>1.5</v>
      </c>
      <c r="N1065" s="37">
        <v>0.2</v>
      </c>
      <c r="O1065">
        <v>1.5</v>
      </c>
      <c r="P1065" s="37">
        <v>1.1</v>
      </c>
      <c r="Q1065">
        <v>1.05</v>
      </c>
      <c r="R1065">
        <v>2100</v>
      </c>
      <c r="S1065">
        <v>2100</v>
      </c>
      <c r="T1065">
        <v>2000</v>
      </c>
      <c r="U1065" t="s">
        <v>3056</v>
      </c>
      <c r="V1065" t="s">
        <v>455</v>
      </c>
      <c r="X1065">
        <v>1</v>
      </c>
      <c r="Z1065" s="37">
        <v>0.01</v>
      </c>
      <c r="AA1065" s="37">
        <v>0.34</v>
      </c>
      <c r="AB1065">
        <v>0</v>
      </c>
    </row>
    <row r="1066">
      <c r="A1066" t="s">
        <v>3088</v>
      </c>
      <c r="B1066" t="s">
        <v>1624</v>
      </c>
      <c r="C1066" t="s">
        <v>1624</v>
      </c>
      <c r="D1066" t="s">
        <v>3089</v>
      </c>
      <c r="E1066" t="s">
        <v>3090</v>
      </c>
      <c r="F1066" t="s">
        <v>298</v>
      </c>
      <c r="G1066" t="s">
        <v>3091</v>
      </c>
      <c r="H1066" t="s">
        <v>3099</v>
      </c>
      <c r="I1066" t="s">
        <v>3100</v>
      </c>
      <c r="J1066" t="s">
        <v>3101</v>
      </c>
      <c r="K1066" t="s">
        <v>3102</v>
      </c>
      <c r="L1066" t="s">
        <v>3087</v>
      </c>
      <c r="M1066" s="37">
        <v>1</v>
      </c>
      <c r="N1066" s="37">
        <v>0.15</v>
      </c>
      <c r="O1066">
        <v>1</v>
      </c>
      <c r="P1066" s="37">
        <v>1.1</v>
      </c>
      <c r="Q1066">
        <v>1.05</v>
      </c>
      <c r="R1066">
        <v>2100</v>
      </c>
      <c r="S1066">
        <v>2100</v>
      </c>
      <c r="T1066">
        <v>2000</v>
      </c>
      <c r="U1066" t="s">
        <v>3056</v>
      </c>
      <c r="V1066" t="s">
        <v>455</v>
      </c>
      <c r="X1066">
        <v>1</v>
      </c>
      <c r="Z1066" s="37">
        <v>0.01</v>
      </c>
      <c r="AA1066" s="37">
        <v>0.34</v>
      </c>
      <c r="AB1066">
        <v>0</v>
      </c>
    </row>
    <row r="1067">
      <c r="A1067" t="s">
        <v>3103</v>
      </c>
      <c r="B1067" t="s">
        <v>2789</v>
      </c>
      <c r="C1067" t="s">
        <v>2789</v>
      </c>
      <c r="D1067" t="s">
        <v>3104</v>
      </c>
      <c r="E1067" t="s">
        <v>3105</v>
      </c>
      <c r="F1067" t="s">
        <v>298</v>
      </c>
      <c r="G1067" t="s">
        <v>3106</v>
      </c>
      <c r="H1067" t="s">
        <v>3107</v>
      </c>
      <c r="I1067" t="s">
        <v>3100</v>
      </c>
      <c r="J1067" t="s">
        <v>3108</v>
      </c>
      <c r="K1067" t="s">
        <v>3109</v>
      </c>
      <c r="L1067" t="s">
        <v>3087</v>
      </c>
      <c r="M1067" s="37">
        <v>2.617523</v>
      </c>
      <c r="N1067" s="37">
        <v>0.5</v>
      </c>
      <c r="O1067">
        <v>1.5</v>
      </c>
      <c r="P1067" s="37">
        <v>1.808762</v>
      </c>
      <c r="Q1067">
        <v>1.2</v>
      </c>
      <c r="R1067">
        <v>5400</v>
      </c>
      <c r="S1067">
        <v>5400</v>
      </c>
      <c r="T1067">
        <v>5000</v>
      </c>
      <c r="U1067" t="s">
        <v>3056</v>
      </c>
      <c r="V1067" t="s">
        <v>455</v>
      </c>
      <c r="X1067">
        <v>1</v>
      </c>
      <c r="Z1067" s="37">
        <v>0.01</v>
      </c>
      <c r="AA1067" s="37">
        <v>0.34</v>
      </c>
      <c r="AB1067">
        <v>0</v>
      </c>
    </row>
    <row r="1068">
      <c r="A1068" t="s">
        <v>3103</v>
      </c>
      <c r="B1068" t="s">
        <v>2789</v>
      </c>
      <c r="C1068" t="s">
        <v>2789</v>
      </c>
      <c r="D1068" t="s">
        <v>3104</v>
      </c>
      <c r="E1068" t="s">
        <v>3105</v>
      </c>
      <c r="F1068" t="s">
        <v>298</v>
      </c>
      <c r="G1068" t="s">
        <v>3106</v>
      </c>
      <c r="H1068" t="s">
        <v>2798</v>
      </c>
      <c r="I1068" t="s">
        <v>3110</v>
      </c>
      <c r="J1068" t="s">
        <v>3108</v>
      </c>
      <c r="K1068">
        <v>4.56</v>
      </c>
      <c r="L1068" t="s">
        <v>3087</v>
      </c>
      <c r="M1068" s="37">
        <v>1</v>
      </c>
      <c r="N1068" s="37">
        <v>0.1</v>
      </c>
      <c r="O1068">
        <v>1</v>
      </c>
      <c r="P1068" s="37">
        <v>1.808762</v>
      </c>
      <c r="Q1068">
        <v>1.2</v>
      </c>
      <c r="R1068">
        <v>5400</v>
      </c>
      <c r="S1068">
        <v>5400</v>
      </c>
      <c r="T1068">
        <v>5000</v>
      </c>
      <c r="U1068" t="s">
        <v>3056</v>
      </c>
      <c r="V1068" t="s">
        <v>455</v>
      </c>
      <c r="X1068">
        <v>1</v>
      </c>
      <c r="Z1068" s="37">
        <v>0.01</v>
      </c>
      <c r="AA1068" s="37">
        <v>0.34</v>
      </c>
      <c r="AB1068">
        <v>0</v>
      </c>
    </row>
    <row r="1069">
      <c r="A1069" t="s">
        <v>3103</v>
      </c>
      <c r="B1069" t="s">
        <v>2789</v>
      </c>
      <c r="C1069" t="s">
        <v>2789</v>
      </c>
      <c r="D1069" t="s">
        <v>3104</v>
      </c>
      <c r="E1069" t="s">
        <v>3105</v>
      </c>
      <c r="F1069" t="s">
        <v>298</v>
      </c>
      <c r="G1069" t="s">
        <v>3106</v>
      </c>
      <c r="H1069" t="s">
        <v>3111</v>
      </c>
      <c r="I1069" t="s">
        <v>3110</v>
      </c>
      <c r="J1069" s="38">
        <v>0.9</v>
      </c>
      <c r="K1069" s="37">
        <v>0.9583</v>
      </c>
      <c r="L1069" t="s">
        <v>3087</v>
      </c>
      <c r="M1069" s="37">
        <v>1</v>
      </c>
      <c r="N1069" s="37">
        <v>0.4</v>
      </c>
      <c r="O1069">
        <v>1</v>
      </c>
      <c r="P1069" s="37">
        <v>1.808762</v>
      </c>
      <c r="Q1069">
        <v>1.2</v>
      </c>
      <c r="R1069">
        <v>5400</v>
      </c>
      <c r="S1069">
        <v>5400</v>
      </c>
      <c r="T1069">
        <v>5000</v>
      </c>
      <c r="U1069" t="s">
        <v>3056</v>
      </c>
      <c r="V1069" t="s">
        <v>455</v>
      </c>
      <c r="X1069">
        <v>1</v>
      </c>
      <c r="Z1069" s="37">
        <v>0.01</v>
      </c>
      <c r="AA1069" s="37">
        <v>0.34</v>
      </c>
      <c r="AB1069">
        <v>0</v>
      </c>
    </row>
    <row r="1070">
      <c r="A1070" t="s">
        <v>3112</v>
      </c>
      <c r="B1070" t="s">
        <v>3113</v>
      </c>
      <c r="C1070" t="s">
        <v>3113</v>
      </c>
      <c r="D1070" t="s">
        <v>1216</v>
      </c>
      <c r="E1070" t="s">
        <v>3114</v>
      </c>
      <c r="F1070" t="s">
        <v>298</v>
      </c>
      <c r="G1070" t="s">
        <v>3115</v>
      </c>
      <c r="H1070" t="s">
        <v>3116</v>
      </c>
      <c r="I1070" t="s">
        <v>3117</v>
      </c>
      <c r="J1070" t="s">
        <v>571</v>
      </c>
      <c r="K1070" t="s">
        <v>2578</v>
      </c>
      <c r="L1070" t="s">
        <v>3118</v>
      </c>
      <c r="M1070" s="37">
        <v>0.625</v>
      </c>
      <c r="N1070" s="37">
        <v>0.2</v>
      </c>
      <c r="O1070">
        <v>0.4375</v>
      </c>
      <c r="P1070" s="37">
        <v>0.86087</v>
      </c>
      <c r="Q1070">
        <v>0.92</v>
      </c>
      <c r="R1070">
        <v>2100</v>
      </c>
      <c r="S1070">
        <v>2100</v>
      </c>
      <c r="T1070">
        <v>2000</v>
      </c>
      <c r="U1070" t="s">
        <v>3056</v>
      </c>
      <c r="V1070" t="s">
        <v>455</v>
      </c>
      <c r="X1070">
        <v>1</v>
      </c>
      <c r="Z1070" s="37">
        <v>0.01</v>
      </c>
      <c r="AA1070" s="37">
        <v>0.34</v>
      </c>
      <c r="AB1070">
        <v>0</v>
      </c>
    </row>
    <row r="1071">
      <c r="A1071" t="s">
        <v>3112</v>
      </c>
      <c r="B1071" t="s">
        <v>3113</v>
      </c>
      <c r="C1071" t="s">
        <v>3113</v>
      </c>
      <c r="D1071" t="s">
        <v>1216</v>
      </c>
      <c r="E1071" t="s">
        <v>3114</v>
      </c>
      <c r="F1071" t="s">
        <v>298</v>
      </c>
      <c r="G1071" t="s">
        <v>3115</v>
      </c>
      <c r="H1071" t="s">
        <v>3119</v>
      </c>
      <c r="I1071" t="s">
        <v>3120</v>
      </c>
      <c r="J1071" t="s">
        <v>1418</v>
      </c>
      <c r="K1071" t="s">
        <v>706</v>
      </c>
      <c r="L1071" t="s">
        <v>3121</v>
      </c>
      <c r="M1071" s="37">
        <v>0.75</v>
      </c>
      <c r="N1071" s="37">
        <v>0.2</v>
      </c>
      <c r="O1071">
        <v>0.675</v>
      </c>
      <c r="P1071" s="37">
        <v>0.86087</v>
      </c>
      <c r="Q1071">
        <v>0.92</v>
      </c>
      <c r="R1071">
        <v>2100</v>
      </c>
      <c r="S1071">
        <v>2100</v>
      </c>
      <c r="T1071">
        <v>2000</v>
      </c>
      <c r="U1071" t="s">
        <v>3056</v>
      </c>
      <c r="V1071" t="s">
        <v>455</v>
      </c>
      <c r="X1071">
        <v>1</v>
      </c>
      <c r="Z1071" s="37">
        <v>0.01</v>
      </c>
      <c r="AA1071" s="37">
        <v>0.34</v>
      </c>
      <c r="AB1071">
        <v>0</v>
      </c>
    </row>
    <row r="1072">
      <c r="A1072" t="s">
        <v>3112</v>
      </c>
      <c r="B1072" t="s">
        <v>3113</v>
      </c>
      <c r="C1072" t="s">
        <v>3113</v>
      </c>
      <c r="D1072" t="s">
        <v>1216</v>
      </c>
      <c r="E1072" t="s">
        <v>3114</v>
      </c>
      <c r="F1072" t="s">
        <v>298</v>
      </c>
      <c r="G1072" t="s">
        <v>3115</v>
      </c>
      <c r="H1072" t="s">
        <v>3122</v>
      </c>
      <c r="I1072" t="s">
        <v>3123</v>
      </c>
      <c r="J1072" t="s">
        <v>959</v>
      </c>
      <c r="K1072" t="s">
        <v>3124</v>
      </c>
      <c r="L1072" t="s">
        <v>3125</v>
      </c>
      <c r="M1072" s="37">
        <v>1.0529</v>
      </c>
      <c r="N1072" s="37">
        <v>0.3</v>
      </c>
      <c r="O1072">
        <v>1.2635</v>
      </c>
      <c r="P1072" s="37">
        <v>0.86087</v>
      </c>
      <c r="Q1072">
        <v>0.92</v>
      </c>
      <c r="R1072">
        <v>2100</v>
      </c>
      <c r="S1072">
        <v>2100</v>
      </c>
      <c r="T1072">
        <v>2000</v>
      </c>
      <c r="U1072" t="s">
        <v>3056</v>
      </c>
      <c r="V1072" t="s">
        <v>455</v>
      </c>
      <c r="X1072">
        <v>1</v>
      </c>
      <c r="Z1072" s="37">
        <v>0.01</v>
      </c>
      <c r="AA1072" s="37">
        <v>0.34</v>
      </c>
      <c r="AB1072">
        <v>0</v>
      </c>
    </row>
    <row r="1073">
      <c r="A1073" t="s">
        <v>3112</v>
      </c>
      <c r="B1073" t="s">
        <v>3113</v>
      </c>
      <c r="C1073" t="s">
        <v>3113</v>
      </c>
      <c r="D1073" t="s">
        <v>1216</v>
      </c>
      <c r="E1073" t="s">
        <v>3114</v>
      </c>
      <c r="F1073" t="s">
        <v>298</v>
      </c>
      <c r="G1073" t="s">
        <v>3115</v>
      </c>
      <c r="H1073" t="s">
        <v>3126</v>
      </c>
      <c r="I1073" t="s">
        <v>3127</v>
      </c>
      <c r="J1073" s="38">
        <v>0.8</v>
      </c>
      <c r="K1073" s="38">
        <v>0.9</v>
      </c>
      <c r="L1073" t="s">
        <v>3128</v>
      </c>
      <c r="M1073" s="37">
        <v>0.9</v>
      </c>
      <c r="N1073" s="37">
        <v>0.3</v>
      </c>
      <c r="O1073">
        <v>0.8</v>
      </c>
      <c r="P1073" s="37">
        <v>0.86087</v>
      </c>
      <c r="Q1073">
        <v>0.92</v>
      </c>
      <c r="R1073">
        <v>2100</v>
      </c>
      <c r="S1073">
        <v>2100</v>
      </c>
      <c r="T1073">
        <v>2000</v>
      </c>
      <c r="U1073" t="s">
        <v>3056</v>
      </c>
      <c r="V1073" t="s">
        <v>455</v>
      </c>
      <c r="X1073">
        <v>1</v>
      </c>
      <c r="Z1073" s="37">
        <v>0.01</v>
      </c>
      <c r="AA1073" s="37">
        <v>0.34</v>
      </c>
      <c r="AB1073">
        <v>0</v>
      </c>
    </row>
    <row r="1074">
      <c r="A1074" t="s">
        <v>3129</v>
      </c>
      <c r="B1074" t="s">
        <v>3113</v>
      </c>
      <c r="C1074" t="s">
        <v>3113</v>
      </c>
      <c r="D1074" t="s">
        <v>1216</v>
      </c>
      <c r="E1074" t="s">
        <v>3130</v>
      </c>
      <c r="F1074" t="s">
        <v>298</v>
      </c>
      <c r="G1074" t="s">
        <v>3115</v>
      </c>
      <c r="H1074" t="s">
        <v>3131</v>
      </c>
      <c r="I1074" t="s">
        <v>3132</v>
      </c>
      <c r="J1074" t="s">
        <v>1311</v>
      </c>
      <c r="K1074" t="s">
        <v>3133</v>
      </c>
      <c r="L1074" t="s">
        <v>3128</v>
      </c>
      <c r="M1074" s="37">
        <v>0.95</v>
      </c>
      <c r="N1074" s="37">
        <v>0.2</v>
      </c>
      <c r="O1074">
        <v>0.95</v>
      </c>
      <c r="P1074" s="37">
        <v>0.963375</v>
      </c>
      <c r="Q1074">
        <v>0.96</v>
      </c>
      <c r="R1074">
        <v>2410</v>
      </c>
      <c r="S1074">
        <v>2410</v>
      </c>
      <c r="T1074">
        <v>2000</v>
      </c>
      <c r="U1074" t="s">
        <v>3056</v>
      </c>
      <c r="V1074" t="s">
        <v>455</v>
      </c>
      <c r="X1074">
        <v>1</v>
      </c>
      <c r="Z1074" s="37">
        <v>0.01</v>
      </c>
      <c r="AA1074" s="37">
        <v>0.34</v>
      </c>
      <c r="AB1074">
        <v>0</v>
      </c>
    </row>
    <row r="1075">
      <c r="A1075" t="s">
        <v>3129</v>
      </c>
      <c r="B1075" t="s">
        <v>3113</v>
      </c>
      <c r="C1075" t="s">
        <v>3113</v>
      </c>
      <c r="D1075" t="s">
        <v>1216</v>
      </c>
      <c r="E1075" t="s">
        <v>3130</v>
      </c>
      <c r="F1075" t="s">
        <v>298</v>
      </c>
      <c r="G1075" t="s">
        <v>3115</v>
      </c>
      <c r="H1075" t="s">
        <v>3134</v>
      </c>
      <c r="I1075" t="s">
        <v>3135</v>
      </c>
      <c r="J1075" t="s">
        <v>1595</v>
      </c>
      <c r="K1075" t="s">
        <v>3136</v>
      </c>
      <c r="L1075" t="s">
        <v>3128</v>
      </c>
      <c r="M1075" s="37">
        <v>0.8125</v>
      </c>
      <c r="N1075" s="37">
        <v>0.35</v>
      </c>
      <c r="O1075">
        <v>0.8125</v>
      </c>
      <c r="P1075" s="37">
        <v>0.963375</v>
      </c>
      <c r="Q1075">
        <v>0.96</v>
      </c>
      <c r="R1075">
        <v>2410</v>
      </c>
      <c r="S1075">
        <v>2410</v>
      </c>
      <c r="T1075">
        <v>2000</v>
      </c>
      <c r="U1075" t="s">
        <v>3056</v>
      </c>
      <c r="V1075" t="s">
        <v>455</v>
      </c>
      <c r="X1075">
        <v>1</v>
      </c>
      <c r="Z1075" s="37">
        <v>0.01</v>
      </c>
      <c r="AA1075" s="37">
        <v>0.34</v>
      </c>
      <c r="AB1075">
        <v>0</v>
      </c>
    </row>
    <row r="1076">
      <c r="A1076" t="s">
        <v>3129</v>
      </c>
      <c r="B1076" t="s">
        <v>3113</v>
      </c>
      <c r="C1076" t="s">
        <v>3113</v>
      </c>
      <c r="D1076" t="s">
        <v>1216</v>
      </c>
      <c r="E1076" t="s">
        <v>3130</v>
      </c>
      <c r="F1076" t="s">
        <v>298</v>
      </c>
      <c r="G1076" t="s">
        <v>3115</v>
      </c>
      <c r="H1076" t="s">
        <v>3137</v>
      </c>
      <c r="I1076" t="s">
        <v>3138</v>
      </c>
      <c r="J1076" t="s">
        <v>1631</v>
      </c>
      <c r="K1076" t="s">
        <v>1631</v>
      </c>
      <c r="L1076" t="s">
        <v>3128</v>
      </c>
      <c r="M1076" s="37">
        <v>0.5</v>
      </c>
      <c r="N1076" s="37">
        <v>0.15</v>
      </c>
      <c r="O1076">
        <v>0.5</v>
      </c>
      <c r="P1076" s="37">
        <v>0.963375</v>
      </c>
      <c r="Q1076">
        <v>0.96</v>
      </c>
      <c r="R1076">
        <v>2410</v>
      </c>
      <c r="S1076">
        <v>2410</v>
      </c>
      <c r="T1076">
        <v>2000</v>
      </c>
      <c r="U1076" t="s">
        <v>3056</v>
      </c>
      <c r="V1076" t="s">
        <v>455</v>
      </c>
      <c r="X1076">
        <v>1</v>
      </c>
      <c r="Z1076" s="37">
        <v>0.01</v>
      </c>
      <c r="AA1076" s="37">
        <v>0.34</v>
      </c>
      <c r="AB1076">
        <v>0</v>
      </c>
    </row>
    <row r="1077">
      <c r="A1077" t="s">
        <v>3129</v>
      </c>
      <c r="B1077" t="s">
        <v>3113</v>
      </c>
      <c r="C1077" t="s">
        <v>3113</v>
      </c>
      <c r="D1077" t="s">
        <v>1216</v>
      </c>
      <c r="E1077" t="s">
        <v>3130</v>
      </c>
      <c r="F1077" t="s">
        <v>298</v>
      </c>
      <c r="G1077" t="s">
        <v>3115</v>
      </c>
      <c r="H1077" t="s">
        <v>3139</v>
      </c>
      <c r="I1077" t="s">
        <v>3140</v>
      </c>
      <c r="J1077" t="s">
        <v>3141</v>
      </c>
      <c r="K1077" t="s">
        <v>3142</v>
      </c>
      <c r="L1077" t="s">
        <v>3128</v>
      </c>
      <c r="M1077" s="37">
        <v>1.38</v>
      </c>
      <c r="N1077" s="37">
        <v>0.3</v>
      </c>
      <c r="O1077">
        <v>1.38</v>
      </c>
      <c r="P1077" s="37">
        <v>0.963375</v>
      </c>
      <c r="Q1077">
        <v>0.96</v>
      </c>
      <c r="R1077">
        <v>2410</v>
      </c>
      <c r="S1077">
        <v>2410</v>
      </c>
      <c r="T1077">
        <v>2000</v>
      </c>
      <c r="U1077" t="s">
        <v>3056</v>
      </c>
      <c r="V1077" t="s">
        <v>455</v>
      </c>
      <c r="X1077">
        <v>1</v>
      </c>
      <c r="Z1077" s="37">
        <v>0.01</v>
      </c>
      <c r="AA1077" s="37">
        <v>0.34</v>
      </c>
      <c r="AB1077">
        <v>0</v>
      </c>
    </row>
    <row r="1078">
      <c r="A1078" t="s">
        <v>3143</v>
      </c>
      <c r="B1078" t="s">
        <v>3113</v>
      </c>
      <c r="C1078" t="s">
        <v>3113</v>
      </c>
      <c r="D1078" t="s">
        <v>1216</v>
      </c>
      <c r="E1078" t="s">
        <v>3144</v>
      </c>
      <c r="F1078" t="s">
        <v>298</v>
      </c>
      <c r="G1078" t="s">
        <v>3115</v>
      </c>
      <c r="H1078" t="s">
        <v>3131</v>
      </c>
      <c r="I1078" t="s">
        <v>3145</v>
      </c>
      <c r="J1078" t="s">
        <v>709</v>
      </c>
      <c r="K1078" t="s">
        <v>817</v>
      </c>
      <c r="L1078" t="s">
        <v>3146</v>
      </c>
      <c r="M1078" s="37">
        <v>0</v>
      </c>
      <c r="N1078" s="37">
        <v>0.2</v>
      </c>
      <c r="O1078">
        <v>0</v>
      </c>
      <c r="P1078" s="37">
        <v>0.9835</v>
      </c>
      <c r="Q1078">
        <v>0.9</v>
      </c>
      <c r="R1078">
        <v>3490</v>
      </c>
      <c r="S1078">
        <v>3490</v>
      </c>
      <c r="T1078">
        <v>4000</v>
      </c>
      <c r="U1078" t="s">
        <v>3056</v>
      </c>
      <c r="V1078" t="s">
        <v>455</v>
      </c>
      <c r="X1078">
        <v>1</v>
      </c>
      <c r="Z1078" s="37">
        <v>0.01</v>
      </c>
      <c r="AA1078" s="37">
        <v>0.34</v>
      </c>
      <c r="AB1078">
        <v>0</v>
      </c>
    </row>
    <row r="1079">
      <c r="A1079" t="s">
        <v>3143</v>
      </c>
      <c r="B1079" t="s">
        <v>3113</v>
      </c>
      <c r="C1079" t="s">
        <v>3113</v>
      </c>
      <c r="D1079" t="s">
        <v>1216</v>
      </c>
      <c r="E1079" t="s">
        <v>3144</v>
      </c>
      <c r="F1079" t="s">
        <v>298</v>
      </c>
      <c r="G1079" t="s">
        <v>3115</v>
      </c>
      <c r="H1079" t="s">
        <v>3147</v>
      </c>
      <c r="I1079" t="s">
        <v>3148</v>
      </c>
      <c r="J1079" t="s">
        <v>3149</v>
      </c>
      <c r="K1079" t="s">
        <v>3150</v>
      </c>
      <c r="L1079" t="s">
        <v>3151</v>
      </c>
      <c r="M1079" s="37">
        <v>2.05</v>
      </c>
      <c r="N1079" s="37">
        <v>0.2</v>
      </c>
      <c r="O1079">
        <v>1.5</v>
      </c>
      <c r="P1079" s="37">
        <v>0.9835</v>
      </c>
      <c r="Q1079">
        <v>0.9</v>
      </c>
      <c r="R1079">
        <v>3490</v>
      </c>
      <c r="S1079">
        <v>3490</v>
      </c>
      <c r="T1079">
        <v>4000</v>
      </c>
      <c r="U1079" t="s">
        <v>3056</v>
      </c>
      <c r="V1079" t="s">
        <v>455</v>
      </c>
      <c r="X1079">
        <v>1</v>
      </c>
      <c r="Z1079" s="37">
        <v>0.01</v>
      </c>
      <c r="AA1079" s="37">
        <v>0.34</v>
      </c>
      <c r="AB1079">
        <v>0</v>
      </c>
    </row>
    <row r="1080">
      <c r="A1080" t="s">
        <v>3143</v>
      </c>
      <c r="B1080" t="s">
        <v>3113</v>
      </c>
      <c r="C1080" t="s">
        <v>3113</v>
      </c>
      <c r="D1080" t="s">
        <v>1216</v>
      </c>
      <c r="E1080" t="s">
        <v>3144</v>
      </c>
      <c r="F1080" t="s">
        <v>298</v>
      </c>
      <c r="G1080" t="s">
        <v>3115</v>
      </c>
      <c r="H1080" t="s">
        <v>3152</v>
      </c>
      <c r="I1080" t="s">
        <v>3153</v>
      </c>
      <c r="J1080" t="s">
        <v>1311</v>
      </c>
      <c r="K1080" t="s">
        <v>3154</v>
      </c>
      <c r="L1080" t="s">
        <v>3155</v>
      </c>
      <c r="M1080" s="37">
        <v>0.75</v>
      </c>
      <c r="N1080" s="37">
        <v>0.15</v>
      </c>
      <c r="O1080">
        <v>0.675</v>
      </c>
      <c r="P1080" s="37">
        <v>0.9835</v>
      </c>
      <c r="Q1080">
        <v>0.9</v>
      </c>
      <c r="R1080">
        <v>3490</v>
      </c>
      <c r="S1080">
        <v>3490</v>
      </c>
      <c r="T1080">
        <v>4000</v>
      </c>
      <c r="U1080" t="s">
        <v>3056</v>
      </c>
      <c r="V1080" t="s">
        <v>455</v>
      </c>
      <c r="X1080">
        <v>1</v>
      </c>
      <c r="Z1080" s="37">
        <v>0.01</v>
      </c>
      <c r="AA1080" s="37">
        <v>0.34</v>
      </c>
      <c r="AB1080">
        <v>0</v>
      </c>
    </row>
    <row r="1081">
      <c r="A1081" t="s">
        <v>3143</v>
      </c>
      <c r="B1081" t="s">
        <v>3113</v>
      </c>
      <c r="C1081" t="s">
        <v>3113</v>
      </c>
      <c r="D1081" t="s">
        <v>1216</v>
      </c>
      <c r="E1081" t="s">
        <v>3144</v>
      </c>
      <c r="F1081" t="s">
        <v>298</v>
      </c>
      <c r="G1081" t="s">
        <v>3115</v>
      </c>
      <c r="H1081" t="s">
        <v>3137</v>
      </c>
      <c r="I1081" t="s">
        <v>3156</v>
      </c>
      <c r="J1081" t="s">
        <v>783</v>
      </c>
      <c r="K1081" t="s">
        <v>3157</v>
      </c>
      <c r="L1081" t="s">
        <v>3158</v>
      </c>
      <c r="M1081" s="37">
        <v>1.055</v>
      </c>
      <c r="N1081" s="37">
        <v>0.2</v>
      </c>
      <c r="O1081">
        <v>1.26</v>
      </c>
      <c r="P1081" s="37">
        <v>0.9835</v>
      </c>
      <c r="Q1081">
        <v>0.9</v>
      </c>
      <c r="R1081">
        <v>3490</v>
      </c>
      <c r="S1081">
        <v>3490</v>
      </c>
      <c r="T1081">
        <v>4000</v>
      </c>
      <c r="U1081" t="s">
        <v>3056</v>
      </c>
      <c r="V1081" t="s">
        <v>455</v>
      </c>
      <c r="X1081">
        <v>1</v>
      </c>
      <c r="Z1081" s="37">
        <v>0.01</v>
      </c>
      <c r="AA1081" s="37">
        <v>0.34</v>
      </c>
      <c r="AB1081">
        <v>0</v>
      </c>
    </row>
    <row r="1082">
      <c r="A1082" t="s">
        <v>3143</v>
      </c>
      <c r="B1082" t="s">
        <v>3113</v>
      </c>
      <c r="C1082" t="s">
        <v>3113</v>
      </c>
      <c r="D1082" t="s">
        <v>1216</v>
      </c>
      <c r="E1082" t="s">
        <v>3144</v>
      </c>
      <c r="F1082" t="s">
        <v>298</v>
      </c>
      <c r="G1082" t="s">
        <v>3115</v>
      </c>
      <c r="H1082" t="s">
        <v>3152</v>
      </c>
      <c r="I1082" t="s">
        <v>3159</v>
      </c>
      <c r="J1082" t="s">
        <v>690</v>
      </c>
      <c r="K1082" t="s">
        <v>690</v>
      </c>
      <c r="L1082" t="s">
        <v>3160</v>
      </c>
      <c r="M1082" s="37">
        <v>1</v>
      </c>
      <c r="N1082" s="37">
        <v>0.25</v>
      </c>
      <c r="O1082">
        <v>1</v>
      </c>
      <c r="P1082" s="37">
        <v>0.9835</v>
      </c>
      <c r="Q1082">
        <v>0.9</v>
      </c>
      <c r="R1082">
        <v>3490</v>
      </c>
      <c r="S1082">
        <v>3490</v>
      </c>
      <c r="T1082">
        <v>4000</v>
      </c>
      <c r="U1082" t="s">
        <v>3056</v>
      </c>
      <c r="V1082" t="s">
        <v>455</v>
      </c>
      <c r="X1082">
        <v>1</v>
      </c>
      <c r="Z1082" s="37">
        <v>0.01</v>
      </c>
      <c r="AA1082" s="37">
        <v>0.34</v>
      </c>
      <c r="AB1082">
        <v>0</v>
      </c>
    </row>
    <row r="1083">
      <c r="A1083" t="s">
        <v>3161</v>
      </c>
      <c r="B1083" t="s">
        <v>3162</v>
      </c>
      <c r="C1083" t="s">
        <v>3162</v>
      </c>
      <c r="D1083" t="s">
        <v>999</v>
      </c>
      <c r="E1083" t="s">
        <v>3163</v>
      </c>
      <c r="F1083" t="s">
        <v>298</v>
      </c>
      <c r="G1083" t="s">
        <v>3164</v>
      </c>
      <c r="H1083" t="s">
        <v>3165</v>
      </c>
      <c r="I1083" t="s">
        <v>3166</v>
      </c>
      <c r="J1083" t="s">
        <v>3167</v>
      </c>
      <c r="K1083" t="s">
        <v>3168</v>
      </c>
      <c r="L1083" t="s">
        <v>3169</v>
      </c>
      <c r="M1083" s="37">
        <v>1.019833</v>
      </c>
      <c r="N1083" s="37">
        <v>0.1</v>
      </c>
      <c r="O1083">
        <v>1.0198</v>
      </c>
      <c r="P1083" s="37">
        <v>0.928158</v>
      </c>
      <c r="Q1083">
        <v>0.98</v>
      </c>
      <c r="R1083">
        <v>8000</v>
      </c>
      <c r="S1083">
        <v>8000</v>
      </c>
      <c r="T1083">
        <v>5000</v>
      </c>
      <c r="U1083" t="s">
        <v>3056</v>
      </c>
      <c r="V1083" t="s">
        <v>455</v>
      </c>
      <c r="X1083">
        <v>1</v>
      </c>
      <c r="Z1083" s="37">
        <v>0.01</v>
      </c>
      <c r="AA1083" s="37">
        <v>0.34</v>
      </c>
      <c r="AB1083">
        <v>0</v>
      </c>
    </row>
    <row r="1084">
      <c r="A1084" t="s">
        <v>3161</v>
      </c>
      <c r="B1084" t="s">
        <v>3162</v>
      </c>
      <c r="C1084" t="s">
        <v>3162</v>
      </c>
      <c r="D1084" t="s">
        <v>999</v>
      </c>
      <c r="E1084" t="s">
        <v>3163</v>
      </c>
      <c r="F1084" t="s">
        <v>298</v>
      </c>
      <c r="G1084" t="s">
        <v>3164</v>
      </c>
      <c r="H1084" t="s">
        <v>3170</v>
      </c>
      <c r="I1084" t="s">
        <v>3171</v>
      </c>
      <c r="J1084" t="s">
        <v>2930</v>
      </c>
      <c r="K1084" t="s">
        <v>3172</v>
      </c>
      <c r="L1084" t="s">
        <v>3169</v>
      </c>
      <c r="M1084" s="37">
        <v>0.9312</v>
      </c>
      <c r="N1084" s="37">
        <v>0.8</v>
      </c>
      <c r="O1084">
        <v>0.9312</v>
      </c>
      <c r="P1084" s="37">
        <v>0.928158</v>
      </c>
      <c r="Q1084">
        <v>0.98</v>
      </c>
      <c r="R1084">
        <v>8000</v>
      </c>
      <c r="S1084">
        <v>8000</v>
      </c>
      <c r="T1084">
        <v>5000</v>
      </c>
      <c r="U1084" t="s">
        <v>3056</v>
      </c>
      <c r="V1084" t="s">
        <v>455</v>
      </c>
      <c r="X1084">
        <v>1</v>
      </c>
      <c r="Z1084" s="37">
        <v>0.01</v>
      </c>
      <c r="AA1084" s="37">
        <v>0.34</v>
      </c>
      <c r="AB1084">
        <v>0</v>
      </c>
    </row>
    <row r="1085">
      <c r="A1085" t="s">
        <v>3161</v>
      </c>
      <c r="B1085" t="s">
        <v>3162</v>
      </c>
      <c r="C1085" t="s">
        <v>3162</v>
      </c>
      <c r="D1085" t="s">
        <v>999</v>
      </c>
      <c r="E1085" t="s">
        <v>3163</v>
      </c>
      <c r="F1085" t="s">
        <v>298</v>
      </c>
      <c r="G1085" t="s">
        <v>3164</v>
      </c>
      <c r="H1085" t="s">
        <v>3170</v>
      </c>
      <c r="I1085" t="s">
        <v>3173</v>
      </c>
      <c r="J1085" t="s">
        <v>3174</v>
      </c>
      <c r="K1085" t="s">
        <v>3175</v>
      </c>
      <c r="L1085" t="s">
        <v>3176</v>
      </c>
      <c r="M1085" s="37">
        <v>0.812148</v>
      </c>
      <c r="N1085" s="37">
        <v>0.1</v>
      </c>
      <c r="O1085">
        <v>0.8121</v>
      </c>
      <c r="P1085" s="37">
        <v>0.928158</v>
      </c>
      <c r="Q1085">
        <v>0.98</v>
      </c>
      <c r="R1085">
        <v>8000</v>
      </c>
      <c r="S1085">
        <v>8000</v>
      </c>
      <c r="T1085">
        <v>5000</v>
      </c>
      <c r="U1085" t="s">
        <v>3056</v>
      </c>
      <c r="V1085" t="s">
        <v>455</v>
      </c>
      <c r="X1085">
        <v>1</v>
      </c>
      <c r="Z1085" s="37">
        <v>0.01</v>
      </c>
      <c r="AA1085" s="37">
        <v>0.34</v>
      </c>
      <c r="AB1085">
        <v>0</v>
      </c>
    </row>
    <row r="1086">
      <c r="A1086" t="s">
        <v>3177</v>
      </c>
      <c r="B1086" t="s">
        <v>3162</v>
      </c>
      <c r="C1086" t="s">
        <v>3162</v>
      </c>
      <c r="D1086" t="s">
        <v>359</v>
      </c>
      <c r="E1086" t="s">
        <v>3178</v>
      </c>
      <c r="F1086" t="s">
        <v>298</v>
      </c>
      <c r="G1086" t="s">
        <v>3164</v>
      </c>
      <c r="H1086" t="s">
        <v>3179</v>
      </c>
      <c r="I1086" t="s">
        <v>3180</v>
      </c>
      <c r="J1086" t="s">
        <v>2554</v>
      </c>
      <c r="K1086" t="s">
        <v>3181</v>
      </c>
      <c r="L1086" t="s">
        <v>3182</v>
      </c>
      <c r="M1086" s="37">
        <v>0</v>
      </c>
      <c r="N1086" s="37">
        <v>0.1</v>
      </c>
      <c r="O1086">
        <v>0</v>
      </c>
      <c r="P1086" s="37">
        <v>0.635175</v>
      </c>
      <c r="Q1086">
        <v>0.41</v>
      </c>
      <c r="R1086">
        <v>2000</v>
      </c>
      <c r="S1086">
        <v>2408</v>
      </c>
      <c r="T1086">
        <v>6000</v>
      </c>
      <c r="U1086" t="s">
        <v>3056</v>
      </c>
      <c r="V1086" t="s">
        <v>455</v>
      </c>
      <c r="X1086">
        <v>1</v>
      </c>
      <c r="Z1086" s="37">
        <v>0.01</v>
      </c>
      <c r="AA1086" s="37">
        <v>0.34</v>
      </c>
      <c r="AB1086">
        <v>0</v>
      </c>
    </row>
    <row r="1087">
      <c r="A1087" t="s">
        <v>3177</v>
      </c>
      <c r="B1087" t="s">
        <v>3162</v>
      </c>
      <c r="C1087" t="s">
        <v>3162</v>
      </c>
      <c r="D1087" t="s">
        <v>359</v>
      </c>
      <c r="E1087" t="s">
        <v>3178</v>
      </c>
      <c r="F1087" t="s">
        <v>298</v>
      </c>
      <c r="G1087" t="s">
        <v>3164</v>
      </c>
      <c r="H1087" t="s">
        <v>3183</v>
      </c>
      <c r="I1087" t="s">
        <v>3184</v>
      </c>
      <c r="J1087" t="s">
        <v>1585</v>
      </c>
      <c r="K1087" t="s">
        <v>3185</v>
      </c>
      <c r="L1087" t="s">
        <v>3182</v>
      </c>
      <c r="M1087" s="37">
        <v>0.70575</v>
      </c>
      <c r="N1087" s="37">
        <v>0.6</v>
      </c>
      <c r="O1087">
        <v>0.5646</v>
      </c>
      <c r="P1087" s="37">
        <v>0.635175</v>
      </c>
      <c r="Q1087">
        <v>0.41</v>
      </c>
      <c r="R1087">
        <v>2000</v>
      </c>
      <c r="S1087">
        <v>2408</v>
      </c>
      <c r="T1087">
        <v>6000</v>
      </c>
      <c r="U1087" t="s">
        <v>3056</v>
      </c>
      <c r="V1087" t="s">
        <v>455</v>
      </c>
      <c r="X1087">
        <v>1</v>
      </c>
      <c r="Z1087" s="37">
        <v>0.01</v>
      </c>
      <c r="AA1087" s="37">
        <v>0.34</v>
      </c>
      <c r="AB1087">
        <v>0</v>
      </c>
    </row>
    <row r="1088">
      <c r="A1088" t="s">
        <v>3177</v>
      </c>
      <c r="B1088" t="s">
        <v>3162</v>
      </c>
      <c r="C1088" t="s">
        <v>3162</v>
      </c>
      <c r="D1088" t="s">
        <v>359</v>
      </c>
      <c r="E1088" t="s">
        <v>3178</v>
      </c>
      <c r="F1088" t="s">
        <v>298</v>
      </c>
      <c r="G1088" t="s">
        <v>3164</v>
      </c>
      <c r="H1088" t="s">
        <v>3183</v>
      </c>
      <c r="I1088" t="s">
        <v>3186</v>
      </c>
      <c r="J1088" t="s">
        <v>3187</v>
      </c>
      <c r="K1088" t="s">
        <v>3188</v>
      </c>
      <c r="L1088" t="s">
        <v>3182</v>
      </c>
      <c r="M1088" s="37">
        <v>0.70575</v>
      </c>
      <c r="N1088" s="37">
        <v>0.3</v>
      </c>
      <c r="O1088">
        <v>0.5646</v>
      </c>
      <c r="P1088" s="37">
        <v>0.635175</v>
      </c>
      <c r="Q1088">
        <v>0.41</v>
      </c>
      <c r="R1088">
        <v>2000</v>
      </c>
      <c r="S1088">
        <v>2408</v>
      </c>
      <c r="T1088">
        <v>6000</v>
      </c>
      <c r="U1088" t="s">
        <v>3056</v>
      </c>
      <c r="V1088" t="s">
        <v>455</v>
      </c>
      <c r="X1088">
        <v>1</v>
      </c>
      <c r="Z1088" s="37">
        <v>0.01</v>
      </c>
      <c r="AA1088" s="37">
        <v>0.34</v>
      </c>
      <c r="AB1088">
        <v>0</v>
      </c>
    </row>
    <row r="1089">
      <c r="A1089" t="s">
        <v>3177</v>
      </c>
      <c r="B1089" t="s">
        <v>3162</v>
      </c>
      <c r="C1089" t="s">
        <v>3162</v>
      </c>
      <c r="D1089" t="s">
        <v>359</v>
      </c>
      <c r="E1089" t="s">
        <v>3178</v>
      </c>
      <c r="F1089" t="s">
        <v>298</v>
      </c>
      <c r="G1089" t="s">
        <v>3164</v>
      </c>
      <c r="H1089" t="s">
        <v>3189</v>
      </c>
      <c r="I1089" t="s">
        <v>3190</v>
      </c>
      <c r="J1089" s="38">
        <v>-0.15</v>
      </c>
      <c r="K1089" s="37">
        <v>-0.2388</v>
      </c>
      <c r="L1089" t="s">
        <v>3191</v>
      </c>
      <c r="M1089" s="37">
        <v>0</v>
      </c>
      <c r="N1089" s="37">
        <v>0</v>
      </c>
      <c r="O1089">
        <v>0</v>
      </c>
      <c r="P1089" s="37">
        <v>0.635175</v>
      </c>
      <c r="Q1089">
        <v>0.41</v>
      </c>
      <c r="R1089">
        <v>2000</v>
      </c>
      <c r="S1089">
        <v>2408</v>
      </c>
      <c r="T1089">
        <v>6000</v>
      </c>
      <c r="U1089" t="s">
        <v>3056</v>
      </c>
      <c r="V1089" t="s">
        <v>455</v>
      </c>
      <c r="X1089">
        <v>1</v>
      </c>
      <c r="Z1089" s="37">
        <v>0.01</v>
      </c>
      <c r="AA1089" s="37">
        <v>0.34</v>
      </c>
      <c r="AB1089">
        <v>0</v>
      </c>
    </row>
    <row r="1090">
      <c r="A1090" t="s">
        <v>3192</v>
      </c>
      <c r="B1090" t="s">
        <v>3162</v>
      </c>
      <c r="C1090" t="s">
        <v>3162</v>
      </c>
      <c r="D1090" t="s">
        <v>359</v>
      </c>
      <c r="E1090" t="s">
        <v>3193</v>
      </c>
      <c r="F1090" t="s">
        <v>298</v>
      </c>
      <c r="G1090" t="s">
        <v>3164</v>
      </c>
      <c r="H1090" t="s">
        <v>3194</v>
      </c>
      <c r="I1090" t="s">
        <v>3195</v>
      </c>
      <c r="J1090" s="38">
        <v>0.52</v>
      </c>
      <c r="K1090" s="38">
        <v>0.58</v>
      </c>
      <c r="L1090" t="s">
        <v>3191</v>
      </c>
      <c r="M1090" s="37">
        <v>0.58</v>
      </c>
      <c r="N1090" s="37">
        <v>0.05</v>
      </c>
      <c r="O1090">
        <v>0</v>
      </c>
      <c r="P1090" s="37">
        <v>0.378993</v>
      </c>
      <c r="Q1090">
        <v>0.29</v>
      </c>
      <c r="R1090">
        <v>1729.8</v>
      </c>
      <c r="S1090">
        <v>1729.8</v>
      </c>
      <c r="T1090">
        <v>6000</v>
      </c>
      <c r="U1090" t="s">
        <v>3056</v>
      </c>
      <c r="V1090" t="s">
        <v>455</v>
      </c>
      <c r="X1090">
        <v>1</v>
      </c>
      <c r="Z1090" s="37">
        <v>0.01</v>
      </c>
      <c r="AA1090" s="37">
        <v>0.34</v>
      </c>
      <c r="AB1090">
        <v>0</v>
      </c>
    </row>
    <row r="1091">
      <c r="A1091" t="s">
        <v>3192</v>
      </c>
      <c r="B1091" t="s">
        <v>3162</v>
      </c>
      <c r="C1091" t="s">
        <v>3162</v>
      </c>
      <c r="D1091" t="s">
        <v>359</v>
      </c>
      <c r="E1091" t="s">
        <v>3193</v>
      </c>
      <c r="F1091" t="s">
        <v>298</v>
      </c>
      <c r="G1091" t="s">
        <v>3164</v>
      </c>
      <c r="H1091" t="s">
        <v>3183</v>
      </c>
      <c r="I1091" t="s">
        <v>3196</v>
      </c>
      <c r="J1091" t="s">
        <v>3197</v>
      </c>
      <c r="K1091" t="s">
        <v>3198</v>
      </c>
      <c r="M1091" s="37">
        <v>0.3632</v>
      </c>
      <c r="N1091" s="37">
        <v>0.3</v>
      </c>
      <c r="O1091">
        <v>0.2906</v>
      </c>
      <c r="P1091" s="37">
        <v>0.378993</v>
      </c>
      <c r="Q1091">
        <v>0.29</v>
      </c>
      <c r="R1091">
        <v>1729.8</v>
      </c>
      <c r="S1091">
        <v>1729.8</v>
      </c>
      <c r="T1091">
        <v>6000</v>
      </c>
      <c r="U1091" t="s">
        <v>3056</v>
      </c>
      <c r="V1091" t="s">
        <v>455</v>
      </c>
      <c r="X1091">
        <v>1</v>
      </c>
      <c r="Z1091" s="37">
        <v>0.01</v>
      </c>
      <c r="AA1091" s="37">
        <v>0.34</v>
      </c>
      <c r="AB1091">
        <v>0</v>
      </c>
    </row>
    <row r="1092">
      <c r="A1092" t="s">
        <v>3192</v>
      </c>
      <c r="B1092" t="s">
        <v>3162</v>
      </c>
      <c r="C1092" t="s">
        <v>3162</v>
      </c>
      <c r="D1092" t="s">
        <v>359</v>
      </c>
      <c r="E1092" t="s">
        <v>3193</v>
      </c>
      <c r="F1092" t="s">
        <v>298</v>
      </c>
      <c r="G1092" t="s">
        <v>3164</v>
      </c>
      <c r="H1092" t="s">
        <v>3179</v>
      </c>
      <c r="I1092" t="s">
        <v>3199</v>
      </c>
      <c r="J1092" t="s">
        <v>1040</v>
      </c>
      <c r="K1092" t="s">
        <v>3200</v>
      </c>
      <c r="L1092" t="s">
        <v>3201</v>
      </c>
      <c r="M1092" s="37">
        <v>1.2</v>
      </c>
      <c r="N1092" s="37">
        <v>0.15</v>
      </c>
      <c r="O1092">
        <v>1.2</v>
      </c>
      <c r="P1092" s="37">
        <v>0.378993</v>
      </c>
      <c r="Q1092">
        <v>0.29</v>
      </c>
      <c r="R1092">
        <v>1729.8</v>
      </c>
      <c r="S1092">
        <v>1729.8</v>
      </c>
      <c r="T1092">
        <v>6000</v>
      </c>
      <c r="U1092" t="s">
        <v>3056</v>
      </c>
      <c r="V1092" t="s">
        <v>455</v>
      </c>
      <c r="X1092">
        <v>1</v>
      </c>
      <c r="Z1092" s="37">
        <v>0.01</v>
      </c>
      <c r="AA1092" s="37">
        <v>0.34</v>
      </c>
      <c r="AB1092">
        <v>0</v>
      </c>
    </row>
    <row r="1093">
      <c r="A1093" t="s">
        <v>3192</v>
      </c>
      <c r="B1093" t="s">
        <v>3162</v>
      </c>
      <c r="C1093" t="s">
        <v>3162</v>
      </c>
      <c r="D1093" t="s">
        <v>359</v>
      </c>
      <c r="E1093" t="s">
        <v>3193</v>
      </c>
      <c r="F1093" t="s">
        <v>298</v>
      </c>
      <c r="G1093" t="s">
        <v>3164</v>
      </c>
      <c r="H1093" t="s">
        <v>3194</v>
      </c>
      <c r="I1093" t="s">
        <v>3202</v>
      </c>
      <c r="J1093" s="37">
        <v>0.555</v>
      </c>
      <c r="K1093" s="38">
        <v>0.61</v>
      </c>
      <c r="L1093" t="s">
        <v>3201</v>
      </c>
      <c r="M1093" s="37">
        <v>0.61</v>
      </c>
      <c r="N1093" s="37">
        <v>0.1</v>
      </c>
      <c r="O1093">
        <v>0</v>
      </c>
      <c r="P1093" s="37">
        <v>0.378993</v>
      </c>
      <c r="Q1093">
        <v>0.29</v>
      </c>
      <c r="R1093">
        <v>1729.8</v>
      </c>
      <c r="S1093">
        <v>1729.8</v>
      </c>
      <c r="T1093">
        <v>6000</v>
      </c>
      <c r="U1093" t="s">
        <v>3056</v>
      </c>
      <c r="V1093" t="s">
        <v>455</v>
      </c>
      <c r="X1093">
        <v>1</v>
      </c>
      <c r="Z1093" s="37">
        <v>0.01</v>
      </c>
      <c r="AA1093" s="37">
        <v>0.34</v>
      </c>
      <c r="AB1093">
        <v>0</v>
      </c>
    </row>
    <row r="1094">
      <c r="A1094" t="s">
        <v>3192</v>
      </c>
      <c r="B1094" t="s">
        <v>3162</v>
      </c>
      <c r="C1094" t="s">
        <v>3162</v>
      </c>
      <c r="D1094" t="s">
        <v>359</v>
      </c>
      <c r="E1094" t="s">
        <v>3193</v>
      </c>
      <c r="F1094" t="s">
        <v>298</v>
      </c>
      <c r="G1094" t="s">
        <v>3164</v>
      </c>
      <c r="H1094" t="s">
        <v>3183</v>
      </c>
      <c r="I1094" t="s">
        <v>3203</v>
      </c>
      <c r="J1094" t="s">
        <v>1053</v>
      </c>
      <c r="K1094" t="s">
        <v>3204</v>
      </c>
      <c r="L1094" t="s">
        <v>3201</v>
      </c>
      <c r="M1094" s="37">
        <v>0.000083</v>
      </c>
      <c r="N1094" s="37">
        <v>0.4</v>
      </c>
      <c r="O1094">
        <v>0.0528</v>
      </c>
      <c r="P1094" s="37">
        <v>0.378993</v>
      </c>
      <c r="Q1094">
        <v>0.29</v>
      </c>
      <c r="R1094">
        <v>1729.8</v>
      </c>
      <c r="S1094">
        <v>1729.8</v>
      </c>
      <c r="T1094">
        <v>6000</v>
      </c>
      <c r="U1094" t="s">
        <v>3056</v>
      </c>
      <c r="V1094" t="s">
        <v>455</v>
      </c>
      <c r="X1094">
        <v>1</v>
      </c>
      <c r="Z1094" s="37">
        <v>0.01</v>
      </c>
      <c r="AA1094" s="37">
        <v>0.34</v>
      </c>
      <c r="AB1094">
        <v>0</v>
      </c>
    </row>
    <row r="1095">
      <c r="A1095" t="s">
        <v>3205</v>
      </c>
      <c r="B1095" t="s">
        <v>3162</v>
      </c>
      <c r="C1095" t="s">
        <v>3162</v>
      </c>
      <c r="D1095" t="s">
        <v>359</v>
      </c>
      <c r="E1095" t="s">
        <v>3206</v>
      </c>
      <c r="F1095" t="s">
        <v>298</v>
      </c>
      <c r="G1095" t="s">
        <v>3164</v>
      </c>
      <c r="H1095" t="s">
        <v>3170</v>
      </c>
      <c r="I1095" t="s">
        <v>3207</v>
      </c>
      <c r="J1095" t="s">
        <v>1585</v>
      </c>
      <c r="K1095" t="s">
        <v>3208</v>
      </c>
      <c r="L1095" t="s">
        <v>3201</v>
      </c>
      <c r="M1095" s="37">
        <v>0.462769</v>
      </c>
      <c r="N1095" s="37">
        <v>0.9</v>
      </c>
      <c r="O1095">
        <v>0.3702</v>
      </c>
      <c r="P1095" s="37">
        <v>0.518475</v>
      </c>
      <c r="Q1095">
        <v>0.44</v>
      </c>
      <c r="R1095">
        <v>0</v>
      </c>
      <c r="S1095">
        <v>0</v>
      </c>
      <c r="T1095">
        <v>6000</v>
      </c>
      <c r="U1095" t="s">
        <v>3056</v>
      </c>
      <c r="V1095" t="s">
        <v>455</v>
      </c>
      <c r="X1095">
        <v>1</v>
      </c>
      <c r="Z1095" s="37">
        <v>0.01</v>
      </c>
      <c r="AA1095" s="37">
        <v>0.34</v>
      </c>
      <c r="AB1095">
        <v>0</v>
      </c>
    </row>
    <row r="1096">
      <c r="A1096" t="s">
        <v>3205</v>
      </c>
      <c r="B1096" t="s">
        <v>3162</v>
      </c>
      <c r="C1096" t="s">
        <v>3162</v>
      </c>
      <c r="D1096" t="s">
        <v>359</v>
      </c>
      <c r="E1096" t="s">
        <v>3206</v>
      </c>
      <c r="F1096" t="s">
        <v>298</v>
      </c>
      <c r="G1096" t="s">
        <v>3164</v>
      </c>
      <c r="H1096" t="s">
        <v>3165</v>
      </c>
      <c r="I1096" t="s">
        <v>3209</v>
      </c>
      <c r="J1096" t="s">
        <v>3167</v>
      </c>
      <c r="K1096" t="s">
        <v>3210</v>
      </c>
      <c r="L1096" t="s">
        <v>3201</v>
      </c>
      <c r="M1096" s="37">
        <v>1.019833</v>
      </c>
      <c r="N1096" s="37">
        <v>0.1</v>
      </c>
      <c r="O1096">
        <v>1.0198</v>
      </c>
      <c r="P1096" s="37">
        <v>0.518475</v>
      </c>
      <c r="Q1096">
        <v>0.44</v>
      </c>
      <c r="R1096">
        <v>0</v>
      </c>
      <c r="S1096">
        <v>0</v>
      </c>
      <c r="T1096">
        <v>6000</v>
      </c>
      <c r="U1096" t="s">
        <v>3056</v>
      </c>
      <c r="V1096" t="s">
        <v>455</v>
      </c>
      <c r="X1096">
        <v>1</v>
      </c>
      <c r="Z1096" s="37">
        <v>0.01</v>
      </c>
      <c r="AA1096" s="37">
        <v>0.34</v>
      </c>
      <c r="AB1096">
        <v>0</v>
      </c>
    </row>
    <row r="1097">
      <c r="A1097" t="s">
        <v>3211</v>
      </c>
      <c r="B1097" t="s">
        <v>3162</v>
      </c>
      <c r="C1097" t="s">
        <v>3162</v>
      </c>
      <c r="D1097" t="s">
        <v>999</v>
      </c>
      <c r="E1097" t="s">
        <v>3212</v>
      </c>
      <c r="F1097" t="s">
        <v>298</v>
      </c>
      <c r="G1097" t="s">
        <v>3164</v>
      </c>
      <c r="H1097" t="s">
        <v>3165</v>
      </c>
      <c r="I1097" t="s">
        <v>3213</v>
      </c>
      <c r="J1097" t="s">
        <v>3167</v>
      </c>
      <c r="K1097" t="s">
        <v>3168</v>
      </c>
      <c r="L1097" t="s">
        <v>3201</v>
      </c>
      <c r="M1097" s="37">
        <v>1.019833</v>
      </c>
      <c r="N1097" s="37">
        <v>0.1</v>
      </c>
      <c r="O1097">
        <v>1.0198</v>
      </c>
      <c r="P1097" s="37">
        <v>0.712435</v>
      </c>
      <c r="Q1097">
        <v>0.59</v>
      </c>
      <c r="R1097">
        <v>6000</v>
      </c>
      <c r="S1097">
        <v>6000</v>
      </c>
      <c r="T1097">
        <v>5000</v>
      </c>
      <c r="U1097" t="s">
        <v>3056</v>
      </c>
      <c r="V1097" t="s">
        <v>455</v>
      </c>
      <c r="X1097">
        <v>1</v>
      </c>
      <c r="Z1097" s="37">
        <v>0.01</v>
      </c>
      <c r="AA1097" s="37">
        <v>0.34</v>
      </c>
      <c r="AB1097">
        <v>0</v>
      </c>
    </row>
    <row r="1098">
      <c r="A1098" t="s">
        <v>3211</v>
      </c>
      <c r="B1098" t="s">
        <v>3162</v>
      </c>
      <c r="C1098" t="s">
        <v>3162</v>
      </c>
      <c r="D1098" t="s">
        <v>999</v>
      </c>
      <c r="E1098" t="s">
        <v>3212</v>
      </c>
      <c r="F1098" t="s">
        <v>298</v>
      </c>
      <c r="G1098" t="s">
        <v>3164</v>
      </c>
      <c r="H1098" t="s">
        <v>3170</v>
      </c>
      <c r="I1098" t="s">
        <v>3214</v>
      </c>
      <c r="J1098" t="s">
        <v>2930</v>
      </c>
      <c r="K1098" t="s">
        <v>3215</v>
      </c>
      <c r="L1098" t="s">
        <v>3201</v>
      </c>
      <c r="M1098" s="37">
        <v>0.6732</v>
      </c>
      <c r="N1098" s="37">
        <v>0.3</v>
      </c>
      <c r="O1098">
        <v>0.5024</v>
      </c>
      <c r="P1098" s="37">
        <v>0.712435</v>
      </c>
      <c r="Q1098">
        <v>0.59</v>
      </c>
      <c r="R1098">
        <v>6000</v>
      </c>
      <c r="S1098">
        <v>6000</v>
      </c>
      <c r="T1098">
        <v>5000</v>
      </c>
      <c r="U1098" t="s">
        <v>3056</v>
      </c>
      <c r="V1098" t="s">
        <v>455</v>
      </c>
      <c r="X1098">
        <v>1</v>
      </c>
      <c r="Z1098" s="37">
        <v>0.01</v>
      </c>
      <c r="AA1098" s="37">
        <v>0.34</v>
      </c>
      <c r="AB1098">
        <v>0</v>
      </c>
    </row>
    <row r="1099">
      <c r="A1099" t="s">
        <v>3211</v>
      </c>
      <c r="B1099" t="s">
        <v>3162</v>
      </c>
      <c r="C1099" t="s">
        <v>3162</v>
      </c>
      <c r="D1099" t="s">
        <v>999</v>
      </c>
      <c r="E1099" t="s">
        <v>3212</v>
      </c>
      <c r="F1099" t="s">
        <v>298</v>
      </c>
      <c r="G1099" t="s">
        <v>3164</v>
      </c>
      <c r="H1099" t="s">
        <v>3170</v>
      </c>
      <c r="I1099" t="s">
        <v>3216</v>
      </c>
      <c r="J1099" t="s">
        <v>3217</v>
      </c>
      <c r="K1099" t="s">
        <v>3218</v>
      </c>
      <c r="L1099" t="s">
        <v>3201</v>
      </c>
      <c r="M1099" s="37">
        <v>0.628</v>
      </c>
      <c r="N1099" s="37">
        <v>0.4</v>
      </c>
      <c r="O1099">
        <v>0.5386</v>
      </c>
      <c r="P1099" s="37">
        <v>0.712435</v>
      </c>
      <c r="Q1099">
        <v>0.59</v>
      </c>
      <c r="R1099">
        <v>6000</v>
      </c>
      <c r="S1099">
        <v>6000</v>
      </c>
      <c r="T1099">
        <v>5000</v>
      </c>
      <c r="U1099" t="s">
        <v>3056</v>
      </c>
      <c r="V1099" t="s">
        <v>455</v>
      </c>
      <c r="X1099">
        <v>1</v>
      </c>
      <c r="Z1099" s="37">
        <v>0.01</v>
      </c>
      <c r="AA1099" s="37">
        <v>0.34</v>
      </c>
      <c r="AB1099">
        <v>0</v>
      </c>
    </row>
    <row r="1100">
      <c r="A1100" t="s">
        <v>3211</v>
      </c>
      <c r="B1100" t="s">
        <v>3162</v>
      </c>
      <c r="C1100" t="s">
        <v>3162</v>
      </c>
      <c r="D1100" t="s">
        <v>999</v>
      </c>
      <c r="E1100" t="s">
        <v>3212</v>
      </c>
      <c r="F1100" t="s">
        <v>298</v>
      </c>
      <c r="G1100" t="s">
        <v>3164</v>
      </c>
      <c r="H1100" t="s">
        <v>3170</v>
      </c>
      <c r="I1100" t="s">
        <v>3219</v>
      </c>
      <c r="J1100" t="s">
        <v>3220</v>
      </c>
      <c r="K1100" t="s">
        <v>3221</v>
      </c>
      <c r="L1100" t="s">
        <v>3201</v>
      </c>
      <c r="M1100" s="37">
        <v>0.786458</v>
      </c>
      <c r="N1100" s="37">
        <v>0.2</v>
      </c>
      <c r="O1100">
        <v>0.6292</v>
      </c>
      <c r="P1100" s="37">
        <v>0.712435</v>
      </c>
      <c r="Q1100">
        <v>0.59</v>
      </c>
      <c r="R1100">
        <v>6000</v>
      </c>
      <c r="S1100">
        <v>6000</v>
      </c>
      <c r="T1100">
        <v>5000</v>
      </c>
      <c r="U1100" t="s">
        <v>3056</v>
      </c>
      <c r="V1100" t="s">
        <v>455</v>
      </c>
      <c r="X1100">
        <v>1</v>
      </c>
      <c r="Z1100" s="37">
        <v>0.01</v>
      </c>
      <c r="AA1100" s="37">
        <v>0.34</v>
      </c>
      <c r="AB1100">
        <v>0</v>
      </c>
    </row>
    <row r="1101">
      <c r="A1101" t="s">
        <v>3222</v>
      </c>
      <c r="B1101" t="s">
        <v>3223</v>
      </c>
      <c r="C1101" t="s">
        <v>3223</v>
      </c>
      <c r="D1101" t="s">
        <v>1013</v>
      </c>
      <c r="E1101" t="s">
        <v>3224</v>
      </c>
      <c r="F1101" t="s">
        <v>298</v>
      </c>
      <c r="G1101" t="s">
        <v>3225</v>
      </c>
      <c r="H1101" t="s">
        <v>3226</v>
      </c>
      <c r="I1101" t="s">
        <v>3227</v>
      </c>
      <c r="J1101" t="s">
        <v>1590</v>
      </c>
      <c r="K1101" t="s">
        <v>3228</v>
      </c>
      <c r="L1101" t="s">
        <v>3201</v>
      </c>
      <c r="M1101" s="37">
        <v>2.1</v>
      </c>
      <c r="N1101" s="37">
        <v>0.2</v>
      </c>
      <c r="O1101">
        <v>1</v>
      </c>
      <c r="P1101" s="37">
        <v>1.372</v>
      </c>
      <c r="Q1101">
        <v>0.78</v>
      </c>
      <c r="R1101">
        <v>1176</v>
      </c>
      <c r="S1101">
        <v>1681</v>
      </c>
      <c r="T1101">
        <v>1500</v>
      </c>
      <c r="U1101" t="s">
        <v>3056</v>
      </c>
      <c r="V1101" t="s">
        <v>455</v>
      </c>
      <c r="X1101">
        <v>1</v>
      </c>
      <c r="Z1101" s="37">
        <v>0.01</v>
      </c>
      <c r="AA1101" s="37">
        <v>0.34</v>
      </c>
      <c r="AB1101">
        <v>0</v>
      </c>
    </row>
    <row r="1102">
      <c r="A1102" t="s">
        <v>3222</v>
      </c>
      <c r="B1102" t="s">
        <v>3223</v>
      </c>
      <c r="C1102" t="s">
        <v>3223</v>
      </c>
      <c r="D1102" t="s">
        <v>1013</v>
      </c>
      <c r="E1102" t="s">
        <v>3224</v>
      </c>
      <c r="F1102" t="s">
        <v>298</v>
      </c>
      <c r="G1102" t="s">
        <v>3225</v>
      </c>
      <c r="H1102" t="s">
        <v>3229</v>
      </c>
      <c r="I1102" t="s">
        <v>3230</v>
      </c>
      <c r="J1102">
        <v>60</v>
      </c>
      <c r="K1102">
        <v>857760</v>
      </c>
      <c r="L1102" t="s">
        <v>3201</v>
      </c>
      <c r="M1102" s="37">
        <v>1.43</v>
      </c>
      <c r="N1102" s="37">
        <v>0.4</v>
      </c>
      <c r="O1102">
        <v>1</v>
      </c>
      <c r="P1102" s="37">
        <v>1.372</v>
      </c>
      <c r="Q1102">
        <v>0.78</v>
      </c>
      <c r="R1102">
        <v>1176</v>
      </c>
      <c r="S1102">
        <v>1681</v>
      </c>
      <c r="T1102">
        <v>1500</v>
      </c>
      <c r="U1102" t="s">
        <v>3056</v>
      </c>
      <c r="V1102" t="s">
        <v>455</v>
      </c>
      <c r="X1102">
        <v>1</v>
      </c>
      <c r="Z1102" s="37">
        <v>0.01</v>
      </c>
      <c r="AA1102" s="37">
        <v>0.34</v>
      </c>
      <c r="AB1102">
        <v>0</v>
      </c>
    </row>
    <row r="1103">
      <c r="A1103" t="s">
        <v>3222</v>
      </c>
      <c r="B1103" t="s">
        <v>3223</v>
      </c>
      <c r="C1103" t="s">
        <v>3223</v>
      </c>
      <c r="D1103" t="s">
        <v>1013</v>
      </c>
      <c r="E1103" t="s">
        <v>3224</v>
      </c>
      <c r="F1103" t="s">
        <v>298</v>
      </c>
      <c r="G1103" t="s">
        <v>3225</v>
      </c>
      <c r="H1103" t="s">
        <v>3231</v>
      </c>
      <c r="I1103" t="s">
        <v>3232</v>
      </c>
      <c r="J1103" t="s">
        <v>3233</v>
      </c>
      <c r="K1103" t="s">
        <v>3234</v>
      </c>
      <c r="L1103" t="s">
        <v>3201</v>
      </c>
      <c r="M1103" s="37">
        <v>0.9</v>
      </c>
      <c r="N1103" s="37">
        <v>0.2</v>
      </c>
      <c r="O1103">
        <v>0.9</v>
      </c>
      <c r="P1103" s="37">
        <v>1.372</v>
      </c>
      <c r="Q1103">
        <v>0.78</v>
      </c>
      <c r="R1103">
        <v>1176</v>
      </c>
      <c r="S1103">
        <v>1681</v>
      </c>
      <c r="T1103">
        <v>1500</v>
      </c>
      <c r="U1103" t="s">
        <v>3056</v>
      </c>
      <c r="V1103" t="s">
        <v>455</v>
      </c>
      <c r="X1103">
        <v>1</v>
      </c>
      <c r="Z1103" s="37">
        <v>0.01</v>
      </c>
      <c r="AA1103" s="37">
        <v>0.34</v>
      </c>
      <c r="AB1103">
        <v>0</v>
      </c>
    </row>
    <row r="1104">
      <c r="A1104" t="s">
        <v>3222</v>
      </c>
      <c r="B1104" t="s">
        <v>3223</v>
      </c>
      <c r="C1104" t="s">
        <v>3223</v>
      </c>
      <c r="D1104" t="s">
        <v>1013</v>
      </c>
      <c r="E1104" t="s">
        <v>3224</v>
      </c>
      <c r="F1104" t="s">
        <v>298</v>
      </c>
      <c r="G1104" t="s">
        <v>3225</v>
      </c>
      <c r="H1104" t="s">
        <v>3229</v>
      </c>
      <c r="I1104" t="s">
        <v>3235</v>
      </c>
      <c r="J1104" t="s">
        <v>3236</v>
      </c>
      <c r="K1104" t="s">
        <v>969</v>
      </c>
      <c r="L1104" t="s">
        <v>3201</v>
      </c>
      <c r="M1104" s="37">
        <v>1</v>
      </c>
      <c r="N1104" s="37">
        <v>0.1</v>
      </c>
      <c r="O1104">
        <v>1</v>
      </c>
      <c r="P1104" s="37">
        <v>1.372</v>
      </c>
      <c r="Q1104">
        <v>0.78</v>
      </c>
      <c r="R1104">
        <v>1176</v>
      </c>
      <c r="S1104">
        <v>1681</v>
      </c>
      <c r="T1104">
        <v>1500</v>
      </c>
      <c r="U1104" t="s">
        <v>3056</v>
      </c>
      <c r="V1104" t="s">
        <v>455</v>
      </c>
      <c r="X1104">
        <v>1</v>
      </c>
      <c r="Z1104" s="37">
        <v>0.01</v>
      </c>
      <c r="AA1104" s="37">
        <v>0.34</v>
      </c>
      <c r="AB1104">
        <v>0</v>
      </c>
    </row>
    <row r="1105">
      <c r="A1105" t="s">
        <v>3222</v>
      </c>
      <c r="B1105" t="s">
        <v>3223</v>
      </c>
      <c r="C1105" t="s">
        <v>3223</v>
      </c>
      <c r="D1105" t="s">
        <v>1013</v>
      </c>
      <c r="E1105" t="s">
        <v>3224</v>
      </c>
      <c r="F1105" t="s">
        <v>298</v>
      </c>
      <c r="G1105" t="s">
        <v>3225</v>
      </c>
      <c r="H1105" t="s">
        <v>3237</v>
      </c>
      <c r="I1105" t="s">
        <v>3238</v>
      </c>
      <c r="J1105" s="38">
        <v>0.1</v>
      </c>
      <c r="K1105" s="38">
        <v>1</v>
      </c>
      <c r="L1105" t="s">
        <v>3201</v>
      </c>
      <c r="M1105" s="37">
        <v>1</v>
      </c>
      <c r="N1105" s="37">
        <v>0.1</v>
      </c>
      <c r="O1105">
        <v>1</v>
      </c>
      <c r="P1105" s="37">
        <v>1.372</v>
      </c>
      <c r="Q1105">
        <v>0.78</v>
      </c>
      <c r="R1105">
        <v>1176</v>
      </c>
      <c r="S1105">
        <v>1681</v>
      </c>
      <c r="T1105">
        <v>1500</v>
      </c>
      <c r="U1105" t="s">
        <v>3056</v>
      </c>
      <c r="V1105" t="s">
        <v>455</v>
      </c>
      <c r="X1105">
        <v>1</v>
      </c>
      <c r="Z1105" s="37">
        <v>0.01</v>
      </c>
      <c r="AA1105" s="37">
        <v>0.34</v>
      </c>
      <c r="AB1105">
        <v>0</v>
      </c>
    </row>
    <row r="1106">
      <c r="A1106" t="s">
        <v>3239</v>
      </c>
      <c r="B1106" t="s">
        <v>3223</v>
      </c>
      <c r="C1106" t="s">
        <v>3223</v>
      </c>
      <c r="D1106" t="s">
        <v>1013</v>
      </c>
      <c r="E1106" t="s">
        <v>3240</v>
      </c>
      <c r="F1106" t="s">
        <v>298</v>
      </c>
      <c r="G1106" t="s">
        <v>3225</v>
      </c>
      <c r="H1106" t="s">
        <v>3226</v>
      </c>
      <c r="I1106" t="s">
        <v>3227</v>
      </c>
      <c r="J1106" t="s">
        <v>1590</v>
      </c>
      <c r="K1106" t="s">
        <v>3228</v>
      </c>
      <c r="L1106" t="s">
        <v>3201</v>
      </c>
      <c r="M1106" s="37">
        <v>2.1</v>
      </c>
      <c r="N1106" s="37">
        <v>0.2</v>
      </c>
      <c r="O1106">
        <v>1</v>
      </c>
      <c r="P1106" s="37">
        <v>1.976</v>
      </c>
      <c r="Q1106">
        <v>0.8</v>
      </c>
      <c r="R1106">
        <v>1200</v>
      </c>
      <c r="S1106">
        <v>1874</v>
      </c>
      <c r="T1106">
        <v>1500</v>
      </c>
      <c r="U1106" t="s">
        <v>3056</v>
      </c>
      <c r="V1106" t="s">
        <v>455</v>
      </c>
      <c r="X1106">
        <v>1</v>
      </c>
      <c r="Z1106" s="37">
        <v>0.01</v>
      </c>
      <c r="AA1106" s="37">
        <v>0.34</v>
      </c>
      <c r="AB1106">
        <v>0</v>
      </c>
    </row>
    <row r="1107">
      <c r="A1107" t="s">
        <v>3239</v>
      </c>
      <c r="B1107" t="s">
        <v>3223</v>
      </c>
      <c r="C1107" t="s">
        <v>3223</v>
      </c>
      <c r="D1107" t="s">
        <v>1013</v>
      </c>
      <c r="E1107" t="s">
        <v>3240</v>
      </c>
      <c r="F1107" t="s">
        <v>298</v>
      </c>
      <c r="G1107" t="s">
        <v>3225</v>
      </c>
      <c r="H1107" t="s">
        <v>3229</v>
      </c>
      <c r="I1107" t="s">
        <v>3241</v>
      </c>
      <c r="J1107" t="s">
        <v>777</v>
      </c>
      <c r="K1107" t="s">
        <v>1831</v>
      </c>
      <c r="L1107" t="s">
        <v>3201</v>
      </c>
      <c r="M1107" s="37">
        <v>2.89</v>
      </c>
      <c r="N1107" s="37">
        <v>0.4</v>
      </c>
      <c r="O1107">
        <v>1</v>
      </c>
      <c r="P1107" s="37">
        <v>1.976</v>
      </c>
      <c r="Q1107">
        <v>0.8</v>
      </c>
      <c r="R1107">
        <v>1200</v>
      </c>
      <c r="S1107">
        <v>1874</v>
      </c>
      <c r="T1107">
        <v>1500</v>
      </c>
      <c r="U1107" t="s">
        <v>3056</v>
      </c>
      <c r="V1107" t="s">
        <v>455</v>
      </c>
      <c r="X1107">
        <v>1</v>
      </c>
      <c r="Z1107" s="37">
        <v>0.01</v>
      </c>
      <c r="AA1107" s="37">
        <v>0.34</v>
      </c>
      <c r="AB1107">
        <v>0</v>
      </c>
    </row>
    <row r="1108">
      <c r="A1108" t="s">
        <v>3239</v>
      </c>
      <c r="B1108" t="s">
        <v>3223</v>
      </c>
      <c r="C1108" t="s">
        <v>3223</v>
      </c>
      <c r="D1108" t="s">
        <v>1013</v>
      </c>
      <c r="E1108" t="s">
        <v>3240</v>
      </c>
      <c r="F1108" t="s">
        <v>298</v>
      </c>
      <c r="G1108" t="s">
        <v>3225</v>
      </c>
      <c r="H1108" t="s">
        <v>3231</v>
      </c>
      <c r="I1108" t="s">
        <v>3232</v>
      </c>
      <c r="J1108" t="s">
        <v>3233</v>
      </c>
      <c r="K1108" t="s">
        <v>3242</v>
      </c>
      <c r="L1108" t="s">
        <v>3201</v>
      </c>
      <c r="M1108" s="37">
        <v>1</v>
      </c>
      <c r="N1108" s="37">
        <v>0.2</v>
      </c>
      <c r="O1108">
        <v>1</v>
      </c>
      <c r="P1108" s="37">
        <v>1.976</v>
      </c>
      <c r="Q1108">
        <v>0.8</v>
      </c>
      <c r="R1108">
        <v>1200</v>
      </c>
      <c r="S1108">
        <v>1874</v>
      </c>
      <c r="T1108">
        <v>1500</v>
      </c>
      <c r="U1108" t="s">
        <v>3056</v>
      </c>
      <c r="V1108" t="s">
        <v>455</v>
      </c>
      <c r="X1108">
        <v>1</v>
      </c>
      <c r="Z1108" s="37">
        <v>0.01</v>
      </c>
      <c r="AA1108" s="37">
        <v>0.34</v>
      </c>
      <c r="AB1108">
        <v>0</v>
      </c>
    </row>
    <row r="1109">
      <c r="A1109" t="s">
        <v>3239</v>
      </c>
      <c r="B1109" t="s">
        <v>3223</v>
      </c>
      <c r="C1109" t="s">
        <v>3223</v>
      </c>
      <c r="D1109" t="s">
        <v>1013</v>
      </c>
      <c r="E1109" t="s">
        <v>3240</v>
      </c>
      <c r="F1109" t="s">
        <v>298</v>
      </c>
      <c r="G1109" t="s">
        <v>3225</v>
      </c>
      <c r="H1109" t="s">
        <v>3229</v>
      </c>
      <c r="I1109" t="s">
        <v>3235</v>
      </c>
      <c r="J1109" t="s">
        <v>3236</v>
      </c>
      <c r="K1109" t="s">
        <v>2596</v>
      </c>
      <c r="L1109" t="s">
        <v>3201</v>
      </c>
      <c r="M1109" s="37">
        <v>1</v>
      </c>
      <c r="N1109" s="37">
        <v>0.1</v>
      </c>
      <c r="O1109">
        <v>1</v>
      </c>
      <c r="P1109" s="37">
        <v>1.976</v>
      </c>
      <c r="Q1109">
        <v>0.8</v>
      </c>
      <c r="R1109">
        <v>1200</v>
      </c>
      <c r="S1109">
        <v>1874</v>
      </c>
      <c r="T1109">
        <v>1500</v>
      </c>
      <c r="U1109" t="s">
        <v>3056</v>
      </c>
      <c r="V1109" t="s">
        <v>455</v>
      </c>
      <c r="X1109">
        <v>1</v>
      </c>
      <c r="Z1109" s="37">
        <v>0.01</v>
      </c>
      <c r="AA1109" s="37">
        <v>0.34</v>
      </c>
      <c r="AB1109">
        <v>0</v>
      </c>
    </row>
    <row r="1110">
      <c r="A1110" t="s">
        <v>3239</v>
      </c>
      <c r="B1110" t="s">
        <v>3223</v>
      </c>
      <c r="C1110" t="s">
        <v>3223</v>
      </c>
      <c r="D1110" t="s">
        <v>1013</v>
      </c>
      <c r="E1110" t="s">
        <v>3240</v>
      </c>
      <c r="F1110" t="s">
        <v>298</v>
      </c>
      <c r="G1110" t="s">
        <v>3225</v>
      </c>
      <c r="H1110" t="s">
        <v>3237</v>
      </c>
      <c r="I1110" t="s">
        <v>3238</v>
      </c>
      <c r="J1110" s="38">
        <v>0.1</v>
      </c>
      <c r="K1110" s="38">
        <v>1</v>
      </c>
      <c r="L1110" t="s">
        <v>3201</v>
      </c>
      <c r="M1110" s="37">
        <v>1</v>
      </c>
      <c r="N1110" s="37">
        <v>0.1</v>
      </c>
      <c r="O1110">
        <v>1</v>
      </c>
      <c r="P1110" s="37">
        <v>1.976</v>
      </c>
      <c r="Q1110">
        <v>0.8</v>
      </c>
      <c r="R1110">
        <v>1200</v>
      </c>
      <c r="S1110">
        <v>1874</v>
      </c>
      <c r="T1110">
        <v>1500</v>
      </c>
      <c r="U1110" t="s">
        <v>3056</v>
      </c>
      <c r="V1110" t="s">
        <v>455</v>
      </c>
      <c r="X1110">
        <v>1</v>
      </c>
      <c r="Z1110" s="37">
        <v>0.01</v>
      </c>
      <c r="AA1110" s="37">
        <v>0.34</v>
      </c>
      <c r="AB1110">
        <v>0</v>
      </c>
    </row>
    <row r="1111">
      <c r="A1111" t="s">
        <v>3243</v>
      </c>
      <c r="B1111" t="s">
        <v>3223</v>
      </c>
      <c r="C1111" t="s">
        <v>3223</v>
      </c>
      <c r="D1111" t="s">
        <v>1013</v>
      </c>
      <c r="E1111" t="s">
        <v>3244</v>
      </c>
      <c r="F1111" t="s">
        <v>298</v>
      </c>
      <c r="G1111" t="s">
        <v>3225</v>
      </c>
      <c r="H1111" t="s">
        <v>3226</v>
      </c>
      <c r="I1111" t="s">
        <v>3227</v>
      </c>
      <c r="J1111" t="s">
        <v>1590</v>
      </c>
      <c r="K1111" t="s">
        <v>3228</v>
      </c>
      <c r="L1111" t="s">
        <v>3201</v>
      </c>
      <c r="M1111" s="37">
        <v>2.1</v>
      </c>
      <c r="N1111" s="37">
        <v>0.2</v>
      </c>
      <c r="O1111">
        <v>1</v>
      </c>
      <c r="P1111" s="37">
        <v>1.68</v>
      </c>
      <c r="Q1111">
        <v>0.8</v>
      </c>
      <c r="R1111">
        <v>1200</v>
      </c>
      <c r="S1111">
        <v>1537</v>
      </c>
      <c r="T1111">
        <v>1500</v>
      </c>
      <c r="U1111" t="s">
        <v>3056</v>
      </c>
      <c r="V1111" t="s">
        <v>455</v>
      </c>
      <c r="X1111">
        <v>1</v>
      </c>
      <c r="Z1111" s="37">
        <v>0.01</v>
      </c>
      <c r="AA1111" s="37">
        <v>0.34</v>
      </c>
      <c r="AB1111">
        <v>0</v>
      </c>
    </row>
    <row r="1112">
      <c r="A1112" t="s">
        <v>3243</v>
      </c>
      <c r="B1112" t="s">
        <v>3223</v>
      </c>
      <c r="C1112" t="s">
        <v>3223</v>
      </c>
      <c r="D1112" t="s">
        <v>1013</v>
      </c>
      <c r="E1112" t="s">
        <v>3244</v>
      </c>
      <c r="F1112" t="s">
        <v>298</v>
      </c>
      <c r="G1112" t="s">
        <v>3225</v>
      </c>
      <c r="H1112" t="s">
        <v>3229</v>
      </c>
      <c r="I1112" t="s">
        <v>3227</v>
      </c>
      <c r="J1112" t="s">
        <v>3245</v>
      </c>
      <c r="K1112" t="s">
        <v>3246</v>
      </c>
      <c r="L1112" t="s">
        <v>3201</v>
      </c>
      <c r="M1112" s="37">
        <v>2.15</v>
      </c>
      <c r="N1112" s="37">
        <v>0.4</v>
      </c>
      <c r="O1112">
        <v>1</v>
      </c>
      <c r="P1112" s="37">
        <v>1.68</v>
      </c>
      <c r="Q1112">
        <v>0.8</v>
      </c>
      <c r="R1112">
        <v>1200</v>
      </c>
      <c r="S1112">
        <v>1537</v>
      </c>
      <c r="T1112">
        <v>1500</v>
      </c>
      <c r="U1112" t="s">
        <v>3056</v>
      </c>
      <c r="V1112" t="s">
        <v>455</v>
      </c>
      <c r="X1112">
        <v>1</v>
      </c>
      <c r="Z1112" s="37">
        <v>0.01</v>
      </c>
      <c r="AA1112" s="37">
        <v>0.34</v>
      </c>
      <c r="AB1112">
        <v>0</v>
      </c>
    </row>
    <row r="1113">
      <c r="A1113" t="s">
        <v>3243</v>
      </c>
      <c r="B1113" t="s">
        <v>3223</v>
      </c>
      <c r="C1113" t="s">
        <v>3223</v>
      </c>
      <c r="D1113" t="s">
        <v>1013</v>
      </c>
      <c r="E1113" t="s">
        <v>3244</v>
      </c>
      <c r="F1113" t="s">
        <v>298</v>
      </c>
      <c r="G1113" t="s">
        <v>3225</v>
      </c>
      <c r="H1113" t="s">
        <v>3231</v>
      </c>
      <c r="I1113" t="s">
        <v>3232</v>
      </c>
      <c r="J1113" t="s">
        <v>3247</v>
      </c>
      <c r="K1113" t="s">
        <v>3248</v>
      </c>
      <c r="L1113" t="s">
        <v>3201</v>
      </c>
      <c r="M1113" s="37">
        <v>1</v>
      </c>
      <c r="N1113" s="37">
        <v>0.2</v>
      </c>
      <c r="O1113">
        <v>1</v>
      </c>
      <c r="P1113" s="37">
        <v>1.68</v>
      </c>
      <c r="Q1113">
        <v>0.8</v>
      </c>
      <c r="R1113">
        <v>1200</v>
      </c>
      <c r="S1113">
        <v>1537</v>
      </c>
      <c r="T1113">
        <v>1500</v>
      </c>
      <c r="U1113" t="s">
        <v>3056</v>
      </c>
      <c r="V1113" t="s">
        <v>455</v>
      </c>
      <c r="X1113">
        <v>1</v>
      </c>
      <c r="Z1113" s="37">
        <v>0.01</v>
      </c>
      <c r="AA1113" s="37">
        <v>0.34</v>
      </c>
      <c r="AB1113">
        <v>0</v>
      </c>
    </row>
    <row r="1114">
      <c r="A1114" t="s">
        <v>3243</v>
      </c>
      <c r="B1114" t="s">
        <v>3223</v>
      </c>
      <c r="C1114" t="s">
        <v>3223</v>
      </c>
      <c r="D1114" t="s">
        <v>1013</v>
      </c>
      <c r="E1114" t="s">
        <v>3244</v>
      </c>
      <c r="F1114" t="s">
        <v>298</v>
      </c>
      <c r="G1114" t="s">
        <v>3225</v>
      </c>
      <c r="H1114" t="s">
        <v>3237</v>
      </c>
      <c r="I1114" t="s">
        <v>3238</v>
      </c>
      <c r="J1114" s="38">
        <v>0.1</v>
      </c>
      <c r="K1114" s="38">
        <v>1</v>
      </c>
      <c r="L1114" t="s">
        <v>3201</v>
      </c>
      <c r="M1114" s="37">
        <v>1</v>
      </c>
      <c r="N1114" s="37">
        <v>0.1</v>
      </c>
      <c r="O1114">
        <v>1</v>
      </c>
      <c r="P1114" s="37">
        <v>1.68</v>
      </c>
      <c r="Q1114">
        <v>0.8</v>
      </c>
      <c r="R1114">
        <v>1200</v>
      </c>
      <c r="S1114">
        <v>1537</v>
      </c>
      <c r="T1114">
        <v>1500</v>
      </c>
      <c r="U1114" t="s">
        <v>3056</v>
      </c>
      <c r="V1114" t="s">
        <v>455</v>
      </c>
      <c r="X1114">
        <v>1</v>
      </c>
      <c r="Z1114" s="37">
        <v>0.01</v>
      </c>
      <c r="AA1114" s="37">
        <v>0.34</v>
      </c>
      <c r="AB1114">
        <v>0</v>
      </c>
    </row>
    <row r="1115">
      <c r="A1115" t="s">
        <v>3243</v>
      </c>
      <c r="B1115" t="s">
        <v>3223</v>
      </c>
      <c r="C1115" t="s">
        <v>3223</v>
      </c>
      <c r="D1115" t="s">
        <v>1013</v>
      </c>
      <c r="E1115" t="s">
        <v>3244</v>
      </c>
      <c r="F1115" t="s">
        <v>298</v>
      </c>
      <c r="G1115" t="s">
        <v>3225</v>
      </c>
      <c r="H1115" t="s">
        <v>3229</v>
      </c>
      <c r="I1115" t="s">
        <v>3235</v>
      </c>
      <c r="J1115" t="s">
        <v>3236</v>
      </c>
      <c r="K1115" t="s">
        <v>969</v>
      </c>
      <c r="L1115" t="s">
        <v>3201</v>
      </c>
      <c r="M1115" s="37">
        <v>1</v>
      </c>
      <c r="N1115" s="37">
        <v>0.1</v>
      </c>
      <c r="O1115">
        <v>1</v>
      </c>
      <c r="P1115" s="37">
        <v>1.68</v>
      </c>
      <c r="Q1115">
        <v>0.8</v>
      </c>
      <c r="R1115">
        <v>1200</v>
      </c>
      <c r="S1115">
        <v>1537</v>
      </c>
      <c r="T1115">
        <v>1500</v>
      </c>
      <c r="U1115" t="s">
        <v>3056</v>
      </c>
      <c r="V1115" t="s">
        <v>455</v>
      </c>
      <c r="X1115">
        <v>1</v>
      </c>
      <c r="Z1115" s="37">
        <v>0.01</v>
      </c>
      <c r="AA1115" s="37">
        <v>0.34</v>
      </c>
      <c r="AB1115">
        <v>0</v>
      </c>
    </row>
    <row r="1116">
      <c r="A1116" t="s">
        <v>3249</v>
      </c>
      <c r="B1116" t="s">
        <v>3223</v>
      </c>
      <c r="C1116" t="s">
        <v>3223</v>
      </c>
      <c r="D1116" t="s">
        <v>1013</v>
      </c>
      <c r="E1116" t="s">
        <v>3250</v>
      </c>
      <c r="F1116" t="s">
        <v>298</v>
      </c>
      <c r="G1116" t="s">
        <v>3225</v>
      </c>
      <c r="H1116" t="s">
        <v>3226</v>
      </c>
      <c r="I1116" t="s">
        <v>3227</v>
      </c>
      <c r="J1116" t="s">
        <v>1590</v>
      </c>
      <c r="K1116" t="s">
        <v>3251</v>
      </c>
      <c r="L1116" t="s">
        <v>3201</v>
      </c>
      <c r="M1116" s="37">
        <v>2.1</v>
      </c>
      <c r="N1116" s="37">
        <v>0.2</v>
      </c>
      <c r="O1116">
        <v>1</v>
      </c>
      <c r="P1116" s="37">
        <v>1.096</v>
      </c>
      <c r="Q1116">
        <v>0.68</v>
      </c>
      <c r="R1116">
        <v>1051</v>
      </c>
      <c r="S1116">
        <v>1219</v>
      </c>
      <c r="T1116">
        <v>1500</v>
      </c>
      <c r="U1116" t="s">
        <v>3056</v>
      </c>
      <c r="V1116" t="s">
        <v>455</v>
      </c>
      <c r="X1116">
        <v>1</v>
      </c>
      <c r="Z1116" s="37">
        <v>0.01</v>
      </c>
      <c r="AA1116" s="37">
        <v>0.34</v>
      </c>
      <c r="AB1116">
        <v>0</v>
      </c>
    </row>
    <row r="1117">
      <c r="A1117" t="s">
        <v>3249</v>
      </c>
      <c r="B1117" t="s">
        <v>3223</v>
      </c>
      <c r="C1117" t="s">
        <v>3223</v>
      </c>
      <c r="D1117" t="s">
        <v>1013</v>
      </c>
      <c r="E1117" t="s">
        <v>3250</v>
      </c>
      <c r="F1117" t="s">
        <v>298</v>
      </c>
      <c r="G1117" t="s">
        <v>3225</v>
      </c>
      <c r="H1117" t="s">
        <v>3229</v>
      </c>
      <c r="I1117" t="s">
        <v>3227</v>
      </c>
      <c r="J1117" t="s">
        <v>977</v>
      </c>
      <c r="K1117" t="s">
        <v>3252</v>
      </c>
      <c r="L1117" t="s">
        <v>3201</v>
      </c>
      <c r="M1117" s="37">
        <v>1</v>
      </c>
      <c r="N1117" s="37">
        <v>0.4</v>
      </c>
      <c r="O1117">
        <v>1</v>
      </c>
      <c r="P1117" s="37">
        <v>1.096</v>
      </c>
      <c r="Q1117">
        <v>0.68</v>
      </c>
      <c r="R1117">
        <v>1051</v>
      </c>
      <c r="S1117">
        <v>1219</v>
      </c>
      <c r="T1117">
        <v>1500</v>
      </c>
      <c r="U1117" t="s">
        <v>3056</v>
      </c>
      <c r="V1117" t="s">
        <v>455</v>
      </c>
      <c r="X1117">
        <v>1</v>
      </c>
      <c r="Z1117" s="37">
        <v>0.01</v>
      </c>
      <c r="AA1117" s="37">
        <v>0.34</v>
      </c>
      <c r="AB1117">
        <v>0</v>
      </c>
    </row>
    <row r="1118">
      <c r="A1118" t="s">
        <v>3249</v>
      </c>
      <c r="B1118" t="s">
        <v>3223</v>
      </c>
      <c r="C1118" t="s">
        <v>3223</v>
      </c>
      <c r="D1118" t="s">
        <v>1013</v>
      </c>
      <c r="E1118" t="s">
        <v>3250</v>
      </c>
      <c r="F1118" t="s">
        <v>298</v>
      </c>
      <c r="G1118" t="s">
        <v>3225</v>
      </c>
      <c r="H1118" t="s">
        <v>3231</v>
      </c>
      <c r="I1118" t="s">
        <v>3253</v>
      </c>
      <c r="J1118" t="s">
        <v>3254</v>
      </c>
      <c r="K1118" t="s">
        <v>3255</v>
      </c>
      <c r="L1118" t="s">
        <v>3201</v>
      </c>
      <c r="M1118" s="37">
        <v>0.98</v>
      </c>
      <c r="N1118" s="37">
        <v>0.2</v>
      </c>
      <c r="O1118">
        <v>0.98</v>
      </c>
      <c r="P1118" s="37">
        <v>1.096</v>
      </c>
      <c r="Q1118">
        <v>0.68</v>
      </c>
      <c r="R1118">
        <v>1051</v>
      </c>
      <c r="S1118">
        <v>1219</v>
      </c>
      <c r="T1118">
        <v>1500</v>
      </c>
      <c r="U1118" t="s">
        <v>3056</v>
      </c>
      <c r="V1118" t="s">
        <v>455</v>
      </c>
      <c r="X1118">
        <v>1</v>
      </c>
      <c r="Z1118" s="37">
        <v>0.01</v>
      </c>
      <c r="AA1118" s="37">
        <v>0.34</v>
      </c>
      <c r="AB1118">
        <v>0</v>
      </c>
    </row>
    <row r="1119">
      <c r="A1119" t="s">
        <v>3249</v>
      </c>
      <c r="B1119" t="s">
        <v>3223</v>
      </c>
      <c r="C1119" t="s">
        <v>3223</v>
      </c>
      <c r="D1119" t="s">
        <v>1013</v>
      </c>
      <c r="E1119" t="s">
        <v>3250</v>
      </c>
      <c r="F1119" t="s">
        <v>298</v>
      </c>
      <c r="G1119" t="s">
        <v>3225</v>
      </c>
      <c r="H1119" t="s">
        <v>3237</v>
      </c>
      <c r="I1119" t="s">
        <v>3238</v>
      </c>
      <c r="J1119" s="38">
        <v>0.1</v>
      </c>
      <c r="K1119" s="38">
        <v>0.8</v>
      </c>
      <c r="L1119" t="s">
        <v>3201</v>
      </c>
      <c r="M1119" s="37">
        <v>0.8</v>
      </c>
      <c r="N1119" s="37">
        <v>0.1</v>
      </c>
      <c r="O1119">
        <v>0.8</v>
      </c>
      <c r="P1119" s="37">
        <v>1.096</v>
      </c>
      <c r="Q1119">
        <v>0.68</v>
      </c>
      <c r="R1119">
        <v>1051</v>
      </c>
      <c r="S1119">
        <v>1219</v>
      </c>
      <c r="T1119">
        <v>1500</v>
      </c>
      <c r="U1119" t="s">
        <v>3056</v>
      </c>
      <c r="V1119" t="s">
        <v>455</v>
      </c>
      <c r="X1119">
        <v>1</v>
      </c>
      <c r="Z1119" s="37">
        <v>0.01</v>
      </c>
      <c r="AA1119" s="37">
        <v>0.34</v>
      </c>
      <c r="AB1119">
        <v>0</v>
      </c>
    </row>
    <row r="1120">
      <c r="A1120" t="s">
        <v>3249</v>
      </c>
      <c r="B1120" t="s">
        <v>3223</v>
      </c>
      <c r="C1120" t="s">
        <v>3223</v>
      </c>
      <c r="D1120" t="s">
        <v>1013</v>
      </c>
      <c r="E1120" t="s">
        <v>3250</v>
      </c>
      <c r="F1120" t="s">
        <v>298</v>
      </c>
      <c r="G1120" t="s">
        <v>3225</v>
      </c>
      <c r="H1120" t="s">
        <v>3229</v>
      </c>
      <c r="I1120" t="s">
        <v>3235</v>
      </c>
      <c r="J1120" t="s">
        <v>3236</v>
      </c>
      <c r="K1120" t="s">
        <v>1041</v>
      </c>
      <c r="L1120" t="s">
        <v>3201</v>
      </c>
      <c r="M1120" s="37">
        <v>0</v>
      </c>
      <c r="N1120" s="37">
        <v>0.1</v>
      </c>
      <c r="O1120">
        <v>0</v>
      </c>
      <c r="P1120" s="37">
        <v>1.096</v>
      </c>
      <c r="Q1120">
        <v>0.68</v>
      </c>
      <c r="R1120">
        <v>1051</v>
      </c>
      <c r="S1120">
        <v>1219</v>
      </c>
      <c r="T1120">
        <v>1500</v>
      </c>
      <c r="U1120" t="s">
        <v>3056</v>
      </c>
      <c r="V1120" t="s">
        <v>455</v>
      </c>
      <c r="X1120">
        <v>1</v>
      </c>
      <c r="Z1120" s="37">
        <v>0.01</v>
      </c>
      <c r="AA1120" s="37">
        <v>0.34</v>
      </c>
      <c r="AB1120">
        <v>0</v>
      </c>
    </row>
    <row r="1121">
      <c r="A1121" t="s">
        <v>3256</v>
      </c>
      <c r="B1121" t="s">
        <v>3223</v>
      </c>
      <c r="C1121" t="s">
        <v>3223</v>
      </c>
      <c r="D1121" t="s">
        <v>1013</v>
      </c>
      <c r="E1121" t="s">
        <v>3257</v>
      </c>
      <c r="F1121" t="s">
        <v>298</v>
      </c>
      <c r="G1121" t="s">
        <v>3225</v>
      </c>
      <c r="H1121" t="s">
        <v>3226</v>
      </c>
      <c r="I1121" t="s">
        <v>3227</v>
      </c>
      <c r="J1121" t="s">
        <v>1590</v>
      </c>
      <c r="K1121" t="s">
        <v>3228</v>
      </c>
      <c r="L1121" t="s">
        <v>3201</v>
      </c>
      <c r="M1121" s="37">
        <v>1</v>
      </c>
      <c r="N1121" s="37">
        <v>0.2</v>
      </c>
      <c r="O1121">
        <v>1</v>
      </c>
      <c r="P1121" s="37">
        <v>0.99</v>
      </c>
      <c r="Q1121">
        <v>0.79</v>
      </c>
      <c r="R1121">
        <v>1188</v>
      </c>
      <c r="S1121">
        <v>1188</v>
      </c>
      <c r="T1121">
        <v>1500</v>
      </c>
      <c r="U1121" t="s">
        <v>3056</v>
      </c>
      <c r="V1121" t="s">
        <v>455</v>
      </c>
      <c r="X1121">
        <v>1</v>
      </c>
      <c r="Z1121" s="37">
        <v>0.01</v>
      </c>
      <c r="AA1121" s="37">
        <v>0.34</v>
      </c>
      <c r="AB1121">
        <v>0</v>
      </c>
    </row>
    <row r="1122">
      <c r="A1122" t="s">
        <v>3256</v>
      </c>
      <c r="B1122" t="s">
        <v>3223</v>
      </c>
      <c r="C1122" t="s">
        <v>3223</v>
      </c>
      <c r="D1122" t="s">
        <v>1013</v>
      </c>
      <c r="E1122" t="s">
        <v>3257</v>
      </c>
      <c r="F1122" t="s">
        <v>298</v>
      </c>
      <c r="G1122" t="s">
        <v>3225</v>
      </c>
      <c r="H1122" t="s">
        <v>3229</v>
      </c>
      <c r="I1122" t="s">
        <v>3227</v>
      </c>
      <c r="J1122" t="s">
        <v>1053</v>
      </c>
      <c r="K1122" t="s">
        <v>3258</v>
      </c>
      <c r="L1122" t="s">
        <v>3201</v>
      </c>
      <c r="M1122" s="37">
        <v>1</v>
      </c>
      <c r="N1122" s="37">
        <v>0.5</v>
      </c>
      <c r="O1122">
        <v>1</v>
      </c>
      <c r="P1122" s="37">
        <v>0.99</v>
      </c>
      <c r="Q1122">
        <v>0.79</v>
      </c>
      <c r="R1122">
        <v>1188</v>
      </c>
      <c r="S1122">
        <v>1188</v>
      </c>
      <c r="T1122">
        <v>1500</v>
      </c>
      <c r="U1122" t="s">
        <v>3056</v>
      </c>
      <c r="V1122" t="s">
        <v>455</v>
      </c>
      <c r="X1122">
        <v>1</v>
      </c>
      <c r="Z1122" s="37">
        <v>0.01</v>
      </c>
      <c r="AA1122" s="37">
        <v>0.34</v>
      </c>
      <c r="AB1122">
        <v>0</v>
      </c>
    </row>
    <row r="1123">
      <c r="A1123" t="s">
        <v>3256</v>
      </c>
      <c r="B1123" t="s">
        <v>3223</v>
      </c>
      <c r="C1123" t="s">
        <v>3223</v>
      </c>
      <c r="D1123" t="s">
        <v>1013</v>
      </c>
      <c r="E1123" t="s">
        <v>3257</v>
      </c>
      <c r="F1123" t="s">
        <v>298</v>
      </c>
      <c r="G1123" t="s">
        <v>3225</v>
      </c>
      <c r="H1123" t="s">
        <v>3231</v>
      </c>
      <c r="I1123" t="s">
        <v>3259</v>
      </c>
      <c r="J1123" t="s">
        <v>3260</v>
      </c>
      <c r="K1123" t="s">
        <v>3261</v>
      </c>
      <c r="L1123" t="s">
        <v>3201</v>
      </c>
      <c r="M1123" s="37">
        <v>1</v>
      </c>
      <c r="N1123" s="37">
        <v>0.2</v>
      </c>
      <c r="O1123">
        <v>1</v>
      </c>
      <c r="P1123" s="37">
        <v>0.99</v>
      </c>
      <c r="Q1123">
        <v>0.79</v>
      </c>
      <c r="R1123">
        <v>1188</v>
      </c>
      <c r="S1123">
        <v>1188</v>
      </c>
      <c r="T1123">
        <v>1500</v>
      </c>
      <c r="U1123" t="s">
        <v>3056</v>
      </c>
      <c r="V1123" t="s">
        <v>455</v>
      </c>
      <c r="X1123">
        <v>1</v>
      </c>
      <c r="Z1123" s="37">
        <v>0.01</v>
      </c>
      <c r="AA1123" s="37">
        <v>0.34</v>
      </c>
      <c r="AB1123">
        <v>0</v>
      </c>
    </row>
    <row r="1124">
      <c r="A1124" t="s">
        <v>3256</v>
      </c>
      <c r="B1124" t="s">
        <v>3223</v>
      </c>
      <c r="C1124" t="s">
        <v>3223</v>
      </c>
      <c r="D1124" t="s">
        <v>1013</v>
      </c>
      <c r="E1124" t="s">
        <v>3257</v>
      </c>
      <c r="F1124" t="s">
        <v>298</v>
      </c>
      <c r="G1124" t="s">
        <v>3225</v>
      </c>
      <c r="H1124" t="s">
        <v>3237</v>
      </c>
      <c r="I1124" t="s">
        <v>3238</v>
      </c>
      <c r="J1124" s="38">
        <v>0.1</v>
      </c>
      <c r="K1124" s="38">
        <v>0.9</v>
      </c>
      <c r="L1124" t="s">
        <v>3201</v>
      </c>
      <c r="M1124" s="37">
        <v>0.9</v>
      </c>
      <c r="N1124" s="37">
        <v>0.1</v>
      </c>
      <c r="O1124">
        <v>0.9</v>
      </c>
      <c r="P1124" s="37">
        <v>0.99</v>
      </c>
      <c r="Q1124">
        <v>0.79</v>
      </c>
      <c r="R1124">
        <v>1188</v>
      </c>
      <c r="S1124">
        <v>1188</v>
      </c>
      <c r="T1124">
        <v>1500</v>
      </c>
      <c r="U1124" t="s">
        <v>3056</v>
      </c>
      <c r="V1124" t="s">
        <v>455</v>
      </c>
      <c r="X1124">
        <v>1</v>
      </c>
      <c r="Z1124" s="37">
        <v>0.01</v>
      </c>
      <c r="AA1124" s="37">
        <v>0.34</v>
      </c>
      <c r="AB1124">
        <v>0</v>
      </c>
    </row>
    <row r="1125">
      <c r="A1125" t="s">
        <v>3262</v>
      </c>
      <c r="B1125" t="s">
        <v>377</v>
      </c>
      <c r="C1125" t="s">
        <v>377</v>
      </c>
      <c r="D1125" t="s">
        <v>3263</v>
      </c>
      <c r="E1125" t="s">
        <v>3264</v>
      </c>
      <c r="F1125" t="s">
        <v>298</v>
      </c>
      <c r="G1125" t="s">
        <v>3265</v>
      </c>
      <c r="H1125" t="s">
        <v>3266</v>
      </c>
      <c r="I1125" t="s">
        <v>3267</v>
      </c>
      <c r="J1125" s="37">
        <v>0.0857</v>
      </c>
      <c r="K1125" s="37">
        <v>0.0916</v>
      </c>
      <c r="L1125" t="s">
        <v>3268</v>
      </c>
      <c r="M1125" s="37">
        <v>0.9311</v>
      </c>
      <c r="N1125" s="37">
        <v>0.5</v>
      </c>
      <c r="O1125">
        <v>0.7485</v>
      </c>
      <c r="P1125" s="37">
        <v>0.96555</v>
      </c>
      <c r="Q1125">
        <v>0.87</v>
      </c>
      <c r="R1125">
        <v>3414.31</v>
      </c>
      <c r="S1125">
        <v>3414.31</v>
      </c>
      <c r="T1125">
        <v>4000</v>
      </c>
      <c r="U1125" t="s">
        <v>3056</v>
      </c>
      <c r="V1125" t="s">
        <v>455</v>
      </c>
      <c r="X1125">
        <v>1</v>
      </c>
      <c r="Z1125" s="37">
        <v>0.01</v>
      </c>
      <c r="AA1125" s="37">
        <v>0.34</v>
      </c>
      <c r="AB1125">
        <v>0</v>
      </c>
    </row>
    <row r="1126">
      <c r="A1126" t="s">
        <v>3262</v>
      </c>
      <c r="B1126" t="s">
        <v>377</v>
      </c>
      <c r="C1126" t="s">
        <v>377</v>
      </c>
      <c r="D1126" t="s">
        <v>3263</v>
      </c>
      <c r="E1126" t="s">
        <v>3264</v>
      </c>
      <c r="F1126" t="s">
        <v>298</v>
      </c>
      <c r="G1126" t="s">
        <v>3265</v>
      </c>
      <c r="H1126" t="s">
        <v>3269</v>
      </c>
      <c r="I1126" t="s">
        <v>3270</v>
      </c>
      <c r="J1126" s="38">
        <v>1</v>
      </c>
      <c r="L1126" t="s">
        <v>3271</v>
      </c>
      <c r="M1126" s="37">
        <v>1</v>
      </c>
      <c r="N1126" s="37">
        <v>0.3</v>
      </c>
      <c r="O1126">
        <v>1</v>
      </c>
      <c r="P1126" s="37">
        <v>0.96555</v>
      </c>
      <c r="Q1126">
        <v>0.87</v>
      </c>
      <c r="R1126">
        <v>3414.31</v>
      </c>
      <c r="S1126">
        <v>3414.31</v>
      </c>
      <c r="T1126">
        <v>4000</v>
      </c>
      <c r="U1126" t="s">
        <v>3056</v>
      </c>
      <c r="V1126" t="s">
        <v>455</v>
      </c>
      <c r="X1126">
        <v>1</v>
      </c>
      <c r="Z1126" s="37">
        <v>0.01</v>
      </c>
      <c r="AA1126" s="37">
        <v>0.34</v>
      </c>
      <c r="AB1126">
        <v>0</v>
      </c>
    </row>
    <row r="1127">
      <c r="A1127" t="s">
        <v>3262</v>
      </c>
      <c r="B1127" t="s">
        <v>377</v>
      </c>
      <c r="C1127" t="s">
        <v>377</v>
      </c>
      <c r="D1127" t="s">
        <v>3263</v>
      </c>
      <c r="E1127" t="s">
        <v>3264</v>
      </c>
      <c r="F1127" t="s">
        <v>298</v>
      </c>
      <c r="G1127" t="s">
        <v>3265</v>
      </c>
      <c r="H1127" t="s">
        <v>3272</v>
      </c>
      <c r="I1127" t="s">
        <v>3273</v>
      </c>
      <c r="J1127" s="38">
        <v>1</v>
      </c>
      <c r="K1127" s="38">
        <v>1</v>
      </c>
      <c r="L1127" t="s">
        <v>3274</v>
      </c>
      <c r="M1127" s="37">
        <v>1</v>
      </c>
      <c r="N1127" s="37">
        <v>0.2</v>
      </c>
      <c r="O1127">
        <v>1</v>
      </c>
      <c r="P1127" s="37">
        <v>0.96555</v>
      </c>
      <c r="Q1127">
        <v>0.87</v>
      </c>
      <c r="R1127">
        <v>3414.31</v>
      </c>
      <c r="S1127">
        <v>3414.31</v>
      </c>
      <c r="T1127">
        <v>4000</v>
      </c>
      <c r="U1127" t="s">
        <v>3056</v>
      </c>
      <c r="V1127" t="s">
        <v>455</v>
      </c>
      <c r="X1127">
        <v>1</v>
      </c>
      <c r="Z1127" s="37">
        <v>0.01</v>
      </c>
      <c r="AA1127" s="37">
        <v>0.34</v>
      </c>
      <c r="AB1127">
        <v>0</v>
      </c>
    </row>
    <row r="1128">
      <c r="A1128" t="s">
        <v>3275</v>
      </c>
      <c r="B1128" t="s">
        <v>2607</v>
      </c>
      <c r="C1128" t="s">
        <v>2607</v>
      </c>
      <c r="D1128" t="s">
        <v>3276</v>
      </c>
      <c r="E1128" t="s">
        <v>3277</v>
      </c>
      <c r="F1128" t="s">
        <v>298</v>
      </c>
      <c r="G1128" t="s">
        <v>3265</v>
      </c>
      <c r="H1128" t="s">
        <v>3266</v>
      </c>
      <c r="I1128" s="37">
        <v>0.0857</v>
      </c>
      <c r="J1128">
        <v>8.57</v>
      </c>
      <c r="K1128" s="37">
        <v>0.0916</v>
      </c>
      <c r="L1128" t="s">
        <v>3274</v>
      </c>
      <c r="M1128" s="37">
        <v>0.93559</v>
      </c>
      <c r="N1128" s="37">
        <v>0.4</v>
      </c>
      <c r="O1128">
        <v>0.7485</v>
      </c>
      <c r="P1128" s="37">
        <v>0.938887</v>
      </c>
      <c r="Q1128">
        <v>0.96</v>
      </c>
      <c r="R1128">
        <v>4742.1</v>
      </c>
      <c r="S1128">
        <v>4742.1</v>
      </c>
      <c r="T1128">
        <v>5000</v>
      </c>
      <c r="U1128" t="s">
        <v>3056</v>
      </c>
      <c r="V1128" t="s">
        <v>455</v>
      </c>
      <c r="X1128">
        <v>1</v>
      </c>
      <c r="Z1128" s="37">
        <v>0.01</v>
      </c>
      <c r="AA1128" s="37">
        <v>0.34</v>
      </c>
      <c r="AB1128">
        <v>0</v>
      </c>
    </row>
    <row r="1129">
      <c r="A1129" t="s">
        <v>3275</v>
      </c>
      <c r="B1129" t="s">
        <v>2607</v>
      </c>
      <c r="C1129" t="s">
        <v>2607</v>
      </c>
      <c r="D1129" t="s">
        <v>3276</v>
      </c>
      <c r="E1129" t="s">
        <v>3277</v>
      </c>
      <c r="F1129" t="s">
        <v>298</v>
      </c>
      <c r="G1129" t="s">
        <v>3265</v>
      </c>
      <c r="H1129" t="s">
        <v>3278</v>
      </c>
      <c r="I1129">
        <v>8.6</v>
      </c>
      <c r="J1129" t="s">
        <v>3279</v>
      </c>
      <c r="K1129" t="s">
        <v>3280</v>
      </c>
      <c r="L1129" t="s">
        <v>3274</v>
      </c>
      <c r="M1129" s="37">
        <v>1.011628</v>
      </c>
      <c r="N1129" s="37">
        <v>0.4</v>
      </c>
      <c r="O1129">
        <v>1.25</v>
      </c>
      <c r="P1129" s="37">
        <v>0.938887</v>
      </c>
      <c r="Q1129">
        <v>0.96</v>
      </c>
      <c r="R1129">
        <v>4742.1</v>
      </c>
      <c r="S1129">
        <v>4742.1</v>
      </c>
      <c r="T1129">
        <v>5000</v>
      </c>
      <c r="U1129" t="s">
        <v>3056</v>
      </c>
      <c r="V1129" t="s">
        <v>455</v>
      </c>
      <c r="X1129">
        <v>1</v>
      </c>
      <c r="Z1129" s="37">
        <v>0.01</v>
      </c>
      <c r="AA1129" s="37">
        <v>0.34</v>
      </c>
      <c r="AB1129">
        <v>0</v>
      </c>
    </row>
    <row r="1130">
      <c r="A1130" t="s">
        <v>3275</v>
      </c>
      <c r="B1130" t="s">
        <v>2607</v>
      </c>
      <c r="C1130" t="s">
        <v>2607</v>
      </c>
      <c r="D1130" t="s">
        <v>3276</v>
      </c>
      <c r="E1130" t="s">
        <v>3277</v>
      </c>
      <c r="F1130" t="s">
        <v>298</v>
      </c>
      <c r="G1130" t="s">
        <v>3265</v>
      </c>
      <c r="H1130" t="s">
        <v>3272</v>
      </c>
      <c r="I1130" t="s">
        <v>3281</v>
      </c>
      <c r="J1130" t="s">
        <v>3282</v>
      </c>
      <c r="K1130" t="s">
        <v>3283</v>
      </c>
      <c r="L1130" t="s">
        <v>3274</v>
      </c>
      <c r="M1130" s="37">
        <v>0.8</v>
      </c>
      <c r="N1130" s="37">
        <v>0.2</v>
      </c>
      <c r="O1130">
        <v>0.8</v>
      </c>
      <c r="P1130" s="37">
        <v>0.938887</v>
      </c>
      <c r="Q1130">
        <v>0.96</v>
      </c>
      <c r="R1130">
        <v>4742.1</v>
      </c>
      <c r="S1130">
        <v>4742.1</v>
      </c>
      <c r="T1130">
        <v>5000</v>
      </c>
      <c r="U1130" t="s">
        <v>3056</v>
      </c>
      <c r="V1130" t="s">
        <v>455</v>
      </c>
      <c r="X1130">
        <v>1</v>
      </c>
      <c r="Z1130" s="37">
        <v>0.01</v>
      </c>
      <c r="AA1130" s="37">
        <v>0.34</v>
      </c>
      <c r="AB1130">
        <v>0</v>
      </c>
    </row>
    <row r="1131">
      <c r="A1131" t="s">
        <v>3284</v>
      </c>
      <c r="B1131" t="s">
        <v>1395</v>
      </c>
      <c r="C1131" t="s">
        <v>1395</v>
      </c>
      <c r="D1131" t="s">
        <v>3285</v>
      </c>
      <c r="E1131" t="s">
        <v>3286</v>
      </c>
      <c r="F1131" t="s">
        <v>298</v>
      </c>
      <c r="G1131" t="s">
        <v>3265</v>
      </c>
      <c r="H1131" t="s">
        <v>3287</v>
      </c>
      <c r="I1131" t="s">
        <v>3288</v>
      </c>
      <c r="J1131" s="38">
        <v>0.8</v>
      </c>
      <c r="K1131" t="s">
        <v>3289</v>
      </c>
      <c r="L1131" t="s">
        <v>3290</v>
      </c>
      <c r="M1131" s="37">
        <v>1.333375</v>
      </c>
      <c r="N1131" s="37">
        <v>0.6</v>
      </c>
      <c r="O1131">
        <v>1.2</v>
      </c>
      <c r="P1131" s="37">
        <v>1.200025</v>
      </c>
      <c r="Q1131">
        <v>1.12</v>
      </c>
      <c r="R1131">
        <v>6164.73</v>
      </c>
      <c r="S1131">
        <v>6164.73</v>
      </c>
      <c r="T1131">
        <v>5000</v>
      </c>
      <c r="U1131" t="s">
        <v>3056</v>
      </c>
      <c r="V1131" t="s">
        <v>455</v>
      </c>
      <c r="X1131">
        <v>1</v>
      </c>
      <c r="Z1131" s="37">
        <v>0.01</v>
      </c>
      <c r="AA1131" s="37">
        <v>0.34</v>
      </c>
      <c r="AB1131">
        <v>0</v>
      </c>
    </row>
    <row r="1132">
      <c r="A1132" t="s">
        <v>3284</v>
      </c>
      <c r="B1132" t="s">
        <v>1395</v>
      </c>
      <c r="C1132" t="s">
        <v>1395</v>
      </c>
      <c r="D1132" t="s">
        <v>3285</v>
      </c>
      <c r="E1132" t="s">
        <v>3286</v>
      </c>
      <c r="F1132" t="s">
        <v>298</v>
      </c>
      <c r="G1132" t="s">
        <v>3265</v>
      </c>
      <c r="H1132" t="s">
        <v>3287</v>
      </c>
      <c r="I1132" t="s">
        <v>3291</v>
      </c>
      <c r="J1132" t="s">
        <v>1401</v>
      </c>
      <c r="K1132" t="s">
        <v>3292</v>
      </c>
      <c r="L1132" t="s">
        <v>3293</v>
      </c>
      <c r="M1132" s="37">
        <v>1</v>
      </c>
      <c r="N1132" s="37">
        <v>0.4</v>
      </c>
      <c r="O1132">
        <v>1</v>
      </c>
      <c r="P1132" s="37">
        <v>1.200025</v>
      </c>
      <c r="Q1132">
        <v>1.12</v>
      </c>
      <c r="R1132">
        <v>6164.73</v>
      </c>
      <c r="S1132">
        <v>6164.73</v>
      </c>
      <c r="T1132">
        <v>5000</v>
      </c>
      <c r="U1132" t="s">
        <v>3056</v>
      </c>
      <c r="V1132" t="s">
        <v>455</v>
      </c>
      <c r="X1132">
        <v>1</v>
      </c>
      <c r="Z1132" s="37">
        <v>0.01</v>
      </c>
      <c r="AA1132" s="37">
        <v>0.34</v>
      </c>
      <c r="AB1132">
        <v>0</v>
      </c>
    </row>
    <row r="1133">
      <c r="A1133" t="s">
        <v>3294</v>
      </c>
      <c r="B1133" t="s">
        <v>2057</v>
      </c>
      <c r="C1133" t="s">
        <v>2057</v>
      </c>
      <c r="D1133" t="s">
        <v>3295</v>
      </c>
      <c r="E1133" t="s">
        <v>3296</v>
      </c>
      <c r="F1133" t="s">
        <v>298</v>
      </c>
      <c r="G1133" t="s">
        <v>3265</v>
      </c>
      <c r="H1133" t="s">
        <v>3297</v>
      </c>
      <c r="I1133" t="s">
        <v>3298</v>
      </c>
      <c r="J1133" s="38">
        <v>1</v>
      </c>
      <c r="K1133" s="38">
        <v>1</v>
      </c>
      <c r="L1133" t="s">
        <v>3299</v>
      </c>
      <c r="M1133" s="37">
        <v>1</v>
      </c>
      <c r="N1133" s="37">
        <v>0.35</v>
      </c>
      <c r="O1133">
        <v>1</v>
      </c>
      <c r="P1133" s="37">
        <v>0.9825</v>
      </c>
      <c r="Q1133">
        <v>0.98</v>
      </c>
      <c r="R1133">
        <v>4694.68</v>
      </c>
      <c r="S1133">
        <v>4694.68</v>
      </c>
      <c r="T1133">
        <v>4500</v>
      </c>
      <c r="U1133" t="s">
        <v>3056</v>
      </c>
      <c r="V1133" t="s">
        <v>455</v>
      </c>
      <c r="X1133">
        <v>1</v>
      </c>
      <c r="Z1133" s="37">
        <v>0.01</v>
      </c>
      <c r="AA1133" s="37">
        <v>0.34</v>
      </c>
      <c r="AB1133">
        <v>0</v>
      </c>
    </row>
    <row r="1134">
      <c r="A1134" t="s">
        <v>3294</v>
      </c>
      <c r="B1134" t="s">
        <v>2057</v>
      </c>
      <c r="C1134" t="s">
        <v>2057</v>
      </c>
      <c r="D1134" t="s">
        <v>3295</v>
      </c>
      <c r="E1134" t="s">
        <v>3296</v>
      </c>
      <c r="F1134" t="s">
        <v>298</v>
      </c>
      <c r="G1134" t="s">
        <v>3265</v>
      </c>
      <c r="H1134" t="s">
        <v>3300</v>
      </c>
      <c r="I1134" t="s">
        <v>3301</v>
      </c>
      <c r="J1134">
        <v>4.4</v>
      </c>
      <c r="L1134" t="s">
        <v>3302</v>
      </c>
      <c r="M1134" s="37">
        <v>0.95</v>
      </c>
      <c r="N1134" s="37">
        <v>0.35</v>
      </c>
      <c r="O1134">
        <v>0.95</v>
      </c>
      <c r="P1134" s="37">
        <v>0.9825</v>
      </c>
      <c r="Q1134">
        <v>0.98</v>
      </c>
      <c r="R1134">
        <v>4694.68</v>
      </c>
      <c r="S1134">
        <v>4694.68</v>
      </c>
      <c r="T1134">
        <v>4500</v>
      </c>
      <c r="U1134" t="s">
        <v>3056</v>
      </c>
      <c r="V1134" t="s">
        <v>455</v>
      </c>
      <c r="X1134">
        <v>1</v>
      </c>
      <c r="Z1134" s="37">
        <v>0.01</v>
      </c>
      <c r="AA1134" s="37">
        <v>0.34</v>
      </c>
      <c r="AB1134">
        <v>0</v>
      </c>
    </row>
    <row r="1135">
      <c r="A1135" t="s">
        <v>3294</v>
      </c>
      <c r="B1135" t="s">
        <v>2057</v>
      </c>
      <c r="C1135" t="s">
        <v>2057</v>
      </c>
      <c r="D1135" t="s">
        <v>3295</v>
      </c>
      <c r="E1135" t="s">
        <v>3296</v>
      </c>
      <c r="F1135" t="s">
        <v>298</v>
      </c>
      <c r="G1135" t="s">
        <v>3265</v>
      </c>
      <c r="H1135" t="s">
        <v>3272</v>
      </c>
      <c r="I1135" t="s">
        <v>3303</v>
      </c>
      <c r="J1135" s="38">
        <v>1</v>
      </c>
      <c r="K1135" s="38">
        <v>1</v>
      </c>
      <c r="L1135" t="s">
        <v>3304</v>
      </c>
      <c r="M1135" s="37">
        <v>1</v>
      </c>
      <c r="N1135" s="37">
        <v>0.3</v>
      </c>
      <c r="O1135">
        <v>1</v>
      </c>
      <c r="P1135" s="37">
        <v>0.9825</v>
      </c>
      <c r="Q1135">
        <v>0.98</v>
      </c>
      <c r="R1135">
        <v>4694.68</v>
      </c>
      <c r="S1135">
        <v>4694.68</v>
      </c>
      <c r="T1135">
        <v>4500</v>
      </c>
      <c r="U1135" t="s">
        <v>3056</v>
      </c>
      <c r="V1135" t="s">
        <v>455</v>
      </c>
      <c r="X1135">
        <v>1</v>
      </c>
      <c r="Z1135" s="37">
        <v>0.01</v>
      </c>
      <c r="AA1135" s="37">
        <v>0.34</v>
      </c>
      <c r="AB1135">
        <v>0</v>
      </c>
    </row>
    <row r="1136">
      <c r="A1136" t="s">
        <v>3305</v>
      </c>
      <c r="B1136" t="s">
        <v>3306</v>
      </c>
      <c r="C1136" t="s">
        <v>3306</v>
      </c>
      <c r="D1136" t="s">
        <v>3307</v>
      </c>
      <c r="E1136" t="s">
        <v>3308</v>
      </c>
      <c r="F1136" t="s">
        <v>298</v>
      </c>
      <c r="G1136" t="s">
        <v>3265</v>
      </c>
      <c r="H1136" t="s">
        <v>3287</v>
      </c>
      <c r="I1136" t="s">
        <v>3309</v>
      </c>
      <c r="J1136" t="s">
        <v>1459</v>
      </c>
      <c r="K1136" t="s">
        <v>588</v>
      </c>
      <c r="L1136" t="s">
        <v>3304</v>
      </c>
      <c r="M1136" s="37">
        <v>0.33</v>
      </c>
      <c r="N1136" s="37">
        <v>0.4</v>
      </c>
      <c r="O1136">
        <v>0.264</v>
      </c>
      <c r="P1136" s="37">
        <v>0.732</v>
      </c>
      <c r="Q1136">
        <v>0.71</v>
      </c>
      <c r="R1136">
        <v>3793.68</v>
      </c>
      <c r="S1136">
        <v>3793.68</v>
      </c>
      <c r="T1136">
        <v>5000</v>
      </c>
      <c r="U1136" t="s">
        <v>3056</v>
      </c>
      <c r="V1136" t="s">
        <v>455</v>
      </c>
      <c r="X1136">
        <v>1</v>
      </c>
      <c r="Z1136" s="37">
        <v>0.01</v>
      </c>
      <c r="AA1136" s="37">
        <v>0.34</v>
      </c>
      <c r="AB1136">
        <v>0</v>
      </c>
    </row>
    <row r="1137">
      <c r="A1137" t="s">
        <v>3305</v>
      </c>
      <c r="B1137" t="s">
        <v>3306</v>
      </c>
      <c r="C1137" t="s">
        <v>3306</v>
      </c>
      <c r="D1137" t="s">
        <v>3307</v>
      </c>
      <c r="E1137" t="s">
        <v>3308</v>
      </c>
      <c r="F1137" t="s">
        <v>298</v>
      </c>
      <c r="G1137" t="s">
        <v>3265</v>
      </c>
      <c r="H1137" t="s">
        <v>3272</v>
      </c>
      <c r="I1137" t="s">
        <v>3310</v>
      </c>
      <c r="J1137" t="s">
        <v>3311</v>
      </c>
      <c r="K1137" t="s">
        <v>3311</v>
      </c>
      <c r="L1137" t="s">
        <v>3304</v>
      </c>
      <c r="M1137" s="37">
        <v>1</v>
      </c>
      <c r="N1137" s="37">
        <v>0.3</v>
      </c>
      <c r="O1137">
        <v>1</v>
      </c>
      <c r="P1137" s="37">
        <v>0.732</v>
      </c>
      <c r="Q1137">
        <v>0.71</v>
      </c>
      <c r="R1137">
        <v>3793.68</v>
      </c>
      <c r="S1137">
        <v>3793.68</v>
      </c>
      <c r="T1137">
        <v>5000</v>
      </c>
      <c r="U1137" t="s">
        <v>3056</v>
      </c>
      <c r="V1137" t="s">
        <v>455</v>
      </c>
      <c r="X1137">
        <v>1</v>
      </c>
      <c r="Z1137" s="37">
        <v>0.01</v>
      </c>
      <c r="AA1137" s="37">
        <v>0.34</v>
      </c>
      <c r="AB1137">
        <v>0</v>
      </c>
    </row>
    <row r="1138">
      <c r="A1138" t="s">
        <v>3305</v>
      </c>
      <c r="B1138" t="s">
        <v>3306</v>
      </c>
      <c r="C1138" t="s">
        <v>3306</v>
      </c>
      <c r="D1138" t="s">
        <v>3307</v>
      </c>
      <c r="E1138" t="s">
        <v>3308</v>
      </c>
      <c r="F1138" t="s">
        <v>298</v>
      </c>
      <c r="G1138" t="s">
        <v>3265</v>
      </c>
      <c r="H1138" t="s">
        <v>3272</v>
      </c>
      <c r="I1138" t="s">
        <v>3312</v>
      </c>
      <c r="J1138" s="38">
        <v>1</v>
      </c>
      <c r="K1138" s="38">
        <v>1</v>
      </c>
      <c r="L1138" t="s">
        <v>3304</v>
      </c>
      <c r="M1138" s="37">
        <v>1</v>
      </c>
      <c r="N1138" s="37">
        <v>0.3</v>
      </c>
      <c r="O1138">
        <v>1</v>
      </c>
      <c r="P1138" s="37">
        <v>0.732</v>
      </c>
      <c r="Q1138">
        <v>0.71</v>
      </c>
      <c r="R1138">
        <v>3793.68</v>
      </c>
      <c r="S1138">
        <v>3793.68</v>
      </c>
      <c r="T1138">
        <v>5000</v>
      </c>
      <c r="U1138" t="s">
        <v>3056</v>
      </c>
      <c r="V1138" t="s">
        <v>455</v>
      </c>
      <c r="X1138">
        <v>1</v>
      </c>
      <c r="Z1138" s="37">
        <v>0.01</v>
      </c>
      <c r="AA1138" s="37">
        <v>0.34</v>
      </c>
      <c r="AB1138">
        <v>0</v>
      </c>
    </row>
    <row r="1139">
      <c r="A1139" t="s">
        <v>3313</v>
      </c>
      <c r="B1139" t="s">
        <v>3314</v>
      </c>
      <c r="C1139" t="s">
        <v>3314</v>
      </c>
      <c r="D1139" t="s">
        <v>3315</v>
      </c>
      <c r="E1139" t="s">
        <v>3316</v>
      </c>
      <c r="F1139" t="s">
        <v>298</v>
      </c>
      <c r="G1139" t="s">
        <v>3265</v>
      </c>
      <c r="H1139" t="s">
        <v>3287</v>
      </c>
      <c r="I1139" t="s">
        <v>3317</v>
      </c>
      <c r="J1139" t="s">
        <v>588</v>
      </c>
      <c r="K1139" t="s">
        <v>588</v>
      </c>
      <c r="L1139" t="s">
        <v>3318</v>
      </c>
      <c r="M1139" s="37">
        <v>1</v>
      </c>
      <c r="N1139" s="37">
        <v>0.4</v>
      </c>
      <c r="O1139">
        <v>1</v>
      </c>
      <c r="P1139" s="37">
        <v>1.105</v>
      </c>
      <c r="Q1139">
        <v>1.03</v>
      </c>
      <c r="R1139">
        <v>5690.52</v>
      </c>
      <c r="S1139">
        <v>5690.52</v>
      </c>
      <c r="T1139">
        <v>5000</v>
      </c>
      <c r="U1139" t="s">
        <v>3056</v>
      </c>
      <c r="V1139" t="s">
        <v>455</v>
      </c>
      <c r="X1139">
        <v>1</v>
      </c>
      <c r="Z1139" s="37">
        <v>0.01</v>
      </c>
      <c r="AA1139" s="37">
        <v>0.34</v>
      </c>
      <c r="AB1139">
        <v>0</v>
      </c>
    </row>
    <row r="1140">
      <c r="A1140" t="s">
        <v>3313</v>
      </c>
      <c r="B1140" t="s">
        <v>3314</v>
      </c>
      <c r="C1140" t="s">
        <v>3314</v>
      </c>
      <c r="D1140" t="s">
        <v>3315</v>
      </c>
      <c r="E1140" t="s">
        <v>3316</v>
      </c>
      <c r="F1140" t="s">
        <v>298</v>
      </c>
      <c r="G1140" t="s">
        <v>3265</v>
      </c>
      <c r="H1140" t="s">
        <v>3287</v>
      </c>
      <c r="I1140" t="s">
        <v>3319</v>
      </c>
      <c r="J1140" t="s">
        <v>1407</v>
      </c>
      <c r="K1140" t="s">
        <v>3320</v>
      </c>
      <c r="L1140" t="s">
        <v>3321</v>
      </c>
      <c r="M1140" s="37">
        <v>1.6</v>
      </c>
      <c r="N1140" s="37">
        <v>0.3</v>
      </c>
      <c r="O1140">
        <v>1.5</v>
      </c>
      <c r="P1140" s="37">
        <v>1.105</v>
      </c>
      <c r="Q1140">
        <v>1.03</v>
      </c>
      <c r="R1140">
        <v>5690.52</v>
      </c>
      <c r="S1140">
        <v>5690.52</v>
      </c>
      <c r="T1140">
        <v>5000</v>
      </c>
      <c r="U1140" t="s">
        <v>3056</v>
      </c>
      <c r="V1140" t="s">
        <v>455</v>
      </c>
      <c r="X1140">
        <v>1</v>
      </c>
      <c r="Z1140" s="37">
        <v>0.01</v>
      </c>
      <c r="AA1140" s="37">
        <v>0.34</v>
      </c>
      <c r="AB1140">
        <v>0</v>
      </c>
    </row>
    <row r="1141">
      <c r="A1141" t="s">
        <v>3313</v>
      </c>
      <c r="B1141" t="s">
        <v>3314</v>
      </c>
      <c r="C1141" t="s">
        <v>3314</v>
      </c>
      <c r="D1141" t="s">
        <v>3315</v>
      </c>
      <c r="E1141" t="s">
        <v>3316</v>
      </c>
      <c r="F1141" t="s">
        <v>298</v>
      </c>
      <c r="G1141" t="s">
        <v>3265</v>
      </c>
      <c r="H1141" t="s">
        <v>3287</v>
      </c>
      <c r="I1141" t="s">
        <v>3322</v>
      </c>
      <c r="J1141" t="s">
        <v>2642</v>
      </c>
      <c r="K1141" t="s">
        <v>1459</v>
      </c>
      <c r="L1141" t="s">
        <v>3321</v>
      </c>
      <c r="M1141" s="37">
        <v>0.75</v>
      </c>
      <c r="N1141" s="37">
        <v>0.3</v>
      </c>
      <c r="O1141">
        <v>0.6</v>
      </c>
      <c r="P1141" s="37">
        <v>1.105</v>
      </c>
      <c r="Q1141">
        <v>1.03</v>
      </c>
      <c r="R1141">
        <v>5690.52</v>
      </c>
      <c r="S1141">
        <v>5690.52</v>
      </c>
      <c r="T1141">
        <v>5000</v>
      </c>
      <c r="U1141" t="s">
        <v>3056</v>
      </c>
      <c r="V1141" t="s">
        <v>455</v>
      </c>
      <c r="X1141">
        <v>1</v>
      </c>
      <c r="Z1141" s="37">
        <v>0.01</v>
      </c>
      <c r="AA1141" s="37">
        <v>0.34</v>
      </c>
      <c r="AB1141">
        <v>0</v>
      </c>
    </row>
    <row r="1142">
      <c r="A1142" t="s">
        <v>3323</v>
      </c>
      <c r="B1142" t="s">
        <v>580</v>
      </c>
      <c r="C1142" t="s">
        <v>580</v>
      </c>
      <c r="D1142" t="s">
        <v>3324</v>
      </c>
      <c r="E1142" t="s">
        <v>3325</v>
      </c>
      <c r="F1142" t="s">
        <v>298</v>
      </c>
      <c r="G1142" t="s">
        <v>3265</v>
      </c>
      <c r="H1142" t="s">
        <v>3287</v>
      </c>
      <c r="I1142" t="s">
        <v>3326</v>
      </c>
      <c r="J1142" t="s">
        <v>588</v>
      </c>
      <c r="K1142" t="s">
        <v>588</v>
      </c>
      <c r="L1142" t="s">
        <v>3321</v>
      </c>
      <c r="M1142" s="37">
        <v>1</v>
      </c>
      <c r="N1142" s="37">
        <v>1</v>
      </c>
      <c r="O1142">
        <v>1</v>
      </c>
      <c r="P1142" s="37">
        <v>1</v>
      </c>
      <c r="Q1142">
        <v>1</v>
      </c>
      <c r="R1142">
        <v>5000</v>
      </c>
      <c r="S1142">
        <v>5000</v>
      </c>
      <c r="T1142">
        <v>5000</v>
      </c>
      <c r="U1142" t="s">
        <v>3056</v>
      </c>
      <c r="V1142" t="s">
        <v>455</v>
      </c>
      <c r="X1142">
        <v>1</v>
      </c>
      <c r="Z1142" s="37">
        <v>0.01</v>
      </c>
      <c r="AA1142" s="37">
        <v>0.34</v>
      </c>
      <c r="AB1142">
        <v>0</v>
      </c>
    </row>
    <row r="1143">
      <c r="A1143" t="s">
        <v>3327</v>
      </c>
      <c r="B1143" t="s">
        <v>694</v>
      </c>
      <c r="C1143" t="s">
        <v>694</v>
      </c>
      <c r="D1143" t="s">
        <v>3328</v>
      </c>
      <c r="E1143" t="s">
        <v>3329</v>
      </c>
      <c r="F1143" t="s">
        <v>298</v>
      </c>
      <c r="G1143" t="s">
        <v>3330</v>
      </c>
      <c r="H1143" t="s">
        <v>3037</v>
      </c>
      <c r="I1143" t="s">
        <v>3331</v>
      </c>
      <c r="J1143">
        <v>70000</v>
      </c>
      <c r="K1143">
        <v>99960</v>
      </c>
      <c r="L1143" t="s">
        <v>3321</v>
      </c>
      <c r="M1143" s="37">
        <v>0</v>
      </c>
      <c r="N1143" s="37">
        <v>0.2</v>
      </c>
      <c r="O1143">
        <v>0</v>
      </c>
      <c r="P1143" s="37">
        <v>0.107</v>
      </c>
      <c r="Q1143">
        <v>0.8</v>
      </c>
      <c r="R1143">
        <v>4000</v>
      </c>
      <c r="S1143">
        <v>4000</v>
      </c>
      <c r="T1143">
        <v>5000</v>
      </c>
      <c r="U1143" t="s">
        <v>3056</v>
      </c>
      <c r="V1143" t="s">
        <v>455</v>
      </c>
      <c r="X1143">
        <v>1</v>
      </c>
      <c r="Z1143" s="37">
        <v>0.01</v>
      </c>
      <c r="AA1143" s="37">
        <v>0.34</v>
      </c>
      <c r="AB1143">
        <v>0</v>
      </c>
    </row>
    <row r="1144">
      <c r="A1144" t="s">
        <v>3327</v>
      </c>
      <c r="B1144" t="s">
        <v>694</v>
      </c>
      <c r="C1144" t="s">
        <v>694</v>
      </c>
      <c r="D1144" t="s">
        <v>3328</v>
      </c>
      <c r="E1144" t="s">
        <v>3329</v>
      </c>
      <c r="F1144" t="s">
        <v>298</v>
      </c>
      <c r="G1144" t="s">
        <v>3330</v>
      </c>
      <c r="H1144" t="s">
        <v>3332</v>
      </c>
      <c r="I1144" t="s">
        <v>3331</v>
      </c>
      <c r="J1144">
        <v>98</v>
      </c>
      <c r="K1144">
        <v>98.7</v>
      </c>
      <c r="L1144" t="s">
        <v>3321</v>
      </c>
      <c r="M1144" s="37">
        <v>0.01</v>
      </c>
      <c r="N1144" s="37">
        <v>0.35</v>
      </c>
      <c r="O1144">
        <v>1</v>
      </c>
      <c r="P1144" s="37">
        <v>0.107</v>
      </c>
      <c r="Q1144">
        <v>0.8</v>
      </c>
      <c r="R1144">
        <v>4000</v>
      </c>
      <c r="S1144">
        <v>4000</v>
      </c>
      <c r="T1144">
        <v>5000</v>
      </c>
      <c r="U1144" t="s">
        <v>3056</v>
      </c>
      <c r="V1144" t="s">
        <v>455</v>
      </c>
      <c r="X1144">
        <v>1</v>
      </c>
      <c r="Z1144" s="37">
        <v>0.01</v>
      </c>
      <c r="AA1144" s="37">
        <v>0.34</v>
      </c>
      <c r="AB1144">
        <v>0</v>
      </c>
    </row>
    <row r="1145">
      <c r="A1145" t="s">
        <v>3327</v>
      </c>
      <c r="B1145" t="s">
        <v>694</v>
      </c>
      <c r="C1145" t="s">
        <v>694</v>
      </c>
      <c r="D1145" t="s">
        <v>3328</v>
      </c>
      <c r="E1145" t="s">
        <v>3329</v>
      </c>
      <c r="F1145" t="s">
        <v>298</v>
      </c>
      <c r="G1145" t="s">
        <v>3330</v>
      </c>
      <c r="H1145" t="s">
        <v>3333</v>
      </c>
      <c r="I1145" t="s">
        <v>3331</v>
      </c>
      <c r="J1145">
        <v>99</v>
      </c>
      <c r="K1145">
        <v>99.4</v>
      </c>
      <c r="L1145" t="s">
        <v>3321</v>
      </c>
      <c r="M1145" s="37">
        <v>0.01</v>
      </c>
      <c r="N1145" s="37">
        <v>0.35</v>
      </c>
      <c r="O1145">
        <v>1</v>
      </c>
      <c r="P1145" s="37">
        <v>0.107</v>
      </c>
      <c r="Q1145">
        <v>0.8</v>
      </c>
      <c r="R1145">
        <v>4000</v>
      </c>
      <c r="S1145">
        <v>4000</v>
      </c>
      <c r="T1145">
        <v>5000</v>
      </c>
      <c r="U1145" t="s">
        <v>3056</v>
      </c>
      <c r="V1145" t="s">
        <v>455</v>
      </c>
      <c r="X1145">
        <v>1</v>
      </c>
      <c r="Z1145" s="37">
        <v>0.01</v>
      </c>
      <c r="AA1145" s="37">
        <v>0.34</v>
      </c>
      <c r="AB1145">
        <v>0</v>
      </c>
    </row>
    <row r="1146">
      <c r="A1146" t="s">
        <v>3327</v>
      </c>
      <c r="B1146" t="s">
        <v>694</v>
      </c>
      <c r="C1146" t="s">
        <v>694</v>
      </c>
      <c r="D1146" t="s">
        <v>3328</v>
      </c>
      <c r="E1146" t="s">
        <v>3329</v>
      </c>
      <c r="F1146" t="s">
        <v>298</v>
      </c>
      <c r="G1146" t="s">
        <v>3330</v>
      </c>
      <c r="H1146" t="s">
        <v>3334</v>
      </c>
      <c r="I1146" t="s">
        <v>3335</v>
      </c>
      <c r="J1146">
        <v>1</v>
      </c>
      <c r="K1146">
        <v>99.4</v>
      </c>
      <c r="L1146" t="s">
        <v>3321</v>
      </c>
      <c r="M1146" s="37">
        <v>1</v>
      </c>
      <c r="N1146" s="37">
        <v>0.1</v>
      </c>
      <c r="O1146">
        <v>1</v>
      </c>
      <c r="P1146" s="37">
        <v>0.107</v>
      </c>
      <c r="Q1146">
        <v>0.8</v>
      </c>
      <c r="R1146">
        <v>4000</v>
      </c>
      <c r="S1146">
        <v>4000</v>
      </c>
      <c r="T1146">
        <v>5000</v>
      </c>
      <c r="U1146" t="s">
        <v>3056</v>
      </c>
      <c r="V1146" t="s">
        <v>455</v>
      </c>
      <c r="X1146">
        <v>1</v>
      </c>
      <c r="Z1146" s="37">
        <v>0.01</v>
      </c>
      <c r="AA1146" s="37">
        <v>0.34</v>
      </c>
      <c r="AB1146">
        <v>0</v>
      </c>
    </row>
    <row r="1147">
      <c r="A1147" t="s">
        <v>3336</v>
      </c>
      <c r="B1147" t="s">
        <v>3337</v>
      </c>
      <c r="C1147" t="s">
        <v>3337</v>
      </c>
      <c r="D1147" t="s">
        <v>3338</v>
      </c>
      <c r="E1147" t="s">
        <v>3339</v>
      </c>
      <c r="F1147" t="s">
        <v>298</v>
      </c>
      <c r="G1147" t="s">
        <v>3340</v>
      </c>
      <c r="H1147" t="s">
        <v>3341</v>
      </c>
      <c r="I1147" t="s">
        <v>3342</v>
      </c>
      <c r="J1147">
        <v>1</v>
      </c>
      <c r="L1147" t="s">
        <v>3343</v>
      </c>
      <c r="M1147" s="37">
        <v>1</v>
      </c>
      <c r="N1147" s="37">
        <v>0.1</v>
      </c>
      <c r="O1147">
        <v>1</v>
      </c>
      <c r="P1147" s="37">
        <v>1.18696</v>
      </c>
      <c r="Q1147">
        <v>1.19</v>
      </c>
      <c r="R1147">
        <v>5200</v>
      </c>
      <c r="S1147">
        <v>5200</v>
      </c>
      <c r="T1147">
        <v>5000</v>
      </c>
      <c r="U1147" t="s">
        <v>3056</v>
      </c>
      <c r="V1147" t="s">
        <v>455</v>
      </c>
      <c r="X1147">
        <v>1</v>
      </c>
      <c r="Z1147" s="37">
        <v>0.01</v>
      </c>
      <c r="AA1147" s="37">
        <v>0.34</v>
      </c>
      <c r="AB1147">
        <v>0</v>
      </c>
    </row>
    <row r="1148">
      <c r="A1148" t="s">
        <v>3336</v>
      </c>
      <c r="B1148" t="s">
        <v>3337</v>
      </c>
      <c r="C1148" t="s">
        <v>3337</v>
      </c>
      <c r="D1148" t="s">
        <v>3338</v>
      </c>
      <c r="E1148" t="s">
        <v>3339</v>
      </c>
      <c r="F1148" t="s">
        <v>298</v>
      </c>
      <c r="G1148" t="s">
        <v>3340</v>
      </c>
      <c r="H1148" t="s">
        <v>3344</v>
      </c>
      <c r="I1148" t="s">
        <v>3345</v>
      </c>
      <c r="J1148" s="38">
        <v>1</v>
      </c>
      <c r="K1148" s="37">
        <v>0.8696</v>
      </c>
      <c r="L1148" t="s">
        <v>3346</v>
      </c>
      <c r="M1148" s="37">
        <v>0.8696</v>
      </c>
      <c r="N1148" s="37">
        <v>0.1</v>
      </c>
      <c r="O1148">
        <v>0.87</v>
      </c>
      <c r="P1148" s="37">
        <v>1.18696</v>
      </c>
      <c r="Q1148">
        <v>1.19</v>
      </c>
      <c r="R1148">
        <v>5200</v>
      </c>
      <c r="S1148">
        <v>5200</v>
      </c>
      <c r="T1148">
        <v>5000</v>
      </c>
      <c r="U1148" t="s">
        <v>3056</v>
      </c>
      <c r="V1148" t="s">
        <v>455</v>
      </c>
      <c r="X1148">
        <v>1</v>
      </c>
      <c r="Z1148" s="37">
        <v>0.01</v>
      </c>
      <c r="AA1148" s="37">
        <v>0.34</v>
      </c>
      <c r="AB1148">
        <v>0</v>
      </c>
    </row>
    <row r="1149">
      <c r="A1149" t="s">
        <v>3336</v>
      </c>
      <c r="B1149" t="s">
        <v>3337</v>
      </c>
      <c r="C1149" t="s">
        <v>3337</v>
      </c>
      <c r="D1149" t="s">
        <v>3338</v>
      </c>
      <c r="E1149" t="s">
        <v>3339</v>
      </c>
      <c r="F1149" t="s">
        <v>298</v>
      </c>
      <c r="G1149" t="s">
        <v>3340</v>
      </c>
      <c r="H1149" t="s">
        <v>3347</v>
      </c>
      <c r="I1149" t="s">
        <v>3345</v>
      </c>
      <c r="J1149" s="38">
        <v>1</v>
      </c>
      <c r="K1149" s="38">
        <v>1</v>
      </c>
      <c r="L1149" t="s">
        <v>3346</v>
      </c>
      <c r="M1149" s="37">
        <v>1</v>
      </c>
      <c r="N1149" s="37">
        <v>0</v>
      </c>
      <c r="O1149">
        <v>1</v>
      </c>
      <c r="P1149" s="37">
        <v>1.18696</v>
      </c>
      <c r="Q1149">
        <v>1.19</v>
      </c>
      <c r="R1149">
        <v>5200</v>
      </c>
      <c r="S1149">
        <v>5200</v>
      </c>
      <c r="T1149">
        <v>5000</v>
      </c>
      <c r="U1149" t="s">
        <v>3348</v>
      </c>
      <c r="Z1149" s="37">
        <v>0.01</v>
      </c>
      <c r="AA1149" s="37">
        <v>0.35</v>
      </c>
      <c r="AB1149">
        <v>0</v>
      </c>
    </row>
    <row r="1150">
      <c r="A1150" t="s">
        <v>3336</v>
      </c>
      <c r="B1150" t="s">
        <v>3337</v>
      </c>
      <c r="C1150" t="s">
        <v>3337</v>
      </c>
      <c r="D1150" t="s">
        <v>3338</v>
      </c>
      <c r="E1150" t="s">
        <v>3339</v>
      </c>
      <c r="F1150" t="s">
        <v>298</v>
      </c>
      <c r="G1150" t="s">
        <v>3340</v>
      </c>
      <c r="H1150" t="s">
        <v>3347</v>
      </c>
      <c r="I1150" t="s">
        <v>3345</v>
      </c>
      <c r="J1150" s="38">
        <v>1</v>
      </c>
      <c r="K1150" s="38">
        <v>1</v>
      </c>
      <c r="L1150" t="s">
        <v>3346</v>
      </c>
      <c r="M1150" s="37">
        <v>1</v>
      </c>
      <c r="N1150" s="37">
        <v>0</v>
      </c>
      <c r="O1150">
        <v>1</v>
      </c>
      <c r="P1150" s="37">
        <v>1.18696</v>
      </c>
      <c r="Q1150">
        <v>1.19</v>
      </c>
      <c r="R1150">
        <v>5200</v>
      </c>
      <c r="S1150">
        <v>5200</v>
      </c>
      <c r="T1150">
        <v>5000</v>
      </c>
      <c r="U1150" t="s">
        <v>3349</v>
      </c>
      <c r="Z1150" s="37">
        <v>0.01</v>
      </c>
      <c r="AA1150" s="37">
        <v>0.3</v>
      </c>
      <c r="AB1150">
        <v>0</v>
      </c>
    </row>
    <row r="1151">
      <c r="A1151" t="s">
        <v>3336</v>
      </c>
      <c r="B1151" t="s">
        <v>3337</v>
      </c>
      <c r="C1151" t="s">
        <v>3337</v>
      </c>
      <c r="D1151" t="s">
        <v>3338</v>
      </c>
      <c r="E1151" t="s">
        <v>3339</v>
      </c>
      <c r="F1151" t="s">
        <v>298</v>
      </c>
      <c r="G1151" t="s">
        <v>3340</v>
      </c>
      <c r="H1151" t="s">
        <v>3347</v>
      </c>
      <c r="I1151" t="s">
        <v>3345</v>
      </c>
      <c r="J1151" s="38">
        <v>1</v>
      </c>
      <c r="K1151" s="38">
        <v>1</v>
      </c>
      <c r="L1151" t="s">
        <v>3346</v>
      </c>
      <c r="M1151" s="37">
        <v>1</v>
      </c>
      <c r="N1151" s="37">
        <v>0</v>
      </c>
      <c r="O1151">
        <v>1</v>
      </c>
      <c r="P1151" s="37">
        <v>1.18696</v>
      </c>
      <c r="Q1151">
        <v>1.19</v>
      </c>
      <c r="R1151">
        <v>5200</v>
      </c>
      <c r="S1151">
        <v>5200</v>
      </c>
      <c r="T1151">
        <v>5000</v>
      </c>
      <c r="U1151" t="s">
        <v>3350</v>
      </c>
      <c r="Z1151" s="37">
        <v>0.01</v>
      </c>
      <c r="AA1151" s="37">
        <v>0.35</v>
      </c>
      <c r="AB1151">
        <v>0</v>
      </c>
    </row>
    <row r="1152">
      <c r="A1152" t="s">
        <v>3336</v>
      </c>
      <c r="B1152" t="s">
        <v>3337</v>
      </c>
      <c r="C1152" t="s">
        <v>3337</v>
      </c>
      <c r="D1152" t="s">
        <v>3338</v>
      </c>
      <c r="E1152" t="s">
        <v>3339</v>
      </c>
      <c r="F1152" t="s">
        <v>298</v>
      </c>
      <c r="G1152" t="s">
        <v>3340</v>
      </c>
      <c r="H1152" t="s">
        <v>3351</v>
      </c>
      <c r="I1152" t="s">
        <v>3352</v>
      </c>
      <c r="J1152" t="s">
        <v>3353</v>
      </c>
      <c r="K1152" t="s">
        <v>3354</v>
      </c>
      <c r="L1152" t="s">
        <v>3346</v>
      </c>
      <c r="M1152" s="37">
        <v>1.5</v>
      </c>
      <c r="N1152" s="37">
        <v>0.4</v>
      </c>
      <c r="O1152">
        <v>1.5</v>
      </c>
      <c r="P1152" s="37">
        <v>1.18696</v>
      </c>
      <c r="Q1152">
        <v>1.19</v>
      </c>
      <c r="R1152">
        <v>5200</v>
      </c>
      <c r="S1152">
        <v>5200</v>
      </c>
      <c r="T1152">
        <v>5000</v>
      </c>
      <c r="U1152" t="s">
        <v>3350</v>
      </c>
      <c r="Z1152" s="37">
        <v>0.01</v>
      </c>
      <c r="AA1152" s="37">
        <v>0.35</v>
      </c>
      <c r="AB1152">
        <v>0</v>
      </c>
    </row>
    <row r="1153">
      <c r="A1153" t="s">
        <v>3336</v>
      </c>
      <c r="B1153" t="s">
        <v>3337</v>
      </c>
      <c r="C1153" t="s">
        <v>3337</v>
      </c>
      <c r="D1153" t="s">
        <v>3338</v>
      </c>
      <c r="E1153" t="s">
        <v>3339</v>
      </c>
      <c r="F1153" t="s">
        <v>298</v>
      </c>
      <c r="G1153" t="s">
        <v>3340</v>
      </c>
      <c r="H1153" t="s">
        <v>3355</v>
      </c>
      <c r="I1153" t="s">
        <v>3356</v>
      </c>
      <c r="J1153" t="s">
        <v>3357</v>
      </c>
      <c r="K1153" t="s">
        <v>3354</v>
      </c>
      <c r="L1153" t="s">
        <v>3346</v>
      </c>
      <c r="M1153" s="37">
        <v>1</v>
      </c>
      <c r="N1153" s="37">
        <v>0.4</v>
      </c>
      <c r="O1153">
        <v>1</v>
      </c>
      <c r="P1153" s="37">
        <v>1.18696</v>
      </c>
      <c r="Q1153">
        <v>1.19</v>
      </c>
      <c r="R1153">
        <v>5200</v>
      </c>
      <c r="S1153">
        <v>5200</v>
      </c>
      <c r="T1153">
        <v>5000</v>
      </c>
      <c r="U1153" t="s">
        <v>3350</v>
      </c>
      <c r="Z1153" s="37">
        <v>0.01</v>
      </c>
      <c r="AA1153" s="37">
        <v>0.35</v>
      </c>
      <c r="AB1153">
        <v>0</v>
      </c>
    </row>
    <row r="1154">
      <c r="A1154" t="s">
        <v>3358</v>
      </c>
      <c r="B1154" t="s">
        <v>3359</v>
      </c>
      <c r="C1154" t="s">
        <v>3359</v>
      </c>
      <c r="D1154" t="s">
        <v>1013</v>
      </c>
      <c r="E1154" t="s">
        <v>3360</v>
      </c>
      <c r="F1154" t="s">
        <v>298</v>
      </c>
      <c r="G1154" t="s">
        <v>3361</v>
      </c>
      <c r="H1154" t="s">
        <v>3362</v>
      </c>
      <c r="I1154" t="s">
        <v>3363</v>
      </c>
      <c r="J1154" t="s">
        <v>2564</v>
      </c>
      <c r="K1154" t="s">
        <v>3364</v>
      </c>
      <c r="L1154" t="s">
        <v>3346</v>
      </c>
      <c r="M1154" s="37">
        <v>1.32</v>
      </c>
      <c r="N1154" s="37">
        <v>0.18</v>
      </c>
      <c r="O1154">
        <v>1.2</v>
      </c>
      <c r="P1154" s="37">
        <v>1.2776</v>
      </c>
      <c r="Q1154">
        <v>1.26</v>
      </c>
      <c r="R1154">
        <v>5386.5</v>
      </c>
      <c r="S1154">
        <v>5386.5</v>
      </c>
      <c r="T1154">
        <v>1500</v>
      </c>
      <c r="U1154" t="s">
        <v>3350</v>
      </c>
      <c r="Z1154" s="37">
        <v>0.01</v>
      </c>
      <c r="AA1154" s="37">
        <v>0.35</v>
      </c>
      <c r="AB1154">
        <v>0</v>
      </c>
    </row>
    <row r="1155">
      <c r="A1155" t="s">
        <v>3358</v>
      </c>
      <c r="B1155" t="s">
        <v>3359</v>
      </c>
      <c r="C1155" t="s">
        <v>3359</v>
      </c>
      <c r="D1155" t="s">
        <v>1013</v>
      </c>
      <c r="E1155" t="s">
        <v>3360</v>
      </c>
      <c r="F1155" t="s">
        <v>298</v>
      </c>
      <c r="G1155" t="s">
        <v>3361</v>
      </c>
      <c r="H1155" t="s">
        <v>3365</v>
      </c>
      <c r="I1155" t="s">
        <v>3366</v>
      </c>
      <c r="J1155" t="s">
        <v>2564</v>
      </c>
      <c r="K1155" t="s">
        <v>3367</v>
      </c>
      <c r="L1155" t="s">
        <v>3346</v>
      </c>
      <c r="M1155" s="37">
        <v>1.5</v>
      </c>
      <c r="N1155" s="37">
        <v>0.45</v>
      </c>
      <c r="O1155">
        <v>1.5</v>
      </c>
      <c r="P1155" s="37">
        <v>1.2776</v>
      </c>
      <c r="Q1155">
        <v>1.26</v>
      </c>
      <c r="R1155">
        <v>5386.5</v>
      </c>
      <c r="S1155">
        <v>5386.5</v>
      </c>
      <c r="T1155">
        <v>1500</v>
      </c>
      <c r="U1155" t="s">
        <v>3350</v>
      </c>
      <c r="Z1155" s="37">
        <v>0.01</v>
      </c>
      <c r="AA1155" s="37">
        <v>0.35</v>
      </c>
      <c r="AB1155">
        <v>0</v>
      </c>
    </row>
    <row r="1156">
      <c r="A1156" t="s">
        <v>3358</v>
      </c>
      <c r="B1156" t="s">
        <v>3359</v>
      </c>
      <c r="C1156" t="s">
        <v>3359</v>
      </c>
      <c r="D1156" t="s">
        <v>1013</v>
      </c>
      <c r="E1156" t="s">
        <v>3360</v>
      </c>
      <c r="F1156" t="s">
        <v>298</v>
      </c>
      <c r="G1156" t="s">
        <v>3361</v>
      </c>
      <c r="H1156" t="s">
        <v>3365</v>
      </c>
      <c r="I1156" t="s">
        <v>3368</v>
      </c>
      <c r="J1156" t="s">
        <v>342</v>
      </c>
      <c r="K1156" t="s">
        <v>342</v>
      </c>
      <c r="L1156" t="s">
        <v>3346</v>
      </c>
      <c r="M1156" s="37">
        <v>1</v>
      </c>
      <c r="N1156" s="37">
        <v>0.27</v>
      </c>
      <c r="O1156">
        <v>1</v>
      </c>
      <c r="P1156" s="37">
        <v>1.2776</v>
      </c>
      <c r="Q1156">
        <v>1.26</v>
      </c>
      <c r="R1156">
        <v>5386.5</v>
      </c>
      <c r="S1156">
        <v>5386.5</v>
      </c>
      <c r="T1156">
        <v>1500</v>
      </c>
      <c r="U1156" t="s">
        <v>3350</v>
      </c>
      <c r="Z1156" s="37">
        <v>0.01</v>
      </c>
      <c r="AA1156" s="37">
        <v>0.35</v>
      </c>
      <c r="AB1156">
        <v>0</v>
      </c>
    </row>
    <row r="1157">
      <c r="A1157" t="s">
        <v>3358</v>
      </c>
      <c r="B1157" t="s">
        <v>3359</v>
      </c>
      <c r="C1157" t="s">
        <v>3359</v>
      </c>
      <c r="D1157" t="s">
        <v>1013</v>
      </c>
      <c r="E1157" t="s">
        <v>3360</v>
      </c>
      <c r="F1157" t="s">
        <v>298</v>
      </c>
      <c r="G1157" t="s">
        <v>3361</v>
      </c>
      <c r="H1157" t="s">
        <v>3369</v>
      </c>
      <c r="I1157" t="s">
        <v>3370</v>
      </c>
      <c r="J1157">
        <v>1</v>
      </c>
      <c r="L1157" t="s">
        <v>3346</v>
      </c>
      <c r="M1157" s="37">
        <v>0.95</v>
      </c>
      <c r="N1157" s="37">
        <v>0.1</v>
      </c>
      <c r="O1157">
        <v>0.95</v>
      </c>
      <c r="P1157" s="37">
        <v>1.2776</v>
      </c>
      <c r="Q1157">
        <v>1.26</v>
      </c>
      <c r="R1157">
        <v>5386.5</v>
      </c>
      <c r="S1157">
        <v>5386.5</v>
      </c>
      <c r="T1157">
        <v>1500</v>
      </c>
      <c r="U1157" t="s">
        <v>3350</v>
      </c>
      <c r="Z1157" s="37">
        <v>0.01</v>
      </c>
      <c r="AA1157" s="37">
        <v>0.35</v>
      </c>
      <c r="AB1157">
        <v>0</v>
      </c>
    </row>
    <row r="1158">
      <c r="A1158" t="s">
        <v>3371</v>
      </c>
      <c r="B1158" t="s">
        <v>3359</v>
      </c>
      <c r="C1158" t="s">
        <v>3359</v>
      </c>
      <c r="D1158" t="s">
        <v>1013</v>
      </c>
      <c r="E1158" t="s">
        <v>3372</v>
      </c>
      <c r="F1158" t="s">
        <v>298</v>
      </c>
      <c r="G1158" t="s">
        <v>3361</v>
      </c>
      <c r="H1158" t="s">
        <v>3362</v>
      </c>
      <c r="I1158" t="s">
        <v>3363</v>
      </c>
      <c r="J1158" t="s">
        <v>2564</v>
      </c>
      <c r="K1158" t="s">
        <v>3373</v>
      </c>
      <c r="L1158" t="s">
        <v>3346</v>
      </c>
      <c r="M1158" s="37">
        <v>0.7026</v>
      </c>
      <c r="N1158" s="37">
        <v>0.18</v>
      </c>
      <c r="O1158">
        <v>0.5621</v>
      </c>
      <c r="P1158" s="37">
        <v>0.889468</v>
      </c>
      <c r="Q1158">
        <v>0.86</v>
      </c>
      <c r="R1158">
        <v>2902.5</v>
      </c>
      <c r="S1158">
        <v>2902.5</v>
      </c>
      <c r="T1158">
        <v>1500</v>
      </c>
      <c r="U1158" t="s">
        <v>3350</v>
      </c>
      <c r="Z1158" s="37">
        <v>0.01</v>
      </c>
      <c r="AA1158" s="37">
        <v>0.35</v>
      </c>
      <c r="AB1158">
        <v>0</v>
      </c>
    </row>
    <row r="1159">
      <c r="A1159" t="s">
        <v>3371</v>
      </c>
      <c r="B1159" t="s">
        <v>3359</v>
      </c>
      <c r="C1159" t="s">
        <v>3359</v>
      </c>
      <c r="D1159" t="s">
        <v>1013</v>
      </c>
      <c r="E1159" t="s">
        <v>3372</v>
      </c>
      <c r="F1159" t="s">
        <v>298</v>
      </c>
      <c r="G1159" t="s">
        <v>3361</v>
      </c>
      <c r="H1159" t="s">
        <v>3365</v>
      </c>
      <c r="I1159" t="s">
        <v>3374</v>
      </c>
      <c r="J1159" t="s">
        <v>2564</v>
      </c>
      <c r="K1159" t="s">
        <v>3375</v>
      </c>
      <c r="L1159" t="s">
        <v>3346</v>
      </c>
      <c r="M1159" s="37">
        <v>1.5</v>
      </c>
      <c r="N1159" s="37">
        <v>0.45</v>
      </c>
      <c r="O1159">
        <v>1.5</v>
      </c>
      <c r="P1159" s="37">
        <v>0.889468</v>
      </c>
      <c r="Q1159">
        <v>0.86</v>
      </c>
      <c r="R1159">
        <v>2902.5</v>
      </c>
      <c r="S1159">
        <v>2902.5</v>
      </c>
      <c r="T1159">
        <v>1500</v>
      </c>
      <c r="U1159" t="s">
        <v>3350</v>
      </c>
      <c r="Z1159" s="37">
        <v>0.01</v>
      </c>
      <c r="AA1159" s="37">
        <v>0.35</v>
      </c>
      <c r="AB1159">
        <v>0</v>
      </c>
    </row>
    <row r="1160">
      <c r="A1160" t="s">
        <v>3371</v>
      </c>
      <c r="B1160" t="s">
        <v>3359</v>
      </c>
      <c r="C1160" t="s">
        <v>3359</v>
      </c>
      <c r="D1160" t="s">
        <v>1013</v>
      </c>
      <c r="E1160" t="s">
        <v>3372</v>
      </c>
      <c r="F1160" t="s">
        <v>298</v>
      </c>
      <c r="G1160" t="s">
        <v>3361</v>
      </c>
      <c r="H1160" t="s">
        <v>3376</v>
      </c>
      <c r="I1160" t="s">
        <v>3368</v>
      </c>
      <c r="J1160" t="s">
        <v>342</v>
      </c>
      <c r="K1160" t="s">
        <v>1041</v>
      </c>
      <c r="L1160" t="s">
        <v>3346</v>
      </c>
      <c r="M1160" s="37">
        <v>0</v>
      </c>
      <c r="N1160" s="37">
        <v>0.27</v>
      </c>
      <c r="O1160">
        <v>0</v>
      </c>
      <c r="P1160" s="37">
        <v>0.889468</v>
      </c>
      <c r="Q1160">
        <v>0.86</v>
      </c>
      <c r="R1160">
        <v>2902.5</v>
      </c>
      <c r="S1160">
        <v>2902.5</v>
      </c>
      <c r="T1160">
        <v>1500</v>
      </c>
      <c r="U1160" t="s">
        <v>3350</v>
      </c>
      <c r="Z1160" s="37">
        <v>0.01</v>
      </c>
      <c r="AA1160" s="37">
        <v>0.35</v>
      </c>
      <c r="AB1160">
        <v>0</v>
      </c>
    </row>
    <row r="1161">
      <c r="A1161" t="s">
        <v>3371</v>
      </c>
      <c r="B1161" t="s">
        <v>3359</v>
      </c>
      <c r="C1161" t="s">
        <v>3359</v>
      </c>
      <c r="D1161" t="s">
        <v>1013</v>
      </c>
      <c r="E1161" t="s">
        <v>3372</v>
      </c>
      <c r="F1161" t="s">
        <v>298</v>
      </c>
      <c r="G1161" t="s">
        <v>3361</v>
      </c>
      <c r="H1161" t="s">
        <v>3369</v>
      </c>
      <c r="I1161" t="s">
        <v>3370</v>
      </c>
      <c r="J1161" s="38">
        <v>1</v>
      </c>
      <c r="L1161" t="s">
        <v>3346</v>
      </c>
      <c r="M1161" s="37">
        <v>0.88</v>
      </c>
      <c r="N1161" s="37">
        <v>0.1</v>
      </c>
      <c r="O1161">
        <v>0.88</v>
      </c>
      <c r="P1161" s="37">
        <v>0.889468</v>
      </c>
      <c r="Q1161">
        <v>0.86</v>
      </c>
      <c r="R1161">
        <v>2902.5</v>
      </c>
      <c r="S1161">
        <v>2902.5</v>
      </c>
      <c r="T1161">
        <v>1500</v>
      </c>
      <c r="U1161" t="s">
        <v>3350</v>
      </c>
      <c r="Z1161" s="37">
        <v>0.01</v>
      </c>
      <c r="AA1161" s="37">
        <v>0.35</v>
      </c>
      <c r="AB1161">
        <v>0</v>
      </c>
    </row>
    <row r="1162">
      <c r="A1162" t="s">
        <v>3377</v>
      </c>
      <c r="B1162" t="s">
        <v>3359</v>
      </c>
      <c r="C1162" t="s">
        <v>3359</v>
      </c>
      <c r="D1162" t="s">
        <v>1013</v>
      </c>
      <c r="E1162" t="s">
        <v>3378</v>
      </c>
      <c r="F1162" t="s">
        <v>298</v>
      </c>
      <c r="G1162" t="s">
        <v>3361</v>
      </c>
      <c r="H1162" t="s">
        <v>3362</v>
      </c>
      <c r="I1162" t="s">
        <v>3363</v>
      </c>
      <c r="J1162" t="s">
        <v>2564</v>
      </c>
      <c r="K1162" t="s">
        <v>3379</v>
      </c>
      <c r="L1162" t="s">
        <v>3346</v>
      </c>
      <c r="M1162" s="37">
        <v>0.4217</v>
      </c>
      <c r="N1162" s="37">
        <v>0.18</v>
      </c>
      <c r="O1162">
        <v>0.3374</v>
      </c>
      <c r="P1162" s="37">
        <v>0.569826</v>
      </c>
      <c r="Q1162">
        <v>0.55</v>
      </c>
      <c r="R1162">
        <v>1627</v>
      </c>
      <c r="S1162">
        <v>1627</v>
      </c>
      <c r="T1162">
        <v>1500</v>
      </c>
      <c r="U1162" t="s">
        <v>3350</v>
      </c>
      <c r="Z1162" s="37">
        <v>0.01</v>
      </c>
      <c r="AA1162" s="37">
        <v>0.35</v>
      </c>
      <c r="AB1162">
        <v>0</v>
      </c>
    </row>
    <row r="1163">
      <c r="A1163" t="s">
        <v>3377</v>
      </c>
      <c r="B1163" t="s">
        <v>3359</v>
      </c>
      <c r="C1163" t="s">
        <v>3359</v>
      </c>
      <c r="D1163" t="s">
        <v>1013</v>
      </c>
      <c r="E1163" t="s">
        <v>3378</v>
      </c>
      <c r="F1163" t="s">
        <v>298</v>
      </c>
      <c r="G1163" t="s">
        <v>3361</v>
      </c>
      <c r="H1163" t="s">
        <v>3362</v>
      </c>
      <c r="I1163" t="s">
        <v>3374</v>
      </c>
      <c r="J1163" t="s">
        <v>2564</v>
      </c>
      <c r="K1163" t="s">
        <v>3380</v>
      </c>
      <c r="L1163" t="s">
        <v>3346</v>
      </c>
      <c r="M1163" s="37">
        <v>0.8976</v>
      </c>
      <c r="N1163" s="37">
        <v>0.45</v>
      </c>
      <c r="O1163">
        <v>0.8976</v>
      </c>
      <c r="P1163" s="37">
        <v>0.569826</v>
      </c>
      <c r="Q1163">
        <v>0.55</v>
      </c>
      <c r="R1163">
        <v>1627</v>
      </c>
      <c r="S1163">
        <v>1627</v>
      </c>
      <c r="T1163">
        <v>1500</v>
      </c>
      <c r="U1163" t="s">
        <v>3350</v>
      </c>
      <c r="Z1163" s="37">
        <v>0.01</v>
      </c>
      <c r="AA1163" s="37">
        <v>0.35</v>
      </c>
      <c r="AB1163">
        <v>0</v>
      </c>
    </row>
    <row r="1164">
      <c r="A1164" t="s">
        <v>3377</v>
      </c>
      <c r="B1164" t="s">
        <v>3359</v>
      </c>
      <c r="C1164" t="s">
        <v>3359</v>
      </c>
      <c r="D1164" t="s">
        <v>1013</v>
      </c>
      <c r="E1164" t="s">
        <v>3378</v>
      </c>
      <c r="F1164" t="s">
        <v>298</v>
      </c>
      <c r="G1164" t="s">
        <v>3361</v>
      </c>
      <c r="H1164" t="s">
        <v>3365</v>
      </c>
      <c r="I1164" t="s">
        <v>3368</v>
      </c>
      <c r="J1164" t="s">
        <v>342</v>
      </c>
      <c r="K1164" t="s">
        <v>1041</v>
      </c>
      <c r="L1164" t="s">
        <v>3346</v>
      </c>
      <c r="M1164" s="37">
        <v>0</v>
      </c>
      <c r="N1164" s="37">
        <v>0.27</v>
      </c>
      <c r="O1164">
        <v>0</v>
      </c>
      <c r="P1164" s="37">
        <v>0.569826</v>
      </c>
      <c r="Q1164">
        <v>0.55</v>
      </c>
      <c r="R1164">
        <v>1627</v>
      </c>
      <c r="S1164">
        <v>1627</v>
      </c>
      <c r="T1164">
        <v>1500</v>
      </c>
      <c r="U1164" t="s">
        <v>3350</v>
      </c>
      <c r="Z1164" s="37">
        <v>0.01</v>
      </c>
      <c r="AA1164" s="37">
        <v>0.35</v>
      </c>
      <c r="AB1164">
        <v>0</v>
      </c>
    </row>
    <row r="1165">
      <c r="A1165" t="s">
        <v>3377</v>
      </c>
      <c r="B1165" t="s">
        <v>3359</v>
      </c>
      <c r="C1165" t="s">
        <v>3359</v>
      </c>
      <c r="D1165" t="s">
        <v>1013</v>
      </c>
      <c r="E1165" t="s">
        <v>3378</v>
      </c>
      <c r="F1165" t="s">
        <v>298</v>
      </c>
      <c r="G1165" t="s">
        <v>3361</v>
      </c>
      <c r="H1165" t="s">
        <v>3369</v>
      </c>
      <c r="I1165" t="s">
        <v>3370</v>
      </c>
      <c r="J1165" s="38">
        <v>1</v>
      </c>
      <c r="L1165" t="s">
        <v>3346</v>
      </c>
      <c r="M1165" s="37">
        <v>0.9</v>
      </c>
      <c r="N1165" s="37">
        <v>0.1</v>
      </c>
      <c r="O1165">
        <v>0.9</v>
      </c>
      <c r="P1165" s="37">
        <v>0.569826</v>
      </c>
      <c r="Q1165">
        <v>0.55</v>
      </c>
      <c r="R1165">
        <v>1627</v>
      </c>
      <c r="S1165">
        <v>1627</v>
      </c>
      <c r="T1165">
        <v>1500</v>
      </c>
      <c r="U1165" t="s">
        <v>3350</v>
      </c>
      <c r="Z1165" s="37">
        <v>0.01</v>
      </c>
      <c r="AA1165" s="37">
        <v>0.35</v>
      </c>
      <c r="AB1165">
        <v>0</v>
      </c>
    </row>
    <row r="1166">
      <c r="A1166" t="s">
        <v>3381</v>
      </c>
      <c r="B1166" t="s">
        <v>3359</v>
      </c>
      <c r="C1166" t="s">
        <v>3359</v>
      </c>
      <c r="D1166" t="s">
        <v>3382</v>
      </c>
      <c r="E1166" t="s">
        <v>3383</v>
      </c>
      <c r="F1166" t="s">
        <v>298</v>
      </c>
      <c r="G1166" t="s">
        <v>3361</v>
      </c>
      <c r="H1166" t="s">
        <v>3362</v>
      </c>
      <c r="I1166" t="s">
        <v>3363</v>
      </c>
      <c r="J1166" t="s">
        <v>2564</v>
      </c>
      <c r="K1166" t="s">
        <v>3384</v>
      </c>
      <c r="L1166" t="s">
        <v>3346</v>
      </c>
      <c r="M1166" s="37">
        <v>0.6194</v>
      </c>
      <c r="N1166" s="37">
        <v>0.18</v>
      </c>
      <c r="O1166">
        <v>0.4955</v>
      </c>
      <c r="P1166" s="37">
        <v>1.286492</v>
      </c>
      <c r="Q1166">
        <v>1.26</v>
      </c>
      <c r="R1166">
        <v>0</v>
      </c>
      <c r="S1166">
        <v>0</v>
      </c>
      <c r="T1166">
        <v>0</v>
      </c>
      <c r="U1166" t="s">
        <v>3350</v>
      </c>
      <c r="Z1166" s="37">
        <v>0.01</v>
      </c>
      <c r="AA1166" s="37">
        <v>0.35</v>
      </c>
      <c r="AB1166">
        <v>0</v>
      </c>
    </row>
    <row r="1167">
      <c r="A1167" t="s">
        <v>3381</v>
      </c>
      <c r="B1167" t="s">
        <v>3359</v>
      </c>
      <c r="C1167" t="s">
        <v>3359</v>
      </c>
      <c r="D1167" t="s">
        <v>3382</v>
      </c>
      <c r="E1167" t="s">
        <v>3383</v>
      </c>
      <c r="F1167" t="s">
        <v>298</v>
      </c>
      <c r="G1167" t="s">
        <v>3361</v>
      </c>
      <c r="H1167" t="s">
        <v>3365</v>
      </c>
      <c r="I1167" t="s">
        <v>3385</v>
      </c>
      <c r="J1167" t="s">
        <v>984</v>
      </c>
      <c r="K1167" t="s">
        <v>3386</v>
      </c>
      <c r="L1167" t="s">
        <v>3346</v>
      </c>
      <c r="M1167" s="37">
        <v>1.5</v>
      </c>
      <c r="N1167" s="37">
        <v>0.45</v>
      </c>
      <c r="O1167">
        <v>1.5</v>
      </c>
      <c r="P1167" s="37">
        <v>1.286492</v>
      </c>
      <c r="Q1167">
        <v>1.26</v>
      </c>
      <c r="R1167">
        <v>0</v>
      </c>
      <c r="S1167">
        <v>0</v>
      </c>
      <c r="T1167">
        <v>0</v>
      </c>
      <c r="U1167" t="s">
        <v>3350</v>
      </c>
      <c r="Z1167" s="37">
        <v>0.01</v>
      </c>
      <c r="AA1167" s="37">
        <v>0.35</v>
      </c>
      <c r="AB1167">
        <v>0</v>
      </c>
    </row>
    <row r="1168">
      <c r="A1168" t="s">
        <v>3381</v>
      </c>
      <c r="B1168" t="s">
        <v>3359</v>
      </c>
      <c r="C1168" t="s">
        <v>3359</v>
      </c>
      <c r="D1168" t="s">
        <v>3382</v>
      </c>
      <c r="E1168" t="s">
        <v>3383</v>
      </c>
      <c r="F1168" t="s">
        <v>298</v>
      </c>
      <c r="G1168" t="s">
        <v>3361</v>
      </c>
      <c r="H1168" t="s">
        <v>3376</v>
      </c>
      <c r="I1168" t="s">
        <v>3387</v>
      </c>
      <c r="J1168" t="s">
        <v>3236</v>
      </c>
      <c r="K1168" t="s">
        <v>342</v>
      </c>
      <c r="L1168" t="s">
        <v>3346</v>
      </c>
      <c r="M1168" s="37">
        <v>1.5</v>
      </c>
      <c r="N1168" s="37">
        <v>0.27</v>
      </c>
      <c r="O1168">
        <v>1.5</v>
      </c>
      <c r="P1168" s="37">
        <v>1.286492</v>
      </c>
      <c r="Q1168">
        <v>1.26</v>
      </c>
      <c r="R1168">
        <v>0</v>
      </c>
      <c r="S1168">
        <v>0</v>
      </c>
      <c r="T1168">
        <v>0</v>
      </c>
      <c r="U1168" t="s">
        <v>3350</v>
      </c>
      <c r="Z1168" s="37">
        <v>0.01</v>
      </c>
      <c r="AA1168" s="37">
        <v>0.35</v>
      </c>
      <c r="AB1168">
        <v>0</v>
      </c>
    </row>
    <row r="1169">
      <c r="A1169" t="s">
        <v>3381</v>
      </c>
      <c r="B1169" t="s">
        <v>3359</v>
      </c>
      <c r="C1169" t="s">
        <v>3359</v>
      </c>
      <c r="D1169" t="s">
        <v>3382</v>
      </c>
      <c r="E1169" t="s">
        <v>3383</v>
      </c>
      <c r="F1169" t="s">
        <v>298</v>
      </c>
      <c r="G1169" t="s">
        <v>3361</v>
      </c>
      <c r="H1169" t="s">
        <v>3369</v>
      </c>
      <c r="I1169" t="s">
        <v>3370</v>
      </c>
      <c r="J1169">
        <v>100</v>
      </c>
      <c r="L1169" t="s">
        <v>3346</v>
      </c>
      <c r="M1169" s="37">
        <v>0.95</v>
      </c>
      <c r="N1169" s="37">
        <v>0.1</v>
      </c>
      <c r="O1169">
        <v>0.95</v>
      </c>
      <c r="P1169" s="37">
        <v>1.286492</v>
      </c>
      <c r="Q1169">
        <v>1.26</v>
      </c>
      <c r="R1169">
        <v>0</v>
      </c>
      <c r="S1169">
        <v>0</v>
      </c>
      <c r="T1169">
        <v>0</v>
      </c>
      <c r="U1169" t="s">
        <v>3350</v>
      </c>
      <c r="Z1169" s="37">
        <v>0.01</v>
      </c>
      <c r="AA1169" s="37">
        <v>0.35</v>
      </c>
      <c r="AB1169">
        <v>0</v>
      </c>
    </row>
    <row r="1170">
      <c r="A1170" t="s">
        <v>3388</v>
      </c>
      <c r="B1170" t="s">
        <v>3359</v>
      </c>
      <c r="C1170" t="s">
        <v>3359</v>
      </c>
      <c r="D1170" t="s">
        <v>1013</v>
      </c>
      <c r="E1170" t="s">
        <v>3389</v>
      </c>
      <c r="F1170" t="s">
        <v>298</v>
      </c>
      <c r="G1170" t="s">
        <v>3361</v>
      </c>
      <c r="H1170" t="s">
        <v>3376</v>
      </c>
      <c r="I1170" t="s">
        <v>3363</v>
      </c>
      <c r="J1170" s="38">
        <v>1</v>
      </c>
      <c r="K1170" s="37">
        <v>0.7026</v>
      </c>
      <c r="L1170" t="s">
        <v>3346</v>
      </c>
      <c r="M1170" s="37">
        <v>0.7026</v>
      </c>
      <c r="N1170" s="37">
        <v>0.18</v>
      </c>
      <c r="O1170">
        <v>0.5621</v>
      </c>
      <c r="P1170" s="37">
        <v>1.298468</v>
      </c>
      <c r="Q1170">
        <v>1.14</v>
      </c>
      <c r="R1170">
        <v>1400.5</v>
      </c>
      <c r="S1170">
        <v>1400.5</v>
      </c>
      <c r="T1170">
        <v>1500</v>
      </c>
      <c r="U1170" t="s">
        <v>3350</v>
      </c>
      <c r="Z1170" s="37">
        <v>0.01</v>
      </c>
      <c r="AA1170" s="37">
        <v>0.35</v>
      </c>
      <c r="AB1170">
        <v>0</v>
      </c>
    </row>
    <row r="1171">
      <c r="A1171" t="s">
        <v>3388</v>
      </c>
      <c r="B1171" t="s">
        <v>3359</v>
      </c>
      <c r="C1171" t="s">
        <v>3359</v>
      </c>
      <c r="D1171" t="s">
        <v>1013</v>
      </c>
      <c r="E1171" t="s">
        <v>3389</v>
      </c>
      <c r="F1171" t="s">
        <v>298</v>
      </c>
      <c r="G1171" t="s">
        <v>3361</v>
      </c>
      <c r="H1171" t="s">
        <v>3365</v>
      </c>
      <c r="I1171" t="s">
        <v>3390</v>
      </c>
      <c r="J1171" t="s">
        <v>3391</v>
      </c>
      <c r="K1171" t="s">
        <v>3392</v>
      </c>
      <c r="L1171" t="s">
        <v>3346</v>
      </c>
      <c r="M1171" s="37">
        <v>1.5</v>
      </c>
      <c r="N1171" s="37">
        <v>0.45</v>
      </c>
      <c r="O1171">
        <v>1.5</v>
      </c>
      <c r="P1171" s="37">
        <v>1.298468</v>
      </c>
      <c r="Q1171">
        <v>1.14</v>
      </c>
      <c r="R1171">
        <v>1400.5</v>
      </c>
      <c r="S1171">
        <v>1400.5</v>
      </c>
      <c r="T1171">
        <v>1500</v>
      </c>
      <c r="U1171" t="s">
        <v>3350</v>
      </c>
      <c r="Z1171" s="37">
        <v>0.01</v>
      </c>
      <c r="AA1171" s="37">
        <v>0.35</v>
      </c>
      <c r="AB1171">
        <v>0</v>
      </c>
    </row>
    <row r="1172">
      <c r="A1172" t="s">
        <v>3388</v>
      </c>
      <c r="B1172" t="s">
        <v>3359</v>
      </c>
      <c r="C1172" t="s">
        <v>3359</v>
      </c>
      <c r="D1172" t="s">
        <v>1013</v>
      </c>
      <c r="E1172" t="s">
        <v>3389</v>
      </c>
      <c r="F1172" t="s">
        <v>298</v>
      </c>
      <c r="G1172" t="s">
        <v>3361</v>
      </c>
      <c r="H1172" t="s">
        <v>3365</v>
      </c>
      <c r="I1172" t="s">
        <v>3387</v>
      </c>
      <c r="J1172" t="s">
        <v>3236</v>
      </c>
      <c r="K1172" t="s">
        <v>3236</v>
      </c>
      <c r="L1172" t="s">
        <v>3346</v>
      </c>
      <c r="M1172" s="37">
        <v>1.5</v>
      </c>
      <c r="N1172" s="37">
        <v>0.27</v>
      </c>
      <c r="O1172">
        <v>1</v>
      </c>
      <c r="P1172" s="37">
        <v>1.298468</v>
      </c>
      <c r="Q1172">
        <v>1.14</v>
      </c>
      <c r="R1172">
        <v>1400.5</v>
      </c>
      <c r="S1172">
        <v>1400.5</v>
      </c>
      <c r="T1172">
        <v>1500</v>
      </c>
      <c r="U1172" t="s">
        <v>3350</v>
      </c>
      <c r="Z1172" s="37">
        <v>0.01</v>
      </c>
      <c r="AA1172" s="37">
        <v>0.35</v>
      </c>
      <c r="AB1172">
        <v>0</v>
      </c>
    </row>
    <row r="1173">
      <c r="A1173" t="s">
        <v>3388</v>
      </c>
      <c r="B1173" t="s">
        <v>3359</v>
      </c>
      <c r="C1173" t="s">
        <v>3359</v>
      </c>
      <c r="D1173" t="s">
        <v>1013</v>
      </c>
      <c r="E1173" t="s">
        <v>3389</v>
      </c>
      <c r="F1173" t="s">
        <v>298</v>
      </c>
      <c r="G1173" t="s">
        <v>3361</v>
      </c>
      <c r="H1173" t="s">
        <v>3369</v>
      </c>
      <c r="I1173" t="s">
        <v>3370</v>
      </c>
      <c r="J1173" s="38">
        <v>1</v>
      </c>
      <c r="L1173" t="s">
        <v>3346</v>
      </c>
      <c r="M1173" s="37">
        <v>0.92</v>
      </c>
      <c r="N1173" s="37">
        <v>0.1</v>
      </c>
      <c r="O1173">
        <v>92</v>
      </c>
      <c r="P1173" s="37">
        <v>1.298468</v>
      </c>
      <c r="Q1173">
        <v>1.14</v>
      </c>
      <c r="R1173">
        <v>1400.5</v>
      </c>
      <c r="S1173">
        <v>1400.5</v>
      </c>
      <c r="T1173">
        <v>1500</v>
      </c>
      <c r="U1173" t="s">
        <v>3350</v>
      </c>
      <c r="Z1173" s="37">
        <v>0.01</v>
      </c>
      <c r="AA1173" s="37">
        <v>0.35</v>
      </c>
      <c r="AB1173">
        <v>0</v>
      </c>
    </row>
    <row r="1174">
      <c r="A1174" t="s">
        <v>3393</v>
      </c>
      <c r="B1174" t="s">
        <v>3359</v>
      </c>
      <c r="C1174" t="s">
        <v>3359</v>
      </c>
      <c r="D1174" t="s">
        <v>1013</v>
      </c>
      <c r="E1174" t="s">
        <v>3394</v>
      </c>
      <c r="F1174" t="s">
        <v>298</v>
      </c>
      <c r="G1174" t="s">
        <v>3361</v>
      </c>
      <c r="H1174" t="s">
        <v>3362</v>
      </c>
      <c r="I1174" t="s">
        <v>3363</v>
      </c>
      <c r="J1174" t="s">
        <v>2564</v>
      </c>
      <c r="K1174" t="s">
        <v>3395</v>
      </c>
      <c r="L1174" t="s">
        <v>3346</v>
      </c>
      <c r="M1174" s="37">
        <v>0.7026</v>
      </c>
      <c r="N1174" s="37">
        <v>0.18</v>
      </c>
      <c r="O1174">
        <v>0.5621</v>
      </c>
      <c r="P1174" s="37">
        <v>1.161468</v>
      </c>
      <c r="Q1174">
        <v>1.14</v>
      </c>
      <c r="R1174">
        <v>1103.5</v>
      </c>
      <c r="S1174">
        <v>1103.5</v>
      </c>
      <c r="T1174">
        <v>1500</v>
      </c>
      <c r="U1174" t="s">
        <v>3350</v>
      </c>
      <c r="Z1174" s="37">
        <v>0.01</v>
      </c>
      <c r="AA1174" s="37">
        <v>0.35</v>
      </c>
      <c r="AB1174">
        <v>0</v>
      </c>
    </row>
    <row r="1175">
      <c r="A1175" t="s">
        <v>3393</v>
      </c>
      <c r="B1175" t="s">
        <v>3359</v>
      </c>
      <c r="C1175" t="s">
        <v>3359</v>
      </c>
      <c r="D1175" t="s">
        <v>1013</v>
      </c>
      <c r="E1175" t="s">
        <v>3394</v>
      </c>
      <c r="F1175" t="s">
        <v>298</v>
      </c>
      <c r="G1175" t="s">
        <v>3361</v>
      </c>
      <c r="H1175" t="s">
        <v>3365</v>
      </c>
      <c r="I1175" t="s">
        <v>3396</v>
      </c>
      <c r="J1175" t="s">
        <v>984</v>
      </c>
      <c r="K1175" t="s">
        <v>3397</v>
      </c>
      <c r="L1175" t="s">
        <v>3346</v>
      </c>
      <c r="M1175" s="37">
        <v>1.5</v>
      </c>
      <c r="N1175" s="37">
        <v>0.45</v>
      </c>
      <c r="O1175">
        <v>1.5</v>
      </c>
      <c r="P1175" s="37">
        <v>1.161468</v>
      </c>
      <c r="Q1175">
        <v>1.14</v>
      </c>
      <c r="R1175">
        <v>1103.5</v>
      </c>
      <c r="S1175">
        <v>1103.5</v>
      </c>
      <c r="T1175">
        <v>1500</v>
      </c>
      <c r="U1175" t="s">
        <v>3350</v>
      </c>
      <c r="Z1175" s="37">
        <v>0.01</v>
      </c>
      <c r="AA1175" s="37">
        <v>0.35</v>
      </c>
      <c r="AB1175">
        <v>0</v>
      </c>
    </row>
    <row r="1176">
      <c r="A1176" t="s">
        <v>3393</v>
      </c>
      <c r="B1176" t="s">
        <v>3359</v>
      </c>
      <c r="C1176" t="s">
        <v>3359</v>
      </c>
      <c r="D1176" t="s">
        <v>1013</v>
      </c>
      <c r="E1176" t="s">
        <v>3394</v>
      </c>
      <c r="F1176" t="s">
        <v>298</v>
      </c>
      <c r="G1176" t="s">
        <v>3361</v>
      </c>
      <c r="H1176" t="s">
        <v>3365</v>
      </c>
      <c r="I1176" t="s">
        <v>3387</v>
      </c>
      <c r="J1176" t="s">
        <v>3236</v>
      </c>
      <c r="K1176" t="s">
        <v>3236</v>
      </c>
      <c r="L1176" t="s">
        <v>3346</v>
      </c>
      <c r="M1176" s="37">
        <v>1</v>
      </c>
      <c r="N1176" s="37">
        <v>0.27</v>
      </c>
      <c r="O1176">
        <v>1</v>
      </c>
      <c r="P1176" s="37">
        <v>1.161468</v>
      </c>
      <c r="Q1176">
        <v>1.14</v>
      </c>
      <c r="R1176">
        <v>1103.5</v>
      </c>
      <c r="S1176">
        <v>1103.5</v>
      </c>
      <c r="T1176">
        <v>1500</v>
      </c>
      <c r="U1176" t="s">
        <v>3350</v>
      </c>
      <c r="Z1176" s="37">
        <v>0.01</v>
      </c>
      <c r="AA1176" s="37">
        <v>0.35</v>
      </c>
      <c r="AB1176">
        <v>0</v>
      </c>
    </row>
    <row r="1177">
      <c r="A1177" t="s">
        <v>3393</v>
      </c>
      <c r="B1177" t="s">
        <v>3359</v>
      </c>
      <c r="C1177" t="s">
        <v>3359</v>
      </c>
      <c r="D1177" t="s">
        <v>1013</v>
      </c>
      <c r="E1177" t="s">
        <v>3394</v>
      </c>
      <c r="F1177" t="s">
        <v>298</v>
      </c>
      <c r="G1177" t="s">
        <v>3361</v>
      </c>
      <c r="H1177" t="s">
        <v>3369</v>
      </c>
      <c r="I1177" t="s">
        <v>3370</v>
      </c>
      <c r="J1177" s="38">
        <v>1</v>
      </c>
      <c r="L1177" t="s">
        <v>3346</v>
      </c>
      <c r="M1177" s="37">
        <v>0.9</v>
      </c>
      <c r="N1177" s="37">
        <v>0.1</v>
      </c>
      <c r="O1177">
        <v>0.9</v>
      </c>
      <c r="P1177" s="37">
        <v>1.161468</v>
      </c>
      <c r="Q1177">
        <v>1.14</v>
      </c>
      <c r="R1177">
        <v>1103.5</v>
      </c>
      <c r="S1177">
        <v>1103.5</v>
      </c>
      <c r="T1177">
        <v>1500</v>
      </c>
      <c r="U1177" t="s">
        <v>3350</v>
      </c>
      <c r="Z1177" s="37">
        <v>0.01</v>
      </c>
      <c r="AA1177" s="37">
        <v>0.35</v>
      </c>
      <c r="AB1177">
        <v>0</v>
      </c>
    </row>
    <row r="1178">
      <c r="A1178" t="s">
        <v>3398</v>
      </c>
      <c r="B1178" t="s">
        <v>3399</v>
      </c>
      <c r="C1178" t="s">
        <v>3399</v>
      </c>
      <c r="D1178" t="s">
        <v>3400</v>
      </c>
      <c r="E1178" t="s">
        <v>3401</v>
      </c>
      <c r="F1178" t="s">
        <v>298</v>
      </c>
      <c r="G1178" t="s">
        <v>3402</v>
      </c>
      <c r="H1178" t="s">
        <v>604</v>
      </c>
      <c r="I1178" t="s">
        <v>3403</v>
      </c>
      <c r="J1178">
        <v>1</v>
      </c>
      <c r="M1178" s="37">
        <v>1</v>
      </c>
      <c r="N1178" s="37">
        <v>0.4</v>
      </c>
      <c r="O1178">
        <v>1</v>
      </c>
      <c r="P1178" s="37">
        <v>1</v>
      </c>
      <c r="Q1178">
        <v>1</v>
      </c>
      <c r="R1178">
        <v>3962</v>
      </c>
      <c r="S1178">
        <v>3962</v>
      </c>
      <c r="T1178">
        <v>3400</v>
      </c>
      <c r="U1178" t="s">
        <v>3350</v>
      </c>
      <c r="Z1178" s="37">
        <v>0.01</v>
      </c>
      <c r="AA1178" s="37">
        <v>0.35</v>
      </c>
      <c r="AB1178">
        <v>0</v>
      </c>
    </row>
    <row r="1179">
      <c r="A1179" t="s">
        <v>3398</v>
      </c>
      <c r="B1179" t="s">
        <v>3399</v>
      </c>
      <c r="C1179" t="s">
        <v>3399</v>
      </c>
      <c r="D1179" t="s">
        <v>3400</v>
      </c>
      <c r="E1179" t="s">
        <v>3401</v>
      </c>
      <c r="F1179" t="s">
        <v>298</v>
      </c>
      <c r="G1179" t="s">
        <v>3402</v>
      </c>
      <c r="H1179" t="s">
        <v>604</v>
      </c>
      <c r="I1179" t="s">
        <v>3404</v>
      </c>
      <c r="J1179">
        <v>1</v>
      </c>
      <c r="M1179" s="37">
        <v>1</v>
      </c>
      <c r="N1179" s="37">
        <v>0.2</v>
      </c>
      <c r="O1179">
        <v>1</v>
      </c>
      <c r="P1179" s="37">
        <v>1</v>
      </c>
      <c r="Q1179">
        <v>1</v>
      </c>
      <c r="R1179">
        <v>3962</v>
      </c>
      <c r="S1179">
        <v>3962</v>
      </c>
      <c r="T1179">
        <v>3400</v>
      </c>
      <c r="U1179" t="s">
        <v>3350</v>
      </c>
      <c r="Z1179" s="37">
        <v>0.01</v>
      </c>
      <c r="AA1179" s="37">
        <v>0.35</v>
      </c>
      <c r="AB1179">
        <v>0</v>
      </c>
    </row>
    <row r="1180">
      <c r="A1180" t="s">
        <v>3398</v>
      </c>
      <c r="B1180" t="s">
        <v>3399</v>
      </c>
      <c r="C1180" t="s">
        <v>3399</v>
      </c>
      <c r="D1180" t="s">
        <v>3400</v>
      </c>
      <c r="E1180" t="s">
        <v>3401</v>
      </c>
      <c r="F1180" t="s">
        <v>298</v>
      </c>
      <c r="G1180" t="s">
        <v>3402</v>
      </c>
      <c r="H1180" t="s">
        <v>604</v>
      </c>
      <c r="I1180" t="s">
        <v>3405</v>
      </c>
      <c r="J1180">
        <v>1</v>
      </c>
      <c r="M1180" s="37">
        <v>1</v>
      </c>
      <c r="N1180" s="37">
        <v>0.2</v>
      </c>
      <c r="O1180">
        <v>1</v>
      </c>
      <c r="P1180" s="37">
        <v>1</v>
      </c>
      <c r="Q1180">
        <v>1</v>
      </c>
      <c r="R1180">
        <v>3962</v>
      </c>
      <c r="S1180">
        <v>3962</v>
      </c>
      <c r="T1180">
        <v>3400</v>
      </c>
      <c r="U1180" t="s">
        <v>3350</v>
      </c>
      <c r="Z1180" s="37">
        <v>0.01</v>
      </c>
      <c r="AA1180" s="37">
        <v>0.35</v>
      </c>
      <c r="AB1180">
        <v>0</v>
      </c>
    </row>
    <row r="1181">
      <c r="A1181" t="s">
        <v>3398</v>
      </c>
      <c r="B1181" t="s">
        <v>3399</v>
      </c>
      <c r="C1181" t="s">
        <v>3399</v>
      </c>
      <c r="D1181" t="s">
        <v>3400</v>
      </c>
      <c r="E1181" t="s">
        <v>3401</v>
      </c>
      <c r="F1181" t="s">
        <v>298</v>
      </c>
      <c r="G1181" t="s">
        <v>3402</v>
      </c>
      <c r="H1181" t="s">
        <v>618</v>
      </c>
      <c r="I1181" t="s">
        <v>3406</v>
      </c>
      <c r="J1181">
        <v>1</v>
      </c>
      <c r="M1181" s="37">
        <v>1</v>
      </c>
      <c r="N1181" s="37">
        <v>0.2</v>
      </c>
      <c r="O1181">
        <v>1</v>
      </c>
      <c r="P1181" s="37">
        <v>1</v>
      </c>
      <c r="Q1181">
        <v>1</v>
      </c>
      <c r="R1181">
        <v>3962</v>
      </c>
      <c r="S1181">
        <v>3962</v>
      </c>
      <c r="T1181">
        <v>3400</v>
      </c>
      <c r="U1181" t="s">
        <v>3350</v>
      </c>
      <c r="Z1181" s="37">
        <v>0.01</v>
      </c>
      <c r="AA1181" s="37">
        <v>0.35</v>
      </c>
      <c r="AB1181">
        <v>0</v>
      </c>
    </row>
    <row r="1182">
      <c r="A1182" t="s">
        <v>3407</v>
      </c>
      <c r="B1182" t="s">
        <v>3399</v>
      </c>
      <c r="C1182" t="s">
        <v>3399</v>
      </c>
      <c r="D1182" t="s">
        <v>598</v>
      </c>
      <c r="E1182" t="s">
        <v>3408</v>
      </c>
      <c r="F1182" t="s">
        <v>298</v>
      </c>
      <c r="G1182" t="s">
        <v>3402</v>
      </c>
      <c r="H1182" t="s">
        <v>604</v>
      </c>
      <c r="I1182" t="s">
        <v>3409</v>
      </c>
      <c r="J1182" s="38">
        <v>1</v>
      </c>
      <c r="M1182" s="37">
        <v>0.9</v>
      </c>
      <c r="N1182" s="37">
        <v>0.1</v>
      </c>
      <c r="O1182">
        <v>0.9</v>
      </c>
      <c r="P1182" s="37">
        <v>0.945</v>
      </c>
      <c r="Q1182">
        <v>0.95</v>
      </c>
      <c r="R1182">
        <v>4559</v>
      </c>
      <c r="S1182">
        <v>4559</v>
      </c>
      <c r="T1182">
        <v>5000</v>
      </c>
      <c r="U1182" t="s">
        <v>3350</v>
      </c>
      <c r="Z1182" s="37">
        <v>0.01</v>
      </c>
      <c r="AA1182" s="37">
        <v>0.35</v>
      </c>
      <c r="AB1182">
        <v>0</v>
      </c>
    </row>
    <row r="1183">
      <c r="A1183" t="s">
        <v>3407</v>
      </c>
      <c r="B1183" t="s">
        <v>3399</v>
      </c>
      <c r="C1183" t="s">
        <v>3399</v>
      </c>
      <c r="D1183" t="s">
        <v>598</v>
      </c>
      <c r="E1183" t="s">
        <v>3408</v>
      </c>
      <c r="F1183" t="s">
        <v>298</v>
      </c>
      <c r="G1183" t="s">
        <v>3402</v>
      </c>
      <c r="H1183" t="s">
        <v>604</v>
      </c>
      <c r="I1183" t="s">
        <v>3410</v>
      </c>
      <c r="J1183" s="38">
        <v>1</v>
      </c>
      <c r="M1183" s="37">
        <v>0.9</v>
      </c>
      <c r="N1183" s="37">
        <v>0.1</v>
      </c>
      <c r="O1183">
        <v>0.9</v>
      </c>
      <c r="P1183" s="37">
        <v>0.945</v>
      </c>
      <c r="Q1183">
        <v>0.95</v>
      </c>
      <c r="R1183">
        <v>4559</v>
      </c>
      <c r="S1183">
        <v>4559</v>
      </c>
      <c r="T1183">
        <v>5000</v>
      </c>
      <c r="U1183" t="s">
        <v>3350</v>
      </c>
      <c r="Z1183" s="37">
        <v>0.01</v>
      </c>
      <c r="AA1183" s="37">
        <v>0.35</v>
      </c>
      <c r="AB1183">
        <v>0</v>
      </c>
    </row>
    <row r="1184">
      <c r="A1184" t="s">
        <v>3407</v>
      </c>
      <c r="B1184" t="s">
        <v>3399</v>
      </c>
      <c r="C1184" t="s">
        <v>3399</v>
      </c>
      <c r="D1184" t="s">
        <v>598</v>
      </c>
      <c r="E1184" t="s">
        <v>3408</v>
      </c>
      <c r="F1184" t="s">
        <v>298</v>
      </c>
      <c r="G1184" t="s">
        <v>3402</v>
      </c>
      <c r="H1184" t="s">
        <v>604</v>
      </c>
      <c r="I1184" t="s">
        <v>3411</v>
      </c>
      <c r="J1184" s="38">
        <v>1</v>
      </c>
      <c r="M1184" s="37">
        <v>1</v>
      </c>
      <c r="N1184" s="37">
        <v>0.15</v>
      </c>
      <c r="O1184">
        <v>1</v>
      </c>
      <c r="P1184" s="37">
        <v>0.945</v>
      </c>
      <c r="Q1184">
        <v>0.95</v>
      </c>
      <c r="R1184">
        <v>4559</v>
      </c>
      <c r="S1184">
        <v>4559</v>
      </c>
      <c r="T1184">
        <v>5000</v>
      </c>
      <c r="U1184" t="s">
        <v>3350</v>
      </c>
      <c r="Z1184" s="37">
        <v>0.01</v>
      </c>
      <c r="AA1184" s="37">
        <v>0.35</v>
      </c>
      <c r="AB1184">
        <v>0</v>
      </c>
    </row>
    <row r="1185">
      <c r="A1185" t="s">
        <v>3407</v>
      </c>
      <c r="B1185" t="s">
        <v>3399</v>
      </c>
      <c r="C1185" t="s">
        <v>3399</v>
      </c>
      <c r="D1185" t="s">
        <v>598</v>
      </c>
      <c r="E1185" t="s">
        <v>3408</v>
      </c>
      <c r="F1185" t="s">
        <v>298</v>
      </c>
      <c r="G1185" t="s">
        <v>3402</v>
      </c>
      <c r="H1185" t="s">
        <v>604</v>
      </c>
      <c r="I1185" t="s">
        <v>3412</v>
      </c>
      <c r="J1185" s="38">
        <v>1</v>
      </c>
      <c r="M1185" s="37">
        <v>0.8</v>
      </c>
      <c r="N1185" s="37">
        <v>0.1</v>
      </c>
      <c r="O1185">
        <v>0.8</v>
      </c>
      <c r="P1185" s="37">
        <v>0.945</v>
      </c>
      <c r="Q1185">
        <v>0.95</v>
      </c>
      <c r="R1185">
        <v>4559</v>
      </c>
      <c r="S1185">
        <v>4559</v>
      </c>
      <c r="T1185">
        <v>5000</v>
      </c>
      <c r="U1185" t="s">
        <v>3350</v>
      </c>
      <c r="Z1185" s="37">
        <v>0.01</v>
      </c>
      <c r="AA1185" s="37">
        <v>0.35</v>
      </c>
      <c r="AB1185">
        <v>0</v>
      </c>
    </row>
    <row r="1186">
      <c r="A1186" t="s">
        <v>3407</v>
      </c>
      <c r="B1186" t="s">
        <v>3399</v>
      </c>
      <c r="C1186" t="s">
        <v>3399</v>
      </c>
      <c r="D1186" t="s">
        <v>598</v>
      </c>
      <c r="E1186" t="s">
        <v>3408</v>
      </c>
      <c r="F1186" t="s">
        <v>298</v>
      </c>
      <c r="G1186" t="s">
        <v>3402</v>
      </c>
      <c r="H1186" t="s">
        <v>604</v>
      </c>
      <c r="I1186" t="s">
        <v>3413</v>
      </c>
      <c r="J1186" s="38">
        <v>1</v>
      </c>
      <c r="M1186" s="37">
        <v>1</v>
      </c>
      <c r="N1186" s="37">
        <v>0.15</v>
      </c>
      <c r="O1186">
        <v>1</v>
      </c>
      <c r="P1186" s="37">
        <v>0.945</v>
      </c>
      <c r="Q1186">
        <v>0.95</v>
      </c>
      <c r="R1186">
        <v>4559</v>
      </c>
      <c r="S1186">
        <v>4559</v>
      </c>
      <c r="T1186">
        <v>5000</v>
      </c>
      <c r="U1186" t="s">
        <v>3350</v>
      </c>
      <c r="Z1186" s="37">
        <v>0.01</v>
      </c>
      <c r="AA1186" s="37">
        <v>0.35</v>
      </c>
      <c r="AB1186">
        <v>0</v>
      </c>
    </row>
    <row r="1187">
      <c r="A1187" t="s">
        <v>3407</v>
      </c>
      <c r="B1187" t="s">
        <v>3399</v>
      </c>
      <c r="C1187" t="s">
        <v>3399</v>
      </c>
      <c r="D1187" t="s">
        <v>598</v>
      </c>
      <c r="E1187" t="s">
        <v>3408</v>
      </c>
      <c r="F1187" t="s">
        <v>298</v>
      </c>
      <c r="G1187" t="s">
        <v>3402</v>
      </c>
      <c r="H1187" t="s">
        <v>604</v>
      </c>
      <c r="I1187" t="s">
        <v>3414</v>
      </c>
      <c r="J1187" s="38">
        <v>1</v>
      </c>
      <c r="M1187" s="37">
        <v>1</v>
      </c>
      <c r="N1187" s="37">
        <v>0.1</v>
      </c>
      <c r="O1187">
        <v>1</v>
      </c>
      <c r="P1187" s="37">
        <v>0.945</v>
      </c>
      <c r="Q1187">
        <v>0.95</v>
      </c>
      <c r="R1187">
        <v>4559</v>
      </c>
      <c r="S1187">
        <v>4559</v>
      </c>
      <c r="T1187">
        <v>5000</v>
      </c>
      <c r="U1187" t="s">
        <v>3350</v>
      </c>
      <c r="Z1187" s="37">
        <v>0.01</v>
      </c>
      <c r="AA1187" s="37">
        <v>0.35</v>
      </c>
      <c r="AB1187">
        <v>0</v>
      </c>
    </row>
    <row r="1188">
      <c r="A1188" t="s">
        <v>3407</v>
      </c>
      <c r="B1188" t="s">
        <v>3399</v>
      </c>
      <c r="C1188" t="s">
        <v>3399</v>
      </c>
      <c r="D1188" t="s">
        <v>598</v>
      </c>
      <c r="E1188" t="s">
        <v>3408</v>
      </c>
      <c r="F1188" t="s">
        <v>298</v>
      </c>
      <c r="G1188" t="s">
        <v>3402</v>
      </c>
      <c r="H1188" t="s">
        <v>604</v>
      </c>
      <c r="I1188" t="s">
        <v>3415</v>
      </c>
      <c r="J1188" s="38">
        <v>1</v>
      </c>
      <c r="M1188" s="37">
        <v>0.9</v>
      </c>
      <c r="N1188" s="37">
        <v>0.15</v>
      </c>
      <c r="O1188">
        <v>0.9</v>
      </c>
      <c r="P1188" s="37">
        <v>0.945</v>
      </c>
      <c r="Q1188">
        <v>0.95</v>
      </c>
      <c r="R1188">
        <v>4559</v>
      </c>
      <c r="S1188">
        <v>4559</v>
      </c>
      <c r="T1188">
        <v>5000</v>
      </c>
      <c r="U1188" t="s">
        <v>3350</v>
      </c>
      <c r="Z1188" s="37">
        <v>0.01</v>
      </c>
      <c r="AA1188" s="37">
        <v>0.35</v>
      </c>
      <c r="AB1188">
        <v>0</v>
      </c>
    </row>
    <row r="1189">
      <c r="A1189" t="s">
        <v>3407</v>
      </c>
      <c r="B1189" t="s">
        <v>3399</v>
      </c>
      <c r="C1189" t="s">
        <v>3399</v>
      </c>
      <c r="D1189" t="s">
        <v>598</v>
      </c>
      <c r="E1189" t="s">
        <v>3408</v>
      </c>
      <c r="F1189" t="s">
        <v>298</v>
      </c>
      <c r="G1189" t="s">
        <v>3402</v>
      </c>
      <c r="H1189" t="s">
        <v>604</v>
      </c>
      <c r="I1189" t="s">
        <v>3416</v>
      </c>
      <c r="J1189" s="38">
        <v>1</v>
      </c>
      <c r="M1189" s="37">
        <v>1</v>
      </c>
      <c r="N1189" s="37">
        <v>0.15</v>
      </c>
      <c r="O1189">
        <v>1</v>
      </c>
      <c r="P1189" s="37">
        <v>0.945</v>
      </c>
      <c r="Q1189">
        <v>0.95</v>
      </c>
      <c r="R1189">
        <v>4559</v>
      </c>
      <c r="S1189">
        <v>4559</v>
      </c>
      <c r="T1189">
        <v>5000</v>
      </c>
      <c r="U1189" t="s">
        <v>3350</v>
      </c>
      <c r="Z1189" s="37">
        <v>0.01</v>
      </c>
      <c r="AA1189" s="37">
        <v>0.35</v>
      </c>
      <c r="AB1189">
        <v>0</v>
      </c>
    </row>
    <row r="1190">
      <c r="A1190" t="s">
        <v>3417</v>
      </c>
      <c r="B1190" t="s">
        <v>3399</v>
      </c>
      <c r="C1190" t="s">
        <v>3399</v>
      </c>
      <c r="D1190" t="s">
        <v>598</v>
      </c>
      <c r="E1190" t="s">
        <v>3418</v>
      </c>
      <c r="F1190" t="s">
        <v>298</v>
      </c>
      <c r="G1190" t="s">
        <v>3402</v>
      </c>
      <c r="H1190" t="s">
        <v>604</v>
      </c>
      <c r="I1190" t="s">
        <v>3419</v>
      </c>
      <c r="J1190" s="38">
        <v>1</v>
      </c>
      <c r="M1190" s="37">
        <v>0.89</v>
      </c>
      <c r="N1190" s="37">
        <v>0.5</v>
      </c>
      <c r="O1190">
        <v>0.89</v>
      </c>
      <c r="P1190" s="37">
        <v>0.9</v>
      </c>
      <c r="Q1190">
        <v>0.9</v>
      </c>
      <c r="R1190">
        <v>4053</v>
      </c>
      <c r="S1190">
        <v>4053</v>
      </c>
      <c r="T1190">
        <v>5000</v>
      </c>
      <c r="U1190" t="s">
        <v>3350</v>
      </c>
      <c r="Z1190" s="37">
        <v>0.01</v>
      </c>
      <c r="AA1190" s="37">
        <v>0.35</v>
      </c>
      <c r="AB1190">
        <v>0</v>
      </c>
    </row>
    <row r="1191">
      <c r="A1191" t="s">
        <v>3417</v>
      </c>
      <c r="B1191" t="s">
        <v>3399</v>
      </c>
      <c r="C1191" t="s">
        <v>3399</v>
      </c>
      <c r="D1191" t="s">
        <v>598</v>
      </c>
      <c r="E1191" t="s">
        <v>3418</v>
      </c>
      <c r="F1191" t="s">
        <v>298</v>
      </c>
      <c r="G1191" t="s">
        <v>3402</v>
      </c>
      <c r="H1191" t="s">
        <v>601</v>
      </c>
      <c r="I1191" t="s">
        <v>3420</v>
      </c>
      <c r="J1191" s="38">
        <v>1</v>
      </c>
      <c r="K1191" t="s">
        <v>3421</v>
      </c>
      <c r="M1191" s="37">
        <v>0.91</v>
      </c>
      <c r="N1191" s="37">
        <v>0.5</v>
      </c>
      <c r="O1191">
        <v>0.91</v>
      </c>
      <c r="P1191" s="37">
        <v>0.9</v>
      </c>
      <c r="Q1191">
        <v>0.9</v>
      </c>
      <c r="R1191">
        <v>4053</v>
      </c>
      <c r="S1191">
        <v>4053</v>
      </c>
      <c r="T1191">
        <v>5000</v>
      </c>
      <c r="U1191" t="s">
        <v>3350</v>
      </c>
      <c r="Z1191" s="37">
        <v>0.01</v>
      </c>
      <c r="AA1191" s="37">
        <v>0.35</v>
      </c>
      <c r="AB1191">
        <v>0</v>
      </c>
    </row>
    <row r="1192">
      <c r="A1192" t="s">
        <v>3422</v>
      </c>
      <c r="B1192" t="s">
        <v>3399</v>
      </c>
      <c r="C1192" t="s">
        <v>3399</v>
      </c>
      <c r="D1192" t="s">
        <v>359</v>
      </c>
      <c r="E1192" t="s">
        <v>3423</v>
      </c>
      <c r="F1192" t="s">
        <v>298</v>
      </c>
      <c r="G1192" t="s">
        <v>3402</v>
      </c>
      <c r="H1192" t="s">
        <v>604</v>
      </c>
      <c r="I1192" t="s">
        <v>3424</v>
      </c>
      <c r="J1192">
        <v>1</v>
      </c>
      <c r="K1192" t="s">
        <v>3421</v>
      </c>
      <c r="M1192" s="37">
        <v>1</v>
      </c>
      <c r="N1192" s="37">
        <v>0.1</v>
      </c>
      <c r="O1192">
        <v>1</v>
      </c>
      <c r="P1192" s="37">
        <v>1</v>
      </c>
      <c r="Q1192">
        <v>1</v>
      </c>
      <c r="R1192">
        <v>5826</v>
      </c>
      <c r="S1192">
        <v>5826</v>
      </c>
      <c r="T1192">
        <v>5000</v>
      </c>
      <c r="U1192" t="s">
        <v>3350</v>
      </c>
      <c r="Z1192" s="37">
        <v>0.01</v>
      </c>
      <c r="AA1192" s="37">
        <v>0.35</v>
      </c>
      <c r="AB1192">
        <v>0</v>
      </c>
    </row>
    <row r="1193">
      <c r="A1193" t="s">
        <v>3422</v>
      </c>
      <c r="B1193" t="s">
        <v>3399</v>
      </c>
      <c r="C1193" t="s">
        <v>3399</v>
      </c>
      <c r="D1193" t="s">
        <v>359</v>
      </c>
      <c r="E1193" t="s">
        <v>3423</v>
      </c>
      <c r="F1193" t="s">
        <v>298</v>
      </c>
      <c r="G1193" t="s">
        <v>3402</v>
      </c>
      <c r="H1193" t="s">
        <v>601</v>
      </c>
      <c r="I1193" t="s">
        <v>3425</v>
      </c>
      <c r="J1193">
        <v>1</v>
      </c>
      <c r="K1193">
        <v>1</v>
      </c>
      <c r="M1193" s="37">
        <v>1</v>
      </c>
      <c r="N1193" s="37">
        <v>0.3</v>
      </c>
      <c r="O1193">
        <v>1</v>
      </c>
      <c r="P1193" s="37">
        <v>1</v>
      </c>
      <c r="Q1193">
        <v>1</v>
      </c>
      <c r="R1193">
        <v>5826</v>
      </c>
      <c r="S1193">
        <v>5826</v>
      </c>
      <c r="T1193">
        <v>5000</v>
      </c>
      <c r="U1193" t="s">
        <v>3350</v>
      </c>
      <c r="Z1193" s="37">
        <v>0.01</v>
      </c>
      <c r="AA1193" s="37">
        <v>0.35</v>
      </c>
      <c r="AB1193">
        <v>0</v>
      </c>
    </row>
    <row r="1194">
      <c r="A1194" t="s">
        <v>3422</v>
      </c>
      <c r="B1194" t="s">
        <v>3399</v>
      </c>
      <c r="C1194" t="s">
        <v>3399</v>
      </c>
      <c r="D1194" t="s">
        <v>359</v>
      </c>
      <c r="E1194" t="s">
        <v>3423</v>
      </c>
      <c r="F1194" t="s">
        <v>298</v>
      </c>
      <c r="G1194" t="s">
        <v>3402</v>
      </c>
      <c r="H1194" t="s">
        <v>601</v>
      </c>
      <c r="I1194" t="s">
        <v>3426</v>
      </c>
      <c r="J1194">
        <v>1</v>
      </c>
      <c r="K1194">
        <v>1</v>
      </c>
      <c r="M1194" s="37">
        <v>1</v>
      </c>
      <c r="N1194" s="37">
        <v>0.25</v>
      </c>
      <c r="O1194">
        <v>1</v>
      </c>
      <c r="P1194" s="37">
        <v>1</v>
      </c>
      <c r="Q1194">
        <v>1</v>
      </c>
      <c r="R1194">
        <v>5826</v>
      </c>
      <c r="S1194">
        <v>5826</v>
      </c>
      <c r="T1194">
        <v>5000</v>
      </c>
      <c r="U1194" t="s">
        <v>3350</v>
      </c>
      <c r="Z1194" s="37">
        <v>0.01</v>
      </c>
      <c r="AA1194" s="37">
        <v>0.35</v>
      </c>
      <c r="AB1194">
        <v>0</v>
      </c>
    </row>
    <row r="1195">
      <c r="A1195" t="s">
        <v>3422</v>
      </c>
      <c r="B1195" t="s">
        <v>3399</v>
      </c>
      <c r="C1195" t="s">
        <v>3399</v>
      </c>
      <c r="D1195" t="s">
        <v>359</v>
      </c>
      <c r="E1195" t="s">
        <v>3423</v>
      </c>
      <c r="F1195" t="s">
        <v>298</v>
      </c>
      <c r="G1195" t="s">
        <v>3402</v>
      </c>
      <c r="H1195" t="s">
        <v>601</v>
      </c>
      <c r="I1195" t="s">
        <v>3427</v>
      </c>
      <c r="J1195">
        <v>1</v>
      </c>
      <c r="K1195">
        <v>1</v>
      </c>
      <c r="M1195" s="37">
        <v>1</v>
      </c>
      <c r="N1195" s="37">
        <v>0.25</v>
      </c>
      <c r="O1195">
        <v>1</v>
      </c>
      <c r="P1195" s="37">
        <v>1</v>
      </c>
      <c r="Q1195">
        <v>1</v>
      </c>
      <c r="R1195">
        <v>5826</v>
      </c>
      <c r="S1195">
        <v>5826</v>
      </c>
      <c r="T1195">
        <v>5000</v>
      </c>
      <c r="U1195" t="s">
        <v>3350</v>
      </c>
      <c r="Z1195" s="37">
        <v>0.01</v>
      </c>
      <c r="AA1195" s="37">
        <v>0.35</v>
      </c>
      <c r="AB1195">
        <v>0</v>
      </c>
    </row>
    <row r="1196">
      <c r="A1196" t="s">
        <v>3422</v>
      </c>
      <c r="B1196" t="s">
        <v>3399</v>
      </c>
      <c r="C1196" t="s">
        <v>3399</v>
      </c>
      <c r="D1196" t="s">
        <v>359</v>
      </c>
      <c r="E1196" t="s">
        <v>3423</v>
      </c>
      <c r="F1196" t="s">
        <v>298</v>
      </c>
      <c r="G1196" t="s">
        <v>3402</v>
      </c>
      <c r="H1196" t="s">
        <v>601</v>
      </c>
      <c r="I1196" t="s">
        <v>3428</v>
      </c>
      <c r="J1196">
        <v>1</v>
      </c>
      <c r="K1196">
        <v>1</v>
      </c>
      <c r="M1196" s="37">
        <v>1</v>
      </c>
      <c r="N1196" s="37">
        <v>0.05</v>
      </c>
      <c r="O1196">
        <v>1</v>
      </c>
      <c r="P1196" s="37">
        <v>1</v>
      </c>
      <c r="Q1196">
        <v>1</v>
      </c>
      <c r="R1196">
        <v>5826</v>
      </c>
      <c r="S1196">
        <v>5826</v>
      </c>
      <c r="T1196">
        <v>5000</v>
      </c>
      <c r="U1196" t="s">
        <v>3350</v>
      </c>
      <c r="Z1196" s="37">
        <v>0.01</v>
      </c>
      <c r="AA1196" s="37">
        <v>0.35</v>
      </c>
      <c r="AB1196">
        <v>0</v>
      </c>
    </row>
    <row r="1197">
      <c r="A1197" t="s">
        <v>3422</v>
      </c>
      <c r="B1197" t="s">
        <v>3399</v>
      </c>
      <c r="C1197" t="s">
        <v>3399</v>
      </c>
      <c r="D1197" t="s">
        <v>359</v>
      </c>
      <c r="E1197" t="s">
        <v>3423</v>
      </c>
      <c r="F1197" t="s">
        <v>298</v>
      </c>
      <c r="G1197" t="s">
        <v>3402</v>
      </c>
      <c r="H1197" t="s">
        <v>601</v>
      </c>
      <c r="I1197" t="s">
        <v>3429</v>
      </c>
      <c r="J1197">
        <v>1</v>
      </c>
      <c r="K1197">
        <v>1</v>
      </c>
      <c r="M1197" s="37">
        <v>1</v>
      </c>
      <c r="N1197" s="37">
        <v>0.05</v>
      </c>
      <c r="O1197">
        <v>1</v>
      </c>
      <c r="P1197" s="37">
        <v>1</v>
      </c>
      <c r="Q1197">
        <v>1</v>
      </c>
      <c r="R1197">
        <v>5826</v>
      </c>
      <c r="S1197">
        <v>5826</v>
      </c>
      <c r="T1197">
        <v>5000</v>
      </c>
      <c r="U1197" t="s">
        <v>3350</v>
      </c>
      <c r="Z1197" s="37">
        <v>0.01</v>
      </c>
      <c r="AA1197" s="37">
        <v>0.35</v>
      </c>
      <c r="AB1197">
        <v>0</v>
      </c>
    </row>
    <row r="1198">
      <c r="A1198" t="s">
        <v>3430</v>
      </c>
      <c r="B1198" t="s">
        <v>3399</v>
      </c>
      <c r="C1198" t="s">
        <v>3399</v>
      </c>
      <c r="D1198" t="s">
        <v>3431</v>
      </c>
      <c r="E1198" t="s">
        <v>3432</v>
      </c>
      <c r="F1198" t="s">
        <v>298</v>
      </c>
      <c r="G1198" t="s">
        <v>3402</v>
      </c>
      <c r="H1198" t="s">
        <v>601</v>
      </c>
      <c r="I1198" t="s">
        <v>3433</v>
      </c>
      <c r="J1198" s="38">
        <v>1</v>
      </c>
      <c r="K1198" t="s">
        <v>2063</v>
      </c>
      <c r="L1198" t="s">
        <v>428</v>
      </c>
      <c r="M1198" s="37">
        <v>1</v>
      </c>
      <c r="N1198" s="37">
        <v>0.5</v>
      </c>
      <c r="O1198">
        <v>1</v>
      </c>
      <c r="P1198" s="37">
        <v>1</v>
      </c>
      <c r="Q1198">
        <v>1</v>
      </c>
      <c r="R1198">
        <v>0</v>
      </c>
      <c r="S1198">
        <v>0</v>
      </c>
      <c r="T1198">
        <v>2000</v>
      </c>
      <c r="U1198" t="s">
        <v>3350</v>
      </c>
      <c r="Z1198" s="37">
        <v>0.01</v>
      </c>
      <c r="AA1198" s="37">
        <v>0.35</v>
      </c>
      <c r="AB1198">
        <v>0</v>
      </c>
    </row>
    <row r="1199">
      <c r="A1199" t="s">
        <v>3430</v>
      </c>
      <c r="B1199" t="s">
        <v>3399</v>
      </c>
      <c r="C1199" t="s">
        <v>3399</v>
      </c>
      <c r="D1199" t="s">
        <v>3431</v>
      </c>
      <c r="E1199" t="s">
        <v>3432</v>
      </c>
      <c r="F1199" t="s">
        <v>298</v>
      </c>
      <c r="G1199" t="s">
        <v>3402</v>
      </c>
      <c r="H1199" t="s">
        <v>604</v>
      </c>
      <c r="I1199" t="s">
        <v>3434</v>
      </c>
      <c r="J1199" s="38">
        <v>1</v>
      </c>
      <c r="K1199" t="s">
        <v>2063</v>
      </c>
      <c r="L1199" t="s">
        <v>428</v>
      </c>
      <c r="M1199" s="37">
        <v>1</v>
      </c>
      <c r="N1199" s="37">
        <v>0.3</v>
      </c>
      <c r="O1199">
        <v>1</v>
      </c>
      <c r="P1199" s="37">
        <v>1</v>
      </c>
      <c r="Q1199">
        <v>1</v>
      </c>
      <c r="R1199">
        <v>0</v>
      </c>
      <c r="S1199">
        <v>0</v>
      </c>
      <c r="T1199">
        <v>2000</v>
      </c>
      <c r="U1199" t="s">
        <v>3350</v>
      </c>
      <c r="Z1199" s="37">
        <v>0.01</v>
      </c>
      <c r="AA1199" s="37">
        <v>0.35</v>
      </c>
      <c r="AB1199">
        <v>0</v>
      </c>
    </row>
    <row r="1200">
      <c r="A1200" t="s">
        <v>3430</v>
      </c>
      <c r="B1200" t="s">
        <v>3399</v>
      </c>
      <c r="C1200" t="s">
        <v>3399</v>
      </c>
      <c r="D1200" t="s">
        <v>3431</v>
      </c>
      <c r="E1200" t="s">
        <v>3432</v>
      </c>
      <c r="F1200" t="s">
        <v>298</v>
      </c>
      <c r="G1200" t="s">
        <v>3402</v>
      </c>
      <c r="H1200" t="s">
        <v>601</v>
      </c>
      <c r="I1200" t="s">
        <v>3435</v>
      </c>
      <c r="J1200" s="38">
        <v>1</v>
      </c>
      <c r="K1200" t="s">
        <v>521</v>
      </c>
      <c r="L1200" t="s">
        <v>428</v>
      </c>
      <c r="M1200" s="37">
        <v>1</v>
      </c>
      <c r="N1200" s="37">
        <v>0.2</v>
      </c>
      <c r="O1200">
        <v>1</v>
      </c>
      <c r="P1200" s="37">
        <v>1</v>
      </c>
      <c r="Q1200">
        <v>1</v>
      </c>
      <c r="R1200">
        <v>0</v>
      </c>
      <c r="S1200">
        <v>0</v>
      </c>
      <c r="T1200">
        <v>2000</v>
      </c>
      <c r="U1200" t="s">
        <v>3350</v>
      </c>
      <c r="Z1200" s="37">
        <v>0.01</v>
      </c>
      <c r="AA1200" s="37">
        <v>0.35</v>
      </c>
      <c r="AB1200">
        <v>0</v>
      </c>
    </row>
    <row r="1201">
      <c r="A1201" t="s">
        <v>3436</v>
      </c>
      <c r="B1201" t="s">
        <v>3399</v>
      </c>
      <c r="C1201" t="s">
        <v>3399</v>
      </c>
      <c r="D1201" t="s">
        <v>3400</v>
      </c>
      <c r="E1201" t="s">
        <v>3437</v>
      </c>
      <c r="F1201" t="s">
        <v>298</v>
      </c>
      <c r="G1201" t="s">
        <v>3402</v>
      </c>
      <c r="H1201" t="s">
        <v>618</v>
      </c>
      <c r="I1201" t="s">
        <v>3438</v>
      </c>
      <c r="J1201">
        <v>1</v>
      </c>
      <c r="K1201" t="s">
        <v>521</v>
      </c>
      <c r="L1201" t="s">
        <v>3439</v>
      </c>
      <c r="M1201" s="37">
        <v>0.9</v>
      </c>
      <c r="N1201" s="37">
        <v>0.2</v>
      </c>
      <c r="O1201">
        <v>0.9</v>
      </c>
      <c r="P1201" s="37">
        <v>0.9</v>
      </c>
      <c r="Q1201">
        <v>0.9</v>
      </c>
      <c r="R1201">
        <v>0</v>
      </c>
      <c r="S1201">
        <v>0</v>
      </c>
      <c r="T1201">
        <v>3400</v>
      </c>
      <c r="U1201" t="s">
        <v>3350</v>
      </c>
      <c r="Z1201" s="37">
        <v>0.01</v>
      </c>
      <c r="AA1201" s="37">
        <v>0.35</v>
      </c>
      <c r="AB1201">
        <v>0</v>
      </c>
    </row>
    <row r="1202">
      <c r="A1202" t="s">
        <v>3436</v>
      </c>
      <c r="B1202" t="s">
        <v>3399</v>
      </c>
      <c r="C1202" t="s">
        <v>3399</v>
      </c>
      <c r="D1202" t="s">
        <v>3400</v>
      </c>
      <c r="E1202" t="s">
        <v>3437</v>
      </c>
      <c r="F1202" t="s">
        <v>298</v>
      </c>
      <c r="G1202" t="s">
        <v>3402</v>
      </c>
      <c r="H1202" t="s">
        <v>604</v>
      </c>
      <c r="I1202" t="s">
        <v>3440</v>
      </c>
      <c r="J1202">
        <v>1</v>
      </c>
      <c r="K1202" t="s">
        <v>521</v>
      </c>
      <c r="L1202" t="s">
        <v>3439</v>
      </c>
      <c r="M1202" s="37">
        <v>0.9</v>
      </c>
      <c r="N1202" s="37">
        <v>0.8</v>
      </c>
      <c r="O1202">
        <v>0.9</v>
      </c>
      <c r="P1202" s="37">
        <v>0.9</v>
      </c>
      <c r="Q1202">
        <v>0.9</v>
      </c>
      <c r="R1202">
        <v>0</v>
      </c>
      <c r="S1202">
        <v>0</v>
      </c>
      <c r="T1202">
        <v>3400</v>
      </c>
      <c r="U1202" t="s">
        <v>3350</v>
      </c>
      <c r="Z1202" s="37">
        <v>0.01</v>
      </c>
      <c r="AA1202" s="37">
        <v>0.35</v>
      </c>
      <c r="AB1202">
        <v>0</v>
      </c>
    </row>
    <row r="1203">
      <c r="A1203" t="s">
        <v>3441</v>
      </c>
      <c r="B1203" t="s">
        <v>3442</v>
      </c>
      <c r="C1203" t="s">
        <v>3442</v>
      </c>
      <c r="D1203" t="s">
        <v>1216</v>
      </c>
      <c r="E1203" t="s">
        <v>3443</v>
      </c>
      <c r="F1203" t="s">
        <v>298</v>
      </c>
      <c r="G1203" t="s">
        <v>3444</v>
      </c>
      <c r="H1203" t="s">
        <v>3445</v>
      </c>
      <c r="I1203" t="s">
        <v>3446</v>
      </c>
      <c r="J1203" t="s">
        <v>3447</v>
      </c>
      <c r="K1203" t="s">
        <v>3448</v>
      </c>
      <c r="L1203" t="s">
        <v>3449</v>
      </c>
      <c r="M1203" s="37">
        <v>1.4233</v>
      </c>
      <c r="N1203" s="37">
        <v>0.25</v>
      </c>
      <c r="O1203">
        <v>1.4233</v>
      </c>
      <c r="P1203" s="37">
        <v>1.12134</v>
      </c>
      <c r="Q1203">
        <v>1.12</v>
      </c>
      <c r="R1203">
        <v>2000</v>
      </c>
      <c r="S1203">
        <v>2000</v>
      </c>
      <c r="T1203">
        <v>2000</v>
      </c>
      <c r="U1203" t="s">
        <v>3350</v>
      </c>
      <c r="Z1203" s="37">
        <v>0.01</v>
      </c>
      <c r="AA1203" s="37">
        <v>0.35</v>
      </c>
      <c r="AB1203">
        <v>0</v>
      </c>
    </row>
    <row r="1204">
      <c r="A1204" t="s">
        <v>3441</v>
      </c>
      <c r="B1204" t="s">
        <v>3442</v>
      </c>
      <c r="C1204" t="s">
        <v>3442</v>
      </c>
      <c r="D1204" t="s">
        <v>1216</v>
      </c>
      <c r="E1204" t="s">
        <v>3443</v>
      </c>
      <c r="F1204" t="s">
        <v>298</v>
      </c>
      <c r="G1204" t="s">
        <v>3444</v>
      </c>
      <c r="H1204" t="s">
        <v>3450</v>
      </c>
      <c r="I1204" t="s">
        <v>3451</v>
      </c>
      <c r="J1204">
        <v>11</v>
      </c>
      <c r="K1204" t="s">
        <v>3452</v>
      </c>
      <c r="L1204" t="s">
        <v>3453</v>
      </c>
      <c r="M1204" s="37">
        <v>0.843</v>
      </c>
      <c r="N1204" s="37">
        <v>0.2</v>
      </c>
      <c r="O1204">
        <v>0.843</v>
      </c>
      <c r="P1204" s="37">
        <v>1.12134</v>
      </c>
      <c r="Q1204">
        <v>1.12</v>
      </c>
      <c r="R1204">
        <v>2000</v>
      </c>
      <c r="S1204">
        <v>2000</v>
      </c>
      <c r="T1204">
        <v>2000</v>
      </c>
      <c r="U1204" t="s">
        <v>3350</v>
      </c>
      <c r="Z1204" s="37">
        <v>0.01</v>
      </c>
      <c r="AA1204" s="37">
        <v>0.35</v>
      </c>
      <c r="AB1204">
        <v>0</v>
      </c>
    </row>
    <row r="1205">
      <c r="A1205" t="s">
        <v>3441</v>
      </c>
      <c r="B1205" t="s">
        <v>3442</v>
      </c>
      <c r="C1205" t="s">
        <v>3442</v>
      </c>
      <c r="D1205" t="s">
        <v>1216</v>
      </c>
      <c r="E1205" t="s">
        <v>3443</v>
      </c>
      <c r="F1205" t="s">
        <v>298</v>
      </c>
      <c r="G1205" t="s">
        <v>3444</v>
      </c>
      <c r="H1205" t="s">
        <v>3454</v>
      </c>
      <c r="I1205" t="s">
        <v>3455</v>
      </c>
      <c r="J1205" t="s">
        <v>3456</v>
      </c>
      <c r="K1205" t="s">
        <v>3457</v>
      </c>
      <c r="L1205" t="s">
        <v>3458</v>
      </c>
      <c r="M1205" s="37">
        <v>1.0853</v>
      </c>
      <c r="N1205" s="37">
        <v>0.55</v>
      </c>
      <c r="O1205">
        <v>1.0853</v>
      </c>
      <c r="P1205" s="37">
        <v>1.12134</v>
      </c>
      <c r="Q1205">
        <v>1.12</v>
      </c>
      <c r="R1205">
        <v>2000</v>
      </c>
      <c r="S1205">
        <v>2000</v>
      </c>
      <c r="T1205">
        <v>2000</v>
      </c>
      <c r="U1205" t="s">
        <v>3350</v>
      </c>
      <c r="Z1205" s="37">
        <v>0.01</v>
      </c>
      <c r="AA1205" s="37">
        <v>0.35</v>
      </c>
      <c r="AB1205">
        <v>0</v>
      </c>
    </row>
    <row r="1206">
      <c r="A1206" t="s">
        <v>3459</v>
      </c>
      <c r="B1206" t="s">
        <v>3442</v>
      </c>
      <c r="C1206" t="s">
        <v>3442</v>
      </c>
      <c r="D1206" t="s">
        <v>3460</v>
      </c>
      <c r="E1206" t="s">
        <v>3461</v>
      </c>
      <c r="F1206" t="s">
        <v>298</v>
      </c>
      <c r="G1206" t="s">
        <v>3462</v>
      </c>
      <c r="H1206" t="s">
        <v>3463</v>
      </c>
      <c r="I1206" t="s">
        <v>3464</v>
      </c>
      <c r="L1206" t="s">
        <v>3465</v>
      </c>
      <c r="M1206" s="37">
        <v>1</v>
      </c>
      <c r="N1206" s="37">
        <v>0.25</v>
      </c>
      <c r="O1206">
        <v>1</v>
      </c>
      <c r="P1206" s="37">
        <v>0.9988</v>
      </c>
      <c r="Q1206">
        <v>1</v>
      </c>
      <c r="R1206">
        <v>500</v>
      </c>
      <c r="S1206">
        <v>500</v>
      </c>
      <c r="T1206">
        <v>500</v>
      </c>
      <c r="U1206" t="s">
        <v>3350</v>
      </c>
      <c r="Z1206" s="37">
        <v>0.01</v>
      </c>
      <c r="AA1206" s="37">
        <v>0.35</v>
      </c>
      <c r="AB1206">
        <v>0</v>
      </c>
    </row>
    <row r="1207">
      <c r="A1207" t="s">
        <v>3459</v>
      </c>
      <c r="B1207" t="s">
        <v>3442</v>
      </c>
      <c r="C1207" t="s">
        <v>3442</v>
      </c>
      <c r="D1207" t="s">
        <v>3460</v>
      </c>
      <c r="E1207" t="s">
        <v>3461</v>
      </c>
      <c r="F1207" t="s">
        <v>298</v>
      </c>
      <c r="G1207" t="s">
        <v>3462</v>
      </c>
      <c r="H1207" t="s">
        <v>3463</v>
      </c>
      <c r="I1207" t="s">
        <v>3466</v>
      </c>
      <c r="L1207" t="s">
        <v>3467</v>
      </c>
      <c r="M1207" s="37">
        <v>0.988</v>
      </c>
      <c r="N1207" s="37">
        <v>0.1</v>
      </c>
      <c r="O1207">
        <v>0.988</v>
      </c>
      <c r="P1207" s="37">
        <v>0.9988</v>
      </c>
      <c r="Q1207">
        <v>1</v>
      </c>
      <c r="R1207">
        <v>500</v>
      </c>
      <c r="S1207">
        <v>500</v>
      </c>
      <c r="T1207">
        <v>500</v>
      </c>
      <c r="U1207" t="s">
        <v>3350</v>
      </c>
      <c r="Z1207" s="37">
        <v>0.01</v>
      </c>
      <c r="AA1207" s="37">
        <v>0.35</v>
      </c>
      <c r="AB1207">
        <v>0</v>
      </c>
    </row>
    <row r="1208">
      <c r="A1208" t="s">
        <v>3459</v>
      </c>
      <c r="B1208" t="s">
        <v>3442</v>
      </c>
      <c r="C1208" t="s">
        <v>3442</v>
      </c>
      <c r="D1208" t="s">
        <v>3460</v>
      </c>
      <c r="E1208" t="s">
        <v>3461</v>
      </c>
      <c r="F1208" t="s">
        <v>298</v>
      </c>
      <c r="G1208" t="s">
        <v>3462</v>
      </c>
      <c r="H1208" t="s">
        <v>3463</v>
      </c>
      <c r="I1208" t="s">
        <v>3468</v>
      </c>
      <c r="L1208" t="s">
        <v>3469</v>
      </c>
      <c r="M1208" s="37">
        <v>1</v>
      </c>
      <c r="N1208" s="37">
        <v>0.2</v>
      </c>
      <c r="O1208">
        <v>1</v>
      </c>
      <c r="P1208" s="37">
        <v>0.9988</v>
      </c>
      <c r="Q1208">
        <v>1</v>
      </c>
      <c r="R1208">
        <v>500</v>
      </c>
      <c r="S1208">
        <v>500</v>
      </c>
      <c r="T1208">
        <v>500</v>
      </c>
      <c r="U1208" t="s">
        <v>3350</v>
      </c>
      <c r="Z1208" s="37">
        <v>0.01</v>
      </c>
      <c r="AA1208" s="37">
        <v>0.35</v>
      </c>
      <c r="AB1208">
        <v>0</v>
      </c>
    </row>
    <row r="1209">
      <c r="A1209" t="s">
        <v>3459</v>
      </c>
      <c r="B1209" t="s">
        <v>3442</v>
      </c>
      <c r="C1209" t="s">
        <v>3442</v>
      </c>
      <c r="D1209" t="s">
        <v>3460</v>
      </c>
      <c r="E1209" t="s">
        <v>3461</v>
      </c>
      <c r="F1209" t="s">
        <v>298</v>
      </c>
      <c r="G1209" t="s">
        <v>3462</v>
      </c>
      <c r="H1209" t="s">
        <v>3463</v>
      </c>
      <c r="I1209" t="s">
        <v>3470</v>
      </c>
      <c r="L1209" t="s">
        <v>3471</v>
      </c>
      <c r="M1209" s="37">
        <v>1</v>
      </c>
      <c r="N1209" s="37">
        <v>0.35</v>
      </c>
      <c r="O1209">
        <v>1</v>
      </c>
      <c r="P1209" s="37">
        <v>0.9988</v>
      </c>
      <c r="Q1209">
        <v>1</v>
      </c>
      <c r="R1209">
        <v>500</v>
      </c>
      <c r="S1209">
        <v>500</v>
      </c>
      <c r="T1209">
        <v>500</v>
      </c>
      <c r="U1209" t="s">
        <v>3350</v>
      </c>
      <c r="Z1209" s="37">
        <v>0.01</v>
      </c>
      <c r="AA1209" s="37">
        <v>0.35</v>
      </c>
      <c r="AB1209">
        <v>0</v>
      </c>
    </row>
    <row r="1210">
      <c r="A1210" t="s">
        <v>3459</v>
      </c>
      <c r="B1210" t="s">
        <v>3442</v>
      </c>
      <c r="C1210" t="s">
        <v>3442</v>
      </c>
      <c r="D1210" t="s">
        <v>3460</v>
      </c>
      <c r="E1210" t="s">
        <v>3461</v>
      </c>
      <c r="F1210" t="s">
        <v>298</v>
      </c>
      <c r="G1210" t="s">
        <v>3462</v>
      </c>
      <c r="H1210" t="s">
        <v>3463</v>
      </c>
      <c r="I1210" t="s">
        <v>3472</v>
      </c>
      <c r="L1210" t="s">
        <v>3473</v>
      </c>
      <c r="M1210" s="37">
        <v>1</v>
      </c>
      <c r="N1210" s="37">
        <v>0.1</v>
      </c>
      <c r="O1210">
        <v>1</v>
      </c>
      <c r="P1210" s="37">
        <v>0.9988</v>
      </c>
      <c r="Q1210">
        <v>1</v>
      </c>
      <c r="R1210">
        <v>500</v>
      </c>
      <c r="S1210">
        <v>500</v>
      </c>
      <c r="T1210">
        <v>500</v>
      </c>
      <c r="U1210" t="s">
        <v>3350</v>
      </c>
      <c r="Z1210" s="37">
        <v>0.01</v>
      </c>
      <c r="AA1210" s="37">
        <v>0.35</v>
      </c>
      <c r="AB1210">
        <v>0</v>
      </c>
    </row>
    <row r="1211">
      <c r="A1211" t="s">
        <v>3474</v>
      </c>
      <c r="B1211" t="s">
        <v>3475</v>
      </c>
      <c r="C1211" t="s">
        <v>3475</v>
      </c>
      <c r="D1211" t="s">
        <v>2699</v>
      </c>
      <c r="E1211" t="s">
        <v>3476</v>
      </c>
      <c r="F1211" t="s">
        <v>298</v>
      </c>
      <c r="G1211" t="s">
        <v>3477</v>
      </c>
      <c r="H1211" t="s">
        <v>3478</v>
      </c>
      <c r="I1211" t="s">
        <v>3479</v>
      </c>
      <c r="J1211" t="s">
        <v>3480</v>
      </c>
      <c r="K1211" t="s">
        <v>3481</v>
      </c>
      <c r="L1211" t="s">
        <v>3473</v>
      </c>
      <c r="M1211" s="37">
        <v>1.11</v>
      </c>
      <c r="N1211" s="37">
        <v>0.3</v>
      </c>
      <c r="O1211">
        <v>1.1</v>
      </c>
      <c r="P1211" s="37">
        <v>0.833</v>
      </c>
      <c r="Q1211">
        <v>0.83</v>
      </c>
      <c r="R1211">
        <v>3969.6</v>
      </c>
      <c r="S1211">
        <v>3969.6</v>
      </c>
      <c r="T1211">
        <v>3000</v>
      </c>
      <c r="U1211" t="s">
        <v>3350</v>
      </c>
      <c r="Z1211" s="37">
        <v>0.01</v>
      </c>
      <c r="AA1211" s="37">
        <v>0.35</v>
      </c>
      <c r="AB1211">
        <v>0</v>
      </c>
    </row>
    <row r="1212">
      <c r="A1212" t="s">
        <v>3474</v>
      </c>
      <c r="B1212" t="s">
        <v>3475</v>
      </c>
      <c r="C1212" t="s">
        <v>3475</v>
      </c>
      <c r="D1212" t="s">
        <v>2699</v>
      </c>
      <c r="E1212" t="s">
        <v>3476</v>
      </c>
      <c r="F1212" t="s">
        <v>298</v>
      </c>
      <c r="G1212" t="s">
        <v>3477</v>
      </c>
      <c r="H1212" t="s">
        <v>3482</v>
      </c>
      <c r="I1212" t="s">
        <v>3483</v>
      </c>
      <c r="J1212" t="s">
        <v>586</v>
      </c>
      <c r="K1212" t="s">
        <v>586</v>
      </c>
      <c r="L1212" t="s">
        <v>3473</v>
      </c>
      <c r="M1212" s="37">
        <v>1</v>
      </c>
      <c r="N1212" s="37">
        <v>0.3</v>
      </c>
      <c r="O1212">
        <v>1</v>
      </c>
      <c r="P1212" s="37">
        <v>0.833</v>
      </c>
      <c r="Q1212">
        <v>0.83</v>
      </c>
      <c r="R1212">
        <v>3969.6</v>
      </c>
      <c r="S1212">
        <v>3969.6</v>
      </c>
      <c r="T1212">
        <v>3000</v>
      </c>
      <c r="U1212" t="s">
        <v>3350</v>
      </c>
      <c r="Z1212" s="37">
        <v>0.01</v>
      </c>
      <c r="AA1212" s="37">
        <v>0.35</v>
      </c>
      <c r="AB1212">
        <v>0</v>
      </c>
    </row>
    <row r="1213">
      <c r="A1213" t="s">
        <v>3474</v>
      </c>
      <c r="B1213" t="s">
        <v>3475</v>
      </c>
      <c r="C1213" t="s">
        <v>3475</v>
      </c>
      <c r="D1213" t="s">
        <v>2699</v>
      </c>
      <c r="E1213" t="s">
        <v>3476</v>
      </c>
      <c r="F1213" t="s">
        <v>298</v>
      </c>
      <c r="G1213" t="s">
        <v>3477</v>
      </c>
      <c r="H1213" t="s">
        <v>3484</v>
      </c>
      <c r="I1213" t="s">
        <v>3485</v>
      </c>
      <c r="J1213" t="s">
        <v>3486</v>
      </c>
      <c r="K1213" t="s">
        <v>3487</v>
      </c>
      <c r="L1213" t="s">
        <v>3473</v>
      </c>
      <c r="M1213" s="37">
        <v>1</v>
      </c>
      <c r="N1213" s="37">
        <v>0.2</v>
      </c>
      <c r="O1213">
        <v>1</v>
      </c>
      <c r="P1213" s="37">
        <v>0.833</v>
      </c>
      <c r="Q1213">
        <v>0.83</v>
      </c>
      <c r="R1213">
        <v>3969.6</v>
      </c>
      <c r="S1213">
        <v>3969.6</v>
      </c>
      <c r="T1213">
        <v>3000</v>
      </c>
      <c r="U1213" t="s">
        <v>3350</v>
      </c>
      <c r="Z1213" s="37">
        <v>0.01</v>
      </c>
      <c r="AA1213" s="37">
        <v>0.35</v>
      </c>
      <c r="AB1213">
        <v>0</v>
      </c>
    </row>
    <row r="1214">
      <c r="A1214" t="s">
        <v>3474</v>
      </c>
      <c r="B1214" t="s">
        <v>3475</v>
      </c>
      <c r="C1214" t="s">
        <v>3475</v>
      </c>
      <c r="D1214" t="s">
        <v>2699</v>
      </c>
      <c r="E1214" t="s">
        <v>3476</v>
      </c>
      <c r="F1214" t="s">
        <v>298</v>
      </c>
      <c r="G1214" t="s">
        <v>3477</v>
      </c>
      <c r="H1214" t="s">
        <v>3478</v>
      </c>
      <c r="I1214" t="s">
        <v>3488</v>
      </c>
      <c r="J1214">
        <v>1</v>
      </c>
      <c r="K1214" s="37">
        <v>0.837</v>
      </c>
      <c r="M1214" s="37">
        <v>0</v>
      </c>
      <c r="N1214" s="37">
        <v>0.2</v>
      </c>
      <c r="O1214">
        <v>0</v>
      </c>
      <c r="P1214" s="37">
        <v>0.833</v>
      </c>
      <c r="Q1214">
        <v>0.83</v>
      </c>
      <c r="R1214">
        <v>3969.6</v>
      </c>
      <c r="S1214">
        <v>3969.6</v>
      </c>
      <c r="T1214">
        <v>3000</v>
      </c>
      <c r="U1214" t="s">
        <v>3350</v>
      </c>
      <c r="Z1214" s="37">
        <v>0.01</v>
      </c>
      <c r="AA1214" s="37">
        <v>0.35</v>
      </c>
      <c r="AB1214">
        <v>0</v>
      </c>
    </row>
    <row r="1215">
      <c r="A1215" t="s">
        <v>3489</v>
      </c>
      <c r="B1215" t="s">
        <v>3475</v>
      </c>
      <c r="C1215" t="s">
        <v>3475</v>
      </c>
      <c r="D1215" t="s">
        <v>2699</v>
      </c>
      <c r="E1215" t="s">
        <v>3490</v>
      </c>
      <c r="F1215" t="s">
        <v>298</v>
      </c>
      <c r="G1215" t="s">
        <v>3477</v>
      </c>
      <c r="H1215" t="s">
        <v>3478</v>
      </c>
      <c r="J1215" t="s">
        <v>3491</v>
      </c>
      <c r="K1215" t="s">
        <v>3492</v>
      </c>
      <c r="L1215" t="s">
        <v>3493</v>
      </c>
      <c r="M1215" s="37">
        <v>0.481</v>
      </c>
      <c r="N1215" s="37">
        <v>0.3</v>
      </c>
      <c r="O1215">
        <v>0.48</v>
      </c>
      <c r="P1215" s="37">
        <v>0.8063</v>
      </c>
      <c r="Q1215">
        <v>0.64</v>
      </c>
      <c r="R1215">
        <v>2178.6</v>
      </c>
      <c r="S1215">
        <v>2178.6</v>
      </c>
      <c r="T1215">
        <v>3000</v>
      </c>
      <c r="U1215" t="s">
        <v>3350</v>
      </c>
      <c r="Z1215" s="37">
        <v>0.01</v>
      </c>
      <c r="AA1215" s="37">
        <v>0.35</v>
      </c>
      <c r="AB1215">
        <v>0</v>
      </c>
    </row>
    <row r="1216">
      <c r="A1216" t="s">
        <v>3489</v>
      </c>
      <c r="B1216" t="s">
        <v>3475</v>
      </c>
      <c r="C1216" t="s">
        <v>3475</v>
      </c>
      <c r="D1216" t="s">
        <v>2699</v>
      </c>
      <c r="E1216" t="s">
        <v>3490</v>
      </c>
      <c r="F1216" t="s">
        <v>298</v>
      </c>
      <c r="G1216" t="s">
        <v>3477</v>
      </c>
      <c r="H1216" t="s">
        <v>3482</v>
      </c>
      <c r="I1216" t="s">
        <v>3494</v>
      </c>
      <c r="J1216">
        <v>2</v>
      </c>
      <c r="K1216">
        <v>1</v>
      </c>
      <c r="L1216" t="s">
        <v>3495</v>
      </c>
      <c r="M1216" s="37">
        <v>1</v>
      </c>
      <c r="N1216" s="37">
        <v>0.3</v>
      </c>
      <c r="O1216">
        <v>1</v>
      </c>
      <c r="P1216" s="37">
        <v>0.8063</v>
      </c>
      <c r="Q1216">
        <v>0.64</v>
      </c>
      <c r="R1216">
        <v>2178.6</v>
      </c>
      <c r="S1216">
        <v>2178.6</v>
      </c>
      <c r="T1216">
        <v>3000</v>
      </c>
      <c r="U1216" t="s">
        <v>3350</v>
      </c>
      <c r="Z1216" s="37">
        <v>0.01</v>
      </c>
      <c r="AA1216" s="37">
        <v>0.35</v>
      </c>
      <c r="AB1216">
        <v>0</v>
      </c>
    </row>
    <row r="1217">
      <c r="A1217" t="s">
        <v>3489</v>
      </c>
      <c r="B1217" t="s">
        <v>3475</v>
      </c>
      <c r="C1217" t="s">
        <v>3475</v>
      </c>
      <c r="D1217" t="s">
        <v>2699</v>
      </c>
      <c r="E1217" t="s">
        <v>3490</v>
      </c>
      <c r="F1217" t="s">
        <v>298</v>
      </c>
      <c r="G1217" t="s">
        <v>3477</v>
      </c>
      <c r="H1217" t="s">
        <v>3484</v>
      </c>
      <c r="I1217" t="s">
        <v>3496</v>
      </c>
      <c r="J1217">
        <v>1</v>
      </c>
      <c r="K1217">
        <v>1</v>
      </c>
      <c r="L1217" t="s">
        <v>3497</v>
      </c>
      <c r="M1217" s="37">
        <v>1</v>
      </c>
      <c r="N1217" s="37">
        <v>0.2</v>
      </c>
      <c r="O1217">
        <v>1</v>
      </c>
      <c r="P1217" s="37">
        <v>0.8063</v>
      </c>
      <c r="Q1217">
        <v>0.64</v>
      </c>
      <c r="R1217">
        <v>2178.6</v>
      </c>
      <c r="S1217">
        <v>2178.6</v>
      </c>
      <c r="T1217">
        <v>3000</v>
      </c>
      <c r="U1217" t="s">
        <v>3350</v>
      </c>
      <c r="Z1217" s="37">
        <v>0.01</v>
      </c>
      <c r="AA1217" s="37">
        <v>0.35</v>
      </c>
      <c r="AB1217">
        <v>0</v>
      </c>
    </row>
    <row r="1218">
      <c r="A1218" t="s">
        <v>3489</v>
      </c>
      <c r="B1218" t="s">
        <v>3475</v>
      </c>
      <c r="C1218" t="s">
        <v>3475</v>
      </c>
      <c r="D1218" t="s">
        <v>2699</v>
      </c>
      <c r="E1218" t="s">
        <v>3490</v>
      </c>
      <c r="F1218" t="s">
        <v>298</v>
      </c>
      <c r="G1218" t="s">
        <v>3477</v>
      </c>
      <c r="H1218" t="s">
        <v>3498</v>
      </c>
      <c r="I1218" t="s">
        <v>3499</v>
      </c>
      <c r="J1218">
        <v>1</v>
      </c>
      <c r="K1218" t="s">
        <v>3500</v>
      </c>
      <c r="L1218" t="s">
        <v>3497</v>
      </c>
      <c r="M1218" s="37">
        <v>0.81</v>
      </c>
      <c r="N1218" s="37">
        <v>0.2</v>
      </c>
      <c r="O1218">
        <v>0</v>
      </c>
      <c r="P1218" s="37">
        <v>0.8063</v>
      </c>
      <c r="Q1218">
        <v>0.64</v>
      </c>
      <c r="R1218">
        <v>2178.6</v>
      </c>
      <c r="S1218">
        <v>2178.6</v>
      </c>
      <c r="T1218">
        <v>3000</v>
      </c>
      <c r="U1218" t="s">
        <v>3350</v>
      </c>
      <c r="Z1218" s="37">
        <v>0.01</v>
      </c>
      <c r="AA1218" s="37">
        <v>0.35</v>
      </c>
      <c r="AB1218">
        <v>0</v>
      </c>
    </row>
    <row r="1219">
      <c r="A1219" t="s">
        <v>3501</v>
      </c>
      <c r="B1219" t="s">
        <v>3475</v>
      </c>
      <c r="C1219" t="s">
        <v>3475</v>
      </c>
      <c r="D1219" t="s">
        <v>2699</v>
      </c>
      <c r="E1219" t="s">
        <v>3502</v>
      </c>
      <c r="F1219" t="s">
        <v>298</v>
      </c>
      <c r="G1219" t="s">
        <v>3477</v>
      </c>
      <c r="H1219" t="s">
        <v>3478</v>
      </c>
      <c r="I1219" t="s">
        <v>3503</v>
      </c>
      <c r="J1219" t="s">
        <v>3504</v>
      </c>
      <c r="K1219" t="s">
        <v>3505</v>
      </c>
      <c r="L1219" t="s">
        <v>3506</v>
      </c>
      <c r="M1219" s="37">
        <v>0.6832</v>
      </c>
      <c r="N1219" s="37">
        <v>0.3</v>
      </c>
      <c r="O1219">
        <v>0.68</v>
      </c>
      <c r="P1219" s="37">
        <v>0.70496</v>
      </c>
      <c r="Q1219">
        <v>0.7</v>
      </c>
      <c r="R1219">
        <v>2851.8</v>
      </c>
      <c r="S1219">
        <v>2851.8</v>
      </c>
      <c r="T1219">
        <v>3000</v>
      </c>
      <c r="U1219" t="s">
        <v>3350</v>
      </c>
      <c r="Z1219" s="37">
        <v>0.01</v>
      </c>
      <c r="AA1219" s="37">
        <v>0.35</v>
      </c>
      <c r="AB1219">
        <v>0</v>
      </c>
    </row>
    <row r="1220">
      <c r="A1220" t="s">
        <v>3501</v>
      </c>
      <c r="B1220" t="s">
        <v>3475</v>
      </c>
      <c r="C1220" t="s">
        <v>3475</v>
      </c>
      <c r="D1220" t="s">
        <v>2699</v>
      </c>
      <c r="E1220" t="s">
        <v>3502</v>
      </c>
      <c r="F1220" t="s">
        <v>298</v>
      </c>
      <c r="G1220" t="s">
        <v>3477</v>
      </c>
      <c r="H1220" t="s">
        <v>3482</v>
      </c>
      <c r="I1220" t="s">
        <v>3507</v>
      </c>
      <c r="J1220" t="s">
        <v>586</v>
      </c>
      <c r="K1220" t="s">
        <v>1459</v>
      </c>
      <c r="L1220" t="s">
        <v>3508</v>
      </c>
      <c r="M1220" s="37">
        <v>1</v>
      </c>
      <c r="N1220" s="37">
        <v>0.3</v>
      </c>
      <c r="O1220">
        <v>1</v>
      </c>
      <c r="P1220" s="37">
        <v>0.70496</v>
      </c>
      <c r="Q1220">
        <v>0.7</v>
      </c>
      <c r="R1220">
        <v>2851.8</v>
      </c>
      <c r="S1220">
        <v>2851.8</v>
      </c>
      <c r="T1220">
        <v>3000</v>
      </c>
      <c r="U1220" t="s">
        <v>3350</v>
      </c>
      <c r="Z1220" s="37">
        <v>0.01</v>
      </c>
      <c r="AA1220" s="37">
        <v>0.35</v>
      </c>
      <c r="AB1220">
        <v>0</v>
      </c>
    </row>
    <row r="1221">
      <c r="A1221" t="s">
        <v>3501</v>
      </c>
      <c r="B1221" t="s">
        <v>3475</v>
      </c>
      <c r="C1221" t="s">
        <v>3475</v>
      </c>
      <c r="D1221" t="s">
        <v>2699</v>
      </c>
      <c r="E1221" t="s">
        <v>3502</v>
      </c>
      <c r="F1221" t="s">
        <v>298</v>
      </c>
      <c r="G1221" t="s">
        <v>3477</v>
      </c>
      <c r="H1221" t="s">
        <v>3484</v>
      </c>
      <c r="I1221" t="s">
        <v>3509</v>
      </c>
      <c r="J1221" t="s">
        <v>588</v>
      </c>
      <c r="K1221" t="s">
        <v>588</v>
      </c>
      <c r="L1221" t="s">
        <v>3510</v>
      </c>
      <c r="M1221" s="37">
        <v>1</v>
      </c>
      <c r="N1221" s="37">
        <v>0.2</v>
      </c>
      <c r="O1221">
        <v>1</v>
      </c>
      <c r="P1221" s="37">
        <v>0.70496</v>
      </c>
      <c r="Q1221">
        <v>0.7</v>
      </c>
      <c r="R1221">
        <v>2851.8</v>
      </c>
      <c r="S1221">
        <v>2851.8</v>
      </c>
      <c r="T1221">
        <v>3000</v>
      </c>
      <c r="U1221" t="s">
        <v>3350</v>
      </c>
      <c r="Z1221" s="37">
        <v>0.01</v>
      </c>
      <c r="AA1221" s="37">
        <v>0.35</v>
      </c>
      <c r="AB1221">
        <v>0</v>
      </c>
    </row>
    <row r="1222">
      <c r="A1222" t="s">
        <v>3501</v>
      </c>
      <c r="B1222" t="s">
        <v>3475</v>
      </c>
      <c r="C1222" t="s">
        <v>3475</v>
      </c>
      <c r="D1222" t="s">
        <v>2699</v>
      </c>
      <c r="E1222" t="s">
        <v>3502</v>
      </c>
      <c r="F1222" t="s">
        <v>298</v>
      </c>
      <c r="G1222" t="s">
        <v>3477</v>
      </c>
      <c r="H1222" t="s">
        <v>3498</v>
      </c>
      <c r="I1222" t="s">
        <v>3511</v>
      </c>
      <c r="J1222" s="38">
        <v>0.9</v>
      </c>
      <c r="K1222" s="38">
        <v>0.65</v>
      </c>
      <c r="L1222" t="s">
        <v>3512</v>
      </c>
      <c r="M1222" s="37">
        <v>0</v>
      </c>
      <c r="N1222" s="37">
        <v>0.2</v>
      </c>
      <c r="O1222">
        <v>0</v>
      </c>
      <c r="P1222" s="37">
        <v>0.70496</v>
      </c>
      <c r="Q1222">
        <v>0.7</v>
      </c>
      <c r="R1222">
        <v>2851.8</v>
      </c>
      <c r="S1222">
        <v>2851.8</v>
      </c>
      <c r="T1222">
        <v>3000</v>
      </c>
      <c r="U1222" t="s">
        <v>3350</v>
      </c>
      <c r="Z1222" s="37">
        <v>0.01</v>
      </c>
      <c r="AA1222" s="37">
        <v>0.35</v>
      </c>
      <c r="AB1222">
        <v>0</v>
      </c>
    </row>
    <row r="1223">
      <c r="A1223" t="s">
        <v>3513</v>
      </c>
      <c r="B1223" t="s">
        <v>3475</v>
      </c>
      <c r="C1223" t="s">
        <v>3475</v>
      </c>
      <c r="D1223" t="s">
        <v>2765</v>
      </c>
      <c r="E1223" t="s">
        <v>3514</v>
      </c>
      <c r="F1223" t="s">
        <v>298</v>
      </c>
      <c r="G1223" t="s">
        <v>2765</v>
      </c>
      <c r="H1223" t="s">
        <v>3515</v>
      </c>
      <c r="I1223" t="s">
        <v>3516</v>
      </c>
      <c r="K1223">
        <v>100</v>
      </c>
      <c r="L1223" t="s">
        <v>3516</v>
      </c>
      <c r="M1223" s="37">
        <v>1</v>
      </c>
      <c r="N1223" s="37">
        <v>0.3</v>
      </c>
      <c r="O1223">
        <v>1</v>
      </c>
      <c r="P1223" s="37">
        <v>1</v>
      </c>
      <c r="Q1223">
        <v>1</v>
      </c>
      <c r="R1223">
        <v>2000</v>
      </c>
      <c r="S1223">
        <v>2000</v>
      </c>
      <c r="T1223">
        <v>2000</v>
      </c>
      <c r="U1223" t="s">
        <v>3350</v>
      </c>
      <c r="Z1223" s="37">
        <v>0.01</v>
      </c>
      <c r="AA1223" s="37">
        <v>0.35</v>
      </c>
      <c r="AB1223">
        <v>0</v>
      </c>
    </row>
    <row r="1224">
      <c r="A1224" t="s">
        <v>3513</v>
      </c>
      <c r="B1224" t="s">
        <v>3475</v>
      </c>
      <c r="C1224" t="s">
        <v>3475</v>
      </c>
      <c r="D1224" t="s">
        <v>2765</v>
      </c>
      <c r="E1224" t="s">
        <v>3514</v>
      </c>
      <c r="F1224" t="s">
        <v>298</v>
      </c>
      <c r="G1224" t="s">
        <v>2765</v>
      </c>
      <c r="H1224" t="s">
        <v>3517</v>
      </c>
      <c r="I1224" t="s">
        <v>3518</v>
      </c>
      <c r="K1224">
        <v>100</v>
      </c>
      <c r="L1224" t="s">
        <v>3519</v>
      </c>
      <c r="M1224" s="37">
        <v>1</v>
      </c>
      <c r="N1224" s="37">
        <v>0.3</v>
      </c>
      <c r="O1224">
        <v>1</v>
      </c>
      <c r="P1224" s="37">
        <v>1</v>
      </c>
      <c r="Q1224">
        <v>1</v>
      </c>
      <c r="R1224">
        <v>2000</v>
      </c>
      <c r="S1224">
        <v>2000</v>
      </c>
      <c r="T1224">
        <v>2000</v>
      </c>
      <c r="U1224" t="s">
        <v>3350</v>
      </c>
      <c r="Z1224" s="37">
        <v>0.01</v>
      </c>
      <c r="AA1224" s="37">
        <v>0.35</v>
      </c>
      <c r="AB1224">
        <v>0</v>
      </c>
    </row>
    <row r="1225">
      <c r="A1225" t="s">
        <v>3513</v>
      </c>
      <c r="B1225" t="s">
        <v>3475</v>
      </c>
      <c r="C1225" t="s">
        <v>3475</v>
      </c>
      <c r="D1225" t="s">
        <v>2765</v>
      </c>
      <c r="E1225" t="s">
        <v>3514</v>
      </c>
      <c r="F1225" t="s">
        <v>298</v>
      </c>
      <c r="G1225" t="s">
        <v>2765</v>
      </c>
      <c r="H1225" t="s">
        <v>3520</v>
      </c>
      <c r="I1225" t="s">
        <v>3521</v>
      </c>
      <c r="K1225">
        <v>100</v>
      </c>
      <c r="L1225" t="s">
        <v>3522</v>
      </c>
      <c r="M1225" s="37">
        <v>1</v>
      </c>
      <c r="N1225" s="37">
        <v>0.2</v>
      </c>
      <c r="O1225">
        <v>1</v>
      </c>
      <c r="P1225" s="37">
        <v>1</v>
      </c>
      <c r="Q1225">
        <v>1</v>
      </c>
      <c r="R1225">
        <v>2000</v>
      </c>
      <c r="S1225">
        <v>2000</v>
      </c>
      <c r="T1225">
        <v>2000</v>
      </c>
      <c r="U1225" t="s">
        <v>3350</v>
      </c>
      <c r="Z1225" s="37">
        <v>0.01</v>
      </c>
      <c r="AA1225" s="37">
        <v>0.35</v>
      </c>
      <c r="AB1225">
        <v>0</v>
      </c>
    </row>
    <row r="1226">
      <c r="A1226" t="s">
        <v>3513</v>
      </c>
      <c r="B1226" t="s">
        <v>3475</v>
      </c>
      <c r="C1226" t="s">
        <v>3475</v>
      </c>
      <c r="D1226" t="s">
        <v>2765</v>
      </c>
      <c r="E1226" t="s">
        <v>3514</v>
      </c>
      <c r="F1226" t="s">
        <v>298</v>
      </c>
      <c r="G1226" t="s">
        <v>2765</v>
      </c>
      <c r="H1226" t="s">
        <v>3523</v>
      </c>
      <c r="I1226" t="s">
        <v>3524</v>
      </c>
      <c r="K1226">
        <v>100</v>
      </c>
      <c r="L1226" t="s">
        <v>3525</v>
      </c>
      <c r="M1226" s="37">
        <v>1</v>
      </c>
      <c r="N1226" s="37">
        <v>0.2</v>
      </c>
      <c r="O1226">
        <v>1</v>
      </c>
      <c r="P1226" s="37">
        <v>1</v>
      </c>
      <c r="Q1226">
        <v>1</v>
      </c>
      <c r="R1226">
        <v>2000</v>
      </c>
      <c r="S1226">
        <v>2000</v>
      </c>
      <c r="T1226">
        <v>2000</v>
      </c>
      <c r="U1226" t="s">
        <v>3350</v>
      </c>
      <c r="Z1226" s="37">
        <v>0.01</v>
      </c>
      <c r="AA1226" s="37">
        <v>0.35</v>
      </c>
      <c r="AB1226">
        <v>0</v>
      </c>
    </row>
    <row r="1227">
      <c r="A1227" t="s">
        <v>3526</v>
      </c>
      <c r="B1227" t="s">
        <v>3527</v>
      </c>
      <c r="C1227" t="s">
        <v>3527</v>
      </c>
      <c r="D1227" t="s">
        <v>2521</v>
      </c>
      <c r="E1227" t="s">
        <v>3528</v>
      </c>
      <c r="F1227" t="s">
        <v>298</v>
      </c>
      <c r="G1227" t="s">
        <v>3529</v>
      </c>
      <c r="H1227" t="s">
        <v>3530</v>
      </c>
      <c r="I1227" t="s">
        <v>3531</v>
      </c>
      <c r="J1227" t="s">
        <v>3532</v>
      </c>
      <c r="K1227" t="s">
        <v>3533</v>
      </c>
      <c r="L1227" t="s">
        <v>3525</v>
      </c>
      <c r="M1227" s="37">
        <v>0.929655</v>
      </c>
      <c r="N1227" s="37">
        <v>0.2</v>
      </c>
      <c r="O1227">
        <v>0.9297</v>
      </c>
      <c r="P1227" s="37">
        <v>1.100201</v>
      </c>
      <c r="Q1227">
        <v>0.98</v>
      </c>
      <c r="R1227">
        <v>7000</v>
      </c>
      <c r="S1227">
        <v>7000</v>
      </c>
      <c r="T1227">
        <v>5000</v>
      </c>
      <c r="U1227" t="s">
        <v>3350</v>
      </c>
      <c r="Z1227" s="37">
        <v>0.01</v>
      </c>
      <c r="AA1227" s="37">
        <v>0.35</v>
      </c>
      <c r="AB1227">
        <v>0</v>
      </c>
    </row>
    <row r="1228">
      <c r="A1228" t="s">
        <v>3526</v>
      </c>
      <c r="B1228" t="s">
        <v>3527</v>
      </c>
      <c r="C1228" t="s">
        <v>3527</v>
      </c>
      <c r="D1228" t="s">
        <v>2521</v>
      </c>
      <c r="E1228" t="s">
        <v>3528</v>
      </c>
      <c r="F1228" t="s">
        <v>298</v>
      </c>
      <c r="G1228" t="s">
        <v>3529</v>
      </c>
      <c r="H1228" t="s">
        <v>3534</v>
      </c>
      <c r="I1228" t="s">
        <v>3535</v>
      </c>
      <c r="J1228" t="s">
        <v>2930</v>
      </c>
      <c r="K1228" t="s">
        <v>3536</v>
      </c>
      <c r="L1228" t="s">
        <v>3525</v>
      </c>
      <c r="M1228" s="37">
        <v>0.9872</v>
      </c>
      <c r="N1228" s="37">
        <v>0.35</v>
      </c>
      <c r="O1228">
        <v>0.9872</v>
      </c>
      <c r="P1228" s="37">
        <v>1.100201</v>
      </c>
      <c r="Q1228">
        <v>0.98</v>
      </c>
      <c r="R1228">
        <v>7000</v>
      </c>
      <c r="S1228">
        <v>7000</v>
      </c>
      <c r="T1228">
        <v>5000</v>
      </c>
      <c r="U1228" t="s">
        <v>3350</v>
      </c>
      <c r="Z1228" s="37">
        <v>0.01</v>
      </c>
      <c r="AA1228" s="37">
        <v>0.35</v>
      </c>
      <c r="AB1228">
        <v>0</v>
      </c>
    </row>
    <row r="1229">
      <c r="A1229" t="s">
        <v>3526</v>
      </c>
      <c r="B1229" t="s">
        <v>3527</v>
      </c>
      <c r="C1229" t="s">
        <v>3527</v>
      </c>
      <c r="D1229" t="s">
        <v>2521</v>
      </c>
      <c r="E1229" t="s">
        <v>3528</v>
      </c>
      <c r="F1229" t="s">
        <v>298</v>
      </c>
      <c r="G1229" t="s">
        <v>3529</v>
      </c>
      <c r="H1229" t="s">
        <v>3537</v>
      </c>
      <c r="I1229" t="s">
        <v>3538</v>
      </c>
      <c r="J1229" t="s">
        <v>3539</v>
      </c>
      <c r="K1229" t="s">
        <v>3540</v>
      </c>
      <c r="L1229" t="s">
        <v>3525</v>
      </c>
      <c r="M1229" s="37">
        <v>1.93</v>
      </c>
      <c r="N1229" s="37">
        <v>0.2</v>
      </c>
      <c r="O1229">
        <v>1.5</v>
      </c>
      <c r="P1229" s="37">
        <v>1.100201</v>
      </c>
      <c r="Q1229">
        <v>0.98</v>
      </c>
      <c r="R1229">
        <v>7000</v>
      </c>
      <c r="S1229">
        <v>7000</v>
      </c>
      <c r="T1229">
        <v>5000</v>
      </c>
      <c r="U1229" t="s">
        <v>3350</v>
      </c>
      <c r="Z1229" s="37">
        <v>0.01</v>
      </c>
      <c r="AA1229" s="37">
        <v>0.35</v>
      </c>
      <c r="AB1229">
        <v>0</v>
      </c>
    </row>
    <row r="1230">
      <c r="A1230" t="s">
        <v>3526</v>
      </c>
      <c r="B1230" t="s">
        <v>3527</v>
      </c>
      <c r="C1230" t="s">
        <v>3527</v>
      </c>
      <c r="D1230" t="s">
        <v>2521</v>
      </c>
      <c r="E1230" t="s">
        <v>3528</v>
      </c>
      <c r="F1230" t="s">
        <v>298</v>
      </c>
      <c r="G1230" t="s">
        <v>3529</v>
      </c>
      <c r="H1230" t="s">
        <v>3541</v>
      </c>
      <c r="I1230" t="s">
        <v>3542</v>
      </c>
      <c r="J1230" t="s">
        <v>3543</v>
      </c>
      <c r="K1230" t="s">
        <v>3544</v>
      </c>
      <c r="L1230" t="s">
        <v>3525</v>
      </c>
      <c r="M1230" s="37">
        <v>0.731</v>
      </c>
      <c r="N1230" s="37">
        <v>0.25</v>
      </c>
      <c r="O1230">
        <v>0.5847</v>
      </c>
      <c r="P1230" s="37">
        <v>1.100201</v>
      </c>
      <c r="Q1230">
        <v>0.98</v>
      </c>
      <c r="R1230">
        <v>7000</v>
      </c>
      <c r="S1230">
        <v>7000</v>
      </c>
      <c r="T1230">
        <v>5000</v>
      </c>
      <c r="U1230" t="s">
        <v>3350</v>
      </c>
      <c r="Z1230" s="37">
        <v>0.01</v>
      </c>
      <c r="AA1230" s="37">
        <v>0.35</v>
      </c>
      <c r="AB1230">
        <v>0</v>
      </c>
    </row>
    <row r="1231">
      <c r="A1231" t="s">
        <v>3545</v>
      </c>
      <c r="B1231" t="s">
        <v>3527</v>
      </c>
      <c r="C1231" t="s">
        <v>3527</v>
      </c>
      <c r="D1231" t="s">
        <v>359</v>
      </c>
      <c r="E1231" t="s">
        <v>3546</v>
      </c>
      <c r="F1231" t="s">
        <v>298</v>
      </c>
      <c r="G1231" t="s">
        <v>3529</v>
      </c>
      <c r="H1231" t="s">
        <v>3530</v>
      </c>
      <c r="I1231" t="s">
        <v>3547</v>
      </c>
      <c r="J1231" t="s">
        <v>3548</v>
      </c>
      <c r="K1231" t="s">
        <v>3549</v>
      </c>
      <c r="L1231" t="s">
        <v>3550</v>
      </c>
      <c r="M1231" s="37">
        <v>0.9992</v>
      </c>
      <c r="N1231" s="37">
        <v>0.3</v>
      </c>
      <c r="O1231">
        <v>0.9992</v>
      </c>
      <c r="P1231" s="37">
        <v>0.84986</v>
      </c>
      <c r="Q1231">
        <v>0.8</v>
      </c>
      <c r="R1231">
        <v>5000</v>
      </c>
      <c r="S1231">
        <v>5000</v>
      </c>
      <c r="T1231">
        <v>5000</v>
      </c>
      <c r="U1231" t="s">
        <v>3350</v>
      </c>
      <c r="Z1231" s="37">
        <v>0.01</v>
      </c>
      <c r="AA1231" s="37">
        <v>0.35</v>
      </c>
      <c r="AB1231">
        <v>0</v>
      </c>
    </row>
    <row r="1232">
      <c r="A1232" t="s">
        <v>3545</v>
      </c>
      <c r="B1232" t="s">
        <v>3527</v>
      </c>
      <c r="C1232" t="s">
        <v>3527</v>
      </c>
      <c r="D1232" t="s">
        <v>359</v>
      </c>
      <c r="E1232" t="s">
        <v>3546</v>
      </c>
      <c r="F1232" t="s">
        <v>298</v>
      </c>
      <c r="G1232" t="s">
        <v>3529</v>
      </c>
      <c r="H1232" t="s">
        <v>3551</v>
      </c>
      <c r="I1232" t="s">
        <v>3552</v>
      </c>
      <c r="J1232" t="s">
        <v>3553</v>
      </c>
      <c r="K1232" t="s">
        <v>3554</v>
      </c>
      <c r="L1232" t="s">
        <v>3550</v>
      </c>
      <c r="M1232" s="37">
        <v>1.027</v>
      </c>
      <c r="N1232" s="37">
        <v>0.15</v>
      </c>
      <c r="O1232">
        <v>1</v>
      </c>
      <c r="P1232" s="37">
        <v>0.84986</v>
      </c>
      <c r="Q1232">
        <v>0.8</v>
      </c>
      <c r="R1232">
        <v>5000</v>
      </c>
      <c r="S1232">
        <v>5000</v>
      </c>
      <c r="T1232">
        <v>5000</v>
      </c>
      <c r="U1232" t="s">
        <v>3350</v>
      </c>
      <c r="Z1232" s="37">
        <v>0.01</v>
      </c>
      <c r="AA1232" s="37">
        <v>0.35</v>
      </c>
      <c r="AB1232">
        <v>0</v>
      </c>
    </row>
    <row r="1233">
      <c r="A1233" t="s">
        <v>3545</v>
      </c>
      <c r="B1233" t="s">
        <v>3527</v>
      </c>
      <c r="C1233" t="s">
        <v>3527</v>
      </c>
      <c r="D1233" t="s">
        <v>359</v>
      </c>
      <c r="E1233" t="s">
        <v>3546</v>
      </c>
      <c r="F1233" t="s">
        <v>298</v>
      </c>
      <c r="G1233" t="s">
        <v>3529</v>
      </c>
      <c r="H1233" t="s">
        <v>3551</v>
      </c>
      <c r="I1233" t="s">
        <v>3555</v>
      </c>
      <c r="J1233" t="s">
        <v>2502</v>
      </c>
      <c r="K1233" t="s">
        <v>3556</v>
      </c>
      <c r="L1233" t="s">
        <v>3550</v>
      </c>
      <c r="M1233" s="37">
        <v>1.613</v>
      </c>
      <c r="N1233" s="37">
        <v>0.15</v>
      </c>
      <c r="O1233">
        <v>1.5</v>
      </c>
      <c r="P1233" s="37">
        <v>0.84986</v>
      </c>
      <c r="Q1233">
        <v>0.8</v>
      </c>
      <c r="R1233">
        <v>5000</v>
      </c>
      <c r="S1233">
        <v>5000</v>
      </c>
      <c r="T1233">
        <v>5000</v>
      </c>
      <c r="U1233" t="s">
        <v>3350</v>
      </c>
      <c r="Z1233" s="37">
        <v>0.01</v>
      </c>
      <c r="AA1233" s="37">
        <v>0.35</v>
      </c>
      <c r="AB1233">
        <v>0</v>
      </c>
    </row>
    <row r="1234">
      <c r="A1234" t="s">
        <v>3545</v>
      </c>
      <c r="B1234" t="s">
        <v>3527</v>
      </c>
      <c r="C1234" t="s">
        <v>3527</v>
      </c>
      <c r="D1234" t="s">
        <v>359</v>
      </c>
      <c r="E1234" t="s">
        <v>3546</v>
      </c>
      <c r="F1234" t="s">
        <v>298</v>
      </c>
      <c r="G1234" t="s">
        <v>3529</v>
      </c>
      <c r="H1234" t="s">
        <v>3541</v>
      </c>
      <c r="I1234" t="s">
        <v>3557</v>
      </c>
      <c r="J1234" t="s">
        <v>3558</v>
      </c>
      <c r="K1234" t="s">
        <v>3559</v>
      </c>
      <c r="L1234" t="s">
        <v>3550</v>
      </c>
      <c r="M1234" s="37">
        <v>0.7705</v>
      </c>
      <c r="N1234" s="37">
        <v>0.2</v>
      </c>
      <c r="O1234">
        <v>0.6164</v>
      </c>
      <c r="P1234" s="37">
        <v>0.84986</v>
      </c>
      <c r="Q1234">
        <v>0.8</v>
      </c>
      <c r="R1234">
        <v>5000</v>
      </c>
      <c r="S1234">
        <v>5000</v>
      </c>
      <c r="T1234">
        <v>5000</v>
      </c>
      <c r="U1234" t="s">
        <v>3350</v>
      </c>
      <c r="Z1234" s="37">
        <v>0.01</v>
      </c>
      <c r="AA1234" s="37">
        <v>0.35</v>
      </c>
      <c r="AB1234">
        <v>0</v>
      </c>
    </row>
    <row r="1235">
      <c r="A1235" t="s">
        <v>3545</v>
      </c>
      <c r="B1235" t="s">
        <v>3527</v>
      </c>
      <c r="C1235" t="s">
        <v>3527</v>
      </c>
      <c r="D1235" t="s">
        <v>359</v>
      </c>
      <c r="E1235" t="s">
        <v>3546</v>
      </c>
      <c r="F1235" t="s">
        <v>298</v>
      </c>
      <c r="G1235" t="s">
        <v>3529</v>
      </c>
      <c r="H1235" t="s">
        <v>3541</v>
      </c>
      <c r="I1235" t="s">
        <v>3560</v>
      </c>
      <c r="J1235" t="s">
        <v>3539</v>
      </c>
      <c r="K1235" t="s">
        <v>1529</v>
      </c>
      <c r="L1235" t="s">
        <v>3550</v>
      </c>
      <c r="M1235" s="37">
        <v>0</v>
      </c>
      <c r="N1235" s="37">
        <v>0.2</v>
      </c>
      <c r="O1235">
        <v>0</v>
      </c>
      <c r="P1235" s="37">
        <v>0.84986</v>
      </c>
      <c r="Q1235">
        <v>0.8</v>
      </c>
      <c r="R1235">
        <v>5000</v>
      </c>
      <c r="S1235">
        <v>5000</v>
      </c>
      <c r="T1235">
        <v>5000</v>
      </c>
      <c r="U1235" t="s">
        <v>3350</v>
      </c>
      <c r="Z1235" s="37">
        <v>0.01</v>
      </c>
      <c r="AA1235" s="37">
        <v>0.35</v>
      </c>
      <c r="AB1235">
        <v>0</v>
      </c>
    </row>
    <row r="1236">
      <c r="A1236" t="s">
        <v>3561</v>
      </c>
      <c r="B1236" t="s">
        <v>3527</v>
      </c>
      <c r="C1236" t="s">
        <v>3527</v>
      </c>
      <c r="D1236" t="s">
        <v>2521</v>
      </c>
      <c r="E1236" t="s">
        <v>3562</v>
      </c>
      <c r="F1236" t="s">
        <v>298</v>
      </c>
      <c r="G1236" t="s">
        <v>3529</v>
      </c>
      <c r="H1236" t="s">
        <v>3530</v>
      </c>
      <c r="I1236" t="s">
        <v>3563</v>
      </c>
      <c r="J1236" t="s">
        <v>3564</v>
      </c>
      <c r="K1236" t="s">
        <v>3565</v>
      </c>
      <c r="L1236" t="s">
        <v>3566</v>
      </c>
      <c r="M1236" s="37">
        <v>1.120286</v>
      </c>
      <c r="N1236" s="37">
        <v>0.3</v>
      </c>
      <c r="O1236">
        <v>1.2</v>
      </c>
      <c r="P1236" s="37">
        <v>0.895086</v>
      </c>
      <c r="Q1236">
        <v>0.79</v>
      </c>
      <c r="R1236">
        <v>3000</v>
      </c>
      <c r="S1236">
        <v>3000</v>
      </c>
      <c r="T1236">
        <v>5000</v>
      </c>
      <c r="U1236" t="s">
        <v>3350</v>
      </c>
      <c r="Z1236" s="37">
        <v>0.01</v>
      </c>
      <c r="AA1236" s="37">
        <v>0.35</v>
      </c>
      <c r="AB1236">
        <v>0</v>
      </c>
    </row>
    <row r="1237">
      <c r="A1237" t="s">
        <v>3561</v>
      </c>
      <c r="B1237" t="s">
        <v>3527</v>
      </c>
      <c r="C1237" t="s">
        <v>3527</v>
      </c>
      <c r="D1237" t="s">
        <v>2521</v>
      </c>
      <c r="E1237" t="s">
        <v>3562</v>
      </c>
      <c r="F1237" t="s">
        <v>298</v>
      </c>
      <c r="G1237" t="s">
        <v>3529</v>
      </c>
      <c r="H1237" t="s">
        <v>3551</v>
      </c>
      <c r="I1237" t="s">
        <v>3567</v>
      </c>
      <c r="J1237" t="s">
        <v>3568</v>
      </c>
      <c r="K1237" t="s">
        <v>3569</v>
      </c>
      <c r="L1237" t="s">
        <v>3570</v>
      </c>
      <c r="M1237" s="37">
        <v>0.88</v>
      </c>
      <c r="N1237" s="37">
        <v>0.15</v>
      </c>
      <c r="O1237">
        <v>0</v>
      </c>
      <c r="P1237" s="37">
        <v>0.895086</v>
      </c>
      <c r="Q1237">
        <v>0.79</v>
      </c>
      <c r="R1237">
        <v>3000</v>
      </c>
      <c r="S1237">
        <v>3000</v>
      </c>
      <c r="T1237">
        <v>5000</v>
      </c>
      <c r="U1237" t="s">
        <v>3350</v>
      </c>
      <c r="Z1237" s="37">
        <v>0.01</v>
      </c>
      <c r="AA1237" s="37">
        <v>0.35</v>
      </c>
      <c r="AB1237">
        <v>0</v>
      </c>
    </row>
    <row r="1238">
      <c r="A1238" t="s">
        <v>3561</v>
      </c>
      <c r="B1238" t="s">
        <v>3527</v>
      </c>
      <c r="C1238" t="s">
        <v>3527</v>
      </c>
      <c r="D1238" t="s">
        <v>2521</v>
      </c>
      <c r="E1238" t="s">
        <v>3562</v>
      </c>
      <c r="F1238" t="s">
        <v>298</v>
      </c>
      <c r="G1238" t="s">
        <v>3529</v>
      </c>
      <c r="H1238" t="s">
        <v>3571</v>
      </c>
      <c r="I1238" t="s">
        <v>3572</v>
      </c>
      <c r="J1238" t="s">
        <v>3217</v>
      </c>
      <c r="K1238" t="s">
        <v>3573</v>
      </c>
      <c r="L1238" t="s">
        <v>3574</v>
      </c>
      <c r="M1238" s="37">
        <v>1.42</v>
      </c>
      <c r="N1238" s="37">
        <v>0.3</v>
      </c>
      <c r="O1238">
        <v>1.42</v>
      </c>
      <c r="P1238" s="37">
        <v>0.895086</v>
      </c>
      <c r="Q1238">
        <v>0.79</v>
      </c>
      <c r="R1238">
        <v>3000</v>
      </c>
      <c r="S1238">
        <v>3000</v>
      </c>
      <c r="T1238">
        <v>5000</v>
      </c>
      <c r="U1238" t="s">
        <v>3350</v>
      </c>
      <c r="Z1238" s="37">
        <v>0.01</v>
      </c>
      <c r="AA1238" s="37">
        <v>0.35</v>
      </c>
      <c r="AB1238">
        <v>0</v>
      </c>
    </row>
    <row r="1239">
      <c r="A1239" t="s">
        <v>3561</v>
      </c>
      <c r="B1239" t="s">
        <v>3527</v>
      </c>
      <c r="C1239" t="s">
        <v>3527</v>
      </c>
      <c r="D1239" t="s">
        <v>2521</v>
      </c>
      <c r="E1239" t="s">
        <v>3562</v>
      </c>
      <c r="F1239" t="s">
        <v>298</v>
      </c>
      <c r="G1239" t="s">
        <v>3529</v>
      </c>
      <c r="H1239" t="s">
        <v>3537</v>
      </c>
      <c r="I1239" t="s">
        <v>3575</v>
      </c>
      <c r="J1239" t="s">
        <v>1053</v>
      </c>
      <c r="K1239" t="s">
        <v>3576</v>
      </c>
      <c r="L1239" t="s">
        <v>3577</v>
      </c>
      <c r="M1239" s="37">
        <v>0.004</v>
      </c>
      <c r="N1239" s="37">
        <v>0.25</v>
      </c>
      <c r="O1239">
        <v>0.0032</v>
      </c>
      <c r="P1239" s="37">
        <v>0.895086</v>
      </c>
      <c r="Q1239">
        <v>0.79</v>
      </c>
      <c r="R1239">
        <v>3000</v>
      </c>
      <c r="S1239">
        <v>3000</v>
      </c>
      <c r="T1239">
        <v>5000</v>
      </c>
      <c r="U1239" t="s">
        <v>3350</v>
      </c>
      <c r="Z1239" s="37">
        <v>0.01</v>
      </c>
      <c r="AA1239" s="37">
        <v>0.35</v>
      </c>
      <c r="AB1239">
        <v>0</v>
      </c>
    </row>
    <row r="1240">
      <c r="A1240" t="s">
        <v>3578</v>
      </c>
      <c r="B1240" t="s">
        <v>3527</v>
      </c>
      <c r="C1240" t="s">
        <v>3527</v>
      </c>
      <c r="D1240" t="s">
        <v>359</v>
      </c>
      <c r="E1240" t="s">
        <v>3579</v>
      </c>
      <c r="F1240" t="s">
        <v>298</v>
      </c>
      <c r="G1240" t="s">
        <v>3529</v>
      </c>
      <c r="H1240" t="s">
        <v>3530</v>
      </c>
      <c r="I1240" t="s">
        <v>3580</v>
      </c>
      <c r="J1240" t="s">
        <v>3564</v>
      </c>
      <c r="K1240" t="s">
        <v>3581</v>
      </c>
      <c r="L1240" t="s">
        <v>3577</v>
      </c>
      <c r="M1240" s="37">
        <v>1.12</v>
      </c>
      <c r="N1240" s="37">
        <v>0.3</v>
      </c>
      <c r="O1240">
        <v>1.2</v>
      </c>
      <c r="P1240" s="37">
        <v>0.4955</v>
      </c>
      <c r="Q1240">
        <v>0.38</v>
      </c>
      <c r="R1240">
        <v>0</v>
      </c>
      <c r="S1240">
        <v>0</v>
      </c>
      <c r="T1240">
        <v>5000</v>
      </c>
      <c r="U1240" t="s">
        <v>3350</v>
      </c>
      <c r="Z1240" s="37">
        <v>0.01</v>
      </c>
      <c r="AA1240" s="37">
        <v>0.35</v>
      </c>
      <c r="AB1240">
        <v>0</v>
      </c>
    </row>
    <row r="1241">
      <c r="A1241" t="s">
        <v>3578</v>
      </c>
      <c r="B1241" t="s">
        <v>3527</v>
      </c>
      <c r="C1241" t="s">
        <v>3527</v>
      </c>
      <c r="D1241" t="s">
        <v>359</v>
      </c>
      <c r="E1241" t="s">
        <v>3579</v>
      </c>
      <c r="F1241" t="s">
        <v>298</v>
      </c>
      <c r="G1241" t="s">
        <v>3529</v>
      </c>
      <c r="H1241" t="s">
        <v>3551</v>
      </c>
      <c r="I1241" t="s">
        <v>3582</v>
      </c>
      <c r="J1241" t="s">
        <v>3568</v>
      </c>
      <c r="K1241" t="s">
        <v>3569</v>
      </c>
      <c r="L1241" t="s">
        <v>3577</v>
      </c>
      <c r="M1241" s="37">
        <v>0.88</v>
      </c>
      <c r="N1241" s="37">
        <v>0.15</v>
      </c>
      <c r="O1241">
        <v>0</v>
      </c>
      <c r="P1241" s="37">
        <v>0.4955</v>
      </c>
      <c r="Q1241">
        <v>0.38</v>
      </c>
      <c r="R1241">
        <v>0</v>
      </c>
      <c r="S1241">
        <v>0</v>
      </c>
      <c r="T1241">
        <v>5000</v>
      </c>
      <c r="U1241" t="s">
        <v>3350</v>
      </c>
      <c r="Z1241" s="37">
        <v>0.01</v>
      </c>
      <c r="AA1241" s="37">
        <v>0.35</v>
      </c>
      <c r="AB1241">
        <v>0</v>
      </c>
    </row>
    <row r="1242">
      <c r="A1242" t="s">
        <v>3578</v>
      </c>
      <c r="B1242" t="s">
        <v>3527</v>
      </c>
      <c r="C1242" t="s">
        <v>3527</v>
      </c>
      <c r="D1242" t="s">
        <v>359</v>
      </c>
      <c r="E1242" t="s">
        <v>3579</v>
      </c>
      <c r="F1242" t="s">
        <v>298</v>
      </c>
      <c r="G1242" t="s">
        <v>3529</v>
      </c>
      <c r="H1242" t="s">
        <v>3571</v>
      </c>
      <c r="I1242" t="s">
        <v>3583</v>
      </c>
      <c r="J1242" t="s">
        <v>977</v>
      </c>
      <c r="K1242" t="s">
        <v>3584</v>
      </c>
      <c r="L1242" t="s">
        <v>3577</v>
      </c>
      <c r="M1242" s="37">
        <v>0.053</v>
      </c>
      <c r="N1242" s="37">
        <v>0.4</v>
      </c>
      <c r="O1242">
        <v>0.0424</v>
      </c>
      <c r="P1242" s="37">
        <v>0.4955</v>
      </c>
      <c r="Q1242">
        <v>0.38</v>
      </c>
      <c r="R1242">
        <v>0</v>
      </c>
      <c r="S1242">
        <v>0</v>
      </c>
      <c r="T1242">
        <v>5000</v>
      </c>
      <c r="U1242" t="s">
        <v>3350</v>
      </c>
      <c r="Z1242" s="37">
        <v>0.01</v>
      </c>
      <c r="AA1242" s="37">
        <v>0.35</v>
      </c>
      <c r="AB1242">
        <v>0</v>
      </c>
    </row>
    <row r="1243">
      <c r="A1243" t="s">
        <v>3578</v>
      </c>
      <c r="B1243" t="s">
        <v>3527</v>
      </c>
      <c r="C1243" t="s">
        <v>3527</v>
      </c>
      <c r="D1243" t="s">
        <v>359</v>
      </c>
      <c r="E1243" t="s">
        <v>3579</v>
      </c>
      <c r="F1243" t="s">
        <v>298</v>
      </c>
      <c r="G1243" t="s">
        <v>3529</v>
      </c>
      <c r="H1243" t="s">
        <v>3537</v>
      </c>
      <c r="I1243" t="s">
        <v>3585</v>
      </c>
      <c r="J1243" t="s">
        <v>1053</v>
      </c>
      <c r="K1243" t="s">
        <v>3586</v>
      </c>
      <c r="L1243" t="s">
        <v>3577</v>
      </c>
      <c r="M1243" s="37">
        <v>0.042</v>
      </c>
      <c r="N1243" s="37">
        <v>0.15</v>
      </c>
      <c r="O1243">
        <v>0.0336</v>
      </c>
      <c r="P1243" s="37">
        <v>0.4955</v>
      </c>
      <c r="Q1243">
        <v>0.38</v>
      </c>
      <c r="R1243">
        <v>0</v>
      </c>
      <c r="S1243">
        <v>0</v>
      </c>
      <c r="T1243">
        <v>5000</v>
      </c>
      <c r="U1243" t="s">
        <v>3350</v>
      </c>
      <c r="Z1243" s="37">
        <v>0.01</v>
      </c>
      <c r="AA1243" s="37">
        <v>0.35</v>
      </c>
      <c r="AB1243">
        <v>0</v>
      </c>
    </row>
    <row r="1244">
      <c r="A1244" t="s">
        <v>3587</v>
      </c>
      <c r="B1244" t="s">
        <v>3527</v>
      </c>
      <c r="C1244" t="s">
        <v>3527</v>
      </c>
      <c r="D1244" t="s">
        <v>2521</v>
      </c>
      <c r="E1244" t="s">
        <v>3588</v>
      </c>
      <c r="F1244" t="s">
        <v>298</v>
      </c>
      <c r="G1244" t="s">
        <v>3529</v>
      </c>
      <c r="H1244" t="s">
        <v>3530</v>
      </c>
      <c r="I1244" t="s">
        <v>3589</v>
      </c>
      <c r="J1244" t="s">
        <v>3532</v>
      </c>
      <c r="K1244" t="s">
        <v>3590</v>
      </c>
      <c r="L1244" t="s">
        <v>3591</v>
      </c>
      <c r="M1244" s="37">
        <v>0.947</v>
      </c>
      <c r="N1244" s="37">
        <v>0.2</v>
      </c>
      <c r="O1244">
        <v>0.947</v>
      </c>
      <c r="P1244" s="37">
        <v>0.9144</v>
      </c>
      <c r="Q1244">
        <v>0.87</v>
      </c>
      <c r="R1244">
        <v>0</v>
      </c>
      <c r="S1244">
        <v>0</v>
      </c>
      <c r="T1244">
        <v>5000</v>
      </c>
      <c r="U1244" t="s">
        <v>3350</v>
      </c>
      <c r="Z1244" s="37">
        <v>0.01</v>
      </c>
      <c r="AA1244" s="37">
        <v>0.35</v>
      </c>
      <c r="AB1244">
        <v>0</v>
      </c>
    </row>
    <row r="1245">
      <c r="A1245" t="s">
        <v>3587</v>
      </c>
      <c r="B1245" t="s">
        <v>3527</v>
      </c>
      <c r="C1245" t="s">
        <v>3527</v>
      </c>
      <c r="D1245" t="s">
        <v>2521</v>
      </c>
      <c r="E1245" t="s">
        <v>3588</v>
      </c>
      <c r="F1245" t="s">
        <v>298</v>
      </c>
      <c r="G1245" t="s">
        <v>3529</v>
      </c>
      <c r="H1245" t="s">
        <v>3534</v>
      </c>
      <c r="I1245" t="s">
        <v>3592</v>
      </c>
      <c r="J1245" t="s">
        <v>3593</v>
      </c>
      <c r="K1245" t="s">
        <v>3594</v>
      </c>
      <c r="L1245" t="s">
        <v>3595</v>
      </c>
      <c r="M1245" s="37">
        <v>1</v>
      </c>
      <c r="N1245" s="37">
        <v>0.35</v>
      </c>
      <c r="O1245">
        <v>1</v>
      </c>
      <c r="P1245" s="37">
        <v>0.9144</v>
      </c>
      <c r="Q1245">
        <v>0.87</v>
      </c>
      <c r="R1245">
        <v>0</v>
      </c>
      <c r="S1245">
        <v>0</v>
      </c>
      <c r="T1245">
        <v>5000</v>
      </c>
      <c r="U1245" t="s">
        <v>3350</v>
      </c>
      <c r="Z1245" s="37">
        <v>0.01</v>
      </c>
      <c r="AA1245" s="37">
        <v>0.35</v>
      </c>
      <c r="AB1245">
        <v>0</v>
      </c>
    </row>
    <row r="1246">
      <c r="A1246" t="s">
        <v>3587</v>
      </c>
      <c r="B1246" t="s">
        <v>3527</v>
      </c>
      <c r="C1246" t="s">
        <v>3527</v>
      </c>
      <c r="D1246" t="s">
        <v>2521</v>
      </c>
      <c r="E1246" t="s">
        <v>3588</v>
      </c>
      <c r="F1246" t="s">
        <v>298</v>
      </c>
      <c r="G1246" t="s">
        <v>3529</v>
      </c>
      <c r="H1246" t="s">
        <v>3596</v>
      </c>
      <c r="I1246" t="s">
        <v>3597</v>
      </c>
      <c r="J1246">
        <v>1.8</v>
      </c>
      <c r="K1246">
        <v>1.87</v>
      </c>
      <c r="L1246" t="s">
        <v>3598</v>
      </c>
      <c r="M1246" s="37">
        <v>1</v>
      </c>
      <c r="N1246" s="37">
        <v>0</v>
      </c>
      <c r="O1246">
        <v>1</v>
      </c>
      <c r="P1246" s="37">
        <v>0.9144</v>
      </c>
      <c r="Q1246">
        <v>0.87</v>
      </c>
      <c r="R1246">
        <v>0</v>
      </c>
      <c r="S1246">
        <v>0</v>
      </c>
      <c r="T1246">
        <v>5000</v>
      </c>
      <c r="U1246" t="s">
        <v>3350</v>
      </c>
      <c r="Z1246" s="37">
        <v>0.01</v>
      </c>
      <c r="AA1246" s="37">
        <v>0.35</v>
      </c>
      <c r="AB1246">
        <v>0</v>
      </c>
    </row>
    <row r="1247">
      <c r="A1247" t="s">
        <v>3587</v>
      </c>
      <c r="B1247" t="s">
        <v>3527</v>
      </c>
      <c r="C1247" t="s">
        <v>3527</v>
      </c>
      <c r="D1247" t="s">
        <v>2521</v>
      </c>
      <c r="E1247" t="s">
        <v>3588</v>
      </c>
      <c r="F1247" t="s">
        <v>298</v>
      </c>
      <c r="G1247" t="s">
        <v>3529</v>
      </c>
      <c r="H1247" t="s">
        <v>3599</v>
      </c>
      <c r="I1247" t="s">
        <v>3600</v>
      </c>
      <c r="L1247" t="s">
        <v>3601</v>
      </c>
      <c r="M1247" s="37">
        <v>1</v>
      </c>
      <c r="N1247" s="37">
        <v>0.15</v>
      </c>
      <c r="O1247">
        <v>1</v>
      </c>
      <c r="P1247" s="37">
        <v>0.9144</v>
      </c>
      <c r="Q1247">
        <v>0.87</v>
      </c>
      <c r="R1247">
        <v>0</v>
      </c>
      <c r="S1247">
        <v>0</v>
      </c>
      <c r="T1247">
        <v>5000</v>
      </c>
      <c r="U1247" t="s">
        <v>3350</v>
      </c>
      <c r="Z1247" s="37">
        <v>0.01</v>
      </c>
      <c r="AA1247" s="37">
        <v>0.35</v>
      </c>
      <c r="AB1247">
        <v>0</v>
      </c>
    </row>
    <row r="1248">
      <c r="A1248" t="s">
        <v>3587</v>
      </c>
      <c r="B1248" t="s">
        <v>3527</v>
      </c>
      <c r="C1248" t="s">
        <v>3527</v>
      </c>
      <c r="D1248" t="s">
        <v>2521</v>
      </c>
      <c r="E1248" t="s">
        <v>3588</v>
      </c>
      <c r="F1248" t="s">
        <v>298</v>
      </c>
      <c r="G1248" t="s">
        <v>3529</v>
      </c>
      <c r="H1248" t="s">
        <v>3541</v>
      </c>
      <c r="I1248" t="s">
        <v>3602</v>
      </c>
      <c r="J1248" t="s">
        <v>3603</v>
      </c>
      <c r="K1248" t="s">
        <v>3604</v>
      </c>
      <c r="L1248" t="s">
        <v>3605</v>
      </c>
      <c r="M1248" s="37">
        <v>0.75</v>
      </c>
      <c r="N1248" s="37">
        <v>0.3</v>
      </c>
      <c r="O1248">
        <v>0.6</v>
      </c>
      <c r="P1248" s="37">
        <v>0.9144</v>
      </c>
      <c r="Q1248">
        <v>0.87</v>
      </c>
      <c r="R1248">
        <v>0</v>
      </c>
      <c r="S1248">
        <v>0</v>
      </c>
      <c r="T1248">
        <v>5000</v>
      </c>
      <c r="U1248" t="s">
        <v>3350</v>
      </c>
      <c r="Z1248" s="37">
        <v>0.01</v>
      </c>
      <c r="AA1248" s="37">
        <v>0.35</v>
      </c>
      <c r="AB1248">
        <v>0</v>
      </c>
    </row>
    <row r="1249">
      <c r="A1249" t="s">
        <v>3606</v>
      </c>
      <c r="B1249" t="s">
        <v>3475</v>
      </c>
      <c r="C1249" t="s">
        <v>3475</v>
      </c>
      <c r="D1249" t="s">
        <v>3607</v>
      </c>
      <c r="E1249" t="s">
        <v>3608</v>
      </c>
      <c r="F1249" t="s">
        <v>298</v>
      </c>
      <c r="G1249" t="s">
        <v>3607</v>
      </c>
      <c r="H1249" t="s">
        <v>3609</v>
      </c>
      <c r="I1249" t="s">
        <v>3610</v>
      </c>
      <c r="K1249">
        <v>1</v>
      </c>
      <c r="L1249" t="s">
        <v>3605</v>
      </c>
      <c r="M1249" s="37">
        <v>1</v>
      </c>
      <c r="N1249" s="37">
        <v>0.2</v>
      </c>
      <c r="O1249">
        <v>1</v>
      </c>
      <c r="P1249" s="37">
        <v>0.9</v>
      </c>
      <c r="Q1249">
        <v>0.9</v>
      </c>
      <c r="R1249">
        <v>1367.04</v>
      </c>
      <c r="S1249">
        <v>1367.04</v>
      </c>
      <c r="T1249">
        <v>1000</v>
      </c>
      <c r="U1249" t="s">
        <v>3350</v>
      </c>
      <c r="Z1249" s="37">
        <v>0.01</v>
      </c>
      <c r="AA1249" s="37">
        <v>0.35</v>
      </c>
      <c r="AB1249">
        <v>0</v>
      </c>
    </row>
    <row r="1250">
      <c r="A1250" t="s">
        <v>3606</v>
      </c>
      <c r="B1250" t="s">
        <v>3475</v>
      </c>
      <c r="C1250" t="s">
        <v>3475</v>
      </c>
      <c r="D1250" t="s">
        <v>3607</v>
      </c>
      <c r="E1250" t="s">
        <v>3608</v>
      </c>
      <c r="F1250" t="s">
        <v>298</v>
      </c>
      <c r="G1250" t="s">
        <v>3607</v>
      </c>
      <c r="H1250" t="s">
        <v>3611</v>
      </c>
      <c r="I1250" t="s">
        <v>3612</v>
      </c>
      <c r="K1250">
        <v>1</v>
      </c>
      <c r="L1250" t="s">
        <v>3605</v>
      </c>
      <c r="M1250" s="37">
        <v>1</v>
      </c>
      <c r="N1250" s="37">
        <v>0.2</v>
      </c>
      <c r="O1250">
        <v>1</v>
      </c>
      <c r="P1250" s="37">
        <v>0.9</v>
      </c>
      <c r="Q1250">
        <v>0.9</v>
      </c>
      <c r="R1250">
        <v>1367.04</v>
      </c>
      <c r="S1250">
        <v>1367.04</v>
      </c>
      <c r="T1250">
        <v>1000</v>
      </c>
      <c r="U1250" t="s">
        <v>3350</v>
      </c>
      <c r="Z1250" s="37">
        <v>0.01</v>
      </c>
      <c r="AA1250" s="37">
        <v>0.35</v>
      </c>
      <c r="AB1250">
        <v>0</v>
      </c>
    </row>
    <row r="1251">
      <c r="A1251" t="s">
        <v>3606</v>
      </c>
      <c r="B1251" t="s">
        <v>3475</v>
      </c>
      <c r="C1251" t="s">
        <v>3475</v>
      </c>
      <c r="D1251" t="s">
        <v>3607</v>
      </c>
      <c r="E1251" t="s">
        <v>3608</v>
      </c>
      <c r="F1251" t="s">
        <v>298</v>
      </c>
      <c r="G1251" t="s">
        <v>3607</v>
      </c>
      <c r="H1251" t="s">
        <v>3613</v>
      </c>
      <c r="I1251" t="s">
        <v>3614</v>
      </c>
      <c r="K1251">
        <v>1</v>
      </c>
      <c r="L1251" t="s">
        <v>3605</v>
      </c>
      <c r="M1251" s="37">
        <v>1</v>
      </c>
      <c r="N1251" s="37">
        <v>0.5</v>
      </c>
      <c r="O1251">
        <v>1</v>
      </c>
      <c r="P1251" s="37">
        <v>0.9</v>
      </c>
      <c r="Q1251">
        <v>0.9</v>
      </c>
      <c r="R1251">
        <v>1367.04</v>
      </c>
      <c r="S1251">
        <v>1367.04</v>
      </c>
      <c r="T1251">
        <v>1000</v>
      </c>
      <c r="U1251" t="s">
        <v>3350</v>
      </c>
      <c r="Z1251" s="37">
        <v>0.01</v>
      </c>
      <c r="AA1251" s="37">
        <v>0.35</v>
      </c>
      <c r="AB1251">
        <v>0</v>
      </c>
    </row>
    <row r="1252">
      <c r="A1252" t="s">
        <v>3606</v>
      </c>
      <c r="B1252" t="s">
        <v>3475</v>
      </c>
      <c r="C1252" t="s">
        <v>3475</v>
      </c>
      <c r="D1252" t="s">
        <v>3607</v>
      </c>
      <c r="E1252" t="s">
        <v>3608</v>
      </c>
      <c r="F1252" t="s">
        <v>298</v>
      </c>
      <c r="G1252" t="s">
        <v>3607</v>
      </c>
      <c r="H1252" t="s">
        <v>3615</v>
      </c>
      <c r="I1252" t="s">
        <v>3616</v>
      </c>
      <c r="K1252">
        <v>1</v>
      </c>
      <c r="L1252">
        <v>0</v>
      </c>
      <c r="M1252" s="37">
        <v>0</v>
      </c>
      <c r="N1252" s="37">
        <v>0.1</v>
      </c>
      <c r="O1252">
        <v>0</v>
      </c>
      <c r="P1252" s="37">
        <v>0.9</v>
      </c>
      <c r="Q1252">
        <v>0.9</v>
      </c>
      <c r="R1252">
        <v>1367.04</v>
      </c>
      <c r="S1252">
        <v>1367.04</v>
      </c>
      <c r="T1252">
        <v>1000</v>
      </c>
      <c r="U1252" t="s">
        <v>3350</v>
      </c>
      <c r="Z1252" s="37">
        <v>0.01</v>
      </c>
      <c r="AA1252" s="37">
        <v>0.35</v>
      </c>
      <c r="AB1252">
        <v>0</v>
      </c>
    </row>
    <row r="1253">
      <c r="A1253" t="s">
        <v>3617</v>
      </c>
      <c r="B1253" t="s">
        <v>3475</v>
      </c>
      <c r="C1253" t="s">
        <v>3475</v>
      </c>
      <c r="D1253" t="s">
        <v>3607</v>
      </c>
      <c r="E1253" t="s">
        <v>3618</v>
      </c>
      <c r="F1253" t="s">
        <v>298</v>
      </c>
      <c r="G1253" t="s">
        <v>3607</v>
      </c>
      <c r="H1253" t="s">
        <v>3609</v>
      </c>
      <c r="I1253" t="s">
        <v>3610</v>
      </c>
      <c r="K1253">
        <v>0.9</v>
      </c>
      <c r="L1253">
        <v>0</v>
      </c>
      <c r="M1253" s="37">
        <v>0.009</v>
      </c>
      <c r="N1253" s="37">
        <v>0.2</v>
      </c>
      <c r="O1253">
        <v>0.9</v>
      </c>
      <c r="P1253" s="37">
        <v>0.0067</v>
      </c>
      <c r="Q1253">
        <v>0.67</v>
      </c>
      <c r="R1253">
        <v>2340.68</v>
      </c>
      <c r="S1253">
        <v>2340.68</v>
      </c>
      <c r="T1253">
        <v>2300</v>
      </c>
      <c r="U1253" t="s">
        <v>3350</v>
      </c>
      <c r="Z1253" s="37">
        <v>0.01</v>
      </c>
      <c r="AA1253" s="37">
        <v>0.35</v>
      </c>
      <c r="AB1253">
        <v>0</v>
      </c>
    </row>
    <row r="1254">
      <c r="A1254" t="s">
        <v>3617</v>
      </c>
      <c r="B1254" t="s">
        <v>3475</v>
      </c>
      <c r="C1254" t="s">
        <v>3475</v>
      </c>
      <c r="D1254" t="s">
        <v>3607</v>
      </c>
      <c r="E1254" t="s">
        <v>3618</v>
      </c>
      <c r="F1254" t="s">
        <v>298</v>
      </c>
      <c r="G1254" t="s">
        <v>3607</v>
      </c>
      <c r="H1254" t="s">
        <v>3611</v>
      </c>
      <c r="I1254" t="s">
        <v>3612</v>
      </c>
      <c r="K1254">
        <v>0.7</v>
      </c>
      <c r="L1254">
        <v>0</v>
      </c>
      <c r="M1254" s="37">
        <v>0.007</v>
      </c>
      <c r="N1254" s="37">
        <v>0.2</v>
      </c>
      <c r="O1254">
        <v>0.7</v>
      </c>
      <c r="P1254" s="37">
        <v>0.0067</v>
      </c>
      <c r="Q1254">
        <v>0.67</v>
      </c>
      <c r="R1254">
        <v>2340.68</v>
      </c>
      <c r="S1254">
        <v>2340.68</v>
      </c>
      <c r="T1254">
        <v>2300</v>
      </c>
      <c r="U1254" t="s">
        <v>3350</v>
      </c>
      <c r="Z1254" s="37">
        <v>0.01</v>
      </c>
      <c r="AA1254" s="37">
        <v>0.35</v>
      </c>
      <c r="AB1254">
        <v>0</v>
      </c>
    </row>
    <row r="1255">
      <c r="A1255" t="s">
        <v>3617</v>
      </c>
      <c r="B1255" t="s">
        <v>3475</v>
      </c>
      <c r="C1255" t="s">
        <v>3475</v>
      </c>
      <c r="D1255" t="s">
        <v>3607</v>
      </c>
      <c r="E1255" t="s">
        <v>3618</v>
      </c>
      <c r="F1255" t="s">
        <v>298</v>
      </c>
      <c r="G1255" t="s">
        <v>3607</v>
      </c>
      <c r="H1255" t="s">
        <v>3613</v>
      </c>
      <c r="I1255" t="s">
        <v>3614</v>
      </c>
      <c r="K1255">
        <v>0.7</v>
      </c>
      <c r="L1255">
        <v>0</v>
      </c>
      <c r="M1255" s="37">
        <v>0.007</v>
      </c>
      <c r="N1255" s="37">
        <v>0.5</v>
      </c>
      <c r="O1255">
        <v>0.7</v>
      </c>
      <c r="P1255" s="37">
        <v>0.0067</v>
      </c>
      <c r="Q1255">
        <v>0.67</v>
      </c>
      <c r="R1255">
        <v>2340.68</v>
      </c>
      <c r="S1255">
        <v>2340.68</v>
      </c>
      <c r="T1255">
        <v>2300</v>
      </c>
      <c r="U1255" t="s">
        <v>3350</v>
      </c>
      <c r="Z1255" s="37">
        <v>0.01</v>
      </c>
      <c r="AA1255" s="37">
        <v>0.35</v>
      </c>
      <c r="AB1255">
        <v>0</v>
      </c>
    </row>
    <row r="1256">
      <c r="A1256" t="s">
        <v>3617</v>
      </c>
      <c r="B1256" t="s">
        <v>3475</v>
      </c>
      <c r="C1256" t="s">
        <v>3475</v>
      </c>
      <c r="D1256" t="s">
        <v>3607</v>
      </c>
      <c r="E1256" t="s">
        <v>3618</v>
      </c>
      <c r="F1256" t="s">
        <v>298</v>
      </c>
      <c r="G1256" t="s">
        <v>3607</v>
      </c>
      <c r="H1256" t="s">
        <v>3615</v>
      </c>
      <c r="I1256" t="s">
        <v>3616</v>
      </c>
      <c r="K1256">
        <v>0.7</v>
      </c>
      <c r="L1256">
        <v>0</v>
      </c>
      <c r="M1256" s="37">
        <v>0</v>
      </c>
      <c r="N1256" s="37">
        <v>0.1</v>
      </c>
      <c r="O1256">
        <v>0</v>
      </c>
      <c r="P1256" s="37">
        <v>0.0067</v>
      </c>
      <c r="Q1256">
        <v>0.67</v>
      </c>
      <c r="R1256">
        <v>2340.68</v>
      </c>
      <c r="S1256">
        <v>2340.68</v>
      </c>
      <c r="T1256">
        <v>2300</v>
      </c>
      <c r="U1256" t="s">
        <v>3350</v>
      </c>
      <c r="Z1256" s="37">
        <v>0.01</v>
      </c>
      <c r="AA1256" s="37">
        <v>0.35</v>
      </c>
      <c r="AB1256">
        <v>0</v>
      </c>
    </row>
    <row r="1257">
      <c r="A1257" t="s">
        <v>3619</v>
      </c>
      <c r="B1257" t="s">
        <v>3475</v>
      </c>
      <c r="C1257" t="s">
        <v>3475</v>
      </c>
      <c r="D1257" t="s">
        <v>3607</v>
      </c>
      <c r="E1257" t="s">
        <v>3620</v>
      </c>
      <c r="F1257" t="s">
        <v>298</v>
      </c>
      <c r="G1257" t="s">
        <v>3607</v>
      </c>
      <c r="H1257" t="s">
        <v>3609</v>
      </c>
      <c r="I1257" t="s">
        <v>3610</v>
      </c>
      <c r="K1257">
        <v>0.7</v>
      </c>
      <c r="L1257">
        <v>0</v>
      </c>
      <c r="M1257" s="37">
        <v>0.007</v>
      </c>
      <c r="N1257" s="37">
        <v>0.2</v>
      </c>
      <c r="O1257">
        <v>0.7</v>
      </c>
      <c r="P1257" s="37">
        <v>0.0077</v>
      </c>
      <c r="Q1257">
        <v>0.77</v>
      </c>
      <c r="R1257">
        <v>2690.04</v>
      </c>
      <c r="S1257">
        <v>2690.04</v>
      </c>
      <c r="T1257">
        <v>2300</v>
      </c>
      <c r="U1257" t="s">
        <v>3350</v>
      </c>
      <c r="Z1257" s="37">
        <v>0.01</v>
      </c>
      <c r="AA1257" s="37">
        <v>0.35</v>
      </c>
      <c r="AB1257">
        <v>0</v>
      </c>
    </row>
    <row r="1258">
      <c r="A1258" t="s">
        <v>3619</v>
      </c>
      <c r="B1258" t="s">
        <v>3475</v>
      </c>
      <c r="C1258" t="s">
        <v>3475</v>
      </c>
      <c r="D1258" t="s">
        <v>3607</v>
      </c>
      <c r="E1258" t="s">
        <v>3620</v>
      </c>
      <c r="F1258" t="s">
        <v>298</v>
      </c>
      <c r="G1258" t="s">
        <v>3607</v>
      </c>
      <c r="H1258" t="s">
        <v>3611</v>
      </c>
      <c r="I1258" t="s">
        <v>3612</v>
      </c>
      <c r="K1258">
        <v>0.9</v>
      </c>
      <c r="L1258">
        <v>0</v>
      </c>
      <c r="M1258" s="37">
        <v>0.009</v>
      </c>
      <c r="N1258" s="37">
        <v>0.2</v>
      </c>
      <c r="O1258">
        <v>0.9</v>
      </c>
      <c r="P1258" s="37">
        <v>0.0077</v>
      </c>
      <c r="Q1258">
        <v>0.77</v>
      </c>
      <c r="R1258">
        <v>2690.04</v>
      </c>
      <c r="S1258">
        <v>2690.04</v>
      </c>
      <c r="T1258">
        <v>2300</v>
      </c>
      <c r="U1258" t="s">
        <v>3350</v>
      </c>
      <c r="Z1258" s="37">
        <v>0.01</v>
      </c>
      <c r="AA1258" s="37">
        <v>0.35</v>
      </c>
      <c r="AB1258">
        <v>0</v>
      </c>
    </row>
    <row r="1259">
      <c r="A1259" t="s">
        <v>3619</v>
      </c>
      <c r="B1259" t="s">
        <v>3475</v>
      </c>
      <c r="C1259" t="s">
        <v>3475</v>
      </c>
      <c r="D1259" t="s">
        <v>3607</v>
      </c>
      <c r="E1259" t="s">
        <v>3620</v>
      </c>
      <c r="F1259" t="s">
        <v>298</v>
      </c>
      <c r="G1259" t="s">
        <v>3607</v>
      </c>
      <c r="H1259" t="s">
        <v>3613</v>
      </c>
      <c r="I1259" t="s">
        <v>3614</v>
      </c>
      <c r="K1259">
        <v>0.9</v>
      </c>
      <c r="L1259">
        <v>0</v>
      </c>
      <c r="M1259" s="37">
        <v>0.009</v>
      </c>
      <c r="N1259" s="37">
        <v>0.5</v>
      </c>
      <c r="O1259">
        <v>0.9</v>
      </c>
      <c r="P1259" s="37">
        <v>0.0077</v>
      </c>
      <c r="Q1259">
        <v>0.77</v>
      </c>
      <c r="R1259">
        <v>2690.04</v>
      </c>
      <c r="S1259">
        <v>2690.04</v>
      </c>
      <c r="T1259">
        <v>2300</v>
      </c>
      <c r="U1259" t="s">
        <v>3350</v>
      </c>
      <c r="Z1259" s="37">
        <v>0.01</v>
      </c>
      <c r="AA1259" s="37">
        <v>0.35</v>
      </c>
      <c r="AB1259">
        <v>0</v>
      </c>
    </row>
    <row r="1260">
      <c r="A1260" t="s">
        <v>3619</v>
      </c>
      <c r="B1260" t="s">
        <v>3475</v>
      </c>
      <c r="C1260" t="s">
        <v>3475</v>
      </c>
      <c r="D1260" t="s">
        <v>3607</v>
      </c>
      <c r="E1260" t="s">
        <v>3620</v>
      </c>
      <c r="F1260" t="s">
        <v>298</v>
      </c>
      <c r="G1260" t="s">
        <v>3607</v>
      </c>
      <c r="H1260" t="s">
        <v>3615</v>
      </c>
      <c r="I1260" t="s">
        <v>3616</v>
      </c>
      <c r="K1260">
        <v>0.9</v>
      </c>
      <c r="L1260">
        <v>0</v>
      </c>
      <c r="M1260" s="37">
        <v>0</v>
      </c>
      <c r="N1260" s="37">
        <v>0.1</v>
      </c>
      <c r="O1260">
        <v>0</v>
      </c>
      <c r="P1260" s="37">
        <v>0.0077</v>
      </c>
      <c r="Q1260">
        <v>0.77</v>
      </c>
      <c r="R1260">
        <v>2690.04</v>
      </c>
      <c r="S1260">
        <v>2690.04</v>
      </c>
      <c r="T1260">
        <v>2300</v>
      </c>
      <c r="U1260" t="s">
        <v>3350</v>
      </c>
      <c r="Z1260" s="37">
        <v>0.01</v>
      </c>
      <c r="AA1260" s="37">
        <v>0.35</v>
      </c>
      <c r="AB1260">
        <v>0</v>
      </c>
    </row>
    <row r="1261">
      <c r="A1261" t="s">
        <v>3621</v>
      </c>
      <c r="B1261" t="s">
        <v>3527</v>
      </c>
      <c r="C1261" t="s">
        <v>3527</v>
      </c>
      <c r="D1261" t="s">
        <v>2561</v>
      </c>
      <c r="E1261" t="s">
        <v>3622</v>
      </c>
      <c r="F1261" t="s">
        <v>298</v>
      </c>
      <c r="G1261" t="s">
        <v>3623</v>
      </c>
      <c r="H1261" t="s">
        <v>3624</v>
      </c>
      <c r="I1261" t="s">
        <v>3625</v>
      </c>
      <c r="J1261" t="s">
        <v>984</v>
      </c>
      <c r="K1261" t="s">
        <v>3626</v>
      </c>
      <c r="L1261" t="s">
        <v>3627</v>
      </c>
      <c r="M1261" s="37">
        <v>1.029</v>
      </c>
      <c r="N1261" s="37">
        <v>0.5</v>
      </c>
      <c r="O1261">
        <v>1.2</v>
      </c>
      <c r="P1261" s="37">
        <v>1.231546</v>
      </c>
      <c r="Q1261">
        <v>1.3</v>
      </c>
      <c r="R1261">
        <v>1950</v>
      </c>
      <c r="S1261">
        <v>1950</v>
      </c>
      <c r="T1261">
        <v>1500</v>
      </c>
      <c r="U1261" t="s">
        <v>3350</v>
      </c>
      <c r="Z1261" s="37">
        <v>0.01</v>
      </c>
      <c r="AA1261" s="37">
        <v>0.35</v>
      </c>
      <c r="AB1261">
        <v>0</v>
      </c>
    </row>
    <row r="1262">
      <c r="A1262" t="s">
        <v>3621</v>
      </c>
      <c r="B1262" t="s">
        <v>3527</v>
      </c>
      <c r="C1262" t="s">
        <v>3527</v>
      </c>
      <c r="D1262" t="s">
        <v>2561</v>
      </c>
      <c r="E1262" t="s">
        <v>3622</v>
      </c>
      <c r="F1262" t="s">
        <v>298</v>
      </c>
      <c r="G1262" t="s">
        <v>3623</v>
      </c>
      <c r="H1262" t="s">
        <v>3624</v>
      </c>
      <c r="I1262" t="s">
        <v>3628</v>
      </c>
      <c r="J1262" t="s">
        <v>1048</v>
      </c>
      <c r="K1262" t="s">
        <v>3539</v>
      </c>
      <c r="L1262" t="s">
        <v>3629</v>
      </c>
      <c r="M1262" s="37">
        <v>1.5</v>
      </c>
      <c r="N1262" s="37">
        <v>0.2</v>
      </c>
      <c r="O1262">
        <v>1.5</v>
      </c>
      <c r="P1262" s="37">
        <v>1.231546</v>
      </c>
      <c r="Q1262">
        <v>1.3</v>
      </c>
      <c r="R1262">
        <v>1950</v>
      </c>
      <c r="S1262">
        <v>1950</v>
      </c>
      <c r="T1262">
        <v>1500</v>
      </c>
      <c r="U1262" t="s">
        <v>3350</v>
      </c>
      <c r="Z1262" s="37">
        <v>0.01</v>
      </c>
      <c r="AA1262" s="37">
        <v>0.35</v>
      </c>
      <c r="AB1262">
        <v>0</v>
      </c>
    </row>
    <row r="1263">
      <c r="A1263" t="s">
        <v>3621</v>
      </c>
      <c r="B1263" t="s">
        <v>3527</v>
      </c>
      <c r="C1263" t="s">
        <v>3527</v>
      </c>
      <c r="D1263" t="s">
        <v>2561</v>
      </c>
      <c r="E1263" t="s">
        <v>3622</v>
      </c>
      <c r="F1263" t="s">
        <v>298</v>
      </c>
      <c r="G1263" t="s">
        <v>3623</v>
      </c>
      <c r="H1263" t="s">
        <v>3537</v>
      </c>
      <c r="I1263" t="s">
        <v>3630</v>
      </c>
      <c r="J1263" t="s">
        <v>342</v>
      </c>
      <c r="K1263" t="s">
        <v>969</v>
      </c>
      <c r="L1263" t="s">
        <v>3631</v>
      </c>
      <c r="M1263" s="37">
        <v>1.5</v>
      </c>
      <c r="N1263" s="37">
        <v>0.2</v>
      </c>
      <c r="O1263">
        <v>1.5</v>
      </c>
      <c r="P1263" s="37">
        <v>1.231546</v>
      </c>
      <c r="Q1263">
        <v>1.3</v>
      </c>
      <c r="R1263">
        <v>1950</v>
      </c>
      <c r="S1263">
        <v>1950</v>
      </c>
      <c r="T1263">
        <v>1500</v>
      </c>
      <c r="U1263" t="s">
        <v>3350</v>
      </c>
      <c r="Z1263" s="37">
        <v>0.01</v>
      </c>
      <c r="AA1263" s="37">
        <v>0.35</v>
      </c>
      <c r="AB1263">
        <v>0</v>
      </c>
    </row>
    <row r="1264">
      <c r="A1264" t="s">
        <v>3621</v>
      </c>
      <c r="B1264" t="s">
        <v>3527</v>
      </c>
      <c r="C1264" t="s">
        <v>3527</v>
      </c>
      <c r="D1264" t="s">
        <v>2561</v>
      </c>
      <c r="E1264" t="s">
        <v>3622</v>
      </c>
      <c r="F1264" t="s">
        <v>298</v>
      </c>
      <c r="G1264" t="s">
        <v>3623</v>
      </c>
      <c r="H1264" t="s">
        <v>3632</v>
      </c>
      <c r="I1264" t="s">
        <v>3633</v>
      </c>
      <c r="J1264" t="s">
        <v>3634</v>
      </c>
      <c r="K1264" t="s">
        <v>3635</v>
      </c>
      <c r="L1264" t="s">
        <v>3636</v>
      </c>
      <c r="M1264" s="37">
        <v>1.170455</v>
      </c>
      <c r="N1264" s="37">
        <v>0.1</v>
      </c>
      <c r="O1264">
        <v>1</v>
      </c>
      <c r="P1264" s="37">
        <v>1.231546</v>
      </c>
      <c r="Q1264">
        <v>1.3</v>
      </c>
      <c r="R1264">
        <v>1950</v>
      </c>
      <c r="S1264">
        <v>1950</v>
      </c>
      <c r="T1264">
        <v>1500</v>
      </c>
      <c r="U1264" t="s">
        <v>3350</v>
      </c>
      <c r="Z1264" s="37">
        <v>0.01</v>
      </c>
      <c r="AA1264" s="37">
        <v>0.35</v>
      </c>
      <c r="AB1264">
        <v>0</v>
      </c>
    </row>
    <row r="1265">
      <c r="A1265" t="s">
        <v>3637</v>
      </c>
      <c r="B1265" t="s">
        <v>3527</v>
      </c>
      <c r="C1265" t="s">
        <v>3527</v>
      </c>
      <c r="D1265" t="s">
        <v>1013</v>
      </c>
      <c r="E1265" t="s">
        <v>3638</v>
      </c>
      <c r="F1265" t="s">
        <v>298</v>
      </c>
      <c r="G1265" t="s">
        <v>3623</v>
      </c>
      <c r="H1265" t="s">
        <v>3624</v>
      </c>
      <c r="I1265" t="s">
        <v>3639</v>
      </c>
      <c r="J1265" t="s">
        <v>977</v>
      </c>
      <c r="K1265" t="s">
        <v>3640</v>
      </c>
      <c r="L1265" t="s">
        <v>3641</v>
      </c>
      <c r="M1265" s="37">
        <v>3.29</v>
      </c>
      <c r="N1265" s="37">
        <v>0.5</v>
      </c>
      <c r="O1265">
        <v>1.5</v>
      </c>
      <c r="P1265" s="37">
        <v>1.885</v>
      </c>
      <c r="Q1265">
        <v>0.89</v>
      </c>
      <c r="R1265">
        <v>1335</v>
      </c>
      <c r="S1265">
        <v>1335</v>
      </c>
      <c r="T1265">
        <v>1500</v>
      </c>
      <c r="U1265" t="s">
        <v>3350</v>
      </c>
      <c r="Z1265" s="37">
        <v>0.01</v>
      </c>
      <c r="AA1265" s="37">
        <v>0.35</v>
      </c>
      <c r="AB1265">
        <v>0</v>
      </c>
    </row>
    <row r="1266">
      <c r="A1266" t="s">
        <v>3637</v>
      </c>
      <c r="B1266" t="s">
        <v>3527</v>
      </c>
      <c r="C1266" t="s">
        <v>3527</v>
      </c>
      <c r="D1266" t="s">
        <v>1013</v>
      </c>
      <c r="E1266" t="s">
        <v>3638</v>
      </c>
      <c r="F1266" t="s">
        <v>298</v>
      </c>
      <c r="G1266" t="s">
        <v>3623</v>
      </c>
      <c r="H1266" t="s">
        <v>3624</v>
      </c>
      <c r="I1266" t="s">
        <v>3642</v>
      </c>
      <c r="J1266" t="s">
        <v>3643</v>
      </c>
      <c r="K1266" t="s">
        <v>1529</v>
      </c>
      <c r="L1266" t="s">
        <v>3644</v>
      </c>
      <c r="M1266" s="37">
        <v>0</v>
      </c>
      <c r="N1266" s="37">
        <v>0.2</v>
      </c>
      <c r="O1266">
        <v>0</v>
      </c>
      <c r="P1266" s="37">
        <v>1.885</v>
      </c>
      <c r="Q1266">
        <v>0.89</v>
      </c>
      <c r="R1266">
        <v>1335</v>
      </c>
      <c r="S1266">
        <v>1335</v>
      </c>
      <c r="T1266">
        <v>1500</v>
      </c>
      <c r="U1266" t="s">
        <v>3350</v>
      </c>
      <c r="Z1266" s="37">
        <v>0.01</v>
      </c>
      <c r="AA1266" s="37">
        <v>0.35</v>
      </c>
      <c r="AB1266">
        <v>0</v>
      </c>
    </row>
    <row r="1267">
      <c r="A1267" t="s">
        <v>3637</v>
      </c>
      <c r="B1267" t="s">
        <v>3527</v>
      </c>
      <c r="C1267" t="s">
        <v>3527</v>
      </c>
      <c r="D1267" t="s">
        <v>1013</v>
      </c>
      <c r="E1267" t="s">
        <v>3638</v>
      </c>
      <c r="F1267" t="s">
        <v>298</v>
      </c>
      <c r="G1267" t="s">
        <v>3623</v>
      </c>
      <c r="H1267" t="s">
        <v>2404</v>
      </c>
      <c r="I1267" t="s">
        <v>3645</v>
      </c>
      <c r="J1267">
        <v>100</v>
      </c>
      <c r="K1267">
        <v>80</v>
      </c>
      <c r="L1267" t="s">
        <v>3646</v>
      </c>
      <c r="M1267" s="37">
        <v>0.8</v>
      </c>
      <c r="N1267" s="37">
        <v>0.3</v>
      </c>
      <c r="O1267">
        <v>0.48</v>
      </c>
      <c r="P1267" s="37">
        <v>1.885</v>
      </c>
      <c r="Q1267">
        <v>0.89</v>
      </c>
      <c r="R1267">
        <v>1335</v>
      </c>
      <c r="S1267">
        <v>1335</v>
      </c>
      <c r="T1267">
        <v>1500</v>
      </c>
      <c r="U1267" t="s">
        <v>3350</v>
      </c>
      <c r="Z1267" s="37">
        <v>0.01</v>
      </c>
      <c r="AA1267" s="37">
        <v>0.35</v>
      </c>
      <c r="AB1267">
        <v>0</v>
      </c>
    </row>
    <row r="1268">
      <c r="A1268" t="s">
        <v>3647</v>
      </c>
      <c r="B1268" t="s">
        <v>3648</v>
      </c>
      <c r="C1268" t="s">
        <v>3648</v>
      </c>
      <c r="D1268" t="s">
        <v>3649</v>
      </c>
      <c r="E1268" t="s">
        <v>3650</v>
      </c>
      <c r="F1268" t="s">
        <v>298</v>
      </c>
      <c r="G1268" t="s">
        <v>3651</v>
      </c>
      <c r="H1268" t="s">
        <v>3652</v>
      </c>
      <c r="I1268" t="s">
        <v>3653</v>
      </c>
      <c r="J1268" t="s">
        <v>3654</v>
      </c>
      <c r="K1268" t="s">
        <v>3655</v>
      </c>
      <c r="L1268" t="s">
        <v>3646</v>
      </c>
      <c r="M1268" s="37">
        <v>1.19</v>
      </c>
      <c r="N1268" s="37">
        <v>0.6</v>
      </c>
      <c r="O1268">
        <v>1.2</v>
      </c>
      <c r="P1268" s="37">
        <v>1.258</v>
      </c>
      <c r="Q1268">
        <v>1.14</v>
      </c>
      <c r="R1268">
        <v>5000</v>
      </c>
      <c r="S1268">
        <v>5000</v>
      </c>
      <c r="T1268">
        <v>5000</v>
      </c>
      <c r="U1268" t="s">
        <v>3350</v>
      </c>
      <c r="Z1268" s="37">
        <v>0.01</v>
      </c>
      <c r="AA1268" s="37">
        <v>0.35</v>
      </c>
      <c r="AB1268">
        <v>0</v>
      </c>
    </row>
    <row r="1269">
      <c r="A1269" t="s">
        <v>3647</v>
      </c>
      <c r="B1269" t="s">
        <v>3648</v>
      </c>
      <c r="C1269" t="s">
        <v>3648</v>
      </c>
      <c r="D1269" t="s">
        <v>3649</v>
      </c>
      <c r="E1269" t="s">
        <v>3650</v>
      </c>
      <c r="F1269" t="s">
        <v>298</v>
      </c>
      <c r="G1269" t="s">
        <v>3651</v>
      </c>
      <c r="H1269" t="s">
        <v>3656</v>
      </c>
      <c r="I1269" t="s">
        <v>3657</v>
      </c>
      <c r="J1269">
        <v>-9.5</v>
      </c>
      <c r="K1269">
        <v>-6.09</v>
      </c>
      <c r="L1269" t="s">
        <v>3646</v>
      </c>
      <c r="M1269" s="37">
        <v>1.23</v>
      </c>
      <c r="N1269" s="37">
        <v>0.3</v>
      </c>
      <c r="O1269">
        <v>1.2</v>
      </c>
      <c r="P1269" s="37">
        <v>1.258</v>
      </c>
      <c r="Q1269">
        <v>1.14</v>
      </c>
      <c r="R1269">
        <v>5000</v>
      </c>
      <c r="S1269">
        <v>5000</v>
      </c>
      <c r="T1269">
        <v>5000</v>
      </c>
      <c r="U1269" t="s">
        <v>3350</v>
      </c>
      <c r="Z1269" s="37">
        <v>0.01</v>
      </c>
      <c r="AA1269" s="37">
        <v>0.35</v>
      </c>
      <c r="AB1269">
        <v>0</v>
      </c>
    </row>
    <row r="1270">
      <c r="A1270" t="s">
        <v>3647</v>
      </c>
      <c r="B1270" t="s">
        <v>3648</v>
      </c>
      <c r="C1270" t="s">
        <v>3648</v>
      </c>
      <c r="D1270" t="s">
        <v>3649</v>
      </c>
      <c r="E1270" t="s">
        <v>3650</v>
      </c>
      <c r="F1270" t="s">
        <v>298</v>
      </c>
      <c r="G1270" t="s">
        <v>3651</v>
      </c>
      <c r="H1270" t="s">
        <v>3658</v>
      </c>
      <c r="I1270" t="s">
        <v>3659</v>
      </c>
      <c r="J1270" t="s">
        <v>1590</v>
      </c>
      <c r="L1270" t="s">
        <v>3646</v>
      </c>
      <c r="M1270" s="37">
        <v>2.5</v>
      </c>
      <c r="N1270" s="37">
        <v>0.05</v>
      </c>
      <c r="O1270">
        <v>1.2</v>
      </c>
      <c r="P1270" s="37">
        <v>1.258</v>
      </c>
      <c r="Q1270">
        <v>1.14</v>
      </c>
      <c r="R1270">
        <v>5000</v>
      </c>
      <c r="S1270">
        <v>5000</v>
      </c>
      <c r="T1270">
        <v>5000</v>
      </c>
      <c r="U1270" t="s">
        <v>3350</v>
      </c>
      <c r="Z1270" s="37">
        <v>0.01</v>
      </c>
      <c r="AA1270" s="37">
        <v>0.35</v>
      </c>
      <c r="AB1270">
        <v>0</v>
      </c>
    </row>
    <row r="1271">
      <c r="A1271" t="s">
        <v>3647</v>
      </c>
      <c r="B1271" t="s">
        <v>3648</v>
      </c>
      <c r="C1271" t="s">
        <v>3648</v>
      </c>
      <c r="D1271" t="s">
        <v>3649</v>
      </c>
      <c r="E1271" t="s">
        <v>3650</v>
      </c>
      <c r="F1271" t="s">
        <v>298</v>
      </c>
      <c r="G1271" t="s">
        <v>3651</v>
      </c>
      <c r="H1271" t="s">
        <v>3658</v>
      </c>
      <c r="I1271" t="s">
        <v>3660</v>
      </c>
      <c r="J1271" t="s">
        <v>3236</v>
      </c>
      <c r="L1271" t="s">
        <v>3646</v>
      </c>
      <c r="M1271" s="37">
        <v>1</v>
      </c>
      <c r="N1271" s="37">
        <v>0.05</v>
      </c>
      <c r="O1271">
        <v>0</v>
      </c>
      <c r="P1271" s="37">
        <v>1.258</v>
      </c>
      <c r="Q1271">
        <v>1.14</v>
      </c>
      <c r="R1271">
        <v>5000</v>
      </c>
      <c r="S1271">
        <v>5000</v>
      </c>
      <c r="T1271">
        <v>5000</v>
      </c>
      <c r="U1271" t="s">
        <v>3350</v>
      </c>
      <c r="Z1271" s="37">
        <v>0.01</v>
      </c>
      <c r="AA1271" s="37">
        <v>0.35</v>
      </c>
      <c r="AB1271">
        <v>0</v>
      </c>
    </row>
    <row r="1272">
      <c r="A1272" s="39" t="s">
        <v>3661</v>
      </c>
      <c r="B1272" s="39" t="s">
        <v>3662</v>
      </c>
      <c r="C1272" s="39" t="s">
        <v>3662</v>
      </c>
      <c r="D1272" s="39" t="s">
        <v>3649</v>
      </c>
      <c r="E1272" s="39" t="s">
        <v>3663</v>
      </c>
      <c r="F1272" s="39" t="s">
        <v>298</v>
      </c>
      <c r="G1272" s="39" t="s">
        <v>3651</v>
      </c>
      <c r="H1272" s="39" t="s">
        <v>3652</v>
      </c>
      <c r="I1272" s="39" t="s">
        <v>3664</v>
      </c>
      <c r="J1272" s="39" t="s">
        <v>3665</v>
      </c>
      <c r="K1272" s="39" t="s">
        <v>3666</v>
      </c>
      <c r="L1272" s="39" t="s">
        <v>3646</v>
      </c>
      <c r="M1272" s="40">
        <v>0.563</v>
      </c>
      <c r="N1272" s="40">
        <v>0.6</v>
      </c>
      <c r="O1272" s="39">
        <v>0</v>
      </c>
      <c r="P1272" s="40">
        <v>0.403395</v>
      </c>
      <c r="Q1272" s="39">
        <v>0</v>
      </c>
      <c r="R1272" s="39">
        <v>2000</v>
      </c>
      <c r="S1272" s="39">
        <v>2000</v>
      </c>
      <c r="T1272" s="39">
        <v>5000</v>
      </c>
      <c r="U1272" s="39" t="s">
        <v>3350</v>
      </c>
      <c r="V1272" s="39"/>
      <c r="W1272" s="39"/>
      <c r="X1272" s="39"/>
      <c r="Y1272" s="39"/>
      <c r="Z1272" s="40">
        <v>0.01</v>
      </c>
      <c r="AA1272" s="40">
        <v>0.35</v>
      </c>
      <c r="AB1272" s="39">
        <v>0</v>
      </c>
    </row>
    <row r="1273">
      <c r="A1273" s="39" t="s">
        <v>3661</v>
      </c>
      <c r="B1273" s="39" t="s">
        <v>3662</v>
      </c>
      <c r="C1273" s="39" t="s">
        <v>3662</v>
      </c>
      <c r="D1273" s="39" t="s">
        <v>3649</v>
      </c>
      <c r="E1273" s="39" t="s">
        <v>3663</v>
      </c>
      <c r="F1273" s="39" t="s">
        <v>298</v>
      </c>
      <c r="G1273" s="39" t="s">
        <v>3651</v>
      </c>
      <c r="H1273" s="39" t="s">
        <v>3656</v>
      </c>
      <c r="I1273" s="39" t="s">
        <v>3667</v>
      </c>
      <c r="J1273" s="40">
        <v>-0.0316</v>
      </c>
      <c r="K1273" s="40">
        <v>-0.0775</v>
      </c>
      <c r="L1273" s="39" t="s">
        <v>3646</v>
      </c>
      <c r="M1273" s="40">
        <v>0</v>
      </c>
      <c r="N1273" s="40">
        <v>0.3</v>
      </c>
      <c r="O1273" s="39">
        <v>0</v>
      </c>
      <c r="P1273" s="40">
        <v>0.403395</v>
      </c>
      <c r="Q1273" s="39">
        <v>0</v>
      </c>
      <c r="R1273" s="39">
        <v>2000</v>
      </c>
      <c r="S1273" s="39">
        <v>2000</v>
      </c>
      <c r="T1273" s="39">
        <v>5000</v>
      </c>
      <c r="U1273" s="39" t="s">
        <v>3350</v>
      </c>
      <c r="V1273" s="39"/>
      <c r="W1273" s="39"/>
      <c r="X1273" s="39"/>
      <c r="Y1273" s="39"/>
      <c r="Z1273" s="40">
        <v>0.01</v>
      </c>
      <c r="AA1273" s="40">
        <v>0.35</v>
      </c>
      <c r="AB1273" s="39">
        <v>0</v>
      </c>
    </row>
    <row r="1274">
      <c r="A1274" s="39" t="s">
        <v>3661</v>
      </c>
      <c r="B1274" s="39" t="s">
        <v>3662</v>
      </c>
      <c r="C1274" s="39" t="s">
        <v>3662</v>
      </c>
      <c r="D1274" s="39" t="s">
        <v>3649</v>
      </c>
      <c r="E1274" s="39" t="s">
        <v>3663</v>
      </c>
      <c r="F1274" s="39" t="s">
        <v>298</v>
      </c>
      <c r="G1274" s="39" t="s">
        <v>3651</v>
      </c>
      <c r="H1274" s="39" t="s">
        <v>3658</v>
      </c>
      <c r="I1274" s="39" t="s">
        <v>3668</v>
      </c>
      <c r="J1274" s="39" t="s">
        <v>2567</v>
      </c>
      <c r="K1274" s="39"/>
      <c r="L1274" s="39">
        <v>40</v>
      </c>
      <c r="M1274" s="40">
        <v>0</v>
      </c>
      <c r="N1274" s="40">
        <v>0.05</v>
      </c>
      <c r="O1274" s="39">
        <v>0</v>
      </c>
      <c r="P1274" s="40">
        <v>0.403395</v>
      </c>
      <c r="Q1274" s="39">
        <v>0</v>
      </c>
      <c r="R1274" s="39">
        <v>2000</v>
      </c>
      <c r="S1274" s="39">
        <v>2000</v>
      </c>
      <c r="T1274" s="39">
        <v>5000</v>
      </c>
      <c r="U1274" s="39" t="s">
        <v>3350</v>
      </c>
      <c r="V1274" s="39"/>
      <c r="W1274" s="39"/>
      <c r="X1274" s="39"/>
      <c r="Y1274" s="39"/>
      <c r="Z1274" s="40">
        <v>0.01</v>
      </c>
      <c r="AA1274" s="40">
        <v>0.35</v>
      </c>
      <c r="AB1274" s="39">
        <v>0</v>
      </c>
    </row>
    <row r="1275">
      <c r="A1275" s="39" t="s">
        <v>3661</v>
      </c>
      <c r="B1275" s="39" t="s">
        <v>3662</v>
      </c>
      <c r="C1275" s="39" t="s">
        <v>3662</v>
      </c>
      <c r="D1275" s="39" t="s">
        <v>3649</v>
      </c>
      <c r="E1275" s="39" t="s">
        <v>3663</v>
      </c>
      <c r="F1275" s="39" t="s">
        <v>298</v>
      </c>
      <c r="G1275" s="39" t="s">
        <v>3651</v>
      </c>
      <c r="H1275" s="39" t="s">
        <v>3652</v>
      </c>
      <c r="I1275" s="39" t="s">
        <v>3669</v>
      </c>
      <c r="J1275" s="39" t="s">
        <v>2930</v>
      </c>
      <c r="K1275" s="39" t="s">
        <v>3670</v>
      </c>
      <c r="L1275" s="39">
        <v>40</v>
      </c>
      <c r="M1275" s="40">
        <v>1.3119</v>
      </c>
      <c r="N1275" s="40">
        <v>0.05</v>
      </c>
      <c r="O1275" s="39">
        <v>0</v>
      </c>
      <c r="P1275" s="40">
        <v>0.403395</v>
      </c>
      <c r="Q1275" s="39">
        <v>0</v>
      </c>
      <c r="R1275" s="39">
        <v>2000</v>
      </c>
      <c r="S1275" s="39">
        <v>2000</v>
      </c>
      <c r="T1275" s="39">
        <v>5000</v>
      </c>
      <c r="U1275" s="39" t="s">
        <v>3350</v>
      </c>
      <c r="V1275" s="39"/>
      <c r="W1275" s="39"/>
      <c r="X1275" s="39"/>
      <c r="Y1275" s="39"/>
      <c r="Z1275" s="40">
        <v>0.01</v>
      </c>
      <c r="AA1275" s="40">
        <v>0.35</v>
      </c>
      <c r="AB1275" s="39">
        <v>0</v>
      </c>
    </row>
    <row r="1276">
      <c r="A1276" t="s">
        <v>3671</v>
      </c>
      <c r="B1276" t="s">
        <v>3672</v>
      </c>
      <c r="C1276" t="s">
        <v>3672</v>
      </c>
      <c r="D1276" t="s">
        <v>3673</v>
      </c>
      <c r="E1276" t="s">
        <v>3674</v>
      </c>
      <c r="F1276" t="s">
        <v>298</v>
      </c>
      <c r="G1276" t="s">
        <v>3651</v>
      </c>
      <c r="H1276" t="s">
        <v>3675</v>
      </c>
      <c r="I1276" t="s">
        <v>3676</v>
      </c>
      <c r="K1276" t="s">
        <v>3677</v>
      </c>
      <c r="L1276">
        <v>40</v>
      </c>
      <c r="M1276" s="37">
        <v>1</v>
      </c>
      <c r="N1276" s="37">
        <v>0.3</v>
      </c>
      <c r="O1276">
        <v>1.5</v>
      </c>
      <c r="P1276" s="37">
        <v>1.0772</v>
      </c>
      <c r="Q1276">
        <v>1.24</v>
      </c>
      <c r="R1276">
        <v>8000</v>
      </c>
      <c r="S1276">
        <v>8000</v>
      </c>
      <c r="T1276">
        <v>5000</v>
      </c>
      <c r="U1276" t="s">
        <v>3350</v>
      </c>
      <c r="Z1276" s="37">
        <v>0.01</v>
      </c>
      <c r="AA1276" s="37">
        <v>0.35</v>
      </c>
      <c r="AB1276">
        <v>0</v>
      </c>
    </row>
    <row r="1277">
      <c r="A1277" t="s">
        <v>3671</v>
      </c>
      <c r="B1277" t="s">
        <v>3672</v>
      </c>
      <c r="C1277" t="s">
        <v>3672</v>
      </c>
      <c r="D1277" t="s">
        <v>3673</v>
      </c>
      <c r="E1277" t="s">
        <v>3674</v>
      </c>
      <c r="F1277" t="s">
        <v>298</v>
      </c>
      <c r="G1277" t="s">
        <v>3651</v>
      </c>
      <c r="H1277" t="s">
        <v>3678</v>
      </c>
      <c r="I1277" t="s">
        <v>3679</v>
      </c>
      <c r="K1277" t="s">
        <v>3680</v>
      </c>
      <c r="L1277">
        <v>40</v>
      </c>
      <c r="M1277" s="37">
        <v>1</v>
      </c>
      <c r="N1277" s="37">
        <v>0.3</v>
      </c>
      <c r="O1277">
        <v>1.2</v>
      </c>
      <c r="P1277" s="37">
        <v>1.0772</v>
      </c>
      <c r="Q1277">
        <v>1.24</v>
      </c>
      <c r="R1277">
        <v>8000</v>
      </c>
      <c r="S1277">
        <v>8000</v>
      </c>
      <c r="T1277">
        <v>5000</v>
      </c>
      <c r="U1277" t="s">
        <v>3350</v>
      </c>
      <c r="Z1277" s="37">
        <v>0.01</v>
      </c>
      <c r="AA1277" s="37">
        <v>0.35</v>
      </c>
      <c r="AB1277">
        <v>0</v>
      </c>
    </row>
    <row r="1278">
      <c r="A1278" t="s">
        <v>3671</v>
      </c>
      <c r="B1278" t="s">
        <v>3672</v>
      </c>
      <c r="C1278" t="s">
        <v>3672</v>
      </c>
      <c r="D1278" t="s">
        <v>3673</v>
      </c>
      <c r="E1278" t="s">
        <v>3674</v>
      </c>
      <c r="F1278" t="s">
        <v>298</v>
      </c>
      <c r="G1278" t="s">
        <v>3651</v>
      </c>
      <c r="H1278" t="s">
        <v>3681</v>
      </c>
      <c r="I1278" t="s">
        <v>3682</v>
      </c>
      <c r="J1278" t="s">
        <v>2930</v>
      </c>
      <c r="K1278" t="s">
        <v>3683</v>
      </c>
      <c r="L1278">
        <v>40</v>
      </c>
      <c r="M1278" s="37">
        <v>0.936</v>
      </c>
      <c r="N1278" s="37">
        <v>0.2</v>
      </c>
      <c r="O1278">
        <v>0.936</v>
      </c>
      <c r="P1278" s="37">
        <v>1.0772</v>
      </c>
      <c r="Q1278">
        <v>1.24</v>
      </c>
      <c r="R1278">
        <v>8000</v>
      </c>
      <c r="S1278">
        <v>8000</v>
      </c>
      <c r="T1278">
        <v>5000</v>
      </c>
      <c r="U1278" t="s">
        <v>3350</v>
      </c>
      <c r="Z1278" s="37">
        <v>0.01</v>
      </c>
      <c r="AA1278" s="37">
        <v>0.35</v>
      </c>
      <c r="AB1278">
        <v>0</v>
      </c>
    </row>
    <row r="1279">
      <c r="A1279" t="s">
        <v>3671</v>
      </c>
      <c r="B1279" t="s">
        <v>3672</v>
      </c>
      <c r="C1279" t="s">
        <v>3672</v>
      </c>
      <c r="D1279" t="s">
        <v>3673</v>
      </c>
      <c r="E1279" t="s">
        <v>3674</v>
      </c>
      <c r="F1279" t="s">
        <v>298</v>
      </c>
      <c r="G1279" t="s">
        <v>3651</v>
      </c>
      <c r="H1279" t="s">
        <v>3684</v>
      </c>
      <c r="I1279" t="s">
        <v>3685</v>
      </c>
      <c r="J1279" t="s">
        <v>3686</v>
      </c>
      <c r="K1279" t="s">
        <v>3687</v>
      </c>
      <c r="L1279">
        <v>40</v>
      </c>
      <c r="M1279" s="37">
        <v>1.7</v>
      </c>
      <c r="N1279" s="37">
        <v>0.1</v>
      </c>
      <c r="O1279">
        <v>1.2</v>
      </c>
      <c r="P1279" s="37">
        <v>1.0772</v>
      </c>
      <c r="Q1279">
        <v>1.24</v>
      </c>
      <c r="R1279">
        <v>8000</v>
      </c>
      <c r="S1279">
        <v>8000</v>
      </c>
      <c r="T1279">
        <v>5000</v>
      </c>
      <c r="U1279" t="s">
        <v>3350</v>
      </c>
      <c r="Z1279" s="37">
        <v>0.01</v>
      </c>
      <c r="AA1279" s="37">
        <v>0.35</v>
      </c>
      <c r="AB1279">
        <v>0</v>
      </c>
    </row>
    <row r="1280">
      <c r="A1280" t="s">
        <v>3671</v>
      </c>
      <c r="B1280" t="s">
        <v>3672</v>
      </c>
      <c r="C1280" t="s">
        <v>3672</v>
      </c>
      <c r="D1280" t="s">
        <v>3673</v>
      </c>
      <c r="E1280" t="s">
        <v>3674</v>
      </c>
      <c r="F1280" t="s">
        <v>298</v>
      </c>
      <c r="G1280" t="s">
        <v>3651</v>
      </c>
      <c r="H1280" t="s">
        <v>3652</v>
      </c>
      <c r="I1280" t="s">
        <v>3688</v>
      </c>
      <c r="J1280" t="s">
        <v>1048</v>
      </c>
      <c r="K1280" t="s">
        <v>3689</v>
      </c>
      <c r="L1280">
        <v>40</v>
      </c>
      <c r="M1280" s="37">
        <v>1.2</v>
      </c>
      <c r="N1280" s="37">
        <v>0.1</v>
      </c>
      <c r="O1280">
        <v>1.2</v>
      </c>
      <c r="P1280" s="37">
        <v>1.0772</v>
      </c>
      <c r="Q1280">
        <v>1.24</v>
      </c>
      <c r="R1280">
        <v>8000</v>
      </c>
      <c r="S1280">
        <v>8000</v>
      </c>
      <c r="T1280">
        <v>5000</v>
      </c>
      <c r="U1280" t="s">
        <v>3350</v>
      </c>
      <c r="Z1280" s="37">
        <v>0.01</v>
      </c>
      <c r="AA1280" s="37">
        <v>0.35</v>
      </c>
      <c r="AB1280">
        <v>0</v>
      </c>
    </row>
    <row r="1281">
      <c r="A1281" t="s">
        <v>3690</v>
      </c>
      <c r="B1281" t="s">
        <v>3162</v>
      </c>
      <c r="C1281" t="s">
        <v>3162</v>
      </c>
      <c r="D1281" t="s">
        <v>999</v>
      </c>
      <c r="E1281" t="s">
        <v>3691</v>
      </c>
      <c r="F1281" t="s">
        <v>298</v>
      </c>
      <c r="G1281" t="s">
        <v>3651</v>
      </c>
      <c r="H1281" t="s">
        <v>3652</v>
      </c>
      <c r="I1281" t="s">
        <v>3692</v>
      </c>
      <c r="J1281" t="s">
        <v>3167</v>
      </c>
      <c r="K1281" t="s">
        <v>3168</v>
      </c>
      <c r="L1281">
        <v>40</v>
      </c>
      <c r="M1281" s="37">
        <v>1.019833</v>
      </c>
      <c r="N1281" s="37">
        <v>0.6</v>
      </c>
      <c r="O1281">
        <v>1.2</v>
      </c>
      <c r="P1281" s="37">
        <v>1.237275</v>
      </c>
      <c r="Q1281">
        <v>1.14</v>
      </c>
      <c r="R1281">
        <v>5000</v>
      </c>
      <c r="S1281">
        <v>5000</v>
      </c>
      <c r="T1281">
        <v>5000</v>
      </c>
      <c r="U1281" t="s">
        <v>3350</v>
      </c>
      <c r="Z1281" s="37">
        <v>0.01</v>
      </c>
      <c r="AA1281" s="37">
        <v>0.35</v>
      </c>
      <c r="AB1281">
        <v>0</v>
      </c>
    </row>
    <row r="1282">
      <c r="A1282" t="s">
        <v>3690</v>
      </c>
      <c r="B1282" t="s">
        <v>3162</v>
      </c>
      <c r="C1282" t="s">
        <v>3162</v>
      </c>
      <c r="D1282" t="s">
        <v>999</v>
      </c>
      <c r="E1282" t="s">
        <v>3691</v>
      </c>
      <c r="F1282" t="s">
        <v>298</v>
      </c>
      <c r="G1282" t="s">
        <v>3651</v>
      </c>
      <c r="H1282" t="s">
        <v>3656</v>
      </c>
      <c r="I1282" t="s">
        <v>3693</v>
      </c>
      <c r="J1282" s="37">
        <v>-0.032</v>
      </c>
      <c r="K1282" s="37">
        <v>-0.0042</v>
      </c>
      <c r="L1282">
        <v>40</v>
      </c>
      <c r="M1282" s="37">
        <v>1.86875</v>
      </c>
      <c r="N1282" s="37">
        <v>0.3</v>
      </c>
      <c r="O1282">
        <v>1.2</v>
      </c>
      <c r="P1282" s="37">
        <v>1.237275</v>
      </c>
      <c r="Q1282">
        <v>1.14</v>
      </c>
      <c r="R1282">
        <v>5000</v>
      </c>
      <c r="S1282">
        <v>5000</v>
      </c>
      <c r="T1282">
        <v>5000</v>
      </c>
      <c r="U1282" t="s">
        <v>3350</v>
      </c>
      <c r="Z1282" s="37">
        <v>0.01</v>
      </c>
      <c r="AA1282" s="37">
        <v>0.35</v>
      </c>
      <c r="AB1282">
        <v>0</v>
      </c>
    </row>
    <row r="1283">
      <c r="A1283" t="s">
        <v>3690</v>
      </c>
      <c r="B1283" t="s">
        <v>3162</v>
      </c>
      <c r="C1283" t="s">
        <v>3162</v>
      </c>
      <c r="D1283" t="s">
        <v>999</v>
      </c>
      <c r="E1283" t="s">
        <v>3691</v>
      </c>
      <c r="F1283" t="s">
        <v>298</v>
      </c>
      <c r="G1283" t="s">
        <v>3651</v>
      </c>
      <c r="H1283" t="s">
        <v>3658</v>
      </c>
      <c r="I1283" t="s">
        <v>3694</v>
      </c>
      <c r="J1283" t="s">
        <v>3236</v>
      </c>
      <c r="L1283">
        <v>40</v>
      </c>
      <c r="M1283" s="37">
        <v>0</v>
      </c>
      <c r="N1283" s="37">
        <v>0.05</v>
      </c>
      <c r="O1283">
        <v>0</v>
      </c>
      <c r="P1283" s="37">
        <v>1.237275</v>
      </c>
      <c r="Q1283">
        <v>1.14</v>
      </c>
      <c r="R1283">
        <v>5000</v>
      </c>
      <c r="S1283">
        <v>5000</v>
      </c>
      <c r="T1283">
        <v>5000</v>
      </c>
      <c r="U1283" t="s">
        <v>3350</v>
      </c>
      <c r="Z1283" s="37">
        <v>0.01</v>
      </c>
      <c r="AA1283" s="37">
        <v>0.35</v>
      </c>
      <c r="AB1283">
        <v>0</v>
      </c>
    </row>
    <row r="1284">
      <c r="A1284" t="s">
        <v>3690</v>
      </c>
      <c r="B1284" t="s">
        <v>3162</v>
      </c>
      <c r="C1284" t="s">
        <v>3162</v>
      </c>
      <c r="D1284" t="s">
        <v>999</v>
      </c>
      <c r="E1284" t="s">
        <v>3691</v>
      </c>
      <c r="F1284" t="s">
        <v>298</v>
      </c>
      <c r="G1284" t="s">
        <v>3651</v>
      </c>
      <c r="H1284" t="s">
        <v>3652</v>
      </c>
      <c r="I1284" t="s">
        <v>3695</v>
      </c>
      <c r="J1284" t="s">
        <v>3696</v>
      </c>
      <c r="K1284" t="s">
        <v>3697</v>
      </c>
      <c r="L1284">
        <v>40</v>
      </c>
      <c r="M1284" s="37">
        <v>1.295</v>
      </c>
      <c r="N1284" s="37">
        <v>0.05</v>
      </c>
      <c r="O1284">
        <v>1.2</v>
      </c>
      <c r="P1284" s="37">
        <v>1.237275</v>
      </c>
      <c r="Q1284">
        <v>1.14</v>
      </c>
      <c r="R1284">
        <v>5000</v>
      </c>
      <c r="S1284">
        <v>5000</v>
      </c>
      <c r="T1284">
        <v>5000</v>
      </c>
      <c r="U1284" t="s">
        <v>3350</v>
      </c>
      <c r="Z1284" s="37">
        <v>0.01</v>
      </c>
      <c r="AA1284" s="37">
        <v>0.35</v>
      </c>
      <c r="AB1284">
        <v>0</v>
      </c>
    </row>
    <row r="1285">
      <c r="A1285" t="s">
        <v>3698</v>
      </c>
      <c r="B1285" t="s">
        <v>3699</v>
      </c>
      <c r="C1285" t="s">
        <v>3699</v>
      </c>
      <c r="D1285" t="s">
        <v>2561</v>
      </c>
      <c r="E1285" t="s">
        <v>3700</v>
      </c>
      <c r="F1285" t="s">
        <v>298</v>
      </c>
      <c r="G1285" t="s">
        <v>3701</v>
      </c>
      <c r="H1285" t="s">
        <v>3702</v>
      </c>
      <c r="I1285" t="s">
        <v>3702</v>
      </c>
      <c r="J1285" t="s">
        <v>3703</v>
      </c>
      <c r="K1285" t="s">
        <v>3704</v>
      </c>
      <c r="L1285">
        <v>40</v>
      </c>
      <c r="M1285" s="37">
        <v>1.5</v>
      </c>
      <c r="N1285" s="37">
        <v>0.7</v>
      </c>
      <c r="O1285">
        <v>1.5</v>
      </c>
      <c r="P1285" s="37">
        <v>1.449</v>
      </c>
      <c r="Q1285">
        <v>1.17</v>
      </c>
      <c r="R1285">
        <v>6080</v>
      </c>
      <c r="S1285">
        <v>5520</v>
      </c>
      <c r="T1285">
        <v>2000</v>
      </c>
      <c r="U1285" t="s">
        <v>3350</v>
      </c>
      <c r="Z1285" s="37">
        <v>0.01</v>
      </c>
      <c r="AA1285" s="37">
        <v>0.35</v>
      </c>
      <c r="AB1285">
        <v>0</v>
      </c>
    </row>
    <row r="1286">
      <c r="A1286" t="s">
        <v>3698</v>
      </c>
      <c r="B1286" t="s">
        <v>3699</v>
      </c>
      <c r="C1286" t="s">
        <v>3699</v>
      </c>
      <c r="D1286" t="s">
        <v>2561</v>
      </c>
      <c r="E1286" t="s">
        <v>3700</v>
      </c>
      <c r="F1286" t="s">
        <v>298</v>
      </c>
      <c r="G1286" t="s">
        <v>3701</v>
      </c>
      <c r="H1286" t="s">
        <v>3705</v>
      </c>
      <c r="I1286" t="s">
        <v>3706</v>
      </c>
      <c r="J1286" t="s">
        <v>969</v>
      </c>
      <c r="K1286" t="s">
        <v>1025</v>
      </c>
      <c r="L1286">
        <v>40</v>
      </c>
      <c r="M1286" s="37">
        <v>1.33</v>
      </c>
      <c r="N1286" s="37">
        <v>0.3</v>
      </c>
      <c r="O1286">
        <v>0.4</v>
      </c>
      <c r="P1286" s="37">
        <v>1.449</v>
      </c>
      <c r="Q1286">
        <v>1.17</v>
      </c>
      <c r="R1286">
        <v>6080</v>
      </c>
      <c r="S1286">
        <v>5520</v>
      </c>
      <c r="T1286">
        <v>2000</v>
      </c>
      <c r="U1286" t="s">
        <v>3350</v>
      </c>
      <c r="Z1286" s="37">
        <v>0.01</v>
      </c>
      <c r="AA1286" s="37">
        <v>0.35</v>
      </c>
      <c r="AB1286">
        <v>0</v>
      </c>
    </row>
    <row r="1287">
      <c r="A1287" t="s">
        <v>3707</v>
      </c>
      <c r="B1287" t="s">
        <v>3699</v>
      </c>
      <c r="C1287" t="s">
        <v>3699</v>
      </c>
      <c r="D1287" t="s">
        <v>999</v>
      </c>
      <c r="E1287" t="s">
        <v>3708</v>
      </c>
      <c r="F1287" t="s">
        <v>298</v>
      </c>
      <c r="G1287" t="s">
        <v>3701</v>
      </c>
      <c r="H1287" t="s">
        <v>3702</v>
      </c>
      <c r="I1287" t="s">
        <v>3709</v>
      </c>
      <c r="J1287" s="38">
        <v>3.3</v>
      </c>
      <c r="K1287" s="37">
        <v>125842.7837</v>
      </c>
      <c r="L1287">
        <v>40</v>
      </c>
      <c r="M1287" s="37">
        <v>1.5</v>
      </c>
      <c r="N1287" s="37">
        <v>0.63</v>
      </c>
      <c r="O1287">
        <v>1.5</v>
      </c>
      <c r="P1287" s="37">
        <v>1.045</v>
      </c>
      <c r="Q1287">
        <v>1.05</v>
      </c>
      <c r="R1287">
        <v>4862.5</v>
      </c>
      <c r="S1287">
        <v>3262.5</v>
      </c>
      <c r="T1287">
        <v>5000</v>
      </c>
      <c r="U1287" t="s">
        <v>3350</v>
      </c>
      <c r="Z1287" s="37">
        <v>0.01</v>
      </c>
      <c r="AA1287" s="37">
        <v>0.35</v>
      </c>
      <c r="AB1287">
        <v>0</v>
      </c>
    </row>
    <row r="1288">
      <c r="A1288" t="s">
        <v>3707</v>
      </c>
      <c r="B1288" t="s">
        <v>3699</v>
      </c>
      <c r="C1288" t="s">
        <v>3699</v>
      </c>
      <c r="D1288" t="s">
        <v>999</v>
      </c>
      <c r="E1288" t="s">
        <v>3708</v>
      </c>
      <c r="F1288" t="s">
        <v>298</v>
      </c>
      <c r="G1288" t="s">
        <v>3701</v>
      </c>
      <c r="H1288" t="s">
        <v>3705</v>
      </c>
      <c r="I1288" t="s">
        <v>3710</v>
      </c>
      <c r="J1288" t="s">
        <v>969</v>
      </c>
      <c r="K1288" t="s">
        <v>3711</v>
      </c>
      <c r="L1288">
        <v>40</v>
      </c>
      <c r="M1288" s="37">
        <v>0</v>
      </c>
      <c r="N1288" s="37">
        <v>0.27</v>
      </c>
      <c r="O1288">
        <v>0</v>
      </c>
      <c r="P1288" s="37">
        <v>1.045</v>
      </c>
      <c r="Q1288">
        <v>1.05</v>
      </c>
      <c r="R1288">
        <v>4862.5</v>
      </c>
      <c r="S1288">
        <v>3262.5</v>
      </c>
      <c r="T1288">
        <v>5000</v>
      </c>
      <c r="U1288" t="s">
        <v>3350</v>
      </c>
      <c r="Z1288" s="37">
        <v>0.01</v>
      </c>
      <c r="AA1288" s="37">
        <v>0.35</v>
      </c>
      <c r="AB1288">
        <v>0</v>
      </c>
    </row>
    <row r="1289">
      <c r="A1289" t="s">
        <v>3707</v>
      </c>
      <c r="B1289" t="s">
        <v>3699</v>
      </c>
      <c r="C1289" t="s">
        <v>3699</v>
      </c>
      <c r="D1289" t="s">
        <v>999</v>
      </c>
      <c r="E1289" t="s">
        <v>3708</v>
      </c>
      <c r="F1289" t="s">
        <v>298</v>
      </c>
      <c r="G1289" t="s">
        <v>3701</v>
      </c>
      <c r="H1289" t="s">
        <v>3712</v>
      </c>
      <c r="I1289" t="s">
        <v>3713</v>
      </c>
      <c r="J1289">
        <v>100</v>
      </c>
      <c r="K1289" t="s">
        <v>3711</v>
      </c>
      <c r="L1289">
        <v>40</v>
      </c>
      <c r="M1289" s="37">
        <v>1</v>
      </c>
      <c r="N1289" s="37">
        <v>0.1</v>
      </c>
      <c r="O1289">
        <v>1</v>
      </c>
      <c r="P1289" s="37">
        <v>1.045</v>
      </c>
      <c r="Q1289">
        <v>1.05</v>
      </c>
      <c r="R1289">
        <v>4862.5</v>
      </c>
      <c r="S1289">
        <v>3262.5</v>
      </c>
      <c r="T1289">
        <v>5000</v>
      </c>
      <c r="U1289" t="s">
        <v>3350</v>
      </c>
      <c r="Z1289" s="37">
        <v>0.01</v>
      </c>
      <c r="AA1289" s="37">
        <v>0.35</v>
      </c>
      <c r="AB1289">
        <v>0</v>
      </c>
    </row>
    <row r="1290">
      <c r="A1290" t="s">
        <v>3714</v>
      </c>
      <c r="B1290" t="s">
        <v>3699</v>
      </c>
      <c r="C1290" t="s">
        <v>3699</v>
      </c>
      <c r="D1290" t="s">
        <v>1013</v>
      </c>
      <c r="E1290" t="s">
        <v>3715</v>
      </c>
      <c r="F1290" t="s">
        <v>298</v>
      </c>
      <c r="G1290" t="s">
        <v>3701</v>
      </c>
      <c r="H1290" t="s">
        <v>3702</v>
      </c>
      <c r="I1290" t="s">
        <v>3709</v>
      </c>
      <c r="J1290" t="s">
        <v>3703</v>
      </c>
      <c r="K1290" t="s">
        <v>3716</v>
      </c>
      <c r="L1290">
        <v>40</v>
      </c>
      <c r="M1290" s="37">
        <v>2.3414</v>
      </c>
      <c r="N1290" s="37">
        <v>0.63</v>
      </c>
      <c r="O1290">
        <v>1.5</v>
      </c>
      <c r="P1290" s="37">
        <v>1.575082</v>
      </c>
      <c r="Q1290">
        <v>1.05</v>
      </c>
      <c r="R1290">
        <v>2470</v>
      </c>
      <c r="S1290">
        <v>2190</v>
      </c>
      <c r="T1290">
        <v>1500</v>
      </c>
      <c r="U1290" t="s">
        <v>3350</v>
      </c>
      <c r="Z1290" s="37">
        <v>0.01</v>
      </c>
      <c r="AA1290" s="37">
        <v>0.35</v>
      </c>
      <c r="AB1290">
        <v>0</v>
      </c>
    </row>
    <row r="1291">
      <c r="A1291" t="s">
        <v>3714</v>
      </c>
      <c r="B1291" t="s">
        <v>3699</v>
      </c>
      <c r="C1291" t="s">
        <v>3699</v>
      </c>
      <c r="D1291" t="s">
        <v>1013</v>
      </c>
      <c r="E1291" t="s">
        <v>3715</v>
      </c>
      <c r="F1291" t="s">
        <v>298</v>
      </c>
      <c r="G1291" t="s">
        <v>3701</v>
      </c>
      <c r="H1291" t="s">
        <v>3705</v>
      </c>
      <c r="I1291" t="s">
        <v>3717</v>
      </c>
      <c r="J1291" t="s">
        <v>969</v>
      </c>
      <c r="K1291" t="s">
        <v>1041</v>
      </c>
      <c r="L1291">
        <v>40</v>
      </c>
      <c r="M1291" s="37">
        <v>0</v>
      </c>
      <c r="N1291" s="37">
        <v>0.27</v>
      </c>
      <c r="O1291">
        <v>0</v>
      </c>
      <c r="P1291" s="37">
        <v>1.575082</v>
      </c>
      <c r="Q1291">
        <v>1.05</v>
      </c>
      <c r="R1291">
        <v>2470</v>
      </c>
      <c r="S1291">
        <v>2190</v>
      </c>
      <c r="T1291">
        <v>1500</v>
      </c>
      <c r="U1291" t="s">
        <v>3350</v>
      </c>
      <c r="Z1291" s="37">
        <v>0.01</v>
      </c>
      <c r="AA1291" s="37">
        <v>0.35</v>
      </c>
      <c r="AB1291">
        <v>0</v>
      </c>
    </row>
    <row r="1292">
      <c r="A1292" t="s">
        <v>3714</v>
      </c>
      <c r="B1292" t="s">
        <v>3699</v>
      </c>
      <c r="C1292" t="s">
        <v>3699</v>
      </c>
      <c r="D1292" t="s">
        <v>1013</v>
      </c>
      <c r="E1292" t="s">
        <v>3715</v>
      </c>
      <c r="F1292" t="s">
        <v>298</v>
      </c>
      <c r="G1292" t="s">
        <v>3701</v>
      </c>
      <c r="H1292" t="s">
        <v>3705</v>
      </c>
      <c r="I1292" t="s">
        <v>3713</v>
      </c>
      <c r="J1292" s="38">
        <v>1</v>
      </c>
      <c r="K1292" t="s">
        <v>3718</v>
      </c>
      <c r="L1292">
        <v>40</v>
      </c>
      <c r="M1292" s="37">
        <v>1</v>
      </c>
      <c r="N1292" s="37">
        <v>0.1</v>
      </c>
      <c r="O1292">
        <v>1</v>
      </c>
      <c r="P1292" s="37">
        <v>1.575082</v>
      </c>
      <c r="Q1292">
        <v>1.05</v>
      </c>
      <c r="R1292">
        <v>2470</v>
      </c>
      <c r="S1292">
        <v>2190</v>
      </c>
      <c r="T1292">
        <v>1500</v>
      </c>
      <c r="U1292" t="s">
        <v>3350</v>
      </c>
      <c r="Z1292" s="37">
        <v>0.01</v>
      </c>
      <c r="AA1292" s="37">
        <v>0.35</v>
      </c>
      <c r="AB1292">
        <v>0</v>
      </c>
    </row>
    <row r="1293">
      <c r="A1293" t="s">
        <v>3719</v>
      </c>
      <c r="B1293" t="s">
        <v>3699</v>
      </c>
      <c r="C1293" t="s">
        <v>3699</v>
      </c>
      <c r="D1293" t="s">
        <v>1013</v>
      </c>
      <c r="E1293" t="s">
        <v>3720</v>
      </c>
      <c r="F1293" t="s">
        <v>298</v>
      </c>
      <c r="G1293" t="s">
        <v>3701</v>
      </c>
      <c r="H1293" t="s">
        <v>3702</v>
      </c>
      <c r="I1293" t="s">
        <v>3721</v>
      </c>
      <c r="J1293" t="s">
        <v>3722</v>
      </c>
      <c r="K1293" t="s">
        <v>3723</v>
      </c>
      <c r="L1293">
        <v>40</v>
      </c>
      <c r="M1293" s="37">
        <v>3.133545</v>
      </c>
      <c r="N1293" s="37">
        <v>0.63</v>
      </c>
      <c r="O1293">
        <v>1.5</v>
      </c>
      <c r="P1293" s="37">
        <v>2.074133</v>
      </c>
      <c r="Q1293">
        <v>0.96</v>
      </c>
      <c r="R1293">
        <v>950</v>
      </c>
      <c r="S1293">
        <v>950</v>
      </c>
      <c r="T1293">
        <v>1500</v>
      </c>
      <c r="U1293" t="s">
        <v>3350</v>
      </c>
      <c r="Z1293" s="37">
        <v>0.01</v>
      </c>
      <c r="AA1293" s="37">
        <v>0.35</v>
      </c>
      <c r="AB1293">
        <v>0</v>
      </c>
    </row>
    <row r="1294">
      <c r="A1294" t="s">
        <v>3719</v>
      </c>
      <c r="B1294" t="s">
        <v>3699</v>
      </c>
      <c r="C1294" t="s">
        <v>3699</v>
      </c>
      <c r="D1294" t="s">
        <v>1013</v>
      </c>
      <c r="E1294" t="s">
        <v>3720</v>
      </c>
      <c r="F1294" t="s">
        <v>298</v>
      </c>
      <c r="G1294" t="s">
        <v>3701</v>
      </c>
      <c r="H1294" t="s">
        <v>3705</v>
      </c>
      <c r="I1294" t="s">
        <v>3724</v>
      </c>
      <c r="J1294" t="s">
        <v>969</v>
      </c>
      <c r="K1294" t="s">
        <v>3723</v>
      </c>
      <c r="L1294">
        <v>40</v>
      </c>
      <c r="M1294" s="37">
        <v>0</v>
      </c>
      <c r="N1294" s="37">
        <v>0.27</v>
      </c>
      <c r="O1294">
        <v>0</v>
      </c>
      <c r="P1294" s="37">
        <v>2.074133</v>
      </c>
      <c r="Q1294">
        <v>0.96</v>
      </c>
      <c r="R1294">
        <v>950</v>
      </c>
      <c r="S1294">
        <v>950</v>
      </c>
      <c r="T1294">
        <v>1500</v>
      </c>
      <c r="U1294" t="s">
        <v>3350</v>
      </c>
      <c r="Z1294" s="37">
        <v>0.01</v>
      </c>
      <c r="AA1294" s="37">
        <v>0.35</v>
      </c>
      <c r="AB1294">
        <v>0</v>
      </c>
    </row>
    <row r="1295">
      <c r="A1295" t="s">
        <v>3719</v>
      </c>
      <c r="B1295" t="s">
        <v>3699</v>
      </c>
      <c r="C1295" t="s">
        <v>3699</v>
      </c>
      <c r="D1295" t="s">
        <v>1013</v>
      </c>
      <c r="E1295" t="s">
        <v>3720</v>
      </c>
      <c r="F1295" t="s">
        <v>298</v>
      </c>
      <c r="G1295" t="s">
        <v>3701</v>
      </c>
      <c r="H1295" t="s">
        <v>3712</v>
      </c>
      <c r="I1295" t="s">
        <v>3725</v>
      </c>
      <c r="K1295" t="s">
        <v>3723</v>
      </c>
      <c r="L1295">
        <v>40</v>
      </c>
      <c r="M1295" s="37">
        <v>1</v>
      </c>
      <c r="N1295" s="37">
        <v>0.1</v>
      </c>
      <c r="O1295">
        <v>1</v>
      </c>
      <c r="P1295" s="37">
        <v>2.074133</v>
      </c>
      <c r="Q1295">
        <v>0.96</v>
      </c>
      <c r="R1295">
        <v>950</v>
      </c>
      <c r="S1295">
        <v>950</v>
      </c>
      <c r="T1295">
        <v>1500</v>
      </c>
      <c r="U1295" t="s">
        <v>3350</v>
      </c>
      <c r="Z1295" s="37">
        <v>0.01</v>
      </c>
      <c r="AA1295" s="37">
        <v>0.35</v>
      </c>
      <c r="AB1295">
        <v>0</v>
      </c>
    </row>
    <row r="1296">
      <c r="A1296" t="s">
        <v>3726</v>
      </c>
      <c r="B1296" t="s">
        <v>3699</v>
      </c>
      <c r="C1296" t="s">
        <v>3699</v>
      </c>
      <c r="D1296" t="s">
        <v>359</v>
      </c>
      <c r="E1296" t="s">
        <v>3727</v>
      </c>
      <c r="F1296" t="s">
        <v>298</v>
      </c>
      <c r="G1296" t="s">
        <v>3701</v>
      </c>
      <c r="H1296" t="s">
        <v>3702</v>
      </c>
      <c r="I1296" t="s">
        <v>3728</v>
      </c>
      <c r="J1296" s="38">
        <v>1</v>
      </c>
      <c r="K1296" t="s">
        <v>3729</v>
      </c>
      <c r="L1296">
        <v>40</v>
      </c>
      <c r="M1296" s="37">
        <v>9.8405</v>
      </c>
      <c r="N1296" s="37">
        <v>0.63</v>
      </c>
      <c r="O1296">
        <v>1.5</v>
      </c>
      <c r="P1296" s="37">
        <v>6.389425</v>
      </c>
      <c r="Q1296">
        <v>1.14</v>
      </c>
      <c r="R1296">
        <v>2280</v>
      </c>
      <c r="S1296">
        <v>2280</v>
      </c>
      <c r="T1296">
        <v>6000</v>
      </c>
      <c r="U1296" t="s">
        <v>3350</v>
      </c>
      <c r="Z1296" s="37">
        <v>0.01</v>
      </c>
      <c r="AA1296" s="37">
        <v>0.35</v>
      </c>
      <c r="AB1296">
        <v>0</v>
      </c>
    </row>
    <row r="1297">
      <c r="A1297" t="s">
        <v>3726</v>
      </c>
      <c r="B1297" t="s">
        <v>3699</v>
      </c>
      <c r="C1297" t="s">
        <v>3699</v>
      </c>
      <c r="D1297" t="s">
        <v>359</v>
      </c>
      <c r="E1297" t="s">
        <v>3727</v>
      </c>
      <c r="F1297" t="s">
        <v>298</v>
      </c>
      <c r="G1297" t="s">
        <v>3701</v>
      </c>
      <c r="H1297" t="s">
        <v>3705</v>
      </c>
      <c r="I1297" t="s">
        <v>3730</v>
      </c>
      <c r="J1297" t="s">
        <v>969</v>
      </c>
      <c r="K1297" t="s">
        <v>3731</v>
      </c>
      <c r="L1297">
        <v>40</v>
      </c>
      <c r="M1297" s="37">
        <v>0.333</v>
      </c>
      <c r="N1297" s="37">
        <v>0.27</v>
      </c>
      <c r="O1297">
        <v>0.3333</v>
      </c>
      <c r="P1297" s="37">
        <v>6.389425</v>
      </c>
      <c r="Q1297">
        <v>1.14</v>
      </c>
      <c r="R1297">
        <v>2280</v>
      </c>
      <c r="S1297">
        <v>2280</v>
      </c>
      <c r="T1297">
        <v>6000</v>
      </c>
      <c r="U1297" t="s">
        <v>3350</v>
      </c>
      <c r="Z1297" s="37">
        <v>0.01</v>
      </c>
      <c r="AA1297" s="37">
        <v>0.35</v>
      </c>
      <c r="AB1297">
        <v>0</v>
      </c>
    </row>
    <row r="1298">
      <c r="A1298" t="s">
        <v>3726</v>
      </c>
      <c r="B1298" t="s">
        <v>3699</v>
      </c>
      <c r="C1298" t="s">
        <v>3699</v>
      </c>
      <c r="D1298" t="s">
        <v>359</v>
      </c>
      <c r="E1298" t="s">
        <v>3727</v>
      </c>
      <c r="F1298" t="s">
        <v>298</v>
      </c>
      <c r="G1298" t="s">
        <v>3701</v>
      </c>
      <c r="H1298" t="s">
        <v>3712</v>
      </c>
      <c r="I1298" t="s">
        <v>3732</v>
      </c>
      <c r="K1298" t="s">
        <v>3731</v>
      </c>
      <c r="L1298" t="s">
        <v>3733</v>
      </c>
      <c r="M1298" s="37">
        <v>1</v>
      </c>
      <c r="N1298" s="37">
        <v>0.1</v>
      </c>
      <c r="O1298">
        <v>1</v>
      </c>
      <c r="P1298" s="37">
        <v>6.389425</v>
      </c>
      <c r="Q1298">
        <v>1.14</v>
      </c>
      <c r="R1298">
        <v>2280</v>
      </c>
      <c r="S1298">
        <v>2280</v>
      </c>
      <c r="T1298">
        <v>6000</v>
      </c>
      <c r="U1298" t="s">
        <v>3350</v>
      </c>
      <c r="Z1298" s="37">
        <v>0.01</v>
      </c>
      <c r="AA1298" s="37">
        <v>0.35</v>
      </c>
      <c r="AB1298">
        <v>0</v>
      </c>
    </row>
    <row r="1299">
      <c r="A1299" t="s">
        <v>3734</v>
      </c>
      <c r="B1299" t="s">
        <v>3699</v>
      </c>
      <c r="C1299" t="s">
        <v>3699</v>
      </c>
      <c r="D1299" t="s">
        <v>1013</v>
      </c>
      <c r="E1299" t="s">
        <v>3735</v>
      </c>
      <c r="F1299" t="s">
        <v>298</v>
      </c>
      <c r="G1299" t="s">
        <v>3701</v>
      </c>
      <c r="H1299" t="s">
        <v>3702</v>
      </c>
      <c r="I1299" t="s">
        <v>3736</v>
      </c>
      <c r="J1299" t="s">
        <v>3737</v>
      </c>
      <c r="K1299" t="s">
        <v>3738</v>
      </c>
      <c r="L1299" t="s">
        <v>3733</v>
      </c>
      <c r="M1299" s="37">
        <v>1</v>
      </c>
      <c r="N1299" s="37">
        <v>0.7</v>
      </c>
      <c r="O1299">
        <v>1</v>
      </c>
      <c r="P1299" s="37">
        <v>0.7</v>
      </c>
      <c r="Q1299">
        <v>70</v>
      </c>
      <c r="R1299">
        <v>1050</v>
      </c>
      <c r="S1299">
        <v>1050</v>
      </c>
      <c r="T1299">
        <v>1500</v>
      </c>
      <c r="U1299" t="s">
        <v>3350</v>
      </c>
      <c r="Z1299" s="37">
        <v>0.01</v>
      </c>
      <c r="AA1299" s="37">
        <v>0.35</v>
      </c>
      <c r="AB1299">
        <v>0</v>
      </c>
    </row>
    <row r="1300">
      <c r="A1300" t="s">
        <v>3734</v>
      </c>
      <c r="B1300" t="s">
        <v>3699</v>
      </c>
      <c r="C1300" t="s">
        <v>3699</v>
      </c>
      <c r="D1300" t="s">
        <v>1013</v>
      </c>
      <c r="E1300" t="s">
        <v>3735</v>
      </c>
      <c r="F1300" t="s">
        <v>298</v>
      </c>
      <c r="G1300" t="s">
        <v>3701</v>
      </c>
      <c r="H1300" t="s">
        <v>3705</v>
      </c>
      <c r="I1300" t="s">
        <v>3739</v>
      </c>
      <c r="J1300" t="s">
        <v>342</v>
      </c>
      <c r="K1300" t="s">
        <v>1041</v>
      </c>
      <c r="L1300" t="s">
        <v>3733</v>
      </c>
      <c r="M1300" s="37">
        <v>0</v>
      </c>
      <c r="N1300" s="37">
        <v>0.3</v>
      </c>
      <c r="O1300">
        <v>0</v>
      </c>
      <c r="P1300" s="37">
        <v>0.7</v>
      </c>
      <c r="Q1300">
        <v>70</v>
      </c>
      <c r="R1300">
        <v>1050</v>
      </c>
      <c r="S1300">
        <v>1050</v>
      </c>
      <c r="T1300">
        <v>1500</v>
      </c>
      <c r="U1300" t="s">
        <v>3350</v>
      </c>
      <c r="Z1300" s="37">
        <v>0.01</v>
      </c>
      <c r="AA1300" s="37">
        <v>0.35</v>
      </c>
      <c r="AB1300">
        <v>0</v>
      </c>
    </row>
    <row r="1301">
      <c r="A1301" t="s">
        <v>3740</v>
      </c>
      <c r="B1301" t="s">
        <v>3699</v>
      </c>
      <c r="C1301" t="s">
        <v>3699</v>
      </c>
      <c r="D1301" t="s">
        <v>1013</v>
      </c>
      <c r="E1301" t="s">
        <v>3741</v>
      </c>
      <c r="F1301" t="s">
        <v>298</v>
      </c>
      <c r="G1301" t="s">
        <v>3701</v>
      </c>
      <c r="H1301" t="s">
        <v>3702</v>
      </c>
      <c r="I1301" t="s">
        <v>3742</v>
      </c>
      <c r="J1301" s="38">
        <v>1</v>
      </c>
      <c r="K1301" t="s">
        <v>3743</v>
      </c>
      <c r="L1301" t="s">
        <v>3733</v>
      </c>
      <c r="M1301" s="37">
        <v>0.57</v>
      </c>
      <c r="N1301" s="37">
        <v>0.63</v>
      </c>
      <c r="O1301">
        <v>0.456</v>
      </c>
      <c r="P1301" s="37">
        <v>0.4591</v>
      </c>
      <c r="Q1301">
        <v>0.39</v>
      </c>
      <c r="R1301">
        <v>380</v>
      </c>
      <c r="S1301">
        <v>20</v>
      </c>
      <c r="T1301">
        <v>1500</v>
      </c>
      <c r="U1301" t="s">
        <v>3350</v>
      </c>
      <c r="Z1301" s="37">
        <v>0.01</v>
      </c>
      <c r="AA1301" s="37">
        <v>0.35</v>
      </c>
      <c r="AB1301">
        <v>0</v>
      </c>
    </row>
    <row r="1302">
      <c r="A1302" t="s">
        <v>3740</v>
      </c>
      <c r="B1302" t="s">
        <v>3699</v>
      </c>
      <c r="C1302" t="s">
        <v>3699</v>
      </c>
      <c r="D1302" t="s">
        <v>1013</v>
      </c>
      <c r="E1302" t="s">
        <v>3741</v>
      </c>
      <c r="F1302" t="s">
        <v>298</v>
      </c>
      <c r="G1302" t="s">
        <v>3701</v>
      </c>
      <c r="H1302" t="s">
        <v>3705</v>
      </c>
      <c r="I1302" t="s">
        <v>3744</v>
      </c>
      <c r="J1302" t="s">
        <v>969</v>
      </c>
      <c r="K1302" t="s">
        <v>3745</v>
      </c>
      <c r="L1302" t="s">
        <v>3733</v>
      </c>
      <c r="M1302" s="37">
        <v>0</v>
      </c>
      <c r="N1302" s="37">
        <v>0.27</v>
      </c>
      <c r="O1302">
        <v>0</v>
      </c>
      <c r="P1302" s="37">
        <v>0.4591</v>
      </c>
      <c r="Q1302">
        <v>0.39</v>
      </c>
      <c r="R1302">
        <v>380</v>
      </c>
      <c r="S1302">
        <v>20</v>
      </c>
      <c r="T1302">
        <v>1500</v>
      </c>
      <c r="U1302" t="s">
        <v>3350</v>
      </c>
      <c r="Z1302" s="37">
        <v>0.01</v>
      </c>
      <c r="AA1302" s="37">
        <v>0.35</v>
      </c>
      <c r="AB1302">
        <v>0</v>
      </c>
    </row>
    <row r="1303">
      <c r="A1303" t="s">
        <v>3740</v>
      </c>
      <c r="B1303" t="s">
        <v>3699</v>
      </c>
      <c r="C1303" t="s">
        <v>3699</v>
      </c>
      <c r="D1303" t="s">
        <v>1013</v>
      </c>
      <c r="E1303" t="s">
        <v>3741</v>
      </c>
      <c r="F1303" t="s">
        <v>298</v>
      </c>
      <c r="G1303" t="s">
        <v>3701</v>
      </c>
      <c r="H1303" t="s">
        <v>3712</v>
      </c>
      <c r="I1303" t="s">
        <v>3238</v>
      </c>
      <c r="K1303" t="s">
        <v>3745</v>
      </c>
      <c r="L1303" t="s">
        <v>3733</v>
      </c>
      <c r="M1303" s="37">
        <v>1</v>
      </c>
      <c r="N1303" s="37">
        <v>0.1</v>
      </c>
      <c r="O1303">
        <v>1</v>
      </c>
      <c r="P1303" s="37">
        <v>0.4591</v>
      </c>
      <c r="Q1303">
        <v>0.39</v>
      </c>
      <c r="R1303">
        <v>380</v>
      </c>
      <c r="S1303">
        <v>20</v>
      </c>
      <c r="T1303">
        <v>1500</v>
      </c>
      <c r="U1303" t="s">
        <v>3350</v>
      </c>
      <c r="Z1303" s="37">
        <v>0.01</v>
      </c>
      <c r="AA1303" s="37">
        <v>0.35</v>
      </c>
      <c r="AB1303">
        <v>0</v>
      </c>
    </row>
    <row r="1304">
      <c r="A1304" t="s">
        <v>3746</v>
      </c>
      <c r="B1304" t="s">
        <v>3699</v>
      </c>
      <c r="C1304" t="s">
        <v>3699</v>
      </c>
      <c r="D1304" t="s">
        <v>999</v>
      </c>
      <c r="E1304" t="s">
        <v>3747</v>
      </c>
      <c r="F1304" t="s">
        <v>298</v>
      </c>
      <c r="G1304" t="s">
        <v>3701</v>
      </c>
      <c r="H1304" t="s">
        <v>3705</v>
      </c>
      <c r="I1304" t="s">
        <v>3748</v>
      </c>
      <c r="J1304" t="s">
        <v>969</v>
      </c>
      <c r="K1304" t="s">
        <v>3749</v>
      </c>
      <c r="L1304" t="s">
        <v>3733</v>
      </c>
      <c r="M1304" s="37">
        <v>0.66</v>
      </c>
      <c r="N1304" s="37">
        <v>0.27</v>
      </c>
      <c r="O1304">
        <v>0.66</v>
      </c>
      <c r="P1304" s="37">
        <v>1.2232</v>
      </c>
      <c r="Q1304">
        <v>1.13</v>
      </c>
      <c r="R1304">
        <v>0</v>
      </c>
      <c r="S1304">
        <v>0</v>
      </c>
      <c r="T1304">
        <v>5000</v>
      </c>
      <c r="U1304" t="s">
        <v>3350</v>
      </c>
      <c r="Z1304" s="37">
        <v>0.01</v>
      </c>
      <c r="AA1304" s="37">
        <v>0.35</v>
      </c>
      <c r="AB1304">
        <v>0</v>
      </c>
    </row>
    <row r="1305">
      <c r="A1305" t="s">
        <v>3746</v>
      </c>
      <c r="B1305" t="s">
        <v>3699</v>
      </c>
      <c r="C1305" t="s">
        <v>3699</v>
      </c>
      <c r="D1305" t="s">
        <v>999</v>
      </c>
      <c r="E1305" t="s">
        <v>3747</v>
      </c>
      <c r="F1305" t="s">
        <v>298</v>
      </c>
      <c r="G1305" t="s">
        <v>3701</v>
      </c>
      <c r="H1305" t="s">
        <v>3712</v>
      </c>
      <c r="I1305" t="s">
        <v>3238</v>
      </c>
      <c r="K1305" t="s">
        <v>3749</v>
      </c>
      <c r="L1305" t="s">
        <v>3733</v>
      </c>
      <c r="M1305" s="37">
        <v>1</v>
      </c>
      <c r="N1305" s="37">
        <v>0.1</v>
      </c>
      <c r="O1305">
        <v>0.1</v>
      </c>
      <c r="P1305" s="37">
        <v>1.2232</v>
      </c>
      <c r="Q1305">
        <v>1.13</v>
      </c>
      <c r="R1305">
        <v>0</v>
      </c>
      <c r="S1305">
        <v>0</v>
      </c>
      <c r="T1305">
        <v>5000</v>
      </c>
      <c r="U1305" t="s">
        <v>3350</v>
      </c>
      <c r="Z1305" s="37">
        <v>0.01</v>
      </c>
      <c r="AA1305" s="37">
        <v>0.35</v>
      </c>
      <c r="AB1305">
        <v>0</v>
      </c>
    </row>
    <row r="1306">
      <c r="A1306" t="s">
        <v>3746</v>
      </c>
      <c r="B1306" t="s">
        <v>3699</v>
      </c>
      <c r="C1306" t="s">
        <v>3699</v>
      </c>
      <c r="D1306" t="s">
        <v>999</v>
      </c>
      <c r="E1306" t="s">
        <v>3747</v>
      </c>
      <c r="F1306" t="s">
        <v>298</v>
      </c>
      <c r="G1306" t="s">
        <v>3701</v>
      </c>
      <c r="H1306" t="s">
        <v>3702</v>
      </c>
      <c r="I1306" t="s">
        <v>3750</v>
      </c>
      <c r="J1306" t="s">
        <v>3722</v>
      </c>
      <c r="K1306" t="s">
        <v>3751</v>
      </c>
      <c r="L1306" t="s">
        <v>3733</v>
      </c>
      <c r="M1306" s="37">
        <v>1.5</v>
      </c>
      <c r="N1306" s="37">
        <v>0.63</v>
      </c>
      <c r="O1306">
        <v>1.5</v>
      </c>
      <c r="P1306" s="37">
        <v>1.2232</v>
      </c>
      <c r="Q1306">
        <v>1.13</v>
      </c>
      <c r="R1306">
        <v>0</v>
      </c>
      <c r="S1306">
        <v>0</v>
      </c>
      <c r="T1306">
        <v>5000</v>
      </c>
      <c r="U1306" t="s">
        <v>3350</v>
      </c>
      <c r="Z1306" s="37">
        <v>0.01</v>
      </c>
      <c r="AA1306" s="37">
        <v>0.35</v>
      </c>
      <c r="AB1306">
        <v>0</v>
      </c>
    </row>
    <row r="1307">
      <c r="A1307" t="s">
        <v>3752</v>
      </c>
      <c r="B1307" t="s">
        <v>3699</v>
      </c>
      <c r="C1307" t="s">
        <v>3699</v>
      </c>
      <c r="D1307" t="s">
        <v>1013</v>
      </c>
      <c r="E1307" t="s">
        <v>3753</v>
      </c>
      <c r="F1307" t="s">
        <v>298</v>
      </c>
      <c r="G1307" t="s">
        <v>3701</v>
      </c>
      <c r="H1307" t="s">
        <v>3702</v>
      </c>
      <c r="I1307" t="s">
        <v>3702</v>
      </c>
      <c r="J1307" t="s">
        <v>3722</v>
      </c>
      <c r="K1307" t="s">
        <v>3754</v>
      </c>
      <c r="L1307" t="s">
        <v>3733</v>
      </c>
      <c r="M1307" s="37">
        <v>0.48</v>
      </c>
      <c r="N1307" s="37">
        <v>0.7</v>
      </c>
      <c r="O1307">
        <v>0.3855</v>
      </c>
      <c r="P1307" s="37">
        <v>0.336</v>
      </c>
      <c r="Q1307">
        <v>0.27</v>
      </c>
      <c r="R1307">
        <v>0</v>
      </c>
      <c r="S1307">
        <v>0</v>
      </c>
      <c r="T1307">
        <v>1500</v>
      </c>
      <c r="U1307" t="s">
        <v>3350</v>
      </c>
      <c r="Z1307" s="37">
        <v>0.01</v>
      </c>
      <c r="AA1307" s="37">
        <v>0.35</v>
      </c>
      <c r="AB1307">
        <v>0</v>
      </c>
    </row>
    <row r="1308">
      <c r="A1308" t="s">
        <v>3752</v>
      </c>
      <c r="B1308" t="s">
        <v>3699</v>
      </c>
      <c r="C1308" t="s">
        <v>3699</v>
      </c>
      <c r="D1308" t="s">
        <v>1013</v>
      </c>
      <c r="E1308" t="s">
        <v>3753</v>
      </c>
      <c r="F1308" t="s">
        <v>298</v>
      </c>
      <c r="G1308" t="s">
        <v>3701</v>
      </c>
      <c r="H1308" t="s">
        <v>3705</v>
      </c>
      <c r="I1308" t="s">
        <v>3755</v>
      </c>
      <c r="J1308" t="s">
        <v>969</v>
      </c>
      <c r="K1308" t="s">
        <v>3745</v>
      </c>
      <c r="L1308" t="s">
        <v>3733</v>
      </c>
      <c r="M1308" s="37">
        <v>0</v>
      </c>
      <c r="N1308" s="37">
        <v>0.3</v>
      </c>
      <c r="O1308">
        <v>0</v>
      </c>
      <c r="P1308" s="37">
        <v>0.336</v>
      </c>
      <c r="Q1308">
        <v>0.27</v>
      </c>
      <c r="R1308">
        <v>0</v>
      </c>
      <c r="S1308">
        <v>0</v>
      </c>
      <c r="T1308">
        <v>1500</v>
      </c>
      <c r="U1308" t="s">
        <v>3350</v>
      </c>
      <c r="Z1308" s="37">
        <v>0.01</v>
      </c>
      <c r="AA1308" s="37">
        <v>0.35</v>
      </c>
      <c r="AB1308">
        <v>0</v>
      </c>
    </row>
    <row r="1309">
      <c r="A1309" t="s">
        <v>3756</v>
      </c>
      <c r="B1309" t="s">
        <v>3699</v>
      </c>
      <c r="C1309" t="s">
        <v>3699</v>
      </c>
      <c r="D1309" t="s">
        <v>999</v>
      </c>
      <c r="E1309" t="s">
        <v>3757</v>
      </c>
      <c r="F1309" t="s">
        <v>298</v>
      </c>
      <c r="G1309" t="s">
        <v>3701</v>
      </c>
      <c r="H1309" t="s">
        <v>3702</v>
      </c>
      <c r="I1309" t="s">
        <v>3758</v>
      </c>
      <c r="J1309" t="s">
        <v>3722</v>
      </c>
      <c r="K1309" t="s">
        <v>3759</v>
      </c>
      <c r="L1309" t="s">
        <v>3733</v>
      </c>
      <c r="M1309" s="37">
        <v>0.853</v>
      </c>
      <c r="N1309" s="37">
        <v>0.7</v>
      </c>
      <c r="O1309">
        <v>0.853</v>
      </c>
      <c r="P1309" s="37">
        <v>0.5971</v>
      </c>
      <c r="Q1309">
        <v>0.6</v>
      </c>
      <c r="R1309">
        <v>0</v>
      </c>
      <c r="S1309">
        <v>0</v>
      </c>
      <c r="T1309">
        <v>5000</v>
      </c>
      <c r="U1309" t="s">
        <v>3350</v>
      </c>
      <c r="Z1309" s="37">
        <v>0.01</v>
      </c>
      <c r="AA1309" s="37">
        <v>0.35</v>
      </c>
      <c r="AB1309">
        <v>0</v>
      </c>
    </row>
    <row r="1310">
      <c r="A1310" t="s">
        <v>3756</v>
      </c>
      <c r="B1310" t="s">
        <v>3699</v>
      </c>
      <c r="C1310" t="s">
        <v>3699</v>
      </c>
      <c r="D1310" t="s">
        <v>999</v>
      </c>
      <c r="E1310" t="s">
        <v>3757</v>
      </c>
      <c r="F1310" t="s">
        <v>298</v>
      </c>
      <c r="G1310" t="s">
        <v>3701</v>
      </c>
      <c r="H1310" t="s">
        <v>3705</v>
      </c>
      <c r="I1310" t="s">
        <v>3760</v>
      </c>
      <c r="J1310" t="s">
        <v>969</v>
      </c>
      <c r="K1310" t="s">
        <v>1041</v>
      </c>
      <c r="L1310" t="s">
        <v>3733</v>
      </c>
      <c r="M1310" s="37">
        <v>0</v>
      </c>
      <c r="N1310" s="37">
        <v>0.3</v>
      </c>
      <c r="O1310">
        <v>0</v>
      </c>
      <c r="P1310" s="37">
        <v>0.5971</v>
      </c>
      <c r="Q1310">
        <v>0.6</v>
      </c>
      <c r="R1310">
        <v>0</v>
      </c>
      <c r="S1310">
        <v>0</v>
      </c>
      <c r="T1310">
        <v>5000</v>
      </c>
      <c r="U1310" t="s">
        <v>3350</v>
      </c>
      <c r="Z1310" s="37">
        <v>0.01</v>
      </c>
      <c r="AA1310" s="37">
        <v>0.35</v>
      </c>
      <c r="AB1310">
        <v>0</v>
      </c>
    </row>
    <row r="1311">
      <c r="A1311" t="s">
        <v>3761</v>
      </c>
      <c r="B1311" t="s">
        <v>3699</v>
      </c>
      <c r="C1311" t="s">
        <v>3699</v>
      </c>
      <c r="D1311" t="s">
        <v>1013</v>
      </c>
      <c r="E1311" t="s">
        <v>3762</v>
      </c>
      <c r="F1311" t="s">
        <v>298</v>
      </c>
      <c r="G1311" t="s">
        <v>3763</v>
      </c>
      <c r="H1311" t="s">
        <v>3764</v>
      </c>
      <c r="I1311" t="s">
        <v>3765</v>
      </c>
      <c r="J1311" t="s">
        <v>3766</v>
      </c>
      <c r="K1311" t="s">
        <v>3767</v>
      </c>
      <c r="L1311" t="s">
        <v>3768</v>
      </c>
      <c r="M1311" s="37">
        <v>0.167513</v>
      </c>
      <c r="N1311" s="37">
        <v>0.3</v>
      </c>
      <c r="O1311">
        <v>0.134</v>
      </c>
      <c r="P1311" s="37">
        <v>0.490204</v>
      </c>
      <c r="Q1311">
        <v>0.42</v>
      </c>
      <c r="R1311">
        <v>816</v>
      </c>
      <c r="S1311">
        <v>816</v>
      </c>
      <c r="T1311">
        <v>1500</v>
      </c>
      <c r="U1311" t="s">
        <v>3350</v>
      </c>
      <c r="Z1311" s="37">
        <v>0.01</v>
      </c>
      <c r="AA1311" s="37">
        <v>0.35</v>
      </c>
      <c r="AB1311">
        <v>0</v>
      </c>
    </row>
    <row r="1312">
      <c r="A1312" t="s">
        <v>3761</v>
      </c>
      <c r="B1312" t="s">
        <v>3699</v>
      </c>
      <c r="C1312" t="s">
        <v>3699</v>
      </c>
      <c r="D1312" t="s">
        <v>1013</v>
      </c>
      <c r="E1312" t="s">
        <v>3762</v>
      </c>
      <c r="F1312" t="s">
        <v>298</v>
      </c>
      <c r="G1312" t="s">
        <v>3763</v>
      </c>
      <c r="H1312" t="s">
        <v>3769</v>
      </c>
      <c r="I1312" t="s">
        <v>3770</v>
      </c>
      <c r="J1312" t="s">
        <v>3771</v>
      </c>
      <c r="K1312" t="s">
        <v>3772</v>
      </c>
      <c r="L1312" t="s">
        <v>3768</v>
      </c>
      <c r="M1312" s="37">
        <v>0.6443</v>
      </c>
      <c r="N1312" s="37">
        <v>0.3</v>
      </c>
      <c r="O1312">
        <v>0.5154</v>
      </c>
      <c r="P1312" s="37">
        <v>0.490204</v>
      </c>
      <c r="Q1312">
        <v>0.42</v>
      </c>
      <c r="R1312">
        <v>816</v>
      </c>
      <c r="S1312">
        <v>816</v>
      </c>
      <c r="T1312">
        <v>1500</v>
      </c>
      <c r="U1312" t="s">
        <v>3350</v>
      </c>
      <c r="Z1312" s="37">
        <v>0.01</v>
      </c>
      <c r="AA1312" s="37">
        <v>0.35</v>
      </c>
      <c r="AB1312">
        <v>0</v>
      </c>
    </row>
    <row r="1313">
      <c r="A1313" t="s">
        <v>3761</v>
      </c>
      <c r="B1313" t="s">
        <v>3699</v>
      </c>
      <c r="C1313" t="s">
        <v>3699</v>
      </c>
      <c r="D1313" t="s">
        <v>1013</v>
      </c>
      <c r="E1313" t="s">
        <v>3762</v>
      </c>
      <c r="F1313" t="s">
        <v>298</v>
      </c>
      <c r="G1313" t="s">
        <v>3763</v>
      </c>
      <c r="H1313" t="s">
        <v>3773</v>
      </c>
      <c r="I1313" t="s">
        <v>3774</v>
      </c>
      <c r="J1313" t="s">
        <v>709</v>
      </c>
      <c r="K1313" t="s">
        <v>980</v>
      </c>
      <c r="L1313" t="s">
        <v>3775</v>
      </c>
      <c r="M1313" s="37">
        <v>0.5</v>
      </c>
      <c r="N1313" s="37">
        <v>0.2</v>
      </c>
      <c r="O1313">
        <v>0.4</v>
      </c>
      <c r="P1313" s="37">
        <v>0.490204</v>
      </c>
      <c r="Q1313">
        <v>0.42</v>
      </c>
      <c r="R1313">
        <v>816</v>
      </c>
      <c r="S1313">
        <v>816</v>
      </c>
      <c r="T1313">
        <v>1500</v>
      </c>
      <c r="U1313" t="s">
        <v>3350</v>
      </c>
      <c r="Z1313" s="37">
        <v>0.01</v>
      </c>
      <c r="AA1313" s="37">
        <v>0.35</v>
      </c>
      <c r="AB1313">
        <v>0</v>
      </c>
    </row>
    <row r="1314">
      <c r="A1314" t="s">
        <v>3761</v>
      </c>
      <c r="B1314" t="s">
        <v>3699</v>
      </c>
      <c r="C1314" t="s">
        <v>3699</v>
      </c>
      <c r="D1314" t="s">
        <v>1013</v>
      </c>
      <c r="E1314" t="s">
        <v>3762</v>
      </c>
      <c r="F1314" t="s">
        <v>298</v>
      </c>
      <c r="G1314" t="s">
        <v>3763</v>
      </c>
      <c r="H1314" t="s">
        <v>3776</v>
      </c>
      <c r="I1314" t="s">
        <v>3777</v>
      </c>
      <c r="J1314" t="s">
        <v>3778</v>
      </c>
      <c r="K1314" t="s">
        <v>3779</v>
      </c>
      <c r="L1314" t="s">
        <v>3780</v>
      </c>
      <c r="M1314" s="37">
        <v>0.7333</v>
      </c>
      <c r="N1314" s="37">
        <v>0.2</v>
      </c>
      <c r="O1314">
        <v>0.7333</v>
      </c>
      <c r="P1314" s="37">
        <v>0.490204</v>
      </c>
      <c r="Q1314">
        <v>0.42</v>
      </c>
      <c r="R1314">
        <v>816</v>
      </c>
      <c r="S1314">
        <v>816</v>
      </c>
      <c r="T1314">
        <v>1500</v>
      </c>
      <c r="U1314" t="s">
        <v>3350</v>
      </c>
      <c r="Z1314" s="37">
        <v>0.01</v>
      </c>
      <c r="AA1314" s="37">
        <v>0.35</v>
      </c>
      <c r="AB1314">
        <v>0</v>
      </c>
    </row>
    <row r="1315">
      <c r="A1315" t="s">
        <v>3781</v>
      </c>
      <c r="B1315" t="s">
        <v>3699</v>
      </c>
      <c r="C1315" t="s">
        <v>3699</v>
      </c>
      <c r="D1315" t="s">
        <v>3382</v>
      </c>
      <c r="E1315" t="s">
        <v>3782</v>
      </c>
      <c r="F1315" t="s">
        <v>298</v>
      </c>
      <c r="G1315" t="s">
        <v>3763</v>
      </c>
      <c r="H1315" t="s">
        <v>3764</v>
      </c>
      <c r="I1315" t="s">
        <v>3765</v>
      </c>
      <c r="J1315" t="s">
        <v>3766</v>
      </c>
      <c r="K1315" t="s">
        <v>3783</v>
      </c>
      <c r="L1315" t="s">
        <v>3780</v>
      </c>
      <c r="M1315" s="37">
        <v>0.047</v>
      </c>
      <c r="N1315" s="37">
        <v>0.3</v>
      </c>
      <c r="O1315">
        <v>0.0038</v>
      </c>
      <c r="P1315" s="37">
        <v>0.56422</v>
      </c>
      <c r="Q1315">
        <v>0.54</v>
      </c>
      <c r="R1315">
        <v>0</v>
      </c>
      <c r="S1315">
        <v>0</v>
      </c>
      <c r="T1315">
        <v>0</v>
      </c>
      <c r="U1315" t="s">
        <v>3350</v>
      </c>
      <c r="Z1315" s="37">
        <v>0.01</v>
      </c>
      <c r="AA1315" s="37">
        <v>0.35</v>
      </c>
      <c r="AB1315">
        <v>0</v>
      </c>
    </row>
    <row r="1316">
      <c r="A1316" t="s">
        <v>3781</v>
      </c>
      <c r="B1316" t="s">
        <v>3699</v>
      </c>
      <c r="C1316" t="s">
        <v>3699</v>
      </c>
      <c r="D1316" t="s">
        <v>3382</v>
      </c>
      <c r="E1316" t="s">
        <v>3782</v>
      </c>
      <c r="F1316" t="s">
        <v>298</v>
      </c>
      <c r="G1316" t="s">
        <v>3763</v>
      </c>
      <c r="H1316" t="s">
        <v>3769</v>
      </c>
      <c r="I1316" t="s">
        <v>3784</v>
      </c>
      <c r="J1316" t="s">
        <v>3771</v>
      </c>
      <c r="K1316" t="s">
        <v>3785</v>
      </c>
      <c r="L1316" t="s">
        <v>3780</v>
      </c>
      <c r="M1316" s="37">
        <v>1.5</v>
      </c>
      <c r="N1316" s="37">
        <v>0.3</v>
      </c>
      <c r="O1316">
        <v>1.5</v>
      </c>
      <c r="P1316" s="37">
        <v>0.56422</v>
      </c>
      <c r="Q1316">
        <v>0.54</v>
      </c>
      <c r="R1316">
        <v>0</v>
      </c>
      <c r="S1316">
        <v>0</v>
      </c>
      <c r="T1316">
        <v>0</v>
      </c>
      <c r="U1316" t="s">
        <v>3350</v>
      </c>
      <c r="Z1316" s="37">
        <v>0.01</v>
      </c>
      <c r="AA1316" s="37">
        <v>0.35</v>
      </c>
      <c r="AB1316">
        <v>0</v>
      </c>
    </row>
    <row r="1317">
      <c r="A1317" t="s">
        <v>3781</v>
      </c>
      <c r="B1317" t="s">
        <v>3699</v>
      </c>
      <c r="C1317" t="s">
        <v>3699</v>
      </c>
      <c r="D1317" t="s">
        <v>3382</v>
      </c>
      <c r="E1317" t="s">
        <v>3782</v>
      </c>
      <c r="F1317" t="s">
        <v>298</v>
      </c>
      <c r="G1317" t="s">
        <v>3763</v>
      </c>
      <c r="H1317" t="s">
        <v>3773</v>
      </c>
      <c r="I1317" t="s">
        <v>3786</v>
      </c>
      <c r="J1317" t="s">
        <v>709</v>
      </c>
      <c r="K1317" t="s">
        <v>980</v>
      </c>
      <c r="L1317" t="s">
        <v>3787</v>
      </c>
      <c r="M1317" s="37">
        <v>0.5</v>
      </c>
      <c r="N1317" s="37">
        <v>0.2</v>
      </c>
      <c r="O1317">
        <v>0.4</v>
      </c>
      <c r="P1317" s="37">
        <v>0.56422</v>
      </c>
      <c r="Q1317">
        <v>0.54</v>
      </c>
      <c r="R1317">
        <v>0</v>
      </c>
      <c r="S1317">
        <v>0</v>
      </c>
      <c r="T1317">
        <v>0</v>
      </c>
      <c r="U1317" t="s">
        <v>3350</v>
      </c>
      <c r="Z1317" s="37">
        <v>0.01</v>
      </c>
      <c r="AA1317" s="37">
        <v>0.35</v>
      </c>
      <c r="AB1317">
        <v>0</v>
      </c>
    </row>
    <row r="1318">
      <c r="A1318" t="s">
        <v>3781</v>
      </c>
      <c r="B1318" t="s">
        <v>3699</v>
      </c>
      <c r="C1318" t="s">
        <v>3699</v>
      </c>
      <c r="D1318" t="s">
        <v>3382</v>
      </c>
      <c r="E1318" t="s">
        <v>3782</v>
      </c>
      <c r="F1318" t="s">
        <v>298</v>
      </c>
      <c r="G1318" t="s">
        <v>3763</v>
      </c>
      <c r="H1318" t="s">
        <v>3788</v>
      </c>
      <c r="I1318" t="s">
        <v>3789</v>
      </c>
      <c r="J1318" t="s">
        <v>1053</v>
      </c>
      <c r="K1318" t="s">
        <v>3790</v>
      </c>
      <c r="L1318" t="s">
        <v>3787</v>
      </c>
      <c r="M1318" s="37">
        <v>0.0006</v>
      </c>
      <c r="N1318" s="37">
        <v>0.2</v>
      </c>
      <c r="O1318">
        <v>0.048</v>
      </c>
      <c r="P1318" s="37">
        <v>0.56422</v>
      </c>
      <c r="Q1318">
        <v>0.54</v>
      </c>
      <c r="R1318">
        <v>0</v>
      </c>
      <c r="S1318">
        <v>0</v>
      </c>
      <c r="T1318">
        <v>0</v>
      </c>
      <c r="U1318" t="s">
        <v>3350</v>
      </c>
      <c r="Z1318" s="37">
        <v>0.01</v>
      </c>
      <c r="AA1318" s="37">
        <v>0.35</v>
      </c>
      <c r="AB1318">
        <v>0</v>
      </c>
    </row>
    <row r="1319">
      <c r="A1319" t="s">
        <v>3791</v>
      </c>
      <c r="B1319" t="s">
        <v>3699</v>
      </c>
      <c r="C1319" t="s">
        <v>3699</v>
      </c>
      <c r="D1319" t="s">
        <v>1013</v>
      </c>
      <c r="E1319" t="s">
        <v>3792</v>
      </c>
      <c r="F1319" t="s">
        <v>298</v>
      </c>
      <c r="G1319" t="s">
        <v>3763</v>
      </c>
      <c r="H1319" t="s">
        <v>3764</v>
      </c>
      <c r="I1319" t="s">
        <v>3793</v>
      </c>
      <c r="J1319" t="s">
        <v>3766</v>
      </c>
      <c r="K1319" t="s">
        <v>3794</v>
      </c>
      <c r="L1319" t="s">
        <v>3787</v>
      </c>
      <c r="M1319" s="37">
        <v>0</v>
      </c>
      <c r="N1319" s="37">
        <v>0.3</v>
      </c>
      <c r="O1319">
        <v>0</v>
      </c>
      <c r="P1319" s="37">
        <v>0.5158</v>
      </c>
      <c r="Q1319">
        <v>0.5</v>
      </c>
      <c r="R1319">
        <v>1184</v>
      </c>
      <c r="S1319">
        <v>1184</v>
      </c>
      <c r="T1319">
        <v>1500</v>
      </c>
      <c r="U1319" t="s">
        <v>3350</v>
      </c>
      <c r="Z1319" s="37">
        <v>0.01</v>
      </c>
      <c r="AA1319" s="37">
        <v>0.35</v>
      </c>
      <c r="AB1319">
        <v>0</v>
      </c>
    </row>
    <row r="1320">
      <c r="A1320" t="s">
        <v>3791</v>
      </c>
      <c r="B1320" t="s">
        <v>3699</v>
      </c>
      <c r="C1320" t="s">
        <v>3699</v>
      </c>
      <c r="D1320" t="s">
        <v>1013</v>
      </c>
      <c r="E1320" t="s">
        <v>3792</v>
      </c>
      <c r="F1320" t="s">
        <v>298</v>
      </c>
      <c r="G1320" t="s">
        <v>3763</v>
      </c>
      <c r="H1320" t="s">
        <v>3769</v>
      </c>
      <c r="I1320" t="s">
        <v>3770</v>
      </c>
      <c r="J1320" t="s">
        <v>3771</v>
      </c>
      <c r="K1320" t="s">
        <v>3795</v>
      </c>
      <c r="L1320" t="s">
        <v>3787</v>
      </c>
      <c r="M1320" s="37">
        <v>1.066</v>
      </c>
      <c r="N1320" s="37">
        <v>0.3</v>
      </c>
      <c r="O1320">
        <v>1.066</v>
      </c>
      <c r="P1320" s="37">
        <v>0.5158</v>
      </c>
      <c r="Q1320">
        <v>0.5</v>
      </c>
      <c r="R1320">
        <v>1184</v>
      </c>
      <c r="S1320">
        <v>1184</v>
      </c>
      <c r="T1320">
        <v>1500</v>
      </c>
      <c r="U1320" t="s">
        <v>3350</v>
      </c>
      <c r="Z1320" s="37">
        <v>0.01</v>
      </c>
      <c r="AA1320" s="37">
        <v>0.35</v>
      </c>
      <c r="AB1320">
        <v>0</v>
      </c>
    </row>
    <row r="1321">
      <c r="A1321" t="s">
        <v>3791</v>
      </c>
      <c r="B1321" t="s">
        <v>3699</v>
      </c>
      <c r="C1321" t="s">
        <v>3699</v>
      </c>
      <c r="D1321" t="s">
        <v>1013</v>
      </c>
      <c r="E1321" t="s">
        <v>3792</v>
      </c>
      <c r="F1321" t="s">
        <v>298</v>
      </c>
      <c r="G1321" t="s">
        <v>3763</v>
      </c>
      <c r="H1321" t="s">
        <v>3773</v>
      </c>
      <c r="I1321" t="s">
        <v>3774</v>
      </c>
      <c r="J1321" t="s">
        <v>709</v>
      </c>
      <c r="K1321" t="s">
        <v>980</v>
      </c>
      <c r="L1321" t="s">
        <v>3787</v>
      </c>
      <c r="M1321" s="37">
        <v>0.5</v>
      </c>
      <c r="N1321" s="37">
        <v>0.2</v>
      </c>
      <c r="O1321">
        <v>0.4</v>
      </c>
      <c r="P1321" s="37">
        <v>0.5158</v>
      </c>
      <c r="Q1321">
        <v>0.5</v>
      </c>
      <c r="R1321">
        <v>1184</v>
      </c>
      <c r="S1321">
        <v>1184</v>
      </c>
      <c r="T1321">
        <v>1500</v>
      </c>
      <c r="U1321" t="s">
        <v>3350</v>
      </c>
      <c r="Z1321" s="37">
        <v>0.01</v>
      </c>
      <c r="AA1321" s="37">
        <v>0.35</v>
      </c>
      <c r="AB1321">
        <v>0</v>
      </c>
    </row>
    <row r="1322">
      <c r="A1322" t="s">
        <v>3791</v>
      </c>
      <c r="B1322" t="s">
        <v>3699</v>
      </c>
      <c r="C1322" t="s">
        <v>3699</v>
      </c>
      <c r="D1322" t="s">
        <v>1013</v>
      </c>
      <c r="E1322" t="s">
        <v>3792</v>
      </c>
      <c r="F1322" t="s">
        <v>298</v>
      </c>
      <c r="G1322" t="s">
        <v>3763</v>
      </c>
      <c r="H1322" t="s">
        <v>3776</v>
      </c>
      <c r="I1322" t="s">
        <v>3777</v>
      </c>
      <c r="J1322" t="s">
        <v>3796</v>
      </c>
      <c r="K1322" t="s">
        <v>3797</v>
      </c>
      <c r="L1322" t="s">
        <v>3787</v>
      </c>
      <c r="M1322" s="37">
        <v>0.48</v>
      </c>
      <c r="N1322" s="37">
        <v>0.2</v>
      </c>
      <c r="O1322">
        <v>0.48</v>
      </c>
      <c r="P1322" s="37">
        <v>0.5158</v>
      </c>
      <c r="Q1322">
        <v>0.5</v>
      </c>
      <c r="R1322">
        <v>1184</v>
      </c>
      <c r="S1322">
        <v>1184</v>
      </c>
      <c r="T1322">
        <v>1500</v>
      </c>
      <c r="U1322" t="s">
        <v>3350</v>
      </c>
      <c r="Z1322" s="37">
        <v>0.01</v>
      </c>
      <c r="AA1322" s="37">
        <v>0.35</v>
      </c>
      <c r="AB1322">
        <v>0</v>
      </c>
    </row>
    <row r="1323">
      <c r="A1323" t="s">
        <v>3798</v>
      </c>
      <c r="B1323" t="s">
        <v>3799</v>
      </c>
      <c r="C1323" t="s">
        <v>3799</v>
      </c>
      <c r="D1323" t="s">
        <v>359</v>
      </c>
      <c r="E1323" t="s">
        <v>3800</v>
      </c>
      <c r="F1323" t="s">
        <v>298</v>
      </c>
      <c r="G1323" t="s">
        <v>3529</v>
      </c>
      <c r="H1323" t="s">
        <v>3530</v>
      </c>
      <c r="J1323" t="s">
        <v>3801</v>
      </c>
      <c r="K1323" t="s">
        <v>3802</v>
      </c>
      <c r="L1323" t="s">
        <v>3787</v>
      </c>
      <c r="M1323" s="37">
        <v>0.8844</v>
      </c>
      <c r="N1323" s="37">
        <v>0.15</v>
      </c>
      <c r="O1323">
        <v>0.8844</v>
      </c>
      <c r="P1323" s="37">
        <v>0.78466</v>
      </c>
      <c r="Q1323">
        <v>0.66</v>
      </c>
      <c r="R1323">
        <v>6000</v>
      </c>
      <c r="S1323">
        <v>6000</v>
      </c>
      <c r="T1323">
        <v>5000</v>
      </c>
      <c r="U1323" t="s">
        <v>3350</v>
      </c>
      <c r="Z1323" s="37">
        <v>0.01</v>
      </c>
      <c r="AA1323" s="37">
        <v>0.35</v>
      </c>
      <c r="AB1323">
        <v>0</v>
      </c>
    </row>
    <row r="1324">
      <c r="A1324" t="s">
        <v>3798</v>
      </c>
      <c r="B1324" t="s">
        <v>3799</v>
      </c>
      <c r="C1324" t="s">
        <v>3799</v>
      </c>
      <c r="D1324" t="s">
        <v>359</v>
      </c>
      <c r="E1324" t="s">
        <v>3800</v>
      </c>
      <c r="F1324" t="s">
        <v>298</v>
      </c>
      <c r="G1324" t="s">
        <v>3529</v>
      </c>
      <c r="H1324" t="s">
        <v>3551</v>
      </c>
      <c r="J1324" t="s">
        <v>2502</v>
      </c>
      <c r="K1324" t="s">
        <v>1856</v>
      </c>
      <c r="L1324" t="s">
        <v>3787</v>
      </c>
      <c r="M1324" s="37">
        <v>0.475</v>
      </c>
      <c r="N1324" s="37">
        <v>0.2</v>
      </c>
      <c r="O1324">
        <v>0</v>
      </c>
      <c r="P1324" s="37">
        <v>0.78466</v>
      </c>
      <c r="Q1324">
        <v>0.66</v>
      </c>
      <c r="R1324">
        <v>6000</v>
      </c>
      <c r="S1324">
        <v>6000</v>
      </c>
      <c r="T1324">
        <v>5000</v>
      </c>
      <c r="U1324" t="s">
        <v>3350</v>
      </c>
      <c r="Z1324" s="37">
        <v>0.01</v>
      </c>
      <c r="AA1324" s="37">
        <v>0.35</v>
      </c>
      <c r="AB1324">
        <v>0</v>
      </c>
    </row>
    <row r="1325">
      <c r="A1325" t="s">
        <v>3798</v>
      </c>
      <c r="B1325" t="s">
        <v>3799</v>
      </c>
      <c r="C1325" t="s">
        <v>3799</v>
      </c>
      <c r="D1325" t="s">
        <v>359</v>
      </c>
      <c r="E1325" t="s">
        <v>3800</v>
      </c>
      <c r="F1325" t="s">
        <v>298</v>
      </c>
      <c r="G1325" t="s">
        <v>3529</v>
      </c>
      <c r="H1325" t="s">
        <v>3541</v>
      </c>
      <c r="I1325" t="s">
        <v>3803</v>
      </c>
      <c r="J1325" t="s">
        <v>3804</v>
      </c>
      <c r="K1325" t="s">
        <v>3805</v>
      </c>
      <c r="L1325" t="s">
        <v>3787</v>
      </c>
      <c r="M1325" s="37">
        <v>1.05</v>
      </c>
      <c r="N1325" s="37">
        <v>0.4</v>
      </c>
      <c r="O1325">
        <v>1.05</v>
      </c>
      <c r="P1325" s="37">
        <v>0.78466</v>
      </c>
      <c r="Q1325">
        <v>0.66</v>
      </c>
      <c r="R1325">
        <v>6000</v>
      </c>
      <c r="S1325">
        <v>6000</v>
      </c>
      <c r="T1325">
        <v>5000</v>
      </c>
      <c r="U1325" t="s">
        <v>3350</v>
      </c>
      <c r="Z1325" s="37">
        <v>0.01</v>
      </c>
      <c r="AA1325" s="37">
        <v>0.35</v>
      </c>
      <c r="AB1325">
        <v>0</v>
      </c>
    </row>
    <row r="1326">
      <c r="A1326" t="s">
        <v>3798</v>
      </c>
      <c r="B1326" t="s">
        <v>3799</v>
      </c>
      <c r="C1326" t="s">
        <v>3799</v>
      </c>
      <c r="D1326" t="s">
        <v>359</v>
      </c>
      <c r="E1326" t="s">
        <v>3800</v>
      </c>
      <c r="F1326" t="s">
        <v>298</v>
      </c>
      <c r="G1326" t="s">
        <v>3529</v>
      </c>
      <c r="H1326" t="s">
        <v>3541</v>
      </c>
      <c r="I1326" t="s">
        <v>3806</v>
      </c>
      <c r="J1326" t="s">
        <v>3558</v>
      </c>
      <c r="K1326" t="s">
        <v>3807</v>
      </c>
      <c r="L1326" t="s">
        <v>3787</v>
      </c>
      <c r="M1326" s="37">
        <v>0.548</v>
      </c>
      <c r="N1326" s="37">
        <v>0.25</v>
      </c>
      <c r="O1326">
        <v>0.4384</v>
      </c>
      <c r="P1326" s="37">
        <v>0.78466</v>
      </c>
      <c r="Q1326">
        <v>0.66</v>
      </c>
      <c r="R1326">
        <v>6000</v>
      </c>
      <c r="S1326">
        <v>6000</v>
      </c>
      <c r="T1326">
        <v>5000</v>
      </c>
      <c r="U1326" t="s">
        <v>3350</v>
      </c>
      <c r="Z1326" s="37">
        <v>0.01</v>
      </c>
      <c r="AA1326" s="37">
        <v>0.35</v>
      </c>
      <c r="AB1326">
        <v>0</v>
      </c>
    </row>
    <row r="1327">
      <c r="A1327" t="s">
        <v>3808</v>
      </c>
      <c r="B1327" t="s">
        <v>3799</v>
      </c>
      <c r="C1327" t="s">
        <v>3799</v>
      </c>
      <c r="D1327" t="s">
        <v>359</v>
      </c>
      <c r="E1327" t="s">
        <v>3809</v>
      </c>
      <c r="F1327" t="s">
        <v>298</v>
      </c>
      <c r="G1327" t="s">
        <v>3529</v>
      </c>
      <c r="H1327" t="s">
        <v>3530</v>
      </c>
      <c r="I1327" t="s">
        <v>3810</v>
      </c>
      <c r="J1327" t="s">
        <v>1575</v>
      </c>
      <c r="K1327" t="s">
        <v>3811</v>
      </c>
      <c r="L1327" t="s">
        <v>3812</v>
      </c>
      <c r="M1327" s="37">
        <v>1.130429</v>
      </c>
      <c r="N1327" s="37">
        <v>0.075</v>
      </c>
      <c r="O1327">
        <v>1.2</v>
      </c>
      <c r="P1327" s="37">
        <v>0.951444</v>
      </c>
      <c r="Q1327">
        <v>0.87</v>
      </c>
      <c r="R1327">
        <v>8000</v>
      </c>
      <c r="S1327">
        <v>8000</v>
      </c>
      <c r="T1327">
        <v>5000</v>
      </c>
      <c r="U1327" t="s">
        <v>3350</v>
      </c>
      <c r="Z1327" s="37">
        <v>0.01</v>
      </c>
      <c r="AA1327" s="37">
        <v>0.35</v>
      </c>
      <c r="AB1327">
        <v>0</v>
      </c>
    </row>
    <row r="1328">
      <c r="A1328" t="s">
        <v>3808</v>
      </c>
      <c r="B1328" t="s">
        <v>3799</v>
      </c>
      <c r="C1328" t="s">
        <v>3799</v>
      </c>
      <c r="D1328" t="s">
        <v>359</v>
      </c>
      <c r="E1328" t="s">
        <v>3809</v>
      </c>
      <c r="F1328" t="s">
        <v>298</v>
      </c>
      <c r="G1328" t="s">
        <v>3529</v>
      </c>
      <c r="H1328" t="s">
        <v>3530</v>
      </c>
      <c r="I1328" t="s">
        <v>3813</v>
      </c>
      <c r="J1328" t="s">
        <v>3814</v>
      </c>
      <c r="K1328" t="s">
        <v>3815</v>
      </c>
      <c r="L1328" t="s">
        <v>3816</v>
      </c>
      <c r="M1328" s="37">
        <v>0.746343</v>
      </c>
      <c r="N1328" s="37">
        <v>0.075</v>
      </c>
      <c r="O1328">
        <v>0.5971</v>
      </c>
      <c r="P1328" s="37">
        <v>0.951444</v>
      </c>
      <c r="Q1328">
        <v>0.87</v>
      </c>
      <c r="R1328">
        <v>8000</v>
      </c>
      <c r="S1328">
        <v>8000</v>
      </c>
      <c r="T1328">
        <v>5000</v>
      </c>
      <c r="U1328" t="s">
        <v>3350</v>
      </c>
      <c r="Z1328" s="37">
        <v>0.01</v>
      </c>
      <c r="AA1328" s="37">
        <v>0.35</v>
      </c>
      <c r="AB1328">
        <v>0</v>
      </c>
    </row>
    <row r="1329">
      <c r="A1329" t="s">
        <v>3808</v>
      </c>
      <c r="B1329" t="s">
        <v>3799</v>
      </c>
      <c r="C1329" t="s">
        <v>3799</v>
      </c>
      <c r="D1329" t="s">
        <v>359</v>
      </c>
      <c r="E1329" t="s">
        <v>3809</v>
      </c>
      <c r="F1329" t="s">
        <v>298</v>
      </c>
      <c r="G1329" t="s">
        <v>3529</v>
      </c>
      <c r="H1329" t="s">
        <v>3551</v>
      </c>
      <c r="I1329" t="s">
        <v>3817</v>
      </c>
      <c r="J1329" t="s">
        <v>3818</v>
      </c>
      <c r="K1329" t="s">
        <v>3819</v>
      </c>
      <c r="L1329" t="s">
        <v>3820</v>
      </c>
      <c r="M1329" s="37">
        <v>1.272857</v>
      </c>
      <c r="N1329" s="37">
        <v>0.1</v>
      </c>
      <c r="O1329">
        <v>1.9</v>
      </c>
      <c r="P1329" s="37">
        <v>0.951444</v>
      </c>
      <c r="Q1329">
        <v>0.87</v>
      </c>
      <c r="R1329">
        <v>8000</v>
      </c>
      <c r="S1329">
        <v>8000</v>
      </c>
      <c r="T1329">
        <v>5000</v>
      </c>
      <c r="U1329" t="s">
        <v>3350</v>
      </c>
      <c r="Z1329" s="37">
        <v>0.01</v>
      </c>
      <c r="AA1329" s="37">
        <v>0.35</v>
      </c>
      <c r="AB1329">
        <v>0</v>
      </c>
    </row>
    <row r="1330">
      <c r="A1330" t="s">
        <v>3808</v>
      </c>
      <c r="B1330" t="s">
        <v>3799</v>
      </c>
      <c r="C1330" t="s">
        <v>3799</v>
      </c>
      <c r="D1330" t="s">
        <v>359</v>
      </c>
      <c r="E1330" t="s">
        <v>3809</v>
      </c>
      <c r="F1330" t="s">
        <v>298</v>
      </c>
      <c r="G1330" t="s">
        <v>3529</v>
      </c>
      <c r="H1330" t="s">
        <v>3551</v>
      </c>
      <c r="I1330" t="s">
        <v>3821</v>
      </c>
      <c r="J1330" t="s">
        <v>2502</v>
      </c>
      <c r="K1330" t="s">
        <v>3822</v>
      </c>
      <c r="L1330" t="s">
        <v>3823</v>
      </c>
      <c r="M1330" s="37">
        <v>0.945</v>
      </c>
      <c r="N1330" s="37">
        <v>0.1</v>
      </c>
      <c r="O1330">
        <v>0</v>
      </c>
      <c r="P1330" s="37">
        <v>0.951444</v>
      </c>
      <c r="Q1330">
        <v>0.87</v>
      </c>
      <c r="R1330">
        <v>8000</v>
      </c>
      <c r="S1330">
        <v>8000</v>
      </c>
      <c r="T1330">
        <v>5000</v>
      </c>
      <c r="U1330" t="s">
        <v>3350</v>
      </c>
      <c r="Z1330" s="37">
        <v>0.01</v>
      </c>
      <c r="AA1330" s="37">
        <v>0.35</v>
      </c>
      <c r="AB1330">
        <v>0</v>
      </c>
    </row>
    <row r="1331">
      <c r="A1331" t="s">
        <v>3808</v>
      </c>
      <c r="B1331" t="s">
        <v>3799</v>
      </c>
      <c r="C1331" t="s">
        <v>3799</v>
      </c>
      <c r="D1331" t="s">
        <v>359</v>
      </c>
      <c r="E1331" t="s">
        <v>3809</v>
      </c>
      <c r="F1331" t="s">
        <v>298</v>
      </c>
      <c r="G1331" t="s">
        <v>3529</v>
      </c>
      <c r="H1331" t="s">
        <v>3534</v>
      </c>
      <c r="I1331" t="s">
        <v>3824</v>
      </c>
      <c r="J1331" t="s">
        <v>1585</v>
      </c>
      <c r="K1331" t="s">
        <v>3825</v>
      </c>
      <c r="L1331" t="s">
        <v>3826</v>
      </c>
      <c r="M1331" s="37">
        <v>0.544</v>
      </c>
      <c r="N1331" s="37">
        <v>0.4</v>
      </c>
      <c r="O1331">
        <v>0.4352</v>
      </c>
      <c r="P1331" s="37">
        <v>0.951444</v>
      </c>
      <c r="Q1331">
        <v>0.87</v>
      </c>
      <c r="R1331">
        <v>8000</v>
      </c>
      <c r="S1331">
        <v>8000</v>
      </c>
      <c r="T1331">
        <v>5000</v>
      </c>
      <c r="U1331" t="s">
        <v>3350</v>
      </c>
      <c r="Z1331" s="37">
        <v>0.01</v>
      </c>
      <c r="AA1331" s="37">
        <v>0.35</v>
      </c>
      <c r="AB1331">
        <v>0</v>
      </c>
    </row>
    <row r="1332">
      <c r="A1332" t="s">
        <v>3808</v>
      </c>
      <c r="B1332" t="s">
        <v>3799</v>
      </c>
      <c r="C1332" t="s">
        <v>3799</v>
      </c>
      <c r="D1332" t="s">
        <v>359</v>
      </c>
      <c r="E1332" t="s">
        <v>3809</v>
      </c>
      <c r="F1332" t="s">
        <v>298</v>
      </c>
      <c r="G1332" t="s">
        <v>3529</v>
      </c>
      <c r="H1332" t="s">
        <v>3541</v>
      </c>
      <c r="I1332" t="s">
        <v>3827</v>
      </c>
      <c r="J1332" t="s">
        <v>3217</v>
      </c>
      <c r="K1332" t="s">
        <v>3828</v>
      </c>
      <c r="L1332" t="s">
        <v>3829</v>
      </c>
      <c r="M1332" s="37">
        <v>1.4852</v>
      </c>
      <c r="N1332" s="37">
        <v>0.25</v>
      </c>
      <c r="O1332">
        <v>1.4852</v>
      </c>
      <c r="P1332" s="37">
        <v>0.951444</v>
      </c>
      <c r="Q1332">
        <v>0.87</v>
      </c>
      <c r="R1332">
        <v>8000</v>
      </c>
      <c r="S1332">
        <v>8000</v>
      </c>
      <c r="T1332">
        <v>5000</v>
      </c>
      <c r="U1332" t="s">
        <v>3350</v>
      </c>
      <c r="Z1332" s="37">
        <v>0.01</v>
      </c>
      <c r="AA1332" s="37">
        <v>0.35</v>
      </c>
      <c r="AB1332">
        <v>0</v>
      </c>
    </row>
    <row r="1333">
      <c r="A1333" t="s">
        <v>3830</v>
      </c>
      <c r="B1333" t="s">
        <v>3799</v>
      </c>
      <c r="C1333" t="s">
        <v>3799</v>
      </c>
      <c r="D1333" t="s">
        <v>359</v>
      </c>
      <c r="E1333" t="s">
        <v>3831</v>
      </c>
      <c r="F1333" t="s">
        <v>298</v>
      </c>
      <c r="G1333" t="s">
        <v>3529</v>
      </c>
      <c r="H1333" t="s">
        <v>3530</v>
      </c>
      <c r="I1333" t="s">
        <v>3832</v>
      </c>
      <c r="J1333" t="s">
        <v>984</v>
      </c>
      <c r="K1333" t="s">
        <v>3833</v>
      </c>
      <c r="L1333" t="s">
        <v>3829</v>
      </c>
      <c r="M1333" s="37">
        <v>0.4815</v>
      </c>
      <c r="N1333" s="37">
        <v>0.3</v>
      </c>
      <c r="O1333">
        <v>0.3852</v>
      </c>
      <c r="P1333" s="37">
        <v>0.590544</v>
      </c>
      <c r="Q1333">
        <v>0.49</v>
      </c>
      <c r="R1333">
        <v>4000</v>
      </c>
      <c r="S1333">
        <v>4000</v>
      </c>
      <c r="T1333">
        <v>5000</v>
      </c>
      <c r="U1333" t="s">
        <v>3350</v>
      </c>
      <c r="Z1333" s="37">
        <v>0.01</v>
      </c>
      <c r="AA1333" s="37">
        <v>0.35</v>
      </c>
      <c r="AB1333">
        <v>0</v>
      </c>
    </row>
    <row r="1334">
      <c r="A1334" t="s">
        <v>3830</v>
      </c>
      <c r="B1334" t="s">
        <v>3799</v>
      </c>
      <c r="C1334" t="s">
        <v>3799</v>
      </c>
      <c r="D1334" t="s">
        <v>359</v>
      </c>
      <c r="E1334" t="s">
        <v>3831</v>
      </c>
      <c r="F1334" t="s">
        <v>298</v>
      </c>
      <c r="G1334" t="s">
        <v>3529</v>
      </c>
      <c r="H1334" t="s">
        <v>3530</v>
      </c>
      <c r="I1334" t="s">
        <v>3834</v>
      </c>
      <c r="J1334" t="s">
        <v>3835</v>
      </c>
      <c r="K1334" t="s">
        <v>3836</v>
      </c>
      <c r="L1334" t="s">
        <v>3829</v>
      </c>
      <c r="M1334" s="37">
        <v>0.862941</v>
      </c>
      <c r="N1334" s="37">
        <v>0.1</v>
      </c>
      <c r="O1334">
        <v>0.8629</v>
      </c>
      <c r="P1334" s="37">
        <v>0.590544</v>
      </c>
      <c r="Q1334">
        <v>0.49</v>
      </c>
      <c r="R1334">
        <v>4000</v>
      </c>
      <c r="S1334">
        <v>4000</v>
      </c>
      <c r="T1334">
        <v>5000</v>
      </c>
      <c r="U1334" t="s">
        <v>3350</v>
      </c>
      <c r="Z1334" s="37">
        <v>0.01</v>
      </c>
      <c r="AA1334" s="37">
        <v>0.35</v>
      </c>
      <c r="AB1334">
        <v>0</v>
      </c>
    </row>
    <row r="1335">
      <c r="A1335" t="s">
        <v>3830</v>
      </c>
      <c r="B1335" t="s">
        <v>3799</v>
      </c>
      <c r="C1335" t="s">
        <v>3799</v>
      </c>
      <c r="D1335" t="s">
        <v>359</v>
      </c>
      <c r="E1335" t="s">
        <v>3831</v>
      </c>
      <c r="F1335" t="s">
        <v>298</v>
      </c>
      <c r="G1335" t="s">
        <v>3529</v>
      </c>
      <c r="H1335" t="s">
        <v>3534</v>
      </c>
      <c r="I1335" t="s">
        <v>3837</v>
      </c>
      <c r="J1335" t="s">
        <v>977</v>
      </c>
      <c r="K1335" t="s">
        <v>3838</v>
      </c>
      <c r="L1335" t="s">
        <v>3839</v>
      </c>
      <c r="M1335" s="37">
        <v>0.532</v>
      </c>
      <c r="N1335" s="37">
        <v>0.4</v>
      </c>
      <c r="O1335">
        <v>0.4256</v>
      </c>
      <c r="P1335" s="37">
        <v>0.590544</v>
      </c>
      <c r="Q1335">
        <v>0.49</v>
      </c>
      <c r="R1335">
        <v>4000</v>
      </c>
      <c r="S1335">
        <v>4000</v>
      </c>
      <c r="T1335">
        <v>5000</v>
      </c>
      <c r="U1335" t="s">
        <v>3350</v>
      </c>
      <c r="Z1335" s="37">
        <v>0.01</v>
      </c>
      <c r="AA1335" s="37">
        <v>0.35</v>
      </c>
      <c r="AB1335">
        <v>0</v>
      </c>
    </row>
    <row r="1336">
      <c r="A1336" t="s">
        <v>3830</v>
      </c>
      <c r="B1336" t="s">
        <v>3799</v>
      </c>
      <c r="C1336" t="s">
        <v>3799</v>
      </c>
      <c r="D1336" t="s">
        <v>359</v>
      </c>
      <c r="E1336" t="s">
        <v>3831</v>
      </c>
      <c r="F1336" t="s">
        <v>298</v>
      </c>
      <c r="G1336" t="s">
        <v>3529</v>
      </c>
      <c r="H1336" t="s">
        <v>3541</v>
      </c>
      <c r="I1336" t="s">
        <v>3840</v>
      </c>
      <c r="J1336" t="s">
        <v>1048</v>
      </c>
      <c r="K1336" t="s">
        <v>3841</v>
      </c>
      <c r="L1336" t="s">
        <v>3839</v>
      </c>
      <c r="M1336" s="37">
        <v>0.735</v>
      </c>
      <c r="N1336" s="37">
        <v>0.2</v>
      </c>
      <c r="O1336">
        <v>0.588</v>
      </c>
      <c r="P1336" s="37">
        <v>0.590544</v>
      </c>
      <c r="Q1336">
        <v>0.49</v>
      </c>
      <c r="R1336">
        <v>4000</v>
      </c>
      <c r="S1336">
        <v>4000</v>
      </c>
      <c r="T1336">
        <v>5000</v>
      </c>
      <c r="U1336" t="s">
        <v>3350</v>
      </c>
      <c r="Z1336" s="37">
        <v>0.01</v>
      </c>
      <c r="AA1336" s="37">
        <v>0.35</v>
      </c>
      <c r="AB1336">
        <v>0</v>
      </c>
    </row>
    <row r="1337">
      <c r="A1337" t="s">
        <v>3842</v>
      </c>
      <c r="B1337" t="s">
        <v>3799</v>
      </c>
      <c r="C1337" t="s">
        <v>3799</v>
      </c>
      <c r="D1337" t="s">
        <v>2521</v>
      </c>
      <c r="E1337" t="s">
        <v>3843</v>
      </c>
      <c r="F1337" t="s">
        <v>298</v>
      </c>
      <c r="G1337" t="s">
        <v>3529</v>
      </c>
      <c r="H1337" t="s">
        <v>3530</v>
      </c>
      <c r="I1337" t="s">
        <v>3844</v>
      </c>
      <c r="J1337" t="s">
        <v>3801</v>
      </c>
      <c r="K1337" t="s">
        <v>3802</v>
      </c>
      <c r="L1337" t="s">
        <v>3839</v>
      </c>
      <c r="M1337" s="37">
        <v>0.88436</v>
      </c>
      <c r="N1337" s="37">
        <v>0.15</v>
      </c>
      <c r="O1337">
        <v>0.8844</v>
      </c>
      <c r="P1337" s="37">
        <v>0.587133</v>
      </c>
      <c r="Q1337">
        <v>0.42</v>
      </c>
      <c r="R1337">
        <v>2000</v>
      </c>
      <c r="S1337">
        <v>2000</v>
      </c>
      <c r="T1337">
        <v>5000</v>
      </c>
      <c r="U1337" t="s">
        <v>3350</v>
      </c>
      <c r="Z1337" s="37">
        <v>0.01</v>
      </c>
      <c r="AA1337" s="37">
        <v>0.35</v>
      </c>
      <c r="AB1337">
        <v>0</v>
      </c>
    </row>
    <row r="1338">
      <c r="A1338" t="s">
        <v>3842</v>
      </c>
      <c r="B1338" t="s">
        <v>3799</v>
      </c>
      <c r="C1338" t="s">
        <v>3799</v>
      </c>
      <c r="D1338" t="s">
        <v>2521</v>
      </c>
      <c r="E1338" t="s">
        <v>3843</v>
      </c>
      <c r="F1338" t="s">
        <v>298</v>
      </c>
      <c r="G1338" t="s">
        <v>3529</v>
      </c>
      <c r="H1338" t="s">
        <v>3551</v>
      </c>
      <c r="I1338" t="s">
        <v>3845</v>
      </c>
      <c r="J1338" t="s">
        <v>2502</v>
      </c>
      <c r="K1338" t="s">
        <v>1856</v>
      </c>
      <c r="L1338" t="s">
        <v>3839</v>
      </c>
      <c r="M1338" s="37">
        <v>0.475</v>
      </c>
      <c r="N1338" s="37">
        <v>0.2</v>
      </c>
      <c r="O1338">
        <v>0</v>
      </c>
      <c r="P1338" s="37">
        <v>0.587133</v>
      </c>
      <c r="Q1338">
        <v>0.42</v>
      </c>
      <c r="R1338">
        <v>2000</v>
      </c>
      <c r="S1338">
        <v>2000</v>
      </c>
      <c r="T1338">
        <v>5000</v>
      </c>
      <c r="U1338" t="s">
        <v>3350</v>
      </c>
      <c r="Z1338" s="37">
        <v>0.01</v>
      </c>
      <c r="AA1338" s="37">
        <v>0.35</v>
      </c>
      <c r="AB1338">
        <v>0</v>
      </c>
    </row>
    <row r="1339">
      <c r="A1339" t="s">
        <v>3842</v>
      </c>
      <c r="B1339" t="s">
        <v>3799</v>
      </c>
      <c r="C1339" t="s">
        <v>3799</v>
      </c>
      <c r="D1339" t="s">
        <v>2521</v>
      </c>
      <c r="E1339" t="s">
        <v>3843</v>
      </c>
      <c r="F1339" t="s">
        <v>298</v>
      </c>
      <c r="G1339" t="s">
        <v>3529</v>
      </c>
      <c r="H1339" t="s">
        <v>3541</v>
      </c>
      <c r="I1339" t="s">
        <v>3846</v>
      </c>
      <c r="J1339" t="s">
        <v>3245</v>
      </c>
      <c r="K1339" t="s">
        <v>1016</v>
      </c>
      <c r="L1339" t="s">
        <v>3839</v>
      </c>
      <c r="M1339" s="37">
        <v>0.5</v>
      </c>
      <c r="N1339" s="37">
        <v>0.4</v>
      </c>
      <c r="O1339">
        <v>0.4</v>
      </c>
      <c r="P1339" s="37">
        <v>0.587133</v>
      </c>
      <c r="Q1339">
        <v>0.42</v>
      </c>
      <c r="R1339">
        <v>2000</v>
      </c>
      <c r="S1339">
        <v>2000</v>
      </c>
      <c r="T1339">
        <v>5000</v>
      </c>
      <c r="U1339" t="s">
        <v>3350</v>
      </c>
      <c r="Z1339" s="37">
        <v>0.01</v>
      </c>
      <c r="AA1339" s="37">
        <v>0.35</v>
      </c>
      <c r="AB1339">
        <v>0</v>
      </c>
    </row>
    <row r="1340">
      <c r="A1340" t="s">
        <v>3842</v>
      </c>
      <c r="B1340" t="s">
        <v>3799</v>
      </c>
      <c r="C1340" t="s">
        <v>3799</v>
      </c>
      <c r="D1340" t="s">
        <v>2521</v>
      </c>
      <c r="E1340" t="s">
        <v>3843</v>
      </c>
      <c r="F1340" t="s">
        <v>298</v>
      </c>
      <c r="G1340" t="s">
        <v>3529</v>
      </c>
      <c r="H1340" t="s">
        <v>3571</v>
      </c>
      <c r="I1340" t="s">
        <v>3847</v>
      </c>
      <c r="J1340" t="s">
        <v>3848</v>
      </c>
      <c r="K1340" t="s">
        <v>3849</v>
      </c>
      <c r="L1340" t="s">
        <v>3839</v>
      </c>
      <c r="M1340" s="37">
        <v>0.637917</v>
      </c>
      <c r="N1340" s="37">
        <v>0.25</v>
      </c>
      <c r="O1340">
        <v>0.5103</v>
      </c>
      <c r="P1340" s="37">
        <v>0.587133</v>
      </c>
      <c r="Q1340">
        <v>0.42</v>
      </c>
      <c r="R1340">
        <v>2000</v>
      </c>
      <c r="S1340">
        <v>2000</v>
      </c>
      <c r="T1340">
        <v>5000</v>
      </c>
      <c r="U1340" t="s">
        <v>3350</v>
      </c>
      <c r="Z1340" s="37">
        <v>0.01</v>
      </c>
      <c r="AA1340" s="37">
        <v>0.35</v>
      </c>
      <c r="AB1340">
        <v>0</v>
      </c>
    </row>
    <row r="1341">
      <c r="A1341" t="s">
        <v>3850</v>
      </c>
      <c r="B1341" t="s">
        <v>484</v>
      </c>
      <c r="C1341" t="s">
        <v>484</v>
      </c>
      <c r="D1341" t="s">
        <v>2967</v>
      </c>
      <c r="E1341" t="s">
        <v>3851</v>
      </c>
      <c r="F1341" t="s">
        <v>298</v>
      </c>
      <c r="G1341" t="s">
        <v>3852</v>
      </c>
      <c r="H1341" t="s">
        <v>3853</v>
      </c>
      <c r="I1341" t="s">
        <v>3854</v>
      </c>
      <c r="J1341" s="38">
        <v>1</v>
      </c>
      <c r="K1341" t="s">
        <v>3855</v>
      </c>
      <c r="L1341" t="s">
        <v>3839</v>
      </c>
      <c r="M1341" s="37">
        <v>1.2</v>
      </c>
      <c r="N1341" s="37">
        <v>0.4</v>
      </c>
      <c r="O1341">
        <v>1.2</v>
      </c>
      <c r="P1341" s="37">
        <v>1.2</v>
      </c>
      <c r="Q1341">
        <v>1.2</v>
      </c>
      <c r="R1341">
        <v>6000</v>
      </c>
      <c r="S1341">
        <v>6000</v>
      </c>
      <c r="T1341">
        <v>5000</v>
      </c>
      <c r="U1341" t="s">
        <v>3350</v>
      </c>
      <c r="Z1341" s="37">
        <v>0.01</v>
      </c>
      <c r="AA1341" s="37">
        <v>0.35</v>
      </c>
      <c r="AB1341">
        <v>0</v>
      </c>
    </row>
    <row r="1342">
      <c r="A1342" t="s">
        <v>3850</v>
      </c>
      <c r="B1342" t="s">
        <v>484</v>
      </c>
      <c r="C1342" t="s">
        <v>484</v>
      </c>
      <c r="D1342" t="s">
        <v>2967</v>
      </c>
      <c r="E1342" t="s">
        <v>3851</v>
      </c>
      <c r="F1342" t="s">
        <v>298</v>
      </c>
      <c r="G1342" t="s">
        <v>3852</v>
      </c>
      <c r="H1342" t="s">
        <v>3856</v>
      </c>
      <c r="I1342" t="s">
        <v>3857</v>
      </c>
      <c r="J1342" s="38">
        <v>1</v>
      </c>
      <c r="K1342" s="38">
        <v>1.2</v>
      </c>
      <c r="L1342" t="s">
        <v>3839</v>
      </c>
      <c r="M1342" s="37">
        <v>1.2</v>
      </c>
      <c r="N1342" s="37">
        <v>0.6</v>
      </c>
      <c r="O1342">
        <v>1.2</v>
      </c>
      <c r="P1342" s="37">
        <v>1.2</v>
      </c>
      <c r="Q1342">
        <v>1.2</v>
      </c>
      <c r="R1342">
        <v>6000</v>
      </c>
      <c r="S1342">
        <v>6000</v>
      </c>
      <c r="T1342">
        <v>5000</v>
      </c>
      <c r="U1342" t="s">
        <v>3350</v>
      </c>
      <c r="Z1342" s="37">
        <v>0.01</v>
      </c>
      <c r="AA1342" s="37">
        <v>0.35</v>
      </c>
      <c r="AB1342">
        <v>0</v>
      </c>
    </row>
    <row r="1343">
      <c r="A1343" t="s">
        <v>3858</v>
      </c>
      <c r="B1343" t="s">
        <v>3859</v>
      </c>
      <c r="C1343" t="s">
        <v>3859</v>
      </c>
      <c r="D1343" t="s">
        <v>879</v>
      </c>
      <c r="E1343" t="s">
        <v>3860</v>
      </c>
      <c r="F1343" t="s">
        <v>298</v>
      </c>
      <c r="G1343" t="s">
        <v>3861</v>
      </c>
      <c r="H1343" t="s">
        <v>3862</v>
      </c>
      <c r="I1343" t="s">
        <v>3863</v>
      </c>
      <c r="J1343" s="38">
        <v>1</v>
      </c>
      <c r="L1343" t="s">
        <v>3864</v>
      </c>
      <c r="M1343" s="37">
        <v>1</v>
      </c>
      <c r="N1343" s="37">
        <v>0.2</v>
      </c>
      <c r="O1343">
        <v>1</v>
      </c>
      <c r="P1343" s="37">
        <v>1</v>
      </c>
      <c r="Q1343">
        <v>1</v>
      </c>
      <c r="R1343">
        <v>1000</v>
      </c>
      <c r="S1343">
        <v>1000</v>
      </c>
      <c r="T1343">
        <v>1000</v>
      </c>
      <c r="U1343" t="s">
        <v>3350</v>
      </c>
      <c r="Z1343" s="37">
        <v>0.01</v>
      </c>
      <c r="AA1343" s="37">
        <v>0.35</v>
      </c>
      <c r="AB1343">
        <v>0</v>
      </c>
    </row>
    <row r="1344">
      <c r="A1344" t="s">
        <v>3858</v>
      </c>
      <c r="B1344" t="s">
        <v>3859</v>
      </c>
      <c r="C1344" t="s">
        <v>3859</v>
      </c>
      <c r="D1344" t="s">
        <v>879</v>
      </c>
      <c r="E1344" t="s">
        <v>3860</v>
      </c>
      <c r="F1344" t="s">
        <v>298</v>
      </c>
      <c r="G1344" t="s">
        <v>3861</v>
      </c>
      <c r="H1344" t="s">
        <v>3865</v>
      </c>
      <c r="I1344" t="s">
        <v>3866</v>
      </c>
      <c r="J1344" s="38">
        <v>1</v>
      </c>
      <c r="L1344" t="s">
        <v>3867</v>
      </c>
      <c r="M1344" s="37">
        <v>1</v>
      </c>
      <c r="N1344" s="37">
        <v>0.6</v>
      </c>
      <c r="O1344">
        <v>1</v>
      </c>
      <c r="P1344" s="37">
        <v>1</v>
      </c>
      <c r="Q1344">
        <v>1</v>
      </c>
      <c r="R1344">
        <v>1000</v>
      </c>
      <c r="S1344">
        <v>1000</v>
      </c>
      <c r="T1344">
        <v>1000</v>
      </c>
      <c r="U1344" t="s">
        <v>3350</v>
      </c>
      <c r="Z1344" s="37">
        <v>0.01</v>
      </c>
      <c r="AA1344" s="37">
        <v>0.35</v>
      </c>
      <c r="AB1344">
        <v>0</v>
      </c>
    </row>
    <row r="1345">
      <c r="A1345" t="s">
        <v>3858</v>
      </c>
      <c r="B1345" t="s">
        <v>3859</v>
      </c>
      <c r="C1345" t="s">
        <v>3859</v>
      </c>
      <c r="D1345" t="s">
        <v>879</v>
      </c>
      <c r="E1345" t="s">
        <v>3860</v>
      </c>
      <c r="F1345" t="s">
        <v>298</v>
      </c>
      <c r="G1345" t="s">
        <v>3861</v>
      </c>
      <c r="H1345" t="s">
        <v>3868</v>
      </c>
      <c r="I1345" t="s">
        <v>3869</v>
      </c>
      <c r="J1345" s="38">
        <v>1</v>
      </c>
      <c r="L1345" t="s">
        <v>3870</v>
      </c>
      <c r="M1345" s="37">
        <v>1</v>
      </c>
      <c r="N1345" s="37">
        <v>0.2</v>
      </c>
      <c r="O1345">
        <v>1</v>
      </c>
      <c r="P1345" s="37">
        <v>1</v>
      </c>
      <c r="Q1345">
        <v>1</v>
      </c>
      <c r="R1345">
        <v>1000</v>
      </c>
      <c r="S1345">
        <v>1000</v>
      </c>
      <c r="T1345">
        <v>1000</v>
      </c>
      <c r="U1345" t="s">
        <v>3350</v>
      </c>
      <c r="Z1345" s="37">
        <v>0.01</v>
      </c>
      <c r="AA1345" s="37">
        <v>0.35</v>
      </c>
      <c r="AB1345">
        <v>0</v>
      </c>
    </row>
    <row r="1346">
      <c r="A1346" t="s">
        <v>3871</v>
      </c>
      <c r="B1346" t="s">
        <v>3113</v>
      </c>
      <c r="C1346" t="s">
        <v>3113</v>
      </c>
      <c r="D1346" t="s">
        <v>1216</v>
      </c>
      <c r="E1346" t="s">
        <v>3872</v>
      </c>
      <c r="F1346" t="s">
        <v>298</v>
      </c>
      <c r="G1346" t="s">
        <v>3873</v>
      </c>
      <c r="H1346" t="s">
        <v>3874</v>
      </c>
      <c r="I1346" t="s">
        <v>3875</v>
      </c>
      <c r="J1346" t="s">
        <v>1828</v>
      </c>
      <c r="K1346" t="s">
        <v>3876</v>
      </c>
      <c r="L1346" t="s">
        <v>3877</v>
      </c>
      <c r="M1346" s="37">
        <v>0.7978</v>
      </c>
      <c r="N1346" s="37">
        <v>0.4</v>
      </c>
      <c r="O1346">
        <v>0.8377</v>
      </c>
      <c r="P1346" s="37">
        <v>0.71912</v>
      </c>
      <c r="Q1346">
        <v>0.8</v>
      </c>
      <c r="R1346">
        <v>2280</v>
      </c>
      <c r="S1346">
        <v>2480</v>
      </c>
      <c r="T1346">
        <v>3000</v>
      </c>
      <c r="U1346" t="s">
        <v>3350</v>
      </c>
      <c r="Z1346" s="37">
        <v>0.01</v>
      </c>
      <c r="AA1346" s="37">
        <v>0.35</v>
      </c>
      <c r="AB1346">
        <v>0</v>
      </c>
    </row>
    <row r="1347">
      <c r="A1347" t="s">
        <v>3871</v>
      </c>
      <c r="B1347" t="s">
        <v>3113</v>
      </c>
      <c r="C1347" t="s">
        <v>3113</v>
      </c>
      <c r="D1347" t="s">
        <v>1216</v>
      </c>
      <c r="E1347" t="s">
        <v>3872</v>
      </c>
      <c r="F1347" t="s">
        <v>298</v>
      </c>
      <c r="G1347" t="s">
        <v>3873</v>
      </c>
      <c r="H1347" t="s">
        <v>3878</v>
      </c>
      <c r="I1347" t="s">
        <v>3879</v>
      </c>
      <c r="J1347" t="s">
        <v>2940</v>
      </c>
      <c r="K1347" t="s">
        <v>3880</v>
      </c>
      <c r="L1347" t="s">
        <v>3881</v>
      </c>
      <c r="M1347" s="37">
        <v>1</v>
      </c>
      <c r="N1347" s="37">
        <v>0.4</v>
      </c>
      <c r="O1347">
        <v>1.15</v>
      </c>
      <c r="P1347" s="37">
        <v>0.71912</v>
      </c>
      <c r="Q1347">
        <v>0.8</v>
      </c>
      <c r="R1347">
        <v>2280</v>
      </c>
      <c r="S1347">
        <v>2480</v>
      </c>
      <c r="T1347">
        <v>3000</v>
      </c>
      <c r="U1347" t="s">
        <v>3350</v>
      </c>
      <c r="Z1347" s="37">
        <v>0.01</v>
      </c>
      <c r="AA1347" s="37">
        <v>0.35</v>
      </c>
      <c r="AB1347">
        <v>0</v>
      </c>
    </row>
    <row r="1348">
      <c r="A1348" t="s">
        <v>3871</v>
      </c>
      <c r="B1348" t="s">
        <v>3113</v>
      </c>
      <c r="C1348" t="s">
        <v>3113</v>
      </c>
      <c r="D1348" t="s">
        <v>1216</v>
      </c>
      <c r="E1348" t="s">
        <v>3872</v>
      </c>
      <c r="F1348" t="s">
        <v>298</v>
      </c>
      <c r="G1348" t="s">
        <v>3873</v>
      </c>
      <c r="H1348" t="s">
        <v>3882</v>
      </c>
      <c r="I1348" t="s">
        <v>3883</v>
      </c>
      <c r="J1348" t="s">
        <v>2502</v>
      </c>
      <c r="K1348" t="s">
        <v>3039</v>
      </c>
      <c r="L1348">
        <v>0</v>
      </c>
      <c r="M1348" s="37">
        <v>0</v>
      </c>
      <c r="N1348" s="37">
        <v>0.2</v>
      </c>
      <c r="O1348">
        <v>0</v>
      </c>
      <c r="P1348" s="37">
        <v>0.71912</v>
      </c>
      <c r="Q1348">
        <v>0.8</v>
      </c>
      <c r="R1348">
        <v>2280</v>
      </c>
      <c r="S1348">
        <v>2480</v>
      </c>
      <c r="T1348">
        <v>3000</v>
      </c>
      <c r="U1348" t="s">
        <v>3350</v>
      </c>
      <c r="Z1348" s="37">
        <v>0.01</v>
      </c>
      <c r="AA1348" s="37">
        <v>0.35</v>
      </c>
      <c r="AB1348">
        <v>0</v>
      </c>
    </row>
    <row r="1349">
      <c r="A1349" t="s">
        <v>3884</v>
      </c>
      <c r="B1349" t="s">
        <v>3672</v>
      </c>
      <c r="C1349" t="s">
        <v>3672</v>
      </c>
      <c r="D1349" t="s">
        <v>359</v>
      </c>
      <c r="E1349" t="s">
        <v>3885</v>
      </c>
      <c r="F1349" t="s">
        <v>298</v>
      </c>
      <c r="G1349" t="s">
        <v>3886</v>
      </c>
      <c r="H1349" t="s">
        <v>3887</v>
      </c>
      <c r="I1349" t="s">
        <v>3888</v>
      </c>
      <c r="L1349" t="s">
        <v>3889</v>
      </c>
      <c r="M1349" s="37">
        <v>1</v>
      </c>
      <c r="N1349" s="37">
        <v>0.6</v>
      </c>
      <c r="O1349">
        <v>1</v>
      </c>
      <c r="P1349" s="37">
        <v>1</v>
      </c>
      <c r="Q1349">
        <v>1</v>
      </c>
      <c r="R1349">
        <v>6000</v>
      </c>
      <c r="S1349">
        <v>6000</v>
      </c>
      <c r="T1349">
        <v>6000</v>
      </c>
      <c r="U1349" t="s">
        <v>3350</v>
      </c>
      <c r="Z1349" s="37">
        <v>0.01</v>
      </c>
      <c r="AA1349" s="37">
        <v>0.35</v>
      </c>
      <c r="AB1349">
        <v>0</v>
      </c>
    </row>
    <row r="1350">
      <c r="A1350" t="s">
        <v>3884</v>
      </c>
      <c r="B1350" t="s">
        <v>3672</v>
      </c>
      <c r="C1350" t="s">
        <v>3672</v>
      </c>
      <c r="D1350" t="s">
        <v>359</v>
      </c>
      <c r="E1350" t="s">
        <v>3885</v>
      </c>
      <c r="F1350" t="s">
        <v>298</v>
      </c>
      <c r="G1350" t="s">
        <v>3886</v>
      </c>
      <c r="H1350" t="s">
        <v>3890</v>
      </c>
      <c r="I1350" t="s">
        <v>3891</v>
      </c>
      <c r="J1350" t="s">
        <v>3217</v>
      </c>
      <c r="K1350" t="s">
        <v>3892</v>
      </c>
      <c r="L1350" t="s">
        <v>3893</v>
      </c>
      <c r="M1350" s="37">
        <v>1</v>
      </c>
      <c r="N1350" s="37">
        <v>0.3</v>
      </c>
      <c r="O1350">
        <v>1</v>
      </c>
      <c r="P1350" s="37">
        <v>1</v>
      </c>
      <c r="Q1350">
        <v>1</v>
      </c>
      <c r="R1350">
        <v>6000</v>
      </c>
      <c r="S1350">
        <v>6000</v>
      </c>
      <c r="T1350">
        <v>6000</v>
      </c>
      <c r="U1350" t="s">
        <v>3350</v>
      </c>
      <c r="Z1350" s="37">
        <v>0.01</v>
      </c>
      <c r="AA1350" s="37">
        <v>0.35</v>
      </c>
      <c r="AB1350">
        <v>0</v>
      </c>
    </row>
    <row r="1351">
      <c r="A1351" t="s">
        <v>3884</v>
      </c>
      <c r="B1351" t="s">
        <v>3672</v>
      </c>
      <c r="C1351" t="s">
        <v>3672</v>
      </c>
      <c r="D1351" t="s">
        <v>359</v>
      </c>
      <c r="E1351" t="s">
        <v>3885</v>
      </c>
      <c r="F1351" t="s">
        <v>298</v>
      </c>
      <c r="G1351" t="s">
        <v>3886</v>
      </c>
      <c r="H1351" t="s">
        <v>3894</v>
      </c>
      <c r="I1351" t="s">
        <v>3895</v>
      </c>
      <c r="L1351" t="s">
        <v>3896</v>
      </c>
      <c r="M1351" s="37">
        <v>1</v>
      </c>
      <c r="N1351" s="37">
        <v>0.1</v>
      </c>
      <c r="O1351">
        <v>1</v>
      </c>
      <c r="P1351" s="37">
        <v>1</v>
      </c>
      <c r="Q1351">
        <v>1</v>
      </c>
      <c r="R1351">
        <v>6000</v>
      </c>
      <c r="S1351">
        <v>6000</v>
      </c>
      <c r="T1351">
        <v>6000</v>
      </c>
      <c r="U1351" t="s">
        <v>3350</v>
      </c>
      <c r="Z1351" s="37">
        <v>0.01</v>
      </c>
      <c r="AA1351" s="37">
        <v>0.35</v>
      </c>
      <c r="AB1351">
        <v>0</v>
      </c>
    </row>
    <row r="1352">
      <c r="A1352" t="s">
        <v>3897</v>
      </c>
      <c r="B1352" t="s">
        <v>3672</v>
      </c>
      <c r="C1352" t="s">
        <v>3672</v>
      </c>
      <c r="D1352" t="s">
        <v>359</v>
      </c>
      <c r="E1352" t="s">
        <v>3898</v>
      </c>
      <c r="F1352" t="s">
        <v>298</v>
      </c>
      <c r="G1352" t="s">
        <v>3886</v>
      </c>
      <c r="H1352" t="s">
        <v>3899</v>
      </c>
      <c r="I1352" t="s">
        <v>3900</v>
      </c>
      <c r="J1352" t="s">
        <v>1048</v>
      </c>
      <c r="K1352" t="s">
        <v>3901</v>
      </c>
      <c r="L1352" t="s">
        <v>3902</v>
      </c>
      <c r="M1352" s="37">
        <v>1.5</v>
      </c>
      <c r="N1352" s="37">
        <v>0.5</v>
      </c>
      <c r="O1352">
        <v>1.5</v>
      </c>
      <c r="P1352" s="37">
        <v>0.91012</v>
      </c>
      <c r="Q1352">
        <v>0.91</v>
      </c>
      <c r="R1352">
        <v>5460</v>
      </c>
      <c r="S1352">
        <v>5460</v>
      </c>
      <c r="T1352">
        <v>6000</v>
      </c>
      <c r="U1352" t="s">
        <v>3350</v>
      </c>
      <c r="Z1352" s="37">
        <v>0.01</v>
      </c>
      <c r="AA1352" s="37">
        <v>0.35</v>
      </c>
      <c r="AB1352">
        <v>0</v>
      </c>
    </row>
    <row r="1353">
      <c r="A1353" t="s">
        <v>3897</v>
      </c>
      <c r="B1353" t="s">
        <v>3672</v>
      </c>
      <c r="C1353" t="s">
        <v>3672</v>
      </c>
      <c r="D1353" t="s">
        <v>359</v>
      </c>
      <c r="E1353" t="s">
        <v>3898</v>
      </c>
      <c r="F1353" t="s">
        <v>298</v>
      </c>
      <c r="G1353" t="s">
        <v>3886</v>
      </c>
      <c r="H1353" t="s">
        <v>3899</v>
      </c>
      <c r="I1353" t="s">
        <v>3903</v>
      </c>
      <c r="J1353">
        <v>1000</v>
      </c>
      <c r="K1353">
        <v>59.9</v>
      </c>
      <c r="L1353" t="s">
        <v>3902</v>
      </c>
      <c r="M1353" s="37">
        <v>0.0006</v>
      </c>
      <c r="N1353" s="37">
        <v>0.2</v>
      </c>
      <c r="O1353">
        <v>0.04</v>
      </c>
      <c r="P1353" s="37">
        <v>0.91012</v>
      </c>
      <c r="Q1353">
        <v>0.91</v>
      </c>
      <c r="R1353">
        <v>5460</v>
      </c>
      <c r="S1353">
        <v>5460</v>
      </c>
      <c r="T1353">
        <v>6000</v>
      </c>
      <c r="U1353" t="s">
        <v>3350</v>
      </c>
      <c r="Z1353" s="37">
        <v>0.01</v>
      </c>
      <c r="AA1353" s="37">
        <v>0.35</v>
      </c>
      <c r="AB1353">
        <v>0</v>
      </c>
    </row>
    <row r="1354">
      <c r="A1354" t="s">
        <v>3897</v>
      </c>
      <c r="B1354" t="s">
        <v>3672</v>
      </c>
      <c r="C1354" t="s">
        <v>3672</v>
      </c>
      <c r="D1354" t="s">
        <v>359</v>
      </c>
      <c r="E1354" t="s">
        <v>3898</v>
      </c>
      <c r="F1354" t="s">
        <v>298</v>
      </c>
      <c r="G1354" t="s">
        <v>3886</v>
      </c>
      <c r="H1354" t="s">
        <v>3899</v>
      </c>
      <c r="I1354" t="s">
        <v>3904</v>
      </c>
      <c r="J1354">
        <v>1000</v>
      </c>
      <c r="K1354">
        <v>359.4</v>
      </c>
      <c r="L1354" t="s">
        <v>3902</v>
      </c>
      <c r="M1354" s="37">
        <v>0.35</v>
      </c>
      <c r="N1354" s="37">
        <v>0.1</v>
      </c>
      <c r="O1354">
        <v>0.245</v>
      </c>
      <c r="P1354" s="37">
        <v>0.91012</v>
      </c>
      <c r="Q1354">
        <v>0.91</v>
      </c>
      <c r="R1354">
        <v>5460</v>
      </c>
      <c r="S1354">
        <v>5460</v>
      </c>
      <c r="T1354">
        <v>6000</v>
      </c>
      <c r="U1354" t="s">
        <v>3350</v>
      </c>
      <c r="Z1354" s="37">
        <v>0.01</v>
      </c>
      <c r="AA1354" s="37">
        <v>0.35</v>
      </c>
      <c r="AB1354">
        <v>0</v>
      </c>
    </row>
    <row r="1355">
      <c r="A1355" t="s">
        <v>3897</v>
      </c>
      <c r="B1355" t="s">
        <v>3672</v>
      </c>
      <c r="C1355" t="s">
        <v>3672</v>
      </c>
      <c r="D1355" t="s">
        <v>359</v>
      </c>
      <c r="E1355" t="s">
        <v>3898</v>
      </c>
      <c r="F1355" t="s">
        <v>298</v>
      </c>
      <c r="G1355" t="s">
        <v>3886</v>
      </c>
      <c r="H1355" t="s">
        <v>3905</v>
      </c>
      <c r="I1355" t="s">
        <v>3906</v>
      </c>
      <c r="J1355" t="s">
        <v>662</v>
      </c>
      <c r="K1355" t="s">
        <v>2397</v>
      </c>
      <c r="L1355" t="s">
        <v>3907</v>
      </c>
      <c r="M1355" s="37">
        <v>0.625</v>
      </c>
      <c r="N1355" s="37">
        <v>0.2</v>
      </c>
      <c r="O1355">
        <v>0.625</v>
      </c>
      <c r="P1355" s="37">
        <v>0.91012</v>
      </c>
      <c r="Q1355">
        <v>0.91</v>
      </c>
      <c r="R1355">
        <v>5460</v>
      </c>
      <c r="S1355">
        <v>5460</v>
      </c>
      <c r="T1355">
        <v>6000</v>
      </c>
      <c r="U1355" t="s">
        <v>3350</v>
      </c>
      <c r="Z1355" s="37">
        <v>0.01</v>
      </c>
      <c r="AA1355" s="37">
        <v>0.35</v>
      </c>
      <c r="AB1355">
        <v>0</v>
      </c>
    </row>
    <row r="1356">
      <c r="A1356" t="s">
        <v>3908</v>
      </c>
      <c r="B1356" t="s">
        <v>3672</v>
      </c>
      <c r="C1356" t="s">
        <v>3672</v>
      </c>
      <c r="D1356" t="s">
        <v>359</v>
      </c>
      <c r="E1356" t="s">
        <v>3909</v>
      </c>
      <c r="F1356" t="s">
        <v>298</v>
      </c>
      <c r="G1356" t="s">
        <v>3886</v>
      </c>
      <c r="H1356" t="s">
        <v>3894</v>
      </c>
      <c r="I1356" t="s">
        <v>3910</v>
      </c>
      <c r="L1356" t="s">
        <v>3911</v>
      </c>
      <c r="M1356" s="37">
        <v>1</v>
      </c>
      <c r="N1356" s="37">
        <v>0.1</v>
      </c>
      <c r="O1356">
        <v>1</v>
      </c>
      <c r="P1356" s="37">
        <v>0.493</v>
      </c>
      <c r="Q1356">
        <v>0.49</v>
      </c>
      <c r="R1356">
        <v>0</v>
      </c>
      <c r="S1356">
        <v>0</v>
      </c>
      <c r="T1356">
        <v>6000</v>
      </c>
      <c r="U1356" t="s">
        <v>3350</v>
      </c>
      <c r="Z1356" s="37">
        <v>0.01</v>
      </c>
      <c r="AA1356" s="37">
        <v>0.35</v>
      </c>
      <c r="AB1356">
        <v>0</v>
      </c>
    </row>
    <row r="1357">
      <c r="A1357" t="s">
        <v>3908</v>
      </c>
      <c r="B1357" t="s">
        <v>3672</v>
      </c>
      <c r="C1357" t="s">
        <v>3672</v>
      </c>
      <c r="D1357" t="s">
        <v>359</v>
      </c>
      <c r="E1357" t="s">
        <v>3909</v>
      </c>
      <c r="F1357" t="s">
        <v>298</v>
      </c>
      <c r="G1357" t="s">
        <v>3886</v>
      </c>
      <c r="H1357" t="s">
        <v>3887</v>
      </c>
      <c r="I1357" t="s">
        <v>3912</v>
      </c>
      <c r="L1357" t="s">
        <v>3913</v>
      </c>
      <c r="M1357" s="37">
        <v>0.3</v>
      </c>
      <c r="N1357" s="37">
        <v>0.6</v>
      </c>
      <c r="O1357">
        <v>0.3</v>
      </c>
      <c r="P1357" s="37">
        <v>0.493</v>
      </c>
      <c r="Q1357">
        <v>0.49</v>
      </c>
      <c r="R1357">
        <v>0</v>
      </c>
      <c r="S1357">
        <v>0</v>
      </c>
      <c r="T1357">
        <v>6000</v>
      </c>
      <c r="U1357" t="s">
        <v>3350</v>
      </c>
      <c r="Z1357" s="37">
        <v>0.01</v>
      </c>
      <c r="AA1357" s="37">
        <v>0.35</v>
      </c>
      <c r="AB1357">
        <v>0</v>
      </c>
    </row>
    <row r="1358">
      <c r="A1358" t="s">
        <v>3908</v>
      </c>
      <c r="B1358" t="s">
        <v>3672</v>
      </c>
      <c r="C1358" t="s">
        <v>3672</v>
      </c>
      <c r="D1358" t="s">
        <v>359</v>
      </c>
      <c r="E1358" t="s">
        <v>3909</v>
      </c>
      <c r="F1358" t="s">
        <v>298</v>
      </c>
      <c r="G1358" t="s">
        <v>3886</v>
      </c>
      <c r="H1358" t="s">
        <v>3890</v>
      </c>
      <c r="I1358" t="s">
        <v>3914</v>
      </c>
      <c r="J1358" t="s">
        <v>3217</v>
      </c>
      <c r="K1358" t="s">
        <v>3915</v>
      </c>
      <c r="L1358" t="s">
        <v>3916</v>
      </c>
      <c r="M1358" s="37">
        <v>0.71</v>
      </c>
      <c r="N1358" s="37">
        <v>0.3</v>
      </c>
      <c r="O1358">
        <v>0.71</v>
      </c>
      <c r="P1358" s="37">
        <v>0.493</v>
      </c>
      <c r="Q1358">
        <v>0.49</v>
      </c>
      <c r="R1358">
        <v>0</v>
      </c>
      <c r="S1358">
        <v>0</v>
      </c>
      <c r="T1358">
        <v>6000</v>
      </c>
      <c r="U1358" t="s">
        <v>3350</v>
      </c>
      <c r="Z1358" s="37">
        <v>0.01</v>
      </c>
      <c r="AA1358" s="37">
        <v>0.35</v>
      </c>
      <c r="AB1358">
        <v>0</v>
      </c>
    </row>
    <row r="1359">
      <c r="A1359" t="s">
        <v>3917</v>
      </c>
      <c r="B1359" t="s">
        <v>3672</v>
      </c>
      <c r="C1359" t="s">
        <v>3672</v>
      </c>
      <c r="D1359" t="s">
        <v>2699</v>
      </c>
      <c r="E1359" t="s">
        <v>3918</v>
      </c>
      <c r="F1359" t="s">
        <v>298</v>
      </c>
      <c r="G1359" t="s">
        <v>3886</v>
      </c>
      <c r="H1359" t="s">
        <v>3905</v>
      </c>
      <c r="I1359" t="s">
        <v>3919</v>
      </c>
      <c r="J1359" t="s">
        <v>3920</v>
      </c>
      <c r="K1359" t="s">
        <v>3921</v>
      </c>
      <c r="M1359" s="37">
        <v>1.8045</v>
      </c>
      <c r="N1359" s="37">
        <v>0.4</v>
      </c>
      <c r="O1359">
        <v>1.5</v>
      </c>
      <c r="P1359" s="37">
        <v>1.39165</v>
      </c>
      <c r="Q1359">
        <v>1.27</v>
      </c>
      <c r="R1359">
        <v>3810</v>
      </c>
      <c r="S1359">
        <v>3810</v>
      </c>
      <c r="T1359">
        <v>3000</v>
      </c>
      <c r="U1359" t="s">
        <v>3350</v>
      </c>
      <c r="Z1359" s="37">
        <v>0.01</v>
      </c>
      <c r="AA1359" s="37">
        <v>0.35</v>
      </c>
      <c r="AB1359">
        <v>0</v>
      </c>
    </row>
    <row r="1360">
      <c r="A1360" t="s">
        <v>3917</v>
      </c>
      <c r="B1360" t="s">
        <v>3672</v>
      </c>
      <c r="C1360" t="s">
        <v>3672</v>
      </c>
      <c r="D1360" t="s">
        <v>2699</v>
      </c>
      <c r="E1360" t="s">
        <v>3918</v>
      </c>
      <c r="F1360" t="s">
        <v>298</v>
      </c>
      <c r="G1360" t="s">
        <v>3886</v>
      </c>
      <c r="H1360" t="s">
        <v>3899</v>
      </c>
      <c r="I1360" t="s">
        <v>3922</v>
      </c>
      <c r="J1360" t="s">
        <v>1048</v>
      </c>
      <c r="K1360" t="s">
        <v>3923</v>
      </c>
      <c r="M1360" s="37">
        <v>1.271</v>
      </c>
      <c r="N1360" s="37">
        <v>0.35</v>
      </c>
      <c r="O1360">
        <v>1.271</v>
      </c>
      <c r="P1360" s="37">
        <v>1.39165</v>
      </c>
      <c r="Q1360">
        <v>1.27</v>
      </c>
      <c r="R1360">
        <v>3810</v>
      </c>
      <c r="S1360">
        <v>3810</v>
      </c>
      <c r="T1360">
        <v>3000</v>
      </c>
      <c r="U1360" t="s">
        <v>3350</v>
      </c>
      <c r="Z1360" s="37">
        <v>0.01</v>
      </c>
      <c r="AA1360" s="37">
        <v>0.35</v>
      </c>
      <c r="AB1360">
        <v>0</v>
      </c>
    </row>
    <row r="1361">
      <c r="A1361" t="s">
        <v>3917</v>
      </c>
      <c r="B1361" t="s">
        <v>3672</v>
      </c>
      <c r="C1361" t="s">
        <v>3672</v>
      </c>
      <c r="D1361" t="s">
        <v>2699</v>
      </c>
      <c r="E1361" t="s">
        <v>3918</v>
      </c>
      <c r="F1361" t="s">
        <v>298</v>
      </c>
      <c r="G1361" t="s">
        <v>3886</v>
      </c>
      <c r="H1361" t="s">
        <v>3905</v>
      </c>
      <c r="I1361" t="s">
        <v>3924</v>
      </c>
      <c r="J1361" t="s">
        <v>658</v>
      </c>
      <c r="K1361" t="s">
        <v>3925</v>
      </c>
      <c r="M1361" s="37">
        <v>0.9</v>
      </c>
      <c r="N1361" s="37">
        <v>0.25</v>
      </c>
      <c r="O1361">
        <v>0.9</v>
      </c>
      <c r="P1361" s="37">
        <v>1.39165</v>
      </c>
      <c r="Q1361">
        <v>1.27</v>
      </c>
      <c r="R1361">
        <v>3810</v>
      </c>
      <c r="S1361">
        <v>3810</v>
      </c>
      <c r="T1361">
        <v>3000</v>
      </c>
      <c r="U1361" t="s">
        <v>3350</v>
      </c>
      <c r="Z1361" s="37">
        <v>0.01</v>
      </c>
      <c r="AA1361" s="37">
        <v>0.35</v>
      </c>
      <c r="AB1361">
        <v>0</v>
      </c>
    </row>
    <row r="1362">
      <c r="A1362" t="s">
        <v>3926</v>
      </c>
      <c r="B1362" t="s">
        <v>3672</v>
      </c>
      <c r="C1362" t="s">
        <v>3672</v>
      </c>
      <c r="D1362" t="s">
        <v>3927</v>
      </c>
      <c r="E1362" t="s">
        <v>3928</v>
      </c>
      <c r="F1362" t="s">
        <v>298</v>
      </c>
      <c r="G1362" t="s">
        <v>3929</v>
      </c>
      <c r="H1362" t="s">
        <v>3930</v>
      </c>
      <c r="I1362" t="s">
        <v>3931</v>
      </c>
      <c r="L1362" t="s">
        <v>3932</v>
      </c>
      <c r="M1362" s="37">
        <v>0.3</v>
      </c>
      <c r="N1362" s="37">
        <v>0.3</v>
      </c>
      <c r="O1362">
        <v>1</v>
      </c>
      <c r="P1362" s="37">
        <v>0.28</v>
      </c>
      <c r="Q1362">
        <v>1</v>
      </c>
      <c r="R1362">
        <v>2000</v>
      </c>
      <c r="S1362">
        <v>2000</v>
      </c>
      <c r="T1362">
        <v>2000</v>
      </c>
      <c r="U1362" t="s">
        <v>3350</v>
      </c>
      <c r="Z1362" s="37">
        <v>0.01</v>
      </c>
      <c r="AA1362" s="37">
        <v>0.35</v>
      </c>
      <c r="AB1362">
        <v>0</v>
      </c>
    </row>
    <row r="1363">
      <c r="A1363" t="s">
        <v>3926</v>
      </c>
      <c r="B1363" t="s">
        <v>3672</v>
      </c>
      <c r="C1363" t="s">
        <v>3672</v>
      </c>
      <c r="D1363" t="s">
        <v>3927</v>
      </c>
      <c r="E1363" t="s">
        <v>3928</v>
      </c>
      <c r="F1363" t="s">
        <v>298</v>
      </c>
      <c r="G1363" t="s">
        <v>3929</v>
      </c>
      <c r="H1363" t="s">
        <v>3933</v>
      </c>
      <c r="I1363" t="s">
        <v>3934</v>
      </c>
      <c r="L1363" t="s">
        <v>3935</v>
      </c>
      <c r="M1363" s="37">
        <v>0.3</v>
      </c>
      <c r="N1363" s="37">
        <v>0.3</v>
      </c>
      <c r="O1363">
        <v>1</v>
      </c>
      <c r="P1363" s="37">
        <v>0.28</v>
      </c>
      <c r="Q1363">
        <v>1</v>
      </c>
      <c r="R1363">
        <v>2000</v>
      </c>
      <c r="S1363">
        <v>2000</v>
      </c>
      <c r="T1363">
        <v>2000</v>
      </c>
      <c r="U1363" t="s">
        <v>3350</v>
      </c>
      <c r="Z1363" s="37">
        <v>0.01</v>
      </c>
      <c r="AA1363" s="37">
        <v>0.35</v>
      </c>
      <c r="AB1363">
        <v>0</v>
      </c>
    </row>
    <row r="1364">
      <c r="A1364" t="s">
        <v>3926</v>
      </c>
      <c r="B1364" t="s">
        <v>3672</v>
      </c>
      <c r="C1364" t="s">
        <v>3672</v>
      </c>
      <c r="D1364" t="s">
        <v>3927</v>
      </c>
      <c r="E1364" t="s">
        <v>3928</v>
      </c>
      <c r="F1364" t="s">
        <v>298</v>
      </c>
      <c r="G1364" t="s">
        <v>3929</v>
      </c>
      <c r="H1364" t="s">
        <v>3936</v>
      </c>
      <c r="I1364" t="s">
        <v>3937</v>
      </c>
      <c r="L1364" t="s">
        <v>3938</v>
      </c>
      <c r="M1364" s="37">
        <v>0.3</v>
      </c>
      <c r="N1364" s="37">
        <v>0.3</v>
      </c>
      <c r="O1364">
        <v>1</v>
      </c>
      <c r="P1364" s="37">
        <v>0.28</v>
      </c>
      <c r="Q1364">
        <v>1</v>
      </c>
      <c r="R1364">
        <v>2000</v>
      </c>
      <c r="S1364">
        <v>2000</v>
      </c>
      <c r="T1364">
        <v>2000</v>
      </c>
      <c r="U1364" t="s">
        <v>3350</v>
      </c>
      <c r="Z1364" s="37">
        <v>0.01</v>
      </c>
      <c r="AA1364" s="37">
        <v>0.35</v>
      </c>
      <c r="AB1364">
        <v>0</v>
      </c>
    </row>
    <row r="1365">
      <c r="A1365" t="s">
        <v>3926</v>
      </c>
      <c r="B1365" t="s">
        <v>3672</v>
      </c>
      <c r="C1365" t="s">
        <v>3672</v>
      </c>
      <c r="D1365" t="s">
        <v>3927</v>
      </c>
      <c r="E1365" t="s">
        <v>3928</v>
      </c>
      <c r="F1365" t="s">
        <v>298</v>
      </c>
      <c r="G1365" t="s">
        <v>3929</v>
      </c>
      <c r="H1365" t="s">
        <v>3894</v>
      </c>
      <c r="I1365" t="s">
        <v>3939</v>
      </c>
      <c r="L1365" t="s">
        <v>3940</v>
      </c>
      <c r="M1365" s="37">
        <v>0.1</v>
      </c>
      <c r="N1365" s="37">
        <v>0.1</v>
      </c>
      <c r="O1365">
        <v>1</v>
      </c>
      <c r="P1365" s="37">
        <v>0.28</v>
      </c>
      <c r="Q1365">
        <v>1</v>
      </c>
      <c r="R1365">
        <v>2000</v>
      </c>
      <c r="S1365">
        <v>2000</v>
      </c>
      <c r="T1365">
        <v>2000</v>
      </c>
      <c r="U1365" t="s">
        <v>3350</v>
      </c>
      <c r="Z1365" s="37">
        <v>0.01</v>
      </c>
      <c r="AA1365" s="37">
        <v>0.35</v>
      </c>
      <c r="AB1365">
        <v>0</v>
      </c>
    </row>
    <row r="1366">
      <c r="A1366" t="s">
        <v>3941</v>
      </c>
      <c r="B1366" t="s">
        <v>3337</v>
      </c>
      <c r="C1366" t="s">
        <v>3337</v>
      </c>
      <c r="D1366" t="s">
        <v>359</v>
      </c>
      <c r="E1366" t="s">
        <v>3942</v>
      </c>
      <c r="F1366" t="s">
        <v>298</v>
      </c>
      <c r="G1366" t="s">
        <v>3943</v>
      </c>
      <c r="H1366" t="s">
        <v>3944</v>
      </c>
      <c r="I1366" t="s">
        <v>3945</v>
      </c>
      <c r="K1366">
        <v>1</v>
      </c>
      <c r="L1366" t="s">
        <v>3940</v>
      </c>
      <c r="M1366" s="37">
        <v>1</v>
      </c>
      <c r="N1366" s="37">
        <v>0.1</v>
      </c>
      <c r="O1366">
        <v>1</v>
      </c>
      <c r="P1366" s="37">
        <v>0.93</v>
      </c>
      <c r="Q1366">
        <v>0.93</v>
      </c>
      <c r="R1366">
        <v>4130.43</v>
      </c>
      <c r="S1366">
        <v>4130.43</v>
      </c>
      <c r="T1366">
        <v>5000</v>
      </c>
      <c r="U1366" t="s">
        <v>3350</v>
      </c>
      <c r="Z1366" s="37">
        <v>0.01</v>
      </c>
      <c r="AA1366" s="37">
        <v>0.35</v>
      </c>
      <c r="AB1366">
        <v>0</v>
      </c>
    </row>
    <row r="1367">
      <c r="A1367" t="s">
        <v>3941</v>
      </c>
      <c r="B1367" t="s">
        <v>3337</v>
      </c>
      <c r="C1367" t="s">
        <v>3337</v>
      </c>
      <c r="D1367" t="s">
        <v>359</v>
      </c>
      <c r="E1367" t="s">
        <v>3942</v>
      </c>
      <c r="F1367" t="s">
        <v>298</v>
      </c>
      <c r="G1367" t="s">
        <v>3943</v>
      </c>
      <c r="H1367" t="s">
        <v>3946</v>
      </c>
      <c r="I1367" t="s">
        <v>3947</v>
      </c>
      <c r="K1367">
        <v>1</v>
      </c>
      <c r="L1367" t="s">
        <v>3940</v>
      </c>
      <c r="M1367" s="37">
        <v>1</v>
      </c>
      <c r="N1367" s="37">
        <v>0.2</v>
      </c>
      <c r="O1367">
        <v>1</v>
      </c>
      <c r="P1367" s="37">
        <v>0.93</v>
      </c>
      <c r="Q1367">
        <v>0.93</v>
      </c>
      <c r="R1367">
        <v>4130.43</v>
      </c>
      <c r="S1367">
        <v>4130.43</v>
      </c>
      <c r="T1367">
        <v>5000</v>
      </c>
      <c r="U1367" t="s">
        <v>3350</v>
      </c>
      <c r="Z1367" s="37">
        <v>0.01</v>
      </c>
      <c r="AA1367" s="37">
        <v>0.35</v>
      </c>
      <c r="AB1367">
        <v>0</v>
      </c>
    </row>
    <row r="1368">
      <c r="A1368" t="s">
        <v>3941</v>
      </c>
      <c r="B1368" t="s">
        <v>3337</v>
      </c>
      <c r="C1368" t="s">
        <v>3337</v>
      </c>
      <c r="D1368" t="s">
        <v>359</v>
      </c>
      <c r="E1368" t="s">
        <v>3942</v>
      </c>
      <c r="F1368" t="s">
        <v>298</v>
      </c>
      <c r="G1368" t="s">
        <v>3943</v>
      </c>
      <c r="H1368" t="s">
        <v>3946</v>
      </c>
      <c r="I1368" t="s">
        <v>3948</v>
      </c>
      <c r="K1368">
        <v>0.8</v>
      </c>
      <c r="L1368" t="s">
        <v>3940</v>
      </c>
      <c r="M1368" s="37">
        <v>0.8</v>
      </c>
      <c r="N1368" s="37">
        <v>0.2</v>
      </c>
      <c r="O1368">
        <v>0.8</v>
      </c>
      <c r="P1368" s="37">
        <v>0.93</v>
      </c>
      <c r="Q1368">
        <v>0.93</v>
      </c>
      <c r="R1368">
        <v>4130.43</v>
      </c>
      <c r="S1368">
        <v>4130.43</v>
      </c>
      <c r="T1368">
        <v>5000</v>
      </c>
      <c r="U1368" t="s">
        <v>3350</v>
      </c>
      <c r="Z1368" s="37">
        <v>0.01</v>
      </c>
      <c r="AA1368" s="37">
        <v>0.35</v>
      </c>
      <c r="AB1368">
        <v>0</v>
      </c>
    </row>
    <row r="1369">
      <c r="A1369" t="s">
        <v>3941</v>
      </c>
      <c r="B1369" t="s">
        <v>3337</v>
      </c>
      <c r="C1369" t="s">
        <v>3337</v>
      </c>
      <c r="D1369" t="s">
        <v>359</v>
      </c>
      <c r="E1369" t="s">
        <v>3942</v>
      </c>
      <c r="F1369" t="s">
        <v>298</v>
      </c>
      <c r="G1369" t="s">
        <v>3943</v>
      </c>
      <c r="H1369" t="s">
        <v>3946</v>
      </c>
      <c r="I1369" t="s">
        <v>3949</v>
      </c>
      <c r="K1369">
        <v>0.8</v>
      </c>
      <c r="L1369" t="s">
        <v>3940</v>
      </c>
      <c r="M1369" s="37">
        <v>0.8</v>
      </c>
      <c r="N1369" s="37">
        <v>0.1</v>
      </c>
      <c r="O1369">
        <v>0.8</v>
      </c>
      <c r="P1369" s="37">
        <v>0.93</v>
      </c>
      <c r="Q1369">
        <v>0.93</v>
      </c>
      <c r="R1369">
        <v>4130.43</v>
      </c>
      <c r="S1369">
        <v>4130.43</v>
      </c>
      <c r="T1369">
        <v>5000</v>
      </c>
      <c r="U1369" t="s">
        <v>3350</v>
      </c>
      <c r="Z1369" s="37">
        <v>0.01</v>
      </c>
      <c r="AA1369" s="37">
        <v>0.35</v>
      </c>
      <c r="AB1369">
        <v>0</v>
      </c>
    </row>
    <row r="1370">
      <c r="A1370" t="s">
        <v>3941</v>
      </c>
      <c r="B1370" t="s">
        <v>3337</v>
      </c>
      <c r="C1370" t="s">
        <v>3337</v>
      </c>
      <c r="D1370" t="s">
        <v>359</v>
      </c>
      <c r="E1370" t="s">
        <v>3942</v>
      </c>
      <c r="F1370" t="s">
        <v>298</v>
      </c>
      <c r="G1370" t="s">
        <v>3943</v>
      </c>
      <c r="H1370" t="s">
        <v>3946</v>
      </c>
      <c r="I1370" t="s">
        <v>3950</v>
      </c>
      <c r="K1370">
        <v>0.8</v>
      </c>
      <c r="L1370" t="s">
        <v>3940</v>
      </c>
      <c r="M1370" s="37">
        <v>0.8</v>
      </c>
      <c r="N1370" s="37">
        <v>0.15</v>
      </c>
      <c r="O1370">
        <v>0.8</v>
      </c>
      <c r="P1370" s="37">
        <v>0.93</v>
      </c>
      <c r="Q1370">
        <v>0.93</v>
      </c>
      <c r="R1370">
        <v>4130.43</v>
      </c>
      <c r="S1370">
        <v>4130.43</v>
      </c>
      <c r="T1370">
        <v>5000</v>
      </c>
      <c r="U1370" t="s">
        <v>3350</v>
      </c>
      <c r="Z1370" s="37">
        <v>0.01</v>
      </c>
      <c r="AA1370" s="37">
        <v>0.35</v>
      </c>
      <c r="AB1370">
        <v>0</v>
      </c>
    </row>
    <row r="1371">
      <c r="A1371" t="s">
        <v>3941</v>
      </c>
      <c r="B1371" t="s">
        <v>3337</v>
      </c>
      <c r="C1371" t="s">
        <v>3337</v>
      </c>
      <c r="D1371" t="s">
        <v>359</v>
      </c>
      <c r="E1371" t="s">
        <v>3942</v>
      </c>
      <c r="F1371" t="s">
        <v>298</v>
      </c>
      <c r="G1371" t="s">
        <v>3943</v>
      </c>
      <c r="H1371" t="s">
        <v>3946</v>
      </c>
      <c r="I1371" t="s">
        <v>3951</v>
      </c>
      <c r="K1371">
        <v>0.8</v>
      </c>
      <c r="L1371" t="s">
        <v>3940</v>
      </c>
      <c r="M1371" s="37">
        <v>0.8</v>
      </c>
      <c r="N1371" s="37">
        <v>0.15</v>
      </c>
      <c r="O1371">
        <v>0.8</v>
      </c>
      <c r="P1371" s="37">
        <v>0.93</v>
      </c>
      <c r="Q1371">
        <v>0.93</v>
      </c>
      <c r="R1371">
        <v>4130.43</v>
      </c>
      <c r="S1371">
        <v>4130.43</v>
      </c>
      <c r="T1371">
        <v>5000</v>
      </c>
      <c r="U1371" t="s">
        <v>3350</v>
      </c>
      <c r="Z1371" s="37">
        <v>0.01</v>
      </c>
      <c r="AA1371" s="37">
        <v>0.35</v>
      </c>
      <c r="AB1371">
        <v>0</v>
      </c>
    </row>
    <row r="1372">
      <c r="A1372" t="s">
        <v>3941</v>
      </c>
      <c r="B1372" t="s">
        <v>3337</v>
      </c>
      <c r="C1372" t="s">
        <v>3337</v>
      </c>
      <c r="D1372" t="s">
        <v>359</v>
      </c>
      <c r="E1372" t="s">
        <v>3942</v>
      </c>
      <c r="F1372" t="s">
        <v>298</v>
      </c>
      <c r="G1372" t="s">
        <v>3943</v>
      </c>
      <c r="H1372" t="s">
        <v>3946</v>
      </c>
      <c r="I1372" t="s">
        <v>3355</v>
      </c>
      <c r="K1372">
        <v>1.5</v>
      </c>
      <c r="L1372" t="s">
        <v>3940</v>
      </c>
      <c r="M1372" s="37">
        <v>1.5</v>
      </c>
      <c r="N1372" s="37">
        <v>0.1</v>
      </c>
      <c r="O1372">
        <v>1.5</v>
      </c>
      <c r="P1372" s="37">
        <v>0.93</v>
      </c>
      <c r="Q1372">
        <v>0.93</v>
      </c>
      <c r="R1372">
        <v>4130.43</v>
      </c>
      <c r="S1372">
        <v>4130.43</v>
      </c>
      <c r="T1372">
        <v>5000</v>
      </c>
      <c r="U1372" t="s">
        <v>3350</v>
      </c>
      <c r="Z1372" s="37">
        <v>0.01</v>
      </c>
      <c r="AA1372" s="37">
        <v>0.35</v>
      </c>
      <c r="AB1372">
        <v>0</v>
      </c>
    </row>
    <row r="1373">
      <c r="A1373" t="s">
        <v>3952</v>
      </c>
      <c r="B1373" t="s">
        <v>3337</v>
      </c>
      <c r="C1373" t="s">
        <v>3337</v>
      </c>
      <c r="D1373" t="s">
        <v>3953</v>
      </c>
      <c r="E1373" t="s">
        <v>3954</v>
      </c>
      <c r="F1373" t="s">
        <v>298</v>
      </c>
      <c r="G1373" t="s">
        <v>3943</v>
      </c>
      <c r="H1373" t="s">
        <v>3944</v>
      </c>
      <c r="I1373" t="s">
        <v>3945</v>
      </c>
      <c r="K1373">
        <v>1</v>
      </c>
      <c r="M1373" s="37">
        <v>1</v>
      </c>
      <c r="N1373" s="37">
        <v>0.1</v>
      </c>
      <c r="O1373">
        <v>1</v>
      </c>
      <c r="P1373" s="37">
        <v>0.98</v>
      </c>
      <c r="Q1373">
        <v>0.98</v>
      </c>
      <c r="R1373">
        <v>3717.39</v>
      </c>
      <c r="S1373">
        <v>3717.39</v>
      </c>
      <c r="T1373">
        <v>3000</v>
      </c>
      <c r="U1373" t="s">
        <v>3350</v>
      </c>
      <c r="Z1373" s="37">
        <v>0.01</v>
      </c>
      <c r="AA1373" s="37">
        <v>0.35</v>
      </c>
      <c r="AB1373">
        <v>0</v>
      </c>
    </row>
    <row r="1374">
      <c r="A1374" t="s">
        <v>3952</v>
      </c>
      <c r="B1374" t="s">
        <v>3337</v>
      </c>
      <c r="C1374" t="s">
        <v>3337</v>
      </c>
      <c r="D1374" t="s">
        <v>3953</v>
      </c>
      <c r="E1374" t="s">
        <v>3954</v>
      </c>
      <c r="F1374" t="s">
        <v>298</v>
      </c>
      <c r="G1374" t="s">
        <v>3943</v>
      </c>
      <c r="H1374" t="s">
        <v>3946</v>
      </c>
      <c r="I1374" t="s">
        <v>3955</v>
      </c>
      <c r="K1374">
        <v>1</v>
      </c>
      <c r="L1374" t="s">
        <v>3956</v>
      </c>
      <c r="M1374" s="37">
        <v>1</v>
      </c>
      <c r="N1374" s="37">
        <v>0.2</v>
      </c>
      <c r="O1374">
        <v>1</v>
      </c>
      <c r="P1374" s="37">
        <v>0.98</v>
      </c>
      <c r="Q1374">
        <v>0.98</v>
      </c>
      <c r="R1374">
        <v>3717.39</v>
      </c>
      <c r="S1374">
        <v>3717.39</v>
      </c>
      <c r="T1374">
        <v>3000</v>
      </c>
      <c r="U1374" t="s">
        <v>3350</v>
      </c>
      <c r="Z1374" s="37">
        <v>0.01</v>
      </c>
      <c r="AA1374" s="37">
        <v>0.35</v>
      </c>
      <c r="AB1374">
        <v>0</v>
      </c>
    </row>
    <row r="1375">
      <c r="A1375" t="s">
        <v>3952</v>
      </c>
      <c r="B1375" t="s">
        <v>3337</v>
      </c>
      <c r="C1375" t="s">
        <v>3337</v>
      </c>
      <c r="D1375" t="s">
        <v>3953</v>
      </c>
      <c r="E1375" t="s">
        <v>3954</v>
      </c>
      <c r="F1375" t="s">
        <v>298</v>
      </c>
      <c r="G1375" t="s">
        <v>3943</v>
      </c>
      <c r="H1375" t="s">
        <v>3946</v>
      </c>
      <c r="I1375" t="s">
        <v>3957</v>
      </c>
      <c r="K1375">
        <v>0.8</v>
      </c>
      <c r="L1375" t="s">
        <v>3958</v>
      </c>
      <c r="M1375" s="37">
        <v>0.8</v>
      </c>
      <c r="N1375" s="37">
        <v>0.2</v>
      </c>
      <c r="O1375">
        <v>0.8</v>
      </c>
      <c r="P1375" s="37">
        <v>0.98</v>
      </c>
      <c r="Q1375">
        <v>0.98</v>
      </c>
      <c r="R1375">
        <v>3717.39</v>
      </c>
      <c r="S1375">
        <v>3717.39</v>
      </c>
      <c r="T1375">
        <v>3000</v>
      </c>
      <c r="U1375" t="s">
        <v>3350</v>
      </c>
      <c r="Z1375" s="37">
        <v>0.01</v>
      </c>
      <c r="AA1375" s="37">
        <v>0.35</v>
      </c>
      <c r="AB1375">
        <v>0</v>
      </c>
    </row>
    <row r="1376">
      <c r="A1376" t="s">
        <v>3952</v>
      </c>
      <c r="B1376" t="s">
        <v>3337</v>
      </c>
      <c r="C1376" t="s">
        <v>3337</v>
      </c>
      <c r="D1376" t="s">
        <v>3953</v>
      </c>
      <c r="E1376" t="s">
        <v>3954</v>
      </c>
      <c r="F1376" t="s">
        <v>298</v>
      </c>
      <c r="G1376" t="s">
        <v>3943</v>
      </c>
      <c r="H1376" t="s">
        <v>3946</v>
      </c>
      <c r="I1376" t="s">
        <v>3959</v>
      </c>
      <c r="K1376">
        <v>0.8</v>
      </c>
      <c r="L1376" t="s">
        <v>3960</v>
      </c>
      <c r="M1376" s="37">
        <v>0.8</v>
      </c>
      <c r="N1376" s="37">
        <v>0.15</v>
      </c>
      <c r="O1376">
        <v>0.8</v>
      </c>
      <c r="P1376" s="37">
        <v>0.98</v>
      </c>
      <c r="Q1376">
        <v>0.98</v>
      </c>
      <c r="R1376">
        <v>3717.39</v>
      </c>
      <c r="S1376">
        <v>3717.39</v>
      </c>
      <c r="T1376">
        <v>3000</v>
      </c>
      <c r="U1376" t="s">
        <v>3350</v>
      </c>
      <c r="Z1376" s="37">
        <v>0.01</v>
      </c>
      <c r="AA1376" s="37">
        <v>0.35</v>
      </c>
      <c r="AB1376">
        <v>0</v>
      </c>
    </row>
    <row r="1377">
      <c r="A1377" t="s">
        <v>3952</v>
      </c>
      <c r="B1377" t="s">
        <v>3337</v>
      </c>
      <c r="C1377" t="s">
        <v>3337</v>
      </c>
      <c r="D1377" t="s">
        <v>3953</v>
      </c>
      <c r="E1377" t="s">
        <v>3954</v>
      </c>
      <c r="F1377" t="s">
        <v>298</v>
      </c>
      <c r="G1377" t="s">
        <v>3943</v>
      </c>
      <c r="H1377" t="s">
        <v>3946</v>
      </c>
      <c r="I1377" t="s">
        <v>3961</v>
      </c>
      <c r="K1377">
        <v>1</v>
      </c>
      <c r="L1377" t="s">
        <v>3962</v>
      </c>
      <c r="M1377" s="37">
        <v>1</v>
      </c>
      <c r="N1377" s="37">
        <v>0.15</v>
      </c>
      <c r="O1377">
        <v>1</v>
      </c>
      <c r="P1377" s="37">
        <v>0.98</v>
      </c>
      <c r="Q1377">
        <v>0.98</v>
      </c>
      <c r="R1377">
        <v>3717.39</v>
      </c>
      <c r="S1377">
        <v>3717.39</v>
      </c>
      <c r="T1377">
        <v>3000</v>
      </c>
      <c r="U1377" t="s">
        <v>3350</v>
      </c>
      <c r="Z1377" s="37">
        <v>0.01</v>
      </c>
      <c r="AA1377" s="37">
        <v>0.35</v>
      </c>
      <c r="AB1377">
        <v>0</v>
      </c>
    </row>
    <row r="1378">
      <c r="A1378" t="s">
        <v>3952</v>
      </c>
      <c r="B1378" t="s">
        <v>3337</v>
      </c>
      <c r="C1378" t="s">
        <v>3337</v>
      </c>
      <c r="D1378" t="s">
        <v>3953</v>
      </c>
      <c r="E1378" t="s">
        <v>3954</v>
      </c>
      <c r="F1378" t="s">
        <v>298</v>
      </c>
      <c r="G1378" t="s">
        <v>3943</v>
      </c>
      <c r="H1378" t="s">
        <v>3946</v>
      </c>
      <c r="I1378" t="s">
        <v>3963</v>
      </c>
      <c r="K1378">
        <v>1</v>
      </c>
      <c r="L1378" t="s">
        <v>3964</v>
      </c>
      <c r="M1378" s="37">
        <v>1</v>
      </c>
      <c r="N1378" s="37">
        <v>0.1</v>
      </c>
      <c r="O1378">
        <v>1</v>
      </c>
      <c r="P1378" s="37">
        <v>0.98</v>
      </c>
      <c r="Q1378">
        <v>0.98</v>
      </c>
      <c r="R1378">
        <v>3717.39</v>
      </c>
      <c r="S1378">
        <v>3717.39</v>
      </c>
      <c r="T1378">
        <v>3000</v>
      </c>
      <c r="U1378" t="s">
        <v>3350</v>
      </c>
      <c r="Z1378" s="37">
        <v>0.01</v>
      </c>
      <c r="AA1378" s="37">
        <v>0.35</v>
      </c>
      <c r="AB1378">
        <v>0</v>
      </c>
    </row>
    <row r="1379">
      <c r="A1379" t="s">
        <v>3952</v>
      </c>
      <c r="B1379" t="s">
        <v>3337</v>
      </c>
      <c r="C1379" t="s">
        <v>3337</v>
      </c>
      <c r="D1379" t="s">
        <v>3953</v>
      </c>
      <c r="E1379" t="s">
        <v>3954</v>
      </c>
      <c r="F1379" t="s">
        <v>298</v>
      </c>
      <c r="G1379" t="s">
        <v>3943</v>
      </c>
      <c r="H1379" t="s">
        <v>3946</v>
      </c>
      <c r="I1379" t="s">
        <v>3965</v>
      </c>
      <c r="K1379">
        <v>1.5</v>
      </c>
      <c r="L1379" t="s">
        <v>3964</v>
      </c>
      <c r="M1379" s="37">
        <v>1.5</v>
      </c>
      <c r="N1379" s="37">
        <v>0.1</v>
      </c>
      <c r="O1379">
        <v>1.5</v>
      </c>
      <c r="P1379" s="37">
        <v>0.98</v>
      </c>
      <c r="Q1379">
        <v>0.98</v>
      </c>
      <c r="R1379">
        <v>3717.39</v>
      </c>
      <c r="S1379">
        <v>3717.39</v>
      </c>
      <c r="T1379">
        <v>3000</v>
      </c>
      <c r="U1379" t="s">
        <v>3350</v>
      </c>
      <c r="Z1379" s="37">
        <v>0.01</v>
      </c>
      <c r="AA1379" s="37">
        <v>0.35</v>
      </c>
      <c r="AB1379">
        <v>0</v>
      </c>
    </row>
    <row r="1380">
      <c r="A1380" t="s">
        <v>3966</v>
      </c>
      <c r="B1380" t="s">
        <v>3337</v>
      </c>
      <c r="C1380" t="s">
        <v>3337</v>
      </c>
      <c r="D1380" t="s">
        <v>3953</v>
      </c>
      <c r="E1380" t="s">
        <v>3967</v>
      </c>
      <c r="F1380" t="s">
        <v>298</v>
      </c>
      <c r="G1380" t="s">
        <v>3943</v>
      </c>
      <c r="H1380" t="s">
        <v>3944</v>
      </c>
      <c r="I1380" t="s">
        <v>3944</v>
      </c>
      <c r="K1380">
        <v>0.1</v>
      </c>
      <c r="L1380" t="s">
        <v>3964</v>
      </c>
      <c r="M1380" s="37">
        <v>1</v>
      </c>
      <c r="N1380" s="37">
        <v>0.1</v>
      </c>
      <c r="O1380">
        <v>1</v>
      </c>
      <c r="P1380" s="37">
        <v>0.955</v>
      </c>
      <c r="Q1380">
        <v>0.96</v>
      </c>
      <c r="R1380">
        <v>3407.61</v>
      </c>
      <c r="S1380">
        <v>3407.61</v>
      </c>
      <c r="T1380">
        <v>3000</v>
      </c>
      <c r="U1380" t="s">
        <v>3350</v>
      </c>
      <c r="Z1380" s="37">
        <v>0.01</v>
      </c>
      <c r="AA1380" s="37">
        <v>0.35</v>
      </c>
      <c r="AB1380">
        <v>0</v>
      </c>
    </row>
    <row r="1381">
      <c r="A1381" t="s">
        <v>3966</v>
      </c>
      <c r="B1381" t="s">
        <v>3337</v>
      </c>
      <c r="C1381" t="s">
        <v>3337</v>
      </c>
      <c r="D1381" t="s">
        <v>3953</v>
      </c>
      <c r="E1381" t="s">
        <v>3967</v>
      </c>
      <c r="F1381" t="s">
        <v>298</v>
      </c>
      <c r="G1381" t="s">
        <v>3943</v>
      </c>
      <c r="H1381" t="s">
        <v>3946</v>
      </c>
      <c r="I1381" t="s">
        <v>3968</v>
      </c>
      <c r="K1381">
        <v>0.25</v>
      </c>
      <c r="L1381" t="s">
        <v>3964</v>
      </c>
      <c r="M1381" s="37">
        <v>1</v>
      </c>
      <c r="N1381" s="37">
        <v>0.25</v>
      </c>
      <c r="O1381">
        <v>1</v>
      </c>
      <c r="P1381" s="37">
        <v>0.955</v>
      </c>
      <c r="Q1381">
        <v>0.96</v>
      </c>
      <c r="R1381">
        <v>3407.61</v>
      </c>
      <c r="S1381">
        <v>3407.61</v>
      </c>
      <c r="T1381">
        <v>3000</v>
      </c>
      <c r="U1381" t="s">
        <v>3350</v>
      </c>
      <c r="Z1381" s="37">
        <v>0.01</v>
      </c>
      <c r="AA1381" s="37">
        <v>0.35</v>
      </c>
      <c r="AB1381">
        <v>0</v>
      </c>
    </row>
    <row r="1382">
      <c r="A1382" t="s">
        <v>3966</v>
      </c>
      <c r="B1382" t="s">
        <v>3337</v>
      </c>
      <c r="C1382" t="s">
        <v>3337</v>
      </c>
      <c r="D1382" t="s">
        <v>3953</v>
      </c>
      <c r="E1382" t="s">
        <v>3967</v>
      </c>
      <c r="F1382" t="s">
        <v>298</v>
      </c>
      <c r="G1382" t="s">
        <v>3943</v>
      </c>
      <c r="H1382" t="s">
        <v>3946</v>
      </c>
      <c r="I1382" t="s">
        <v>3969</v>
      </c>
      <c r="K1382">
        <v>0.175</v>
      </c>
      <c r="L1382" t="s">
        <v>3964</v>
      </c>
      <c r="M1382" s="37">
        <v>0.7</v>
      </c>
      <c r="N1382" s="37">
        <v>0.25</v>
      </c>
      <c r="O1382">
        <v>0.7</v>
      </c>
      <c r="P1382" s="37">
        <v>0.955</v>
      </c>
      <c r="Q1382">
        <v>0.96</v>
      </c>
      <c r="R1382">
        <v>3407.61</v>
      </c>
      <c r="S1382">
        <v>3407.61</v>
      </c>
      <c r="T1382">
        <v>3000</v>
      </c>
      <c r="U1382" t="s">
        <v>3350</v>
      </c>
      <c r="Z1382" s="37">
        <v>0.01</v>
      </c>
      <c r="AA1382" s="37">
        <v>0.35</v>
      </c>
      <c r="AB1382">
        <v>0</v>
      </c>
    </row>
    <row r="1383">
      <c r="A1383" t="s">
        <v>3966</v>
      </c>
      <c r="B1383" t="s">
        <v>3337</v>
      </c>
      <c r="C1383" t="s">
        <v>3337</v>
      </c>
      <c r="D1383" t="s">
        <v>3953</v>
      </c>
      <c r="E1383" t="s">
        <v>3967</v>
      </c>
      <c r="F1383" t="s">
        <v>298</v>
      </c>
      <c r="G1383" t="s">
        <v>3943</v>
      </c>
      <c r="H1383" t="s">
        <v>3946</v>
      </c>
      <c r="I1383" t="s">
        <v>3970</v>
      </c>
      <c r="K1383">
        <v>0.1</v>
      </c>
      <c r="L1383" t="s">
        <v>3964</v>
      </c>
      <c r="M1383" s="37">
        <v>1</v>
      </c>
      <c r="N1383" s="37">
        <v>0.1</v>
      </c>
      <c r="O1383">
        <v>1</v>
      </c>
      <c r="P1383" s="37">
        <v>0.955</v>
      </c>
      <c r="Q1383">
        <v>0.96</v>
      </c>
      <c r="R1383">
        <v>3407.61</v>
      </c>
      <c r="S1383">
        <v>3407.61</v>
      </c>
      <c r="T1383">
        <v>3000</v>
      </c>
      <c r="U1383" t="s">
        <v>3350</v>
      </c>
      <c r="Z1383" s="37">
        <v>0.01</v>
      </c>
      <c r="AA1383" s="37">
        <v>0.35</v>
      </c>
      <c r="AB1383">
        <v>0</v>
      </c>
    </row>
    <row r="1384">
      <c r="A1384" t="s">
        <v>3966</v>
      </c>
      <c r="B1384" t="s">
        <v>3337</v>
      </c>
      <c r="C1384" t="s">
        <v>3337</v>
      </c>
      <c r="D1384" t="s">
        <v>3953</v>
      </c>
      <c r="E1384" t="s">
        <v>3967</v>
      </c>
      <c r="F1384" t="s">
        <v>298</v>
      </c>
      <c r="G1384" t="s">
        <v>3943</v>
      </c>
      <c r="H1384" t="s">
        <v>3946</v>
      </c>
      <c r="I1384" t="s">
        <v>3971</v>
      </c>
      <c r="K1384">
        <v>0.1</v>
      </c>
      <c r="L1384" t="s">
        <v>3964</v>
      </c>
      <c r="M1384" s="37">
        <v>1</v>
      </c>
      <c r="N1384" s="37">
        <v>0.1</v>
      </c>
      <c r="O1384">
        <v>1</v>
      </c>
      <c r="P1384" s="37">
        <v>0.955</v>
      </c>
      <c r="Q1384">
        <v>0.96</v>
      </c>
      <c r="R1384">
        <v>3407.61</v>
      </c>
      <c r="S1384">
        <v>3407.61</v>
      </c>
      <c r="T1384">
        <v>3000</v>
      </c>
      <c r="U1384" t="s">
        <v>3350</v>
      </c>
      <c r="Z1384" s="37">
        <v>0.01</v>
      </c>
      <c r="AA1384" s="37">
        <v>0.35</v>
      </c>
      <c r="AB1384">
        <v>0</v>
      </c>
    </row>
    <row r="1385">
      <c r="A1385" t="s">
        <v>3966</v>
      </c>
      <c r="B1385" t="s">
        <v>3337</v>
      </c>
      <c r="C1385" t="s">
        <v>3337</v>
      </c>
      <c r="D1385" t="s">
        <v>3953</v>
      </c>
      <c r="E1385" t="s">
        <v>3967</v>
      </c>
      <c r="F1385" t="s">
        <v>298</v>
      </c>
      <c r="G1385" t="s">
        <v>3943</v>
      </c>
      <c r="H1385" t="s">
        <v>3946</v>
      </c>
      <c r="I1385" t="s">
        <v>3972</v>
      </c>
      <c r="K1385">
        <v>0.08</v>
      </c>
      <c r="L1385" t="s">
        <v>3964</v>
      </c>
      <c r="M1385" s="37">
        <v>0.8</v>
      </c>
      <c r="N1385" s="37">
        <v>0.1</v>
      </c>
      <c r="O1385">
        <v>0.8</v>
      </c>
      <c r="P1385" s="37">
        <v>0.955</v>
      </c>
      <c r="Q1385">
        <v>0.96</v>
      </c>
      <c r="R1385">
        <v>3407.61</v>
      </c>
      <c r="S1385">
        <v>3407.61</v>
      </c>
      <c r="T1385">
        <v>3000</v>
      </c>
      <c r="U1385" t="s">
        <v>3350</v>
      </c>
      <c r="Z1385" s="37">
        <v>0.01</v>
      </c>
      <c r="AA1385" s="37">
        <v>0.35</v>
      </c>
      <c r="AB1385">
        <v>0</v>
      </c>
    </row>
    <row r="1386">
      <c r="A1386" t="s">
        <v>3966</v>
      </c>
      <c r="B1386" t="s">
        <v>3337</v>
      </c>
      <c r="C1386" t="s">
        <v>3337</v>
      </c>
      <c r="D1386" t="s">
        <v>3953</v>
      </c>
      <c r="E1386" t="s">
        <v>3967</v>
      </c>
      <c r="F1386" t="s">
        <v>298</v>
      </c>
      <c r="G1386" t="s">
        <v>3943</v>
      </c>
      <c r="H1386" t="s">
        <v>3946</v>
      </c>
      <c r="I1386" t="s">
        <v>3355</v>
      </c>
      <c r="K1386">
        <v>1.5</v>
      </c>
      <c r="L1386" t="s">
        <v>3964</v>
      </c>
      <c r="M1386" s="37">
        <v>1.5</v>
      </c>
      <c r="N1386" s="37">
        <v>0.1</v>
      </c>
      <c r="O1386">
        <v>1.5</v>
      </c>
      <c r="P1386" s="37">
        <v>0.955</v>
      </c>
      <c r="Q1386">
        <v>0.96</v>
      </c>
      <c r="R1386">
        <v>3407.61</v>
      </c>
      <c r="S1386">
        <v>3407.61</v>
      </c>
      <c r="T1386">
        <v>3000</v>
      </c>
      <c r="U1386" t="s">
        <v>3350</v>
      </c>
      <c r="Z1386" s="37">
        <v>0.01</v>
      </c>
      <c r="AA1386" s="37">
        <v>0.35</v>
      </c>
      <c r="AB1386">
        <v>0</v>
      </c>
    </row>
    <row r="1387">
      <c r="A1387" t="s">
        <v>3973</v>
      </c>
      <c r="B1387" t="s">
        <v>3337</v>
      </c>
      <c r="C1387" t="s">
        <v>3337</v>
      </c>
      <c r="D1387" t="s">
        <v>3953</v>
      </c>
      <c r="E1387" t="s">
        <v>3974</v>
      </c>
      <c r="F1387" t="s">
        <v>298</v>
      </c>
      <c r="G1387" t="s">
        <v>3943</v>
      </c>
      <c r="H1387" t="s">
        <v>3944</v>
      </c>
      <c r="I1387" t="s">
        <v>3945</v>
      </c>
      <c r="K1387">
        <v>1</v>
      </c>
      <c r="L1387" t="s">
        <v>3964</v>
      </c>
      <c r="M1387" s="37">
        <v>1</v>
      </c>
      <c r="N1387" s="37">
        <v>0.1</v>
      </c>
      <c r="O1387">
        <v>1</v>
      </c>
      <c r="P1387" s="37">
        <v>0.9525</v>
      </c>
      <c r="Q1387">
        <v>0.95</v>
      </c>
      <c r="R1387">
        <v>3097.83</v>
      </c>
      <c r="S1387">
        <v>3097.83</v>
      </c>
      <c r="T1387">
        <v>3000</v>
      </c>
      <c r="U1387" t="s">
        <v>3350</v>
      </c>
      <c r="Z1387" s="37">
        <v>0.01</v>
      </c>
      <c r="AA1387" s="37">
        <v>0.35</v>
      </c>
      <c r="AB1387">
        <v>0</v>
      </c>
    </row>
    <row r="1388">
      <c r="A1388" t="s">
        <v>3973</v>
      </c>
      <c r="B1388" t="s">
        <v>3337</v>
      </c>
      <c r="C1388" t="s">
        <v>3337</v>
      </c>
      <c r="D1388" t="s">
        <v>3953</v>
      </c>
      <c r="E1388" t="s">
        <v>3974</v>
      </c>
      <c r="F1388" t="s">
        <v>298</v>
      </c>
      <c r="G1388" t="s">
        <v>3943</v>
      </c>
      <c r="H1388" t="s">
        <v>3946</v>
      </c>
      <c r="I1388" t="s">
        <v>3975</v>
      </c>
      <c r="K1388">
        <v>0.9</v>
      </c>
      <c r="L1388" t="s">
        <v>3976</v>
      </c>
      <c r="M1388" s="37">
        <v>0.9</v>
      </c>
      <c r="N1388" s="37">
        <v>0.25</v>
      </c>
      <c r="O1388">
        <v>0.9</v>
      </c>
      <c r="P1388" s="37">
        <v>0.9525</v>
      </c>
      <c r="Q1388">
        <v>0.95</v>
      </c>
      <c r="R1388">
        <v>3097.83</v>
      </c>
      <c r="S1388">
        <v>3097.83</v>
      </c>
      <c r="T1388">
        <v>3000</v>
      </c>
      <c r="U1388" t="s">
        <v>3350</v>
      </c>
      <c r="Z1388" s="37">
        <v>0.01</v>
      </c>
      <c r="AA1388" s="37">
        <v>0.35</v>
      </c>
      <c r="AB1388">
        <v>0</v>
      </c>
    </row>
    <row r="1389">
      <c r="A1389" t="s">
        <v>3973</v>
      </c>
      <c r="B1389" t="s">
        <v>3337</v>
      </c>
      <c r="C1389" t="s">
        <v>3337</v>
      </c>
      <c r="D1389" t="s">
        <v>3953</v>
      </c>
      <c r="E1389" t="s">
        <v>3974</v>
      </c>
      <c r="F1389" t="s">
        <v>298</v>
      </c>
      <c r="G1389" t="s">
        <v>3943</v>
      </c>
      <c r="H1389" t="s">
        <v>3946</v>
      </c>
      <c r="I1389" t="s">
        <v>3977</v>
      </c>
      <c r="K1389">
        <v>0.8</v>
      </c>
      <c r="L1389" t="s">
        <v>3978</v>
      </c>
      <c r="M1389" s="37">
        <v>0.8</v>
      </c>
      <c r="N1389" s="37">
        <v>0.2</v>
      </c>
      <c r="O1389">
        <v>0.8</v>
      </c>
      <c r="P1389" s="37">
        <v>0.9525</v>
      </c>
      <c r="Q1389">
        <v>0.95</v>
      </c>
      <c r="R1389">
        <v>3097.83</v>
      </c>
      <c r="S1389">
        <v>3097.83</v>
      </c>
      <c r="T1389">
        <v>3000</v>
      </c>
      <c r="U1389" t="s">
        <v>3350</v>
      </c>
      <c r="Z1389" s="37">
        <v>0.01</v>
      </c>
      <c r="AA1389" s="37">
        <v>0.35</v>
      </c>
      <c r="AB1389">
        <v>0</v>
      </c>
    </row>
    <row r="1390">
      <c r="A1390" t="s">
        <v>3973</v>
      </c>
      <c r="B1390" t="s">
        <v>3337</v>
      </c>
      <c r="C1390" t="s">
        <v>3337</v>
      </c>
      <c r="D1390" t="s">
        <v>3953</v>
      </c>
      <c r="E1390" t="s">
        <v>3974</v>
      </c>
      <c r="F1390" t="s">
        <v>298</v>
      </c>
      <c r="G1390" t="s">
        <v>3943</v>
      </c>
      <c r="H1390" t="s">
        <v>3946</v>
      </c>
      <c r="I1390" t="s">
        <v>3979</v>
      </c>
      <c r="K1390">
        <v>1</v>
      </c>
      <c r="L1390" t="s">
        <v>3980</v>
      </c>
      <c r="M1390" s="37">
        <v>1</v>
      </c>
      <c r="N1390" s="37">
        <v>0.15</v>
      </c>
      <c r="O1390">
        <v>1</v>
      </c>
      <c r="P1390" s="37">
        <v>0.9525</v>
      </c>
      <c r="Q1390">
        <v>0.95</v>
      </c>
      <c r="R1390">
        <v>3097.83</v>
      </c>
      <c r="S1390">
        <v>3097.83</v>
      </c>
      <c r="T1390">
        <v>3000</v>
      </c>
      <c r="U1390" t="s">
        <v>3350</v>
      </c>
      <c r="Z1390" s="37">
        <v>0.01</v>
      </c>
      <c r="AA1390" s="37">
        <v>0.35</v>
      </c>
      <c r="AB1390">
        <v>0</v>
      </c>
    </row>
    <row r="1391">
      <c r="A1391" t="s">
        <v>3973</v>
      </c>
      <c r="B1391" t="s">
        <v>3337</v>
      </c>
      <c r="C1391" t="s">
        <v>3337</v>
      </c>
      <c r="D1391" t="s">
        <v>3953</v>
      </c>
      <c r="E1391" t="s">
        <v>3974</v>
      </c>
      <c r="F1391" t="s">
        <v>298</v>
      </c>
      <c r="G1391" t="s">
        <v>3943</v>
      </c>
      <c r="H1391" t="s">
        <v>3946</v>
      </c>
      <c r="I1391" t="s">
        <v>3981</v>
      </c>
      <c r="K1391">
        <v>0.875</v>
      </c>
      <c r="L1391" t="s">
        <v>3982</v>
      </c>
      <c r="M1391" s="37">
        <v>0.875</v>
      </c>
      <c r="N1391" s="37">
        <v>0.1</v>
      </c>
      <c r="O1391">
        <v>0.875</v>
      </c>
      <c r="P1391" s="37">
        <v>0.9525</v>
      </c>
      <c r="Q1391">
        <v>0.95</v>
      </c>
      <c r="R1391">
        <v>3097.83</v>
      </c>
      <c r="S1391">
        <v>3097.83</v>
      </c>
      <c r="T1391">
        <v>3000</v>
      </c>
      <c r="U1391" t="s">
        <v>3350</v>
      </c>
      <c r="Z1391" s="37">
        <v>0.01</v>
      </c>
      <c r="AA1391" s="37">
        <v>0.35</v>
      </c>
      <c r="AB1391">
        <v>0</v>
      </c>
    </row>
    <row r="1392">
      <c r="A1392" t="s">
        <v>3973</v>
      </c>
      <c r="B1392" t="s">
        <v>3337</v>
      </c>
      <c r="C1392" t="s">
        <v>3337</v>
      </c>
      <c r="D1392" t="s">
        <v>3953</v>
      </c>
      <c r="E1392" t="s">
        <v>3974</v>
      </c>
      <c r="F1392" t="s">
        <v>298</v>
      </c>
      <c r="G1392" t="s">
        <v>3943</v>
      </c>
      <c r="H1392" t="s">
        <v>3946</v>
      </c>
      <c r="I1392" t="s">
        <v>3983</v>
      </c>
      <c r="K1392">
        <v>0.8</v>
      </c>
      <c r="L1392" t="s">
        <v>3984</v>
      </c>
      <c r="M1392" s="37">
        <v>0.8</v>
      </c>
      <c r="N1392" s="37">
        <v>0.1</v>
      </c>
      <c r="O1392">
        <v>0.8</v>
      </c>
      <c r="P1392" s="37">
        <v>0.9525</v>
      </c>
      <c r="Q1392">
        <v>0.95</v>
      </c>
      <c r="R1392">
        <v>3097.83</v>
      </c>
      <c r="S1392">
        <v>3097.83</v>
      </c>
      <c r="T1392">
        <v>3000</v>
      </c>
      <c r="U1392" t="s">
        <v>3350</v>
      </c>
      <c r="Z1392" s="37">
        <v>0.01</v>
      </c>
      <c r="AA1392" s="37">
        <v>0.35</v>
      </c>
      <c r="AB1392">
        <v>0</v>
      </c>
    </row>
    <row r="1393">
      <c r="A1393" t="s">
        <v>3973</v>
      </c>
      <c r="B1393" t="s">
        <v>3337</v>
      </c>
      <c r="C1393" t="s">
        <v>3337</v>
      </c>
      <c r="D1393" t="s">
        <v>3953</v>
      </c>
      <c r="E1393" t="s">
        <v>3974</v>
      </c>
      <c r="F1393" t="s">
        <v>298</v>
      </c>
      <c r="G1393" t="s">
        <v>3943</v>
      </c>
      <c r="H1393" t="s">
        <v>3946</v>
      </c>
      <c r="I1393" t="s">
        <v>3985</v>
      </c>
      <c r="K1393">
        <v>1.5</v>
      </c>
      <c r="L1393" t="s">
        <v>3984</v>
      </c>
      <c r="M1393" s="37">
        <v>1.5</v>
      </c>
      <c r="N1393" s="37">
        <v>0.1</v>
      </c>
      <c r="O1393">
        <v>1.5</v>
      </c>
      <c r="P1393" s="37">
        <v>0.9525</v>
      </c>
      <c r="Q1393">
        <v>0.95</v>
      </c>
      <c r="R1393">
        <v>3097.83</v>
      </c>
      <c r="S1393">
        <v>3097.83</v>
      </c>
      <c r="T1393">
        <v>3000</v>
      </c>
      <c r="U1393" t="s">
        <v>3350</v>
      </c>
      <c r="Z1393" s="37">
        <v>0.01</v>
      </c>
      <c r="AA1393" s="37">
        <v>0.35</v>
      </c>
      <c r="AB1393">
        <v>0</v>
      </c>
    </row>
    <row r="1394">
      <c r="A1394" t="s">
        <v>3986</v>
      </c>
      <c r="B1394" t="s">
        <v>3337</v>
      </c>
      <c r="C1394" t="s">
        <v>3337</v>
      </c>
      <c r="D1394" t="s">
        <v>359</v>
      </c>
      <c r="E1394" t="s">
        <v>3987</v>
      </c>
      <c r="F1394" t="s">
        <v>298</v>
      </c>
      <c r="G1394" t="s">
        <v>3943</v>
      </c>
      <c r="H1394" t="s">
        <v>3944</v>
      </c>
      <c r="I1394" t="s">
        <v>3945</v>
      </c>
      <c r="K1394" s="38">
        <v>1</v>
      </c>
      <c r="L1394" t="s">
        <v>3984</v>
      </c>
      <c r="M1394" s="37">
        <v>1</v>
      </c>
      <c r="N1394" s="37">
        <v>0.2</v>
      </c>
      <c r="O1394">
        <v>100</v>
      </c>
      <c r="P1394" s="37">
        <v>0.95</v>
      </c>
      <c r="Q1394">
        <v>0.95</v>
      </c>
      <c r="R1394">
        <v>4646.74</v>
      </c>
      <c r="S1394">
        <v>4646.74</v>
      </c>
      <c r="T1394">
        <v>5000</v>
      </c>
      <c r="U1394" t="s">
        <v>3350</v>
      </c>
      <c r="Z1394" s="37">
        <v>0.01</v>
      </c>
      <c r="AA1394" s="37">
        <v>0.35</v>
      </c>
      <c r="AB1394">
        <v>0</v>
      </c>
    </row>
    <row r="1395">
      <c r="A1395" t="s">
        <v>3986</v>
      </c>
      <c r="B1395" t="s">
        <v>3337</v>
      </c>
      <c r="C1395" t="s">
        <v>3337</v>
      </c>
      <c r="D1395" t="s">
        <v>359</v>
      </c>
      <c r="E1395" t="s">
        <v>3987</v>
      </c>
      <c r="F1395" t="s">
        <v>298</v>
      </c>
      <c r="G1395" t="s">
        <v>3943</v>
      </c>
      <c r="H1395" t="s">
        <v>3946</v>
      </c>
      <c r="I1395" t="s">
        <v>3988</v>
      </c>
      <c r="K1395" s="38">
        <v>0.9</v>
      </c>
      <c r="L1395" t="s">
        <v>3989</v>
      </c>
      <c r="M1395" s="37">
        <v>0.9</v>
      </c>
      <c r="N1395" s="37">
        <v>0.2</v>
      </c>
      <c r="O1395">
        <v>90</v>
      </c>
      <c r="P1395" s="37">
        <v>0.95</v>
      </c>
      <c r="Q1395">
        <v>0.95</v>
      </c>
      <c r="R1395">
        <v>4646.74</v>
      </c>
      <c r="S1395">
        <v>4646.74</v>
      </c>
      <c r="T1395">
        <v>5000</v>
      </c>
      <c r="U1395" t="s">
        <v>3350</v>
      </c>
      <c r="Z1395" s="37">
        <v>0.01</v>
      </c>
      <c r="AA1395" s="37">
        <v>0.35</v>
      </c>
      <c r="AB1395">
        <v>0</v>
      </c>
    </row>
    <row r="1396">
      <c r="A1396" t="s">
        <v>3986</v>
      </c>
      <c r="B1396" t="s">
        <v>3337</v>
      </c>
      <c r="C1396" t="s">
        <v>3337</v>
      </c>
      <c r="D1396" t="s">
        <v>359</v>
      </c>
      <c r="E1396" t="s">
        <v>3987</v>
      </c>
      <c r="F1396" t="s">
        <v>298</v>
      </c>
      <c r="G1396" t="s">
        <v>3943</v>
      </c>
      <c r="H1396" t="s">
        <v>3946</v>
      </c>
      <c r="I1396" t="s">
        <v>3990</v>
      </c>
      <c r="K1396" s="38">
        <v>1</v>
      </c>
      <c r="L1396" t="s">
        <v>3991</v>
      </c>
      <c r="M1396" s="37">
        <v>1</v>
      </c>
      <c r="N1396" s="37">
        <v>0.2</v>
      </c>
      <c r="O1396">
        <v>100</v>
      </c>
      <c r="P1396" s="37">
        <v>0.95</v>
      </c>
      <c r="Q1396">
        <v>0.95</v>
      </c>
      <c r="R1396">
        <v>4646.74</v>
      </c>
      <c r="S1396">
        <v>4646.74</v>
      </c>
      <c r="T1396">
        <v>5000</v>
      </c>
      <c r="U1396" t="s">
        <v>3350</v>
      </c>
      <c r="Z1396" s="37">
        <v>0.01</v>
      </c>
      <c r="AA1396" s="37">
        <v>0.35</v>
      </c>
      <c r="AB1396">
        <v>0</v>
      </c>
    </row>
    <row r="1397">
      <c r="A1397" t="s">
        <v>3986</v>
      </c>
      <c r="B1397" t="s">
        <v>3337</v>
      </c>
      <c r="C1397" t="s">
        <v>3337</v>
      </c>
      <c r="D1397" t="s">
        <v>359</v>
      </c>
      <c r="E1397" t="s">
        <v>3987</v>
      </c>
      <c r="F1397" t="s">
        <v>298</v>
      </c>
      <c r="G1397" t="s">
        <v>3943</v>
      </c>
      <c r="H1397" t="s">
        <v>3946</v>
      </c>
      <c r="I1397" t="s">
        <v>3992</v>
      </c>
      <c r="K1397" s="38">
        <v>0.8</v>
      </c>
      <c r="L1397" t="s">
        <v>3993</v>
      </c>
      <c r="M1397" s="37">
        <v>0.8</v>
      </c>
      <c r="N1397" s="37">
        <v>0.1</v>
      </c>
      <c r="O1397">
        <v>80</v>
      </c>
      <c r="P1397" s="37">
        <v>0.95</v>
      </c>
      <c r="Q1397">
        <v>0.95</v>
      </c>
      <c r="R1397">
        <v>4646.74</v>
      </c>
      <c r="S1397">
        <v>4646.74</v>
      </c>
      <c r="T1397">
        <v>5000</v>
      </c>
      <c r="U1397" t="s">
        <v>3350</v>
      </c>
      <c r="Z1397" s="37">
        <v>0.01</v>
      </c>
      <c r="AA1397" s="37">
        <v>0.35</v>
      </c>
      <c r="AB1397">
        <v>0</v>
      </c>
    </row>
    <row r="1398">
      <c r="A1398" t="s">
        <v>3986</v>
      </c>
      <c r="B1398" t="s">
        <v>3337</v>
      </c>
      <c r="C1398" t="s">
        <v>3337</v>
      </c>
      <c r="D1398" t="s">
        <v>359</v>
      </c>
      <c r="E1398" t="s">
        <v>3987</v>
      </c>
      <c r="F1398" t="s">
        <v>298</v>
      </c>
      <c r="G1398" t="s">
        <v>3943</v>
      </c>
      <c r="H1398" t="s">
        <v>3946</v>
      </c>
      <c r="I1398" t="s">
        <v>3994</v>
      </c>
      <c r="K1398" s="38">
        <v>0.4</v>
      </c>
      <c r="L1398" t="s">
        <v>3995</v>
      </c>
      <c r="M1398" s="37">
        <v>0.4</v>
      </c>
      <c r="N1398" s="37">
        <v>0.1</v>
      </c>
      <c r="O1398">
        <v>40</v>
      </c>
      <c r="P1398" s="37">
        <v>0.95</v>
      </c>
      <c r="Q1398">
        <v>0.95</v>
      </c>
      <c r="R1398">
        <v>4646.74</v>
      </c>
      <c r="S1398">
        <v>4646.74</v>
      </c>
      <c r="T1398">
        <v>5000</v>
      </c>
      <c r="U1398" t="s">
        <v>3350</v>
      </c>
      <c r="Z1398" s="37">
        <v>0.01</v>
      </c>
      <c r="AA1398" s="37">
        <v>0.35</v>
      </c>
      <c r="AB1398">
        <v>0</v>
      </c>
    </row>
    <row r="1399">
      <c r="A1399" t="s">
        <v>3986</v>
      </c>
      <c r="B1399" t="s">
        <v>3337</v>
      </c>
      <c r="C1399" t="s">
        <v>3337</v>
      </c>
      <c r="D1399" t="s">
        <v>359</v>
      </c>
      <c r="E1399" t="s">
        <v>3987</v>
      </c>
      <c r="F1399" t="s">
        <v>298</v>
      </c>
      <c r="G1399" t="s">
        <v>3943</v>
      </c>
      <c r="H1399" t="s">
        <v>3946</v>
      </c>
      <c r="I1399" t="s">
        <v>3996</v>
      </c>
      <c r="K1399" s="38">
        <v>1</v>
      </c>
      <c r="L1399" t="s">
        <v>3995</v>
      </c>
      <c r="M1399" s="37">
        <v>1</v>
      </c>
      <c r="N1399" s="37">
        <v>0.1</v>
      </c>
      <c r="O1399">
        <v>100</v>
      </c>
      <c r="P1399" s="37">
        <v>0.95</v>
      </c>
      <c r="Q1399">
        <v>0.95</v>
      </c>
      <c r="R1399">
        <v>4646.74</v>
      </c>
      <c r="S1399">
        <v>4646.74</v>
      </c>
      <c r="T1399">
        <v>5000</v>
      </c>
      <c r="U1399" t="s">
        <v>3350</v>
      </c>
      <c r="Z1399" s="37">
        <v>0.01</v>
      </c>
      <c r="AA1399" s="37">
        <v>0.35</v>
      </c>
      <c r="AB1399">
        <v>0</v>
      </c>
    </row>
    <row r="1400">
      <c r="A1400" t="s">
        <v>3986</v>
      </c>
      <c r="B1400" t="s">
        <v>3337</v>
      </c>
      <c r="C1400" t="s">
        <v>3337</v>
      </c>
      <c r="D1400" t="s">
        <v>359</v>
      </c>
      <c r="E1400" t="s">
        <v>3987</v>
      </c>
      <c r="F1400" t="s">
        <v>298</v>
      </c>
      <c r="G1400" t="s">
        <v>3943</v>
      </c>
      <c r="H1400" t="s">
        <v>3946</v>
      </c>
      <c r="I1400" t="s">
        <v>3985</v>
      </c>
      <c r="K1400" s="38">
        <v>1.5</v>
      </c>
      <c r="L1400" t="s">
        <v>3995</v>
      </c>
      <c r="M1400" s="37">
        <v>1.5</v>
      </c>
      <c r="N1400" s="37">
        <v>0.1</v>
      </c>
      <c r="O1400">
        <v>150</v>
      </c>
      <c r="P1400" s="37">
        <v>0.95</v>
      </c>
      <c r="Q1400">
        <v>0.95</v>
      </c>
      <c r="R1400">
        <v>4646.74</v>
      </c>
      <c r="S1400">
        <v>4646.74</v>
      </c>
      <c r="T1400">
        <v>5000</v>
      </c>
      <c r="U1400" t="s">
        <v>3350</v>
      </c>
      <c r="Z1400" s="37">
        <v>0.01</v>
      </c>
      <c r="AA1400" s="37">
        <v>0.35</v>
      </c>
      <c r="AB1400">
        <v>0</v>
      </c>
    </row>
    <row r="1401">
      <c r="A1401" t="s">
        <v>3997</v>
      </c>
      <c r="B1401" t="s">
        <v>3337</v>
      </c>
      <c r="C1401" t="s">
        <v>3337</v>
      </c>
      <c r="D1401" t="s">
        <v>359</v>
      </c>
      <c r="E1401" t="s">
        <v>3998</v>
      </c>
      <c r="F1401" t="s">
        <v>298</v>
      </c>
      <c r="G1401" t="s">
        <v>3943</v>
      </c>
      <c r="H1401" t="s">
        <v>3944</v>
      </c>
      <c r="I1401" t="s">
        <v>3945</v>
      </c>
      <c r="K1401" s="38">
        <v>1</v>
      </c>
      <c r="L1401" t="s">
        <v>3995</v>
      </c>
      <c r="M1401" s="37">
        <v>1</v>
      </c>
      <c r="N1401" s="37">
        <v>0.2</v>
      </c>
      <c r="O1401">
        <v>1</v>
      </c>
      <c r="P1401" s="37">
        <v>0.91</v>
      </c>
      <c r="Q1401">
        <v>0.91</v>
      </c>
      <c r="R1401">
        <v>0</v>
      </c>
      <c r="S1401">
        <v>0</v>
      </c>
      <c r="T1401">
        <v>5000</v>
      </c>
      <c r="U1401" t="s">
        <v>3350</v>
      </c>
      <c r="Z1401" s="37">
        <v>0.01</v>
      </c>
      <c r="AA1401" s="37">
        <v>0.35</v>
      </c>
      <c r="AB1401">
        <v>0</v>
      </c>
    </row>
    <row r="1402">
      <c r="A1402" t="s">
        <v>3997</v>
      </c>
      <c r="B1402" t="s">
        <v>3337</v>
      </c>
      <c r="C1402" t="s">
        <v>3337</v>
      </c>
      <c r="D1402" t="s">
        <v>359</v>
      </c>
      <c r="E1402" t="s">
        <v>3998</v>
      </c>
      <c r="F1402" t="s">
        <v>298</v>
      </c>
      <c r="G1402" t="s">
        <v>3943</v>
      </c>
      <c r="H1402" t="s">
        <v>3946</v>
      </c>
      <c r="I1402" t="s">
        <v>3999</v>
      </c>
      <c r="K1402">
        <v>0.8</v>
      </c>
      <c r="L1402" t="s">
        <v>4000</v>
      </c>
      <c r="M1402" s="37">
        <v>0.8</v>
      </c>
      <c r="N1402" s="37">
        <v>0.2</v>
      </c>
      <c r="O1402">
        <v>0.8</v>
      </c>
      <c r="P1402" s="37">
        <v>0.91</v>
      </c>
      <c r="Q1402">
        <v>0.91</v>
      </c>
      <c r="R1402">
        <v>0</v>
      </c>
      <c r="S1402">
        <v>0</v>
      </c>
      <c r="T1402">
        <v>5000</v>
      </c>
      <c r="U1402" t="s">
        <v>3350</v>
      </c>
      <c r="Z1402" s="37">
        <v>0.01</v>
      </c>
      <c r="AA1402" s="37">
        <v>0.35</v>
      </c>
      <c r="AB1402">
        <v>0</v>
      </c>
    </row>
    <row r="1403">
      <c r="A1403" t="s">
        <v>3997</v>
      </c>
      <c r="B1403" t="s">
        <v>3337</v>
      </c>
      <c r="C1403" t="s">
        <v>3337</v>
      </c>
      <c r="D1403" t="s">
        <v>359</v>
      </c>
      <c r="E1403" t="s">
        <v>3998</v>
      </c>
      <c r="F1403" t="s">
        <v>298</v>
      </c>
      <c r="G1403" t="s">
        <v>3943</v>
      </c>
      <c r="H1403" t="s">
        <v>3946</v>
      </c>
      <c r="I1403" t="s">
        <v>4001</v>
      </c>
      <c r="K1403">
        <v>1</v>
      </c>
      <c r="L1403" t="s">
        <v>4002</v>
      </c>
      <c r="M1403" s="37">
        <v>1</v>
      </c>
      <c r="N1403" s="37">
        <v>0.1</v>
      </c>
      <c r="O1403">
        <v>1</v>
      </c>
      <c r="P1403" s="37">
        <v>0.91</v>
      </c>
      <c r="Q1403">
        <v>0.91</v>
      </c>
      <c r="R1403">
        <v>0</v>
      </c>
      <c r="S1403">
        <v>0</v>
      </c>
      <c r="T1403">
        <v>5000</v>
      </c>
      <c r="U1403" t="s">
        <v>3350</v>
      </c>
      <c r="Z1403" s="37">
        <v>0.01</v>
      </c>
      <c r="AA1403" s="37">
        <v>0.35</v>
      </c>
      <c r="AB1403">
        <v>0</v>
      </c>
    </row>
    <row r="1404">
      <c r="A1404" t="s">
        <v>3997</v>
      </c>
      <c r="B1404" t="s">
        <v>3337</v>
      </c>
      <c r="C1404" t="s">
        <v>3337</v>
      </c>
      <c r="D1404" t="s">
        <v>359</v>
      </c>
      <c r="E1404" t="s">
        <v>3998</v>
      </c>
      <c r="F1404" t="s">
        <v>298</v>
      </c>
      <c r="G1404" t="s">
        <v>3943</v>
      </c>
      <c r="H1404" t="s">
        <v>3946</v>
      </c>
      <c r="I1404" t="s">
        <v>4003</v>
      </c>
      <c r="K1404">
        <v>0.8</v>
      </c>
      <c r="L1404" t="s">
        <v>4004</v>
      </c>
      <c r="M1404" s="37">
        <v>0.8</v>
      </c>
      <c r="N1404" s="37">
        <v>0.2</v>
      </c>
      <c r="O1404">
        <v>0.8</v>
      </c>
      <c r="P1404" s="37">
        <v>0.91</v>
      </c>
      <c r="Q1404">
        <v>0.91</v>
      </c>
      <c r="R1404">
        <v>0</v>
      </c>
      <c r="S1404">
        <v>0</v>
      </c>
      <c r="T1404">
        <v>5000</v>
      </c>
      <c r="U1404" t="s">
        <v>3350</v>
      </c>
      <c r="Z1404" s="37">
        <v>0.01</v>
      </c>
      <c r="AA1404" s="37">
        <v>0.35</v>
      </c>
      <c r="AB1404">
        <v>0</v>
      </c>
    </row>
    <row r="1405">
      <c r="A1405" t="s">
        <v>3997</v>
      </c>
      <c r="B1405" t="s">
        <v>3337</v>
      </c>
      <c r="C1405" t="s">
        <v>3337</v>
      </c>
      <c r="D1405" t="s">
        <v>359</v>
      </c>
      <c r="E1405" t="s">
        <v>3998</v>
      </c>
      <c r="F1405" t="s">
        <v>298</v>
      </c>
      <c r="G1405" t="s">
        <v>3943</v>
      </c>
      <c r="H1405" t="s">
        <v>3944</v>
      </c>
      <c r="I1405" t="s">
        <v>4005</v>
      </c>
      <c r="K1405">
        <v>0.6</v>
      </c>
      <c r="L1405" t="s">
        <v>4006</v>
      </c>
      <c r="M1405" s="37">
        <v>0.6</v>
      </c>
      <c r="N1405" s="37">
        <v>0.1</v>
      </c>
      <c r="O1405">
        <v>0.6</v>
      </c>
      <c r="P1405" s="37">
        <v>0.91</v>
      </c>
      <c r="Q1405">
        <v>0.91</v>
      </c>
      <c r="R1405">
        <v>0</v>
      </c>
      <c r="S1405">
        <v>0</v>
      </c>
      <c r="T1405">
        <v>5000</v>
      </c>
      <c r="U1405" t="s">
        <v>3350</v>
      </c>
      <c r="Z1405" s="37">
        <v>0.01</v>
      </c>
      <c r="AA1405" s="37">
        <v>0.35</v>
      </c>
      <c r="AB1405">
        <v>0</v>
      </c>
    </row>
    <row r="1406">
      <c r="A1406" t="s">
        <v>3997</v>
      </c>
      <c r="B1406" t="s">
        <v>3337</v>
      </c>
      <c r="C1406" t="s">
        <v>3337</v>
      </c>
      <c r="D1406" t="s">
        <v>359</v>
      </c>
      <c r="E1406" t="s">
        <v>3998</v>
      </c>
      <c r="F1406" t="s">
        <v>298</v>
      </c>
      <c r="G1406" t="s">
        <v>3943</v>
      </c>
      <c r="H1406" t="s">
        <v>3946</v>
      </c>
      <c r="I1406" t="s">
        <v>4007</v>
      </c>
      <c r="K1406">
        <v>0.8</v>
      </c>
      <c r="L1406" t="s">
        <v>4008</v>
      </c>
      <c r="M1406" s="37">
        <v>0.8</v>
      </c>
      <c r="N1406" s="37">
        <v>0.1</v>
      </c>
      <c r="O1406">
        <v>0.8</v>
      </c>
      <c r="P1406" s="37">
        <v>0.91</v>
      </c>
      <c r="Q1406">
        <v>0.91</v>
      </c>
      <c r="R1406">
        <v>0</v>
      </c>
      <c r="S1406">
        <v>0</v>
      </c>
      <c r="T1406">
        <v>5000</v>
      </c>
      <c r="U1406" t="s">
        <v>3350</v>
      </c>
      <c r="Z1406" s="37">
        <v>0.01</v>
      </c>
      <c r="AA1406" s="37">
        <v>0.35</v>
      </c>
      <c r="AB1406">
        <v>0</v>
      </c>
    </row>
    <row r="1407">
      <c r="A1407" t="s">
        <v>3997</v>
      </c>
      <c r="B1407" t="s">
        <v>3337</v>
      </c>
      <c r="C1407" t="s">
        <v>3337</v>
      </c>
      <c r="D1407" t="s">
        <v>359</v>
      </c>
      <c r="E1407" t="s">
        <v>3998</v>
      </c>
      <c r="F1407" t="s">
        <v>298</v>
      </c>
      <c r="G1407" t="s">
        <v>3943</v>
      </c>
      <c r="H1407" t="s">
        <v>3946</v>
      </c>
      <c r="I1407" t="s">
        <v>4009</v>
      </c>
      <c r="K1407" s="38">
        <v>1.5</v>
      </c>
      <c r="L1407" t="s">
        <v>4008</v>
      </c>
      <c r="M1407" s="37">
        <v>1.5</v>
      </c>
      <c r="N1407" s="37">
        <v>0.1</v>
      </c>
      <c r="O1407">
        <v>1.5</v>
      </c>
      <c r="P1407" s="37">
        <v>0.91</v>
      </c>
      <c r="Q1407">
        <v>0.91</v>
      </c>
      <c r="R1407">
        <v>0</v>
      </c>
      <c r="S1407">
        <v>0</v>
      </c>
      <c r="T1407">
        <v>5000</v>
      </c>
      <c r="U1407" t="s">
        <v>3350</v>
      </c>
      <c r="Z1407" s="37">
        <v>0.01</v>
      </c>
      <c r="AA1407" s="37">
        <v>0.35</v>
      </c>
      <c r="AB1407">
        <v>0</v>
      </c>
    </row>
    <row r="1408">
      <c r="A1408" t="s">
        <v>4010</v>
      </c>
      <c r="B1408" t="s">
        <v>3337</v>
      </c>
      <c r="C1408" t="s">
        <v>3337</v>
      </c>
      <c r="D1408" t="s">
        <v>3953</v>
      </c>
      <c r="E1408" t="s">
        <v>4011</v>
      </c>
      <c r="F1408" t="s">
        <v>298</v>
      </c>
      <c r="G1408" t="s">
        <v>3943</v>
      </c>
      <c r="H1408" t="s">
        <v>3944</v>
      </c>
      <c r="I1408" t="s">
        <v>3945</v>
      </c>
      <c r="K1408">
        <v>1</v>
      </c>
      <c r="L1408" t="s">
        <v>4008</v>
      </c>
      <c r="M1408" s="37">
        <v>1</v>
      </c>
      <c r="N1408" s="37">
        <v>0.2</v>
      </c>
      <c r="O1408">
        <v>1</v>
      </c>
      <c r="P1408" s="37">
        <v>0.99</v>
      </c>
      <c r="Q1408">
        <v>0.99</v>
      </c>
      <c r="R1408">
        <v>0</v>
      </c>
      <c r="S1408">
        <v>0</v>
      </c>
      <c r="T1408">
        <v>3000</v>
      </c>
      <c r="U1408" t="s">
        <v>3350</v>
      </c>
      <c r="Z1408" s="37">
        <v>0.01</v>
      </c>
      <c r="AA1408" s="37">
        <v>0.35</v>
      </c>
      <c r="AB1408">
        <v>0</v>
      </c>
    </row>
    <row r="1409">
      <c r="A1409" t="s">
        <v>4010</v>
      </c>
      <c r="B1409" t="s">
        <v>3337</v>
      </c>
      <c r="C1409" t="s">
        <v>3337</v>
      </c>
      <c r="D1409" t="s">
        <v>3953</v>
      </c>
      <c r="E1409" t="s">
        <v>4011</v>
      </c>
      <c r="F1409" t="s">
        <v>298</v>
      </c>
      <c r="G1409" t="s">
        <v>3943</v>
      </c>
      <c r="H1409" t="s">
        <v>3946</v>
      </c>
      <c r="I1409" t="s">
        <v>4012</v>
      </c>
      <c r="K1409">
        <v>1</v>
      </c>
      <c r="L1409" t="s">
        <v>4013</v>
      </c>
      <c r="M1409" s="37">
        <v>1</v>
      </c>
      <c r="N1409" s="37">
        <v>0.2</v>
      </c>
      <c r="O1409">
        <v>1</v>
      </c>
      <c r="P1409" s="37">
        <v>0.99</v>
      </c>
      <c r="Q1409">
        <v>0.99</v>
      </c>
      <c r="R1409">
        <v>0</v>
      </c>
      <c r="S1409">
        <v>0</v>
      </c>
      <c r="T1409">
        <v>3000</v>
      </c>
      <c r="U1409" t="s">
        <v>3350</v>
      </c>
      <c r="Z1409" s="37">
        <v>0.01</v>
      </c>
      <c r="AA1409" s="37">
        <v>0.35</v>
      </c>
      <c r="AB1409">
        <v>0</v>
      </c>
    </row>
    <row r="1410">
      <c r="A1410" t="s">
        <v>4010</v>
      </c>
      <c r="B1410" t="s">
        <v>3337</v>
      </c>
      <c r="C1410" t="s">
        <v>3337</v>
      </c>
      <c r="D1410" t="s">
        <v>3953</v>
      </c>
      <c r="E1410" t="s">
        <v>4011</v>
      </c>
      <c r="F1410" t="s">
        <v>298</v>
      </c>
      <c r="G1410" t="s">
        <v>3943</v>
      </c>
      <c r="H1410" t="s">
        <v>3946</v>
      </c>
      <c r="I1410" t="s">
        <v>4014</v>
      </c>
      <c r="K1410">
        <v>0.8</v>
      </c>
      <c r="L1410" t="s">
        <v>4015</v>
      </c>
      <c r="M1410" s="37">
        <v>0.8</v>
      </c>
      <c r="N1410" s="37">
        <v>0.2</v>
      </c>
      <c r="O1410">
        <v>0.8</v>
      </c>
      <c r="P1410" s="37">
        <v>0.99</v>
      </c>
      <c r="Q1410">
        <v>0.99</v>
      </c>
      <c r="R1410">
        <v>0</v>
      </c>
      <c r="S1410">
        <v>0</v>
      </c>
      <c r="T1410">
        <v>3000</v>
      </c>
      <c r="U1410" t="s">
        <v>3350</v>
      </c>
      <c r="Z1410" s="37">
        <v>0.01</v>
      </c>
      <c r="AA1410" s="37">
        <v>0.35</v>
      </c>
      <c r="AB1410">
        <v>0</v>
      </c>
    </row>
    <row r="1411">
      <c r="A1411" t="s">
        <v>4010</v>
      </c>
      <c r="B1411" t="s">
        <v>3337</v>
      </c>
      <c r="C1411" t="s">
        <v>3337</v>
      </c>
      <c r="D1411" t="s">
        <v>3953</v>
      </c>
      <c r="E1411" t="s">
        <v>4011</v>
      </c>
      <c r="F1411" t="s">
        <v>298</v>
      </c>
      <c r="G1411" t="s">
        <v>3943</v>
      </c>
      <c r="H1411" t="s">
        <v>3946</v>
      </c>
      <c r="I1411" t="s">
        <v>4016</v>
      </c>
      <c r="K1411">
        <v>0.8</v>
      </c>
      <c r="L1411" t="s">
        <v>4017</v>
      </c>
      <c r="M1411" s="37">
        <v>0.8</v>
      </c>
      <c r="N1411" s="37">
        <v>0.1</v>
      </c>
      <c r="O1411">
        <v>0.8</v>
      </c>
      <c r="P1411" s="37">
        <v>0.99</v>
      </c>
      <c r="Q1411">
        <v>0.99</v>
      </c>
      <c r="R1411">
        <v>0</v>
      </c>
      <c r="S1411">
        <v>0</v>
      </c>
      <c r="T1411">
        <v>3000</v>
      </c>
      <c r="U1411" t="s">
        <v>3350</v>
      </c>
      <c r="Z1411" s="37">
        <v>0.01</v>
      </c>
      <c r="AA1411" s="37">
        <v>0.35</v>
      </c>
      <c r="AB1411">
        <v>0</v>
      </c>
    </row>
    <row r="1412">
      <c r="A1412" t="s">
        <v>4010</v>
      </c>
      <c r="B1412" t="s">
        <v>3337</v>
      </c>
      <c r="C1412" t="s">
        <v>3337</v>
      </c>
      <c r="D1412" t="s">
        <v>3953</v>
      </c>
      <c r="E1412" t="s">
        <v>4011</v>
      </c>
      <c r="F1412" t="s">
        <v>298</v>
      </c>
      <c r="G1412" t="s">
        <v>3943</v>
      </c>
      <c r="H1412" t="s">
        <v>3946</v>
      </c>
      <c r="I1412" t="s">
        <v>4018</v>
      </c>
      <c r="K1412">
        <v>1</v>
      </c>
      <c r="L1412" t="s">
        <v>4019</v>
      </c>
      <c r="M1412" s="37">
        <v>1</v>
      </c>
      <c r="N1412" s="37">
        <v>0.2</v>
      </c>
      <c r="O1412">
        <v>1</v>
      </c>
      <c r="P1412" s="37">
        <v>0.99</v>
      </c>
      <c r="Q1412">
        <v>0.99</v>
      </c>
      <c r="R1412">
        <v>0</v>
      </c>
      <c r="S1412">
        <v>0</v>
      </c>
      <c r="T1412">
        <v>3000</v>
      </c>
      <c r="U1412" t="s">
        <v>3350</v>
      </c>
      <c r="Z1412" s="37">
        <v>0.01</v>
      </c>
      <c r="AA1412" s="37">
        <v>0.35</v>
      </c>
      <c r="AB1412">
        <v>0</v>
      </c>
    </row>
    <row r="1413">
      <c r="A1413" t="s">
        <v>4010</v>
      </c>
      <c r="B1413" t="s">
        <v>3337</v>
      </c>
      <c r="C1413" t="s">
        <v>3337</v>
      </c>
      <c r="D1413" t="s">
        <v>3953</v>
      </c>
      <c r="E1413" t="s">
        <v>4011</v>
      </c>
      <c r="F1413" t="s">
        <v>298</v>
      </c>
      <c r="G1413" t="s">
        <v>3943</v>
      </c>
      <c r="H1413" t="s">
        <v>3946</v>
      </c>
      <c r="I1413" t="s">
        <v>3985</v>
      </c>
      <c r="K1413">
        <v>1.5</v>
      </c>
      <c r="L1413" t="s">
        <v>4019</v>
      </c>
      <c r="M1413" s="37">
        <v>1.5</v>
      </c>
      <c r="N1413" s="37">
        <v>0.1</v>
      </c>
      <c r="O1413">
        <v>1.5</v>
      </c>
      <c r="P1413" s="37">
        <v>0.99</v>
      </c>
      <c r="Q1413">
        <v>0.99</v>
      </c>
      <c r="R1413">
        <v>0</v>
      </c>
      <c r="S1413">
        <v>0</v>
      </c>
      <c r="T1413">
        <v>3000</v>
      </c>
      <c r="U1413" t="s">
        <v>3350</v>
      </c>
      <c r="Z1413" s="37">
        <v>0.01</v>
      </c>
      <c r="AA1413" s="37">
        <v>0.35</v>
      </c>
      <c r="AB1413">
        <v>0</v>
      </c>
    </row>
    <row r="1414">
      <c r="A1414" t="s">
        <v>4010</v>
      </c>
      <c r="B1414" t="s">
        <v>3337</v>
      </c>
      <c r="C1414" t="s">
        <v>3337</v>
      </c>
      <c r="D1414" t="s">
        <v>3953</v>
      </c>
      <c r="E1414" t="s">
        <v>4011</v>
      </c>
      <c r="F1414" t="s">
        <v>298</v>
      </c>
      <c r="G1414" t="s">
        <v>3943</v>
      </c>
      <c r="H1414" t="s">
        <v>3946</v>
      </c>
      <c r="I1414" t="s">
        <v>4020</v>
      </c>
      <c r="K1414">
        <v>0</v>
      </c>
      <c r="L1414" t="s">
        <v>4019</v>
      </c>
      <c r="M1414" s="37">
        <v>0</v>
      </c>
      <c r="N1414" s="37">
        <v>0</v>
      </c>
      <c r="O1414">
        <v>0</v>
      </c>
      <c r="P1414" s="37">
        <v>0.99</v>
      </c>
      <c r="Q1414">
        <v>0.99</v>
      </c>
      <c r="R1414">
        <v>0</v>
      </c>
      <c r="S1414">
        <v>0</v>
      </c>
      <c r="T1414">
        <v>3000</v>
      </c>
      <c r="U1414" t="s">
        <v>3350</v>
      </c>
      <c r="Z1414" s="37">
        <v>0.01</v>
      </c>
      <c r="AA1414" s="37">
        <v>0.35</v>
      </c>
      <c r="AB1414">
        <v>0</v>
      </c>
    </row>
    <row r="1415">
      <c r="A1415" t="s">
        <v>4021</v>
      </c>
      <c r="B1415" t="s">
        <v>3337</v>
      </c>
      <c r="C1415" t="s">
        <v>3337</v>
      </c>
      <c r="D1415" t="s">
        <v>4022</v>
      </c>
      <c r="E1415" t="s">
        <v>4023</v>
      </c>
      <c r="F1415" t="s">
        <v>298</v>
      </c>
      <c r="G1415" t="s">
        <v>4024</v>
      </c>
      <c r="H1415" t="s">
        <v>3944</v>
      </c>
      <c r="I1415" t="s">
        <v>3945</v>
      </c>
      <c r="K1415">
        <v>1</v>
      </c>
      <c r="L1415" t="s">
        <v>4019</v>
      </c>
      <c r="M1415" s="37">
        <v>1</v>
      </c>
      <c r="N1415" s="37">
        <v>0.1</v>
      </c>
      <c r="O1415">
        <v>1</v>
      </c>
      <c r="P1415" s="37">
        <v>0.87</v>
      </c>
      <c r="Q1415">
        <v>0.87</v>
      </c>
      <c r="R1415">
        <v>1200</v>
      </c>
      <c r="S1415">
        <v>1200</v>
      </c>
      <c r="T1415">
        <v>1200</v>
      </c>
      <c r="U1415" t="s">
        <v>3350</v>
      </c>
      <c r="Z1415" s="37">
        <v>0.01</v>
      </c>
      <c r="AA1415" s="37">
        <v>0.35</v>
      </c>
      <c r="AB1415">
        <v>0</v>
      </c>
    </row>
    <row r="1416">
      <c r="A1416" t="s">
        <v>4021</v>
      </c>
      <c r="B1416" t="s">
        <v>3337</v>
      </c>
      <c r="C1416" t="s">
        <v>3337</v>
      </c>
      <c r="D1416" t="s">
        <v>4022</v>
      </c>
      <c r="E1416" t="s">
        <v>4023</v>
      </c>
      <c r="F1416" t="s">
        <v>298</v>
      </c>
      <c r="G1416" t="s">
        <v>4024</v>
      </c>
      <c r="H1416" t="s">
        <v>3946</v>
      </c>
      <c r="I1416" t="s">
        <v>4025</v>
      </c>
      <c r="K1416">
        <v>0.9</v>
      </c>
      <c r="L1416" t="s">
        <v>4026</v>
      </c>
      <c r="M1416" s="37">
        <v>0.9</v>
      </c>
      <c r="N1416" s="37">
        <v>0.3</v>
      </c>
      <c r="O1416">
        <v>0.9</v>
      </c>
      <c r="P1416" s="37">
        <v>0.87</v>
      </c>
      <c r="Q1416">
        <v>0.87</v>
      </c>
      <c r="R1416">
        <v>1200</v>
      </c>
      <c r="S1416">
        <v>1200</v>
      </c>
      <c r="T1416">
        <v>1200</v>
      </c>
      <c r="U1416" t="s">
        <v>3350</v>
      </c>
      <c r="Z1416" s="37">
        <v>0.01</v>
      </c>
      <c r="AA1416" s="37">
        <v>0.35</v>
      </c>
      <c r="AB1416">
        <v>0</v>
      </c>
    </row>
    <row r="1417">
      <c r="A1417" t="s">
        <v>4021</v>
      </c>
      <c r="B1417" t="s">
        <v>3337</v>
      </c>
      <c r="C1417" t="s">
        <v>3337</v>
      </c>
      <c r="D1417" t="s">
        <v>4022</v>
      </c>
      <c r="E1417" t="s">
        <v>4023</v>
      </c>
      <c r="F1417" t="s">
        <v>298</v>
      </c>
      <c r="G1417" t="s">
        <v>4024</v>
      </c>
      <c r="H1417" t="s">
        <v>3946</v>
      </c>
      <c r="I1417" t="s">
        <v>4027</v>
      </c>
      <c r="K1417">
        <v>0.6</v>
      </c>
      <c r="L1417" t="s">
        <v>4028</v>
      </c>
      <c r="M1417" s="37">
        <v>0.6</v>
      </c>
      <c r="N1417" s="37">
        <v>0.2</v>
      </c>
      <c r="O1417">
        <v>0.6</v>
      </c>
      <c r="P1417" s="37">
        <v>0.87</v>
      </c>
      <c r="Q1417">
        <v>0.87</v>
      </c>
      <c r="R1417">
        <v>1200</v>
      </c>
      <c r="S1417">
        <v>1200</v>
      </c>
      <c r="T1417">
        <v>1200</v>
      </c>
      <c r="U1417" t="s">
        <v>3350</v>
      </c>
      <c r="Z1417" s="37">
        <v>0.01</v>
      </c>
      <c r="AA1417" s="37">
        <v>0.35</v>
      </c>
      <c r="AB1417">
        <v>0</v>
      </c>
    </row>
    <row r="1418">
      <c r="A1418" t="s">
        <v>4021</v>
      </c>
      <c r="B1418" t="s">
        <v>3337</v>
      </c>
      <c r="C1418" t="s">
        <v>3337</v>
      </c>
      <c r="D1418" t="s">
        <v>4022</v>
      </c>
      <c r="E1418" t="s">
        <v>4023</v>
      </c>
      <c r="F1418" t="s">
        <v>298</v>
      </c>
      <c r="G1418" t="s">
        <v>4024</v>
      </c>
      <c r="H1418" t="s">
        <v>3946</v>
      </c>
      <c r="I1418" t="s">
        <v>4029</v>
      </c>
      <c r="K1418">
        <v>1</v>
      </c>
      <c r="L1418" t="s">
        <v>4030</v>
      </c>
      <c r="M1418" s="37">
        <v>1</v>
      </c>
      <c r="N1418" s="37">
        <v>0.2</v>
      </c>
      <c r="O1418">
        <v>1</v>
      </c>
      <c r="P1418" s="37">
        <v>0.87</v>
      </c>
      <c r="Q1418">
        <v>0.87</v>
      </c>
      <c r="R1418">
        <v>1200</v>
      </c>
      <c r="S1418">
        <v>1200</v>
      </c>
      <c r="T1418">
        <v>1200</v>
      </c>
      <c r="U1418" t="s">
        <v>3350</v>
      </c>
      <c r="Z1418" s="37">
        <v>0.01</v>
      </c>
      <c r="AA1418" s="37">
        <v>0.35</v>
      </c>
      <c r="AB1418">
        <v>0</v>
      </c>
    </row>
    <row r="1419">
      <c r="A1419" t="s">
        <v>4021</v>
      </c>
      <c r="B1419" t="s">
        <v>3337</v>
      </c>
      <c r="C1419" t="s">
        <v>3337</v>
      </c>
      <c r="D1419" t="s">
        <v>4022</v>
      </c>
      <c r="E1419" t="s">
        <v>4023</v>
      </c>
      <c r="F1419" t="s">
        <v>298</v>
      </c>
      <c r="G1419" t="s">
        <v>4024</v>
      </c>
      <c r="H1419" t="s">
        <v>3946</v>
      </c>
      <c r="I1419" t="s">
        <v>4031</v>
      </c>
      <c r="K1419">
        <v>1</v>
      </c>
      <c r="L1419" t="s">
        <v>4032</v>
      </c>
      <c r="M1419" s="37">
        <v>1</v>
      </c>
      <c r="N1419" s="37">
        <v>0.1</v>
      </c>
      <c r="O1419">
        <v>1</v>
      </c>
      <c r="P1419" s="37">
        <v>0.87</v>
      </c>
      <c r="Q1419">
        <v>0.87</v>
      </c>
      <c r="R1419">
        <v>1200</v>
      </c>
      <c r="S1419">
        <v>1200</v>
      </c>
      <c r="T1419">
        <v>1200</v>
      </c>
      <c r="U1419" t="s">
        <v>3350</v>
      </c>
      <c r="Z1419" s="37">
        <v>0.01</v>
      </c>
      <c r="AA1419" s="37">
        <v>0.35</v>
      </c>
      <c r="AB1419">
        <v>0</v>
      </c>
    </row>
    <row r="1420">
      <c r="A1420" t="s">
        <v>4021</v>
      </c>
      <c r="B1420" t="s">
        <v>3337</v>
      </c>
      <c r="C1420" t="s">
        <v>3337</v>
      </c>
      <c r="D1420" t="s">
        <v>4022</v>
      </c>
      <c r="E1420" t="s">
        <v>4023</v>
      </c>
      <c r="F1420" t="s">
        <v>298</v>
      </c>
      <c r="G1420" t="s">
        <v>4024</v>
      </c>
      <c r="H1420" t="s">
        <v>3946</v>
      </c>
      <c r="I1420" t="s">
        <v>4033</v>
      </c>
      <c r="K1420">
        <v>0.8</v>
      </c>
      <c r="L1420" t="s">
        <v>4034</v>
      </c>
      <c r="M1420" s="37">
        <v>0.8</v>
      </c>
      <c r="N1420" s="37">
        <v>0.1</v>
      </c>
      <c r="O1420">
        <v>0.8</v>
      </c>
      <c r="P1420" s="37">
        <v>0.87</v>
      </c>
      <c r="Q1420">
        <v>0.87</v>
      </c>
      <c r="R1420">
        <v>1200</v>
      </c>
      <c r="S1420">
        <v>1200</v>
      </c>
      <c r="T1420">
        <v>1200</v>
      </c>
      <c r="U1420" t="s">
        <v>3350</v>
      </c>
      <c r="Z1420" s="37">
        <v>0.01</v>
      </c>
      <c r="AA1420" s="37">
        <v>0.35</v>
      </c>
      <c r="AB1420">
        <v>0</v>
      </c>
    </row>
    <row r="1421">
      <c r="A1421" t="s">
        <v>4035</v>
      </c>
      <c r="B1421" t="s">
        <v>3337</v>
      </c>
      <c r="C1421" t="s">
        <v>3337</v>
      </c>
      <c r="D1421" t="s">
        <v>4022</v>
      </c>
      <c r="E1421" t="s">
        <v>4036</v>
      </c>
      <c r="F1421" t="s">
        <v>298</v>
      </c>
      <c r="G1421" t="s">
        <v>4024</v>
      </c>
      <c r="H1421" t="s">
        <v>3944</v>
      </c>
      <c r="I1421" t="s">
        <v>3945</v>
      </c>
      <c r="K1421">
        <v>100</v>
      </c>
      <c r="L1421" t="s">
        <v>4034</v>
      </c>
      <c r="M1421" s="37">
        <v>1</v>
      </c>
      <c r="N1421" s="37">
        <v>0.1</v>
      </c>
      <c r="O1421">
        <v>100</v>
      </c>
      <c r="P1421" s="37">
        <v>0.9</v>
      </c>
      <c r="Q1421">
        <v>0.9</v>
      </c>
      <c r="R1421">
        <v>1440</v>
      </c>
      <c r="S1421">
        <v>1440</v>
      </c>
      <c r="T1421">
        <v>1200</v>
      </c>
      <c r="U1421" t="s">
        <v>3350</v>
      </c>
      <c r="Z1421" s="37">
        <v>0.01</v>
      </c>
      <c r="AA1421" s="37">
        <v>0.35</v>
      </c>
      <c r="AB1421">
        <v>0</v>
      </c>
    </row>
    <row r="1422">
      <c r="A1422" t="s">
        <v>4035</v>
      </c>
      <c r="B1422" t="s">
        <v>3337</v>
      </c>
      <c r="C1422" t="s">
        <v>3337</v>
      </c>
      <c r="D1422" t="s">
        <v>4022</v>
      </c>
      <c r="E1422" t="s">
        <v>4036</v>
      </c>
      <c r="F1422" t="s">
        <v>298</v>
      </c>
      <c r="G1422" t="s">
        <v>4024</v>
      </c>
      <c r="H1422" t="s">
        <v>3946</v>
      </c>
      <c r="I1422" t="s">
        <v>4037</v>
      </c>
      <c r="K1422">
        <v>100</v>
      </c>
      <c r="L1422" t="s">
        <v>4034</v>
      </c>
      <c r="M1422" s="37">
        <v>1</v>
      </c>
      <c r="N1422" s="37">
        <v>0.2</v>
      </c>
      <c r="O1422">
        <v>100</v>
      </c>
      <c r="P1422" s="37">
        <v>0.9</v>
      </c>
      <c r="Q1422">
        <v>0.9</v>
      </c>
      <c r="R1422">
        <v>1440</v>
      </c>
      <c r="S1422">
        <v>1440</v>
      </c>
      <c r="T1422">
        <v>1200</v>
      </c>
      <c r="U1422" t="s">
        <v>3350</v>
      </c>
      <c r="Z1422" s="37">
        <v>0.01</v>
      </c>
      <c r="AA1422" s="37">
        <v>0.35</v>
      </c>
      <c r="AB1422">
        <v>0</v>
      </c>
    </row>
    <row r="1423">
      <c r="A1423" t="s">
        <v>4035</v>
      </c>
      <c r="B1423" t="s">
        <v>3337</v>
      </c>
      <c r="C1423" t="s">
        <v>3337</v>
      </c>
      <c r="D1423" t="s">
        <v>4022</v>
      </c>
      <c r="E1423" t="s">
        <v>4036</v>
      </c>
      <c r="F1423" t="s">
        <v>298</v>
      </c>
      <c r="G1423" t="s">
        <v>4024</v>
      </c>
      <c r="H1423" t="s">
        <v>3946</v>
      </c>
      <c r="I1423" t="s">
        <v>4038</v>
      </c>
      <c r="K1423">
        <v>80</v>
      </c>
      <c r="L1423" t="s">
        <v>4034</v>
      </c>
      <c r="M1423" s="37">
        <v>0.8</v>
      </c>
      <c r="N1423" s="37">
        <v>0.2</v>
      </c>
      <c r="O1423">
        <v>80</v>
      </c>
      <c r="P1423" s="37">
        <v>0.9</v>
      </c>
      <c r="Q1423">
        <v>0.9</v>
      </c>
      <c r="R1423">
        <v>1440</v>
      </c>
      <c r="S1423">
        <v>1440</v>
      </c>
      <c r="T1423">
        <v>1200</v>
      </c>
      <c r="U1423" t="s">
        <v>3350</v>
      </c>
      <c r="Z1423" s="37">
        <v>0.01</v>
      </c>
      <c r="AA1423" s="37">
        <v>0.35</v>
      </c>
      <c r="AB1423">
        <v>0</v>
      </c>
    </row>
    <row r="1424">
      <c r="A1424" t="s">
        <v>4035</v>
      </c>
      <c r="B1424" t="s">
        <v>3337</v>
      </c>
      <c r="C1424" t="s">
        <v>3337</v>
      </c>
      <c r="D1424" t="s">
        <v>4022</v>
      </c>
      <c r="E1424" t="s">
        <v>4036</v>
      </c>
      <c r="F1424" t="s">
        <v>298</v>
      </c>
      <c r="G1424" t="s">
        <v>4024</v>
      </c>
      <c r="H1424" t="s">
        <v>3946</v>
      </c>
      <c r="I1424" t="s">
        <v>4039</v>
      </c>
      <c r="K1424">
        <v>100</v>
      </c>
      <c r="L1424" t="s">
        <v>4034</v>
      </c>
      <c r="M1424" s="37">
        <v>1</v>
      </c>
      <c r="N1424" s="37">
        <v>0.1</v>
      </c>
      <c r="O1424">
        <v>100</v>
      </c>
      <c r="P1424" s="37">
        <v>0.9</v>
      </c>
      <c r="Q1424">
        <v>0.9</v>
      </c>
      <c r="R1424">
        <v>1440</v>
      </c>
      <c r="S1424">
        <v>1440</v>
      </c>
      <c r="T1424">
        <v>1200</v>
      </c>
      <c r="U1424" t="s">
        <v>3350</v>
      </c>
      <c r="Z1424" s="37">
        <v>0.01</v>
      </c>
      <c r="AA1424" s="37">
        <v>0.35</v>
      </c>
      <c r="AB1424">
        <v>0</v>
      </c>
    </row>
    <row r="1425">
      <c r="A1425" t="s">
        <v>4035</v>
      </c>
      <c r="B1425" t="s">
        <v>3337</v>
      </c>
      <c r="C1425" t="s">
        <v>3337</v>
      </c>
      <c r="D1425" t="s">
        <v>4022</v>
      </c>
      <c r="E1425" t="s">
        <v>4036</v>
      </c>
      <c r="F1425" t="s">
        <v>298</v>
      </c>
      <c r="G1425" t="s">
        <v>4024</v>
      </c>
      <c r="H1425" t="s">
        <v>3946</v>
      </c>
      <c r="I1425" t="s">
        <v>4040</v>
      </c>
      <c r="K1425">
        <v>100</v>
      </c>
      <c r="L1425" t="s">
        <v>4034</v>
      </c>
      <c r="M1425" s="37">
        <v>1</v>
      </c>
      <c r="N1425" s="37">
        <v>0.1</v>
      </c>
      <c r="O1425">
        <v>100</v>
      </c>
      <c r="P1425" s="37">
        <v>0.9</v>
      </c>
      <c r="Q1425">
        <v>0.9</v>
      </c>
      <c r="R1425">
        <v>1440</v>
      </c>
      <c r="S1425">
        <v>1440</v>
      </c>
      <c r="T1425">
        <v>1200</v>
      </c>
      <c r="U1425" t="s">
        <v>3350</v>
      </c>
      <c r="Z1425" s="37">
        <v>0.01</v>
      </c>
      <c r="AA1425" s="37">
        <v>0.35</v>
      </c>
      <c r="AB1425">
        <v>0</v>
      </c>
    </row>
    <row r="1426">
      <c r="A1426" t="s">
        <v>4035</v>
      </c>
      <c r="B1426" t="s">
        <v>3337</v>
      </c>
      <c r="C1426" t="s">
        <v>3337</v>
      </c>
      <c r="D1426" t="s">
        <v>4022</v>
      </c>
      <c r="E1426" t="s">
        <v>4036</v>
      </c>
      <c r="F1426" t="s">
        <v>298</v>
      </c>
      <c r="G1426" t="s">
        <v>4024</v>
      </c>
      <c r="H1426" t="s">
        <v>3946</v>
      </c>
      <c r="I1426" t="s">
        <v>4041</v>
      </c>
      <c r="K1426">
        <v>80</v>
      </c>
      <c r="L1426" t="s">
        <v>4034</v>
      </c>
      <c r="M1426" s="37">
        <v>0.8</v>
      </c>
      <c r="N1426" s="37">
        <v>0.15</v>
      </c>
      <c r="O1426">
        <v>80</v>
      </c>
      <c r="P1426" s="37">
        <v>0.9</v>
      </c>
      <c r="Q1426">
        <v>0.9</v>
      </c>
      <c r="R1426">
        <v>1440</v>
      </c>
      <c r="S1426">
        <v>1440</v>
      </c>
      <c r="T1426">
        <v>1200</v>
      </c>
      <c r="U1426" t="s">
        <v>3350</v>
      </c>
      <c r="Z1426" s="37">
        <v>0.01</v>
      </c>
      <c r="AA1426" s="37">
        <v>0.35</v>
      </c>
      <c r="AB1426">
        <v>0</v>
      </c>
    </row>
    <row r="1427">
      <c r="A1427" t="s">
        <v>4035</v>
      </c>
      <c r="B1427" t="s">
        <v>3337</v>
      </c>
      <c r="C1427" t="s">
        <v>3337</v>
      </c>
      <c r="D1427" t="s">
        <v>4022</v>
      </c>
      <c r="E1427" t="s">
        <v>4036</v>
      </c>
      <c r="F1427" t="s">
        <v>298</v>
      </c>
      <c r="G1427" t="s">
        <v>4024</v>
      </c>
      <c r="H1427" t="s">
        <v>3946</v>
      </c>
      <c r="I1427" t="s">
        <v>4042</v>
      </c>
      <c r="K1427">
        <v>80</v>
      </c>
      <c r="L1427" t="s">
        <v>4034</v>
      </c>
      <c r="M1427" s="37">
        <v>0.8</v>
      </c>
      <c r="N1427" s="37">
        <v>0.15</v>
      </c>
      <c r="O1427">
        <v>80</v>
      </c>
      <c r="P1427" s="37">
        <v>0.9</v>
      </c>
      <c r="Q1427">
        <v>0.9</v>
      </c>
      <c r="R1427">
        <v>1440</v>
      </c>
      <c r="S1427">
        <v>1440</v>
      </c>
      <c r="T1427">
        <v>1200</v>
      </c>
      <c r="U1427" t="s">
        <v>3350</v>
      </c>
      <c r="Z1427" s="37">
        <v>0.01</v>
      </c>
      <c r="AA1427" s="37">
        <v>0.35</v>
      </c>
      <c r="AB1427">
        <v>0</v>
      </c>
    </row>
    <row r="1428">
      <c r="A1428" t="s">
        <v>4035</v>
      </c>
      <c r="B1428" t="s">
        <v>3337</v>
      </c>
      <c r="C1428" t="s">
        <v>3337</v>
      </c>
      <c r="D1428" t="s">
        <v>4022</v>
      </c>
      <c r="E1428" t="s">
        <v>4036</v>
      </c>
      <c r="F1428" t="s">
        <v>298</v>
      </c>
      <c r="G1428" t="s">
        <v>4024</v>
      </c>
      <c r="H1428" t="s">
        <v>3946</v>
      </c>
      <c r="I1428" t="s">
        <v>4043</v>
      </c>
      <c r="K1428">
        <v>0</v>
      </c>
      <c r="L1428" t="s">
        <v>4034</v>
      </c>
      <c r="M1428" s="37">
        <v>0</v>
      </c>
      <c r="N1428" s="37">
        <v>0</v>
      </c>
      <c r="O1428">
        <v>0</v>
      </c>
      <c r="P1428" s="37">
        <v>0.9</v>
      </c>
      <c r="Q1428">
        <v>0.9</v>
      </c>
      <c r="R1428">
        <v>1440</v>
      </c>
      <c r="S1428">
        <v>1440</v>
      </c>
      <c r="T1428">
        <v>1200</v>
      </c>
      <c r="U1428" t="s">
        <v>3350</v>
      </c>
      <c r="Z1428" s="37">
        <v>0.01</v>
      </c>
      <c r="AA1428" s="37">
        <v>0.35</v>
      </c>
      <c r="AB1428">
        <v>0</v>
      </c>
    </row>
    <row r="1429">
      <c r="A1429" t="s">
        <v>4044</v>
      </c>
      <c r="B1429" t="s">
        <v>3337</v>
      </c>
      <c r="C1429" t="s">
        <v>3337</v>
      </c>
      <c r="D1429" t="s">
        <v>4022</v>
      </c>
      <c r="E1429" t="s">
        <v>4045</v>
      </c>
      <c r="F1429" t="s">
        <v>298</v>
      </c>
      <c r="G1429" t="s">
        <v>4024</v>
      </c>
      <c r="H1429" t="s">
        <v>3944</v>
      </c>
      <c r="I1429" t="s">
        <v>4046</v>
      </c>
      <c r="K1429">
        <v>1</v>
      </c>
      <c r="L1429" t="s">
        <v>4047</v>
      </c>
      <c r="M1429" s="37">
        <v>1</v>
      </c>
      <c r="N1429" s="37">
        <v>0.1</v>
      </c>
      <c r="O1429">
        <v>0.1</v>
      </c>
      <c r="P1429" s="37">
        <v>0.85</v>
      </c>
      <c r="Q1429">
        <v>0.17</v>
      </c>
      <c r="R1429">
        <v>960</v>
      </c>
      <c r="S1429">
        <v>960</v>
      </c>
      <c r="T1429">
        <v>1200</v>
      </c>
      <c r="U1429" t="s">
        <v>3350</v>
      </c>
      <c r="Z1429" s="37">
        <v>0.01</v>
      </c>
      <c r="AA1429" s="37">
        <v>0.35</v>
      </c>
      <c r="AB1429">
        <v>0</v>
      </c>
    </row>
    <row r="1430">
      <c r="A1430" t="s">
        <v>4044</v>
      </c>
      <c r="B1430" t="s">
        <v>3337</v>
      </c>
      <c r="C1430" t="s">
        <v>3337</v>
      </c>
      <c r="D1430" t="s">
        <v>4022</v>
      </c>
      <c r="E1430" t="s">
        <v>4045</v>
      </c>
      <c r="F1430" t="s">
        <v>298</v>
      </c>
      <c r="G1430" t="s">
        <v>4024</v>
      </c>
      <c r="H1430" t="s">
        <v>3946</v>
      </c>
      <c r="I1430" t="s">
        <v>4048</v>
      </c>
      <c r="K1430">
        <v>1</v>
      </c>
      <c r="L1430" t="s">
        <v>4049</v>
      </c>
      <c r="M1430" s="37">
        <v>1</v>
      </c>
      <c r="N1430" s="37">
        <v>0.1</v>
      </c>
      <c r="O1430">
        <v>0.1</v>
      </c>
      <c r="P1430" s="37">
        <v>0.85</v>
      </c>
      <c r="Q1430">
        <v>0.17</v>
      </c>
      <c r="R1430">
        <v>960</v>
      </c>
      <c r="S1430">
        <v>960</v>
      </c>
      <c r="T1430">
        <v>1200</v>
      </c>
      <c r="U1430" t="s">
        <v>3350</v>
      </c>
      <c r="Z1430" s="37">
        <v>0.01</v>
      </c>
      <c r="AA1430" s="37">
        <v>0.35</v>
      </c>
      <c r="AB1430">
        <v>0</v>
      </c>
    </row>
    <row r="1431">
      <c r="A1431" t="s">
        <v>4044</v>
      </c>
      <c r="B1431" t="s">
        <v>3337</v>
      </c>
      <c r="C1431" t="s">
        <v>3337</v>
      </c>
      <c r="D1431" t="s">
        <v>4022</v>
      </c>
      <c r="E1431" t="s">
        <v>4045</v>
      </c>
      <c r="F1431" t="s">
        <v>298</v>
      </c>
      <c r="G1431" t="s">
        <v>4024</v>
      </c>
      <c r="H1431" t="s">
        <v>3946</v>
      </c>
      <c r="I1431" t="s">
        <v>4050</v>
      </c>
      <c r="K1431">
        <v>0.8</v>
      </c>
      <c r="L1431" t="s">
        <v>4051</v>
      </c>
      <c r="M1431" s="37">
        <v>0.8</v>
      </c>
      <c r="N1431" s="37">
        <v>0.35</v>
      </c>
      <c r="O1431">
        <v>0.28</v>
      </c>
      <c r="P1431" s="37">
        <v>0.85</v>
      </c>
      <c r="Q1431">
        <v>0.17</v>
      </c>
      <c r="R1431">
        <v>960</v>
      </c>
      <c r="S1431">
        <v>960</v>
      </c>
      <c r="T1431">
        <v>1200</v>
      </c>
      <c r="U1431" t="s">
        <v>3350</v>
      </c>
      <c r="Z1431" s="37">
        <v>0.01</v>
      </c>
      <c r="AA1431" s="37">
        <v>0.35</v>
      </c>
      <c r="AB1431">
        <v>0</v>
      </c>
    </row>
    <row r="1432">
      <c r="A1432" t="s">
        <v>4044</v>
      </c>
      <c r="B1432" t="s">
        <v>3337</v>
      </c>
      <c r="C1432" t="s">
        <v>3337</v>
      </c>
      <c r="D1432" t="s">
        <v>4022</v>
      </c>
      <c r="E1432" t="s">
        <v>4045</v>
      </c>
      <c r="F1432" t="s">
        <v>298</v>
      </c>
      <c r="G1432" t="s">
        <v>4024</v>
      </c>
      <c r="H1432" t="s">
        <v>3946</v>
      </c>
      <c r="I1432" t="s">
        <v>4052</v>
      </c>
      <c r="K1432">
        <v>0.8</v>
      </c>
      <c r="L1432" t="s">
        <v>4053</v>
      </c>
      <c r="M1432" s="37">
        <v>0.8</v>
      </c>
      <c r="N1432" s="37">
        <v>0.1</v>
      </c>
      <c r="O1432">
        <v>0.08</v>
      </c>
      <c r="P1432" s="37">
        <v>0.85</v>
      </c>
      <c r="Q1432">
        <v>0.17</v>
      </c>
      <c r="R1432">
        <v>960</v>
      </c>
      <c r="S1432">
        <v>960</v>
      </c>
      <c r="T1432">
        <v>1200</v>
      </c>
      <c r="U1432" t="s">
        <v>3350</v>
      </c>
      <c r="Z1432" s="37">
        <v>0.01</v>
      </c>
      <c r="AA1432" s="37">
        <v>0.35</v>
      </c>
      <c r="AB1432">
        <v>0</v>
      </c>
    </row>
    <row r="1433">
      <c r="A1433" t="s">
        <v>4044</v>
      </c>
      <c r="B1433" t="s">
        <v>3337</v>
      </c>
      <c r="C1433" t="s">
        <v>3337</v>
      </c>
      <c r="D1433" t="s">
        <v>4022</v>
      </c>
      <c r="E1433" t="s">
        <v>4045</v>
      </c>
      <c r="F1433" t="s">
        <v>298</v>
      </c>
      <c r="G1433" t="s">
        <v>4024</v>
      </c>
      <c r="H1433" t="s">
        <v>3946</v>
      </c>
      <c r="I1433" t="s">
        <v>4054</v>
      </c>
      <c r="K1433">
        <v>0.8</v>
      </c>
      <c r="L1433" t="s">
        <v>4055</v>
      </c>
      <c r="M1433" s="37">
        <v>0.8</v>
      </c>
      <c r="N1433" s="37">
        <v>0.1</v>
      </c>
      <c r="O1433">
        <v>0.08</v>
      </c>
      <c r="P1433" s="37">
        <v>0.85</v>
      </c>
      <c r="Q1433">
        <v>0.17</v>
      </c>
      <c r="R1433">
        <v>960</v>
      </c>
      <c r="S1433">
        <v>960</v>
      </c>
      <c r="T1433">
        <v>1200</v>
      </c>
      <c r="U1433" t="s">
        <v>3350</v>
      </c>
      <c r="Z1433" s="37">
        <v>0.01</v>
      </c>
      <c r="AA1433" s="37">
        <v>0.35</v>
      </c>
      <c r="AB1433">
        <v>0</v>
      </c>
    </row>
    <row r="1434">
      <c r="A1434" t="s">
        <v>4044</v>
      </c>
      <c r="B1434" t="s">
        <v>3337</v>
      </c>
      <c r="C1434" t="s">
        <v>3337</v>
      </c>
      <c r="D1434" t="s">
        <v>4022</v>
      </c>
      <c r="E1434" t="s">
        <v>4045</v>
      </c>
      <c r="F1434" t="s">
        <v>298</v>
      </c>
      <c r="G1434" t="s">
        <v>4024</v>
      </c>
      <c r="H1434" t="s">
        <v>3946</v>
      </c>
      <c r="I1434" t="s">
        <v>4056</v>
      </c>
      <c r="K1434">
        <v>0.8</v>
      </c>
      <c r="L1434" t="s">
        <v>4057</v>
      </c>
      <c r="M1434" s="37">
        <v>0.8</v>
      </c>
      <c r="N1434" s="37">
        <v>0.2</v>
      </c>
      <c r="O1434">
        <v>0.16</v>
      </c>
      <c r="P1434" s="37">
        <v>0.85</v>
      </c>
      <c r="Q1434">
        <v>0.17</v>
      </c>
      <c r="R1434">
        <v>960</v>
      </c>
      <c r="S1434">
        <v>960</v>
      </c>
      <c r="T1434">
        <v>1200</v>
      </c>
      <c r="U1434" t="s">
        <v>3350</v>
      </c>
      <c r="Z1434" s="37">
        <v>0.01</v>
      </c>
      <c r="AA1434" s="37">
        <v>0.35</v>
      </c>
      <c r="AB1434">
        <v>0</v>
      </c>
    </row>
    <row r="1435">
      <c r="A1435" t="s">
        <v>4044</v>
      </c>
      <c r="B1435" t="s">
        <v>3337</v>
      </c>
      <c r="C1435" t="s">
        <v>3337</v>
      </c>
      <c r="D1435" t="s">
        <v>4022</v>
      </c>
      <c r="E1435" t="s">
        <v>4045</v>
      </c>
      <c r="F1435" t="s">
        <v>298</v>
      </c>
      <c r="G1435" t="s">
        <v>4024</v>
      </c>
      <c r="H1435" t="s">
        <v>3946</v>
      </c>
      <c r="I1435" t="s">
        <v>4058</v>
      </c>
      <c r="K1435">
        <v>1</v>
      </c>
      <c r="L1435" t="s">
        <v>4059</v>
      </c>
      <c r="M1435" s="37">
        <v>1</v>
      </c>
      <c r="N1435" s="37">
        <v>0.05</v>
      </c>
      <c r="O1435">
        <v>0.05</v>
      </c>
      <c r="P1435" s="37">
        <v>0.85</v>
      </c>
      <c r="Q1435">
        <v>0.17</v>
      </c>
      <c r="R1435">
        <v>960</v>
      </c>
      <c r="S1435">
        <v>960</v>
      </c>
      <c r="T1435">
        <v>1200</v>
      </c>
      <c r="U1435" t="s">
        <v>3350</v>
      </c>
      <c r="Z1435" s="37">
        <v>0.01</v>
      </c>
      <c r="AA1435" s="37">
        <v>0.35</v>
      </c>
      <c r="AB1435">
        <v>0</v>
      </c>
    </row>
    <row r="1436">
      <c r="A1436" t="s">
        <v>4060</v>
      </c>
      <c r="B1436" t="s">
        <v>3337</v>
      </c>
      <c r="C1436" t="s">
        <v>3337</v>
      </c>
      <c r="D1436" t="s">
        <v>4022</v>
      </c>
      <c r="E1436" t="s">
        <v>4061</v>
      </c>
      <c r="F1436" t="s">
        <v>298</v>
      </c>
      <c r="G1436" t="s">
        <v>4024</v>
      </c>
      <c r="H1436" t="s">
        <v>3944</v>
      </c>
      <c r="I1436" t="s">
        <v>3945</v>
      </c>
      <c r="K1436">
        <v>1.2</v>
      </c>
      <c r="L1436" t="s">
        <v>4062</v>
      </c>
      <c r="M1436" s="37">
        <v>1.2</v>
      </c>
      <c r="N1436" s="37">
        <v>0.2</v>
      </c>
      <c r="O1436">
        <v>0.24</v>
      </c>
      <c r="P1436" s="37">
        <v>0.9</v>
      </c>
      <c r="Q1436">
        <v>0.17</v>
      </c>
      <c r="R1436">
        <v>0</v>
      </c>
      <c r="S1436">
        <v>0</v>
      </c>
      <c r="T1436">
        <v>1200</v>
      </c>
      <c r="U1436" t="s">
        <v>3350</v>
      </c>
      <c r="Z1436" s="37">
        <v>0.01</v>
      </c>
      <c r="AA1436" s="37">
        <v>0.35</v>
      </c>
      <c r="AB1436">
        <v>0</v>
      </c>
    </row>
    <row r="1437">
      <c r="A1437" t="s">
        <v>4060</v>
      </c>
      <c r="B1437" t="s">
        <v>3337</v>
      </c>
      <c r="C1437" t="s">
        <v>3337</v>
      </c>
      <c r="D1437" t="s">
        <v>4022</v>
      </c>
      <c r="E1437" t="s">
        <v>4061</v>
      </c>
      <c r="F1437" t="s">
        <v>298</v>
      </c>
      <c r="G1437" t="s">
        <v>4024</v>
      </c>
      <c r="H1437" t="s">
        <v>3946</v>
      </c>
      <c r="I1437" t="s">
        <v>3968</v>
      </c>
      <c r="K1437">
        <v>0.7</v>
      </c>
      <c r="L1437" t="s">
        <v>4062</v>
      </c>
      <c r="M1437" s="37">
        <v>0.7</v>
      </c>
      <c r="N1437" s="37">
        <v>0.2</v>
      </c>
      <c r="O1437">
        <v>0.192</v>
      </c>
      <c r="P1437" s="37">
        <v>0.9</v>
      </c>
      <c r="Q1437">
        <v>0.17</v>
      </c>
      <c r="R1437">
        <v>0</v>
      </c>
      <c r="S1437">
        <v>0</v>
      </c>
      <c r="T1437">
        <v>1200</v>
      </c>
      <c r="U1437" t="s">
        <v>3350</v>
      </c>
      <c r="Z1437" s="37">
        <v>0.01</v>
      </c>
      <c r="AA1437" s="37">
        <v>0.35</v>
      </c>
      <c r="AB1437">
        <v>0</v>
      </c>
    </row>
    <row r="1438">
      <c r="A1438" t="s">
        <v>4060</v>
      </c>
      <c r="B1438" t="s">
        <v>3337</v>
      </c>
      <c r="C1438" t="s">
        <v>3337</v>
      </c>
      <c r="D1438" t="s">
        <v>4022</v>
      </c>
      <c r="E1438" t="s">
        <v>4061</v>
      </c>
      <c r="F1438" t="s">
        <v>298</v>
      </c>
      <c r="G1438" t="s">
        <v>4024</v>
      </c>
      <c r="H1438" t="s">
        <v>3946</v>
      </c>
      <c r="I1438" t="s">
        <v>4063</v>
      </c>
      <c r="K1438">
        <v>0.8</v>
      </c>
      <c r="L1438" t="s">
        <v>4062</v>
      </c>
      <c r="M1438" s="37">
        <v>0.8</v>
      </c>
      <c r="N1438" s="37">
        <v>0.1</v>
      </c>
      <c r="O1438">
        <v>0.08</v>
      </c>
      <c r="P1438" s="37">
        <v>0.9</v>
      </c>
      <c r="Q1438">
        <v>0.17</v>
      </c>
      <c r="R1438">
        <v>0</v>
      </c>
      <c r="S1438">
        <v>0</v>
      </c>
      <c r="T1438">
        <v>1200</v>
      </c>
      <c r="U1438" t="s">
        <v>3350</v>
      </c>
      <c r="Z1438" s="37">
        <v>0.01</v>
      </c>
      <c r="AA1438" s="37">
        <v>0.35</v>
      </c>
      <c r="AB1438">
        <v>0</v>
      </c>
    </row>
    <row r="1439">
      <c r="A1439" t="s">
        <v>4060</v>
      </c>
      <c r="B1439" t="s">
        <v>3337</v>
      </c>
      <c r="C1439" t="s">
        <v>3337</v>
      </c>
      <c r="D1439" t="s">
        <v>4022</v>
      </c>
      <c r="E1439" t="s">
        <v>4061</v>
      </c>
      <c r="F1439" t="s">
        <v>298</v>
      </c>
      <c r="G1439" t="s">
        <v>4024</v>
      </c>
      <c r="H1439" t="s">
        <v>3946</v>
      </c>
      <c r="I1439" t="s">
        <v>4064</v>
      </c>
      <c r="K1439">
        <v>1</v>
      </c>
      <c r="L1439" t="s">
        <v>4062</v>
      </c>
      <c r="M1439" s="37">
        <v>1</v>
      </c>
      <c r="N1439" s="37">
        <v>0.1</v>
      </c>
      <c r="O1439">
        <v>0.1</v>
      </c>
      <c r="P1439" s="37">
        <v>0.9</v>
      </c>
      <c r="Q1439">
        <v>0.17</v>
      </c>
      <c r="R1439">
        <v>0</v>
      </c>
      <c r="S1439">
        <v>0</v>
      </c>
      <c r="T1439">
        <v>1200</v>
      </c>
      <c r="U1439" t="s">
        <v>3350</v>
      </c>
      <c r="Z1439" s="37">
        <v>0.01</v>
      </c>
      <c r="AA1439" s="37">
        <v>0.35</v>
      </c>
      <c r="AB1439">
        <v>0</v>
      </c>
    </row>
    <row r="1440">
      <c r="A1440" t="s">
        <v>4060</v>
      </c>
      <c r="B1440" t="s">
        <v>3337</v>
      </c>
      <c r="C1440" t="s">
        <v>3337</v>
      </c>
      <c r="D1440" t="s">
        <v>4022</v>
      </c>
      <c r="E1440" t="s">
        <v>4061</v>
      </c>
      <c r="F1440" t="s">
        <v>298</v>
      </c>
      <c r="G1440" t="s">
        <v>4024</v>
      </c>
      <c r="H1440" t="s">
        <v>3946</v>
      </c>
      <c r="I1440" t="s">
        <v>4020</v>
      </c>
      <c r="K1440">
        <v>1</v>
      </c>
      <c r="L1440" t="s">
        <v>4062</v>
      </c>
      <c r="M1440" s="37">
        <v>1</v>
      </c>
      <c r="N1440" s="37">
        <v>0.2</v>
      </c>
      <c r="O1440">
        <v>0.2</v>
      </c>
      <c r="P1440" s="37">
        <v>0.9</v>
      </c>
      <c r="Q1440">
        <v>0.17</v>
      </c>
      <c r="R1440">
        <v>0</v>
      </c>
      <c r="S1440">
        <v>0</v>
      </c>
      <c r="T1440">
        <v>1200</v>
      </c>
      <c r="U1440" t="s">
        <v>3350</v>
      </c>
      <c r="Z1440" s="37">
        <v>0.01</v>
      </c>
      <c r="AA1440" s="37">
        <v>0.35</v>
      </c>
      <c r="AB1440">
        <v>0</v>
      </c>
    </row>
    <row r="1441">
      <c r="A1441" t="s">
        <v>4060</v>
      </c>
      <c r="B1441" t="s">
        <v>3337</v>
      </c>
      <c r="C1441" t="s">
        <v>3337</v>
      </c>
      <c r="D1441" t="s">
        <v>4022</v>
      </c>
      <c r="E1441" t="s">
        <v>4061</v>
      </c>
      <c r="F1441" t="s">
        <v>298</v>
      </c>
      <c r="G1441" t="s">
        <v>4024</v>
      </c>
      <c r="H1441" t="s">
        <v>3946</v>
      </c>
      <c r="I1441" t="s">
        <v>3969</v>
      </c>
      <c r="K1441">
        <v>0.7</v>
      </c>
      <c r="L1441" t="s">
        <v>4062</v>
      </c>
      <c r="M1441" s="37">
        <v>0.7</v>
      </c>
      <c r="N1441" s="37">
        <v>0.2</v>
      </c>
      <c r="O1441">
        <v>0.14</v>
      </c>
      <c r="P1441" s="37">
        <v>0.9</v>
      </c>
      <c r="Q1441">
        <v>0.17</v>
      </c>
      <c r="R1441">
        <v>0</v>
      </c>
      <c r="S1441">
        <v>0</v>
      </c>
      <c r="T1441">
        <v>1200</v>
      </c>
      <c r="U1441" t="s">
        <v>3350</v>
      </c>
      <c r="Z1441" s="37">
        <v>0.01</v>
      </c>
      <c r="AA1441" s="37">
        <v>0.35</v>
      </c>
      <c r="AB1441">
        <v>0</v>
      </c>
    </row>
    <row r="1442">
      <c r="A1442" t="s">
        <v>4065</v>
      </c>
      <c r="B1442" t="s">
        <v>1593</v>
      </c>
      <c r="C1442" t="s">
        <v>1593</v>
      </c>
      <c r="D1442" t="s">
        <v>1582</v>
      </c>
      <c r="E1442" t="s">
        <v>4066</v>
      </c>
      <c r="F1442" t="s">
        <v>298</v>
      </c>
      <c r="G1442" t="s">
        <v>4067</v>
      </c>
      <c r="H1442" t="s">
        <v>1491</v>
      </c>
      <c r="I1442" t="s">
        <v>1611</v>
      </c>
      <c r="J1442" t="s">
        <v>1002</v>
      </c>
      <c r="K1442" t="s">
        <v>4068</v>
      </c>
      <c r="L1442" t="s">
        <v>4062</v>
      </c>
      <c r="M1442" s="37">
        <v>0.24</v>
      </c>
      <c r="N1442" s="37">
        <v>0.45</v>
      </c>
      <c r="O1442">
        <v>0.1947</v>
      </c>
      <c r="P1442" s="37">
        <v>0.7245</v>
      </c>
      <c r="Q1442">
        <v>0.7</v>
      </c>
      <c r="R1442">
        <v>7188</v>
      </c>
      <c r="S1442">
        <v>8776.85</v>
      </c>
      <c r="T1442">
        <v>6000</v>
      </c>
      <c r="U1442" t="s">
        <v>3350</v>
      </c>
      <c r="Z1442" s="37">
        <v>0.01</v>
      </c>
      <c r="AA1442" s="37">
        <v>0.35</v>
      </c>
      <c r="AB1442">
        <v>0</v>
      </c>
    </row>
    <row r="1443">
      <c r="A1443" t="s">
        <v>4065</v>
      </c>
      <c r="B1443" t="s">
        <v>1593</v>
      </c>
      <c r="C1443" t="s">
        <v>1593</v>
      </c>
      <c r="D1443" t="s">
        <v>1582</v>
      </c>
      <c r="E1443" t="s">
        <v>4066</v>
      </c>
      <c r="F1443" t="s">
        <v>298</v>
      </c>
      <c r="G1443" t="s">
        <v>4067</v>
      </c>
      <c r="H1443" t="s">
        <v>1526</v>
      </c>
      <c r="I1443" t="s">
        <v>1588</v>
      </c>
      <c r="J1443" s="37">
        <v>0.115</v>
      </c>
      <c r="K1443" s="37">
        <v>0.013</v>
      </c>
      <c r="L1443" t="s">
        <v>4062</v>
      </c>
      <c r="M1443" s="37">
        <v>0.11</v>
      </c>
      <c r="N1443" s="37">
        <v>0.15</v>
      </c>
      <c r="O1443">
        <v>0.09</v>
      </c>
      <c r="P1443" s="37">
        <v>0.7245</v>
      </c>
      <c r="Q1443">
        <v>0.7</v>
      </c>
      <c r="R1443">
        <v>7188</v>
      </c>
      <c r="S1443">
        <v>8776.85</v>
      </c>
      <c r="T1443">
        <v>6000</v>
      </c>
      <c r="U1443" t="s">
        <v>3350</v>
      </c>
      <c r="Z1443" s="37">
        <v>0.01</v>
      </c>
      <c r="AA1443" s="37">
        <v>0.35</v>
      </c>
      <c r="AB1443">
        <v>0</v>
      </c>
    </row>
    <row r="1444">
      <c r="A1444" t="s">
        <v>4065</v>
      </c>
      <c r="B1444" t="s">
        <v>1593</v>
      </c>
      <c r="C1444" t="s">
        <v>1593</v>
      </c>
      <c r="D1444" t="s">
        <v>1582</v>
      </c>
      <c r="E1444" t="s">
        <v>4066</v>
      </c>
      <c r="F1444" t="s">
        <v>298</v>
      </c>
      <c r="G1444" t="s">
        <v>4067</v>
      </c>
      <c r="H1444" t="s">
        <v>1526</v>
      </c>
      <c r="I1444" t="s">
        <v>4069</v>
      </c>
      <c r="J1444" t="s">
        <v>4070</v>
      </c>
      <c r="K1444" t="s">
        <v>4070</v>
      </c>
      <c r="L1444" t="s">
        <v>4062</v>
      </c>
      <c r="M1444" s="37">
        <v>1.5</v>
      </c>
      <c r="N1444" s="37">
        <v>0.2</v>
      </c>
      <c r="O1444">
        <v>1.5</v>
      </c>
      <c r="P1444" s="37">
        <v>0.7245</v>
      </c>
      <c r="Q1444">
        <v>0.7</v>
      </c>
      <c r="R1444">
        <v>7188</v>
      </c>
      <c r="S1444">
        <v>8776.85</v>
      </c>
      <c r="T1444">
        <v>6000</v>
      </c>
      <c r="U1444" t="s">
        <v>3350</v>
      </c>
      <c r="Z1444" s="37">
        <v>0.01</v>
      </c>
      <c r="AA1444" s="37">
        <v>0.35</v>
      </c>
      <c r="AB1444">
        <v>0</v>
      </c>
    </row>
    <row r="1445">
      <c r="A1445" t="s">
        <v>4065</v>
      </c>
      <c r="B1445" t="s">
        <v>1593</v>
      </c>
      <c r="C1445" t="s">
        <v>1593</v>
      </c>
      <c r="D1445" t="s">
        <v>1582</v>
      </c>
      <c r="E1445" t="s">
        <v>4066</v>
      </c>
      <c r="F1445" t="s">
        <v>298</v>
      </c>
      <c r="G1445" t="s">
        <v>4067</v>
      </c>
      <c r="H1445" t="s">
        <v>1526</v>
      </c>
      <c r="I1445" t="s">
        <v>1844</v>
      </c>
      <c r="J1445" t="s">
        <v>4071</v>
      </c>
      <c r="K1445" t="s">
        <v>4072</v>
      </c>
      <c r="L1445" t="s">
        <v>4062</v>
      </c>
      <c r="M1445" s="37">
        <v>1.5</v>
      </c>
      <c r="N1445" s="37">
        <v>0.1</v>
      </c>
      <c r="O1445">
        <v>1.5</v>
      </c>
      <c r="P1445" s="37">
        <v>0.7245</v>
      </c>
      <c r="Q1445">
        <v>0.7</v>
      </c>
      <c r="R1445">
        <v>7188</v>
      </c>
      <c r="S1445">
        <v>8776.85</v>
      </c>
      <c r="T1445">
        <v>6000</v>
      </c>
      <c r="U1445" t="s">
        <v>3350</v>
      </c>
      <c r="Z1445" s="37">
        <v>0.01</v>
      </c>
      <c r="AA1445" s="37">
        <v>0.35</v>
      </c>
      <c r="AB1445">
        <v>0</v>
      </c>
    </row>
    <row r="1446">
      <c r="A1446" t="s">
        <v>4065</v>
      </c>
      <c r="B1446" t="s">
        <v>1593</v>
      </c>
      <c r="C1446" t="s">
        <v>1593</v>
      </c>
      <c r="D1446" t="s">
        <v>1582</v>
      </c>
      <c r="E1446" t="s">
        <v>4066</v>
      </c>
      <c r="F1446" t="s">
        <v>298</v>
      </c>
      <c r="G1446" t="s">
        <v>4067</v>
      </c>
      <c r="H1446" t="s">
        <v>1526</v>
      </c>
      <c r="I1446" t="s">
        <v>4073</v>
      </c>
      <c r="J1446" t="s">
        <v>709</v>
      </c>
      <c r="K1446" t="s">
        <v>706</v>
      </c>
      <c r="L1446" t="s">
        <v>4062</v>
      </c>
      <c r="M1446" s="37">
        <v>1.5</v>
      </c>
      <c r="N1446" s="37">
        <v>0.1</v>
      </c>
      <c r="O1446">
        <v>1.5</v>
      </c>
      <c r="P1446" s="37">
        <v>0.7245</v>
      </c>
      <c r="Q1446">
        <v>0.7</v>
      </c>
      <c r="R1446">
        <v>7188</v>
      </c>
      <c r="S1446">
        <v>8776.85</v>
      </c>
      <c r="T1446">
        <v>6000</v>
      </c>
      <c r="U1446" t="s">
        <v>3350</v>
      </c>
      <c r="Z1446" s="37">
        <v>0.01</v>
      </c>
      <c r="AA1446" s="37">
        <v>0.35</v>
      </c>
      <c r="AB1446">
        <v>0</v>
      </c>
    </row>
    <row r="1447">
      <c r="A1447" t="s">
        <v>4074</v>
      </c>
      <c r="B1447" t="s">
        <v>4075</v>
      </c>
      <c r="C1447" t="s">
        <v>4075</v>
      </c>
      <c r="D1447" t="s">
        <v>1582</v>
      </c>
      <c r="E1447" t="s">
        <v>4076</v>
      </c>
      <c r="F1447" t="s">
        <v>298</v>
      </c>
      <c r="G1447" t="s">
        <v>4067</v>
      </c>
      <c r="H1447" t="s">
        <v>1491</v>
      </c>
      <c r="I1447" t="s">
        <v>4077</v>
      </c>
      <c r="J1447" t="s">
        <v>783</v>
      </c>
      <c r="K1447" t="s">
        <v>4078</v>
      </c>
      <c r="L1447" t="s">
        <v>4062</v>
      </c>
      <c r="M1447" s="37">
        <v>0.79</v>
      </c>
      <c r="N1447" s="37">
        <v>0.45</v>
      </c>
      <c r="O1447">
        <v>0.632</v>
      </c>
      <c r="P1447" s="37">
        <v>1.007</v>
      </c>
      <c r="Q1447">
        <v>0.9</v>
      </c>
      <c r="R1447">
        <v>8256</v>
      </c>
      <c r="S1447">
        <v>9200.05</v>
      </c>
      <c r="T1447">
        <v>6000</v>
      </c>
      <c r="U1447" t="s">
        <v>3350</v>
      </c>
      <c r="Z1447" s="37">
        <v>0.01</v>
      </c>
      <c r="AA1447" s="37">
        <v>0.35</v>
      </c>
      <c r="AB1447">
        <v>0</v>
      </c>
    </row>
    <row r="1448">
      <c r="A1448" t="s">
        <v>4074</v>
      </c>
      <c r="B1448" t="s">
        <v>4075</v>
      </c>
      <c r="C1448" t="s">
        <v>4075</v>
      </c>
      <c r="D1448" t="s">
        <v>1582</v>
      </c>
      <c r="E1448" t="s">
        <v>4076</v>
      </c>
      <c r="F1448" t="s">
        <v>298</v>
      </c>
      <c r="G1448" t="s">
        <v>4067</v>
      </c>
      <c r="H1448" t="s">
        <v>1526</v>
      </c>
      <c r="I1448" t="s">
        <v>4079</v>
      </c>
      <c r="J1448" s="37">
        <v>0.115</v>
      </c>
      <c r="K1448" s="37">
        <v>0.013</v>
      </c>
      <c r="L1448" t="s">
        <v>4062</v>
      </c>
      <c r="M1448" s="37">
        <v>0.11</v>
      </c>
      <c r="N1448" s="37">
        <v>0.15</v>
      </c>
      <c r="O1448">
        <v>0.09</v>
      </c>
      <c r="P1448" s="37">
        <v>1.007</v>
      </c>
      <c r="Q1448">
        <v>0.9</v>
      </c>
      <c r="R1448">
        <v>8256</v>
      </c>
      <c r="S1448">
        <v>9200.05</v>
      </c>
      <c r="T1448">
        <v>6000</v>
      </c>
      <c r="U1448" t="s">
        <v>3350</v>
      </c>
      <c r="Z1448" s="37">
        <v>0.01</v>
      </c>
      <c r="AA1448" s="37">
        <v>0.35</v>
      </c>
      <c r="AB1448">
        <v>0</v>
      </c>
    </row>
    <row r="1449">
      <c r="A1449" t="s">
        <v>4074</v>
      </c>
      <c r="B1449" t="s">
        <v>4075</v>
      </c>
      <c r="C1449" t="s">
        <v>4075</v>
      </c>
      <c r="D1449" t="s">
        <v>1582</v>
      </c>
      <c r="E1449" t="s">
        <v>4076</v>
      </c>
      <c r="F1449" t="s">
        <v>298</v>
      </c>
      <c r="G1449" t="s">
        <v>4067</v>
      </c>
      <c r="H1449" t="s">
        <v>1526</v>
      </c>
      <c r="I1449" t="s">
        <v>4080</v>
      </c>
      <c r="J1449" t="s">
        <v>2930</v>
      </c>
      <c r="K1449" t="s">
        <v>4081</v>
      </c>
      <c r="L1449" t="s">
        <v>4062</v>
      </c>
      <c r="M1449" s="37">
        <v>1.5</v>
      </c>
      <c r="N1449" s="37">
        <v>0.2</v>
      </c>
      <c r="O1449">
        <v>1.5</v>
      </c>
      <c r="P1449" s="37">
        <v>1.007</v>
      </c>
      <c r="Q1449">
        <v>0.9</v>
      </c>
      <c r="R1449">
        <v>8256</v>
      </c>
      <c r="S1449">
        <v>9200.05</v>
      </c>
      <c r="T1449">
        <v>6000</v>
      </c>
      <c r="U1449" t="s">
        <v>3350</v>
      </c>
      <c r="Z1449" s="37">
        <v>0.01</v>
      </c>
      <c r="AA1449" s="37">
        <v>0.35</v>
      </c>
      <c r="AB1449">
        <v>0</v>
      </c>
    </row>
    <row r="1450">
      <c r="A1450" t="s">
        <v>4074</v>
      </c>
      <c r="B1450" t="s">
        <v>4075</v>
      </c>
      <c r="C1450" t="s">
        <v>4075</v>
      </c>
      <c r="D1450" t="s">
        <v>1582</v>
      </c>
      <c r="E1450" t="s">
        <v>4076</v>
      </c>
      <c r="F1450" t="s">
        <v>298</v>
      </c>
      <c r="G1450" t="s">
        <v>4067</v>
      </c>
      <c r="H1450" t="s">
        <v>1526</v>
      </c>
      <c r="I1450" t="s">
        <v>1844</v>
      </c>
      <c r="J1450" t="s">
        <v>4071</v>
      </c>
      <c r="K1450" t="s">
        <v>4082</v>
      </c>
      <c r="L1450" t="s">
        <v>4062</v>
      </c>
      <c r="M1450" s="37">
        <v>1.85</v>
      </c>
      <c r="N1450" s="37">
        <v>0.1</v>
      </c>
      <c r="O1450">
        <v>1.5</v>
      </c>
      <c r="P1450" s="37">
        <v>1.007</v>
      </c>
      <c r="Q1450">
        <v>0.9</v>
      </c>
      <c r="R1450">
        <v>8256</v>
      </c>
      <c r="S1450">
        <v>9200.05</v>
      </c>
      <c r="T1450">
        <v>6000</v>
      </c>
      <c r="U1450" t="s">
        <v>3350</v>
      </c>
      <c r="Z1450" s="37">
        <v>0.01</v>
      </c>
      <c r="AA1450" s="37">
        <v>0.35</v>
      </c>
      <c r="AB1450">
        <v>0</v>
      </c>
    </row>
    <row r="1451">
      <c r="A1451" t="s">
        <v>4074</v>
      </c>
      <c r="B1451" t="s">
        <v>4075</v>
      </c>
      <c r="C1451" t="s">
        <v>4075</v>
      </c>
      <c r="D1451" t="s">
        <v>1582</v>
      </c>
      <c r="E1451" t="s">
        <v>4076</v>
      </c>
      <c r="F1451" t="s">
        <v>298</v>
      </c>
      <c r="G1451" t="s">
        <v>4067</v>
      </c>
      <c r="H1451" t="s">
        <v>4083</v>
      </c>
      <c r="I1451" t="s">
        <v>4084</v>
      </c>
      <c r="J1451" t="s">
        <v>709</v>
      </c>
      <c r="K1451" t="s">
        <v>706</v>
      </c>
      <c r="L1451" t="s">
        <v>4062</v>
      </c>
      <c r="M1451" s="37">
        <v>1.5</v>
      </c>
      <c r="N1451" s="37">
        <v>0.1</v>
      </c>
      <c r="O1451">
        <v>1.5</v>
      </c>
      <c r="P1451" s="37">
        <v>1.007</v>
      </c>
      <c r="Q1451">
        <v>0.9</v>
      </c>
      <c r="R1451">
        <v>8256</v>
      </c>
      <c r="S1451">
        <v>9200.05</v>
      </c>
      <c r="T1451">
        <v>6000</v>
      </c>
      <c r="U1451" t="s">
        <v>3350</v>
      </c>
      <c r="Z1451" s="37">
        <v>0.01</v>
      </c>
      <c r="AA1451" s="37">
        <v>0.35</v>
      </c>
      <c r="AB1451">
        <v>0</v>
      </c>
    </row>
    <row r="1452">
      <c r="A1452" t="s">
        <v>4085</v>
      </c>
      <c r="B1452" t="s">
        <v>3662</v>
      </c>
      <c r="C1452" t="s">
        <v>3662</v>
      </c>
      <c r="D1452" t="s">
        <v>999</v>
      </c>
      <c r="E1452" t="s">
        <v>4086</v>
      </c>
      <c r="F1452" t="s">
        <v>298</v>
      </c>
      <c r="G1452" t="s">
        <v>4087</v>
      </c>
      <c r="H1452" t="s">
        <v>4088</v>
      </c>
      <c r="I1452" t="s">
        <v>4089</v>
      </c>
      <c r="J1452" t="s">
        <v>1016</v>
      </c>
      <c r="K1452" t="s">
        <v>4090</v>
      </c>
      <c r="M1452" s="37">
        <v>1.182</v>
      </c>
      <c r="N1452" s="37">
        <v>0.2</v>
      </c>
      <c r="O1452">
        <v>1.182</v>
      </c>
      <c r="P1452" s="37">
        <v>0.6508</v>
      </c>
      <c r="Q1452">
        <v>0.61</v>
      </c>
      <c r="R1452">
        <v>4626.4</v>
      </c>
      <c r="S1452">
        <v>4626.4</v>
      </c>
      <c r="T1452">
        <v>5000</v>
      </c>
      <c r="U1452" t="s">
        <v>3350</v>
      </c>
      <c r="Z1452" s="37">
        <v>0.01</v>
      </c>
      <c r="AA1452" s="37">
        <v>0.35</v>
      </c>
      <c r="AB1452">
        <v>0</v>
      </c>
    </row>
    <row r="1453">
      <c r="A1453" t="s">
        <v>4085</v>
      </c>
      <c r="B1453" t="s">
        <v>3662</v>
      </c>
      <c r="C1453" t="s">
        <v>3662</v>
      </c>
      <c r="D1453" t="s">
        <v>999</v>
      </c>
      <c r="E1453" t="s">
        <v>4086</v>
      </c>
      <c r="F1453" t="s">
        <v>298</v>
      </c>
      <c r="G1453" t="s">
        <v>4087</v>
      </c>
      <c r="H1453" t="s">
        <v>4091</v>
      </c>
      <c r="I1453" t="s">
        <v>4092</v>
      </c>
      <c r="J1453" t="s">
        <v>1590</v>
      </c>
      <c r="K1453" t="s">
        <v>4093</v>
      </c>
      <c r="L1453" t="s">
        <v>4094</v>
      </c>
      <c r="M1453" s="37">
        <v>0.518</v>
      </c>
      <c r="N1453" s="37">
        <v>0.8</v>
      </c>
      <c r="O1453">
        <v>0.4149</v>
      </c>
      <c r="P1453" s="37">
        <v>0.6508</v>
      </c>
      <c r="Q1453">
        <v>0.61</v>
      </c>
      <c r="R1453">
        <v>4626.4</v>
      </c>
      <c r="S1453">
        <v>4626.4</v>
      </c>
      <c r="T1453">
        <v>5000</v>
      </c>
      <c r="U1453" t="s">
        <v>3350</v>
      </c>
      <c r="Z1453" s="37">
        <v>0.01</v>
      </c>
      <c r="AA1453" s="37">
        <v>0.35</v>
      </c>
      <c r="AB1453">
        <v>0</v>
      </c>
    </row>
    <row r="1454">
      <c r="A1454" t="s">
        <v>4095</v>
      </c>
      <c r="B1454" t="s">
        <v>3662</v>
      </c>
      <c r="C1454" t="s">
        <v>3662</v>
      </c>
      <c r="D1454" t="s">
        <v>999</v>
      </c>
      <c r="E1454" t="s">
        <v>4096</v>
      </c>
      <c r="F1454" t="s">
        <v>298</v>
      </c>
      <c r="G1454" t="s">
        <v>4087</v>
      </c>
      <c r="H1454" t="s">
        <v>4097</v>
      </c>
      <c r="I1454" t="s">
        <v>4098</v>
      </c>
      <c r="J1454">
        <v>1</v>
      </c>
      <c r="K1454">
        <v>0.606888</v>
      </c>
      <c r="L1454" t="s">
        <v>4099</v>
      </c>
      <c r="M1454" s="37">
        <v>0.606888</v>
      </c>
      <c r="N1454" s="37">
        <v>0.7</v>
      </c>
      <c r="O1454">
        <v>0.6069</v>
      </c>
      <c r="P1454" s="37">
        <v>0.949524</v>
      </c>
      <c r="Q1454">
        <v>0.8</v>
      </c>
      <c r="R1454">
        <v>6067.42</v>
      </c>
      <c r="S1454">
        <v>6067.42</v>
      </c>
      <c r="T1454">
        <v>5000</v>
      </c>
      <c r="U1454" t="s">
        <v>3350</v>
      </c>
      <c r="Z1454" s="37">
        <v>0.01</v>
      </c>
      <c r="AA1454" s="37">
        <v>0.35</v>
      </c>
      <c r="AB1454">
        <v>0</v>
      </c>
    </row>
    <row r="1455">
      <c r="A1455" t="s">
        <v>4095</v>
      </c>
      <c r="B1455" t="s">
        <v>3662</v>
      </c>
      <c r="C1455" t="s">
        <v>3662</v>
      </c>
      <c r="D1455" t="s">
        <v>999</v>
      </c>
      <c r="E1455" t="s">
        <v>4096</v>
      </c>
      <c r="F1455" t="s">
        <v>298</v>
      </c>
      <c r="G1455" t="s">
        <v>4087</v>
      </c>
      <c r="H1455" t="s">
        <v>4088</v>
      </c>
      <c r="I1455" t="s">
        <v>4100</v>
      </c>
      <c r="J1455">
        <v>1</v>
      </c>
      <c r="K1455">
        <v>0.4457</v>
      </c>
      <c r="L1455" t="s">
        <v>4101</v>
      </c>
      <c r="M1455" s="37">
        <v>0.557121</v>
      </c>
      <c r="N1455" s="37">
        <v>0.1</v>
      </c>
      <c r="O1455">
        <v>0.4457</v>
      </c>
      <c r="P1455" s="37">
        <v>0.949524</v>
      </c>
      <c r="Q1455">
        <v>0.8</v>
      </c>
      <c r="R1455">
        <v>6067.42</v>
      </c>
      <c r="S1455">
        <v>6067.42</v>
      </c>
      <c r="T1455">
        <v>5000</v>
      </c>
      <c r="U1455" t="s">
        <v>3350</v>
      </c>
      <c r="Z1455" s="37">
        <v>0.01</v>
      </c>
      <c r="AA1455" s="37">
        <v>0.35</v>
      </c>
      <c r="AB1455">
        <v>0</v>
      </c>
    </row>
    <row r="1456">
      <c r="A1456" t="s">
        <v>4095</v>
      </c>
      <c r="B1456" t="s">
        <v>3662</v>
      </c>
      <c r="C1456" t="s">
        <v>3662</v>
      </c>
      <c r="D1456" t="s">
        <v>999</v>
      </c>
      <c r="E1456" t="s">
        <v>4096</v>
      </c>
      <c r="F1456" t="s">
        <v>298</v>
      </c>
      <c r="G1456" t="s">
        <v>4087</v>
      </c>
      <c r="H1456" t="s">
        <v>4097</v>
      </c>
      <c r="I1456" t="s">
        <v>4102</v>
      </c>
      <c r="J1456">
        <v>1</v>
      </c>
      <c r="K1456">
        <v>1.5</v>
      </c>
      <c r="L1456" t="s">
        <v>4103</v>
      </c>
      <c r="M1456" s="37">
        <v>3.2599</v>
      </c>
      <c r="N1456" s="37">
        <v>0.1</v>
      </c>
      <c r="O1456">
        <v>1.5</v>
      </c>
      <c r="P1456" s="37">
        <v>0.949524</v>
      </c>
      <c r="Q1456">
        <v>0.8</v>
      </c>
      <c r="R1456">
        <v>6067.42</v>
      </c>
      <c r="S1456">
        <v>6067.42</v>
      </c>
      <c r="T1456">
        <v>5000</v>
      </c>
      <c r="U1456" t="s">
        <v>3350</v>
      </c>
      <c r="Z1456" s="37">
        <v>0.01</v>
      </c>
      <c r="AA1456" s="37">
        <v>0.35</v>
      </c>
      <c r="AB1456">
        <v>0</v>
      </c>
    </row>
    <row r="1457">
      <c r="A1457" t="s">
        <v>4095</v>
      </c>
      <c r="B1457" t="s">
        <v>3662</v>
      </c>
      <c r="C1457" t="s">
        <v>3662</v>
      </c>
      <c r="D1457" t="s">
        <v>999</v>
      </c>
      <c r="E1457" t="s">
        <v>4096</v>
      </c>
      <c r="F1457" t="s">
        <v>298</v>
      </c>
      <c r="G1457" t="s">
        <v>4087</v>
      </c>
      <c r="H1457" t="s">
        <v>4097</v>
      </c>
      <c r="I1457" t="s">
        <v>4104</v>
      </c>
      <c r="J1457">
        <v>1</v>
      </c>
      <c r="K1457">
        <v>1.5</v>
      </c>
      <c r="L1457" t="s">
        <v>4105</v>
      </c>
      <c r="M1457" s="37">
        <v>1.43</v>
      </c>
      <c r="N1457" s="37">
        <v>0.1</v>
      </c>
      <c r="O1457">
        <v>1.5</v>
      </c>
      <c r="P1457" s="37">
        <v>0.949524</v>
      </c>
      <c r="Q1457">
        <v>0.8</v>
      </c>
      <c r="R1457">
        <v>6067.42</v>
      </c>
      <c r="S1457">
        <v>6067.42</v>
      </c>
      <c r="T1457">
        <v>5000</v>
      </c>
      <c r="U1457" t="s">
        <v>3350</v>
      </c>
      <c r="Z1457" s="37">
        <v>0.01</v>
      </c>
      <c r="AA1457" s="37">
        <v>0.35</v>
      </c>
      <c r="AB1457">
        <v>0</v>
      </c>
    </row>
    <row r="1458">
      <c r="A1458" t="s">
        <v>4106</v>
      </c>
      <c r="B1458" t="s">
        <v>3662</v>
      </c>
      <c r="C1458" t="s">
        <v>3662</v>
      </c>
      <c r="D1458" t="s">
        <v>359</v>
      </c>
      <c r="E1458" t="s">
        <v>4107</v>
      </c>
      <c r="F1458" t="s">
        <v>298</v>
      </c>
      <c r="G1458" t="s">
        <v>4087</v>
      </c>
      <c r="H1458" t="s">
        <v>4097</v>
      </c>
      <c r="I1458" t="s">
        <v>4108</v>
      </c>
      <c r="J1458" t="s">
        <v>1590</v>
      </c>
      <c r="K1458" t="s">
        <v>4109</v>
      </c>
      <c r="M1458" s="37">
        <v>0.774</v>
      </c>
      <c r="N1458" s="37">
        <v>0.2</v>
      </c>
      <c r="O1458">
        <v>0.77</v>
      </c>
      <c r="P1458" s="37">
        <v>0.70436</v>
      </c>
      <c r="Q1458">
        <v>0.75</v>
      </c>
      <c r="R1458">
        <v>6438.2</v>
      </c>
      <c r="S1458">
        <v>6438.2</v>
      </c>
      <c r="T1458">
        <v>6000</v>
      </c>
      <c r="U1458" t="s">
        <v>3350</v>
      </c>
      <c r="Z1458" s="37">
        <v>0.01</v>
      </c>
      <c r="AA1458" s="37">
        <v>0.35</v>
      </c>
      <c r="AB1458">
        <v>0</v>
      </c>
    </row>
    <row r="1459">
      <c r="A1459" t="s">
        <v>4106</v>
      </c>
      <c r="B1459" t="s">
        <v>3662</v>
      </c>
      <c r="C1459" t="s">
        <v>3662</v>
      </c>
      <c r="D1459" t="s">
        <v>359</v>
      </c>
      <c r="E1459" t="s">
        <v>4107</v>
      </c>
      <c r="F1459" t="s">
        <v>298</v>
      </c>
      <c r="G1459" t="s">
        <v>4087</v>
      </c>
      <c r="H1459" t="s">
        <v>4091</v>
      </c>
      <c r="I1459" t="s">
        <v>4110</v>
      </c>
      <c r="J1459" t="s">
        <v>4111</v>
      </c>
      <c r="K1459" t="s">
        <v>4112</v>
      </c>
      <c r="M1459" s="37">
        <v>0.5708</v>
      </c>
      <c r="N1459" s="37">
        <v>0.7</v>
      </c>
      <c r="O1459">
        <v>0.57</v>
      </c>
      <c r="P1459" s="37">
        <v>0.70436</v>
      </c>
      <c r="Q1459">
        <v>0.75</v>
      </c>
      <c r="R1459">
        <v>6438.2</v>
      </c>
      <c r="S1459">
        <v>6438.2</v>
      </c>
      <c r="T1459">
        <v>6000</v>
      </c>
      <c r="U1459" t="s">
        <v>3350</v>
      </c>
      <c r="Z1459" s="37">
        <v>0.01</v>
      </c>
      <c r="AA1459" s="37">
        <v>0.35</v>
      </c>
      <c r="AB1459">
        <v>0</v>
      </c>
    </row>
    <row r="1460">
      <c r="A1460" t="s">
        <v>4106</v>
      </c>
      <c r="B1460" t="s">
        <v>3662</v>
      </c>
      <c r="C1460" t="s">
        <v>3662</v>
      </c>
      <c r="D1460" t="s">
        <v>359</v>
      </c>
      <c r="E1460" t="s">
        <v>4107</v>
      </c>
      <c r="F1460" t="s">
        <v>298</v>
      </c>
      <c r="G1460" t="s">
        <v>4087</v>
      </c>
      <c r="H1460" t="s">
        <v>4113</v>
      </c>
      <c r="I1460" t="s">
        <v>4114</v>
      </c>
      <c r="J1460" t="s">
        <v>2930</v>
      </c>
      <c r="K1460" t="s">
        <v>4115</v>
      </c>
      <c r="L1460" t="s">
        <v>4116</v>
      </c>
      <c r="M1460" s="37">
        <v>1.5</v>
      </c>
      <c r="N1460" s="37">
        <v>0.1</v>
      </c>
      <c r="O1460">
        <v>1.5</v>
      </c>
      <c r="P1460" s="37">
        <v>0.70436</v>
      </c>
      <c r="Q1460">
        <v>0.75</v>
      </c>
      <c r="R1460">
        <v>6438.2</v>
      </c>
      <c r="S1460">
        <v>6438.2</v>
      </c>
      <c r="T1460">
        <v>6000</v>
      </c>
      <c r="U1460" t="s">
        <v>3350</v>
      </c>
      <c r="Z1460" s="37">
        <v>0.01</v>
      </c>
      <c r="AA1460" s="37">
        <v>0.35</v>
      </c>
      <c r="AB1460">
        <v>0</v>
      </c>
    </row>
    <row r="1461">
      <c r="A1461" t="s">
        <v>4117</v>
      </c>
      <c r="B1461" t="s">
        <v>3662</v>
      </c>
      <c r="C1461" t="s">
        <v>3662</v>
      </c>
      <c r="D1461" t="s">
        <v>999</v>
      </c>
      <c r="E1461" t="s">
        <v>4118</v>
      </c>
      <c r="F1461" t="s">
        <v>298</v>
      </c>
      <c r="G1461" t="s">
        <v>4087</v>
      </c>
      <c r="H1461" t="s">
        <v>4097</v>
      </c>
      <c r="I1461" t="s">
        <v>4119</v>
      </c>
      <c r="J1461" t="s">
        <v>3245</v>
      </c>
      <c r="K1461" t="s">
        <v>4120</v>
      </c>
      <c r="L1461" t="s">
        <v>4121</v>
      </c>
      <c r="M1461" s="37">
        <v>0.81</v>
      </c>
      <c r="N1461" s="37">
        <v>0.25</v>
      </c>
      <c r="O1461">
        <v>0.81</v>
      </c>
      <c r="P1461" s="37">
        <v>0.7282</v>
      </c>
      <c r="Q1461">
        <v>0.51</v>
      </c>
      <c r="R1461">
        <v>3867.98</v>
      </c>
      <c r="S1461">
        <v>3867.98</v>
      </c>
      <c r="T1461">
        <v>5000</v>
      </c>
      <c r="U1461" t="s">
        <v>3350</v>
      </c>
      <c r="Z1461" s="37">
        <v>0.01</v>
      </c>
      <c r="AA1461" s="37">
        <v>0.35</v>
      </c>
      <c r="AB1461">
        <v>0</v>
      </c>
    </row>
    <row r="1462">
      <c r="A1462" t="s">
        <v>4117</v>
      </c>
      <c r="B1462" t="s">
        <v>3662</v>
      </c>
      <c r="C1462" t="s">
        <v>3662</v>
      </c>
      <c r="D1462" t="s">
        <v>999</v>
      </c>
      <c r="E1462" t="s">
        <v>4118</v>
      </c>
      <c r="F1462" t="s">
        <v>298</v>
      </c>
      <c r="G1462" t="s">
        <v>4087</v>
      </c>
      <c r="H1462" t="s">
        <v>4088</v>
      </c>
      <c r="I1462" t="s">
        <v>4122</v>
      </c>
      <c r="J1462" t="s">
        <v>1590</v>
      </c>
      <c r="K1462" t="s">
        <v>4123</v>
      </c>
      <c r="L1462" t="s">
        <v>4124</v>
      </c>
      <c r="M1462" s="37">
        <v>0.366</v>
      </c>
      <c r="N1462" s="37">
        <v>0.65</v>
      </c>
      <c r="O1462">
        <v>0.22</v>
      </c>
      <c r="P1462" s="37">
        <v>0.7282</v>
      </c>
      <c r="Q1462">
        <v>0.51</v>
      </c>
      <c r="R1462">
        <v>3867.98</v>
      </c>
      <c r="S1462">
        <v>3867.98</v>
      </c>
      <c r="T1462">
        <v>5000</v>
      </c>
      <c r="U1462" t="s">
        <v>3350</v>
      </c>
      <c r="Z1462" s="37">
        <v>0.01</v>
      </c>
      <c r="AA1462" s="37">
        <v>0.35</v>
      </c>
      <c r="AB1462">
        <v>0</v>
      </c>
    </row>
    <row r="1463">
      <c r="A1463" t="s">
        <v>4117</v>
      </c>
      <c r="B1463" t="s">
        <v>3662</v>
      </c>
      <c r="C1463" t="s">
        <v>3662</v>
      </c>
      <c r="D1463" t="s">
        <v>999</v>
      </c>
      <c r="E1463" t="s">
        <v>4118</v>
      </c>
      <c r="F1463" t="s">
        <v>298</v>
      </c>
      <c r="G1463" t="s">
        <v>4087</v>
      </c>
      <c r="H1463" t="s">
        <v>4113</v>
      </c>
      <c r="I1463" t="s">
        <v>4125</v>
      </c>
      <c r="J1463" t="s">
        <v>2502</v>
      </c>
      <c r="K1463" t="s">
        <v>4126</v>
      </c>
      <c r="L1463" t="s">
        <v>4127</v>
      </c>
      <c r="M1463" s="37">
        <v>2.878</v>
      </c>
      <c r="N1463" s="37">
        <v>0.1</v>
      </c>
      <c r="O1463">
        <v>1.5</v>
      </c>
      <c r="P1463" s="37">
        <v>0.7282</v>
      </c>
      <c r="Q1463">
        <v>0.51</v>
      </c>
      <c r="R1463">
        <v>3867.98</v>
      </c>
      <c r="S1463">
        <v>3867.98</v>
      </c>
      <c r="T1463">
        <v>5000</v>
      </c>
      <c r="U1463" t="s">
        <v>3350</v>
      </c>
      <c r="Z1463" s="37">
        <v>0.01</v>
      </c>
      <c r="AA1463" s="37">
        <v>0.35</v>
      </c>
      <c r="AB1463">
        <v>0</v>
      </c>
    </row>
    <row r="1464">
      <c r="A1464" t="s">
        <v>4128</v>
      </c>
      <c r="B1464" t="s">
        <v>3662</v>
      </c>
      <c r="C1464" t="s">
        <v>3662</v>
      </c>
      <c r="D1464" t="s">
        <v>999</v>
      </c>
      <c r="E1464" t="s">
        <v>4129</v>
      </c>
      <c r="F1464" t="s">
        <v>298</v>
      </c>
      <c r="G1464" t="s">
        <v>4087</v>
      </c>
      <c r="H1464" t="s">
        <v>4097</v>
      </c>
      <c r="I1464" t="s">
        <v>4130</v>
      </c>
      <c r="J1464" t="s">
        <v>1585</v>
      </c>
      <c r="K1464" t="s">
        <v>4131</v>
      </c>
      <c r="L1464" t="s">
        <v>4127</v>
      </c>
      <c r="M1464" s="37">
        <v>0.29</v>
      </c>
      <c r="N1464" s="37">
        <v>0.5</v>
      </c>
      <c r="O1464">
        <v>0.29</v>
      </c>
      <c r="P1464" s="37">
        <v>0.5492</v>
      </c>
      <c r="Q1464">
        <v>0.58</v>
      </c>
      <c r="R1464">
        <v>0</v>
      </c>
      <c r="S1464">
        <v>0</v>
      </c>
      <c r="T1464">
        <v>5000</v>
      </c>
      <c r="U1464" t="s">
        <v>3350</v>
      </c>
      <c r="Z1464" s="37">
        <v>0.01</v>
      </c>
      <c r="AA1464" s="37">
        <v>0.35</v>
      </c>
      <c r="AB1464">
        <v>0</v>
      </c>
    </row>
    <row r="1465">
      <c r="A1465" t="s">
        <v>4128</v>
      </c>
      <c r="B1465" t="s">
        <v>3662</v>
      </c>
      <c r="C1465" t="s">
        <v>3662</v>
      </c>
      <c r="D1465" t="s">
        <v>999</v>
      </c>
      <c r="E1465" t="s">
        <v>4129</v>
      </c>
      <c r="F1465" t="s">
        <v>298</v>
      </c>
      <c r="G1465" t="s">
        <v>4087</v>
      </c>
      <c r="H1465" t="s">
        <v>4088</v>
      </c>
      <c r="I1465" t="s">
        <v>4132</v>
      </c>
      <c r="J1465">
        <v>2.15</v>
      </c>
      <c r="K1465">
        <v>2.17</v>
      </c>
      <c r="L1465" t="s">
        <v>4127</v>
      </c>
      <c r="M1465" s="37">
        <v>1</v>
      </c>
      <c r="N1465" s="37">
        <v>0.15</v>
      </c>
      <c r="O1465">
        <v>1</v>
      </c>
      <c r="P1465" s="37">
        <v>0.5492</v>
      </c>
      <c r="Q1465">
        <v>0.58</v>
      </c>
      <c r="R1465">
        <v>0</v>
      </c>
      <c r="S1465">
        <v>0</v>
      </c>
      <c r="T1465">
        <v>5000</v>
      </c>
      <c r="U1465" t="s">
        <v>3350</v>
      </c>
      <c r="Z1465" s="37">
        <v>0.01</v>
      </c>
      <c r="AA1465" s="37">
        <v>0.35</v>
      </c>
      <c r="AB1465">
        <v>0</v>
      </c>
    </row>
    <row r="1466">
      <c r="A1466" t="s">
        <v>4128</v>
      </c>
      <c r="B1466" t="s">
        <v>3662</v>
      </c>
      <c r="C1466" t="s">
        <v>3662</v>
      </c>
      <c r="D1466" t="s">
        <v>999</v>
      </c>
      <c r="E1466" t="s">
        <v>4129</v>
      </c>
      <c r="F1466" t="s">
        <v>298</v>
      </c>
      <c r="G1466" t="s">
        <v>4087</v>
      </c>
      <c r="H1466" t="s">
        <v>4113</v>
      </c>
      <c r="I1466" t="s">
        <v>4133</v>
      </c>
      <c r="J1466" t="s">
        <v>709</v>
      </c>
      <c r="K1466" t="s">
        <v>709</v>
      </c>
      <c r="L1466" t="s">
        <v>4127</v>
      </c>
      <c r="M1466" s="37">
        <v>1</v>
      </c>
      <c r="N1466" s="37">
        <v>0.25</v>
      </c>
      <c r="O1466">
        <v>1</v>
      </c>
      <c r="P1466" s="37">
        <v>0.5492</v>
      </c>
      <c r="Q1466">
        <v>0.58</v>
      </c>
      <c r="R1466">
        <v>0</v>
      </c>
      <c r="S1466">
        <v>0</v>
      </c>
      <c r="T1466">
        <v>5000</v>
      </c>
      <c r="U1466" t="s">
        <v>3350</v>
      </c>
      <c r="Z1466" s="37">
        <v>0.01</v>
      </c>
      <c r="AA1466" s="37">
        <v>0.35</v>
      </c>
      <c r="AB1466">
        <v>0</v>
      </c>
    </row>
    <row r="1467">
      <c r="A1467" t="s">
        <v>4128</v>
      </c>
      <c r="B1467" t="s">
        <v>3662</v>
      </c>
      <c r="C1467" t="s">
        <v>3662</v>
      </c>
      <c r="D1467" t="s">
        <v>999</v>
      </c>
      <c r="E1467" t="s">
        <v>4129</v>
      </c>
      <c r="F1467" t="s">
        <v>298</v>
      </c>
      <c r="G1467" t="s">
        <v>4087</v>
      </c>
      <c r="H1467" t="s">
        <v>4097</v>
      </c>
      <c r="I1467" t="s">
        <v>4134</v>
      </c>
      <c r="J1467" t="s">
        <v>1053</v>
      </c>
      <c r="K1467" t="s">
        <v>3586</v>
      </c>
      <c r="L1467" t="s">
        <v>4127</v>
      </c>
      <c r="M1467" s="37">
        <v>0.042</v>
      </c>
      <c r="N1467" s="37">
        <v>0.1</v>
      </c>
      <c r="O1467">
        <v>0.0336</v>
      </c>
      <c r="P1467" s="37">
        <v>0.5492</v>
      </c>
      <c r="Q1467">
        <v>0.58</v>
      </c>
      <c r="R1467">
        <v>0</v>
      </c>
      <c r="S1467">
        <v>0</v>
      </c>
      <c r="T1467">
        <v>5000</v>
      </c>
      <c r="U1467" t="s">
        <v>3350</v>
      </c>
      <c r="Z1467" s="37">
        <v>0.01</v>
      </c>
      <c r="AA1467" s="37">
        <v>0.35</v>
      </c>
      <c r="AB1467">
        <v>0</v>
      </c>
    </row>
    <row r="1468">
      <c r="A1468" t="s">
        <v>4135</v>
      </c>
      <c r="B1468" t="s">
        <v>3662</v>
      </c>
      <c r="C1468" t="s">
        <v>3662</v>
      </c>
      <c r="D1468" t="s">
        <v>999</v>
      </c>
      <c r="E1468" t="s">
        <v>4136</v>
      </c>
      <c r="F1468" t="s">
        <v>298</v>
      </c>
      <c r="G1468" t="s">
        <v>4087</v>
      </c>
      <c r="H1468" t="s">
        <v>4097</v>
      </c>
      <c r="I1468" t="s">
        <v>4137</v>
      </c>
      <c r="J1468" t="s">
        <v>4138</v>
      </c>
      <c r="K1468" t="s">
        <v>4139</v>
      </c>
      <c r="L1468" t="s">
        <v>4140</v>
      </c>
      <c r="M1468" s="37">
        <v>0.7124</v>
      </c>
      <c r="N1468" s="37">
        <v>0.5</v>
      </c>
      <c r="O1468">
        <v>0.9</v>
      </c>
      <c r="P1468" s="37">
        <v>0.66617</v>
      </c>
      <c r="Q1468">
        <v>0.84</v>
      </c>
      <c r="R1468">
        <v>0</v>
      </c>
      <c r="S1468">
        <v>0</v>
      </c>
      <c r="T1468">
        <v>5000</v>
      </c>
      <c r="U1468" t="s">
        <v>3350</v>
      </c>
      <c r="Z1468" s="37">
        <v>0.01</v>
      </c>
      <c r="AA1468" s="37">
        <v>0.35</v>
      </c>
      <c r="AB1468">
        <v>0</v>
      </c>
    </row>
    <row r="1469">
      <c r="A1469" t="s">
        <v>4135</v>
      </c>
      <c r="B1469" t="s">
        <v>3662</v>
      </c>
      <c r="C1469" t="s">
        <v>3662</v>
      </c>
      <c r="D1469" t="s">
        <v>999</v>
      </c>
      <c r="E1469" t="s">
        <v>4136</v>
      </c>
      <c r="F1469" t="s">
        <v>298</v>
      </c>
      <c r="G1469" t="s">
        <v>4087</v>
      </c>
      <c r="H1469" t="s">
        <v>4088</v>
      </c>
      <c r="I1469" t="s">
        <v>4141</v>
      </c>
      <c r="J1469" t="s">
        <v>4142</v>
      </c>
      <c r="K1469" t="s">
        <v>4143</v>
      </c>
      <c r="L1469" t="s">
        <v>4144</v>
      </c>
      <c r="M1469" s="37">
        <v>0.5281</v>
      </c>
      <c r="N1469" s="37">
        <v>0.15</v>
      </c>
      <c r="O1469">
        <v>0.8</v>
      </c>
      <c r="P1469" s="37">
        <v>0.66617</v>
      </c>
      <c r="Q1469">
        <v>0.84</v>
      </c>
      <c r="R1469">
        <v>0</v>
      </c>
      <c r="S1469">
        <v>0</v>
      </c>
      <c r="T1469">
        <v>5000</v>
      </c>
      <c r="U1469" t="s">
        <v>3350</v>
      </c>
      <c r="Z1469" s="37">
        <v>0.01</v>
      </c>
      <c r="AA1469" s="37">
        <v>0.35</v>
      </c>
      <c r="AB1469">
        <v>0</v>
      </c>
    </row>
    <row r="1470">
      <c r="A1470" t="s">
        <v>4135</v>
      </c>
      <c r="B1470" t="s">
        <v>3662</v>
      </c>
      <c r="C1470" t="s">
        <v>3662</v>
      </c>
      <c r="D1470" t="s">
        <v>999</v>
      </c>
      <c r="E1470" t="s">
        <v>4136</v>
      </c>
      <c r="F1470" t="s">
        <v>298</v>
      </c>
      <c r="G1470" t="s">
        <v>4087</v>
      </c>
      <c r="H1470" t="s">
        <v>4091</v>
      </c>
      <c r="I1470" t="s">
        <v>4145</v>
      </c>
      <c r="J1470" t="s">
        <v>3245</v>
      </c>
      <c r="K1470" t="s">
        <v>4146</v>
      </c>
      <c r="L1470" t="s">
        <v>4147</v>
      </c>
      <c r="M1470" s="37">
        <v>0.6593</v>
      </c>
      <c r="N1470" s="37">
        <v>0.35</v>
      </c>
      <c r="O1470">
        <v>0.77</v>
      </c>
      <c r="P1470" s="37">
        <v>0.66617</v>
      </c>
      <c r="Q1470">
        <v>0.84</v>
      </c>
      <c r="R1470">
        <v>0</v>
      </c>
      <c r="S1470">
        <v>0</v>
      </c>
      <c r="T1470">
        <v>5000</v>
      </c>
      <c r="U1470" t="s">
        <v>3350</v>
      </c>
      <c r="Z1470" s="37">
        <v>0.01</v>
      </c>
      <c r="AA1470" s="37">
        <v>0.35</v>
      </c>
      <c r="AB1470">
        <v>0</v>
      </c>
    </row>
    <row r="1471">
      <c r="A1471" t="s">
        <v>4148</v>
      </c>
      <c r="B1471" t="s">
        <v>3306</v>
      </c>
      <c r="C1471" t="s">
        <v>3306</v>
      </c>
      <c r="D1471" t="s">
        <v>4149</v>
      </c>
      <c r="E1471" t="s">
        <v>4150</v>
      </c>
      <c r="F1471" t="s">
        <v>298</v>
      </c>
      <c r="G1471" t="s">
        <v>4151</v>
      </c>
      <c r="H1471" t="s">
        <v>4152</v>
      </c>
      <c r="I1471" t="s">
        <v>1822</v>
      </c>
      <c r="J1471" s="38">
        <v>1</v>
      </c>
      <c r="L1471" t="s">
        <v>4147</v>
      </c>
      <c r="M1471" s="37">
        <v>0.2</v>
      </c>
      <c r="N1471" s="37">
        <v>0.2</v>
      </c>
      <c r="O1471">
        <v>1</v>
      </c>
      <c r="P1471" s="37">
        <v>0.798</v>
      </c>
      <c r="Q1471">
        <v>1.1</v>
      </c>
      <c r="R1471">
        <v>880</v>
      </c>
      <c r="S1471">
        <v>880</v>
      </c>
      <c r="T1471">
        <v>800</v>
      </c>
      <c r="U1471" t="s">
        <v>3350</v>
      </c>
      <c r="Z1471" s="37">
        <v>0.01</v>
      </c>
      <c r="AA1471" s="37">
        <v>0.35</v>
      </c>
      <c r="AB1471">
        <v>0</v>
      </c>
    </row>
    <row r="1472">
      <c r="A1472" t="s">
        <v>4148</v>
      </c>
      <c r="B1472" t="s">
        <v>3306</v>
      </c>
      <c r="C1472" t="s">
        <v>3306</v>
      </c>
      <c r="D1472" t="s">
        <v>4149</v>
      </c>
      <c r="E1472" t="s">
        <v>4150</v>
      </c>
      <c r="F1472" t="s">
        <v>298</v>
      </c>
      <c r="G1472" t="s">
        <v>4151</v>
      </c>
      <c r="H1472" t="s">
        <v>4153</v>
      </c>
      <c r="I1472" t="s">
        <v>1822</v>
      </c>
      <c r="J1472" s="38">
        <v>1</v>
      </c>
      <c r="L1472" t="s">
        <v>4147</v>
      </c>
      <c r="M1472" s="37">
        <v>1</v>
      </c>
      <c r="N1472" s="37">
        <v>0.3</v>
      </c>
      <c r="O1472">
        <v>1</v>
      </c>
      <c r="P1472" s="37">
        <v>0.798</v>
      </c>
      <c r="Q1472">
        <v>1.1</v>
      </c>
      <c r="R1472">
        <v>880</v>
      </c>
      <c r="S1472">
        <v>880</v>
      </c>
      <c r="T1472">
        <v>800</v>
      </c>
      <c r="U1472" t="s">
        <v>3350</v>
      </c>
      <c r="Z1472" s="37">
        <v>0.01</v>
      </c>
      <c r="AA1472" s="37">
        <v>0.35</v>
      </c>
      <c r="AB1472">
        <v>0</v>
      </c>
    </row>
    <row r="1473">
      <c r="A1473" t="s">
        <v>4148</v>
      </c>
      <c r="B1473" t="s">
        <v>3306</v>
      </c>
      <c r="C1473" t="s">
        <v>3306</v>
      </c>
      <c r="D1473" t="s">
        <v>4149</v>
      </c>
      <c r="E1473" t="s">
        <v>4150</v>
      </c>
      <c r="F1473" t="s">
        <v>298</v>
      </c>
      <c r="G1473" t="s">
        <v>4151</v>
      </c>
      <c r="H1473" t="s">
        <v>4154</v>
      </c>
      <c r="I1473" t="s">
        <v>1822</v>
      </c>
      <c r="J1473" s="38">
        <v>1</v>
      </c>
      <c r="L1473" t="s">
        <v>4147</v>
      </c>
      <c r="M1473" s="37">
        <v>0.916</v>
      </c>
      <c r="N1473" s="37">
        <v>0.5</v>
      </c>
      <c r="O1473">
        <v>0.916</v>
      </c>
      <c r="P1473" s="37">
        <v>0.798</v>
      </c>
      <c r="Q1473">
        <v>1.1</v>
      </c>
      <c r="R1473">
        <v>880</v>
      </c>
      <c r="S1473">
        <v>880</v>
      </c>
      <c r="T1473">
        <v>800</v>
      </c>
      <c r="U1473" t="s">
        <v>3350</v>
      </c>
      <c r="Z1473" s="37">
        <v>0.01</v>
      </c>
      <c r="AA1473" s="37">
        <v>0.35</v>
      </c>
      <c r="AB1473">
        <v>0</v>
      </c>
    </row>
    <row r="1474">
      <c r="A1474" t="s">
        <v>4155</v>
      </c>
      <c r="B1474" t="s">
        <v>3306</v>
      </c>
      <c r="C1474" t="s">
        <v>3306</v>
      </c>
      <c r="D1474" t="s">
        <v>4149</v>
      </c>
      <c r="E1474" t="s">
        <v>4156</v>
      </c>
      <c r="F1474" t="s">
        <v>298</v>
      </c>
      <c r="G1474" t="s">
        <v>4151</v>
      </c>
      <c r="H1474" t="s">
        <v>4152</v>
      </c>
      <c r="I1474" t="s">
        <v>1822</v>
      </c>
      <c r="J1474" s="38">
        <v>0.3</v>
      </c>
      <c r="L1474" t="s">
        <v>4147</v>
      </c>
      <c r="M1474" s="37">
        <v>1</v>
      </c>
      <c r="N1474" s="37">
        <v>0.3</v>
      </c>
      <c r="O1474">
        <v>1</v>
      </c>
      <c r="P1474" s="37">
        <v>0.9665</v>
      </c>
      <c r="Q1474">
        <v>1.08</v>
      </c>
      <c r="R1474">
        <v>864</v>
      </c>
      <c r="S1474">
        <v>864</v>
      </c>
      <c r="T1474">
        <v>800</v>
      </c>
      <c r="U1474" t="s">
        <v>3350</v>
      </c>
      <c r="Z1474" s="37">
        <v>0.01</v>
      </c>
      <c r="AA1474" s="37">
        <v>0.35</v>
      </c>
      <c r="AB1474">
        <v>0</v>
      </c>
    </row>
    <row r="1475">
      <c r="A1475" t="s">
        <v>4155</v>
      </c>
      <c r="B1475" t="s">
        <v>3306</v>
      </c>
      <c r="C1475" t="s">
        <v>3306</v>
      </c>
      <c r="D1475" t="s">
        <v>4149</v>
      </c>
      <c r="E1475" t="s">
        <v>4156</v>
      </c>
      <c r="F1475" t="s">
        <v>298</v>
      </c>
      <c r="G1475" t="s">
        <v>4151</v>
      </c>
      <c r="H1475" t="s">
        <v>4153</v>
      </c>
      <c r="I1475" t="s">
        <v>1822</v>
      </c>
      <c r="J1475" s="38">
        <v>0.5</v>
      </c>
      <c r="L1475" t="s">
        <v>4147</v>
      </c>
      <c r="M1475" s="37">
        <v>0.933</v>
      </c>
      <c r="N1475" s="37">
        <v>0.5</v>
      </c>
      <c r="O1475">
        <v>0.933</v>
      </c>
      <c r="P1475" s="37">
        <v>0.9665</v>
      </c>
      <c r="Q1475">
        <v>1.08</v>
      </c>
      <c r="R1475">
        <v>864</v>
      </c>
      <c r="S1475">
        <v>864</v>
      </c>
      <c r="T1475">
        <v>800</v>
      </c>
      <c r="U1475" t="s">
        <v>3350</v>
      </c>
      <c r="Z1475" s="37">
        <v>0.01</v>
      </c>
      <c r="AA1475" s="37">
        <v>0.35</v>
      </c>
      <c r="AB1475">
        <v>0</v>
      </c>
    </row>
    <row r="1476">
      <c r="A1476" t="s">
        <v>4155</v>
      </c>
      <c r="B1476" t="s">
        <v>3306</v>
      </c>
      <c r="C1476" t="s">
        <v>3306</v>
      </c>
      <c r="D1476" t="s">
        <v>4149</v>
      </c>
      <c r="E1476" t="s">
        <v>4156</v>
      </c>
      <c r="F1476" t="s">
        <v>298</v>
      </c>
      <c r="G1476" t="s">
        <v>4151</v>
      </c>
      <c r="H1476" t="s">
        <v>4154</v>
      </c>
      <c r="I1476" t="s">
        <v>1822</v>
      </c>
      <c r="J1476" s="38">
        <v>0.2</v>
      </c>
      <c r="L1476" t="s">
        <v>4147</v>
      </c>
      <c r="M1476" s="37">
        <v>1</v>
      </c>
      <c r="N1476" s="37">
        <v>0.2</v>
      </c>
      <c r="O1476">
        <v>1</v>
      </c>
      <c r="P1476" s="37">
        <v>0.9665</v>
      </c>
      <c r="Q1476">
        <v>1.08</v>
      </c>
      <c r="R1476">
        <v>864</v>
      </c>
      <c r="S1476">
        <v>864</v>
      </c>
      <c r="T1476">
        <v>800</v>
      </c>
      <c r="U1476" t="s">
        <v>3350</v>
      </c>
      <c r="Z1476" s="37">
        <v>0.01</v>
      </c>
      <c r="AA1476" s="37">
        <v>0.35</v>
      </c>
      <c r="AB1476">
        <v>0</v>
      </c>
    </row>
    <row r="1477">
      <c r="A1477" t="s">
        <v>4157</v>
      </c>
      <c r="B1477" t="s">
        <v>3306</v>
      </c>
      <c r="C1477" t="s">
        <v>3306</v>
      </c>
      <c r="D1477" t="s">
        <v>4158</v>
      </c>
      <c r="E1477" t="s">
        <v>4159</v>
      </c>
      <c r="F1477" t="s">
        <v>298</v>
      </c>
      <c r="G1477" t="s">
        <v>4160</v>
      </c>
      <c r="H1477" t="s">
        <v>4161</v>
      </c>
      <c r="I1477" t="s">
        <v>4161</v>
      </c>
      <c r="J1477" s="38">
        <v>0.2</v>
      </c>
      <c r="K1477">
        <v>1</v>
      </c>
      <c r="L1477" t="s">
        <v>4147</v>
      </c>
      <c r="M1477" s="37">
        <v>1</v>
      </c>
      <c r="N1477" s="37">
        <v>0.25</v>
      </c>
      <c r="O1477">
        <v>1</v>
      </c>
      <c r="P1477" s="37">
        <v>0.75</v>
      </c>
      <c r="Q1477">
        <v>0.75</v>
      </c>
      <c r="R1477">
        <v>900</v>
      </c>
      <c r="S1477">
        <v>900</v>
      </c>
      <c r="T1477">
        <v>1200</v>
      </c>
      <c r="U1477" t="s">
        <v>3350</v>
      </c>
      <c r="Z1477" s="37">
        <v>0.01</v>
      </c>
      <c r="AA1477" s="37">
        <v>0.35</v>
      </c>
      <c r="AB1477">
        <v>0</v>
      </c>
    </row>
    <row r="1478">
      <c r="A1478" t="s">
        <v>4157</v>
      </c>
      <c r="B1478" t="s">
        <v>3306</v>
      </c>
      <c r="C1478" t="s">
        <v>3306</v>
      </c>
      <c r="D1478" t="s">
        <v>4158</v>
      </c>
      <c r="E1478" t="s">
        <v>4159</v>
      </c>
      <c r="F1478" t="s">
        <v>298</v>
      </c>
      <c r="G1478" t="s">
        <v>4160</v>
      </c>
      <c r="H1478" t="s">
        <v>4162</v>
      </c>
      <c r="I1478" t="s">
        <v>4163</v>
      </c>
      <c r="J1478" t="s">
        <v>588</v>
      </c>
      <c r="K1478" t="s">
        <v>4164</v>
      </c>
      <c r="L1478" t="s">
        <v>4147</v>
      </c>
      <c r="M1478" s="37">
        <v>0</v>
      </c>
      <c r="N1478" s="37">
        <v>0.25</v>
      </c>
      <c r="O1478">
        <v>0</v>
      </c>
      <c r="P1478" s="37">
        <v>0.75</v>
      </c>
      <c r="Q1478">
        <v>0.75</v>
      </c>
      <c r="R1478">
        <v>900</v>
      </c>
      <c r="S1478">
        <v>900</v>
      </c>
      <c r="T1478">
        <v>1200</v>
      </c>
      <c r="U1478" t="s">
        <v>3350</v>
      </c>
      <c r="Z1478" s="37">
        <v>0.01</v>
      </c>
      <c r="AA1478" s="37">
        <v>0.35</v>
      </c>
      <c r="AB1478">
        <v>0</v>
      </c>
    </row>
    <row r="1479">
      <c r="A1479" t="s">
        <v>4157</v>
      </c>
      <c r="B1479" t="s">
        <v>3306</v>
      </c>
      <c r="C1479" t="s">
        <v>3306</v>
      </c>
      <c r="D1479" t="s">
        <v>4158</v>
      </c>
      <c r="E1479" t="s">
        <v>4159</v>
      </c>
      <c r="F1479" t="s">
        <v>298</v>
      </c>
      <c r="G1479" t="s">
        <v>4160</v>
      </c>
      <c r="H1479" t="s">
        <v>4162</v>
      </c>
      <c r="I1479" t="s">
        <v>4165</v>
      </c>
      <c r="J1479" t="s">
        <v>586</v>
      </c>
      <c r="K1479" t="s">
        <v>586</v>
      </c>
      <c r="L1479" t="s">
        <v>4147</v>
      </c>
      <c r="M1479" s="37">
        <v>1</v>
      </c>
      <c r="N1479" s="37">
        <v>0.2</v>
      </c>
      <c r="O1479">
        <v>1</v>
      </c>
      <c r="P1479" s="37">
        <v>0.75</v>
      </c>
      <c r="Q1479">
        <v>0.75</v>
      </c>
      <c r="R1479">
        <v>900</v>
      </c>
      <c r="S1479">
        <v>900</v>
      </c>
      <c r="T1479">
        <v>1200</v>
      </c>
      <c r="U1479" t="s">
        <v>3350</v>
      </c>
      <c r="Z1479" s="37">
        <v>0.01</v>
      </c>
      <c r="AA1479" s="37">
        <v>0.35</v>
      </c>
      <c r="AB1479">
        <v>0</v>
      </c>
    </row>
    <row r="1480">
      <c r="A1480" t="s">
        <v>4157</v>
      </c>
      <c r="B1480" t="s">
        <v>3306</v>
      </c>
      <c r="C1480" t="s">
        <v>3306</v>
      </c>
      <c r="D1480" t="s">
        <v>4158</v>
      </c>
      <c r="E1480" t="s">
        <v>4159</v>
      </c>
      <c r="F1480" t="s">
        <v>298</v>
      </c>
      <c r="G1480" t="s">
        <v>4160</v>
      </c>
      <c r="H1480" t="s">
        <v>4166</v>
      </c>
      <c r="I1480" t="s">
        <v>4167</v>
      </c>
      <c r="K1480">
        <v>1</v>
      </c>
      <c r="L1480" t="s">
        <v>4147</v>
      </c>
      <c r="M1480" s="37">
        <v>1</v>
      </c>
      <c r="N1480" s="37">
        <v>0.3</v>
      </c>
      <c r="O1480">
        <v>1</v>
      </c>
      <c r="P1480" s="37">
        <v>0.75</v>
      </c>
      <c r="Q1480">
        <v>0.75</v>
      </c>
      <c r="R1480">
        <v>900</v>
      </c>
      <c r="S1480">
        <v>900</v>
      </c>
      <c r="T1480">
        <v>1200</v>
      </c>
      <c r="U1480" t="s">
        <v>3350</v>
      </c>
      <c r="Z1480" s="37">
        <v>0.01</v>
      </c>
      <c r="AA1480" s="37">
        <v>0.35</v>
      </c>
      <c r="AB1480">
        <v>0</v>
      </c>
    </row>
    <row r="1481">
      <c r="A1481" t="s">
        <v>4168</v>
      </c>
      <c r="B1481" t="s">
        <v>3306</v>
      </c>
      <c r="C1481" t="s">
        <v>3306</v>
      </c>
      <c r="D1481" t="s">
        <v>4158</v>
      </c>
      <c r="E1481" t="s">
        <v>4169</v>
      </c>
      <c r="F1481" t="s">
        <v>298</v>
      </c>
      <c r="G1481" t="s">
        <v>4160</v>
      </c>
      <c r="H1481" t="s">
        <v>4161</v>
      </c>
      <c r="I1481" t="s">
        <v>4170</v>
      </c>
      <c r="K1481">
        <v>100</v>
      </c>
      <c r="L1481" t="s">
        <v>4171</v>
      </c>
      <c r="M1481" s="37">
        <v>1</v>
      </c>
      <c r="N1481" s="37">
        <v>1</v>
      </c>
      <c r="O1481">
        <v>100</v>
      </c>
      <c r="P1481" s="37">
        <v>1</v>
      </c>
      <c r="Q1481">
        <v>1</v>
      </c>
      <c r="R1481">
        <v>0</v>
      </c>
      <c r="S1481">
        <v>0</v>
      </c>
      <c r="T1481">
        <v>1200</v>
      </c>
      <c r="U1481" t="s">
        <v>3350</v>
      </c>
      <c r="Z1481" s="37">
        <v>0.01</v>
      </c>
      <c r="AA1481" s="37">
        <v>0.35</v>
      </c>
      <c r="AB1481">
        <v>0</v>
      </c>
    </row>
    <row r="1482">
      <c r="A1482" t="s">
        <v>4172</v>
      </c>
      <c r="B1482" t="s">
        <v>3662</v>
      </c>
      <c r="C1482" t="s">
        <v>3662</v>
      </c>
      <c r="D1482" t="s">
        <v>4173</v>
      </c>
      <c r="E1482" t="s">
        <v>4174</v>
      </c>
      <c r="F1482" t="s">
        <v>298</v>
      </c>
      <c r="G1482" t="s">
        <v>4175</v>
      </c>
      <c r="H1482" t="s">
        <v>4088</v>
      </c>
      <c r="I1482" t="s">
        <v>4176</v>
      </c>
      <c r="J1482" t="s">
        <v>2932</v>
      </c>
      <c r="K1482" t="s">
        <v>4177</v>
      </c>
      <c r="L1482" t="s">
        <v>4178</v>
      </c>
      <c r="M1482" s="37">
        <v>1.025</v>
      </c>
      <c r="N1482" s="37">
        <v>0.5</v>
      </c>
      <c r="O1482">
        <v>1.08</v>
      </c>
      <c r="P1482" s="37">
        <v>0.8178</v>
      </c>
      <c r="Q1482">
        <v>0.82</v>
      </c>
      <c r="R1482">
        <v>2395.83</v>
      </c>
      <c r="S1482">
        <v>2395.83</v>
      </c>
      <c r="T1482">
        <v>1200</v>
      </c>
      <c r="U1482" t="s">
        <v>3350</v>
      </c>
      <c r="Z1482" s="37">
        <v>0.01</v>
      </c>
      <c r="AA1482" s="37">
        <v>0.35</v>
      </c>
      <c r="AB1482">
        <v>0</v>
      </c>
    </row>
    <row r="1483">
      <c r="A1483" t="s">
        <v>4172</v>
      </c>
      <c r="B1483" t="s">
        <v>3662</v>
      </c>
      <c r="C1483" t="s">
        <v>3662</v>
      </c>
      <c r="D1483" t="s">
        <v>4173</v>
      </c>
      <c r="E1483" t="s">
        <v>4174</v>
      </c>
      <c r="F1483" t="s">
        <v>298</v>
      </c>
      <c r="G1483" t="s">
        <v>4175</v>
      </c>
      <c r="H1483" t="s">
        <v>4088</v>
      </c>
      <c r="I1483" t="s">
        <v>4179</v>
      </c>
      <c r="J1483" t="s">
        <v>1016</v>
      </c>
      <c r="K1483" t="s">
        <v>4180</v>
      </c>
      <c r="L1483" t="s">
        <v>4181</v>
      </c>
      <c r="M1483" s="37">
        <v>0.13</v>
      </c>
      <c r="N1483" s="37">
        <v>0.2</v>
      </c>
      <c r="O1483">
        <v>0</v>
      </c>
      <c r="P1483" s="37">
        <v>0.8178</v>
      </c>
      <c r="Q1483">
        <v>0.82</v>
      </c>
      <c r="R1483">
        <v>2395.83</v>
      </c>
      <c r="S1483">
        <v>2395.83</v>
      </c>
      <c r="T1483">
        <v>1200</v>
      </c>
      <c r="U1483" t="s">
        <v>3350</v>
      </c>
      <c r="Z1483" s="37">
        <v>0.01</v>
      </c>
      <c r="AA1483" s="37">
        <v>0.35</v>
      </c>
      <c r="AB1483">
        <v>0</v>
      </c>
    </row>
    <row r="1484">
      <c r="A1484" t="s">
        <v>4172</v>
      </c>
      <c r="B1484" t="s">
        <v>3662</v>
      </c>
      <c r="C1484" t="s">
        <v>3662</v>
      </c>
      <c r="D1484" t="s">
        <v>4173</v>
      </c>
      <c r="E1484" t="s">
        <v>4174</v>
      </c>
      <c r="F1484" t="s">
        <v>298</v>
      </c>
      <c r="G1484" t="s">
        <v>4175</v>
      </c>
      <c r="H1484" t="s">
        <v>4097</v>
      </c>
      <c r="I1484" t="s">
        <v>4182</v>
      </c>
      <c r="J1484" t="s">
        <v>3245</v>
      </c>
      <c r="K1484" t="s">
        <v>4183</v>
      </c>
      <c r="L1484" t="s">
        <v>4181</v>
      </c>
      <c r="M1484" s="37">
        <v>0.931</v>
      </c>
      <c r="N1484" s="37">
        <v>0.3</v>
      </c>
      <c r="O1484">
        <v>0.931</v>
      </c>
      <c r="P1484" s="37">
        <v>0.8178</v>
      </c>
      <c r="Q1484">
        <v>0.82</v>
      </c>
      <c r="R1484">
        <v>2395.83</v>
      </c>
      <c r="S1484">
        <v>2395.83</v>
      </c>
      <c r="T1484">
        <v>1200</v>
      </c>
      <c r="U1484" t="s">
        <v>3350</v>
      </c>
      <c r="Z1484" s="37">
        <v>0.01</v>
      </c>
      <c r="AA1484" s="37">
        <v>0.35</v>
      </c>
      <c r="AB1484">
        <v>0</v>
      </c>
    </row>
    <row r="1485">
      <c r="A1485" t="s">
        <v>4184</v>
      </c>
      <c r="B1485" t="s">
        <v>3662</v>
      </c>
      <c r="C1485" t="s">
        <v>3662</v>
      </c>
      <c r="D1485" t="s">
        <v>4173</v>
      </c>
      <c r="E1485" t="s">
        <v>4185</v>
      </c>
      <c r="F1485" t="s">
        <v>298</v>
      </c>
      <c r="G1485" t="s">
        <v>4175</v>
      </c>
      <c r="H1485" t="s">
        <v>4186</v>
      </c>
      <c r="I1485" t="s">
        <v>4187</v>
      </c>
      <c r="J1485" t="s">
        <v>4188</v>
      </c>
      <c r="K1485" t="s">
        <v>4189</v>
      </c>
      <c r="L1485" t="s">
        <v>4181</v>
      </c>
      <c r="M1485" s="37">
        <v>1.2</v>
      </c>
      <c r="N1485" s="37">
        <v>0.3</v>
      </c>
      <c r="O1485">
        <v>1.2</v>
      </c>
      <c r="P1485" s="37">
        <v>0.983</v>
      </c>
      <c r="Q1485">
        <v>0.99</v>
      </c>
      <c r="R1485">
        <v>2339.13</v>
      </c>
      <c r="S1485">
        <v>2339.13</v>
      </c>
      <c r="T1485">
        <v>1200</v>
      </c>
      <c r="U1485" t="s">
        <v>3350</v>
      </c>
      <c r="Z1485" s="37">
        <v>0.01</v>
      </c>
      <c r="AA1485" s="37">
        <v>0.35</v>
      </c>
      <c r="AB1485">
        <v>0</v>
      </c>
    </row>
    <row r="1486">
      <c r="A1486" t="s">
        <v>4184</v>
      </c>
      <c r="B1486" t="s">
        <v>3662</v>
      </c>
      <c r="C1486" t="s">
        <v>3662</v>
      </c>
      <c r="D1486" t="s">
        <v>4173</v>
      </c>
      <c r="E1486" t="s">
        <v>4185</v>
      </c>
      <c r="F1486" t="s">
        <v>298</v>
      </c>
      <c r="G1486" t="s">
        <v>4175</v>
      </c>
      <c r="H1486" t="s">
        <v>4097</v>
      </c>
      <c r="I1486" t="s">
        <v>4190</v>
      </c>
      <c r="J1486" t="s">
        <v>1219</v>
      </c>
      <c r="K1486" t="s">
        <v>4191</v>
      </c>
      <c r="L1486" t="s">
        <v>4181</v>
      </c>
      <c r="M1486" s="37">
        <v>0.89</v>
      </c>
      <c r="N1486" s="37">
        <v>0.7</v>
      </c>
      <c r="O1486">
        <v>0.893</v>
      </c>
      <c r="P1486" s="37">
        <v>0.983</v>
      </c>
      <c r="Q1486">
        <v>0.99</v>
      </c>
      <c r="R1486">
        <v>2339.13</v>
      </c>
      <c r="S1486">
        <v>2339.13</v>
      </c>
      <c r="T1486">
        <v>1200</v>
      </c>
      <c r="U1486" t="s">
        <v>3350</v>
      </c>
      <c r="Z1486" s="37">
        <v>0.01</v>
      </c>
      <c r="AA1486" s="37">
        <v>0.35</v>
      </c>
      <c r="AB1486">
        <v>0</v>
      </c>
    </row>
    <row r="1487">
      <c r="A1487" t="s">
        <v>4192</v>
      </c>
      <c r="B1487" t="s">
        <v>3662</v>
      </c>
      <c r="C1487" t="s">
        <v>3662</v>
      </c>
      <c r="D1487" t="s">
        <v>1013</v>
      </c>
      <c r="E1487" t="s">
        <v>4193</v>
      </c>
      <c r="F1487" t="s">
        <v>298</v>
      </c>
      <c r="G1487" t="s">
        <v>4175</v>
      </c>
      <c r="H1487" t="s">
        <v>4088</v>
      </c>
      <c r="I1487" t="s">
        <v>4194</v>
      </c>
      <c r="J1487" t="s">
        <v>3703</v>
      </c>
      <c r="K1487" t="s">
        <v>4195</v>
      </c>
      <c r="L1487" t="s">
        <v>4196</v>
      </c>
      <c r="M1487" s="37">
        <v>0.603608</v>
      </c>
      <c r="N1487" s="37">
        <v>0.75</v>
      </c>
      <c r="O1487">
        <v>0.6036</v>
      </c>
      <c r="P1487" s="37">
        <v>0.508444</v>
      </c>
      <c r="Q1487">
        <v>0.49</v>
      </c>
      <c r="R1487">
        <v>1638.8</v>
      </c>
      <c r="S1487">
        <v>1638.8</v>
      </c>
      <c r="T1487">
        <v>1500</v>
      </c>
      <c r="U1487" t="s">
        <v>3350</v>
      </c>
      <c r="Z1487" s="37">
        <v>0.01</v>
      </c>
      <c r="AA1487" s="37">
        <v>0.35</v>
      </c>
      <c r="AB1487">
        <v>0</v>
      </c>
    </row>
    <row r="1488">
      <c r="A1488" t="s">
        <v>4192</v>
      </c>
      <c r="B1488" t="s">
        <v>3662</v>
      </c>
      <c r="C1488" t="s">
        <v>3662</v>
      </c>
      <c r="D1488" t="s">
        <v>1013</v>
      </c>
      <c r="E1488" t="s">
        <v>4193</v>
      </c>
      <c r="F1488" t="s">
        <v>298</v>
      </c>
      <c r="G1488" t="s">
        <v>4175</v>
      </c>
      <c r="H1488" t="s">
        <v>4088</v>
      </c>
      <c r="I1488" t="s">
        <v>4197</v>
      </c>
      <c r="J1488" t="s">
        <v>1016</v>
      </c>
      <c r="K1488" t="s">
        <v>4198</v>
      </c>
      <c r="L1488" t="s">
        <v>4199</v>
      </c>
      <c r="M1488" s="37">
        <v>0.11</v>
      </c>
      <c r="N1488" s="37">
        <v>0.2</v>
      </c>
      <c r="O1488">
        <v>0</v>
      </c>
      <c r="P1488" s="37">
        <v>0.508444</v>
      </c>
      <c r="Q1488">
        <v>0.49</v>
      </c>
      <c r="R1488">
        <v>1638.8</v>
      </c>
      <c r="S1488">
        <v>1638.8</v>
      </c>
      <c r="T1488">
        <v>1500</v>
      </c>
      <c r="U1488" t="s">
        <v>3350</v>
      </c>
      <c r="Z1488" s="37">
        <v>0.01</v>
      </c>
      <c r="AA1488" s="37">
        <v>0.35</v>
      </c>
      <c r="AB1488">
        <v>0</v>
      </c>
    </row>
    <row r="1489">
      <c r="A1489" t="s">
        <v>4192</v>
      </c>
      <c r="B1489" t="s">
        <v>3662</v>
      </c>
      <c r="C1489" t="s">
        <v>3662</v>
      </c>
      <c r="D1489" t="s">
        <v>1013</v>
      </c>
      <c r="E1489" t="s">
        <v>4193</v>
      </c>
      <c r="F1489" t="s">
        <v>298</v>
      </c>
      <c r="G1489" t="s">
        <v>4175</v>
      </c>
      <c r="H1489" t="s">
        <v>4113</v>
      </c>
      <c r="I1489" t="s">
        <v>4200</v>
      </c>
      <c r="J1489" t="s">
        <v>1585</v>
      </c>
      <c r="K1489" t="s">
        <v>4201</v>
      </c>
      <c r="L1489" t="s">
        <v>4202</v>
      </c>
      <c r="M1489" s="37">
        <v>0.674763</v>
      </c>
      <c r="N1489" s="37">
        <v>0.05</v>
      </c>
      <c r="O1489">
        <v>0.6748</v>
      </c>
      <c r="P1489" s="37">
        <v>0.508444</v>
      </c>
      <c r="Q1489">
        <v>0.49</v>
      </c>
      <c r="R1489">
        <v>1638.8</v>
      </c>
      <c r="S1489">
        <v>1638.8</v>
      </c>
      <c r="T1489">
        <v>1500</v>
      </c>
      <c r="U1489" t="s">
        <v>3350</v>
      </c>
      <c r="Z1489" s="37">
        <v>0.01</v>
      </c>
      <c r="AA1489" s="37">
        <v>0.35</v>
      </c>
      <c r="AB1489">
        <v>0</v>
      </c>
    </row>
    <row r="1490">
      <c r="A1490" t="s">
        <v>4203</v>
      </c>
      <c r="B1490" t="s">
        <v>3662</v>
      </c>
      <c r="C1490" t="s">
        <v>3662</v>
      </c>
      <c r="D1490" t="s">
        <v>1013</v>
      </c>
      <c r="E1490" t="s">
        <v>4204</v>
      </c>
      <c r="F1490" t="s">
        <v>298</v>
      </c>
      <c r="G1490" t="s">
        <v>4175</v>
      </c>
      <c r="H1490" t="s">
        <v>4088</v>
      </c>
      <c r="I1490" t="s">
        <v>4205</v>
      </c>
      <c r="J1490" t="s">
        <v>4206</v>
      </c>
      <c r="K1490" t="s">
        <v>4207</v>
      </c>
      <c r="M1490" s="37">
        <v>0.5443</v>
      </c>
      <c r="N1490" s="37">
        <v>0.25</v>
      </c>
      <c r="O1490">
        <v>0.5443</v>
      </c>
      <c r="P1490" s="37">
        <v>0.562465</v>
      </c>
      <c r="Q1490">
        <v>0.61</v>
      </c>
      <c r="R1490">
        <v>1198.5</v>
      </c>
      <c r="S1490">
        <v>1198.5</v>
      </c>
      <c r="T1490">
        <v>1500</v>
      </c>
      <c r="U1490" t="s">
        <v>3350</v>
      </c>
      <c r="Z1490" s="37">
        <v>0.01</v>
      </c>
      <c r="AA1490" s="37">
        <v>0.35</v>
      </c>
      <c r="AB1490">
        <v>0</v>
      </c>
    </row>
    <row r="1491">
      <c r="A1491" t="s">
        <v>4203</v>
      </c>
      <c r="B1491" t="s">
        <v>3662</v>
      </c>
      <c r="C1491" t="s">
        <v>3662</v>
      </c>
      <c r="D1491" t="s">
        <v>1013</v>
      </c>
      <c r="E1491" t="s">
        <v>4204</v>
      </c>
      <c r="F1491" t="s">
        <v>298</v>
      </c>
      <c r="G1491" t="s">
        <v>4175</v>
      </c>
      <c r="H1491" t="s">
        <v>4097</v>
      </c>
      <c r="I1491" t="s">
        <v>4208</v>
      </c>
      <c r="J1491" t="s">
        <v>4142</v>
      </c>
      <c r="K1491" t="s">
        <v>4209</v>
      </c>
      <c r="L1491" t="s">
        <v>4210</v>
      </c>
      <c r="M1491" s="37">
        <v>0.5543</v>
      </c>
      <c r="N1491" s="37">
        <v>0.7</v>
      </c>
      <c r="O1491">
        <v>0.5543</v>
      </c>
      <c r="P1491" s="37">
        <v>0.562465</v>
      </c>
      <c r="Q1491">
        <v>0.61</v>
      </c>
      <c r="R1491">
        <v>1198.5</v>
      </c>
      <c r="S1491">
        <v>1198.5</v>
      </c>
      <c r="T1491">
        <v>1500</v>
      </c>
      <c r="U1491" t="s">
        <v>3350</v>
      </c>
      <c r="Z1491" s="37">
        <v>0.01</v>
      </c>
      <c r="AA1491" s="37">
        <v>0.35</v>
      </c>
      <c r="AB1491">
        <v>0</v>
      </c>
    </row>
    <row r="1492">
      <c r="A1492" t="s">
        <v>4203</v>
      </c>
      <c r="B1492" t="s">
        <v>3662</v>
      </c>
      <c r="C1492" t="s">
        <v>3662</v>
      </c>
      <c r="D1492" t="s">
        <v>1013</v>
      </c>
      <c r="E1492" t="s">
        <v>4204</v>
      </c>
      <c r="F1492" t="s">
        <v>298</v>
      </c>
      <c r="G1492" t="s">
        <v>4175</v>
      </c>
      <c r="H1492" t="s">
        <v>4088</v>
      </c>
      <c r="I1492" t="s">
        <v>4211</v>
      </c>
      <c r="J1492" t="s">
        <v>977</v>
      </c>
      <c r="K1492" t="s">
        <v>4212</v>
      </c>
      <c r="L1492" t="s">
        <v>4210</v>
      </c>
      <c r="M1492" s="37">
        <v>0.7676</v>
      </c>
      <c r="N1492" s="37">
        <v>0.05</v>
      </c>
      <c r="O1492">
        <v>0.7676</v>
      </c>
      <c r="P1492" s="37">
        <v>0.562465</v>
      </c>
      <c r="Q1492">
        <v>0.61</v>
      </c>
      <c r="R1492">
        <v>1198.5</v>
      </c>
      <c r="S1492">
        <v>1198.5</v>
      </c>
      <c r="T1492">
        <v>1500</v>
      </c>
      <c r="U1492" t="s">
        <v>3350</v>
      </c>
      <c r="Z1492" s="37">
        <v>0.01</v>
      </c>
      <c r="AA1492" s="37">
        <v>0.35</v>
      </c>
      <c r="AB1492">
        <v>0</v>
      </c>
    </row>
    <row r="1493">
      <c r="A1493" t="s">
        <v>4213</v>
      </c>
      <c r="B1493" t="s">
        <v>3662</v>
      </c>
      <c r="C1493" t="s">
        <v>3662</v>
      </c>
      <c r="D1493" t="s">
        <v>1013</v>
      </c>
      <c r="E1493" t="s">
        <v>4214</v>
      </c>
      <c r="F1493" t="s">
        <v>298</v>
      </c>
      <c r="G1493" t="s">
        <v>4175</v>
      </c>
      <c r="H1493" t="s">
        <v>4186</v>
      </c>
      <c r="I1493" t="s">
        <v>4215</v>
      </c>
      <c r="J1493" t="s">
        <v>4216</v>
      </c>
      <c r="K1493" t="s">
        <v>4217</v>
      </c>
      <c r="L1493" t="s">
        <v>4218</v>
      </c>
      <c r="M1493" s="37">
        <v>0.942857</v>
      </c>
      <c r="N1493" s="37">
        <v>0.3</v>
      </c>
      <c r="O1493">
        <v>0.9429</v>
      </c>
      <c r="P1493" s="37">
        <v>1.094857</v>
      </c>
      <c r="Q1493">
        <v>1.15</v>
      </c>
      <c r="R1493">
        <v>2837.17</v>
      </c>
      <c r="S1493">
        <v>2837.17</v>
      </c>
      <c r="T1493">
        <v>1500</v>
      </c>
      <c r="U1493" t="s">
        <v>3350</v>
      </c>
      <c r="Z1493" s="37">
        <v>0.01</v>
      </c>
      <c r="AA1493" s="37">
        <v>0.35</v>
      </c>
      <c r="AB1493">
        <v>0</v>
      </c>
    </row>
    <row r="1494">
      <c r="A1494" t="s">
        <v>4213</v>
      </c>
      <c r="B1494" t="s">
        <v>3662</v>
      </c>
      <c r="C1494" t="s">
        <v>3662</v>
      </c>
      <c r="D1494" t="s">
        <v>1013</v>
      </c>
      <c r="E1494" t="s">
        <v>4214</v>
      </c>
      <c r="F1494" t="s">
        <v>298</v>
      </c>
      <c r="G1494" t="s">
        <v>4175</v>
      </c>
      <c r="H1494" t="s">
        <v>4097</v>
      </c>
      <c r="I1494" t="s">
        <v>4219</v>
      </c>
      <c r="J1494" t="s">
        <v>2930</v>
      </c>
      <c r="K1494" t="s">
        <v>4220</v>
      </c>
      <c r="L1494" t="s">
        <v>4218</v>
      </c>
      <c r="M1494" s="37">
        <v>1.16</v>
      </c>
      <c r="N1494" s="37">
        <v>0.7</v>
      </c>
      <c r="O1494">
        <v>1.2</v>
      </c>
      <c r="P1494" s="37">
        <v>1.094857</v>
      </c>
      <c r="Q1494">
        <v>1.15</v>
      </c>
      <c r="R1494">
        <v>2837.17</v>
      </c>
      <c r="S1494">
        <v>2837.17</v>
      </c>
      <c r="T1494">
        <v>1500</v>
      </c>
      <c r="U1494" t="s">
        <v>3350</v>
      </c>
      <c r="Z1494" s="37">
        <v>0.01</v>
      </c>
      <c r="AA1494" s="37">
        <v>0.35</v>
      </c>
      <c r="AB1494">
        <v>0</v>
      </c>
    </row>
    <row r="1495">
      <c r="A1495" t="s">
        <v>4221</v>
      </c>
      <c r="B1495" t="s">
        <v>3662</v>
      </c>
      <c r="C1495" t="s">
        <v>3662</v>
      </c>
      <c r="D1495" t="s">
        <v>1013</v>
      </c>
      <c r="E1495" t="s">
        <v>4222</v>
      </c>
      <c r="F1495" t="s">
        <v>298</v>
      </c>
      <c r="G1495" t="s">
        <v>4175</v>
      </c>
      <c r="H1495" t="s">
        <v>4186</v>
      </c>
      <c r="I1495" t="s">
        <v>4223</v>
      </c>
      <c r="J1495">
        <v>1</v>
      </c>
      <c r="K1495" s="38">
        <v>1</v>
      </c>
      <c r="L1495" t="s">
        <v>4218</v>
      </c>
      <c r="M1495" s="37">
        <v>1</v>
      </c>
      <c r="N1495" s="37">
        <v>0.3</v>
      </c>
      <c r="O1495">
        <v>1</v>
      </c>
      <c r="P1495" s="37">
        <v>0.771</v>
      </c>
      <c r="Q1495">
        <v>0.77</v>
      </c>
      <c r="R1495">
        <v>1155</v>
      </c>
      <c r="S1495">
        <v>1155</v>
      </c>
      <c r="T1495">
        <v>1500</v>
      </c>
      <c r="U1495" t="s">
        <v>3350</v>
      </c>
      <c r="Z1495" s="37">
        <v>0.01</v>
      </c>
      <c r="AA1495" s="37">
        <v>0.35</v>
      </c>
      <c r="AB1495">
        <v>0</v>
      </c>
    </row>
    <row r="1496">
      <c r="A1496" t="s">
        <v>4221</v>
      </c>
      <c r="B1496" t="s">
        <v>3662</v>
      </c>
      <c r="C1496" t="s">
        <v>3662</v>
      </c>
      <c r="D1496" t="s">
        <v>1013</v>
      </c>
      <c r="E1496" t="s">
        <v>4222</v>
      </c>
      <c r="F1496" t="s">
        <v>298</v>
      </c>
      <c r="G1496" t="s">
        <v>4175</v>
      </c>
      <c r="H1496" t="s">
        <v>4097</v>
      </c>
      <c r="I1496" t="s">
        <v>4224</v>
      </c>
      <c r="J1496" t="s">
        <v>2930</v>
      </c>
      <c r="K1496" t="s">
        <v>4225</v>
      </c>
      <c r="L1496" t="s">
        <v>4218</v>
      </c>
      <c r="M1496" s="37">
        <v>0.68</v>
      </c>
      <c r="N1496" s="37">
        <v>0.45</v>
      </c>
      <c r="O1496">
        <v>0.68</v>
      </c>
      <c r="P1496" s="37">
        <v>0.771</v>
      </c>
      <c r="Q1496">
        <v>0.77</v>
      </c>
      <c r="R1496">
        <v>1155</v>
      </c>
      <c r="S1496">
        <v>1155</v>
      </c>
      <c r="T1496">
        <v>1500</v>
      </c>
      <c r="U1496" t="s">
        <v>3350</v>
      </c>
      <c r="Z1496" s="37">
        <v>0.01</v>
      </c>
      <c r="AA1496" s="37">
        <v>0.35</v>
      </c>
      <c r="AB1496">
        <v>0</v>
      </c>
    </row>
    <row r="1497">
      <c r="A1497" t="s">
        <v>4221</v>
      </c>
      <c r="B1497" t="s">
        <v>3662</v>
      </c>
      <c r="C1497" t="s">
        <v>3662</v>
      </c>
      <c r="D1497" t="s">
        <v>1013</v>
      </c>
      <c r="E1497" t="s">
        <v>4222</v>
      </c>
      <c r="F1497" t="s">
        <v>298</v>
      </c>
      <c r="G1497" t="s">
        <v>4175</v>
      </c>
      <c r="H1497" t="s">
        <v>4113</v>
      </c>
      <c r="I1497" t="s">
        <v>4226</v>
      </c>
      <c r="J1497">
        <v>1</v>
      </c>
      <c r="K1497" s="38">
        <v>0.66</v>
      </c>
      <c r="L1497" t="s">
        <v>4218</v>
      </c>
      <c r="M1497" s="37">
        <v>0.66</v>
      </c>
      <c r="N1497" s="37">
        <v>0.25</v>
      </c>
      <c r="O1497">
        <v>0.66</v>
      </c>
      <c r="P1497" s="37">
        <v>0.771</v>
      </c>
      <c r="Q1497">
        <v>0.77</v>
      </c>
      <c r="R1497">
        <v>1155</v>
      </c>
      <c r="S1497">
        <v>1155</v>
      </c>
      <c r="T1497">
        <v>1500</v>
      </c>
      <c r="U1497" t="s">
        <v>3350</v>
      </c>
      <c r="Z1497" s="37">
        <v>0.01</v>
      </c>
      <c r="AA1497" s="37">
        <v>0.35</v>
      </c>
      <c r="AB1497">
        <v>0</v>
      </c>
    </row>
    <row r="1498">
      <c r="A1498" t="s">
        <v>4227</v>
      </c>
      <c r="B1498" t="s">
        <v>3662</v>
      </c>
      <c r="C1498" t="s">
        <v>3662</v>
      </c>
      <c r="D1498" t="s">
        <v>1013</v>
      </c>
      <c r="E1498" t="s">
        <v>4228</v>
      </c>
      <c r="F1498" t="s">
        <v>298</v>
      </c>
      <c r="G1498" t="s">
        <v>4175</v>
      </c>
      <c r="H1498" t="s">
        <v>4088</v>
      </c>
      <c r="I1498" t="s">
        <v>4229</v>
      </c>
      <c r="J1498" t="s">
        <v>1590</v>
      </c>
      <c r="K1498" t="s">
        <v>4123</v>
      </c>
      <c r="L1498" t="s">
        <v>4218</v>
      </c>
      <c r="M1498" s="37">
        <v>0.366</v>
      </c>
      <c r="N1498" s="37">
        <v>0.25</v>
      </c>
      <c r="O1498">
        <v>0.366</v>
      </c>
      <c r="P1498" s="37">
        <v>0.24308</v>
      </c>
      <c r="Q1498">
        <v>0.24</v>
      </c>
      <c r="R1498">
        <v>2779.21</v>
      </c>
      <c r="S1498">
        <v>2779.21</v>
      </c>
      <c r="T1498">
        <v>1500</v>
      </c>
      <c r="U1498" t="s">
        <v>3350</v>
      </c>
      <c r="Z1498" s="37">
        <v>0.01</v>
      </c>
      <c r="AA1498" s="37">
        <v>0.35</v>
      </c>
      <c r="AB1498">
        <v>0</v>
      </c>
    </row>
    <row r="1499">
      <c r="A1499" t="s">
        <v>4227</v>
      </c>
      <c r="B1499" t="s">
        <v>3662</v>
      </c>
      <c r="C1499" t="s">
        <v>3662</v>
      </c>
      <c r="D1499" t="s">
        <v>1013</v>
      </c>
      <c r="E1499" t="s">
        <v>4228</v>
      </c>
      <c r="F1499" t="s">
        <v>298</v>
      </c>
      <c r="G1499" t="s">
        <v>4175</v>
      </c>
      <c r="H1499" t="s">
        <v>4097</v>
      </c>
      <c r="I1499" t="s">
        <v>4230</v>
      </c>
      <c r="J1499" t="s">
        <v>3245</v>
      </c>
      <c r="K1499" t="s">
        <v>4231</v>
      </c>
      <c r="L1499" t="s">
        <v>4218</v>
      </c>
      <c r="M1499" s="37">
        <v>0.2332</v>
      </c>
      <c r="N1499" s="37">
        <v>0.65</v>
      </c>
      <c r="O1499">
        <v>0.233</v>
      </c>
      <c r="P1499" s="37">
        <v>0.24308</v>
      </c>
      <c r="Q1499">
        <v>0.24</v>
      </c>
      <c r="R1499">
        <v>2779.21</v>
      </c>
      <c r="S1499">
        <v>2779.21</v>
      </c>
      <c r="T1499">
        <v>1500</v>
      </c>
      <c r="U1499" t="s">
        <v>3350</v>
      </c>
      <c r="Z1499" s="37">
        <v>0.01</v>
      </c>
      <c r="AA1499" s="37">
        <v>0.35</v>
      </c>
      <c r="AB1499">
        <v>0</v>
      </c>
    </row>
    <row r="1500">
      <c r="A1500" t="s">
        <v>4227</v>
      </c>
      <c r="B1500" t="s">
        <v>3662</v>
      </c>
      <c r="C1500" t="s">
        <v>3662</v>
      </c>
      <c r="D1500" t="s">
        <v>1013</v>
      </c>
      <c r="E1500" t="s">
        <v>4228</v>
      </c>
      <c r="F1500" t="s">
        <v>298</v>
      </c>
      <c r="G1500" t="s">
        <v>4175</v>
      </c>
      <c r="H1500" t="s">
        <v>4113</v>
      </c>
      <c r="I1500" t="s">
        <v>4232</v>
      </c>
      <c r="J1500" t="s">
        <v>1025</v>
      </c>
      <c r="K1500" t="s">
        <v>1041</v>
      </c>
      <c r="L1500" t="s">
        <v>4218</v>
      </c>
      <c r="M1500" s="37">
        <v>0</v>
      </c>
      <c r="N1500" s="37">
        <v>0.1</v>
      </c>
      <c r="O1500">
        <v>0</v>
      </c>
      <c r="P1500" s="37">
        <v>0.24308</v>
      </c>
      <c r="Q1500">
        <v>0.24</v>
      </c>
      <c r="R1500">
        <v>2779.21</v>
      </c>
      <c r="S1500">
        <v>2779.21</v>
      </c>
      <c r="T1500">
        <v>1500</v>
      </c>
      <c r="U1500" t="s">
        <v>3350</v>
      </c>
      <c r="Z1500" s="37">
        <v>0.01</v>
      </c>
      <c r="AA1500" s="37">
        <v>0.35</v>
      </c>
      <c r="AB1500">
        <v>0</v>
      </c>
    </row>
    <row r="1501">
      <c r="A1501" t="s">
        <v>4233</v>
      </c>
      <c r="B1501" t="s">
        <v>3662</v>
      </c>
      <c r="C1501" t="s">
        <v>3662</v>
      </c>
      <c r="D1501" t="s">
        <v>1013</v>
      </c>
      <c r="E1501" t="s">
        <v>4234</v>
      </c>
      <c r="F1501" t="s">
        <v>298</v>
      </c>
      <c r="G1501" t="s">
        <v>4175</v>
      </c>
      <c r="H1501" t="s">
        <v>4088</v>
      </c>
      <c r="I1501" t="s">
        <v>4205</v>
      </c>
      <c r="J1501" t="s">
        <v>4206</v>
      </c>
      <c r="K1501" t="s">
        <v>4235</v>
      </c>
      <c r="L1501" t="s">
        <v>4218</v>
      </c>
      <c r="M1501" s="37">
        <v>0.4582</v>
      </c>
      <c r="N1501" s="37">
        <v>0.25</v>
      </c>
      <c r="O1501">
        <v>0.4582</v>
      </c>
      <c r="P1501" s="37">
        <v>0.71293</v>
      </c>
      <c r="Q1501">
        <v>0.76</v>
      </c>
      <c r="R1501">
        <v>1801.5</v>
      </c>
      <c r="S1501">
        <v>1801.5</v>
      </c>
      <c r="T1501">
        <v>1500</v>
      </c>
      <c r="U1501" t="s">
        <v>3350</v>
      </c>
      <c r="Z1501" s="37">
        <v>0.01</v>
      </c>
      <c r="AA1501" s="37">
        <v>0.35</v>
      </c>
      <c r="AB1501">
        <v>0</v>
      </c>
    </row>
    <row r="1502">
      <c r="A1502" t="s">
        <v>4233</v>
      </c>
      <c r="B1502" t="s">
        <v>3662</v>
      </c>
      <c r="C1502" t="s">
        <v>3662</v>
      </c>
      <c r="D1502" t="s">
        <v>1013</v>
      </c>
      <c r="E1502" t="s">
        <v>4234</v>
      </c>
      <c r="F1502" t="s">
        <v>298</v>
      </c>
      <c r="G1502" t="s">
        <v>4175</v>
      </c>
      <c r="H1502" t="s">
        <v>4097</v>
      </c>
      <c r="I1502" t="s">
        <v>4208</v>
      </c>
      <c r="J1502" t="s">
        <v>4142</v>
      </c>
      <c r="K1502" t="s">
        <v>4236</v>
      </c>
      <c r="L1502" t="s">
        <v>4237</v>
      </c>
      <c r="M1502" s="37">
        <v>0.8</v>
      </c>
      <c r="N1502" s="37">
        <v>0.7</v>
      </c>
      <c r="O1502">
        <v>0.8</v>
      </c>
      <c r="P1502" s="37">
        <v>0.71293</v>
      </c>
      <c r="Q1502">
        <v>0.76</v>
      </c>
      <c r="R1502">
        <v>1801.5</v>
      </c>
      <c r="S1502">
        <v>1801.5</v>
      </c>
      <c r="T1502">
        <v>1500</v>
      </c>
      <c r="U1502" t="s">
        <v>3350</v>
      </c>
      <c r="Z1502" s="37">
        <v>0.01</v>
      </c>
      <c r="AA1502" s="37">
        <v>0.35</v>
      </c>
      <c r="AB1502">
        <v>0</v>
      </c>
    </row>
    <row r="1503">
      <c r="A1503" t="s">
        <v>4233</v>
      </c>
      <c r="B1503" t="s">
        <v>3662</v>
      </c>
      <c r="C1503" t="s">
        <v>3662</v>
      </c>
      <c r="D1503" t="s">
        <v>1013</v>
      </c>
      <c r="E1503" t="s">
        <v>4234</v>
      </c>
      <c r="F1503" t="s">
        <v>298</v>
      </c>
      <c r="G1503" t="s">
        <v>4175</v>
      </c>
      <c r="H1503" t="s">
        <v>4088</v>
      </c>
      <c r="I1503" t="s">
        <v>4238</v>
      </c>
      <c r="J1503" t="s">
        <v>977</v>
      </c>
      <c r="K1503" t="s">
        <v>4239</v>
      </c>
      <c r="L1503" t="s">
        <v>4237</v>
      </c>
      <c r="M1503" s="37">
        <v>0.7676</v>
      </c>
      <c r="N1503" s="37">
        <v>0.05</v>
      </c>
      <c r="O1503">
        <v>0.7676</v>
      </c>
      <c r="P1503" s="37">
        <v>0.71293</v>
      </c>
      <c r="Q1503">
        <v>0.76</v>
      </c>
      <c r="R1503">
        <v>1801.5</v>
      </c>
      <c r="S1503">
        <v>1801.5</v>
      </c>
      <c r="T1503">
        <v>1500</v>
      </c>
      <c r="U1503" t="s">
        <v>3350</v>
      </c>
      <c r="Z1503" s="37">
        <v>0.01</v>
      </c>
      <c r="AA1503" s="37">
        <v>0.35</v>
      </c>
      <c r="AB1503">
        <v>0</v>
      </c>
    </row>
    <row r="1504">
      <c r="A1504" t="s">
        <v>4240</v>
      </c>
      <c r="B1504" t="s">
        <v>3662</v>
      </c>
      <c r="C1504" t="s">
        <v>3662</v>
      </c>
      <c r="D1504" t="s">
        <v>1013</v>
      </c>
      <c r="E1504" t="s">
        <v>4241</v>
      </c>
      <c r="F1504" t="s">
        <v>298</v>
      </c>
      <c r="G1504" t="s">
        <v>4175</v>
      </c>
      <c r="H1504" t="s">
        <v>4186</v>
      </c>
      <c r="I1504" t="s">
        <v>4242</v>
      </c>
      <c r="J1504" t="s">
        <v>4216</v>
      </c>
      <c r="K1504" t="s">
        <v>4243</v>
      </c>
      <c r="L1504" t="s">
        <v>4237</v>
      </c>
      <c r="M1504" s="37">
        <v>0.817143</v>
      </c>
      <c r="N1504" s="37">
        <v>0.3</v>
      </c>
      <c r="O1504">
        <v>0.8171</v>
      </c>
      <c r="P1504" s="37">
        <v>0.452517</v>
      </c>
      <c r="Q1504">
        <v>0.41</v>
      </c>
      <c r="R1504">
        <v>1091.73</v>
      </c>
      <c r="S1504">
        <v>1091.73</v>
      </c>
      <c r="T1504">
        <v>1500</v>
      </c>
      <c r="U1504" t="s">
        <v>3350</v>
      </c>
      <c r="Z1504" s="37">
        <v>0.01</v>
      </c>
      <c r="AA1504" s="37">
        <v>0.35</v>
      </c>
      <c r="AB1504">
        <v>0</v>
      </c>
    </row>
    <row r="1505">
      <c r="A1505" t="s">
        <v>4240</v>
      </c>
      <c r="B1505" t="s">
        <v>3662</v>
      </c>
      <c r="C1505" t="s">
        <v>3662</v>
      </c>
      <c r="D1505" t="s">
        <v>1013</v>
      </c>
      <c r="E1505" t="s">
        <v>4241</v>
      </c>
      <c r="F1505" t="s">
        <v>298</v>
      </c>
      <c r="G1505" t="s">
        <v>4175</v>
      </c>
      <c r="H1505" t="s">
        <v>4097</v>
      </c>
      <c r="I1505" t="s">
        <v>4244</v>
      </c>
      <c r="J1505" t="s">
        <v>3245</v>
      </c>
      <c r="K1505" t="s">
        <v>4245</v>
      </c>
      <c r="L1505" t="s">
        <v>4237</v>
      </c>
      <c r="M1505" s="37">
        <v>0.296248</v>
      </c>
      <c r="N1505" s="37">
        <v>0.7</v>
      </c>
      <c r="O1505">
        <v>0.237</v>
      </c>
      <c r="P1505" s="37">
        <v>0.452517</v>
      </c>
      <c r="Q1505">
        <v>0.41</v>
      </c>
      <c r="R1505">
        <v>1091.73</v>
      </c>
      <c r="S1505">
        <v>1091.73</v>
      </c>
      <c r="T1505">
        <v>1500</v>
      </c>
      <c r="U1505" t="s">
        <v>3350</v>
      </c>
      <c r="Z1505" s="37">
        <v>0.01</v>
      </c>
      <c r="AA1505" s="37">
        <v>0.35</v>
      </c>
      <c r="AB1505">
        <v>0</v>
      </c>
    </row>
    <row r="1506">
      <c r="A1506" t="s">
        <v>4246</v>
      </c>
      <c r="B1506" t="s">
        <v>3662</v>
      </c>
      <c r="C1506" t="s">
        <v>3662</v>
      </c>
      <c r="D1506" t="s">
        <v>1013</v>
      </c>
      <c r="E1506" t="s">
        <v>4247</v>
      </c>
      <c r="F1506" t="s">
        <v>298</v>
      </c>
      <c r="G1506" t="s">
        <v>4175</v>
      </c>
      <c r="H1506" t="s">
        <v>4088</v>
      </c>
      <c r="I1506" t="s">
        <v>4248</v>
      </c>
      <c r="J1506" t="s">
        <v>1002</v>
      </c>
      <c r="K1506" t="s">
        <v>4249</v>
      </c>
      <c r="L1506" t="s">
        <v>4237</v>
      </c>
      <c r="M1506" s="37">
        <v>0.4312</v>
      </c>
      <c r="N1506" s="37">
        <v>0.5</v>
      </c>
      <c r="O1506">
        <v>0.416</v>
      </c>
      <c r="P1506" s="37">
        <v>0.39322</v>
      </c>
      <c r="Q1506">
        <v>0.33</v>
      </c>
      <c r="R1506">
        <v>1063.17</v>
      </c>
      <c r="S1506">
        <v>1063.17</v>
      </c>
      <c r="T1506">
        <v>1500</v>
      </c>
      <c r="U1506" t="s">
        <v>3350</v>
      </c>
      <c r="Z1506" s="37">
        <v>0.01</v>
      </c>
      <c r="AA1506" s="37">
        <v>0.35</v>
      </c>
      <c r="AB1506">
        <v>0</v>
      </c>
    </row>
    <row r="1507">
      <c r="A1507" t="s">
        <v>4246</v>
      </c>
      <c r="B1507" t="s">
        <v>3662</v>
      </c>
      <c r="C1507" t="s">
        <v>3662</v>
      </c>
      <c r="D1507" t="s">
        <v>1013</v>
      </c>
      <c r="E1507" t="s">
        <v>4247</v>
      </c>
      <c r="F1507" t="s">
        <v>298</v>
      </c>
      <c r="G1507" t="s">
        <v>4175</v>
      </c>
      <c r="H1507" t="s">
        <v>4088</v>
      </c>
      <c r="I1507" t="s">
        <v>4250</v>
      </c>
      <c r="J1507" t="s">
        <v>4142</v>
      </c>
      <c r="K1507" t="s">
        <v>4251</v>
      </c>
      <c r="L1507" t="s">
        <v>4237</v>
      </c>
      <c r="M1507" s="37">
        <v>0.5281</v>
      </c>
      <c r="N1507" s="37">
        <v>0.2</v>
      </c>
      <c r="O1507">
        <v>0.416</v>
      </c>
      <c r="P1507" s="37">
        <v>0.39322</v>
      </c>
      <c r="Q1507">
        <v>0.33</v>
      </c>
      <c r="R1507">
        <v>1063.17</v>
      </c>
      <c r="S1507">
        <v>1063.17</v>
      </c>
      <c r="T1507">
        <v>1500</v>
      </c>
      <c r="U1507" t="s">
        <v>3350</v>
      </c>
      <c r="Z1507" s="37">
        <v>0.01</v>
      </c>
      <c r="AA1507" s="37">
        <v>0.35</v>
      </c>
      <c r="AB1507">
        <v>0</v>
      </c>
    </row>
    <row r="1508">
      <c r="A1508" t="s">
        <v>4246</v>
      </c>
      <c r="B1508" t="s">
        <v>3662</v>
      </c>
      <c r="C1508" t="s">
        <v>3662</v>
      </c>
      <c r="D1508" t="s">
        <v>1013</v>
      </c>
      <c r="E1508" t="s">
        <v>4247</v>
      </c>
      <c r="F1508" t="s">
        <v>298</v>
      </c>
      <c r="G1508" t="s">
        <v>4175</v>
      </c>
      <c r="H1508" t="s">
        <v>4097</v>
      </c>
      <c r="I1508" t="s">
        <v>4252</v>
      </c>
      <c r="J1508" t="s">
        <v>3245</v>
      </c>
      <c r="K1508" t="s">
        <v>3604</v>
      </c>
      <c r="L1508" t="s">
        <v>4237</v>
      </c>
      <c r="M1508" s="37">
        <v>0.24</v>
      </c>
      <c r="N1508" s="37">
        <v>0.3</v>
      </c>
      <c r="O1508">
        <v>0.12</v>
      </c>
      <c r="P1508" s="37">
        <v>0.39322</v>
      </c>
      <c r="Q1508">
        <v>0.33</v>
      </c>
      <c r="R1508">
        <v>1063.17</v>
      </c>
      <c r="S1508">
        <v>1063.17</v>
      </c>
      <c r="T1508">
        <v>1500</v>
      </c>
      <c r="U1508" t="s">
        <v>3350</v>
      </c>
      <c r="Z1508" s="37">
        <v>0.01</v>
      </c>
      <c r="AA1508" s="37">
        <v>0.35</v>
      </c>
      <c r="AB1508">
        <v>0</v>
      </c>
    </row>
    <row r="1509">
      <c r="A1509" t="s">
        <v>4253</v>
      </c>
      <c r="B1509" t="s">
        <v>3662</v>
      </c>
      <c r="C1509" t="s">
        <v>3662</v>
      </c>
      <c r="D1509" t="s">
        <v>1013</v>
      </c>
      <c r="E1509" t="s">
        <v>4254</v>
      </c>
      <c r="F1509" t="s">
        <v>298</v>
      </c>
      <c r="G1509" t="s">
        <v>4175</v>
      </c>
      <c r="H1509" t="s">
        <v>4113</v>
      </c>
      <c r="I1509" t="s">
        <v>4255</v>
      </c>
      <c r="J1509" t="s">
        <v>1585</v>
      </c>
      <c r="K1509" t="s">
        <v>4256</v>
      </c>
      <c r="L1509" t="s">
        <v>4237</v>
      </c>
      <c r="M1509" s="37">
        <v>0.67475</v>
      </c>
      <c r="N1509" s="37">
        <v>0.1</v>
      </c>
      <c r="O1509">
        <v>0.6748</v>
      </c>
      <c r="P1509" s="37">
        <v>0.408035</v>
      </c>
      <c r="Q1509">
        <v>0.41</v>
      </c>
      <c r="R1509">
        <v>1361.2</v>
      </c>
      <c r="S1509">
        <v>1361.2</v>
      </c>
      <c r="T1509">
        <v>1500</v>
      </c>
      <c r="U1509" t="s">
        <v>3350</v>
      </c>
      <c r="Z1509" s="37">
        <v>0.01</v>
      </c>
      <c r="AA1509" s="37">
        <v>0.35</v>
      </c>
      <c r="AB1509">
        <v>0</v>
      </c>
    </row>
    <row r="1510">
      <c r="A1510" t="s">
        <v>4253</v>
      </c>
      <c r="B1510" t="s">
        <v>3662</v>
      </c>
      <c r="C1510" t="s">
        <v>3662</v>
      </c>
      <c r="D1510" t="s">
        <v>1013</v>
      </c>
      <c r="E1510" t="s">
        <v>4254</v>
      </c>
      <c r="F1510" t="s">
        <v>298</v>
      </c>
      <c r="G1510" t="s">
        <v>4175</v>
      </c>
      <c r="H1510" t="s">
        <v>4113</v>
      </c>
      <c r="I1510" t="s">
        <v>4257</v>
      </c>
      <c r="J1510" t="s">
        <v>1053</v>
      </c>
      <c r="K1510" t="s">
        <v>1529</v>
      </c>
      <c r="L1510" t="s">
        <v>4237</v>
      </c>
      <c r="M1510" s="37">
        <v>0</v>
      </c>
      <c r="N1510" s="37">
        <v>0.1</v>
      </c>
      <c r="O1510">
        <v>0</v>
      </c>
      <c r="P1510" s="37">
        <v>0.408035</v>
      </c>
      <c r="Q1510">
        <v>0.41</v>
      </c>
      <c r="R1510">
        <v>1361.2</v>
      </c>
      <c r="S1510">
        <v>1361.2</v>
      </c>
      <c r="T1510">
        <v>1500</v>
      </c>
      <c r="U1510" t="s">
        <v>3350</v>
      </c>
      <c r="Z1510" s="37">
        <v>0.01</v>
      </c>
      <c r="AA1510" s="37">
        <v>0.35</v>
      </c>
      <c r="AB1510">
        <v>0</v>
      </c>
    </row>
    <row r="1511">
      <c r="A1511" t="s">
        <v>4253</v>
      </c>
      <c r="B1511" t="s">
        <v>3662</v>
      </c>
      <c r="C1511" t="s">
        <v>3662</v>
      </c>
      <c r="D1511" t="s">
        <v>1013</v>
      </c>
      <c r="E1511" t="s">
        <v>4254</v>
      </c>
      <c r="F1511" t="s">
        <v>298</v>
      </c>
      <c r="G1511" t="s">
        <v>4175</v>
      </c>
      <c r="H1511" t="s">
        <v>4088</v>
      </c>
      <c r="I1511" t="s">
        <v>4258</v>
      </c>
      <c r="J1511" t="s">
        <v>3703</v>
      </c>
      <c r="K1511" t="s">
        <v>4259</v>
      </c>
      <c r="L1511" t="s">
        <v>4237</v>
      </c>
      <c r="M1511" s="37">
        <v>0.4257</v>
      </c>
      <c r="N1511" s="37">
        <v>0.8</v>
      </c>
      <c r="O1511">
        <v>0.4258</v>
      </c>
      <c r="P1511" s="37">
        <v>0.408035</v>
      </c>
      <c r="Q1511">
        <v>0.41</v>
      </c>
      <c r="R1511">
        <v>1361.2</v>
      </c>
      <c r="S1511">
        <v>1361.2</v>
      </c>
      <c r="T1511">
        <v>1500</v>
      </c>
      <c r="U1511" t="s">
        <v>3350</v>
      </c>
      <c r="Z1511" s="37">
        <v>0.01</v>
      </c>
      <c r="AA1511" s="37">
        <v>0.35</v>
      </c>
      <c r="AB1511">
        <v>0</v>
      </c>
    </row>
    <row r="1512">
      <c r="A1512" t="s">
        <v>4260</v>
      </c>
      <c r="B1512" t="s">
        <v>3662</v>
      </c>
      <c r="C1512" t="s">
        <v>3662</v>
      </c>
      <c r="D1512" t="s">
        <v>1013</v>
      </c>
      <c r="E1512" t="s">
        <v>4261</v>
      </c>
      <c r="F1512" t="s">
        <v>298</v>
      </c>
      <c r="G1512" t="s">
        <v>4175</v>
      </c>
      <c r="H1512" t="s">
        <v>4186</v>
      </c>
      <c r="I1512" t="s">
        <v>4262</v>
      </c>
      <c r="J1512" t="s">
        <v>3247</v>
      </c>
      <c r="K1512" t="s">
        <v>4263</v>
      </c>
      <c r="L1512" t="s">
        <v>4237</v>
      </c>
      <c r="M1512" s="37">
        <v>0.54</v>
      </c>
      <c r="N1512" s="37">
        <v>0.3</v>
      </c>
      <c r="O1512">
        <v>0.432</v>
      </c>
      <c r="P1512" s="37">
        <v>0.2558</v>
      </c>
      <c r="Q1512">
        <v>0.2</v>
      </c>
      <c r="R1512">
        <v>532.55</v>
      </c>
      <c r="S1512">
        <v>532.55</v>
      </c>
      <c r="T1512">
        <v>1500</v>
      </c>
      <c r="U1512" t="s">
        <v>3350</v>
      </c>
      <c r="Z1512" s="37">
        <v>0.01</v>
      </c>
      <c r="AA1512" s="37">
        <v>0.35</v>
      </c>
      <c r="AB1512">
        <v>0</v>
      </c>
    </row>
    <row r="1513">
      <c r="A1513" t="s">
        <v>4260</v>
      </c>
      <c r="B1513" t="s">
        <v>3662</v>
      </c>
      <c r="C1513" t="s">
        <v>3662</v>
      </c>
      <c r="D1513" t="s">
        <v>1013</v>
      </c>
      <c r="E1513" t="s">
        <v>4261</v>
      </c>
      <c r="F1513" t="s">
        <v>298</v>
      </c>
      <c r="G1513" t="s">
        <v>4175</v>
      </c>
      <c r="H1513" t="s">
        <v>4097</v>
      </c>
      <c r="I1513" t="s">
        <v>4264</v>
      </c>
      <c r="J1513" t="s">
        <v>3245</v>
      </c>
      <c r="K1513" t="s">
        <v>4265</v>
      </c>
      <c r="L1513" t="s">
        <v>4237</v>
      </c>
      <c r="M1513" s="37">
        <v>0.134</v>
      </c>
      <c r="N1513" s="37">
        <v>0.7</v>
      </c>
      <c r="O1513">
        <v>0.1072</v>
      </c>
      <c r="P1513" s="37">
        <v>0.2558</v>
      </c>
      <c r="Q1513">
        <v>0.2</v>
      </c>
      <c r="R1513">
        <v>532.55</v>
      </c>
      <c r="S1513">
        <v>532.55</v>
      </c>
      <c r="T1513">
        <v>1500</v>
      </c>
      <c r="U1513" t="s">
        <v>3350</v>
      </c>
      <c r="Z1513" s="37">
        <v>0.01</v>
      </c>
      <c r="AA1513" s="37">
        <v>0.35</v>
      </c>
      <c r="AB1513">
        <v>0</v>
      </c>
    </row>
    <row r="1514">
      <c r="A1514" t="s">
        <v>4266</v>
      </c>
      <c r="B1514" t="s">
        <v>3662</v>
      </c>
      <c r="C1514" t="s">
        <v>3662</v>
      </c>
      <c r="D1514" t="s">
        <v>1013</v>
      </c>
      <c r="E1514" t="s">
        <v>4267</v>
      </c>
      <c r="F1514" t="s">
        <v>298</v>
      </c>
      <c r="G1514" t="s">
        <v>4175</v>
      </c>
      <c r="H1514" t="s">
        <v>4186</v>
      </c>
      <c r="I1514" t="s">
        <v>4268</v>
      </c>
      <c r="J1514" t="s">
        <v>3247</v>
      </c>
      <c r="K1514" t="s">
        <v>4269</v>
      </c>
      <c r="L1514" t="s">
        <v>4237</v>
      </c>
      <c r="M1514" s="37">
        <v>0.5</v>
      </c>
      <c r="N1514" s="37">
        <v>0.3</v>
      </c>
      <c r="O1514">
        <v>0.5</v>
      </c>
      <c r="P1514" s="37">
        <v>0.15</v>
      </c>
      <c r="Q1514">
        <v>0.15</v>
      </c>
      <c r="R1514">
        <v>399.41</v>
      </c>
      <c r="S1514">
        <v>399.41</v>
      </c>
      <c r="T1514">
        <v>1500</v>
      </c>
      <c r="U1514" t="s">
        <v>3350</v>
      </c>
      <c r="Z1514" s="37">
        <v>0.01</v>
      </c>
      <c r="AA1514" s="37">
        <v>0.35</v>
      </c>
      <c r="AB1514">
        <v>0</v>
      </c>
    </row>
    <row r="1515">
      <c r="A1515" t="s">
        <v>4266</v>
      </c>
      <c r="B1515" t="s">
        <v>3662</v>
      </c>
      <c r="C1515" t="s">
        <v>3662</v>
      </c>
      <c r="D1515" t="s">
        <v>1013</v>
      </c>
      <c r="E1515" t="s">
        <v>4267</v>
      </c>
      <c r="F1515" t="s">
        <v>298</v>
      </c>
      <c r="G1515" t="s">
        <v>4175</v>
      </c>
      <c r="H1515" t="s">
        <v>4097</v>
      </c>
      <c r="I1515" t="s">
        <v>4270</v>
      </c>
      <c r="J1515" t="s">
        <v>3245</v>
      </c>
      <c r="K1515" t="s">
        <v>4271</v>
      </c>
      <c r="L1515" t="s">
        <v>4237</v>
      </c>
      <c r="M1515" s="37">
        <v>0</v>
      </c>
      <c r="N1515" s="37">
        <v>0.7</v>
      </c>
      <c r="O1515">
        <v>0</v>
      </c>
      <c r="P1515" s="37">
        <v>0.15</v>
      </c>
      <c r="Q1515">
        <v>0.15</v>
      </c>
      <c r="R1515">
        <v>399.41</v>
      </c>
      <c r="S1515">
        <v>399.41</v>
      </c>
      <c r="T1515">
        <v>1500</v>
      </c>
      <c r="U1515" t="s">
        <v>3350</v>
      </c>
      <c r="Z1515" s="37">
        <v>0.01</v>
      </c>
      <c r="AA1515" s="37">
        <v>0.35</v>
      </c>
      <c r="AB1515">
        <v>0</v>
      </c>
    </row>
    <row r="1516">
      <c r="A1516" t="s">
        <v>4272</v>
      </c>
      <c r="B1516" t="s">
        <v>3662</v>
      </c>
      <c r="C1516" t="s">
        <v>3662</v>
      </c>
      <c r="D1516" t="s">
        <v>1013</v>
      </c>
      <c r="E1516" t="s">
        <v>4273</v>
      </c>
      <c r="F1516" t="s">
        <v>298</v>
      </c>
      <c r="G1516" t="s">
        <v>4175</v>
      </c>
      <c r="H1516" t="s">
        <v>4088</v>
      </c>
      <c r="I1516" t="s">
        <v>4274</v>
      </c>
      <c r="J1516" t="s">
        <v>2564</v>
      </c>
      <c r="K1516" t="s">
        <v>2930</v>
      </c>
      <c r="L1516" t="s">
        <v>4275</v>
      </c>
      <c r="M1516" s="37">
        <v>0.5</v>
      </c>
      <c r="N1516" s="37">
        <v>0.5</v>
      </c>
      <c r="O1516">
        <v>0.45</v>
      </c>
      <c r="P1516" s="37">
        <v>0.276</v>
      </c>
      <c r="Q1516">
        <v>0.23</v>
      </c>
      <c r="R1516">
        <v>741</v>
      </c>
      <c r="S1516">
        <v>741</v>
      </c>
      <c r="T1516">
        <v>1500</v>
      </c>
      <c r="U1516" t="s">
        <v>3350</v>
      </c>
      <c r="Z1516" s="37">
        <v>0.01</v>
      </c>
      <c r="AA1516" s="37">
        <v>0.35</v>
      </c>
      <c r="AB1516">
        <v>0</v>
      </c>
    </row>
    <row r="1517">
      <c r="A1517" t="s">
        <v>4272</v>
      </c>
      <c r="B1517" t="s">
        <v>3662</v>
      </c>
      <c r="C1517" t="s">
        <v>3662</v>
      </c>
      <c r="D1517" t="s">
        <v>1013</v>
      </c>
      <c r="E1517" t="s">
        <v>4273</v>
      </c>
      <c r="F1517" t="s">
        <v>298</v>
      </c>
      <c r="G1517" t="s">
        <v>4175</v>
      </c>
      <c r="H1517" t="s">
        <v>4088</v>
      </c>
      <c r="I1517" t="s">
        <v>4276</v>
      </c>
      <c r="J1517" t="s">
        <v>1016</v>
      </c>
      <c r="K1517" t="s">
        <v>4277</v>
      </c>
      <c r="L1517" t="s">
        <v>4278</v>
      </c>
      <c r="M1517" s="37">
        <v>0.07</v>
      </c>
      <c r="N1517" s="37">
        <v>0.2</v>
      </c>
      <c r="O1517">
        <v>0</v>
      </c>
      <c r="P1517" s="37">
        <v>0.276</v>
      </c>
      <c r="Q1517">
        <v>0.23</v>
      </c>
      <c r="R1517">
        <v>741</v>
      </c>
      <c r="S1517">
        <v>741</v>
      </c>
      <c r="T1517">
        <v>1500</v>
      </c>
      <c r="U1517" t="s">
        <v>3350</v>
      </c>
      <c r="Z1517" s="37">
        <v>0.01</v>
      </c>
      <c r="AA1517" s="37">
        <v>0.35</v>
      </c>
      <c r="AB1517">
        <v>0</v>
      </c>
    </row>
    <row r="1518">
      <c r="A1518" t="s">
        <v>4272</v>
      </c>
      <c r="B1518" t="s">
        <v>3662</v>
      </c>
      <c r="C1518" t="s">
        <v>3662</v>
      </c>
      <c r="D1518" t="s">
        <v>1013</v>
      </c>
      <c r="E1518" t="s">
        <v>4273</v>
      </c>
      <c r="F1518" t="s">
        <v>298</v>
      </c>
      <c r="G1518" t="s">
        <v>4175</v>
      </c>
      <c r="H1518" t="s">
        <v>4097</v>
      </c>
      <c r="I1518" t="s">
        <v>4279</v>
      </c>
      <c r="J1518" t="s">
        <v>3245</v>
      </c>
      <c r="K1518" t="s">
        <v>4280</v>
      </c>
      <c r="L1518" t="s">
        <v>4281</v>
      </c>
      <c r="M1518" s="37">
        <v>0.04</v>
      </c>
      <c r="N1518" s="37">
        <v>0.3</v>
      </c>
      <c r="O1518">
        <v>0.032</v>
      </c>
      <c r="P1518" s="37">
        <v>0.276</v>
      </c>
      <c r="Q1518">
        <v>0.23</v>
      </c>
      <c r="R1518">
        <v>741</v>
      </c>
      <c r="S1518">
        <v>741</v>
      </c>
      <c r="T1518">
        <v>1500</v>
      </c>
      <c r="U1518" t="s">
        <v>3350</v>
      </c>
      <c r="Z1518" s="37">
        <v>0.01</v>
      </c>
      <c r="AA1518" s="37">
        <v>0.35</v>
      </c>
      <c r="AB1518">
        <v>0</v>
      </c>
    </row>
    <row r="1519">
      <c r="A1519" t="s">
        <v>4282</v>
      </c>
      <c r="B1519" t="s">
        <v>3662</v>
      </c>
      <c r="C1519" t="s">
        <v>3662</v>
      </c>
      <c r="D1519" t="s">
        <v>1013</v>
      </c>
      <c r="E1519" t="s">
        <v>4283</v>
      </c>
      <c r="F1519" t="s">
        <v>298</v>
      </c>
      <c r="G1519" t="s">
        <v>4175</v>
      </c>
      <c r="H1519" t="s">
        <v>4088</v>
      </c>
      <c r="I1519" t="s">
        <v>4284</v>
      </c>
      <c r="J1519" t="s">
        <v>2554</v>
      </c>
      <c r="K1519" t="s">
        <v>4123</v>
      </c>
      <c r="L1519" t="s">
        <v>4281</v>
      </c>
      <c r="M1519" s="37">
        <v>0.2745</v>
      </c>
      <c r="N1519" s="37">
        <v>0.25</v>
      </c>
      <c r="O1519">
        <v>0.2745</v>
      </c>
      <c r="P1519" s="37">
        <v>0.151175</v>
      </c>
      <c r="Q1519">
        <v>0.08</v>
      </c>
      <c r="R1519">
        <v>926.4</v>
      </c>
      <c r="S1519">
        <v>926.4</v>
      </c>
      <c r="T1519">
        <v>1500</v>
      </c>
      <c r="U1519" t="s">
        <v>3350</v>
      </c>
      <c r="Z1519" s="37">
        <v>0.01</v>
      </c>
      <c r="AA1519" s="37">
        <v>0.35</v>
      </c>
      <c r="AB1519">
        <v>0</v>
      </c>
    </row>
    <row r="1520">
      <c r="A1520" t="s">
        <v>4282</v>
      </c>
      <c r="B1520" t="s">
        <v>3662</v>
      </c>
      <c r="C1520" t="s">
        <v>3662</v>
      </c>
      <c r="D1520" t="s">
        <v>1013</v>
      </c>
      <c r="E1520" t="s">
        <v>4283</v>
      </c>
      <c r="F1520" t="s">
        <v>298</v>
      </c>
      <c r="G1520" t="s">
        <v>4175</v>
      </c>
      <c r="H1520" t="s">
        <v>4097</v>
      </c>
      <c r="I1520" t="s">
        <v>4285</v>
      </c>
      <c r="J1520" t="s">
        <v>977</v>
      </c>
      <c r="K1520" t="s">
        <v>4286</v>
      </c>
      <c r="L1520" t="s">
        <v>4281</v>
      </c>
      <c r="M1520" s="37">
        <v>0.127</v>
      </c>
      <c r="N1520" s="37">
        <v>0.65</v>
      </c>
      <c r="O1520">
        <v>0.127</v>
      </c>
      <c r="P1520" s="37">
        <v>0.151175</v>
      </c>
      <c r="Q1520">
        <v>0.08</v>
      </c>
      <c r="R1520">
        <v>926.4</v>
      </c>
      <c r="S1520">
        <v>926.4</v>
      </c>
      <c r="T1520">
        <v>1500</v>
      </c>
      <c r="U1520" t="s">
        <v>3350</v>
      </c>
      <c r="Z1520" s="37">
        <v>0.01</v>
      </c>
      <c r="AA1520" s="37">
        <v>0.35</v>
      </c>
      <c r="AB1520">
        <v>0</v>
      </c>
    </row>
    <row r="1521">
      <c r="A1521" t="s">
        <v>4282</v>
      </c>
      <c r="B1521" t="s">
        <v>3662</v>
      </c>
      <c r="C1521" t="s">
        <v>3662</v>
      </c>
      <c r="D1521" t="s">
        <v>1013</v>
      </c>
      <c r="E1521" t="s">
        <v>4283</v>
      </c>
      <c r="F1521" t="s">
        <v>298</v>
      </c>
      <c r="G1521" t="s">
        <v>4175</v>
      </c>
      <c r="H1521" t="s">
        <v>4186</v>
      </c>
      <c r="I1521" t="s">
        <v>4287</v>
      </c>
      <c r="J1521" t="s">
        <v>3236</v>
      </c>
      <c r="K1521" t="s">
        <v>1041</v>
      </c>
      <c r="L1521" t="s">
        <v>4281</v>
      </c>
      <c r="M1521" s="37">
        <v>0</v>
      </c>
      <c r="N1521" s="37">
        <v>0.1</v>
      </c>
      <c r="O1521">
        <v>0</v>
      </c>
      <c r="P1521" s="37">
        <v>0.151175</v>
      </c>
      <c r="Q1521">
        <v>0.08</v>
      </c>
      <c r="R1521">
        <v>926.4</v>
      </c>
      <c r="S1521">
        <v>926.4</v>
      </c>
      <c r="T1521">
        <v>1500</v>
      </c>
      <c r="U1521" t="s">
        <v>3350</v>
      </c>
      <c r="Z1521" s="37">
        <v>0.01</v>
      </c>
      <c r="AA1521" s="37">
        <v>0.35</v>
      </c>
      <c r="AB1521">
        <v>0</v>
      </c>
    </row>
    <row r="1522">
      <c r="A1522" t="s">
        <v>4288</v>
      </c>
      <c r="B1522" t="s">
        <v>3662</v>
      </c>
      <c r="C1522" t="s">
        <v>3662</v>
      </c>
      <c r="D1522" t="s">
        <v>1013</v>
      </c>
      <c r="E1522" t="s">
        <v>4289</v>
      </c>
      <c r="F1522" t="s">
        <v>298</v>
      </c>
      <c r="G1522" t="s">
        <v>4175</v>
      </c>
      <c r="H1522" t="s">
        <v>4113</v>
      </c>
      <c r="I1522" t="s">
        <v>4290</v>
      </c>
      <c r="J1522" t="s">
        <v>4291</v>
      </c>
      <c r="K1522" t="s">
        <v>4292</v>
      </c>
      <c r="L1522" t="s">
        <v>4281</v>
      </c>
      <c r="M1522" s="37">
        <v>0.52</v>
      </c>
      <c r="N1522" s="37">
        <v>1</v>
      </c>
      <c r="O1522">
        <v>0.52</v>
      </c>
      <c r="P1522" s="37">
        <v>0.52</v>
      </c>
      <c r="Q1522">
        <v>0.52</v>
      </c>
      <c r="R1522">
        <v>780</v>
      </c>
      <c r="S1522">
        <v>780</v>
      </c>
      <c r="T1522">
        <v>1500</v>
      </c>
      <c r="U1522" t="s">
        <v>3350</v>
      </c>
      <c r="Z1522" s="37">
        <v>0.01</v>
      </c>
      <c r="AA1522" s="37">
        <v>0.35</v>
      </c>
      <c r="AB1522">
        <v>0</v>
      </c>
    </row>
    <row r="1523">
      <c r="A1523" t="s">
        <v>4293</v>
      </c>
      <c r="B1523" t="s">
        <v>1174</v>
      </c>
      <c r="C1523" t="s">
        <v>1174</v>
      </c>
      <c r="D1523" t="s">
        <v>4294</v>
      </c>
      <c r="E1523" t="s">
        <v>4295</v>
      </c>
      <c r="F1523" t="s">
        <v>298</v>
      </c>
      <c r="G1523" t="s">
        <v>1177</v>
      </c>
      <c r="H1523" t="s">
        <v>4296</v>
      </c>
      <c r="I1523" t="s">
        <v>4290</v>
      </c>
      <c r="J1523" t="s">
        <v>4291</v>
      </c>
      <c r="K1523">
        <v>0</v>
      </c>
      <c r="L1523" t="s">
        <v>4297</v>
      </c>
      <c r="M1523" s="37">
        <v>0.75</v>
      </c>
      <c r="N1523" s="37">
        <v>0.3</v>
      </c>
      <c r="O1523">
        <v>0.75</v>
      </c>
      <c r="P1523" s="37">
        <v>0.85608</v>
      </c>
      <c r="Q1523">
        <v>0.91</v>
      </c>
      <c r="R1523">
        <v>2769</v>
      </c>
      <c r="S1523">
        <v>2769</v>
      </c>
      <c r="T1523">
        <v>3000</v>
      </c>
      <c r="U1523" t="s">
        <v>3350</v>
      </c>
      <c r="Z1523" s="37">
        <v>0.01</v>
      </c>
      <c r="AA1523" s="37">
        <v>0.35</v>
      </c>
      <c r="AB1523">
        <v>0</v>
      </c>
    </row>
    <row r="1524">
      <c r="A1524" t="s">
        <v>4293</v>
      </c>
      <c r="B1524" t="s">
        <v>1174</v>
      </c>
      <c r="C1524" t="s">
        <v>1174</v>
      </c>
      <c r="D1524" t="s">
        <v>4294</v>
      </c>
      <c r="E1524" t="s">
        <v>4295</v>
      </c>
      <c r="F1524" t="s">
        <v>298</v>
      </c>
      <c r="G1524" t="s">
        <v>1177</v>
      </c>
      <c r="H1524" t="s">
        <v>1178</v>
      </c>
      <c r="I1524" t="s">
        <v>4298</v>
      </c>
      <c r="K1524">
        <v>0</v>
      </c>
      <c r="L1524" t="s">
        <v>4299</v>
      </c>
      <c r="M1524" s="37">
        <v>0.975</v>
      </c>
      <c r="N1524" s="37">
        <v>0.4</v>
      </c>
      <c r="O1524">
        <v>0.975</v>
      </c>
      <c r="P1524" s="37">
        <v>0.85608</v>
      </c>
      <c r="Q1524">
        <v>0.91</v>
      </c>
      <c r="R1524">
        <v>2769</v>
      </c>
      <c r="S1524">
        <v>2769</v>
      </c>
      <c r="T1524">
        <v>3000</v>
      </c>
      <c r="U1524" t="s">
        <v>3350</v>
      </c>
      <c r="Z1524" s="37">
        <v>0.01</v>
      </c>
      <c r="AA1524" s="37">
        <v>0.35</v>
      </c>
      <c r="AB1524">
        <v>0</v>
      </c>
    </row>
    <row r="1525">
      <c r="A1525" t="s">
        <v>4293</v>
      </c>
      <c r="B1525" t="s">
        <v>1174</v>
      </c>
      <c r="C1525" t="s">
        <v>1174</v>
      </c>
      <c r="D1525" t="s">
        <v>4294</v>
      </c>
      <c r="E1525" t="s">
        <v>4295</v>
      </c>
      <c r="F1525" t="s">
        <v>298</v>
      </c>
      <c r="G1525" t="s">
        <v>1177</v>
      </c>
      <c r="H1525" t="s">
        <v>4300</v>
      </c>
      <c r="K1525" t="s">
        <v>4301</v>
      </c>
      <c r="L1525" t="s">
        <v>4299</v>
      </c>
      <c r="M1525" s="37">
        <v>0.8036</v>
      </c>
      <c r="N1525" s="37">
        <v>0.3</v>
      </c>
      <c r="O1525">
        <v>0.8036</v>
      </c>
      <c r="P1525" s="37">
        <v>0.85608</v>
      </c>
      <c r="Q1525">
        <v>0.91</v>
      </c>
      <c r="R1525">
        <v>2769</v>
      </c>
      <c r="S1525">
        <v>2769</v>
      </c>
      <c r="T1525">
        <v>3000</v>
      </c>
      <c r="U1525" t="s">
        <v>3350</v>
      </c>
      <c r="Z1525" s="37">
        <v>0.01</v>
      </c>
      <c r="AA1525" s="37">
        <v>0.35</v>
      </c>
      <c r="AB1525">
        <v>0</v>
      </c>
    </row>
    <row r="1526">
      <c r="A1526" t="s">
        <v>4302</v>
      </c>
      <c r="B1526" t="s">
        <v>1174</v>
      </c>
      <c r="C1526" t="s">
        <v>1174</v>
      </c>
      <c r="D1526" t="s">
        <v>4294</v>
      </c>
      <c r="E1526" t="s">
        <v>4303</v>
      </c>
      <c r="F1526" t="s">
        <v>298</v>
      </c>
      <c r="G1526" t="s">
        <v>1177</v>
      </c>
      <c r="H1526" t="s">
        <v>4296</v>
      </c>
      <c r="I1526" t="s">
        <v>4304</v>
      </c>
      <c r="L1526" t="s">
        <v>4299</v>
      </c>
      <c r="M1526" s="37">
        <v>0.875</v>
      </c>
      <c r="N1526" s="37">
        <v>0.3</v>
      </c>
      <c r="O1526">
        <v>0.875</v>
      </c>
      <c r="P1526" s="37">
        <v>0.80377</v>
      </c>
      <c r="Q1526">
        <v>0.78</v>
      </c>
      <c r="R1526">
        <v>2769.23</v>
      </c>
      <c r="S1526">
        <v>2769.23</v>
      </c>
      <c r="T1526">
        <v>3000</v>
      </c>
      <c r="U1526" t="s">
        <v>3350</v>
      </c>
      <c r="Z1526" s="37">
        <v>0.01</v>
      </c>
      <c r="AA1526" s="37">
        <v>0.35</v>
      </c>
      <c r="AB1526">
        <v>0</v>
      </c>
    </row>
    <row r="1527">
      <c r="A1527" t="s">
        <v>4302</v>
      </c>
      <c r="B1527" t="s">
        <v>1174</v>
      </c>
      <c r="C1527" t="s">
        <v>1174</v>
      </c>
      <c r="D1527" t="s">
        <v>4294</v>
      </c>
      <c r="E1527" t="s">
        <v>4303</v>
      </c>
      <c r="F1527" t="s">
        <v>298</v>
      </c>
      <c r="G1527" t="s">
        <v>1177</v>
      </c>
      <c r="H1527" t="s">
        <v>4305</v>
      </c>
      <c r="I1527" t="s">
        <v>4306</v>
      </c>
      <c r="L1527" t="s">
        <v>4299</v>
      </c>
      <c r="M1527" s="37">
        <v>1</v>
      </c>
      <c r="N1527" s="37">
        <v>0.4</v>
      </c>
      <c r="O1527">
        <v>1</v>
      </c>
      <c r="P1527" s="37">
        <v>0.80377</v>
      </c>
      <c r="Q1527">
        <v>0.78</v>
      </c>
      <c r="R1527">
        <v>2769.23</v>
      </c>
      <c r="S1527">
        <v>2769.23</v>
      </c>
      <c r="T1527">
        <v>3000</v>
      </c>
      <c r="U1527" t="s">
        <v>3350</v>
      </c>
      <c r="Z1527" s="37">
        <v>0.01</v>
      </c>
      <c r="AA1527" s="37">
        <v>0.35</v>
      </c>
      <c r="AB1527">
        <v>0</v>
      </c>
    </row>
    <row r="1528">
      <c r="A1528" t="s">
        <v>4302</v>
      </c>
      <c r="B1528" t="s">
        <v>1174</v>
      </c>
      <c r="C1528" t="s">
        <v>1174</v>
      </c>
      <c r="D1528" t="s">
        <v>4294</v>
      </c>
      <c r="E1528" t="s">
        <v>4303</v>
      </c>
      <c r="F1528" t="s">
        <v>298</v>
      </c>
      <c r="G1528" t="s">
        <v>1177</v>
      </c>
      <c r="H1528" t="s">
        <v>4300</v>
      </c>
      <c r="I1528" t="s">
        <v>4307</v>
      </c>
      <c r="L1528" t="s">
        <v>4299</v>
      </c>
      <c r="M1528" s="37">
        <v>0.4709</v>
      </c>
      <c r="N1528" s="37">
        <v>0.3</v>
      </c>
      <c r="O1528">
        <v>0.4709</v>
      </c>
      <c r="P1528" s="37">
        <v>0.80377</v>
      </c>
      <c r="Q1528">
        <v>0.78</v>
      </c>
      <c r="R1528">
        <v>2769.23</v>
      </c>
      <c r="S1528">
        <v>2769.23</v>
      </c>
      <c r="T1528">
        <v>3000</v>
      </c>
      <c r="U1528" t="s">
        <v>3350</v>
      </c>
      <c r="Z1528" s="37">
        <v>0.01</v>
      </c>
      <c r="AA1528" s="37">
        <v>0.35</v>
      </c>
      <c r="AB1528">
        <v>0</v>
      </c>
    </row>
    <row r="1529">
      <c r="A1529" t="s">
        <v>4308</v>
      </c>
      <c r="B1529" t="s">
        <v>1174</v>
      </c>
      <c r="C1529" t="s">
        <v>1174</v>
      </c>
      <c r="D1529" t="s">
        <v>4294</v>
      </c>
      <c r="E1529" t="s">
        <v>4309</v>
      </c>
      <c r="F1529" t="s">
        <v>298</v>
      </c>
      <c r="G1529" t="s">
        <v>1177</v>
      </c>
      <c r="H1529" t="s">
        <v>4296</v>
      </c>
      <c r="I1529" t="s">
        <v>4310</v>
      </c>
      <c r="K1529">
        <v>0</v>
      </c>
      <c r="L1529" t="s">
        <v>4299</v>
      </c>
      <c r="M1529" s="37">
        <v>0.975</v>
      </c>
      <c r="N1529" s="37">
        <v>0.4</v>
      </c>
      <c r="O1529">
        <v>0.975</v>
      </c>
      <c r="P1529" s="37">
        <v>0.9825</v>
      </c>
      <c r="Q1529">
        <v>1.06</v>
      </c>
      <c r="R1529">
        <v>3384.62</v>
      </c>
      <c r="S1529">
        <v>3384.62</v>
      </c>
      <c r="T1529">
        <v>3000</v>
      </c>
      <c r="U1529" t="s">
        <v>3350</v>
      </c>
      <c r="Z1529" s="37">
        <v>0.01</v>
      </c>
      <c r="AA1529" s="37">
        <v>0.35</v>
      </c>
      <c r="AB1529">
        <v>0</v>
      </c>
    </row>
    <row r="1530">
      <c r="A1530" t="s">
        <v>4308</v>
      </c>
      <c r="B1530" t="s">
        <v>1174</v>
      </c>
      <c r="C1530" t="s">
        <v>1174</v>
      </c>
      <c r="D1530" t="s">
        <v>4294</v>
      </c>
      <c r="E1530" t="s">
        <v>4309</v>
      </c>
      <c r="F1530" t="s">
        <v>298</v>
      </c>
      <c r="G1530" t="s">
        <v>1177</v>
      </c>
      <c r="H1530" t="s">
        <v>4305</v>
      </c>
      <c r="I1530" t="s">
        <v>4311</v>
      </c>
      <c r="K1530">
        <v>0</v>
      </c>
      <c r="L1530" t="s">
        <v>4299</v>
      </c>
      <c r="M1530" s="37">
        <v>1</v>
      </c>
      <c r="N1530" s="37">
        <v>0.3</v>
      </c>
      <c r="O1530">
        <v>1</v>
      </c>
      <c r="P1530" s="37">
        <v>0.9825</v>
      </c>
      <c r="Q1530">
        <v>1.06</v>
      </c>
      <c r="R1530">
        <v>3384.62</v>
      </c>
      <c r="S1530">
        <v>3384.62</v>
      </c>
      <c r="T1530">
        <v>3000</v>
      </c>
      <c r="U1530" t="s">
        <v>3350</v>
      </c>
      <c r="Z1530" s="37">
        <v>0.01</v>
      </c>
      <c r="AA1530" s="37">
        <v>0.35</v>
      </c>
      <c r="AB1530">
        <v>0</v>
      </c>
    </row>
    <row r="1531">
      <c r="A1531" t="s">
        <v>4308</v>
      </c>
      <c r="B1531" t="s">
        <v>1174</v>
      </c>
      <c r="C1531" t="s">
        <v>1174</v>
      </c>
      <c r="D1531" t="s">
        <v>4294</v>
      </c>
      <c r="E1531" t="s">
        <v>4309</v>
      </c>
      <c r="F1531" t="s">
        <v>298</v>
      </c>
      <c r="G1531" t="s">
        <v>1177</v>
      </c>
      <c r="H1531" t="s">
        <v>1178</v>
      </c>
      <c r="I1531" t="s">
        <v>4312</v>
      </c>
      <c r="K1531">
        <v>0</v>
      </c>
      <c r="L1531" t="s">
        <v>4299</v>
      </c>
      <c r="M1531" s="37">
        <v>0.975</v>
      </c>
      <c r="N1531" s="37">
        <v>0.3</v>
      </c>
      <c r="O1531">
        <v>0.975</v>
      </c>
      <c r="P1531" s="37">
        <v>0.9825</v>
      </c>
      <c r="Q1531">
        <v>1.06</v>
      </c>
      <c r="R1531">
        <v>3384.62</v>
      </c>
      <c r="S1531">
        <v>3384.62</v>
      </c>
      <c r="T1531">
        <v>3000</v>
      </c>
      <c r="U1531" t="s">
        <v>3350</v>
      </c>
      <c r="Z1531" s="37">
        <v>0.01</v>
      </c>
      <c r="AA1531" s="37">
        <v>0.35</v>
      </c>
      <c r="AB1531">
        <v>0</v>
      </c>
    </row>
    <row r="1532">
      <c r="A1532" t="s">
        <v>4313</v>
      </c>
      <c r="B1532" t="s">
        <v>1174</v>
      </c>
      <c r="C1532" t="s">
        <v>1174</v>
      </c>
      <c r="D1532" t="s">
        <v>4294</v>
      </c>
      <c r="E1532" t="s">
        <v>4314</v>
      </c>
      <c r="F1532" t="s">
        <v>298</v>
      </c>
      <c r="G1532" t="s">
        <v>1177</v>
      </c>
      <c r="H1532" t="s">
        <v>4296</v>
      </c>
      <c r="I1532" t="s">
        <v>4315</v>
      </c>
      <c r="L1532" t="s">
        <v>4299</v>
      </c>
      <c r="M1532" s="37">
        <v>0.95</v>
      </c>
      <c r="N1532" s="37">
        <v>0.3</v>
      </c>
      <c r="O1532">
        <v>0.95</v>
      </c>
      <c r="P1532" s="37">
        <v>0.81354</v>
      </c>
      <c r="Q1532">
        <v>0.81</v>
      </c>
      <c r="R1532">
        <v>2769.23</v>
      </c>
      <c r="S1532">
        <v>2769.23</v>
      </c>
      <c r="T1532">
        <v>3000</v>
      </c>
      <c r="U1532" t="s">
        <v>3350</v>
      </c>
      <c r="Z1532" s="37">
        <v>0.01</v>
      </c>
      <c r="AA1532" s="37">
        <v>0.35</v>
      </c>
      <c r="AB1532">
        <v>0</v>
      </c>
    </row>
    <row r="1533">
      <c r="A1533" t="s">
        <v>4313</v>
      </c>
      <c r="B1533" t="s">
        <v>1174</v>
      </c>
      <c r="C1533" t="s">
        <v>1174</v>
      </c>
      <c r="D1533" t="s">
        <v>4294</v>
      </c>
      <c r="E1533" t="s">
        <v>4314</v>
      </c>
      <c r="F1533" t="s">
        <v>298</v>
      </c>
      <c r="G1533" t="s">
        <v>1177</v>
      </c>
      <c r="H1533" t="s">
        <v>4305</v>
      </c>
      <c r="I1533" t="s">
        <v>4316</v>
      </c>
      <c r="L1533" t="s">
        <v>4299</v>
      </c>
      <c r="M1533" s="37">
        <v>0.9</v>
      </c>
      <c r="N1533" s="37">
        <v>0.4</v>
      </c>
      <c r="O1533">
        <v>0.9</v>
      </c>
      <c r="P1533" s="37">
        <v>0.81354</v>
      </c>
      <c r="Q1533">
        <v>0.81</v>
      </c>
      <c r="R1533">
        <v>2769.23</v>
      </c>
      <c r="S1533">
        <v>2769.23</v>
      </c>
      <c r="T1533">
        <v>3000</v>
      </c>
      <c r="U1533" t="s">
        <v>3350</v>
      </c>
      <c r="Z1533" s="37">
        <v>0.01</v>
      </c>
      <c r="AA1533" s="37">
        <v>0.35</v>
      </c>
      <c r="AB1533">
        <v>0</v>
      </c>
    </row>
    <row r="1534">
      <c r="A1534" t="s">
        <v>4313</v>
      </c>
      <c r="B1534" t="s">
        <v>1174</v>
      </c>
      <c r="C1534" t="s">
        <v>1174</v>
      </c>
      <c r="D1534" t="s">
        <v>4294</v>
      </c>
      <c r="E1534" t="s">
        <v>4314</v>
      </c>
      <c r="F1534" t="s">
        <v>298</v>
      </c>
      <c r="G1534" t="s">
        <v>1177</v>
      </c>
      <c r="H1534" t="s">
        <v>4300</v>
      </c>
      <c r="I1534" t="s">
        <v>4317</v>
      </c>
      <c r="L1534" t="s">
        <v>4299</v>
      </c>
      <c r="M1534" s="37">
        <v>0.5618</v>
      </c>
      <c r="N1534" s="37">
        <v>0.3</v>
      </c>
      <c r="O1534">
        <v>0.5618</v>
      </c>
      <c r="P1534" s="37">
        <v>0.81354</v>
      </c>
      <c r="Q1534">
        <v>0.81</v>
      </c>
      <c r="R1534">
        <v>2769.23</v>
      </c>
      <c r="S1534">
        <v>2769.23</v>
      </c>
      <c r="T1534">
        <v>3000</v>
      </c>
      <c r="U1534" t="s">
        <v>3350</v>
      </c>
      <c r="Z1534" s="37">
        <v>0.01</v>
      </c>
      <c r="AA1534" s="37">
        <v>0.35</v>
      </c>
      <c r="AB1534">
        <v>0</v>
      </c>
    </row>
    <row r="1535">
      <c r="A1535" t="s">
        <v>4318</v>
      </c>
      <c r="B1535" t="s">
        <v>1174</v>
      </c>
      <c r="C1535" t="s">
        <v>1174</v>
      </c>
      <c r="D1535" t="s">
        <v>4294</v>
      </c>
      <c r="E1535" t="s">
        <v>4319</v>
      </c>
      <c r="F1535" t="s">
        <v>298</v>
      </c>
      <c r="G1535" t="s">
        <v>1177</v>
      </c>
      <c r="H1535" t="s">
        <v>4296</v>
      </c>
      <c r="I1535" t="s">
        <v>4317</v>
      </c>
      <c r="L1535" t="s">
        <v>4299</v>
      </c>
      <c r="M1535" s="37">
        <v>1</v>
      </c>
      <c r="N1535" s="37">
        <v>0.3</v>
      </c>
      <c r="O1535">
        <v>100</v>
      </c>
      <c r="P1535" s="37">
        <v>1</v>
      </c>
      <c r="Q1535">
        <v>0.91</v>
      </c>
      <c r="R1535">
        <v>2769.23</v>
      </c>
      <c r="S1535">
        <v>2769.23</v>
      </c>
      <c r="T1535">
        <v>3000</v>
      </c>
      <c r="U1535" t="s">
        <v>3350</v>
      </c>
      <c r="Z1535" s="37">
        <v>0.01</v>
      </c>
      <c r="AA1535" s="37">
        <v>0.35</v>
      </c>
      <c r="AB1535">
        <v>0</v>
      </c>
    </row>
    <row r="1536">
      <c r="A1536" t="s">
        <v>4318</v>
      </c>
      <c r="B1536" t="s">
        <v>1174</v>
      </c>
      <c r="C1536" t="s">
        <v>1174</v>
      </c>
      <c r="D1536" t="s">
        <v>4294</v>
      </c>
      <c r="E1536" t="s">
        <v>4319</v>
      </c>
      <c r="F1536" t="s">
        <v>298</v>
      </c>
      <c r="G1536" t="s">
        <v>1177</v>
      </c>
      <c r="H1536" t="s">
        <v>4305</v>
      </c>
      <c r="I1536" t="s">
        <v>4317</v>
      </c>
      <c r="L1536" t="s">
        <v>4299</v>
      </c>
      <c r="M1536" s="37">
        <v>1</v>
      </c>
      <c r="N1536" s="37">
        <v>0.4</v>
      </c>
      <c r="O1536">
        <v>80</v>
      </c>
      <c r="P1536" s="37">
        <v>1</v>
      </c>
      <c r="Q1536">
        <v>0.91</v>
      </c>
      <c r="R1536">
        <v>2769.23</v>
      </c>
      <c r="S1536">
        <v>2769.23</v>
      </c>
      <c r="T1536">
        <v>3000</v>
      </c>
      <c r="U1536" t="s">
        <v>3350</v>
      </c>
      <c r="Z1536" s="37">
        <v>0.01</v>
      </c>
      <c r="AA1536" s="37">
        <v>0.35</v>
      </c>
      <c r="AB1536">
        <v>0</v>
      </c>
    </row>
    <row r="1537">
      <c r="A1537" t="s">
        <v>4318</v>
      </c>
      <c r="B1537" t="s">
        <v>1174</v>
      </c>
      <c r="C1537" t="s">
        <v>1174</v>
      </c>
      <c r="D1537" t="s">
        <v>4294</v>
      </c>
      <c r="E1537" t="s">
        <v>4319</v>
      </c>
      <c r="F1537" t="s">
        <v>298</v>
      </c>
      <c r="G1537" t="s">
        <v>1177</v>
      </c>
      <c r="H1537" t="s">
        <v>4300</v>
      </c>
      <c r="L1537" t="s">
        <v>4299</v>
      </c>
      <c r="M1537" s="37">
        <v>1</v>
      </c>
      <c r="N1537" s="37">
        <v>0.3</v>
      </c>
      <c r="O1537">
        <v>96</v>
      </c>
      <c r="P1537" s="37">
        <v>1</v>
      </c>
      <c r="Q1537">
        <v>0.91</v>
      </c>
      <c r="R1537">
        <v>2769.23</v>
      </c>
      <c r="S1537">
        <v>2769.23</v>
      </c>
      <c r="T1537">
        <v>3000</v>
      </c>
      <c r="U1537" t="s">
        <v>3350</v>
      </c>
      <c r="Z1537" s="37">
        <v>0.01</v>
      </c>
      <c r="AA1537" s="37">
        <v>0.35</v>
      </c>
      <c r="AB1537">
        <v>0</v>
      </c>
    </row>
    <row r="1538">
      <c r="A1538" t="s">
        <v>4320</v>
      </c>
      <c r="B1538" t="s">
        <v>1174</v>
      </c>
      <c r="C1538" t="s">
        <v>1174</v>
      </c>
      <c r="D1538" t="s">
        <v>4294</v>
      </c>
      <c r="E1538" t="s">
        <v>4321</v>
      </c>
      <c r="F1538" t="s">
        <v>298</v>
      </c>
      <c r="G1538" t="s">
        <v>1177</v>
      </c>
      <c r="H1538" t="s">
        <v>4296</v>
      </c>
      <c r="I1538" t="s">
        <v>4322</v>
      </c>
      <c r="L1538" t="s">
        <v>4299</v>
      </c>
      <c r="M1538" s="37">
        <v>1</v>
      </c>
      <c r="N1538" s="37">
        <v>0.3</v>
      </c>
      <c r="O1538">
        <v>30</v>
      </c>
      <c r="P1538" s="37">
        <v>0.91546</v>
      </c>
      <c r="Q1538">
        <v>0.92</v>
      </c>
      <c r="R1538">
        <v>3384.62</v>
      </c>
      <c r="S1538">
        <v>3384.62</v>
      </c>
      <c r="T1538">
        <v>3000</v>
      </c>
      <c r="U1538" t="s">
        <v>3350</v>
      </c>
      <c r="Z1538" s="37">
        <v>0.01</v>
      </c>
      <c r="AA1538" s="37">
        <v>0.35</v>
      </c>
      <c r="AB1538">
        <v>0</v>
      </c>
    </row>
    <row r="1539">
      <c r="A1539" t="s">
        <v>4320</v>
      </c>
      <c r="B1539" t="s">
        <v>1174</v>
      </c>
      <c r="C1539" t="s">
        <v>1174</v>
      </c>
      <c r="D1539" t="s">
        <v>4294</v>
      </c>
      <c r="E1539" t="s">
        <v>4321</v>
      </c>
      <c r="F1539" t="s">
        <v>298</v>
      </c>
      <c r="G1539" t="s">
        <v>1177</v>
      </c>
      <c r="H1539" t="s">
        <v>4305</v>
      </c>
      <c r="I1539" t="s">
        <v>4316</v>
      </c>
      <c r="L1539" t="s">
        <v>4299</v>
      </c>
      <c r="M1539" s="37">
        <v>1</v>
      </c>
      <c r="N1539" s="37">
        <v>0.4</v>
      </c>
      <c r="O1539">
        <v>40</v>
      </c>
      <c r="P1539" s="37">
        <v>0.91546</v>
      </c>
      <c r="Q1539">
        <v>0.92</v>
      </c>
      <c r="R1539">
        <v>3384.62</v>
      </c>
      <c r="S1539">
        <v>3384.62</v>
      </c>
      <c r="T1539">
        <v>3000</v>
      </c>
      <c r="U1539" t="s">
        <v>3350</v>
      </c>
      <c r="Z1539" s="37">
        <v>0.01</v>
      </c>
      <c r="AA1539" s="37">
        <v>0.35</v>
      </c>
      <c r="AB1539">
        <v>0</v>
      </c>
    </row>
    <row r="1540">
      <c r="A1540" t="s">
        <v>4320</v>
      </c>
      <c r="B1540" t="s">
        <v>1174</v>
      </c>
      <c r="C1540" t="s">
        <v>1174</v>
      </c>
      <c r="D1540" t="s">
        <v>4294</v>
      </c>
      <c r="E1540" t="s">
        <v>4321</v>
      </c>
      <c r="F1540" t="s">
        <v>298</v>
      </c>
      <c r="G1540" t="s">
        <v>1177</v>
      </c>
      <c r="H1540" t="s">
        <v>4300</v>
      </c>
      <c r="I1540" t="s">
        <v>4323</v>
      </c>
      <c r="L1540" t="s">
        <v>4299</v>
      </c>
      <c r="M1540" s="37">
        <v>0.7182</v>
      </c>
      <c r="N1540" s="37">
        <v>0.3</v>
      </c>
      <c r="O1540">
        <v>21.526</v>
      </c>
      <c r="P1540" s="37">
        <v>0.91546</v>
      </c>
      <c r="Q1540">
        <v>0.92</v>
      </c>
      <c r="R1540">
        <v>3384.62</v>
      </c>
      <c r="S1540">
        <v>3384.62</v>
      </c>
      <c r="T1540">
        <v>3000</v>
      </c>
      <c r="U1540" t="s">
        <v>3350</v>
      </c>
      <c r="Z1540" s="37">
        <v>0.01</v>
      </c>
      <c r="AA1540" s="37">
        <v>0.35</v>
      </c>
      <c r="AB1540">
        <v>0</v>
      </c>
    </row>
    <row r="1541">
      <c r="A1541" t="s">
        <v>4324</v>
      </c>
      <c r="B1541" t="s">
        <v>1174</v>
      </c>
      <c r="C1541" t="s">
        <v>1174</v>
      </c>
      <c r="D1541" t="s">
        <v>4294</v>
      </c>
      <c r="E1541" t="s">
        <v>4325</v>
      </c>
      <c r="F1541" t="s">
        <v>298</v>
      </c>
      <c r="G1541" t="s">
        <v>1177</v>
      </c>
      <c r="H1541" t="s">
        <v>4296</v>
      </c>
      <c r="I1541" t="s">
        <v>4326</v>
      </c>
      <c r="M1541" s="37">
        <v>1</v>
      </c>
      <c r="N1541" s="37">
        <v>0.3</v>
      </c>
      <c r="O1541">
        <v>0.95</v>
      </c>
      <c r="P1541" s="37">
        <v>0.6</v>
      </c>
      <c r="Q1541">
        <v>0.45</v>
      </c>
      <c r="R1541">
        <v>2461.54</v>
      </c>
      <c r="S1541">
        <v>2461.54</v>
      </c>
      <c r="T1541">
        <v>3000</v>
      </c>
      <c r="U1541" t="s">
        <v>3350</v>
      </c>
      <c r="Z1541" s="37">
        <v>0.01</v>
      </c>
      <c r="AA1541" s="37">
        <v>0.35</v>
      </c>
      <c r="AB1541">
        <v>0</v>
      </c>
    </row>
    <row r="1542">
      <c r="A1542" t="s">
        <v>4324</v>
      </c>
      <c r="B1542" t="s">
        <v>1174</v>
      </c>
      <c r="C1542" t="s">
        <v>1174</v>
      </c>
      <c r="D1542" t="s">
        <v>4294</v>
      </c>
      <c r="E1542" t="s">
        <v>4325</v>
      </c>
      <c r="F1542" t="s">
        <v>298</v>
      </c>
      <c r="G1542" t="s">
        <v>1177</v>
      </c>
      <c r="H1542" t="s">
        <v>4300</v>
      </c>
      <c r="I1542" t="s">
        <v>4323</v>
      </c>
      <c r="M1542" s="37">
        <v>1</v>
      </c>
      <c r="N1542" s="37">
        <v>0.3</v>
      </c>
      <c r="O1542">
        <v>53.64</v>
      </c>
      <c r="P1542" s="37">
        <v>0.6</v>
      </c>
      <c r="Q1542">
        <v>0.45</v>
      </c>
      <c r="R1542">
        <v>2461.54</v>
      </c>
      <c r="S1542">
        <v>2461.54</v>
      </c>
      <c r="T1542">
        <v>3000</v>
      </c>
      <c r="U1542" t="s">
        <v>3350</v>
      </c>
      <c r="Z1542" s="37">
        <v>0.01</v>
      </c>
      <c r="AA1542" s="37">
        <v>0.35</v>
      </c>
      <c r="AB1542">
        <v>0</v>
      </c>
    </row>
    <row r="1543">
      <c r="A1543" t="s">
        <v>4324</v>
      </c>
      <c r="B1543" t="s">
        <v>1174</v>
      </c>
      <c r="C1543" t="s">
        <v>1174</v>
      </c>
      <c r="D1543" t="s">
        <v>4294</v>
      </c>
      <c r="E1543" t="s">
        <v>4325</v>
      </c>
      <c r="F1543" t="s">
        <v>298</v>
      </c>
      <c r="G1543" t="s">
        <v>1177</v>
      </c>
      <c r="H1543" t="s">
        <v>1178</v>
      </c>
      <c r="I1543" t="s">
        <v>4327</v>
      </c>
      <c r="M1543" s="37">
        <v>0</v>
      </c>
      <c r="N1543" s="37">
        <v>0.4</v>
      </c>
      <c r="O1543">
        <v>0</v>
      </c>
      <c r="P1543" s="37">
        <v>0.6</v>
      </c>
      <c r="Q1543">
        <v>0.45</v>
      </c>
      <c r="R1543">
        <v>2461.54</v>
      </c>
      <c r="S1543">
        <v>2461.54</v>
      </c>
      <c r="T1543">
        <v>3000</v>
      </c>
      <c r="U1543" t="s">
        <v>3350</v>
      </c>
      <c r="Z1543" s="37">
        <v>0.01</v>
      </c>
      <c r="AA1543" s="37">
        <v>0.35</v>
      </c>
      <c r="AB1543">
        <v>0</v>
      </c>
    </row>
    <row r="1544">
      <c r="A1544" t="s">
        <v>4328</v>
      </c>
      <c r="B1544" t="s">
        <v>1174</v>
      </c>
      <c r="C1544" t="s">
        <v>1174</v>
      </c>
      <c r="D1544" t="s">
        <v>4294</v>
      </c>
      <c r="E1544" t="s">
        <v>4329</v>
      </c>
      <c r="F1544" t="s">
        <v>298</v>
      </c>
      <c r="G1544" t="s">
        <v>1177</v>
      </c>
      <c r="H1544" t="s">
        <v>4296</v>
      </c>
      <c r="I1544" t="s">
        <v>4327</v>
      </c>
      <c r="M1544" s="37">
        <v>1</v>
      </c>
      <c r="N1544" s="37">
        <v>0.3</v>
      </c>
      <c r="O1544">
        <v>100</v>
      </c>
      <c r="P1544" s="37">
        <v>0.97435</v>
      </c>
      <c r="Q1544">
        <v>0.97</v>
      </c>
      <c r="R1544">
        <v>3384.62</v>
      </c>
      <c r="S1544">
        <v>3384.62</v>
      </c>
      <c r="T1544">
        <v>3000</v>
      </c>
      <c r="U1544" t="s">
        <v>3350</v>
      </c>
      <c r="Z1544" s="37">
        <v>0.01</v>
      </c>
      <c r="AA1544" s="37">
        <v>0.35</v>
      </c>
      <c r="AB1544">
        <v>0</v>
      </c>
    </row>
    <row r="1545">
      <c r="A1545" t="s">
        <v>4328</v>
      </c>
      <c r="B1545" t="s">
        <v>1174</v>
      </c>
      <c r="C1545" t="s">
        <v>1174</v>
      </c>
      <c r="D1545" t="s">
        <v>4294</v>
      </c>
      <c r="E1545" t="s">
        <v>4329</v>
      </c>
      <c r="F1545" t="s">
        <v>298</v>
      </c>
      <c r="G1545" t="s">
        <v>1177</v>
      </c>
      <c r="H1545" t="s">
        <v>4305</v>
      </c>
      <c r="I1545" t="s">
        <v>4327</v>
      </c>
      <c r="M1545" s="37">
        <v>1</v>
      </c>
      <c r="N1545" s="37">
        <v>0.4</v>
      </c>
      <c r="O1545">
        <v>100</v>
      </c>
      <c r="P1545" s="37">
        <v>0.97435</v>
      </c>
      <c r="Q1545">
        <v>0.97</v>
      </c>
      <c r="R1545">
        <v>3384.62</v>
      </c>
      <c r="S1545">
        <v>3384.62</v>
      </c>
      <c r="T1545">
        <v>3000</v>
      </c>
      <c r="U1545" t="s">
        <v>3350</v>
      </c>
      <c r="Z1545" s="37">
        <v>0.01</v>
      </c>
      <c r="AA1545" s="37">
        <v>0.35</v>
      </c>
      <c r="AB1545">
        <v>0</v>
      </c>
    </row>
    <row r="1546">
      <c r="A1546" t="s">
        <v>4328</v>
      </c>
      <c r="B1546" t="s">
        <v>1174</v>
      </c>
      <c r="C1546" t="s">
        <v>1174</v>
      </c>
      <c r="D1546" t="s">
        <v>4294</v>
      </c>
      <c r="E1546" t="s">
        <v>4329</v>
      </c>
      <c r="F1546" t="s">
        <v>298</v>
      </c>
      <c r="G1546" t="s">
        <v>1177</v>
      </c>
      <c r="H1546" t="s">
        <v>4300</v>
      </c>
      <c r="M1546" s="37">
        <v>0.9145</v>
      </c>
      <c r="N1546" s="37">
        <v>0.3</v>
      </c>
      <c r="O1546">
        <v>91.45</v>
      </c>
      <c r="P1546" s="37">
        <v>0.97435</v>
      </c>
      <c r="Q1546">
        <v>0.97</v>
      </c>
      <c r="R1546">
        <v>3384.62</v>
      </c>
      <c r="S1546">
        <v>3384.62</v>
      </c>
      <c r="T1546">
        <v>3000</v>
      </c>
      <c r="U1546" t="s">
        <v>3350</v>
      </c>
      <c r="Z1546" s="37">
        <v>0.01</v>
      </c>
      <c r="AA1546" s="37">
        <v>0.35</v>
      </c>
      <c r="AB1546">
        <v>0</v>
      </c>
    </row>
    <row r="1547">
      <c r="A1547" t="s">
        <v>4330</v>
      </c>
      <c r="B1547" t="s">
        <v>1174</v>
      </c>
      <c r="C1547" t="s">
        <v>1174</v>
      </c>
      <c r="D1547" t="s">
        <v>4294</v>
      </c>
      <c r="E1547" t="s">
        <v>4331</v>
      </c>
      <c r="F1547" t="s">
        <v>298</v>
      </c>
      <c r="G1547" t="s">
        <v>1177</v>
      </c>
      <c r="H1547" t="s">
        <v>4296</v>
      </c>
      <c r="I1547" t="s">
        <v>4326</v>
      </c>
      <c r="M1547" s="37">
        <v>1</v>
      </c>
      <c r="N1547" s="37">
        <v>0.3</v>
      </c>
      <c r="O1547">
        <v>100</v>
      </c>
      <c r="P1547" s="37">
        <v>0.81581</v>
      </c>
      <c r="Q1547">
        <v>0.82</v>
      </c>
      <c r="R1547">
        <v>2769.23</v>
      </c>
      <c r="S1547">
        <v>2769.23</v>
      </c>
      <c r="T1547">
        <v>3000</v>
      </c>
      <c r="U1547" t="s">
        <v>3350</v>
      </c>
      <c r="Z1547" s="37">
        <v>0.01</v>
      </c>
      <c r="AA1547" s="37">
        <v>0.35</v>
      </c>
      <c r="AB1547">
        <v>0</v>
      </c>
    </row>
    <row r="1548">
      <c r="A1548" t="s">
        <v>4330</v>
      </c>
      <c r="B1548" t="s">
        <v>1174</v>
      </c>
      <c r="C1548" t="s">
        <v>1174</v>
      </c>
      <c r="D1548" t="s">
        <v>4294</v>
      </c>
      <c r="E1548" t="s">
        <v>4331</v>
      </c>
      <c r="F1548" t="s">
        <v>298</v>
      </c>
      <c r="G1548" t="s">
        <v>1177</v>
      </c>
      <c r="H1548" t="s">
        <v>4305</v>
      </c>
      <c r="I1548" t="s">
        <v>4332</v>
      </c>
      <c r="M1548" s="37">
        <v>0.8</v>
      </c>
      <c r="N1548" s="37">
        <v>0.4</v>
      </c>
      <c r="O1548">
        <v>80</v>
      </c>
      <c r="P1548" s="37">
        <v>0.81581</v>
      </c>
      <c r="Q1548">
        <v>0.82</v>
      </c>
      <c r="R1548">
        <v>2769.23</v>
      </c>
      <c r="S1548">
        <v>2769.23</v>
      </c>
      <c r="T1548">
        <v>3000</v>
      </c>
      <c r="U1548" t="s">
        <v>3350</v>
      </c>
      <c r="Z1548" s="37">
        <v>0.01</v>
      </c>
      <c r="AA1548" s="37">
        <v>0.35</v>
      </c>
      <c r="AB1548">
        <v>0</v>
      </c>
    </row>
    <row r="1549">
      <c r="A1549" t="s">
        <v>4330</v>
      </c>
      <c r="B1549" t="s">
        <v>1174</v>
      </c>
      <c r="C1549" t="s">
        <v>1174</v>
      </c>
      <c r="D1549" t="s">
        <v>4294</v>
      </c>
      <c r="E1549" t="s">
        <v>4331</v>
      </c>
      <c r="F1549" t="s">
        <v>298</v>
      </c>
      <c r="G1549" t="s">
        <v>1177</v>
      </c>
      <c r="H1549" t="s">
        <v>4300</v>
      </c>
      <c r="I1549" t="s">
        <v>4333</v>
      </c>
      <c r="M1549" s="37">
        <v>0.6527</v>
      </c>
      <c r="N1549" s="37">
        <v>0.3</v>
      </c>
      <c r="O1549">
        <v>65.27</v>
      </c>
      <c r="P1549" s="37">
        <v>0.81581</v>
      </c>
      <c r="Q1549">
        <v>0.82</v>
      </c>
      <c r="R1549">
        <v>2769.23</v>
      </c>
      <c r="S1549">
        <v>2769.23</v>
      </c>
      <c r="T1549">
        <v>3000</v>
      </c>
      <c r="U1549" t="s">
        <v>3350</v>
      </c>
      <c r="Z1549" s="37">
        <v>0.01</v>
      </c>
      <c r="AA1549" s="37">
        <v>0.35</v>
      </c>
      <c r="AB1549">
        <v>0</v>
      </c>
    </row>
    <row r="1550">
      <c r="A1550" t="s">
        <v>4334</v>
      </c>
      <c r="B1550" t="s">
        <v>1174</v>
      </c>
      <c r="C1550" t="s">
        <v>1174</v>
      </c>
      <c r="D1550" t="s">
        <v>4294</v>
      </c>
      <c r="E1550" t="s">
        <v>4335</v>
      </c>
      <c r="F1550" t="s">
        <v>298</v>
      </c>
      <c r="G1550" t="s">
        <v>1177</v>
      </c>
      <c r="H1550" t="s">
        <v>4296</v>
      </c>
      <c r="I1550" t="s">
        <v>4336</v>
      </c>
      <c r="M1550" s="37">
        <v>1</v>
      </c>
      <c r="N1550" s="37">
        <v>0.3</v>
      </c>
      <c r="O1550">
        <v>1</v>
      </c>
      <c r="P1550" s="37">
        <v>0.93073</v>
      </c>
      <c r="Q1550">
        <v>1.08</v>
      </c>
      <c r="R1550">
        <v>3692.31</v>
      </c>
      <c r="S1550">
        <v>3692.31</v>
      </c>
      <c r="T1550">
        <v>3000</v>
      </c>
      <c r="U1550" t="s">
        <v>3350</v>
      </c>
      <c r="Z1550" s="37">
        <v>0.01</v>
      </c>
      <c r="AA1550" s="37">
        <v>0.35</v>
      </c>
      <c r="AB1550">
        <v>0</v>
      </c>
    </row>
    <row r="1551">
      <c r="A1551" t="s">
        <v>4334</v>
      </c>
      <c r="B1551" t="s">
        <v>1174</v>
      </c>
      <c r="C1551" t="s">
        <v>1174</v>
      </c>
      <c r="D1551" t="s">
        <v>4294</v>
      </c>
      <c r="E1551" t="s">
        <v>4335</v>
      </c>
      <c r="F1551" t="s">
        <v>298</v>
      </c>
      <c r="G1551" t="s">
        <v>1177</v>
      </c>
      <c r="H1551" t="s">
        <v>4305</v>
      </c>
      <c r="I1551" t="s">
        <v>4337</v>
      </c>
      <c r="M1551" s="37">
        <v>1</v>
      </c>
      <c r="N1551" s="37">
        <v>0.4</v>
      </c>
      <c r="O1551">
        <v>1</v>
      </c>
      <c r="P1551" s="37">
        <v>0.93073</v>
      </c>
      <c r="Q1551">
        <v>1.08</v>
      </c>
      <c r="R1551">
        <v>3692.31</v>
      </c>
      <c r="S1551">
        <v>3692.31</v>
      </c>
      <c r="T1551">
        <v>3000</v>
      </c>
      <c r="U1551" t="s">
        <v>3350</v>
      </c>
      <c r="Z1551" s="37">
        <v>0.01</v>
      </c>
      <c r="AA1551" s="37">
        <v>0.35</v>
      </c>
      <c r="AB1551">
        <v>0</v>
      </c>
    </row>
    <row r="1552">
      <c r="A1552" t="s">
        <v>4334</v>
      </c>
      <c r="B1552" t="s">
        <v>1174</v>
      </c>
      <c r="C1552" t="s">
        <v>1174</v>
      </c>
      <c r="D1552" t="s">
        <v>4294</v>
      </c>
      <c r="E1552" t="s">
        <v>4335</v>
      </c>
      <c r="F1552" t="s">
        <v>298</v>
      </c>
      <c r="G1552" t="s">
        <v>1177</v>
      </c>
      <c r="H1552" t="s">
        <v>4300</v>
      </c>
      <c r="I1552" t="s">
        <v>4338</v>
      </c>
      <c r="M1552" s="37">
        <v>0.7691</v>
      </c>
      <c r="N1552" s="37">
        <v>0.3</v>
      </c>
      <c r="O1552">
        <v>0.7691</v>
      </c>
      <c r="P1552" s="37">
        <v>0.93073</v>
      </c>
      <c r="Q1552">
        <v>1.08</v>
      </c>
      <c r="R1552">
        <v>3692.31</v>
      </c>
      <c r="S1552">
        <v>3692.31</v>
      </c>
      <c r="T1552">
        <v>3000</v>
      </c>
      <c r="U1552" t="s">
        <v>3350</v>
      </c>
      <c r="Z1552" s="37">
        <v>0.01</v>
      </c>
      <c r="AA1552" s="37">
        <v>0.35</v>
      </c>
      <c r="AB1552">
        <v>0</v>
      </c>
    </row>
    <row r="1553">
      <c r="A1553" t="s">
        <v>4339</v>
      </c>
      <c r="B1553" t="s">
        <v>1174</v>
      </c>
      <c r="C1553" t="s">
        <v>1174</v>
      </c>
      <c r="D1553" t="s">
        <v>4294</v>
      </c>
      <c r="E1553" t="s">
        <v>4340</v>
      </c>
      <c r="F1553" t="s">
        <v>298</v>
      </c>
      <c r="G1553" t="s">
        <v>1177</v>
      </c>
      <c r="H1553" t="s">
        <v>4296</v>
      </c>
      <c r="I1553" t="s">
        <v>4341</v>
      </c>
      <c r="M1553" s="37">
        <v>1</v>
      </c>
      <c r="N1553" s="37">
        <v>0.3</v>
      </c>
      <c r="O1553">
        <v>1</v>
      </c>
      <c r="P1553" s="37">
        <v>1</v>
      </c>
      <c r="Q1553">
        <v>0.91</v>
      </c>
      <c r="R1553">
        <v>3384.62</v>
      </c>
      <c r="S1553">
        <v>3384.62</v>
      </c>
      <c r="T1553">
        <v>3000</v>
      </c>
      <c r="U1553" t="s">
        <v>3350</v>
      </c>
      <c r="Z1553" s="37">
        <v>0.01</v>
      </c>
      <c r="AA1553" s="37">
        <v>0.35</v>
      </c>
      <c r="AB1553">
        <v>0</v>
      </c>
    </row>
    <row r="1554">
      <c r="A1554" t="s">
        <v>4339</v>
      </c>
      <c r="B1554" t="s">
        <v>1174</v>
      </c>
      <c r="C1554" t="s">
        <v>1174</v>
      </c>
      <c r="D1554" t="s">
        <v>4294</v>
      </c>
      <c r="E1554" t="s">
        <v>4340</v>
      </c>
      <c r="F1554" t="s">
        <v>298</v>
      </c>
      <c r="G1554" t="s">
        <v>1177</v>
      </c>
      <c r="H1554" t="s">
        <v>4305</v>
      </c>
      <c r="I1554" t="s">
        <v>4342</v>
      </c>
      <c r="M1554" s="37">
        <v>1</v>
      </c>
      <c r="N1554" s="37">
        <v>0.4</v>
      </c>
      <c r="O1554">
        <v>1</v>
      </c>
      <c r="P1554" s="37">
        <v>1</v>
      </c>
      <c r="Q1554">
        <v>0.91</v>
      </c>
      <c r="R1554">
        <v>3384.62</v>
      </c>
      <c r="S1554">
        <v>3384.62</v>
      </c>
      <c r="T1554">
        <v>3000</v>
      </c>
      <c r="U1554" t="s">
        <v>3350</v>
      </c>
      <c r="Z1554" s="37">
        <v>0.01</v>
      </c>
      <c r="AA1554" s="37">
        <v>0.35</v>
      </c>
      <c r="AB1554">
        <v>0</v>
      </c>
    </row>
    <row r="1555">
      <c r="A1555" t="s">
        <v>4339</v>
      </c>
      <c r="B1555" t="s">
        <v>1174</v>
      </c>
      <c r="C1555" t="s">
        <v>1174</v>
      </c>
      <c r="D1555" t="s">
        <v>4294</v>
      </c>
      <c r="E1555" t="s">
        <v>4340</v>
      </c>
      <c r="F1555" t="s">
        <v>298</v>
      </c>
      <c r="G1555" t="s">
        <v>1177</v>
      </c>
      <c r="H1555" t="s">
        <v>4300</v>
      </c>
      <c r="I1555" t="s">
        <v>4323</v>
      </c>
      <c r="M1555" s="37">
        <v>1</v>
      </c>
      <c r="N1555" s="37">
        <v>0.3</v>
      </c>
      <c r="O1555">
        <v>0.6073</v>
      </c>
      <c r="P1555" s="37">
        <v>1</v>
      </c>
      <c r="Q1555">
        <v>0.91</v>
      </c>
      <c r="R1555">
        <v>3384.62</v>
      </c>
      <c r="S1555">
        <v>3384.62</v>
      </c>
      <c r="T1555">
        <v>3000</v>
      </c>
      <c r="U1555" t="s">
        <v>3350</v>
      </c>
      <c r="Z1555" s="37">
        <v>0.01</v>
      </c>
      <c r="AA1555" s="37">
        <v>0.35</v>
      </c>
      <c r="AB1555">
        <v>0</v>
      </c>
    </row>
    <row r="1556">
      <c r="A1556" t="s">
        <v>4343</v>
      </c>
      <c r="B1556" t="s">
        <v>1174</v>
      </c>
      <c r="C1556" t="s">
        <v>1174</v>
      </c>
      <c r="D1556" t="s">
        <v>4294</v>
      </c>
      <c r="E1556" t="s">
        <v>4344</v>
      </c>
      <c r="F1556" t="s">
        <v>298</v>
      </c>
      <c r="G1556" t="s">
        <v>1177</v>
      </c>
      <c r="H1556" t="s">
        <v>4296</v>
      </c>
      <c r="I1556" t="s">
        <v>4345</v>
      </c>
      <c r="M1556" s="37">
        <v>0.75</v>
      </c>
      <c r="N1556" s="37">
        <v>0.3</v>
      </c>
      <c r="O1556">
        <v>0.75</v>
      </c>
      <c r="P1556" s="37">
        <v>0.545</v>
      </c>
      <c r="Q1556">
        <v>0.55</v>
      </c>
      <c r="R1556">
        <v>2461.54</v>
      </c>
      <c r="S1556">
        <v>2461.54</v>
      </c>
      <c r="T1556">
        <v>3000</v>
      </c>
      <c r="U1556" t="s">
        <v>3350</v>
      </c>
      <c r="Z1556" s="37">
        <v>0.01</v>
      </c>
      <c r="AA1556" s="37">
        <v>0.35</v>
      </c>
      <c r="AB1556">
        <v>0</v>
      </c>
    </row>
    <row r="1557">
      <c r="A1557" t="s">
        <v>4343</v>
      </c>
      <c r="B1557" t="s">
        <v>1174</v>
      </c>
      <c r="C1557" t="s">
        <v>1174</v>
      </c>
      <c r="D1557" t="s">
        <v>4294</v>
      </c>
      <c r="E1557" t="s">
        <v>4344</v>
      </c>
      <c r="F1557" t="s">
        <v>298</v>
      </c>
      <c r="G1557" t="s">
        <v>1177</v>
      </c>
      <c r="H1557" t="s">
        <v>4305</v>
      </c>
      <c r="I1557" t="s">
        <v>4346</v>
      </c>
      <c r="M1557" s="37">
        <v>0.8</v>
      </c>
      <c r="N1557" s="37">
        <v>0.4</v>
      </c>
      <c r="O1557">
        <v>0.8</v>
      </c>
      <c r="P1557" s="37">
        <v>0.545</v>
      </c>
      <c r="Q1557">
        <v>0.55</v>
      </c>
      <c r="R1557">
        <v>2461.54</v>
      </c>
      <c r="S1557">
        <v>2461.54</v>
      </c>
      <c r="T1557">
        <v>3000</v>
      </c>
      <c r="U1557" t="s">
        <v>3350</v>
      </c>
      <c r="Z1557" s="37">
        <v>0.01</v>
      </c>
      <c r="AA1557" s="37">
        <v>0.35</v>
      </c>
      <c r="AB1557">
        <v>0</v>
      </c>
    </row>
    <row r="1558">
      <c r="A1558" t="s">
        <v>4343</v>
      </c>
      <c r="B1558" t="s">
        <v>1174</v>
      </c>
      <c r="C1558" t="s">
        <v>1174</v>
      </c>
      <c r="D1558" t="s">
        <v>4294</v>
      </c>
      <c r="E1558" t="s">
        <v>4344</v>
      </c>
      <c r="F1558" t="s">
        <v>298</v>
      </c>
      <c r="G1558" t="s">
        <v>1177</v>
      </c>
      <c r="H1558" t="s">
        <v>4300</v>
      </c>
      <c r="I1558" t="s">
        <v>4347</v>
      </c>
      <c r="M1558" s="37">
        <v>0</v>
      </c>
      <c r="N1558" s="37">
        <v>0.3</v>
      </c>
      <c r="O1558">
        <v>0</v>
      </c>
      <c r="P1558" s="37">
        <v>0.545</v>
      </c>
      <c r="Q1558">
        <v>0.55</v>
      </c>
      <c r="R1558">
        <v>2461.54</v>
      </c>
      <c r="S1558">
        <v>2461.54</v>
      </c>
      <c r="T1558">
        <v>3000</v>
      </c>
      <c r="U1558" t="s">
        <v>3350</v>
      </c>
      <c r="Z1558" s="37">
        <v>0.01</v>
      </c>
      <c r="AA1558" s="37">
        <v>0.35</v>
      </c>
      <c r="AB1558">
        <v>0</v>
      </c>
    </row>
    <row r="1559">
      <c r="A1559" t="s">
        <v>4348</v>
      </c>
      <c r="B1559" t="s">
        <v>1174</v>
      </c>
      <c r="C1559" t="s">
        <v>1174</v>
      </c>
      <c r="D1559" t="s">
        <v>4294</v>
      </c>
      <c r="E1559" t="s">
        <v>4349</v>
      </c>
      <c r="F1559" t="s">
        <v>298</v>
      </c>
      <c r="G1559" t="s">
        <v>1177</v>
      </c>
      <c r="H1559" t="s">
        <v>1178</v>
      </c>
      <c r="I1559" t="s">
        <v>4350</v>
      </c>
      <c r="M1559" s="37">
        <v>1</v>
      </c>
      <c r="N1559" s="37">
        <v>0.1</v>
      </c>
      <c r="O1559">
        <v>1</v>
      </c>
      <c r="P1559" s="37">
        <v>0.975</v>
      </c>
      <c r="Q1559">
        <v>0.98</v>
      </c>
      <c r="R1559">
        <v>0</v>
      </c>
      <c r="S1559">
        <v>0</v>
      </c>
      <c r="T1559">
        <v>3000</v>
      </c>
      <c r="U1559" t="s">
        <v>3350</v>
      </c>
      <c r="Z1559" s="37">
        <v>0.01</v>
      </c>
      <c r="AA1559" s="37">
        <v>0.35</v>
      </c>
      <c r="AB1559">
        <v>0</v>
      </c>
    </row>
    <row r="1560">
      <c r="A1560" t="s">
        <v>4348</v>
      </c>
      <c r="B1560" t="s">
        <v>1174</v>
      </c>
      <c r="C1560" t="s">
        <v>1174</v>
      </c>
      <c r="D1560" t="s">
        <v>4294</v>
      </c>
      <c r="E1560" t="s">
        <v>4349</v>
      </c>
      <c r="F1560" t="s">
        <v>298</v>
      </c>
      <c r="G1560" t="s">
        <v>1177</v>
      </c>
      <c r="H1560" t="s">
        <v>1178</v>
      </c>
      <c r="I1560" t="s">
        <v>4351</v>
      </c>
      <c r="M1560" s="37">
        <v>0.95</v>
      </c>
      <c r="N1560" s="37">
        <v>0.3</v>
      </c>
      <c r="O1560">
        <v>0.95</v>
      </c>
      <c r="P1560" s="37">
        <v>0.975</v>
      </c>
      <c r="Q1560">
        <v>0.98</v>
      </c>
      <c r="R1560">
        <v>0</v>
      </c>
      <c r="S1560">
        <v>0</v>
      </c>
      <c r="T1560">
        <v>3000</v>
      </c>
      <c r="U1560" t="s">
        <v>3350</v>
      </c>
      <c r="Z1560" s="37">
        <v>0.01</v>
      </c>
      <c r="AA1560" s="37">
        <v>0.35</v>
      </c>
      <c r="AB1560">
        <v>0</v>
      </c>
    </row>
    <row r="1561">
      <c r="A1561" t="s">
        <v>4348</v>
      </c>
      <c r="B1561" t="s">
        <v>1174</v>
      </c>
      <c r="C1561" t="s">
        <v>1174</v>
      </c>
      <c r="D1561" t="s">
        <v>4294</v>
      </c>
      <c r="E1561" t="s">
        <v>4349</v>
      </c>
      <c r="F1561" t="s">
        <v>298</v>
      </c>
      <c r="G1561" t="s">
        <v>1177</v>
      </c>
      <c r="H1561" t="s">
        <v>1178</v>
      </c>
      <c r="I1561" t="s">
        <v>4352</v>
      </c>
      <c r="M1561" s="37">
        <v>1</v>
      </c>
      <c r="N1561" s="37">
        <v>0.1</v>
      </c>
      <c r="O1561">
        <v>1</v>
      </c>
      <c r="P1561" s="37">
        <v>0.975</v>
      </c>
      <c r="Q1561">
        <v>0.98</v>
      </c>
      <c r="R1561">
        <v>0</v>
      </c>
      <c r="S1561">
        <v>0</v>
      </c>
      <c r="T1561">
        <v>3000</v>
      </c>
      <c r="U1561" t="s">
        <v>3350</v>
      </c>
      <c r="Z1561" s="37">
        <v>0.01</v>
      </c>
      <c r="AA1561" s="37">
        <v>0.35</v>
      </c>
      <c r="AB1561">
        <v>0</v>
      </c>
    </row>
    <row r="1562">
      <c r="A1562" t="s">
        <v>4348</v>
      </c>
      <c r="B1562" t="s">
        <v>1174</v>
      </c>
      <c r="C1562" t="s">
        <v>1174</v>
      </c>
      <c r="D1562" t="s">
        <v>4294</v>
      </c>
      <c r="E1562" t="s">
        <v>4349</v>
      </c>
      <c r="F1562" t="s">
        <v>298</v>
      </c>
      <c r="G1562" t="s">
        <v>1177</v>
      </c>
      <c r="H1562" t="s">
        <v>1178</v>
      </c>
      <c r="I1562" t="s">
        <v>4353</v>
      </c>
      <c r="M1562" s="37">
        <v>1</v>
      </c>
      <c r="N1562" s="37">
        <v>0.3</v>
      </c>
      <c r="O1562">
        <v>1</v>
      </c>
      <c r="P1562" s="37">
        <v>0.975</v>
      </c>
      <c r="Q1562">
        <v>0.98</v>
      </c>
      <c r="R1562">
        <v>0</v>
      </c>
      <c r="S1562">
        <v>0</v>
      </c>
      <c r="T1562">
        <v>3000</v>
      </c>
      <c r="U1562" t="s">
        <v>3350</v>
      </c>
      <c r="Z1562" s="37">
        <v>0.01</v>
      </c>
      <c r="AA1562" s="37">
        <v>0.35</v>
      </c>
      <c r="AB1562">
        <v>0</v>
      </c>
    </row>
    <row r="1563">
      <c r="A1563" t="s">
        <v>4348</v>
      </c>
      <c r="B1563" t="s">
        <v>1174</v>
      </c>
      <c r="C1563" t="s">
        <v>1174</v>
      </c>
      <c r="D1563" t="s">
        <v>4294</v>
      </c>
      <c r="E1563" t="s">
        <v>4349</v>
      </c>
      <c r="F1563" t="s">
        <v>298</v>
      </c>
      <c r="G1563" t="s">
        <v>1177</v>
      </c>
      <c r="H1563" t="s">
        <v>1178</v>
      </c>
      <c r="I1563" t="s">
        <v>4354</v>
      </c>
      <c r="M1563" s="37">
        <v>0.95</v>
      </c>
      <c r="N1563" s="37">
        <v>0.2</v>
      </c>
      <c r="O1563">
        <v>0.95</v>
      </c>
      <c r="P1563" s="37">
        <v>0.975</v>
      </c>
      <c r="Q1563">
        <v>0.98</v>
      </c>
      <c r="R1563">
        <v>0</v>
      </c>
      <c r="S1563">
        <v>0</v>
      </c>
      <c r="T1563">
        <v>3000</v>
      </c>
      <c r="U1563" t="s">
        <v>3350</v>
      </c>
      <c r="Z1563" s="37">
        <v>0.01</v>
      </c>
      <c r="AA1563" s="37">
        <v>0.35</v>
      </c>
      <c r="AB1563">
        <v>0</v>
      </c>
    </row>
    <row r="1564">
      <c r="A1564" t="s">
        <v>4355</v>
      </c>
      <c r="B1564" t="s">
        <v>3113</v>
      </c>
      <c r="C1564" t="s">
        <v>3113</v>
      </c>
      <c r="D1564" t="s">
        <v>3460</v>
      </c>
      <c r="E1564" t="s">
        <v>4356</v>
      </c>
      <c r="F1564" t="s">
        <v>298</v>
      </c>
      <c r="G1564" t="s">
        <v>4357</v>
      </c>
      <c r="H1564" t="s">
        <v>4358</v>
      </c>
      <c r="I1564" t="s">
        <v>4359</v>
      </c>
      <c r="J1564" t="s">
        <v>4360</v>
      </c>
      <c r="K1564" t="s">
        <v>4361</v>
      </c>
      <c r="L1564" t="s">
        <v>4362</v>
      </c>
      <c r="M1564" s="37">
        <v>0.684</v>
      </c>
      <c r="N1564" s="37">
        <v>0.5</v>
      </c>
      <c r="O1564">
        <v>0.7524</v>
      </c>
      <c r="P1564" s="37">
        <v>0.842</v>
      </c>
      <c r="Q1564">
        <v>0.88</v>
      </c>
      <c r="R1564">
        <v>264</v>
      </c>
      <c r="S1564">
        <v>464</v>
      </c>
      <c r="T1564">
        <v>500</v>
      </c>
      <c r="U1564" t="s">
        <v>3350</v>
      </c>
      <c r="Z1564" s="37">
        <v>0.01</v>
      </c>
      <c r="AA1564" s="37">
        <v>0.35</v>
      </c>
      <c r="AB1564">
        <v>0</v>
      </c>
    </row>
    <row r="1565">
      <c r="A1565" t="s">
        <v>4355</v>
      </c>
      <c r="B1565" t="s">
        <v>3113</v>
      </c>
      <c r="C1565" t="s">
        <v>3113</v>
      </c>
      <c r="D1565" t="s">
        <v>3460</v>
      </c>
      <c r="E1565" t="s">
        <v>4356</v>
      </c>
      <c r="F1565" t="s">
        <v>298</v>
      </c>
      <c r="G1565" t="s">
        <v>4357</v>
      </c>
      <c r="H1565" t="s">
        <v>4363</v>
      </c>
      <c r="I1565" t="s">
        <v>4364</v>
      </c>
      <c r="J1565">
        <v>1</v>
      </c>
      <c r="K1565">
        <v>1</v>
      </c>
      <c r="L1565" t="s">
        <v>4362</v>
      </c>
      <c r="M1565" s="37">
        <v>1</v>
      </c>
      <c r="N1565" s="37">
        <v>0.5</v>
      </c>
      <c r="O1565">
        <v>1</v>
      </c>
      <c r="P1565" s="37">
        <v>0.842</v>
      </c>
      <c r="Q1565">
        <v>0.88</v>
      </c>
      <c r="R1565">
        <v>264</v>
      </c>
      <c r="S1565">
        <v>464</v>
      </c>
      <c r="T1565">
        <v>500</v>
      </c>
      <c r="U1565" t="s">
        <v>3350</v>
      </c>
      <c r="Z1565" s="37">
        <v>0.01</v>
      </c>
      <c r="AA1565" s="37">
        <v>0.35</v>
      </c>
      <c r="AB1565">
        <v>0</v>
      </c>
    </row>
    <row r="1566">
      <c r="A1566" t="s">
        <v>4365</v>
      </c>
      <c r="B1566" t="s">
        <v>3162</v>
      </c>
      <c r="C1566" t="s">
        <v>3162</v>
      </c>
      <c r="D1566" t="s">
        <v>1013</v>
      </c>
      <c r="E1566" t="s">
        <v>4366</v>
      </c>
      <c r="F1566" t="s">
        <v>298</v>
      </c>
      <c r="G1566" t="s">
        <v>4367</v>
      </c>
      <c r="H1566" t="s">
        <v>3170</v>
      </c>
      <c r="J1566" t="s">
        <v>777</v>
      </c>
      <c r="K1566" t="s">
        <v>4368</v>
      </c>
      <c r="L1566" t="s">
        <v>4362</v>
      </c>
      <c r="M1566" s="37">
        <v>0.38</v>
      </c>
      <c r="N1566" s="37">
        <v>0.8</v>
      </c>
      <c r="O1566">
        <v>0.38</v>
      </c>
      <c r="P1566" s="37">
        <v>0.504</v>
      </c>
      <c r="Q1566">
        <v>0.5</v>
      </c>
      <c r="R1566">
        <v>3000</v>
      </c>
      <c r="S1566">
        <v>3000</v>
      </c>
      <c r="T1566">
        <v>1500</v>
      </c>
      <c r="U1566" t="s">
        <v>3350</v>
      </c>
      <c r="Z1566" s="37">
        <v>0.01</v>
      </c>
      <c r="AA1566" s="37">
        <v>0.35</v>
      </c>
      <c r="AB1566">
        <v>0</v>
      </c>
    </row>
    <row r="1567">
      <c r="A1567" t="s">
        <v>4365</v>
      </c>
      <c r="B1567" t="s">
        <v>3162</v>
      </c>
      <c r="C1567" t="s">
        <v>3162</v>
      </c>
      <c r="D1567" t="s">
        <v>1013</v>
      </c>
      <c r="E1567" t="s">
        <v>4366</v>
      </c>
      <c r="F1567" t="s">
        <v>298</v>
      </c>
      <c r="G1567" t="s">
        <v>4367</v>
      </c>
      <c r="H1567" t="s">
        <v>4369</v>
      </c>
      <c r="J1567" t="s">
        <v>4370</v>
      </c>
      <c r="K1567" t="s">
        <v>4370</v>
      </c>
      <c r="L1567" t="s">
        <v>4362</v>
      </c>
      <c r="M1567" s="37">
        <v>1</v>
      </c>
      <c r="N1567" s="37">
        <v>0.2</v>
      </c>
      <c r="O1567">
        <v>1</v>
      </c>
      <c r="P1567" s="37">
        <v>0.504</v>
      </c>
      <c r="Q1567">
        <v>0.5</v>
      </c>
      <c r="R1567">
        <v>3000</v>
      </c>
      <c r="S1567">
        <v>3000</v>
      </c>
      <c r="T1567">
        <v>1500</v>
      </c>
      <c r="U1567" t="s">
        <v>3350</v>
      </c>
      <c r="Z1567" s="37">
        <v>0.01</v>
      </c>
      <c r="AA1567" s="37">
        <v>0.35</v>
      </c>
      <c r="AB1567">
        <v>0</v>
      </c>
    </row>
    <row r="1568">
      <c r="A1568" t="s">
        <v>4371</v>
      </c>
      <c r="B1568" t="s">
        <v>3162</v>
      </c>
      <c r="C1568" t="s">
        <v>3162</v>
      </c>
      <c r="D1568" t="s">
        <v>1013</v>
      </c>
      <c r="E1568" t="s">
        <v>4372</v>
      </c>
      <c r="F1568" t="s">
        <v>298</v>
      </c>
      <c r="G1568" t="s">
        <v>4367</v>
      </c>
      <c r="H1568" t="s">
        <v>4369</v>
      </c>
      <c r="I1568" t="s">
        <v>4373</v>
      </c>
      <c r="J1568" t="s">
        <v>4373</v>
      </c>
      <c r="K1568" t="s">
        <v>4374</v>
      </c>
      <c r="L1568" t="s">
        <v>4362</v>
      </c>
      <c r="M1568" s="37">
        <v>0.63</v>
      </c>
      <c r="N1568" s="37">
        <v>0.2</v>
      </c>
      <c r="O1568">
        <v>0.38</v>
      </c>
      <c r="P1568" s="37">
        <v>0.198</v>
      </c>
      <c r="Q1568">
        <v>0.13</v>
      </c>
      <c r="R1568">
        <v>1500</v>
      </c>
      <c r="S1568">
        <v>1500</v>
      </c>
      <c r="T1568">
        <v>1500</v>
      </c>
      <c r="U1568" t="s">
        <v>3350</v>
      </c>
      <c r="Z1568" s="37">
        <v>0.01</v>
      </c>
      <c r="AA1568" s="37">
        <v>0.35</v>
      </c>
      <c r="AB1568">
        <v>0</v>
      </c>
    </row>
    <row r="1569">
      <c r="A1569" t="s">
        <v>4371</v>
      </c>
      <c r="B1569" t="s">
        <v>3162</v>
      </c>
      <c r="C1569" t="s">
        <v>3162</v>
      </c>
      <c r="D1569" t="s">
        <v>1013</v>
      </c>
      <c r="E1569" t="s">
        <v>4372</v>
      </c>
      <c r="F1569" t="s">
        <v>298</v>
      </c>
      <c r="G1569" t="s">
        <v>4367</v>
      </c>
      <c r="H1569" t="s">
        <v>3170</v>
      </c>
      <c r="I1569" t="s">
        <v>4375</v>
      </c>
      <c r="J1569" t="s">
        <v>1585</v>
      </c>
      <c r="K1569" t="s">
        <v>4376</v>
      </c>
      <c r="L1569" t="s">
        <v>4362</v>
      </c>
      <c r="M1569" s="37">
        <v>0.09</v>
      </c>
      <c r="N1569" s="37">
        <v>0.8</v>
      </c>
      <c r="O1569">
        <v>0.07</v>
      </c>
      <c r="P1569" s="37">
        <v>0.198</v>
      </c>
      <c r="Q1569">
        <v>0.13</v>
      </c>
      <c r="R1569">
        <v>1500</v>
      </c>
      <c r="S1569">
        <v>1500</v>
      </c>
      <c r="T1569">
        <v>1500</v>
      </c>
      <c r="U1569" t="s">
        <v>3350</v>
      </c>
      <c r="Z1569" s="37">
        <v>0.01</v>
      </c>
      <c r="AA1569" s="37">
        <v>0.35</v>
      </c>
      <c r="AB1569">
        <v>0</v>
      </c>
    </row>
    <row r="1570">
      <c r="A1570" t="s">
        <v>4377</v>
      </c>
      <c r="B1570" t="s">
        <v>3162</v>
      </c>
      <c r="C1570" t="s">
        <v>3162</v>
      </c>
      <c r="D1570" t="s">
        <v>1013</v>
      </c>
      <c r="E1570" t="s">
        <v>4378</v>
      </c>
      <c r="F1570" t="s">
        <v>298</v>
      </c>
      <c r="G1570" t="s">
        <v>4367</v>
      </c>
      <c r="H1570" t="s">
        <v>4369</v>
      </c>
      <c r="I1570" t="s">
        <v>4379</v>
      </c>
      <c r="J1570" t="s">
        <v>3261</v>
      </c>
      <c r="K1570" t="s">
        <v>4380</v>
      </c>
      <c r="L1570" t="s">
        <v>4362</v>
      </c>
      <c r="M1570" s="37">
        <v>0.66</v>
      </c>
      <c r="N1570" s="37">
        <v>0.2</v>
      </c>
      <c r="O1570">
        <v>0</v>
      </c>
      <c r="P1570" s="37">
        <v>0.2148</v>
      </c>
      <c r="Q1570">
        <v>0.07</v>
      </c>
      <c r="R1570">
        <v>0</v>
      </c>
      <c r="S1570">
        <v>0</v>
      </c>
      <c r="T1570">
        <v>1500</v>
      </c>
      <c r="U1570" t="s">
        <v>3350</v>
      </c>
      <c r="Z1570" s="37">
        <v>0.01</v>
      </c>
      <c r="AA1570" s="37">
        <v>0.35</v>
      </c>
      <c r="AB1570">
        <v>0</v>
      </c>
    </row>
    <row r="1571">
      <c r="A1571" t="s">
        <v>4377</v>
      </c>
      <c r="B1571" t="s">
        <v>3162</v>
      </c>
      <c r="C1571" t="s">
        <v>3162</v>
      </c>
      <c r="D1571" t="s">
        <v>1013</v>
      </c>
      <c r="E1571" t="s">
        <v>4378</v>
      </c>
      <c r="F1571" t="s">
        <v>298</v>
      </c>
      <c r="G1571" t="s">
        <v>4367</v>
      </c>
      <c r="H1571" t="s">
        <v>3170</v>
      </c>
      <c r="J1571" t="s">
        <v>3217</v>
      </c>
      <c r="K1571" t="s">
        <v>4381</v>
      </c>
      <c r="L1571" t="s">
        <v>4362</v>
      </c>
      <c r="M1571" s="37">
        <v>0.1035</v>
      </c>
      <c r="N1571" s="37">
        <v>0.8</v>
      </c>
      <c r="O1571">
        <v>0.0828</v>
      </c>
      <c r="P1571" s="37">
        <v>0.2148</v>
      </c>
      <c r="Q1571">
        <v>0.07</v>
      </c>
      <c r="R1571">
        <v>0</v>
      </c>
      <c r="S1571">
        <v>0</v>
      </c>
      <c r="T1571">
        <v>1500</v>
      </c>
      <c r="U1571" t="s">
        <v>3350</v>
      </c>
      <c r="Z1571" s="37">
        <v>0.01</v>
      </c>
      <c r="AA1571" s="37">
        <v>0.35</v>
      </c>
      <c r="AB1571">
        <v>0</v>
      </c>
    </row>
    <row r="1572">
      <c r="A1572" t="s">
        <v>4382</v>
      </c>
      <c r="B1572" t="s">
        <v>3162</v>
      </c>
      <c r="C1572" t="s">
        <v>3162</v>
      </c>
      <c r="D1572" t="s">
        <v>1013</v>
      </c>
      <c r="E1572" t="s">
        <v>4383</v>
      </c>
      <c r="F1572" t="s">
        <v>298</v>
      </c>
      <c r="G1572" t="s">
        <v>4367</v>
      </c>
      <c r="H1572" t="s">
        <v>3179</v>
      </c>
      <c r="I1572" t="s">
        <v>4384</v>
      </c>
      <c r="J1572" t="s">
        <v>1595</v>
      </c>
      <c r="K1572" t="s">
        <v>4385</v>
      </c>
      <c r="L1572" t="s">
        <v>4362</v>
      </c>
      <c r="M1572" s="37">
        <v>0.83</v>
      </c>
      <c r="N1572" s="37">
        <v>0.2</v>
      </c>
      <c r="O1572">
        <v>0.83</v>
      </c>
      <c r="P1572" s="37">
        <v>1.434547</v>
      </c>
      <c r="Q1572">
        <v>0.66</v>
      </c>
      <c r="R1572">
        <v>990</v>
      </c>
      <c r="S1572">
        <v>990</v>
      </c>
      <c r="T1572">
        <v>1500</v>
      </c>
      <c r="U1572" t="s">
        <v>3350</v>
      </c>
      <c r="Z1572" s="37">
        <v>0.01</v>
      </c>
      <c r="AA1572" s="37">
        <v>0.35</v>
      </c>
      <c r="AB1572">
        <v>0</v>
      </c>
    </row>
    <row r="1573">
      <c r="A1573" t="s">
        <v>4382</v>
      </c>
      <c r="B1573" t="s">
        <v>3162</v>
      </c>
      <c r="C1573" t="s">
        <v>3162</v>
      </c>
      <c r="D1573" t="s">
        <v>1013</v>
      </c>
      <c r="E1573" t="s">
        <v>4383</v>
      </c>
      <c r="F1573" t="s">
        <v>298</v>
      </c>
      <c r="G1573" t="s">
        <v>4367</v>
      </c>
      <c r="H1573" t="s">
        <v>3170</v>
      </c>
      <c r="I1573" t="s">
        <v>4386</v>
      </c>
      <c r="J1573" t="s">
        <v>2502</v>
      </c>
      <c r="K1573" t="s">
        <v>4387</v>
      </c>
      <c r="L1573" t="s">
        <v>4362</v>
      </c>
      <c r="M1573" s="37">
        <v>0.7198</v>
      </c>
      <c r="N1573" s="37">
        <v>0.5</v>
      </c>
      <c r="O1573">
        <v>0.5758</v>
      </c>
      <c r="P1573" s="37">
        <v>1.434547</v>
      </c>
      <c r="Q1573">
        <v>0.66</v>
      </c>
      <c r="R1573">
        <v>990</v>
      </c>
      <c r="S1573">
        <v>990</v>
      </c>
      <c r="T1573">
        <v>1500</v>
      </c>
      <c r="U1573" t="s">
        <v>3350</v>
      </c>
      <c r="Z1573" s="37">
        <v>0.01</v>
      </c>
      <c r="AA1573" s="37">
        <v>0.35</v>
      </c>
      <c r="AB1573">
        <v>0</v>
      </c>
    </row>
    <row r="1574">
      <c r="A1574" t="s">
        <v>4382</v>
      </c>
      <c r="B1574" t="s">
        <v>3162</v>
      </c>
      <c r="C1574" t="s">
        <v>3162</v>
      </c>
      <c r="D1574" t="s">
        <v>1013</v>
      </c>
      <c r="E1574" t="s">
        <v>4383</v>
      </c>
      <c r="F1574" t="s">
        <v>298</v>
      </c>
      <c r="G1574" t="s">
        <v>4367</v>
      </c>
      <c r="H1574" t="s">
        <v>3170</v>
      </c>
      <c r="I1574" t="s">
        <v>4388</v>
      </c>
      <c r="J1574" t="s">
        <v>3539</v>
      </c>
      <c r="K1574" t="s">
        <v>4389</v>
      </c>
      <c r="L1574" t="s">
        <v>4362</v>
      </c>
      <c r="M1574" s="37">
        <v>0.086467</v>
      </c>
      <c r="N1574" s="37">
        <v>0.1</v>
      </c>
      <c r="O1574">
        <v>0.0692</v>
      </c>
      <c r="P1574" s="37">
        <v>1.434547</v>
      </c>
      <c r="Q1574">
        <v>0.66</v>
      </c>
      <c r="R1574">
        <v>990</v>
      </c>
      <c r="S1574">
        <v>990</v>
      </c>
      <c r="T1574">
        <v>1500</v>
      </c>
      <c r="U1574" t="s">
        <v>3350</v>
      </c>
      <c r="Z1574" s="37">
        <v>0.01</v>
      </c>
      <c r="AA1574" s="37">
        <v>0.35</v>
      </c>
      <c r="AB1574">
        <v>0</v>
      </c>
    </row>
    <row r="1575">
      <c r="A1575" t="s">
        <v>4382</v>
      </c>
      <c r="B1575" t="s">
        <v>3162</v>
      </c>
      <c r="C1575" t="s">
        <v>3162</v>
      </c>
      <c r="D1575" t="s">
        <v>1013</v>
      </c>
      <c r="E1575" t="s">
        <v>4383</v>
      </c>
      <c r="F1575" t="s">
        <v>298</v>
      </c>
      <c r="G1575" t="s">
        <v>4367</v>
      </c>
      <c r="H1575" t="s">
        <v>4390</v>
      </c>
      <c r="I1575" t="s">
        <v>4391</v>
      </c>
      <c r="J1575" t="s">
        <v>2395</v>
      </c>
      <c r="K1575" t="s">
        <v>4392</v>
      </c>
      <c r="L1575" t="s">
        <v>4362</v>
      </c>
      <c r="M1575" s="37">
        <v>4.5</v>
      </c>
      <c r="N1575" s="37">
        <v>0.2</v>
      </c>
      <c r="O1575">
        <v>1</v>
      </c>
      <c r="P1575" s="37">
        <v>1.434547</v>
      </c>
      <c r="Q1575">
        <v>0.66</v>
      </c>
      <c r="R1575">
        <v>990</v>
      </c>
      <c r="S1575">
        <v>990</v>
      </c>
      <c r="T1575">
        <v>1500</v>
      </c>
      <c r="U1575" t="s">
        <v>3350</v>
      </c>
      <c r="Z1575" s="37">
        <v>0.01</v>
      </c>
      <c r="AA1575" s="37">
        <v>0.35</v>
      </c>
      <c r="AB1575">
        <v>0</v>
      </c>
    </row>
    <row r="1576">
      <c r="A1576" t="s">
        <v>4393</v>
      </c>
      <c r="B1576" t="s">
        <v>4394</v>
      </c>
      <c r="C1576" t="s">
        <v>4394</v>
      </c>
      <c r="D1576" t="s">
        <v>1013</v>
      </c>
      <c r="E1576" t="s">
        <v>4395</v>
      </c>
      <c r="F1576" t="s">
        <v>298</v>
      </c>
      <c r="G1576" t="s">
        <v>4396</v>
      </c>
      <c r="H1576" t="s">
        <v>4397</v>
      </c>
      <c r="I1576" t="s">
        <v>4398</v>
      </c>
      <c r="J1576" t="s">
        <v>2395</v>
      </c>
      <c r="K1576">
        <v>0</v>
      </c>
      <c r="L1576" t="s">
        <v>4399</v>
      </c>
      <c r="M1576" s="37">
        <v>0.03</v>
      </c>
      <c r="N1576" s="37">
        <v>1</v>
      </c>
      <c r="O1576">
        <v>3</v>
      </c>
      <c r="P1576" s="37">
        <v>0.03</v>
      </c>
      <c r="Q1576">
        <v>3</v>
      </c>
      <c r="R1576">
        <v>3360</v>
      </c>
      <c r="S1576">
        <v>3360</v>
      </c>
      <c r="T1576">
        <v>1200</v>
      </c>
      <c r="U1576" t="s">
        <v>3350</v>
      </c>
      <c r="Z1576" s="37">
        <v>0.01</v>
      </c>
      <c r="AA1576" s="37">
        <v>0.35</v>
      </c>
      <c r="AB1576">
        <v>0</v>
      </c>
    </row>
    <row r="1577">
      <c r="A1577" t="s">
        <v>4400</v>
      </c>
      <c r="B1577" t="s">
        <v>4394</v>
      </c>
      <c r="C1577" t="s">
        <v>4394</v>
      </c>
      <c r="D1577" t="s">
        <v>1013</v>
      </c>
      <c r="E1577" t="s">
        <v>4401</v>
      </c>
      <c r="F1577" t="s">
        <v>298</v>
      </c>
      <c r="G1577" t="s">
        <v>4396</v>
      </c>
      <c r="H1577" t="s">
        <v>4397</v>
      </c>
      <c r="I1577" t="s">
        <v>4398</v>
      </c>
      <c r="J1577" t="s">
        <v>2395</v>
      </c>
      <c r="K1577">
        <v>0</v>
      </c>
      <c r="L1577" t="s">
        <v>4402</v>
      </c>
      <c r="M1577" s="37">
        <v>0.02</v>
      </c>
      <c r="N1577" s="37">
        <v>1</v>
      </c>
      <c r="O1577">
        <v>2</v>
      </c>
      <c r="P1577" s="37">
        <v>0.02</v>
      </c>
      <c r="Q1577">
        <v>2</v>
      </c>
      <c r="R1577">
        <v>900</v>
      </c>
      <c r="S1577">
        <v>900</v>
      </c>
      <c r="T1577">
        <v>1500</v>
      </c>
      <c r="U1577" t="s">
        <v>3350</v>
      </c>
      <c r="Z1577" s="37">
        <v>0.01</v>
      </c>
      <c r="AA1577" s="37">
        <v>0.35</v>
      </c>
      <c r="AB1577">
        <v>0</v>
      </c>
    </row>
    <row r="1578">
      <c r="A1578" t="s">
        <v>4403</v>
      </c>
      <c r="B1578" t="s">
        <v>4394</v>
      </c>
      <c r="C1578" t="s">
        <v>4394</v>
      </c>
      <c r="D1578" t="s">
        <v>1013</v>
      </c>
      <c r="E1578" t="s">
        <v>4404</v>
      </c>
      <c r="F1578" t="s">
        <v>298</v>
      </c>
      <c r="G1578" t="s">
        <v>4396</v>
      </c>
      <c r="H1578" t="s">
        <v>4397</v>
      </c>
      <c r="I1578" t="s">
        <v>4405</v>
      </c>
      <c r="K1578">
        <v>0</v>
      </c>
      <c r="L1578" t="s">
        <v>4406</v>
      </c>
      <c r="M1578" s="37">
        <v>0.035</v>
      </c>
      <c r="N1578" s="37">
        <v>0.5</v>
      </c>
      <c r="O1578">
        <v>0.035</v>
      </c>
      <c r="P1578" s="37">
        <v>0.6175</v>
      </c>
      <c r="Q1578">
        <v>0.64</v>
      </c>
      <c r="R1578">
        <v>960</v>
      </c>
      <c r="S1578">
        <v>960</v>
      </c>
      <c r="T1578">
        <v>1500</v>
      </c>
      <c r="U1578" t="s">
        <v>3350</v>
      </c>
      <c r="Z1578" s="37">
        <v>0.01</v>
      </c>
      <c r="AA1578" s="37">
        <v>0.35</v>
      </c>
      <c r="AB1578">
        <v>0</v>
      </c>
    </row>
    <row r="1579">
      <c r="A1579" t="s">
        <v>4403</v>
      </c>
      <c r="B1579" t="s">
        <v>4394</v>
      </c>
      <c r="C1579" t="s">
        <v>4394</v>
      </c>
      <c r="D1579" t="s">
        <v>1013</v>
      </c>
      <c r="E1579" t="s">
        <v>4404</v>
      </c>
      <c r="F1579" t="s">
        <v>298</v>
      </c>
      <c r="G1579" t="s">
        <v>4396</v>
      </c>
      <c r="H1579" t="s">
        <v>4397</v>
      </c>
      <c r="I1579" t="s">
        <v>4407</v>
      </c>
      <c r="K1579">
        <v>0</v>
      </c>
      <c r="L1579" t="s">
        <v>4408</v>
      </c>
      <c r="M1579" s="37">
        <v>1</v>
      </c>
      <c r="N1579" s="37">
        <v>0.3</v>
      </c>
      <c r="O1579">
        <v>0.3</v>
      </c>
      <c r="P1579" s="37">
        <v>0.6175</v>
      </c>
      <c r="Q1579">
        <v>0.64</v>
      </c>
      <c r="R1579">
        <v>960</v>
      </c>
      <c r="S1579">
        <v>960</v>
      </c>
      <c r="T1579">
        <v>1500</v>
      </c>
      <c r="U1579" t="s">
        <v>3350</v>
      </c>
      <c r="Z1579" s="37">
        <v>0.01</v>
      </c>
      <c r="AA1579" s="37">
        <v>0.35</v>
      </c>
      <c r="AB1579">
        <v>0</v>
      </c>
    </row>
    <row r="1580">
      <c r="A1580" t="s">
        <v>4403</v>
      </c>
      <c r="B1580" t="s">
        <v>4394</v>
      </c>
      <c r="C1580" t="s">
        <v>4394</v>
      </c>
      <c r="D1580" t="s">
        <v>1013</v>
      </c>
      <c r="E1580" t="s">
        <v>4404</v>
      </c>
      <c r="F1580" t="s">
        <v>298</v>
      </c>
      <c r="G1580" t="s">
        <v>4396</v>
      </c>
      <c r="H1580" t="s">
        <v>4397</v>
      </c>
      <c r="I1580" t="s">
        <v>4409</v>
      </c>
      <c r="K1580">
        <v>0</v>
      </c>
      <c r="L1580" t="s">
        <v>4410</v>
      </c>
      <c r="M1580" s="37">
        <v>1.5</v>
      </c>
      <c r="N1580" s="37">
        <v>0.2</v>
      </c>
      <c r="O1580">
        <v>0.3</v>
      </c>
      <c r="P1580" s="37">
        <v>0.6175</v>
      </c>
      <c r="Q1580">
        <v>0.64</v>
      </c>
      <c r="R1580">
        <v>960</v>
      </c>
      <c r="S1580">
        <v>960</v>
      </c>
      <c r="T1580">
        <v>1500</v>
      </c>
      <c r="U1580" t="s">
        <v>3350</v>
      </c>
      <c r="Z1580" s="37">
        <v>0.01</v>
      </c>
      <c r="AA1580" s="37">
        <v>0.35</v>
      </c>
      <c r="AB1580">
        <v>0</v>
      </c>
    </row>
    <row r="1581">
      <c r="A1581" t="s">
        <v>4411</v>
      </c>
      <c r="B1581" t="s">
        <v>4394</v>
      </c>
      <c r="C1581" t="s">
        <v>4394</v>
      </c>
      <c r="D1581" t="s">
        <v>1013</v>
      </c>
      <c r="E1581" t="s">
        <v>4412</v>
      </c>
      <c r="F1581" t="s">
        <v>298</v>
      </c>
      <c r="G1581" t="s">
        <v>4396</v>
      </c>
      <c r="H1581" t="s">
        <v>4397</v>
      </c>
      <c r="I1581" t="s">
        <v>4398</v>
      </c>
      <c r="K1581">
        <v>0</v>
      </c>
      <c r="L1581" t="s">
        <v>4413</v>
      </c>
      <c r="M1581" s="37">
        <v>0.03</v>
      </c>
      <c r="N1581" s="37">
        <v>1</v>
      </c>
      <c r="O1581">
        <v>3</v>
      </c>
      <c r="P1581" s="37">
        <v>0.03</v>
      </c>
      <c r="Q1581">
        <v>3</v>
      </c>
      <c r="R1581">
        <v>3600</v>
      </c>
      <c r="S1581">
        <v>3600</v>
      </c>
      <c r="T1581">
        <v>1500</v>
      </c>
      <c r="U1581" t="s">
        <v>3350</v>
      </c>
      <c r="Z1581" s="37">
        <v>0.01</v>
      </c>
      <c r="AA1581" s="37">
        <v>0.35</v>
      </c>
      <c r="AB1581">
        <v>0</v>
      </c>
    </row>
    <row r="1582">
      <c r="A1582" t="s">
        <v>4414</v>
      </c>
      <c r="B1582" t="s">
        <v>4394</v>
      </c>
      <c r="C1582" t="s">
        <v>4394</v>
      </c>
      <c r="D1582" t="s">
        <v>1013</v>
      </c>
      <c r="E1582" t="s">
        <v>4415</v>
      </c>
      <c r="F1582" t="s">
        <v>298</v>
      </c>
      <c r="G1582" t="s">
        <v>4396</v>
      </c>
      <c r="H1582" t="s">
        <v>4397</v>
      </c>
      <c r="I1582" t="s">
        <v>4398</v>
      </c>
      <c r="K1582">
        <v>0</v>
      </c>
      <c r="L1582" t="s">
        <v>4416</v>
      </c>
      <c r="M1582" s="37">
        <v>0.02</v>
      </c>
      <c r="N1582" s="37">
        <v>1</v>
      </c>
      <c r="O1582">
        <v>2</v>
      </c>
      <c r="P1582" s="37">
        <v>0.02</v>
      </c>
      <c r="Q1582">
        <v>2</v>
      </c>
      <c r="R1582">
        <v>840</v>
      </c>
      <c r="S1582">
        <v>840</v>
      </c>
      <c r="T1582">
        <v>1500</v>
      </c>
      <c r="U1582" t="s">
        <v>3350</v>
      </c>
      <c r="Z1582" s="37">
        <v>0.01</v>
      </c>
      <c r="AA1582" s="37">
        <v>0.35</v>
      </c>
      <c r="AB1582">
        <v>0</v>
      </c>
    </row>
    <row r="1583">
      <c r="A1583" t="s">
        <v>4417</v>
      </c>
      <c r="B1583" t="s">
        <v>4394</v>
      </c>
      <c r="C1583" t="s">
        <v>4394</v>
      </c>
      <c r="D1583" t="s">
        <v>1013</v>
      </c>
      <c r="E1583" t="s">
        <v>4418</v>
      </c>
      <c r="F1583" t="s">
        <v>298</v>
      </c>
      <c r="G1583" t="s">
        <v>4396</v>
      </c>
      <c r="H1583" t="s">
        <v>4397</v>
      </c>
      <c r="I1583" t="s">
        <v>4398</v>
      </c>
      <c r="K1583">
        <v>0</v>
      </c>
      <c r="L1583" t="s">
        <v>4419</v>
      </c>
      <c r="M1583" s="37">
        <v>0.01</v>
      </c>
      <c r="N1583" s="37">
        <v>1</v>
      </c>
      <c r="O1583">
        <v>1</v>
      </c>
      <c r="P1583" s="37">
        <v>0.01</v>
      </c>
      <c r="Q1583">
        <v>1</v>
      </c>
      <c r="R1583">
        <v>0</v>
      </c>
      <c r="S1583">
        <v>0</v>
      </c>
      <c r="T1583">
        <v>1500</v>
      </c>
      <c r="U1583" t="s">
        <v>3350</v>
      </c>
      <c r="Z1583" s="37">
        <v>0.01</v>
      </c>
      <c r="AA1583" s="37">
        <v>0.35</v>
      </c>
      <c r="AB1583">
        <v>0</v>
      </c>
    </row>
    <row r="1584">
      <c r="A1584" t="s">
        <v>4420</v>
      </c>
      <c r="B1584" t="s">
        <v>4394</v>
      </c>
      <c r="C1584" t="s">
        <v>4394</v>
      </c>
      <c r="D1584" t="s">
        <v>1013</v>
      </c>
      <c r="E1584" t="s">
        <v>4421</v>
      </c>
      <c r="F1584" t="s">
        <v>298</v>
      </c>
      <c r="G1584" t="s">
        <v>4396</v>
      </c>
      <c r="H1584" t="s">
        <v>4397</v>
      </c>
      <c r="I1584" t="s">
        <v>4398</v>
      </c>
      <c r="K1584">
        <v>0</v>
      </c>
      <c r="L1584" t="s">
        <v>4422</v>
      </c>
      <c r="M1584" s="37">
        <v>0.01</v>
      </c>
      <c r="N1584" s="37">
        <v>1</v>
      </c>
      <c r="O1584">
        <v>1</v>
      </c>
      <c r="P1584" s="37">
        <v>0.01</v>
      </c>
      <c r="Q1584">
        <v>1</v>
      </c>
      <c r="R1584">
        <v>0</v>
      </c>
      <c r="S1584">
        <v>0</v>
      </c>
      <c r="T1584">
        <v>1500</v>
      </c>
      <c r="U1584" t="s">
        <v>3350</v>
      </c>
      <c r="Z1584" s="37">
        <v>0.01</v>
      </c>
      <c r="AA1584" s="37">
        <v>0.35</v>
      </c>
      <c r="AB1584">
        <v>0</v>
      </c>
    </row>
    <row r="1585">
      <c r="A1585" t="s">
        <v>4423</v>
      </c>
      <c r="B1585" t="s">
        <v>3113</v>
      </c>
      <c r="C1585" t="s">
        <v>3113</v>
      </c>
      <c r="D1585" t="s">
        <v>1216</v>
      </c>
      <c r="E1585" t="s">
        <v>4424</v>
      </c>
      <c r="F1585" t="s">
        <v>298</v>
      </c>
      <c r="G1585" t="s">
        <v>3115</v>
      </c>
      <c r="H1585" t="s">
        <v>3139</v>
      </c>
      <c r="I1585" t="s">
        <v>4425</v>
      </c>
      <c r="J1585" t="s">
        <v>4426</v>
      </c>
      <c r="K1585" t="s">
        <v>4427</v>
      </c>
      <c r="L1585" t="s">
        <v>455</v>
      </c>
      <c r="M1585" s="37">
        <v>1.4575</v>
      </c>
      <c r="N1585" s="37">
        <v>0.3</v>
      </c>
      <c r="O1585">
        <v>1.5</v>
      </c>
      <c r="P1585" s="37">
        <v>1.08697</v>
      </c>
      <c r="Q1585">
        <v>1.08</v>
      </c>
      <c r="R1585">
        <v>0</v>
      </c>
      <c r="S1585">
        <v>0</v>
      </c>
      <c r="T1585">
        <v>2000</v>
      </c>
      <c r="U1585" t="s">
        <v>3350</v>
      </c>
      <c r="Z1585" s="37">
        <v>0.01</v>
      </c>
      <c r="AA1585" s="37">
        <v>0.35</v>
      </c>
      <c r="AB1585">
        <v>0</v>
      </c>
    </row>
    <row r="1586">
      <c r="A1586" t="s">
        <v>4423</v>
      </c>
      <c r="B1586" t="s">
        <v>3113</v>
      </c>
      <c r="C1586" t="s">
        <v>3113</v>
      </c>
      <c r="D1586" t="s">
        <v>1216</v>
      </c>
      <c r="E1586" t="s">
        <v>4424</v>
      </c>
      <c r="F1586" t="s">
        <v>298</v>
      </c>
      <c r="G1586" t="s">
        <v>3115</v>
      </c>
      <c r="H1586" t="s">
        <v>3131</v>
      </c>
      <c r="I1586" t="s">
        <v>4428</v>
      </c>
      <c r="J1586" t="s">
        <v>1311</v>
      </c>
      <c r="K1586" t="s">
        <v>4429</v>
      </c>
      <c r="L1586" t="s">
        <v>455</v>
      </c>
      <c r="M1586" s="37">
        <v>1.2</v>
      </c>
      <c r="N1586" s="37">
        <v>0.2</v>
      </c>
      <c r="O1586">
        <v>1.44</v>
      </c>
      <c r="P1586" s="37">
        <v>1.08697</v>
      </c>
      <c r="Q1586">
        <v>1.08</v>
      </c>
      <c r="R1586">
        <v>0</v>
      </c>
      <c r="S1586">
        <v>0</v>
      </c>
      <c r="T1586">
        <v>2000</v>
      </c>
      <c r="U1586" t="s">
        <v>3350</v>
      </c>
      <c r="Z1586" s="37">
        <v>0.01</v>
      </c>
      <c r="AA1586" s="37">
        <v>0.35</v>
      </c>
      <c r="AB1586">
        <v>0</v>
      </c>
    </row>
    <row r="1587">
      <c r="A1587" t="s">
        <v>4423</v>
      </c>
      <c r="B1587" t="s">
        <v>3113</v>
      </c>
      <c r="C1587" t="s">
        <v>3113</v>
      </c>
      <c r="D1587" t="s">
        <v>1216</v>
      </c>
      <c r="E1587" t="s">
        <v>4424</v>
      </c>
      <c r="F1587" t="s">
        <v>298</v>
      </c>
      <c r="G1587" t="s">
        <v>3115</v>
      </c>
      <c r="H1587" t="s">
        <v>4430</v>
      </c>
      <c r="I1587" t="s">
        <v>4431</v>
      </c>
      <c r="J1587" t="s">
        <v>1016</v>
      </c>
      <c r="K1587" t="s">
        <v>4432</v>
      </c>
      <c r="L1587" t="s">
        <v>455</v>
      </c>
      <c r="M1587" s="37">
        <v>0.7382</v>
      </c>
      <c r="N1587" s="37">
        <v>0.3</v>
      </c>
      <c r="O1587">
        <v>0.5906</v>
      </c>
      <c r="P1587" s="37">
        <v>1.08697</v>
      </c>
      <c r="Q1587">
        <v>1.08</v>
      </c>
      <c r="R1587">
        <v>0</v>
      </c>
      <c r="S1587">
        <v>0</v>
      </c>
      <c r="T1587">
        <v>2000</v>
      </c>
      <c r="U1587" t="s">
        <v>3350</v>
      </c>
      <c r="Z1587" s="37">
        <v>0.01</v>
      </c>
      <c r="AA1587" s="37">
        <v>0.35</v>
      </c>
      <c r="AB1587">
        <v>0</v>
      </c>
    </row>
    <row r="1588">
      <c r="A1588" t="s">
        <v>4423</v>
      </c>
      <c r="B1588" t="s">
        <v>3113</v>
      </c>
      <c r="C1588" t="s">
        <v>3113</v>
      </c>
      <c r="D1588" t="s">
        <v>1216</v>
      </c>
      <c r="E1588" t="s">
        <v>4424</v>
      </c>
      <c r="F1588" t="s">
        <v>298</v>
      </c>
      <c r="G1588" t="s">
        <v>3115</v>
      </c>
      <c r="H1588" t="s">
        <v>4430</v>
      </c>
      <c r="I1588" t="s">
        <v>4433</v>
      </c>
      <c r="J1588" t="s">
        <v>977</v>
      </c>
      <c r="K1588" t="s">
        <v>4434</v>
      </c>
      <c r="L1588" t="s">
        <v>455</v>
      </c>
      <c r="M1588" s="37">
        <v>0.9413</v>
      </c>
      <c r="N1588" s="37">
        <v>0.2</v>
      </c>
      <c r="O1588">
        <v>0.8472</v>
      </c>
      <c r="P1588" s="37">
        <v>1.08697</v>
      </c>
      <c r="Q1588">
        <v>1.08</v>
      </c>
      <c r="R1588">
        <v>0</v>
      </c>
      <c r="S1588">
        <v>0</v>
      </c>
      <c r="T1588">
        <v>2000</v>
      </c>
      <c r="U1588" t="s">
        <v>3350</v>
      </c>
      <c r="Z1588" s="37">
        <v>0.01</v>
      </c>
      <c r="AA1588" s="37">
        <v>0.35</v>
      </c>
      <c r="AB1588">
        <v>0</v>
      </c>
    </row>
    <row r="1589">
      <c r="A1589" t="s">
        <v>4435</v>
      </c>
      <c r="B1589" t="s">
        <v>3113</v>
      </c>
      <c r="C1589" t="s">
        <v>3113</v>
      </c>
      <c r="D1589" t="s">
        <v>1216</v>
      </c>
      <c r="E1589" t="s">
        <v>4436</v>
      </c>
      <c r="F1589" t="s">
        <v>298</v>
      </c>
      <c r="G1589" t="s">
        <v>3115</v>
      </c>
      <c r="H1589" t="s">
        <v>3137</v>
      </c>
      <c r="I1589" t="s">
        <v>4437</v>
      </c>
      <c r="J1589" t="s">
        <v>777</v>
      </c>
      <c r="K1589" t="s">
        <v>4438</v>
      </c>
      <c r="L1589" t="s">
        <v>455</v>
      </c>
      <c r="M1589" s="37">
        <v>1.0211</v>
      </c>
      <c r="N1589" s="37">
        <v>0.3</v>
      </c>
      <c r="O1589">
        <v>1.3274</v>
      </c>
      <c r="P1589" s="37">
        <v>0.81183</v>
      </c>
      <c r="Q1589">
        <v>0.89</v>
      </c>
      <c r="R1589">
        <v>0</v>
      </c>
      <c r="S1589">
        <v>0</v>
      </c>
      <c r="T1589">
        <v>2000</v>
      </c>
      <c r="U1589" t="s">
        <v>3350</v>
      </c>
      <c r="Z1589" s="37">
        <v>0.01</v>
      </c>
      <c r="AA1589" s="37">
        <v>0.35</v>
      </c>
      <c r="AB1589">
        <v>0</v>
      </c>
    </row>
    <row r="1590">
      <c r="A1590" t="s">
        <v>4435</v>
      </c>
      <c r="B1590" t="s">
        <v>3113</v>
      </c>
      <c r="C1590" t="s">
        <v>3113</v>
      </c>
      <c r="D1590" t="s">
        <v>1216</v>
      </c>
      <c r="E1590" t="s">
        <v>4436</v>
      </c>
      <c r="F1590" t="s">
        <v>298</v>
      </c>
      <c r="G1590" t="s">
        <v>3115</v>
      </c>
      <c r="H1590" t="s">
        <v>3147</v>
      </c>
      <c r="I1590" t="s">
        <v>4439</v>
      </c>
      <c r="J1590" t="s">
        <v>3149</v>
      </c>
      <c r="K1590" t="s">
        <v>4440</v>
      </c>
      <c r="L1590" t="s">
        <v>455</v>
      </c>
      <c r="M1590" s="37">
        <v>1.485</v>
      </c>
      <c r="N1590" s="37">
        <v>0.3</v>
      </c>
      <c r="O1590">
        <v>1.5</v>
      </c>
      <c r="P1590" s="37">
        <v>0.81183</v>
      </c>
      <c r="Q1590">
        <v>0.89</v>
      </c>
      <c r="R1590">
        <v>0</v>
      </c>
      <c r="S1590">
        <v>0</v>
      </c>
      <c r="T1590">
        <v>2000</v>
      </c>
      <c r="U1590" t="s">
        <v>3350</v>
      </c>
      <c r="Z1590" s="37">
        <v>0.01</v>
      </c>
      <c r="AA1590" s="37">
        <v>0.35</v>
      </c>
      <c r="AB1590">
        <v>0</v>
      </c>
    </row>
    <row r="1591">
      <c r="A1591" t="s">
        <v>4435</v>
      </c>
      <c r="B1591" t="s">
        <v>3113</v>
      </c>
      <c r="C1591" t="s">
        <v>3113</v>
      </c>
      <c r="D1591" t="s">
        <v>1216</v>
      </c>
      <c r="E1591" t="s">
        <v>4436</v>
      </c>
      <c r="F1591" t="s">
        <v>298</v>
      </c>
      <c r="G1591" t="s">
        <v>3115</v>
      </c>
      <c r="H1591" t="s">
        <v>3152</v>
      </c>
      <c r="I1591" t="s">
        <v>4441</v>
      </c>
      <c r="J1591" t="s">
        <v>1035</v>
      </c>
      <c r="K1591" t="s">
        <v>706</v>
      </c>
      <c r="L1591" t="s">
        <v>455</v>
      </c>
      <c r="M1591" s="37">
        <v>0.3</v>
      </c>
      <c r="N1591" s="37">
        <v>0.2</v>
      </c>
      <c r="O1591">
        <v>0.21</v>
      </c>
      <c r="P1591" s="37">
        <v>0.81183</v>
      </c>
      <c r="Q1591">
        <v>0.89</v>
      </c>
      <c r="R1591">
        <v>0</v>
      </c>
      <c r="S1591">
        <v>0</v>
      </c>
      <c r="T1591">
        <v>2000</v>
      </c>
      <c r="U1591" t="s">
        <v>3350</v>
      </c>
      <c r="Z1591" s="37">
        <v>0.01</v>
      </c>
      <c r="AA1591" s="37">
        <v>0.35</v>
      </c>
      <c r="AB1591">
        <v>0</v>
      </c>
    </row>
    <row r="1592">
      <c r="A1592" t="s">
        <v>4435</v>
      </c>
      <c r="B1592" t="s">
        <v>3113</v>
      </c>
      <c r="C1592" t="s">
        <v>3113</v>
      </c>
      <c r="D1592" t="s">
        <v>1216</v>
      </c>
      <c r="E1592" t="s">
        <v>4436</v>
      </c>
      <c r="F1592" t="s">
        <v>298</v>
      </c>
      <c r="G1592" t="s">
        <v>3115</v>
      </c>
      <c r="H1592" t="s">
        <v>3147</v>
      </c>
      <c r="I1592" t="s">
        <v>4442</v>
      </c>
      <c r="J1592" t="s">
        <v>1311</v>
      </c>
      <c r="K1592" t="s">
        <v>817</v>
      </c>
      <c r="L1592" t="s">
        <v>455</v>
      </c>
      <c r="M1592" s="37">
        <v>0</v>
      </c>
      <c r="N1592" s="37">
        <v>0.2</v>
      </c>
      <c r="O1592">
        <v>0</v>
      </c>
      <c r="P1592" s="37">
        <v>0.81183</v>
      </c>
      <c r="Q1592">
        <v>0.89</v>
      </c>
      <c r="R1592">
        <v>0</v>
      </c>
      <c r="S1592">
        <v>0</v>
      </c>
      <c r="T1592">
        <v>2000</v>
      </c>
      <c r="U1592" t="s">
        <v>3350</v>
      </c>
      <c r="Z1592" s="37">
        <v>0.01</v>
      </c>
      <c r="AA1592" s="37">
        <v>0.35</v>
      </c>
      <c r="AB1592">
        <v>0</v>
      </c>
    </row>
    <row r="1593">
      <c r="A1593" t="s">
        <v>4443</v>
      </c>
      <c r="B1593" t="s">
        <v>3113</v>
      </c>
      <c r="C1593" t="s">
        <v>3113</v>
      </c>
      <c r="D1593" t="s">
        <v>1216</v>
      </c>
      <c r="E1593" t="s">
        <v>4444</v>
      </c>
      <c r="F1593" t="s">
        <v>298</v>
      </c>
      <c r="G1593" t="s">
        <v>3115</v>
      </c>
      <c r="H1593" t="s">
        <v>3131</v>
      </c>
      <c r="I1593" t="s">
        <v>4445</v>
      </c>
      <c r="J1593" t="s">
        <v>1311</v>
      </c>
      <c r="K1593" t="s">
        <v>4446</v>
      </c>
      <c r="L1593" t="s">
        <v>455</v>
      </c>
      <c r="M1593" s="37">
        <v>0.7</v>
      </c>
      <c r="N1593" s="37">
        <v>0.2</v>
      </c>
      <c r="O1593">
        <v>0.7</v>
      </c>
      <c r="P1593" s="37">
        <v>0.63797</v>
      </c>
      <c r="Q1593">
        <v>0.66</v>
      </c>
      <c r="R1593">
        <v>0</v>
      </c>
      <c r="S1593">
        <v>0</v>
      </c>
      <c r="T1593">
        <v>2000</v>
      </c>
      <c r="U1593" t="s">
        <v>3350</v>
      </c>
      <c r="Z1593" s="37">
        <v>0.01</v>
      </c>
      <c r="AA1593" s="37">
        <v>0.35</v>
      </c>
      <c r="AB1593">
        <v>0</v>
      </c>
    </row>
    <row r="1594">
      <c r="A1594" t="s">
        <v>4443</v>
      </c>
      <c r="B1594" t="s">
        <v>3113</v>
      </c>
      <c r="C1594" t="s">
        <v>3113</v>
      </c>
      <c r="D1594" t="s">
        <v>1216</v>
      </c>
      <c r="E1594" t="s">
        <v>4444</v>
      </c>
      <c r="F1594" t="s">
        <v>298</v>
      </c>
      <c r="G1594" t="s">
        <v>3115</v>
      </c>
      <c r="H1594" t="s">
        <v>4430</v>
      </c>
      <c r="I1594" t="s">
        <v>4447</v>
      </c>
      <c r="J1594" t="s">
        <v>3543</v>
      </c>
      <c r="K1594" t="s">
        <v>4448</v>
      </c>
      <c r="L1594" t="s">
        <v>4449</v>
      </c>
      <c r="M1594" s="37">
        <v>0.52</v>
      </c>
      <c r="N1594" s="37">
        <v>0.3</v>
      </c>
      <c r="O1594">
        <v>0.52</v>
      </c>
      <c r="P1594" s="37">
        <v>0.63797</v>
      </c>
      <c r="Q1594">
        <v>0.66</v>
      </c>
      <c r="R1594">
        <v>0</v>
      </c>
      <c r="S1594">
        <v>0</v>
      </c>
      <c r="T1594">
        <v>2000</v>
      </c>
      <c r="U1594" t="s">
        <v>3350</v>
      </c>
      <c r="Z1594" s="37">
        <v>0.01</v>
      </c>
      <c r="AA1594" s="37">
        <v>0.35</v>
      </c>
      <c r="AB1594">
        <v>0</v>
      </c>
    </row>
    <row r="1595">
      <c r="A1595" t="s">
        <v>4443</v>
      </c>
      <c r="B1595" t="s">
        <v>3113</v>
      </c>
      <c r="C1595" t="s">
        <v>3113</v>
      </c>
      <c r="D1595" t="s">
        <v>1216</v>
      </c>
      <c r="E1595" t="s">
        <v>4444</v>
      </c>
      <c r="F1595" t="s">
        <v>298</v>
      </c>
      <c r="G1595" t="s">
        <v>3115</v>
      </c>
      <c r="H1595" t="s">
        <v>4430</v>
      </c>
      <c r="I1595" t="s">
        <v>4450</v>
      </c>
      <c r="J1595" t="s">
        <v>1828</v>
      </c>
      <c r="K1595" t="s">
        <v>4451</v>
      </c>
      <c r="L1595" t="s">
        <v>4452</v>
      </c>
      <c r="M1595" s="37">
        <v>0.2586</v>
      </c>
      <c r="N1595" s="37">
        <v>0.2</v>
      </c>
      <c r="O1595">
        <v>0.2586</v>
      </c>
      <c r="P1595" s="37">
        <v>0.63797</v>
      </c>
      <c r="Q1595">
        <v>0.66</v>
      </c>
      <c r="R1595">
        <v>0</v>
      </c>
      <c r="S1595">
        <v>0</v>
      </c>
      <c r="T1595">
        <v>2000</v>
      </c>
      <c r="U1595" t="s">
        <v>3350</v>
      </c>
      <c r="Z1595" s="37">
        <v>0.01</v>
      </c>
      <c r="AA1595" s="37">
        <v>0.35</v>
      </c>
      <c r="AB1595">
        <v>0</v>
      </c>
    </row>
    <row r="1596">
      <c r="A1596" t="s">
        <v>4443</v>
      </c>
      <c r="B1596" t="s">
        <v>3113</v>
      </c>
      <c r="C1596" t="s">
        <v>3113</v>
      </c>
      <c r="D1596" t="s">
        <v>1216</v>
      </c>
      <c r="E1596" t="s">
        <v>4444</v>
      </c>
      <c r="F1596" t="s">
        <v>298</v>
      </c>
      <c r="G1596" t="s">
        <v>3115</v>
      </c>
      <c r="H1596" t="s">
        <v>3139</v>
      </c>
      <c r="I1596" t="s">
        <v>4425</v>
      </c>
      <c r="J1596" t="s">
        <v>3141</v>
      </c>
      <c r="K1596" t="s">
        <v>4453</v>
      </c>
      <c r="L1596" t="s">
        <v>4452</v>
      </c>
      <c r="M1596" s="37">
        <v>0.9675</v>
      </c>
      <c r="N1596" s="37">
        <v>0.3</v>
      </c>
      <c r="O1596">
        <v>0.9675</v>
      </c>
      <c r="P1596" s="37">
        <v>0.63797</v>
      </c>
      <c r="Q1596">
        <v>0.66</v>
      </c>
      <c r="R1596">
        <v>0</v>
      </c>
      <c r="S1596">
        <v>0</v>
      </c>
      <c r="T1596">
        <v>2000</v>
      </c>
      <c r="U1596" t="s">
        <v>3350</v>
      </c>
      <c r="Z1596" s="37">
        <v>0.01</v>
      </c>
      <c r="AA1596" s="37">
        <v>0.35</v>
      </c>
      <c r="AB1596">
        <v>0</v>
      </c>
    </row>
    <row r="1597">
      <c r="A1597" t="s">
        <v>4454</v>
      </c>
      <c r="B1597" t="s">
        <v>4455</v>
      </c>
      <c r="C1597" t="s">
        <v>4455</v>
      </c>
      <c r="D1597" t="s">
        <v>598</v>
      </c>
      <c r="E1597" t="s">
        <v>4456</v>
      </c>
      <c r="F1597" t="s">
        <v>298</v>
      </c>
      <c r="G1597" t="s">
        <v>4457</v>
      </c>
      <c r="H1597" t="s">
        <v>604</v>
      </c>
      <c r="I1597" t="s">
        <v>4458</v>
      </c>
      <c r="J1597" s="38">
        <v>1</v>
      </c>
      <c r="L1597" t="s">
        <v>4459</v>
      </c>
      <c r="M1597" s="37">
        <v>1</v>
      </c>
      <c r="N1597" s="37">
        <v>0.4</v>
      </c>
      <c r="O1597">
        <v>1</v>
      </c>
      <c r="P1597" s="37">
        <v>0.98</v>
      </c>
      <c r="Q1597">
        <v>0.98</v>
      </c>
      <c r="R1597">
        <v>3800</v>
      </c>
      <c r="S1597">
        <v>3800</v>
      </c>
      <c r="T1597">
        <v>3800</v>
      </c>
      <c r="U1597" t="s">
        <v>3350</v>
      </c>
      <c r="Z1597" s="37">
        <v>0.01</v>
      </c>
      <c r="AA1597" s="37">
        <v>0.35</v>
      </c>
      <c r="AB1597">
        <v>0</v>
      </c>
    </row>
    <row r="1598">
      <c r="A1598" t="s">
        <v>4454</v>
      </c>
      <c r="B1598" t="s">
        <v>4455</v>
      </c>
      <c r="C1598" t="s">
        <v>4455</v>
      </c>
      <c r="D1598" t="s">
        <v>598</v>
      </c>
      <c r="E1598" t="s">
        <v>4456</v>
      </c>
      <c r="F1598" t="s">
        <v>298</v>
      </c>
      <c r="G1598" t="s">
        <v>4457</v>
      </c>
      <c r="H1598" t="s">
        <v>4460</v>
      </c>
      <c r="I1598" t="s">
        <v>4461</v>
      </c>
      <c r="J1598" s="38">
        <v>1</v>
      </c>
      <c r="L1598" t="s">
        <v>4462</v>
      </c>
      <c r="M1598" s="37">
        <v>0.9</v>
      </c>
      <c r="N1598" s="37">
        <v>0.2</v>
      </c>
      <c r="O1598">
        <v>0.9</v>
      </c>
      <c r="P1598" s="37">
        <v>0.98</v>
      </c>
      <c r="Q1598">
        <v>0.98</v>
      </c>
      <c r="R1598">
        <v>3800</v>
      </c>
      <c r="S1598">
        <v>3800</v>
      </c>
      <c r="T1598">
        <v>3800</v>
      </c>
      <c r="U1598" t="s">
        <v>3350</v>
      </c>
      <c r="Z1598" s="37">
        <v>0.01</v>
      </c>
      <c r="AA1598" s="37">
        <v>0.35</v>
      </c>
      <c r="AB1598">
        <v>0</v>
      </c>
    </row>
    <row r="1599">
      <c r="A1599" t="s">
        <v>4454</v>
      </c>
      <c r="B1599" t="s">
        <v>4455</v>
      </c>
      <c r="C1599" t="s">
        <v>4455</v>
      </c>
      <c r="D1599" t="s">
        <v>598</v>
      </c>
      <c r="E1599" t="s">
        <v>4456</v>
      </c>
      <c r="F1599" t="s">
        <v>298</v>
      </c>
      <c r="G1599" t="s">
        <v>4457</v>
      </c>
      <c r="H1599" t="s">
        <v>4460</v>
      </c>
      <c r="I1599" t="s">
        <v>4463</v>
      </c>
      <c r="J1599" s="38">
        <v>1</v>
      </c>
      <c r="L1599" t="s">
        <v>4463</v>
      </c>
      <c r="M1599" s="37">
        <v>1</v>
      </c>
      <c r="N1599" s="37">
        <v>0.4</v>
      </c>
      <c r="O1599">
        <v>1</v>
      </c>
      <c r="P1599" s="37">
        <v>0.98</v>
      </c>
      <c r="Q1599">
        <v>0.98</v>
      </c>
      <c r="R1599">
        <v>3800</v>
      </c>
      <c r="S1599">
        <v>3800</v>
      </c>
      <c r="T1599">
        <v>3800</v>
      </c>
      <c r="U1599" t="s">
        <v>3350</v>
      </c>
      <c r="Z1599" s="37">
        <v>0.01</v>
      </c>
      <c r="AA1599" s="37">
        <v>0.35</v>
      </c>
      <c r="AB1599">
        <v>0</v>
      </c>
    </row>
    <row r="1600">
      <c r="A1600" t="s">
        <v>4464</v>
      </c>
      <c r="B1600" t="s">
        <v>4455</v>
      </c>
      <c r="C1600" t="s">
        <v>4455</v>
      </c>
      <c r="D1600" t="s">
        <v>598</v>
      </c>
      <c r="E1600" t="s">
        <v>4465</v>
      </c>
      <c r="F1600" t="s">
        <v>298</v>
      </c>
      <c r="G1600" t="s">
        <v>4457</v>
      </c>
      <c r="H1600" t="s">
        <v>604</v>
      </c>
      <c r="I1600" t="s">
        <v>4466</v>
      </c>
      <c r="J1600" s="38">
        <v>1</v>
      </c>
      <c r="L1600" t="s">
        <v>4463</v>
      </c>
      <c r="M1600" s="37">
        <v>1</v>
      </c>
      <c r="N1600" s="37">
        <v>0.4</v>
      </c>
      <c r="O1600">
        <v>1</v>
      </c>
      <c r="P1600" s="37">
        <v>0.98</v>
      </c>
      <c r="Q1600">
        <v>0.98</v>
      </c>
      <c r="R1600">
        <v>5000</v>
      </c>
      <c r="S1600">
        <v>5000</v>
      </c>
      <c r="T1600">
        <v>5000</v>
      </c>
      <c r="U1600" t="s">
        <v>3350</v>
      </c>
      <c r="Z1600" s="37">
        <v>0.01</v>
      </c>
      <c r="AA1600" s="37">
        <v>0.35</v>
      </c>
      <c r="AB1600">
        <v>0</v>
      </c>
    </row>
    <row r="1601">
      <c r="A1601" t="s">
        <v>4464</v>
      </c>
      <c r="B1601" t="s">
        <v>4455</v>
      </c>
      <c r="C1601" t="s">
        <v>4455</v>
      </c>
      <c r="D1601" t="s">
        <v>598</v>
      </c>
      <c r="E1601" t="s">
        <v>4465</v>
      </c>
      <c r="F1601" t="s">
        <v>298</v>
      </c>
      <c r="G1601" t="s">
        <v>4457</v>
      </c>
      <c r="H1601" t="s">
        <v>4460</v>
      </c>
      <c r="I1601" t="s">
        <v>4467</v>
      </c>
      <c r="J1601" s="38">
        <v>1</v>
      </c>
      <c r="L1601" t="s">
        <v>4463</v>
      </c>
      <c r="M1601" s="37">
        <v>1</v>
      </c>
      <c r="N1601" s="37">
        <v>0.4</v>
      </c>
      <c r="O1601">
        <v>1</v>
      </c>
      <c r="P1601" s="37">
        <v>0.98</v>
      </c>
      <c r="Q1601">
        <v>0.98</v>
      </c>
      <c r="R1601">
        <v>5000</v>
      </c>
      <c r="S1601">
        <v>5000</v>
      </c>
      <c r="T1601">
        <v>5000</v>
      </c>
      <c r="U1601" t="s">
        <v>3350</v>
      </c>
      <c r="Z1601" s="37">
        <v>0.01</v>
      </c>
      <c r="AA1601" s="37">
        <v>0.35</v>
      </c>
      <c r="AB1601">
        <v>0</v>
      </c>
    </row>
    <row r="1602">
      <c r="A1602" t="s">
        <v>4464</v>
      </c>
      <c r="B1602" t="s">
        <v>4455</v>
      </c>
      <c r="C1602" t="s">
        <v>4455</v>
      </c>
      <c r="D1602" t="s">
        <v>598</v>
      </c>
      <c r="E1602" t="s">
        <v>4465</v>
      </c>
      <c r="F1602" t="s">
        <v>298</v>
      </c>
      <c r="G1602" t="s">
        <v>4457</v>
      </c>
      <c r="H1602" t="s">
        <v>4460</v>
      </c>
      <c r="I1602" t="s">
        <v>4468</v>
      </c>
      <c r="J1602" s="38">
        <v>1</v>
      </c>
      <c r="L1602" t="s">
        <v>4463</v>
      </c>
      <c r="M1602" s="37">
        <v>0.9</v>
      </c>
      <c r="N1602" s="37">
        <v>0.2</v>
      </c>
      <c r="O1602">
        <v>0.9</v>
      </c>
      <c r="P1602" s="37">
        <v>0.98</v>
      </c>
      <c r="Q1602">
        <v>0.98</v>
      </c>
      <c r="R1602">
        <v>5000</v>
      </c>
      <c r="S1602">
        <v>5000</v>
      </c>
      <c r="T1602">
        <v>5000</v>
      </c>
      <c r="U1602" t="s">
        <v>3350</v>
      </c>
      <c r="Z1602" s="37">
        <v>0.01</v>
      </c>
      <c r="AA1602" s="37">
        <v>0.35</v>
      </c>
      <c r="AB1602">
        <v>0</v>
      </c>
    </row>
    <row r="1603">
      <c r="A1603" t="s">
        <v>4469</v>
      </c>
      <c r="B1603" t="s">
        <v>4455</v>
      </c>
      <c r="C1603" t="s">
        <v>4455</v>
      </c>
      <c r="D1603" t="s">
        <v>598</v>
      </c>
      <c r="E1603" t="s">
        <v>4470</v>
      </c>
      <c r="F1603" t="s">
        <v>298</v>
      </c>
      <c r="G1603" t="s">
        <v>4457</v>
      </c>
      <c r="H1603" t="s">
        <v>604</v>
      </c>
      <c r="I1603" t="s">
        <v>4466</v>
      </c>
      <c r="J1603" s="38">
        <v>1</v>
      </c>
      <c r="L1603" t="s">
        <v>4463</v>
      </c>
      <c r="M1603" s="37">
        <v>1</v>
      </c>
      <c r="N1603" s="37">
        <v>0.4</v>
      </c>
      <c r="O1603">
        <v>1</v>
      </c>
      <c r="P1603" s="37">
        <v>0.98</v>
      </c>
      <c r="Q1603">
        <v>0.98</v>
      </c>
      <c r="R1603">
        <v>5000</v>
      </c>
      <c r="S1603">
        <v>5000</v>
      </c>
      <c r="T1603">
        <v>5000</v>
      </c>
      <c r="U1603" t="s">
        <v>3350</v>
      </c>
      <c r="Z1603" s="37">
        <v>0.01</v>
      </c>
      <c r="AA1603" s="37">
        <v>0.35</v>
      </c>
      <c r="AB1603">
        <v>0</v>
      </c>
    </row>
    <row r="1604">
      <c r="A1604" t="s">
        <v>4469</v>
      </c>
      <c r="B1604" t="s">
        <v>4455</v>
      </c>
      <c r="C1604" t="s">
        <v>4455</v>
      </c>
      <c r="D1604" t="s">
        <v>598</v>
      </c>
      <c r="E1604" t="s">
        <v>4470</v>
      </c>
      <c r="F1604" t="s">
        <v>298</v>
      </c>
      <c r="G1604" t="s">
        <v>4457</v>
      </c>
      <c r="H1604" t="s">
        <v>4460</v>
      </c>
      <c r="I1604" t="s">
        <v>4471</v>
      </c>
      <c r="J1604" s="38">
        <v>1</v>
      </c>
      <c r="L1604" t="s">
        <v>4463</v>
      </c>
      <c r="M1604" s="37">
        <v>1</v>
      </c>
      <c r="N1604" s="37">
        <v>0.4</v>
      </c>
      <c r="O1604">
        <v>1</v>
      </c>
      <c r="P1604" s="37">
        <v>0.98</v>
      </c>
      <c r="Q1604">
        <v>0.98</v>
      </c>
      <c r="R1604">
        <v>5000</v>
      </c>
      <c r="S1604">
        <v>5000</v>
      </c>
      <c r="T1604">
        <v>5000</v>
      </c>
      <c r="U1604" t="s">
        <v>3350</v>
      </c>
      <c r="Z1604" s="37">
        <v>0.01</v>
      </c>
      <c r="AA1604" s="37">
        <v>0.35</v>
      </c>
      <c r="AB1604">
        <v>0</v>
      </c>
    </row>
    <row r="1605">
      <c r="A1605" t="s">
        <v>4469</v>
      </c>
      <c r="B1605" t="s">
        <v>4455</v>
      </c>
      <c r="C1605" t="s">
        <v>4455</v>
      </c>
      <c r="D1605" t="s">
        <v>598</v>
      </c>
      <c r="E1605" t="s">
        <v>4470</v>
      </c>
      <c r="F1605" t="s">
        <v>298</v>
      </c>
      <c r="G1605" t="s">
        <v>4457</v>
      </c>
      <c r="H1605" t="s">
        <v>4460</v>
      </c>
      <c r="I1605" t="s">
        <v>4472</v>
      </c>
      <c r="J1605" s="38">
        <v>1</v>
      </c>
      <c r="L1605" t="s">
        <v>4463</v>
      </c>
      <c r="M1605" s="37">
        <v>0.9</v>
      </c>
      <c r="N1605" s="37">
        <v>0.2</v>
      </c>
      <c r="O1605">
        <v>0.9</v>
      </c>
      <c r="P1605" s="37">
        <v>0.98</v>
      </c>
      <c r="Q1605">
        <v>0.98</v>
      </c>
      <c r="R1605">
        <v>5000</v>
      </c>
      <c r="S1605">
        <v>5000</v>
      </c>
      <c r="T1605">
        <v>5000</v>
      </c>
      <c r="U1605" t="s">
        <v>3350</v>
      </c>
      <c r="Z1605" s="37">
        <v>0.01</v>
      </c>
      <c r="AA1605" s="37">
        <v>0.35</v>
      </c>
      <c r="AB1605">
        <v>0</v>
      </c>
    </row>
    <row r="1606">
      <c r="A1606" t="s">
        <v>4473</v>
      </c>
      <c r="B1606" t="s">
        <v>4455</v>
      </c>
      <c r="C1606" t="s">
        <v>4455</v>
      </c>
      <c r="D1606" t="s">
        <v>359</v>
      </c>
      <c r="E1606" t="s">
        <v>4474</v>
      </c>
      <c r="F1606" t="s">
        <v>298</v>
      </c>
      <c r="G1606" t="s">
        <v>4457</v>
      </c>
      <c r="H1606" t="s">
        <v>4475</v>
      </c>
      <c r="I1606" t="s">
        <v>4476</v>
      </c>
      <c r="J1606" s="38">
        <v>1</v>
      </c>
      <c r="K1606" s="38">
        <v>1</v>
      </c>
      <c r="L1606" t="s">
        <v>4463</v>
      </c>
      <c r="M1606" s="37">
        <v>1</v>
      </c>
      <c r="N1606" s="37">
        <v>0.4</v>
      </c>
      <c r="O1606">
        <v>1</v>
      </c>
      <c r="P1606" s="37">
        <v>0.98</v>
      </c>
      <c r="Q1606">
        <v>0.98</v>
      </c>
      <c r="R1606">
        <v>5000</v>
      </c>
      <c r="S1606">
        <v>5000</v>
      </c>
      <c r="T1606">
        <v>5000</v>
      </c>
      <c r="U1606" t="s">
        <v>3350</v>
      </c>
      <c r="Z1606" s="37">
        <v>0.01</v>
      </c>
      <c r="AA1606" s="37">
        <v>0.35</v>
      </c>
      <c r="AB1606">
        <v>0</v>
      </c>
    </row>
    <row r="1607">
      <c r="A1607" t="s">
        <v>4473</v>
      </c>
      <c r="B1607" t="s">
        <v>4455</v>
      </c>
      <c r="C1607" t="s">
        <v>4455</v>
      </c>
      <c r="D1607" t="s">
        <v>359</v>
      </c>
      <c r="E1607" t="s">
        <v>4474</v>
      </c>
      <c r="F1607" t="s">
        <v>298</v>
      </c>
      <c r="G1607" t="s">
        <v>4457</v>
      </c>
      <c r="H1607" t="s">
        <v>604</v>
      </c>
      <c r="I1607" t="s">
        <v>4477</v>
      </c>
      <c r="J1607" s="38">
        <v>1</v>
      </c>
      <c r="L1607" t="s">
        <v>4478</v>
      </c>
      <c r="M1607" s="37">
        <v>0.9</v>
      </c>
      <c r="N1607" s="37">
        <v>0.2</v>
      </c>
      <c r="O1607">
        <v>0.9</v>
      </c>
      <c r="P1607" s="37">
        <v>0.98</v>
      </c>
      <c r="Q1607">
        <v>0.98</v>
      </c>
      <c r="R1607">
        <v>5000</v>
      </c>
      <c r="S1607">
        <v>5000</v>
      </c>
      <c r="T1607">
        <v>5000</v>
      </c>
      <c r="U1607" t="s">
        <v>3350</v>
      </c>
      <c r="Z1607" s="37">
        <v>0.01</v>
      </c>
      <c r="AA1607" s="37">
        <v>0.35</v>
      </c>
      <c r="AB1607">
        <v>0</v>
      </c>
    </row>
    <row r="1608">
      <c r="A1608" t="s">
        <v>4473</v>
      </c>
      <c r="B1608" t="s">
        <v>4455</v>
      </c>
      <c r="C1608" t="s">
        <v>4455</v>
      </c>
      <c r="D1608" t="s">
        <v>359</v>
      </c>
      <c r="E1608" t="s">
        <v>4474</v>
      </c>
      <c r="F1608" t="s">
        <v>298</v>
      </c>
      <c r="G1608" t="s">
        <v>4457</v>
      </c>
      <c r="H1608" t="s">
        <v>604</v>
      </c>
      <c r="I1608" t="s">
        <v>4479</v>
      </c>
      <c r="J1608">
        <v>100</v>
      </c>
      <c r="L1608" t="s">
        <v>4480</v>
      </c>
      <c r="M1608" s="37">
        <v>1</v>
      </c>
      <c r="N1608" s="37">
        <v>0.4</v>
      </c>
      <c r="O1608">
        <v>1</v>
      </c>
      <c r="P1608" s="37">
        <v>0.98</v>
      </c>
      <c r="Q1608">
        <v>0.98</v>
      </c>
      <c r="R1608">
        <v>5000</v>
      </c>
      <c r="S1608">
        <v>5000</v>
      </c>
      <c r="T1608">
        <v>5000</v>
      </c>
      <c r="U1608" t="s">
        <v>3350</v>
      </c>
      <c r="Z1608" s="37">
        <v>0.01</v>
      </c>
      <c r="AA1608" s="37">
        <v>0.35</v>
      </c>
      <c r="AB1608">
        <v>0</v>
      </c>
    </row>
    <row r="1609">
      <c r="A1609" t="s">
        <v>4481</v>
      </c>
      <c r="B1609" t="s">
        <v>4455</v>
      </c>
      <c r="C1609" t="s">
        <v>4455</v>
      </c>
      <c r="D1609" t="s">
        <v>598</v>
      </c>
      <c r="E1609" t="s">
        <v>4482</v>
      </c>
      <c r="F1609" t="s">
        <v>298</v>
      </c>
      <c r="G1609" t="s">
        <v>4457</v>
      </c>
      <c r="H1609" t="s">
        <v>604</v>
      </c>
      <c r="I1609" t="s">
        <v>4459</v>
      </c>
      <c r="J1609" s="38">
        <v>1</v>
      </c>
      <c r="L1609" t="s">
        <v>4480</v>
      </c>
      <c r="M1609" s="37">
        <v>1</v>
      </c>
      <c r="N1609" s="37">
        <v>0.4</v>
      </c>
      <c r="O1609">
        <v>1</v>
      </c>
      <c r="P1609" s="37">
        <v>0.98</v>
      </c>
      <c r="Q1609">
        <v>0.98</v>
      </c>
      <c r="R1609">
        <v>5000</v>
      </c>
      <c r="S1609">
        <v>5000</v>
      </c>
      <c r="T1609">
        <v>5000</v>
      </c>
      <c r="U1609" t="s">
        <v>3350</v>
      </c>
      <c r="Z1609" s="37">
        <v>0.01</v>
      </c>
      <c r="AA1609" s="37">
        <v>0.35</v>
      </c>
      <c r="AB1609">
        <v>0</v>
      </c>
    </row>
    <row r="1610">
      <c r="A1610" t="s">
        <v>4481</v>
      </c>
      <c r="B1610" t="s">
        <v>4455</v>
      </c>
      <c r="C1610" t="s">
        <v>4455</v>
      </c>
      <c r="D1610" t="s">
        <v>598</v>
      </c>
      <c r="E1610" t="s">
        <v>4482</v>
      </c>
      <c r="F1610" t="s">
        <v>298</v>
      </c>
      <c r="G1610" t="s">
        <v>4457</v>
      </c>
      <c r="H1610" t="s">
        <v>604</v>
      </c>
      <c r="I1610" t="s">
        <v>4483</v>
      </c>
      <c r="J1610" s="38">
        <v>1</v>
      </c>
      <c r="L1610" t="s">
        <v>4480</v>
      </c>
      <c r="M1610" s="37">
        <v>1</v>
      </c>
      <c r="N1610" s="37">
        <v>0.2</v>
      </c>
      <c r="O1610">
        <v>1</v>
      </c>
      <c r="P1610" s="37">
        <v>0.98</v>
      </c>
      <c r="Q1610">
        <v>0.98</v>
      </c>
      <c r="R1610">
        <v>5000</v>
      </c>
      <c r="S1610">
        <v>5000</v>
      </c>
      <c r="T1610">
        <v>5000</v>
      </c>
      <c r="U1610" t="s">
        <v>3350</v>
      </c>
      <c r="Z1610" s="37">
        <v>0.01</v>
      </c>
      <c r="AA1610" s="37">
        <v>0.35</v>
      </c>
      <c r="AB1610">
        <v>0</v>
      </c>
    </row>
    <row r="1611">
      <c r="A1611" t="s">
        <v>4481</v>
      </c>
      <c r="B1611" t="s">
        <v>4455</v>
      </c>
      <c r="C1611" t="s">
        <v>4455</v>
      </c>
      <c r="D1611" t="s">
        <v>598</v>
      </c>
      <c r="E1611" t="s">
        <v>4482</v>
      </c>
      <c r="F1611" t="s">
        <v>298</v>
      </c>
      <c r="G1611" t="s">
        <v>4457</v>
      </c>
      <c r="H1611" t="s">
        <v>604</v>
      </c>
      <c r="I1611" t="s">
        <v>4484</v>
      </c>
      <c r="J1611" s="38">
        <v>1</v>
      </c>
      <c r="L1611" t="s">
        <v>4480</v>
      </c>
      <c r="M1611" s="37">
        <v>0.9</v>
      </c>
      <c r="N1611" s="37">
        <v>0.2</v>
      </c>
      <c r="O1611">
        <v>0.9</v>
      </c>
      <c r="P1611" s="37">
        <v>0.98</v>
      </c>
      <c r="Q1611">
        <v>0.98</v>
      </c>
      <c r="R1611">
        <v>5000</v>
      </c>
      <c r="S1611">
        <v>5000</v>
      </c>
      <c r="T1611">
        <v>5000</v>
      </c>
      <c r="U1611" t="s">
        <v>3350</v>
      </c>
      <c r="Z1611" s="37">
        <v>0.01</v>
      </c>
      <c r="AA1611" s="37">
        <v>0.35</v>
      </c>
      <c r="AB1611">
        <v>0</v>
      </c>
    </row>
    <row r="1612">
      <c r="A1612" t="s">
        <v>4481</v>
      </c>
      <c r="B1612" t="s">
        <v>4455</v>
      </c>
      <c r="C1612" t="s">
        <v>4455</v>
      </c>
      <c r="D1612" t="s">
        <v>598</v>
      </c>
      <c r="E1612" t="s">
        <v>4482</v>
      </c>
      <c r="F1612" t="s">
        <v>298</v>
      </c>
      <c r="G1612" t="s">
        <v>4457</v>
      </c>
      <c r="H1612" t="s">
        <v>604</v>
      </c>
      <c r="I1612" t="s">
        <v>4485</v>
      </c>
      <c r="J1612" s="38">
        <v>1</v>
      </c>
      <c r="L1612" t="s">
        <v>4480</v>
      </c>
      <c r="M1612" s="37">
        <v>1</v>
      </c>
      <c r="N1612" s="37">
        <v>0.2</v>
      </c>
      <c r="O1612">
        <v>1</v>
      </c>
      <c r="P1612" s="37">
        <v>0.98</v>
      </c>
      <c r="Q1612">
        <v>0.98</v>
      </c>
      <c r="R1612">
        <v>5000</v>
      </c>
      <c r="S1612">
        <v>5000</v>
      </c>
      <c r="T1612">
        <v>5000</v>
      </c>
      <c r="U1612" t="s">
        <v>3350</v>
      </c>
      <c r="Z1612" s="37">
        <v>0.01</v>
      </c>
      <c r="AA1612" s="37">
        <v>0.35</v>
      </c>
      <c r="AB1612">
        <v>0</v>
      </c>
    </row>
    <row r="1613">
      <c r="A1613" t="s">
        <v>4486</v>
      </c>
      <c r="B1613" t="s">
        <v>4455</v>
      </c>
      <c r="C1613" t="s">
        <v>4455</v>
      </c>
      <c r="D1613" t="s">
        <v>3400</v>
      </c>
      <c r="E1613" t="s">
        <v>4487</v>
      </c>
      <c r="F1613" t="s">
        <v>298</v>
      </c>
      <c r="G1613" t="s">
        <v>4457</v>
      </c>
      <c r="H1613" t="s">
        <v>604</v>
      </c>
      <c r="I1613" t="s">
        <v>4488</v>
      </c>
      <c r="J1613" s="38">
        <v>1</v>
      </c>
      <c r="L1613" t="s">
        <v>4480</v>
      </c>
      <c r="M1613" s="37">
        <v>1</v>
      </c>
      <c r="N1613" s="37">
        <v>0.25</v>
      </c>
      <c r="O1613">
        <v>1.5</v>
      </c>
      <c r="P1613" s="37">
        <v>0.7738</v>
      </c>
      <c r="Q1613">
        <v>0.99</v>
      </c>
      <c r="R1613">
        <v>0</v>
      </c>
      <c r="S1613">
        <v>0</v>
      </c>
      <c r="T1613">
        <v>3400</v>
      </c>
      <c r="U1613" t="s">
        <v>3350</v>
      </c>
      <c r="Z1613" s="37">
        <v>0.01</v>
      </c>
      <c r="AA1613" s="37">
        <v>0.35</v>
      </c>
      <c r="AB1613">
        <v>0</v>
      </c>
    </row>
    <row r="1614">
      <c r="A1614" t="s">
        <v>4486</v>
      </c>
      <c r="B1614" t="s">
        <v>4455</v>
      </c>
      <c r="C1614" t="s">
        <v>4455</v>
      </c>
      <c r="D1614" t="s">
        <v>3400</v>
      </c>
      <c r="E1614" t="s">
        <v>4487</v>
      </c>
      <c r="F1614" t="s">
        <v>298</v>
      </c>
      <c r="G1614" t="s">
        <v>4457</v>
      </c>
      <c r="H1614" t="s">
        <v>4475</v>
      </c>
      <c r="I1614" t="s">
        <v>4489</v>
      </c>
      <c r="J1614" s="38">
        <v>1</v>
      </c>
      <c r="K1614" s="38">
        <v>1</v>
      </c>
      <c r="L1614" t="s">
        <v>4480</v>
      </c>
      <c r="M1614" s="37">
        <v>0.95</v>
      </c>
      <c r="N1614" s="37">
        <v>0.2</v>
      </c>
      <c r="O1614">
        <v>0.95</v>
      </c>
      <c r="P1614" s="37">
        <v>0.7738</v>
      </c>
      <c r="Q1614">
        <v>0.99</v>
      </c>
      <c r="R1614">
        <v>0</v>
      </c>
      <c r="S1614">
        <v>0</v>
      </c>
      <c r="T1614">
        <v>3400</v>
      </c>
      <c r="U1614" t="s">
        <v>3350</v>
      </c>
      <c r="Z1614" s="37">
        <v>0.01</v>
      </c>
      <c r="AA1614" s="37">
        <v>0.35</v>
      </c>
      <c r="AB1614">
        <v>0</v>
      </c>
    </row>
    <row r="1615">
      <c r="A1615" t="s">
        <v>4486</v>
      </c>
      <c r="B1615" t="s">
        <v>4455</v>
      </c>
      <c r="C1615" t="s">
        <v>4455</v>
      </c>
      <c r="D1615" t="s">
        <v>3400</v>
      </c>
      <c r="E1615" t="s">
        <v>4487</v>
      </c>
      <c r="F1615" t="s">
        <v>298</v>
      </c>
      <c r="G1615" t="s">
        <v>4457</v>
      </c>
      <c r="H1615" t="s">
        <v>604</v>
      </c>
      <c r="I1615" t="s">
        <v>4490</v>
      </c>
      <c r="J1615" s="38">
        <v>1</v>
      </c>
      <c r="L1615" t="s">
        <v>4480</v>
      </c>
      <c r="M1615" s="37">
        <v>0.95</v>
      </c>
      <c r="N1615" s="37">
        <v>0.35</v>
      </c>
      <c r="O1615">
        <v>0.95</v>
      </c>
      <c r="P1615" s="37">
        <v>0.7738</v>
      </c>
      <c r="Q1615">
        <v>0.99</v>
      </c>
      <c r="R1615">
        <v>0</v>
      </c>
      <c r="S1615">
        <v>0</v>
      </c>
      <c r="T1615">
        <v>3400</v>
      </c>
      <c r="U1615" t="s">
        <v>3350</v>
      </c>
      <c r="Z1615" s="37">
        <v>0.01</v>
      </c>
      <c r="AA1615" s="37">
        <v>0.35</v>
      </c>
      <c r="AB1615">
        <v>0</v>
      </c>
    </row>
    <row r="1616">
      <c r="A1616" t="s">
        <v>4486</v>
      </c>
      <c r="B1616" t="s">
        <v>4455</v>
      </c>
      <c r="C1616" t="s">
        <v>4455</v>
      </c>
      <c r="D1616" t="s">
        <v>3400</v>
      </c>
      <c r="E1616" t="s">
        <v>4487</v>
      </c>
      <c r="F1616" t="s">
        <v>298</v>
      </c>
      <c r="G1616" t="s">
        <v>4457</v>
      </c>
      <c r="H1616" t="s">
        <v>4475</v>
      </c>
      <c r="I1616" t="s">
        <v>4491</v>
      </c>
      <c r="J1616" s="38">
        <v>1</v>
      </c>
      <c r="K1616" s="38">
        <v>1</v>
      </c>
      <c r="L1616" t="s">
        <v>4480</v>
      </c>
      <c r="M1616" s="37">
        <v>0.0065</v>
      </c>
      <c r="N1616" s="37">
        <v>0.2</v>
      </c>
      <c r="O1616">
        <v>0.455</v>
      </c>
      <c r="P1616" s="37">
        <v>0.7738</v>
      </c>
      <c r="Q1616">
        <v>0.99</v>
      </c>
      <c r="R1616">
        <v>0</v>
      </c>
      <c r="S1616">
        <v>0</v>
      </c>
      <c r="T1616">
        <v>3400</v>
      </c>
      <c r="U1616" t="s">
        <v>3350</v>
      </c>
      <c r="Z1616" s="37">
        <v>0.01</v>
      </c>
      <c r="AA1616" s="37">
        <v>0.35</v>
      </c>
      <c r="AB1616">
        <v>0</v>
      </c>
    </row>
    <row r="1617">
      <c r="A1617" t="s">
        <v>4492</v>
      </c>
      <c r="B1617" t="s">
        <v>4455</v>
      </c>
      <c r="C1617" t="s">
        <v>4455</v>
      </c>
      <c r="D1617" t="s">
        <v>359</v>
      </c>
      <c r="E1617" t="s">
        <v>4493</v>
      </c>
      <c r="F1617" t="s">
        <v>298</v>
      </c>
      <c r="G1617" t="s">
        <v>4457</v>
      </c>
      <c r="H1617" t="s">
        <v>4475</v>
      </c>
      <c r="I1617" t="s">
        <v>4459</v>
      </c>
      <c r="J1617" s="38">
        <v>1</v>
      </c>
      <c r="K1617" s="38">
        <v>1</v>
      </c>
      <c r="L1617" t="s">
        <v>4480</v>
      </c>
      <c r="M1617" s="37">
        <v>1</v>
      </c>
      <c r="N1617" s="37">
        <v>0.4</v>
      </c>
      <c r="O1617">
        <v>1</v>
      </c>
      <c r="P1617" s="37">
        <v>0.94</v>
      </c>
      <c r="Q1617">
        <v>0.98</v>
      </c>
      <c r="R1617">
        <v>0</v>
      </c>
      <c r="S1617">
        <v>0</v>
      </c>
      <c r="T1617">
        <v>5000</v>
      </c>
      <c r="U1617" t="s">
        <v>3350</v>
      </c>
      <c r="Z1617" s="37">
        <v>0.01</v>
      </c>
      <c r="AA1617" s="37">
        <v>0.35</v>
      </c>
      <c r="AB1617">
        <v>0</v>
      </c>
    </row>
    <row r="1618">
      <c r="A1618" t="s">
        <v>4492</v>
      </c>
      <c r="B1618" t="s">
        <v>4455</v>
      </c>
      <c r="C1618" t="s">
        <v>4455</v>
      </c>
      <c r="D1618" t="s">
        <v>359</v>
      </c>
      <c r="E1618" t="s">
        <v>4493</v>
      </c>
      <c r="F1618" t="s">
        <v>298</v>
      </c>
      <c r="G1618" t="s">
        <v>4457</v>
      </c>
      <c r="H1618" t="s">
        <v>604</v>
      </c>
      <c r="I1618" t="s">
        <v>4494</v>
      </c>
      <c r="J1618" s="38">
        <v>1</v>
      </c>
      <c r="L1618" t="s">
        <v>4480</v>
      </c>
      <c r="M1618" s="37">
        <v>0.95</v>
      </c>
      <c r="N1618" s="37">
        <v>0.4</v>
      </c>
      <c r="O1618">
        <v>0.95</v>
      </c>
      <c r="P1618" s="37">
        <v>0.94</v>
      </c>
      <c r="Q1618">
        <v>0.98</v>
      </c>
      <c r="R1618">
        <v>0</v>
      </c>
      <c r="S1618">
        <v>0</v>
      </c>
      <c r="T1618">
        <v>5000</v>
      </c>
      <c r="U1618" t="s">
        <v>3350</v>
      </c>
      <c r="Z1618" s="37">
        <v>0.01</v>
      </c>
      <c r="AA1618" s="37">
        <v>0.35</v>
      </c>
      <c r="AB1618">
        <v>0</v>
      </c>
    </row>
    <row r="1619">
      <c r="A1619" t="s">
        <v>4492</v>
      </c>
      <c r="B1619" t="s">
        <v>4455</v>
      </c>
      <c r="C1619" t="s">
        <v>4455</v>
      </c>
      <c r="D1619" t="s">
        <v>359</v>
      </c>
      <c r="E1619" t="s">
        <v>4493</v>
      </c>
      <c r="F1619" t="s">
        <v>298</v>
      </c>
      <c r="G1619" t="s">
        <v>4457</v>
      </c>
      <c r="H1619" t="s">
        <v>604</v>
      </c>
      <c r="I1619" t="s">
        <v>4495</v>
      </c>
      <c r="J1619" s="38">
        <v>1</v>
      </c>
      <c r="L1619" t="s">
        <v>4480</v>
      </c>
      <c r="M1619" s="37">
        <v>0.8</v>
      </c>
      <c r="N1619" s="37">
        <v>0.2</v>
      </c>
      <c r="O1619">
        <v>0.8</v>
      </c>
      <c r="P1619" s="37">
        <v>0.94</v>
      </c>
      <c r="Q1619">
        <v>0.98</v>
      </c>
      <c r="R1619">
        <v>0</v>
      </c>
      <c r="S1619">
        <v>0</v>
      </c>
      <c r="T1619">
        <v>5000</v>
      </c>
      <c r="U1619" t="s">
        <v>3350</v>
      </c>
      <c r="Z1619" s="37">
        <v>0.01</v>
      </c>
      <c r="AA1619" s="37">
        <v>0.35</v>
      </c>
      <c r="AB1619">
        <v>0</v>
      </c>
    </row>
    <row r="1620">
      <c r="A1620" t="s">
        <v>4496</v>
      </c>
      <c r="B1620" t="s">
        <v>4455</v>
      </c>
      <c r="C1620" t="s">
        <v>4455</v>
      </c>
      <c r="D1620" t="s">
        <v>4497</v>
      </c>
      <c r="E1620" t="s">
        <v>4498</v>
      </c>
      <c r="F1620" t="s">
        <v>298</v>
      </c>
      <c r="G1620" t="s">
        <v>4457</v>
      </c>
      <c r="H1620" t="s">
        <v>4475</v>
      </c>
      <c r="I1620" t="s">
        <v>4458</v>
      </c>
      <c r="J1620" t="s">
        <v>4499</v>
      </c>
      <c r="K1620" t="s">
        <v>4500</v>
      </c>
      <c r="L1620" t="s">
        <v>2084</v>
      </c>
      <c r="M1620" s="37">
        <v>0.85</v>
      </c>
      <c r="N1620" s="37">
        <v>0.4</v>
      </c>
      <c r="O1620">
        <v>85</v>
      </c>
      <c r="P1620" s="37">
        <v>0.85</v>
      </c>
      <c r="Q1620">
        <v>85</v>
      </c>
      <c r="R1620">
        <v>0</v>
      </c>
      <c r="S1620">
        <v>0</v>
      </c>
      <c r="T1620">
        <v>0</v>
      </c>
      <c r="U1620" t="s">
        <v>3350</v>
      </c>
      <c r="Z1620" s="37">
        <v>0.01</v>
      </c>
      <c r="AA1620" s="37">
        <v>0.35</v>
      </c>
      <c r="AB1620">
        <v>0</v>
      </c>
    </row>
    <row r="1621">
      <c r="A1621" t="s">
        <v>4496</v>
      </c>
      <c r="B1621" t="s">
        <v>4455</v>
      </c>
      <c r="C1621" t="s">
        <v>4455</v>
      </c>
      <c r="D1621" t="s">
        <v>4497</v>
      </c>
      <c r="E1621" t="s">
        <v>4498</v>
      </c>
      <c r="F1621" t="s">
        <v>298</v>
      </c>
      <c r="G1621" t="s">
        <v>4457</v>
      </c>
      <c r="H1621" t="s">
        <v>604</v>
      </c>
      <c r="I1621" t="s">
        <v>4466</v>
      </c>
      <c r="J1621" s="38">
        <v>0.4</v>
      </c>
      <c r="L1621" t="s">
        <v>2084</v>
      </c>
      <c r="M1621" s="37">
        <v>0.85</v>
      </c>
      <c r="N1621" s="37">
        <v>0.4</v>
      </c>
      <c r="O1621">
        <v>85</v>
      </c>
      <c r="P1621" s="37">
        <v>0.85</v>
      </c>
      <c r="Q1621">
        <v>85</v>
      </c>
      <c r="R1621">
        <v>0</v>
      </c>
      <c r="S1621">
        <v>0</v>
      </c>
      <c r="T1621">
        <v>0</v>
      </c>
      <c r="U1621" t="s">
        <v>3350</v>
      </c>
      <c r="Z1621" s="37">
        <v>0.01</v>
      </c>
      <c r="AA1621" s="37">
        <v>0.35</v>
      </c>
      <c r="AB1621">
        <v>0</v>
      </c>
    </row>
    <row r="1622">
      <c r="A1622" t="s">
        <v>4496</v>
      </c>
      <c r="B1622" t="s">
        <v>4455</v>
      </c>
      <c r="C1622" t="s">
        <v>4455</v>
      </c>
      <c r="D1622" t="s">
        <v>4497</v>
      </c>
      <c r="E1622" t="s">
        <v>4498</v>
      </c>
      <c r="F1622" t="s">
        <v>298</v>
      </c>
      <c r="G1622" t="s">
        <v>4457</v>
      </c>
      <c r="H1622" t="s">
        <v>618</v>
      </c>
      <c r="I1622" t="s">
        <v>4501</v>
      </c>
      <c r="J1622" s="38">
        <v>0.2</v>
      </c>
      <c r="L1622" t="s">
        <v>2084</v>
      </c>
      <c r="M1622" s="37">
        <v>0.85</v>
      </c>
      <c r="N1622" s="37">
        <v>0.2</v>
      </c>
      <c r="O1622">
        <v>85</v>
      </c>
      <c r="P1622" s="37">
        <v>0.85</v>
      </c>
      <c r="Q1622">
        <v>85</v>
      </c>
      <c r="R1622">
        <v>0</v>
      </c>
      <c r="S1622">
        <v>0</v>
      </c>
      <c r="T1622">
        <v>0</v>
      </c>
      <c r="U1622" t="s">
        <v>3350</v>
      </c>
      <c r="Z1622" s="37">
        <v>0.01</v>
      </c>
      <c r="AA1622" s="37">
        <v>0.35</v>
      </c>
      <c r="AB1622">
        <v>0</v>
      </c>
    </row>
    <row r="1623">
      <c r="A1623" t="s">
        <v>4496</v>
      </c>
      <c r="B1623" t="s">
        <v>4455</v>
      </c>
      <c r="C1623" t="s">
        <v>4455</v>
      </c>
      <c r="D1623" t="s">
        <v>4497</v>
      </c>
      <c r="E1623" t="s">
        <v>4498</v>
      </c>
      <c r="F1623" t="s">
        <v>298</v>
      </c>
      <c r="G1623" t="s">
        <v>4457</v>
      </c>
      <c r="H1623" t="s">
        <v>4460</v>
      </c>
      <c r="I1623">
        <v>11</v>
      </c>
      <c r="J1623" s="38">
        <v>0</v>
      </c>
      <c r="L1623" t="s">
        <v>2084</v>
      </c>
      <c r="M1623" s="37">
        <v>0</v>
      </c>
      <c r="N1623" s="37">
        <v>0</v>
      </c>
      <c r="O1623">
        <v>0</v>
      </c>
      <c r="P1623" s="37">
        <v>0.85</v>
      </c>
      <c r="Q1623">
        <v>85</v>
      </c>
      <c r="R1623">
        <v>0</v>
      </c>
      <c r="S1623">
        <v>0</v>
      </c>
      <c r="T1623">
        <v>0</v>
      </c>
      <c r="U1623" t="s">
        <v>3350</v>
      </c>
      <c r="Z1623" s="37">
        <v>0.01</v>
      </c>
      <c r="AA1623" s="37">
        <v>0.35</v>
      </c>
      <c r="AB1623">
        <v>0</v>
      </c>
    </row>
    <row r="1624">
      <c r="A1624" t="s">
        <v>4502</v>
      </c>
      <c r="B1624" t="s">
        <v>4503</v>
      </c>
      <c r="C1624" t="s">
        <v>4503</v>
      </c>
      <c r="D1624" t="s">
        <v>3649</v>
      </c>
      <c r="E1624" t="s">
        <v>4504</v>
      </c>
      <c r="F1624" t="s">
        <v>298</v>
      </c>
      <c r="G1624" t="s">
        <v>4505</v>
      </c>
      <c r="H1624" t="s">
        <v>4506</v>
      </c>
      <c r="I1624" t="s">
        <v>4507</v>
      </c>
      <c r="J1624" s="38">
        <v>0.08</v>
      </c>
      <c r="K1624" s="37">
        <v>0.083</v>
      </c>
      <c r="L1624" t="s">
        <v>2084</v>
      </c>
      <c r="M1624" s="37">
        <v>0.99</v>
      </c>
      <c r="N1624" s="37">
        <v>0.3</v>
      </c>
      <c r="O1624">
        <v>99</v>
      </c>
      <c r="P1624" s="37">
        <v>0.651</v>
      </c>
      <c r="Q1624">
        <v>0.65</v>
      </c>
      <c r="R1624">
        <v>1800</v>
      </c>
      <c r="S1624">
        <v>1800</v>
      </c>
      <c r="T1624">
        <v>5000</v>
      </c>
      <c r="U1624" t="s">
        <v>3350</v>
      </c>
      <c r="Z1624" s="37">
        <v>0.01</v>
      </c>
      <c r="AA1624" s="37">
        <v>0.35</v>
      </c>
      <c r="AB1624">
        <v>0</v>
      </c>
    </row>
    <row r="1625">
      <c r="A1625" t="s">
        <v>4502</v>
      </c>
      <c r="B1625" t="s">
        <v>4503</v>
      </c>
      <c r="C1625" t="s">
        <v>4503</v>
      </c>
      <c r="D1625" t="s">
        <v>3649</v>
      </c>
      <c r="E1625" t="s">
        <v>4504</v>
      </c>
      <c r="F1625" t="s">
        <v>298</v>
      </c>
      <c r="G1625" t="s">
        <v>4505</v>
      </c>
      <c r="H1625" t="s">
        <v>4508</v>
      </c>
      <c r="I1625" t="s">
        <v>4509</v>
      </c>
      <c r="J1625" t="s">
        <v>4510</v>
      </c>
      <c r="K1625" t="s">
        <v>4511</v>
      </c>
      <c r="L1625" t="s">
        <v>2084</v>
      </c>
      <c r="M1625" s="37">
        <v>0.98</v>
      </c>
      <c r="N1625" s="37">
        <v>0.3</v>
      </c>
      <c r="O1625">
        <v>0.98</v>
      </c>
      <c r="P1625" s="37">
        <v>0.651</v>
      </c>
      <c r="Q1625">
        <v>0.65</v>
      </c>
      <c r="R1625">
        <v>1800</v>
      </c>
      <c r="S1625">
        <v>1800</v>
      </c>
      <c r="T1625">
        <v>5000</v>
      </c>
      <c r="U1625" t="s">
        <v>3350</v>
      </c>
      <c r="Z1625" s="37">
        <v>0.01</v>
      </c>
      <c r="AA1625" s="37">
        <v>0.35</v>
      </c>
      <c r="AB1625">
        <v>0</v>
      </c>
    </row>
    <row r="1626">
      <c r="A1626" t="s">
        <v>4502</v>
      </c>
      <c r="B1626" t="s">
        <v>4503</v>
      </c>
      <c r="C1626" t="s">
        <v>4503</v>
      </c>
      <c r="D1626" t="s">
        <v>3649</v>
      </c>
      <c r="E1626" t="s">
        <v>4504</v>
      </c>
      <c r="F1626" t="s">
        <v>298</v>
      </c>
      <c r="G1626" t="s">
        <v>4505</v>
      </c>
      <c r="H1626" t="s">
        <v>4512</v>
      </c>
      <c r="I1626" t="s">
        <v>4513</v>
      </c>
      <c r="J1626" t="s">
        <v>969</v>
      </c>
      <c r="K1626" t="s">
        <v>3236</v>
      </c>
      <c r="L1626" t="s">
        <v>4514</v>
      </c>
      <c r="M1626" s="37">
        <v>0.3</v>
      </c>
      <c r="N1626" s="37">
        <v>0.2</v>
      </c>
      <c r="O1626">
        <v>0.3</v>
      </c>
      <c r="P1626" s="37">
        <v>0.651</v>
      </c>
      <c r="Q1626">
        <v>0.65</v>
      </c>
      <c r="R1626">
        <v>1800</v>
      </c>
      <c r="S1626">
        <v>1800</v>
      </c>
      <c r="T1626">
        <v>5000</v>
      </c>
      <c r="U1626" t="s">
        <v>3350</v>
      </c>
      <c r="Z1626" s="37">
        <v>0.01</v>
      </c>
      <c r="AA1626" s="37">
        <v>0.35</v>
      </c>
      <c r="AB1626">
        <v>0</v>
      </c>
    </row>
    <row r="1627">
      <c r="A1627" t="s">
        <v>4502</v>
      </c>
      <c r="B1627" t="s">
        <v>4503</v>
      </c>
      <c r="C1627" t="s">
        <v>4503</v>
      </c>
      <c r="D1627" t="s">
        <v>3649</v>
      </c>
      <c r="E1627" t="s">
        <v>4504</v>
      </c>
      <c r="F1627" t="s">
        <v>298</v>
      </c>
      <c r="G1627" t="s">
        <v>4505</v>
      </c>
      <c r="H1627" t="s">
        <v>4512</v>
      </c>
      <c r="I1627" t="s">
        <v>4515</v>
      </c>
      <c r="J1627" t="s">
        <v>977</v>
      </c>
      <c r="K1627" t="s">
        <v>1909</v>
      </c>
      <c r="L1627" t="s">
        <v>4516</v>
      </c>
      <c r="M1627" s="37">
        <v>0</v>
      </c>
      <c r="N1627" s="37">
        <v>0.2</v>
      </c>
      <c r="O1627">
        <v>0</v>
      </c>
      <c r="P1627" s="37">
        <v>0.651</v>
      </c>
      <c r="Q1627">
        <v>0.65</v>
      </c>
      <c r="R1627">
        <v>1800</v>
      </c>
      <c r="S1627">
        <v>1800</v>
      </c>
      <c r="T1627">
        <v>5000</v>
      </c>
      <c r="U1627" t="s">
        <v>3350</v>
      </c>
      <c r="Z1627" s="37">
        <v>0.01</v>
      </c>
      <c r="AA1627" s="37">
        <v>0.35</v>
      </c>
      <c r="AB1627">
        <v>0</v>
      </c>
    </row>
    <row r="1628">
      <c r="A1628" t="s">
        <v>4517</v>
      </c>
      <c r="B1628" t="s">
        <v>4518</v>
      </c>
      <c r="C1628" t="s">
        <v>4518</v>
      </c>
      <c r="D1628" t="s">
        <v>3649</v>
      </c>
      <c r="E1628" t="s">
        <v>4519</v>
      </c>
      <c r="F1628" t="s">
        <v>298</v>
      </c>
      <c r="G1628" t="s">
        <v>4505</v>
      </c>
      <c r="H1628" t="s">
        <v>4508</v>
      </c>
      <c r="I1628" t="s">
        <v>4520</v>
      </c>
      <c r="J1628" t="s">
        <v>4521</v>
      </c>
      <c r="K1628" t="s">
        <v>4522</v>
      </c>
      <c r="L1628" t="s">
        <v>4516</v>
      </c>
      <c r="M1628" s="37">
        <v>1.28</v>
      </c>
      <c r="N1628" s="37">
        <v>0.3</v>
      </c>
      <c r="O1628">
        <v>1.28</v>
      </c>
      <c r="P1628" s="37">
        <v>0.384</v>
      </c>
      <c r="Q1628">
        <v>0.38</v>
      </c>
      <c r="R1628">
        <v>0</v>
      </c>
      <c r="S1628">
        <v>0</v>
      </c>
      <c r="T1628">
        <v>5000</v>
      </c>
      <c r="U1628" t="s">
        <v>3350</v>
      </c>
      <c r="Z1628" s="37">
        <v>0.01</v>
      </c>
      <c r="AA1628" s="37">
        <v>0.35</v>
      </c>
      <c r="AB1628">
        <v>0</v>
      </c>
    </row>
    <row r="1629">
      <c r="A1629" t="s">
        <v>4517</v>
      </c>
      <c r="B1629" t="s">
        <v>4518</v>
      </c>
      <c r="C1629" t="s">
        <v>4518</v>
      </c>
      <c r="D1629" t="s">
        <v>3649</v>
      </c>
      <c r="E1629" t="s">
        <v>4519</v>
      </c>
      <c r="F1629" t="s">
        <v>298</v>
      </c>
      <c r="G1629" t="s">
        <v>4505</v>
      </c>
      <c r="H1629" t="s">
        <v>4523</v>
      </c>
      <c r="I1629" t="s">
        <v>2903</v>
      </c>
      <c r="J1629" s="37">
        <v>-0.326</v>
      </c>
      <c r="K1629" s="38">
        <v>0</v>
      </c>
      <c r="L1629" t="s">
        <v>4516</v>
      </c>
      <c r="M1629" s="37">
        <v>0</v>
      </c>
      <c r="N1629" s="37">
        <v>0.3</v>
      </c>
      <c r="O1629">
        <v>0</v>
      </c>
      <c r="P1629" s="37">
        <v>0.384</v>
      </c>
      <c r="Q1629">
        <v>0.38</v>
      </c>
      <c r="R1629">
        <v>0</v>
      </c>
      <c r="S1629">
        <v>0</v>
      </c>
      <c r="T1629">
        <v>5000</v>
      </c>
      <c r="U1629" t="s">
        <v>3350</v>
      </c>
      <c r="Z1629" s="37">
        <v>0.01</v>
      </c>
      <c r="AA1629" s="37">
        <v>0.35</v>
      </c>
      <c r="AB1629">
        <v>0</v>
      </c>
    </row>
    <row r="1630">
      <c r="A1630" t="s">
        <v>4517</v>
      </c>
      <c r="B1630" t="s">
        <v>4518</v>
      </c>
      <c r="C1630" t="s">
        <v>4518</v>
      </c>
      <c r="D1630" t="s">
        <v>3649</v>
      </c>
      <c r="E1630" t="s">
        <v>4519</v>
      </c>
      <c r="F1630" t="s">
        <v>298</v>
      </c>
      <c r="G1630" t="s">
        <v>4505</v>
      </c>
      <c r="H1630" t="s">
        <v>4512</v>
      </c>
      <c r="I1630" t="s">
        <v>4524</v>
      </c>
      <c r="J1630" t="s">
        <v>4081</v>
      </c>
      <c r="K1630" t="s">
        <v>4525</v>
      </c>
      <c r="L1630" t="s">
        <v>4516</v>
      </c>
      <c r="M1630" s="37">
        <v>0</v>
      </c>
      <c r="N1630" s="37">
        <v>0.2</v>
      </c>
      <c r="O1630">
        <v>0</v>
      </c>
      <c r="P1630" s="37">
        <v>0.384</v>
      </c>
      <c r="Q1630">
        <v>0.38</v>
      </c>
      <c r="R1630">
        <v>0</v>
      </c>
      <c r="S1630">
        <v>0</v>
      </c>
      <c r="T1630">
        <v>5000</v>
      </c>
      <c r="U1630" t="s">
        <v>3350</v>
      </c>
      <c r="Z1630" s="37">
        <v>0.01</v>
      </c>
      <c r="AA1630" s="37">
        <v>0.35</v>
      </c>
      <c r="AB1630">
        <v>0</v>
      </c>
    </row>
    <row r="1631">
      <c r="A1631" t="s">
        <v>4517</v>
      </c>
      <c r="B1631" t="s">
        <v>4518</v>
      </c>
      <c r="C1631" t="s">
        <v>4518</v>
      </c>
      <c r="D1631" t="s">
        <v>3649</v>
      </c>
      <c r="E1631" t="s">
        <v>4519</v>
      </c>
      <c r="F1631" t="s">
        <v>298</v>
      </c>
      <c r="G1631" t="s">
        <v>4505</v>
      </c>
      <c r="H1631" t="s">
        <v>4512</v>
      </c>
      <c r="I1631" t="s">
        <v>4526</v>
      </c>
      <c r="J1631" t="s">
        <v>969</v>
      </c>
      <c r="K1631" t="s">
        <v>1041</v>
      </c>
      <c r="L1631" t="s">
        <v>4516</v>
      </c>
      <c r="M1631" s="37">
        <v>0</v>
      </c>
      <c r="N1631" s="37">
        <v>0.2</v>
      </c>
      <c r="O1631">
        <v>0</v>
      </c>
      <c r="P1631" s="37">
        <v>0.384</v>
      </c>
      <c r="Q1631">
        <v>0.38</v>
      </c>
      <c r="R1631">
        <v>0</v>
      </c>
      <c r="S1631">
        <v>0</v>
      </c>
      <c r="T1631">
        <v>5000</v>
      </c>
      <c r="U1631" t="s">
        <v>3350</v>
      </c>
      <c r="Z1631" s="37">
        <v>0.01</v>
      </c>
      <c r="AA1631" s="37">
        <v>0.35</v>
      </c>
      <c r="AB1631">
        <v>0</v>
      </c>
    </row>
    <row r="1632">
      <c r="A1632" t="s">
        <v>4527</v>
      </c>
      <c r="B1632" t="s">
        <v>954</v>
      </c>
      <c r="C1632" t="s">
        <v>954</v>
      </c>
      <c r="D1632" t="s">
        <v>3649</v>
      </c>
      <c r="E1632" t="s">
        <v>4528</v>
      </c>
      <c r="F1632" t="s">
        <v>298</v>
      </c>
      <c r="G1632" t="s">
        <v>4505</v>
      </c>
      <c r="H1632" t="s">
        <v>4508</v>
      </c>
      <c r="I1632" t="s">
        <v>4529</v>
      </c>
      <c r="J1632" t="s">
        <v>4530</v>
      </c>
      <c r="K1632" t="s">
        <v>4531</v>
      </c>
      <c r="L1632" t="s">
        <v>4516</v>
      </c>
      <c r="M1632" s="37">
        <v>1.05282</v>
      </c>
      <c r="N1632" s="37">
        <v>0.3</v>
      </c>
      <c r="O1632">
        <v>1.053</v>
      </c>
      <c r="P1632" s="37">
        <v>1.028846</v>
      </c>
      <c r="Q1632">
        <v>1.03</v>
      </c>
      <c r="R1632">
        <v>4200</v>
      </c>
      <c r="S1632">
        <v>4200</v>
      </c>
      <c r="T1632">
        <v>5000</v>
      </c>
      <c r="U1632" t="s">
        <v>3350</v>
      </c>
      <c r="Z1632" s="37">
        <v>0.01</v>
      </c>
      <c r="AA1632" s="37">
        <v>0.35</v>
      </c>
      <c r="AB1632">
        <v>0</v>
      </c>
    </row>
    <row r="1633">
      <c r="A1633" t="s">
        <v>4527</v>
      </c>
      <c r="B1633" t="s">
        <v>954</v>
      </c>
      <c r="C1633" t="s">
        <v>954</v>
      </c>
      <c r="D1633" t="s">
        <v>3649</v>
      </c>
      <c r="E1633" t="s">
        <v>4528</v>
      </c>
      <c r="F1633" t="s">
        <v>298</v>
      </c>
      <c r="G1633" t="s">
        <v>4505</v>
      </c>
      <c r="H1633" t="s">
        <v>4506</v>
      </c>
      <c r="I1633" t="s">
        <v>4532</v>
      </c>
      <c r="J1633" s="37">
        <v>-0.1902</v>
      </c>
      <c r="K1633" t="s">
        <v>4533</v>
      </c>
      <c r="M1633" s="37">
        <v>1.21</v>
      </c>
      <c r="N1633" s="37">
        <v>0.3</v>
      </c>
      <c r="O1633">
        <v>1.21</v>
      </c>
      <c r="P1633" s="37">
        <v>1.028846</v>
      </c>
      <c r="Q1633">
        <v>1.03</v>
      </c>
      <c r="R1633">
        <v>4200</v>
      </c>
      <c r="S1633">
        <v>4200</v>
      </c>
      <c r="T1633">
        <v>5000</v>
      </c>
      <c r="U1633" t="s">
        <v>3350</v>
      </c>
      <c r="Z1633" s="37">
        <v>0.01</v>
      </c>
      <c r="AA1633" s="37">
        <v>0.35</v>
      </c>
      <c r="AB1633">
        <v>0</v>
      </c>
    </row>
    <row r="1634">
      <c r="A1634" t="s">
        <v>4527</v>
      </c>
      <c r="B1634" t="s">
        <v>954</v>
      </c>
      <c r="C1634" t="s">
        <v>954</v>
      </c>
      <c r="D1634" t="s">
        <v>3649</v>
      </c>
      <c r="E1634" t="s">
        <v>4528</v>
      </c>
      <c r="F1634" t="s">
        <v>298</v>
      </c>
      <c r="G1634" t="s">
        <v>4505</v>
      </c>
      <c r="H1634" t="s">
        <v>4512</v>
      </c>
      <c r="I1634" t="s">
        <v>4534</v>
      </c>
      <c r="J1634" t="s">
        <v>1590</v>
      </c>
      <c r="K1634" t="s">
        <v>3722</v>
      </c>
      <c r="M1634" s="37">
        <v>0.75</v>
      </c>
      <c r="N1634" s="37">
        <v>0.2</v>
      </c>
      <c r="O1634">
        <v>0.75</v>
      </c>
      <c r="P1634" s="37">
        <v>1.028846</v>
      </c>
      <c r="Q1634">
        <v>1.03</v>
      </c>
      <c r="R1634">
        <v>4200</v>
      </c>
      <c r="S1634">
        <v>4200</v>
      </c>
      <c r="T1634">
        <v>5000</v>
      </c>
      <c r="U1634" t="s">
        <v>3350</v>
      </c>
      <c r="Z1634" s="37">
        <v>0.01</v>
      </c>
      <c r="AA1634" s="37">
        <v>0.35</v>
      </c>
      <c r="AB1634">
        <v>0</v>
      </c>
    </row>
    <row r="1635">
      <c r="A1635" t="s">
        <v>4527</v>
      </c>
      <c r="B1635" t="s">
        <v>954</v>
      </c>
      <c r="C1635" t="s">
        <v>954</v>
      </c>
      <c r="D1635" t="s">
        <v>3649</v>
      </c>
      <c r="E1635" t="s">
        <v>4528</v>
      </c>
      <c r="F1635" t="s">
        <v>298</v>
      </c>
      <c r="G1635" t="s">
        <v>4505</v>
      </c>
      <c r="H1635" t="s">
        <v>4512</v>
      </c>
      <c r="I1635" t="s">
        <v>4535</v>
      </c>
      <c r="J1635" t="s">
        <v>706</v>
      </c>
      <c r="K1635" t="s">
        <v>4536</v>
      </c>
      <c r="M1635" s="37">
        <v>1</v>
      </c>
      <c r="N1635" s="37">
        <v>0.2</v>
      </c>
      <c r="O1635">
        <v>1</v>
      </c>
      <c r="P1635" s="37">
        <v>1.028846</v>
      </c>
      <c r="Q1635">
        <v>1.03</v>
      </c>
      <c r="R1635">
        <v>4200</v>
      </c>
      <c r="S1635">
        <v>4200</v>
      </c>
      <c r="T1635">
        <v>5000</v>
      </c>
      <c r="U1635" t="s">
        <v>3350</v>
      </c>
      <c r="Z1635" s="37">
        <v>0.01</v>
      </c>
      <c r="AA1635" s="37">
        <v>0.35</v>
      </c>
      <c r="AB1635">
        <v>0</v>
      </c>
    </row>
    <row r="1636">
      <c r="A1636" t="s">
        <v>4537</v>
      </c>
      <c r="B1636" t="s">
        <v>4394</v>
      </c>
      <c r="C1636" t="s">
        <v>4394</v>
      </c>
      <c r="D1636" t="s">
        <v>3649</v>
      </c>
      <c r="E1636" t="s">
        <v>4538</v>
      </c>
      <c r="F1636" t="s">
        <v>298</v>
      </c>
      <c r="G1636" t="s">
        <v>4505</v>
      </c>
      <c r="H1636" t="s">
        <v>4508</v>
      </c>
      <c r="I1636" t="s">
        <v>4539</v>
      </c>
      <c r="J1636" t="s">
        <v>4540</v>
      </c>
      <c r="K1636" t="s">
        <v>4541</v>
      </c>
      <c r="M1636" s="37">
        <v>1.5</v>
      </c>
      <c r="N1636" s="37">
        <v>0.3</v>
      </c>
      <c r="O1636">
        <v>1.5</v>
      </c>
      <c r="P1636" s="37">
        <v>1.191</v>
      </c>
      <c r="Q1636">
        <v>1.19</v>
      </c>
      <c r="R1636">
        <v>5400</v>
      </c>
      <c r="S1636">
        <v>5400</v>
      </c>
      <c r="T1636">
        <v>5000</v>
      </c>
      <c r="U1636" t="s">
        <v>3350</v>
      </c>
      <c r="Z1636" s="37">
        <v>0.01</v>
      </c>
      <c r="AA1636" s="37">
        <v>0.35</v>
      </c>
      <c r="AB1636">
        <v>0</v>
      </c>
    </row>
    <row r="1637">
      <c r="A1637" t="s">
        <v>4537</v>
      </c>
      <c r="B1637" t="s">
        <v>4394</v>
      </c>
      <c r="C1637" t="s">
        <v>4394</v>
      </c>
      <c r="D1637" t="s">
        <v>3649</v>
      </c>
      <c r="E1637" t="s">
        <v>4538</v>
      </c>
      <c r="F1637" t="s">
        <v>298</v>
      </c>
      <c r="G1637" t="s">
        <v>4505</v>
      </c>
      <c r="H1637" t="s">
        <v>4506</v>
      </c>
      <c r="I1637" t="s">
        <v>4542</v>
      </c>
      <c r="J1637" s="37">
        <v>-0.1143</v>
      </c>
      <c r="K1637" s="37">
        <v>-0.063</v>
      </c>
      <c r="M1637" s="37">
        <v>1.47</v>
      </c>
      <c r="N1637" s="37">
        <v>0.3</v>
      </c>
      <c r="O1637">
        <v>1.47</v>
      </c>
      <c r="P1637" s="37">
        <v>1.191</v>
      </c>
      <c r="Q1637">
        <v>1.19</v>
      </c>
      <c r="R1637">
        <v>5400</v>
      </c>
      <c r="S1637">
        <v>5400</v>
      </c>
      <c r="T1637">
        <v>5000</v>
      </c>
      <c r="U1637" t="s">
        <v>3350</v>
      </c>
      <c r="Z1637" s="37">
        <v>0.01</v>
      </c>
      <c r="AA1637" s="37">
        <v>0.35</v>
      </c>
      <c r="AB1637">
        <v>0</v>
      </c>
    </row>
    <row r="1638">
      <c r="A1638" t="s">
        <v>4537</v>
      </c>
      <c r="B1638" t="s">
        <v>4394</v>
      </c>
      <c r="C1638" t="s">
        <v>4394</v>
      </c>
      <c r="D1638" t="s">
        <v>3649</v>
      </c>
      <c r="E1638" t="s">
        <v>4538</v>
      </c>
      <c r="F1638" t="s">
        <v>298</v>
      </c>
      <c r="G1638" t="s">
        <v>4505</v>
      </c>
      <c r="H1638" t="s">
        <v>4508</v>
      </c>
      <c r="I1638" t="s">
        <v>4543</v>
      </c>
      <c r="J1638" t="s">
        <v>4544</v>
      </c>
      <c r="K1638" t="s">
        <v>4545</v>
      </c>
      <c r="M1638" s="37">
        <v>1.5</v>
      </c>
      <c r="N1638" s="37">
        <v>0.2</v>
      </c>
      <c r="O1638">
        <v>1.5</v>
      </c>
      <c r="P1638" s="37">
        <v>1.191</v>
      </c>
      <c r="Q1638">
        <v>1.19</v>
      </c>
      <c r="R1638">
        <v>5400</v>
      </c>
      <c r="S1638">
        <v>5400</v>
      </c>
      <c r="T1638">
        <v>5000</v>
      </c>
      <c r="U1638" t="s">
        <v>3350</v>
      </c>
      <c r="Z1638" s="37">
        <v>0.01</v>
      </c>
      <c r="AA1638" s="37">
        <v>0.35</v>
      </c>
      <c r="AB1638">
        <v>0</v>
      </c>
    </row>
    <row r="1639">
      <c r="A1639" t="s">
        <v>4537</v>
      </c>
      <c r="B1639" t="s">
        <v>4394</v>
      </c>
      <c r="C1639" t="s">
        <v>4394</v>
      </c>
      <c r="D1639" t="s">
        <v>3649</v>
      </c>
      <c r="E1639" t="s">
        <v>4538</v>
      </c>
      <c r="F1639" t="s">
        <v>298</v>
      </c>
      <c r="G1639" t="s">
        <v>4505</v>
      </c>
      <c r="H1639" t="s">
        <v>4506</v>
      </c>
      <c r="I1639" t="s">
        <v>4546</v>
      </c>
      <c r="J1639" t="s">
        <v>984</v>
      </c>
      <c r="K1639" t="s">
        <v>4547</v>
      </c>
      <c r="L1639" t="s">
        <v>4548</v>
      </c>
      <c r="M1639" s="37">
        <v>0</v>
      </c>
      <c r="N1639" s="37">
        <v>0.2</v>
      </c>
      <c r="O1639">
        <v>0</v>
      </c>
      <c r="P1639" s="37">
        <v>1.191</v>
      </c>
      <c r="Q1639">
        <v>1.19</v>
      </c>
      <c r="R1639">
        <v>5400</v>
      </c>
      <c r="S1639">
        <v>5400</v>
      </c>
      <c r="T1639">
        <v>5000</v>
      </c>
      <c r="U1639" t="s">
        <v>3350</v>
      </c>
      <c r="Z1639" s="37">
        <v>0.01</v>
      </c>
      <c r="AA1639" s="37">
        <v>0.35</v>
      </c>
      <c r="AB1639">
        <v>0</v>
      </c>
    </row>
    <row r="1640">
      <c r="A1640" t="s">
        <v>4549</v>
      </c>
      <c r="B1640" t="s">
        <v>3475</v>
      </c>
      <c r="C1640" t="s">
        <v>3475</v>
      </c>
      <c r="D1640" t="s">
        <v>3673</v>
      </c>
      <c r="E1640" t="s">
        <v>4550</v>
      </c>
      <c r="F1640" t="s">
        <v>298</v>
      </c>
      <c r="G1640" t="s">
        <v>4505</v>
      </c>
      <c r="H1640" t="s">
        <v>4508</v>
      </c>
      <c r="I1640" t="s">
        <v>4551</v>
      </c>
      <c r="J1640" t="s">
        <v>4552</v>
      </c>
      <c r="K1640" t="s">
        <v>4553</v>
      </c>
      <c r="L1640" t="s">
        <v>4554</v>
      </c>
      <c r="M1640" s="37">
        <v>0.7685</v>
      </c>
      <c r="N1640" s="37">
        <v>0.3</v>
      </c>
      <c r="O1640">
        <v>0.7685</v>
      </c>
      <c r="P1640" s="37">
        <v>0.95575</v>
      </c>
      <c r="Q1640">
        <v>0.7</v>
      </c>
      <c r="R1640">
        <v>0</v>
      </c>
      <c r="S1640">
        <v>0</v>
      </c>
      <c r="T1640">
        <v>5000</v>
      </c>
      <c r="U1640" t="s">
        <v>3350</v>
      </c>
      <c r="Z1640" s="37">
        <v>0.01</v>
      </c>
      <c r="AA1640" s="37">
        <v>0.35</v>
      </c>
      <c r="AB1640">
        <v>0</v>
      </c>
    </row>
    <row r="1641">
      <c r="A1641" t="s">
        <v>4549</v>
      </c>
      <c r="B1641" t="s">
        <v>3475</v>
      </c>
      <c r="C1641" t="s">
        <v>3475</v>
      </c>
      <c r="D1641" t="s">
        <v>3673</v>
      </c>
      <c r="E1641" t="s">
        <v>4550</v>
      </c>
      <c r="F1641" t="s">
        <v>298</v>
      </c>
      <c r="G1641" t="s">
        <v>4505</v>
      </c>
      <c r="H1641" t="s">
        <v>4506</v>
      </c>
      <c r="I1641" t="s">
        <v>4555</v>
      </c>
      <c r="J1641" t="s">
        <v>4556</v>
      </c>
      <c r="K1641" t="s">
        <v>4557</v>
      </c>
      <c r="L1641" t="s">
        <v>4558</v>
      </c>
      <c r="M1641" s="37">
        <v>1.48</v>
      </c>
      <c r="N1641" s="37">
        <v>0.3</v>
      </c>
      <c r="O1641">
        <v>1</v>
      </c>
      <c r="P1641" s="37">
        <v>0.95575</v>
      </c>
      <c r="Q1641">
        <v>0.7</v>
      </c>
      <c r="R1641">
        <v>0</v>
      </c>
      <c r="S1641">
        <v>0</v>
      </c>
      <c r="T1641">
        <v>5000</v>
      </c>
      <c r="U1641" t="s">
        <v>3350</v>
      </c>
      <c r="Z1641" s="37">
        <v>0.01</v>
      </c>
      <c r="AA1641" s="37">
        <v>0.35</v>
      </c>
      <c r="AB1641">
        <v>0</v>
      </c>
    </row>
    <row r="1642">
      <c r="A1642" t="s">
        <v>4549</v>
      </c>
      <c r="B1642" t="s">
        <v>3475</v>
      </c>
      <c r="C1642" t="s">
        <v>3475</v>
      </c>
      <c r="D1642" t="s">
        <v>3673</v>
      </c>
      <c r="E1642" t="s">
        <v>4550</v>
      </c>
      <c r="F1642" t="s">
        <v>298</v>
      </c>
      <c r="G1642" t="s">
        <v>4505</v>
      </c>
      <c r="H1642" t="s">
        <v>4512</v>
      </c>
      <c r="I1642" t="s">
        <v>4559</v>
      </c>
      <c r="J1642">
        <v>1</v>
      </c>
      <c r="K1642" s="38">
        <v>0.74</v>
      </c>
      <c r="L1642" t="s">
        <v>4560</v>
      </c>
      <c r="M1642" s="37">
        <v>0.74</v>
      </c>
      <c r="N1642" s="37">
        <v>0.2</v>
      </c>
      <c r="O1642">
        <v>0</v>
      </c>
      <c r="P1642" s="37">
        <v>0.95575</v>
      </c>
      <c r="Q1642">
        <v>0.7</v>
      </c>
      <c r="R1642">
        <v>0</v>
      </c>
      <c r="S1642">
        <v>0</v>
      </c>
      <c r="T1642">
        <v>5000</v>
      </c>
      <c r="U1642" t="s">
        <v>3350</v>
      </c>
      <c r="Z1642" s="37">
        <v>0.01</v>
      </c>
      <c r="AA1642" s="37">
        <v>0.35</v>
      </c>
      <c r="AB1642">
        <v>0</v>
      </c>
    </row>
    <row r="1643">
      <c r="A1643" t="s">
        <v>4549</v>
      </c>
      <c r="B1643" t="s">
        <v>3475</v>
      </c>
      <c r="C1643" t="s">
        <v>3475</v>
      </c>
      <c r="D1643" t="s">
        <v>3673</v>
      </c>
      <c r="E1643" t="s">
        <v>4550</v>
      </c>
      <c r="F1643" t="s">
        <v>298</v>
      </c>
      <c r="G1643" t="s">
        <v>4505</v>
      </c>
      <c r="H1643" t="s">
        <v>4512</v>
      </c>
      <c r="I1643" t="s">
        <v>4561</v>
      </c>
      <c r="J1643">
        <v>1</v>
      </c>
      <c r="K1643" s="37">
        <v>0.666</v>
      </c>
      <c r="L1643" t="s">
        <v>3485</v>
      </c>
      <c r="M1643" s="37">
        <v>0.666</v>
      </c>
      <c r="N1643" s="37">
        <v>0.2</v>
      </c>
      <c r="O1643">
        <v>0.66</v>
      </c>
      <c r="P1643" s="37">
        <v>0.95575</v>
      </c>
      <c r="Q1643">
        <v>0.7</v>
      </c>
      <c r="R1643">
        <v>0</v>
      </c>
      <c r="S1643">
        <v>0</v>
      </c>
      <c r="T1643">
        <v>5000</v>
      </c>
      <c r="U1643" t="s">
        <v>3350</v>
      </c>
      <c r="Z1643" s="37">
        <v>0.01</v>
      </c>
      <c r="AA1643" s="37">
        <v>0.35</v>
      </c>
      <c r="AB1643">
        <v>0</v>
      </c>
    </row>
    <row r="1644">
      <c r="A1644" t="s">
        <v>4562</v>
      </c>
      <c r="B1644" t="s">
        <v>4563</v>
      </c>
      <c r="C1644" t="s">
        <v>4563</v>
      </c>
      <c r="D1644" t="s">
        <v>3649</v>
      </c>
      <c r="E1644" t="s">
        <v>4564</v>
      </c>
      <c r="F1644" t="s">
        <v>298</v>
      </c>
      <c r="G1644" t="s">
        <v>4505</v>
      </c>
      <c r="H1644" t="s">
        <v>4508</v>
      </c>
      <c r="I1644" t="s">
        <v>4565</v>
      </c>
      <c r="J1644" t="s">
        <v>4566</v>
      </c>
      <c r="K1644" t="s">
        <v>4567</v>
      </c>
      <c r="L1644" t="s">
        <v>4568</v>
      </c>
      <c r="M1644" s="37">
        <v>0.234</v>
      </c>
      <c r="N1644" s="37">
        <v>0.3</v>
      </c>
      <c r="O1644">
        <v>0.23</v>
      </c>
      <c r="P1644" s="37">
        <v>0.1702</v>
      </c>
      <c r="Q1644">
        <v>0.17</v>
      </c>
      <c r="R1644">
        <v>0</v>
      </c>
      <c r="S1644">
        <v>0</v>
      </c>
      <c r="T1644">
        <v>5000</v>
      </c>
      <c r="U1644" t="s">
        <v>3350</v>
      </c>
      <c r="Z1644" s="37">
        <v>0.01</v>
      </c>
      <c r="AA1644" s="37">
        <v>0.35</v>
      </c>
      <c r="AB1644">
        <v>0</v>
      </c>
    </row>
    <row r="1645">
      <c r="A1645" t="s">
        <v>4562</v>
      </c>
      <c r="B1645" t="s">
        <v>4563</v>
      </c>
      <c r="C1645" t="s">
        <v>4563</v>
      </c>
      <c r="D1645" t="s">
        <v>3649</v>
      </c>
      <c r="E1645" t="s">
        <v>4564</v>
      </c>
      <c r="F1645" t="s">
        <v>298</v>
      </c>
      <c r="G1645" t="s">
        <v>4505</v>
      </c>
      <c r="H1645" t="s">
        <v>4512</v>
      </c>
      <c r="I1645" t="s">
        <v>4569</v>
      </c>
      <c r="J1645" s="38">
        <v>0.8</v>
      </c>
      <c r="K1645" s="37">
        <v>0.0029</v>
      </c>
      <c r="L1645" t="s">
        <v>4570</v>
      </c>
      <c r="M1645" s="37">
        <v>0</v>
      </c>
      <c r="N1645" s="37">
        <v>0.2</v>
      </c>
      <c r="O1645">
        <v>0</v>
      </c>
      <c r="P1645" s="37">
        <v>0.1702</v>
      </c>
      <c r="Q1645">
        <v>0.17</v>
      </c>
      <c r="R1645">
        <v>0</v>
      </c>
      <c r="S1645">
        <v>0</v>
      </c>
      <c r="T1645">
        <v>5000</v>
      </c>
      <c r="U1645" t="s">
        <v>3350</v>
      </c>
      <c r="Z1645" s="37">
        <v>0.01</v>
      </c>
      <c r="AA1645" s="37">
        <v>0.35</v>
      </c>
      <c r="AB1645">
        <v>0</v>
      </c>
    </row>
    <row r="1646">
      <c r="A1646" t="s">
        <v>4562</v>
      </c>
      <c r="B1646" t="s">
        <v>4563</v>
      </c>
      <c r="C1646" t="s">
        <v>4563</v>
      </c>
      <c r="D1646" t="s">
        <v>3649</v>
      </c>
      <c r="E1646" t="s">
        <v>4564</v>
      </c>
      <c r="F1646" t="s">
        <v>298</v>
      </c>
      <c r="G1646" t="s">
        <v>4505</v>
      </c>
      <c r="H1646" t="s">
        <v>4512</v>
      </c>
      <c r="I1646" t="s">
        <v>4571</v>
      </c>
      <c r="J1646" t="s">
        <v>969</v>
      </c>
      <c r="K1646" t="s">
        <v>1041</v>
      </c>
      <c r="L1646" t="s">
        <v>4570</v>
      </c>
      <c r="M1646" s="37">
        <v>0</v>
      </c>
      <c r="N1646" s="37">
        <v>0.3</v>
      </c>
      <c r="O1646">
        <v>0</v>
      </c>
      <c r="P1646" s="37">
        <v>0.1702</v>
      </c>
      <c r="Q1646">
        <v>0.17</v>
      </c>
      <c r="R1646">
        <v>0</v>
      </c>
      <c r="S1646">
        <v>0</v>
      </c>
      <c r="T1646">
        <v>5000</v>
      </c>
      <c r="U1646" t="s">
        <v>3350</v>
      </c>
      <c r="Z1646" s="37">
        <v>0.01</v>
      </c>
      <c r="AA1646" s="37">
        <v>0.35</v>
      </c>
      <c r="AB1646">
        <v>0</v>
      </c>
    </row>
    <row r="1647">
      <c r="A1647" t="s">
        <v>4562</v>
      </c>
      <c r="B1647" t="s">
        <v>4563</v>
      </c>
      <c r="C1647" t="s">
        <v>4563</v>
      </c>
      <c r="D1647" t="s">
        <v>3649</v>
      </c>
      <c r="E1647" t="s">
        <v>4564</v>
      </c>
      <c r="F1647" t="s">
        <v>298</v>
      </c>
      <c r="G1647" t="s">
        <v>4505</v>
      </c>
      <c r="H1647" t="s">
        <v>4572</v>
      </c>
      <c r="I1647" t="s">
        <v>4573</v>
      </c>
      <c r="L1647" t="s">
        <v>4574</v>
      </c>
      <c r="M1647" s="37">
        <v>0.5</v>
      </c>
      <c r="N1647" s="37">
        <v>0.2</v>
      </c>
      <c r="O1647">
        <v>0.5</v>
      </c>
      <c r="P1647" s="37">
        <v>0.1702</v>
      </c>
      <c r="Q1647">
        <v>0.17</v>
      </c>
      <c r="R1647">
        <v>0</v>
      </c>
      <c r="S1647">
        <v>0</v>
      </c>
      <c r="T1647">
        <v>5000</v>
      </c>
      <c r="U1647" t="s">
        <v>3350</v>
      </c>
      <c r="Z1647" s="37">
        <v>0.01</v>
      </c>
      <c r="AA1647" s="37">
        <v>0.35</v>
      </c>
      <c r="AB1647">
        <v>0</v>
      </c>
    </row>
    <row r="1648">
      <c r="A1648" t="s">
        <v>4575</v>
      </c>
      <c r="B1648" t="s">
        <v>3113</v>
      </c>
      <c r="C1648" t="s">
        <v>3113</v>
      </c>
      <c r="D1648" t="s">
        <v>3460</v>
      </c>
      <c r="E1648" t="s">
        <v>4576</v>
      </c>
      <c r="F1648" t="s">
        <v>298</v>
      </c>
      <c r="G1648" t="s">
        <v>4577</v>
      </c>
      <c r="H1648" t="s">
        <v>4578</v>
      </c>
      <c r="I1648" t="s">
        <v>4579</v>
      </c>
      <c r="J1648" t="s">
        <v>2387</v>
      </c>
      <c r="K1648" t="s">
        <v>4580</v>
      </c>
      <c r="L1648" t="s">
        <v>4574</v>
      </c>
      <c r="M1648" s="37">
        <v>1.09</v>
      </c>
      <c r="N1648" s="37">
        <v>0.4</v>
      </c>
      <c r="O1648">
        <v>1.09</v>
      </c>
      <c r="P1648" s="37">
        <v>0.836</v>
      </c>
      <c r="Q1648">
        <v>0.84</v>
      </c>
      <c r="R1648">
        <v>419</v>
      </c>
      <c r="S1648">
        <v>419</v>
      </c>
      <c r="T1648">
        <v>500</v>
      </c>
      <c r="U1648" t="s">
        <v>4579</v>
      </c>
      <c r="X1648">
        <v>54.8</v>
      </c>
      <c r="Z1648" s="37">
        <v>1.09</v>
      </c>
      <c r="AA1648" s="37">
        <v>0.4</v>
      </c>
      <c r="AB1648">
        <v>0</v>
      </c>
    </row>
    <row r="1649">
      <c r="A1649" t="s">
        <v>4575</v>
      </c>
      <c r="B1649" t="s">
        <v>3113</v>
      </c>
      <c r="C1649" t="s">
        <v>3113</v>
      </c>
      <c r="D1649" t="s">
        <v>3460</v>
      </c>
      <c r="E1649" t="s">
        <v>4576</v>
      </c>
      <c r="F1649" t="s">
        <v>298</v>
      </c>
      <c r="G1649" t="s">
        <v>4577</v>
      </c>
      <c r="H1649" t="s">
        <v>4578</v>
      </c>
      <c r="I1649" t="s">
        <v>4581</v>
      </c>
      <c r="J1649" t="s">
        <v>1035</v>
      </c>
      <c r="K1649" t="s">
        <v>817</v>
      </c>
      <c r="L1649" t="s">
        <v>4574</v>
      </c>
      <c r="M1649" s="37">
        <v>0</v>
      </c>
      <c r="N1649" s="37">
        <v>0.2</v>
      </c>
      <c r="O1649">
        <v>0</v>
      </c>
      <c r="P1649" s="37">
        <v>0.836</v>
      </c>
      <c r="Q1649">
        <v>0.84</v>
      </c>
      <c r="R1649">
        <v>419</v>
      </c>
      <c r="S1649">
        <v>419</v>
      </c>
      <c r="T1649">
        <v>500</v>
      </c>
      <c r="U1649" t="s">
        <v>4581</v>
      </c>
      <c r="X1649">
        <v>0</v>
      </c>
      <c r="Z1649" s="37">
        <v>0</v>
      </c>
      <c r="AA1649" s="37">
        <v>0.2</v>
      </c>
      <c r="AB1649">
        <v>0</v>
      </c>
    </row>
    <row r="1650">
      <c r="A1650" t="s">
        <v>4575</v>
      </c>
      <c r="B1650" t="s">
        <v>3113</v>
      </c>
      <c r="C1650" t="s">
        <v>3113</v>
      </c>
      <c r="D1650" t="s">
        <v>3460</v>
      </c>
      <c r="E1650" t="s">
        <v>4576</v>
      </c>
      <c r="F1650" t="s">
        <v>298</v>
      </c>
      <c r="G1650" t="s">
        <v>4577</v>
      </c>
      <c r="H1650" t="s">
        <v>4578</v>
      </c>
      <c r="I1650" t="s">
        <v>4582</v>
      </c>
      <c r="J1650" t="s">
        <v>706</v>
      </c>
      <c r="K1650" t="s">
        <v>706</v>
      </c>
      <c r="L1650" t="s">
        <v>4574</v>
      </c>
      <c r="M1650" s="37">
        <v>1</v>
      </c>
      <c r="N1650" s="37">
        <v>0.4</v>
      </c>
      <c r="O1650">
        <v>1</v>
      </c>
      <c r="P1650" s="37">
        <v>0.836</v>
      </c>
      <c r="Q1650">
        <v>0.84</v>
      </c>
      <c r="R1650">
        <v>419</v>
      </c>
      <c r="S1650">
        <v>419</v>
      </c>
      <c r="T1650">
        <v>500</v>
      </c>
      <c r="U1650" t="s">
        <v>4582</v>
      </c>
      <c r="X1650">
        <v>3</v>
      </c>
      <c r="Z1650" s="37">
        <v>1</v>
      </c>
      <c r="AA1650" s="37">
        <v>0.4</v>
      </c>
      <c r="AB1650">
        <v>0</v>
      </c>
    </row>
    <row r="1651">
      <c r="A1651" t="s">
        <v>4583</v>
      </c>
      <c r="B1651" t="s">
        <v>3113</v>
      </c>
      <c r="C1651" t="s">
        <v>3113</v>
      </c>
      <c r="D1651" t="s">
        <v>3460</v>
      </c>
      <c r="E1651" t="s">
        <v>4584</v>
      </c>
      <c r="F1651" t="s">
        <v>298</v>
      </c>
      <c r="G1651" t="s">
        <v>4577</v>
      </c>
      <c r="H1651" t="s">
        <v>4578</v>
      </c>
      <c r="I1651" t="s">
        <v>4585</v>
      </c>
      <c r="J1651" t="s">
        <v>1401</v>
      </c>
      <c r="K1651" t="s">
        <v>1459</v>
      </c>
      <c r="L1651" t="s">
        <v>4586</v>
      </c>
      <c r="M1651" s="37">
        <v>0.6</v>
      </c>
      <c r="N1651" s="37">
        <v>0.4</v>
      </c>
      <c r="O1651">
        <v>0.6</v>
      </c>
      <c r="P1651" s="37">
        <v>0.84</v>
      </c>
      <c r="Q1651">
        <v>0.84</v>
      </c>
      <c r="R1651">
        <v>420</v>
      </c>
      <c r="S1651">
        <v>420</v>
      </c>
      <c r="T1651">
        <v>500</v>
      </c>
      <c r="U1651" t="s">
        <v>4585</v>
      </c>
      <c r="V1651" t="s">
        <v>4587</v>
      </c>
      <c r="W1651" t="s">
        <v>1401</v>
      </c>
      <c r="X1651" t="s">
        <v>1459</v>
      </c>
      <c r="Z1651" s="37">
        <v>0.6</v>
      </c>
      <c r="AA1651" s="37">
        <v>0.4</v>
      </c>
      <c r="AB1651">
        <v>0</v>
      </c>
    </row>
    <row r="1652">
      <c r="A1652" t="s">
        <v>4583</v>
      </c>
      <c r="B1652" t="s">
        <v>3113</v>
      </c>
      <c r="C1652" t="s">
        <v>3113</v>
      </c>
      <c r="D1652" t="s">
        <v>3460</v>
      </c>
      <c r="E1652" t="s">
        <v>4584</v>
      </c>
      <c r="F1652" t="s">
        <v>298</v>
      </c>
      <c r="G1652" t="s">
        <v>4577</v>
      </c>
      <c r="H1652" t="s">
        <v>4588</v>
      </c>
      <c r="I1652" t="s">
        <v>4589</v>
      </c>
      <c r="L1652" t="s">
        <v>4590</v>
      </c>
      <c r="M1652" s="37">
        <v>1</v>
      </c>
      <c r="N1652" s="37">
        <v>0.3</v>
      </c>
      <c r="O1652">
        <v>1</v>
      </c>
      <c r="P1652" s="37">
        <v>0.84</v>
      </c>
      <c r="Q1652">
        <v>0.84</v>
      </c>
      <c r="R1652">
        <v>420</v>
      </c>
      <c r="S1652">
        <v>420</v>
      </c>
      <c r="T1652">
        <v>500</v>
      </c>
      <c r="U1652" t="s">
        <v>4585</v>
      </c>
      <c r="V1652" t="s">
        <v>4587</v>
      </c>
      <c r="W1652" t="s">
        <v>1401</v>
      </c>
      <c r="X1652" t="s">
        <v>1459</v>
      </c>
      <c r="Z1652" s="37">
        <v>0.6</v>
      </c>
      <c r="AA1652" s="37">
        <v>0.4</v>
      </c>
      <c r="AB1652">
        <v>0</v>
      </c>
    </row>
    <row r="1653">
      <c r="A1653" t="s">
        <v>4583</v>
      </c>
      <c r="B1653" t="s">
        <v>3113</v>
      </c>
      <c r="C1653" t="s">
        <v>3113</v>
      </c>
      <c r="D1653" t="s">
        <v>3460</v>
      </c>
      <c r="E1653" t="s">
        <v>4584</v>
      </c>
      <c r="F1653" t="s">
        <v>298</v>
      </c>
      <c r="G1653" t="s">
        <v>4577</v>
      </c>
      <c r="H1653" t="s">
        <v>4588</v>
      </c>
      <c r="I1653" t="s">
        <v>4591</v>
      </c>
      <c r="L1653" t="s">
        <v>4590</v>
      </c>
      <c r="M1653" s="37">
        <v>1</v>
      </c>
      <c r="N1653" s="37">
        <v>0.3</v>
      </c>
      <c r="O1653">
        <v>1</v>
      </c>
      <c r="P1653" s="37">
        <v>0.84</v>
      </c>
      <c r="Q1653">
        <v>0.84</v>
      </c>
      <c r="R1653">
        <v>420</v>
      </c>
      <c r="S1653">
        <v>420</v>
      </c>
      <c r="T1653">
        <v>500</v>
      </c>
      <c r="U1653" t="s">
        <v>4585</v>
      </c>
      <c r="V1653" t="s">
        <v>4587</v>
      </c>
      <c r="W1653" t="s">
        <v>1401</v>
      </c>
      <c r="X1653" t="s">
        <v>1459</v>
      </c>
      <c r="Z1653" s="37">
        <v>0.6</v>
      </c>
      <c r="AA1653" s="37">
        <v>0.4</v>
      </c>
      <c r="AB1653">
        <v>0</v>
      </c>
    </row>
    <row r="1654">
      <c r="A1654" t="s">
        <v>4592</v>
      </c>
      <c r="B1654" t="s">
        <v>3113</v>
      </c>
      <c r="C1654" t="s">
        <v>3113</v>
      </c>
      <c r="D1654" t="s">
        <v>3460</v>
      </c>
      <c r="E1654" t="s">
        <v>4593</v>
      </c>
      <c r="F1654" t="s">
        <v>298</v>
      </c>
      <c r="G1654" t="s">
        <v>4577</v>
      </c>
      <c r="H1654" t="s">
        <v>4578</v>
      </c>
      <c r="I1654" t="s">
        <v>4594</v>
      </c>
      <c r="J1654" t="s">
        <v>1311</v>
      </c>
      <c r="K1654" t="s">
        <v>1780</v>
      </c>
      <c r="L1654" t="s">
        <v>4590</v>
      </c>
      <c r="M1654" s="37">
        <v>0.45</v>
      </c>
      <c r="N1654" s="37">
        <v>0.4</v>
      </c>
      <c r="O1654">
        <v>0.45</v>
      </c>
      <c r="P1654" s="37">
        <v>0.5272</v>
      </c>
      <c r="Q1654">
        <v>0.53</v>
      </c>
      <c r="R1654">
        <v>263.5</v>
      </c>
      <c r="S1654">
        <v>263.5</v>
      </c>
      <c r="T1654">
        <v>500</v>
      </c>
      <c r="U1654" t="s">
        <v>4594</v>
      </c>
      <c r="W1654" t="s">
        <v>1311</v>
      </c>
      <c r="X1654" t="s">
        <v>1780</v>
      </c>
      <c r="Z1654" s="37">
        <v>0.45</v>
      </c>
      <c r="AA1654" s="37">
        <v>0.4</v>
      </c>
      <c r="AB1654">
        <v>18</v>
      </c>
    </row>
    <row r="1655">
      <c r="A1655" t="s">
        <v>4592</v>
      </c>
      <c r="B1655" t="s">
        <v>3113</v>
      </c>
      <c r="C1655" t="s">
        <v>3113</v>
      </c>
      <c r="D1655" t="s">
        <v>3460</v>
      </c>
      <c r="E1655" t="s">
        <v>4593</v>
      </c>
      <c r="F1655" t="s">
        <v>298</v>
      </c>
      <c r="G1655" t="s">
        <v>4577</v>
      </c>
      <c r="H1655" t="s">
        <v>4578</v>
      </c>
      <c r="I1655" t="s">
        <v>4595</v>
      </c>
      <c r="J1655" t="s">
        <v>4596</v>
      </c>
      <c r="K1655" t="s">
        <v>4597</v>
      </c>
      <c r="L1655" t="s">
        <v>4590</v>
      </c>
      <c r="M1655" s="37">
        <v>0.868</v>
      </c>
      <c r="N1655" s="37">
        <v>0.4</v>
      </c>
      <c r="O1655">
        <v>0.868</v>
      </c>
      <c r="P1655" s="37">
        <v>0.5272</v>
      </c>
      <c r="Q1655">
        <v>0.53</v>
      </c>
      <c r="R1655">
        <v>263.5</v>
      </c>
      <c r="S1655">
        <v>263.5</v>
      </c>
      <c r="T1655">
        <v>500</v>
      </c>
      <c r="U1655" t="s">
        <v>4595</v>
      </c>
      <c r="W1655" t="s">
        <v>4596</v>
      </c>
      <c r="X1655" t="s">
        <v>4597</v>
      </c>
      <c r="Z1655" s="37">
        <v>0.868</v>
      </c>
      <c r="AA1655" s="37">
        <v>0.4</v>
      </c>
      <c r="AB1655">
        <v>34.72</v>
      </c>
    </row>
    <row r="1656">
      <c r="A1656" t="s">
        <v>4592</v>
      </c>
      <c r="B1656" t="s">
        <v>3113</v>
      </c>
      <c r="C1656" t="s">
        <v>3113</v>
      </c>
      <c r="D1656" t="s">
        <v>3460</v>
      </c>
      <c r="E1656" t="s">
        <v>4593</v>
      </c>
      <c r="F1656" t="s">
        <v>298</v>
      </c>
      <c r="G1656" t="s">
        <v>4577</v>
      </c>
      <c r="H1656" t="s">
        <v>4578</v>
      </c>
      <c r="I1656" t="s">
        <v>4598</v>
      </c>
      <c r="J1656" t="s">
        <v>1035</v>
      </c>
      <c r="K1656" t="s">
        <v>817</v>
      </c>
      <c r="L1656" t="s">
        <v>4590</v>
      </c>
      <c r="M1656" s="37">
        <v>0</v>
      </c>
      <c r="N1656" s="37">
        <v>0.2</v>
      </c>
      <c r="O1656">
        <v>0</v>
      </c>
      <c r="P1656" s="37">
        <v>0.5272</v>
      </c>
      <c r="Q1656">
        <v>0.53</v>
      </c>
      <c r="R1656">
        <v>263.5</v>
      </c>
      <c r="S1656">
        <v>263.5</v>
      </c>
      <c r="T1656">
        <v>500</v>
      </c>
      <c r="U1656" t="s">
        <v>4598</v>
      </c>
      <c r="W1656" t="s">
        <v>1035</v>
      </c>
      <c r="X1656" t="s">
        <v>817</v>
      </c>
      <c r="Z1656" s="37">
        <v>0</v>
      </c>
      <c r="AA1656" s="37">
        <v>0.2</v>
      </c>
      <c r="AB1656">
        <v>0</v>
      </c>
    </row>
    <row r="1657">
      <c r="A1657" t="s">
        <v>4599</v>
      </c>
      <c r="B1657" t="s">
        <v>3442</v>
      </c>
      <c r="C1657" t="s">
        <v>3442</v>
      </c>
      <c r="D1657" t="s">
        <v>841</v>
      </c>
      <c r="E1657" t="s">
        <v>4600</v>
      </c>
      <c r="F1657" t="s">
        <v>298</v>
      </c>
      <c r="G1657" t="s">
        <v>4601</v>
      </c>
      <c r="H1657" t="s">
        <v>4602</v>
      </c>
      <c r="I1657" t="s">
        <v>4603</v>
      </c>
      <c r="J1657">
        <v>1</v>
      </c>
      <c r="K1657">
        <v>1.82</v>
      </c>
      <c r="L1657" t="s">
        <v>4604</v>
      </c>
      <c r="M1657" s="37">
        <v>1.82</v>
      </c>
      <c r="N1657" s="37">
        <v>0.3</v>
      </c>
      <c r="O1657">
        <v>1.5</v>
      </c>
      <c r="P1657" s="37">
        <v>1.346</v>
      </c>
      <c r="Q1657">
        <v>1.35</v>
      </c>
      <c r="R1657">
        <v>6000</v>
      </c>
      <c r="S1657">
        <v>6000</v>
      </c>
      <c r="T1657">
        <v>5000</v>
      </c>
      <c r="U1657" t="s">
        <v>4598</v>
      </c>
      <c r="W1657" t="s">
        <v>1035</v>
      </c>
      <c r="X1657" t="s">
        <v>817</v>
      </c>
      <c r="Z1657" s="37">
        <v>0</v>
      </c>
      <c r="AA1657" s="37">
        <v>0.2</v>
      </c>
      <c r="AB1657">
        <v>0</v>
      </c>
    </row>
    <row r="1658">
      <c r="A1658" t="s">
        <v>4599</v>
      </c>
      <c r="B1658" t="s">
        <v>3442</v>
      </c>
      <c r="C1658" t="s">
        <v>3442</v>
      </c>
      <c r="D1658" t="s">
        <v>841</v>
      </c>
      <c r="E1658" t="s">
        <v>4600</v>
      </c>
      <c r="F1658" t="s">
        <v>298</v>
      </c>
      <c r="G1658" t="s">
        <v>4601</v>
      </c>
      <c r="H1658" t="s">
        <v>4605</v>
      </c>
      <c r="I1658" t="s">
        <v>4606</v>
      </c>
      <c r="J1658" t="s">
        <v>980</v>
      </c>
      <c r="L1658" t="s">
        <v>4607</v>
      </c>
      <c r="M1658" s="37">
        <v>1</v>
      </c>
      <c r="N1658" s="37">
        <v>0.2</v>
      </c>
      <c r="O1658">
        <v>1.2</v>
      </c>
      <c r="P1658" s="37">
        <v>1.346</v>
      </c>
      <c r="Q1658">
        <v>1.35</v>
      </c>
      <c r="R1658">
        <v>6000</v>
      </c>
      <c r="S1658">
        <v>6000</v>
      </c>
      <c r="T1658">
        <v>5000</v>
      </c>
      <c r="U1658" t="s">
        <v>4598</v>
      </c>
      <c r="W1658" t="s">
        <v>1035</v>
      </c>
      <c r="X1658" t="s">
        <v>817</v>
      </c>
      <c r="Z1658" s="37">
        <v>0</v>
      </c>
      <c r="AA1658" s="37">
        <v>0.2</v>
      </c>
      <c r="AB1658">
        <v>0</v>
      </c>
    </row>
    <row r="1659">
      <c r="A1659" t="s">
        <v>4599</v>
      </c>
      <c r="B1659" t="s">
        <v>3442</v>
      </c>
      <c r="C1659" t="s">
        <v>3442</v>
      </c>
      <c r="D1659" t="s">
        <v>841</v>
      </c>
      <c r="E1659" t="s">
        <v>4600</v>
      </c>
      <c r="F1659" t="s">
        <v>298</v>
      </c>
      <c r="G1659" t="s">
        <v>4601</v>
      </c>
      <c r="H1659" t="s">
        <v>4608</v>
      </c>
      <c r="I1659" t="s">
        <v>4609</v>
      </c>
      <c r="J1659">
        <v>1</v>
      </c>
      <c r="K1659">
        <v>1.5</v>
      </c>
      <c r="L1659" t="s">
        <v>4610</v>
      </c>
      <c r="M1659" s="37">
        <v>1.5</v>
      </c>
      <c r="N1659" s="37">
        <v>0.2</v>
      </c>
      <c r="O1659">
        <v>1.5</v>
      </c>
      <c r="P1659" s="37">
        <v>1.346</v>
      </c>
      <c r="Q1659">
        <v>1.35</v>
      </c>
      <c r="R1659">
        <v>6000</v>
      </c>
      <c r="S1659">
        <v>6000</v>
      </c>
      <c r="T1659">
        <v>5000</v>
      </c>
      <c r="U1659" t="s">
        <v>4598</v>
      </c>
      <c r="W1659" t="s">
        <v>1035</v>
      </c>
      <c r="X1659" t="s">
        <v>817</v>
      </c>
      <c r="Z1659" s="37">
        <v>0</v>
      </c>
      <c r="AA1659" s="37">
        <v>0.2</v>
      </c>
      <c r="AB1659">
        <v>0</v>
      </c>
    </row>
    <row r="1660">
      <c r="A1660" t="s">
        <v>4599</v>
      </c>
      <c r="B1660" t="s">
        <v>3442</v>
      </c>
      <c r="C1660" t="s">
        <v>3442</v>
      </c>
      <c r="D1660" t="s">
        <v>841</v>
      </c>
      <c r="E1660" t="s">
        <v>4600</v>
      </c>
      <c r="F1660" t="s">
        <v>298</v>
      </c>
      <c r="G1660" t="s">
        <v>4601</v>
      </c>
      <c r="H1660" t="s">
        <v>4611</v>
      </c>
      <c r="I1660" t="s">
        <v>4612</v>
      </c>
      <c r="J1660" t="s">
        <v>709</v>
      </c>
      <c r="K1660" t="s">
        <v>709</v>
      </c>
      <c r="L1660" t="s">
        <v>4613</v>
      </c>
      <c r="M1660" s="37">
        <v>1</v>
      </c>
      <c r="N1660" s="37">
        <v>0.3</v>
      </c>
      <c r="O1660">
        <v>1.2</v>
      </c>
      <c r="P1660" s="37">
        <v>1.346</v>
      </c>
      <c r="Q1660">
        <v>1.35</v>
      </c>
      <c r="R1660">
        <v>6000</v>
      </c>
      <c r="S1660">
        <v>6000</v>
      </c>
      <c r="T1660">
        <v>5000</v>
      </c>
      <c r="U1660" t="s">
        <v>4598</v>
      </c>
      <c r="W1660" t="s">
        <v>1035</v>
      </c>
      <c r="X1660" t="s">
        <v>817</v>
      </c>
      <c r="Z1660" s="37">
        <v>0</v>
      </c>
      <c r="AA1660" s="37">
        <v>0.2</v>
      </c>
      <c r="AB1660">
        <v>0</v>
      </c>
    </row>
    <row r="1661">
      <c r="A1661" t="s">
        <v>4614</v>
      </c>
      <c r="B1661" t="s">
        <v>3442</v>
      </c>
      <c r="C1661" t="s">
        <v>3442</v>
      </c>
      <c r="D1661" t="s">
        <v>359</v>
      </c>
      <c r="E1661" t="s">
        <v>4615</v>
      </c>
      <c r="F1661" t="s">
        <v>298</v>
      </c>
      <c r="G1661" t="s">
        <v>4601</v>
      </c>
      <c r="H1661" t="s">
        <v>4602</v>
      </c>
      <c r="I1661" t="s">
        <v>4616</v>
      </c>
      <c r="J1661">
        <v>1</v>
      </c>
      <c r="K1661">
        <v>1.8</v>
      </c>
      <c r="L1661" t="s">
        <v>4617</v>
      </c>
      <c r="M1661" s="37">
        <v>1.8</v>
      </c>
      <c r="N1661" s="37">
        <v>0.3</v>
      </c>
      <c r="O1661">
        <v>1.5</v>
      </c>
      <c r="P1661" s="37">
        <v>1.21286</v>
      </c>
      <c r="Q1661">
        <v>1.17</v>
      </c>
      <c r="R1661">
        <v>4000</v>
      </c>
      <c r="S1661">
        <v>4000</v>
      </c>
      <c r="T1661">
        <v>5000</v>
      </c>
      <c r="U1661" t="s">
        <v>4598</v>
      </c>
      <c r="W1661" t="s">
        <v>1035</v>
      </c>
      <c r="X1661" t="s">
        <v>817</v>
      </c>
      <c r="Z1661" s="37">
        <v>0</v>
      </c>
      <c r="AA1661" s="37">
        <v>0.2</v>
      </c>
      <c r="AB1661">
        <v>0</v>
      </c>
    </row>
    <row r="1662">
      <c r="A1662" t="s">
        <v>4614</v>
      </c>
      <c r="B1662" t="s">
        <v>3442</v>
      </c>
      <c r="C1662" t="s">
        <v>3442</v>
      </c>
      <c r="D1662" t="s">
        <v>359</v>
      </c>
      <c r="E1662" t="s">
        <v>4615</v>
      </c>
      <c r="F1662" t="s">
        <v>298</v>
      </c>
      <c r="G1662" t="s">
        <v>4601</v>
      </c>
      <c r="H1662" t="s">
        <v>4605</v>
      </c>
      <c r="I1662" t="s">
        <v>4618</v>
      </c>
      <c r="J1662">
        <v>1</v>
      </c>
      <c r="L1662" t="s">
        <v>4619</v>
      </c>
      <c r="M1662" s="37">
        <v>1.2</v>
      </c>
      <c r="N1662" s="37">
        <v>0.2</v>
      </c>
      <c r="O1662">
        <v>1.2</v>
      </c>
      <c r="P1662" s="37">
        <v>1.21286</v>
      </c>
      <c r="Q1662">
        <v>1.17</v>
      </c>
      <c r="R1662">
        <v>4000</v>
      </c>
      <c r="S1662">
        <v>4000</v>
      </c>
      <c r="T1662">
        <v>5000</v>
      </c>
      <c r="U1662" t="s">
        <v>4598</v>
      </c>
      <c r="W1662" t="s">
        <v>1035</v>
      </c>
      <c r="X1662" t="s">
        <v>817</v>
      </c>
      <c r="Z1662" s="37">
        <v>0</v>
      </c>
      <c r="AA1662" s="37">
        <v>0.2</v>
      </c>
      <c r="AB1662">
        <v>0</v>
      </c>
    </row>
    <row r="1663">
      <c r="A1663" t="s">
        <v>4614</v>
      </c>
      <c r="B1663" t="s">
        <v>3442</v>
      </c>
      <c r="C1663" t="s">
        <v>3442</v>
      </c>
      <c r="D1663" t="s">
        <v>359</v>
      </c>
      <c r="E1663" t="s">
        <v>4615</v>
      </c>
      <c r="F1663" t="s">
        <v>298</v>
      </c>
      <c r="G1663" t="s">
        <v>4601</v>
      </c>
      <c r="H1663" t="s">
        <v>4602</v>
      </c>
      <c r="I1663" t="s">
        <v>4609</v>
      </c>
      <c r="J1663">
        <v>600000</v>
      </c>
      <c r="K1663">
        <v>551606.41</v>
      </c>
      <c r="L1663" t="s">
        <v>4620</v>
      </c>
      <c r="M1663" s="37">
        <v>0.9193</v>
      </c>
      <c r="N1663" s="37">
        <v>0.2</v>
      </c>
      <c r="O1663">
        <v>0.9193</v>
      </c>
      <c r="P1663" s="37">
        <v>1.21286</v>
      </c>
      <c r="Q1663">
        <v>1.17</v>
      </c>
      <c r="R1663">
        <v>4000</v>
      </c>
      <c r="S1663">
        <v>4000</v>
      </c>
      <c r="T1663">
        <v>5000</v>
      </c>
      <c r="U1663" t="s">
        <v>4598</v>
      </c>
      <c r="W1663" t="s">
        <v>1035</v>
      </c>
      <c r="X1663" t="s">
        <v>817</v>
      </c>
      <c r="Z1663" s="37">
        <v>0</v>
      </c>
      <c r="AA1663" s="37">
        <v>0.2</v>
      </c>
      <c r="AB1663">
        <v>0</v>
      </c>
    </row>
    <row r="1664">
      <c r="A1664" t="s">
        <v>4614</v>
      </c>
      <c r="B1664" t="s">
        <v>3442</v>
      </c>
      <c r="C1664" t="s">
        <v>3442</v>
      </c>
      <c r="D1664" t="s">
        <v>359</v>
      </c>
      <c r="E1664" t="s">
        <v>4615</v>
      </c>
      <c r="F1664" t="s">
        <v>298</v>
      </c>
      <c r="G1664" t="s">
        <v>4601</v>
      </c>
      <c r="H1664" t="s">
        <v>4611</v>
      </c>
      <c r="I1664" t="s">
        <v>4621</v>
      </c>
      <c r="J1664">
        <v>100</v>
      </c>
      <c r="K1664">
        <v>83</v>
      </c>
      <c r="L1664" t="s">
        <v>4622</v>
      </c>
      <c r="M1664" s="37">
        <v>0.83</v>
      </c>
      <c r="N1664" s="37">
        <v>0.3</v>
      </c>
      <c r="O1664">
        <v>1</v>
      </c>
      <c r="P1664" s="37">
        <v>1.21286</v>
      </c>
      <c r="Q1664">
        <v>1.17</v>
      </c>
      <c r="R1664">
        <v>4000</v>
      </c>
      <c r="S1664">
        <v>4000</v>
      </c>
      <c r="T1664">
        <v>5000</v>
      </c>
      <c r="U1664" t="s">
        <v>4598</v>
      </c>
      <c r="W1664" t="s">
        <v>1035</v>
      </c>
      <c r="X1664" t="s">
        <v>817</v>
      </c>
      <c r="Z1664" s="37">
        <v>0</v>
      </c>
      <c r="AA1664" s="37">
        <v>0.2</v>
      </c>
      <c r="AB1664">
        <v>0</v>
      </c>
    </row>
    <row r="1665">
      <c r="A1665" t="s">
        <v>4623</v>
      </c>
      <c r="B1665" t="s">
        <v>4624</v>
      </c>
      <c r="C1665" t="s">
        <v>4624</v>
      </c>
      <c r="D1665" t="s">
        <v>359</v>
      </c>
      <c r="E1665" t="s">
        <v>4625</v>
      </c>
      <c r="F1665" t="s">
        <v>298</v>
      </c>
      <c r="G1665" t="s">
        <v>4626</v>
      </c>
      <c r="H1665" t="s">
        <v>4627</v>
      </c>
      <c r="I1665" t="s">
        <v>4628</v>
      </c>
      <c r="J1665">
        <v>100</v>
      </c>
      <c r="K1665">
        <v>1</v>
      </c>
      <c r="L1665" t="s">
        <v>4622</v>
      </c>
      <c r="M1665" s="37">
        <v>1</v>
      </c>
      <c r="N1665" s="37">
        <v>0.15</v>
      </c>
      <c r="O1665">
        <v>1</v>
      </c>
      <c r="P1665" s="37">
        <v>1.02215</v>
      </c>
      <c r="Q1665">
        <v>1.02</v>
      </c>
      <c r="R1665">
        <v>6120</v>
      </c>
      <c r="S1665">
        <v>6120</v>
      </c>
      <c r="T1665">
        <v>6000</v>
      </c>
      <c r="U1665" t="s">
        <v>4598</v>
      </c>
      <c r="W1665" t="s">
        <v>1035</v>
      </c>
      <c r="X1665" t="s">
        <v>817</v>
      </c>
      <c r="Z1665" s="37">
        <v>0</v>
      </c>
      <c r="AA1665" s="37">
        <v>0.2</v>
      </c>
      <c r="AB1665">
        <v>0</v>
      </c>
    </row>
    <row r="1666">
      <c r="A1666" t="s">
        <v>4623</v>
      </c>
      <c r="B1666" t="s">
        <v>4624</v>
      </c>
      <c r="C1666" t="s">
        <v>4624</v>
      </c>
      <c r="D1666" t="s">
        <v>359</v>
      </c>
      <c r="E1666" t="s">
        <v>4625</v>
      </c>
      <c r="F1666" t="s">
        <v>298</v>
      </c>
      <c r="G1666" t="s">
        <v>4626</v>
      </c>
      <c r="H1666" t="s">
        <v>4629</v>
      </c>
      <c r="I1666" t="s">
        <v>4628</v>
      </c>
      <c r="J1666">
        <v>100</v>
      </c>
      <c r="K1666">
        <v>1</v>
      </c>
      <c r="L1666" t="s">
        <v>4622</v>
      </c>
      <c r="M1666" s="37">
        <v>1</v>
      </c>
      <c r="N1666" s="37">
        <v>0.5</v>
      </c>
      <c r="O1666">
        <v>1</v>
      </c>
      <c r="P1666" s="37">
        <v>1.02215</v>
      </c>
      <c r="Q1666">
        <v>1.02</v>
      </c>
      <c r="R1666">
        <v>6120</v>
      </c>
      <c r="S1666">
        <v>6120</v>
      </c>
      <c r="T1666">
        <v>6000</v>
      </c>
      <c r="U1666" t="s">
        <v>4598</v>
      </c>
      <c r="W1666" t="s">
        <v>1035</v>
      </c>
      <c r="X1666" t="s">
        <v>817</v>
      </c>
      <c r="Z1666" s="37">
        <v>0</v>
      </c>
      <c r="AA1666" s="37">
        <v>0.2</v>
      </c>
      <c r="AB1666">
        <v>0</v>
      </c>
    </row>
    <row r="1667">
      <c r="A1667" t="s">
        <v>4623</v>
      </c>
      <c r="B1667" t="s">
        <v>4624</v>
      </c>
      <c r="C1667" t="s">
        <v>4624</v>
      </c>
      <c r="D1667" t="s">
        <v>359</v>
      </c>
      <c r="E1667" t="s">
        <v>4625</v>
      </c>
      <c r="F1667" t="s">
        <v>298</v>
      </c>
      <c r="G1667" t="s">
        <v>4626</v>
      </c>
      <c r="H1667" t="s">
        <v>4630</v>
      </c>
      <c r="I1667" t="s">
        <v>4631</v>
      </c>
      <c r="J1667">
        <v>100</v>
      </c>
      <c r="K1667">
        <v>1.5</v>
      </c>
      <c r="L1667" t="s">
        <v>4632</v>
      </c>
      <c r="M1667" s="37">
        <v>1.5</v>
      </c>
      <c r="N1667" s="37">
        <v>0.2</v>
      </c>
      <c r="O1667">
        <v>1.5</v>
      </c>
      <c r="P1667" s="37">
        <v>1.02215</v>
      </c>
      <c r="Q1667">
        <v>1.02</v>
      </c>
      <c r="R1667">
        <v>6120</v>
      </c>
      <c r="S1667">
        <v>6120</v>
      </c>
      <c r="T1667">
        <v>6000</v>
      </c>
      <c r="U1667" t="s">
        <v>4598</v>
      </c>
      <c r="W1667" t="s">
        <v>1035</v>
      </c>
      <c r="X1667" t="s">
        <v>817</v>
      </c>
      <c r="Z1667" s="37">
        <v>0</v>
      </c>
      <c r="AA1667" s="37">
        <v>0.2</v>
      </c>
      <c r="AB1667">
        <v>0</v>
      </c>
    </row>
    <row r="1668">
      <c r="A1668" t="s">
        <v>4623</v>
      </c>
      <c r="B1668" t="s">
        <v>4624</v>
      </c>
      <c r="C1668" t="s">
        <v>4624</v>
      </c>
      <c r="D1668" t="s">
        <v>359</v>
      </c>
      <c r="E1668" t="s">
        <v>4625</v>
      </c>
      <c r="F1668" t="s">
        <v>298</v>
      </c>
      <c r="G1668" t="s">
        <v>4626</v>
      </c>
      <c r="H1668" t="s">
        <v>4633</v>
      </c>
      <c r="J1668" t="s">
        <v>4634</v>
      </c>
      <c r="K1668" t="s">
        <v>4635</v>
      </c>
      <c r="L1668" t="s">
        <v>4632</v>
      </c>
      <c r="M1668" s="37">
        <v>0.072</v>
      </c>
      <c r="N1668" s="37">
        <v>0.075</v>
      </c>
      <c r="O1668">
        <v>0</v>
      </c>
      <c r="P1668" s="37">
        <v>1.02215</v>
      </c>
      <c r="Q1668">
        <v>1.02</v>
      </c>
      <c r="R1668">
        <v>6120</v>
      </c>
      <c r="S1668">
        <v>6120</v>
      </c>
      <c r="T1668">
        <v>6000</v>
      </c>
      <c r="U1668" t="s">
        <v>4598</v>
      </c>
      <c r="W1668" t="s">
        <v>1035</v>
      </c>
      <c r="X1668" t="s">
        <v>817</v>
      </c>
      <c r="Z1668" s="37">
        <v>0</v>
      </c>
      <c r="AA1668" s="37">
        <v>0.2</v>
      </c>
      <c r="AB1668">
        <v>0</v>
      </c>
    </row>
    <row r="1669">
      <c r="A1669" t="s">
        <v>4623</v>
      </c>
      <c r="B1669" t="s">
        <v>4624</v>
      </c>
      <c r="C1669" t="s">
        <v>4624</v>
      </c>
      <c r="D1669" t="s">
        <v>359</v>
      </c>
      <c r="E1669" t="s">
        <v>4625</v>
      </c>
      <c r="F1669" t="s">
        <v>298</v>
      </c>
      <c r="G1669" t="s">
        <v>4626</v>
      </c>
      <c r="H1669" t="s">
        <v>4636</v>
      </c>
      <c r="J1669" t="s">
        <v>4637</v>
      </c>
      <c r="K1669" t="s">
        <v>4638</v>
      </c>
      <c r="L1669" t="s">
        <v>4632</v>
      </c>
      <c r="M1669" s="37">
        <v>0.89</v>
      </c>
      <c r="N1669" s="37">
        <v>0.075</v>
      </c>
      <c r="O1669">
        <v>0.8884</v>
      </c>
      <c r="P1669" s="37">
        <v>1.02215</v>
      </c>
      <c r="Q1669">
        <v>1.02</v>
      </c>
      <c r="R1669">
        <v>6120</v>
      </c>
      <c r="S1669">
        <v>6120</v>
      </c>
      <c r="T1669">
        <v>6000</v>
      </c>
      <c r="U1669" t="s">
        <v>4598</v>
      </c>
      <c r="W1669" t="s">
        <v>1035</v>
      </c>
      <c r="X1669" t="s">
        <v>817</v>
      </c>
      <c r="Z1669" s="37">
        <v>0</v>
      </c>
      <c r="AA1669" s="37">
        <v>0.2</v>
      </c>
      <c r="AB1669">
        <v>0</v>
      </c>
    </row>
    <row r="1670">
      <c r="A1670" t="s">
        <v>4639</v>
      </c>
      <c r="B1670" t="s">
        <v>4624</v>
      </c>
      <c r="C1670" t="s">
        <v>4624</v>
      </c>
      <c r="D1670" t="s">
        <v>359</v>
      </c>
      <c r="E1670" t="s">
        <v>4640</v>
      </c>
      <c r="F1670" t="s">
        <v>298</v>
      </c>
      <c r="G1670" t="s">
        <v>4626</v>
      </c>
      <c r="H1670" t="s">
        <v>4627</v>
      </c>
      <c r="I1670" t="s">
        <v>4641</v>
      </c>
      <c r="J1670" t="s">
        <v>4637</v>
      </c>
      <c r="K1670">
        <v>1</v>
      </c>
      <c r="L1670" t="s">
        <v>4632</v>
      </c>
      <c r="M1670" s="37">
        <v>1</v>
      </c>
      <c r="N1670" s="37">
        <v>0.15</v>
      </c>
      <c r="O1670">
        <v>1</v>
      </c>
      <c r="P1670" s="37">
        <v>0.86215</v>
      </c>
      <c r="Q1670">
        <v>0.86</v>
      </c>
      <c r="R1670">
        <v>5160</v>
      </c>
      <c r="S1670">
        <v>5160</v>
      </c>
      <c r="T1670">
        <v>6000</v>
      </c>
      <c r="U1670" t="s">
        <v>4598</v>
      </c>
      <c r="W1670" t="s">
        <v>1035</v>
      </c>
      <c r="X1670" t="s">
        <v>817</v>
      </c>
      <c r="Z1670" s="37">
        <v>0</v>
      </c>
      <c r="AA1670" s="37">
        <v>0.2</v>
      </c>
      <c r="AB1670">
        <v>0</v>
      </c>
    </row>
    <row r="1671">
      <c r="A1671" t="s">
        <v>4639</v>
      </c>
      <c r="B1671" t="s">
        <v>4624</v>
      </c>
      <c r="C1671" t="s">
        <v>4624</v>
      </c>
      <c r="D1671" t="s">
        <v>359</v>
      </c>
      <c r="E1671" t="s">
        <v>4640</v>
      </c>
      <c r="F1671" t="s">
        <v>298</v>
      </c>
      <c r="G1671" t="s">
        <v>4626</v>
      </c>
      <c r="H1671" t="s">
        <v>4629</v>
      </c>
      <c r="I1671" t="s">
        <v>4642</v>
      </c>
      <c r="J1671" t="s">
        <v>4637</v>
      </c>
      <c r="K1671">
        <v>0.8</v>
      </c>
      <c r="L1671" t="s">
        <v>4632</v>
      </c>
      <c r="M1671" s="37">
        <v>0.8</v>
      </c>
      <c r="N1671" s="37">
        <v>0.5</v>
      </c>
      <c r="O1671">
        <v>0.8</v>
      </c>
      <c r="P1671" s="37">
        <v>0.86215</v>
      </c>
      <c r="Q1671">
        <v>0.86</v>
      </c>
      <c r="R1671">
        <v>5160</v>
      </c>
      <c r="S1671">
        <v>5160</v>
      </c>
      <c r="T1671">
        <v>6000</v>
      </c>
      <c r="U1671" t="s">
        <v>4598</v>
      </c>
      <c r="W1671" t="s">
        <v>1035</v>
      </c>
      <c r="X1671" t="s">
        <v>817</v>
      </c>
      <c r="Z1671" s="37">
        <v>0</v>
      </c>
      <c r="AA1671" s="37">
        <v>0.2</v>
      </c>
      <c r="AB1671">
        <v>0</v>
      </c>
    </row>
    <row r="1672">
      <c r="A1672" t="s">
        <v>4639</v>
      </c>
      <c r="B1672" t="s">
        <v>4624</v>
      </c>
      <c r="C1672" t="s">
        <v>4624</v>
      </c>
      <c r="D1672" t="s">
        <v>359</v>
      </c>
      <c r="E1672" t="s">
        <v>4640</v>
      </c>
      <c r="F1672" t="s">
        <v>298</v>
      </c>
      <c r="G1672" t="s">
        <v>4626</v>
      </c>
      <c r="H1672" t="s">
        <v>4630</v>
      </c>
      <c r="I1672" t="s">
        <v>4643</v>
      </c>
      <c r="J1672" t="s">
        <v>4637</v>
      </c>
      <c r="K1672">
        <v>1.2</v>
      </c>
      <c r="L1672" t="s">
        <v>4632</v>
      </c>
      <c r="M1672" s="37">
        <v>1.2</v>
      </c>
      <c r="N1672" s="37">
        <v>0.2</v>
      </c>
      <c r="O1672">
        <v>1.2</v>
      </c>
      <c r="P1672" s="37">
        <v>0.86215</v>
      </c>
      <c r="Q1672">
        <v>0.86</v>
      </c>
      <c r="R1672">
        <v>5160</v>
      </c>
      <c r="S1672">
        <v>5160</v>
      </c>
      <c r="T1672">
        <v>6000</v>
      </c>
      <c r="U1672" t="s">
        <v>4598</v>
      </c>
      <c r="W1672" t="s">
        <v>1035</v>
      </c>
      <c r="X1672" t="s">
        <v>817</v>
      </c>
      <c r="Z1672" s="37">
        <v>0</v>
      </c>
      <c r="AA1672" s="37">
        <v>0.2</v>
      </c>
      <c r="AB1672">
        <v>0</v>
      </c>
    </row>
    <row r="1673">
      <c r="A1673" t="s">
        <v>4639</v>
      </c>
      <c r="B1673" t="s">
        <v>4624</v>
      </c>
      <c r="C1673" t="s">
        <v>4624</v>
      </c>
      <c r="D1673" t="s">
        <v>359</v>
      </c>
      <c r="E1673" t="s">
        <v>4640</v>
      </c>
      <c r="F1673" t="s">
        <v>298</v>
      </c>
      <c r="G1673" t="s">
        <v>4626</v>
      </c>
      <c r="H1673" t="s">
        <v>4633</v>
      </c>
      <c r="I1673" t="s">
        <v>4644</v>
      </c>
      <c r="J1673" t="s">
        <v>4634</v>
      </c>
      <c r="K1673" t="s">
        <v>4635</v>
      </c>
      <c r="L1673" t="s">
        <v>4632</v>
      </c>
      <c r="M1673" s="37">
        <v>0.072</v>
      </c>
      <c r="N1673" s="37">
        <v>0.075</v>
      </c>
      <c r="O1673">
        <v>0</v>
      </c>
      <c r="P1673" s="37">
        <v>0.86215</v>
      </c>
      <c r="Q1673">
        <v>0.86</v>
      </c>
      <c r="R1673">
        <v>5160</v>
      </c>
      <c r="S1673">
        <v>5160</v>
      </c>
      <c r="T1673">
        <v>6000</v>
      </c>
      <c r="U1673" t="s">
        <v>4598</v>
      </c>
      <c r="W1673" t="s">
        <v>1035</v>
      </c>
      <c r="X1673" t="s">
        <v>817</v>
      </c>
      <c r="Z1673" s="37">
        <v>0</v>
      </c>
      <c r="AA1673" s="37">
        <v>0.2</v>
      </c>
      <c r="AB1673">
        <v>0</v>
      </c>
    </row>
    <row r="1674">
      <c r="A1674" t="s">
        <v>4639</v>
      </c>
      <c r="B1674" t="s">
        <v>4624</v>
      </c>
      <c r="C1674" t="s">
        <v>4624</v>
      </c>
      <c r="D1674" t="s">
        <v>359</v>
      </c>
      <c r="E1674" t="s">
        <v>4640</v>
      </c>
      <c r="F1674" t="s">
        <v>298</v>
      </c>
      <c r="G1674" t="s">
        <v>4626</v>
      </c>
      <c r="H1674" t="s">
        <v>4636</v>
      </c>
      <c r="I1674" t="s">
        <v>4644</v>
      </c>
      <c r="J1674" t="s">
        <v>4637</v>
      </c>
      <c r="K1674" t="s">
        <v>4638</v>
      </c>
      <c r="L1674" t="s">
        <v>4632</v>
      </c>
      <c r="M1674" s="37">
        <v>0.89</v>
      </c>
      <c r="N1674" s="37">
        <v>0.075</v>
      </c>
      <c r="O1674">
        <v>0.8884</v>
      </c>
      <c r="P1674" s="37">
        <v>0.86215</v>
      </c>
      <c r="Q1674">
        <v>0.86</v>
      </c>
      <c r="R1674">
        <v>5160</v>
      </c>
      <c r="S1674">
        <v>5160</v>
      </c>
      <c r="T1674">
        <v>6000</v>
      </c>
      <c r="U1674" t="s">
        <v>4598</v>
      </c>
      <c r="W1674" t="s">
        <v>1035</v>
      </c>
      <c r="X1674" t="s">
        <v>817</v>
      </c>
      <c r="Z1674" s="37">
        <v>0</v>
      </c>
      <c r="AA1674" s="37">
        <v>0.2</v>
      </c>
      <c r="AB1674">
        <v>0</v>
      </c>
    </row>
    <row r="1675">
      <c r="A1675" t="s">
        <v>4645</v>
      </c>
      <c r="B1675" t="s">
        <v>3648</v>
      </c>
      <c r="C1675" t="s">
        <v>3648</v>
      </c>
      <c r="D1675" t="s">
        <v>999</v>
      </c>
      <c r="E1675" t="s">
        <v>4646</v>
      </c>
      <c r="F1675" t="s">
        <v>298</v>
      </c>
      <c r="G1675" t="s">
        <v>4647</v>
      </c>
      <c r="H1675" t="s">
        <v>4648</v>
      </c>
      <c r="I1675" t="s">
        <v>4649</v>
      </c>
      <c r="J1675" t="s">
        <v>4650</v>
      </c>
      <c r="K1675" t="s">
        <v>4651</v>
      </c>
      <c r="L1675" t="s">
        <v>4632</v>
      </c>
      <c r="M1675" s="37">
        <v>2.20152</v>
      </c>
      <c r="N1675" s="37">
        <v>0.6</v>
      </c>
      <c r="O1675">
        <v>1.5</v>
      </c>
      <c r="P1675" s="37">
        <v>1.58961</v>
      </c>
      <c r="Q1675">
        <v>1.17</v>
      </c>
      <c r="R1675">
        <v>5758.6</v>
      </c>
      <c r="S1675">
        <v>5758.6</v>
      </c>
      <c r="T1675">
        <v>5000</v>
      </c>
      <c r="U1675" t="s">
        <v>4598</v>
      </c>
      <c r="W1675" t="s">
        <v>1035</v>
      </c>
      <c r="X1675" t="s">
        <v>817</v>
      </c>
      <c r="Z1675" s="37">
        <v>0</v>
      </c>
      <c r="AA1675" s="37">
        <v>0.2</v>
      </c>
      <c r="AB1675">
        <v>0</v>
      </c>
    </row>
    <row r="1676">
      <c r="A1676" t="s">
        <v>4645</v>
      </c>
      <c r="B1676" t="s">
        <v>3648</v>
      </c>
      <c r="C1676" t="s">
        <v>3648</v>
      </c>
      <c r="D1676" t="s">
        <v>999</v>
      </c>
      <c r="E1676" t="s">
        <v>4646</v>
      </c>
      <c r="F1676" t="s">
        <v>298</v>
      </c>
      <c r="G1676" t="s">
        <v>4647</v>
      </c>
      <c r="H1676" t="s">
        <v>3537</v>
      </c>
      <c r="I1676" t="s">
        <v>4652</v>
      </c>
      <c r="J1676" t="s">
        <v>1418</v>
      </c>
      <c r="K1676" t="s">
        <v>709</v>
      </c>
      <c r="L1676" t="s">
        <v>4653</v>
      </c>
      <c r="M1676" s="37">
        <v>0.5</v>
      </c>
      <c r="N1676" s="37">
        <v>0.3</v>
      </c>
      <c r="O1676">
        <v>0.5</v>
      </c>
      <c r="P1676" s="37">
        <v>1.58961</v>
      </c>
      <c r="Q1676">
        <v>1.17</v>
      </c>
      <c r="R1676">
        <v>5758.6</v>
      </c>
      <c r="S1676">
        <v>5758.6</v>
      </c>
      <c r="T1676">
        <v>5000</v>
      </c>
      <c r="U1676" t="s">
        <v>4598</v>
      </c>
      <c r="W1676" t="s">
        <v>1035</v>
      </c>
      <c r="X1676" t="s">
        <v>817</v>
      </c>
      <c r="Z1676" s="37">
        <v>0</v>
      </c>
      <c r="AA1676" s="37">
        <v>0.2</v>
      </c>
      <c r="AB1676">
        <v>0</v>
      </c>
    </row>
    <row r="1677">
      <c r="A1677" t="s">
        <v>4645</v>
      </c>
      <c r="B1677" t="s">
        <v>3648</v>
      </c>
      <c r="C1677" t="s">
        <v>3648</v>
      </c>
      <c r="D1677" t="s">
        <v>999</v>
      </c>
      <c r="E1677" t="s">
        <v>4646</v>
      </c>
      <c r="F1677" t="s">
        <v>298</v>
      </c>
      <c r="G1677" t="s">
        <v>4647</v>
      </c>
      <c r="H1677" t="s">
        <v>4654</v>
      </c>
      <c r="I1677" t="s">
        <v>4655</v>
      </c>
      <c r="J1677" t="s">
        <v>3654</v>
      </c>
      <c r="K1677" t="s">
        <v>4656</v>
      </c>
      <c r="L1677" t="s">
        <v>4653</v>
      </c>
      <c r="M1677" s="37">
        <v>1.18698</v>
      </c>
      <c r="N1677" s="37">
        <v>0.1</v>
      </c>
      <c r="O1677">
        <v>1.187</v>
      </c>
      <c r="P1677" s="37">
        <v>1.58961</v>
      </c>
      <c r="Q1677">
        <v>1.17</v>
      </c>
      <c r="R1677">
        <v>5758.6</v>
      </c>
      <c r="S1677">
        <v>5758.6</v>
      </c>
      <c r="T1677">
        <v>5000</v>
      </c>
      <c r="U1677" t="s">
        <v>4598</v>
      </c>
      <c r="W1677" t="s">
        <v>1035</v>
      </c>
      <c r="X1677" t="s">
        <v>817</v>
      </c>
      <c r="Z1677" s="37">
        <v>0</v>
      </c>
      <c r="AA1677" s="37">
        <v>0.2</v>
      </c>
      <c r="AB1677">
        <v>0</v>
      </c>
    </row>
    <row r="1678">
      <c r="A1678" t="s">
        <v>4657</v>
      </c>
      <c r="B1678" t="s">
        <v>3648</v>
      </c>
      <c r="C1678" t="s">
        <v>3648</v>
      </c>
      <c r="D1678" t="s">
        <v>999</v>
      </c>
      <c r="E1678" t="s">
        <v>4658</v>
      </c>
      <c r="F1678" t="s">
        <v>298</v>
      </c>
      <c r="G1678" t="s">
        <v>4647</v>
      </c>
      <c r="H1678" t="s">
        <v>4648</v>
      </c>
      <c r="I1678" t="s">
        <v>4659</v>
      </c>
      <c r="J1678" t="s">
        <v>783</v>
      </c>
      <c r="K1678" t="s">
        <v>4660</v>
      </c>
      <c r="L1678" t="s">
        <v>4653</v>
      </c>
      <c r="M1678" s="37">
        <v>1.6</v>
      </c>
      <c r="N1678" s="37">
        <v>0.6</v>
      </c>
      <c r="O1678">
        <v>1.5</v>
      </c>
      <c r="P1678" s="37">
        <v>1.304</v>
      </c>
      <c r="Q1678">
        <v>1.24</v>
      </c>
      <c r="R1678">
        <v>5803.99</v>
      </c>
      <c r="S1678">
        <v>5803.99</v>
      </c>
      <c r="T1678">
        <v>5000</v>
      </c>
      <c r="U1678" t="s">
        <v>4598</v>
      </c>
      <c r="W1678" t="s">
        <v>1035</v>
      </c>
      <c r="X1678" t="s">
        <v>817</v>
      </c>
      <c r="Z1678" s="37">
        <v>0</v>
      </c>
      <c r="AA1678" s="37">
        <v>0.2</v>
      </c>
      <c r="AB1678">
        <v>0</v>
      </c>
    </row>
    <row r="1679">
      <c r="A1679" t="s">
        <v>4657</v>
      </c>
      <c r="B1679" t="s">
        <v>3648</v>
      </c>
      <c r="C1679" t="s">
        <v>3648</v>
      </c>
      <c r="D1679" t="s">
        <v>999</v>
      </c>
      <c r="E1679" t="s">
        <v>4658</v>
      </c>
      <c r="F1679" t="s">
        <v>298</v>
      </c>
      <c r="G1679" t="s">
        <v>4647</v>
      </c>
      <c r="H1679" t="s">
        <v>3537</v>
      </c>
      <c r="I1679" t="s">
        <v>4661</v>
      </c>
      <c r="J1679" t="s">
        <v>1025</v>
      </c>
      <c r="K1679" t="s">
        <v>969</v>
      </c>
      <c r="L1679" t="s">
        <v>4653</v>
      </c>
      <c r="M1679" s="37">
        <v>0.75</v>
      </c>
      <c r="N1679" s="37">
        <v>0.3</v>
      </c>
      <c r="O1679">
        <v>0.75</v>
      </c>
      <c r="P1679" s="37">
        <v>1.304</v>
      </c>
      <c r="Q1679">
        <v>1.24</v>
      </c>
      <c r="R1679">
        <v>5803.99</v>
      </c>
      <c r="S1679">
        <v>5803.99</v>
      </c>
      <c r="T1679">
        <v>5000</v>
      </c>
      <c r="U1679" t="s">
        <v>4598</v>
      </c>
      <c r="W1679" t="s">
        <v>1035</v>
      </c>
      <c r="X1679" t="s">
        <v>817</v>
      </c>
      <c r="Z1679" s="37">
        <v>0</v>
      </c>
      <c r="AA1679" s="37">
        <v>0.2</v>
      </c>
      <c r="AB1679">
        <v>0</v>
      </c>
    </row>
    <row r="1680">
      <c r="A1680" t="s">
        <v>4657</v>
      </c>
      <c r="B1680" t="s">
        <v>3648</v>
      </c>
      <c r="C1680" t="s">
        <v>3648</v>
      </c>
      <c r="D1680" t="s">
        <v>999</v>
      </c>
      <c r="E1680" t="s">
        <v>4658</v>
      </c>
      <c r="F1680" t="s">
        <v>298</v>
      </c>
      <c r="G1680" t="s">
        <v>4647</v>
      </c>
      <c r="H1680" t="s">
        <v>4654</v>
      </c>
      <c r="I1680" t="s">
        <v>4655</v>
      </c>
      <c r="J1680" t="s">
        <v>3654</v>
      </c>
      <c r="K1680" t="s">
        <v>3655</v>
      </c>
      <c r="L1680" t="s">
        <v>4653</v>
      </c>
      <c r="M1680" s="37">
        <v>1.19</v>
      </c>
      <c r="N1680" s="37">
        <v>0.1</v>
      </c>
      <c r="O1680">
        <v>1.187</v>
      </c>
      <c r="P1680" s="37">
        <v>1.304</v>
      </c>
      <c r="Q1680">
        <v>1.24</v>
      </c>
      <c r="R1680">
        <v>5803.99</v>
      </c>
      <c r="S1680">
        <v>5803.99</v>
      </c>
      <c r="T1680">
        <v>5000</v>
      </c>
      <c r="U1680" t="s">
        <v>4598</v>
      </c>
      <c r="W1680" t="s">
        <v>1035</v>
      </c>
      <c r="X1680" t="s">
        <v>817</v>
      </c>
      <c r="Z1680" s="37">
        <v>0</v>
      </c>
      <c r="AA1680" s="37">
        <v>0.2</v>
      </c>
      <c r="AB1680">
        <v>0</v>
      </c>
    </row>
    <row r="1681">
      <c r="A1681" t="s">
        <v>4662</v>
      </c>
      <c r="B1681" t="s">
        <v>3648</v>
      </c>
      <c r="C1681" t="s">
        <v>3648</v>
      </c>
      <c r="D1681" t="s">
        <v>359</v>
      </c>
      <c r="E1681" t="s">
        <v>4663</v>
      </c>
      <c r="F1681" t="s">
        <v>298</v>
      </c>
      <c r="G1681" t="s">
        <v>4647</v>
      </c>
      <c r="H1681" t="s">
        <v>4648</v>
      </c>
      <c r="I1681" t="s">
        <v>4664</v>
      </c>
      <c r="J1681" t="s">
        <v>4650</v>
      </c>
      <c r="K1681" t="s">
        <v>4665</v>
      </c>
      <c r="L1681" t="s">
        <v>4653</v>
      </c>
      <c r="M1681" s="37">
        <v>2.224957</v>
      </c>
      <c r="N1681" s="37">
        <v>0.6</v>
      </c>
      <c r="O1681">
        <v>1.5</v>
      </c>
      <c r="P1681" s="37">
        <v>1.453671</v>
      </c>
      <c r="Q1681">
        <v>1.12</v>
      </c>
      <c r="R1681">
        <v>6726.18</v>
      </c>
      <c r="S1681">
        <v>6726.18</v>
      </c>
      <c r="T1681">
        <v>6000</v>
      </c>
      <c r="U1681" t="s">
        <v>4598</v>
      </c>
      <c r="W1681" t="s">
        <v>1035</v>
      </c>
      <c r="X1681" t="s">
        <v>817</v>
      </c>
      <c r="Z1681" s="37">
        <v>0</v>
      </c>
      <c r="AA1681" s="37">
        <v>0.2</v>
      </c>
      <c r="AB1681">
        <v>0</v>
      </c>
    </row>
    <row r="1682">
      <c r="A1682" t="s">
        <v>4662</v>
      </c>
      <c r="B1682" t="s">
        <v>3648</v>
      </c>
      <c r="C1682" t="s">
        <v>3648</v>
      </c>
      <c r="D1682" t="s">
        <v>359</v>
      </c>
      <c r="E1682" t="s">
        <v>4663</v>
      </c>
      <c r="F1682" t="s">
        <v>298</v>
      </c>
      <c r="G1682" t="s">
        <v>4647</v>
      </c>
      <c r="H1682" t="s">
        <v>3537</v>
      </c>
      <c r="I1682" t="s">
        <v>4666</v>
      </c>
      <c r="J1682" t="s">
        <v>1025</v>
      </c>
      <c r="K1682" t="s">
        <v>1041</v>
      </c>
      <c r="L1682" t="s">
        <v>4653</v>
      </c>
      <c r="M1682" s="37">
        <v>0</v>
      </c>
      <c r="N1682" s="37">
        <v>0.3</v>
      </c>
      <c r="O1682">
        <v>0</v>
      </c>
      <c r="P1682" s="37">
        <v>1.453671</v>
      </c>
      <c r="Q1682">
        <v>1.12</v>
      </c>
      <c r="R1682">
        <v>6726.18</v>
      </c>
      <c r="S1682">
        <v>6726.18</v>
      </c>
      <c r="T1682">
        <v>6000</v>
      </c>
      <c r="U1682" t="s">
        <v>4598</v>
      </c>
      <c r="W1682" t="s">
        <v>1035</v>
      </c>
      <c r="X1682" t="s">
        <v>817</v>
      </c>
      <c r="Z1682" s="37">
        <v>0</v>
      </c>
      <c r="AA1682" s="37">
        <v>0.2</v>
      </c>
      <c r="AB1682">
        <v>0</v>
      </c>
    </row>
    <row r="1683">
      <c r="A1683" t="s">
        <v>4662</v>
      </c>
      <c r="B1683" t="s">
        <v>3648</v>
      </c>
      <c r="C1683" t="s">
        <v>3648</v>
      </c>
      <c r="D1683" t="s">
        <v>359</v>
      </c>
      <c r="E1683" t="s">
        <v>4663</v>
      </c>
      <c r="F1683" t="s">
        <v>298</v>
      </c>
      <c r="G1683" t="s">
        <v>4647</v>
      </c>
      <c r="H1683" t="s">
        <v>4654</v>
      </c>
      <c r="I1683" t="s">
        <v>4655</v>
      </c>
      <c r="J1683" t="s">
        <v>3654</v>
      </c>
      <c r="K1683" t="s">
        <v>3655</v>
      </c>
      <c r="L1683" t="s">
        <v>4653</v>
      </c>
      <c r="M1683" s="37">
        <v>1.18697</v>
      </c>
      <c r="N1683" s="37">
        <v>0.1</v>
      </c>
      <c r="O1683">
        <v>1.187</v>
      </c>
      <c r="P1683" s="37">
        <v>1.453671</v>
      </c>
      <c r="Q1683">
        <v>1.12</v>
      </c>
      <c r="R1683">
        <v>6726.18</v>
      </c>
      <c r="S1683">
        <v>6726.18</v>
      </c>
      <c r="T1683">
        <v>6000</v>
      </c>
      <c r="U1683" t="s">
        <v>4598</v>
      </c>
      <c r="W1683" t="s">
        <v>1035</v>
      </c>
      <c r="X1683" t="s">
        <v>817</v>
      </c>
      <c r="Z1683" s="37">
        <v>0</v>
      </c>
      <c r="AA1683" s="37">
        <v>0.2</v>
      </c>
      <c r="AB1683">
        <v>0</v>
      </c>
    </row>
    <row r="1684">
      <c r="A1684" t="s">
        <v>4667</v>
      </c>
      <c r="B1684" t="s">
        <v>3648</v>
      </c>
      <c r="C1684" t="s">
        <v>3648</v>
      </c>
      <c r="D1684" t="s">
        <v>999</v>
      </c>
      <c r="E1684" t="s">
        <v>4668</v>
      </c>
      <c r="F1684" t="s">
        <v>298</v>
      </c>
      <c r="G1684" t="s">
        <v>4647</v>
      </c>
      <c r="H1684" t="s">
        <v>4648</v>
      </c>
      <c r="I1684" t="s">
        <v>4669</v>
      </c>
      <c r="J1684">
        <v>4</v>
      </c>
      <c r="K1684">
        <v>2</v>
      </c>
      <c r="L1684" t="s">
        <v>4653</v>
      </c>
      <c r="M1684" s="37">
        <v>0.5</v>
      </c>
      <c r="N1684" s="37">
        <v>0.3</v>
      </c>
      <c r="O1684">
        <v>0.5</v>
      </c>
      <c r="P1684" s="37">
        <v>0.47865</v>
      </c>
      <c r="Q1684">
        <v>0.48</v>
      </c>
      <c r="R1684">
        <v>2711.22</v>
      </c>
      <c r="S1684">
        <v>2711.22</v>
      </c>
      <c r="T1684">
        <v>5000</v>
      </c>
      <c r="U1684" t="s">
        <v>4598</v>
      </c>
      <c r="W1684" t="s">
        <v>1035</v>
      </c>
      <c r="X1684" t="s">
        <v>817</v>
      </c>
      <c r="Z1684" s="37">
        <v>0</v>
      </c>
      <c r="AA1684" s="37">
        <v>0.2</v>
      </c>
      <c r="AB1684">
        <v>0</v>
      </c>
    </row>
    <row r="1685">
      <c r="A1685" t="s">
        <v>4667</v>
      </c>
      <c r="B1685" t="s">
        <v>3648</v>
      </c>
      <c r="C1685" t="s">
        <v>3648</v>
      </c>
      <c r="D1685" t="s">
        <v>999</v>
      </c>
      <c r="E1685" t="s">
        <v>4668</v>
      </c>
      <c r="F1685" t="s">
        <v>298</v>
      </c>
      <c r="G1685" t="s">
        <v>4647</v>
      </c>
      <c r="H1685" t="s">
        <v>3537</v>
      </c>
      <c r="I1685" t="s">
        <v>4670</v>
      </c>
      <c r="J1685" t="s">
        <v>4671</v>
      </c>
      <c r="K1685" t="s">
        <v>4672</v>
      </c>
      <c r="L1685" t="s">
        <v>4653</v>
      </c>
      <c r="M1685" s="37">
        <v>0.0626</v>
      </c>
      <c r="N1685" s="37">
        <v>0.25</v>
      </c>
      <c r="O1685">
        <v>0.0626</v>
      </c>
      <c r="P1685" s="37">
        <v>0.47865</v>
      </c>
      <c r="Q1685">
        <v>0.48</v>
      </c>
      <c r="R1685">
        <v>2711.22</v>
      </c>
      <c r="S1685">
        <v>2711.22</v>
      </c>
      <c r="T1685">
        <v>5000</v>
      </c>
      <c r="U1685" t="s">
        <v>4598</v>
      </c>
      <c r="W1685" t="s">
        <v>1035</v>
      </c>
      <c r="X1685" t="s">
        <v>817</v>
      </c>
      <c r="Z1685" s="37">
        <v>0</v>
      </c>
      <c r="AA1685" s="37">
        <v>0.2</v>
      </c>
      <c r="AB1685">
        <v>0</v>
      </c>
    </row>
    <row r="1686">
      <c r="A1686" t="s">
        <v>4667</v>
      </c>
      <c r="B1686" t="s">
        <v>3648</v>
      </c>
      <c r="C1686" t="s">
        <v>3648</v>
      </c>
      <c r="D1686" t="s">
        <v>999</v>
      </c>
      <c r="E1686" t="s">
        <v>4668</v>
      </c>
      <c r="F1686" t="s">
        <v>298</v>
      </c>
      <c r="G1686" t="s">
        <v>4647</v>
      </c>
      <c r="H1686" t="s">
        <v>4648</v>
      </c>
      <c r="I1686" t="s">
        <v>4673</v>
      </c>
      <c r="J1686" t="s">
        <v>3643</v>
      </c>
      <c r="K1686" t="s">
        <v>4674</v>
      </c>
      <c r="L1686" t="s">
        <v>4653</v>
      </c>
      <c r="M1686" s="37">
        <v>0.7</v>
      </c>
      <c r="N1686" s="37">
        <v>0.1</v>
      </c>
      <c r="O1686">
        <v>0.7</v>
      </c>
      <c r="P1686" s="37">
        <v>0.47865</v>
      </c>
      <c r="Q1686">
        <v>0.48</v>
      </c>
      <c r="R1686">
        <v>2711.22</v>
      </c>
      <c r="S1686">
        <v>2711.22</v>
      </c>
      <c r="T1686">
        <v>5000</v>
      </c>
      <c r="U1686" t="s">
        <v>4598</v>
      </c>
      <c r="W1686" t="s">
        <v>1035</v>
      </c>
      <c r="X1686" t="s">
        <v>817</v>
      </c>
      <c r="Z1686" s="37">
        <v>0</v>
      </c>
      <c r="AA1686" s="37">
        <v>0.2</v>
      </c>
      <c r="AB1686">
        <v>0</v>
      </c>
    </row>
    <row r="1687">
      <c r="A1687" t="s">
        <v>4667</v>
      </c>
      <c r="B1687" t="s">
        <v>3648</v>
      </c>
      <c r="C1687" t="s">
        <v>3648</v>
      </c>
      <c r="D1687" t="s">
        <v>999</v>
      </c>
      <c r="E1687" t="s">
        <v>4668</v>
      </c>
      <c r="F1687" t="s">
        <v>298</v>
      </c>
      <c r="G1687" t="s">
        <v>4647</v>
      </c>
      <c r="H1687" t="s">
        <v>4654</v>
      </c>
      <c r="I1687" t="s">
        <v>4675</v>
      </c>
      <c r="J1687" t="s">
        <v>3654</v>
      </c>
      <c r="K1687" t="s">
        <v>4676</v>
      </c>
      <c r="L1687" t="s">
        <v>4653</v>
      </c>
      <c r="M1687" s="37">
        <v>1.18</v>
      </c>
      <c r="N1687" s="37">
        <v>0.1</v>
      </c>
      <c r="O1687">
        <v>1.1818</v>
      </c>
      <c r="P1687" s="37">
        <v>0.47865</v>
      </c>
      <c r="Q1687">
        <v>0.48</v>
      </c>
      <c r="R1687">
        <v>2711.22</v>
      </c>
      <c r="S1687">
        <v>2711.22</v>
      </c>
      <c r="T1687">
        <v>5000</v>
      </c>
      <c r="U1687" t="s">
        <v>4598</v>
      </c>
      <c r="W1687" t="s">
        <v>1035</v>
      </c>
      <c r="X1687" t="s">
        <v>817</v>
      </c>
      <c r="Z1687" s="37">
        <v>0</v>
      </c>
      <c r="AA1687" s="37">
        <v>0.2</v>
      </c>
      <c r="AB1687">
        <v>0</v>
      </c>
    </row>
    <row r="1688">
      <c r="A1688" t="s">
        <v>4667</v>
      </c>
      <c r="B1688" t="s">
        <v>3648</v>
      </c>
      <c r="C1688" t="s">
        <v>3648</v>
      </c>
      <c r="D1688" t="s">
        <v>999</v>
      </c>
      <c r="E1688" t="s">
        <v>4668</v>
      </c>
      <c r="F1688" t="s">
        <v>298</v>
      </c>
      <c r="G1688" t="s">
        <v>4647</v>
      </c>
      <c r="H1688" t="s">
        <v>4648</v>
      </c>
      <c r="I1688" t="s">
        <v>4677</v>
      </c>
      <c r="J1688" t="s">
        <v>4142</v>
      </c>
      <c r="K1688" t="s">
        <v>4678</v>
      </c>
      <c r="L1688" t="s">
        <v>4653</v>
      </c>
      <c r="M1688" s="37">
        <v>0.5</v>
      </c>
      <c r="N1688" s="37">
        <v>0.25</v>
      </c>
      <c r="O1688">
        <v>0.5</v>
      </c>
      <c r="P1688" s="37">
        <v>0.47865</v>
      </c>
      <c r="Q1688">
        <v>0.48</v>
      </c>
      <c r="R1688">
        <v>2711.22</v>
      </c>
      <c r="S1688">
        <v>2711.22</v>
      </c>
      <c r="T1688">
        <v>5000</v>
      </c>
      <c r="U1688" t="s">
        <v>4598</v>
      </c>
      <c r="W1688" t="s">
        <v>1035</v>
      </c>
      <c r="X1688" t="s">
        <v>817</v>
      </c>
      <c r="Z1688" s="37">
        <v>0</v>
      </c>
      <c r="AA1688" s="37">
        <v>0.2</v>
      </c>
      <c r="AB1688">
        <v>0</v>
      </c>
    </row>
    <row r="1689">
      <c r="A1689" t="s">
        <v>4679</v>
      </c>
      <c r="B1689" t="s">
        <v>3648</v>
      </c>
      <c r="C1689" t="s">
        <v>3648</v>
      </c>
      <c r="D1689" t="s">
        <v>1013</v>
      </c>
      <c r="E1689" t="s">
        <v>4680</v>
      </c>
      <c r="F1689" t="s">
        <v>298</v>
      </c>
      <c r="G1689" t="s">
        <v>4681</v>
      </c>
      <c r="H1689" t="s">
        <v>4682</v>
      </c>
      <c r="I1689" t="s">
        <v>4683</v>
      </c>
      <c r="J1689" t="s">
        <v>4650</v>
      </c>
      <c r="K1689" t="s">
        <v>4684</v>
      </c>
      <c r="L1689" t="s">
        <v>4653</v>
      </c>
      <c r="M1689" s="37">
        <v>0.703</v>
      </c>
      <c r="N1689" s="37">
        <v>1</v>
      </c>
      <c r="O1689">
        <v>0.7</v>
      </c>
      <c r="P1689" s="37">
        <v>0.703</v>
      </c>
      <c r="Q1689">
        <v>0.7</v>
      </c>
      <c r="R1689">
        <v>3000</v>
      </c>
      <c r="S1689">
        <v>3000</v>
      </c>
      <c r="T1689">
        <v>1500</v>
      </c>
      <c r="U1689" t="s">
        <v>4598</v>
      </c>
      <c r="W1689" t="s">
        <v>1035</v>
      </c>
      <c r="X1689" t="s">
        <v>817</v>
      </c>
      <c r="Z1689" s="37">
        <v>0</v>
      </c>
      <c r="AA1689" s="37">
        <v>0.2</v>
      </c>
      <c r="AB1689">
        <v>0</v>
      </c>
    </row>
    <row r="1690">
      <c r="A1690" t="s">
        <v>4685</v>
      </c>
      <c r="B1690" t="s">
        <v>3648</v>
      </c>
      <c r="C1690" t="s">
        <v>3648</v>
      </c>
      <c r="D1690" t="s">
        <v>2561</v>
      </c>
      <c r="E1690" t="s">
        <v>4686</v>
      </c>
      <c r="F1690" t="s">
        <v>298</v>
      </c>
      <c r="G1690" t="s">
        <v>4681</v>
      </c>
      <c r="H1690" t="s">
        <v>4682</v>
      </c>
      <c r="I1690" t="s">
        <v>4687</v>
      </c>
      <c r="J1690" s="38">
        <v>1</v>
      </c>
      <c r="K1690" s="38">
        <v>1.5</v>
      </c>
      <c r="L1690" t="s">
        <v>4688</v>
      </c>
      <c r="M1690" s="37">
        <v>1.5</v>
      </c>
      <c r="N1690" s="37">
        <v>1</v>
      </c>
      <c r="O1690">
        <v>1.5</v>
      </c>
      <c r="P1690" s="37">
        <v>1.5</v>
      </c>
      <c r="Q1690">
        <v>1.5</v>
      </c>
      <c r="R1690">
        <v>5000</v>
      </c>
      <c r="S1690">
        <v>5000</v>
      </c>
      <c r="T1690">
        <v>2000</v>
      </c>
      <c r="U1690" t="s">
        <v>4598</v>
      </c>
      <c r="W1690" t="s">
        <v>1035</v>
      </c>
      <c r="X1690" t="s">
        <v>817</v>
      </c>
      <c r="Z1690" s="37">
        <v>0</v>
      </c>
      <c r="AA1690" s="37">
        <v>0.2</v>
      </c>
      <c r="AB1690">
        <v>0</v>
      </c>
    </row>
    <row r="1691">
      <c r="A1691" t="s">
        <v>4689</v>
      </c>
      <c r="B1691" t="s">
        <v>3648</v>
      </c>
      <c r="C1691" t="s">
        <v>3648</v>
      </c>
      <c r="D1691" t="s">
        <v>1013</v>
      </c>
      <c r="E1691" t="s">
        <v>4690</v>
      </c>
      <c r="F1691" t="s">
        <v>298</v>
      </c>
      <c r="G1691" t="s">
        <v>4681</v>
      </c>
      <c r="H1691" t="s">
        <v>4682</v>
      </c>
      <c r="I1691" t="s">
        <v>4649</v>
      </c>
      <c r="J1691" t="s">
        <v>4691</v>
      </c>
      <c r="K1691" t="s">
        <v>4692</v>
      </c>
      <c r="L1691" t="s">
        <v>4688</v>
      </c>
      <c r="M1691" s="37">
        <v>0.1</v>
      </c>
      <c r="N1691" s="37">
        <v>1</v>
      </c>
      <c r="O1691">
        <v>0.1</v>
      </c>
      <c r="P1691" s="37">
        <v>0.1</v>
      </c>
      <c r="Q1691">
        <v>0.1</v>
      </c>
      <c r="R1691">
        <v>500</v>
      </c>
      <c r="S1691">
        <v>500</v>
      </c>
      <c r="T1691">
        <v>1500</v>
      </c>
      <c r="U1691" t="s">
        <v>4598</v>
      </c>
      <c r="W1691" t="s">
        <v>1035</v>
      </c>
      <c r="X1691" t="s">
        <v>817</v>
      </c>
      <c r="Z1691" s="37">
        <v>0</v>
      </c>
      <c r="AA1691" s="37">
        <v>0.2</v>
      </c>
      <c r="AB1691">
        <v>0</v>
      </c>
    </row>
    <row r="1692">
      <c r="A1692" t="s">
        <v>4693</v>
      </c>
      <c r="B1692" t="s">
        <v>3648</v>
      </c>
      <c r="C1692" t="s">
        <v>3648</v>
      </c>
      <c r="D1692" t="s">
        <v>1013</v>
      </c>
      <c r="E1692" t="s">
        <v>4694</v>
      </c>
      <c r="F1692" t="s">
        <v>298</v>
      </c>
      <c r="G1692" t="s">
        <v>4681</v>
      </c>
      <c r="H1692" t="s">
        <v>4682</v>
      </c>
      <c r="I1692" t="s">
        <v>4695</v>
      </c>
      <c r="J1692" s="38">
        <v>1</v>
      </c>
      <c r="K1692" s="37">
        <v>0.8023</v>
      </c>
      <c r="L1692" t="s">
        <v>4688</v>
      </c>
      <c r="M1692" s="37">
        <v>0.4457</v>
      </c>
      <c r="N1692" s="37">
        <v>1</v>
      </c>
      <c r="O1692">
        <v>0.445</v>
      </c>
      <c r="P1692" s="37">
        <v>0.4457</v>
      </c>
      <c r="Q1692">
        <v>0.45</v>
      </c>
      <c r="R1692">
        <v>800</v>
      </c>
      <c r="S1692">
        <v>800</v>
      </c>
      <c r="T1692">
        <v>1500</v>
      </c>
      <c r="U1692" t="s">
        <v>4598</v>
      </c>
      <c r="W1692" t="s">
        <v>1035</v>
      </c>
      <c r="X1692" t="s">
        <v>817</v>
      </c>
      <c r="Z1692" s="37">
        <v>0</v>
      </c>
      <c r="AA1692" s="37">
        <v>0.2</v>
      </c>
      <c r="AB1692">
        <v>0</v>
      </c>
    </row>
    <row r="1693">
      <c r="A1693" t="s">
        <v>4696</v>
      </c>
      <c r="B1693" t="s">
        <v>3648</v>
      </c>
      <c r="C1693" t="s">
        <v>3648</v>
      </c>
      <c r="D1693" t="s">
        <v>1013</v>
      </c>
      <c r="E1693" t="s">
        <v>4697</v>
      </c>
      <c r="F1693" t="s">
        <v>298</v>
      </c>
      <c r="G1693" t="s">
        <v>4681</v>
      </c>
      <c r="H1693" t="s">
        <v>4682</v>
      </c>
      <c r="I1693" t="s">
        <v>4695</v>
      </c>
      <c r="J1693" s="38">
        <v>1</v>
      </c>
      <c r="K1693" s="37">
        <v>0.8179</v>
      </c>
      <c r="L1693" t="s">
        <v>4688</v>
      </c>
      <c r="M1693" s="37">
        <v>0.4543</v>
      </c>
      <c r="N1693" s="37">
        <v>1</v>
      </c>
      <c r="O1693">
        <v>0.453</v>
      </c>
      <c r="P1693" s="37">
        <v>0.4543</v>
      </c>
      <c r="Q1693">
        <v>0.45</v>
      </c>
      <c r="R1693">
        <v>1700</v>
      </c>
      <c r="S1693">
        <v>1700</v>
      </c>
      <c r="T1693">
        <v>1500</v>
      </c>
      <c r="U1693" t="s">
        <v>4598</v>
      </c>
      <c r="W1693" t="s">
        <v>1035</v>
      </c>
      <c r="X1693" t="s">
        <v>817</v>
      </c>
      <c r="Z1693" s="37">
        <v>0</v>
      </c>
      <c r="AA1693" s="37">
        <v>0.2</v>
      </c>
      <c r="AB1693">
        <v>0</v>
      </c>
    </row>
    <row r="1694">
      <c r="A1694" t="s">
        <v>4698</v>
      </c>
      <c r="B1694" t="s">
        <v>3648</v>
      </c>
      <c r="C1694" t="s">
        <v>3648</v>
      </c>
      <c r="D1694" t="s">
        <v>1013</v>
      </c>
      <c r="E1694" t="s">
        <v>4699</v>
      </c>
      <c r="F1694" t="s">
        <v>298</v>
      </c>
      <c r="G1694" t="s">
        <v>4681</v>
      </c>
      <c r="H1694" t="s">
        <v>4682</v>
      </c>
      <c r="I1694" t="s">
        <v>4700</v>
      </c>
      <c r="J1694" s="38">
        <v>1</v>
      </c>
      <c r="K1694" s="37">
        <v>0.0151</v>
      </c>
      <c r="L1694" t="s">
        <v>4688</v>
      </c>
      <c r="M1694" s="37">
        <v>0.0151</v>
      </c>
      <c r="N1694" s="37">
        <v>1</v>
      </c>
      <c r="O1694">
        <v>0.0151</v>
      </c>
      <c r="P1694" s="37">
        <v>0.0151</v>
      </c>
      <c r="Q1694">
        <v>0.02</v>
      </c>
      <c r="R1694">
        <v>30</v>
      </c>
      <c r="S1694">
        <v>30</v>
      </c>
      <c r="T1694">
        <v>1500</v>
      </c>
      <c r="U1694" t="s">
        <v>4598</v>
      </c>
      <c r="W1694" t="s">
        <v>1035</v>
      </c>
      <c r="X1694" t="s">
        <v>817</v>
      </c>
      <c r="Z1694" s="37">
        <v>0</v>
      </c>
      <c r="AA1694" s="37">
        <v>0.2</v>
      </c>
      <c r="AB1694">
        <v>0</v>
      </c>
    </row>
    <row r="1695">
      <c r="A1695" t="s">
        <v>4701</v>
      </c>
      <c r="B1695" t="s">
        <v>4702</v>
      </c>
      <c r="C1695" t="s">
        <v>4702</v>
      </c>
      <c r="D1695" t="s">
        <v>1013</v>
      </c>
      <c r="E1695" t="s">
        <v>4703</v>
      </c>
      <c r="F1695" t="s">
        <v>298</v>
      </c>
      <c r="G1695" t="s">
        <v>4704</v>
      </c>
      <c r="H1695" t="s">
        <v>4705</v>
      </c>
      <c r="I1695" t="s">
        <v>4706</v>
      </c>
      <c r="J1695" t="s">
        <v>1828</v>
      </c>
      <c r="K1695" t="s">
        <v>4707</v>
      </c>
      <c r="L1695" t="s">
        <v>2379</v>
      </c>
      <c r="M1695" s="37">
        <v>0.7419</v>
      </c>
      <c r="N1695" s="37">
        <v>0.2</v>
      </c>
      <c r="O1695">
        <v>0.7419</v>
      </c>
      <c r="P1695" s="37">
        <v>1.184278</v>
      </c>
      <c r="Q1695">
        <v>1.15</v>
      </c>
      <c r="R1695">
        <v>1549.52</v>
      </c>
      <c r="S1695">
        <v>1549.52</v>
      </c>
      <c r="T1695">
        <v>1500</v>
      </c>
      <c r="U1695" t="s">
        <v>4598</v>
      </c>
      <c r="W1695" t="s">
        <v>1035</v>
      </c>
      <c r="X1695" t="s">
        <v>817</v>
      </c>
      <c r="Z1695" s="37">
        <v>0</v>
      </c>
      <c r="AA1695" s="37">
        <v>0.2</v>
      </c>
      <c r="AB1695">
        <v>0</v>
      </c>
    </row>
    <row r="1696">
      <c r="A1696" t="s">
        <v>4701</v>
      </c>
      <c r="B1696" t="s">
        <v>4702</v>
      </c>
      <c r="C1696" t="s">
        <v>4702</v>
      </c>
      <c r="D1696" t="s">
        <v>1013</v>
      </c>
      <c r="E1696" t="s">
        <v>4703</v>
      </c>
      <c r="F1696" t="s">
        <v>298</v>
      </c>
      <c r="G1696" t="s">
        <v>4704</v>
      </c>
      <c r="H1696" t="s">
        <v>4705</v>
      </c>
      <c r="I1696" t="s">
        <v>4708</v>
      </c>
      <c r="J1696" t="s">
        <v>4709</v>
      </c>
      <c r="K1696" t="s">
        <v>4710</v>
      </c>
      <c r="L1696" t="s">
        <v>455</v>
      </c>
      <c r="M1696" s="37">
        <v>1.589744</v>
      </c>
      <c r="N1696" s="37">
        <v>0.4</v>
      </c>
      <c r="O1696">
        <v>1.5</v>
      </c>
      <c r="P1696" s="37">
        <v>1.184278</v>
      </c>
      <c r="Q1696">
        <v>1.15</v>
      </c>
      <c r="R1696">
        <v>1549.52</v>
      </c>
      <c r="S1696">
        <v>1549.52</v>
      </c>
      <c r="T1696">
        <v>1500</v>
      </c>
      <c r="U1696" t="s">
        <v>4598</v>
      </c>
      <c r="W1696" t="s">
        <v>1035</v>
      </c>
      <c r="X1696" t="s">
        <v>817</v>
      </c>
      <c r="Z1696" s="37">
        <v>0</v>
      </c>
      <c r="AA1696" s="37">
        <v>0.2</v>
      </c>
      <c r="AB1696">
        <v>0</v>
      </c>
    </row>
    <row r="1697">
      <c r="A1697" t="s">
        <v>4701</v>
      </c>
      <c r="B1697" t="s">
        <v>4702</v>
      </c>
      <c r="C1697" t="s">
        <v>4702</v>
      </c>
      <c r="D1697" t="s">
        <v>1013</v>
      </c>
      <c r="E1697" t="s">
        <v>4703</v>
      </c>
      <c r="F1697" t="s">
        <v>298</v>
      </c>
      <c r="G1697" t="s">
        <v>4704</v>
      </c>
      <c r="H1697" t="s">
        <v>4654</v>
      </c>
      <c r="I1697" t="s">
        <v>4711</v>
      </c>
      <c r="J1697" t="s">
        <v>4712</v>
      </c>
      <c r="K1697" t="s">
        <v>4713</v>
      </c>
      <c r="L1697" t="s">
        <v>455</v>
      </c>
      <c r="M1697" s="37">
        <v>1</v>
      </c>
      <c r="N1697" s="37">
        <v>0.4</v>
      </c>
      <c r="O1697">
        <v>1</v>
      </c>
      <c r="P1697" s="37">
        <v>1.184278</v>
      </c>
      <c r="Q1697">
        <v>1.15</v>
      </c>
      <c r="R1697">
        <v>1549.52</v>
      </c>
      <c r="S1697">
        <v>1549.52</v>
      </c>
      <c r="T1697">
        <v>1500</v>
      </c>
      <c r="U1697" t="s">
        <v>4598</v>
      </c>
      <c r="W1697" t="s">
        <v>1035</v>
      </c>
      <c r="X1697" t="s">
        <v>817</v>
      </c>
      <c r="Z1697" s="37">
        <v>0</v>
      </c>
      <c r="AA1697" s="37">
        <v>0.2</v>
      </c>
      <c r="AB1697">
        <v>0</v>
      </c>
    </row>
    <row r="1698">
      <c r="A1698" t="s">
        <v>4714</v>
      </c>
      <c r="B1698" t="s">
        <v>4702</v>
      </c>
      <c r="C1698" t="s">
        <v>4702</v>
      </c>
      <c r="D1698" t="s">
        <v>1013</v>
      </c>
      <c r="E1698" t="s">
        <v>4715</v>
      </c>
      <c r="F1698" t="s">
        <v>298</v>
      </c>
      <c r="G1698" t="s">
        <v>4704</v>
      </c>
      <c r="H1698" t="s">
        <v>4705</v>
      </c>
      <c r="I1698" t="s">
        <v>4716</v>
      </c>
      <c r="J1698" t="s">
        <v>4717</v>
      </c>
      <c r="K1698" t="s">
        <v>4718</v>
      </c>
      <c r="L1698" t="s">
        <v>4719</v>
      </c>
      <c r="M1698" s="37">
        <v>1.065823</v>
      </c>
      <c r="N1698" s="37">
        <v>0.5</v>
      </c>
      <c r="O1698">
        <v>1.07</v>
      </c>
      <c r="P1698" s="37">
        <v>0.93476</v>
      </c>
      <c r="Q1698">
        <v>0.94</v>
      </c>
      <c r="R1698">
        <v>1450.48</v>
      </c>
      <c r="S1698">
        <v>1450.48</v>
      </c>
      <c r="T1698">
        <v>1500</v>
      </c>
      <c r="U1698" t="s">
        <v>4598</v>
      </c>
      <c r="W1698" t="s">
        <v>1035</v>
      </c>
      <c r="X1698" t="s">
        <v>817</v>
      </c>
      <c r="Z1698" s="37">
        <v>0</v>
      </c>
      <c r="AA1698" s="37">
        <v>0.2</v>
      </c>
      <c r="AB1698">
        <v>0</v>
      </c>
    </row>
    <row r="1699">
      <c r="A1699" t="s">
        <v>4714</v>
      </c>
      <c r="B1699" t="s">
        <v>4702</v>
      </c>
      <c r="C1699" t="s">
        <v>4702</v>
      </c>
      <c r="D1699" t="s">
        <v>1013</v>
      </c>
      <c r="E1699" t="s">
        <v>4715</v>
      </c>
      <c r="F1699" t="s">
        <v>298</v>
      </c>
      <c r="G1699" t="s">
        <v>4704</v>
      </c>
      <c r="H1699" t="s">
        <v>4705</v>
      </c>
      <c r="I1699" t="s">
        <v>4720</v>
      </c>
      <c r="J1699" t="s">
        <v>4721</v>
      </c>
      <c r="K1699" t="s">
        <v>4722</v>
      </c>
      <c r="L1699" t="s">
        <v>4723</v>
      </c>
      <c r="M1699" s="37">
        <v>0.754622</v>
      </c>
      <c r="N1699" s="37">
        <v>0.4</v>
      </c>
      <c r="O1699">
        <v>0.7546</v>
      </c>
      <c r="P1699" s="37">
        <v>0.93476</v>
      </c>
      <c r="Q1699">
        <v>0.94</v>
      </c>
      <c r="R1699">
        <v>1450.48</v>
      </c>
      <c r="S1699">
        <v>1450.48</v>
      </c>
      <c r="T1699">
        <v>1500</v>
      </c>
      <c r="U1699" t="s">
        <v>4598</v>
      </c>
      <c r="W1699" t="s">
        <v>1035</v>
      </c>
      <c r="X1699" t="s">
        <v>817</v>
      </c>
      <c r="Z1699" s="37">
        <v>0</v>
      </c>
      <c r="AA1699" s="37">
        <v>0.2</v>
      </c>
      <c r="AB1699">
        <v>0</v>
      </c>
    </row>
    <row r="1700">
      <c r="A1700" t="s">
        <v>4714</v>
      </c>
      <c r="B1700" t="s">
        <v>4702</v>
      </c>
      <c r="C1700" t="s">
        <v>4702</v>
      </c>
      <c r="D1700" t="s">
        <v>1013</v>
      </c>
      <c r="E1700" t="s">
        <v>4715</v>
      </c>
      <c r="F1700" t="s">
        <v>298</v>
      </c>
      <c r="G1700" t="s">
        <v>4704</v>
      </c>
      <c r="H1700" t="s">
        <v>4724</v>
      </c>
      <c r="I1700" t="s">
        <v>4725</v>
      </c>
      <c r="L1700" t="s">
        <v>4719</v>
      </c>
      <c r="M1700" s="37">
        <v>1</v>
      </c>
      <c r="N1700" s="37">
        <v>0.1</v>
      </c>
      <c r="O1700">
        <v>1</v>
      </c>
      <c r="P1700" s="37">
        <v>0.93476</v>
      </c>
      <c r="Q1700">
        <v>0.94</v>
      </c>
      <c r="R1700">
        <v>1450.48</v>
      </c>
      <c r="S1700">
        <v>1450.48</v>
      </c>
      <c r="T1700">
        <v>1500</v>
      </c>
      <c r="U1700" t="s">
        <v>4598</v>
      </c>
      <c r="W1700" t="s">
        <v>1035</v>
      </c>
      <c r="X1700" t="s">
        <v>817</v>
      </c>
      <c r="Z1700" s="37">
        <v>0</v>
      </c>
      <c r="AA1700" s="37">
        <v>0.2</v>
      </c>
      <c r="AB1700">
        <v>0</v>
      </c>
    </row>
    <row r="1701">
      <c r="A1701" t="s">
        <v>4726</v>
      </c>
      <c r="B1701" t="s">
        <v>4702</v>
      </c>
      <c r="C1701" t="s">
        <v>4702</v>
      </c>
      <c r="D1701" t="s">
        <v>1013</v>
      </c>
      <c r="E1701" t="s">
        <v>4727</v>
      </c>
      <c r="F1701" t="s">
        <v>298</v>
      </c>
      <c r="G1701" t="s">
        <v>4704</v>
      </c>
      <c r="H1701" t="s">
        <v>4705</v>
      </c>
      <c r="I1701" t="s">
        <v>4728</v>
      </c>
      <c r="J1701" t="s">
        <v>777</v>
      </c>
      <c r="K1701" t="s">
        <v>4729</v>
      </c>
      <c r="L1701" t="s">
        <v>4719</v>
      </c>
      <c r="M1701" s="37">
        <v>0.1517</v>
      </c>
      <c r="N1701" s="37">
        <v>1</v>
      </c>
      <c r="O1701">
        <v>0.1517</v>
      </c>
      <c r="P1701" s="37">
        <v>0.1517</v>
      </c>
      <c r="Q1701">
        <v>0.15</v>
      </c>
      <c r="R1701">
        <v>225</v>
      </c>
      <c r="S1701">
        <v>225</v>
      </c>
      <c r="T1701">
        <v>1500</v>
      </c>
      <c r="U1701" t="s">
        <v>4598</v>
      </c>
      <c r="W1701" t="s">
        <v>1035</v>
      </c>
      <c r="X1701" t="s">
        <v>817</v>
      </c>
      <c r="Z1701" s="37">
        <v>0</v>
      </c>
      <c r="AA1701" s="37">
        <v>0.2</v>
      </c>
      <c r="AB1701">
        <v>0</v>
      </c>
    </row>
    <row r="1702">
      <c r="A1702" t="s">
        <v>4730</v>
      </c>
      <c r="B1702" t="s">
        <v>4702</v>
      </c>
      <c r="C1702" t="s">
        <v>4702</v>
      </c>
      <c r="D1702" t="s">
        <v>359</v>
      </c>
      <c r="E1702" t="s">
        <v>4731</v>
      </c>
      <c r="F1702" t="s">
        <v>298</v>
      </c>
      <c r="G1702" t="s">
        <v>4732</v>
      </c>
      <c r="H1702" t="s">
        <v>4654</v>
      </c>
      <c r="I1702" t="s">
        <v>3195</v>
      </c>
      <c r="J1702" s="38">
        <v>1</v>
      </c>
      <c r="K1702" s="38">
        <v>0</v>
      </c>
      <c r="L1702" t="s">
        <v>4733</v>
      </c>
      <c r="M1702" s="37">
        <v>0</v>
      </c>
      <c r="N1702" s="37">
        <v>0.1</v>
      </c>
      <c r="O1702">
        <v>0</v>
      </c>
      <c r="P1702" s="37">
        <v>0.87476</v>
      </c>
      <c r="Q1702">
        <v>0.86</v>
      </c>
      <c r="R1702">
        <v>6276.4</v>
      </c>
      <c r="S1702">
        <v>6276.4</v>
      </c>
      <c r="T1702">
        <v>6000</v>
      </c>
      <c r="U1702" t="s">
        <v>4598</v>
      </c>
      <c r="W1702" t="s">
        <v>1035</v>
      </c>
      <c r="X1702" t="s">
        <v>817</v>
      </c>
      <c r="Z1702" s="37">
        <v>0</v>
      </c>
      <c r="AA1702" s="37">
        <v>0.2</v>
      </c>
      <c r="AB1702">
        <v>0</v>
      </c>
    </row>
    <row r="1703">
      <c r="A1703" t="s">
        <v>4730</v>
      </c>
      <c r="B1703" t="s">
        <v>4702</v>
      </c>
      <c r="C1703" t="s">
        <v>4702</v>
      </c>
      <c r="D1703" t="s">
        <v>359</v>
      </c>
      <c r="E1703" t="s">
        <v>4731</v>
      </c>
      <c r="F1703" t="s">
        <v>298</v>
      </c>
      <c r="G1703" t="s">
        <v>4732</v>
      </c>
      <c r="H1703" t="s">
        <v>4705</v>
      </c>
      <c r="I1703" t="s">
        <v>4734</v>
      </c>
      <c r="J1703" s="38">
        <v>1</v>
      </c>
      <c r="K1703" s="37">
        <v>0.7692</v>
      </c>
      <c r="L1703" t="s">
        <v>4735</v>
      </c>
      <c r="M1703" s="37">
        <v>0.7692</v>
      </c>
      <c r="N1703" s="37">
        <v>0.3</v>
      </c>
      <c r="O1703">
        <v>0.7692</v>
      </c>
      <c r="P1703" s="37">
        <v>0.87476</v>
      </c>
      <c r="Q1703">
        <v>0.86</v>
      </c>
      <c r="R1703">
        <v>6276.4</v>
      </c>
      <c r="S1703">
        <v>6276.4</v>
      </c>
      <c r="T1703">
        <v>6000</v>
      </c>
      <c r="U1703" t="s">
        <v>4598</v>
      </c>
      <c r="W1703" t="s">
        <v>1035</v>
      </c>
      <c r="X1703" t="s">
        <v>817</v>
      </c>
      <c r="Z1703" s="37">
        <v>0</v>
      </c>
      <c r="AA1703" s="37">
        <v>0.2</v>
      </c>
      <c r="AB1703">
        <v>0</v>
      </c>
    </row>
    <row r="1704">
      <c r="A1704" t="s">
        <v>4730</v>
      </c>
      <c r="B1704" t="s">
        <v>4702</v>
      </c>
      <c r="C1704" t="s">
        <v>4702</v>
      </c>
      <c r="D1704" t="s">
        <v>359</v>
      </c>
      <c r="E1704" t="s">
        <v>4731</v>
      </c>
      <c r="F1704" t="s">
        <v>298</v>
      </c>
      <c r="G1704" t="s">
        <v>4732</v>
      </c>
      <c r="H1704" t="s">
        <v>4705</v>
      </c>
      <c r="I1704" t="s">
        <v>4736</v>
      </c>
      <c r="J1704" s="38">
        <v>1</v>
      </c>
      <c r="K1704" s="37">
        <v>0.156</v>
      </c>
      <c r="L1704" t="s">
        <v>4737</v>
      </c>
      <c r="M1704" s="37">
        <v>0.156</v>
      </c>
      <c r="N1704" s="37">
        <v>0.2</v>
      </c>
      <c r="O1704">
        <v>0.1248</v>
      </c>
      <c r="P1704" s="37">
        <v>0.87476</v>
      </c>
      <c r="Q1704">
        <v>0.86</v>
      </c>
      <c r="R1704">
        <v>6276.4</v>
      </c>
      <c r="S1704">
        <v>6276.4</v>
      </c>
      <c r="T1704">
        <v>6000</v>
      </c>
      <c r="U1704" t="s">
        <v>4598</v>
      </c>
      <c r="W1704" t="s">
        <v>1035</v>
      </c>
      <c r="X1704" t="s">
        <v>817</v>
      </c>
      <c r="Z1704" s="37">
        <v>0</v>
      </c>
      <c r="AA1704" s="37">
        <v>0.2</v>
      </c>
      <c r="AB1704">
        <v>0</v>
      </c>
    </row>
    <row r="1705">
      <c r="A1705" t="s">
        <v>4730</v>
      </c>
      <c r="B1705" t="s">
        <v>4702</v>
      </c>
      <c r="C1705" t="s">
        <v>4702</v>
      </c>
      <c r="D1705" t="s">
        <v>359</v>
      </c>
      <c r="E1705" t="s">
        <v>4731</v>
      </c>
      <c r="F1705" t="s">
        <v>298</v>
      </c>
      <c r="G1705" t="s">
        <v>4732</v>
      </c>
      <c r="H1705" t="s">
        <v>4705</v>
      </c>
      <c r="I1705" t="s">
        <v>4738</v>
      </c>
      <c r="J1705" s="38">
        <v>1</v>
      </c>
      <c r="K1705" s="37">
        <v>1.532</v>
      </c>
      <c r="L1705" t="s">
        <v>4739</v>
      </c>
      <c r="M1705" s="37">
        <v>1.532</v>
      </c>
      <c r="N1705" s="37">
        <v>0.4</v>
      </c>
      <c r="O1705">
        <v>1.5</v>
      </c>
      <c r="P1705" s="37">
        <v>0.87476</v>
      </c>
      <c r="Q1705">
        <v>0.86</v>
      </c>
      <c r="R1705">
        <v>6276.4</v>
      </c>
      <c r="S1705">
        <v>6276.4</v>
      </c>
      <c r="T1705">
        <v>6000</v>
      </c>
      <c r="U1705" t="s">
        <v>4598</v>
      </c>
      <c r="W1705" t="s">
        <v>1035</v>
      </c>
      <c r="X1705" t="s">
        <v>817</v>
      </c>
      <c r="Z1705" s="37">
        <v>0</v>
      </c>
      <c r="AA1705" s="37">
        <v>0.2</v>
      </c>
      <c r="AB1705">
        <v>0</v>
      </c>
    </row>
    <row r="1706">
      <c r="A1706" t="s">
        <v>4740</v>
      </c>
      <c r="B1706" t="s">
        <v>4702</v>
      </c>
      <c r="C1706" t="s">
        <v>4702</v>
      </c>
      <c r="D1706" t="s">
        <v>999</v>
      </c>
      <c r="E1706" t="s">
        <v>4741</v>
      </c>
      <c r="F1706" t="s">
        <v>298</v>
      </c>
      <c r="G1706" t="s">
        <v>4732</v>
      </c>
      <c r="H1706" t="s">
        <v>4654</v>
      </c>
      <c r="I1706" t="s">
        <v>4742</v>
      </c>
      <c r="J1706" t="s">
        <v>1595</v>
      </c>
      <c r="K1706" t="s">
        <v>1529</v>
      </c>
      <c r="L1706">
        <v>0</v>
      </c>
      <c r="M1706" s="37">
        <v>0</v>
      </c>
      <c r="N1706" s="37">
        <v>0.1</v>
      </c>
      <c r="O1706">
        <v>0</v>
      </c>
      <c r="P1706" s="37">
        <v>0.65292</v>
      </c>
      <c r="Q1706">
        <v>0.75</v>
      </c>
      <c r="R1706">
        <v>4723.6</v>
      </c>
      <c r="S1706">
        <v>4723.6</v>
      </c>
      <c r="T1706">
        <v>5000</v>
      </c>
      <c r="U1706" t="s">
        <v>4598</v>
      </c>
      <c r="W1706" t="s">
        <v>1035</v>
      </c>
      <c r="X1706" t="s">
        <v>817</v>
      </c>
      <c r="Z1706" s="37">
        <v>0</v>
      </c>
      <c r="AA1706" s="37">
        <v>0.2</v>
      </c>
      <c r="AB1706">
        <v>0</v>
      </c>
    </row>
    <row r="1707">
      <c r="A1707" t="s">
        <v>4740</v>
      </c>
      <c r="B1707" t="s">
        <v>4702</v>
      </c>
      <c r="C1707" t="s">
        <v>4702</v>
      </c>
      <c r="D1707" t="s">
        <v>999</v>
      </c>
      <c r="E1707" t="s">
        <v>4741</v>
      </c>
      <c r="F1707" t="s">
        <v>298</v>
      </c>
      <c r="G1707" t="s">
        <v>4732</v>
      </c>
      <c r="H1707" t="s">
        <v>4705</v>
      </c>
      <c r="I1707" t="s">
        <v>4738</v>
      </c>
      <c r="J1707" t="s">
        <v>2936</v>
      </c>
      <c r="K1707" t="s">
        <v>4743</v>
      </c>
      <c r="L1707" t="s">
        <v>4744</v>
      </c>
      <c r="M1707" s="37">
        <v>0.6682</v>
      </c>
      <c r="N1707" s="37">
        <v>0.6</v>
      </c>
      <c r="O1707">
        <v>0.6682</v>
      </c>
      <c r="P1707" s="37">
        <v>0.65292</v>
      </c>
      <c r="Q1707">
        <v>0.75</v>
      </c>
      <c r="R1707">
        <v>4723.6</v>
      </c>
      <c r="S1707">
        <v>4723.6</v>
      </c>
      <c r="T1707">
        <v>5000</v>
      </c>
      <c r="U1707" t="s">
        <v>4598</v>
      </c>
      <c r="W1707" t="s">
        <v>1035</v>
      </c>
      <c r="X1707" t="s">
        <v>817</v>
      </c>
      <c r="Z1707" s="37">
        <v>0</v>
      </c>
      <c r="AA1707" s="37">
        <v>0.2</v>
      </c>
      <c r="AB1707">
        <v>0</v>
      </c>
    </row>
    <row r="1708">
      <c r="A1708" t="s">
        <v>4740</v>
      </c>
      <c r="B1708" t="s">
        <v>4702</v>
      </c>
      <c r="C1708" t="s">
        <v>4702</v>
      </c>
      <c r="D1708" t="s">
        <v>999</v>
      </c>
      <c r="E1708" t="s">
        <v>4741</v>
      </c>
      <c r="F1708" t="s">
        <v>298</v>
      </c>
      <c r="G1708" t="s">
        <v>4732</v>
      </c>
      <c r="H1708" t="s">
        <v>4705</v>
      </c>
      <c r="I1708" t="s">
        <v>4745</v>
      </c>
      <c r="J1708" s="38">
        <v>0.2</v>
      </c>
      <c r="K1708" s="37">
        <v>0.152</v>
      </c>
      <c r="L1708" t="s">
        <v>4746</v>
      </c>
      <c r="M1708" s="37">
        <v>0.84</v>
      </c>
      <c r="N1708" s="37">
        <v>0.3</v>
      </c>
      <c r="O1708">
        <v>0.84</v>
      </c>
      <c r="P1708" s="37">
        <v>0.65292</v>
      </c>
      <c r="Q1708">
        <v>0.75</v>
      </c>
      <c r="R1708">
        <v>4723.6</v>
      </c>
      <c r="S1708">
        <v>4723.6</v>
      </c>
      <c r="T1708">
        <v>5000</v>
      </c>
      <c r="U1708" t="s">
        <v>4598</v>
      </c>
      <c r="W1708" t="s">
        <v>1035</v>
      </c>
      <c r="X1708" t="s">
        <v>817</v>
      </c>
      <c r="Z1708" s="37">
        <v>0</v>
      </c>
      <c r="AA1708" s="37">
        <v>0.2</v>
      </c>
      <c r="AB1708">
        <v>0</v>
      </c>
    </row>
    <row r="1709">
      <c r="A1709" t="s">
        <v>4747</v>
      </c>
      <c r="B1709" t="s">
        <v>3475</v>
      </c>
      <c r="C1709" t="s">
        <v>3475</v>
      </c>
      <c r="D1709" t="s">
        <v>4748</v>
      </c>
      <c r="E1709" t="s">
        <v>4749</v>
      </c>
      <c r="F1709" t="s">
        <v>298</v>
      </c>
      <c r="G1709" t="s">
        <v>4750</v>
      </c>
      <c r="H1709" t="s">
        <v>4751</v>
      </c>
      <c r="I1709" t="s">
        <v>4752</v>
      </c>
      <c r="J1709" s="38">
        <v>0.2</v>
      </c>
      <c r="K1709">
        <v>0</v>
      </c>
      <c r="L1709" t="s">
        <v>4746</v>
      </c>
      <c r="M1709" s="37">
        <v>0.966</v>
      </c>
      <c r="N1709" s="37">
        <v>0.3</v>
      </c>
      <c r="O1709">
        <v>96.6</v>
      </c>
      <c r="P1709" s="37">
        <v>0.9698</v>
      </c>
      <c r="Q1709">
        <v>96.98</v>
      </c>
      <c r="R1709">
        <v>500</v>
      </c>
      <c r="S1709">
        <v>1000</v>
      </c>
      <c r="T1709">
        <v>1000</v>
      </c>
      <c r="U1709" t="s">
        <v>4598</v>
      </c>
      <c r="W1709" t="s">
        <v>1035</v>
      </c>
      <c r="X1709" t="s">
        <v>817</v>
      </c>
      <c r="Z1709" s="37">
        <v>0</v>
      </c>
      <c r="AA1709" s="37">
        <v>0.2</v>
      </c>
      <c r="AB1709">
        <v>0</v>
      </c>
    </row>
    <row r="1710">
      <c r="A1710" t="s">
        <v>4747</v>
      </c>
      <c r="B1710" t="s">
        <v>3475</v>
      </c>
      <c r="C1710" t="s">
        <v>3475</v>
      </c>
      <c r="D1710" t="s">
        <v>4748</v>
      </c>
      <c r="E1710" t="s">
        <v>4749</v>
      </c>
      <c r="F1710" t="s">
        <v>298</v>
      </c>
      <c r="G1710" t="s">
        <v>4750</v>
      </c>
      <c r="H1710" t="s">
        <v>4753</v>
      </c>
      <c r="I1710" t="s">
        <v>4754</v>
      </c>
      <c r="J1710" s="38">
        <v>0.2</v>
      </c>
      <c r="K1710">
        <v>0</v>
      </c>
      <c r="L1710" t="s">
        <v>4746</v>
      </c>
      <c r="M1710" s="37">
        <v>1</v>
      </c>
      <c r="N1710" s="37">
        <v>0.6</v>
      </c>
      <c r="O1710">
        <v>100</v>
      </c>
      <c r="P1710" s="37">
        <v>0.9698</v>
      </c>
      <c r="Q1710">
        <v>96.98</v>
      </c>
      <c r="R1710">
        <v>500</v>
      </c>
      <c r="S1710">
        <v>1000</v>
      </c>
      <c r="T1710">
        <v>1000</v>
      </c>
      <c r="U1710" t="s">
        <v>4598</v>
      </c>
      <c r="W1710" t="s">
        <v>1035</v>
      </c>
      <c r="X1710" t="s">
        <v>817</v>
      </c>
      <c r="Z1710" s="37">
        <v>0</v>
      </c>
      <c r="AA1710" s="37">
        <v>0.2</v>
      </c>
      <c r="AB1710">
        <v>0</v>
      </c>
    </row>
    <row r="1711">
      <c r="A1711" t="s">
        <v>4747</v>
      </c>
      <c r="B1711" t="s">
        <v>3475</v>
      </c>
      <c r="C1711" t="s">
        <v>3475</v>
      </c>
      <c r="D1711" t="s">
        <v>4748</v>
      </c>
      <c r="E1711" t="s">
        <v>4749</v>
      </c>
      <c r="F1711" t="s">
        <v>298</v>
      </c>
      <c r="G1711" t="s">
        <v>4750</v>
      </c>
      <c r="H1711" t="s">
        <v>4755</v>
      </c>
      <c r="I1711" t="s">
        <v>4756</v>
      </c>
      <c r="J1711" s="38">
        <v>0.2</v>
      </c>
      <c r="K1711">
        <v>0</v>
      </c>
      <c r="L1711" t="s">
        <v>4746</v>
      </c>
      <c r="M1711" s="37">
        <v>0.8</v>
      </c>
      <c r="N1711" s="37">
        <v>0.1</v>
      </c>
      <c r="O1711">
        <v>80</v>
      </c>
      <c r="P1711" s="37">
        <v>0.9698</v>
      </c>
      <c r="Q1711">
        <v>96.98</v>
      </c>
      <c r="R1711">
        <v>500</v>
      </c>
      <c r="S1711">
        <v>1000</v>
      </c>
      <c r="T1711">
        <v>1000</v>
      </c>
      <c r="U1711" t="s">
        <v>4598</v>
      </c>
      <c r="W1711" t="s">
        <v>1035</v>
      </c>
      <c r="X1711" t="s">
        <v>817</v>
      </c>
      <c r="Z1711" s="37">
        <v>0</v>
      </c>
      <c r="AA1711" s="37">
        <v>0.2</v>
      </c>
      <c r="AB1711">
        <v>0</v>
      </c>
    </row>
    <row r="1712">
      <c r="A1712" t="s">
        <v>4757</v>
      </c>
      <c r="B1712" t="s">
        <v>3475</v>
      </c>
      <c r="C1712" t="s">
        <v>3475</v>
      </c>
      <c r="D1712" t="s">
        <v>4748</v>
      </c>
      <c r="E1712" t="s">
        <v>4758</v>
      </c>
      <c r="F1712" t="s">
        <v>298</v>
      </c>
      <c r="G1712" t="s">
        <v>4750</v>
      </c>
      <c r="H1712" t="s">
        <v>4751</v>
      </c>
      <c r="I1712" t="s">
        <v>4752</v>
      </c>
      <c r="J1712" s="38">
        <v>0.2</v>
      </c>
      <c r="K1712">
        <v>0</v>
      </c>
      <c r="L1712" t="s">
        <v>4746</v>
      </c>
      <c r="M1712" s="37">
        <v>0.984</v>
      </c>
      <c r="N1712" s="37">
        <v>0.3</v>
      </c>
      <c r="O1712">
        <v>98.4</v>
      </c>
      <c r="P1712" s="37">
        <v>0.9702</v>
      </c>
      <c r="Q1712">
        <v>97.02</v>
      </c>
      <c r="R1712">
        <v>800</v>
      </c>
      <c r="S1712">
        <v>1500</v>
      </c>
      <c r="T1712">
        <v>1000</v>
      </c>
      <c r="U1712" t="s">
        <v>4598</v>
      </c>
      <c r="W1712" t="s">
        <v>1035</v>
      </c>
      <c r="X1712" t="s">
        <v>817</v>
      </c>
      <c r="Z1712" s="37">
        <v>0</v>
      </c>
      <c r="AA1712" s="37">
        <v>0.2</v>
      </c>
      <c r="AB1712">
        <v>0</v>
      </c>
    </row>
    <row r="1713">
      <c r="A1713" t="s">
        <v>4757</v>
      </c>
      <c r="B1713" t="s">
        <v>3475</v>
      </c>
      <c r="C1713" t="s">
        <v>3475</v>
      </c>
      <c r="D1713" t="s">
        <v>4748</v>
      </c>
      <c r="E1713" t="s">
        <v>4758</v>
      </c>
      <c r="F1713" t="s">
        <v>298</v>
      </c>
      <c r="G1713" t="s">
        <v>4750</v>
      </c>
      <c r="H1713" t="s">
        <v>4753</v>
      </c>
      <c r="I1713" t="s">
        <v>4754</v>
      </c>
      <c r="J1713" s="38">
        <v>0.2</v>
      </c>
      <c r="K1713">
        <v>0</v>
      </c>
      <c r="L1713" t="s">
        <v>4746</v>
      </c>
      <c r="M1713" s="37">
        <v>1</v>
      </c>
      <c r="N1713" s="37">
        <v>0.6</v>
      </c>
      <c r="O1713">
        <v>100</v>
      </c>
      <c r="P1713" s="37">
        <v>0.9702</v>
      </c>
      <c r="Q1713">
        <v>97.02</v>
      </c>
      <c r="R1713">
        <v>800</v>
      </c>
      <c r="S1713">
        <v>1500</v>
      </c>
      <c r="T1713">
        <v>1000</v>
      </c>
      <c r="U1713" t="s">
        <v>4598</v>
      </c>
      <c r="W1713" t="s">
        <v>1035</v>
      </c>
      <c r="X1713" t="s">
        <v>817</v>
      </c>
      <c r="Z1713" s="37">
        <v>0</v>
      </c>
      <c r="AA1713" s="37">
        <v>0.2</v>
      </c>
      <c r="AB1713">
        <v>0</v>
      </c>
    </row>
    <row r="1714">
      <c r="A1714" t="s">
        <v>4757</v>
      </c>
      <c r="B1714" t="s">
        <v>3475</v>
      </c>
      <c r="C1714" t="s">
        <v>3475</v>
      </c>
      <c r="D1714" t="s">
        <v>4748</v>
      </c>
      <c r="E1714" t="s">
        <v>4758</v>
      </c>
      <c r="F1714" t="s">
        <v>298</v>
      </c>
      <c r="G1714" t="s">
        <v>4750</v>
      </c>
      <c r="H1714" t="s">
        <v>4755</v>
      </c>
      <c r="I1714" t="s">
        <v>4756</v>
      </c>
      <c r="J1714" s="38">
        <v>0.2</v>
      </c>
      <c r="K1714">
        <v>0</v>
      </c>
      <c r="L1714" t="s">
        <v>4746</v>
      </c>
      <c r="M1714" s="37">
        <v>0.75</v>
      </c>
      <c r="N1714" s="37">
        <v>0.1</v>
      </c>
      <c r="O1714">
        <v>75</v>
      </c>
      <c r="P1714" s="37">
        <v>0.9702</v>
      </c>
      <c r="Q1714">
        <v>97.02</v>
      </c>
      <c r="R1714">
        <v>800</v>
      </c>
      <c r="S1714">
        <v>1500</v>
      </c>
      <c r="T1714">
        <v>1000</v>
      </c>
      <c r="U1714" t="s">
        <v>4598</v>
      </c>
      <c r="W1714" t="s">
        <v>1035</v>
      </c>
      <c r="X1714" t="s">
        <v>817</v>
      </c>
      <c r="Z1714" s="37">
        <v>0</v>
      </c>
      <c r="AA1714" s="37">
        <v>0.2</v>
      </c>
      <c r="AB1714">
        <v>0</v>
      </c>
    </row>
    <row r="1715">
      <c r="A1715" t="s">
        <v>4759</v>
      </c>
      <c r="B1715" t="s">
        <v>3475</v>
      </c>
      <c r="C1715" t="s">
        <v>3475</v>
      </c>
      <c r="D1715" t="s">
        <v>4748</v>
      </c>
      <c r="E1715" t="s">
        <v>4760</v>
      </c>
      <c r="F1715" t="s">
        <v>298</v>
      </c>
      <c r="G1715" t="s">
        <v>4750</v>
      </c>
      <c r="H1715" t="s">
        <v>4751</v>
      </c>
      <c r="I1715" t="s">
        <v>4752</v>
      </c>
      <c r="J1715" s="38">
        <v>0.2</v>
      </c>
      <c r="K1715">
        <v>0</v>
      </c>
      <c r="L1715" t="s">
        <v>4746</v>
      </c>
      <c r="M1715" s="37">
        <v>0.992</v>
      </c>
      <c r="N1715" s="37">
        <v>0.3</v>
      </c>
      <c r="O1715">
        <v>99.2</v>
      </c>
      <c r="P1715" s="37">
        <v>0.9776</v>
      </c>
      <c r="Q1715">
        <v>97.76</v>
      </c>
      <c r="R1715">
        <v>1500</v>
      </c>
      <c r="S1715">
        <v>2100</v>
      </c>
      <c r="T1715">
        <v>1000</v>
      </c>
      <c r="U1715" t="s">
        <v>4598</v>
      </c>
      <c r="W1715" t="s">
        <v>1035</v>
      </c>
      <c r="X1715" t="s">
        <v>817</v>
      </c>
      <c r="Z1715" s="37">
        <v>0</v>
      </c>
      <c r="AA1715" s="37">
        <v>0.2</v>
      </c>
      <c r="AB1715">
        <v>0</v>
      </c>
    </row>
    <row r="1716">
      <c r="A1716" t="s">
        <v>4759</v>
      </c>
      <c r="B1716" t="s">
        <v>3475</v>
      </c>
      <c r="C1716" t="s">
        <v>3475</v>
      </c>
      <c r="D1716" t="s">
        <v>4748</v>
      </c>
      <c r="E1716" t="s">
        <v>4760</v>
      </c>
      <c r="F1716" t="s">
        <v>298</v>
      </c>
      <c r="G1716" t="s">
        <v>4750</v>
      </c>
      <c r="H1716" t="s">
        <v>4753</v>
      </c>
      <c r="I1716" t="s">
        <v>4754</v>
      </c>
      <c r="J1716" s="38">
        <v>0.2</v>
      </c>
      <c r="K1716">
        <v>0</v>
      </c>
      <c r="L1716" t="s">
        <v>4746</v>
      </c>
      <c r="M1716" s="37">
        <v>1</v>
      </c>
      <c r="N1716" s="37">
        <v>0.6</v>
      </c>
      <c r="O1716">
        <v>100</v>
      </c>
      <c r="P1716" s="37">
        <v>0.9776</v>
      </c>
      <c r="Q1716">
        <v>97.76</v>
      </c>
      <c r="R1716">
        <v>1500</v>
      </c>
      <c r="S1716">
        <v>2100</v>
      </c>
      <c r="T1716">
        <v>1000</v>
      </c>
      <c r="U1716" t="s">
        <v>4598</v>
      </c>
      <c r="W1716" t="s">
        <v>1035</v>
      </c>
      <c r="X1716" t="s">
        <v>817</v>
      </c>
      <c r="Z1716" s="37">
        <v>0</v>
      </c>
      <c r="AA1716" s="37">
        <v>0.2</v>
      </c>
      <c r="AB1716">
        <v>0</v>
      </c>
    </row>
    <row r="1717">
      <c r="A1717" t="s">
        <v>4759</v>
      </c>
      <c r="B1717" t="s">
        <v>3475</v>
      </c>
      <c r="C1717" t="s">
        <v>3475</v>
      </c>
      <c r="D1717" t="s">
        <v>4748</v>
      </c>
      <c r="E1717" t="s">
        <v>4760</v>
      </c>
      <c r="F1717" t="s">
        <v>298</v>
      </c>
      <c r="G1717" t="s">
        <v>4750</v>
      </c>
      <c r="H1717" t="s">
        <v>4755</v>
      </c>
      <c r="I1717" t="s">
        <v>4756</v>
      </c>
      <c r="J1717" s="38">
        <v>0.2</v>
      </c>
      <c r="K1717">
        <v>0</v>
      </c>
      <c r="L1717" t="s">
        <v>4746</v>
      </c>
      <c r="M1717" s="37">
        <v>0.8</v>
      </c>
      <c r="N1717" s="37">
        <v>0.1</v>
      </c>
      <c r="O1717">
        <v>80</v>
      </c>
      <c r="P1717" s="37">
        <v>0.9776</v>
      </c>
      <c r="Q1717">
        <v>97.76</v>
      </c>
      <c r="R1717">
        <v>1500</v>
      </c>
      <c r="S1717">
        <v>2100</v>
      </c>
      <c r="T1717">
        <v>1000</v>
      </c>
      <c r="U1717" t="s">
        <v>4598</v>
      </c>
      <c r="W1717" t="s">
        <v>1035</v>
      </c>
      <c r="X1717" t="s">
        <v>817</v>
      </c>
      <c r="Z1717" s="37">
        <v>0</v>
      </c>
      <c r="AA1717" s="37">
        <v>0.2</v>
      </c>
      <c r="AB1717">
        <v>0</v>
      </c>
    </row>
    <row r="1718">
      <c r="A1718" t="s">
        <v>4761</v>
      </c>
      <c r="B1718" t="s">
        <v>3475</v>
      </c>
      <c r="C1718" t="s">
        <v>3475</v>
      </c>
      <c r="D1718" t="s">
        <v>4748</v>
      </c>
      <c r="E1718" t="s">
        <v>4762</v>
      </c>
      <c r="F1718" t="s">
        <v>298</v>
      </c>
      <c r="G1718" t="s">
        <v>4750</v>
      </c>
      <c r="H1718" t="s">
        <v>4751</v>
      </c>
      <c r="I1718" t="s">
        <v>4763</v>
      </c>
      <c r="J1718" s="38">
        <v>0.2</v>
      </c>
      <c r="K1718">
        <v>0</v>
      </c>
      <c r="L1718" t="s">
        <v>4746</v>
      </c>
      <c r="M1718" s="37">
        <v>0.993</v>
      </c>
      <c r="N1718" s="37">
        <v>0.3</v>
      </c>
      <c r="O1718">
        <v>99.3</v>
      </c>
      <c r="P1718" s="37">
        <v>0.9779</v>
      </c>
      <c r="Q1718">
        <v>98.04</v>
      </c>
      <c r="R1718">
        <v>1000</v>
      </c>
      <c r="S1718">
        <v>1600</v>
      </c>
      <c r="T1718">
        <v>1000</v>
      </c>
      <c r="U1718" t="s">
        <v>4598</v>
      </c>
      <c r="W1718" t="s">
        <v>1035</v>
      </c>
      <c r="X1718" t="s">
        <v>817</v>
      </c>
      <c r="Z1718" s="37">
        <v>0</v>
      </c>
      <c r="AA1718" s="37">
        <v>0.2</v>
      </c>
      <c r="AB1718">
        <v>0</v>
      </c>
    </row>
    <row r="1719">
      <c r="A1719" t="s">
        <v>4761</v>
      </c>
      <c r="B1719" t="s">
        <v>3475</v>
      </c>
      <c r="C1719" t="s">
        <v>3475</v>
      </c>
      <c r="D1719" t="s">
        <v>4748</v>
      </c>
      <c r="E1719" t="s">
        <v>4762</v>
      </c>
      <c r="F1719" t="s">
        <v>298</v>
      </c>
      <c r="G1719" t="s">
        <v>4750</v>
      </c>
      <c r="H1719" t="s">
        <v>4753</v>
      </c>
      <c r="I1719" t="s">
        <v>4754</v>
      </c>
      <c r="J1719" s="38">
        <v>0.2</v>
      </c>
      <c r="K1719">
        <v>0</v>
      </c>
      <c r="L1719" t="s">
        <v>4746</v>
      </c>
      <c r="M1719" s="37">
        <v>1</v>
      </c>
      <c r="N1719" s="37">
        <v>0.6</v>
      </c>
      <c r="O1719">
        <v>100</v>
      </c>
      <c r="P1719" s="37">
        <v>0.9779</v>
      </c>
      <c r="Q1719">
        <v>98.04</v>
      </c>
      <c r="R1719">
        <v>1000</v>
      </c>
      <c r="S1719">
        <v>1600</v>
      </c>
      <c r="T1719">
        <v>1000</v>
      </c>
      <c r="U1719" t="s">
        <v>4598</v>
      </c>
      <c r="W1719" t="s">
        <v>1035</v>
      </c>
      <c r="X1719" t="s">
        <v>817</v>
      </c>
      <c r="Z1719" s="37">
        <v>0</v>
      </c>
      <c r="AA1719" s="37">
        <v>0.2</v>
      </c>
      <c r="AB1719">
        <v>0</v>
      </c>
    </row>
    <row r="1720">
      <c r="A1720" t="s">
        <v>4761</v>
      </c>
      <c r="B1720" t="s">
        <v>3475</v>
      </c>
      <c r="C1720" t="s">
        <v>3475</v>
      </c>
      <c r="D1720" t="s">
        <v>4748</v>
      </c>
      <c r="E1720" t="s">
        <v>4762</v>
      </c>
      <c r="F1720" t="s">
        <v>298</v>
      </c>
      <c r="G1720" t="s">
        <v>4750</v>
      </c>
      <c r="H1720" t="s">
        <v>4755</v>
      </c>
      <c r="I1720" t="s">
        <v>4756</v>
      </c>
      <c r="J1720" s="38">
        <v>0.2</v>
      </c>
      <c r="K1720">
        <v>0</v>
      </c>
      <c r="L1720" t="s">
        <v>4746</v>
      </c>
      <c r="M1720" s="37">
        <v>0.8</v>
      </c>
      <c r="N1720" s="37">
        <v>0.1</v>
      </c>
      <c r="O1720">
        <v>80</v>
      </c>
      <c r="P1720" s="37">
        <v>0.9779</v>
      </c>
      <c r="Q1720">
        <v>98.04</v>
      </c>
      <c r="R1720">
        <v>1000</v>
      </c>
      <c r="S1720">
        <v>1600</v>
      </c>
      <c r="T1720">
        <v>1000</v>
      </c>
      <c r="U1720" t="s">
        <v>4598</v>
      </c>
      <c r="W1720" t="s">
        <v>1035</v>
      </c>
      <c r="X1720" t="s">
        <v>817</v>
      </c>
      <c r="Z1720" s="37">
        <v>0</v>
      </c>
      <c r="AA1720" s="37">
        <v>0.2</v>
      </c>
      <c r="AB1720">
        <v>0</v>
      </c>
    </row>
    <row r="1721">
      <c r="A1721" t="s">
        <v>4764</v>
      </c>
      <c r="B1721" t="s">
        <v>3475</v>
      </c>
      <c r="C1721" t="s">
        <v>3475</v>
      </c>
      <c r="D1721" t="s">
        <v>4748</v>
      </c>
      <c r="E1721" t="s">
        <v>4765</v>
      </c>
      <c r="F1721" t="s">
        <v>298</v>
      </c>
      <c r="G1721" t="s">
        <v>4750</v>
      </c>
      <c r="H1721" t="s">
        <v>4751</v>
      </c>
      <c r="I1721" t="s">
        <v>4752</v>
      </c>
      <c r="J1721" s="38">
        <v>0.2</v>
      </c>
      <c r="K1721">
        <v>0</v>
      </c>
      <c r="L1721" t="s">
        <v>4746</v>
      </c>
      <c r="M1721" s="37">
        <v>0.966</v>
      </c>
      <c r="N1721" s="37">
        <v>0.3</v>
      </c>
      <c r="O1721">
        <v>96.6</v>
      </c>
      <c r="P1721" s="37">
        <v>0.9648</v>
      </c>
      <c r="Q1721">
        <v>96.48</v>
      </c>
      <c r="R1721">
        <v>300</v>
      </c>
      <c r="S1721">
        <v>700</v>
      </c>
      <c r="T1721">
        <v>1000</v>
      </c>
      <c r="U1721" t="s">
        <v>4598</v>
      </c>
      <c r="W1721" t="s">
        <v>1035</v>
      </c>
      <c r="X1721" t="s">
        <v>817</v>
      </c>
      <c r="Z1721" s="37">
        <v>0</v>
      </c>
      <c r="AA1721" s="37">
        <v>0.2</v>
      </c>
      <c r="AB1721">
        <v>0</v>
      </c>
    </row>
    <row r="1722">
      <c r="A1722" t="s">
        <v>4764</v>
      </c>
      <c r="B1722" t="s">
        <v>3475</v>
      </c>
      <c r="C1722" t="s">
        <v>3475</v>
      </c>
      <c r="D1722" t="s">
        <v>4748</v>
      </c>
      <c r="E1722" t="s">
        <v>4765</v>
      </c>
      <c r="F1722" t="s">
        <v>298</v>
      </c>
      <c r="G1722" t="s">
        <v>4750</v>
      </c>
      <c r="H1722" t="s">
        <v>4753</v>
      </c>
      <c r="I1722" t="s">
        <v>4754</v>
      </c>
      <c r="J1722" s="38">
        <v>0.2</v>
      </c>
      <c r="K1722">
        <v>0</v>
      </c>
      <c r="L1722" t="s">
        <v>4746</v>
      </c>
      <c r="M1722" s="37">
        <v>1</v>
      </c>
      <c r="N1722" s="37">
        <v>0.6</v>
      </c>
      <c r="O1722">
        <v>100</v>
      </c>
      <c r="P1722" s="37">
        <v>0.9648</v>
      </c>
      <c r="Q1722">
        <v>96.48</v>
      </c>
      <c r="R1722">
        <v>300</v>
      </c>
      <c r="S1722">
        <v>700</v>
      </c>
      <c r="T1722">
        <v>1000</v>
      </c>
      <c r="U1722" t="s">
        <v>4598</v>
      </c>
      <c r="W1722" t="s">
        <v>1035</v>
      </c>
      <c r="X1722" t="s">
        <v>817</v>
      </c>
      <c r="Z1722" s="37">
        <v>0</v>
      </c>
      <c r="AA1722" s="37">
        <v>0.2</v>
      </c>
      <c r="AB1722">
        <v>0</v>
      </c>
    </row>
    <row r="1723">
      <c r="A1723" t="s">
        <v>4764</v>
      </c>
      <c r="B1723" t="s">
        <v>3475</v>
      </c>
      <c r="C1723" t="s">
        <v>3475</v>
      </c>
      <c r="D1723" t="s">
        <v>4748</v>
      </c>
      <c r="E1723" t="s">
        <v>4765</v>
      </c>
      <c r="F1723" t="s">
        <v>298</v>
      </c>
      <c r="G1723" t="s">
        <v>4750</v>
      </c>
      <c r="H1723" t="s">
        <v>4755</v>
      </c>
      <c r="I1723" t="s">
        <v>4756</v>
      </c>
      <c r="J1723" s="38">
        <v>0.2</v>
      </c>
      <c r="K1723">
        <v>0</v>
      </c>
      <c r="L1723" t="s">
        <v>4746</v>
      </c>
      <c r="M1723" s="37">
        <v>0.75</v>
      </c>
      <c r="N1723" s="37">
        <v>0.1</v>
      </c>
      <c r="O1723">
        <v>75</v>
      </c>
      <c r="P1723" s="37">
        <v>0.9648</v>
      </c>
      <c r="Q1723">
        <v>96.48</v>
      </c>
      <c r="R1723">
        <v>300</v>
      </c>
      <c r="S1723">
        <v>700</v>
      </c>
      <c r="T1723">
        <v>1000</v>
      </c>
      <c r="U1723" t="s">
        <v>4598</v>
      </c>
      <c r="W1723" t="s">
        <v>1035</v>
      </c>
      <c r="X1723" t="s">
        <v>817</v>
      </c>
      <c r="Z1723" s="37">
        <v>0</v>
      </c>
      <c r="AA1723" s="37">
        <v>0.2</v>
      </c>
      <c r="AB1723">
        <v>0</v>
      </c>
    </row>
    <row r="1724">
      <c r="A1724" t="s">
        <v>4766</v>
      </c>
      <c r="B1724" t="s">
        <v>3475</v>
      </c>
      <c r="C1724" t="s">
        <v>3475</v>
      </c>
      <c r="D1724" t="s">
        <v>4748</v>
      </c>
      <c r="E1724" t="s">
        <v>4767</v>
      </c>
      <c r="F1724" t="s">
        <v>298</v>
      </c>
      <c r="G1724" t="s">
        <v>4750</v>
      </c>
      <c r="H1724" t="s">
        <v>4751</v>
      </c>
      <c r="I1724" t="s">
        <v>4752</v>
      </c>
      <c r="J1724" s="38">
        <v>0.2</v>
      </c>
      <c r="K1724">
        <v>0</v>
      </c>
      <c r="L1724" t="s">
        <v>4746</v>
      </c>
      <c r="M1724" s="37">
        <v>0.996</v>
      </c>
      <c r="N1724" s="37">
        <v>0.3</v>
      </c>
      <c r="O1724">
        <v>99.6</v>
      </c>
      <c r="P1724" s="37">
        <v>0.9738</v>
      </c>
      <c r="Q1724">
        <v>97.38</v>
      </c>
      <c r="R1724">
        <v>700</v>
      </c>
      <c r="S1724">
        <v>1300</v>
      </c>
      <c r="T1724">
        <v>1000</v>
      </c>
      <c r="U1724" t="s">
        <v>4598</v>
      </c>
      <c r="W1724" t="s">
        <v>1035</v>
      </c>
      <c r="X1724" t="s">
        <v>817</v>
      </c>
      <c r="Z1724" s="37">
        <v>0</v>
      </c>
      <c r="AA1724" s="37">
        <v>0.2</v>
      </c>
      <c r="AB1724">
        <v>0</v>
      </c>
    </row>
    <row r="1725">
      <c r="A1725" t="s">
        <v>4766</v>
      </c>
      <c r="B1725" t="s">
        <v>3475</v>
      </c>
      <c r="C1725" t="s">
        <v>3475</v>
      </c>
      <c r="D1725" t="s">
        <v>4748</v>
      </c>
      <c r="E1725" t="s">
        <v>4767</v>
      </c>
      <c r="F1725" t="s">
        <v>298</v>
      </c>
      <c r="G1725" t="s">
        <v>4750</v>
      </c>
      <c r="H1725" t="s">
        <v>4753</v>
      </c>
      <c r="I1725" t="s">
        <v>4754</v>
      </c>
      <c r="J1725" s="38">
        <v>0.2</v>
      </c>
      <c r="K1725">
        <v>0</v>
      </c>
      <c r="L1725" t="s">
        <v>4746</v>
      </c>
      <c r="M1725" s="37">
        <v>1</v>
      </c>
      <c r="N1725" s="37">
        <v>0.6</v>
      </c>
      <c r="O1725">
        <v>100</v>
      </c>
      <c r="P1725" s="37">
        <v>0.9738</v>
      </c>
      <c r="Q1725">
        <v>97.38</v>
      </c>
      <c r="R1725">
        <v>700</v>
      </c>
      <c r="S1725">
        <v>1300</v>
      </c>
      <c r="T1725">
        <v>1000</v>
      </c>
      <c r="U1725" t="s">
        <v>4598</v>
      </c>
      <c r="W1725" t="s">
        <v>1035</v>
      </c>
      <c r="X1725" t="s">
        <v>817</v>
      </c>
      <c r="Z1725" s="37">
        <v>0</v>
      </c>
      <c r="AA1725" s="37">
        <v>0.2</v>
      </c>
      <c r="AB1725">
        <v>0</v>
      </c>
    </row>
    <row r="1726">
      <c r="A1726" t="s">
        <v>4766</v>
      </c>
      <c r="B1726" t="s">
        <v>3475</v>
      </c>
      <c r="C1726" t="s">
        <v>3475</v>
      </c>
      <c r="D1726" t="s">
        <v>4748</v>
      </c>
      <c r="E1726" t="s">
        <v>4767</v>
      </c>
      <c r="F1726" t="s">
        <v>298</v>
      </c>
      <c r="G1726" t="s">
        <v>4750</v>
      </c>
      <c r="H1726" t="s">
        <v>4755</v>
      </c>
      <c r="I1726" t="s">
        <v>4756</v>
      </c>
      <c r="J1726" s="38">
        <v>0.2</v>
      </c>
      <c r="K1726">
        <v>0</v>
      </c>
      <c r="L1726" t="s">
        <v>4746</v>
      </c>
      <c r="M1726" s="37">
        <v>0.75</v>
      </c>
      <c r="N1726" s="37">
        <v>0.1</v>
      </c>
      <c r="O1726">
        <v>75</v>
      </c>
      <c r="P1726" s="37">
        <v>0.9738</v>
      </c>
      <c r="Q1726">
        <v>97.38</v>
      </c>
      <c r="R1726">
        <v>700</v>
      </c>
      <c r="S1726">
        <v>1300</v>
      </c>
      <c r="T1726">
        <v>1000</v>
      </c>
      <c r="U1726" t="s">
        <v>4598</v>
      </c>
      <c r="W1726" t="s">
        <v>1035</v>
      </c>
      <c r="X1726" t="s">
        <v>817</v>
      </c>
      <c r="Z1726" s="37">
        <v>0</v>
      </c>
      <c r="AA1726" s="37">
        <v>0.2</v>
      </c>
      <c r="AB1726">
        <v>0</v>
      </c>
    </row>
    <row r="1727">
      <c r="A1727" t="s">
        <v>4768</v>
      </c>
      <c r="B1727" t="s">
        <v>3475</v>
      </c>
      <c r="C1727" t="s">
        <v>3475</v>
      </c>
      <c r="D1727" t="s">
        <v>4748</v>
      </c>
      <c r="E1727" t="s">
        <v>4769</v>
      </c>
      <c r="F1727" t="s">
        <v>298</v>
      </c>
      <c r="G1727" t="s">
        <v>4750</v>
      </c>
      <c r="H1727" t="s">
        <v>4751</v>
      </c>
      <c r="I1727" t="s">
        <v>4752</v>
      </c>
      <c r="J1727" s="38">
        <v>0.2</v>
      </c>
      <c r="K1727">
        <v>0</v>
      </c>
      <c r="L1727" t="s">
        <v>4746</v>
      </c>
      <c r="M1727" s="37">
        <v>1</v>
      </c>
      <c r="N1727" s="37">
        <v>0.3</v>
      </c>
      <c r="O1727">
        <v>100</v>
      </c>
      <c r="P1727" s="37">
        <v>0.98</v>
      </c>
      <c r="Q1727">
        <v>98.5</v>
      </c>
      <c r="R1727">
        <v>1300</v>
      </c>
      <c r="S1727">
        <v>1900</v>
      </c>
      <c r="T1727">
        <v>1000</v>
      </c>
      <c r="U1727" t="s">
        <v>4598</v>
      </c>
      <c r="W1727" t="s">
        <v>1035</v>
      </c>
      <c r="X1727" t="s">
        <v>817</v>
      </c>
      <c r="Z1727" s="37">
        <v>0</v>
      </c>
      <c r="AA1727" s="37">
        <v>0.2</v>
      </c>
      <c r="AB1727">
        <v>0</v>
      </c>
    </row>
    <row r="1728">
      <c r="A1728" t="s">
        <v>4768</v>
      </c>
      <c r="B1728" t="s">
        <v>3475</v>
      </c>
      <c r="C1728" t="s">
        <v>3475</v>
      </c>
      <c r="D1728" t="s">
        <v>4748</v>
      </c>
      <c r="E1728" t="s">
        <v>4769</v>
      </c>
      <c r="F1728" t="s">
        <v>298</v>
      </c>
      <c r="G1728" t="s">
        <v>4750</v>
      </c>
      <c r="H1728" t="s">
        <v>4753</v>
      </c>
      <c r="I1728" t="s">
        <v>4754</v>
      </c>
      <c r="J1728" s="38">
        <v>0.2</v>
      </c>
      <c r="K1728">
        <v>0</v>
      </c>
      <c r="L1728" t="s">
        <v>4746</v>
      </c>
      <c r="M1728" s="37">
        <v>1</v>
      </c>
      <c r="N1728" s="37">
        <v>0.6</v>
      </c>
      <c r="O1728">
        <v>100</v>
      </c>
      <c r="P1728" s="37">
        <v>0.98</v>
      </c>
      <c r="Q1728">
        <v>98.5</v>
      </c>
      <c r="R1728">
        <v>1300</v>
      </c>
      <c r="S1728">
        <v>1900</v>
      </c>
      <c r="T1728">
        <v>1000</v>
      </c>
      <c r="U1728" t="s">
        <v>4598</v>
      </c>
      <c r="W1728" t="s">
        <v>1035</v>
      </c>
      <c r="X1728" t="s">
        <v>817</v>
      </c>
      <c r="Z1728" s="37">
        <v>0</v>
      </c>
      <c r="AA1728" s="37">
        <v>0.2</v>
      </c>
      <c r="AB1728">
        <v>0</v>
      </c>
    </row>
    <row r="1729">
      <c r="A1729" t="s">
        <v>4768</v>
      </c>
      <c r="B1729" t="s">
        <v>3475</v>
      </c>
      <c r="C1729" t="s">
        <v>3475</v>
      </c>
      <c r="D1729" t="s">
        <v>4748</v>
      </c>
      <c r="E1729" t="s">
        <v>4769</v>
      </c>
      <c r="F1729" t="s">
        <v>298</v>
      </c>
      <c r="G1729" t="s">
        <v>4750</v>
      </c>
      <c r="H1729" t="s">
        <v>4755</v>
      </c>
      <c r="I1729" t="s">
        <v>4756</v>
      </c>
      <c r="J1729" s="38">
        <v>0.2</v>
      </c>
      <c r="K1729">
        <v>0</v>
      </c>
      <c r="L1729" t="s">
        <v>4746</v>
      </c>
      <c r="M1729" s="37">
        <v>0.8</v>
      </c>
      <c r="N1729" s="37">
        <v>0.1</v>
      </c>
      <c r="O1729">
        <v>80</v>
      </c>
      <c r="P1729" s="37">
        <v>0.98</v>
      </c>
      <c r="Q1729">
        <v>98.5</v>
      </c>
      <c r="R1729">
        <v>1300</v>
      </c>
      <c r="S1729">
        <v>1900</v>
      </c>
      <c r="T1729">
        <v>1000</v>
      </c>
      <c r="U1729" t="s">
        <v>4598</v>
      </c>
      <c r="W1729" t="s">
        <v>1035</v>
      </c>
      <c r="X1729" t="s">
        <v>817</v>
      </c>
      <c r="Z1729" s="37">
        <v>0</v>
      </c>
      <c r="AA1729" s="37">
        <v>0.2</v>
      </c>
      <c r="AB1729">
        <v>0</v>
      </c>
    </row>
    <row r="1730">
      <c r="A1730" t="s">
        <v>4770</v>
      </c>
      <c r="B1730" t="s">
        <v>3475</v>
      </c>
      <c r="C1730" t="s">
        <v>3475</v>
      </c>
      <c r="D1730" t="s">
        <v>4748</v>
      </c>
      <c r="E1730" t="s">
        <v>4771</v>
      </c>
      <c r="F1730" t="s">
        <v>298</v>
      </c>
      <c r="G1730" t="s">
        <v>4750</v>
      </c>
      <c r="H1730" t="s">
        <v>4751</v>
      </c>
      <c r="I1730" t="s">
        <v>4752</v>
      </c>
      <c r="J1730" s="38">
        <v>0.2</v>
      </c>
      <c r="K1730">
        <v>0</v>
      </c>
      <c r="L1730" t="s">
        <v>4746</v>
      </c>
      <c r="M1730" s="37">
        <v>0.992</v>
      </c>
      <c r="N1730" s="37">
        <v>0.3</v>
      </c>
      <c r="O1730">
        <v>99.2</v>
      </c>
      <c r="P1730" s="37">
        <v>0.9726</v>
      </c>
      <c r="Q1730">
        <v>97.26</v>
      </c>
      <c r="R1730">
        <v>1100</v>
      </c>
      <c r="S1730">
        <v>1400</v>
      </c>
      <c r="T1730">
        <v>1000</v>
      </c>
      <c r="U1730" t="s">
        <v>4598</v>
      </c>
      <c r="W1730" t="s">
        <v>1035</v>
      </c>
      <c r="X1730" t="s">
        <v>817</v>
      </c>
      <c r="Z1730" s="37">
        <v>0</v>
      </c>
      <c r="AA1730" s="37">
        <v>0.2</v>
      </c>
      <c r="AB1730">
        <v>0</v>
      </c>
    </row>
    <row r="1731">
      <c r="A1731" t="s">
        <v>4770</v>
      </c>
      <c r="B1731" t="s">
        <v>3475</v>
      </c>
      <c r="C1731" t="s">
        <v>3475</v>
      </c>
      <c r="D1731" t="s">
        <v>4748</v>
      </c>
      <c r="E1731" t="s">
        <v>4771</v>
      </c>
      <c r="F1731" t="s">
        <v>298</v>
      </c>
      <c r="G1731" t="s">
        <v>4750</v>
      </c>
      <c r="H1731" t="s">
        <v>4753</v>
      </c>
      <c r="I1731" t="s">
        <v>4754</v>
      </c>
      <c r="J1731" s="38">
        <v>0.2</v>
      </c>
      <c r="K1731">
        <v>0</v>
      </c>
      <c r="L1731" t="s">
        <v>4746</v>
      </c>
      <c r="M1731" s="37">
        <v>1</v>
      </c>
      <c r="N1731" s="37">
        <v>0.6</v>
      </c>
      <c r="O1731">
        <v>100</v>
      </c>
      <c r="P1731" s="37">
        <v>0.9726</v>
      </c>
      <c r="Q1731">
        <v>97.26</v>
      </c>
      <c r="R1731">
        <v>1100</v>
      </c>
      <c r="S1731">
        <v>1400</v>
      </c>
      <c r="T1731">
        <v>1000</v>
      </c>
      <c r="U1731" t="s">
        <v>4598</v>
      </c>
      <c r="W1731" t="s">
        <v>1035</v>
      </c>
      <c r="X1731" t="s">
        <v>817</v>
      </c>
      <c r="Z1731" s="37">
        <v>0</v>
      </c>
      <c r="AA1731" s="37">
        <v>0.2</v>
      </c>
      <c r="AB1731">
        <v>0</v>
      </c>
    </row>
    <row r="1732">
      <c r="A1732" t="s">
        <v>4770</v>
      </c>
      <c r="B1732" t="s">
        <v>3475</v>
      </c>
      <c r="C1732" t="s">
        <v>3475</v>
      </c>
      <c r="D1732" t="s">
        <v>4748</v>
      </c>
      <c r="E1732" t="s">
        <v>4771</v>
      </c>
      <c r="F1732" t="s">
        <v>298</v>
      </c>
      <c r="G1732" t="s">
        <v>4750</v>
      </c>
      <c r="H1732" t="s">
        <v>4755</v>
      </c>
      <c r="I1732" t="s">
        <v>4756</v>
      </c>
      <c r="J1732" s="38">
        <v>0.2</v>
      </c>
      <c r="K1732">
        <v>0</v>
      </c>
      <c r="L1732" t="s">
        <v>4746</v>
      </c>
      <c r="M1732" s="37">
        <v>0.75</v>
      </c>
      <c r="N1732" s="37">
        <v>0.1</v>
      </c>
      <c r="O1732">
        <v>75</v>
      </c>
      <c r="P1732" s="37">
        <v>0.9726</v>
      </c>
      <c r="Q1732">
        <v>97.26</v>
      </c>
      <c r="R1732">
        <v>1100</v>
      </c>
      <c r="S1732">
        <v>1400</v>
      </c>
      <c r="T1732">
        <v>1000</v>
      </c>
      <c r="U1732" t="s">
        <v>4598</v>
      </c>
      <c r="W1732" t="s">
        <v>1035</v>
      </c>
      <c r="X1732" t="s">
        <v>817</v>
      </c>
      <c r="Z1732" s="37">
        <v>0</v>
      </c>
      <c r="AA1732" s="37">
        <v>0.2</v>
      </c>
      <c r="AB1732">
        <v>0</v>
      </c>
    </row>
    <row r="1733">
      <c r="A1733" t="s">
        <v>4772</v>
      </c>
      <c r="B1733" t="s">
        <v>3475</v>
      </c>
      <c r="C1733" t="s">
        <v>3475</v>
      </c>
      <c r="D1733" t="s">
        <v>4748</v>
      </c>
      <c r="E1733" t="s">
        <v>4773</v>
      </c>
      <c r="F1733" t="s">
        <v>298</v>
      </c>
      <c r="G1733" t="s">
        <v>4750</v>
      </c>
      <c r="H1733" t="s">
        <v>4751</v>
      </c>
      <c r="I1733" t="s">
        <v>4752</v>
      </c>
      <c r="J1733" s="38">
        <v>0.2</v>
      </c>
      <c r="K1733">
        <v>0</v>
      </c>
      <c r="L1733" t="s">
        <v>4746</v>
      </c>
      <c r="M1733" s="37">
        <v>0.994</v>
      </c>
      <c r="N1733" s="37">
        <v>0.3</v>
      </c>
      <c r="O1733">
        <v>99.4</v>
      </c>
      <c r="P1733" s="37">
        <v>0.9782</v>
      </c>
      <c r="Q1733">
        <v>97.82</v>
      </c>
      <c r="R1733">
        <v>1800</v>
      </c>
      <c r="S1733">
        <v>2400</v>
      </c>
      <c r="T1733">
        <v>1000</v>
      </c>
      <c r="U1733" t="s">
        <v>4598</v>
      </c>
      <c r="W1733" t="s">
        <v>1035</v>
      </c>
      <c r="X1733" t="s">
        <v>817</v>
      </c>
      <c r="Z1733" s="37">
        <v>0</v>
      </c>
      <c r="AA1733" s="37">
        <v>0.2</v>
      </c>
      <c r="AB1733">
        <v>0</v>
      </c>
    </row>
    <row r="1734">
      <c r="A1734" t="s">
        <v>4772</v>
      </c>
      <c r="B1734" t="s">
        <v>3475</v>
      </c>
      <c r="C1734" t="s">
        <v>3475</v>
      </c>
      <c r="D1734" t="s">
        <v>4748</v>
      </c>
      <c r="E1734" t="s">
        <v>4773</v>
      </c>
      <c r="F1734" t="s">
        <v>298</v>
      </c>
      <c r="G1734" t="s">
        <v>4750</v>
      </c>
      <c r="H1734" t="s">
        <v>4753</v>
      </c>
      <c r="I1734" t="s">
        <v>4754</v>
      </c>
      <c r="J1734" s="38">
        <v>0.2</v>
      </c>
      <c r="K1734">
        <v>0</v>
      </c>
      <c r="L1734" t="s">
        <v>4746</v>
      </c>
      <c r="M1734" s="37">
        <v>1</v>
      </c>
      <c r="N1734" s="37">
        <v>0.6</v>
      </c>
      <c r="O1734">
        <v>100</v>
      </c>
      <c r="P1734" s="37">
        <v>0.9782</v>
      </c>
      <c r="Q1734">
        <v>97.82</v>
      </c>
      <c r="R1734">
        <v>1800</v>
      </c>
      <c r="S1734">
        <v>2400</v>
      </c>
      <c r="T1734">
        <v>1000</v>
      </c>
      <c r="U1734" t="s">
        <v>4598</v>
      </c>
      <c r="W1734" t="s">
        <v>1035</v>
      </c>
      <c r="X1734" t="s">
        <v>817</v>
      </c>
      <c r="Z1734" s="37">
        <v>0</v>
      </c>
      <c r="AA1734" s="37">
        <v>0.2</v>
      </c>
      <c r="AB1734">
        <v>0</v>
      </c>
    </row>
    <row r="1735">
      <c r="A1735" t="s">
        <v>4772</v>
      </c>
      <c r="B1735" t="s">
        <v>3475</v>
      </c>
      <c r="C1735" t="s">
        <v>3475</v>
      </c>
      <c r="D1735" t="s">
        <v>4748</v>
      </c>
      <c r="E1735" t="s">
        <v>4773</v>
      </c>
      <c r="F1735" t="s">
        <v>298</v>
      </c>
      <c r="G1735" t="s">
        <v>4750</v>
      </c>
      <c r="H1735" t="s">
        <v>4755</v>
      </c>
      <c r="I1735" t="s">
        <v>4756</v>
      </c>
      <c r="J1735" s="38">
        <v>0.2</v>
      </c>
      <c r="K1735">
        <v>0</v>
      </c>
      <c r="L1735" t="s">
        <v>4746</v>
      </c>
      <c r="M1735" s="37">
        <v>0.8</v>
      </c>
      <c r="N1735" s="37">
        <v>0.1</v>
      </c>
      <c r="O1735">
        <v>80</v>
      </c>
      <c r="P1735" s="37">
        <v>0.9782</v>
      </c>
      <c r="Q1735">
        <v>97.82</v>
      </c>
      <c r="R1735">
        <v>1800</v>
      </c>
      <c r="S1735">
        <v>2400</v>
      </c>
      <c r="T1735">
        <v>1000</v>
      </c>
      <c r="U1735" t="s">
        <v>4598</v>
      </c>
      <c r="W1735" t="s">
        <v>1035</v>
      </c>
      <c r="X1735" t="s">
        <v>817</v>
      </c>
      <c r="Z1735" s="37">
        <v>0</v>
      </c>
      <c r="AA1735" s="37">
        <v>0.2</v>
      </c>
      <c r="AB1735">
        <v>0</v>
      </c>
    </row>
    <row r="1736">
      <c r="A1736" t="s">
        <v>4774</v>
      </c>
      <c r="B1736" t="s">
        <v>3475</v>
      </c>
      <c r="C1736" t="s">
        <v>3475</v>
      </c>
      <c r="D1736" t="s">
        <v>4748</v>
      </c>
      <c r="E1736" t="s">
        <v>4775</v>
      </c>
      <c r="F1736" t="s">
        <v>298</v>
      </c>
      <c r="G1736" t="s">
        <v>4750</v>
      </c>
      <c r="H1736" t="s">
        <v>4751</v>
      </c>
      <c r="I1736" t="s">
        <v>4752</v>
      </c>
      <c r="J1736" s="38">
        <v>0.2</v>
      </c>
      <c r="K1736">
        <v>0</v>
      </c>
      <c r="L1736" t="s">
        <v>4746</v>
      </c>
      <c r="M1736" s="37">
        <v>0.994</v>
      </c>
      <c r="N1736" s="37">
        <v>0.3</v>
      </c>
      <c r="O1736">
        <v>99.4</v>
      </c>
      <c r="P1736" s="37">
        <v>0.9782</v>
      </c>
      <c r="Q1736">
        <v>98.32</v>
      </c>
      <c r="R1736">
        <v>1300</v>
      </c>
      <c r="S1736">
        <v>1300</v>
      </c>
      <c r="T1736">
        <v>1000</v>
      </c>
      <c r="U1736" t="s">
        <v>4598</v>
      </c>
      <c r="W1736" t="s">
        <v>1035</v>
      </c>
      <c r="X1736" t="s">
        <v>817</v>
      </c>
      <c r="Z1736" s="37">
        <v>0</v>
      </c>
      <c r="AA1736" s="37">
        <v>0.2</v>
      </c>
      <c r="AB1736">
        <v>0</v>
      </c>
    </row>
    <row r="1737">
      <c r="A1737" t="s">
        <v>4774</v>
      </c>
      <c r="B1737" t="s">
        <v>3475</v>
      </c>
      <c r="C1737" t="s">
        <v>3475</v>
      </c>
      <c r="D1737" t="s">
        <v>4748</v>
      </c>
      <c r="E1737" t="s">
        <v>4775</v>
      </c>
      <c r="F1737" t="s">
        <v>298</v>
      </c>
      <c r="G1737" t="s">
        <v>4750</v>
      </c>
      <c r="H1737" t="s">
        <v>4753</v>
      </c>
      <c r="I1737" t="s">
        <v>4754</v>
      </c>
      <c r="J1737" s="38">
        <v>0.2</v>
      </c>
      <c r="K1737">
        <v>0</v>
      </c>
      <c r="L1737" t="s">
        <v>4746</v>
      </c>
      <c r="M1737" s="37">
        <v>1</v>
      </c>
      <c r="N1737" s="37">
        <v>0.6</v>
      </c>
      <c r="O1737">
        <v>100</v>
      </c>
      <c r="P1737" s="37">
        <v>0.9782</v>
      </c>
      <c r="Q1737">
        <v>98.32</v>
      </c>
      <c r="R1737">
        <v>1300</v>
      </c>
      <c r="S1737">
        <v>1300</v>
      </c>
      <c r="T1737">
        <v>1000</v>
      </c>
      <c r="U1737" t="s">
        <v>4598</v>
      </c>
      <c r="W1737" t="s">
        <v>1035</v>
      </c>
      <c r="X1737" t="s">
        <v>817</v>
      </c>
      <c r="Z1737" s="37">
        <v>0</v>
      </c>
      <c r="AA1737" s="37">
        <v>0.2</v>
      </c>
      <c r="AB1737">
        <v>0</v>
      </c>
    </row>
    <row r="1738">
      <c r="A1738" t="s">
        <v>4774</v>
      </c>
      <c r="B1738" t="s">
        <v>3475</v>
      </c>
      <c r="C1738" t="s">
        <v>3475</v>
      </c>
      <c r="D1738" t="s">
        <v>4748</v>
      </c>
      <c r="E1738" t="s">
        <v>4775</v>
      </c>
      <c r="F1738" t="s">
        <v>298</v>
      </c>
      <c r="G1738" t="s">
        <v>4750</v>
      </c>
      <c r="H1738" t="s">
        <v>4755</v>
      </c>
      <c r="I1738" t="s">
        <v>4756</v>
      </c>
      <c r="J1738" s="38">
        <v>0.2</v>
      </c>
      <c r="K1738">
        <v>0</v>
      </c>
      <c r="L1738" t="s">
        <v>4746</v>
      </c>
      <c r="M1738" s="37">
        <v>0.8</v>
      </c>
      <c r="N1738" s="37">
        <v>0.1</v>
      </c>
      <c r="O1738">
        <v>80</v>
      </c>
      <c r="P1738" s="37">
        <v>0.9782</v>
      </c>
      <c r="Q1738">
        <v>98.32</v>
      </c>
      <c r="R1738">
        <v>1300</v>
      </c>
      <c r="S1738">
        <v>1300</v>
      </c>
      <c r="T1738">
        <v>1000</v>
      </c>
      <c r="U1738" t="s">
        <v>4598</v>
      </c>
      <c r="W1738" t="s">
        <v>1035</v>
      </c>
      <c r="X1738" t="s">
        <v>817</v>
      </c>
      <c r="Z1738" s="37">
        <v>0</v>
      </c>
      <c r="AA1738" s="37">
        <v>0.2</v>
      </c>
      <c r="AB1738">
        <v>0</v>
      </c>
    </row>
    <row r="1739">
      <c r="A1739" t="s">
        <v>4776</v>
      </c>
      <c r="B1739" t="s">
        <v>3475</v>
      </c>
      <c r="C1739" t="s">
        <v>3475</v>
      </c>
      <c r="D1739" t="s">
        <v>4748</v>
      </c>
      <c r="E1739" t="s">
        <v>4777</v>
      </c>
      <c r="F1739" t="s">
        <v>298</v>
      </c>
      <c r="G1739" t="s">
        <v>4750</v>
      </c>
      <c r="H1739" t="s">
        <v>4751</v>
      </c>
      <c r="I1739" t="s">
        <v>4752</v>
      </c>
      <c r="J1739" s="38">
        <v>0.2</v>
      </c>
      <c r="K1739">
        <v>0</v>
      </c>
      <c r="L1739" t="s">
        <v>4746</v>
      </c>
      <c r="M1739" s="37">
        <v>0.996</v>
      </c>
      <c r="N1739" s="37">
        <v>0.3</v>
      </c>
      <c r="O1739">
        <v>99.6</v>
      </c>
      <c r="P1739" s="37">
        <v>0.9788</v>
      </c>
      <c r="Q1739">
        <v>98.88</v>
      </c>
      <c r="R1739">
        <v>1500</v>
      </c>
      <c r="S1739">
        <v>1900</v>
      </c>
      <c r="T1739">
        <v>1000</v>
      </c>
      <c r="U1739" t="s">
        <v>4598</v>
      </c>
      <c r="W1739" t="s">
        <v>1035</v>
      </c>
      <c r="X1739" t="s">
        <v>817</v>
      </c>
      <c r="Z1739" s="37">
        <v>0</v>
      </c>
      <c r="AA1739" s="37">
        <v>0.2</v>
      </c>
      <c r="AB1739">
        <v>0</v>
      </c>
    </row>
    <row r="1740">
      <c r="A1740" t="s">
        <v>4776</v>
      </c>
      <c r="B1740" t="s">
        <v>3475</v>
      </c>
      <c r="C1740" t="s">
        <v>3475</v>
      </c>
      <c r="D1740" t="s">
        <v>4748</v>
      </c>
      <c r="E1740" t="s">
        <v>4777</v>
      </c>
      <c r="F1740" t="s">
        <v>298</v>
      </c>
      <c r="G1740" t="s">
        <v>4750</v>
      </c>
      <c r="H1740" t="s">
        <v>4753</v>
      </c>
      <c r="I1740" t="s">
        <v>4754</v>
      </c>
      <c r="J1740" s="38">
        <v>0.2</v>
      </c>
      <c r="K1740">
        <v>0</v>
      </c>
      <c r="L1740" t="s">
        <v>4746</v>
      </c>
      <c r="M1740" s="37">
        <v>1</v>
      </c>
      <c r="N1740" s="37">
        <v>0.6</v>
      </c>
      <c r="O1740">
        <v>100</v>
      </c>
      <c r="P1740" s="37">
        <v>0.9788</v>
      </c>
      <c r="Q1740">
        <v>98.88</v>
      </c>
      <c r="R1740">
        <v>1500</v>
      </c>
      <c r="S1740">
        <v>1900</v>
      </c>
      <c r="T1740">
        <v>1000</v>
      </c>
      <c r="U1740" t="s">
        <v>4598</v>
      </c>
      <c r="W1740" t="s">
        <v>1035</v>
      </c>
      <c r="X1740" t="s">
        <v>817</v>
      </c>
      <c r="Z1740" s="37">
        <v>0</v>
      </c>
      <c r="AA1740" s="37">
        <v>0.2</v>
      </c>
      <c r="AB1740">
        <v>0</v>
      </c>
    </row>
    <row r="1741">
      <c r="A1741" t="s">
        <v>4776</v>
      </c>
      <c r="B1741" t="s">
        <v>3475</v>
      </c>
      <c r="C1741" t="s">
        <v>3475</v>
      </c>
      <c r="D1741" t="s">
        <v>4748</v>
      </c>
      <c r="E1741" t="s">
        <v>4777</v>
      </c>
      <c r="F1741" t="s">
        <v>298</v>
      </c>
      <c r="G1741" t="s">
        <v>4750</v>
      </c>
      <c r="H1741" t="s">
        <v>4755</v>
      </c>
      <c r="I1741" t="s">
        <v>4756</v>
      </c>
      <c r="J1741" s="38">
        <v>0.2</v>
      </c>
      <c r="K1741">
        <v>0</v>
      </c>
      <c r="L1741" t="s">
        <v>4746</v>
      </c>
      <c r="M1741" s="37">
        <v>0.8</v>
      </c>
      <c r="N1741" s="37">
        <v>0.1</v>
      </c>
      <c r="O1741">
        <v>80</v>
      </c>
      <c r="P1741" s="37">
        <v>0.9788</v>
      </c>
      <c r="Q1741">
        <v>98.88</v>
      </c>
      <c r="R1741">
        <v>1500</v>
      </c>
      <c r="S1741">
        <v>1900</v>
      </c>
      <c r="T1741">
        <v>1000</v>
      </c>
      <c r="U1741" t="s">
        <v>4598</v>
      </c>
      <c r="W1741" t="s">
        <v>1035</v>
      </c>
      <c r="X1741" t="s">
        <v>817</v>
      </c>
      <c r="Z1741" s="37">
        <v>0</v>
      </c>
      <c r="AA1741" s="37">
        <v>0.2</v>
      </c>
      <c r="AB1741">
        <v>0</v>
      </c>
    </row>
    <row r="1742">
      <c r="A1742" t="s">
        <v>4778</v>
      </c>
      <c r="B1742" t="s">
        <v>3475</v>
      </c>
      <c r="C1742" t="s">
        <v>3475</v>
      </c>
      <c r="D1742" t="s">
        <v>4748</v>
      </c>
      <c r="E1742" t="s">
        <v>4779</v>
      </c>
      <c r="F1742" t="s">
        <v>298</v>
      </c>
      <c r="G1742" t="s">
        <v>4750</v>
      </c>
      <c r="H1742" t="s">
        <v>4751</v>
      </c>
      <c r="I1742" t="s">
        <v>4752</v>
      </c>
      <c r="J1742" s="38">
        <v>0.2</v>
      </c>
      <c r="K1742">
        <v>0</v>
      </c>
      <c r="L1742" t="s">
        <v>4746</v>
      </c>
      <c r="M1742" s="37">
        <v>0.996</v>
      </c>
      <c r="N1742" s="37">
        <v>0.3</v>
      </c>
      <c r="O1742">
        <v>99.6</v>
      </c>
      <c r="P1742" s="37">
        <v>0.9788</v>
      </c>
      <c r="Q1742">
        <v>97.88</v>
      </c>
      <c r="R1742">
        <v>1000</v>
      </c>
      <c r="S1742">
        <v>1000</v>
      </c>
      <c r="T1742">
        <v>1000</v>
      </c>
      <c r="U1742" t="s">
        <v>4598</v>
      </c>
      <c r="W1742" t="s">
        <v>1035</v>
      </c>
      <c r="X1742" t="s">
        <v>817</v>
      </c>
      <c r="Z1742" s="37">
        <v>0</v>
      </c>
      <c r="AA1742" s="37">
        <v>0.2</v>
      </c>
      <c r="AB1742">
        <v>0</v>
      </c>
    </row>
    <row r="1743">
      <c r="A1743" t="s">
        <v>4778</v>
      </c>
      <c r="B1743" t="s">
        <v>3475</v>
      </c>
      <c r="C1743" t="s">
        <v>3475</v>
      </c>
      <c r="D1743" t="s">
        <v>4748</v>
      </c>
      <c r="E1743" t="s">
        <v>4779</v>
      </c>
      <c r="F1743" t="s">
        <v>298</v>
      </c>
      <c r="G1743" t="s">
        <v>4750</v>
      </c>
      <c r="H1743" t="s">
        <v>4753</v>
      </c>
      <c r="I1743" t="s">
        <v>4754</v>
      </c>
      <c r="J1743" s="38">
        <v>0.2</v>
      </c>
      <c r="K1743">
        <v>0</v>
      </c>
      <c r="L1743" t="s">
        <v>4746</v>
      </c>
      <c r="M1743" s="37">
        <v>1</v>
      </c>
      <c r="N1743" s="37">
        <v>0.6</v>
      </c>
      <c r="O1743">
        <v>100</v>
      </c>
      <c r="P1743" s="37">
        <v>0.9788</v>
      </c>
      <c r="Q1743">
        <v>97.88</v>
      </c>
      <c r="R1743">
        <v>1000</v>
      </c>
      <c r="S1743">
        <v>1000</v>
      </c>
      <c r="T1743">
        <v>1000</v>
      </c>
      <c r="U1743" t="s">
        <v>4598</v>
      </c>
      <c r="W1743" t="s">
        <v>1035</v>
      </c>
      <c r="X1743" t="s">
        <v>817</v>
      </c>
      <c r="Z1743" s="37">
        <v>0</v>
      </c>
      <c r="AA1743" s="37">
        <v>0.2</v>
      </c>
      <c r="AB1743">
        <v>0</v>
      </c>
    </row>
    <row r="1744">
      <c r="A1744" t="s">
        <v>4778</v>
      </c>
      <c r="B1744" t="s">
        <v>3475</v>
      </c>
      <c r="C1744" t="s">
        <v>3475</v>
      </c>
      <c r="D1744" t="s">
        <v>4748</v>
      </c>
      <c r="E1744" t="s">
        <v>4779</v>
      </c>
      <c r="F1744" t="s">
        <v>298</v>
      </c>
      <c r="G1744" t="s">
        <v>4750</v>
      </c>
      <c r="H1744" t="s">
        <v>4755</v>
      </c>
      <c r="I1744" t="s">
        <v>4756</v>
      </c>
      <c r="J1744" s="38">
        <v>0.2</v>
      </c>
      <c r="K1744">
        <v>0</v>
      </c>
      <c r="L1744" t="s">
        <v>4746</v>
      </c>
      <c r="M1744" s="37">
        <v>0.8</v>
      </c>
      <c r="N1744" s="37">
        <v>0.1</v>
      </c>
      <c r="O1744">
        <v>80</v>
      </c>
      <c r="P1744" s="37">
        <v>0.9788</v>
      </c>
      <c r="Q1744">
        <v>97.88</v>
      </c>
      <c r="R1744">
        <v>1000</v>
      </c>
      <c r="S1744">
        <v>1000</v>
      </c>
      <c r="T1744">
        <v>1000</v>
      </c>
      <c r="U1744" t="s">
        <v>4598</v>
      </c>
      <c r="W1744" t="s">
        <v>1035</v>
      </c>
      <c r="X1744" t="s">
        <v>817</v>
      </c>
      <c r="Z1744" s="37">
        <v>0</v>
      </c>
      <c r="AA1744" s="37">
        <v>0.2</v>
      </c>
      <c r="AB1744">
        <v>0</v>
      </c>
    </row>
    <row r="1745">
      <c r="A1745" t="s">
        <v>4780</v>
      </c>
      <c r="B1745" t="s">
        <v>3475</v>
      </c>
      <c r="C1745" t="s">
        <v>3475</v>
      </c>
      <c r="D1745" t="s">
        <v>4748</v>
      </c>
      <c r="E1745" t="s">
        <v>4781</v>
      </c>
      <c r="F1745" t="s">
        <v>298</v>
      </c>
      <c r="G1745" t="s">
        <v>4750</v>
      </c>
      <c r="H1745" t="s">
        <v>4751</v>
      </c>
      <c r="I1745" t="s">
        <v>4763</v>
      </c>
      <c r="J1745" s="38">
        <v>0.2</v>
      </c>
      <c r="K1745">
        <v>0</v>
      </c>
      <c r="L1745">
        <v>98.7</v>
      </c>
      <c r="M1745" s="37">
        <v>0.987</v>
      </c>
      <c r="N1745" s="37">
        <v>0.3</v>
      </c>
      <c r="O1745">
        <v>98.7</v>
      </c>
      <c r="P1745" s="37">
        <v>0.9711</v>
      </c>
      <c r="Q1745">
        <v>97.11</v>
      </c>
      <c r="R1745">
        <v>500</v>
      </c>
      <c r="S1745">
        <v>1100</v>
      </c>
      <c r="T1745">
        <v>1000</v>
      </c>
      <c r="U1745" t="s">
        <v>4598</v>
      </c>
      <c r="W1745" t="s">
        <v>1035</v>
      </c>
      <c r="X1745" t="s">
        <v>817</v>
      </c>
      <c r="Z1745" s="37">
        <v>0</v>
      </c>
      <c r="AA1745" s="37">
        <v>0.2</v>
      </c>
      <c r="AB1745">
        <v>0</v>
      </c>
    </row>
    <row r="1746">
      <c r="A1746" t="s">
        <v>4780</v>
      </c>
      <c r="B1746" t="s">
        <v>3475</v>
      </c>
      <c r="C1746" t="s">
        <v>3475</v>
      </c>
      <c r="D1746" t="s">
        <v>4748</v>
      </c>
      <c r="E1746" t="s">
        <v>4781</v>
      </c>
      <c r="F1746" t="s">
        <v>298</v>
      </c>
      <c r="G1746" t="s">
        <v>4750</v>
      </c>
      <c r="H1746" t="s">
        <v>4753</v>
      </c>
      <c r="I1746" t="s">
        <v>4754</v>
      </c>
      <c r="J1746" s="38">
        <v>0.2</v>
      </c>
      <c r="K1746">
        <v>0</v>
      </c>
      <c r="L1746">
        <v>98.7</v>
      </c>
      <c r="M1746" s="37">
        <v>1</v>
      </c>
      <c r="N1746" s="37">
        <v>0.6</v>
      </c>
      <c r="O1746">
        <v>100</v>
      </c>
      <c r="P1746" s="37">
        <v>0.9711</v>
      </c>
      <c r="Q1746">
        <v>97.11</v>
      </c>
      <c r="R1746">
        <v>500</v>
      </c>
      <c r="S1746">
        <v>1100</v>
      </c>
      <c r="T1746">
        <v>1000</v>
      </c>
      <c r="U1746" t="s">
        <v>4598</v>
      </c>
      <c r="W1746" t="s">
        <v>1035</v>
      </c>
      <c r="X1746" t="s">
        <v>817</v>
      </c>
      <c r="Z1746" s="37">
        <v>0</v>
      </c>
      <c r="AA1746" s="37">
        <v>0.2</v>
      </c>
      <c r="AB1746">
        <v>0</v>
      </c>
    </row>
    <row r="1747">
      <c r="A1747" t="s">
        <v>4780</v>
      </c>
      <c r="B1747" t="s">
        <v>3475</v>
      </c>
      <c r="C1747" t="s">
        <v>3475</v>
      </c>
      <c r="D1747" t="s">
        <v>4748</v>
      </c>
      <c r="E1747" t="s">
        <v>4781</v>
      </c>
      <c r="F1747" t="s">
        <v>298</v>
      </c>
      <c r="G1747" t="s">
        <v>4750</v>
      </c>
      <c r="H1747" t="s">
        <v>4755</v>
      </c>
      <c r="I1747" t="s">
        <v>4756</v>
      </c>
      <c r="J1747" s="38">
        <v>0.2</v>
      </c>
      <c r="K1747">
        <v>0</v>
      </c>
      <c r="L1747">
        <v>98.7</v>
      </c>
      <c r="M1747" s="37">
        <v>0.75</v>
      </c>
      <c r="N1747" s="37">
        <v>0.1</v>
      </c>
      <c r="O1747">
        <v>75</v>
      </c>
      <c r="P1747" s="37">
        <v>0.9711</v>
      </c>
      <c r="Q1747">
        <v>97.11</v>
      </c>
      <c r="R1747">
        <v>500</v>
      </c>
      <c r="S1747">
        <v>1100</v>
      </c>
      <c r="T1747">
        <v>1000</v>
      </c>
      <c r="U1747" t="s">
        <v>4598</v>
      </c>
      <c r="W1747" t="s">
        <v>1035</v>
      </c>
      <c r="X1747" t="s">
        <v>817</v>
      </c>
      <c r="Z1747" s="37">
        <v>0</v>
      </c>
      <c r="AA1747" s="37">
        <v>0.2</v>
      </c>
      <c r="AB1747">
        <v>0</v>
      </c>
    </row>
    <row r="1748">
      <c r="A1748" t="s">
        <v>4782</v>
      </c>
      <c r="B1748" t="s">
        <v>3475</v>
      </c>
      <c r="C1748" t="s">
        <v>3475</v>
      </c>
      <c r="D1748" t="s">
        <v>4748</v>
      </c>
      <c r="E1748" t="s">
        <v>4783</v>
      </c>
      <c r="F1748" t="s">
        <v>298</v>
      </c>
      <c r="G1748" t="s">
        <v>4750</v>
      </c>
      <c r="H1748" t="s">
        <v>4751</v>
      </c>
      <c r="I1748" t="s">
        <v>4784</v>
      </c>
      <c r="J1748" s="38">
        <v>0.2</v>
      </c>
      <c r="K1748">
        <v>0</v>
      </c>
      <c r="L1748" t="s">
        <v>4784</v>
      </c>
      <c r="M1748" s="37">
        <v>0</v>
      </c>
      <c r="N1748" s="37">
        <v>0.3</v>
      </c>
      <c r="O1748">
        <v>0</v>
      </c>
      <c r="P1748" s="37">
        <v>0</v>
      </c>
      <c r="Q1748">
        <v>0</v>
      </c>
      <c r="R1748">
        <v>0</v>
      </c>
      <c r="S1748">
        <v>0</v>
      </c>
      <c r="T1748">
        <v>1000</v>
      </c>
      <c r="U1748" t="s">
        <v>4598</v>
      </c>
      <c r="W1748" t="s">
        <v>1035</v>
      </c>
      <c r="X1748" t="s">
        <v>817</v>
      </c>
      <c r="Z1748" s="37">
        <v>0</v>
      </c>
      <c r="AA1748" s="37">
        <v>0.2</v>
      </c>
      <c r="AB1748">
        <v>0</v>
      </c>
    </row>
    <row r="1749">
      <c r="A1749" t="s">
        <v>4782</v>
      </c>
      <c r="B1749" t="s">
        <v>3475</v>
      </c>
      <c r="C1749" t="s">
        <v>3475</v>
      </c>
      <c r="D1749" t="s">
        <v>4748</v>
      </c>
      <c r="E1749" t="s">
        <v>4783</v>
      </c>
      <c r="F1749" t="s">
        <v>298</v>
      </c>
      <c r="G1749" t="s">
        <v>4750</v>
      </c>
      <c r="H1749" t="s">
        <v>4753</v>
      </c>
      <c r="I1749" t="s">
        <v>4784</v>
      </c>
      <c r="J1749" s="38">
        <v>0.2</v>
      </c>
      <c r="K1749">
        <v>0</v>
      </c>
      <c r="L1749" t="s">
        <v>4784</v>
      </c>
      <c r="M1749" s="37">
        <v>0</v>
      </c>
      <c r="N1749" s="37">
        <v>0.6</v>
      </c>
      <c r="O1749">
        <v>0</v>
      </c>
      <c r="P1749" s="37">
        <v>0</v>
      </c>
      <c r="Q1749">
        <v>0</v>
      </c>
      <c r="R1749">
        <v>0</v>
      </c>
      <c r="S1749">
        <v>0</v>
      </c>
      <c r="T1749">
        <v>1000</v>
      </c>
      <c r="U1749" t="s">
        <v>4598</v>
      </c>
      <c r="W1749" t="s">
        <v>1035</v>
      </c>
      <c r="X1749" t="s">
        <v>817</v>
      </c>
      <c r="Z1749" s="37">
        <v>0</v>
      </c>
      <c r="AA1749" s="37">
        <v>0.2</v>
      </c>
      <c r="AB1749">
        <v>0</v>
      </c>
    </row>
    <row r="1750">
      <c r="A1750" t="s">
        <v>4782</v>
      </c>
      <c r="B1750" t="s">
        <v>3475</v>
      </c>
      <c r="C1750" t="s">
        <v>3475</v>
      </c>
      <c r="D1750" t="s">
        <v>4748</v>
      </c>
      <c r="E1750" t="s">
        <v>4783</v>
      </c>
      <c r="F1750" t="s">
        <v>298</v>
      </c>
      <c r="G1750" t="s">
        <v>4750</v>
      </c>
      <c r="H1750" t="s">
        <v>4755</v>
      </c>
      <c r="I1750" t="s">
        <v>4784</v>
      </c>
      <c r="J1750" s="38">
        <v>0.2</v>
      </c>
      <c r="K1750">
        <v>0</v>
      </c>
      <c r="L1750" t="s">
        <v>4784</v>
      </c>
      <c r="M1750" s="37">
        <v>0</v>
      </c>
      <c r="N1750" s="37">
        <v>0.1</v>
      </c>
      <c r="O1750">
        <v>0</v>
      </c>
      <c r="P1750" s="37">
        <v>0</v>
      </c>
      <c r="Q1750">
        <v>0</v>
      </c>
      <c r="R1750">
        <v>0</v>
      </c>
      <c r="S1750">
        <v>0</v>
      </c>
      <c r="T1750">
        <v>1000</v>
      </c>
      <c r="U1750" t="s">
        <v>4598</v>
      </c>
      <c r="W1750" t="s">
        <v>1035</v>
      </c>
      <c r="X1750" t="s">
        <v>817</v>
      </c>
      <c r="Z1750" s="37">
        <v>0</v>
      </c>
      <c r="AA1750" s="37">
        <v>0.2</v>
      </c>
      <c r="AB1750">
        <v>0</v>
      </c>
    </row>
    <row r="1751">
      <c r="A1751" t="s">
        <v>4785</v>
      </c>
      <c r="B1751" t="s">
        <v>3475</v>
      </c>
      <c r="C1751" t="s">
        <v>3475</v>
      </c>
      <c r="D1751" t="s">
        <v>4748</v>
      </c>
      <c r="E1751" t="s">
        <v>4786</v>
      </c>
      <c r="F1751" t="s">
        <v>298</v>
      </c>
      <c r="G1751" t="s">
        <v>4750</v>
      </c>
      <c r="H1751" t="s">
        <v>4751</v>
      </c>
      <c r="I1751" t="s">
        <v>4784</v>
      </c>
      <c r="J1751" s="38">
        <v>0.2</v>
      </c>
      <c r="K1751">
        <v>0</v>
      </c>
      <c r="L1751" t="s">
        <v>4784</v>
      </c>
      <c r="M1751" s="37">
        <v>0</v>
      </c>
      <c r="N1751" s="37">
        <v>0.3</v>
      </c>
      <c r="O1751">
        <v>0</v>
      </c>
      <c r="P1751" s="37">
        <v>0</v>
      </c>
      <c r="Q1751">
        <v>0</v>
      </c>
      <c r="R1751">
        <v>0</v>
      </c>
      <c r="S1751">
        <v>200</v>
      </c>
      <c r="T1751">
        <v>1000</v>
      </c>
      <c r="U1751" t="s">
        <v>4598</v>
      </c>
      <c r="W1751" t="s">
        <v>1035</v>
      </c>
      <c r="X1751" t="s">
        <v>817</v>
      </c>
      <c r="Z1751" s="37">
        <v>0</v>
      </c>
      <c r="AA1751" s="37">
        <v>0.2</v>
      </c>
      <c r="AB1751">
        <v>0</v>
      </c>
    </row>
    <row r="1752">
      <c r="A1752" t="s">
        <v>4785</v>
      </c>
      <c r="B1752" t="s">
        <v>3475</v>
      </c>
      <c r="C1752" t="s">
        <v>3475</v>
      </c>
      <c r="D1752" t="s">
        <v>4748</v>
      </c>
      <c r="E1752" t="s">
        <v>4786</v>
      </c>
      <c r="F1752" t="s">
        <v>298</v>
      </c>
      <c r="G1752" t="s">
        <v>4750</v>
      </c>
      <c r="H1752" t="s">
        <v>4753</v>
      </c>
      <c r="I1752" t="s">
        <v>4784</v>
      </c>
      <c r="J1752" s="38">
        <v>0.2</v>
      </c>
      <c r="K1752">
        <v>0</v>
      </c>
      <c r="L1752" t="s">
        <v>4784</v>
      </c>
      <c r="M1752" s="37">
        <v>0</v>
      </c>
      <c r="N1752" s="37">
        <v>0.6</v>
      </c>
      <c r="O1752">
        <v>0</v>
      </c>
      <c r="P1752" s="37">
        <v>0</v>
      </c>
      <c r="Q1752">
        <v>0</v>
      </c>
      <c r="R1752">
        <v>0</v>
      </c>
      <c r="S1752">
        <v>200</v>
      </c>
      <c r="T1752">
        <v>1000</v>
      </c>
      <c r="U1752" t="s">
        <v>4598</v>
      </c>
      <c r="W1752" t="s">
        <v>1035</v>
      </c>
      <c r="X1752" t="s">
        <v>817</v>
      </c>
      <c r="Z1752" s="37">
        <v>0</v>
      </c>
      <c r="AA1752" s="37">
        <v>0.2</v>
      </c>
      <c r="AB1752">
        <v>0</v>
      </c>
    </row>
    <row r="1753">
      <c r="A1753" t="s">
        <v>4785</v>
      </c>
      <c r="B1753" t="s">
        <v>3475</v>
      </c>
      <c r="C1753" t="s">
        <v>3475</v>
      </c>
      <c r="D1753" t="s">
        <v>4748</v>
      </c>
      <c r="E1753" t="s">
        <v>4786</v>
      </c>
      <c r="F1753" t="s">
        <v>298</v>
      </c>
      <c r="G1753" t="s">
        <v>4750</v>
      </c>
      <c r="H1753" t="s">
        <v>4755</v>
      </c>
      <c r="I1753" t="s">
        <v>4784</v>
      </c>
      <c r="J1753" s="38">
        <v>0.2</v>
      </c>
      <c r="K1753">
        <v>0</v>
      </c>
      <c r="L1753" t="s">
        <v>4784</v>
      </c>
      <c r="M1753" s="37">
        <v>0</v>
      </c>
      <c r="N1753" s="37">
        <v>0.1</v>
      </c>
      <c r="O1753">
        <v>0</v>
      </c>
      <c r="P1753" s="37">
        <v>0</v>
      </c>
      <c r="Q1753">
        <v>0</v>
      </c>
      <c r="R1753">
        <v>0</v>
      </c>
      <c r="S1753">
        <v>200</v>
      </c>
      <c r="T1753">
        <v>1000</v>
      </c>
      <c r="U1753" t="s">
        <v>4598</v>
      </c>
      <c r="W1753" t="s">
        <v>1035</v>
      </c>
      <c r="X1753" t="s">
        <v>817</v>
      </c>
      <c r="Z1753" s="37">
        <v>0</v>
      </c>
      <c r="AA1753" s="37">
        <v>0.2</v>
      </c>
      <c r="AB1753">
        <v>0</v>
      </c>
    </row>
    <row r="1754">
      <c r="A1754" t="s">
        <v>4787</v>
      </c>
      <c r="B1754" t="s">
        <v>3475</v>
      </c>
      <c r="C1754" t="s">
        <v>3475</v>
      </c>
      <c r="D1754" t="s">
        <v>4748</v>
      </c>
      <c r="E1754" t="s">
        <v>4788</v>
      </c>
      <c r="F1754" t="s">
        <v>298</v>
      </c>
      <c r="G1754" t="s">
        <v>4750</v>
      </c>
      <c r="H1754" t="s">
        <v>4751</v>
      </c>
      <c r="I1754" t="s">
        <v>4784</v>
      </c>
      <c r="J1754" s="38">
        <v>0.2</v>
      </c>
      <c r="K1754">
        <v>0</v>
      </c>
      <c r="L1754" t="s">
        <v>4784</v>
      </c>
      <c r="M1754" s="37">
        <v>0</v>
      </c>
      <c r="N1754" s="37">
        <v>0.3</v>
      </c>
      <c r="O1754">
        <v>0</v>
      </c>
      <c r="P1754" s="37">
        <v>0</v>
      </c>
      <c r="Q1754">
        <v>0</v>
      </c>
      <c r="R1754">
        <v>0</v>
      </c>
      <c r="S1754">
        <v>0</v>
      </c>
      <c r="T1754">
        <v>1000</v>
      </c>
      <c r="U1754" t="s">
        <v>4598</v>
      </c>
      <c r="W1754" t="s">
        <v>1035</v>
      </c>
      <c r="X1754" t="s">
        <v>817</v>
      </c>
      <c r="Z1754" s="37">
        <v>0</v>
      </c>
      <c r="AA1754" s="37">
        <v>0.2</v>
      </c>
      <c r="AB1754">
        <v>0</v>
      </c>
    </row>
    <row r="1755">
      <c r="A1755" t="s">
        <v>4787</v>
      </c>
      <c r="B1755" t="s">
        <v>3475</v>
      </c>
      <c r="C1755" t="s">
        <v>3475</v>
      </c>
      <c r="D1755" t="s">
        <v>4748</v>
      </c>
      <c r="E1755" t="s">
        <v>4788</v>
      </c>
      <c r="F1755" t="s">
        <v>298</v>
      </c>
      <c r="G1755" t="s">
        <v>4750</v>
      </c>
      <c r="H1755" t="s">
        <v>4753</v>
      </c>
      <c r="I1755" t="s">
        <v>4784</v>
      </c>
      <c r="J1755" s="38">
        <v>0.2</v>
      </c>
      <c r="K1755">
        <v>0</v>
      </c>
      <c r="L1755" t="s">
        <v>4784</v>
      </c>
      <c r="M1755" s="37">
        <v>0</v>
      </c>
      <c r="N1755" s="37">
        <v>0.6</v>
      </c>
      <c r="O1755">
        <v>0</v>
      </c>
      <c r="P1755" s="37">
        <v>0</v>
      </c>
      <c r="Q1755">
        <v>0</v>
      </c>
      <c r="R1755">
        <v>0</v>
      </c>
      <c r="S1755">
        <v>0</v>
      </c>
      <c r="T1755">
        <v>1000</v>
      </c>
      <c r="U1755" t="s">
        <v>4598</v>
      </c>
      <c r="W1755" t="s">
        <v>1035</v>
      </c>
      <c r="X1755" t="s">
        <v>817</v>
      </c>
      <c r="Z1755" s="37">
        <v>0</v>
      </c>
      <c r="AA1755" s="37">
        <v>0.2</v>
      </c>
      <c r="AB1755">
        <v>0</v>
      </c>
    </row>
    <row r="1756">
      <c r="A1756" t="s">
        <v>4787</v>
      </c>
      <c r="B1756" t="s">
        <v>3475</v>
      </c>
      <c r="C1756" t="s">
        <v>3475</v>
      </c>
      <c r="D1756" t="s">
        <v>4748</v>
      </c>
      <c r="E1756" t="s">
        <v>4788</v>
      </c>
      <c r="F1756" t="s">
        <v>298</v>
      </c>
      <c r="G1756" t="s">
        <v>4750</v>
      </c>
      <c r="H1756" t="s">
        <v>4755</v>
      </c>
      <c r="I1756" t="s">
        <v>4784</v>
      </c>
      <c r="J1756" s="38">
        <v>0.2</v>
      </c>
      <c r="K1756">
        <v>0</v>
      </c>
      <c r="L1756" t="s">
        <v>4784</v>
      </c>
      <c r="M1756" s="37">
        <v>0</v>
      </c>
      <c r="N1756" s="37">
        <v>0.1</v>
      </c>
      <c r="O1756">
        <v>0</v>
      </c>
      <c r="P1756" s="37">
        <v>0</v>
      </c>
      <c r="Q1756">
        <v>0</v>
      </c>
      <c r="R1756">
        <v>0</v>
      </c>
      <c r="S1756">
        <v>0</v>
      </c>
      <c r="T1756">
        <v>1000</v>
      </c>
      <c r="U1756" t="s">
        <v>4598</v>
      </c>
      <c r="W1756" t="s">
        <v>1035</v>
      </c>
      <c r="X1756" t="s">
        <v>817</v>
      </c>
      <c r="Z1756" s="37">
        <v>0</v>
      </c>
      <c r="AA1756" s="37">
        <v>0.2</v>
      </c>
      <c r="AB1756">
        <v>0</v>
      </c>
    </row>
    <row r="1757">
      <c r="A1757" t="s">
        <v>4789</v>
      </c>
      <c r="B1757" t="s">
        <v>3475</v>
      </c>
      <c r="C1757" t="s">
        <v>3475</v>
      </c>
      <c r="D1757" t="s">
        <v>359</v>
      </c>
      <c r="E1757" t="s">
        <v>4790</v>
      </c>
      <c r="F1757" t="s">
        <v>298</v>
      </c>
      <c r="G1757" t="s">
        <v>3477</v>
      </c>
      <c r="H1757" t="s">
        <v>3484</v>
      </c>
      <c r="I1757" t="s">
        <v>4791</v>
      </c>
      <c r="J1757" t="s">
        <v>588</v>
      </c>
      <c r="K1757" t="s">
        <v>4164</v>
      </c>
      <c r="L1757" t="s">
        <v>4784</v>
      </c>
      <c r="M1757" s="37">
        <v>0</v>
      </c>
      <c r="N1757" s="37">
        <v>0.3</v>
      </c>
      <c r="O1757">
        <v>0</v>
      </c>
      <c r="P1757" s="37">
        <v>0.5175</v>
      </c>
      <c r="Q1757">
        <v>0.52</v>
      </c>
      <c r="R1757">
        <v>0</v>
      </c>
      <c r="S1757">
        <v>0</v>
      </c>
      <c r="T1757">
        <v>5000</v>
      </c>
      <c r="U1757" t="s">
        <v>4598</v>
      </c>
      <c r="W1757" t="s">
        <v>1035</v>
      </c>
      <c r="X1757" t="s">
        <v>817</v>
      </c>
      <c r="Z1757" s="37">
        <v>0</v>
      </c>
      <c r="AA1757" s="37">
        <v>0.2</v>
      </c>
      <c r="AB1757">
        <v>0</v>
      </c>
    </row>
    <row r="1758">
      <c r="A1758" t="s">
        <v>4789</v>
      </c>
      <c r="B1758" t="s">
        <v>3475</v>
      </c>
      <c r="C1758" t="s">
        <v>3475</v>
      </c>
      <c r="D1758" t="s">
        <v>359</v>
      </c>
      <c r="E1758" t="s">
        <v>4790</v>
      </c>
      <c r="F1758" t="s">
        <v>298</v>
      </c>
      <c r="G1758" t="s">
        <v>3477</v>
      </c>
      <c r="H1758" t="s">
        <v>3498</v>
      </c>
      <c r="I1758" t="s">
        <v>4792</v>
      </c>
      <c r="J1758" s="38">
        <v>1</v>
      </c>
      <c r="K1758" s="38">
        <v>0.6</v>
      </c>
      <c r="L1758" t="s">
        <v>4784</v>
      </c>
      <c r="M1758" s="37">
        <v>0.6</v>
      </c>
      <c r="N1758" s="37">
        <v>0.3</v>
      </c>
      <c r="O1758">
        <v>0.6</v>
      </c>
      <c r="P1758" s="37">
        <v>0.5175</v>
      </c>
      <c r="Q1758">
        <v>0.52</v>
      </c>
      <c r="R1758">
        <v>0</v>
      </c>
      <c r="S1758">
        <v>0</v>
      </c>
      <c r="T1758">
        <v>5000</v>
      </c>
      <c r="U1758" t="s">
        <v>4598</v>
      </c>
      <c r="W1758" t="s">
        <v>1035</v>
      </c>
      <c r="X1758" t="s">
        <v>817</v>
      </c>
      <c r="Z1758" s="37">
        <v>0</v>
      </c>
      <c r="AA1758" s="37">
        <v>0.2</v>
      </c>
      <c r="AB1758">
        <v>0</v>
      </c>
    </row>
    <row r="1759">
      <c r="A1759" t="s">
        <v>4789</v>
      </c>
      <c r="B1759" t="s">
        <v>3475</v>
      </c>
      <c r="C1759" t="s">
        <v>3475</v>
      </c>
      <c r="D1759" t="s">
        <v>359</v>
      </c>
      <c r="E1759" t="s">
        <v>4790</v>
      </c>
      <c r="F1759" t="s">
        <v>298</v>
      </c>
      <c r="G1759" t="s">
        <v>3477</v>
      </c>
      <c r="H1759" t="s">
        <v>3498</v>
      </c>
      <c r="I1759" t="s">
        <v>4793</v>
      </c>
      <c r="J1759" s="38">
        <v>1</v>
      </c>
      <c r="K1759" s="38">
        <v>1</v>
      </c>
      <c r="L1759" t="s">
        <v>4784</v>
      </c>
      <c r="M1759" s="37">
        <v>1</v>
      </c>
      <c r="N1759" s="37">
        <v>0.3</v>
      </c>
      <c r="O1759">
        <v>1</v>
      </c>
      <c r="P1759" s="37">
        <v>0.5175</v>
      </c>
      <c r="Q1759">
        <v>0.52</v>
      </c>
      <c r="R1759">
        <v>0</v>
      </c>
      <c r="S1759">
        <v>0</v>
      </c>
      <c r="T1759">
        <v>5000</v>
      </c>
      <c r="U1759" t="s">
        <v>4598</v>
      </c>
      <c r="W1759" t="s">
        <v>1035</v>
      </c>
      <c r="X1759" t="s">
        <v>817</v>
      </c>
      <c r="Z1759" s="37">
        <v>0</v>
      </c>
      <c r="AA1759" s="37">
        <v>0.2</v>
      </c>
      <c r="AB1759">
        <v>0</v>
      </c>
    </row>
    <row r="1760">
      <c r="A1760" t="s">
        <v>4789</v>
      </c>
      <c r="B1760" t="s">
        <v>3475</v>
      </c>
      <c r="C1760" t="s">
        <v>3475</v>
      </c>
      <c r="D1760" t="s">
        <v>359</v>
      </c>
      <c r="E1760" t="s">
        <v>4790</v>
      </c>
      <c r="F1760" t="s">
        <v>298</v>
      </c>
      <c r="G1760" t="s">
        <v>3477</v>
      </c>
      <c r="H1760" t="s">
        <v>3498</v>
      </c>
      <c r="I1760" t="s">
        <v>4794</v>
      </c>
      <c r="J1760" s="38">
        <v>1</v>
      </c>
      <c r="K1760" s="37">
        <v>0.375</v>
      </c>
      <c r="L1760" t="s">
        <v>4795</v>
      </c>
      <c r="M1760" s="37">
        <v>0.375</v>
      </c>
      <c r="N1760" s="37">
        <v>0.1</v>
      </c>
      <c r="O1760">
        <v>0.375</v>
      </c>
      <c r="P1760" s="37">
        <v>0.5175</v>
      </c>
      <c r="Q1760">
        <v>0.52</v>
      </c>
      <c r="R1760">
        <v>0</v>
      </c>
      <c r="S1760">
        <v>0</v>
      </c>
      <c r="T1760">
        <v>5000</v>
      </c>
      <c r="U1760" t="s">
        <v>4598</v>
      </c>
      <c r="W1760" t="s">
        <v>1035</v>
      </c>
      <c r="X1760" t="s">
        <v>817</v>
      </c>
      <c r="Z1760" s="37">
        <v>0</v>
      </c>
      <c r="AA1760" s="37">
        <v>0.2</v>
      </c>
      <c r="AB1760">
        <v>0</v>
      </c>
    </row>
    <row r="1761">
      <c r="A1761" t="s">
        <v>4796</v>
      </c>
      <c r="B1761" t="s">
        <v>4624</v>
      </c>
      <c r="C1761" t="s">
        <v>4624</v>
      </c>
      <c r="D1761" t="s">
        <v>3649</v>
      </c>
      <c r="E1761" t="s">
        <v>4797</v>
      </c>
      <c r="F1761" t="s">
        <v>298</v>
      </c>
      <c r="G1761" t="s">
        <v>4798</v>
      </c>
      <c r="H1761" t="s">
        <v>4799</v>
      </c>
      <c r="I1761" t="s">
        <v>4800</v>
      </c>
      <c r="J1761" t="s">
        <v>4801</v>
      </c>
      <c r="K1761" t="s">
        <v>4802</v>
      </c>
      <c r="L1761" t="s">
        <v>4795</v>
      </c>
      <c r="M1761" s="37">
        <v>0.965844</v>
      </c>
      <c r="N1761" s="37">
        <v>0.5</v>
      </c>
      <c r="O1761">
        <v>0.97</v>
      </c>
      <c r="P1761" s="37">
        <v>0.993839</v>
      </c>
      <c r="Q1761">
        <v>0.99</v>
      </c>
      <c r="R1761">
        <v>4925</v>
      </c>
      <c r="S1761">
        <v>4925</v>
      </c>
      <c r="T1761">
        <v>5000</v>
      </c>
      <c r="U1761" t="s">
        <v>4598</v>
      </c>
      <c r="W1761" t="s">
        <v>1035</v>
      </c>
      <c r="X1761" t="s">
        <v>817</v>
      </c>
      <c r="Z1761" s="37">
        <v>0</v>
      </c>
      <c r="AA1761" s="37">
        <v>0.2</v>
      </c>
      <c r="AB1761">
        <v>0</v>
      </c>
    </row>
    <row r="1762">
      <c r="A1762" t="s">
        <v>4796</v>
      </c>
      <c r="B1762" t="s">
        <v>4624</v>
      </c>
      <c r="C1762" t="s">
        <v>4624</v>
      </c>
      <c r="D1762" t="s">
        <v>3649</v>
      </c>
      <c r="E1762" t="s">
        <v>4797</v>
      </c>
      <c r="F1762" t="s">
        <v>298</v>
      </c>
      <c r="G1762" t="s">
        <v>4798</v>
      </c>
      <c r="H1762" t="s">
        <v>4803</v>
      </c>
      <c r="I1762" t="s">
        <v>4804</v>
      </c>
      <c r="J1762" s="37">
        <v>-0.2519</v>
      </c>
      <c r="K1762" s="37">
        <v>-0.2493</v>
      </c>
      <c r="L1762" t="s">
        <v>4805</v>
      </c>
      <c r="M1762" s="37">
        <v>1.021834</v>
      </c>
      <c r="N1762" s="37">
        <v>0.5</v>
      </c>
      <c r="O1762">
        <v>1</v>
      </c>
      <c r="P1762" s="37">
        <v>0.993839</v>
      </c>
      <c r="Q1762">
        <v>0.99</v>
      </c>
      <c r="R1762">
        <v>4925</v>
      </c>
      <c r="S1762">
        <v>4925</v>
      </c>
      <c r="T1762">
        <v>5000</v>
      </c>
      <c r="U1762" t="s">
        <v>4598</v>
      </c>
      <c r="W1762" t="s">
        <v>1035</v>
      </c>
      <c r="X1762" t="s">
        <v>817</v>
      </c>
      <c r="Z1762" s="37">
        <v>0</v>
      </c>
      <c r="AA1762" s="37">
        <v>0.2</v>
      </c>
      <c r="AB1762">
        <v>0</v>
      </c>
    </row>
    <row r="1763">
      <c r="A1763" t="s">
        <v>4806</v>
      </c>
      <c r="B1763" t="s">
        <v>4807</v>
      </c>
      <c r="C1763" t="s">
        <v>4807</v>
      </c>
      <c r="D1763" t="s">
        <v>4808</v>
      </c>
      <c r="E1763" t="s">
        <v>4809</v>
      </c>
      <c r="F1763" t="s">
        <v>298</v>
      </c>
      <c r="G1763" t="s">
        <v>4810</v>
      </c>
      <c r="H1763" t="s">
        <v>4811</v>
      </c>
      <c r="I1763">
        <v>312.420543</v>
      </c>
      <c r="J1763" t="s">
        <v>4812</v>
      </c>
      <c r="K1763" t="s">
        <v>4813</v>
      </c>
      <c r="L1763" t="s">
        <v>4814</v>
      </c>
      <c r="M1763" s="37">
        <v>0.8078</v>
      </c>
      <c r="N1763" s="37">
        <v>0.3</v>
      </c>
      <c r="O1763">
        <v>0.8078</v>
      </c>
      <c r="P1763" s="37">
        <v>1.766065</v>
      </c>
      <c r="Q1763">
        <v>0.94</v>
      </c>
      <c r="R1763">
        <v>4700</v>
      </c>
      <c r="S1763">
        <v>4700</v>
      </c>
      <c r="T1763">
        <v>5000</v>
      </c>
      <c r="U1763" t="s">
        <v>4598</v>
      </c>
      <c r="W1763" t="s">
        <v>1035</v>
      </c>
      <c r="X1763" t="s">
        <v>817</v>
      </c>
      <c r="Z1763" s="37">
        <v>0</v>
      </c>
      <c r="AA1763" s="37">
        <v>0.2</v>
      </c>
      <c r="AB1763">
        <v>0</v>
      </c>
    </row>
    <row r="1764">
      <c r="A1764" t="s">
        <v>4806</v>
      </c>
      <c r="B1764" t="s">
        <v>4807</v>
      </c>
      <c r="C1764" t="s">
        <v>4807</v>
      </c>
      <c r="D1764" t="s">
        <v>4808</v>
      </c>
      <c r="E1764" t="s">
        <v>4809</v>
      </c>
      <c r="F1764" t="s">
        <v>298</v>
      </c>
      <c r="G1764" t="s">
        <v>4810</v>
      </c>
      <c r="H1764" t="s">
        <v>4815</v>
      </c>
      <c r="I1764" t="s">
        <v>4816</v>
      </c>
      <c r="J1764" t="s">
        <v>4817</v>
      </c>
      <c r="K1764" t="s">
        <v>4818</v>
      </c>
      <c r="L1764" t="s">
        <v>4819</v>
      </c>
      <c r="M1764" s="37">
        <v>1.7618</v>
      </c>
      <c r="N1764" s="37">
        <v>0.25</v>
      </c>
      <c r="O1764">
        <v>1</v>
      </c>
      <c r="P1764" s="37">
        <v>1.766065</v>
      </c>
      <c r="Q1764">
        <v>0.94</v>
      </c>
      <c r="R1764">
        <v>4700</v>
      </c>
      <c r="S1764">
        <v>4700</v>
      </c>
      <c r="T1764">
        <v>5000</v>
      </c>
      <c r="U1764" t="s">
        <v>4598</v>
      </c>
      <c r="W1764" t="s">
        <v>1035</v>
      </c>
      <c r="X1764" t="s">
        <v>817</v>
      </c>
      <c r="Z1764" s="37">
        <v>0</v>
      </c>
      <c r="AA1764" s="37">
        <v>0.2</v>
      </c>
      <c r="AB1764">
        <v>0</v>
      </c>
    </row>
    <row r="1765">
      <c r="A1765" t="s">
        <v>4806</v>
      </c>
      <c r="B1765" t="s">
        <v>4807</v>
      </c>
      <c r="C1765" t="s">
        <v>4807</v>
      </c>
      <c r="D1765" t="s">
        <v>4808</v>
      </c>
      <c r="E1765" t="s">
        <v>4809</v>
      </c>
      <c r="F1765" t="s">
        <v>298</v>
      </c>
      <c r="G1765" t="s">
        <v>4810</v>
      </c>
      <c r="H1765" t="s">
        <v>4820</v>
      </c>
      <c r="I1765" t="s">
        <v>4821</v>
      </c>
      <c r="K1765">
        <v>532</v>
      </c>
      <c r="L1765" t="s">
        <v>4822</v>
      </c>
      <c r="M1765" s="37">
        <v>1.5331</v>
      </c>
      <c r="N1765" s="37">
        <v>0.25</v>
      </c>
      <c r="O1765">
        <v>1</v>
      </c>
      <c r="P1765" s="37">
        <v>1.766065</v>
      </c>
      <c r="Q1765">
        <v>0.94</v>
      </c>
      <c r="R1765">
        <v>4700</v>
      </c>
      <c r="S1765">
        <v>4700</v>
      </c>
      <c r="T1765">
        <v>5000</v>
      </c>
      <c r="U1765" t="s">
        <v>4598</v>
      </c>
      <c r="W1765" t="s">
        <v>1035</v>
      </c>
      <c r="X1765" t="s">
        <v>817</v>
      </c>
      <c r="Z1765" s="37">
        <v>0</v>
      </c>
      <c r="AA1765" s="37">
        <v>0.2</v>
      </c>
      <c r="AB1765">
        <v>0</v>
      </c>
    </row>
    <row r="1766">
      <c r="A1766" t="s">
        <v>4806</v>
      </c>
      <c r="B1766" t="s">
        <v>4807</v>
      </c>
      <c r="C1766" t="s">
        <v>4807</v>
      </c>
      <c r="D1766" t="s">
        <v>4808</v>
      </c>
      <c r="E1766" t="s">
        <v>4809</v>
      </c>
      <c r="F1766" t="s">
        <v>298</v>
      </c>
      <c r="G1766" t="s">
        <v>4810</v>
      </c>
      <c r="H1766" t="s">
        <v>4823</v>
      </c>
      <c r="I1766" t="s">
        <v>4824</v>
      </c>
      <c r="L1766">
        <v>7</v>
      </c>
      <c r="M1766" s="37">
        <v>3.5</v>
      </c>
      <c r="N1766" s="37">
        <v>0.2</v>
      </c>
      <c r="O1766">
        <v>1</v>
      </c>
      <c r="P1766" s="37">
        <v>1.766065</v>
      </c>
      <c r="Q1766">
        <v>0.94</v>
      </c>
      <c r="R1766">
        <v>4700</v>
      </c>
      <c r="S1766">
        <v>4700</v>
      </c>
      <c r="T1766">
        <v>5000</v>
      </c>
      <c r="U1766" t="s">
        <v>4598</v>
      </c>
      <c r="W1766" t="s">
        <v>1035</v>
      </c>
      <c r="X1766" t="s">
        <v>817</v>
      </c>
      <c r="Z1766" s="37">
        <v>0</v>
      </c>
      <c r="AA1766" s="37">
        <v>0.2</v>
      </c>
      <c r="AB1766">
        <v>0</v>
      </c>
    </row>
    <row r="1767">
      <c r="A1767" t="s">
        <v>4825</v>
      </c>
      <c r="B1767" t="s">
        <v>840</v>
      </c>
      <c r="C1767" t="s">
        <v>840</v>
      </c>
      <c r="D1767" t="s">
        <v>4808</v>
      </c>
      <c r="E1767" t="s">
        <v>4826</v>
      </c>
      <c r="F1767" t="s">
        <v>298</v>
      </c>
      <c r="G1767" t="s">
        <v>4810</v>
      </c>
      <c r="H1767" t="s">
        <v>4827</v>
      </c>
      <c r="I1767" t="s">
        <v>4828</v>
      </c>
      <c r="L1767">
        <v>7</v>
      </c>
      <c r="M1767" s="37">
        <v>0.7546</v>
      </c>
      <c r="N1767" s="37">
        <v>0.3</v>
      </c>
      <c r="O1767">
        <v>0.7546</v>
      </c>
      <c r="P1767" s="37">
        <v>0.92638</v>
      </c>
      <c r="Q1767">
        <v>0.93</v>
      </c>
      <c r="R1767">
        <v>4650</v>
      </c>
      <c r="S1767">
        <v>4650</v>
      </c>
      <c r="T1767">
        <v>5000</v>
      </c>
      <c r="U1767" t="s">
        <v>4829</v>
      </c>
      <c r="W1767" t="s">
        <v>984</v>
      </c>
      <c r="X1767" t="s">
        <v>4830</v>
      </c>
      <c r="Z1767" s="37">
        <v>0.735</v>
      </c>
      <c r="AA1767" s="37">
        <v>0.5</v>
      </c>
      <c r="AB1767">
        <v>0</v>
      </c>
    </row>
    <row r="1768">
      <c r="A1768" t="s">
        <v>4825</v>
      </c>
      <c r="B1768" t="s">
        <v>840</v>
      </c>
      <c r="C1768" t="s">
        <v>840</v>
      </c>
      <c r="D1768" t="s">
        <v>4808</v>
      </c>
      <c r="E1768" t="s">
        <v>4826</v>
      </c>
      <c r="F1768" t="s">
        <v>298</v>
      </c>
      <c r="G1768" t="s">
        <v>4810</v>
      </c>
      <c r="H1768" t="s">
        <v>4827</v>
      </c>
      <c r="I1768" t="s">
        <v>4828</v>
      </c>
      <c r="L1768">
        <v>7</v>
      </c>
      <c r="M1768" s="37">
        <v>0.7546</v>
      </c>
      <c r="N1768" s="37">
        <v>0.3</v>
      </c>
      <c r="O1768">
        <v>0.7546</v>
      </c>
      <c r="P1768" s="37">
        <v>0.92638</v>
      </c>
      <c r="Q1768">
        <v>0.93</v>
      </c>
      <c r="R1768">
        <v>4650</v>
      </c>
      <c r="S1768">
        <v>4650</v>
      </c>
      <c r="T1768">
        <v>5000</v>
      </c>
      <c r="U1768" t="s">
        <v>4831</v>
      </c>
      <c r="W1768" s="37">
        <v>-0.0883</v>
      </c>
      <c r="X1768" t="s">
        <v>4832</v>
      </c>
      <c r="Y1768" t="s">
        <v>4833</v>
      </c>
      <c r="Z1768" s="37">
        <v>0.7742</v>
      </c>
      <c r="AA1768" s="37">
        <v>0.5</v>
      </c>
      <c r="AB1768">
        <v>0</v>
      </c>
    </row>
    <row r="1769">
      <c r="A1769" t="s">
        <v>4825</v>
      </c>
      <c r="B1769" t="s">
        <v>840</v>
      </c>
      <c r="C1769" t="s">
        <v>840</v>
      </c>
      <c r="D1769" t="s">
        <v>4808</v>
      </c>
      <c r="E1769" t="s">
        <v>4826</v>
      </c>
      <c r="F1769" t="s">
        <v>298</v>
      </c>
      <c r="G1769" t="s">
        <v>4810</v>
      </c>
      <c r="H1769" t="s">
        <v>4834</v>
      </c>
      <c r="I1769" t="s">
        <v>4835</v>
      </c>
      <c r="L1769">
        <v>7</v>
      </c>
      <c r="M1769" s="37">
        <v>1</v>
      </c>
      <c r="N1769" s="37">
        <v>0.5</v>
      </c>
      <c r="O1769">
        <v>1</v>
      </c>
      <c r="P1769" s="37">
        <v>0.92638</v>
      </c>
      <c r="Q1769">
        <v>0.93</v>
      </c>
      <c r="R1769">
        <v>4650</v>
      </c>
      <c r="S1769">
        <v>4650</v>
      </c>
      <c r="T1769">
        <v>5000</v>
      </c>
      <c r="U1769" t="s">
        <v>4831</v>
      </c>
      <c r="W1769" s="37">
        <v>-0.0883</v>
      </c>
      <c r="X1769" t="s">
        <v>4832</v>
      </c>
      <c r="Y1769" t="s">
        <v>4833</v>
      </c>
      <c r="Z1769" s="37">
        <v>0.7742</v>
      </c>
      <c r="AA1769" s="37">
        <v>0.5</v>
      </c>
      <c r="AB1769">
        <v>0</v>
      </c>
    </row>
    <row r="1770">
      <c r="A1770" t="s">
        <v>4825</v>
      </c>
      <c r="B1770" t="s">
        <v>840</v>
      </c>
      <c r="C1770" t="s">
        <v>840</v>
      </c>
      <c r="D1770" t="s">
        <v>4808</v>
      </c>
      <c r="E1770" t="s">
        <v>4826</v>
      </c>
      <c r="F1770" t="s">
        <v>298</v>
      </c>
      <c r="G1770" t="s">
        <v>4810</v>
      </c>
      <c r="H1770" t="s">
        <v>4823</v>
      </c>
      <c r="I1770" t="s">
        <v>4836</v>
      </c>
      <c r="L1770">
        <v>7</v>
      </c>
      <c r="M1770" s="37">
        <v>1</v>
      </c>
      <c r="N1770" s="37">
        <v>0.2</v>
      </c>
      <c r="O1770">
        <v>1</v>
      </c>
      <c r="P1770" s="37">
        <v>0.92638</v>
      </c>
      <c r="Q1770">
        <v>0.93</v>
      </c>
      <c r="R1770">
        <v>4650</v>
      </c>
      <c r="S1770">
        <v>4650</v>
      </c>
      <c r="T1770">
        <v>5000</v>
      </c>
      <c r="U1770" t="s">
        <v>4831</v>
      </c>
      <c r="W1770" s="37">
        <v>-0.0883</v>
      </c>
      <c r="X1770" t="s">
        <v>4832</v>
      </c>
      <c r="Y1770" t="s">
        <v>4833</v>
      </c>
      <c r="Z1770" s="37">
        <v>0.7742</v>
      </c>
      <c r="AA1770" s="37">
        <v>0.5</v>
      </c>
      <c r="AB1770">
        <v>0</v>
      </c>
    </row>
    <row r="1771">
      <c r="A1771" t="s">
        <v>4837</v>
      </c>
      <c r="B1771" t="s">
        <v>3113</v>
      </c>
      <c r="C1771" t="s">
        <v>3113</v>
      </c>
      <c r="D1771" t="s">
        <v>359</v>
      </c>
      <c r="E1771" t="s">
        <v>4838</v>
      </c>
      <c r="F1771" t="s">
        <v>298</v>
      </c>
      <c r="G1771" t="s">
        <v>4810</v>
      </c>
      <c r="H1771" t="s">
        <v>4839</v>
      </c>
      <c r="I1771" t="s">
        <v>4840</v>
      </c>
      <c r="J1771" t="s">
        <v>2932</v>
      </c>
      <c r="K1771" t="s">
        <v>4841</v>
      </c>
      <c r="L1771">
        <v>7</v>
      </c>
      <c r="M1771" s="37">
        <v>0.513</v>
      </c>
      <c r="N1771" s="37">
        <v>0.7</v>
      </c>
      <c r="O1771">
        <v>0.513</v>
      </c>
      <c r="P1771" s="37">
        <v>0.36249</v>
      </c>
      <c r="Q1771">
        <v>0.7</v>
      </c>
      <c r="R1771">
        <v>3500</v>
      </c>
      <c r="S1771">
        <v>3500</v>
      </c>
      <c r="T1771">
        <v>5000</v>
      </c>
      <c r="U1771" t="s">
        <v>4831</v>
      </c>
      <c r="W1771" s="37">
        <v>-0.0883</v>
      </c>
      <c r="X1771" t="s">
        <v>4832</v>
      </c>
      <c r="Y1771" t="s">
        <v>4833</v>
      </c>
      <c r="Z1771" s="37">
        <v>0.7742</v>
      </c>
      <c r="AA1771" s="37">
        <v>0.5</v>
      </c>
      <c r="AB1771">
        <v>0</v>
      </c>
    </row>
    <row r="1772">
      <c r="A1772" t="s">
        <v>4837</v>
      </c>
      <c r="B1772" t="s">
        <v>3113</v>
      </c>
      <c r="C1772" t="s">
        <v>3113</v>
      </c>
      <c r="D1772" t="s">
        <v>359</v>
      </c>
      <c r="E1772" t="s">
        <v>4838</v>
      </c>
      <c r="F1772" t="s">
        <v>298</v>
      </c>
      <c r="G1772" t="s">
        <v>4810</v>
      </c>
      <c r="H1772" t="s">
        <v>4839</v>
      </c>
      <c r="I1772" t="s">
        <v>4842</v>
      </c>
      <c r="J1772" t="s">
        <v>4225</v>
      </c>
      <c r="K1772" t="s">
        <v>4843</v>
      </c>
      <c r="L1772">
        <v>7</v>
      </c>
      <c r="M1772" s="37">
        <v>0.0113</v>
      </c>
      <c r="N1772" s="37">
        <v>0.3</v>
      </c>
      <c r="O1772">
        <v>1.13</v>
      </c>
      <c r="P1772" s="37">
        <v>0.36249</v>
      </c>
      <c r="Q1772">
        <v>0.7</v>
      </c>
      <c r="R1772">
        <v>3500</v>
      </c>
      <c r="S1772">
        <v>3500</v>
      </c>
      <c r="T1772">
        <v>5000</v>
      </c>
      <c r="U1772" t="s">
        <v>4831</v>
      </c>
      <c r="W1772" s="37">
        <v>-0.0883</v>
      </c>
      <c r="X1772" t="s">
        <v>4832</v>
      </c>
      <c r="Y1772" t="s">
        <v>4833</v>
      </c>
      <c r="Z1772" s="37">
        <v>0.7742</v>
      </c>
      <c r="AA1772" s="37">
        <v>0.5</v>
      </c>
      <c r="AB1772">
        <v>0</v>
      </c>
    </row>
    <row r="1773">
      <c r="A1773" t="s">
        <v>4844</v>
      </c>
      <c r="B1773" t="s">
        <v>3113</v>
      </c>
      <c r="C1773" t="s">
        <v>3113</v>
      </c>
      <c r="D1773" t="s">
        <v>4808</v>
      </c>
      <c r="E1773" t="s">
        <v>4845</v>
      </c>
      <c r="F1773" t="s">
        <v>298</v>
      </c>
      <c r="G1773" t="s">
        <v>4810</v>
      </c>
      <c r="H1773" t="s">
        <v>4811</v>
      </c>
      <c r="I1773" t="s">
        <v>4846</v>
      </c>
      <c r="J1773" t="s">
        <v>4847</v>
      </c>
      <c r="K1773" t="s">
        <v>4848</v>
      </c>
      <c r="L1773">
        <v>7</v>
      </c>
      <c r="M1773" s="37">
        <v>0.98</v>
      </c>
      <c r="N1773" s="37">
        <v>0.3</v>
      </c>
      <c r="O1773">
        <v>0.9798</v>
      </c>
      <c r="P1773" s="37">
        <v>2.44875</v>
      </c>
      <c r="Q1773">
        <v>1.19</v>
      </c>
      <c r="R1773">
        <v>5950</v>
      </c>
      <c r="S1773">
        <v>6160</v>
      </c>
      <c r="T1773">
        <v>5000</v>
      </c>
      <c r="U1773" t="s">
        <v>4831</v>
      </c>
      <c r="W1773" s="37">
        <v>-0.0883</v>
      </c>
      <c r="X1773" t="s">
        <v>4832</v>
      </c>
      <c r="Y1773" t="s">
        <v>4833</v>
      </c>
      <c r="Z1773" s="37">
        <v>0.7742</v>
      </c>
      <c r="AA1773" s="37">
        <v>0.5</v>
      </c>
      <c r="AB1773">
        <v>0</v>
      </c>
    </row>
    <row r="1774">
      <c r="A1774" t="s">
        <v>4844</v>
      </c>
      <c r="B1774" t="s">
        <v>3113</v>
      </c>
      <c r="C1774" t="s">
        <v>3113</v>
      </c>
      <c r="D1774" t="s">
        <v>4808</v>
      </c>
      <c r="E1774" t="s">
        <v>4845</v>
      </c>
      <c r="F1774" t="s">
        <v>298</v>
      </c>
      <c r="G1774" t="s">
        <v>4810</v>
      </c>
      <c r="H1774" t="s">
        <v>4815</v>
      </c>
      <c r="I1774" t="s">
        <v>4849</v>
      </c>
      <c r="J1774" t="s">
        <v>4850</v>
      </c>
      <c r="K1774" t="s">
        <v>4851</v>
      </c>
      <c r="L1774">
        <v>7</v>
      </c>
      <c r="M1774" s="37">
        <v>5.955</v>
      </c>
      <c r="N1774" s="37">
        <v>0.25</v>
      </c>
      <c r="O1774">
        <v>1</v>
      </c>
      <c r="P1774" s="37">
        <v>2.44875</v>
      </c>
      <c r="Q1774">
        <v>1.19</v>
      </c>
      <c r="R1774">
        <v>5950</v>
      </c>
      <c r="S1774">
        <v>6160</v>
      </c>
      <c r="T1774">
        <v>5000</v>
      </c>
      <c r="U1774" t="s">
        <v>4831</v>
      </c>
      <c r="W1774" s="37">
        <v>-0.0883</v>
      </c>
      <c r="X1774" t="s">
        <v>4832</v>
      </c>
      <c r="Y1774" t="s">
        <v>4833</v>
      </c>
      <c r="Z1774" s="37">
        <v>0.7742</v>
      </c>
      <c r="AA1774" s="37">
        <v>0.5</v>
      </c>
      <c r="AB1774">
        <v>0</v>
      </c>
    </row>
    <row r="1775">
      <c r="A1775" t="s">
        <v>4844</v>
      </c>
      <c r="B1775" t="s">
        <v>3113</v>
      </c>
      <c r="C1775" t="s">
        <v>3113</v>
      </c>
      <c r="D1775" t="s">
        <v>4808</v>
      </c>
      <c r="E1775" t="s">
        <v>4845</v>
      </c>
      <c r="F1775" t="s">
        <v>298</v>
      </c>
      <c r="G1775" t="s">
        <v>4810</v>
      </c>
      <c r="H1775" t="s">
        <v>4820</v>
      </c>
      <c r="I1775" t="s">
        <v>4852</v>
      </c>
      <c r="K1775">
        <v>876</v>
      </c>
      <c r="L1775">
        <v>7</v>
      </c>
      <c r="M1775" s="37">
        <v>1.864</v>
      </c>
      <c r="N1775" s="37">
        <v>0.25</v>
      </c>
      <c r="O1775">
        <v>1</v>
      </c>
      <c r="P1775" s="37">
        <v>2.44875</v>
      </c>
      <c r="Q1775">
        <v>1.19</v>
      </c>
      <c r="R1775">
        <v>5950</v>
      </c>
      <c r="S1775">
        <v>6160</v>
      </c>
      <c r="T1775">
        <v>5000</v>
      </c>
      <c r="U1775" t="s">
        <v>4831</v>
      </c>
      <c r="W1775" s="37">
        <v>-0.0883</v>
      </c>
      <c r="X1775" t="s">
        <v>4832</v>
      </c>
      <c r="Y1775" t="s">
        <v>4833</v>
      </c>
      <c r="Z1775" s="37">
        <v>0.7742</v>
      </c>
      <c r="AA1775" s="37">
        <v>0.5</v>
      </c>
      <c r="AB1775">
        <v>0</v>
      </c>
    </row>
    <row r="1776">
      <c r="A1776" t="s">
        <v>4844</v>
      </c>
      <c r="B1776" t="s">
        <v>3113</v>
      </c>
      <c r="C1776" t="s">
        <v>3113</v>
      </c>
      <c r="D1776" t="s">
        <v>4808</v>
      </c>
      <c r="E1776" t="s">
        <v>4845</v>
      </c>
      <c r="F1776" t="s">
        <v>298</v>
      </c>
      <c r="G1776" t="s">
        <v>4810</v>
      </c>
      <c r="H1776" t="s">
        <v>4823</v>
      </c>
      <c r="I1776" t="s">
        <v>4853</v>
      </c>
      <c r="L1776" t="s">
        <v>4854</v>
      </c>
      <c r="M1776" s="37">
        <v>1</v>
      </c>
      <c r="N1776" s="37">
        <v>0.2</v>
      </c>
      <c r="O1776">
        <v>1</v>
      </c>
      <c r="P1776" s="37">
        <v>2.44875</v>
      </c>
      <c r="Q1776">
        <v>1.19</v>
      </c>
      <c r="R1776">
        <v>5950</v>
      </c>
      <c r="S1776">
        <v>6160</v>
      </c>
      <c r="T1776">
        <v>5000</v>
      </c>
      <c r="U1776" t="s">
        <v>4831</v>
      </c>
      <c r="W1776" s="37">
        <v>-0.0883</v>
      </c>
      <c r="X1776" t="s">
        <v>4832</v>
      </c>
      <c r="Y1776" t="s">
        <v>4833</v>
      </c>
      <c r="Z1776" s="37">
        <v>0.7742</v>
      </c>
      <c r="AA1776" s="37">
        <v>0.5</v>
      </c>
      <c r="AB1776">
        <v>0</v>
      </c>
    </row>
    <row r="1777">
      <c r="A1777" t="s">
        <v>4855</v>
      </c>
      <c r="B1777" t="s">
        <v>3442</v>
      </c>
      <c r="C1777" t="s">
        <v>3442</v>
      </c>
      <c r="D1777" t="s">
        <v>4808</v>
      </c>
      <c r="E1777" t="s">
        <v>4856</v>
      </c>
      <c r="F1777" t="s">
        <v>298</v>
      </c>
      <c r="G1777" t="s">
        <v>4810</v>
      </c>
      <c r="H1777" t="s">
        <v>4823</v>
      </c>
      <c r="I1777" t="s">
        <v>4857</v>
      </c>
      <c r="L1777" t="s">
        <v>4858</v>
      </c>
      <c r="M1777" s="37">
        <v>1</v>
      </c>
      <c r="N1777" s="37">
        <v>0.2</v>
      </c>
      <c r="O1777">
        <v>1</v>
      </c>
      <c r="P1777" s="37">
        <v>1.199</v>
      </c>
      <c r="Q1777">
        <v>1.06</v>
      </c>
      <c r="R1777">
        <v>5300</v>
      </c>
      <c r="S1777">
        <v>5300</v>
      </c>
      <c r="T1777">
        <v>5000</v>
      </c>
      <c r="U1777" t="s">
        <v>4831</v>
      </c>
      <c r="W1777" s="37">
        <v>-0.0883</v>
      </c>
      <c r="X1777" t="s">
        <v>4832</v>
      </c>
      <c r="Y1777" t="s">
        <v>4833</v>
      </c>
      <c r="Z1777" s="37">
        <v>0.7742</v>
      </c>
      <c r="AA1777" s="37">
        <v>0.5</v>
      </c>
      <c r="AB1777">
        <v>0</v>
      </c>
    </row>
    <row r="1778">
      <c r="A1778" t="s">
        <v>4855</v>
      </c>
      <c r="B1778" t="s">
        <v>3442</v>
      </c>
      <c r="C1778" t="s">
        <v>3442</v>
      </c>
      <c r="D1778" t="s">
        <v>4808</v>
      </c>
      <c r="E1778" t="s">
        <v>4856</v>
      </c>
      <c r="F1778" t="s">
        <v>298</v>
      </c>
      <c r="G1778" t="s">
        <v>4810</v>
      </c>
      <c r="H1778" t="s">
        <v>4859</v>
      </c>
      <c r="I1778" t="s">
        <v>4860</v>
      </c>
      <c r="L1778" t="s">
        <v>4861</v>
      </c>
      <c r="M1778" s="37">
        <v>1.33</v>
      </c>
      <c r="N1778" s="37">
        <v>0.3</v>
      </c>
      <c r="O1778">
        <v>1</v>
      </c>
      <c r="P1778" s="37">
        <v>1.199</v>
      </c>
      <c r="Q1778">
        <v>1.06</v>
      </c>
      <c r="R1778">
        <v>5300</v>
      </c>
      <c r="S1778">
        <v>5300</v>
      </c>
      <c r="T1778">
        <v>5000</v>
      </c>
      <c r="U1778" t="s">
        <v>4831</v>
      </c>
      <c r="W1778" s="37">
        <v>-0.0883</v>
      </c>
      <c r="X1778" t="s">
        <v>4832</v>
      </c>
      <c r="Y1778" t="s">
        <v>4833</v>
      </c>
      <c r="Z1778" s="37">
        <v>0.7742</v>
      </c>
      <c r="AA1778" s="37">
        <v>0.5</v>
      </c>
      <c r="AB1778">
        <v>0</v>
      </c>
    </row>
    <row r="1779">
      <c r="A1779" t="s">
        <v>4855</v>
      </c>
      <c r="B1779" t="s">
        <v>3442</v>
      </c>
      <c r="C1779" t="s">
        <v>3442</v>
      </c>
      <c r="D1779" t="s">
        <v>4808</v>
      </c>
      <c r="E1779" t="s">
        <v>4856</v>
      </c>
      <c r="F1779" t="s">
        <v>298</v>
      </c>
      <c r="G1779" t="s">
        <v>4810</v>
      </c>
      <c r="H1779" t="s">
        <v>4862</v>
      </c>
      <c r="I1779" t="s">
        <v>4863</v>
      </c>
      <c r="L1779" t="s">
        <v>4864</v>
      </c>
      <c r="M1779" s="37">
        <v>1</v>
      </c>
      <c r="N1779" s="37">
        <v>0.3</v>
      </c>
      <c r="O1779">
        <v>1.2</v>
      </c>
      <c r="P1779" s="37">
        <v>1.199</v>
      </c>
      <c r="Q1779">
        <v>1.06</v>
      </c>
      <c r="R1779">
        <v>5300</v>
      </c>
      <c r="S1779">
        <v>5300</v>
      </c>
      <c r="T1779">
        <v>5000</v>
      </c>
      <c r="U1779" t="s">
        <v>4831</v>
      </c>
      <c r="W1779" s="37">
        <v>-0.0883</v>
      </c>
      <c r="X1779" t="s">
        <v>4832</v>
      </c>
      <c r="Y1779" t="s">
        <v>4833</v>
      </c>
      <c r="Z1779" s="37">
        <v>0.7742</v>
      </c>
      <c r="AA1779" s="37">
        <v>0.5</v>
      </c>
      <c r="AB1779">
        <v>0</v>
      </c>
    </row>
    <row r="1780">
      <c r="A1780" t="s">
        <v>4855</v>
      </c>
      <c r="B1780" t="s">
        <v>3442</v>
      </c>
      <c r="C1780" t="s">
        <v>3442</v>
      </c>
      <c r="D1780" t="s">
        <v>4808</v>
      </c>
      <c r="E1780" t="s">
        <v>4856</v>
      </c>
      <c r="F1780" t="s">
        <v>298</v>
      </c>
      <c r="G1780" t="s">
        <v>4810</v>
      </c>
      <c r="H1780" t="s">
        <v>4865</v>
      </c>
      <c r="I1780" t="s">
        <v>4866</v>
      </c>
      <c r="K1780" t="s">
        <v>4867</v>
      </c>
      <c r="L1780" t="s">
        <v>4864</v>
      </c>
      <c r="M1780" s="37">
        <v>1.5</v>
      </c>
      <c r="N1780" s="37">
        <v>0.2</v>
      </c>
      <c r="O1780">
        <v>1</v>
      </c>
      <c r="P1780" s="37">
        <v>1.199</v>
      </c>
      <c r="Q1780">
        <v>1.06</v>
      </c>
      <c r="R1780">
        <v>5300</v>
      </c>
      <c r="S1780">
        <v>5300</v>
      </c>
      <c r="T1780">
        <v>5000</v>
      </c>
      <c r="U1780" t="s">
        <v>4831</v>
      </c>
      <c r="W1780" s="37">
        <v>-0.0883</v>
      </c>
      <c r="X1780" t="s">
        <v>4832</v>
      </c>
      <c r="Y1780" t="s">
        <v>4833</v>
      </c>
      <c r="Z1780" s="37">
        <v>0.7742</v>
      </c>
      <c r="AA1780" s="37">
        <v>0.5</v>
      </c>
      <c r="AB1780">
        <v>0</v>
      </c>
    </row>
    <row r="1781">
      <c r="A1781" t="s">
        <v>4868</v>
      </c>
      <c r="B1781" t="s">
        <v>4869</v>
      </c>
      <c r="C1781" t="s">
        <v>4869</v>
      </c>
      <c r="D1781" t="s">
        <v>4870</v>
      </c>
      <c r="E1781" t="s">
        <v>4871</v>
      </c>
      <c r="F1781" t="s">
        <v>298</v>
      </c>
      <c r="G1781" t="s">
        <v>4872</v>
      </c>
      <c r="H1781" t="s">
        <v>4873</v>
      </c>
      <c r="I1781" t="s">
        <v>4874</v>
      </c>
      <c r="J1781" t="s">
        <v>4875</v>
      </c>
      <c r="K1781" t="s">
        <v>4876</v>
      </c>
      <c r="L1781" t="s">
        <v>4877</v>
      </c>
      <c r="M1781" s="37">
        <v>1.02</v>
      </c>
      <c r="N1781" s="37">
        <v>0.2</v>
      </c>
      <c r="O1781">
        <v>1.02</v>
      </c>
      <c r="P1781" s="37">
        <v>1.172</v>
      </c>
      <c r="Q1781">
        <v>1.17</v>
      </c>
      <c r="R1781">
        <v>5860</v>
      </c>
      <c r="S1781">
        <v>6460</v>
      </c>
      <c r="T1781">
        <v>3000</v>
      </c>
      <c r="U1781" t="s">
        <v>4831</v>
      </c>
      <c r="W1781" s="37">
        <v>-0.0883</v>
      </c>
      <c r="X1781" t="s">
        <v>4832</v>
      </c>
      <c r="Y1781" t="s">
        <v>4833</v>
      </c>
      <c r="Z1781" s="37">
        <v>0.7742</v>
      </c>
      <c r="AA1781" s="37">
        <v>0.5</v>
      </c>
      <c r="AB1781">
        <v>0</v>
      </c>
    </row>
    <row r="1782">
      <c r="A1782" t="s">
        <v>4868</v>
      </c>
      <c r="B1782" t="s">
        <v>4869</v>
      </c>
      <c r="C1782" t="s">
        <v>4869</v>
      </c>
      <c r="D1782" t="s">
        <v>4870</v>
      </c>
      <c r="E1782" t="s">
        <v>4871</v>
      </c>
      <c r="F1782" t="s">
        <v>298</v>
      </c>
      <c r="G1782" t="s">
        <v>4872</v>
      </c>
      <c r="H1782" t="s">
        <v>4878</v>
      </c>
      <c r="I1782" t="s">
        <v>4879</v>
      </c>
      <c r="J1782" t="s">
        <v>2930</v>
      </c>
      <c r="K1782" t="s">
        <v>4880</v>
      </c>
      <c r="L1782" t="s">
        <v>4881</v>
      </c>
      <c r="M1782" s="37">
        <v>1.29</v>
      </c>
      <c r="N1782" s="37">
        <v>0.2</v>
      </c>
      <c r="O1782">
        <v>1.29</v>
      </c>
      <c r="P1782" s="37">
        <v>1.172</v>
      </c>
      <c r="Q1782">
        <v>1.17</v>
      </c>
      <c r="R1782">
        <v>5860</v>
      </c>
      <c r="S1782">
        <v>6460</v>
      </c>
      <c r="T1782">
        <v>3000</v>
      </c>
      <c r="U1782" t="s">
        <v>4831</v>
      </c>
      <c r="W1782" s="37">
        <v>-0.0883</v>
      </c>
      <c r="X1782" t="s">
        <v>4832</v>
      </c>
      <c r="Y1782" t="s">
        <v>4833</v>
      </c>
      <c r="Z1782" s="37">
        <v>0.7742</v>
      </c>
      <c r="AA1782" s="37">
        <v>0.5</v>
      </c>
      <c r="AB1782">
        <v>0</v>
      </c>
    </row>
    <row r="1783">
      <c r="A1783" t="s">
        <v>4868</v>
      </c>
      <c r="B1783" t="s">
        <v>4869</v>
      </c>
      <c r="C1783" t="s">
        <v>4869</v>
      </c>
      <c r="D1783" t="s">
        <v>4870</v>
      </c>
      <c r="E1783" t="s">
        <v>4871</v>
      </c>
      <c r="F1783" t="s">
        <v>298</v>
      </c>
      <c r="G1783" t="s">
        <v>4872</v>
      </c>
      <c r="H1783" t="s">
        <v>4873</v>
      </c>
      <c r="I1783" t="s">
        <v>4882</v>
      </c>
      <c r="J1783" s="37">
        <v>-0.0333</v>
      </c>
      <c r="K1783" s="37">
        <v>-0.0158</v>
      </c>
      <c r="L1783" t="s">
        <v>4881</v>
      </c>
      <c r="M1783" s="37">
        <v>1.5</v>
      </c>
      <c r="N1783" s="37">
        <v>0.2</v>
      </c>
      <c r="O1783">
        <v>1.5</v>
      </c>
      <c r="P1783" s="37">
        <v>1.172</v>
      </c>
      <c r="Q1783">
        <v>1.17</v>
      </c>
      <c r="R1783">
        <v>5860</v>
      </c>
      <c r="S1783">
        <v>6460</v>
      </c>
      <c r="T1783">
        <v>3000</v>
      </c>
      <c r="U1783" t="s">
        <v>4831</v>
      </c>
      <c r="W1783" s="37">
        <v>-0.0883</v>
      </c>
      <c r="X1783" t="s">
        <v>4832</v>
      </c>
      <c r="Y1783" t="s">
        <v>4833</v>
      </c>
      <c r="Z1783" s="37">
        <v>0.7742</v>
      </c>
      <c r="AA1783" s="37">
        <v>0.5</v>
      </c>
      <c r="AB1783">
        <v>0</v>
      </c>
    </row>
    <row r="1784">
      <c r="A1784" t="s">
        <v>4868</v>
      </c>
      <c r="B1784" t="s">
        <v>4869</v>
      </c>
      <c r="C1784" t="s">
        <v>4869</v>
      </c>
      <c r="D1784" t="s">
        <v>4870</v>
      </c>
      <c r="E1784" t="s">
        <v>4871</v>
      </c>
      <c r="F1784" t="s">
        <v>298</v>
      </c>
      <c r="G1784" t="s">
        <v>4872</v>
      </c>
      <c r="H1784" t="s">
        <v>4605</v>
      </c>
      <c r="I1784" t="s">
        <v>4883</v>
      </c>
      <c r="J1784" t="s">
        <v>342</v>
      </c>
      <c r="L1784" t="s">
        <v>4884</v>
      </c>
      <c r="M1784" s="37">
        <v>0.55</v>
      </c>
      <c r="N1784" s="37">
        <v>0.2</v>
      </c>
      <c r="O1784">
        <v>0.55</v>
      </c>
      <c r="P1784" s="37">
        <v>1.172</v>
      </c>
      <c r="Q1784">
        <v>1.17</v>
      </c>
      <c r="R1784">
        <v>5860</v>
      </c>
      <c r="S1784">
        <v>6460</v>
      </c>
      <c r="T1784">
        <v>3000</v>
      </c>
      <c r="U1784" t="s">
        <v>4831</v>
      </c>
      <c r="W1784" s="37">
        <v>-0.0883</v>
      </c>
      <c r="X1784" t="s">
        <v>4832</v>
      </c>
      <c r="Y1784" t="s">
        <v>4833</v>
      </c>
      <c r="Z1784" s="37">
        <v>0.7742</v>
      </c>
      <c r="AA1784" s="37">
        <v>0.5</v>
      </c>
      <c r="AB1784">
        <v>0</v>
      </c>
    </row>
    <row r="1785">
      <c r="A1785" t="s">
        <v>4868</v>
      </c>
      <c r="B1785" t="s">
        <v>4869</v>
      </c>
      <c r="C1785" t="s">
        <v>4869</v>
      </c>
      <c r="D1785" t="s">
        <v>4870</v>
      </c>
      <c r="E1785" t="s">
        <v>4871</v>
      </c>
      <c r="F1785" t="s">
        <v>298</v>
      </c>
      <c r="G1785" t="s">
        <v>4872</v>
      </c>
      <c r="H1785" t="s">
        <v>4885</v>
      </c>
      <c r="I1785" t="s">
        <v>4886</v>
      </c>
      <c r="K1785">
        <v>194</v>
      </c>
      <c r="L1785" t="s">
        <v>4887</v>
      </c>
      <c r="M1785" s="37">
        <v>1.5</v>
      </c>
      <c r="N1785" s="37">
        <v>0.2</v>
      </c>
      <c r="O1785">
        <v>1.5</v>
      </c>
      <c r="P1785" s="37">
        <v>1.172</v>
      </c>
      <c r="Q1785">
        <v>1.17</v>
      </c>
      <c r="R1785">
        <v>5860</v>
      </c>
      <c r="S1785">
        <v>6460</v>
      </c>
      <c r="T1785">
        <v>3000</v>
      </c>
      <c r="U1785" t="s">
        <v>4831</v>
      </c>
      <c r="W1785" s="37">
        <v>-0.0883</v>
      </c>
      <c r="X1785" t="s">
        <v>4832</v>
      </c>
      <c r="Y1785" t="s">
        <v>4833</v>
      </c>
      <c r="Z1785" s="37">
        <v>0.7742</v>
      </c>
      <c r="AA1785" s="37">
        <v>0.5</v>
      </c>
      <c r="AB1785">
        <v>0</v>
      </c>
    </row>
    <row r="1786">
      <c r="A1786" t="s">
        <v>4888</v>
      </c>
      <c r="B1786" t="s">
        <v>4518</v>
      </c>
      <c r="C1786" t="s">
        <v>4518</v>
      </c>
      <c r="D1786" t="s">
        <v>1013</v>
      </c>
      <c r="E1786" t="s">
        <v>4889</v>
      </c>
      <c r="F1786" t="s">
        <v>298</v>
      </c>
      <c r="G1786" t="s">
        <v>4890</v>
      </c>
      <c r="H1786" t="s">
        <v>4891</v>
      </c>
      <c r="I1786" t="s">
        <v>4892</v>
      </c>
      <c r="L1786" t="s">
        <v>4887</v>
      </c>
      <c r="M1786" s="37">
        <v>0.01</v>
      </c>
      <c r="N1786" s="37">
        <v>0.5</v>
      </c>
      <c r="O1786">
        <v>0</v>
      </c>
      <c r="P1786" s="37">
        <v>0.255</v>
      </c>
      <c r="Q1786">
        <v>0.28</v>
      </c>
      <c r="R1786">
        <v>2230</v>
      </c>
      <c r="S1786">
        <v>2230</v>
      </c>
      <c r="T1786">
        <v>3000</v>
      </c>
      <c r="U1786" t="s">
        <v>4831</v>
      </c>
      <c r="W1786" s="37">
        <v>-0.0883</v>
      </c>
      <c r="X1786" t="s">
        <v>4832</v>
      </c>
      <c r="Y1786" t="s">
        <v>4833</v>
      </c>
      <c r="Z1786" s="37">
        <v>0.7742</v>
      </c>
      <c r="AA1786" s="37">
        <v>0.5</v>
      </c>
      <c r="AB1786">
        <v>0</v>
      </c>
    </row>
    <row r="1787">
      <c r="A1787" t="s">
        <v>4888</v>
      </c>
      <c r="B1787" t="s">
        <v>4518</v>
      </c>
      <c r="C1787" t="s">
        <v>4518</v>
      </c>
      <c r="D1787" t="s">
        <v>1013</v>
      </c>
      <c r="E1787" t="s">
        <v>4889</v>
      </c>
      <c r="F1787" t="s">
        <v>298</v>
      </c>
      <c r="G1787" t="s">
        <v>4890</v>
      </c>
      <c r="H1787" t="s">
        <v>4891</v>
      </c>
      <c r="I1787" t="s">
        <v>4893</v>
      </c>
      <c r="L1787" t="s">
        <v>4887</v>
      </c>
      <c r="M1787" s="37">
        <v>0.5</v>
      </c>
      <c r="N1787" s="37">
        <v>0.5</v>
      </c>
      <c r="O1787">
        <v>0.283</v>
      </c>
      <c r="P1787" s="37">
        <v>0.255</v>
      </c>
      <c r="Q1787">
        <v>0.28</v>
      </c>
      <c r="R1787">
        <v>2230</v>
      </c>
      <c r="S1787">
        <v>2230</v>
      </c>
      <c r="T1787">
        <v>3000</v>
      </c>
      <c r="U1787" t="s">
        <v>4831</v>
      </c>
      <c r="W1787" s="37">
        <v>-0.0883</v>
      </c>
      <c r="X1787" t="s">
        <v>4832</v>
      </c>
      <c r="Y1787" t="s">
        <v>4833</v>
      </c>
      <c r="Z1787" s="37">
        <v>0.7742</v>
      </c>
      <c r="AA1787" s="37">
        <v>0.5</v>
      </c>
      <c r="AB1787">
        <v>0</v>
      </c>
    </row>
    <row r="1788">
      <c r="A1788" t="s">
        <v>4894</v>
      </c>
      <c r="B1788" t="s">
        <v>4518</v>
      </c>
      <c r="C1788" t="s">
        <v>4518</v>
      </c>
      <c r="D1788" t="s">
        <v>1013</v>
      </c>
      <c r="E1788" t="s">
        <v>4895</v>
      </c>
      <c r="F1788" t="s">
        <v>298</v>
      </c>
      <c r="G1788" t="s">
        <v>4890</v>
      </c>
      <c r="H1788" t="s">
        <v>4891</v>
      </c>
      <c r="I1788" t="s">
        <v>4896</v>
      </c>
      <c r="L1788" t="s">
        <v>4887</v>
      </c>
      <c r="M1788" s="37">
        <v>1</v>
      </c>
      <c r="N1788" s="37">
        <v>1</v>
      </c>
      <c r="O1788">
        <v>1</v>
      </c>
      <c r="P1788" s="37">
        <v>1</v>
      </c>
      <c r="Q1788">
        <v>1</v>
      </c>
      <c r="R1788">
        <v>3398</v>
      </c>
      <c r="S1788">
        <v>3398</v>
      </c>
      <c r="T1788">
        <v>2500</v>
      </c>
      <c r="U1788" t="s">
        <v>4831</v>
      </c>
      <c r="W1788" s="37">
        <v>-0.0883</v>
      </c>
      <c r="X1788" t="s">
        <v>4832</v>
      </c>
      <c r="Y1788" t="s">
        <v>4833</v>
      </c>
      <c r="Z1788" s="37">
        <v>0.7742</v>
      </c>
      <c r="AA1788" s="37">
        <v>0.5</v>
      </c>
      <c r="AB1788">
        <v>0</v>
      </c>
    </row>
    <row r="1789">
      <c r="A1789" t="s">
        <v>4897</v>
      </c>
      <c r="B1789" t="s">
        <v>4518</v>
      </c>
      <c r="C1789" t="s">
        <v>4518</v>
      </c>
      <c r="D1789" t="s">
        <v>1013</v>
      </c>
      <c r="E1789" t="s">
        <v>4898</v>
      </c>
      <c r="F1789" t="s">
        <v>298</v>
      </c>
      <c r="G1789" t="s">
        <v>4890</v>
      </c>
      <c r="H1789" t="s">
        <v>4899</v>
      </c>
      <c r="I1789" t="s">
        <v>4900</v>
      </c>
      <c r="J1789" t="s">
        <v>1016</v>
      </c>
      <c r="K1789" t="s">
        <v>4901</v>
      </c>
      <c r="L1789" t="s">
        <v>4887</v>
      </c>
      <c r="M1789" s="37">
        <v>1</v>
      </c>
      <c r="N1789" s="37">
        <v>1</v>
      </c>
      <c r="O1789">
        <v>1</v>
      </c>
      <c r="P1789" s="37">
        <v>1</v>
      </c>
      <c r="Q1789">
        <v>1</v>
      </c>
      <c r="R1789">
        <v>1474</v>
      </c>
      <c r="S1789">
        <v>1474</v>
      </c>
      <c r="T1789">
        <v>1500</v>
      </c>
      <c r="U1789" t="s">
        <v>4831</v>
      </c>
      <c r="W1789" s="37">
        <v>-0.0883</v>
      </c>
      <c r="X1789" t="s">
        <v>4832</v>
      </c>
      <c r="Y1789" t="s">
        <v>4833</v>
      </c>
      <c r="Z1789" s="37">
        <v>0.7742</v>
      </c>
      <c r="AA1789" s="37">
        <v>0.5</v>
      </c>
      <c r="AB1789">
        <v>0</v>
      </c>
    </row>
    <row r="1790">
      <c r="A1790" t="s">
        <v>4902</v>
      </c>
      <c r="B1790" t="s">
        <v>4518</v>
      </c>
      <c r="C1790" t="s">
        <v>4518</v>
      </c>
      <c r="D1790" t="s">
        <v>1013</v>
      </c>
      <c r="E1790" t="s">
        <v>4903</v>
      </c>
      <c r="F1790" t="s">
        <v>298</v>
      </c>
      <c r="G1790" t="s">
        <v>4890</v>
      </c>
      <c r="H1790" t="s">
        <v>4899</v>
      </c>
      <c r="I1790" t="s">
        <v>4900</v>
      </c>
      <c r="J1790" t="s">
        <v>1016</v>
      </c>
      <c r="K1790" t="s">
        <v>4904</v>
      </c>
      <c r="L1790" t="s">
        <v>4887</v>
      </c>
      <c r="M1790" s="37">
        <v>1</v>
      </c>
      <c r="N1790" s="37">
        <v>1</v>
      </c>
      <c r="O1790">
        <v>1</v>
      </c>
      <c r="P1790" s="37">
        <v>1</v>
      </c>
      <c r="Q1790">
        <v>1</v>
      </c>
      <c r="R1790">
        <v>1683</v>
      </c>
      <c r="S1790">
        <v>1683</v>
      </c>
      <c r="T1790">
        <v>1500</v>
      </c>
      <c r="U1790" t="s">
        <v>4831</v>
      </c>
      <c r="W1790" s="37">
        <v>-0.0883</v>
      </c>
      <c r="X1790" t="s">
        <v>4832</v>
      </c>
      <c r="Y1790" t="s">
        <v>4833</v>
      </c>
      <c r="Z1790" s="37">
        <v>0.7742</v>
      </c>
      <c r="AA1790" s="37">
        <v>0.5</v>
      </c>
      <c r="AB1790">
        <v>0</v>
      </c>
    </row>
    <row r="1791">
      <c r="A1791" t="s">
        <v>4905</v>
      </c>
      <c r="B1791" t="s">
        <v>4518</v>
      </c>
      <c r="C1791" t="s">
        <v>4518</v>
      </c>
      <c r="D1791" t="s">
        <v>1013</v>
      </c>
      <c r="E1791" t="s">
        <v>4906</v>
      </c>
      <c r="F1791" t="s">
        <v>298</v>
      </c>
      <c r="G1791" t="s">
        <v>4890</v>
      </c>
      <c r="H1791" t="s">
        <v>4891</v>
      </c>
      <c r="I1791" t="s">
        <v>4907</v>
      </c>
      <c r="J1791" t="s">
        <v>1016</v>
      </c>
      <c r="L1791" t="s">
        <v>4887</v>
      </c>
      <c r="M1791" s="37">
        <v>1.07</v>
      </c>
      <c r="N1791" s="37">
        <v>1</v>
      </c>
      <c r="O1791">
        <v>1.07</v>
      </c>
      <c r="P1791" s="37">
        <v>1.07</v>
      </c>
      <c r="Q1791">
        <v>1.07</v>
      </c>
      <c r="R1791">
        <v>2765</v>
      </c>
      <c r="S1791">
        <v>2765</v>
      </c>
      <c r="T1791">
        <v>1500</v>
      </c>
      <c r="U1791" t="s">
        <v>4831</v>
      </c>
      <c r="W1791" s="37">
        <v>-0.0883</v>
      </c>
      <c r="X1791" t="s">
        <v>4832</v>
      </c>
      <c r="Y1791" t="s">
        <v>4833</v>
      </c>
      <c r="Z1791" s="37">
        <v>0.7742</v>
      </c>
      <c r="AA1791" s="37">
        <v>0.5</v>
      </c>
      <c r="AB1791">
        <v>0</v>
      </c>
    </row>
    <row r="1792">
      <c r="A1792" t="s">
        <v>4908</v>
      </c>
      <c r="B1792" t="s">
        <v>4518</v>
      </c>
      <c r="C1792" t="s">
        <v>4518</v>
      </c>
      <c r="D1792" t="s">
        <v>1013</v>
      </c>
      <c r="E1792" t="s">
        <v>4909</v>
      </c>
      <c r="F1792" t="s">
        <v>298</v>
      </c>
      <c r="G1792" t="s">
        <v>4890</v>
      </c>
      <c r="H1792" t="s">
        <v>4899</v>
      </c>
      <c r="I1792" t="s">
        <v>4910</v>
      </c>
      <c r="J1792" t="s">
        <v>977</v>
      </c>
      <c r="K1792" t="s">
        <v>4911</v>
      </c>
      <c r="L1792" t="s">
        <v>4887</v>
      </c>
      <c r="M1792" s="37">
        <v>0.922</v>
      </c>
      <c r="N1792" s="37">
        <v>1</v>
      </c>
      <c r="O1792">
        <v>0.922</v>
      </c>
      <c r="P1792" s="37">
        <v>0.922</v>
      </c>
      <c r="Q1792">
        <v>0.92</v>
      </c>
      <c r="R1792">
        <v>2378</v>
      </c>
      <c r="S1792">
        <v>2378</v>
      </c>
      <c r="T1792">
        <v>1500</v>
      </c>
      <c r="U1792" t="s">
        <v>4831</v>
      </c>
      <c r="W1792" s="37">
        <v>-0.0883</v>
      </c>
      <c r="X1792" t="s">
        <v>4832</v>
      </c>
      <c r="Y1792" t="s">
        <v>4833</v>
      </c>
      <c r="Z1792" s="37">
        <v>0.7742</v>
      </c>
      <c r="AA1792" s="37">
        <v>0.5</v>
      </c>
      <c r="AB1792">
        <v>0</v>
      </c>
    </row>
    <row r="1793">
      <c r="A1793" t="s">
        <v>4912</v>
      </c>
      <c r="B1793" t="s">
        <v>4518</v>
      </c>
      <c r="C1793" t="s">
        <v>4518</v>
      </c>
      <c r="D1793" t="s">
        <v>1013</v>
      </c>
      <c r="E1793" t="s">
        <v>4913</v>
      </c>
      <c r="F1793" t="s">
        <v>298</v>
      </c>
      <c r="G1793" t="s">
        <v>4890</v>
      </c>
      <c r="H1793" t="s">
        <v>4899</v>
      </c>
      <c r="I1793" t="s">
        <v>4914</v>
      </c>
      <c r="J1793" t="s">
        <v>977</v>
      </c>
      <c r="K1793" t="s">
        <v>4915</v>
      </c>
      <c r="L1793" t="s">
        <v>4887</v>
      </c>
      <c r="M1793" s="37">
        <v>0.0456</v>
      </c>
      <c r="N1793" s="37">
        <v>1</v>
      </c>
      <c r="O1793">
        <v>0.0456</v>
      </c>
      <c r="P1793" s="37">
        <v>0.0456</v>
      </c>
      <c r="Q1793">
        <v>0.05</v>
      </c>
      <c r="R1793">
        <v>118</v>
      </c>
      <c r="S1793">
        <v>118</v>
      </c>
      <c r="T1793">
        <v>1500</v>
      </c>
      <c r="U1793" t="s">
        <v>4831</v>
      </c>
      <c r="W1793" s="37">
        <v>-0.0883</v>
      </c>
      <c r="X1793" t="s">
        <v>4832</v>
      </c>
      <c r="Y1793" t="s">
        <v>4833</v>
      </c>
      <c r="Z1793" s="37">
        <v>0.7742</v>
      </c>
      <c r="AA1793" s="37">
        <v>0.5</v>
      </c>
      <c r="AB1793">
        <v>0</v>
      </c>
    </row>
    <row r="1794">
      <c r="A1794" t="s">
        <v>4916</v>
      </c>
      <c r="B1794" t="s">
        <v>4518</v>
      </c>
      <c r="C1794" t="s">
        <v>4518</v>
      </c>
      <c r="D1794" t="s">
        <v>1013</v>
      </c>
      <c r="E1794" t="s">
        <v>4917</v>
      </c>
      <c r="F1794" t="s">
        <v>298</v>
      </c>
      <c r="G1794" t="s">
        <v>4890</v>
      </c>
      <c r="H1794" t="s">
        <v>4899</v>
      </c>
      <c r="I1794" t="s">
        <v>4918</v>
      </c>
      <c r="J1794" t="s">
        <v>2502</v>
      </c>
      <c r="K1794" t="s">
        <v>4919</v>
      </c>
      <c r="L1794" t="s">
        <v>4887</v>
      </c>
      <c r="M1794" s="37">
        <v>0.585</v>
      </c>
      <c r="N1794" s="37">
        <v>1</v>
      </c>
      <c r="O1794">
        <v>0.585</v>
      </c>
      <c r="P1794" s="37">
        <v>0.585</v>
      </c>
      <c r="Q1794">
        <v>0.59</v>
      </c>
      <c r="R1794">
        <v>1509</v>
      </c>
      <c r="S1794">
        <v>1509</v>
      </c>
      <c r="T1794">
        <v>1500</v>
      </c>
      <c r="U1794" t="s">
        <v>4831</v>
      </c>
      <c r="W1794" s="37">
        <v>-0.0883</v>
      </c>
      <c r="X1794" t="s">
        <v>4832</v>
      </c>
      <c r="Y1794" t="s">
        <v>4833</v>
      </c>
      <c r="Z1794" s="37">
        <v>0.7742</v>
      </c>
      <c r="AA1794" s="37">
        <v>0.5</v>
      </c>
      <c r="AB1794">
        <v>0</v>
      </c>
    </row>
    <row r="1795">
      <c r="A1795" t="s">
        <v>4920</v>
      </c>
      <c r="B1795" t="s">
        <v>4624</v>
      </c>
      <c r="C1795" t="s">
        <v>4624</v>
      </c>
      <c r="D1795" t="s">
        <v>1062</v>
      </c>
      <c r="E1795" t="s">
        <v>4921</v>
      </c>
      <c r="F1795" t="s">
        <v>298</v>
      </c>
      <c r="G1795" t="s">
        <v>4922</v>
      </c>
      <c r="H1795" t="s">
        <v>4923</v>
      </c>
      <c r="I1795" t="s">
        <v>4924</v>
      </c>
      <c r="J1795" t="s">
        <v>2502</v>
      </c>
      <c r="L1795" t="s">
        <v>4925</v>
      </c>
      <c r="M1795" s="37">
        <v>0.83</v>
      </c>
      <c r="N1795" s="37">
        <v>0.3</v>
      </c>
      <c r="O1795">
        <v>0.83</v>
      </c>
      <c r="P1795" s="37">
        <v>0.949</v>
      </c>
      <c r="Q1795">
        <v>0.95</v>
      </c>
      <c r="R1795">
        <v>0</v>
      </c>
      <c r="S1795">
        <v>0</v>
      </c>
      <c r="T1795">
        <v>5000</v>
      </c>
      <c r="U1795" t="s">
        <v>4831</v>
      </c>
      <c r="W1795" s="37">
        <v>-0.0883</v>
      </c>
      <c r="X1795" t="s">
        <v>4832</v>
      </c>
      <c r="Y1795" t="s">
        <v>4833</v>
      </c>
      <c r="Z1795" s="37">
        <v>0.7742</v>
      </c>
      <c r="AA1795" s="37">
        <v>0.5</v>
      </c>
      <c r="AB1795">
        <v>0</v>
      </c>
    </row>
    <row r="1796">
      <c r="A1796" t="s">
        <v>4920</v>
      </c>
      <c r="B1796" t="s">
        <v>4624</v>
      </c>
      <c r="C1796" t="s">
        <v>4624</v>
      </c>
      <c r="D1796" t="s">
        <v>1062</v>
      </c>
      <c r="E1796" t="s">
        <v>4921</v>
      </c>
      <c r="F1796" t="s">
        <v>298</v>
      </c>
      <c r="G1796" t="s">
        <v>4922</v>
      </c>
      <c r="H1796" t="s">
        <v>4926</v>
      </c>
      <c r="I1796" t="s">
        <v>4927</v>
      </c>
      <c r="J1796" t="s">
        <v>2502</v>
      </c>
      <c r="L1796" t="s">
        <v>4928</v>
      </c>
      <c r="M1796" s="37">
        <v>1</v>
      </c>
      <c r="N1796" s="37">
        <v>0.1</v>
      </c>
      <c r="O1796">
        <v>1</v>
      </c>
      <c r="P1796" s="37">
        <v>0.949</v>
      </c>
      <c r="Q1796">
        <v>0.95</v>
      </c>
      <c r="R1796">
        <v>0</v>
      </c>
      <c r="S1796">
        <v>0</v>
      </c>
      <c r="T1796">
        <v>5000</v>
      </c>
      <c r="U1796" t="s">
        <v>4831</v>
      </c>
      <c r="W1796" s="37">
        <v>-0.0883</v>
      </c>
      <c r="X1796" t="s">
        <v>4832</v>
      </c>
      <c r="Y1796" t="s">
        <v>4833</v>
      </c>
      <c r="Z1796" s="37">
        <v>0.7742</v>
      </c>
      <c r="AA1796" s="37">
        <v>0.5</v>
      </c>
      <c r="AB1796">
        <v>0</v>
      </c>
    </row>
    <row r="1797">
      <c r="A1797" t="s">
        <v>4920</v>
      </c>
      <c r="B1797" t="s">
        <v>4624</v>
      </c>
      <c r="C1797" t="s">
        <v>4624</v>
      </c>
      <c r="D1797" t="s">
        <v>1062</v>
      </c>
      <c r="E1797" t="s">
        <v>4921</v>
      </c>
      <c r="F1797" t="s">
        <v>298</v>
      </c>
      <c r="G1797" t="s">
        <v>4922</v>
      </c>
      <c r="H1797" t="s">
        <v>4929</v>
      </c>
      <c r="I1797" t="s">
        <v>4930</v>
      </c>
      <c r="J1797" t="s">
        <v>571</v>
      </c>
      <c r="K1797" t="s">
        <v>4931</v>
      </c>
      <c r="L1797" t="s">
        <v>4932</v>
      </c>
      <c r="M1797" s="37">
        <v>1</v>
      </c>
      <c r="N1797" s="37">
        <v>0.4</v>
      </c>
      <c r="O1797">
        <v>1</v>
      </c>
      <c r="P1797" s="37">
        <v>0.949</v>
      </c>
      <c r="Q1797">
        <v>0.95</v>
      </c>
      <c r="R1797">
        <v>0</v>
      </c>
      <c r="S1797">
        <v>0</v>
      </c>
      <c r="T1797">
        <v>5000</v>
      </c>
      <c r="U1797" t="s">
        <v>4831</v>
      </c>
      <c r="W1797" s="37">
        <v>-0.0883</v>
      </c>
      <c r="X1797" t="s">
        <v>4832</v>
      </c>
      <c r="Y1797" t="s">
        <v>4833</v>
      </c>
      <c r="Z1797" s="37">
        <v>0.7742</v>
      </c>
      <c r="AA1797" s="37">
        <v>0.5</v>
      </c>
      <c r="AB1797">
        <v>0</v>
      </c>
    </row>
    <row r="1798">
      <c r="A1798" t="s">
        <v>4920</v>
      </c>
      <c r="B1798" t="s">
        <v>4624</v>
      </c>
      <c r="C1798" t="s">
        <v>4624</v>
      </c>
      <c r="D1798" t="s">
        <v>1062</v>
      </c>
      <c r="E1798" t="s">
        <v>4921</v>
      </c>
      <c r="F1798" t="s">
        <v>298</v>
      </c>
      <c r="G1798" t="s">
        <v>4922</v>
      </c>
      <c r="H1798" t="s">
        <v>4933</v>
      </c>
      <c r="I1798" t="s">
        <v>4934</v>
      </c>
      <c r="J1798" t="s">
        <v>571</v>
      </c>
      <c r="L1798" t="s">
        <v>4935</v>
      </c>
      <c r="M1798" s="37">
        <v>1</v>
      </c>
      <c r="N1798" s="37">
        <v>0.2</v>
      </c>
      <c r="O1798">
        <v>1</v>
      </c>
      <c r="P1798" s="37">
        <v>0.949</v>
      </c>
      <c r="Q1798">
        <v>0.95</v>
      </c>
      <c r="R1798">
        <v>0</v>
      </c>
      <c r="S1798">
        <v>0</v>
      </c>
      <c r="T1798">
        <v>5000</v>
      </c>
      <c r="U1798" t="s">
        <v>4831</v>
      </c>
      <c r="W1798" s="37">
        <v>-0.0883</v>
      </c>
      <c r="X1798" t="s">
        <v>4832</v>
      </c>
      <c r="Y1798" t="s">
        <v>4833</v>
      </c>
      <c r="Z1798" s="37">
        <v>0.7742</v>
      </c>
      <c r="AA1798" s="37">
        <v>0.5</v>
      </c>
      <c r="AB1798">
        <v>0</v>
      </c>
    </row>
    <row r="1799">
      <c r="A1799" t="s">
        <v>4936</v>
      </c>
      <c r="B1799" t="s">
        <v>4624</v>
      </c>
      <c r="C1799" t="s">
        <v>4624</v>
      </c>
      <c r="D1799" t="s">
        <v>4937</v>
      </c>
      <c r="E1799" t="s">
        <v>4938</v>
      </c>
      <c r="F1799" t="s">
        <v>298</v>
      </c>
      <c r="G1799" t="s">
        <v>4939</v>
      </c>
      <c r="H1799" t="s">
        <v>4940</v>
      </c>
      <c r="I1799" t="s">
        <v>4941</v>
      </c>
      <c r="J1799" t="s">
        <v>571</v>
      </c>
      <c r="K1799">
        <v>0</v>
      </c>
      <c r="L1799" t="s">
        <v>4942</v>
      </c>
      <c r="M1799" s="37">
        <v>1</v>
      </c>
      <c r="N1799" s="37">
        <v>0.1</v>
      </c>
      <c r="O1799">
        <v>1</v>
      </c>
      <c r="P1799" s="37">
        <v>1</v>
      </c>
      <c r="Q1799">
        <v>1</v>
      </c>
      <c r="R1799">
        <v>0</v>
      </c>
      <c r="S1799">
        <v>0</v>
      </c>
      <c r="T1799">
        <v>5000</v>
      </c>
      <c r="U1799" t="s">
        <v>4831</v>
      </c>
      <c r="W1799" s="37">
        <v>-0.0883</v>
      </c>
      <c r="X1799" t="s">
        <v>4832</v>
      </c>
      <c r="Y1799" t="s">
        <v>4833</v>
      </c>
      <c r="Z1799" s="37">
        <v>0.7742</v>
      </c>
      <c r="AA1799" s="37">
        <v>0.5</v>
      </c>
      <c r="AB1799">
        <v>0</v>
      </c>
    </row>
    <row r="1800">
      <c r="A1800" t="s">
        <v>4936</v>
      </c>
      <c r="B1800" t="s">
        <v>4624</v>
      </c>
      <c r="C1800" t="s">
        <v>4624</v>
      </c>
      <c r="D1800" t="s">
        <v>4937</v>
      </c>
      <c r="E1800" t="s">
        <v>4938</v>
      </c>
      <c r="F1800" t="s">
        <v>298</v>
      </c>
      <c r="G1800" t="s">
        <v>4939</v>
      </c>
      <c r="H1800" t="s">
        <v>4943</v>
      </c>
      <c r="I1800" t="s">
        <v>4944</v>
      </c>
      <c r="J1800" t="s">
        <v>571</v>
      </c>
      <c r="K1800">
        <v>0</v>
      </c>
      <c r="L1800" t="s">
        <v>4945</v>
      </c>
      <c r="M1800" s="37">
        <v>1</v>
      </c>
      <c r="N1800" s="37">
        <v>0.25</v>
      </c>
      <c r="O1800">
        <v>1</v>
      </c>
      <c r="P1800" s="37">
        <v>1</v>
      </c>
      <c r="Q1800">
        <v>1</v>
      </c>
      <c r="R1800">
        <v>0</v>
      </c>
      <c r="S1800">
        <v>0</v>
      </c>
      <c r="T1800">
        <v>5000</v>
      </c>
      <c r="U1800" t="s">
        <v>4831</v>
      </c>
      <c r="W1800" s="37">
        <v>-0.0883</v>
      </c>
      <c r="X1800" t="s">
        <v>4832</v>
      </c>
      <c r="Y1800" t="s">
        <v>4833</v>
      </c>
      <c r="Z1800" s="37">
        <v>0.7742</v>
      </c>
      <c r="AA1800" s="37">
        <v>0.5</v>
      </c>
      <c r="AB1800">
        <v>0</v>
      </c>
    </row>
    <row r="1801">
      <c r="A1801" t="s">
        <v>4936</v>
      </c>
      <c r="B1801" t="s">
        <v>4624</v>
      </c>
      <c r="C1801" t="s">
        <v>4624</v>
      </c>
      <c r="D1801" t="s">
        <v>4937</v>
      </c>
      <c r="E1801" t="s">
        <v>4938</v>
      </c>
      <c r="F1801" t="s">
        <v>298</v>
      </c>
      <c r="G1801" t="s">
        <v>4939</v>
      </c>
      <c r="H1801" t="s">
        <v>4946</v>
      </c>
      <c r="I1801" t="s">
        <v>4947</v>
      </c>
      <c r="J1801" t="s">
        <v>571</v>
      </c>
      <c r="K1801">
        <v>0</v>
      </c>
      <c r="L1801" t="s">
        <v>4948</v>
      </c>
      <c r="M1801" s="37">
        <v>1</v>
      </c>
      <c r="N1801" s="37">
        <v>0.25</v>
      </c>
      <c r="O1801">
        <v>1</v>
      </c>
      <c r="P1801" s="37">
        <v>1</v>
      </c>
      <c r="Q1801">
        <v>1</v>
      </c>
      <c r="R1801">
        <v>0</v>
      </c>
      <c r="S1801">
        <v>0</v>
      </c>
      <c r="T1801">
        <v>5000</v>
      </c>
      <c r="U1801" t="s">
        <v>4831</v>
      </c>
      <c r="W1801" s="37">
        <v>-0.0883</v>
      </c>
      <c r="X1801" t="s">
        <v>4832</v>
      </c>
      <c r="Y1801" t="s">
        <v>4833</v>
      </c>
      <c r="Z1801" s="37">
        <v>0.7742</v>
      </c>
      <c r="AA1801" s="37">
        <v>0.5</v>
      </c>
      <c r="AB1801">
        <v>0</v>
      </c>
    </row>
    <row r="1802">
      <c r="A1802" t="s">
        <v>4936</v>
      </c>
      <c r="B1802" t="s">
        <v>4624</v>
      </c>
      <c r="C1802" t="s">
        <v>4624</v>
      </c>
      <c r="D1802" t="s">
        <v>4937</v>
      </c>
      <c r="E1802" t="s">
        <v>4938</v>
      </c>
      <c r="F1802" t="s">
        <v>298</v>
      </c>
      <c r="G1802" t="s">
        <v>4939</v>
      </c>
      <c r="H1802" t="s">
        <v>4949</v>
      </c>
      <c r="I1802" t="s">
        <v>4950</v>
      </c>
      <c r="J1802" t="s">
        <v>571</v>
      </c>
      <c r="K1802">
        <v>0</v>
      </c>
      <c r="L1802" t="s">
        <v>4951</v>
      </c>
      <c r="M1802" s="37">
        <v>1</v>
      </c>
      <c r="N1802" s="37">
        <v>0.4</v>
      </c>
      <c r="O1802">
        <v>1</v>
      </c>
      <c r="P1802" s="37">
        <v>1</v>
      </c>
      <c r="Q1802">
        <v>1</v>
      </c>
      <c r="R1802">
        <v>0</v>
      </c>
      <c r="S1802">
        <v>0</v>
      </c>
      <c r="T1802">
        <v>5000</v>
      </c>
      <c r="U1802" t="s">
        <v>4831</v>
      </c>
      <c r="W1802" s="37">
        <v>-0.0883</v>
      </c>
      <c r="X1802" t="s">
        <v>4832</v>
      </c>
      <c r="Y1802" t="s">
        <v>4833</v>
      </c>
      <c r="Z1802" s="37">
        <v>0.7742</v>
      </c>
      <c r="AA1802" s="37">
        <v>0.5</v>
      </c>
      <c r="AB1802">
        <v>0</v>
      </c>
    </row>
    <row r="1803">
      <c r="A1803" t="s">
        <v>4952</v>
      </c>
      <c r="B1803" t="s">
        <v>4953</v>
      </c>
      <c r="C1803" t="s">
        <v>4953</v>
      </c>
      <c r="D1803" t="s">
        <v>4954</v>
      </c>
      <c r="E1803" t="s">
        <v>4955</v>
      </c>
      <c r="F1803" t="s">
        <v>298</v>
      </c>
      <c r="G1803" t="s">
        <v>4956</v>
      </c>
      <c r="H1803" t="s">
        <v>4957</v>
      </c>
      <c r="I1803" t="s">
        <v>4958</v>
      </c>
      <c r="J1803" s="38">
        <v>1</v>
      </c>
      <c r="K1803" t="s">
        <v>4959</v>
      </c>
      <c r="L1803" t="s">
        <v>3227</v>
      </c>
      <c r="M1803" s="37">
        <v>0.5396</v>
      </c>
      <c r="N1803" s="37">
        <v>0.6</v>
      </c>
      <c r="O1803">
        <v>0.54</v>
      </c>
      <c r="P1803" s="37">
        <v>0.72376</v>
      </c>
      <c r="Q1803">
        <v>0.72</v>
      </c>
      <c r="R1803">
        <v>2886</v>
      </c>
      <c r="S1803">
        <v>2886</v>
      </c>
      <c r="T1803">
        <v>1500</v>
      </c>
      <c r="U1803" t="s">
        <v>4831</v>
      </c>
      <c r="W1803" s="37">
        <v>-0.0883</v>
      </c>
      <c r="X1803" t="s">
        <v>4832</v>
      </c>
      <c r="Y1803" t="s">
        <v>4833</v>
      </c>
      <c r="Z1803" s="37">
        <v>0.7742</v>
      </c>
      <c r="AA1803" s="37">
        <v>0.5</v>
      </c>
      <c r="AB1803">
        <v>0</v>
      </c>
    </row>
    <row r="1804">
      <c r="A1804" t="s">
        <v>4952</v>
      </c>
      <c r="B1804" t="s">
        <v>4953</v>
      </c>
      <c r="C1804" t="s">
        <v>4953</v>
      </c>
      <c r="D1804" t="s">
        <v>4954</v>
      </c>
      <c r="E1804" t="s">
        <v>4955</v>
      </c>
      <c r="F1804" t="s">
        <v>298</v>
      </c>
      <c r="G1804" t="s">
        <v>4956</v>
      </c>
      <c r="H1804" t="s">
        <v>473</v>
      </c>
      <c r="I1804" t="s">
        <v>4960</v>
      </c>
      <c r="J1804">
        <v>100</v>
      </c>
      <c r="K1804">
        <v>0</v>
      </c>
      <c r="L1804" t="s">
        <v>3227</v>
      </c>
      <c r="M1804" s="37">
        <v>1</v>
      </c>
      <c r="N1804" s="37">
        <v>0.4</v>
      </c>
      <c r="O1804">
        <v>1</v>
      </c>
      <c r="P1804" s="37">
        <v>0.72376</v>
      </c>
      <c r="Q1804">
        <v>0.72</v>
      </c>
      <c r="R1804">
        <v>2886</v>
      </c>
      <c r="S1804">
        <v>2886</v>
      </c>
      <c r="T1804">
        <v>1500</v>
      </c>
      <c r="U1804" t="s">
        <v>4831</v>
      </c>
      <c r="W1804" s="37">
        <v>-0.0883</v>
      </c>
      <c r="X1804" t="s">
        <v>4832</v>
      </c>
      <c r="Y1804" t="s">
        <v>4833</v>
      </c>
      <c r="Z1804" s="37">
        <v>0.7742</v>
      </c>
      <c r="AA1804" s="37">
        <v>0.5</v>
      </c>
      <c r="AB1804">
        <v>0</v>
      </c>
    </row>
    <row r="1805">
      <c r="A1805" t="s">
        <v>4961</v>
      </c>
      <c r="B1805" t="s">
        <v>4953</v>
      </c>
      <c r="C1805" t="s">
        <v>4953</v>
      </c>
      <c r="D1805" t="s">
        <v>4954</v>
      </c>
      <c r="E1805" t="s">
        <v>4962</v>
      </c>
      <c r="F1805" t="s">
        <v>298</v>
      </c>
      <c r="G1805" t="s">
        <v>4956</v>
      </c>
      <c r="H1805" t="s">
        <v>4957</v>
      </c>
      <c r="I1805" t="s">
        <v>4963</v>
      </c>
      <c r="J1805" s="38">
        <v>1</v>
      </c>
      <c r="K1805" s="37">
        <v>0.8532</v>
      </c>
      <c r="L1805" t="s">
        <v>4964</v>
      </c>
      <c r="M1805" s="37">
        <v>0.8632</v>
      </c>
      <c r="N1805" s="37">
        <v>0.6</v>
      </c>
      <c r="O1805">
        <v>0.8532</v>
      </c>
      <c r="P1805" s="37">
        <v>0.51792</v>
      </c>
      <c r="Q1805">
        <v>0.51</v>
      </c>
      <c r="R1805">
        <v>2550</v>
      </c>
      <c r="S1805">
        <v>2550</v>
      </c>
      <c r="T1805">
        <v>5000</v>
      </c>
      <c r="U1805" t="s">
        <v>4831</v>
      </c>
      <c r="W1805" s="37">
        <v>-0.0883</v>
      </c>
      <c r="X1805" t="s">
        <v>4832</v>
      </c>
      <c r="Y1805" t="s">
        <v>4833</v>
      </c>
      <c r="Z1805" s="37">
        <v>0.7742</v>
      </c>
      <c r="AA1805" s="37">
        <v>0.5</v>
      </c>
      <c r="AB1805">
        <v>0</v>
      </c>
    </row>
    <row r="1806">
      <c r="A1806" t="s">
        <v>4961</v>
      </c>
      <c r="B1806" t="s">
        <v>4953</v>
      </c>
      <c r="C1806" t="s">
        <v>4953</v>
      </c>
      <c r="D1806" t="s">
        <v>4954</v>
      </c>
      <c r="E1806" t="s">
        <v>4962</v>
      </c>
      <c r="F1806" t="s">
        <v>298</v>
      </c>
      <c r="G1806" t="s">
        <v>4956</v>
      </c>
      <c r="H1806" t="s">
        <v>473</v>
      </c>
      <c r="I1806" t="s">
        <v>4965</v>
      </c>
      <c r="J1806" s="38">
        <v>1</v>
      </c>
      <c r="K1806" s="37">
        <v>0.8532</v>
      </c>
      <c r="L1806" t="s">
        <v>4966</v>
      </c>
      <c r="M1806" s="37">
        <v>0</v>
      </c>
      <c r="N1806" s="37">
        <v>0.4</v>
      </c>
      <c r="O1806">
        <v>0</v>
      </c>
      <c r="P1806" s="37">
        <v>0.51792</v>
      </c>
      <c r="Q1806">
        <v>0.51</v>
      </c>
      <c r="R1806">
        <v>2550</v>
      </c>
      <c r="S1806">
        <v>2550</v>
      </c>
      <c r="T1806">
        <v>5000</v>
      </c>
      <c r="U1806" t="s">
        <v>4831</v>
      </c>
      <c r="W1806" s="37">
        <v>-0.0883</v>
      </c>
      <c r="X1806" t="s">
        <v>4832</v>
      </c>
      <c r="Y1806" t="s">
        <v>4833</v>
      </c>
      <c r="Z1806" s="37">
        <v>0.7742</v>
      </c>
      <c r="AA1806" s="37">
        <v>0.5</v>
      </c>
      <c r="AB1806">
        <v>0</v>
      </c>
    </row>
    <row r="1807">
      <c r="A1807" t="s">
        <v>4967</v>
      </c>
      <c r="B1807" t="s">
        <v>4953</v>
      </c>
      <c r="C1807" t="s">
        <v>4953</v>
      </c>
      <c r="D1807" t="s">
        <v>4954</v>
      </c>
      <c r="E1807" t="s">
        <v>4968</v>
      </c>
      <c r="F1807" t="s">
        <v>298</v>
      </c>
      <c r="G1807" t="s">
        <v>4956</v>
      </c>
      <c r="H1807" t="s">
        <v>4957</v>
      </c>
      <c r="I1807" t="s">
        <v>4969</v>
      </c>
      <c r="J1807" s="38">
        <v>1</v>
      </c>
      <c r="K1807" t="s">
        <v>4970</v>
      </c>
      <c r="M1807" s="37">
        <v>0.7844</v>
      </c>
      <c r="N1807" s="37">
        <v>0.6</v>
      </c>
      <c r="O1807">
        <v>0.78</v>
      </c>
      <c r="P1807" s="37">
        <v>0.67064</v>
      </c>
      <c r="Q1807">
        <v>0.63</v>
      </c>
      <c r="R1807">
        <v>4354</v>
      </c>
      <c r="S1807">
        <v>4354</v>
      </c>
      <c r="T1807">
        <v>5000</v>
      </c>
      <c r="U1807" t="s">
        <v>4831</v>
      </c>
      <c r="W1807" s="37">
        <v>-0.0883</v>
      </c>
      <c r="X1807" t="s">
        <v>4832</v>
      </c>
      <c r="Y1807" t="s">
        <v>4833</v>
      </c>
      <c r="Z1807" s="37">
        <v>0.7742</v>
      </c>
      <c r="AA1807" s="37">
        <v>0.5</v>
      </c>
      <c r="AB1807">
        <v>0</v>
      </c>
    </row>
    <row r="1808">
      <c r="A1808" t="s">
        <v>4967</v>
      </c>
      <c r="B1808" t="s">
        <v>4953</v>
      </c>
      <c r="C1808" t="s">
        <v>4953</v>
      </c>
      <c r="D1808" t="s">
        <v>4954</v>
      </c>
      <c r="E1808" t="s">
        <v>4968</v>
      </c>
      <c r="F1808" t="s">
        <v>298</v>
      </c>
      <c r="G1808" t="s">
        <v>4956</v>
      </c>
      <c r="H1808" t="s">
        <v>473</v>
      </c>
      <c r="I1808" t="s">
        <v>4971</v>
      </c>
      <c r="J1808" s="38">
        <v>1</v>
      </c>
      <c r="K1808" t="s">
        <v>4970</v>
      </c>
      <c r="L1808" t="s">
        <v>4972</v>
      </c>
      <c r="M1808" s="37">
        <v>0.5</v>
      </c>
      <c r="N1808" s="37">
        <v>0.4</v>
      </c>
      <c r="O1808">
        <v>0.5</v>
      </c>
      <c r="P1808" s="37">
        <v>0.67064</v>
      </c>
      <c r="Q1808">
        <v>0.63</v>
      </c>
      <c r="R1808">
        <v>4354</v>
      </c>
      <c r="S1808">
        <v>4354</v>
      </c>
      <c r="T1808">
        <v>5000</v>
      </c>
      <c r="U1808" t="s">
        <v>4831</v>
      </c>
      <c r="W1808" s="37">
        <v>-0.0883</v>
      </c>
      <c r="X1808" t="s">
        <v>4832</v>
      </c>
      <c r="Y1808" t="s">
        <v>4833</v>
      </c>
      <c r="Z1808" s="37">
        <v>0.7742</v>
      </c>
      <c r="AA1808" s="37">
        <v>0.5</v>
      </c>
      <c r="AB1808">
        <v>0</v>
      </c>
    </row>
    <row r="1809">
      <c r="A1809" t="s">
        <v>4973</v>
      </c>
      <c r="B1809" t="s">
        <v>4953</v>
      </c>
      <c r="C1809" t="s">
        <v>4953</v>
      </c>
      <c r="D1809" t="s">
        <v>4954</v>
      </c>
      <c r="E1809" t="s">
        <v>4974</v>
      </c>
      <c r="F1809" t="s">
        <v>298</v>
      </c>
      <c r="G1809" t="s">
        <v>4956</v>
      </c>
      <c r="H1809" t="s">
        <v>4957</v>
      </c>
      <c r="I1809" t="s">
        <v>4975</v>
      </c>
      <c r="J1809" s="38">
        <v>1</v>
      </c>
      <c r="L1809" t="s">
        <v>4972</v>
      </c>
      <c r="M1809" s="37">
        <v>0.5722</v>
      </c>
      <c r="N1809" s="37">
        <v>0.6</v>
      </c>
      <c r="O1809">
        <v>0.57</v>
      </c>
      <c r="P1809" s="37">
        <v>0.74332</v>
      </c>
      <c r="Q1809">
        <v>0.74</v>
      </c>
      <c r="R1809">
        <v>6710</v>
      </c>
      <c r="S1809">
        <v>6710</v>
      </c>
      <c r="T1809">
        <v>5000</v>
      </c>
      <c r="U1809" t="s">
        <v>4831</v>
      </c>
      <c r="W1809" s="37">
        <v>-0.0883</v>
      </c>
      <c r="X1809" t="s">
        <v>4832</v>
      </c>
      <c r="Y1809" t="s">
        <v>4833</v>
      </c>
      <c r="Z1809" s="37">
        <v>0.7742</v>
      </c>
      <c r="AA1809" s="37">
        <v>0.5</v>
      </c>
      <c r="AB1809">
        <v>0</v>
      </c>
    </row>
    <row r="1810">
      <c r="A1810" t="s">
        <v>4973</v>
      </c>
      <c r="B1810" t="s">
        <v>4953</v>
      </c>
      <c r="C1810" t="s">
        <v>4953</v>
      </c>
      <c r="D1810" t="s">
        <v>4954</v>
      </c>
      <c r="E1810" t="s">
        <v>4974</v>
      </c>
      <c r="F1810" t="s">
        <v>298</v>
      </c>
      <c r="G1810" t="s">
        <v>4956</v>
      </c>
      <c r="H1810" t="s">
        <v>473</v>
      </c>
      <c r="I1810" t="s">
        <v>4976</v>
      </c>
      <c r="J1810" s="38">
        <v>1</v>
      </c>
      <c r="L1810" t="s">
        <v>4977</v>
      </c>
      <c r="M1810" s="37">
        <v>1</v>
      </c>
      <c r="N1810" s="37">
        <v>0.4</v>
      </c>
      <c r="O1810">
        <v>1</v>
      </c>
      <c r="P1810" s="37">
        <v>0.74332</v>
      </c>
      <c r="Q1810">
        <v>0.74</v>
      </c>
      <c r="R1810">
        <v>6710</v>
      </c>
      <c r="S1810">
        <v>6710</v>
      </c>
      <c r="T1810">
        <v>5000</v>
      </c>
      <c r="U1810" t="s">
        <v>4831</v>
      </c>
      <c r="W1810" s="37">
        <v>-0.0883</v>
      </c>
      <c r="X1810" t="s">
        <v>4832</v>
      </c>
      <c r="Y1810" t="s">
        <v>4833</v>
      </c>
      <c r="Z1810" s="37">
        <v>0.7742</v>
      </c>
      <c r="AA1810" s="37">
        <v>0.5</v>
      </c>
      <c r="AB1810">
        <v>0</v>
      </c>
    </row>
    <row r="1811">
      <c r="A1811" t="s">
        <v>4978</v>
      </c>
      <c r="B1811" t="s">
        <v>4979</v>
      </c>
      <c r="C1811" t="s">
        <v>4979</v>
      </c>
      <c r="D1811" t="s">
        <v>3649</v>
      </c>
      <c r="E1811" t="s">
        <v>4980</v>
      </c>
      <c r="F1811" t="s">
        <v>298</v>
      </c>
      <c r="G1811" t="s">
        <v>4981</v>
      </c>
      <c r="H1811" t="s">
        <v>4982</v>
      </c>
      <c r="I1811" t="s">
        <v>4983</v>
      </c>
      <c r="J1811" s="38">
        <v>1</v>
      </c>
      <c r="K1811" s="37">
        <v>1.0586</v>
      </c>
      <c r="L1811" t="s">
        <v>4977</v>
      </c>
      <c r="M1811" s="37">
        <v>1.0586</v>
      </c>
      <c r="N1811" s="37">
        <v>0.5</v>
      </c>
      <c r="O1811">
        <v>1.0586</v>
      </c>
      <c r="P1811" s="37">
        <v>1.0576</v>
      </c>
      <c r="Q1811">
        <v>1.06</v>
      </c>
      <c r="R1811">
        <v>4558</v>
      </c>
      <c r="S1811">
        <v>4558</v>
      </c>
      <c r="T1811">
        <v>4300</v>
      </c>
      <c r="U1811" t="s">
        <v>4831</v>
      </c>
      <c r="W1811" s="37">
        <v>-0.0883</v>
      </c>
      <c r="X1811" t="s">
        <v>4832</v>
      </c>
      <c r="Y1811" t="s">
        <v>4833</v>
      </c>
      <c r="Z1811" s="37">
        <v>0.7742</v>
      </c>
      <c r="AA1811" s="37">
        <v>0.5</v>
      </c>
      <c r="AB1811">
        <v>0</v>
      </c>
    </row>
    <row r="1812">
      <c r="A1812" t="s">
        <v>4978</v>
      </c>
      <c r="B1812" t="s">
        <v>4979</v>
      </c>
      <c r="C1812" t="s">
        <v>4979</v>
      </c>
      <c r="D1812" t="s">
        <v>3649</v>
      </c>
      <c r="E1812" t="s">
        <v>4980</v>
      </c>
      <c r="F1812" t="s">
        <v>298</v>
      </c>
      <c r="G1812" t="s">
        <v>4981</v>
      </c>
      <c r="H1812" t="s">
        <v>4984</v>
      </c>
      <c r="I1812" t="s">
        <v>4985</v>
      </c>
      <c r="J1812" s="38">
        <v>1</v>
      </c>
      <c r="K1812" t="s">
        <v>4986</v>
      </c>
      <c r="L1812" t="s">
        <v>4987</v>
      </c>
      <c r="M1812" s="37">
        <v>1.0566</v>
      </c>
      <c r="N1812" s="37">
        <v>0.5</v>
      </c>
      <c r="O1812">
        <v>1.0566</v>
      </c>
      <c r="P1812" s="37">
        <v>1.0576</v>
      </c>
      <c r="Q1812">
        <v>1.06</v>
      </c>
      <c r="R1812">
        <v>4558</v>
      </c>
      <c r="S1812">
        <v>4558</v>
      </c>
      <c r="T1812">
        <v>4300</v>
      </c>
      <c r="U1812" t="s">
        <v>4831</v>
      </c>
      <c r="W1812" s="37">
        <v>-0.0883</v>
      </c>
      <c r="X1812" t="s">
        <v>4832</v>
      </c>
      <c r="Y1812" t="s">
        <v>4833</v>
      </c>
      <c r="Z1812" s="37">
        <v>0.7742</v>
      </c>
      <c r="AA1812" s="37">
        <v>0.5</v>
      </c>
      <c r="AB1812">
        <v>0</v>
      </c>
    </row>
    <row r="1813">
      <c r="A1813" t="s">
        <v>4988</v>
      </c>
      <c r="B1813" t="s">
        <v>4989</v>
      </c>
      <c r="C1813" t="s">
        <v>4989</v>
      </c>
      <c r="D1813" t="s">
        <v>4990</v>
      </c>
      <c r="E1813" t="s">
        <v>4991</v>
      </c>
      <c r="F1813" t="s">
        <v>298</v>
      </c>
      <c r="G1813" t="s">
        <v>4992</v>
      </c>
      <c r="H1813" t="s">
        <v>4993</v>
      </c>
      <c r="I1813" t="s">
        <v>4994</v>
      </c>
      <c r="J1813" s="38">
        <v>1</v>
      </c>
      <c r="K1813" s="38">
        <v>1</v>
      </c>
      <c r="L1813" t="s">
        <v>4995</v>
      </c>
      <c r="M1813" s="37">
        <v>1</v>
      </c>
      <c r="N1813" s="37">
        <v>0.5</v>
      </c>
      <c r="O1813">
        <v>1</v>
      </c>
      <c r="P1813" s="37">
        <v>0.906</v>
      </c>
      <c r="Q1813">
        <v>0.91</v>
      </c>
      <c r="R1813">
        <v>3763.52</v>
      </c>
      <c r="S1813">
        <v>3763.52</v>
      </c>
      <c r="T1813">
        <v>4500</v>
      </c>
      <c r="U1813" t="s">
        <v>4831</v>
      </c>
      <c r="W1813" s="37">
        <v>-0.0883</v>
      </c>
      <c r="X1813" t="s">
        <v>4832</v>
      </c>
      <c r="Y1813" t="s">
        <v>4833</v>
      </c>
      <c r="Z1813" s="37">
        <v>0.7742</v>
      </c>
      <c r="AA1813" s="37">
        <v>0.5</v>
      </c>
      <c r="AB1813">
        <v>0</v>
      </c>
    </row>
    <row r="1814">
      <c r="A1814" t="s">
        <v>4988</v>
      </c>
      <c r="B1814" t="s">
        <v>4989</v>
      </c>
      <c r="C1814" t="s">
        <v>4989</v>
      </c>
      <c r="D1814" t="s">
        <v>4990</v>
      </c>
      <c r="E1814" t="s">
        <v>4991</v>
      </c>
      <c r="F1814" t="s">
        <v>298</v>
      </c>
      <c r="G1814" t="s">
        <v>4992</v>
      </c>
      <c r="H1814" t="s">
        <v>4993</v>
      </c>
      <c r="I1814" t="s">
        <v>4996</v>
      </c>
      <c r="J1814" s="38">
        <v>1</v>
      </c>
      <c r="K1814" s="38">
        <v>0.68</v>
      </c>
      <c r="L1814" t="s">
        <v>4997</v>
      </c>
      <c r="M1814" s="37">
        <v>0.68</v>
      </c>
      <c r="N1814" s="37">
        <v>0.2</v>
      </c>
      <c r="O1814">
        <v>0.68</v>
      </c>
      <c r="P1814" s="37">
        <v>0.906</v>
      </c>
      <c r="Q1814">
        <v>0.91</v>
      </c>
      <c r="R1814">
        <v>3763.52</v>
      </c>
      <c r="S1814">
        <v>3763.52</v>
      </c>
      <c r="T1814">
        <v>4500</v>
      </c>
      <c r="U1814" t="s">
        <v>4831</v>
      </c>
      <c r="W1814" s="37">
        <v>-0.0883</v>
      </c>
      <c r="X1814" t="s">
        <v>4832</v>
      </c>
      <c r="Y1814" t="s">
        <v>4833</v>
      </c>
      <c r="Z1814" s="37">
        <v>0.7742</v>
      </c>
      <c r="AA1814" s="37">
        <v>0.5</v>
      </c>
      <c r="AB1814">
        <v>0</v>
      </c>
    </row>
    <row r="1815">
      <c r="A1815" t="s">
        <v>4988</v>
      </c>
      <c r="B1815" t="s">
        <v>4989</v>
      </c>
      <c r="C1815" t="s">
        <v>4989</v>
      </c>
      <c r="D1815" t="s">
        <v>4990</v>
      </c>
      <c r="E1815" t="s">
        <v>4991</v>
      </c>
      <c r="F1815" t="s">
        <v>298</v>
      </c>
      <c r="G1815" t="s">
        <v>4992</v>
      </c>
      <c r="H1815" t="s">
        <v>4998</v>
      </c>
      <c r="I1815" t="s">
        <v>4999</v>
      </c>
      <c r="J1815" s="38">
        <v>0.8</v>
      </c>
      <c r="K1815" s="38">
        <v>0.68</v>
      </c>
      <c r="L1815" t="s">
        <v>5000</v>
      </c>
      <c r="M1815" s="37">
        <v>0.85</v>
      </c>
      <c r="N1815" s="37">
        <v>0.2</v>
      </c>
      <c r="O1815">
        <v>0.85</v>
      </c>
      <c r="P1815" s="37">
        <v>0.906</v>
      </c>
      <c r="Q1815">
        <v>0.91</v>
      </c>
      <c r="R1815">
        <v>3763.52</v>
      </c>
      <c r="S1815">
        <v>3763.52</v>
      </c>
      <c r="T1815">
        <v>4500</v>
      </c>
      <c r="U1815" t="s">
        <v>4831</v>
      </c>
      <c r="W1815" s="37">
        <v>-0.0883</v>
      </c>
      <c r="X1815" t="s">
        <v>4832</v>
      </c>
      <c r="Y1815" t="s">
        <v>4833</v>
      </c>
      <c r="Z1815" s="37">
        <v>0.7742</v>
      </c>
      <c r="AA1815" s="37">
        <v>0.5</v>
      </c>
      <c r="AB1815">
        <v>0</v>
      </c>
    </row>
    <row r="1816">
      <c r="A1816" t="s">
        <v>4988</v>
      </c>
      <c r="B1816" t="s">
        <v>4989</v>
      </c>
      <c r="C1816" t="s">
        <v>4989</v>
      </c>
      <c r="D1816" t="s">
        <v>4990</v>
      </c>
      <c r="E1816" t="s">
        <v>4991</v>
      </c>
      <c r="F1816" t="s">
        <v>298</v>
      </c>
      <c r="G1816" t="s">
        <v>4992</v>
      </c>
      <c r="H1816" t="s">
        <v>5001</v>
      </c>
      <c r="I1816" t="s">
        <v>5002</v>
      </c>
      <c r="J1816" t="s">
        <v>1053</v>
      </c>
      <c r="K1816" t="s">
        <v>1053</v>
      </c>
      <c r="M1816" s="37">
        <v>1</v>
      </c>
      <c r="N1816" s="37">
        <v>0.1</v>
      </c>
      <c r="O1816">
        <v>1</v>
      </c>
      <c r="P1816" s="37">
        <v>0.906</v>
      </c>
      <c r="Q1816">
        <v>0.91</v>
      </c>
      <c r="R1816">
        <v>3763.52</v>
      </c>
      <c r="S1816">
        <v>3763.52</v>
      </c>
      <c r="T1816">
        <v>4500</v>
      </c>
      <c r="U1816" t="s">
        <v>4831</v>
      </c>
      <c r="W1816" s="37">
        <v>-0.0883</v>
      </c>
      <c r="X1816" t="s">
        <v>4832</v>
      </c>
      <c r="Y1816" t="s">
        <v>4833</v>
      </c>
      <c r="Z1816" s="37">
        <v>0.7742</v>
      </c>
      <c r="AA1816" s="37">
        <v>0.5</v>
      </c>
      <c r="AB1816">
        <v>0</v>
      </c>
    </row>
    <row r="1817">
      <c r="A1817" t="s">
        <v>5003</v>
      </c>
      <c r="B1817" t="s">
        <v>565</v>
      </c>
      <c r="C1817" t="s">
        <v>565</v>
      </c>
      <c r="D1817" t="s">
        <v>4990</v>
      </c>
      <c r="E1817" t="s">
        <v>5004</v>
      </c>
      <c r="F1817" t="s">
        <v>298</v>
      </c>
      <c r="G1817" t="s">
        <v>4992</v>
      </c>
      <c r="H1817" t="s">
        <v>4998</v>
      </c>
      <c r="I1817" t="s">
        <v>5005</v>
      </c>
      <c r="J1817" s="38">
        <v>0.9</v>
      </c>
      <c r="K1817" s="37">
        <v>0.515</v>
      </c>
      <c r="L1817" t="s">
        <v>617</v>
      </c>
      <c r="M1817" s="37">
        <v>1.74</v>
      </c>
      <c r="N1817" s="37">
        <v>0.3</v>
      </c>
      <c r="O1817">
        <v>1.5</v>
      </c>
      <c r="P1817" s="37">
        <v>1.661867</v>
      </c>
      <c r="Q1817">
        <v>1.36</v>
      </c>
      <c r="R1817">
        <v>6040.22</v>
      </c>
      <c r="S1817">
        <v>6040.22</v>
      </c>
      <c r="T1817">
        <v>5000</v>
      </c>
      <c r="U1817" t="s">
        <v>4831</v>
      </c>
      <c r="W1817" s="37">
        <v>-0.0883</v>
      </c>
      <c r="X1817" t="s">
        <v>4832</v>
      </c>
      <c r="Y1817" t="s">
        <v>4833</v>
      </c>
      <c r="Z1817" s="37">
        <v>0.7742</v>
      </c>
      <c r="AA1817" s="37">
        <v>0.5</v>
      </c>
      <c r="AB1817">
        <v>0</v>
      </c>
    </row>
    <row r="1818">
      <c r="A1818" t="s">
        <v>5003</v>
      </c>
      <c r="B1818" t="s">
        <v>565</v>
      </c>
      <c r="C1818" t="s">
        <v>565</v>
      </c>
      <c r="D1818" t="s">
        <v>4990</v>
      </c>
      <c r="E1818" t="s">
        <v>5004</v>
      </c>
      <c r="F1818" t="s">
        <v>298</v>
      </c>
      <c r="G1818" t="s">
        <v>4992</v>
      </c>
      <c r="H1818" t="s">
        <v>4998</v>
      </c>
      <c r="I1818" t="s">
        <v>5006</v>
      </c>
      <c r="J1818" t="s">
        <v>577</v>
      </c>
      <c r="K1818" t="s">
        <v>5007</v>
      </c>
      <c r="L1818" t="s">
        <v>5008</v>
      </c>
      <c r="M1818" s="37">
        <v>1.3184</v>
      </c>
      <c r="N1818" s="37">
        <v>0.2</v>
      </c>
      <c r="O1818">
        <v>1.3184</v>
      </c>
      <c r="P1818" s="37">
        <v>1.661867</v>
      </c>
      <c r="Q1818">
        <v>1.36</v>
      </c>
      <c r="R1818">
        <v>6040.22</v>
      </c>
      <c r="S1818">
        <v>6040.22</v>
      </c>
      <c r="T1818">
        <v>5000</v>
      </c>
      <c r="U1818" t="s">
        <v>4831</v>
      </c>
      <c r="W1818" s="37">
        <v>-0.0883</v>
      </c>
      <c r="X1818" t="s">
        <v>4832</v>
      </c>
      <c r="Y1818" t="s">
        <v>4833</v>
      </c>
      <c r="Z1818" s="37">
        <v>0.7742</v>
      </c>
      <c r="AA1818" s="37">
        <v>0.5</v>
      </c>
      <c r="AB1818">
        <v>0</v>
      </c>
    </row>
    <row r="1819">
      <c r="A1819" t="s">
        <v>5003</v>
      </c>
      <c r="B1819" t="s">
        <v>565</v>
      </c>
      <c r="C1819" t="s">
        <v>565</v>
      </c>
      <c r="D1819" t="s">
        <v>4990</v>
      </c>
      <c r="E1819" t="s">
        <v>5004</v>
      </c>
      <c r="F1819" t="s">
        <v>298</v>
      </c>
      <c r="G1819" t="s">
        <v>4992</v>
      </c>
      <c r="H1819" t="s">
        <v>4998</v>
      </c>
      <c r="I1819" t="s">
        <v>5009</v>
      </c>
      <c r="J1819" s="38">
        <v>0.8</v>
      </c>
      <c r="K1819" s="37">
        <v>0.8059</v>
      </c>
      <c r="L1819" t="s">
        <v>5010</v>
      </c>
      <c r="M1819" s="37">
        <v>1.007375</v>
      </c>
      <c r="N1819" s="37">
        <v>0.07</v>
      </c>
      <c r="O1819">
        <v>1</v>
      </c>
      <c r="P1819" s="37">
        <v>1.661867</v>
      </c>
      <c r="Q1819">
        <v>1.36</v>
      </c>
      <c r="R1819">
        <v>6040.22</v>
      </c>
      <c r="S1819">
        <v>6040.22</v>
      </c>
      <c r="T1819">
        <v>5000</v>
      </c>
      <c r="U1819" t="s">
        <v>4831</v>
      </c>
      <c r="W1819" s="37">
        <v>-0.0883</v>
      </c>
      <c r="X1819" t="s">
        <v>4832</v>
      </c>
      <c r="Y1819" t="s">
        <v>4833</v>
      </c>
      <c r="Z1819" s="37">
        <v>0.7742</v>
      </c>
      <c r="AA1819" s="37">
        <v>0.5</v>
      </c>
      <c r="AB1819">
        <v>0</v>
      </c>
    </row>
    <row r="1820">
      <c r="A1820" t="s">
        <v>5003</v>
      </c>
      <c r="B1820" t="s">
        <v>565</v>
      </c>
      <c r="C1820" t="s">
        <v>565</v>
      </c>
      <c r="D1820" t="s">
        <v>4990</v>
      </c>
      <c r="E1820" t="s">
        <v>5004</v>
      </c>
      <c r="F1820" t="s">
        <v>298</v>
      </c>
      <c r="G1820" t="s">
        <v>4992</v>
      </c>
      <c r="H1820" t="s">
        <v>4998</v>
      </c>
      <c r="I1820" t="s">
        <v>5011</v>
      </c>
      <c r="J1820" s="38">
        <v>0.6</v>
      </c>
      <c r="K1820" s="37">
        <v>0.6031</v>
      </c>
      <c r="L1820" t="s">
        <v>5012</v>
      </c>
      <c r="M1820" s="37">
        <v>1.00516</v>
      </c>
      <c r="N1820" s="37">
        <v>0.13</v>
      </c>
      <c r="O1820">
        <v>1</v>
      </c>
      <c r="P1820" s="37">
        <v>1.661867</v>
      </c>
      <c r="Q1820">
        <v>1.36</v>
      </c>
      <c r="R1820">
        <v>6040.22</v>
      </c>
      <c r="S1820">
        <v>6040.22</v>
      </c>
      <c r="T1820">
        <v>5000</v>
      </c>
      <c r="U1820" t="s">
        <v>4831</v>
      </c>
      <c r="W1820" s="37">
        <v>-0.0883</v>
      </c>
      <c r="X1820" t="s">
        <v>4832</v>
      </c>
      <c r="Y1820" t="s">
        <v>4833</v>
      </c>
      <c r="Z1820" s="37">
        <v>0.7742</v>
      </c>
      <c r="AA1820" s="37">
        <v>0.5</v>
      </c>
      <c r="AB1820">
        <v>0</v>
      </c>
    </row>
    <row r="1821">
      <c r="A1821" t="s">
        <v>5003</v>
      </c>
      <c r="B1821" t="s">
        <v>565</v>
      </c>
      <c r="C1821" t="s">
        <v>565</v>
      </c>
      <c r="D1821" t="s">
        <v>4990</v>
      </c>
      <c r="E1821" t="s">
        <v>5004</v>
      </c>
      <c r="F1821" t="s">
        <v>298</v>
      </c>
      <c r="G1821" t="s">
        <v>4992</v>
      </c>
      <c r="H1821" t="s">
        <v>4993</v>
      </c>
      <c r="I1821" t="s">
        <v>5013</v>
      </c>
      <c r="J1821" t="s">
        <v>571</v>
      </c>
      <c r="K1821" t="s">
        <v>572</v>
      </c>
      <c r="L1821" t="s">
        <v>5014</v>
      </c>
      <c r="M1821" s="37">
        <v>2.25</v>
      </c>
      <c r="N1821" s="37">
        <v>0.3</v>
      </c>
      <c r="O1821">
        <v>1.5</v>
      </c>
      <c r="P1821" s="37">
        <v>1.661867</v>
      </c>
      <c r="Q1821">
        <v>1.36</v>
      </c>
      <c r="R1821">
        <v>6040.22</v>
      </c>
      <c r="S1821">
        <v>6040.22</v>
      </c>
      <c r="T1821">
        <v>5000</v>
      </c>
      <c r="U1821" t="s">
        <v>4831</v>
      </c>
      <c r="W1821" s="37">
        <v>-0.0883</v>
      </c>
      <c r="X1821" t="s">
        <v>4832</v>
      </c>
      <c r="Y1821" t="s">
        <v>4833</v>
      </c>
      <c r="Z1821" s="37">
        <v>0.7742</v>
      </c>
      <c r="AA1821" s="37">
        <v>0.5</v>
      </c>
      <c r="AB1821">
        <v>0</v>
      </c>
    </row>
    <row r="1822">
      <c r="A1822" t="s">
        <v>5015</v>
      </c>
      <c r="B1822" t="s">
        <v>3399</v>
      </c>
      <c r="C1822" t="s">
        <v>3399</v>
      </c>
      <c r="D1822" t="s">
        <v>598</v>
      </c>
      <c r="E1822" t="s">
        <v>5016</v>
      </c>
      <c r="F1822" t="s">
        <v>298</v>
      </c>
      <c r="G1822" t="s">
        <v>4992</v>
      </c>
      <c r="H1822" t="s">
        <v>4998</v>
      </c>
      <c r="I1822" t="s">
        <v>5017</v>
      </c>
      <c r="J1822">
        <v>1</v>
      </c>
      <c r="K1822">
        <v>0.95</v>
      </c>
      <c r="L1822" t="s">
        <v>5018</v>
      </c>
      <c r="M1822" s="37">
        <v>0.95</v>
      </c>
      <c r="N1822" s="37">
        <v>0.9</v>
      </c>
      <c r="O1822">
        <v>0.95</v>
      </c>
      <c r="P1822" s="37">
        <v>0.955</v>
      </c>
      <c r="Q1822">
        <v>0.96</v>
      </c>
      <c r="R1822">
        <v>3717.06</v>
      </c>
      <c r="S1822">
        <v>3717.06</v>
      </c>
      <c r="T1822">
        <v>4000</v>
      </c>
      <c r="U1822" t="s">
        <v>4831</v>
      </c>
      <c r="W1822" s="37">
        <v>-0.0883</v>
      </c>
      <c r="X1822" t="s">
        <v>4832</v>
      </c>
      <c r="Y1822" t="s">
        <v>4833</v>
      </c>
      <c r="Z1822" s="37">
        <v>0.7742</v>
      </c>
      <c r="AA1822" s="37">
        <v>0.5</v>
      </c>
      <c r="AB1822">
        <v>0</v>
      </c>
    </row>
    <row r="1823">
      <c r="A1823" t="s">
        <v>5015</v>
      </c>
      <c r="B1823" t="s">
        <v>3399</v>
      </c>
      <c r="C1823" t="s">
        <v>3399</v>
      </c>
      <c r="D1823" t="s">
        <v>598</v>
      </c>
      <c r="E1823" t="s">
        <v>5016</v>
      </c>
      <c r="F1823" t="s">
        <v>298</v>
      </c>
      <c r="G1823" t="s">
        <v>4992</v>
      </c>
      <c r="H1823" t="s">
        <v>4998</v>
      </c>
      <c r="I1823" t="s">
        <v>5019</v>
      </c>
      <c r="J1823">
        <v>1</v>
      </c>
      <c r="K1823">
        <v>1</v>
      </c>
      <c r="L1823" t="s">
        <v>5020</v>
      </c>
      <c r="M1823" s="37">
        <v>1</v>
      </c>
      <c r="N1823" s="37">
        <v>0.1</v>
      </c>
      <c r="O1823">
        <v>1</v>
      </c>
      <c r="P1823" s="37">
        <v>0.955</v>
      </c>
      <c r="Q1823">
        <v>0.96</v>
      </c>
      <c r="R1823">
        <v>3717.06</v>
      </c>
      <c r="S1823">
        <v>3717.06</v>
      </c>
      <c r="T1823">
        <v>4000</v>
      </c>
      <c r="U1823" t="s">
        <v>4831</v>
      </c>
      <c r="W1823" s="37">
        <v>-0.0883</v>
      </c>
      <c r="X1823" t="s">
        <v>4832</v>
      </c>
      <c r="Y1823" t="s">
        <v>4833</v>
      </c>
      <c r="Z1823" s="37">
        <v>0.7742</v>
      </c>
      <c r="AA1823" s="37">
        <v>0.5</v>
      </c>
      <c r="AB1823">
        <v>0</v>
      </c>
    </row>
    <row r="1824">
      <c r="A1824" t="s">
        <v>5021</v>
      </c>
      <c r="B1824" t="s">
        <v>5022</v>
      </c>
      <c r="C1824" t="s">
        <v>5022</v>
      </c>
      <c r="D1824" t="s">
        <v>4990</v>
      </c>
      <c r="E1824" t="s">
        <v>5023</v>
      </c>
      <c r="F1824" t="s">
        <v>298</v>
      </c>
      <c r="G1824" t="s">
        <v>4992</v>
      </c>
      <c r="H1824" t="s">
        <v>4993</v>
      </c>
      <c r="I1824" t="s">
        <v>5024</v>
      </c>
      <c r="J1824" t="s">
        <v>1454</v>
      </c>
      <c r="K1824" t="s">
        <v>1454</v>
      </c>
      <c r="L1824" t="s">
        <v>5020</v>
      </c>
      <c r="M1824" s="37">
        <v>1</v>
      </c>
      <c r="N1824" s="37">
        <v>0.6</v>
      </c>
      <c r="O1824">
        <v>1</v>
      </c>
      <c r="P1824" s="37">
        <v>0.995</v>
      </c>
      <c r="Q1824">
        <v>1</v>
      </c>
      <c r="R1824">
        <v>5110.96</v>
      </c>
      <c r="S1824">
        <v>5110.96</v>
      </c>
      <c r="T1824">
        <v>5000</v>
      </c>
      <c r="U1824" t="s">
        <v>4831</v>
      </c>
      <c r="W1824" s="37">
        <v>-0.0883</v>
      </c>
      <c r="X1824" t="s">
        <v>4832</v>
      </c>
      <c r="Y1824" t="s">
        <v>4833</v>
      </c>
      <c r="Z1824" s="37">
        <v>0.7742</v>
      </c>
      <c r="AA1824" s="37">
        <v>0.5</v>
      </c>
      <c r="AB1824">
        <v>0</v>
      </c>
    </row>
    <row r="1825">
      <c r="A1825" t="s">
        <v>5021</v>
      </c>
      <c r="B1825" t="s">
        <v>5022</v>
      </c>
      <c r="C1825" t="s">
        <v>5022</v>
      </c>
      <c r="D1825" t="s">
        <v>4990</v>
      </c>
      <c r="E1825" t="s">
        <v>5023</v>
      </c>
      <c r="F1825" t="s">
        <v>298</v>
      </c>
      <c r="G1825" t="s">
        <v>4992</v>
      </c>
      <c r="H1825" t="s">
        <v>4998</v>
      </c>
      <c r="I1825" t="s">
        <v>5025</v>
      </c>
      <c r="J1825" t="s">
        <v>5026</v>
      </c>
      <c r="K1825" t="s">
        <v>5027</v>
      </c>
      <c r="L1825" t="s">
        <v>5028</v>
      </c>
      <c r="M1825" s="37">
        <v>1.15</v>
      </c>
      <c r="N1825" s="37">
        <v>0.1</v>
      </c>
      <c r="O1825">
        <v>1.15</v>
      </c>
      <c r="P1825" s="37">
        <v>0.995</v>
      </c>
      <c r="Q1825">
        <v>1</v>
      </c>
      <c r="R1825">
        <v>5110.96</v>
      </c>
      <c r="S1825">
        <v>5110.96</v>
      </c>
      <c r="T1825">
        <v>5000</v>
      </c>
      <c r="U1825" t="s">
        <v>4831</v>
      </c>
      <c r="W1825" s="37">
        <v>-0.0883</v>
      </c>
      <c r="X1825" t="s">
        <v>4832</v>
      </c>
      <c r="Y1825" t="s">
        <v>4833</v>
      </c>
      <c r="Z1825" s="37">
        <v>0.7742</v>
      </c>
      <c r="AA1825" s="37">
        <v>0.5</v>
      </c>
      <c r="AB1825">
        <v>0</v>
      </c>
    </row>
    <row r="1826">
      <c r="A1826" t="s">
        <v>5021</v>
      </c>
      <c r="B1826" t="s">
        <v>5022</v>
      </c>
      <c r="C1826" t="s">
        <v>5022</v>
      </c>
      <c r="D1826" t="s">
        <v>4990</v>
      </c>
      <c r="E1826" t="s">
        <v>5023</v>
      </c>
      <c r="F1826" t="s">
        <v>298</v>
      </c>
      <c r="G1826" t="s">
        <v>4992</v>
      </c>
      <c r="H1826" t="s">
        <v>4998</v>
      </c>
      <c r="I1826" t="s">
        <v>5029</v>
      </c>
      <c r="J1826" t="s">
        <v>5030</v>
      </c>
      <c r="K1826" t="s">
        <v>5031</v>
      </c>
      <c r="L1826" t="s">
        <v>5032</v>
      </c>
      <c r="M1826" s="37">
        <v>0.95</v>
      </c>
      <c r="N1826" s="37">
        <v>0.1</v>
      </c>
      <c r="O1826">
        <v>0.95</v>
      </c>
      <c r="P1826" s="37">
        <v>0.995</v>
      </c>
      <c r="Q1826">
        <v>1</v>
      </c>
      <c r="R1826">
        <v>5110.96</v>
      </c>
      <c r="S1826">
        <v>5110.96</v>
      </c>
      <c r="T1826">
        <v>5000</v>
      </c>
      <c r="U1826" t="s">
        <v>4831</v>
      </c>
      <c r="W1826" s="37">
        <v>-0.0883</v>
      </c>
      <c r="X1826" t="s">
        <v>4832</v>
      </c>
      <c r="Y1826" t="s">
        <v>4833</v>
      </c>
      <c r="Z1826" s="37">
        <v>0.7742</v>
      </c>
      <c r="AA1826" s="37">
        <v>0.5</v>
      </c>
      <c r="AB1826">
        <v>0</v>
      </c>
    </row>
    <row r="1827">
      <c r="A1827" t="s">
        <v>5021</v>
      </c>
      <c r="B1827" t="s">
        <v>5022</v>
      </c>
      <c r="C1827" t="s">
        <v>5022</v>
      </c>
      <c r="D1827" t="s">
        <v>4990</v>
      </c>
      <c r="E1827" t="s">
        <v>5023</v>
      </c>
      <c r="F1827" t="s">
        <v>298</v>
      </c>
      <c r="G1827" t="s">
        <v>4992</v>
      </c>
      <c r="H1827" t="s">
        <v>4993</v>
      </c>
      <c r="I1827" t="s">
        <v>5033</v>
      </c>
      <c r="J1827">
        <v>1</v>
      </c>
      <c r="K1827">
        <v>0.9</v>
      </c>
      <c r="L1827" t="s">
        <v>5034</v>
      </c>
      <c r="M1827" s="37">
        <v>0.9</v>
      </c>
      <c r="N1827" s="37">
        <v>0.15</v>
      </c>
      <c r="O1827">
        <v>0.9</v>
      </c>
      <c r="P1827" s="37">
        <v>0.995</v>
      </c>
      <c r="Q1827">
        <v>1</v>
      </c>
      <c r="R1827">
        <v>5110.96</v>
      </c>
      <c r="S1827">
        <v>5110.96</v>
      </c>
      <c r="T1827">
        <v>5000</v>
      </c>
      <c r="U1827" t="s">
        <v>4831</v>
      </c>
      <c r="W1827" s="37">
        <v>-0.0883</v>
      </c>
      <c r="X1827" t="s">
        <v>4832</v>
      </c>
      <c r="Y1827" t="s">
        <v>4833</v>
      </c>
      <c r="Z1827" s="37">
        <v>0.7742</v>
      </c>
      <c r="AA1827" s="37">
        <v>0.5</v>
      </c>
      <c r="AB1827">
        <v>0</v>
      </c>
    </row>
    <row r="1828">
      <c r="A1828" t="s">
        <v>5021</v>
      </c>
      <c r="B1828" t="s">
        <v>5022</v>
      </c>
      <c r="C1828" t="s">
        <v>5022</v>
      </c>
      <c r="D1828" t="s">
        <v>4990</v>
      </c>
      <c r="E1828" t="s">
        <v>5023</v>
      </c>
      <c r="F1828" t="s">
        <v>298</v>
      </c>
      <c r="G1828" t="s">
        <v>4992</v>
      </c>
      <c r="H1828" t="s">
        <v>4998</v>
      </c>
      <c r="I1828" t="s">
        <v>5035</v>
      </c>
      <c r="J1828" t="s">
        <v>5036</v>
      </c>
      <c r="K1828" t="s">
        <v>5036</v>
      </c>
      <c r="L1828" t="s">
        <v>5037</v>
      </c>
      <c r="M1828" s="37">
        <v>1</v>
      </c>
      <c r="N1828" s="37">
        <v>0.05</v>
      </c>
      <c r="O1828">
        <v>1</v>
      </c>
      <c r="P1828" s="37">
        <v>0.995</v>
      </c>
      <c r="Q1828">
        <v>1</v>
      </c>
      <c r="R1828">
        <v>5110.96</v>
      </c>
      <c r="S1828">
        <v>5110.96</v>
      </c>
      <c r="T1828">
        <v>5000</v>
      </c>
      <c r="U1828" t="s">
        <v>4831</v>
      </c>
      <c r="W1828" s="37">
        <v>-0.0883</v>
      </c>
      <c r="X1828" t="s">
        <v>4832</v>
      </c>
      <c r="Y1828" t="s">
        <v>4833</v>
      </c>
      <c r="Z1828" s="37">
        <v>0.7742</v>
      </c>
      <c r="AA1828" s="37">
        <v>0.5</v>
      </c>
      <c r="AB1828">
        <v>0</v>
      </c>
    </row>
    <row r="1829">
      <c r="A1829" t="s">
        <v>5038</v>
      </c>
      <c r="B1829" t="s">
        <v>761</v>
      </c>
      <c r="C1829" t="s">
        <v>761</v>
      </c>
      <c r="D1829" t="s">
        <v>4990</v>
      </c>
      <c r="E1829" t="s">
        <v>5039</v>
      </c>
      <c r="F1829" t="s">
        <v>298</v>
      </c>
      <c r="G1829" t="s">
        <v>4992</v>
      </c>
      <c r="H1829" t="s">
        <v>5001</v>
      </c>
      <c r="I1829" t="s">
        <v>5040</v>
      </c>
      <c r="J1829" t="s">
        <v>4919</v>
      </c>
      <c r="K1829" t="s">
        <v>1048</v>
      </c>
      <c r="L1829" t="s">
        <v>5041</v>
      </c>
      <c r="M1829" s="37">
        <v>0.5</v>
      </c>
      <c r="N1829" s="37">
        <v>0.2</v>
      </c>
      <c r="O1829">
        <v>0.4</v>
      </c>
      <c r="P1829" s="37">
        <v>0.4992</v>
      </c>
      <c r="Q1829">
        <v>0.91</v>
      </c>
      <c r="R1829">
        <v>4181.69</v>
      </c>
      <c r="S1829">
        <v>4181.69</v>
      </c>
      <c r="T1829">
        <v>5000</v>
      </c>
      <c r="U1829" t="s">
        <v>4831</v>
      </c>
      <c r="W1829" s="37">
        <v>-0.0883</v>
      </c>
      <c r="X1829" t="s">
        <v>4832</v>
      </c>
      <c r="Y1829" t="s">
        <v>4833</v>
      </c>
      <c r="Z1829" s="37">
        <v>0.7742</v>
      </c>
      <c r="AA1829" s="37">
        <v>0.5</v>
      </c>
      <c r="AB1829">
        <v>0</v>
      </c>
    </row>
    <row r="1830">
      <c r="A1830" t="s">
        <v>5038</v>
      </c>
      <c r="B1830" t="s">
        <v>761</v>
      </c>
      <c r="C1830" t="s">
        <v>761</v>
      </c>
      <c r="D1830" t="s">
        <v>4990</v>
      </c>
      <c r="E1830" t="s">
        <v>5039</v>
      </c>
      <c r="F1830" t="s">
        <v>298</v>
      </c>
      <c r="G1830" t="s">
        <v>4992</v>
      </c>
      <c r="H1830" t="s">
        <v>4998</v>
      </c>
      <c r="I1830" t="s">
        <v>5042</v>
      </c>
      <c r="J1830" s="38">
        <v>0.08</v>
      </c>
      <c r="K1830" s="38">
        <v>0</v>
      </c>
      <c r="L1830" t="s">
        <v>5041</v>
      </c>
      <c r="M1830" s="37">
        <v>0</v>
      </c>
      <c r="N1830" s="37">
        <v>0.4</v>
      </c>
      <c r="O1830">
        <v>0</v>
      </c>
      <c r="P1830" s="37">
        <v>0.4992</v>
      </c>
      <c r="Q1830">
        <v>0.91</v>
      </c>
      <c r="R1830">
        <v>4181.69</v>
      </c>
      <c r="S1830">
        <v>4181.69</v>
      </c>
      <c r="T1830">
        <v>5000</v>
      </c>
      <c r="U1830" t="s">
        <v>4831</v>
      </c>
      <c r="W1830" s="37">
        <v>-0.0883</v>
      </c>
      <c r="X1830" t="s">
        <v>4832</v>
      </c>
      <c r="Y1830" t="s">
        <v>4833</v>
      </c>
      <c r="Z1830" s="37">
        <v>0.7742</v>
      </c>
      <c r="AA1830" s="37">
        <v>0.5</v>
      </c>
      <c r="AB1830">
        <v>0</v>
      </c>
    </row>
    <row r="1831">
      <c r="A1831" t="s">
        <v>5038</v>
      </c>
      <c r="B1831" t="s">
        <v>761</v>
      </c>
      <c r="C1831" t="s">
        <v>761</v>
      </c>
      <c r="D1831" t="s">
        <v>4990</v>
      </c>
      <c r="E1831" t="s">
        <v>5039</v>
      </c>
      <c r="F1831" t="s">
        <v>298</v>
      </c>
      <c r="G1831" t="s">
        <v>4992</v>
      </c>
      <c r="H1831" t="s">
        <v>4998</v>
      </c>
      <c r="I1831" t="s">
        <v>5043</v>
      </c>
      <c r="J1831">
        <v>1</v>
      </c>
      <c r="K1831" t="s">
        <v>5044</v>
      </c>
      <c r="L1831" t="s">
        <v>5041</v>
      </c>
      <c r="M1831" s="37">
        <v>0.998</v>
      </c>
      <c r="N1831" s="37">
        <v>0.4</v>
      </c>
      <c r="O1831">
        <v>0.998</v>
      </c>
      <c r="P1831" s="37">
        <v>0.4992</v>
      </c>
      <c r="Q1831">
        <v>0.91</v>
      </c>
      <c r="R1831">
        <v>4181.69</v>
      </c>
      <c r="S1831">
        <v>4181.69</v>
      </c>
      <c r="T1831">
        <v>5000</v>
      </c>
      <c r="U1831" t="s">
        <v>4831</v>
      </c>
      <c r="W1831" s="37">
        <v>-0.0883</v>
      </c>
      <c r="X1831" t="s">
        <v>4832</v>
      </c>
      <c r="Y1831" t="s">
        <v>4833</v>
      </c>
      <c r="Z1831" s="37">
        <v>0.7742</v>
      </c>
      <c r="AA1831" s="37">
        <v>0.5</v>
      </c>
      <c r="AB1831">
        <v>0</v>
      </c>
    </row>
    <row r="1832">
      <c r="A1832" t="s">
        <v>5045</v>
      </c>
      <c r="B1832" t="s">
        <v>4455</v>
      </c>
      <c r="C1832" t="s">
        <v>4455</v>
      </c>
      <c r="D1832" t="s">
        <v>359</v>
      </c>
      <c r="E1832" t="s">
        <v>5046</v>
      </c>
      <c r="F1832" t="s">
        <v>298</v>
      </c>
      <c r="G1832" t="s">
        <v>4992</v>
      </c>
      <c r="H1832" t="s">
        <v>5001</v>
      </c>
      <c r="I1832" t="s">
        <v>4459</v>
      </c>
      <c r="J1832" t="s">
        <v>5047</v>
      </c>
      <c r="K1832" t="s">
        <v>5048</v>
      </c>
      <c r="L1832" t="s">
        <v>5041</v>
      </c>
      <c r="M1832" s="37">
        <v>2</v>
      </c>
      <c r="N1832" s="37">
        <v>0.4</v>
      </c>
      <c r="O1832">
        <v>1.5</v>
      </c>
      <c r="P1832" s="37">
        <v>1.366</v>
      </c>
      <c r="Q1832">
        <v>1.15</v>
      </c>
      <c r="R1832">
        <v>5575.59</v>
      </c>
      <c r="S1832">
        <v>5575.59</v>
      </c>
      <c r="T1832">
        <v>5000</v>
      </c>
      <c r="U1832" t="s">
        <v>4831</v>
      </c>
      <c r="W1832" s="37">
        <v>-0.0883</v>
      </c>
      <c r="X1832" t="s">
        <v>4832</v>
      </c>
      <c r="Y1832" t="s">
        <v>4833</v>
      </c>
      <c r="Z1832" s="37">
        <v>0.7742</v>
      </c>
      <c r="AA1832" s="37">
        <v>0.5</v>
      </c>
      <c r="AB1832">
        <v>0</v>
      </c>
    </row>
    <row r="1833">
      <c r="A1833" t="s">
        <v>5045</v>
      </c>
      <c r="B1833" t="s">
        <v>4455</v>
      </c>
      <c r="C1833" t="s">
        <v>4455</v>
      </c>
      <c r="D1833" t="s">
        <v>359</v>
      </c>
      <c r="E1833" t="s">
        <v>5046</v>
      </c>
      <c r="F1833" t="s">
        <v>298</v>
      </c>
      <c r="G1833" t="s">
        <v>4992</v>
      </c>
      <c r="H1833" t="s">
        <v>4998</v>
      </c>
      <c r="I1833" t="s">
        <v>5049</v>
      </c>
      <c r="J1833" s="38">
        <v>1</v>
      </c>
      <c r="K1833" s="38">
        <v>0.89</v>
      </c>
      <c r="L1833" t="s">
        <v>5041</v>
      </c>
      <c r="M1833" s="37">
        <v>0.89</v>
      </c>
      <c r="N1833" s="37">
        <v>0.2</v>
      </c>
      <c r="O1833">
        <v>0.801</v>
      </c>
      <c r="P1833" s="37">
        <v>1.366</v>
      </c>
      <c r="Q1833">
        <v>1.15</v>
      </c>
      <c r="R1833">
        <v>5575.59</v>
      </c>
      <c r="S1833">
        <v>5575.59</v>
      </c>
      <c r="T1833">
        <v>5000</v>
      </c>
      <c r="U1833" t="s">
        <v>4831</v>
      </c>
      <c r="W1833" s="37">
        <v>-0.0883</v>
      </c>
      <c r="X1833" t="s">
        <v>4832</v>
      </c>
      <c r="Y1833" t="s">
        <v>4833</v>
      </c>
      <c r="Z1833" s="37">
        <v>0.7742</v>
      </c>
      <c r="AA1833" s="37">
        <v>0.5</v>
      </c>
      <c r="AB1833">
        <v>0</v>
      </c>
    </row>
    <row r="1834">
      <c r="A1834" t="s">
        <v>5045</v>
      </c>
      <c r="B1834" t="s">
        <v>4455</v>
      </c>
      <c r="C1834" t="s">
        <v>4455</v>
      </c>
      <c r="D1834" t="s">
        <v>359</v>
      </c>
      <c r="E1834" t="s">
        <v>5046</v>
      </c>
      <c r="F1834" t="s">
        <v>298</v>
      </c>
      <c r="G1834" t="s">
        <v>4992</v>
      </c>
      <c r="H1834" t="s">
        <v>4993</v>
      </c>
      <c r="I1834" t="s">
        <v>5050</v>
      </c>
      <c r="J1834" s="38">
        <v>1</v>
      </c>
      <c r="K1834" s="38">
        <v>0.97</v>
      </c>
      <c r="L1834" t="s">
        <v>5041</v>
      </c>
      <c r="M1834" s="37">
        <v>0.97</v>
      </c>
      <c r="N1834" s="37">
        <v>0.4</v>
      </c>
      <c r="O1834">
        <v>0.97</v>
      </c>
      <c r="P1834" s="37">
        <v>1.366</v>
      </c>
      <c r="Q1834">
        <v>1.15</v>
      </c>
      <c r="R1834">
        <v>5575.59</v>
      </c>
      <c r="S1834">
        <v>5575.59</v>
      </c>
      <c r="T1834">
        <v>5000</v>
      </c>
      <c r="U1834" t="s">
        <v>4831</v>
      </c>
      <c r="W1834" s="37">
        <v>-0.0883</v>
      </c>
      <c r="X1834" t="s">
        <v>4832</v>
      </c>
      <c r="Y1834" t="s">
        <v>4833</v>
      </c>
      <c r="Z1834" s="37">
        <v>0.7742</v>
      </c>
      <c r="AA1834" s="37">
        <v>0.5</v>
      </c>
      <c r="AB1834">
        <v>0</v>
      </c>
    </row>
    <row r="1835">
      <c r="A1835" t="s">
        <v>5051</v>
      </c>
      <c r="B1835" t="s">
        <v>4979</v>
      </c>
      <c r="C1835" t="s">
        <v>4979</v>
      </c>
      <c r="D1835" t="s">
        <v>359</v>
      </c>
      <c r="E1835" t="s">
        <v>5052</v>
      </c>
      <c r="F1835" t="s">
        <v>298</v>
      </c>
      <c r="G1835" t="s">
        <v>5053</v>
      </c>
      <c r="H1835" t="s">
        <v>4982</v>
      </c>
      <c r="I1835" t="s">
        <v>4983</v>
      </c>
      <c r="J1835" s="38">
        <v>1</v>
      </c>
      <c r="K1835" s="37">
        <v>1.0586</v>
      </c>
      <c r="L1835" t="s">
        <v>5054</v>
      </c>
      <c r="M1835" s="37">
        <v>1.0586</v>
      </c>
      <c r="N1835" s="37">
        <v>0.05</v>
      </c>
      <c r="O1835">
        <v>1.0586</v>
      </c>
      <c r="P1835" s="37">
        <v>0.78909</v>
      </c>
      <c r="Q1835">
        <v>0.78</v>
      </c>
      <c r="R1835">
        <v>4680</v>
      </c>
      <c r="S1835">
        <v>4680</v>
      </c>
      <c r="T1835">
        <v>6000</v>
      </c>
      <c r="U1835" t="s">
        <v>4831</v>
      </c>
      <c r="W1835" s="37">
        <v>-0.0883</v>
      </c>
      <c r="X1835" t="s">
        <v>4832</v>
      </c>
      <c r="Y1835" t="s">
        <v>4833</v>
      </c>
      <c r="Z1835" s="37">
        <v>0.7742</v>
      </c>
      <c r="AA1835" s="37">
        <v>0.5</v>
      </c>
      <c r="AB1835">
        <v>0</v>
      </c>
    </row>
    <row r="1836">
      <c r="A1836" t="s">
        <v>5051</v>
      </c>
      <c r="B1836" t="s">
        <v>4979</v>
      </c>
      <c r="C1836" t="s">
        <v>4979</v>
      </c>
      <c r="D1836" t="s">
        <v>359</v>
      </c>
      <c r="E1836" t="s">
        <v>5052</v>
      </c>
      <c r="F1836" t="s">
        <v>298</v>
      </c>
      <c r="G1836" t="s">
        <v>5053</v>
      </c>
      <c r="H1836" t="s">
        <v>4984</v>
      </c>
      <c r="I1836" t="s">
        <v>5055</v>
      </c>
      <c r="J1836" s="38">
        <v>1</v>
      </c>
      <c r="K1836" s="37">
        <v>1.0566</v>
      </c>
      <c r="L1836" t="s">
        <v>4987</v>
      </c>
      <c r="M1836" s="37">
        <v>1.0566</v>
      </c>
      <c r="N1836" s="37">
        <v>0.05</v>
      </c>
      <c r="O1836">
        <v>1.0566</v>
      </c>
      <c r="P1836" s="37">
        <v>0.78909</v>
      </c>
      <c r="Q1836">
        <v>0.78</v>
      </c>
      <c r="R1836">
        <v>4680</v>
      </c>
      <c r="S1836">
        <v>4680</v>
      </c>
      <c r="T1836">
        <v>6000</v>
      </c>
      <c r="U1836" t="s">
        <v>4831</v>
      </c>
      <c r="W1836" s="37">
        <v>-0.0883</v>
      </c>
      <c r="X1836" t="s">
        <v>4832</v>
      </c>
      <c r="Y1836" t="s">
        <v>4833</v>
      </c>
      <c r="Z1836" s="37">
        <v>0.7742</v>
      </c>
      <c r="AA1836" s="37">
        <v>0.5</v>
      </c>
      <c r="AB1836">
        <v>0</v>
      </c>
    </row>
    <row r="1837">
      <c r="A1837" t="s">
        <v>5051</v>
      </c>
      <c r="B1837" t="s">
        <v>4979</v>
      </c>
      <c r="C1837" t="s">
        <v>4979</v>
      </c>
      <c r="D1837" t="s">
        <v>359</v>
      </c>
      <c r="E1837" t="s">
        <v>5052</v>
      </c>
      <c r="F1837" t="s">
        <v>298</v>
      </c>
      <c r="G1837" t="s">
        <v>5053</v>
      </c>
      <c r="H1837" t="s">
        <v>5056</v>
      </c>
      <c r="I1837" t="s">
        <v>5057</v>
      </c>
      <c r="J1837" s="38">
        <v>1</v>
      </c>
      <c r="K1837" s="37">
        <v>0.3333</v>
      </c>
      <c r="L1837" t="s">
        <v>5058</v>
      </c>
      <c r="M1837" s="37">
        <v>0.3333</v>
      </c>
      <c r="N1837" s="37">
        <v>0.1</v>
      </c>
      <c r="O1837">
        <v>0.2666</v>
      </c>
      <c r="P1837" s="37">
        <v>0.78909</v>
      </c>
      <c r="Q1837">
        <v>0.78</v>
      </c>
      <c r="R1837">
        <v>4680</v>
      </c>
      <c r="S1837">
        <v>4680</v>
      </c>
      <c r="T1837">
        <v>6000</v>
      </c>
      <c r="U1837" t="s">
        <v>4831</v>
      </c>
      <c r="W1837" s="37">
        <v>-0.0883</v>
      </c>
      <c r="X1837" t="s">
        <v>4832</v>
      </c>
      <c r="Y1837" t="s">
        <v>4833</v>
      </c>
      <c r="Z1837" s="37">
        <v>0.7742</v>
      </c>
      <c r="AA1837" s="37">
        <v>0.5</v>
      </c>
      <c r="AB1837">
        <v>0</v>
      </c>
    </row>
    <row r="1838">
      <c r="A1838" t="s">
        <v>5051</v>
      </c>
      <c r="B1838" t="s">
        <v>4979</v>
      </c>
      <c r="C1838" t="s">
        <v>4979</v>
      </c>
      <c r="D1838" t="s">
        <v>359</v>
      </c>
      <c r="E1838" t="s">
        <v>5052</v>
      </c>
      <c r="F1838" t="s">
        <v>298</v>
      </c>
      <c r="G1838" t="s">
        <v>5053</v>
      </c>
      <c r="H1838" t="s">
        <v>5059</v>
      </c>
      <c r="I1838" t="s">
        <v>5060</v>
      </c>
      <c r="J1838" s="38">
        <v>1</v>
      </c>
      <c r="K1838" s="37">
        <v>0.8125</v>
      </c>
      <c r="L1838" t="s">
        <v>5061</v>
      </c>
      <c r="M1838" s="37">
        <v>0.8125</v>
      </c>
      <c r="N1838" s="37">
        <v>0.8</v>
      </c>
      <c r="O1838">
        <v>0.8125</v>
      </c>
      <c r="P1838" s="37">
        <v>0.78909</v>
      </c>
      <c r="Q1838">
        <v>0.78</v>
      </c>
      <c r="R1838">
        <v>4680</v>
      </c>
      <c r="S1838">
        <v>4680</v>
      </c>
      <c r="T1838">
        <v>6000</v>
      </c>
      <c r="U1838" t="s">
        <v>4831</v>
      </c>
      <c r="W1838" s="37">
        <v>-0.0883</v>
      </c>
      <c r="X1838" t="s">
        <v>4832</v>
      </c>
      <c r="Y1838" t="s">
        <v>4833</v>
      </c>
      <c r="Z1838" s="37">
        <v>0.7742</v>
      </c>
      <c r="AA1838" s="37">
        <v>0.5</v>
      </c>
      <c r="AB1838">
        <v>0</v>
      </c>
    </row>
    <row r="1839">
      <c r="A1839" t="s">
        <v>5062</v>
      </c>
      <c r="B1839" t="s">
        <v>4979</v>
      </c>
      <c r="C1839" t="s">
        <v>4979</v>
      </c>
      <c r="D1839" t="s">
        <v>1062</v>
      </c>
      <c r="E1839" t="s">
        <v>5063</v>
      </c>
      <c r="F1839" t="s">
        <v>298</v>
      </c>
      <c r="G1839" t="s">
        <v>5053</v>
      </c>
      <c r="H1839" t="s">
        <v>4982</v>
      </c>
      <c r="I1839" t="s">
        <v>4983</v>
      </c>
      <c r="J1839" s="37">
        <v>0.0768</v>
      </c>
      <c r="K1839">
        <v>8.13</v>
      </c>
      <c r="L1839" t="s">
        <v>5061</v>
      </c>
      <c r="M1839" s="37">
        <v>1.0586</v>
      </c>
      <c r="N1839" s="37">
        <v>0.05</v>
      </c>
      <c r="O1839">
        <v>1.0586</v>
      </c>
      <c r="P1839" s="37">
        <v>0.97676</v>
      </c>
      <c r="Q1839">
        <v>0.98</v>
      </c>
      <c r="R1839">
        <v>4877</v>
      </c>
      <c r="S1839">
        <v>4877</v>
      </c>
      <c r="T1839">
        <v>5000</v>
      </c>
      <c r="U1839" t="s">
        <v>4831</v>
      </c>
      <c r="W1839" s="37">
        <v>-0.0883</v>
      </c>
      <c r="X1839" t="s">
        <v>4832</v>
      </c>
      <c r="Y1839" t="s">
        <v>4833</v>
      </c>
      <c r="Z1839" s="37">
        <v>0.7742</v>
      </c>
      <c r="AA1839" s="37">
        <v>0.5</v>
      </c>
      <c r="AB1839">
        <v>0</v>
      </c>
    </row>
    <row r="1840">
      <c r="A1840" t="s">
        <v>5062</v>
      </c>
      <c r="B1840" t="s">
        <v>4979</v>
      </c>
      <c r="C1840" t="s">
        <v>4979</v>
      </c>
      <c r="D1840" t="s">
        <v>1062</v>
      </c>
      <c r="E1840" t="s">
        <v>5063</v>
      </c>
      <c r="F1840" t="s">
        <v>298</v>
      </c>
      <c r="G1840" t="s">
        <v>5053</v>
      </c>
      <c r="H1840" t="s">
        <v>4984</v>
      </c>
      <c r="I1840" t="s">
        <v>4985</v>
      </c>
      <c r="J1840" t="s">
        <v>5064</v>
      </c>
      <c r="K1840">
        <v>7705.6</v>
      </c>
      <c r="L1840" t="s">
        <v>5061</v>
      </c>
      <c r="M1840" s="37">
        <v>1.0566</v>
      </c>
      <c r="N1840" s="37">
        <v>0.05</v>
      </c>
      <c r="O1840">
        <v>1.0566</v>
      </c>
      <c r="P1840" s="37">
        <v>0.97676</v>
      </c>
      <c r="Q1840">
        <v>0.98</v>
      </c>
      <c r="R1840">
        <v>4877</v>
      </c>
      <c r="S1840">
        <v>4877</v>
      </c>
      <c r="T1840">
        <v>5000</v>
      </c>
      <c r="U1840" t="s">
        <v>4831</v>
      </c>
      <c r="W1840" s="37">
        <v>-0.0883</v>
      </c>
      <c r="X1840" t="s">
        <v>4832</v>
      </c>
      <c r="Y1840" t="s">
        <v>4833</v>
      </c>
      <c r="Z1840" s="37">
        <v>0.7742</v>
      </c>
      <c r="AA1840" s="37">
        <v>0.5</v>
      </c>
      <c r="AB1840">
        <v>0</v>
      </c>
    </row>
    <row r="1841">
      <c r="A1841" t="s">
        <v>5062</v>
      </c>
      <c r="B1841" t="s">
        <v>4979</v>
      </c>
      <c r="C1841" t="s">
        <v>4979</v>
      </c>
      <c r="D1841" t="s">
        <v>1062</v>
      </c>
      <c r="E1841" t="s">
        <v>5063</v>
      </c>
      <c r="F1841" t="s">
        <v>298</v>
      </c>
      <c r="G1841" t="s">
        <v>5053</v>
      </c>
      <c r="H1841" t="s">
        <v>5056</v>
      </c>
      <c r="I1841" t="s">
        <v>5065</v>
      </c>
      <c r="J1841" t="s">
        <v>5066</v>
      </c>
      <c r="K1841">
        <v>1.2</v>
      </c>
      <c r="L1841" t="s">
        <v>5061</v>
      </c>
      <c r="M1841" s="37">
        <v>1.09</v>
      </c>
      <c r="N1841" s="37">
        <v>0.4</v>
      </c>
      <c r="O1841">
        <v>1.09</v>
      </c>
      <c r="P1841" s="37">
        <v>0.97676</v>
      </c>
      <c r="Q1841">
        <v>0.98</v>
      </c>
      <c r="R1841">
        <v>4877</v>
      </c>
      <c r="S1841">
        <v>4877</v>
      </c>
      <c r="T1841">
        <v>5000</v>
      </c>
      <c r="U1841" t="s">
        <v>4831</v>
      </c>
      <c r="W1841" s="37">
        <v>-0.0883</v>
      </c>
      <c r="X1841" t="s">
        <v>4832</v>
      </c>
      <c r="Y1841" t="s">
        <v>4833</v>
      </c>
      <c r="Z1841" s="37">
        <v>0.7742</v>
      </c>
      <c r="AA1841" s="37">
        <v>0.5</v>
      </c>
      <c r="AB1841">
        <v>0</v>
      </c>
    </row>
    <row r="1842">
      <c r="A1842" t="s">
        <v>5062</v>
      </c>
      <c r="B1842" t="s">
        <v>4979</v>
      </c>
      <c r="C1842" t="s">
        <v>4979</v>
      </c>
      <c r="D1842" t="s">
        <v>1062</v>
      </c>
      <c r="E1842" t="s">
        <v>5063</v>
      </c>
      <c r="F1842" t="s">
        <v>298</v>
      </c>
      <c r="G1842" t="s">
        <v>5053</v>
      </c>
      <c r="H1842" t="s">
        <v>5059</v>
      </c>
      <c r="I1842" t="s">
        <v>5067</v>
      </c>
      <c r="J1842" t="s">
        <v>1764</v>
      </c>
      <c r="K1842">
        <v>1.3</v>
      </c>
      <c r="L1842" t="s">
        <v>5061</v>
      </c>
      <c r="M1842" s="37">
        <v>0.87</v>
      </c>
      <c r="N1842" s="37">
        <v>0.5</v>
      </c>
      <c r="O1842">
        <v>0.87</v>
      </c>
      <c r="P1842" s="37">
        <v>0.97676</v>
      </c>
      <c r="Q1842">
        <v>0.98</v>
      </c>
      <c r="R1842">
        <v>4877</v>
      </c>
      <c r="S1842">
        <v>4877</v>
      </c>
      <c r="T1842">
        <v>5000</v>
      </c>
      <c r="U1842" t="s">
        <v>4831</v>
      </c>
      <c r="W1842" s="37">
        <v>-0.0883</v>
      </c>
      <c r="X1842" t="s">
        <v>4832</v>
      </c>
      <c r="Y1842" t="s">
        <v>4833</v>
      </c>
      <c r="Z1842" s="37">
        <v>0.7742</v>
      </c>
      <c r="AA1842" s="37">
        <v>0.5</v>
      </c>
      <c r="AB1842">
        <v>0</v>
      </c>
    </row>
    <row r="1843">
      <c r="A1843" t="s">
        <v>5068</v>
      </c>
      <c r="B1843" t="s">
        <v>5069</v>
      </c>
      <c r="C1843" t="s">
        <v>5069</v>
      </c>
      <c r="D1843" t="s">
        <v>999</v>
      </c>
      <c r="E1843" t="s">
        <v>5070</v>
      </c>
      <c r="F1843" t="s">
        <v>298</v>
      </c>
      <c r="G1843" t="s">
        <v>5071</v>
      </c>
      <c r="H1843" t="s">
        <v>5072</v>
      </c>
      <c r="I1843" t="s">
        <v>5073</v>
      </c>
      <c r="J1843" t="s">
        <v>3696</v>
      </c>
      <c r="K1843" t="s">
        <v>5074</v>
      </c>
      <c r="L1843" t="s">
        <v>5061</v>
      </c>
      <c r="M1843" s="37">
        <v>0.7</v>
      </c>
      <c r="N1843" s="37">
        <v>0.7</v>
      </c>
      <c r="O1843">
        <v>1.0067</v>
      </c>
      <c r="P1843" s="37">
        <v>0.58</v>
      </c>
      <c r="Q1843">
        <v>0.9</v>
      </c>
      <c r="R1843">
        <v>5580</v>
      </c>
      <c r="S1843">
        <v>5580</v>
      </c>
      <c r="T1843">
        <v>5000</v>
      </c>
      <c r="U1843" t="s">
        <v>4831</v>
      </c>
      <c r="W1843" s="37">
        <v>-0.0883</v>
      </c>
      <c r="X1843" t="s">
        <v>4832</v>
      </c>
      <c r="Y1843" t="s">
        <v>4833</v>
      </c>
      <c r="Z1843" s="37">
        <v>0.7742</v>
      </c>
      <c r="AA1843" s="37">
        <v>0.5</v>
      </c>
      <c r="AB1843">
        <v>0</v>
      </c>
    </row>
    <row r="1844">
      <c r="A1844" t="s">
        <v>5068</v>
      </c>
      <c r="B1844" t="s">
        <v>5069</v>
      </c>
      <c r="C1844" t="s">
        <v>5069</v>
      </c>
      <c r="D1844" t="s">
        <v>999</v>
      </c>
      <c r="E1844" t="s">
        <v>5070</v>
      </c>
      <c r="F1844" t="s">
        <v>298</v>
      </c>
      <c r="G1844" t="s">
        <v>5071</v>
      </c>
      <c r="H1844" t="s">
        <v>5075</v>
      </c>
      <c r="I1844" t="s">
        <v>3755</v>
      </c>
      <c r="J1844" t="s">
        <v>969</v>
      </c>
      <c r="K1844" t="s">
        <v>342</v>
      </c>
      <c r="L1844" t="s">
        <v>5061</v>
      </c>
      <c r="M1844" s="37">
        <v>0.3</v>
      </c>
      <c r="N1844" s="37">
        <v>0.3</v>
      </c>
      <c r="O1844">
        <v>0.6667</v>
      </c>
      <c r="P1844" s="37">
        <v>0.58</v>
      </c>
      <c r="Q1844">
        <v>0.9</v>
      </c>
      <c r="R1844">
        <v>5580</v>
      </c>
      <c r="S1844">
        <v>5580</v>
      </c>
      <c r="T1844">
        <v>5000</v>
      </c>
      <c r="U1844" t="s">
        <v>4831</v>
      </c>
      <c r="W1844" s="37">
        <v>-0.0883</v>
      </c>
      <c r="X1844" t="s">
        <v>4832</v>
      </c>
      <c r="Y1844" t="s">
        <v>4833</v>
      </c>
      <c r="Z1844" s="37">
        <v>0.7742</v>
      </c>
      <c r="AA1844" s="37">
        <v>0.5</v>
      </c>
      <c r="AB1844">
        <v>0</v>
      </c>
    </row>
    <row r="1845">
      <c r="A1845" t="s">
        <v>5076</v>
      </c>
      <c r="B1845" t="s">
        <v>5069</v>
      </c>
      <c r="C1845" t="s">
        <v>5069</v>
      </c>
      <c r="D1845" t="s">
        <v>1013</v>
      </c>
      <c r="E1845" t="s">
        <v>5077</v>
      </c>
      <c r="F1845" t="s">
        <v>298</v>
      </c>
      <c r="G1845" t="s">
        <v>5071</v>
      </c>
      <c r="H1845" t="s">
        <v>5072</v>
      </c>
      <c r="I1845" t="s">
        <v>5078</v>
      </c>
      <c r="J1845" t="s">
        <v>3643</v>
      </c>
      <c r="K1845" t="s">
        <v>5079</v>
      </c>
      <c r="L1845" t="s">
        <v>5061</v>
      </c>
      <c r="M1845" s="37">
        <v>1</v>
      </c>
      <c r="N1845" s="37">
        <v>0.7</v>
      </c>
      <c r="O1845">
        <v>1</v>
      </c>
      <c r="P1845" s="37">
        <v>0.7</v>
      </c>
      <c r="Q1845">
        <v>0.7</v>
      </c>
      <c r="R1845">
        <v>1395</v>
      </c>
      <c r="S1845">
        <v>1395</v>
      </c>
      <c r="T1845">
        <v>1500</v>
      </c>
      <c r="U1845" t="s">
        <v>4831</v>
      </c>
      <c r="W1845" s="37">
        <v>-0.0883</v>
      </c>
      <c r="X1845" t="s">
        <v>4832</v>
      </c>
      <c r="Y1845" t="s">
        <v>4833</v>
      </c>
      <c r="Z1845" s="37">
        <v>0.7742</v>
      </c>
      <c r="AA1845" s="37">
        <v>0.5</v>
      </c>
      <c r="AB1845">
        <v>0</v>
      </c>
    </row>
    <row r="1846">
      <c r="A1846" t="s">
        <v>5076</v>
      </c>
      <c r="B1846" t="s">
        <v>5069</v>
      </c>
      <c r="C1846" t="s">
        <v>5069</v>
      </c>
      <c r="D1846" t="s">
        <v>1013</v>
      </c>
      <c r="E1846" t="s">
        <v>5077</v>
      </c>
      <c r="F1846" t="s">
        <v>298</v>
      </c>
      <c r="G1846" t="s">
        <v>5071</v>
      </c>
      <c r="H1846" t="s">
        <v>5075</v>
      </c>
      <c r="I1846" t="s">
        <v>5080</v>
      </c>
      <c r="J1846" t="s">
        <v>969</v>
      </c>
      <c r="K1846" t="s">
        <v>1041</v>
      </c>
      <c r="M1846" s="37">
        <v>0</v>
      </c>
      <c r="N1846" s="37">
        <v>0.3</v>
      </c>
      <c r="O1846">
        <v>0</v>
      </c>
      <c r="P1846" s="37">
        <v>0.7</v>
      </c>
      <c r="Q1846">
        <v>0.7</v>
      </c>
      <c r="R1846">
        <v>1395</v>
      </c>
      <c r="S1846">
        <v>1395</v>
      </c>
      <c r="T1846">
        <v>1500</v>
      </c>
      <c r="U1846" t="s">
        <v>4831</v>
      </c>
      <c r="W1846" s="37">
        <v>-0.0883</v>
      </c>
      <c r="X1846" t="s">
        <v>4832</v>
      </c>
      <c r="Y1846" t="s">
        <v>4833</v>
      </c>
      <c r="Z1846" s="37">
        <v>0.7742</v>
      </c>
      <c r="AA1846" s="37">
        <v>0.5</v>
      </c>
      <c r="AB1846">
        <v>0</v>
      </c>
    </row>
    <row r="1847">
      <c r="A1847" t="s">
        <v>5081</v>
      </c>
      <c r="B1847" t="s">
        <v>5069</v>
      </c>
      <c r="C1847" t="s">
        <v>5069</v>
      </c>
      <c r="D1847" t="s">
        <v>2561</v>
      </c>
      <c r="E1847" t="s">
        <v>5082</v>
      </c>
      <c r="F1847" t="s">
        <v>298</v>
      </c>
      <c r="G1847" t="s">
        <v>5071</v>
      </c>
      <c r="H1847" t="s">
        <v>5072</v>
      </c>
      <c r="I1847" t="s">
        <v>5083</v>
      </c>
      <c r="J1847" t="s">
        <v>3696</v>
      </c>
      <c r="K1847" t="s">
        <v>5084</v>
      </c>
      <c r="M1847" s="37">
        <v>0.71</v>
      </c>
      <c r="N1847" s="37">
        <v>0.7</v>
      </c>
      <c r="O1847">
        <v>0.568</v>
      </c>
      <c r="P1847" s="37">
        <v>0.69701</v>
      </c>
      <c r="Q1847">
        <v>0.56</v>
      </c>
      <c r="R1847">
        <v>3410</v>
      </c>
      <c r="S1847">
        <v>3410</v>
      </c>
      <c r="T1847">
        <v>2000</v>
      </c>
      <c r="U1847" t="s">
        <v>4831</v>
      </c>
      <c r="W1847" s="37">
        <v>-0.0883</v>
      </c>
      <c r="X1847" t="s">
        <v>4832</v>
      </c>
      <c r="Y1847" t="s">
        <v>4833</v>
      </c>
      <c r="Z1847" s="37">
        <v>0.7742</v>
      </c>
      <c r="AA1847" s="37">
        <v>0.5</v>
      </c>
      <c r="AB1847">
        <v>0</v>
      </c>
    </row>
    <row r="1848">
      <c r="A1848" t="s">
        <v>5081</v>
      </c>
      <c r="B1848" t="s">
        <v>5069</v>
      </c>
      <c r="C1848" t="s">
        <v>5069</v>
      </c>
      <c r="D1848" t="s">
        <v>2561</v>
      </c>
      <c r="E1848" t="s">
        <v>5082</v>
      </c>
      <c r="F1848" t="s">
        <v>298</v>
      </c>
      <c r="G1848" t="s">
        <v>5071</v>
      </c>
      <c r="H1848" t="s">
        <v>5075</v>
      </c>
      <c r="I1848" t="s">
        <v>5085</v>
      </c>
      <c r="J1848" t="s">
        <v>969</v>
      </c>
      <c r="K1848" t="s">
        <v>342</v>
      </c>
      <c r="M1848" s="37">
        <v>0.6667</v>
      </c>
      <c r="N1848" s="37">
        <v>0.3</v>
      </c>
      <c r="O1848">
        <v>0.5334</v>
      </c>
      <c r="P1848" s="37">
        <v>0.69701</v>
      </c>
      <c r="Q1848">
        <v>0.56</v>
      </c>
      <c r="R1848">
        <v>3410</v>
      </c>
      <c r="S1848">
        <v>3410</v>
      </c>
      <c r="T1848">
        <v>2000</v>
      </c>
      <c r="U1848" t="s">
        <v>4831</v>
      </c>
      <c r="W1848" s="37">
        <v>-0.0883</v>
      </c>
      <c r="X1848" t="s">
        <v>4832</v>
      </c>
      <c r="Y1848" t="s">
        <v>4833</v>
      </c>
      <c r="Z1848" s="37">
        <v>0.7742</v>
      </c>
      <c r="AA1848" s="37">
        <v>0.5</v>
      </c>
      <c r="AB1848">
        <v>0</v>
      </c>
    </row>
    <row r="1849">
      <c r="A1849" t="s">
        <v>5086</v>
      </c>
      <c r="B1849" t="s">
        <v>5069</v>
      </c>
      <c r="C1849" t="s">
        <v>5069</v>
      </c>
      <c r="D1849" t="s">
        <v>3382</v>
      </c>
      <c r="E1849" t="s">
        <v>5087</v>
      </c>
      <c r="F1849" t="s">
        <v>298</v>
      </c>
      <c r="G1849" t="s">
        <v>5071</v>
      </c>
      <c r="H1849" t="s">
        <v>5072</v>
      </c>
      <c r="I1849" t="s">
        <v>5085</v>
      </c>
      <c r="J1849">
        <v>1000000</v>
      </c>
      <c r="K1849">
        <v>105713.68</v>
      </c>
      <c r="M1849" s="37">
        <v>0.1057</v>
      </c>
      <c r="N1849" s="37">
        <v>0.7</v>
      </c>
      <c r="O1849">
        <v>0.0846</v>
      </c>
      <c r="P1849" s="37">
        <v>0.07399</v>
      </c>
      <c r="Q1849">
        <v>0.06</v>
      </c>
      <c r="R1849">
        <v>1240</v>
      </c>
      <c r="S1849">
        <v>1240</v>
      </c>
      <c r="T1849">
        <v>500</v>
      </c>
      <c r="U1849" t="s">
        <v>4831</v>
      </c>
      <c r="W1849" s="37">
        <v>-0.0883</v>
      </c>
      <c r="X1849" t="s">
        <v>4832</v>
      </c>
      <c r="Y1849" t="s">
        <v>4833</v>
      </c>
      <c r="Z1849" s="37">
        <v>0.7742</v>
      </c>
      <c r="AA1849" s="37">
        <v>0.5</v>
      </c>
      <c r="AB1849">
        <v>0</v>
      </c>
    </row>
    <row r="1850">
      <c r="A1850" t="s">
        <v>5086</v>
      </c>
      <c r="B1850" t="s">
        <v>5069</v>
      </c>
      <c r="C1850" t="s">
        <v>5069</v>
      </c>
      <c r="D1850" t="s">
        <v>3382</v>
      </c>
      <c r="E1850" t="s">
        <v>5087</v>
      </c>
      <c r="F1850" t="s">
        <v>298</v>
      </c>
      <c r="G1850" t="s">
        <v>5071</v>
      </c>
      <c r="H1850" t="s">
        <v>5075</v>
      </c>
      <c r="I1850" t="s">
        <v>5088</v>
      </c>
      <c r="J1850" t="s">
        <v>969</v>
      </c>
      <c r="K1850" t="s">
        <v>1041</v>
      </c>
      <c r="M1850" s="37">
        <v>0</v>
      </c>
      <c r="N1850" s="37">
        <v>0.3</v>
      </c>
      <c r="O1850">
        <v>0</v>
      </c>
      <c r="P1850" s="37">
        <v>0.07399</v>
      </c>
      <c r="Q1850">
        <v>0.06</v>
      </c>
      <c r="R1850">
        <v>1240</v>
      </c>
      <c r="S1850">
        <v>1240</v>
      </c>
      <c r="T1850">
        <v>500</v>
      </c>
      <c r="U1850" t="s">
        <v>4831</v>
      </c>
      <c r="W1850" s="37">
        <v>-0.0883</v>
      </c>
      <c r="X1850" t="s">
        <v>4832</v>
      </c>
      <c r="Y1850" t="s">
        <v>4833</v>
      </c>
      <c r="Z1850" s="37">
        <v>0.7742</v>
      </c>
      <c r="AA1850" s="37">
        <v>0.5</v>
      </c>
      <c r="AB1850">
        <v>0</v>
      </c>
    </row>
    <row r="1851">
      <c r="A1851" t="s">
        <v>5089</v>
      </c>
      <c r="B1851" t="s">
        <v>5069</v>
      </c>
      <c r="C1851" t="s">
        <v>5069</v>
      </c>
      <c r="D1851" t="s">
        <v>999</v>
      </c>
      <c r="E1851" t="s">
        <v>5090</v>
      </c>
      <c r="F1851" t="s">
        <v>298</v>
      </c>
      <c r="G1851" t="s">
        <v>5071</v>
      </c>
      <c r="H1851" t="s">
        <v>5072</v>
      </c>
      <c r="I1851" t="s">
        <v>5091</v>
      </c>
      <c r="J1851" t="s">
        <v>3696</v>
      </c>
      <c r="K1851" t="s">
        <v>5092</v>
      </c>
      <c r="M1851" s="37">
        <v>0.8118</v>
      </c>
      <c r="N1851" s="37">
        <v>0.7</v>
      </c>
      <c r="O1851">
        <v>0.65</v>
      </c>
      <c r="P1851" s="37">
        <v>0.66816</v>
      </c>
      <c r="Q1851">
        <v>0.54</v>
      </c>
      <c r="R1851">
        <v>2015</v>
      </c>
      <c r="S1851">
        <v>2015</v>
      </c>
      <c r="T1851">
        <v>5000</v>
      </c>
      <c r="U1851" t="s">
        <v>4831</v>
      </c>
      <c r="W1851" s="37">
        <v>-0.0883</v>
      </c>
      <c r="X1851" t="s">
        <v>4832</v>
      </c>
      <c r="Y1851" t="s">
        <v>4833</v>
      </c>
      <c r="Z1851" s="37">
        <v>0.7742</v>
      </c>
      <c r="AA1851" s="37">
        <v>0.5</v>
      </c>
      <c r="AB1851">
        <v>0</v>
      </c>
    </row>
    <row r="1852">
      <c r="A1852" t="s">
        <v>5089</v>
      </c>
      <c r="B1852" t="s">
        <v>5069</v>
      </c>
      <c r="C1852" t="s">
        <v>5069</v>
      </c>
      <c r="D1852" t="s">
        <v>999</v>
      </c>
      <c r="E1852" t="s">
        <v>5090</v>
      </c>
      <c r="F1852" t="s">
        <v>298</v>
      </c>
      <c r="G1852" t="s">
        <v>5071</v>
      </c>
      <c r="H1852" t="s">
        <v>5075</v>
      </c>
      <c r="I1852" t="s">
        <v>5093</v>
      </c>
      <c r="J1852" t="s">
        <v>969</v>
      </c>
      <c r="K1852" t="s">
        <v>5094</v>
      </c>
      <c r="L1852" t="s">
        <v>5095</v>
      </c>
      <c r="M1852" s="37">
        <v>0.333</v>
      </c>
      <c r="N1852" s="37">
        <v>0.3</v>
      </c>
      <c r="O1852">
        <v>0.27</v>
      </c>
      <c r="P1852" s="37">
        <v>0.66816</v>
      </c>
      <c r="Q1852">
        <v>0.54</v>
      </c>
      <c r="R1852">
        <v>2015</v>
      </c>
      <c r="S1852">
        <v>2015</v>
      </c>
      <c r="T1852">
        <v>5000</v>
      </c>
      <c r="U1852" t="s">
        <v>4831</v>
      </c>
      <c r="W1852" s="37">
        <v>-0.0883</v>
      </c>
      <c r="X1852" t="s">
        <v>4832</v>
      </c>
      <c r="Y1852" t="s">
        <v>4833</v>
      </c>
      <c r="Z1852" s="37">
        <v>0.7742</v>
      </c>
      <c r="AA1852" s="37">
        <v>0.5</v>
      </c>
      <c r="AB1852">
        <v>0</v>
      </c>
    </row>
    <row r="1853">
      <c r="A1853" t="s">
        <v>5096</v>
      </c>
      <c r="B1853" t="s">
        <v>5069</v>
      </c>
      <c r="C1853" t="s">
        <v>5069</v>
      </c>
      <c r="D1853" t="s">
        <v>1013</v>
      </c>
      <c r="E1853" t="s">
        <v>5097</v>
      </c>
      <c r="F1853" t="s">
        <v>298</v>
      </c>
      <c r="G1853" t="s">
        <v>5071</v>
      </c>
      <c r="H1853" t="s">
        <v>5075</v>
      </c>
      <c r="I1853" t="s">
        <v>5098</v>
      </c>
      <c r="J1853" t="s">
        <v>969</v>
      </c>
      <c r="K1853" t="s">
        <v>2397</v>
      </c>
      <c r="L1853" t="s">
        <v>5095</v>
      </c>
      <c r="M1853" s="37">
        <v>1.666667</v>
      </c>
      <c r="N1853" s="37">
        <v>0.3</v>
      </c>
      <c r="O1853">
        <v>1.5</v>
      </c>
      <c r="P1853" s="37">
        <v>1.872</v>
      </c>
      <c r="Q1853">
        <v>1.5</v>
      </c>
      <c r="R1853">
        <v>1860</v>
      </c>
      <c r="S1853">
        <v>1860</v>
      </c>
      <c r="T1853">
        <v>1500</v>
      </c>
      <c r="U1853" t="s">
        <v>4831</v>
      </c>
      <c r="W1853" s="37">
        <v>-0.0883</v>
      </c>
      <c r="X1853" t="s">
        <v>4832</v>
      </c>
      <c r="Y1853" t="s">
        <v>4833</v>
      </c>
      <c r="Z1853" s="37">
        <v>0.7742</v>
      </c>
      <c r="AA1853" s="37">
        <v>0.5</v>
      </c>
      <c r="AB1853">
        <v>0</v>
      </c>
    </row>
    <row r="1854">
      <c r="A1854" t="s">
        <v>5096</v>
      </c>
      <c r="B1854" t="s">
        <v>5069</v>
      </c>
      <c r="C1854" t="s">
        <v>5069</v>
      </c>
      <c r="D1854" t="s">
        <v>1013</v>
      </c>
      <c r="E1854" t="s">
        <v>5097</v>
      </c>
      <c r="F1854" t="s">
        <v>298</v>
      </c>
      <c r="G1854" t="s">
        <v>5071</v>
      </c>
      <c r="H1854" t="s">
        <v>5072</v>
      </c>
      <c r="I1854" t="s">
        <v>5099</v>
      </c>
      <c r="J1854" t="s">
        <v>3643</v>
      </c>
      <c r="K1854" t="s">
        <v>5100</v>
      </c>
      <c r="L1854" t="s">
        <v>5095</v>
      </c>
      <c r="M1854" s="37">
        <v>1.96</v>
      </c>
      <c r="N1854" s="37">
        <v>0.7</v>
      </c>
      <c r="O1854">
        <v>1.5</v>
      </c>
      <c r="P1854" s="37">
        <v>1.872</v>
      </c>
      <c r="Q1854">
        <v>1.5</v>
      </c>
      <c r="R1854">
        <v>1860</v>
      </c>
      <c r="S1854">
        <v>1860</v>
      </c>
      <c r="T1854">
        <v>1500</v>
      </c>
      <c r="U1854" t="s">
        <v>4831</v>
      </c>
      <c r="W1854" s="37">
        <v>-0.0883</v>
      </c>
      <c r="X1854" t="s">
        <v>4832</v>
      </c>
      <c r="Y1854" t="s">
        <v>4833</v>
      </c>
      <c r="Z1854" s="37">
        <v>0.7742</v>
      </c>
      <c r="AA1854" s="37">
        <v>0.5</v>
      </c>
      <c r="AB1854">
        <v>0</v>
      </c>
    </row>
    <row r="1855">
      <c r="A1855" t="s">
        <v>5101</v>
      </c>
      <c r="B1855" t="s">
        <v>5069</v>
      </c>
      <c r="C1855" t="s">
        <v>5069</v>
      </c>
      <c r="D1855" t="s">
        <v>999</v>
      </c>
      <c r="E1855" t="s">
        <v>5102</v>
      </c>
      <c r="F1855" t="s">
        <v>298</v>
      </c>
      <c r="G1855" t="s">
        <v>5071</v>
      </c>
      <c r="H1855" t="s">
        <v>5072</v>
      </c>
      <c r="I1855">
        <v>1</v>
      </c>
      <c r="J1855" t="s">
        <v>3643</v>
      </c>
      <c r="K1855" t="s">
        <v>5103</v>
      </c>
      <c r="L1855" t="s">
        <v>5095</v>
      </c>
      <c r="M1855" s="37">
        <v>0.47</v>
      </c>
      <c r="N1855" s="37">
        <v>0.7</v>
      </c>
      <c r="O1855">
        <v>0.37</v>
      </c>
      <c r="P1855" s="37">
        <v>0.329</v>
      </c>
      <c r="Q1855">
        <v>0.26</v>
      </c>
      <c r="R1855">
        <v>0</v>
      </c>
      <c r="S1855">
        <v>0</v>
      </c>
      <c r="T1855">
        <v>5000</v>
      </c>
      <c r="U1855" t="s">
        <v>4831</v>
      </c>
      <c r="W1855" s="37">
        <v>-0.0883</v>
      </c>
      <c r="X1855" t="s">
        <v>4832</v>
      </c>
      <c r="Y1855" t="s">
        <v>4833</v>
      </c>
      <c r="Z1855" s="37">
        <v>0.7742</v>
      </c>
      <c r="AA1855" s="37">
        <v>0.5</v>
      </c>
      <c r="AB1855">
        <v>0</v>
      </c>
    </row>
    <row r="1856">
      <c r="A1856" t="s">
        <v>5101</v>
      </c>
      <c r="B1856" t="s">
        <v>5069</v>
      </c>
      <c r="C1856" t="s">
        <v>5069</v>
      </c>
      <c r="D1856" t="s">
        <v>999</v>
      </c>
      <c r="E1856" t="s">
        <v>5102</v>
      </c>
      <c r="F1856" t="s">
        <v>298</v>
      </c>
      <c r="G1856" t="s">
        <v>5071</v>
      </c>
      <c r="H1856" t="s">
        <v>5075</v>
      </c>
      <c r="I1856">
        <v>3</v>
      </c>
      <c r="J1856" t="s">
        <v>969</v>
      </c>
      <c r="K1856" t="s">
        <v>5104</v>
      </c>
      <c r="L1856" t="s">
        <v>5095</v>
      </c>
      <c r="M1856" s="37">
        <v>0</v>
      </c>
      <c r="N1856" s="37">
        <v>0.3</v>
      </c>
      <c r="O1856">
        <v>0</v>
      </c>
      <c r="P1856" s="37">
        <v>0.329</v>
      </c>
      <c r="Q1856">
        <v>0.26</v>
      </c>
      <c r="R1856">
        <v>0</v>
      </c>
      <c r="S1856">
        <v>0</v>
      </c>
      <c r="T1856">
        <v>5000</v>
      </c>
      <c r="U1856" t="s">
        <v>4831</v>
      </c>
      <c r="W1856" s="37">
        <v>-0.0883</v>
      </c>
      <c r="X1856" t="s">
        <v>4832</v>
      </c>
      <c r="Y1856" t="s">
        <v>4833</v>
      </c>
      <c r="Z1856" s="37">
        <v>0.7742</v>
      </c>
      <c r="AA1856" s="37">
        <v>0.5</v>
      </c>
      <c r="AB1856">
        <v>0</v>
      </c>
    </row>
    <row r="1857">
      <c r="A1857" t="s">
        <v>5105</v>
      </c>
      <c r="B1857" t="s">
        <v>5106</v>
      </c>
      <c r="C1857" t="s">
        <v>5106</v>
      </c>
      <c r="D1857" t="s">
        <v>5107</v>
      </c>
      <c r="E1857" t="s">
        <v>5108</v>
      </c>
      <c r="F1857" t="s">
        <v>298</v>
      </c>
      <c r="G1857" t="s">
        <v>5109</v>
      </c>
      <c r="H1857" t="s">
        <v>5110</v>
      </c>
      <c r="I1857" t="s">
        <v>5111</v>
      </c>
      <c r="J1857" t="s">
        <v>2395</v>
      </c>
      <c r="K1857" t="s">
        <v>5112</v>
      </c>
      <c r="L1857" t="s">
        <v>5113</v>
      </c>
      <c r="M1857" s="37">
        <v>1.5666</v>
      </c>
      <c r="N1857" s="37">
        <v>0.6</v>
      </c>
      <c r="O1857">
        <v>1</v>
      </c>
      <c r="P1857" s="37">
        <v>1.17996</v>
      </c>
      <c r="Q1857">
        <v>0.77</v>
      </c>
      <c r="R1857">
        <v>3850</v>
      </c>
      <c r="S1857">
        <v>4850</v>
      </c>
      <c r="T1857">
        <v>5000</v>
      </c>
      <c r="U1857" t="s">
        <v>4831</v>
      </c>
      <c r="W1857" s="37">
        <v>-0.0883</v>
      </c>
      <c r="X1857" t="s">
        <v>4832</v>
      </c>
      <c r="Y1857" t="s">
        <v>4833</v>
      </c>
      <c r="Z1857" s="37">
        <v>0.7742</v>
      </c>
      <c r="AA1857" s="37">
        <v>0.5</v>
      </c>
      <c r="AB1857">
        <v>0</v>
      </c>
    </row>
    <row r="1858">
      <c r="A1858" t="s">
        <v>5105</v>
      </c>
      <c r="B1858" t="s">
        <v>5106</v>
      </c>
      <c r="C1858" t="s">
        <v>5106</v>
      </c>
      <c r="D1858" t="s">
        <v>5107</v>
      </c>
      <c r="E1858" t="s">
        <v>5108</v>
      </c>
      <c r="F1858" t="s">
        <v>298</v>
      </c>
      <c r="G1858" t="s">
        <v>5109</v>
      </c>
      <c r="H1858" t="s">
        <v>5114</v>
      </c>
      <c r="I1858" t="s">
        <v>5115</v>
      </c>
      <c r="J1858" t="s">
        <v>2397</v>
      </c>
      <c r="K1858" t="s">
        <v>969</v>
      </c>
      <c r="L1858" t="s">
        <v>5113</v>
      </c>
      <c r="M1858" s="37">
        <v>0.6</v>
      </c>
      <c r="N1858" s="37">
        <v>0.4</v>
      </c>
      <c r="O1858">
        <v>0.42</v>
      </c>
      <c r="P1858" s="37">
        <v>1.17996</v>
      </c>
      <c r="Q1858">
        <v>0.77</v>
      </c>
      <c r="R1858">
        <v>3850</v>
      </c>
      <c r="S1858">
        <v>4850</v>
      </c>
      <c r="T1858">
        <v>5000</v>
      </c>
      <c r="U1858" t="s">
        <v>4831</v>
      </c>
      <c r="W1858" s="37">
        <v>-0.0883</v>
      </c>
      <c r="X1858" t="s">
        <v>4832</v>
      </c>
      <c r="Y1858" t="s">
        <v>4833</v>
      </c>
      <c r="Z1858" s="37">
        <v>0.7742</v>
      </c>
      <c r="AA1858" s="37">
        <v>0.5</v>
      </c>
      <c r="AB1858">
        <v>0</v>
      </c>
    </row>
    <row r="1859">
      <c r="A1859" t="s">
        <v>5116</v>
      </c>
      <c r="B1859" t="s">
        <v>5117</v>
      </c>
      <c r="C1859" t="s">
        <v>5117</v>
      </c>
      <c r="D1859" t="s">
        <v>5107</v>
      </c>
      <c r="E1859" t="s">
        <v>5118</v>
      </c>
      <c r="F1859" t="s">
        <v>298</v>
      </c>
      <c r="G1859" t="s">
        <v>5109</v>
      </c>
      <c r="H1859" t="s">
        <v>5119</v>
      </c>
      <c r="I1859" t="s">
        <v>5120</v>
      </c>
      <c r="J1859" t="s">
        <v>5121</v>
      </c>
      <c r="K1859" t="s">
        <v>5122</v>
      </c>
      <c r="L1859" t="s">
        <v>5113</v>
      </c>
      <c r="M1859" s="37">
        <v>1.05</v>
      </c>
      <c r="N1859" s="37">
        <v>0.25</v>
      </c>
      <c r="O1859">
        <v>1</v>
      </c>
      <c r="P1859" s="37">
        <v>1.2125</v>
      </c>
      <c r="Q1859">
        <v>0.95</v>
      </c>
      <c r="R1859">
        <v>4750</v>
      </c>
      <c r="S1859">
        <v>4750</v>
      </c>
      <c r="T1859">
        <v>5000</v>
      </c>
      <c r="U1859" t="s">
        <v>4831</v>
      </c>
      <c r="W1859" s="37">
        <v>-0.0883</v>
      </c>
      <c r="X1859" t="s">
        <v>4832</v>
      </c>
      <c r="Y1859" t="s">
        <v>4833</v>
      </c>
      <c r="Z1859" s="37">
        <v>0.7742</v>
      </c>
      <c r="AA1859" s="37">
        <v>0.5</v>
      </c>
      <c r="AB1859">
        <v>0</v>
      </c>
    </row>
    <row r="1860">
      <c r="A1860" t="s">
        <v>5116</v>
      </c>
      <c r="B1860" t="s">
        <v>5117</v>
      </c>
      <c r="C1860" t="s">
        <v>5117</v>
      </c>
      <c r="D1860" t="s">
        <v>5107</v>
      </c>
      <c r="E1860" t="s">
        <v>5118</v>
      </c>
      <c r="F1860" t="s">
        <v>298</v>
      </c>
      <c r="G1860" t="s">
        <v>5109</v>
      </c>
      <c r="H1860" t="s">
        <v>5110</v>
      </c>
      <c r="I1860" t="s">
        <v>5123</v>
      </c>
      <c r="J1860" t="s">
        <v>2387</v>
      </c>
      <c r="K1860" t="s">
        <v>5121</v>
      </c>
      <c r="L1860" t="s">
        <v>5113</v>
      </c>
      <c r="M1860" s="37">
        <v>0.8</v>
      </c>
      <c r="N1860" s="37">
        <v>0.25</v>
      </c>
      <c r="O1860">
        <v>0.8</v>
      </c>
      <c r="P1860" s="37">
        <v>1.2125</v>
      </c>
      <c r="Q1860">
        <v>0.95</v>
      </c>
      <c r="R1860">
        <v>4750</v>
      </c>
      <c r="S1860">
        <v>4750</v>
      </c>
      <c r="T1860">
        <v>5000</v>
      </c>
      <c r="U1860" t="s">
        <v>4831</v>
      </c>
      <c r="W1860" s="37">
        <v>-0.0883</v>
      </c>
      <c r="X1860" t="s">
        <v>4832</v>
      </c>
      <c r="Y1860" t="s">
        <v>4833</v>
      </c>
      <c r="Z1860" s="37">
        <v>0.7742</v>
      </c>
      <c r="AA1860" s="37">
        <v>0.5</v>
      </c>
      <c r="AB1860">
        <v>0</v>
      </c>
    </row>
    <row r="1861">
      <c r="A1861" t="s">
        <v>5116</v>
      </c>
      <c r="B1861" t="s">
        <v>5117</v>
      </c>
      <c r="C1861" t="s">
        <v>5117</v>
      </c>
      <c r="D1861" t="s">
        <v>5107</v>
      </c>
      <c r="E1861" t="s">
        <v>5118</v>
      </c>
      <c r="F1861" t="s">
        <v>298</v>
      </c>
      <c r="G1861" t="s">
        <v>5109</v>
      </c>
      <c r="H1861" t="s">
        <v>5124</v>
      </c>
      <c r="I1861" t="s">
        <v>5125</v>
      </c>
      <c r="J1861" t="s">
        <v>969</v>
      </c>
      <c r="K1861" t="s">
        <v>969</v>
      </c>
      <c r="L1861" t="s">
        <v>5113</v>
      </c>
      <c r="M1861" s="37">
        <v>1</v>
      </c>
      <c r="N1861" s="37">
        <v>0.25</v>
      </c>
      <c r="O1861">
        <v>1</v>
      </c>
      <c r="P1861" s="37">
        <v>1.2125</v>
      </c>
      <c r="Q1861">
        <v>0.95</v>
      </c>
      <c r="R1861">
        <v>4750</v>
      </c>
      <c r="S1861">
        <v>4750</v>
      </c>
      <c r="T1861">
        <v>5000</v>
      </c>
      <c r="U1861" t="s">
        <v>4831</v>
      </c>
      <c r="W1861" s="37">
        <v>-0.0883</v>
      </c>
      <c r="X1861" t="s">
        <v>4832</v>
      </c>
      <c r="Y1861" t="s">
        <v>4833</v>
      </c>
      <c r="Z1861" s="37">
        <v>0.7742</v>
      </c>
      <c r="AA1861" s="37">
        <v>0.5</v>
      </c>
      <c r="AB1861">
        <v>0</v>
      </c>
    </row>
    <row r="1862">
      <c r="A1862" t="s">
        <v>5116</v>
      </c>
      <c r="B1862" t="s">
        <v>5117</v>
      </c>
      <c r="C1862" t="s">
        <v>5117</v>
      </c>
      <c r="D1862" t="s">
        <v>5107</v>
      </c>
      <c r="E1862" t="s">
        <v>5118</v>
      </c>
      <c r="F1862" t="s">
        <v>298</v>
      </c>
      <c r="G1862" t="s">
        <v>5109</v>
      </c>
      <c r="H1862" t="s">
        <v>5126</v>
      </c>
      <c r="I1862" t="s">
        <v>5127</v>
      </c>
      <c r="J1862" t="s">
        <v>2397</v>
      </c>
      <c r="K1862" t="s">
        <v>658</v>
      </c>
      <c r="M1862" s="37">
        <v>2</v>
      </c>
      <c r="N1862" s="37">
        <v>0.25</v>
      </c>
      <c r="O1862">
        <v>1</v>
      </c>
      <c r="P1862" s="37">
        <v>1.2125</v>
      </c>
      <c r="Q1862">
        <v>0.95</v>
      </c>
      <c r="R1862">
        <v>4750</v>
      </c>
      <c r="S1862">
        <v>4750</v>
      </c>
      <c r="T1862">
        <v>5000</v>
      </c>
      <c r="U1862" t="s">
        <v>4831</v>
      </c>
      <c r="W1862" s="37">
        <v>-0.0883</v>
      </c>
      <c r="X1862" t="s">
        <v>4832</v>
      </c>
      <c r="Y1862" t="s">
        <v>4833</v>
      </c>
      <c r="Z1862" s="37">
        <v>0.7742</v>
      </c>
      <c r="AA1862" s="37">
        <v>0.5</v>
      </c>
      <c r="AB1862">
        <v>0</v>
      </c>
    </row>
    <row r="1863">
      <c r="A1863" t="s">
        <v>5128</v>
      </c>
      <c r="B1863" t="s">
        <v>5117</v>
      </c>
      <c r="C1863" t="s">
        <v>5117</v>
      </c>
      <c r="D1863" t="s">
        <v>1013</v>
      </c>
      <c r="E1863" t="s">
        <v>5129</v>
      </c>
      <c r="F1863" t="s">
        <v>298</v>
      </c>
      <c r="G1863" t="s">
        <v>5109</v>
      </c>
      <c r="H1863" t="s">
        <v>5119</v>
      </c>
      <c r="I1863" t="s">
        <v>5130</v>
      </c>
      <c r="J1863" t="s">
        <v>5121</v>
      </c>
      <c r="K1863" t="s">
        <v>5121</v>
      </c>
      <c r="M1863" s="37">
        <v>1</v>
      </c>
      <c r="N1863" s="37">
        <v>0.25</v>
      </c>
      <c r="O1863">
        <v>1</v>
      </c>
      <c r="P1863" s="37">
        <v>1.035</v>
      </c>
      <c r="Q1863">
        <v>0.92</v>
      </c>
      <c r="R1863">
        <v>1376</v>
      </c>
      <c r="S1863">
        <v>1376</v>
      </c>
      <c r="T1863">
        <v>1500</v>
      </c>
      <c r="U1863" t="s">
        <v>4831</v>
      </c>
      <c r="W1863" s="37">
        <v>-0.0883</v>
      </c>
      <c r="X1863" t="s">
        <v>4832</v>
      </c>
      <c r="Y1863" t="s">
        <v>4833</v>
      </c>
      <c r="Z1863" s="37">
        <v>0.7742</v>
      </c>
      <c r="AA1863" s="37">
        <v>0.5</v>
      </c>
      <c r="AB1863">
        <v>0</v>
      </c>
    </row>
    <row r="1864">
      <c r="A1864" t="s">
        <v>5128</v>
      </c>
      <c r="B1864" t="s">
        <v>5117</v>
      </c>
      <c r="C1864" t="s">
        <v>5117</v>
      </c>
      <c r="D1864" t="s">
        <v>1013</v>
      </c>
      <c r="E1864" t="s">
        <v>5129</v>
      </c>
      <c r="F1864" t="s">
        <v>298</v>
      </c>
      <c r="G1864" t="s">
        <v>5109</v>
      </c>
      <c r="H1864" t="s">
        <v>5110</v>
      </c>
      <c r="I1864" t="s">
        <v>5131</v>
      </c>
      <c r="J1864" t="s">
        <v>2387</v>
      </c>
      <c r="K1864" t="s">
        <v>5132</v>
      </c>
      <c r="M1864" s="37">
        <v>0.74</v>
      </c>
      <c r="N1864" s="37">
        <v>0.25</v>
      </c>
      <c r="O1864">
        <v>0.74</v>
      </c>
      <c r="P1864" s="37">
        <v>1.035</v>
      </c>
      <c r="Q1864">
        <v>0.92</v>
      </c>
      <c r="R1864">
        <v>1376</v>
      </c>
      <c r="S1864">
        <v>1376</v>
      </c>
      <c r="T1864">
        <v>1500</v>
      </c>
      <c r="U1864" t="s">
        <v>4831</v>
      </c>
      <c r="W1864" s="37">
        <v>-0.0883</v>
      </c>
      <c r="X1864" t="s">
        <v>4832</v>
      </c>
      <c r="Y1864" t="s">
        <v>4833</v>
      </c>
      <c r="Z1864" s="37">
        <v>0.7742</v>
      </c>
      <c r="AA1864" s="37">
        <v>0.5</v>
      </c>
      <c r="AB1864">
        <v>0</v>
      </c>
    </row>
    <row r="1865">
      <c r="A1865" t="s">
        <v>5128</v>
      </c>
      <c r="B1865" t="s">
        <v>5117</v>
      </c>
      <c r="C1865" t="s">
        <v>5117</v>
      </c>
      <c r="D1865" t="s">
        <v>1013</v>
      </c>
      <c r="E1865" t="s">
        <v>5129</v>
      </c>
      <c r="F1865" t="s">
        <v>298</v>
      </c>
      <c r="G1865" t="s">
        <v>5109</v>
      </c>
      <c r="H1865" t="s">
        <v>5124</v>
      </c>
      <c r="I1865" t="s">
        <v>5124</v>
      </c>
      <c r="J1865" t="s">
        <v>969</v>
      </c>
      <c r="K1865" t="s">
        <v>969</v>
      </c>
      <c r="M1865" s="37">
        <v>1</v>
      </c>
      <c r="N1865" s="37">
        <v>0.25</v>
      </c>
      <c r="O1865">
        <v>1</v>
      </c>
      <c r="P1865" s="37">
        <v>1.035</v>
      </c>
      <c r="Q1865">
        <v>0.92</v>
      </c>
      <c r="R1865">
        <v>1376</v>
      </c>
      <c r="S1865">
        <v>1376</v>
      </c>
      <c r="T1865">
        <v>1500</v>
      </c>
      <c r="U1865" t="s">
        <v>4831</v>
      </c>
      <c r="W1865" s="37">
        <v>-0.0883</v>
      </c>
      <c r="X1865" t="s">
        <v>4832</v>
      </c>
      <c r="Y1865" t="s">
        <v>4833</v>
      </c>
      <c r="Z1865" s="37">
        <v>0.7742</v>
      </c>
      <c r="AA1865" s="37">
        <v>0.5</v>
      </c>
      <c r="AB1865">
        <v>0</v>
      </c>
    </row>
    <row r="1866">
      <c r="A1866" t="s">
        <v>5128</v>
      </c>
      <c r="B1866" t="s">
        <v>5117</v>
      </c>
      <c r="C1866" t="s">
        <v>5117</v>
      </c>
      <c r="D1866" t="s">
        <v>1013</v>
      </c>
      <c r="E1866" t="s">
        <v>5129</v>
      </c>
      <c r="F1866" t="s">
        <v>298</v>
      </c>
      <c r="G1866" t="s">
        <v>5109</v>
      </c>
      <c r="H1866" t="s">
        <v>5126</v>
      </c>
      <c r="I1866" t="s">
        <v>5133</v>
      </c>
      <c r="J1866" t="s">
        <v>2397</v>
      </c>
      <c r="K1866" t="s">
        <v>2596</v>
      </c>
      <c r="M1866" s="37">
        <v>1.4</v>
      </c>
      <c r="N1866" s="37">
        <v>0.25</v>
      </c>
      <c r="O1866">
        <v>1</v>
      </c>
      <c r="P1866" s="37">
        <v>1.035</v>
      </c>
      <c r="Q1866">
        <v>0.92</v>
      </c>
      <c r="R1866">
        <v>1376</v>
      </c>
      <c r="S1866">
        <v>1376</v>
      </c>
      <c r="T1866">
        <v>1500</v>
      </c>
      <c r="U1866" t="s">
        <v>4831</v>
      </c>
      <c r="W1866" s="37">
        <v>-0.0883</v>
      </c>
      <c r="X1866" t="s">
        <v>4832</v>
      </c>
      <c r="Y1866" t="s">
        <v>4833</v>
      </c>
      <c r="Z1866" s="37">
        <v>0.7742</v>
      </c>
      <c r="AA1866" s="37">
        <v>0.5</v>
      </c>
      <c r="AB1866">
        <v>0</v>
      </c>
    </row>
    <row r="1867">
      <c r="A1867" t="s">
        <v>5134</v>
      </c>
      <c r="B1867" t="s">
        <v>5117</v>
      </c>
      <c r="C1867" t="s">
        <v>5117</v>
      </c>
      <c r="D1867" t="s">
        <v>5107</v>
      </c>
      <c r="E1867" t="s">
        <v>5135</v>
      </c>
      <c r="F1867" t="s">
        <v>298</v>
      </c>
      <c r="G1867" t="s">
        <v>5109</v>
      </c>
      <c r="H1867" t="s">
        <v>5136</v>
      </c>
      <c r="I1867" t="s">
        <v>5137</v>
      </c>
      <c r="J1867" t="s">
        <v>2397</v>
      </c>
      <c r="K1867" t="s">
        <v>2397</v>
      </c>
      <c r="L1867" t="s">
        <v>5138</v>
      </c>
      <c r="M1867" s="37">
        <v>1</v>
      </c>
      <c r="N1867" s="37">
        <v>0.6</v>
      </c>
      <c r="O1867">
        <v>1</v>
      </c>
      <c r="P1867" s="37">
        <v>1</v>
      </c>
      <c r="Q1867">
        <v>1</v>
      </c>
      <c r="R1867">
        <v>0</v>
      </c>
      <c r="S1867">
        <v>0</v>
      </c>
      <c r="T1867">
        <v>5000</v>
      </c>
      <c r="U1867" t="s">
        <v>4831</v>
      </c>
      <c r="W1867" s="37">
        <v>-0.0883</v>
      </c>
      <c r="X1867" t="s">
        <v>4832</v>
      </c>
      <c r="Y1867" t="s">
        <v>4833</v>
      </c>
      <c r="Z1867" s="37">
        <v>0.7742</v>
      </c>
      <c r="AA1867" s="37">
        <v>0.5</v>
      </c>
      <c r="AB1867">
        <v>0</v>
      </c>
    </row>
    <row r="1868">
      <c r="A1868" t="s">
        <v>5134</v>
      </c>
      <c r="B1868" t="s">
        <v>5117</v>
      </c>
      <c r="C1868" t="s">
        <v>5117</v>
      </c>
      <c r="D1868" t="s">
        <v>5107</v>
      </c>
      <c r="E1868" t="s">
        <v>5135</v>
      </c>
      <c r="F1868" t="s">
        <v>298</v>
      </c>
      <c r="G1868" t="s">
        <v>5109</v>
      </c>
      <c r="H1868" t="s">
        <v>5139</v>
      </c>
      <c r="I1868" t="s">
        <v>5140</v>
      </c>
      <c r="J1868" t="s">
        <v>5141</v>
      </c>
      <c r="L1868" t="s">
        <v>5142</v>
      </c>
      <c r="M1868" s="37">
        <v>1</v>
      </c>
      <c r="N1868" s="37">
        <v>0.4</v>
      </c>
      <c r="O1868">
        <v>1</v>
      </c>
      <c r="P1868" s="37">
        <v>1</v>
      </c>
      <c r="Q1868">
        <v>1</v>
      </c>
      <c r="R1868">
        <v>0</v>
      </c>
      <c r="S1868">
        <v>0</v>
      </c>
      <c r="T1868">
        <v>5000</v>
      </c>
      <c r="U1868" t="s">
        <v>4831</v>
      </c>
      <c r="W1868" s="37">
        <v>-0.0883</v>
      </c>
      <c r="X1868" t="s">
        <v>4832</v>
      </c>
      <c r="Y1868" t="s">
        <v>4833</v>
      </c>
      <c r="Z1868" s="37">
        <v>0.7742</v>
      </c>
      <c r="AA1868" s="37">
        <v>0.5</v>
      </c>
      <c r="AB1868">
        <v>0</v>
      </c>
    </row>
    <row r="1869">
      <c r="A1869" t="s">
        <v>5143</v>
      </c>
      <c r="B1869" t="s">
        <v>5106</v>
      </c>
      <c r="C1869" t="s">
        <v>5106</v>
      </c>
      <c r="D1869" t="s">
        <v>5107</v>
      </c>
      <c r="E1869" t="s">
        <v>5144</v>
      </c>
      <c r="F1869" t="s">
        <v>298</v>
      </c>
      <c r="G1869" t="s">
        <v>5109</v>
      </c>
      <c r="H1869" t="s">
        <v>5119</v>
      </c>
      <c r="I1869" t="s">
        <v>5120</v>
      </c>
      <c r="J1869" t="s">
        <v>5121</v>
      </c>
      <c r="K1869" t="s">
        <v>5145</v>
      </c>
      <c r="L1869" t="s">
        <v>5142</v>
      </c>
      <c r="M1869" s="37">
        <v>1</v>
      </c>
      <c r="N1869" s="37">
        <v>0.25</v>
      </c>
      <c r="O1869">
        <v>1</v>
      </c>
      <c r="P1869" s="37">
        <v>0.87</v>
      </c>
      <c r="Q1869">
        <v>0.83</v>
      </c>
      <c r="R1869">
        <v>0</v>
      </c>
      <c r="S1869">
        <v>0</v>
      </c>
      <c r="T1869">
        <v>5000</v>
      </c>
      <c r="U1869" t="s">
        <v>4831</v>
      </c>
      <c r="W1869" s="37">
        <v>-0.0883</v>
      </c>
      <c r="X1869" t="s">
        <v>4832</v>
      </c>
      <c r="Y1869" t="s">
        <v>4833</v>
      </c>
      <c r="Z1869" s="37">
        <v>0.7742</v>
      </c>
      <c r="AA1869" s="37">
        <v>0.5</v>
      </c>
      <c r="AB1869">
        <v>0</v>
      </c>
    </row>
    <row r="1870">
      <c r="A1870" t="s">
        <v>5143</v>
      </c>
      <c r="B1870" t="s">
        <v>5106</v>
      </c>
      <c r="C1870" t="s">
        <v>5106</v>
      </c>
      <c r="D1870" t="s">
        <v>5107</v>
      </c>
      <c r="E1870" t="s">
        <v>5144</v>
      </c>
      <c r="F1870" t="s">
        <v>298</v>
      </c>
      <c r="G1870" t="s">
        <v>5109</v>
      </c>
      <c r="H1870" t="s">
        <v>5110</v>
      </c>
      <c r="I1870" t="s">
        <v>5123</v>
      </c>
      <c r="J1870" t="s">
        <v>2387</v>
      </c>
      <c r="K1870" t="s">
        <v>5146</v>
      </c>
      <c r="L1870" t="s">
        <v>5142</v>
      </c>
      <c r="M1870" s="37">
        <v>0.48</v>
      </c>
      <c r="N1870" s="37">
        <v>0.25</v>
      </c>
      <c r="O1870">
        <v>0.336</v>
      </c>
      <c r="P1870" s="37">
        <v>0.87</v>
      </c>
      <c r="Q1870">
        <v>0.83</v>
      </c>
      <c r="R1870">
        <v>0</v>
      </c>
      <c r="S1870">
        <v>0</v>
      </c>
      <c r="T1870">
        <v>5000</v>
      </c>
      <c r="U1870" t="s">
        <v>4831</v>
      </c>
      <c r="W1870" s="37">
        <v>-0.0883</v>
      </c>
      <c r="X1870" t="s">
        <v>4832</v>
      </c>
      <c r="Y1870" t="s">
        <v>4833</v>
      </c>
      <c r="Z1870" s="37">
        <v>0.7742</v>
      </c>
      <c r="AA1870" s="37">
        <v>0.5</v>
      </c>
      <c r="AB1870">
        <v>0</v>
      </c>
    </row>
    <row r="1871">
      <c r="A1871" t="s">
        <v>5143</v>
      </c>
      <c r="B1871" t="s">
        <v>5106</v>
      </c>
      <c r="C1871" t="s">
        <v>5106</v>
      </c>
      <c r="D1871" t="s">
        <v>5107</v>
      </c>
      <c r="E1871" t="s">
        <v>5144</v>
      </c>
      <c r="F1871" t="s">
        <v>298</v>
      </c>
      <c r="G1871" t="s">
        <v>5109</v>
      </c>
      <c r="H1871" t="s">
        <v>5124</v>
      </c>
      <c r="I1871" t="s">
        <v>5125</v>
      </c>
      <c r="J1871" t="s">
        <v>969</v>
      </c>
      <c r="K1871" t="s">
        <v>2389</v>
      </c>
      <c r="L1871" t="s">
        <v>5142</v>
      </c>
      <c r="M1871" s="37">
        <v>1</v>
      </c>
      <c r="N1871" s="37">
        <v>0.25</v>
      </c>
      <c r="O1871">
        <v>1</v>
      </c>
      <c r="P1871" s="37">
        <v>0.87</v>
      </c>
      <c r="Q1871">
        <v>0.83</v>
      </c>
      <c r="R1871">
        <v>0</v>
      </c>
      <c r="S1871">
        <v>0</v>
      </c>
      <c r="T1871">
        <v>5000</v>
      </c>
      <c r="U1871" t="s">
        <v>4831</v>
      </c>
      <c r="W1871" s="37">
        <v>-0.0883</v>
      </c>
      <c r="X1871" t="s">
        <v>4832</v>
      </c>
      <c r="Y1871" t="s">
        <v>4833</v>
      </c>
      <c r="Z1871" s="37">
        <v>0.7742</v>
      </c>
      <c r="AA1871" s="37">
        <v>0.5</v>
      </c>
      <c r="AB1871">
        <v>0</v>
      </c>
    </row>
    <row r="1872">
      <c r="A1872" t="s">
        <v>5143</v>
      </c>
      <c r="B1872" t="s">
        <v>5106</v>
      </c>
      <c r="C1872" t="s">
        <v>5106</v>
      </c>
      <c r="D1872" t="s">
        <v>5107</v>
      </c>
      <c r="E1872" t="s">
        <v>5144</v>
      </c>
      <c r="F1872" t="s">
        <v>298</v>
      </c>
      <c r="G1872" t="s">
        <v>5109</v>
      </c>
      <c r="H1872" t="s">
        <v>5126</v>
      </c>
      <c r="I1872" t="s">
        <v>5127</v>
      </c>
      <c r="J1872" t="s">
        <v>2397</v>
      </c>
      <c r="K1872" t="s">
        <v>2397</v>
      </c>
      <c r="L1872" t="s">
        <v>5142</v>
      </c>
      <c r="M1872" s="37">
        <v>1</v>
      </c>
      <c r="N1872" s="37">
        <v>0.25</v>
      </c>
      <c r="O1872">
        <v>1</v>
      </c>
      <c r="P1872" s="37">
        <v>0.87</v>
      </c>
      <c r="Q1872">
        <v>0.83</v>
      </c>
      <c r="R1872">
        <v>0</v>
      </c>
      <c r="S1872">
        <v>0</v>
      </c>
      <c r="T1872">
        <v>5000</v>
      </c>
      <c r="U1872" t="s">
        <v>4831</v>
      </c>
      <c r="W1872" s="37">
        <v>-0.0883</v>
      </c>
      <c r="X1872" t="s">
        <v>4832</v>
      </c>
      <c r="Y1872" t="s">
        <v>4833</v>
      </c>
      <c r="Z1872" s="37">
        <v>0.7742</v>
      </c>
      <c r="AA1872" s="37">
        <v>0.5</v>
      </c>
      <c r="AB1872">
        <v>0</v>
      </c>
    </row>
    <row r="1873">
      <c r="A1873" t="s">
        <v>5147</v>
      </c>
      <c r="B1873" t="s">
        <v>3475</v>
      </c>
      <c r="C1873" t="s">
        <v>3475</v>
      </c>
      <c r="D1873" t="s">
        <v>5148</v>
      </c>
      <c r="E1873" t="s">
        <v>5149</v>
      </c>
      <c r="F1873" t="s">
        <v>298</v>
      </c>
      <c r="G1873" t="s">
        <v>5150</v>
      </c>
      <c r="H1873" t="s">
        <v>5151</v>
      </c>
      <c r="I1873" t="s">
        <v>5152</v>
      </c>
      <c r="J1873" t="s">
        <v>2397</v>
      </c>
      <c r="L1873" t="s">
        <v>5153</v>
      </c>
      <c r="M1873" s="37">
        <v>1</v>
      </c>
      <c r="N1873" s="37">
        <v>1</v>
      </c>
      <c r="O1873">
        <v>1</v>
      </c>
      <c r="P1873" s="37">
        <v>1</v>
      </c>
      <c r="Q1873">
        <v>100</v>
      </c>
      <c r="R1873">
        <v>6800</v>
      </c>
      <c r="S1873">
        <v>6800</v>
      </c>
      <c r="T1873">
        <v>10000</v>
      </c>
      <c r="U1873" t="s">
        <v>4831</v>
      </c>
      <c r="W1873" s="37">
        <v>-0.0883</v>
      </c>
      <c r="X1873" t="s">
        <v>4832</v>
      </c>
      <c r="Y1873" t="s">
        <v>4833</v>
      </c>
      <c r="Z1873" s="37">
        <v>0.7742</v>
      </c>
      <c r="AA1873" s="37">
        <v>0.5</v>
      </c>
      <c r="AB1873">
        <v>0</v>
      </c>
    </row>
    <row r="1874">
      <c r="A1874" t="s">
        <v>5154</v>
      </c>
      <c r="B1874" t="s">
        <v>3475</v>
      </c>
      <c r="C1874" t="s">
        <v>3475</v>
      </c>
      <c r="D1874" t="s">
        <v>5155</v>
      </c>
      <c r="E1874" t="s">
        <v>5156</v>
      </c>
      <c r="F1874" t="s">
        <v>298</v>
      </c>
      <c r="G1874" t="s">
        <v>5150</v>
      </c>
      <c r="H1874" t="s">
        <v>5151</v>
      </c>
      <c r="I1874" t="s">
        <v>5152</v>
      </c>
      <c r="J1874" t="s">
        <v>2397</v>
      </c>
      <c r="L1874" t="s">
        <v>5157</v>
      </c>
      <c r="M1874" s="37">
        <v>1</v>
      </c>
      <c r="N1874" s="37">
        <v>1</v>
      </c>
      <c r="O1874">
        <v>1</v>
      </c>
      <c r="P1874" s="37">
        <v>1</v>
      </c>
      <c r="Q1874">
        <v>100</v>
      </c>
      <c r="R1874">
        <v>21250</v>
      </c>
      <c r="S1874">
        <v>21250</v>
      </c>
      <c r="T1874">
        <v>10000</v>
      </c>
      <c r="U1874" t="s">
        <v>4831</v>
      </c>
      <c r="W1874" s="37">
        <v>-0.0883</v>
      </c>
      <c r="X1874" t="s">
        <v>4832</v>
      </c>
      <c r="Y1874" t="s">
        <v>4833</v>
      </c>
      <c r="Z1874" s="37">
        <v>0.7742</v>
      </c>
      <c r="AA1874" s="37">
        <v>0.5</v>
      </c>
      <c r="AB1874">
        <v>0</v>
      </c>
    </row>
    <row r="1875">
      <c r="A1875" t="s">
        <v>5158</v>
      </c>
      <c r="B1875" t="s">
        <v>3475</v>
      </c>
      <c r="C1875" t="s">
        <v>3475</v>
      </c>
      <c r="D1875" t="s">
        <v>5155</v>
      </c>
      <c r="E1875" t="s">
        <v>5159</v>
      </c>
      <c r="F1875" t="s">
        <v>298</v>
      </c>
      <c r="G1875" t="s">
        <v>5150</v>
      </c>
      <c r="H1875" t="s">
        <v>5151</v>
      </c>
      <c r="I1875" t="s">
        <v>5152</v>
      </c>
      <c r="J1875" t="s">
        <v>2397</v>
      </c>
      <c r="L1875" t="s">
        <v>5160</v>
      </c>
      <c r="M1875" s="37">
        <v>1</v>
      </c>
      <c r="N1875" s="37">
        <v>1</v>
      </c>
      <c r="O1875">
        <v>1</v>
      </c>
      <c r="P1875" s="37">
        <v>1</v>
      </c>
      <c r="Q1875">
        <v>100</v>
      </c>
      <c r="R1875">
        <v>2550</v>
      </c>
      <c r="S1875">
        <v>2550</v>
      </c>
      <c r="T1875">
        <v>10000</v>
      </c>
      <c r="U1875" t="s">
        <v>4831</v>
      </c>
      <c r="W1875" s="37">
        <v>-0.0883</v>
      </c>
      <c r="X1875" t="s">
        <v>4832</v>
      </c>
      <c r="Y1875" t="s">
        <v>4833</v>
      </c>
      <c r="Z1875" s="37">
        <v>0.7742</v>
      </c>
      <c r="AA1875" s="37">
        <v>0.5</v>
      </c>
      <c r="AB1875">
        <v>0</v>
      </c>
    </row>
    <row r="1876">
      <c r="A1876" t="s">
        <v>5161</v>
      </c>
      <c r="B1876" t="s">
        <v>3475</v>
      </c>
      <c r="C1876" t="s">
        <v>3475</v>
      </c>
      <c r="D1876" t="s">
        <v>5155</v>
      </c>
      <c r="E1876" t="s">
        <v>5162</v>
      </c>
      <c r="F1876" t="s">
        <v>298</v>
      </c>
      <c r="G1876" t="s">
        <v>5150</v>
      </c>
      <c r="H1876" t="s">
        <v>5151</v>
      </c>
      <c r="I1876" t="s">
        <v>5152</v>
      </c>
      <c r="J1876" t="s">
        <v>2397</v>
      </c>
      <c r="L1876" t="s">
        <v>5163</v>
      </c>
      <c r="M1876" s="37">
        <v>1</v>
      </c>
      <c r="N1876" s="37">
        <v>1</v>
      </c>
      <c r="O1876">
        <v>1</v>
      </c>
      <c r="P1876" s="37">
        <v>1</v>
      </c>
      <c r="Q1876">
        <v>100</v>
      </c>
      <c r="R1876">
        <v>3400</v>
      </c>
      <c r="S1876">
        <v>3400</v>
      </c>
      <c r="T1876">
        <v>10000</v>
      </c>
      <c r="U1876" t="s">
        <v>4831</v>
      </c>
      <c r="W1876" s="37">
        <v>-0.0883</v>
      </c>
      <c r="X1876" t="s">
        <v>4832</v>
      </c>
      <c r="Y1876" t="s">
        <v>4833</v>
      </c>
      <c r="Z1876" s="37">
        <v>0.7742</v>
      </c>
      <c r="AA1876" s="37">
        <v>0.5</v>
      </c>
      <c r="AB1876">
        <v>0</v>
      </c>
    </row>
    <row r="1877">
      <c r="A1877" t="s">
        <v>5164</v>
      </c>
      <c r="B1877" t="s">
        <v>3475</v>
      </c>
      <c r="C1877" t="s">
        <v>3475</v>
      </c>
      <c r="D1877" t="s">
        <v>5155</v>
      </c>
      <c r="E1877" t="s">
        <v>5165</v>
      </c>
      <c r="F1877" t="s">
        <v>298</v>
      </c>
      <c r="G1877" t="s">
        <v>5150</v>
      </c>
      <c r="H1877" t="s">
        <v>5151</v>
      </c>
      <c r="I1877" t="s">
        <v>5152</v>
      </c>
      <c r="J1877" t="s">
        <v>2397</v>
      </c>
      <c r="L1877" t="s">
        <v>5166</v>
      </c>
      <c r="M1877" s="37">
        <v>1</v>
      </c>
      <c r="N1877" s="37">
        <v>1</v>
      </c>
      <c r="O1877">
        <v>1</v>
      </c>
      <c r="P1877" s="37">
        <v>1</v>
      </c>
      <c r="Q1877">
        <v>100</v>
      </c>
      <c r="R1877">
        <v>2125</v>
      </c>
      <c r="S1877">
        <v>2125</v>
      </c>
      <c r="T1877">
        <v>10000</v>
      </c>
      <c r="U1877" t="s">
        <v>4831</v>
      </c>
      <c r="W1877" s="37">
        <v>-0.0883</v>
      </c>
      <c r="X1877" t="s">
        <v>4832</v>
      </c>
      <c r="Y1877" t="s">
        <v>4833</v>
      </c>
      <c r="Z1877" s="37">
        <v>0.7742</v>
      </c>
      <c r="AA1877" s="37">
        <v>0.5</v>
      </c>
      <c r="AB1877">
        <v>0</v>
      </c>
    </row>
    <row r="1878">
      <c r="A1878" t="s">
        <v>5167</v>
      </c>
      <c r="B1878" t="s">
        <v>3475</v>
      </c>
      <c r="C1878" t="s">
        <v>3475</v>
      </c>
      <c r="D1878" t="s">
        <v>5155</v>
      </c>
      <c r="E1878" t="s">
        <v>5168</v>
      </c>
      <c r="F1878" t="s">
        <v>298</v>
      </c>
      <c r="G1878" t="s">
        <v>5150</v>
      </c>
      <c r="H1878" t="s">
        <v>5151</v>
      </c>
      <c r="I1878" t="s">
        <v>5152</v>
      </c>
      <c r="J1878" t="s">
        <v>2397</v>
      </c>
      <c r="L1878" t="s">
        <v>5169</v>
      </c>
      <c r="M1878" s="37">
        <v>1</v>
      </c>
      <c r="N1878" s="37">
        <v>1</v>
      </c>
      <c r="O1878">
        <v>1</v>
      </c>
      <c r="P1878" s="37">
        <v>1</v>
      </c>
      <c r="Q1878">
        <v>100</v>
      </c>
      <c r="R1878">
        <v>4250</v>
      </c>
      <c r="S1878">
        <v>4250</v>
      </c>
      <c r="T1878">
        <v>10000</v>
      </c>
      <c r="U1878" t="s">
        <v>4831</v>
      </c>
      <c r="W1878" s="37">
        <v>-0.0883</v>
      </c>
      <c r="X1878" t="s">
        <v>4832</v>
      </c>
      <c r="Y1878" t="s">
        <v>4833</v>
      </c>
      <c r="Z1878" s="37">
        <v>0.7742</v>
      </c>
      <c r="AA1878" s="37">
        <v>0.5</v>
      </c>
      <c r="AB1878">
        <v>0</v>
      </c>
    </row>
    <row r="1879">
      <c r="A1879" t="s">
        <v>5170</v>
      </c>
      <c r="B1879" t="s">
        <v>3475</v>
      </c>
      <c r="C1879" t="s">
        <v>3475</v>
      </c>
      <c r="D1879" t="s">
        <v>5155</v>
      </c>
      <c r="E1879" t="s">
        <v>5171</v>
      </c>
      <c r="F1879" t="s">
        <v>298</v>
      </c>
      <c r="G1879" t="s">
        <v>5150</v>
      </c>
      <c r="H1879" t="s">
        <v>5151</v>
      </c>
      <c r="I1879" t="s">
        <v>5152</v>
      </c>
      <c r="J1879" t="s">
        <v>2397</v>
      </c>
      <c r="L1879" t="s">
        <v>5172</v>
      </c>
      <c r="M1879" s="37">
        <v>1</v>
      </c>
      <c r="N1879" s="37">
        <v>1</v>
      </c>
      <c r="O1879">
        <v>1</v>
      </c>
      <c r="P1879" s="37">
        <v>1</v>
      </c>
      <c r="Q1879">
        <v>100</v>
      </c>
      <c r="R1879">
        <v>1700</v>
      </c>
      <c r="S1879">
        <v>1700</v>
      </c>
      <c r="T1879">
        <v>10000</v>
      </c>
      <c r="U1879" t="s">
        <v>4831</v>
      </c>
      <c r="W1879" s="37">
        <v>-0.0883</v>
      </c>
      <c r="X1879" t="s">
        <v>4832</v>
      </c>
      <c r="Y1879" t="s">
        <v>4833</v>
      </c>
      <c r="Z1879" s="37">
        <v>0.7742</v>
      </c>
      <c r="AA1879" s="37">
        <v>0.5</v>
      </c>
      <c r="AB1879">
        <v>0</v>
      </c>
    </row>
    <row r="1880">
      <c r="A1880" t="s">
        <v>5173</v>
      </c>
      <c r="B1880" t="s">
        <v>3475</v>
      </c>
      <c r="C1880" t="s">
        <v>3475</v>
      </c>
      <c r="D1880" t="s">
        <v>5155</v>
      </c>
      <c r="E1880" t="s">
        <v>5174</v>
      </c>
      <c r="F1880" t="s">
        <v>298</v>
      </c>
      <c r="G1880" t="s">
        <v>5150</v>
      </c>
      <c r="H1880" t="s">
        <v>5151</v>
      </c>
      <c r="I1880" t="s">
        <v>5152</v>
      </c>
      <c r="J1880" t="s">
        <v>2397</v>
      </c>
      <c r="L1880" t="s">
        <v>5175</v>
      </c>
      <c r="M1880" s="37">
        <v>1</v>
      </c>
      <c r="N1880" s="37">
        <v>1</v>
      </c>
      <c r="O1880">
        <v>1</v>
      </c>
      <c r="P1880" s="37">
        <v>1</v>
      </c>
      <c r="Q1880">
        <v>100</v>
      </c>
      <c r="R1880">
        <v>1275</v>
      </c>
      <c r="S1880">
        <v>1275</v>
      </c>
      <c r="T1880">
        <v>10000</v>
      </c>
      <c r="U1880" t="s">
        <v>4831</v>
      </c>
      <c r="W1880" s="37">
        <v>-0.0883</v>
      </c>
      <c r="X1880" t="s">
        <v>4832</v>
      </c>
      <c r="Y1880" t="s">
        <v>4833</v>
      </c>
      <c r="Z1880" s="37">
        <v>0.7742</v>
      </c>
      <c r="AA1880" s="37">
        <v>0.5</v>
      </c>
      <c r="AB1880">
        <v>0</v>
      </c>
    </row>
    <row r="1881">
      <c r="A1881" t="s">
        <v>5176</v>
      </c>
      <c r="B1881" t="s">
        <v>3475</v>
      </c>
      <c r="C1881" t="s">
        <v>3475</v>
      </c>
      <c r="D1881" t="s">
        <v>5155</v>
      </c>
      <c r="E1881" t="s">
        <v>5177</v>
      </c>
      <c r="F1881" t="s">
        <v>298</v>
      </c>
      <c r="G1881" t="s">
        <v>5150</v>
      </c>
      <c r="H1881" t="s">
        <v>5151</v>
      </c>
      <c r="I1881" t="s">
        <v>5152</v>
      </c>
      <c r="J1881" t="s">
        <v>2397</v>
      </c>
      <c r="L1881" t="s">
        <v>5178</v>
      </c>
      <c r="M1881" s="37">
        <v>1</v>
      </c>
      <c r="N1881" s="37">
        <v>1</v>
      </c>
      <c r="O1881">
        <v>1</v>
      </c>
      <c r="P1881" s="37">
        <v>1</v>
      </c>
      <c r="Q1881">
        <v>100</v>
      </c>
      <c r="R1881">
        <v>15300</v>
      </c>
      <c r="S1881">
        <v>15300</v>
      </c>
      <c r="T1881">
        <v>10000</v>
      </c>
      <c r="U1881" t="s">
        <v>4831</v>
      </c>
      <c r="W1881" s="37">
        <v>-0.0883</v>
      </c>
      <c r="X1881" t="s">
        <v>4832</v>
      </c>
      <c r="Y1881" t="s">
        <v>4833</v>
      </c>
      <c r="Z1881" s="37">
        <v>0.7742</v>
      </c>
      <c r="AA1881" s="37">
        <v>0.5</v>
      </c>
      <c r="AB1881">
        <v>0</v>
      </c>
    </row>
    <row r="1882">
      <c r="A1882" t="s">
        <v>5179</v>
      </c>
      <c r="B1882" t="s">
        <v>3475</v>
      </c>
      <c r="C1882" t="s">
        <v>3475</v>
      </c>
      <c r="D1882" t="s">
        <v>5155</v>
      </c>
      <c r="E1882" t="s">
        <v>5180</v>
      </c>
      <c r="F1882" t="s">
        <v>298</v>
      </c>
      <c r="G1882" t="s">
        <v>5150</v>
      </c>
      <c r="H1882" t="s">
        <v>5151</v>
      </c>
      <c r="I1882" t="s">
        <v>5152</v>
      </c>
      <c r="J1882" t="s">
        <v>2397</v>
      </c>
      <c r="L1882" t="s">
        <v>5181</v>
      </c>
      <c r="M1882" s="37">
        <v>1</v>
      </c>
      <c r="N1882" s="37">
        <v>1</v>
      </c>
      <c r="O1882">
        <v>1</v>
      </c>
      <c r="P1882" s="37">
        <v>1</v>
      </c>
      <c r="Q1882">
        <v>100</v>
      </c>
      <c r="R1882">
        <v>5100</v>
      </c>
      <c r="S1882">
        <v>5100</v>
      </c>
      <c r="T1882">
        <v>10000</v>
      </c>
      <c r="U1882" t="s">
        <v>4831</v>
      </c>
      <c r="W1882" s="37">
        <v>-0.0883</v>
      </c>
      <c r="X1882" t="s">
        <v>4832</v>
      </c>
      <c r="Y1882" t="s">
        <v>4833</v>
      </c>
      <c r="Z1882" s="37">
        <v>0.7742</v>
      </c>
      <c r="AA1882" s="37">
        <v>0.5</v>
      </c>
      <c r="AB1882">
        <v>0</v>
      </c>
    </row>
    <row r="1883">
      <c r="A1883" t="s">
        <v>5182</v>
      </c>
      <c r="B1883" t="s">
        <v>3475</v>
      </c>
      <c r="C1883" t="s">
        <v>3475</v>
      </c>
      <c r="D1883" t="s">
        <v>5155</v>
      </c>
      <c r="E1883" t="s">
        <v>5183</v>
      </c>
      <c r="F1883" t="s">
        <v>298</v>
      </c>
      <c r="G1883" t="s">
        <v>5150</v>
      </c>
      <c r="H1883" t="s">
        <v>5151</v>
      </c>
      <c r="I1883" t="s">
        <v>5152</v>
      </c>
      <c r="J1883" t="s">
        <v>2397</v>
      </c>
      <c r="L1883" t="s">
        <v>5184</v>
      </c>
      <c r="M1883" s="37">
        <v>1</v>
      </c>
      <c r="N1883" s="37">
        <v>1</v>
      </c>
      <c r="O1883">
        <v>1</v>
      </c>
      <c r="P1883" s="37">
        <v>1</v>
      </c>
      <c r="Q1883">
        <v>100</v>
      </c>
      <c r="R1883">
        <v>8500</v>
      </c>
      <c r="S1883">
        <v>8500</v>
      </c>
      <c r="T1883">
        <v>10000</v>
      </c>
      <c r="U1883" t="s">
        <v>4831</v>
      </c>
      <c r="W1883" s="37">
        <v>-0.0883</v>
      </c>
      <c r="X1883" t="s">
        <v>4832</v>
      </c>
      <c r="Y1883" t="s">
        <v>4833</v>
      </c>
      <c r="Z1883" s="37">
        <v>0.7742</v>
      </c>
      <c r="AA1883" s="37">
        <v>0.5</v>
      </c>
      <c r="AB1883">
        <v>0</v>
      </c>
    </row>
    <row r="1884">
      <c r="A1884" t="s">
        <v>5185</v>
      </c>
      <c r="B1884" t="s">
        <v>3475</v>
      </c>
      <c r="C1884" t="s">
        <v>3475</v>
      </c>
      <c r="D1884" t="s">
        <v>5155</v>
      </c>
      <c r="E1884" t="s">
        <v>5186</v>
      </c>
      <c r="F1884" t="s">
        <v>298</v>
      </c>
      <c r="G1884" t="s">
        <v>5150</v>
      </c>
      <c r="H1884" t="s">
        <v>5151</v>
      </c>
      <c r="I1884" t="s">
        <v>5152</v>
      </c>
      <c r="J1884" t="s">
        <v>2397</v>
      </c>
      <c r="L1884" t="s">
        <v>5187</v>
      </c>
      <c r="M1884" s="37">
        <v>1</v>
      </c>
      <c r="N1884" s="37">
        <v>1</v>
      </c>
      <c r="O1884">
        <v>1</v>
      </c>
      <c r="P1884" s="37">
        <v>1</v>
      </c>
      <c r="Q1884">
        <v>100</v>
      </c>
      <c r="R1884">
        <v>11050</v>
      </c>
      <c r="S1884">
        <v>11050</v>
      </c>
      <c r="T1884">
        <v>10000</v>
      </c>
      <c r="U1884" t="s">
        <v>4831</v>
      </c>
      <c r="W1884" s="37">
        <v>-0.0883</v>
      </c>
      <c r="X1884" t="s">
        <v>4832</v>
      </c>
      <c r="Y1884" t="s">
        <v>4833</v>
      </c>
      <c r="Z1884" s="37">
        <v>0.7742</v>
      </c>
      <c r="AA1884" s="37">
        <v>0.5</v>
      </c>
      <c r="AB1884">
        <v>0</v>
      </c>
    </row>
    <row r="1885">
      <c r="A1885" t="s">
        <v>5188</v>
      </c>
      <c r="B1885" t="s">
        <v>3475</v>
      </c>
      <c r="C1885" t="s">
        <v>3475</v>
      </c>
      <c r="D1885" t="s">
        <v>5155</v>
      </c>
      <c r="E1885" t="s">
        <v>5189</v>
      </c>
      <c r="F1885" t="s">
        <v>298</v>
      </c>
      <c r="G1885" t="s">
        <v>5150</v>
      </c>
      <c r="H1885" t="s">
        <v>5151</v>
      </c>
      <c r="I1885" t="s">
        <v>5152</v>
      </c>
      <c r="J1885" t="s">
        <v>2397</v>
      </c>
      <c r="L1885" t="s">
        <v>5190</v>
      </c>
      <c r="M1885" s="37">
        <v>0</v>
      </c>
      <c r="N1885" s="37">
        <v>1</v>
      </c>
      <c r="O1885">
        <v>0</v>
      </c>
      <c r="P1885" s="37">
        <v>0</v>
      </c>
      <c r="Q1885">
        <v>0</v>
      </c>
      <c r="R1885">
        <v>0</v>
      </c>
      <c r="S1885">
        <v>0</v>
      </c>
      <c r="T1885">
        <v>10000</v>
      </c>
      <c r="U1885" t="s">
        <v>4831</v>
      </c>
      <c r="W1885" s="37">
        <v>-0.0883</v>
      </c>
      <c r="X1885" t="s">
        <v>4832</v>
      </c>
      <c r="Y1885" t="s">
        <v>4833</v>
      </c>
      <c r="Z1885" s="37">
        <v>0.7742</v>
      </c>
      <c r="AA1885" s="37">
        <v>0.5</v>
      </c>
      <c r="AB1885">
        <v>0</v>
      </c>
    </row>
    <row r="1886">
      <c r="A1886" t="s">
        <v>5191</v>
      </c>
      <c r="B1886" t="s">
        <v>3475</v>
      </c>
      <c r="C1886" t="s">
        <v>3475</v>
      </c>
      <c r="D1886" t="s">
        <v>5155</v>
      </c>
      <c r="E1886" t="s">
        <v>5192</v>
      </c>
      <c r="F1886" t="s">
        <v>298</v>
      </c>
      <c r="G1886" t="s">
        <v>5150</v>
      </c>
      <c r="H1886" t="s">
        <v>5151</v>
      </c>
      <c r="I1886" t="s">
        <v>5152</v>
      </c>
      <c r="J1886" t="s">
        <v>2397</v>
      </c>
      <c r="L1886" t="s">
        <v>5193</v>
      </c>
      <c r="M1886" s="37">
        <v>1</v>
      </c>
      <c r="N1886" s="37">
        <v>1</v>
      </c>
      <c r="O1886">
        <v>1</v>
      </c>
      <c r="P1886" s="37">
        <v>1</v>
      </c>
      <c r="Q1886">
        <v>100</v>
      </c>
      <c r="R1886">
        <v>340</v>
      </c>
      <c r="S1886">
        <v>340</v>
      </c>
      <c r="T1886">
        <v>10000</v>
      </c>
      <c r="U1886" t="s">
        <v>4831</v>
      </c>
      <c r="W1886" s="37">
        <v>-0.0883</v>
      </c>
      <c r="X1886" t="s">
        <v>4832</v>
      </c>
      <c r="Y1886" t="s">
        <v>4833</v>
      </c>
      <c r="Z1886" s="37">
        <v>0.7742</v>
      </c>
      <c r="AA1886" s="37">
        <v>0.5</v>
      </c>
      <c r="AB1886">
        <v>0</v>
      </c>
    </row>
    <row r="1887">
      <c r="A1887" t="s">
        <v>5194</v>
      </c>
      <c r="B1887" t="s">
        <v>3475</v>
      </c>
      <c r="C1887" t="s">
        <v>3475</v>
      </c>
      <c r="D1887" t="s">
        <v>5155</v>
      </c>
      <c r="E1887" t="s">
        <v>5195</v>
      </c>
      <c r="F1887" t="s">
        <v>298</v>
      </c>
      <c r="G1887" t="s">
        <v>5150</v>
      </c>
      <c r="H1887" t="s">
        <v>5151</v>
      </c>
      <c r="I1887" t="s">
        <v>5152</v>
      </c>
      <c r="J1887" t="s">
        <v>2397</v>
      </c>
      <c r="L1887" t="s">
        <v>5196</v>
      </c>
      <c r="M1887" s="37">
        <v>1</v>
      </c>
      <c r="N1887" s="37">
        <v>1</v>
      </c>
      <c r="O1887">
        <v>1</v>
      </c>
      <c r="P1887" s="37">
        <v>1</v>
      </c>
      <c r="Q1887">
        <v>100</v>
      </c>
      <c r="R1887">
        <v>850</v>
      </c>
      <c r="S1887">
        <v>850</v>
      </c>
      <c r="T1887">
        <v>10000</v>
      </c>
      <c r="U1887" t="s">
        <v>4831</v>
      </c>
      <c r="W1887" s="37">
        <v>-0.0883</v>
      </c>
      <c r="X1887" t="s">
        <v>4832</v>
      </c>
      <c r="Y1887" t="s">
        <v>4833</v>
      </c>
      <c r="Z1887" s="37">
        <v>0.7742</v>
      </c>
      <c r="AA1887" s="37">
        <v>0.5</v>
      </c>
      <c r="AB1887">
        <v>0</v>
      </c>
    </row>
    <row r="1888">
      <c r="A1888" t="s">
        <v>5197</v>
      </c>
      <c r="B1888" t="s">
        <v>3475</v>
      </c>
      <c r="C1888" t="s">
        <v>3475</v>
      </c>
      <c r="D1888" t="s">
        <v>5155</v>
      </c>
      <c r="E1888" t="s">
        <v>5198</v>
      </c>
      <c r="F1888" t="s">
        <v>298</v>
      </c>
      <c r="G1888" t="s">
        <v>5150</v>
      </c>
      <c r="H1888" t="s">
        <v>5151</v>
      </c>
      <c r="I1888" t="s">
        <v>5152</v>
      </c>
      <c r="J1888" t="s">
        <v>2397</v>
      </c>
      <c r="L1888" t="s">
        <v>5199</v>
      </c>
      <c r="M1888" s="37">
        <v>1</v>
      </c>
      <c r="N1888" s="37">
        <v>1</v>
      </c>
      <c r="O1888">
        <v>1</v>
      </c>
      <c r="P1888" s="37">
        <v>1</v>
      </c>
      <c r="Q1888">
        <v>100</v>
      </c>
      <c r="R1888">
        <v>0</v>
      </c>
      <c r="S1888">
        <v>0</v>
      </c>
      <c r="T1888">
        <v>10000</v>
      </c>
      <c r="U1888" t="s">
        <v>4831</v>
      </c>
      <c r="W1888" s="37">
        <v>-0.0883</v>
      </c>
      <c r="X1888" t="s">
        <v>4832</v>
      </c>
      <c r="Y1888" t="s">
        <v>4833</v>
      </c>
      <c r="Z1888" s="37">
        <v>0.7742</v>
      </c>
      <c r="AA1888" s="37">
        <v>0.5</v>
      </c>
      <c r="AB1888">
        <v>0</v>
      </c>
    </row>
    <row r="1889">
      <c r="A1889" t="s">
        <v>5200</v>
      </c>
      <c r="B1889" t="s">
        <v>3475</v>
      </c>
      <c r="C1889" t="s">
        <v>3475</v>
      </c>
      <c r="D1889" t="s">
        <v>5155</v>
      </c>
      <c r="E1889" t="s">
        <v>5201</v>
      </c>
      <c r="F1889" t="s">
        <v>298</v>
      </c>
      <c r="G1889" t="s">
        <v>5150</v>
      </c>
      <c r="H1889" t="s">
        <v>5151</v>
      </c>
      <c r="I1889" t="s">
        <v>5152</v>
      </c>
      <c r="J1889" t="s">
        <v>2397</v>
      </c>
      <c r="L1889" t="s">
        <v>5199</v>
      </c>
      <c r="M1889" s="37">
        <v>1</v>
      </c>
      <c r="N1889" s="37">
        <v>1</v>
      </c>
      <c r="O1889">
        <v>1</v>
      </c>
      <c r="P1889" s="37">
        <v>1</v>
      </c>
      <c r="Q1889">
        <v>100</v>
      </c>
      <c r="R1889">
        <v>0</v>
      </c>
      <c r="S1889">
        <v>0</v>
      </c>
      <c r="T1889">
        <v>10000</v>
      </c>
      <c r="U1889" t="s">
        <v>4831</v>
      </c>
      <c r="W1889" s="37">
        <v>-0.0883</v>
      </c>
      <c r="X1889" t="s">
        <v>4832</v>
      </c>
      <c r="Y1889" t="s">
        <v>4833</v>
      </c>
      <c r="Z1889" s="37">
        <v>0.7742</v>
      </c>
      <c r="AA1889" s="37">
        <v>0.5</v>
      </c>
      <c r="AB1889">
        <v>0</v>
      </c>
    </row>
    <row r="1890">
      <c r="A1890" t="s">
        <v>5202</v>
      </c>
      <c r="B1890" t="s">
        <v>3475</v>
      </c>
      <c r="C1890" t="s">
        <v>3475</v>
      </c>
      <c r="D1890" t="s">
        <v>4748</v>
      </c>
      <c r="E1890" t="s">
        <v>5203</v>
      </c>
      <c r="F1890" t="s">
        <v>298</v>
      </c>
      <c r="G1890" t="s">
        <v>4750</v>
      </c>
      <c r="H1890" t="s">
        <v>4755</v>
      </c>
      <c r="I1890" t="s">
        <v>5152</v>
      </c>
      <c r="J1890">
        <v>100</v>
      </c>
      <c r="K1890" t="s">
        <v>1468</v>
      </c>
      <c r="L1890" t="s">
        <v>5199</v>
      </c>
      <c r="M1890" s="37">
        <v>0.7</v>
      </c>
      <c r="N1890" s="37">
        <v>0.1</v>
      </c>
      <c r="O1890">
        <v>70</v>
      </c>
      <c r="P1890" s="37">
        <v>0.9589</v>
      </c>
      <c r="Q1890">
        <v>96.3</v>
      </c>
      <c r="R1890">
        <v>700</v>
      </c>
      <c r="S1890">
        <v>1400</v>
      </c>
      <c r="T1890">
        <v>1000</v>
      </c>
      <c r="U1890" t="s">
        <v>4831</v>
      </c>
      <c r="W1890" s="37">
        <v>-0.0883</v>
      </c>
      <c r="X1890" t="s">
        <v>4832</v>
      </c>
      <c r="Y1890" t="s">
        <v>4833</v>
      </c>
      <c r="Z1890" s="37">
        <v>0.7742</v>
      </c>
      <c r="AA1890" s="37">
        <v>0.5</v>
      </c>
      <c r="AB1890">
        <v>0</v>
      </c>
    </row>
    <row r="1891">
      <c r="A1891" t="s">
        <v>5202</v>
      </c>
      <c r="B1891" t="s">
        <v>3475</v>
      </c>
      <c r="C1891" t="s">
        <v>3475</v>
      </c>
      <c r="D1891" t="s">
        <v>4748</v>
      </c>
      <c r="E1891" t="s">
        <v>5203</v>
      </c>
      <c r="F1891" t="s">
        <v>298</v>
      </c>
      <c r="G1891" t="s">
        <v>4750</v>
      </c>
      <c r="H1891" t="s">
        <v>4751</v>
      </c>
      <c r="I1891" t="s">
        <v>5152</v>
      </c>
      <c r="J1891">
        <v>100</v>
      </c>
      <c r="K1891" t="s">
        <v>1468</v>
      </c>
      <c r="L1891" t="s">
        <v>5199</v>
      </c>
      <c r="M1891" s="37">
        <v>0.963</v>
      </c>
      <c r="N1891" s="37">
        <v>0.3</v>
      </c>
      <c r="O1891">
        <v>96.3</v>
      </c>
      <c r="P1891" s="37">
        <v>0.9589</v>
      </c>
      <c r="Q1891">
        <v>96.3</v>
      </c>
      <c r="R1891">
        <v>700</v>
      </c>
      <c r="S1891">
        <v>1400</v>
      </c>
      <c r="T1891">
        <v>1000</v>
      </c>
      <c r="U1891" t="s">
        <v>4831</v>
      </c>
      <c r="W1891" s="37">
        <v>-0.0883</v>
      </c>
      <c r="X1891" t="s">
        <v>4832</v>
      </c>
      <c r="Y1891" t="s">
        <v>4833</v>
      </c>
      <c r="Z1891" s="37">
        <v>0.7742</v>
      </c>
      <c r="AA1891" s="37">
        <v>0.5</v>
      </c>
      <c r="AB1891">
        <v>0</v>
      </c>
    </row>
    <row r="1892">
      <c r="A1892" t="s">
        <v>5202</v>
      </c>
      <c r="B1892" t="s">
        <v>3475</v>
      </c>
      <c r="C1892" t="s">
        <v>3475</v>
      </c>
      <c r="D1892" t="s">
        <v>4748</v>
      </c>
      <c r="E1892" t="s">
        <v>5203</v>
      </c>
      <c r="F1892" t="s">
        <v>298</v>
      </c>
      <c r="G1892" t="s">
        <v>4750</v>
      </c>
      <c r="H1892" t="s">
        <v>4753</v>
      </c>
      <c r="I1892" t="s">
        <v>5152</v>
      </c>
      <c r="J1892">
        <v>100</v>
      </c>
      <c r="K1892" t="s">
        <v>1468</v>
      </c>
      <c r="L1892" t="s">
        <v>5199</v>
      </c>
      <c r="M1892" s="37">
        <v>1</v>
      </c>
      <c r="N1892" s="37">
        <v>0.6</v>
      </c>
      <c r="O1892">
        <v>100</v>
      </c>
      <c r="P1892" s="37">
        <v>0.9589</v>
      </c>
      <c r="Q1892">
        <v>96.3</v>
      </c>
      <c r="R1892">
        <v>700</v>
      </c>
      <c r="S1892">
        <v>1400</v>
      </c>
      <c r="T1892">
        <v>1000</v>
      </c>
      <c r="U1892" t="s">
        <v>4831</v>
      </c>
      <c r="W1892" s="37">
        <v>-0.0883</v>
      </c>
      <c r="X1892" t="s">
        <v>4832</v>
      </c>
      <c r="Y1892" t="s">
        <v>4833</v>
      </c>
      <c r="Z1892" s="37">
        <v>0.7742</v>
      </c>
      <c r="AA1892" s="37">
        <v>0.5</v>
      </c>
      <c r="AB1892">
        <v>0</v>
      </c>
    </row>
    <row r="1893">
      <c r="A1893" t="s">
        <v>5204</v>
      </c>
      <c r="B1893" t="s">
        <v>3475</v>
      </c>
      <c r="C1893" t="s">
        <v>3475</v>
      </c>
      <c r="D1893" t="s">
        <v>4748</v>
      </c>
      <c r="E1893" t="s">
        <v>5205</v>
      </c>
      <c r="F1893" t="s">
        <v>298</v>
      </c>
      <c r="G1893" t="s">
        <v>4750</v>
      </c>
      <c r="H1893" t="s">
        <v>4755</v>
      </c>
      <c r="I1893" t="s">
        <v>5152</v>
      </c>
      <c r="J1893">
        <v>100</v>
      </c>
      <c r="K1893" t="s">
        <v>1468</v>
      </c>
      <c r="L1893" t="s">
        <v>5199</v>
      </c>
      <c r="M1893" s="37">
        <v>0</v>
      </c>
      <c r="N1893" s="37">
        <v>0.1</v>
      </c>
      <c r="O1893">
        <v>0</v>
      </c>
      <c r="P1893" s="37">
        <v>0</v>
      </c>
      <c r="Q1893">
        <v>0</v>
      </c>
      <c r="R1893">
        <v>100</v>
      </c>
      <c r="S1893">
        <v>100</v>
      </c>
      <c r="T1893">
        <v>1000</v>
      </c>
      <c r="U1893" t="s">
        <v>4831</v>
      </c>
      <c r="W1893" s="37">
        <v>-0.0883</v>
      </c>
      <c r="X1893" t="s">
        <v>4832</v>
      </c>
      <c r="Y1893" t="s">
        <v>4833</v>
      </c>
      <c r="Z1893" s="37">
        <v>0.7742</v>
      </c>
      <c r="AA1893" s="37">
        <v>0.5</v>
      </c>
      <c r="AB1893">
        <v>0</v>
      </c>
    </row>
    <row r="1894">
      <c r="A1894" t="s">
        <v>5204</v>
      </c>
      <c r="B1894" t="s">
        <v>3475</v>
      </c>
      <c r="C1894" t="s">
        <v>3475</v>
      </c>
      <c r="D1894" t="s">
        <v>4748</v>
      </c>
      <c r="E1894" t="s">
        <v>5205</v>
      </c>
      <c r="F1894" t="s">
        <v>298</v>
      </c>
      <c r="G1894" t="s">
        <v>4750</v>
      </c>
      <c r="H1894" t="s">
        <v>4751</v>
      </c>
      <c r="I1894" t="s">
        <v>5152</v>
      </c>
      <c r="J1894">
        <v>100</v>
      </c>
      <c r="K1894" t="s">
        <v>1468</v>
      </c>
      <c r="L1894" t="s">
        <v>5199</v>
      </c>
      <c r="M1894" s="37">
        <v>0</v>
      </c>
      <c r="N1894" s="37">
        <v>0.3</v>
      </c>
      <c r="O1894">
        <v>0</v>
      </c>
      <c r="P1894" s="37">
        <v>0</v>
      </c>
      <c r="Q1894">
        <v>0</v>
      </c>
      <c r="R1894">
        <v>100</v>
      </c>
      <c r="S1894">
        <v>100</v>
      </c>
      <c r="T1894">
        <v>1000</v>
      </c>
      <c r="U1894" t="s">
        <v>4831</v>
      </c>
      <c r="W1894" s="37">
        <v>-0.0883</v>
      </c>
      <c r="X1894" t="s">
        <v>4832</v>
      </c>
      <c r="Y1894" t="s">
        <v>4833</v>
      </c>
      <c r="Z1894" s="37">
        <v>0.7742</v>
      </c>
      <c r="AA1894" s="37">
        <v>0.5</v>
      </c>
      <c r="AB1894">
        <v>0</v>
      </c>
    </row>
    <row r="1895">
      <c r="A1895" t="s">
        <v>5204</v>
      </c>
      <c r="B1895" t="s">
        <v>3475</v>
      </c>
      <c r="C1895" t="s">
        <v>3475</v>
      </c>
      <c r="D1895" t="s">
        <v>4748</v>
      </c>
      <c r="E1895" t="s">
        <v>5205</v>
      </c>
      <c r="F1895" t="s">
        <v>298</v>
      </c>
      <c r="G1895" t="s">
        <v>4750</v>
      </c>
      <c r="H1895" t="s">
        <v>4753</v>
      </c>
      <c r="I1895" t="s">
        <v>5152</v>
      </c>
      <c r="J1895">
        <v>100</v>
      </c>
      <c r="K1895" t="s">
        <v>1468</v>
      </c>
      <c r="L1895" t="s">
        <v>5199</v>
      </c>
      <c r="M1895" s="37">
        <v>0</v>
      </c>
      <c r="N1895" s="37">
        <v>0.6</v>
      </c>
      <c r="O1895">
        <v>0</v>
      </c>
      <c r="P1895" s="37">
        <v>0</v>
      </c>
      <c r="Q1895">
        <v>0</v>
      </c>
      <c r="R1895">
        <v>100</v>
      </c>
      <c r="S1895">
        <v>100</v>
      </c>
      <c r="T1895">
        <v>1000</v>
      </c>
      <c r="U1895" t="s">
        <v>4831</v>
      </c>
      <c r="W1895" s="37">
        <v>-0.0883</v>
      </c>
      <c r="X1895" t="s">
        <v>4832</v>
      </c>
      <c r="Y1895" t="s">
        <v>4833</v>
      </c>
      <c r="Z1895" s="37">
        <v>0.7742</v>
      </c>
      <c r="AA1895" s="37">
        <v>0.5</v>
      </c>
      <c r="AB1895">
        <v>0</v>
      </c>
    </row>
    <row r="1896">
      <c r="A1896" t="s">
        <v>5206</v>
      </c>
      <c r="B1896" t="s">
        <v>3475</v>
      </c>
      <c r="C1896" t="s">
        <v>3475</v>
      </c>
      <c r="D1896" t="s">
        <v>3607</v>
      </c>
      <c r="E1896" t="s">
        <v>5207</v>
      </c>
      <c r="F1896" t="s">
        <v>298</v>
      </c>
      <c r="G1896" t="s">
        <v>3607</v>
      </c>
      <c r="H1896" t="s">
        <v>3609</v>
      </c>
      <c r="I1896" t="s">
        <v>5152</v>
      </c>
      <c r="J1896">
        <v>100</v>
      </c>
      <c r="K1896" t="s">
        <v>1468</v>
      </c>
      <c r="L1896" t="s">
        <v>5199</v>
      </c>
      <c r="M1896" s="37">
        <v>0.5</v>
      </c>
      <c r="N1896" s="37">
        <v>0.2</v>
      </c>
      <c r="O1896">
        <v>50</v>
      </c>
      <c r="P1896" s="37">
        <v>0.43</v>
      </c>
      <c r="Q1896">
        <v>0.43</v>
      </c>
      <c r="R1896">
        <v>1502.23</v>
      </c>
      <c r="S1896">
        <v>1502.23</v>
      </c>
      <c r="T1896">
        <v>2300</v>
      </c>
      <c r="U1896" t="s">
        <v>4831</v>
      </c>
      <c r="W1896" s="37">
        <v>-0.0883</v>
      </c>
      <c r="X1896" t="s">
        <v>4832</v>
      </c>
      <c r="Y1896" t="s">
        <v>4833</v>
      </c>
      <c r="Z1896" s="37">
        <v>0.7742</v>
      </c>
      <c r="AA1896" s="37">
        <v>0.5</v>
      </c>
      <c r="AB1896">
        <v>0</v>
      </c>
    </row>
    <row r="1897">
      <c r="A1897" t="s">
        <v>5206</v>
      </c>
      <c r="B1897" t="s">
        <v>3475</v>
      </c>
      <c r="C1897" t="s">
        <v>3475</v>
      </c>
      <c r="D1897" t="s">
        <v>3607</v>
      </c>
      <c r="E1897" t="s">
        <v>5207</v>
      </c>
      <c r="F1897" t="s">
        <v>298</v>
      </c>
      <c r="G1897" t="s">
        <v>3607</v>
      </c>
      <c r="H1897" t="s">
        <v>3611</v>
      </c>
      <c r="I1897" t="s">
        <v>5152</v>
      </c>
      <c r="J1897">
        <v>100</v>
      </c>
      <c r="K1897" t="s">
        <v>1468</v>
      </c>
      <c r="L1897" t="s">
        <v>5199</v>
      </c>
      <c r="M1897" s="37">
        <v>0.4</v>
      </c>
      <c r="N1897" s="37">
        <v>0.2</v>
      </c>
      <c r="O1897">
        <v>40</v>
      </c>
      <c r="P1897" s="37">
        <v>0.43</v>
      </c>
      <c r="Q1897">
        <v>0.43</v>
      </c>
      <c r="R1897">
        <v>1502.23</v>
      </c>
      <c r="S1897">
        <v>1502.23</v>
      </c>
      <c r="T1897">
        <v>2300</v>
      </c>
      <c r="U1897" t="s">
        <v>4831</v>
      </c>
      <c r="W1897" s="37">
        <v>-0.0883</v>
      </c>
      <c r="X1897" t="s">
        <v>4832</v>
      </c>
      <c r="Y1897" t="s">
        <v>4833</v>
      </c>
      <c r="Z1897" s="37">
        <v>0.7742</v>
      </c>
      <c r="AA1897" s="37">
        <v>0.5</v>
      </c>
      <c r="AB1897">
        <v>0</v>
      </c>
    </row>
    <row r="1898">
      <c r="A1898" t="s">
        <v>5206</v>
      </c>
      <c r="B1898" t="s">
        <v>3475</v>
      </c>
      <c r="C1898" t="s">
        <v>3475</v>
      </c>
      <c r="D1898" t="s">
        <v>3607</v>
      </c>
      <c r="E1898" t="s">
        <v>5207</v>
      </c>
      <c r="F1898" t="s">
        <v>298</v>
      </c>
      <c r="G1898" t="s">
        <v>3607</v>
      </c>
      <c r="H1898" t="s">
        <v>3613</v>
      </c>
      <c r="I1898" t="s">
        <v>5152</v>
      </c>
      <c r="J1898">
        <v>100</v>
      </c>
      <c r="K1898" t="s">
        <v>1468</v>
      </c>
      <c r="L1898" t="s">
        <v>5199</v>
      </c>
      <c r="M1898" s="37">
        <v>0.5</v>
      </c>
      <c r="N1898" s="37">
        <v>0.5</v>
      </c>
      <c r="O1898">
        <v>50</v>
      </c>
      <c r="P1898" s="37">
        <v>0.43</v>
      </c>
      <c r="Q1898">
        <v>0.43</v>
      </c>
      <c r="R1898">
        <v>1502.23</v>
      </c>
      <c r="S1898">
        <v>1502.23</v>
      </c>
      <c r="T1898">
        <v>2300</v>
      </c>
      <c r="U1898" t="s">
        <v>4831</v>
      </c>
      <c r="W1898" s="37">
        <v>-0.0883</v>
      </c>
      <c r="X1898" t="s">
        <v>4832</v>
      </c>
      <c r="Y1898" t="s">
        <v>4833</v>
      </c>
      <c r="Z1898" s="37">
        <v>0.7742</v>
      </c>
      <c r="AA1898" s="37">
        <v>0.5</v>
      </c>
      <c r="AB1898">
        <v>0</v>
      </c>
    </row>
    <row r="1899">
      <c r="A1899" t="s">
        <v>5206</v>
      </c>
      <c r="B1899" t="s">
        <v>3475</v>
      </c>
      <c r="C1899" t="s">
        <v>3475</v>
      </c>
      <c r="D1899" t="s">
        <v>3607</v>
      </c>
      <c r="E1899" t="s">
        <v>5207</v>
      </c>
      <c r="F1899" t="s">
        <v>298</v>
      </c>
      <c r="G1899" t="s">
        <v>3607</v>
      </c>
      <c r="H1899" t="s">
        <v>3615</v>
      </c>
      <c r="I1899" t="s">
        <v>5152</v>
      </c>
      <c r="J1899">
        <v>100</v>
      </c>
      <c r="K1899" t="s">
        <v>1468</v>
      </c>
      <c r="L1899" t="s">
        <v>5199</v>
      </c>
      <c r="M1899" s="37">
        <v>0</v>
      </c>
      <c r="N1899" s="37">
        <v>0.1</v>
      </c>
      <c r="O1899">
        <v>0</v>
      </c>
      <c r="P1899" s="37">
        <v>0.43</v>
      </c>
      <c r="Q1899">
        <v>0.43</v>
      </c>
      <c r="R1899">
        <v>1502.23</v>
      </c>
      <c r="S1899">
        <v>1502.23</v>
      </c>
      <c r="T1899">
        <v>2300</v>
      </c>
      <c r="U1899" t="s">
        <v>4831</v>
      </c>
      <c r="W1899" s="37">
        <v>-0.0883</v>
      </c>
      <c r="X1899" t="s">
        <v>4832</v>
      </c>
      <c r="Y1899" t="s">
        <v>4833</v>
      </c>
      <c r="Z1899" s="37">
        <v>0.7742</v>
      </c>
      <c r="AA1899" s="37">
        <v>0.5</v>
      </c>
      <c r="AB1899">
        <v>0</v>
      </c>
    </row>
    <row r="1900">
      <c r="A1900" t="s">
        <v>5208</v>
      </c>
      <c r="B1900" t="s">
        <v>3113</v>
      </c>
      <c r="C1900" t="s">
        <v>3113</v>
      </c>
      <c r="D1900" t="s">
        <v>1216</v>
      </c>
      <c r="E1900" t="s">
        <v>5209</v>
      </c>
      <c r="F1900" t="s">
        <v>298</v>
      </c>
      <c r="G1900" t="s">
        <v>3873</v>
      </c>
      <c r="H1900" t="s">
        <v>3878</v>
      </c>
      <c r="I1900" t="s">
        <v>3879</v>
      </c>
      <c r="J1900">
        <v>30</v>
      </c>
      <c r="K1900">
        <v>20.53</v>
      </c>
      <c r="L1900" t="s">
        <v>5199</v>
      </c>
      <c r="M1900" s="37">
        <v>0.006843</v>
      </c>
      <c r="N1900" s="37">
        <v>0.4</v>
      </c>
      <c r="O1900">
        <v>0.272</v>
      </c>
      <c r="P1900" s="37">
        <v>0.00548</v>
      </c>
      <c r="Q1900">
        <v>0.51</v>
      </c>
      <c r="R1900">
        <v>1024</v>
      </c>
      <c r="S1900">
        <v>1174</v>
      </c>
      <c r="T1900">
        <v>2000</v>
      </c>
      <c r="U1900" t="s">
        <v>4831</v>
      </c>
      <c r="W1900" s="37">
        <v>-0.0883</v>
      </c>
      <c r="X1900" t="s">
        <v>4832</v>
      </c>
      <c r="Y1900" t="s">
        <v>4833</v>
      </c>
      <c r="Z1900" s="37">
        <v>0.7742</v>
      </c>
      <c r="AA1900" s="37">
        <v>0.5</v>
      </c>
      <c r="AB1900">
        <v>0</v>
      </c>
    </row>
    <row r="1901">
      <c r="A1901" t="s">
        <v>5208</v>
      </c>
      <c r="B1901" t="s">
        <v>3113</v>
      </c>
      <c r="C1901" t="s">
        <v>3113</v>
      </c>
      <c r="D1901" t="s">
        <v>1216</v>
      </c>
      <c r="E1901" t="s">
        <v>5209</v>
      </c>
      <c r="F1901" t="s">
        <v>298</v>
      </c>
      <c r="G1901" t="s">
        <v>3873</v>
      </c>
      <c r="H1901" t="s">
        <v>3882</v>
      </c>
      <c r="I1901" t="s">
        <v>5210</v>
      </c>
      <c r="J1901">
        <v>8</v>
      </c>
      <c r="K1901">
        <v>0</v>
      </c>
      <c r="L1901" t="s">
        <v>5199</v>
      </c>
      <c r="M1901" s="37">
        <v>0</v>
      </c>
      <c r="N1901" s="37">
        <v>0.3</v>
      </c>
      <c r="O1901">
        <v>0</v>
      </c>
      <c r="P1901" s="37">
        <v>0.00548</v>
      </c>
      <c r="Q1901">
        <v>0.51</v>
      </c>
      <c r="R1901">
        <v>1024</v>
      </c>
      <c r="S1901">
        <v>1174</v>
      </c>
      <c r="T1901">
        <v>2000</v>
      </c>
      <c r="U1901" t="s">
        <v>4831</v>
      </c>
      <c r="W1901" s="37">
        <v>-0.0883</v>
      </c>
      <c r="X1901" t="s">
        <v>4832</v>
      </c>
      <c r="Y1901" t="s">
        <v>4833</v>
      </c>
      <c r="Z1901" s="37">
        <v>0.7742</v>
      </c>
      <c r="AA1901" s="37">
        <v>0.5</v>
      </c>
      <c r="AB1901">
        <v>0</v>
      </c>
    </row>
    <row r="1902">
      <c r="A1902" t="s">
        <v>5208</v>
      </c>
      <c r="B1902" t="s">
        <v>3113</v>
      </c>
      <c r="C1902" t="s">
        <v>3113</v>
      </c>
      <c r="D1902" t="s">
        <v>1216</v>
      </c>
      <c r="E1902" t="s">
        <v>5209</v>
      </c>
      <c r="F1902" t="s">
        <v>298</v>
      </c>
      <c r="G1902" t="s">
        <v>3873</v>
      </c>
      <c r="H1902" t="s">
        <v>5211</v>
      </c>
      <c r="I1902" t="s">
        <v>5212</v>
      </c>
      <c r="J1902">
        <v>35</v>
      </c>
      <c r="K1902">
        <v>32</v>
      </c>
      <c r="L1902" t="s">
        <v>5199</v>
      </c>
      <c r="M1902" s="37">
        <v>0.009143</v>
      </c>
      <c r="N1902" s="37">
        <v>0.3</v>
      </c>
      <c r="O1902">
        <v>0.24</v>
      </c>
      <c r="P1902" s="37">
        <v>0.00548</v>
      </c>
      <c r="Q1902">
        <v>0.51</v>
      </c>
      <c r="R1902">
        <v>1024</v>
      </c>
      <c r="S1902">
        <v>1174</v>
      </c>
      <c r="T1902">
        <v>2000</v>
      </c>
      <c r="U1902" t="s">
        <v>4831</v>
      </c>
      <c r="W1902" s="37">
        <v>-0.0883</v>
      </c>
      <c r="X1902" t="s">
        <v>4832</v>
      </c>
      <c r="Y1902" t="s">
        <v>4833</v>
      </c>
      <c r="Z1902" s="37">
        <v>0.7742</v>
      </c>
      <c r="AA1902" s="37">
        <v>0.5</v>
      </c>
      <c r="AB1902">
        <v>0</v>
      </c>
    </row>
    <row r="1903">
      <c r="A1903" t="s">
        <v>5213</v>
      </c>
      <c r="B1903" t="s">
        <v>761</v>
      </c>
      <c r="C1903" t="s">
        <v>761</v>
      </c>
      <c r="D1903" t="s">
        <v>359</v>
      </c>
      <c r="E1903" t="s">
        <v>5214</v>
      </c>
      <c r="F1903" t="s">
        <v>298</v>
      </c>
      <c r="G1903" t="s">
        <v>834</v>
      </c>
      <c r="H1903" t="s">
        <v>604</v>
      </c>
      <c r="I1903" t="s">
        <v>5215</v>
      </c>
      <c r="J1903">
        <v>1</v>
      </c>
      <c r="K1903">
        <v>32</v>
      </c>
      <c r="L1903" t="s">
        <v>5216</v>
      </c>
      <c r="M1903" s="37">
        <v>0.9</v>
      </c>
      <c r="N1903" s="37">
        <v>0.5</v>
      </c>
      <c r="O1903">
        <v>0.9</v>
      </c>
      <c r="P1903" s="37">
        <v>0.915</v>
      </c>
      <c r="Q1903">
        <v>0.92</v>
      </c>
      <c r="R1903">
        <v>0</v>
      </c>
      <c r="S1903">
        <v>0</v>
      </c>
      <c r="T1903">
        <v>5000</v>
      </c>
      <c r="U1903" t="s">
        <v>4831</v>
      </c>
      <c r="W1903" s="37">
        <v>-0.0883</v>
      </c>
      <c r="X1903" t="s">
        <v>4832</v>
      </c>
      <c r="Y1903" t="s">
        <v>4833</v>
      </c>
      <c r="Z1903" s="37">
        <v>0.7742</v>
      </c>
      <c r="AA1903" s="37">
        <v>0.5</v>
      </c>
      <c r="AB1903">
        <v>0</v>
      </c>
    </row>
    <row r="1904">
      <c r="A1904" t="s">
        <v>5213</v>
      </c>
      <c r="B1904" t="s">
        <v>761</v>
      </c>
      <c r="C1904" t="s">
        <v>761</v>
      </c>
      <c r="D1904" t="s">
        <v>359</v>
      </c>
      <c r="E1904" t="s">
        <v>5214</v>
      </c>
      <c r="F1904" t="s">
        <v>298</v>
      </c>
      <c r="G1904" t="s">
        <v>834</v>
      </c>
      <c r="H1904" t="s">
        <v>604</v>
      </c>
      <c r="I1904" t="s">
        <v>5217</v>
      </c>
      <c r="J1904">
        <v>1</v>
      </c>
      <c r="L1904" t="s">
        <v>5218</v>
      </c>
      <c r="M1904" s="37">
        <v>0.95</v>
      </c>
      <c r="N1904" s="37">
        <v>0.3</v>
      </c>
      <c r="O1904">
        <v>0.95</v>
      </c>
      <c r="P1904" s="37">
        <v>0.915</v>
      </c>
      <c r="Q1904">
        <v>0.92</v>
      </c>
      <c r="R1904">
        <v>0</v>
      </c>
      <c r="S1904">
        <v>0</v>
      </c>
      <c r="T1904">
        <v>5000</v>
      </c>
      <c r="U1904" t="s">
        <v>4831</v>
      </c>
      <c r="W1904" s="37">
        <v>-0.0883</v>
      </c>
      <c r="X1904" t="s">
        <v>4832</v>
      </c>
      <c r="Y1904" t="s">
        <v>4833</v>
      </c>
      <c r="Z1904" s="37">
        <v>0.7742</v>
      </c>
      <c r="AA1904" s="37">
        <v>0.5</v>
      </c>
      <c r="AB1904">
        <v>0</v>
      </c>
    </row>
    <row r="1905">
      <c r="A1905" t="s">
        <v>5213</v>
      </c>
      <c r="B1905" t="s">
        <v>761</v>
      </c>
      <c r="C1905" t="s">
        <v>761</v>
      </c>
      <c r="D1905" t="s">
        <v>359</v>
      </c>
      <c r="E1905" t="s">
        <v>5214</v>
      </c>
      <c r="F1905" t="s">
        <v>298</v>
      </c>
      <c r="G1905" t="s">
        <v>834</v>
      </c>
      <c r="H1905" t="s">
        <v>604</v>
      </c>
      <c r="I1905" t="s">
        <v>5219</v>
      </c>
      <c r="J1905">
        <v>1</v>
      </c>
      <c r="L1905" t="s">
        <v>5220</v>
      </c>
      <c r="M1905" s="37">
        <v>0.9</v>
      </c>
      <c r="N1905" s="37">
        <v>0.2</v>
      </c>
      <c r="O1905">
        <v>0.9</v>
      </c>
      <c r="P1905" s="37">
        <v>0.915</v>
      </c>
      <c r="Q1905">
        <v>0.92</v>
      </c>
      <c r="R1905">
        <v>0</v>
      </c>
      <c r="S1905">
        <v>0</v>
      </c>
      <c r="T1905">
        <v>5000</v>
      </c>
      <c r="U1905" t="s">
        <v>4831</v>
      </c>
      <c r="W1905" s="37">
        <v>-0.0883</v>
      </c>
      <c r="X1905" t="s">
        <v>4832</v>
      </c>
      <c r="Y1905" t="s">
        <v>4833</v>
      </c>
      <c r="Z1905" s="37">
        <v>0.7742</v>
      </c>
      <c r="AA1905" s="37">
        <v>0.5</v>
      </c>
      <c r="AB1905">
        <v>0</v>
      </c>
    </row>
    <row r="1906">
      <c r="A1906" t="s">
        <v>5221</v>
      </c>
      <c r="B1906" t="s">
        <v>2057</v>
      </c>
      <c r="C1906" t="s">
        <v>2057</v>
      </c>
      <c r="D1906" t="s">
        <v>5222</v>
      </c>
      <c r="E1906" t="s">
        <v>5223</v>
      </c>
      <c r="F1906" t="s">
        <v>298</v>
      </c>
      <c r="G1906" t="s">
        <v>2107</v>
      </c>
      <c r="H1906" t="s">
        <v>2108</v>
      </c>
      <c r="I1906" t="s">
        <v>5224</v>
      </c>
      <c r="L1906" t="s">
        <v>5225</v>
      </c>
      <c r="M1906" s="37">
        <v>0.85</v>
      </c>
      <c r="N1906" s="37">
        <v>0.4</v>
      </c>
      <c r="O1906">
        <v>0.85</v>
      </c>
      <c r="P1906" s="37">
        <v>0.94</v>
      </c>
      <c r="Q1906">
        <v>0.94</v>
      </c>
      <c r="R1906">
        <v>2045.6</v>
      </c>
      <c r="S1906">
        <v>2045.6</v>
      </c>
      <c r="T1906">
        <v>2000</v>
      </c>
      <c r="U1906" t="s">
        <v>4831</v>
      </c>
      <c r="W1906" s="37">
        <v>-0.0883</v>
      </c>
      <c r="X1906" t="s">
        <v>4832</v>
      </c>
      <c r="Y1906" t="s">
        <v>4833</v>
      </c>
      <c r="Z1906" s="37">
        <v>0.7742</v>
      </c>
      <c r="AA1906" s="37">
        <v>0.5</v>
      </c>
      <c r="AB1906">
        <v>0</v>
      </c>
    </row>
    <row r="1907">
      <c r="A1907" t="s">
        <v>5221</v>
      </c>
      <c r="B1907" t="s">
        <v>2057</v>
      </c>
      <c r="C1907" t="s">
        <v>2057</v>
      </c>
      <c r="D1907" t="s">
        <v>5222</v>
      </c>
      <c r="E1907" t="s">
        <v>5223</v>
      </c>
      <c r="F1907" t="s">
        <v>298</v>
      </c>
      <c r="G1907" t="s">
        <v>2107</v>
      </c>
      <c r="H1907" t="s">
        <v>2108</v>
      </c>
      <c r="I1907" t="s">
        <v>5226</v>
      </c>
      <c r="L1907" t="s">
        <v>5227</v>
      </c>
      <c r="M1907" s="37">
        <v>1</v>
      </c>
      <c r="N1907" s="37">
        <v>0.3</v>
      </c>
      <c r="O1907">
        <v>1</v>
      </c>
      <c r="P1907" s="37">
        <v>0.94</v>
      </c>
      <c r="Q1907">
        <v>0.94</v>
      </c>
      <c r="R1907">
        <v>2045.6</v>
      </c>
      <c r="S1907">
        <v>2045.6</v>
      </c>
      <c r="T1907">
        <v>2000</v>
      </c>
      <c r="U1907" t="s">
        <v>4831</v>
      </c>
      <c r="W1907" s="37">
        <v>-0.0883</v>
      </c>
      <c r="X1907" t="s">
        <v>4832</v>
      </c>
      <c r="Y1907" t="s">
        <v>4833</v>
      </c>
      <c r="Z1907" s="37">
        <v>0.7742</v>
      </c>
      <c r="AA1907" s="37">
        <v>0.5</v>
      </c>
      <c r="AB1907">
        <v>0</v>
      </c>
    </row>
    <row r="1908">
      <c r="A1908" t="s">
        <v>5221</v>
      </c>
      <c r="B1908" t="s">
        <v>2057</v>
      </c>
      <c r="C1908" t="s">
        <v>2057</v>
      </c>
      <c r="D1908" t="s">
        <v>5222</v>
      </c>
      <c r="E1908" t="s">
        <v>5223</v>
      </c>
      <c r="F1908" t="s">
        <v>298</v>
      </c>
      <c r="G1908" t="s">
        <v>2107</v>
      </c>
      <c r="H1908" t="s">
        <v>2108</v>
      </c>
      <c r="I1908" t="s">
        <v>5228</v>
      </c>
      <c r="L1908" t="s">
        <v>5229</v>
      </c>
      <c r="M1908" s="37">
        <v>1</v>
      </c>
      <c r="N1908" s="37">
        <v>0.3</v>
      </c>
      <c r="O1908">
        <v>1</v>
      </c>
      <c r="P1908" s="37">
        <v>0.94</v>
      </c>
      <c r="Q1908">
        <v>0.94</v>
      </c>
      <c r="R1908">
        <v>2045.6</v>
      </c>
      <c r="S1908">
        <v>2045.6</v>
      </c>
      <c r="T1908">
        <v>2000</v>
      </c>
      <c r="U1908" t="s">
        <v>4831</v>
      </c>
      <c r="W1908" s="37">
        <v>-0.0883</v>
      </c>
      <c r="X1908" t="s">
        <v>4832</v>
      </c>
      <c r="Y1908" t="s">
        <v>4833</v>
      </c>
      <c r="Z1908" s="37">
        <v>0.7742</v>
      </c>
      <c r="AA1908" s="37">
        <v>0.5</v>
      </c>
      <c r="AB1908">
        <v>0</v>
      </c>
    </row>
    <row r="1909">
      <c r="A1909" t="s">
        <v>5230</v>
      </c>
      <c r="B1909" t="s">
        <v>5231</v>
      </c>
      <c r="C1909" t="s">
        <v>5231</v>
      </c>
      <c r="D1909" t="s">
        <v>509</v>
      </c>
      <c r="E1909" t="s">
        <v>5232</v>
      </c>
      <c r="F1909" t="s">
        <v>298</v>
      </c>
      <c r="G1909" t="s">
        <v>5233</v>
      </c>
      <c r="H1909" t="s">
        <v>5234</v>
      </c>
      <c r="I1909" t="s">
        <v>5235</v>
      </c>
      <c r="J1909" t="s">
        <v>5236</v>
      </c>
      <c r="K1909" t="s">
        <v>5237</v>
      </c>
      <c r="L1909" t="s">
        <v>5229</v>
      </c>
      <c r="M1909" s="37">
        <v>1.1325</v>
      </c>
      <c r="N1909" s="37">
        <v>0.7</v>
      </c>
      <c r="O1909">
        <v>1.133</v>
      </c>
      <c r="P1909" s="37">
        <v>0.79275</v>
      </c>
      <c r="Q1909">
        <v>1.14</v>
      </c>
      <c r="R1909">
        <v>2200</v>
      </c>
      <c r="S1909">
        <v>2200</v>
      </c>
      <c r="T1909">
        <v>2000</v>
      </c>
      <c r="U1909" t="s">
        <v>4831</v>
      </c>
      <c r="W1909" s="37">
        <v>-0.0883</v>
      </c>
      <c r="X1909" t="s">
        <v>4832</v>
      </c>
      <c r="Y1909" t="s">
        <v>4833</v>
      </c>
      <c r="Z1909" s="37">
        <v>0.7742</v>
      </c>
      <c r="AA1909" s="37">
        <v>0.5</v>
      </c>
      <c r="AB1909">
        <v>0</v>
      </c>
    </row>
    <row r="1910">
      <c r="A1910" t="s">
        <v>5230</v>
      </c>
      <c r="B1910" t="s">
        <v>5231</v>
      </c>
      <c r="C1910" t="s">
        <v>5231</v>
      </c>
      <c r="D1910" t="s">
        <v>509</v>
      </c>
      <c r="E1910" t="s">
        <v>5232</v>
      </c>
      <c r="F1910" t="s">
        <v>298</v>
      </c>
      <c r="G1910" t="s">
        <v>5233</v>
      </c>
      <c r="H1910" t="s">
        <v>5238</v>
      </c>
      <c r="I1910" t="s">
        <v>5239</v>
      </c>
      <c r="L1910" t="s">
        <v>5229</v>
      </c>
      <c r="M1910" s="37">
        <v>0</v>
      </c>
      <c r="N1910" s="37">
        <v>0.3</v>
      </c>
      <c r="O1910">
        <v>1.16</v>
      </c>
      <c r="P1910" s="37">
        <v>0.79275</v>
      </c>
      <c r="Q1910">
        <v>1.14</v>
      </c>
      <c r="R1910">
        <v>2200</v>
      </c>
      <c r="S1910">
        <v>2200</v>
      </c>
      <c r="T1910">
        <v>2000</v>
      </c>
      <c r="U1910" t="s">
        <v>4831</v>
      </c>
      <c r="W1910" s="37">
        <v>-0.0883</v>
      </c>
      <c r="X1910" t="s">
        <v>4832</v>
      </c>
      <c r="Y1910" t="s">
        <v>4833</v>
      </c>
      <c r="Z1910" s="37">
        <v>0.7742</v>
      </c>
      <c r="AA1910" s="37">
        <v>0.5</v>
      </c>
      <c r="AB1910">
        <v>0</v>
      </c>
    </row>
    <row r="1911">
      <c r="A1911" t="s">
        <v>5240</v>
      </c>
      <c r="B1911" t="s">
        <v>5231</v>
      </c>
      <c r="C1911" t="s">
        <v>5231</v>
      </c>
      <c r="D1911" t="s">
        <v>509</v>
      </c>
      <c r="E1911" t="s">
        <v>5241</v>
      </c>
      <c r="F1911" t="s">
        <v>298</v>
      </c>
      <c r="G1911" t="s">
        <v>5233</v>
      </c>
      <c r="H1911" t="s">
        <v>5234</v>
      </c>
      <c r="I1911" t="s">
        <v>5242</v>
      </c>
      <c r="J1911" t="s">
        <v>5236</v>
      </c>
      <c r="K1911" t="s">
        <v>5243</v>
      </c>
      <c r="L1911" t="s">
        <v>5229</v>
      </c>
      <c r="M1911" s="37">
        <v>0.95</v>
      </c>
      <c r="N1911" s="37">
        <v>0.7</v>
      </c>
      <c r="O1911">
        <v>0.95</v>
      </c>
      <c r="P1911" s="37">
        <v>0.665</v>
      </c>
      <c r="Q1911">
        <v>1.03</v>
      </c>
      <c r="R1911">
        <v>2400</v>
      </c>
      <c r="S1911">
        <v>2400</v>
      </c>
      <c r="T1911">
        <v>4000</v>
      </c>
      <c r="U1911" t="s">
        <v>4831</v>
      </c>
      <c r="W1911" s="37">
        <v>-0.0883</v>
      </c>
      <c r="X1911" t="s">
        <v>4832</v>
      </c>
      <c r="Y1911" t="s">
        <v>4833</v>
      </c>
      <c r="Z1911" s="37">
        <v>0.7742</v>
      </c>
      <c r="AA1911" s="37">
        <v>0.5</v>
      </c>
      <c r="AB1911">
        <v>0</v>
      </c>
    </row>
    <row r="1912">
      <c r="A1912" t="s">
        <v>5240</v>
      </c>
      <c r="B1912" t="s">
        <v>5231</v>
      </c>
      <c r="C1912" t="s">
        <v>5231</v>
      </c>
      <c r="D1912" t="s">
        <v>509</v>
      </c>
      <c r="E1912" t="s">
        <v>5241</v>
      </c>
      <c r="F1912" t="s">
        <v>298</v>
      </c>
      <c r="G1912" t="s">
        <v>5233</v>
      </c>
      <c r="H1912" t="s">
        <v>5238</v>
      </c>
      <c r="I1912" t="s">
        <v>5244</v>
      </c>
      <c r="L1912" t="s">
        <v>5229</v>
      </c>
      <c r="M1912" s="37">
        <v>0</v>
      </c>
      <c r="N1912" s="37">
        <v>0.3</v>
      </c>
      <c r="O1912">
        <v>1.2</v>
      </c>
      <c r="P1912" s="37">
        <v>0.665</v>
      </c>
      <c r="Q1912">
        <v>1.03</v>
      </c>
      <c r="R1912">
        <v>2400</v>
      </c>
      <c r="S1912">
        <v>2400</v>
      </c>
      <c r="T1912">
        <v>4000</v>
      </c>
      <c r="U1912" t="s">
        <v>4831</v>
      </c>
      <c r="W1912" s="37">
        <v>-0.0883</v>
      </c>
      <c r="X1912" t="s">
        <v>4832</v>
      </c>
      <c r="Y1912" t="s">
        <v>4833</v>
      </c>
      <c r="Z1912" s="37">
        <v>0.7742</v>
      </c>
      <c r="AA1912" s="37">
        <v>0.5</v>
      </c>
      <c r="AB1912">
        <v>0</v>
      </c>
    </row>
    <row r="1913">
      <c r="A1913" t="s">
        <v>5245</v>
      </c>
      <c r="B1913" t="s">
        <v>5231</v>
      </c>
      <c r="C1913" t="s">
        <v>5231</v>
      </c>
      <c r="D1913" t="s">
        <v>502</v>
      </c>
      <c r="E1913" t="s">
        <v>5246</v>
      </c>
      <c r="F1913" t="s">
        <v>298</v>
      </c>
      <c r="G1913" t="s">
        <v>5233</v>
      </c>
      <c r="H1913" t="s">
        <v>5234</v>
      </c>
      <c r="I1913" t="s">
        <v>5247</v>
      </c>
      <c r="J1913" t="s">
        <v>5236</v>
      </c>
      <c r="K1913" t="s">
        <v>5248</v>
      </c>
      <c r="L1913" t="s">
        <v>5229</v>
      </c>
      <c r="M1913" s="37">
        <v>1.025</v>
      </c>
      <c r="N1913" s="37">
        <v>0.7</v>
      </c>
      <c r="O1913">
        <v>1.025</v>
      </c>
      <c r="P1913" s="37">
        <v>0.7175</v>
      </c>
      <c r="Q1913">
        <v>1.17</v>
      </c>
      <c r="R1913">
        <v>6400</v>
      </c>
      <c r="S1913">
        <v>6400</v>
      </c>
      <c r="T1913">
        <v>4000</v>
      </c>
      <c r="U1913" t="s">
        <v>4831</v>
      </c>
      <c r="W1913" s="37">
        <v>-0.0883</v>
      </c>
      <c r="X1913" t="s">
        <v>4832</v>
      </c>
      <c r="Y1913" t="s">
        <v>4833</v>
      </c>
      <c r="Z1913" s="37">
        <v>0.7742</v>
      </c>
      <c r="AA1913" s="37">
        <v>0.5</v>
      </c>
      <c r="AB1913">
        <v>0</v>
      </c>
    </row>
    <row r="1914">
      <c r="A1914" t="s">
        <v>5245</v>
      </c>
      <c r="B1914" t="s">
        <v>5231</v>
      </c>
      <c r="C1914" t="s">
        <v>5231</v>
      </c>
      <c r="D1914" t="s">
        <v>502</v>
      </c>
      <c r="E1914" t="s">
        <v>5246</v>
      </c>
      <c r="F1914" t="s">
        <v>298</v>
      </c>
      <c r="G1914" t="s">
        <v>5233</v>
      </c>
      <c r="H1914" t="s">
        <v>5238</v>
      </c>
      <c r="I1914" t="s">
        <v>5249</v>
      </c>
      <c r="L1914" t="s">
        <v>5229</v>
      </c>
      <c r="M1914" s="37">
        <v>0</v>
      </c>
      <c r="N1914" s="37">
        <v>0.3</v>
      </c>
      <c r="O1914">
        <v>1.5</v>
      </c>
      <c r="P1914" s="37">
        <v>0.7175</v>
      </c>
      <c r="Q1914">
        <v>1.17</v>
      </c>
      <c r="R1914">
        <v>6400</v>
      </c>
      <c r="S1914">
        <v>6400</v>
      </c>
      <c r="T1914">
        <v>4000</v>
      </c>
      <c r="U1914" t="s">
        <v>4831</v>
      </c>
      <c r="W1914" s="37">
        <v>-0.0883</v>
      </c>
      <c r="X1914" t="s">
        <v>4832</v>
      </c>
      <c r="Y1914" t="s">
        <v>4833</v>
      </c>
      <c r="Z1914" s="37">
        <v>0.7742</v>
      </c>
      <c r="AA1914" s="37">
        <v>0.5</v>
      </c>
      <c r="AB1914">
        <v>0</v>
      </c>
    </row>
    <row r="1915">
      <c r="A1915" t="s">
        <v>5250</v>
      </c>
      <c r="B1915" t="s">
        <v>5231</v>
      </c>
      <c r="C1915" t="s">
        <v>5231</v>
      </c>
      <c r="D1915" t="s">
        <v>509</v>
      </c>
      <c r="E1915" t="s">
        <v>5251</v>
      </c>
      <c r="F1915" t="s">
        <v>298</v>
      </c>
      <c r="G1915" t="s">
        <v>5233</v>
      </c>
      <c r="H1915" t="s">
        <v>5234</v>
      </c>
      <c r="I1915" t="s">
        <v>5252</v>
      </c>
      <c r="J1915" t="s">
        <v>5236</v>
      </c>
      <c r="K1915" t="s">
        <v>5236</v>
      </c>
      <c r="L1915" t="s">
        <v>5229</v>
      </c>
      <c r="M1915" s="37">
        <v>1</v>
      </c>
      <c r="N1915" s="37">
        <v>0.7</v>
      </c>
      <c r="O1915">
        <v>1</v>
      </c>
      <c r="P1915" s="37">
        <v>0.7</v>
      </c>
      <c r="Q1915">
        <v>1.06</v>
      </c>
      <c r="R1915">
        <v>2400</v>
      </c>
      <c r="S1915">
        <v>2400</v>
      </c>
      <c r="T1915">
        <v>3000</v>
      </c>
      <c r="U1915" t="s">
        <v>4831</v>
      </c>
      <c r="W1915" s="37">
        <v>-0.0883</v>
      </c>
      <c r="X1915" t="s">
        <v>4832</v>
      </c>
      <c r="Y1915" t="s">
        <v>4833</v>
      </c>
      <c r="Z1915" s="37">
        <v>0.7742</v>
      </c>
      <c r="AA1915" s="37">
        <v>0.5</v>
      </c>
      <c r="AB1915">
        <v>0</v>
      </c>
    </row>
    <row r="1916">
      <c r="A1916" t="s">
        <v>5250</v>
      </c>
      <c r="B1916" t="s">
        <v>5231</v>
      </c>
      <c r="C1916" t="s">
        <v>5231</v>
      </c>
      <c r="D1916" t="s">
        <v>509</v>
      </c>
      <c r="E1916" t="s">
        <v>5251</v>
      </c>
      <c r="F1916" t="s">
        <v>298</v>
      </c>
      <c r="G1916" t="s">
        <v>5233</v>
      </c>
      <c r="H1916" t="s">
        <v>5238</v>
      </c>
      <c r="I1916" t="s">
        <v>5244</v>
      </c>
      <c r="L1916" t="s">
        <v>5229</v>
      </c>
      <c r="M1916" s="37">
        <v>0</v>
      </c>
      <c r="N1916" s="37">
        <v>0.3</v>
      </c>
      <c r="O1916">
        <v>1.2</v>
      </c>
      <c r="P1916" s="37">
        <v>0.7</v>
      </c>
      <c r="Q1916">
        <v>1.06</v>
      </c>
      <c r="R1916">
        <v>2400</v>
      </c>
      <c r="S1916">
        <v>2400</v>
      </c>
      <c r="T1916">
        <v>3000</v>
      </c>
      <c r="U1916" t="s">
        <v>4831</v>
      </c>
      <c r="W1916" s="37">
        <v>-0.0883</v>
      </c>
      <c r="X1916" t="s">
        <v>4832</v>
      </c>
      <c r="Y1916" t="s">
        <v>4833</v>
      </c>
      <c r="Z1916" s="37">
        <v>0.7742</v>
      </c>
      <c r="AA1916" s="37">
        <v>0.5</v>
      </c>
      <c r="AB1916">
        <v>0</v>
      </c>
    </row>
    <row r="1917">
      <c r="A1917" t="s">
        <v>5253</v>
      </c>
      <c r="B1917" t="s">
        <v>5231</v>
      </c>
      <c r="C1917" t="s">
        <v>5231</v>
      </c>
      <c r="D1917" t="s">
        <v>509</v>
      </c>
      <c r="E1917" t="s">
        <v>5254</v>
      </c>
      <c r="F1917" t="s">
        <v>298</v>
      </c>
      <c r="G1917" t="s">
        <v>5233</v>
      </c>
      <c r="H1917" t="s">
        <v>5234</v>
      </c>
      <c r="I1917" t="s">
        <v>5255</v>
      </c>
      <c r="J1917" t="s">
        <v>5236</v>
      </c>
      <c r="K1917" t="s">
        <v>5256</v>
      </c>
      <c r="L1917" t="s">
        <v>5229</v>
      </c>
      <c r="M1917" s="37">
        <v>1.05</v>
      </c>
      <c r="N1917" s="37">
        <v>0.7</v>
      </c>
      <c r="O1917">
        <v>1.05</v>
      </c>
      <c r="P1917" s="37">
        <v>0.735</v>
      </c>
      <c r="Q1917">
        <v>1.11</v>
      </c>
      <c r="R1917">
        <v>3000</v>
      </c>
      <c r="S1917">
        <v>3000</v>
      </c>
      <c r="T1917">
        <v>3000</v>
      </c>
      <c r="U1917" t="s">
        <v>4831</v>
      </c>
      <c r="W1917" s="37">
        <v>-0.0883</v>
      </c>
      <c r="X1917" t="s">
        <v>4832</v>
      </c>
      <c r="Y1917" t="s">
        <v>4833</v>
      </c>
      <c r="Z1917" s="37">
        <v>0.7742</v>
      </c>
      <c r="AA1917" s="37">
        <v>0.5</v>
      </c>
      <c r="AB1917">
        <v>0</v>
      </c>
    </row>
    <row r="1918">
      <c r="A1918" t="s">
        <v>5253</v>
      </c>
      <c r="B1918" t="s">
        <v>5231</v>
      </c>
      <c r="C1918" t="s">
        <v>5231</v>
      </c>
      <c r="D1918" t="s">
        <v>509</v>
      </c>
      <c r="E1918" t="s">
        <v>5254</v>
      </c>
      <c r="F1918" t="s">
        <v>298</v>
      </c>
      <c r="G1918" t="s">
        <v>5233</v>
      </c>
      <c r="H1918" t="s">
        <v>5238</v>
      </c>
      <c r="I1918" t="s">
        <v>5257</v>
      </c>
      <c r="L1918" t="s">
        <v>5229</v>
      </c>
      <c r="M1918" s="37">
        <v>0</v>
      </c>
      <c r="N1918" s="37">
        <v>0.3</v>
      </c>
      <c r="O1918">
        <v>1.24</v>
      </c>
      <c r="P1918" s="37">
        <v>0.735</v>
      </c>
      <c r="Q1918">
        <v>1.11</v>
      </c>
      <c r="R1918">
        <v>3000</v>
      </c>
      <c r="S1918">
        <v>3000</v>
      </c>
      <c r="T1918">
        <v>3000</v>
      </c>
      <c r="U1918" t="s">
        <v>4831</v>
      </c>
      <c r="W1918" s="37">
        <v>-0.0883</v>
      </c>
      <c r="X1918" t="s">
        <v>4832</v>
      </c>
      <c r="Y1918" t="s">
        <v>4833</v>
      </c>
      <c r="Z1918" s="37">
        <v>0.7742</v>
      </c>
      <c r="AA1918" s="37">
        <v>0.5</v>
      </c>
      <c r="AB1918">
        <v>0</v>
      </c>
    </row>
    <row r="1919">
      <c r="A1919" t="s">
        <v>5258</v>
      </c>
      <c r="B1919" t="s">
        <v>5231</v>
      </c>
      <c r="C1919" t="s">
        <v>5231</v>
      </c>
      <c r="D1919" t="s">
        <v>509</v>
      </c>
      <c r="E1919" t="s">
        <v>5259</v>
      </c>
      <c r="F1919" t="s">
        <v>298</v>
      </c>
      <c r="G1919" t="s">
        <v>5233</v>
      </c>
      <c r="H1919" t="s">
        <v>5234</v>
      </c>
      <c r="I1919" t="s">
        <v>5260</v>
      </c>
      <c r="J1919" t="s">
        <v>5236</v>
      </c>
      <c r="K1919" t="s">
        <v>5261</v>
      </c>
      <c r="L1919" t="s">
        <v>5229</v>
      </c>
      <c r="M1919" s="37">
        <v>1.0325</v>
      </c>
      <c r="N1919" s="37">
        <v>0.7</v>
      </c>
      <c r="O1919">
        <v>1.033</v>
      </c>
      <c r="P1919" s="37">
        <v>0.72275</v>
      </c>
      <c r="Q1919">
        <v>1.08</v>
      </c>
      <c r="R1919">
        <v>3600</v>
      </c>
      <c r="S1919">
        <v>3600</v>
      </c>
      <c r="T1919">
        <v>4000</v>
      </c>
      <c r="U1919" t="s">
        <v>4831</v>
      </c>
      <c r="W1919" s="37">
        <v>-0.0883</v>
      </c>
      <c r="X1919" t="s">
        <v>4832</v>
      </c>
      <c r="Y1919" t="s">
        <v>4833</v>
      </c>
      <c r="Z1919" s="37">
        <v>0.7742</v>
      </c>
      <c r="AA1919" s="37">
        <v>0.5</v>
      </c>
      <c r="AB1919">
        <v>0</v>
      </c>
    </row>
    <row r="1920">
      <c r="A1920" t="s">
        <v>5258</v>
      </c>
      <c r="B1920" t="s">
        <v>5231</v>
      </c>
      <c r="C1920" t="s">
        <v>5231</v>
      </c>
      <c r="D1920" t="s">
        <v>509</v>
      </c>
      <c r="E1920" t="s">
        <v>5259</v>
      </c>
      <c r="F1920" t="s">
        <v>298</v>
      </c>
      <c r="G1920" t="s">
        <v>5233</v>
      </c>
      <c r="H1920" t="s">
        <v>5238</v>
      </c>
      <c r="I1920" t="s">
        <v>5262</v>
      </c>
      <c r="M1920" s="37">
        <v>0</v>
      </c>
      <c r="N1920" s="37">
        <v>0.3</v>
      </c>
      <c r="O1920">
        <v>1.2</v>
      </c>
      <c r="P1920" s="37">
        <v>0.72275</v>
      </c>
      <c r="Q1920">
        <v>1.08</v>
      </c>
      <c r="R1920">
        <v>3600</v>
      </c>
      <c r="S1920">
        <v>3600</v>
      </c>
      <c r="T1920">
        <v>4000</v>
      </c>
      <c r="U1920" t="s">
        <v>4831</v>
      </c>
      <c r="W1920" s="37">
        <v>-0.0883</v>
      </c>
      <c r="X1920" t="s">
        <v>4832</v>
      </c>
      <c r="Y1920" t="s">
        <v>4833</v>
      </c>
      <c r="Z1920" s="37">
        <v>0.7742</v>
      </c>
      <c r="AA1920" s="37">
        <v>0.5</v>
      </c>
      <c r="AB1920">
        <v>0</v>
      </c>
    </row>
    <row r="1921">
      <c r="A1921" t="s">
        <v>5263</v>
      </c>
      <c r="B1921" t="s">
        <v>5231</v>
      </c>
      <c r="C1921" t="s">
        <v>5231</v>
      </c>
      <c r="D1921" t="s">
        <v>509</v>
      </c>
      <c r="E1921" t="s">
        <v>5264</v>
      </c>
      <c r="F1921" t="s">
        <v>298</v>
      </c>
      <c r="G1921" t="s">
        <v>5233</v>
      </c>
      <c r="H1921" t="s">
        <v>5234</v>
      </c>
      <c r="J1921" t="s">
        <v>5236</v>
      </c>
      <c r="K1921" t="s">
        <v>5265</v>
      </c>
      <c r="M1921" s="37">
        <v>0.995</v>
      </c>
      <c r="N1921" s="37">
        <v>0.7</v>
      </c>
      <c r="O1921">
        <v>0.995</v>
      </c>
      <c r="P1921" s="37">
        <v>0.6965</v>
      </c>
      <c r="Q1921">
        <v>1.15</v>
      </c>
      <c r="R1921">
        <v>4800</v>
      </c>
      <c r="S1921">
        <v>4800</v>
      </c>
      <c r="T1921">
        <v>4000</v>
      </c>
      <c r="U1921" t="s">
        <v>4831</v>
      </c>
      <c r="W1921" s="37">
        <v>-0.0883</v>
      </c>
      <c r="X1921" t="s">
        <v>4832</v>
      </c>
      <c r="Y1921" t="s">
        <v>4833</v>
      </c>
      <c r="Z1921" s="37">
        <v>0.7742</v>
      </c>
      <c r="AA1921" s="37">
        <v>0.5</v>
      </c>
      <c r="AB1921">
        <v>0</v>
      </c>
    </row>
    <row r="1922">
      <c r="A1922" t="s">
        <v>5263</v>
      </c>
      <c r="B1922" t="s">
        <v>5231</v>
      </c>
      <c r="C1922" t="s">
        <v>5231</v>
      </c>
      <c r="D1922" t="s">
        <v>509</v>
      </c>
      <c r="E1922" t="s">
        <v>5264</v>
      </c>
      <c r="F1922" t="s">
        <v>298</v>
      </c>
      <c r="G1922" t="s">
        <v>5233</v>
      </c>
      <c r="H1922" t="s">
        <v>5238</v>
      </c>
      <c r="I1922" t="s">
        <v>5266</v>
      </c>
      <c r="M1922" s="37">
        <v>0</v>
      </c>
      <c r="N1922" s="37">
        <v>0.3</v>
      </c>
      <c r="O1922">
        <v>1.5</v>
      </c>
      <c r="P1922" s="37">
        <v>0.6965</v>
      </c>
      <c r="Q1922">
        <v>1.15</v>
      </c>
      <c r="R1922">
        <v>4800</v>
      </c>
      <c r="S1922">
        <v>4800</v>
      </c>
      <c r="T1922">
        <v>4000</v>
      </c>
      <c r="U1922" t="s">
        <v>4831</v>
      </c>
      <c r="W1922" s="37">
        <v>-0.0883</v>
      </c>
      <c r="X1922" t="s">
        <v>4832</v>
      </c>
      <c r="Y1922" t="s">
        <v>4833</v>
      </c>
      <c r="Z1922" s="37">
        <v>0.7742</v>
      </c>
      <c r="AA1922" s="37">
        <v>0.5</v>
      </c>
      <c r="AB1922">
        <v>0</v>
      </c>
    </row>
    <row r="1923">
      <c r="A1923" t="s">
        <v>5267</v>
      </c>
      <c r="B1923" t="s">
        <v>5231</v>
      </c>
      <c r="C1923" t="s">
        <v>5231</v>
      </c>
      <c r="D1923" t="s">
        <v>509</v>
      </c>
      <c r="E1923" t="s">
        <v>5268</v>
      </c>
      <c r="F1923" t="s">
        <v>298</v>
      </c>
      <c r="G1923" t="s">
        <v>5233</v>
      </c>
      <c r="H1923" t="s">
        <v>5234</v>
      </c>
      <c r="I1923" t="s">
        <v>5269</v>
      </c>
      <c r="J1923" t="s">
        <v>5236</v>
      </c>
      <c r="K1923" t="s">
        <v>5270</v>
      </c>
      <c r="M1923" s="37">
        <v>0.7</v>
      </c>
      <c r="N1923" s="37">
        <v>0.7</v>
      </c>
      <c r="O1923">
        <v>0.56</v>
      </c>
      <c r="P1923" s="37">
        <v>0.49</v>
      </c>
      <c r="Q1923">
        <v>0.75</v>
      </c>
      <c r="R1923">
        <v>1600</v>
      </c>
      <c r="S1923">
        <v>1600</v>
      </c>
      <c r="T1923">
        <v>4000</v>
      </c>
      <c r="U1923" t="s">
        <v>4831</v>
      </c>
      <c r="W1923" s="37">
        <v>-0.0883</v>
      </c>
      <c r="X1923" t="s">
        <v>4832</v>
      </c>
      <c r="Y1923" t="s">
        <v>4833</v>
      </c>
      <c r="Z1923" s="37">
        <v>0.7742</v>
      </c>
      <c r="AA1923" s="37">
        <v>0.5</v>
      </c>
      <c r="AB1923">
        <v>0</v>
      </c>
    </row>
    <row r="1924">
      <c r="A1924" t="s">
        <v>5267</v>
      </c>
      <c r="B1924" t="s">
        <v>5231</v>
      </c>
      <c r="C1924" t="s">
        <v>5231</v>
      </c>
      <c r="D1924" t="s">
        <v>509</v>
      </c>
      <c r="E1924" t="s">
        <v>5268</v>
      </c>
      <c r="F1924" t="s">
        <v>298</v>
      </c>
      <c r="G1924" t="s">
        <v>5233</v>
      </c>
      <c r="H1924" t="s">
        <v>5238</v>
      </c>
      <c r="I1924" t="s">
        <v>5244</v>
      </c>
      <c r="M1924" s="37">
        <v>0</v>
      </c>
      <c r="N1924" s="37">
        <v>0.3</v>
      </c>
      <c r="O1924">
        <v>1.2</v>
      </c>
      <c r="P1924" s="37">
        <v>0.49</v>
      </c>
      <c r="Q1924">
        <v>0.75</v>
      </c>
      <c r="R1924">
        <v>1600</v>
      </c>
      <c r="S1924">
        <v>1600</v>
      </c>
      <c r="T1924">
        <v>4000</v>
      </c>
      <c r="U1924" t="s">
        <v>4831</v>
      </c>
      <c r="W1924" s="37">
        <v>-0.0883</v>
      </c>
      <c r="X1924" t="s">
        <v>4832</v>
      </c>
      <c r="Y1924" t="s">
        <v>4833</v>
      </c>
      <c r="Z1924" s="37">
        <v>0.7742</v>
      </c>
      <c r="AA1924" s="37">
        <v>0.5</v>
      </c>
      <c r="AB1924">
        <v>0</v>
      </c>
    </row>
    <row r="1925">
      <c r="A1925" t="s">
        <v>5271</v>
      </c>
      <c r="B1925" t="s">
        <v>5231</v>
      </c>
      <c r="C1925" t="s">
        <v>5231</v>
      </c>
      <c r="D1925" t="s">
        <v>509</v>
      </c>
      <c r="E1925" t="s">
        <v>5272</v>
      </c>
      <c r="F1925" t="s">
        <v>298</v>
      </c>
      <c r="G1925" t="s">
        <v>5233</v>
      </c>
      <c r="H1925" t="s">
        <v>5234</v>
      </c>
      <c r="J1925" t="s">
        <v>5236</v>
      </c>
      <c r="K1925" t="s">
        <v>5273</v>
      </c>
      <c r="M1925" s="37">
        <v>1.15</v>
      </c>
      <c r="N1925" s="37">
        <v>0.7</v>
      </c>
      <c r="O1925">
        <v>1.15</v>
      </c>
      <c r="P1925" s="37">
        <v>0.805</v>
      </c>
      <c r="Q1925">
        <v>1.15</v>
      </c>
      <c r="R1925">
        <v>5600</v>
      </c>
      <c r="S1925">
        <v>5600</v>
      </c>
      <c r="T1925">
        <v>4000</v>
      </c>
      <c r="U1925" t="s">
        <v>4831</v>
      </c>
      <c r="W1925" s="37">
        <v>-0.0883</v>
      </c>
      <c r="X1925" t="s">
        <v>4832</v>
      </c>
      <c r="Y1925" t="s">
        <v>4833</v>
      </c>
      <c r="Z1925" s="37">
        <v>0.7742</v>
      </c>
      <c r="AA1925" s="37">
        <v>0.5</v>
      </c>
      <c r="AB1925">
        <v>0</v>
      </c>
    </row>
    <row r="1926">
      <c r="A1926" t="s">
        <v>5271</v>
      </c>
      <c r="B1926" t="s">
        <v>5231</v>
      </c>
      <c r="C1926" t="s">
        <v>5231</v>
      </c>
      <c r="D1926" t="s">
        <v>509</v>
      </c>
      <c r="E1926" t="s">
        <v>5272</v>
      </c>
      <c r="F1926" t="s">
        <v>298</v>
      </c>
      <c r="G1926" t="s">
        <v>5233</v>
      </c>
      <c r="H1926" t="s">
        <v>5238</v>
      </c>
      <c r="I1926" t="s">
        <v>5274</v>
      </c>
      <c r="M1926" s="37">
        <v>0</v>
      </c>
      <c r="N1926" s="37">
        <v>0.3</v>
      </c>
      <c r="O1926">
        <v>1.14</v>
      </c>
      <c r="P1926" s="37">
        <v>0.805</v>
      </c>
      <c r="Q1926">
        <v>1.15</v>
      </c>
      <c r="R1926">
        <v>5600</v>
      </c>
      <c r="S1926">
        <v>5600</v>
      </c>
      <c r="T1926">
        <v>4000</v>
      </c>
      <c r="U1926" t="s">
        <v>4831</v>
      </c>
      <c r="W1926" s="37">
        <v>-0.0883</v>
      </c>
      <c r="X1926" t="s">
        <v>4832</v>
      </c>
      <c r="Y1926" t="s">
        <v>4833</v>
      </c>
      <c r="Z1926" s="37">
        <v>0.7742</v>
      </c>
      <c r="AA1926" s="37">
        <v>0.5</v>
      </c>
      <c r="AB1926">
        <v>0</v>
      </c>
    </row>
    <row r="1927">
      <c r="A1927" t="s">
        <v>5275</v>
      </c>
      <c r="B1927" t="s">
        <v>5231</v>
      </c>
      <c r="C1927" t="s">
        <v>5231</v>
      </c>
      <c r="D1927" t="s">
        <v>5276</v>
      </c>
      <c r="E1927" t="s">
        <v>5277</v>
      </c>
      <c r="F1927" t="s">
        <v>298</v>
      </c>
      <c r="G1927" t="s">
        <v>5278</v>
      </c>
      <c r="H1927" t="s">
        <v>5279</v>
      </c>
      <c r="I1927" t="s">
        <v>5280</v>
      </c>
      <c r="J1927" t="s">
        <v>5281</v>
      </c>
      <c r="K1927" t="s">
        <v>5282</v>
      </c>
      <c r="M1927" s="37">
        <v>1.24</v>
      </c>
      <c r="N1927" s="37">
        <v>1</v>
      </c>
      <c r="O1927">
        <v>1.5</v>
      </c>
      <c r="P1927" s="37">
        <v>1.24</v>
      </c>
      <c r="Q1927">
        <v>1.5</v>
      </c>
      <c r="R1927">
        <v>2000</v>
      </c>
      <c r="S1927">
        <v>2000</v>
      </c>
      <c r="T1927">
        <v>2000</v>
      </c>
      <c r="U1927" t="s">
        <v>4831</v>
      </c>
      <c r="W1927" s="37">
        <v>-0.0883</v>
      </c>
      <c r="X1927" t="s">
        <v>4832</v>
      </c>
      <c r="Y1927" t="s">
        <v>4833</v>
      </c>
      <c r="Z1927" s="37">
        <v>0.7742</v>
      </c>
      <c r="AA1927" s="37">
        <v>0.5</v>
      </c>
      <c r="AB1927">
        <v>0</v>
      </c>
    </row>
    <row r="1928">
      <c r="A1928" t="s">
        <v>5283</v>
      </c>
      <c r="B1928" t="s">
        <v>5231</v>
      </c>
      <c r="C1928" t="s">
        <v>5231</v>
      </c>
      <c r="D1928" t="s">
        <v>5284</v>
      </c>
      <c r="E1928" t="s">
        <v>5285</v>
      </c>
      <c r="F1928" t="s">
        <v>298</v>
      </c>
      <c r="G1928" t="s">
        <v>5286</v>
      </c>
      <c r="H1928" t="s">
        <v>5287</v>
      </c>
      <c r="I1928" t="s">
        <v>5288</v>
      </c>
      <c r="J1928" t="s">
        <v>5289</v>
      </c>
      <c r="K1928" t="s">
        <v>5290</v>
      </c>
      <c r="M1928" s="37">
        <v>0.9049</v>
      </c>
      <c r="N1928" s="37">
        <v>0.7</v>
      </c>
      <c r="O1928">
        <v>0.905</v>
      </c>
      <c r="P1928" s="37">
        <v>0.93343</v>
      </c>
      <c r="Q1928">
        <v>0.98</v>
      </c>
      <c r="R1928">
        <v>983</v>
      </c>
      <c r="S1928">
        <v>983</v>
      </c>
      <c r="T1928">
        <v>1000</v>
      </c>
      <c r="U1928" t="s">
        <v>4831</v>
      </c>
      <c r="W1928" s="37">
        <v>-0.0883</v>
      </c>
      <c r="X1928" t="s">
        <v>4832</v>
      </c>
      <c r="Y1928" t="s">
        <v>4833</v>
      </c>
      <c r="Z1928" s="37">
        <v>0.7742</v>
      </c>
      <c r="AA1928" s="37">
        <v>0.5</v>
      </c>
      <c r="AB1928">
        <v>0</v>
      </c>
    </row>
    <row r="1929">
      <c r="A1929" t="s">
        <v>5283</v>
      </c>
      <c r="B1929" t="s">
        <v>5231</v>
      </c>
      <c r="C1929" t="s">
        <v>5231</v>
      </c>
      <c r="D1929" t="s">
        <v>5284</v>
      </c>
      <c r="E1929" t="s">
        <v>5285</v>
      </c>
      <c r="F1929" t="s">
        <v>298</v>
      </c>
      <c r="G1929" t="s">
        <v>5286</v>
      </c>
      <c r="H1929" t="s">
        <v>5291</v>
      </c>
      <c r="I1929" t="s">
        <v>5292</v>
      </c>
      <c r="J1929" t="s">
        <v>5293</v>
      </c>
      <c r="K1929" t="s">
        <v>5293</v>
      </c>
      <c r="M1929" s="37">
        <v>1</v>
      </c>
      <c r="N1929" s="37">
        <v>0.2</v>
      </c>
      <c r="O1929">
        <v>1</v>
      </c>
      <c r="P1929" s="37">
        <v>0.93343</v>
      </c>
      <c r="Q1929">
        <v>0.98</v>
      </c>
      <c r="R1929">
        <v>983</v>
      </c>
      <c r="S1929">
        <v>983</v>
      </c>
      <c r="T1929">
        <v>1000</v>
      </c>
      <c r="U1929" t="s">
        <v>4831</v>
      </c>
      <c r="W1929" s="37">
        <v>-0.0883</v>
      </c>
      <c r="X1929" t="s">
        <v>4832</v>
      </c>
      <c r="Y1929" t="s">
        <v>4833</v>
      </c>
      <c r="Z1929" s="37">
        <v>0.7742</v>
      </c>
      <c r="AA1929" s="37">
        <v>0.5</v>
      </c>
      <c r="AB1929">
        <v>0</v>
      </c>
    </row>
    <row r="1930">
      <c r="A1930" t="s">
        <v>5283</v>
      </c>
      <c r="B1930" t="s">
        <v>5231</v>
      </c>
      <c r="C1930" t="s">
        <v>5231</v>
      </c>
      <c r="D1930" t="s">
        <v>5284</v>
      </c>
      <c r="E1930" t="s">
        <v>5285</v>
      </c>
      <c r="F1930" t="s">
        <v>298</v>
      </c>
      <c r="G1930" t="s">
        <v>5286</v>
      </c>
      <c r="H1930" t="s">
        <v>5294</v>
      </c>
      <c r="I1930" t="s">
        <v>5295</v>
      </c>
      <c r="K1930">
        <v>5</v>
      </c>
      <c r="M1930" s="37">
        <v>1</v>
      </c>
      <c r="N1930" s="37">
        <v>0.1</v>
      </c>
      <c r="O1930">
        <v>1.5</v>
      </c>
      <c r="P1930" s="37">
        <v>0.93343</v>
      </c>
      <c r="Q1930">
        <v>0.98</v>
      </c>
      <c r="R1930">
        <v>983</v>
      </c>
      <c r="S1930">
        <v>983</v>
      </c>
      <c r="T1930">
        <v>1000</v>
      </c>
      <c r="U1930" t="s">
        <v>4831</v>
      </c>
      <c r="W1930" s="37">
        <v>-0.0883</v>
      </c>
      <c r="X1930" t="s">
        <v>4832</v>
      </c>
      <c r="Y1930" t="s">
        <v>4833</v>
      </c>
      <c r="Z1930" s="37">
        <v>0.7742</v>
      </c>
      <c r="AA1930" s="37">
        <v>0.5</v>
      </c>
      <c r="AB1930">
        <v>0</v>
      </c>
    </row>
    <row r="1931">
      <c r="A1931" t="s">
        <v>5296</v>
      </c>
      <c r="B1931" t="s">
        <v>5231</v>
      </c>
      <c r="C1931" t="s">
        <v>5231</v>
      </c>
      <c r="D1931" t="s">
        <v>5284</v>
      </c>
      <c r="E1931" t="s">
        <v>5297</v>
      </c>
      <c r="F1931" t="s">
        <v>298</v>
      </c>
      <c r="G1931" t="s">
        <v>5286</v>
      </c>
      <c r="H1931" t="s">
        <v>5287</v>
      </c>
      <c r="I1931" t="s">
        <v>5298</v>
      </c>
      <c r="J1931" t="s">
        <v>5289</v>
      </c>
      <c r="K1931" t="s">
        <v>5299</v>
      </c>
      <c r="M1931" s="37">
        <v>0.7125</v>
      </c>
      <c r="N1931" s="37">
        <v>0.7</v>
      </c>
      <c r="O1931">
        <v>0.57</v>
      </c>
      <c r="P1931" s="37">
        <v>0.80827</v>
      </c>
      <c r="Q1931">
        <v>0.82</v>
      </c>
      <c r="R1931">
        <v>821</v>
      </c>
      <c r="S1931">
        <v>821</v>
      </c>
      <c r="T1931">
        <v>1000</v>
      </c>
      <c r="U1931" t="s">
        <v>4831</v>
      </c>
      <c r="W1931" s="37">
        <v>-0.0883</v>
      </c>
      <c r="X1931" t="s">
        <v>4832</v>
      </c>
      <c r="Y1931" t="s">
        <v>4833</v>
      </c>
      <c r="Z1931" s="37">
        <v>0.7742</v>
      </c>
      <c r="AA1931" s="37">
        <v>0.5</v>
      </c>
      <c r="AB1931">
        <v>0</v>
      </c>
    </row>
    <row r="1932">
      <c r="A1932" t="s">
        <v>5296</v>
      </c>
      <c r="B1932" t="s">
        <v>5231</v>
      </c>
      <c r="C1932" t="s">
        <v>5231</v>
      </c>
      <c r="D1932" t="s">
        <v>5284</v>
      </c>
      <c r="E1932" t="s">
        <v>5297</v>
      </c>
      <c r="F1932" t="s">
        <v>298</v>
      </c>
      <c r="G1932" t="s">
        <v>5286</v>
      </c>
      <c r="H1932" t="s">
        <v>5291</v>
      </c>
      <c r="I1932" t="s">
        <v>5300</v>
      </c>
      <c r="J1932" t="s">
        <v>5301</v>
      </c>
      <c r="K1932" t="s">
        <v>5302</v>
      </c>
      <c r="M1932" s="37">
        <v>1.0476</v>
      </c>
      <c r="N1932" s="37">
        <v>0.2</v>
      </c>
      <c r="O1932">
        <v>1.362</v>
      </c>
      <c r="P1932" s="37">
        <v>0.80827</v>
      </c>
      <c r="Q1932">
        <v>0.82</v>
      </c>
      <c r="R1932">
        <v>821</v>
      </c>
      <c r="S1932">
        <v>821</v>
      </c>
      <c r="T1932">
        <v>1000</v>
      </c>
      <c r="U1932" t="s">
        <v>4831</v>
      </c>
      <c r="W1932" s="37">
        <v>-0.0883</v>
      </c>
      <c r="X1932" t="s">
        <v>4832</v>
      </c>
      <c r="Y1932" t="s">
        <v>4833</v>
      </c>
      <c r="Z1932" s="37">
        <v>0.7742</v>
      </c>
      <c r="AA1932" s="37">
        <v>0.5</v>
      </c>
      <c r="AB1932">
        <v>0</v>
      </c>
    </row>
    <row r="1933">
      <c r="A1933" t="s">
        <v>5296</v>
      </c>
      <c r="B1933" t="s">
        <v>5231</v>
      </c>
      <c r="C1933" t="s">
        <v>5231</v>
      </c>
      <c r="D1933" t="s">
        <v>5284</v>
      </c>
      <c r="E1933" t="s">
        <v>5297</v>
      </c>
      <c r="F1933" t="s">
        <v>298</v>
      </c>
      <c r="G1933" t="s">
        <v>5286</v>
      </c>
      <c r="H1933" t="s">
        <v>5294</v>
      </c>
      <c r="I1933" t="s">
        <v>5303</v>
      </c>
      <c r="K1933" t="s">
        <v>5304</v>
      </c>
      <c r="M1933" s="37">
        <v>1</v>
      </c>
      <c r="N1933" s="37">
        <v>0.1</v>
      </c>
      <c r="O1933">
        <v>1.5</v>
      </c>
      <c r="P1933" s="37">
        <v>0.80827</v>
      </c>
      <c r="Q1933">
        <v>0.82</v>
      </c>
      <c r="R1933">
        <v>821</v>
      </c>
      <c r="S1933">
        <v>821</v>
      </c>
      <c r="T1933">
        <v>1000</v>
      </c>
      <c r="U1933" t="s">
        <v>4831</v>
      </c>
      <c r="W1933" s="37">
        <v>-0.0883</v>
      </c>
      <c r="X1933" t="s">
        <v>4832</v>
      </c>
      <c r="Y1933" t="s">
        <v>4833</v>
      </c>
      <c r="Z1933" s="37">
        <v>0.7742</v>
      </c>
      <c r="AA1933" s="37">
        <v>0.5</v>
      </c>
      <c r="AB1933">
        <v>0</v>
      </c>
    </row>
    <row r="1934">
      <c r="A1934" t="s">
        <v>5305</v>
      </c>
      <c r="B1934" t="s">
        <v>5231</v>
      </c>
      <c r="C1934" t="s">
        <v>5231</v>
      </c>
      <c r="D1934" t="s">
        <v>5284</v>
      </c>
      <c r="E1934" t="s">
        <v>5306</v>
      </c>
      <c r="F1934" t="s">
        <v>298</v>
      </c>
      <c r="G1934" t="s">
        <v>5286</v>
      </c>
      <c r="H1934" t="s">
        <v>5287</v>
      </c>
      <c r="I1934" t="s">
        <v>5307</v>
      </c>
      <c r="J1934" t="s">
        <v>5289</v>
      </c>
      <c r="K1934" t="s">
        <v>5308</v>
      </c>
      <c r="M1934" s="37">
        <v>0.9306</v>
      </c>
      <c r="N1934" s="37">
        <v>0.9</v>
      </c>
      <c r="O1934">
        <v>0.931</v>
      </c>
      <c r="P1934" s="37">
        <v>0.93094</v>
      </c>
      <c r="Q1934">
        <v>0.99</v>
      </c>
      <c r="R1934">
        <v>988</v>
      </c>
      <c r="S1934">
        <v>988</v>
      </c>
      <c r="T1934">
        <v>1000</v>
      </c>
      <c r="U1934" t="s">
        <v>4831</v>
      </c>
      <c r="W1934" s="37">
        <v>-0.0883</v>
      </c>
      <c r="X1934" t="s">
        <v>4832</v>
      </c>
      <c r="Y1934" t="s">
        <v>4833</v>
      </c>
      <c r="Z1934" s="37">
        <v>0.7742</v>
      </c>
      <c r="AA1934" s="37">
        <v>0.5</v>
      </c>
      <c r="AB1934">
        <v>0</v>
      </c>
    </row>
    <row r="1935">
      <c r="A1935" t="s">
        <v>5305</v>
      </c>
      <c r="B1935" t="s">
        <v>5231</v>
      </c>
      <c r="C1935" t="s">
        <v>5231</v>
      </c>
      <c r="D1935" t="s">
        <v>5284</v>
      </c>
      <c r="E1935" t="s">
        <v>5306</v>
      </c>
      <c r="F1935" t="s">
        <v>298</v>
      </c>
      <c r="G1935" t="s">
        <v>5286</v>
      </c>
      <c r="H1935" t="s">
        <v>5294</v>
      </c>
      <c r="I1935" t="s">
        <v>5309</v>
      </c>
      <c r="K1935">
        <v>4.67</v>
      </c>
      <c r="M1935" s="37">
        <v>0.934</v>
      </c>
      <c r="N1935" s="37">
        <v>0.1</v>
      </c>
      <c r="O1935">
        <v>1.5</v>
      </c>
      <c r="P1935" s="37">
        <v>0.93094</v>
      </c>
      <c r="Q1935">
        <v>0.99</v>
      </c>
      <c r="R1935">
        <v>988</v>
      </c>
      <c r="S1935">
        <v>988</v>
      </c>
      <c r="T1935">
        <v>1000</v>
      </c>
      <c r="U1935" t="s">
        <v>4831</v>
      </c>
      <c r="W1935" s="37">
        <v>-0.0883</v>
      </c>
      <c r="X1935" t="s">
        <v>4832</v>
      </c>
      <c r="Y1935" t="s">
        <v>4833</v>
      </c>
      <c r="Z1935" s="37">
        <v>0.7742</v>
      </c>
      <c r="AA1935" s="37">
        <v>0.5</v>
      </c>
      <c r="AB1935">
        <v>0</v>
      </c>
    </row>
    <row r="1936">
      <c r="A1936" t="s">
        <v>5310</v>
      </c>
      <c r="B1936" t="s">
        <v>3113</v>
      </c>
      <c r="C1936" t="s">
        <v>3113</v>
      </c>
      <c r="D1936" t="s">
        <v>359</v>
      </c>
      <c r="E1936" t="s">
        <v>5311</v>
      </c>
      <c r="F1936" t="s">
        <v>298</v>
      </c>
      <c r="G1936" t="s">
        <v>5312</v>
      </c>
      <c r="H1936" t="s">
        <v>5313</v>
      </c>
      <c r="I1936" t="s">
        <v>5314</v>
      </c>
      <c r="J1936" t="s">
        <v>5315</v>
      </c>
      <c r="K1936" t="s">
        <v>5316</v>
      </c>
      <c r="M1936" s="37">
        <v>1.06</v>
      </c>
      <c r="N1936" s="37">
        <v>0.4</v>
      </c>
      <c r="O1936">
        <v>1.06</v>
      </c>
      <c r="P1936" s="37">
        <v>0.924</v>
      </c>
      <c r="Q1936">
        <v>0.92</v>
      </c>
      <c r="R1936">
        <v>5000</v>
      </c>
      <c r="S1936">
        <v>5000</v>
      </c>
      <c r="T1936">
        <v>5000</v>
      </c>
      <c r="U1936" t="s">
        <v>4831</v>
      </c>
      <c r="W1936" s="37">
        <v>-0.0883</v>
      </c>
      <c r="X1936" t="s">
        <v>4832</v>
      </c>
      <c r="Y1936" t="s">
        <v>4833</v>
      </c>
      <c r="Z1936" s="37">
        <v>0.7742</v>
      </c>
      <c r="AA1936" s="37">
        <v>0.5</v>
      </c>
      <c r="AB1936">
        <v>0</v>
      </c>
    </row>
    <row r="1937">
      <c r="A1937" t="s">
        <v>5310</v>
      </c>
      <c r="B1937" t="s">
        <v>3113</v>
      </c>
      <c r="C1937" t="s">
        <v>3113</v>
      </c>
      <c r="D1937" t="s">
        <v>359</v>
      </c>
      <c r="E1937" t="s">
        <v>5311</v>
      </c>
      <c r="F1937" t="s">
        <v>298</v>
      </c>
      <c r="G1937" t="s">
        <v>5312</v>
      </c>
      <c r="H1937" t="s">
        <v>4588</v>
      </c>
      <c r="I1937" t="s">
        <v>5317</v>
      </c>
      <c r="M1937" s="37">
        <v>1</v>
      </c>
      <c r="N1937" s="37">
        <v>0.1</v>
      </c>
      <c r="O1937">
        <v>1</v>
      </c>
      <c r="P1937" s="37">
        <v>0.924</v>
      </c>
      <c r="Q1937">
        <v>0.92</v>
      </c>
      <c r="R1937">
        <v>5000</v>
      </c>
      <c r="S1937">
        <v>5000</v>
      </c>
      <c r="T1937">
        <v>5000</v>
      </c>
      <c r="U1937" t="s">
        <v>4831</v>
      </c>
      <c r="W1937" s="37">
        <v>-0.0883</v>
      </c>
      <c r="X1937" t="s">
        <v>4832</v>
      </c>
      <c r="Y1937" t="s">
        <v>4833</v>
      </c>
      <c r="Z1937" s="37">
        <v>0.7742</v>
      </c>
      <c r="AA1937" s="37">
        <v>0.5</v>
      </c>
      <c r="AB1937">
        <v>0</v>
      </c>
    </row>
    <row r="1938">
      <c r="A1938" t="s">
        <v>5310</v>
      </c>
      <c r="B1938" t="s">
        <v>3113</v>
      </c>
      <c r="C1938" t="s">
        <v>3113</v>
      </c>
      <c r="D1938" t="s">
        <v>359</v>
      </c>
      <c r="E1938" t="s">
        <v>5311</v>
      </c>
      <c r="F1938" t="s">
        <v>298</v>
      </c>
      <c r="G1938" t="s">
        <v>5312</v>
      </c>
      <c r="H1938" t="s">
        <v>4578</v>
      </c>
      <c r="I1938" t="s">
        <v>5318</v>
      </c>
      <c r="J1938" t="s">
        <v>706</v>
      </c>
      <c r="K1938" t="s">
        <v>817</v>
      </c>
      <c r="M1938" s="37">
        <v>0</v>
      </c>
      <c r="N1938" s="37">
        <v>0.1</v>
      </c>
      <c r="O1938">
        <v>0</v>
      </c>
      <c r="P1938" s="37">
        <v>0.924</v>
      </c>
      <c r="Q1938">
        <v>0.92</v>
      </c>
      <c r="R1938">
        <v>5000</v>
      </c>
      <c r="S1938">
        <v>5000</v>
      </c>
      <c r="T1938">
        <v>5000</v>
      </c>
      <c r="U1938" t="s">
        <v>5318</v>
      </c>
      <c r="X1938">
        <v>0</v>
      </c>
      <c r="Y1938" t="s">
        <v>4833</v>
      </c>
      <c r="Z1938" s="37">
        <v>0</v>
      </c>
      <c r="AA1938" s="37">
        <v>0.1</v>
      </c>
      <c r="AB1938">
        <v>0</v>
      </c>
    </row>
    <row r="1939">
      <c r="A1939" t="s">
        <v>5310</v>
      </c>
      <c r="B1939" t="s">
        <v>3113</v>
      </c>
      <c r="C1939" t="s">
        <v>3113</v>
      </c>
      <c r="D1939" t="s">
        <v>359</v>
      </c>
      <c r="E1939" t="s">
        <v>5311</v>
      </c>
      <c r="F1939" t="s">
        <v>298</v>
      </c>
      <c r="G1939" t="s">
        <v>5312</v>
      </c>
      <c r="H1939" t="s">
        <v>4588</v>
      </c>
      <c r="I1939" t="s">
        <v>5319</v>
      </c>
      <c r="M1939" s="37">
        <v>1</v>
      </c>
      <c r="N1939" s="37">
        <v>0.4</v>
      </c>
      <c r="O1939">
        <v>1</v>
      </c>
      <c r="P1939" s="37">
        <v>0.924</v>
      </c>
      <c r="Q1939">
        <v>0.92</v>
      </c>
      <c r="R1939">
        <v>5000</v>
      </c>
      <c r="S1939">
        <v>5000</v>
      </c>
      <c r="T1939">
        <v>5000</v>
      </c>
      <c r="U1939" t="s">
        <v>5318</v>
      </c>
      <c r="X1939">
        <v>0</v>
      </c>
      <c r="Y1939" t="s">
        <v>4833</v>
      </c>
      <c r="Z1939" s="37">
        <v>0</v>
      </c>
      <c r="AA1939" s="37">
        <v>0.1</v>
      </c>
      <c r="AB1939">
        <v>0</v>
      </c>
    </row>
    <row r="1940">
      <c r="A1940" t="s">
        <v>5320</v>
      </c>
      <c r="B1940" t="s">
        <v>3113</v>
      </c>
      <c r="C1940" t="s">
        <v>3113</v>
      </c>
      <c r="D1940" t="s">
        <v>359</v>
      </c>
      <c r="E1940" t="s">
        <v>5321</v>
      </c>
      <c r="F1940" t="s">
        <v>298</v>
      </c>
      <c r="G1940" t="s">
        <v>5312</v>
      </c>
      <c r="H1940" t="s">
        <v>4578</v>
      </c>
      <c r="I1940" t="s">
        <v>5322</v>
      </c>
      <c r="J1940" t="s">
        <v>5323</v>
      </c>
      <c r="K1940" t="s">
        <v>5324</v>
      </c>
      <c r="M1940" s="37">
        <v>1.2</v>
      </c>
      <c r="N1940" s="37">
        <v>0.35</v>
      </c>
      <c r="O1940">
        <v>1.2</v>
      </c>
      <c r="P1940" s="37">
        <v>0.76</v>
      </c>
      <c r="Q1940">
        <v>0.8</v>
      </c>
      <c r="R1940">
        <v>0</v>
      </c>
      <c r="S1940">
        <v>0</v>
      </c>
      <c r="T1940">
        <v>5000</v>
      </c>
      <c r="U1940" t="s">
        <v>5325</v>
      </c>
      <c r="W1940" t="s">
        <v>5323</v>
      </c>
      <c r="X1940" t="s">
        <v>5324</v>
      </c>
      <c r="Y1940" t="s">
        <v>4833</v>
      </c>
      <c r="Z1940" s="37">
        <v>0.012</v>
      </c>
      <c r="AA1940" s="37">
        <v>1</v>
      </c>
      <c r="AB1940">
        <v>0</v>
      </c>
    </row>
    <row r="1941">
      <c r="A1941" t="s">
        <v>5320</v>
      </c>
      <c r="B1941" t="s">
        <v>3113</v>
      </c>
      <c r="C1941" t="s">
        <v>3113</v>
      </c>
      <c r="D1941" t="s">
        <v>359</v>
      </c>
      <c r="E1941" t="s">
        <v>5321</v>
      </c>
      <c r="F1941" t="s">
        <v>298</v>
      </c>
      <c r="G1941" t="s">
        <v>5312</v>
      </c>
      <c r="H1941" t="s">
        <v>5326</v>
      </c>
      <c r="I1941" t="s">
        <v>5327</v>
      </c>
      <c r="J1941" t="s">
        <v>4566</v>
      </c>
      <c r="K1941" t="s">
        <v>5328</v>
      </c>
      <c r="M1941" s="37">
        <v>0.64</v>
      </c>
      <c r="N1941" s="37">
        <v>0.25</v>
      </c>
      <c r="O1941">
        <v>0.64</v>
      </c>
      <c r="P1941" s="37">
        <v>0.76</v>
      </c>
      <c r="Q1941">
        <v>0.8</v>
      </c>
      <c r="R1941">
        <v>0</v>
      </c>
      <c r="S1941">
        <v>0</v>
      </c>
      <c r="T1941">
        <v>5000</v>
      </c>
      <c r="U1941" t="s">
        <v>5325</v>
      </c>
      <c r="W1941" t="s">
        <v>5323</v>
      </c>
      <c r="X1941" t="s">
        <v>5324</v>
      </c>
      <c r="Y1941" t="s">
        <v>4833</v>
      </c>
      <c r="Z1941" s="37">
        <v>0.012</v>
      </c>
      <c r="AA1941" s="37">
        <v>1</v>
      </c>
      <c r="AB1941">
        <v>0</v>
      </c>
    </row>
    <row r="1942">
      <c r="A1942" t="s">
        <v>5320</v>
      </c>
      <c r="B1942" t="s">
        <v>3113</v>
      </c>
      <c r="C1942" t="s">
        <v>3113</v>
      </c>
      <c r="D1942" t="s">
        <v>359</v>
      </c>
      <c r="E1942" t="s">
        <v>5321</v>
      </c>
      <c r="F1942" t="s">
        <v>298</v>
      </c>
      <c r="G1942" t="s">
        <v>5312</v>
      </c>
      <c r="H1942" t="s">
        <v>5329</v>
      </c>
      <c r="I1942" t="s">
        <v>5330</v>
      </c>
      <c r="J1942" t="s">
        <v>5331</v>
      </c>
      <c r="K1942" t="s">
        <v>3154</v>
      </c>
      <c r="M1942" s="37">
        <v>0.5</v>
      </c>
      <c r="N1942" s="37">
        <v>0.3</v>
      </c>
      <c r="O1942">
        <v>0.5</v>
      </c>
      <c r="P1942" s="37">
        <v>0.76</v>
      </c>
      <c r="Q1942">
        <v>0.8</v>
      </c>
      <c r="R1942">
        <v>0</v>
      </c>
      <c r="S1942">
        <v>0</v>
      </c>
      <c r="T1942">
        <v>5000</v>
      </c>
      <c r="U1942" t="s">
        <v>5325</v>
      </c>
      <c r="W1942" t="s">
        <v>5323</v>
      </c>
      <c r="X1942" t="s">
        <v>5324</v>
      </c>
      <c r="Y1942" t="s">
        <v>4833</v>
      </c>
      <c r="Z1942" s="37">
        <v>0.012</v>
      </c>
      <c r="AA1942" s="37">
        <v>1</v>
      </c>
      <c r="AB1942">
        <v>0</v>
      </c>
    </row>
    <row r="1943">
      <c r="A1943" t="s">
        <v>5320</v>
      </c>
      <c r="B1943" t="s">
        <v>3113</v>
      </c>
      <c r="C1943" t="s">
        <v>3113</v>
      </c>
      <c r="D1943" t="s">
        <v>359</v>
      </c>
      <c r="E1943" t="s">
        <v>5321</v>
      </c>
      <c r="F1943" t="s">
        <v>298</v>
      </c>
      <c r="G1943" t="s">
        <v>5312</v>
      </c>
      <c r="H1943" t="s">
        <v>4588</v>
      </c>
      <c r="I1943" t="s">
        <v>5332</v>
      </c>
      <c r="M1943" s="37">
        <v>0.3</v>
      </c>
      <c r="N1943" s="37">
        <v>0.1</v>
      </c>
      <c r="O1943">
        <v>0.3</v>
      </c>
      <c r="P1943" s="37">
        <v>0.76</v>
      </c>
      <c r="Q1943">
        <v>0.8</v>
      </c>
      <c r="R1943">
        <v>0</v>
      </c>
      <c r="S1943">
        <v>0</v>
      </c>
      <c r="T1943">
        <v>5000</v>
      </c>
      <c r="U1943" t="s">
        <v>5325</v>
      </c>
      <c r="W1943" t="s">
        <v>5323</v>
      </c>
      <c r="X1943" t="s">
        <v>5324</v>
      </c>
      <c r="Y1943" t="s">
        <v>4833</v>
      </c>
      <c r="Z1943" s="37">
        <v>0.012</v>
      </c>
      <c r="AA1943" s="37">
        <v>1</v>
      </c>
      <c r="AB1943">
        <v>0</v>
      </c>
    </row>
    <row r="1944">
      <c r="A1944" t="s">
        <v>5333</v>
      </c>
      <c r="B1944" t="s">
        <v>3113</v>
      </c>
      <c r="C1944" t="s">
        <v>3113</v>
      </c>
      <c r="D1944" t="s">
        <v>359</v>
      </c>
      <c r="E1944" t="s">
        <v>5334</v>
      </c>
      <c r="F1944" t="s">
        <v>298</v>
      </c>
      <c r="G1944" t="s">
        <v>5312</v>
      </c>
      <c r="H1944" t="s">
        <v>5329</v>
      </c>
      <c r="I1944" t="s">
        <v>5335</v>
      </c>
      <c r="J1944" t="s">
        <v>5331</v>
      </c>
      <c r="K1944" t="s">
        <v>571</v>
      </c>
      <c r="M1944" s="37">
        <v>0.266</v>
      </c>
      <c r="N1944" s="37">
        <v>0.1</v>
      </c>
      <c r="O1944">
        <v>0.1862</v>
      </c>
      <c r="P1944" s="37">
        <v>0.6556</v>
      </c>
      <c r="Q1944">
        <v>0.66</v>
      </c>
      <c r="R1944">
        <v>0</v>
      </c>
      <c r="S1944">
        <v>0</v>
      </c>
      <c r="T1944">
        <v>5000</v>
      </c>
      <c r="U1944" t="s">
        <v>5325</v>
      </c>
      <c r="W1944" t="s">
        <v>5323</v>
      </c>
      <c r="X1944" t="s">
        <v>5324</v>
      </c>
      <c r="Y1944" t="s">
        <v>4833</v>
      </c>
      <c r="Z1944" s="37">
        <v>0.012</v>
      </c>
      <c r="AA1944" s="37">
        <v>1</v>
      </c>
      <c r="AB1944">
        <v>0</v>
      </c>
    </row>
    <row r="1945">
      <c r="A1945" t="s">
        <v>5333</v>
      </c>
      <c r="B1945" t="s">
        <v>3113</v>
      </c>
      <c r="C1945" t="s">
        <v>3113</v>
      </c>
      <c r="D1945" t="s">
        <v>359</v>
      </c>
      <c r="E1945" t="s">
        <v>5334</v>
      </c>
      <c r="F1945" t="s">
        <v>298</v>
      </c>
      <c r="G1945" t="s">
        <v>5312</v>
      </c>
      <c r="H1945" t="s">
        <v>5329</v>
      </c>
      <c r="I1945" t="s">
        <v>5336</v>
      </c>
      <c r="J1945" t="s">
        <v>1035</v>
      </c>
      <c r="K1945" t="s">
        <v>709</v>
      </c>
      <c r="M1945" s="37">
        <v>0.2</v>
      </c>
      <c r="N1945" s="37">
        <v>0.2</v>
      </c>
      <c r="O1945">
        <v>0.14</v>
      </c>
      <c r="P1945" s="37">
        <v>0.6556</v>
      </c>
      <c r="Q1945">
        <v>0.66</v>
      </c>
      <c r="R1945">
        <v>0</v>
      </c>
      <c r="S1945">
        <v>0</v>
      </c>
      <c r="T1945">
        <v>5000</v>
      </c>
      <c r="U1945" t="s">
        <v>5325</v>
      </c>
      <c r="W1945" t="s">
        <v>5323</v>
      </c>
      <c r="X1945" t="s">
        <v>5324</v>
      </c>
      <c r="Y1945" t="s">
        <v>4833</v>
      </c>
      <c r="Z1945" s="37">
        <v>0.012</v>
      </c>
      <c r="AA1945" s="37">
        <v>1</v>
      </c>
      <c r="AB1945">
        <v>0</v>
      </c>
    </row>
    <row r="1946">
      <c r="A1946" t="s">
        <v>5333</v>
      </c>
      <c r="B1946" t="s">
        <v>3113</v>
      </c>
      <c r="C1946" t="s">
        <v>3113</v>
      </c>
      <c r="D1946" t="s">
        <v>359</v>
      </c>
      <c r="E1946" t="s">
        <v>5334</v>
      </c>
      <c r="F1946" t="s">
        <v>298</v>
      </c>
      <c r="G1946" t="s">
        <v>5312</v>
      </c>
      <c r="H1946" t="s">
        <v>5326</v>
      </c>
      <c r="I1946" t="s">
        <v>5337</v>
      </c>
      <c r="J1946" t="s">
        <v>1595</v>
      </c>
      <c r="K1946" t="s">
        <v>4385</v>
      </c>
      <c r="M1946" s="37">
        <v>0.83</v>
      </c>
      <c r="N1946" s="37">
        <v>0.3</v>
      </c>
      <c r="O1946">
        <v>0.996</v>
      </c>
      <c r="P1946" s="37">
        <v>0.6556</v>
      </c>
      <c r="Q1946">
        <v>0.66</v>
      </c>
      <c r="R1946">
        <v>0</v>
      </c>
      <c r="S1946">
        <v>0</v>
      </c>
      <c r="T1946">
        <v>5000</v>
      </c>
      <c r="U1946" t="s">
        <v>5325</v>
      </c>
      <c r="W1946" t="s">
        <v>5323</v>
      </c>
      <c r="X1946" t="s">
        <v>5324</v>
      </c>
      <c r="Y1946" t="s">
        <v>4833</v>
      </c>
      <c r="Z1946" s="37">
        <v>0.012</v>
      </c>
      <c r="AA1946" s="37">
        <v>1</v>
      </c>
      <c r="AB1946">
        <v>0</v>
      </c>
    </row>
    <row r="1947">
      <c r="A1947" t="s">
        <v>5333</v>
      </c>
      <c r="B1947" t="s">
        <v>3113</v>
      </c>
      <c r="C1947" t="s">
        <v>3113</v>
      </c>
      <c r="D1947" t="s">
        <v>359</v>
      </c>
      <c r="E1947" t="s">
        <v>5334</v>
      </c>
      <c r="F1947" t="s">
        <v>298</v>
      </c>
      <c r="G1947" t="s">
        <v>5312</v>
      </c>
      <c r="H1947" t="s">
        <v>4588</v>
      </c>
      <c r="I1947" t="s">
        <v>5338</v>
      </c>
      <c r="M1947" s="37">
        <v>0.85</v>
      </c>
      <c r="N1947" s="37">
        <v>0.4</v>
      </c>
      <c r="O1947">
        <v>0.85</v>
      </c>
      <c r="P1947" s="37">
        <v>0.6556</v>
      </c>
      <c r="Q1947">
        <v>0.66</v>
      </c>
      <c r="R1947">
        <v>0</v>
      </c>
      <c r="S1947">
        <v>0</v>
      </c>
      <c r="T1947">
        <v>5000</v>
      </c>
      <c r="U1947" t="s">
        <v>5325</v>
      </c>
      <c r="W1947" t="s">
        <v>5323</v>
      </c>
      <c r="X1947" t="s">
        <v>5324</v>
      </c>
      <c r="Y1947" t="s">
        <v>4833</v>
      </c>
      <c r="Z1947" s="37">
        <v>0.012</v>
      </c>
      <c r="AA1947" s="37">
        <v>1</v>
      </c>
      <c r="AB1947">
        <v>0</v>
      </c>
    </row>
    <row r="1948">
      <c r="A1948" t="s">
        <v>5339</v>
      </c>
      <c r="B1948" t="s">
        <v>5340</v>
      </c>
      <c r="C1948" t="s">
        <v>5340</v>
      </c>
      <c r="D1948" t="s">
        <v>5341</v>
      </c>
      <c r="E1948" t="s">
        <v>5342</v>
      </c>
      <c r="F1948" t="s">
        <v>298</v>
      </c>
      <c r="G1948" t="s">
        <v>5343</v>
      </c>
      <c r="H1948" t="s">
        <v>604</v>
      </c>
      <c r="I1948" t="s">
        <v>5344</v>
      </c>
      <c r="J1948">
        <v>1</v>
      </c>
      <c r="L1948" t="s">
        <v>455</v>
      </c>
      <c r="M1948" s="37">
        <v>1</v>
      </c>
      <c r="N1948" s="37">
        <v>0.2</v>
      </c>
      <c r="O1948">
        <v>1</v>
      </c>
      <c r="P1948" s="37">
        <v>1</v>
      </c>
      <c r="Q1948">
        <v>1.1</v>
      </c>
      <c r="R1948">
        <v>2531.25</v>
      </c>
      <c r="S1948">
        <v>2531.25</v>
      </c>
      <c r="T1948">
        <v>2000</v>
      </c>
      <c r="U1948" t="s">
        <v>5325</v>
      </c>
      <c r="W1948" t="s">
        <v>5323</v>
      </c>
      <c r="X1948" t="s">
        <v>5324</v>
      </c>
      <c r="Y1948" t="s">
        <v>4833</v>
      </c>
      <c r="Z1948" s="37">
        <v>0.012</v>
      </c>
      <c r="AA1948" s="37">
        <v>1</v>
      </c>
      <c r="AB1948">
        <v>0</v>
      </c>
    </row>
    <row r="1949">
      <c r="A1949" t="s">
        <v>5339</v>
      </c>
      <c r="B1949" t="s">
        <v>5340</v>
      </c>
      <c r="C1949" t="s">
        <v>5340</v>
      </c>
      <c r="D1949" t="s">
        <v>5341</v>
      </c>
      <c r="E1949" t="s">
        <v>5342</v>
      </c>
      <c r="F1949" t="s">
        <v>298</v>
      </c>
      <c r="G1949" t="s">
        <v>5343</v>
      </c>
      <c r="H1949" t="s">
        <v>604</v>
      </c>
      <c r="I1949" t="s">
        <v>5345</v>
      </c>
      <c r="J1949">
        <v>1</v>
      </c>
      <c r="L1949" t="s">
        <v>455</v>
      </c>
      <c r="M1949" s="37">
        <v>1</v>
      </c>
      <c r="N1949" s="37">
        <v>0.1</v>
      </c>
      <c r="O1949">
        <v>1</v>
      </c>
      <c r="P1949" s="37">
        <v>1</v>
      </c>
      <c r="Q1949">
        <v>1.1</v>
      </c>
      <c r="R1949">
        <v>2531.25</v>
      </c>
      <c r="S1949">
        <v>2531.25</v>
      </c>
      <c r="T1949">
        <v>2000</v>
      </c>
      <c r="U1949" t="s">
        <v>5325</v>
      </c>
      <c r="W1949" t="s">
        <v>5323</v>
      </c>
      <c r="X1949" t="s">
        <v>5324</v>
      </c>
      <c r="Y1949" t="s">
        <v>4833</v>
      </c>
      <c r="Z1949" s="37">
        <v>0.012</v>
      </c>
      <c r="AA1949" s="37">
        <v>1</v>
      </c>
      <c r="AB1949">
        <v>0</v>
      </c>
    </row>
    <row r="1950">
      <c r="A1950" t="s">
        <v>5339</v>
      </c>
      <c r="B1950" t="s">
        <v>5340</v>
      </c>
      <c r="C1950" t="s">
        <v>5340</v>
      </c>
      <c r="D1950" t="s">
        <v>5341</v>
      </c>
      <c r="E1950" t="s">
        <v>5342</v>
      </c>
      <c r="F1950" t="s">
        <v>298</v>
      </c>
      <c r="G1950" t="s">
        <v>5343</v>
      </c>
      <c r="H1950" t="s">
        <v>604</v>
      </c>
      <c r="I1950" t="s">
        <v>5346</v>
      </c>
      <c r="J1950">
        <v>1</v>
      </c>
      <c r="L1950" t="s">
        <v>455</v>
      </c>
      <c r="M1950" s="37">
        <v>1</v>
      </c>
      <c r="N1950" s="37">
        <v>0.3</v>
      </c>
      <c r="O1950">
        <v>1</v>
      </c>
      <c r="P1950" s="37">
        <v>1</v>
      </c>
      <c r="Q1950">
        <v>1.1</v>
      </c>
      <c r="R1950">
        <v>2531.25</v>
      </c>
      <c r="S1950">
        <v>2531.25</v>
      </c>
      <c r="T1950">
        <v>2000</v>
      </c>
      <c r="U1950" t="s">
        <v>5325</v>
      </c>
      <c r="W1950" t="s">
        <v>5323</v>
      </c>
      <c r="X1950" t="s">
        <v>5324</v>
      </c>
      <c r="Y1950" t="s">
        <v>4833</v>
      </c>
      <c r="Z1950" s="37">
        <v>0.012</v>
      </c>
      <c r="AA1950" s="37">
        <v>1</v>
      </c>
      <c r="AB1950">
        <v>0</v>
      </c>
    </row>
    <row r="1951">
      <c r="A1951" t="s">
        <v>5339</v>
      </c>
      <c r="B1951" t="s">
        <v>5340</v>
      </c>
      <c r="C1951" t="s">
        <v>5340</v>
      </c>
      <c r="D1951" t="s">
        <v>5341</v>
      </c>
      <c r="E1951" t="s">
        <v>5342</v>
      </c>
      <c r="F1951" t="s">
        <v>298</v>
      </c>
      <c r="G1951" t="s">
        <v>5343</v>
      </c>
      <c r="H1951" t="s">
        <v>604</v>
      </c>
      <c r="I1951" t="s">
        <v>5347</v>
      </c>
      <c r="J1951">
        <v>1</v>
      </c>
      <c r="L1951" t="s">
        <v>455</v>
      </c>
      <c r="M1951" s="37">
        <v>1</v>
      </c>
      <c r="N1951" s="37">
        <v>0.1</v>
      </c>
      <c r="O1951">
        <v>1</v>
      </c>
      <c r="P1951" s="37">
        <v>1</v>
      </c>
      <c r="Q1951">
        <v>1.1</v>
      </c>
      <c r="R1951">
        <v>2531.25</v>
      </c>
      <c r="S1951">
        <v>2531.25</v>
      </c>
      <c r="T1951">
        <v>2000</v>
      </c>
      <c r="U1951" t="s">
        <v>5325</v>
      </c>
      <c r="W1951" t="s">
        <v>5323</v>
      </c>
      <c r="X1951" t="s">
        <v>5324</v>
      </c>
      <c r="Y1951" t="s">
        <v>4833</v>
      </c>
      <c r="Z1951" s="37">
        <v>0.012</v>
      </c>
      <c r="AA1951" s="37">
        <v>1</v>
      </c>
      <c r="AB1951">
        <v>0</v>
      </c>
    </row>
    <row r="1952">
      <c r="A1952" t="s">
        <v>5339</v>
      </c>
      <c r="B1952" t="s">
        <v>5340</v>
      </c>
      <c r="C1952" t="s">
        <v>5340</v>
      </c>
      <c r="D1952" t="s">
        <v>5341</v>
      </c>
      <c r="E1952" t="s">
        <v>5342</v>
      </c>
      <c r="F1952" t="s">
        <v>298</v>
      </c>
      <c r="G1952" t="s">
        <v>5343</v>
      </c>
      <c r="H1952" t="s">
        <v>604</v>
      </c>
      <c r="I1952" t="s">
        <v>5348</v>
      </c>
      <c r="J1952">
        <v>1</v>
      </c>
      <c r="L1952" t="s">
        <v>455</v>
      </c>
      <c r="M1952" s="37">
        <v>1</v>
      </c>
      <c r="N1952" s="37">
        <v>0.1</v>
      </c>
      <c r="O1952">
        <v>1</v>
      </c>
      <c r="P1952" s="37">
        <v>1</v>
      </c>
      <c r="Q1952">
        <v>1.1</v>
      </c>
      <c r="R1952">
        <v>2531.25</v>
      </c>
      <c r="S1952">
        <v>2531.25</v>
      </c>
      <c r="T1952">
        <v>2000</v>
      </c>
      <c r="U1952" t="s">
        <v>5325</v>
      </c>
      <c r="W1952" t="s">
        <v>5323</v>
      </c>
      <c r="X1952" t="s">
        <v>5324</v>
      </c>
      <c r="Y1952" t="s">
        <v>4833</v>
      </c>
      <c r="Z1952" s="37">
        <v>0.012</v>
      </c>
      <c r="AA1952" s="37">
        <v>1</v>
      </c>
      <c r="AB1952">
        <v>0</v>
      </c>
    </row>
    <row r="1953">
      <c r="A1953" t="s">
        <v>5339</v>
      </c>
      <c r="B1953" t="s">
        <v>5340</v>
      </c>
      <c r="C1953" t="s">
        <v>5340</v>
      </c>
      <c r="D1953" t="s">
        <v>5341</v>
      </c>
      <c r="E1953" t="s">
        <v>5342</v>
      </c>
      <c r="F1953" t="s">
        <v>298</v>
      </c>
      <c r="G1953" t="s">
        <v>5343</v>
      </c>
      <c r="H1953" t="s">
        <v>604</v>
      </c>
      <c r="I1953" t="s">
        <v>5349</v>
      </c>
      <c r="J1953">
        <v>1</v>
      </c>
      <c r="L1953" t="s">
        <v>455</v>
      </c>
      <c r="M1953" s="37">
        <v>1</v>
      </c>
      <c r="N1953" s="37">
        <v>0.1</v>
      </c>
      <c r="O1953">
        <v>1</v>
      </c>
      <c r="P1953" s="37">
        <v>1</v>
      </c>
      <c r="Q1953">
        <v>1.1</v>
      </c>
      <c r="R1953">
        <v>2531.25</v>
      </c>
      <c r="S1953">
        <v>2531.25</v>
      </c>
      <c r="T1953">
        <v>2000</v>
      </c>
      <c r="U1953" t="s">
        <v>5325</v>
      </c>
      <c r="W1953" t="s">
        <v>5323</v>
      </c>
      <c r="X1953" t="s">
        <v>5324</v>
      </c>
      <c r="Y1953" t="s">
        <v>4833</v>
      </c>
      <c r="Z1953" s="37">
        <v>0.012</v>
      </c>
      <c r="AA1953" s="37">
        <v>1</v>
      </c>
      <c r="AB1953">
        <v>0</v>
      </c>
    </row>
    <row r="1954">
      <c r="A1954" t="s">
        <v>5339</v>
      </c>
      <c r="B1954" t="s">
        <v>5340</v>
      </c>
      <c r="C1954" t="s">
        <v>5340</v>
      </c>
      <c r="D1954" t="s">
        <v>5341</v>
      </c>
      <c r="E1954" t="s">
        <v>5342</v>
      </c>
      <c r="F1954" t="s">
        <v>298</v>
      </c>
      <c r="G1954" t="s">
        <v>5343</v>
      </c>
      <c r="H1954" t="s">
        <v>604</v>
      </c>
      <c r="I1954" t="s">
        <v>5350</v>
      </c>
      <c r="J1954">
        <v>1</v>
      </c>
      <c r="L1954" t="s">
        <v>455</v>
      </c>
      <c r="M1954" s="37">
        <v>1</v>
      </c>
      <c r="N1954" s="37">
        <v>0.1</v>
      </c>
      <c r="O1954">
        <v>1</v>
      </c>
      <c r="P1954" s="37">
        <v>1</v>
      </c>
      <c r="Q1954">
        <v>1.1</v>
      </c>
      <c r="R1954">
        <v>2531.25</v>
      </c>
      <c r="S1954">
        <v>2531.25</v>
      </c>
      <c r="T1954">
        <v>2000</v>
      </c>
      <c r="U1954" t="s">
        <v>5325</v>
      </c>
      <c r="W1954" t="s">
        <v>5323</v>
      </c>
      <c r="X1954" t="s">
        <v>5324</v>
      </c>
      <c r="Y1954" t="s">
        <v>4833</v>
      </c>
      <c r="Z1954" s="37">
        <v>0.012</v>
      </c>
      <c r="AA1954" s="37">
        <v>1</v>
      </c>
      <c r="AB1954">
        <v>0</v>
      </c>
    </row>
    <row r="1955">
      <c r="A1955" t="s">
        <v>5351</v>
      </c>
      <c r="B1955" t="s">
        <v>5340</v>
      </c>
      <c r="C1955" t="s">
        <v>5340</v>
      </c>
      <c r="D1955" t="s">
        <v>3400</v>
      </c>
      <c r="E1955" t="s">
        <v>5352</v>
      </c>
      <c r="F1955" t="s">
        <v>298</v>
      </c>
      <c r="G1955" t="s">
        <v>5343</v>
      </c>
      <c r="H1955" t="s">
        <v>604</v>
      </c>
      <c r="I1955" t="s">
        <v>5353</v>
      </c>
      <c r="J1955">
        <v>1</v>
      </c>
      <c r="L1955" t="s">
        <v>5354</v>
      </c>
      <c r="M1955" s="37">
        <v>0.95</v>
      </c>
      <c r="N1955" s="37">
        <v>0.4</v>
      </c>
      <c r="O1955">
        <v>0.95</v>
      </c>
      <c r="P1955" s="37">
        <v>0.98</v>
      </c>
      <c r="Q1955">
        <v>0.98</v>
      </c>
      <c r="R1955">
        <v>2868.75</v>
      </c>
      <c r="S1955">
        <v>2868.75</v>
      </c>
      <c r="T1955">
        <v>3400</v>
      </c>
      <c r="U1955" t="s">
        <v>5325</v>
      </c>
      <c r="W1955" t="s">
        <v>5323</v>
      </c>
      <c r="X1955" t="s">
        <v>5324</v>
      </c>
      <c r="Y1955" t="s">
        <v>4833</v>
      </c>
      <c r="Z1955" s="37">
        <v>0.012</v>
      </c>
      <c r="AA1955" s="37">
        <v>1</v>
      </c>
      <c r="AB1955">
        <v>0</v>
      </c>
    </row>
    <row r="1956">
      <c r="A1956" t="s">
        <v>5351</v>
      </c>
      <c r="B1956" t="s">
        <v>5340</v>
      </c>
      <c r="C1956" t="s">
        <v>5340</v>
      </c>
      <c r="D1956" t="s">
        <v>3400</v>
      </c>
      <c r="E1956" t="s">
        <v>5352</v>
      </c>
      <c r="F1956" t="s">
        <v>298</v>
      </c>
      <c r="G1956" t="s">
        <v>5343</v>
      </c>
      <c r="H1956" t="s">
        <v>4460</v>
      </c>
      <c r="I1956" t="s">
        <v>5355</v>
      </c>
      <c r="J1956">
        <v>1</v>
      </c>
      <c r="L1956" t="s">
        <v>5356</v>
      </c>
      <c r="M1956" s="37">
        <v>1</v>
      </c>
      <c r="N1956" s="37">
        <v>0.4</v>
      </c>
      <c r="O1956">
        <v>1</v>
      </c>
      <c r="P1956" s="37">
        <v>0.98</v>
      </c>
      <c r="Q1956">
        <v>0.98</v>
      </c>
      <c r="R1956">
        <v>2868.75</v>
      </c>
      <c r="S1956">
        <v>2868.75</v>
      </c>
      <c r="T1956">
        <v>3400</v>
      </c>
      <c r="U1956" t="s">
        <v>5325</v>
      </c>
      <c r="W1956" t="s">
        <v>5323</v>
      </c>
      <c r="X1956" t="s">
        <v>5324</v>
      </c>
      <c r="Y1956" t="s">
        <v>4833</v>
      </c>
      <c r="Z1956" s="37">
        <v>0.012</v>
      </c>
      <c r="AA1956" s="37">
        <v>1</v>
      </c>
      <c r="AB1956">
        <v>0</v>
      </c>
    </row>
    <row r="1957">
      <c r="A1957" t="s">
        <v>5351</v>
      </c>
      <c r="B1957" t="s">
        <v>5340</v>
      </c>
      <c r="C1957" t="s">
        <v>5340</v>
      </c>
      <c r="D1957" t="s">
        <v>3400</v>
      </c>
      <c r="E1957" t="s">
        <v>5352</v>
      </c>
      <c r="F1957" t="s">
        <v>298</v>
      </c>
      <c r="G1957" t="s">
        <v>5343</v>
      </c>
      <c r="H1957" t="s">
        <v>4475</v>
      </c>
      <c r="I1957" t="s">
        <v>5357</v>
      </c>
      <c r="J1957" s="38">
        <v>0.01</v>
      </c>
      <c r="K1957" s="38">
        <v>1</v>
      </c>
      <c r="L1957" t="s">
        <v>5358</v>
      </c>
      <c r="M1957" s="37">
        <v>1</v>
      </c>
      <c r="N1957" s="37">
        <v>0.2</v>
      </c>
      <c r="O1957">
        <v>1</v>
      </c>
      <c r="P1957" s="37">
        <v>0.98</v>
      </c>
      <c r="Q1957">
        <v>0.98</v>
      </c>
      <c r="R1957">
        <v>2868.75</v>
      </c>
      <c r="S1957">
        <v>2868.75</v>
      </c>
      <c r="T1957">
        <v>3400</v>
      </c>
      <c r="U1957" t="s">
        <v>5325</v>
      </c>
      <c r="W1957" t="s">
        <v>5323</v>
      </c>
      <c r="X1957" t="s">
        <v>5324</v>
      </c>
      <c r="Y1957" t="s">
        <v>4833</v>
      </c>
      <c r="Z1957" s="37">
        <v>0.012</v>
      </c>
      <c r="AA1957" s="37">
        <v>1</v>
      </c>
      <c r="AB1957">
        <v>0</v>
      </c>
    </row>
    <row r="1958">
      <c r="A1958" t="s">
        <v>5359</v>
      </c>
      <c r="B1958" t="s">
        <v>5340</v>
      </c>
      <c r="C1958" t="s">
        <v>5340</v>
      </c>
      <c r="D1958" t="s">
        <v>3400</v>
      </c>
      <c r="E1958" t="s">
        <v>5360</v>
      </c>
      <c r="F1958" t="s">
        <v>298</v>
      </c>
      <c r="G1958" t="s">
        <v>5343</v>
      </c>
      <c r="H1958" t="s">
        <v>604</v>
      </c>
      <c r="I1958" t="s">
        <v>5361</v>
      </c>
      <c r="J1958">
        <v>1</v>
      </c>
      <c r="L1958" t="s">
        <v>5362</v>
      </c>
      <c r="M1958" s="37">
        <v>1</v>
      </c>
      <c r="N1958" s="37">
        <v>0.3</v>
      </c>
      <c r="O1958">
        <v>1</v>
      </c>
      <c r="P1958" s="37">
        <v>0.95</v>
      </c>
      <c r="Q1958">
        <v>0.95</v>
      </c>
      <c r="R1958">
        <v>0</v>
      </c>
      <c r="S1958">
        <v>0</v>
      </c>
      <c r="T1958">
        <v>3400</v>
      </c>
      <c r="U1958" t="s">
        <v>5325</v>
      </c>
      <c r="W1958" t="s">
        <v>5323</v>
      </c>
      <c r="X1958" t="s">
        <v>5324</v>
      </c>
      <c r="Y1958" t="s">
        <v>4833</v>
      </c>
      <c r="Z1958" s="37">
        <v>0.012</v>
      </c>
      <c r="AA1958" s="37">
        <v>1</v>
      </c>
      <c r="AB1958">
        <v>0</v>
      </c>
    </row>
    <row r="1959">
      <c r="A1959" t="s">
        <v>5359</v>
      </c>
      <c r="B1959" t="s">
        <v>5340</v>
      </c>
      <c r="C1959" t="s">
        <v>5340</v>
      </c>
      <c r="D1959" t="s">
        <v>3400</v>
      </c>
      <c r="E1959" t="s">
        <v>5360</v>
      </c>
      <c r="F1959" t="s">
        <v>298</v>
      </c>
      <c r="G1959" t="s">
        <v>5343</v>
      </c>
      <c r="H1959" t="s">
        <v>604</v>
      </c>
      <c r="I1959" t="s">
        <v>5363</v>
      </c>
      <c r="J1959">
        <v>1</v>
      </c>
      <c r="L1959" t="s">
        <v>5364</v>
      </c>
      <c r="M1959" s="37">
        <v>1</v>
      </c>
      <c r="N1959" s="37">
        <v>0.2</v>
      </c>
      <c r="O1959">
        <v>1</v>
      </c>
      <c r="P1959" s="37">
        <v>0.95</v>
      </c>
      <c r="Q1959">
        <v>0.95</v>
      </c>
      <c r="R1959">
        <v>0</v>
      </c>
      <c r="S1959">
        <v>0</v>
      </c>
      <c r="T1959">
        <v>3400</v>
      </c>
      <c r="U1959" t="s">
        <v>5325</v>
      </c>
      <c r="W1959" t="s">
        <v>5323</v>
      </c>
      <c r="X1959" t="s">
        <v>5324</v>
      </c>
      <c r="Y1959" t="s">
        <v>4833</v>
      </c>
      <c r="Z1959" s="37">
        <v>0.012</v>
      </c>
      <c r="AA1959" s="37">
        <v>1</v>
      </c>
      <c r="AB1959">
        <v>0</v>
      </c>
    </row>
    <row r="1960">
      <c r="A1960" t="s">
        <v>5359</v>
      </c>
      <c r="B1960" t="s">
        <v>5340</v>
      </c>
      <c r="C1960" t="s">
        <v>5340</v>
      </c>
      <c r="D1960" t="s">
        <v>3400</v>
      </c>
      <c r="E1960" t="s">
        <v>5360</v>
      </c>
      <c r="F1960" t="s">
        <v>298</v>
      </c>
      <c r="G1960" t="s">
        <v>5343</v>
      </c>
      <c r="H1960" t="s">
        <v>4460</v>
      </c>
      <c r="I1960" t="s">
        <v>5365</v>
      </c>
      <c r="J1960">
        <v>1</v>
      </c>
      <c r="L1960" t="s">
        <v>5366</v>
      </c>
      <c r="M1960" s="37">
        <v>0.9</v>
      </c>
      <c r="N1960" s="37">
        <v>0.5</v>
      </c>
      <c r="O1960">
        <v>0.9</v>
      </c>
      <c r="P1960" s="37">
        <v>0.95</v>
      </c>
      <c r="Q1960">
        <v>0.95</v>
      </c>
      <c r="R1960">
        <v>0</v>
      </c>
      <c r="S1960">
        <v>0</v>
      </c>
      <c r="T1960">
        <v>3400</v>
      </c>
      <c r="U1960" t="s">
        <v>5325</v>
      </c>
      <c r="W1960" t="s">
        <v>5323</v>
      </c>
      <c r="X1960" t="s">
        <v>5324</v>
      </c>
      <c r="Y1960" t="s">
        <v>4833</v>
      </c>
      <c r="Z1960" s="37">
        <v>0.012</v>
      </c>
      <c r="AA1960" s="37">
        <v>1</v>
      </c>
      <c r="AB1960">
        <v>0</v>
      </c>
    </row>
    <row r="1961">
      <c r="A1961" t="s">
        <v>5367</v>
      </c>
      <c r="B1961" t="s">
        <v>5340</v>
      </c>
      <c r="C1961" t="s">
        <v>5340</v>
      </c>
      <c r="D1961" t="s">
        <v>598</v>
      </c>
      <c r="E1961" t="s">
        <v>3998</v>
      </c>
      <c r="F1961" t="s">
        <v>298</v>
      </c>
      <c r="G1961" t="s">
        <v>5343</v>
      </c>
      <c r="H1961" t="s">
        <v>4475</v>
      </c>
      <c r="I1961" t="s">
        <v>5368</v>
      </c>
      <c r="J1961">
        <v>1</v>
      </c>
      <c r="K1961">
        <v>1</v>
      </c>
      <c r="L1961" t="s">
        <v>5366</v>
      </c>
      <c r="M1961" s="37">
        <v>1</v>
      </c>
      <c r="N1961" s="37">
        <v>0.39</v>
      </c>
      <c r="O1961">
        <v>1</v>
      </c>
      <c r="P1961" s="37">
        <v>1</v>
      </c>
      <c r="Q1961">
        <v>1</v>
      </c>
      <c r="R1961">
        <v>0</v>
      </c>
      <c r="S1961">
        <v>0</v>
      </c>
      <c r="T1961">
        <v>5000</v>
      </c>
      <c r="U1961" t="s">
        <v>5325</v>
      </c>
      <c r="W1961" t="s">
        <v>5323</v>
      </c>
      <c r="X1961" t="s">
        <v>5324</v>
      </c>
      <c r="Y1961" t="s">
        <v>4833</v>
      </c>
      <c r="Z1961" s="37">
        <v>0.012</v>
      </c>
      <c r="AA1961" s="37">
        <v>1</v>
      </c>
      <c r="AB1961">
        <v>0</v>
      </c>
    </row>
    <row r="1962">
      <c r="A1962" t="s">
        <v>5367</v>
      </c>
      <c r="B1962" t="s">
        <v>5340</v>
      </c>
      <c r="C1962" t="s">
        <v>5340</v>
      </c>
      <c r="D1962" t="s">
        <v>598</v>
      </c>
      <c r="E1962" t="s">
        <v>3998</v>
      </c>
      <c r="F1962" t="s">
        <v>298</v>
      </c>
      <c r="G1962" t="s">
        <v>5343</v>
      </c>
      <c r="H1962" t="s">
        <v>4475</v>
      </c>
      <c r="I1962" t="s">
        <v>5369</v>
      </c>
      <c r="J1962">
        <v>1</v>
      </c>
      <c r="K1962">
        <v>1</v>
      </c>
      <c r="L1962" t="s">
        <v>5366</v>
      </c>
      <c r="M1962" s="37">
        <v>1</v>
      </c>
      <c r="N1962" s="37">
        <v>0.32</v>
      </c>
      <c r="O1962">
        <v>1</v>
      </c>
      <c r="P1962" s="37">
        <v>1</v>
      </c>
      <c r="Q1962">
        <v>1</v>
      </c>
      <c r="R1962">
        <v>0</v>
      </c>
      <c r="S1962">
        <v>0</v>
      </c>
      <c r="T1962">
        <v>5000</v>
      </c>
      <c r="U1962" t="s">
        <v>5325</v>
      </c>
      <c r="W1962" t="s">
        <v>5323</v>
      </c>
      <c r="X1962" t="s">
        <v>5324</v>
      </c>
      <c r="Y1962" t="s">
        <v>4833</v>
      </c>
      <c r="Z1962" s="37">
        <v>0.012</v>
      </c>
      <c r="AA1962" s="37">
        <v>1</v>
      </c>
      <c r="AB1962">
        <v>0</v>
      </c>
    </row>
    <row r="1963">
      <c r="A1963" t="s">
        <v>5367</v>
      </c>
      <c r="B1963" t="s">
        <v>5340</v>
      </c>
      <c r="C1963" t="s">
        <v>5340</v>
      </c>
      <c r="D1963" t="s">
        <v>598</v>
      </c>
      <c r="E1963" t="s">
        <v>3998</v>
      </c>
      <c r="F1963" t="s">
        <v>298</v>
      </c>
      <c r="G1963" t="s">
        <v>5343</v>
      </c>
      <c r="H1963" t="s">
        <v>4475</v>
      </c>
      <c r="I1963" t="s">
        <v>5370</v>
      </c>
      <c r="J1963">
        <v>1</v>
      </c>
      <c r="K1963">
        <v>1</v>
      </c>
      <c r="L1963" t="s">
        <v>5366</v>
      </c>
      <c r="M1963" s="37">
        <v>1</v>
      </c>
      <c r="N1963" s="37">
        <v>0.18</v>
      </c>
      <c r="O1963">
        <v>1</v>
      </c>
      <c r="P1963" s="37">
        <v>1</v>
      </c>
      <c r="Q1963">
        <v>1</v>
      </c>
      <c r="R1963">
        <v>0</v>
      </c>
      <c r="S1963">
        <v>0</v>
      </c>
      <c r="T1963">
        <v>5000</v>
      </c>
      <c r="U1963" t="s">
        <v>5325</v>
      </c>
      <c r="W1963" t="s">
        <v>5323</v>
      </c>
      <c r="X1963" t="s">
        <v>5324</v>
      </c>
      <c r="Y1963" t="s">
        <v>4833</v>
      </c>
      <c r="Z1963" s="37">
        <v>0.012</v>
      </c>
      <c r="AA1963" s="37">
        <v>1</v>
      </c>
      <c r="AB1963">
        <v>0</v>
      </c>
    </row>
    <row r="1964">
      <c r="A1964" t="s">
        <v>5367</v>
      </c>
      <c r="B1964" t="s">
        <v>5340</v>
      </c>
      <c r="C1964" t="s">
        <v>5340</v>
      </c>
      <c r="D1964" t="s">
        <v>598</v>
      </c>
      <c r="E1964" t="s">
        <v>3998</v>
      </c>
      <c r="F1964" t="s">
        <v>298</v>
      </c>
      <c r="G1964" t="s">
        <v>5343</v>
      </c>
      <c r="H1964" t="s">
        <v>4475</v>
      </c>
      <c r="I1964" t="s">
        <v>5371</v>
      </c>
      <c r="J1964">
        <v>1</v>
      </c>
      <c r="K1964">
        <v>1</v>
      </c>
      <c r="L1964" t="s">
        <v>5366</v>
      </c>
      <c r="M1964" s="37">
        <v>1</v>
      </c>
      <c r="N1964" s="37">
        <v>0.11</v>
      </c>
      <c r="O1964">
        <v>1</v>
      </c>
      <c r="P1964" s="37">
        <v>1</v>
      </c>
      <c r="Q1964">
        <v>1</v>
      </c>
      <c r="R1964">
        <v>0</v>
      </c>
      <c r="S1964">
        <v>0</v>
      </c>
      <c r="T1964">
        <v>5000</v>
      </c>
      <c r="U1964" t="s">
        <v>5325</v>
      </c>
      <c r="W1964" t="s">
        <v>5323</v>
      </c>
      <c r="X1964" t="s">
        <v>5324</v>
      </c>
      <c r="Y1964" t="s">
        <v>4833</v>
      </c>
      <c r="Z1964" s="37">
        <v>0.012</v>
      </c>
      <c r="AA1964" s="37">
        <v>1</v>
      </c>
      <c r="AB1964">
        <v>0</v>
      </c>
    </row>
    <row r="1965">
      <c r="A1965" t="s">
        <v>5372</v>
      </c>
      <c r="B1965" t="s">
        <v>4518</v>
      </c>
      <c r="C1965" t="s">
        <v>4518</v>
      </c>
      <c r="D1965" t="s">
        <v>999</v>
      </c>
      <c r="E1965" t="s">
        <v>5373</v>
      </c>
      <c r="F1965" t="s">
        <v>298</v>
      </c>
      <c r="G1965" t="s">
        <v>5374</v>
      </c>
      <c r="H1965" t="s">
        <v>5375</v>
      </c>
      <c r="I1965" t="s">
        <v>5376</v>
      </c>
      <c r="J1965" t="s">
        <v>1828</v>
      </c>
      <c r="K1965" t="s">
        <v>5377</v>
      </c>
      <c r="L1965" t="s">
        <v>5366</v>
      </c>
      <c r="M1965" s="37">
        <v>0.364</v>
      </c>
      <c r="N1965" s="37">
        <v>1</v>
      </c>
      <c r="O1965">
        <v>0.364</v>
      </c>
      <c r="P1965" s="37">
        <v>0.364</v>
      </c>
      <c r="Q1965">
        <v>0.36</v>
      </c>
      <c r="R1965">
        <v>1820</v>
      </c>
      <c r="S1965">
        <v>1820</v>
      </c>
      <c r="T1965">
        <v>5000</v>
      </c>
      <c r="U1965" t="s">
        <v>5325</v>
      </c>
      <c r="W1965" t="s">
        <v>5323</v>
      </c>
      <c r="X1965" t="s">
        <v>5324</v>
      </c>
      <c r="Y1965" t="s">
        <v>4833</v>
      </c>
      <c r="Z1965" s="37">
        <v>0.012</v>
      </c>
      <c r="AA1965" s="37">
        <v>1</v>
      </c>
      <c r="AB1965">
        <v>0</v>
      </c>
    </row>
    <row r="1966">
      <c r="A1966" t="s">
        <v>5378</v>
      </c>
      <c r="B1966" t="s">
        <v>4518</v>
      </c>
      <c r="C1966" t="s">
        <v>4518</v>
      </c>
      <c r="D1966" t="s">
        <v>359</v>
      </c>
      <c r="E1966" t="s">
        <v>5379</v>
      </c>
      <c r="F1966" t="s">
        <v>298</v>
      </c>
      <c r="G1966" t="s">
        <v>5374</v>
      </c>
      <c r="H1966" t="s">
        <v>5375</v>
      </c>
      <c r="I1966" t="s">
        <v>5380</v>
      </c>
      <c r="J1966" t="s">
        <v>1016</v>
      </c>
      <c r="K1966" t="s">
        <v>2936</v>
      </c>
      <c r="L1966" t="s">
        <v>5366</v>
      </c>
      <c r="M1966" s="37">
        <v>0.821</v>
      </c>
      <c r="N1966" s="37">
        <v>1</v>
      </c>
      <c r="O1966">
        <v>0.821</v>
      </c>
      <c r="P1966" s="37">
        <v>0.821</v>
      </c>
      <c r="Q1966">
        <v>0.82</v>
      </c>
      <c r="R1966">
        <v>4926</v>
      </c>
      <c r="S1966">
        <v>4926</v>
      </c>
      <c r="T1966">
        <v>6000</v>
      </c>
      <c r="U1966" t="s">
        <v>5325</v>
      </c>
      <c r="W1966" t="s">
        <v>5323</v>
      </c>
      <c r="X1966" t="s">
        <v>5324</v>
      </c>
      <c r="Y1966" t="s">
        <v>4833</v>
      </c>
      <c r="Z1966" s="37">
        <v>0.012</v>
      </c>
      <c r="AA1966" s="37">
        <v>1</v>
      </c>
      <c r="AB1966">
        <v>0</v>
      </c>
    </row>
    <row r="1967">
      <c r="A1967" t="s">
        <v>5381</v>
      </c>
      <c r="B1967" t="s">
        <v>4518</v>
      </c>
      <c r="C1967" t="s">
        <v>4518</v>
      </c>
      <c r="D1967" t="s">
        <v>999</v>
      </c>
      <c r="E1967" t="s">
        <v>5382</v>
      </c>
      <c r="F1967" t="s">
        <v>298</v>
      </c>
      <c r="G1967" t="s">
        <v>5374</v>
      </c>
      <c r="H1967" t="s">
        <v>5383</v>
      </c>
      <c r="I1967" t="s">
        <v>5384</v>
      </c>
      <c r="J1967" t="s">
        <v>5385</v>
      </c>
      <c r="K1967" t="s">
        <v>5386</v>
      </c>
      <c r="L1967" t="s">
        <v>5366</v>
      </c>
      <c r="M1967" s="37">
        <v>0.54</v>
      </c>
      <c r="N1967" s="37">
        <v>0.5</v>
      </c>
      <c r="O1967">
        <v>0.54</v>
      </c>
      <c r="P1967" s="37">
        <v>0.54</v>
      </c>
      <c r="Q1967">
        <v>0.52</v>
      </c>
      <c r="R1967">
        <v>600</v>
      </c>
      <c r="S1967">
        <v>600</v>
      </c>
      <c r="T1967">
        <v>5000</v>
      </c>
      <c r="U1967" t="s">
        <v>5325</v>
      </c>
      <c r="W1967" t="s">
        <v>5323</v>
      </c>
      <c r="X1967" t="s">
        <v>5324</v>
      </c>
      <c r="Y1967" t="s">
        <v>4833</v>
      </c>
      <c r="Z1967" s="37">
        <v>0.012</v>
      </c>
      <c r="AA1967" s="37">
        <v>1</v>
      </c>
      <c r="AB1967">
        <v>0</v>
      </c>
    </row>
    <row r="1968">
      <c r="A1968" t="s">
        <v>5381</v>
      </c>
      <c r="B1968" t="s">
        <v>4518</v>
      </c>
      <c r="C1968" t="s">
        <v>4518</v>
      </c>
      <c r="D1968" t="s">
        <v>999</v>
      </c>
      <c r="E1968" t="s">
        <v>5382</v>
      </c>
      <c r="F1968" t="s">
        <v>298</v>
      </c>
      <c r="G1968" t="s">
        <v>5374</v>
      </c>
      <c r="H1968" t="s">
        <v>5383</v>
      </c>
      <c r="I1968" t="s">
        <v>5387</v>
      </c>
      <c r="J1968" t="s">
        <v>2564</v>
      </c>
      <c r="K1968" t="s">
        <v>5388</v>
      </c>
      <c r="L1968" t="s">
        <v>5366</v>
      </c>
      <c r="M1968" s="37">
        <v>0.54</v>
      </c>
      <c r="N1968" s="37">
        <v>0.5</v>
      </c>
      <c r="O1968">
        <v>0.54</v>
      </c>
      <c r="P1968" s="37">
        <v>0.54</v>
      </c>
      <c r="Q1968">
        <v>0.52</v>
      </c>
      <c r="R1968">
        <v>600</v>
      </c>
      <c r="S1968">
        <v>600</v>
      </c>
      <c r="T1968">
        <v>5000</v>
      </c>
      <c r="U1968" t="s">
        <v>5325</v>
      </c>
      <c r="W1968" t="s">
        <v>5323</v>
      </c>
      <c r="X1968" t="s">
        <v>5324</v>
      </c>
      <c r="Y1968" t="s">
        <v>4833</v>
      </c>
      <c r="Z1968" s="37">
        <v>0.012</v>
      </c>
      <c r="AA1968" s="37">
        <v>1</v>
      </c>
      <c r="AB1968">
        <v>0</v>
      </c>
    </row>
    <row r="1969">
      <c r="A1969" t="s">
        <v>5389</v>
      </c>
      <c r="B1969" t="s">
        <v>4518</v>
      </c>
      <c r="C1969" t="s">
        <v>4518</v>
      </c>
      <c r="D1969" t="s">
        <v>1013</v>
      </c>
      <c r="E1969" t="s">
        <v>5390</v>
      </c>
      <c r="F1969" t="s">
        <v>298</v>
      </c>
      <c r="G1969" t="s">
        <v>4890</v>
      </c>
      <c r="H1969" t="s">
        <v>4899</v>
      </c>
      <c r="I1969" t="s">
        <v>5391</v>
      </c>
      <c r="J1969" t="s">
        <v>3245</v>
      </c>
      <c r="K1969" t="s">
        <v>5392</v>
      </c>
      <c r="L1969" t="s">
        <v>5366</v>
      </c>
      <c r="M1969" s="37">
        <v>1</v>
      </c>
      <c r="N1969" s="37">
        <v>1</v>
      </c>
      <c r="O1969">
        <v>1</v>
      </c>
      <c r="P1969" s="37">
        <v>1</v>
      </c>
      <c r="Q1969">
        <v>1</v>
      </c>
      <c r="R1969">
        <v>444</v>
      </c>
      <c r="S1969">
        <v>444</v>
      </c>
      <c r="T1969">
        <v>1500</v>
      </c>
      <c r="U1969" t="s">
        <v>5325</v>
      </c>
      <c r="W1969" t="s">
        <v>5323</v>
      </c>
      <c r="X1969" t="s">
        <v>5324</v>
      </c>
      <c r="Y1969" t="s">
        <v>4833</v>
      </c>
      <c r="Z1969" s="37">
        <v>0.012</v>
      </c>
      <c r="AA1969" s="37">
        <v>1</v>
      </c>
      <c r="AB1969">
        <v>0</v>
      </c>
    </row>
    <row r="1970">
      <c r="A1970" t="s">
        <v>5393</v>
      </c>
      <c r="B1970" t="s">
        <v>5394</v>
      </c>
      <c r="C1970" t="s">
        <v>5394</v>
      </c>
      <c r="D1970" t="s">
        <v>5395</v>
      </c>
      <c r="E1970" t="s">
        <v>5396</v>
      </c>
      <c r="F1970" t="s">
        <v>298</v>
      </c>
      <c r="G1970" t="s">
        <v>5397</v>
      </c>
      <c r="H1970" t="s">
        <v>5398</v>
      </c>
      <c r="I1970" t="s">
        <v>5391</v>
      </c>
      <c r="J1970">
        <v>0</v>
      </c>
      <c r="K1970">
        <v>0</v>
      </c>
      <c r="L1970" t="s">
        <v>5366</v>
      </c>
      <c r="M1970" s="37">
        <v>0</v>
      </c>
      <c r="N1970" s="37">
        <v>1</v>
      </c>
      <c r="O1970">
        <v>0</v>
      </c>
      <c r="P1970" s="37">
        <v>0</v>
      </c>
      <c r="Q1970">
        <v>0</v>
      </c>
      <c r="R1970">
        <v>0</v>
      </c>
      <c r="S1970">
        <v>0</v>
      </c>
      <c r="T1970">
        <v>3000</v>
      </c>
      <c r="U1970" t="s">
        <v>5325</v>
      </c>
      <c r="W1970" t="s">
        <v>5323</v>
      </c>
      <c r="X1970" t="s">
        <v>5324</v>
      </c>
      <c r="Y1970" t="s">
        <v>4833</v>
      </c>
      <c r="Z1970" s="37">
        <v>0.012</v>
      </c>
      <c r="AA1970" s="37">
        <v>1</v>
      </c>
      <c r="AB1970">
        <v>0</v>
      </c>
    </row>
    <row r="1971">
      <c r="A1971" t="s">
        <v>5399</v>
      </c>
      <c r="B1971" t="s">
        <v>5394</v>
      </c>
      <c r="C1971" t="s">
        <v>5394</v>
      </c>
      <c r="D1971" t="s">
        <v>5400</v>
      </c>
      <c r="E1971" t="s">
        <v>5401</v>
      </c>
      <c r="F1971" t="s">
        <v>298</v>
      </c>
      <c r="G1971" t="s">
        <v>5397</v>
      </c>
      <c r="H1971" t="s">
        <v>5402</v>
      </c>
      <c r="I1971" t="s">
        <v>5391</v>
      </c>
      <c r="J1971">
        <v>85</v>
      </c>
      <c r="K1971">
        <v>72.7</v>
      </c>
      <c r="L1971" t="s">
        <v>5366</v>
      </c>
      <c r="M1971" s="37">
        <v>0.008553</v>
      </c>
      <c r="N1971" s="37">
        <v>0.5</v>
      </c>
      <c r="O1971">
        <v>0.8553</v>
      </c>
      <c r="P1971" s="37">
        <v>0.010527</v>
      </c>
      <c r="Q1971">
        <v>1.05</v>
      </c>
      <c r="R1971">
        <v>3300</v>
      </c>
      <c r="S1971">
        <v>3300</v>
      </c>
      <c r="T1971">
        <v>3300</v>
      </c>
      <c r="U1971" t="s">
        <v>5325</v>
      </c>
      <c r="W1971" t="s">
        <v>5323</v>
      </c>
      <c r="X1971" t="s">
        <v>5324</v>
      </c>
      <c r="Y1971" t="s">
        <v>4833</v>
      </c>
      <c r="Z1971" s="37">
        <v>0.012</v>
      </c>
      <c r="AA1971" s="37">
        <v>1</v>
      </c>
      <c r="AB1971">
        <v>0</v>
      </c>
    </row>
    <row r="1972">
      <c r="A1972" t="s">
        <v>5399</v>
      </c>
      <c r="B1972" t="s">
        <v>5394</v>
      </c>
      <c r="C1972" t="s">
        <v>5394</v>
      </c>
      <c r="D1972" t="s">
        <v>5400</v>
      </c>
      <c r="E1972" t="s">
        <v>5401</v>
      </c>
      <c r="F1972" t="s">
        <v>298</v>
      </c>
      <c r="G1972" t="s">
        <v>5397</v>
      </c>
      <c r="H1972" t="s">
        <v>5398</v>
      </c>
      <c r="I1972" t="s">
        <v>5391</v>
      </c>
      <c r="J1972">
        <v>0</v>
      </c>
      <c r="K1972">
        <v>1.25</v>
      </c>
      <c r="L1972" t="s">
        <v>5366</v>
      </c>
      <c r="M1972" s="37">
        <v>0.0125</v>
      </c>
      <c r="N1972" s="37">
        <v>0.5</v>
      </c>
      <c r="O1972">
        <v>1.25</v>
      </c>
      <c r="P1972" s="37">
        <v>0.010527</v>
      </c>
      <c r="Q1972">
        <v>1.05</v>
      </c>
      <c r="R1972">
        <v>3300</v>
      </c>
      <c r="S1972">
        <v>3300</v>
      </c>
      <c r="T1972">
        <v>3300</v>
      </c>
      <c r="U1972" t="s">
        <v>5325</v>
      </c>
      <c r="W1972" t="s">
        <v>5323</v>
      </c>
      <c r="X1972" t="s">
        <v>5324</v>
      </c>
      <c r="Y1972" t="s">
        <v>4833</v>
      </c>
      <c r="Z1972" s="37">
        <v>0.012</v>
      </c>
      <c r="AA1972" s="37">
        <v>1</v>
      </c>
      <c r="AB1972">
        <v>0</v>
      </c>
    </row>
    <row r="1973">
      <c r="A1973" t="s">
        <v>5403</v>
      </c>
      <c r="B1973" t="s">
        <v>5394</v>
      </c>
      <c r="C1973" t="s">
        <v>5394</v>
      </c>
      <c r="D1973" t="s">
        <v>5404</v>
      </c>
      <c r="E1973" t="s">
        <v>5405</v>
      </c>
      <c r="F1973" t="s">
        <v>298</v>
      </c>
      <c r="G1973" t="s">
        <v>5397</v>
      </c>
      <c r="H1973" t="s">
        <v>5406</v>
      </c>
      <c r="I1973" t="s">
        <v>5391</v>
      </c>
      <c r="J1973">
        <v>700000</v>
      </c>
      <c r="K1973">
        <v>1540066</v>
      </c>
      <c r="L1973" t="s">
        <v>5366</v>
      </c>
      <c r="M1973" s="37">
        <v>0.022</v>
      </c>
      <c r="N1973" s="37">
        <v>0.5</v>
      </c>
      <c r="O1973">
        <v>1.5</v>
      </c>
      <c r="P1973" s="37">
        <v>0.016</v>
      </c>
      <c r="Q1973">
        <v>1.25</v>
      </c>
      <c r="R1973">
        <v>5000</v>
      </c>
      <c r="S1973">
        <v>5000</v>
      </c>
      <c r="T1973">
        <v>5000</v>
      </c>
      <c r="U1973" t="s">
        <v>5325</v>
      </c>
      <c r="W1973" t="s">
        <v>5323</v>
      </c>
      <c r="X1973" t="s">
        <v>5324</v>
      </c>
      <c r="Y1973" t="s">
        <v>4833</v>
      </c>
      <c r="Z1973" s="37">
        <v>0.012</v>
      </c>
      <c r="AA1973" s="37">
        <v>1</v>
      </c>
      <c r="AB1973">
        <v>0</v>
      </c>
    </row>
    <row r="1974">
      <c r="A1974" t="s">
        <v>5403</v>
      </c>
      <c r="B1974" t="s">
        <v>5394</v>
      </c>
      <c r="C1974" t="s">
        <v>5394</v>
      </c>
      <c r="D1974" t="s">
        <v>5404</v>
      </c>
      <c r="E1974" t="s">
        <v>5405</v>
      </c>
      <c r="F1974" t="s">
        <v>298</v>
      </c>
      <c r="G1974" t="s">
        <v>5397</v>
      </c>
      <c r="H1974" t="s">
        <v>5398</v>
      </c>
      <c r="I1974" t="s">
        <v>5391</v>
      </c>
      <c r="J1974">
        <v>0</v>
      </c>
      <c r="K1974">
        <v>1</v>
      </c>
      <c r="L1974" t="s">
        <v>5366</v>
      </c>
      <c r="M1974" s="37">
        <v>0.01</v>
      </c>
      <c r="N1974" s="37">
        <v>0.5</v>
      </c>
      <c r="O1974">
        <v>1</v>
      </c>
      <c r="P1974" s="37">
        <v>0.016</v>
      </c>
      <c r="Q1974">
        <v>1.25</v>
      </c>
      <c r="R1974">
        <v>5000</v>
      </c>
      <c r="S1974">
        <v>5000</v>
      </c>
      <c r="T1974">
        <v>5000</v>
      </c>
      <c r="U1974" t="s">
        <v>5325</v>
      </c>
      <c r="W1974" t="s">
        <v>5323</v>
      </c>
      <c r="X1974" t="s">
        <v>5324</v>
      </c>
      <c r="Y1974" t="s">
        <v>4833</v>
      </c>
      <c r="Z1974" s="37">
        <v>0.012</v>
      </c>
      <c r="AA1974" s="37">
        <v>1</v>
      </c>
      <c r="AB1974">
        <v>0</v>
      </c>
    </row>
    <row r="1975">
      <c r="A1975" t="s">
        <v>5407</v>
      </c>
      <c r="B1975" t="s">
        <v>5394</v>
      </c>
      <c r="C1975" t="s">
        <v>5394</v>
      </c>
      <c r="D1975" t="s">
        <v>5408</v>
      </c>
      <c r="E1975" t="s">
        <v>5409</v>
      </c>
      <c r="F1975" t="s">
        <v>298</v>
      </c>
      <c r="G1975" t="s">
        <v>5397</v>
      </c>
      <c r="H1975" t="s">
        <v>5406</v>
      </c>
      <c r="I1975" t="s">
        <v>5391</v>
      </c>
      <c r="J1975">
        <v>700000</v>
      </c>
      <c r="K1975">
        <v>1540066</v>
      </c>
      <c r="L1975" t="s">
        <v>5366</v>
      </c>
      <c r="M1975" s="37">
        <v>0.022</v>
      </c>
      <c r="N1975" s="37">
        <v>0.5</v>
      </c>
      <c r="O1975">
        <v>1.5</v>
      </c>
      <c r="P1975" s="37">
        <v>0.012875</v>
      </c>
      <c r="Q1975">
        <v>0.94</v>
      </c>
      <c r="R1975">
        <v>2250</v>
      </c>
      <c r="S1975">
        <v>2250</v>
      </c>
      <c r="T1975">
        <v>3000</v>
      </c>
      <c r="U1975" t="s">
        <v>5325</v>
      </c>
      <c r="W1975" t="s">
        <v>5323</v>
      </c>
      <c r="X1975" t="s">
        <v>5324</v>
      </c>
      <c r="Y1975" t="s">
        <v>4833</v>
      </c>
      <c r="Z1975" s="37">
        <v>0.012</v>
      </c>
      <c r="AA1975" s="37">
        <v>1</v>
      </c>
      <c r="AB1975">
        <v>0</v>
      </c>
    </row>
    <row r="1976">
      <c r="A1976" t="s">
        <v>5407</v>
      </c>
      <c r="B1976" t="s">
        <v>5394</v>
      </c>
      <c r="C1976" t="s">
        <v>5394</v>
      </c>
      <c r="D1976" t="s">
        <v>5408</v>
      </c>
      <c r="E1976" t="s">
        <v>5409</v>
      </c>
      <c r="F1976" t="s">
        <v>298</v>
      </c>
      <c r="G1976" t="s">
        <v>5397</v>
      </c>
      <c r="H1976" t="s">
        <v>5398</v>
      </c>
      <c r="I1976" t="s">
        <v>5391</v>
      </c>
      <c r="J1976">
        <v>0</v>
      </c>
      <c r="K1976">
        <v>0.375</v>
      </c>
      <c r="L1976" t="s">
        <v>5366</v>
      </c>
      <c r="M1976" s="37">
        <v>0.00375</v>
      </c>
      <c r="N1976" s="37">
        <v>0.5</v>
      </c>
      <c r="O1976">
        <v>0.375</v>
      </c>
      <c r="P1976" s="37">
        <v>0.012875</v>
      </c>
      <c r="Q1976">
        <v>0.94</v>
      </c>
      <c r="R1976">
        <v>2250</v>
      </c>
      <c r="S1976">
        <v>2250</v>
      </c>
      <c r="T1976">
        <v>3000</v>
      </c>
      <c r="U1976" t="s">
        <v>5325</v>
      </c>
      <c r="W1976" t="s">
        <v>5323</v>
      </c>
      <c r="X1976" t="s">
        <v>5324</v>
      </c>
      <c r="Y1976" t="s">
        <v>4833</v>
      </c>
      <c r="Z1976" s="37">
        <v>0.012</v>
      </c>
      <c r="AA1976" s="37">
        <v>1</v>
      </c>
      <c r="AB1976">
        <v>0</v>
      </c>
    </row>
    <row r="1977">
      <c r="A1977" t="s">
        <v>5410</v>
      </c>
      <c r="B1977" t="s">
        <v>5394</v>
      </c>
      <c r="C1977" t="s">
        <v>5394</v>
      </c>
      <c r="D1977" t="s">
        <v>5411</v>
      </c>
      <c r="E1977" t="s">
        <v>5412</v>
      </c>
      <c r="F1977" t="s">
        <v>298</v>
      </c>
      <c r="G1977" t="s">
        <v>5397</v>
      </c>
      <c r="H1977" t="s">
        <v>5406</v>
      </c>
      <c r="I1977" t="s">
        <v>5391</v>
      </c>
      <c r="J1977">
        <v>700000</v>
      </c>
      <c r="K1977">
        <v>1540066</v>
      </c>
      <c r="L1977" t="s">
        <v>5366</v>
      </c>
      <c r="M1977" s="37">
        <v>0.022</v>
      </c>
      <c r="N1977" s="37">
        <v>0.5</v>
      </c>
      <c r="O1977">
        <v>1.5</v>
      </c>
      <c r="P1977" s="37">
        <v>0.011</v>
      </c>
      <c r="Q1977">
        <v>0.75</v>
      </c>
      <c r="R1977">
        <v>1725</v>
      </c>
      <c r="S1977">
        <v>1725</v>
      </c>
      <c r="T1977">
        <v>3000</v>
      </c>
      <c r="U1977" t="s">
        <v>5325</v>
      </c>
      <c r="W1977" t="s">
        <v>5323</v>
      </c>
      <c r="X1977" t="s">
        <v>5324</v>
      </c>
      <c r="Y1977" t="s">
        <v>4833</v>
      </c>
      <c r="Z1977" s="37">
        <v>0.012</v>
      </c>
      <c r="AA1977" s="37">
        <v>1</v>
      </c>
      <c r="AB1977">
        <v>0</v>
      </c>
    </row>
    <row r="1978">
      <c r="A1978" t="s">
        <v>5410</v>
      </c>
      <c r="B1978" t="s">
        <v>5394</v>
      </c>
      <c r="C1978" t="s">
        <v>5394</v>
      </c>
      <c r="D1978" t="s">
        <v>5411</v>
      </c>
      <c r="E1978" t="s">
        <v>5412</v>
      </c>
      <c r="F1978" t="s">
        <v>298</v>
      </c>
      <c r="G1978" t="s">
        <v>5397</v>
      </c>
      <c r="H1978" t="s">
        <v>5398</v>
      </c>
      <c r="I1978" t="s">
        <v>5391</v>
      </c>
      <c r="J1978">
        <v>0</v>
      </c>
      <c r="K1978">
        <v>0</v>
      </c>
      <c r="L1978" t="s">
        <v>5366</v>
      </c>
      <c r="M1978" s="37">
        <v>0</v>
      </c>
      <c r="N1978" s="37">
        <v>0.5</v>
      </c>
      <c r="O1978">
        <v>0</v>
      </c>
      <c r="P1978" s="37">
        <v>0.011</v>
      </c>
      <c r="Q1978">
        <v>0.75</v>
      </c>
      <c r="R1978">
        <v>1725</v>
      </c>
      <c r="S1978">
        <v>1725</v>
      </c>
      <c r="T1978">
        <v>3000</v>
      </c>
      <c r="U1978" t="s">
        <v>5325</v>
      </c>
      <c r="W1978" t="s">
        <v>5323</v>
      </c>
      <c r="X1978" t="s">
        <v>5324</v>
      </c>
      <c r="Y1978" t="s">
        <v>4833</v>
      </c>
      <c r="Z1978" s="37">
        <v>0.012</v>
      </c>
      <c r="AA1978" s="37">
        <v>1</v>
      </c>
      <c r="AB1978">
        <v>0</v>
      </c>
    </row>
    <row r="1979">
      <c r="A1979" t="s">
        <v>5413</v>
      </c>
      <c r="B1979" t="s">
        <v>5394</v>
      </c>
      <c r="C1979" t="s">
        <v>5394</v>
      </c>
      <c r="D1979" t="s">
        <v>5414</v>
      </c>
      <c r="E1979" t="s">
        <v>5415</v>
      </c>
      <c r="F1979" t="s">
        <v>298</v>
      </c>
      <c r="G1979" t="s">
        <v>5397</v>
      </c>
      <c r="H1979" t="s">
        <v>5406</v>
      </c>
      <c r="I1979" t="s">
        <v>5391</v>
      </c>
      <c r="J1979">
        <v>700000</v>
      </c>
      <c r="K1979">
        <v>1540066</v>
      </c>
      <c r="L1979" t="s">
        <v>5366</v>
      </c>
      <c r="M1979" s="37">
        <v>0.022</v>
      </c>
      <c r="N1979" s="37">
        <v>0.5</v>
      </c>
      <c r="O1979">
        <v>1.5</v>
      </c>
      <c r="P1979" s="37">
        <v>0.012875</v>
      </c>
      <c r="Q1979">
        <v>0.94</v>
      </c>
      <c r="R1979">
        <v>0</v>
      </c>
      <c r="S1979">
        <v>0</v>
      </c>
      <c r="T1979">
        <v>1500</v>
      </c>
      <c r="U1979" t="s">
        <v>5325</v>
      </c>
      <c r="W1979" t="s">
        <v>5323</v>
      </c>
      <c r="X1979" t="s">
        <v>5324</v>
      </c>
      <c r="Y1979" t="s">
        <v>4833</v>
      </c>
      <c r="Z1979" s="37">
        <v>0.012</v>
      </c>
      <c r="AA1979" s="37">
        <v>1</v>
      </c>
      <c r="AB1979">
        <v>0</v>
      </c>
    </row>
    <row r="1980">
      <c r="A1980" t="s">
        <v>5413</v>
      </c>
      <c r="B1980" t="s">
        <v>5394</v>
      </c>
      <c r="C1980" t="s">
        <v>5394</v>
      </c>
      <c r="D1980" t="s">
        <v>5414</v>
      </c>
      <c r="E1980" t="s">
        <v>5415</v>
      </c>
      <c r="F1980" t="s">
        <v>298</v>
      </c>
      <c r="G1980" t="s">
        <v>5397</v>
      </c>
      <c r="H1980" t="s">
        <v>5398</v>
      </c>
      <c r="I1980" t="s">
        <v>5391</v>
      </c>
      <c r="J1980">
        <v>0</v>
      </c>
      <c r="K1980">
        <v>0.375</v>
      </c>
      <c r="L1980" t="s">
        <v>5366</v>
      </c>
      <c r="M1980" s="37">
        <v>0.00375</v>
      </c>
      <c r="N1980" s="37">
        <v>0.5</v>
      </c>
      <c r="O1980">
        <v>0.375</v>
      </c>
      <c r="P1980" s="37">
        <v>0.012875</v>
      </c>
      <c r="Q1980">
        <v>0.94</v>
      </c>
      <c r="R1980">
        <v>0</v>
      </c>
      <c r="S1980">
        <v>0</v>
      </c>
      <c r="T1980">
        <v>1500</v>
      </c>
      <c r="U1980" t="s">
        <v>5325</v>
      </c>
      <c r="W1980" t="s">
        <v>5323</v>
      </c>
      <c r="X1980" t="s">
        <v>5324</v>
      </c>
      <c r="Y1980" t="s">
        <v>4833</v>
      </c>
      <c r="Z1980" s="37">
        <v>0.012</v>
      </c>
      <c r="AA1980" s="37">
        <v>1</v>
      </c>
      <c r="AB1980">
        <v>0</v>
      </c>
    </row>
    <row r="1981">
      <c r="A1981" t="s">
        <v>5416</v>
      </c>
      <c r="B1981" t="s">
        <v>5394</v>
      </c>
      <c r="C1981" t="s">
        <v>5394</v>
      </c>
      <c r="D1981" t="s">
        <v>5417</v>
      </c>
      <c r="E1981" t="s">
        <v>5418</v>
      </c>
      <c r="F1981" t="s">
        <v>298</v>
      </c>
      <c r="G1981" t="s">
        <v>5397</v>
      </c>
      <c r="H1981" t="s">
        <v>5402</v>
      </c>
      <c r="I1981" t="s">
        <v>5391</v>
      </c>
      <c r="J1981">
        <v>85</v>
      </c>
      <c r="K1981">
        <v>72.7</v>
      </c>
      <c r="L1981" t="s">
        <v>5366</v>
      </c>
      <c r="M1981" s="37">
        <v>0.008553</v>
      </c>
      <c r="N1981" s="37">
        <v>0.5</v>
      </c>
      <c r="O1981">
        <v>0.8553</v>
      </c>
      <c r="P1981" s="37">
        <v>0.009902</v>
      </c>
      <c r="Q1981">
        <v>0.99</v>
      </c>
      <c r="R1981">
        <v>0</v>
      </c>
      <c r="S1981">
        <v>0</v>
      </c>
      <c r="T1981">
        <v>3000</v>
      </c>
      <c r="U1981" t="s">
        <v>5325</v>
      </c>
      <c r="W1981" t="s">
        <v>5323</v>
      </c>
      <c r="X1981" t="s">
        <v>5324</v>
      </c>
      <c r="Y1981" t="s">
        <v>4833</v>
      </c>
      <c r="Z1981" s="37">
        <v>0.012</v>
      </c>
      <c r="AA1981" s="37">
        <v>1</v>
      </c>
      <c r="AB1981">
        <v>0</v>
      </c>
    </row>
    <row r="1982">
      <c r="A1982" t="s">
        <v>5416</v>
      </c>
      <c r="B1982" t="s">
        <v>5394</v>
      </c>
      <c r="C1982" t="s">
        <v>5394</v>
      </c>
      <c r="D1982" t="s">
        <v>5417</v>
      </c>
      <c r="E1982" t="s">
        <v>5418</v>
      </c>
      <c r="F1982" t="s">
        <v>298</v>
      </c>
      <c r="G1982" t="s">
        <v>5397</v>
      </c>
      <c r="H1982" t="s">
        <v>5398</v>
      </c>
      <c r="I1982" t="s">
        <v>5391</v>
      </c>
      <c r="J1982">
        <v>0</v>
      </c>
      <c r="K1982">
        <v>1.125</v>
      </c>
      <c r="L1982" t="s">
        <v>5366</v>
      </c>
      <c r="M1982" s="37">
        <v>0.01125</v>
      </c>
      <c r="N1982" s="37">
        <v>0.5</v>
      </c>
      <c r="O1982">
        <v>1.125</v>
      </c>
      <c r="P1982" s="37">
        <v>0.009902</v>
      </c>
      <c r="Q1982">
        <v>0.99</v>
      </c>
      <c r="R1982">
        <v>0</v>
      </c>
      <c r="S1982">
        <v>0</v>
      </c>
      <c r="T1982">
        <v>3000</v>
      </c>
      <c r="U1982" t="s">
        <v>5325</v>
      </c>
      <c r="W1982" t="s">
        <v>5323</v>
      </c>
      <c r="X1982" t="s">
        <v>5324</v>
      </c>
      <c r="Y1982" t="s">
        <v>4833</v>
      </c>
      <c r="Z1982" s="37">
        <v>0.012</v>
      </c>
      <c r="AA1982" s="37">
        <v>1</v>
      </c>
      <c r="AB1982">
        <v>0</v>
      </c>
    </row>
    <row r="1983">
      <c r="A1983" t="s">
        <v>5419</v>
      </c>
      <c r="B1983" t="s">
        <v>5394</v>
      </c>
      <c r="C1983" t="s">
        <v>5394</v>
      </c>
      <c r="D1983" t="s">
        <v>5395</v>
      </c>
      <c r="E1983" t="s">
        <v>5420</v>
      </c>
      <c r="F1983" t="s">
        <v>298</v>
      </c>
      <c r="G1983" t="s">
        <v>5397</v>
      </c>
      <c r="H1983" t="s">
        <v>5398</v>
      </c>
      <c r="I1983" t="s">
        <v>5391</v>
      </c>
      <c r="J1983">
        <v>0</v>
      </c>
      <c r="K1983">
        <v>0.75</v>
      </c>
      <c r="L1983" t="s">
        <v>5366</v>
      </c>
      <c r="M1983" s="37">
        <v>0.0075</v>
      </c>
      <c r="N1983" s="37">
        <v>1</v>
      </c>
      <c r="O1983">
        <v>0.75</v>
      </c>
      <c r="P1983" s="37">
        <v>0.0075</v>
      </c>
      <c r="Q1983">
        <v>0.75</v>
      </c>
      <c r="R1983">
        <v>0</v>
      </c>
      <c r="S1983">
        <v>0</v>
      </c>
      <c r="T1983">
        <v>3000</v>
      </c>
      <c r="U1983" t="s">
        <v>5325</v>
      </c>
      <c r="W1983" t="s">
        <v>5323</v>
      </c>
      <c r="X1983" t="s">
        <v>5324</v>
      </c>
      <c r="Y1983" t="s">
        <v>4833</v>
      </c>
      <c r="Z1983" s="37">
        <v>0.012</v>
      </c>
      <c r="AA1983" s="37">
        <v>1</v>
      </c>
      <c r="AB1983">
        <v>0</v>
      </c>
    </row>
    <row r="1984">
      <c r="A1984" t="s">
        <v>5421</v>
      </c>
      <c r="B1984" t="s">
        <v>5394</v>
      </c>
      <c r="C1984" t="s">
        <v>5394</v>
      </c>
      <c r="D1984" t="s">
        <v>5422</v>
      </c>
      <c r="E1984" t="s">
        <v>5423</v>
      </c>
      <c r="F1984" t="s">
        <v>298</v>
      </c>
      <c r="G1984" t="s">
        <v>5424</v>
      </c>
      <c r="H1984" t="s">
        <v>5425</v>
      </c>
      <c r="I1984" t="s">
        <v>5391</v>
      </c>
      <c r="J1984">
        <v>0</v>
      </c>
      <c r="K1984">
        <v>1</v>
      </c>
      <c r="L1984" t="s">
        <v>5366</v>
      </c>
      <c r="M1984" s="37">
        <v>0.01</v>
      </c>
      <c r="N1984" s="37">
        <v>1</v>
      </c>
      <c r="O1984">
        <v>1</v>
      </c>
      <c r="P1984" s="37">
        <v>0.01</v>
      </c>
      <c r="Q1984">
        <v>1</v>
      </c>
      <c r="R1984">
        <v>312.5</v>
      </c>
      <c r="S1984">
        <v>312.5</v>
      </c>
      <c r="T1984">
        <v>0</v>
      </c>
      <c r="U1984" t="s">
        <v>5325</v>
      </c>
      <c r="W1984" t="s">
        <v>5323</v>
      </c>
      <c r="X1984" t="s">
        <v>5324</v>
      </c>
      <c r="Y1984" t="s">
        <v>4833</v>
      </c>
      <c r="Z1984" s="37">
        <v>0.012</v>
      </c>
      <c r="AA1984" s="37">
        <v>1</v>
      </c>
      <c r="AB1984">
        <v>0</v>
      </c>
    </row>
    <row r="1985">
      <c r="A1985" t="s">
        <v>5426</v>
      </c>
      <c r="B1985" t="s">
        <v>5394</v>
      </c>
      <c r="C1985" t="s">
        <v>5394</v>
      </c>
      <c r="D1985" t="s">
        <v>5427</v>
      </c>
      <c r="E1985" t="s">
        <v>5428</v>
      </c>
      <c r="F1985" t="s">
        <v>298</v>
      </c>
      <c r="G1985" t="s">
        <v>5424</v>
      </c>
      <c r="H1985" t="s">
        <v>5425</v>
      </c>
      <c r="I1985" t="s">
        <v>5391</v>
      </c>
      <c r="J1985">
        <v>0</v>
      </c>
      <c r="K1985">
        <v>0.75</v>
      </c>
      <c r="L1985" t="s">
        <v>5366</v>
      </c>
      <c r="M1985" s="37">
        <v>0.0075</v>
      </c>
      <c r="N1985" s="37">
        <v>1</v>
      </c>
      <c r="O1985">
        <v>0.75</v>
      </c>
      <c r="P1985" s="37">
        <v>0.0075</v>
      </c>
      <c r="Q1985">
        <v>0.75</v>
      </c>
      <c r="R1985">
        <v>250</v>
      </c>
      <c r="S1985">
        <v>250</v>
      </c>
      <c r="T1985">
        <v>0</v>
      </c>
      <c r="U1985" t="s">
        <v>5325</v>
      </c>
      <c r="W1985" t="s">
        <v>5323</v>
      </c>
      <c r="X1985" t="s">
        <v>5324</v>
      </c>
      <c r="Y1985" t="s">
        <v>4833</v>
      </c>
      <c r="Z1985" s="37">
        <v>0.012</v>
      </c>
      <c r="AA1985" s="37">
        <v>1</v>
      </c>
      <c r="AB1985">
        <v>0</v>
      </c>
    </row>
    <row r="1986">
      <c r="A1986" t="s">
        <v>5429</v>
      </c>
      <c r="B1986" t="s">
        <v>5394</v>
      </c>
      <c r="C1986" t="s">
        <v>5394</v>
      </c>
      <c r="D1986" t="s">
        <v>5430</v>
      </c>
      <c r="E1986" t="s">
        <v>5431</v>
      </c>
      <c r="F1986" t="s">
        <v>298</v>
      </c>
      <c r="G1986" t="s">
        <v>5424</v>
      </c>
      <c r="H1986" t="s">
        <v>5425</v>
      </c>
      <c r="I1986" t="s">
        <v>5391</v>
      </c>
      <c r="J1986">
        <v>0</v>
      </c>
      <c r="K1986">
        <v>1</v>
      </c>
      <c r="L1986" t="s">
        <v>5366</v>
      </c>
      <c r="M1986" s="37">
        <v>0.01</v>
      </c>
      <c r="N1986" s="37">
        <v>1</v>
      </c>
      <c r="O1986">
        <v>1</v>
      </c>
      <c r="P1986" s="37">
        <v>0.01</v>
      </c>
      <c r="Q1986">
        <v>1</v>
      </c>
      <c r="R1986">
        <v>312.5</v>
      </c>
      <c r="S1986">
        <v>312.5</v>
      </c>
      <c r="T1986">
        <v>0</v>
      </c>
      <c r="U1986" t="s">
        <v>5325</v>
      </c>
      <c r="W1986" t="s">
        <v>5323</v>
      </c>
      <c r="X1986" t="s">
        <v>5324</v>
      </c>
      <c r="Y1986" t="s">
        <v>4833</v>
      </c>
      <c r="Z1986" s="37">
        <v>0.012</v>
      </c>
      <c r="AA1986" s="37">
        <v>1</v>
      </c>
      <c r="AB1986">
        <v>0</v>
      </c>
    </row>
    <row r="1987">
      <c r="A1987" t="s">
        <v>5432</v>
      </c>
      <c r="B1987" t="s">
        <v>5394</v>
      </c>
      <c r="C1987" t="s">
        <v>5394</v>
      </c>
      <c r="D1987" t="s">
        <v>5433</v>
      </c>
      <c r="E1987" t="s">
        <v>5434</v>
      </c>
      <c r="F1987" t="s">
        <v>298</v>
      </c>
      <c r="G1987" t="s">
        <v>5424</v>
      </c>
      <c r="H1987" t="s">
        <v>5425</v>
      </c>
      <c r="I1987" t="s">
        <v>5391</v>
      </c>
      <c r="J1987">
        <v>0</v>
      </c>
      <c r="K1987">
        <v>0.75</v>
      </c>
      <c r="L1987" t="s">
        <v>5366</v>
      </c>
      <c r="M1987" s="37">
        <v>0.0075</v>
      </c>
      <c r="N1987" s="37">
        <v>1</v>
      </c>
      <c r="O1987">
        <v>0.75</v>
      </c>
      <c r="P1987" s="37">
        <v>0.0075</v>
      </c>
      <c r="Q1987">
        <v>0.75</v>
      </c>
      <c r="R1987">
        <v>250</v>
      </c>
      <c r="S1987">
        <v>250</v>
      </c>
      <c r="T1987">
        <v>0</v>
      </c>
      <c r="U1987" t="s">
        <v>5325</v>
      </c>
      <c r="W1987" t="s">
        <v>5323</v>
      </c>
      <c r="X1987" t="s">
        <v>5324</v>
      </c>
      <c r="Y1987" t="s">
        <v>4833</v>
      </c>
      <c r="Z1987" s="37">
        <v>0.012</v>
      </c>
      <c r="AA1987" s="37">
        <v>1</v>
      </c>
      <c r="AB1987">
        <v>0</v>
      </c>
    </row>
    <row r="1988">
      <c r="A1988" t="s">
        <v>5435</v>
      </c>
      <c r="B1988" t="s">
        <v>5394</v>
      </c>
      <c r="C1988" t="s">
        <v>5394</v>
      </c>
      <c r="D1988" t="s">
        <v>5436</v>
      </c>
      <c r="E1988" t="s">
        <v>5437</v>
      </c>
      <c r="F1988" t="s">
        <v>298</v>
      </c>
      <c r="G1988" t="s">
        <v>5424</v>
      </c>
      <c r="H1988" t="s">
        <v>5425</v>
      </c>
      <c r="I1988" t="s">
        <v>5391</v>
      </c>
      <c r="J1988">
        <v>0</v>
      </c>
      <c r="K1988">
        <v>0</v>
      </c>
      <c r="L1988" t="s">
        <v>5366</v>
      </c>
      <c r="M1988" s="37">
        <v>0</v>
      </c>
      <c r="N1988" s="37">
        <v>1</v>
      </c>
      <c r="O1988">
        <v>0</v>
      </c>
      <c r="P1988" s="37">
        <v>0</v>
      </c>
      <c r="Q1988">
        <v>0</v>
      </c>
      <c r="R1988">
        <v>0</v>
      </c>
      <c r="S1988">
        <v>0</v>
      </c>
      <c r="T1988">
        <v>0</v>
      </c>
      <c r="U1988" t="s">
        <v>5325</v>
      </c>
      <c r="W1988" t="s">
        <v>5323</v>
      </c>
      <c r="X1988" t="s">
        <v>5324</v>
      </c>
      <c r="Y1988" t="s">
        <v>4833</v>
      </c>
      <c r="Z1988" s="37">
        <v>0.012</v>
      </c>
      <c r="AA1988" s="37">
        <v>1</v>
      </c>
      <c r="AB1988">
        <v>0</v>
      </c>
    </row>
    <row r="1989">
      <c r="A1989" t="s">
        <v>5438</v>
      </c>
      <c r="B1989" t="s">
        <v>5439</v>
      </c>
      <c r="C1989" t="s">
        <v>5439</v>
      </c>
      <c r="D1989" t="s">
        <v>2521</v>
      </c>
      <c r="E1989" t="s">
        <v>5440</v>
      </c>
      <c r="F1989" t="s">
        <v>298</v>
      </c>
      <c r="G1989" t="s">
        <v>3529</v>
      </c>
      <c r="H1989" t="s">
        <v>3530</v>
      </c>
      <c r="I1989" t="s">
        <v>5441</v>
      </c>
      <c r="J1989" t="s">
        <v>4138</v>
      </c>
      <c r="K1989" t="s">
        <v>5442</v>
      </c>
      <c r="L1989" t="s">
        <v>5366</v>
      </c>
      <c r="M1989" s="37">
        <v>0.928</v>
      </c>
      <c r="N1989" s="37">
        <v>0.5</v>
      </c>
      <c r="O1989">
        <v>0.928</v>
      </c>
      <c r="P1989" s="37">
        <v>0.76175</v>
      </c>
      <c r="Q1989">
        <v>0.76</v>
      </c>
      <c r="R1989">
        <v>4000</v>
      </c>
      <c r="S1989">
        <v>4000</v>
      </c>
      <c r="T1989">
        <v>5000</v>
      </c>
      <c r="U1989" t="s">
        <v>5325</v>
      </c>
      <c r="W1989" t="s">
        <v>5323</v>
      </c>
      <c r="X1989" t="s">
        <v>5324</v>
      </c>
      <c r="Y1989" t="s">
        <v>4833</v>
      </c>
      <c r="Z1989" s="37">
        <v>0.012</v>
      </c>
      <c r="AA1989" s="37">
        <v>1</v>
      </c>
      <c r="AB1989">
        <v>0</v>
      </c>
    </row>
    <row r="1990">
      <c r="A1990" t="s">
        <v>5438</v>
      </c>
      <c r="B1990" t="s">
        <v>5439</v>
      </c>
      <c r="C1990" t="s">
        <v>5439</v>
      </c>
      <c r="D1990" t="s">
        <v>2521</v>
      </c>
      <c r="E1990" t="s">
        <v>5440</v>
      </c>
      <c r="F1990" t="s">
        <v>298</v>
      </c>
      <c r="G1990" t="s">
        <v>3529</v>
      </c>
      <c r="H1990" t="s">
        <v>3551</v>
      </c>
      <c r="I1990" t="s">
        <v>5443</v>
      </c>
      <c r="J1990" s="37">
        <v>0.045</v>
      </c>
      <c r="K1990" s="37">
        <v>0.0463</v>
      </c>
      <c r="L1990" t="s">
        <v>5366</v>
      </c>
      <c r="M1990" s="37">
        <v>1.02</v>
      </c>
      <c r="N1990" s="37">
        <v>0.2</v>
      </c>
      <c r="O1990">
        <v>1.02</v>
      </c>
      <c r="P1990" s="37">
        <v>0.76175</v>
      </c>
      <c r="Q1990">
        <v>0.76</v>
      </c>
      <c r="R1990">
        <v>4000</v>
      </c>
      <c r="S1990">
        <v>4000</v>
      </c>
      <c r="T1990">
        <v>5000</v>
      </c>
      <c r="U1990" t="s">
        <v>5325</v>
      </c>
      <c r="W1990" t="s">
        <v>5323</v>
      </c>
      <c r="X1990" t="s">
        <v>5324</v>
      </c>
      <c r="Y1990" t="s">
        <v>4833</v>
      </c>
      <c r="Z1990" s="37">
        <v>0.012</v>
      </c>
      <c r="AA1990" s="37">
        <v>1</v>
      </c>
      <c r="AB1990">
        <v>0</v>
      </c>
    </row>
    <row r="1991">
      <c r="A1991" t="s">
        <v>5438</v>
      </c>
      <c r="B1991" t="s">
        <v>5439</v>
      </c>
      <c r="C1991" t="s">
        <v>5439</v>
      </c>
      <c r="D1991" t="s">
        <v>2521</v>
      </c>
      <c r="E1991" t="s">
        <v>5440</v>
      </c>
      <c r="F1991" t="s">
        <v>298</v>
      </c>
      <c r="G1991" t="s">
        <v>3529</v>
      </c>
      <c r="H1991" t="s">
        <v>3537</v>
      </c>
      <c r="I1991" t="s">
        <v>5444</v>
      </c>
      <c r="J1991" t="s">
        <v>5445</v>
      </c>
      <c r="K1991" t="s">
        <v>5446</v>
      </c>
      <c r="L1991" t="s">
        <v>5366</v>
      </c>
      <c r="M1991" s="37">
        <v>0.625</v>
      </c>
      <c r="N1991" s="37">
        <v>0.15</v>
      </c>
      <c r="O1991">
        <v>0.625</v>
      </c>
      <c r="P1991" s="37">
        <v>0.76175</v>
      </c>
      <c r="Q1991">
        <v>0.76</v>
      </c>
      <c r="R1991">
        <v>4000</v>
      </c>
      <c r="S1991">
        <v>4000</v>
      </c>
      <c r="T1991">
        <v>5000</v>
      </c>
      <c r="U1991" t="s">
        <v>5325</v>
      </c>
      <c r="W1991" t="s">
        <v>5323</v>
      </c>
      <c r="X1991" t="s">
        <v>5324</v>
      </c>
      <c r="Y1991" t="s">
        <v>4833</v>
      </c>
      <c r="Z1991" s="37">
        <v>0.012</v>
      </c>
      <c r="AA1991" s="37">
        <v>1</v>
      </c>
      <c r="AB1991">
        <v>0</v>
      </c>
    </row>
    <row r="1992">
      <c r="A1992" t="s">
        <v>5438</v>
      </c>
      <c r="B1992" t="s">
        <v>5439</v>
      </c>
      <c r="C1992" t="s">
        <v>5439</v>
      </c>
      <c r="D1992" t="s">
        <v>2521</v>
      </c>
      <c r="E1992" t="s">
        <v>5440</v>
      </c>
      <c r="F1992" t="s">
        <v>298</v>
      </c>
      <c r="G1992" t="s">
        <v>3529</v>
      </c>
      <c r="H1992" t="s">
        <v>3599</v>
      </c>
      <c r="I1992" t="s">
        <v>5447</v>
      </c>
      <c r="L1992" t="s">
        <v>5366</v>
      </c>
      <c r="M1992" s="37">
        <v>0</v>
      </c>
      <c r="N1992" s="37">
        <v>0.15</v>
      </c>
      <c r="O1992">
        <v>0</v>
      </c>
      <c r="P1992" s="37">
        <v>0.76175</v>
      </c>
      <c r="Q1992">
        <v>0.76</v>
      </c>
      <c r="R1992">
        <v>4000</v>
      </c>
      <c r="S1992">
        <v>4000</v>
      </c>
      <c r="T1992">
        <v>5000</v>
      </c>
      <c r="U1992" t="s">
        <v>5325</v>
      </c>
      <c r="W1992" t="s">
        <v>5323</v>
      </c>
      <c r="X1992" t="s">
        <v>5324</v>
      </c>
      <c r="Y1992" t="s">
        <v>4833</v>
      </c>
      <c r="Z1992" s="37">
        <v>0.012</v>
      </c>
      <c r="AA1992" s="37">
        <v>1</v>
      </c>
      <c r="AB1992">
        <v>0</v>
      </c>
    </row>
    <row r="1993">
      <c r="A1993" t="s">
        <v>5448</v>
      </c>
      <c r="B1993" t="s">
        <v>5439</v>
      </c>
      <c r="C1993" t="s">
        <v>5439</v>
      </c>
      <c r="D1993" t="s">
        <v>2521</v>
      </c>
      <c r="E1993" t="s">
        <v>5449</v>
      </c>
      <c r="F1993" t="s">
        <v>298</v>
      </c>
      <c r="G1993" t="s">
        <v>3529</v>
      </c>
      <c r="H1993" t="s">
        <v>3530</v>
      </c>
      <c r="I1993" t="s">
        <v>5450</v>
      </c>
      <c r="J1993" t="s">
        <v>2909</v>
      </c>
      <c r="K1993" t="s">
        <v>5451</v>
      </c>
      <c r="L1993" t="s">
        <v>5366</v>
      </c>
      <c r="M1993" s="37">
        <v>0.951667</v>
      </c>
      <c r="N1993" s="37">
        <v>0.5</v>
      </c>
      <c r="O1993">
        <v>0.9517</v>
      </c>
      <c r="P1993" s="37">
        <v>0.870834</v>
      </c>
      <c r="Q1993">
        <v>0.85</v>
      </c>
      <c r="R1993">
        <v>8000</v>
      </c>
      <c r="S1993">
        <v>8000</v>
      </c>
      <c r="T1993">
        <v>5000</v>
      </c>
      <c r="U1993" t="s">
        <v>5325</v>
      </c>
      <c r="W1993" t="s">
        <v>5323</v>
      </c>
      <c r="X1993" t="s">
        <v>5324</v>
      </c>
      <c r="Y1993" t="s">
        <v>4833</v>
      </c>
      <c r="Z1993" s="37">
        <v>0.012</v>
      </c>
      <c r="AA1993" s="37">
        <v>1</v>
      </c>
      <c r="AB1993">
        <v>0</v>
      </c>
    </row>
    <row r="1994">
      <c r="A1994" t="s">
        <v>5448</v>
      </c>
      <c r="B1994" t="s">
        <v>5439</v>
      </c>
      <c r="C1994" t="s">
        <v>5439</v>
      </c>
      <c r="D1994" t="s">
        <v>2521</v>
      </c>
      <c r="E1994" t="s">
        <v>5449</v>
      </c>
      <c r="F1994" t="s">
        <v>298</v>
      </c>
      <c r="G1994" t="s">
        <v>3529</v>
      </c>
      <c r="H1994" t="s">
        <v>3551</v>
      </c>
      <c r="I1994" t="s">
        <v>5452</v>
      </c>
      <c r="J1994" s="37">
        <v>0.028</v>
      </c>
      <c r="K1994" s="37">
        <v>0.0371</v>
      </c>
      <c r="L1994" t="s">
        <v>5366</v>
      </c>
      <c r="M1994" s="37">
        <v>1.325</v>
      </c>
      <c r="N1994" s="37">
        <v>0.2</v>
      </c>
      <c r="O1994">
        <v>1.2</v>
      </c>
      <c r="P1994" s="37">
        <v>0.870834</v>
      </c>
      <c r="Q1994">
        <v>0.85</v>
      </c>
      <c r="R1994">
        <v>8000</v>
      </c>
      <c r="S1994">
        <v>8000</v>
      </c>
      <c r="T1994">
        <v>5000</v>
      </c>
      <c r="U1994" t="s">
        <v>5325</v>
      </c>
      <c r="W1994" t="s">
        <v>5323</v>
      </c>
      <c r="X1994" t="s">
        <v>5324</v>
      </c>
      <c r="Y1994" t="s">
        <v>4833</v>
      </c>
      <c r="Z1994" s="37">
        <v>0.012</v>
      </c>
      <c r="AA1994" s="37">
        <v>1</v>
      </c>
      <c r="AB1994">
        <v>0</v>
      </c>
    </row>
    <row r="1995">
      <c r="A1995" t="s">
        <v>5448</v>
      </c>
      <c r="B1995" t="s">
        <v>5439</v>
      </c>
      <c r="C1995" t="s">
        <v>5439</v>
      </c>
      <c r="D1995" t="s">
        <v>2521</v>
      </c>
      <c r="E1995" t="s">
        <v>5449</v>
      </c>
      <c r="F1995" t="s">
        <v>298</v>
      </c>
      <c r="G1995" t="s">
        <v>3529</v>
      </c>
      <c r="H1995" t="s">
        <v>3537</v>
      </c>
      <c r="I1995" t="s">
        <v>5453</v>
      </c>
      <c r="J1995" t="s">
        <v>5454</v>
      </c>
      <c r="K1995" t="s">
        <v>5455</v>
      </c>
      <c r="L1995" t="s">
        <v>5366</v>
      </c>
      <c r="M1995" s="37">
        <v>0.866667</v>
      </c>
      <c r="N1995" s="37">
        <v>0.15</v>
      </c>
      <c r="O1995">
        <v>0.8667</v>
      </c>
      <c r="P1995" s="37">
        <v>0.870834</v>
      </c>
      <c r="Q1995">
        <v>0.85</v>
      </c>
      <c r="R1995">
        <v>8000</v>
      </c>
      <c r="S1995">
        <v>8000</v>
      </c>
      <c r="T1995">
        <v>5000</v>
      </c>
      <c r="U1995" t="s">
        <v>5325</v>
      </c>
      <c r="W1995" t="s">
        <v>5323</v>
      </c>
      <c r="X1995" t="s">
        <v>5324</v>
      </c>
      <c r="Y1995" t="s">
        <v>4833</v>
      </c>
      <c r="Z1995" s="37">
        <v>0.012</v>
      </c>
      <c r="AA1995" s="37">
        <v>1</v>
      </c>
      <c r="AB1995">
        <v>0</v>
      </c>
    </row>
    <row r="1996">
      <c r="A1996" t="s">
        <v>5448</v>
      </c>
      <c r="B1996" t="s">
        <v>5439</v>
      </c>
      <c r="C1996" t="s">
        <v>5439</v>
      </c>
      <c r="D1996" t="s">
        <v>2521</v>
      </c>
      <c r="E1996" t="s">
        <v>5449</v>
      </c>
      <c r="F1996" t="s">
        <v>298</v>
      </c>
      <c r="G1996" t="s">
        <v>3529</v>
      </c>
      <c r="H1996" t="s">
        <v>3599</v>
      </c>
      <c r="I1996" t="s">
        <v>5456</v>
      </c>
      <c r="L1996" t="s">
        <v>5457</v>
      </c>
      <c r="M1996" s="37">
        <v>0</v>
      </c>
      <c r="N1996" s="37">
        <v>0.15</v>
      </c>
      <c r="O1996">
        <v>0</v>
      </c>
      <c r="P1996" s="37">
        <v>0.870834</v>
      </c>
      <c r="Q1996">
        <v>0.85</v>
      </c>
      <c r="R1996">
        <v>8000</v>
      </c>
      <c r="S1996">
        <v>8000</v>
      </c>
      <c r="T1996">
        <v>5000</v>
      </c>
      <c r="U1996" t="s">
        <v>5325</v>
      </c>
      <c r="W1996" t="s">
        <v>5323</v>
      </c>
      <c r="X1996" t="s">
        <v>5324</v>
      </c>
      <c r="Y1996" t="s">
        <v>4833</v>
      </c>
      <c r="Z1996" s="37">
        <v>0.012</v>
      </c>
      <c r="AA1996" s="37">
        <v>1</v>
      </c>
      <c r="AB1996">
        <v>0</v>
      </c>
    </row>
    <row r="1997">
      <c r="A1997" t="s">
        <v>5458</v>
      </c>
      <c r="B1997" t="s">
        <v>5439</v>
      </c>
      <c r="C1997" t="s">
        <v>5439</v>
      </c>
      <c r="D1997" t="s">
        <v>359</v>
      </c>
      <c r="E1997" t="s">
        <v>5459</v>
      </c>
      <c r="F1997" t="s">
        <v>298</v>
      </c>
      <c r="G1997" t="s">
        <v>3529</v>
      </c>
      <c r="H1997" t="s">
        <v>3530</v>
      </c>
      <c r="I1997" t="s">
        <v>5460</v>
      </c>
      <c r="J1997" t="s">
        <v>4566</v>
      </c>
      <c r="K1997" t="s">
        <v>5461</v>
      </c>
      <c r="L1997" t="s">
        <v>5457</v>
      </c>
      <c r="M1997" s="37">
        <v>0.9</v>
      </c>
      <c r="N1997" s="37">
        <v>0.5</v>
      </c>
      <c r="O1997">
        <v>0.9</v>
      </c>
      <c r="P1997" s="37">
        <v>0.77</v>
      </c>
      <c r="Q1997">
        <v>0.76</v>
      </c>
      <c r="R1997">
        <v>2000</v>
      </c>
      <c r="S1997">
        <v>2000</v>
      </c>
      <c r="T1997">
        <v>5000</v>
      </c>
      <c r="U1997" t="s">
        <v>5325</v>
      </c>
      <c r="W1997" t="s">
        <v>5323</v>
      </c>
      <c r="X1997" t="s">
        <v>5324</v>
      </c>
      <c r="Y1997" t="s">
        <v>4833</v>
      </c>
      <c r="Z1997" s="37">
        <v>0.012</v>
      </c>
      <c r="AA1997" s="37">
        <v>1</v>
      </c>
      <c r="AB1997">
        <v>0</v>
      </c>
    </row>
    <row r="1998">
      <c r="A1998" t="s">
        <v>5458</v>
      </c>
      <c r="B1998" t="s">
        <v>5439</v>
      </c>
      <c r="C1998" t="s">
        <v>5439</v>
      </c>
      <c r="D1998" t="s">
        <v>359</v>
      </c>
      <c r="E1998" t="s">
        <v>5459</v>
      </c>
      <c r="F1998" t="s">
        <v>298</v>
      </c>
      <c r="G1998" t="s">
        <v>3529</v>
      </c>
      <c r="H1998" t="s">
        <v>3599</v>
      </c>
      <c r="I1998" t="s">
        <v>5462</v>
      </c>
      <c r="L1998" t="s">
        <v>5463</v>
      </c>
      <c r="M1998" s="37">
        <v>0.4</v>
      </c>
      <c r="N1998" s="37">
        <v>0.2</v>
      </c>
      <c r="O1998">
        <v>0.4</v>
      </c>
      <c r="P1998" s="37">
        <v>0.77</v>
      </c>
      <c r="Q1998">
        <v>0.76</v>
      </c>
      <c r="R1998">
        <v>2000</v>
      </c>
      <c r="S1998">
        <v>2000</v>
      </c>
      <c r="T1998">
        <v>5000</v>
      </c>
      <c r="U1998" t="s">
        <v>5325</v>
      </c>
      <c r="W1998" t="s">
        <v>5323</v>
      </c>
      <c r="X1998" t="s">
        <v>5324</v>
      </c>
      <c r="Y1998" t="s">
        <v>4833</v>
      </c>
      <c r="Z1998" s="37">
        <v>0.012</v>
      </c>
      <c r="AA1998" s="37">
        <v>1</v>
      </c>
      <c r="AB1998">
        <v>0</v>
      </c>
    </row>
    <row r="1999">
      <c r="A1999" t="s">
        <v>5458</v>
      </c>
      <c r="B1999" t="s">
        <v>5439</v>
      </c>
      <c r="C1999" t="s">
        <v>5439</v>
      </c>
      <c r="D1999" t="s">
        <v>359</v>
      </c>
      <c r="E1999" t="s">
        <v>5459</v>
      </c>
      <c r="F1999" t="s">
        <v>298</v>
      </c>
      <c r="G1999" t="s">
        <v>3529</v>
      </c>
      <c r="H1999" t="s">
        <v>3599</v>
      </c>
      <c r="I1999" t="s">
        <v>5464</v>
      </c>
      <c r="L1999" t="s">
        <v>5465</v>
      </c>
      <c r="M1999" s="37">
        <v>0</v>
      </c>
      <c r="N1999" s="37">
        <v>0.15</v>
      </c>
      <c r="O1999">
        <v>0</v>
      </c>
      <c r="P1999" s="37">
        <v>0.77</v>
      </c>
      <c r="Q1999">
        <v>0.76</v>
      </c>
      <c r="R1999">
        <v>2000</v>
      </c>
      <c r="S1999">
        <v>2000</v>
      </c>
      <c r="T1999">
        <v>5000</v>
      </c>
      <c r="U1999" t="s">
        <v>5325</v>
      </c>
      <c r="W1999" t="s">
        <v>5323</v>
      </c>
      <c r="X1999" t="s">
        <v>5324</v>
      </c>
      <c r="Y1999" t="s">
        <v>4833</v>
      </c>
      <c r="Z1999" s="37">
        <v>0.012</v>
      </c>
      <c r="AA1999" s="37">
        <v>1</v>
      </c>
      <c r="AB1999">
        <v>0</v>
      </c>
    </row>
    <row r="2000">
      <c r="A2000" t="s">
        <v>5458</v>
      </c>
      <c r="B2000" t="s">
        <v>5439</v>
      </c>
      <c r="C2000" t="s">
        <v>5439</v>
      </c>
      <c r="D2000" t="s">
        <v>359</v>
      </c>
      <c r="E2000" t="s">
        <v>5459</v>
      </c>
      <c r="F2000" t="s">
        <v>298</v>
      </c>
      <c r="G2000" t="s">
        <v>3529</v>
      </c>
      <c r="H2000" t="s">
        <v>3537</v>
      </c>
      <c r="I2000" t="s">
        <v>5466</v>
      </c>
      <c r="J2000" t="s">
        <v>5467</v>
      </c>
      <c r="K2000" t="s">
        <v>5468</v>
      </c>
      <c r="L2000" t="s">
        <v>5465</v>
      </c>
      <c r="M2000" s="37">
        <v>1.6</v>
      </c>
      <c r="N2000" s="37">
        <v>0.15</v>
      </c>
      <c r="O2000">
        <v>1.5</v>
      </c>
      <c r="P2000" s="37">
        <v>0.77</v>
      </c>
      <c r="Q2000">
        <v>0.76</v>
      </c>
      <c r="R2000">
        <v>2000</v>
      </c>
      <c r="S2000">
        <v>2000</v>
      </c>
      <c r="T2000">
        <v>5000</v>
      </c>
      <c r="U2000" t="s">
        <v>5325</v>
      </c>
      <c r="W2000" t="s">
        <v>5323</v>
      </c>
      <c r="X2000" t="s">
        <v>5324</v>
      </c>
      <c r="Y2000" t="s">
        <v>4833</v>
      </c>
      <c r="Z2000" s="37">
        <v>0.012</v>
      </c>
      <c r="AA2000" s="37">
        <v>1</v>
      </c>
      <c r="AB2000">
        <v>0</v>
      </c>
    </row>
    <row r="2001">
      <c r="A2001" t="s">
        <v>5469</v>
      </c>
      <c r="B2001" t="s">
        <v>5439</v>
      </c>
      <c r="C2001" t="s">
        <v>5439</v>
      </c>
      <c r="D2001" t="s">
        <v>359</v>
      </c>
      <c r="E2001" t="s">
        <v>5470</v>
      </c>
      <c r="F2001" t="s">
        <v>298</v>
      </c>
      <c r="G2001" t="s">
        <v>3529</v>
      </c>
      <c r="H2001" t="s">
        <v>3599</v>
      </c>
      <c r="I2001" t="s">
        <v>5471</v>
      </c>
      <c r="L2001" t="s">
        <v>5465</v>
      </c>
      <c r="M2001" s="37">
        <v>0.925</v>
      </c>
      <c r="N2001" s="37">
        <v>0.5</v>
      </c>
      <c r="O2001">
        <v>0.925</v>
      </c>
      <c r="P2001" s="37">
        <v>0.7877</v>
      </c>
      <c r="Q2001">
        <v>0.79</v>
      </c>
      <c r="R2001">
        <v>6000</v>
      </c>
      <c r="S2001">
        <v>6000</v>
      </c>
      <c r="T2001">
        <v>5000</v>
      </c>
      <c r="U2001" t="s">
        <v>5325</v>
      </c>
      <c r="W2001" t="s">
        <v>5323</v>
      </c>
      <c r="X2001" t="s">
        <v>5324</v>
      </c>
      <c r="Y2001" t="s">
        <v>4833</v>
      </c>
      <c r="Z2001" s="37">
        <v>0.012</v>
      </c>
      <c r="AA2001" s="37">
        <v>1</v>
      </c>
      <c r="AB2001">
        <v>0</v>
      </c>
    </row>
    <row r="2002">
      <c r="A2002" t="s">
        <v>5469</v>
      </c>
      <c r="B2002" t="s">
        <v>5439</v>
      </c>
      <c r="C2002" t="s">
        <v>5439</v>
      </c>
      <c r="D2002" t="s">
        <v>359</v>
      </c>
      <c r="E2002" t="s">
        <v>5470</v>
      </c>
      <c r="F2002" t="s">
        <v>298</v>
      </c>
      <c r="G2002" t="s">
        <v>3529</v>
      </c>
      <c r="H2002" t="s">
        <v>3599</v>
      </c>
      <c r="I2002" t="s">
        <v>5472</v>
      </c>
      <c r="L2002" t="s">
        <v>5465</v>
      </c>
      <c r="M2002" s="37">
        <v>0.951</v>
      </c>
      <c r="N2002" s="37">
        <v>0.2</v>
      </c>
      <c r="O2002">
        <v>0.951</v>
      </c>
      <c r="P2002" s="37">
        <v>0.7877</v>
      </c>
      <c r="Q2002">
        <v>0.79</v>
      </c>
      <c r="R2002">
        <v>6000</v>
      </c>
      <c r="S2002">
        <v>6000</v>
      </c>
      <c r="T2002">
        <v>5000</v>
      </c>
      <c r="U2002" t="s">
        <v>5325</v>
      </c>
      <c r="W2002" t="s">
        <v>5323</v>
      </c>
      <c r="X2002" t="s">
        <v>5324</v>
      </c>
      <c r="Y2002" t="s">
        <v>4833</v>
      </c>
      <c r="Z2002" s="37">
        <v>0.012</v>
      </c>
      <c r="AA2002" s="37">
        <v>1</v>
      </c>
      <c r="AB2002">
        <v>0</v>
      </c>
    </row>
    <row r="2003">
      <c r="A2003" t="s">
        <v>5469</v>
      </c>
      <c r="B2003" t="s">
        <v>5439</v>
      </c>
      <c r="C2003" t="s">
        <v>5439</v>
      </c>
      <c r="D2003" t="s">
        <v>359</v>
      </c>
      <c r="E2003" t="s">
        <v>5470</v>
      </c>
      <c r="F2003" t="s">
        <v>298</v>
      </c>
      <c r="G2003" t="s">
        <v>3529</v>
      </c>
      <c r="H2003" t="s">
        <v>3599</v>
      </c>
      <c r="I2003" t="s">
        <v>5466</v>
      </c>
      <c r="L2003" t="s">
        <v>5465</v>
      </c>
      <c r="M2003" s="37">
        <v>0.9</v>
      </c>
      <c r="N2003" s="37">
        <v>0.15</v>
      </c>
      <c r="O2003">
        <v>0.9</v>
      </c>
      <c r="P2003" s="37">
        <v>0.7877</v>
      </c>
      <c r="Q2003">
        <v>0.79</v>
      </c>
      <c r="R2003">
        <v>6000</v>
      </c>
      <c r="S2003">
        <v>6000</v>
      </c>
      <c r="T2003">
        <v>5000</v>
      </c>
      <c r="U2003" t="s">
        <v>5325</v>
      </c>
      <c r="W2003" t="s">
        <v>5323</v>
      </c>
      <c r="X2003" t="s">
        <v>5324</v>
      </c>
      <c r="Y2003" t="s">
        <v>4833</v>
      </c>
      <c r="Z2003" s="37">
        <v>0.012</v>
      </c>
      <c r="AA2003" s="37">
        <v>1</v>
      </c>
      <c r="AB2003">
        <v>0</v>
      </c>
    </row>
    <row r="2004">
      <c r="A2004" t="s">
        <v>5469</v>
      </c>
      <c r="B2004" t="s">
        <v>5439</v>
      </c>
      <c r="C2004" t="s">
        <v>5439</v>
      </c>
      <c r="D2004" t="s">
        <v>359</v>
      </c>
      <c r="E2004" t="s">
        <v>5470</v>
      </c>
      <c r="F2004" t="s">
        <v>298</v>
      </c>
      <c r="G2004" t="s">
        <v>3529</v>
      </c>
      <c r="H2004" t="s">
        <v>3599</v>
      </c>
      <c r="I2004" t="s">
        <v>5473</v>
      </c>
      <c r="L2004" t="s">
        <v>5465</v>
      </c>
      <c r="M2004" s="37">
        <v>0</v>
      </c>
      <c r="N2004" s="37">
        <v>0.15</v>
      </c>
      <c r="O2004">
        <v>0</v>
      </c>
      <c r="P2004" s="37">
        <v>0.7877</v>
      </c>
      <c r="Q2004">
        <v>0.79</v>
      </c>
      <c r="R2004">
        <v>6000</v>
      </c>
      <c r="S2004">
        <v>6000</v>
      </c>
      <c r="T2004">
        <v>5000</v>
      </c>
      <c r="U2004" t="s">
        <v>5325</v>
      </c>
      <c r="W2004" t="s">
        <v>5323</v>
      </c>
      <c r="X2004" t="s">
        <v>5324</v>
      </c>
      <c r="Y2004" t="s">
        <v>4833</v>
      </c>
      <c r="Z2004" s="37">
        <v>0.012</v>
      </c>
      <c r="AA2004" s="37">
        <v>1</v>
      </c>
      <c r="AB2004">
        <v>0</v>
      </c>
    </row>
    <row r="2005">
      <c r="A2005" t="s">
        <v>5474</v>
      </c>
      <c r="B2005" t="s">
        <v>5475</v>
      </c>
      <c r="C2005" t="s">
        <v>5475</v>
      </c>
      <c r="D2005" t="s">
        <v>2521</v>
      </c>
      <c r="E2005" t="s">
        <v>5476</v>
      </c>
      <c r="F2005" t="s">
        <v>298</v>
      </c>
      <c r="G2005" t="s">
        <v>3529</v>
      </c>
      <c r="H2005" t="s">
        <v>3530</v>
      </c>
      <c r="I2005" t="s">
        <v>5477</v>
      </c>
      <c r="J2005" t="s">
        <v>5478</v>
      </c>
      <c r="K2005" t="s">
        <v>5479</v>
      </c>
      <c r="L2005" t="s">
        <v>5465</v>
      </c>
      <c r="M2005" s="37">
        <v>0.895</v>
      </c>
      <c r="N2005" s="37">
        <v>0.15</v>
      </c>
      <c r="O2005">
        <v>0.895</v>
      </c>
      <c r="P2005" s="37">
        <v>1.0124</v>
      </c>
      <c r="Q2005">
        <v>1</v>
      </c>
      <c r="R2005">
        <v>3000</v>
      </c>
      <c r="S2005">
        <v>3000</v>
      </c>
      <c r="T2005">
        <v>5000</v>
      </c>
      <c r="U2005" t="s">
        <v>5325</v>
      </c>
      <c r="W2005" t="s">
        <v>5323</v>
      </c>
      <c r="X2005" t="s">
        <v>5324</v>
      </c>
      <c r="Y2005" t="s">
        <v>4833</v>
      </c>
      <c r="Z2005" s="37">
        <v>0.012</v>
      </c>
      <c r="AA2005" s="37">
        <v>1</v>
      </c>
      <c r="AB2005">
        <v>0</v>
      </c>
    </row>
    <row r="2006">
      <c r="A2006" t="s">
        <v>5474</v>
      </c>
      <c r="B2006" t="s">
        <v>5475</v>
      </c>
      <c r="C2006" t="s">
        <v>5475</v>
      </c>
      <c r="D2006" t="s">
        <v>2521</v>
      </c>
      <c r="E2006" t="s">
        <v>5476</v>
      </c>
      <c r="F2006" t="s">
        <v>298</v>
      </c>
      <c r="G2006" t="s">
        <v>3529</v>
      </c>
      <c r="H2006" t="s">
        <v>3551</v>
      </c>
      <c r="I2006" t="s">
        <v>5480</v>
      </c>
      <c r="J2006" t="s">
        <v>5481</v>
      </c>
      <c r="K2006" s="38">
        <v>0.22</v>
      </c>
      <c r="L2006" t="s">
        <v>5465</v>
      </c>
      <c r="M2006" s="37">
        <v>1.273</v>
      </c>
      <c r="N2006" s="37">
        <v>0.2</v>
      </c>
      <c r="O2006">
        <v>1.2</v>
      </c>
      <c r="P2006" s="37">
        <v>1.0124</v>
      </c>
      <c r="Q2006">
        <v>1</v>
      </c>
      <c r="R2006">
        <v>3000</v>
      </c>
      <c r="S2006">
        <v>3000</v>
      </c>
      <c r="T2006">
        <v>5000</v>
      </c>
      <c r="U2006" t="s">
        <v>5325</v>
      </c>
      <c r="W2006" t="s">
        <v>5323</v>
      </c>
      <c r="X2006" t="s">
        <v>5324</v>
      </c>
      <c r="Y2006" t="s">
        <v>4833</v>
      </c>
      <c r="Z2006" s="37">
        <v>0.012</v>
      </c>
      <c r="AA2006" s="37">
        <v>1</v>
      </c>
      <c r="AB2006">
        <v>0</v>
      </c>
    </row>
    <row r="2007">
      <c r="A2007" t="s">
        <v>5474</v>
      </c>
      <c r="B2007" t="s">
        <v>5475</v>
      </c>
      <c r="C2007" t="s">
        <v>5475</v>
      </c>
      <c r="D2007" t="s">
        <v>2521</v>
      </c>
      <c r="E2007" t="s">
        <v>5476</v>
      </c>
      <c r="F2007" t="s">
        <v>298</v>
      </c>
      <c r="G2007" t="s">
        <v>3529</v>
      </c>
      <c r="H2007" t="s">
        <v>3541</v>
      </c>
      <c r="I2007" t="s">
        <v>5482</v>
      </c>
      <c r="J2007" t="s">
        <v>5483</v>
      </c>
      <c r="K2007" t="s">
        <v>5484</v>
      </c>
      <c r="L2007" t="s">
        <v>5465</v>
      </c>
      <c r="M2007" s="37">
        <v>1.077</v>
      </c>
      <c r="N2007" s="37">
        <v>0.35</v>
      </c>
      <c r="O2007">
        <v>1.077</v>
      </c>
      <c r="P2007" s="37">
        <v>1.0124</v>
      </c>
      <c r="Q2007">
        <v>1</v>
      </c>
      <c r="R2007">
        <v>3000</v>
      </c>
      <c r="S2007">
        <v>3000</v>
      </c>
      <c r="T2007">
        <v>5000</v>
      </c>
      <c r="U2007" t="s">
        <v>5325</v>
      </c>
      <c r="W2007" t="s">
        <v>5323</v>
      </c>
      <c r="X2007" t="s">
        <v>5324</v>
      </c>
      <c r="Y2007" t="s">
        <v>4833</v>
      </c>
      <c r="Z2007" s="37">
        <v>0.012</v>
      </c>
      <c r="AA2007" s="37">
        <v>1</v>
      </c>
      <c r="AB2007">
        <v>0</v>
      </c>
    </row>
    <row r="2008">
      <c r="A2008" t="s">
        <v>5474</v>
      </c>
      <c r="B2008" t="s">
        <v>5475</v>
      </c>
      <c r="C2008" t="s">
        <v>5475</v>
      </c>
      <c r="D2008" t="s">
        <v>2521</v>
      </c>
      <c r="E2008" t="s">
        <v>5476</v>
      </c>
      <c r="F2008" t="s">
        <v>298</v>
      </c>
      <c r="G2008" t="s">
        <v>3529</v>
      </c>
      <c r="H2008" t="s">
        <v>3596</v>
      </c>
      <c r="I2008" t="s">
        <v>5485</v>
      </c>
      <c r="J2008" t="s">
        <v>5486</v>
      </c>
      <c r="K2008">
        <v>2.45</v>
      </c>
      <c r="L2008" t="s">
        <v>5465</v>
      </c>
      <c r="M2008" s="37">
        <v>0.822</v>
      </c>
      <c r="N2008" s="37">
        <v>0.3</v>
      </c>
      <c r="O2008">
        <v>0.822</v>
      </c>
      <c r="P2008" s="37">
        <v>1.0124</v>
      </c>
      <c r="Q2008">
        <v>1</v>
      </c>
      <c r="R2008">
        <v>3000</v>
      </c>
      <c r="S2008">
        <v>3000</v>
      </c>
      <c r="T2008">
        <v>5000</v>
      </c>
      <c r="U2008" t="s">
        <v>5325</v>
      </c>
      <c r="W2008" t="s">
        <v>5323</v>
      </c>
      <c r="X2008" t="s">
        <v>5324</v>
      </c>
      <c r="Y2008" t="s">
        <v>4833</v>
      </c>
      <c r="Z2008" s="37">
        <v>0.012</v>
      </c>
      <c r="AA2008" s="37">
        <v>1</v>
      </c>
      <c r="AB2008">
        <v>0</v>
      </c>
    </row>
    <row r="2009">
      <c r="A2009" t="s">
        <v>5487</v>
      </c>
      <c r="B2009" t="s">
        <v>5475</v>
      </c>
      <c r="C2009" t="s">
        <v>5475</v>
      </c>
      <c r="D2009" t="s">
        <v>2521</v>
      </c>
      <c r="E2009" t="s">
        <v>5488</v>
      </c>
      <c r="F2009" t="s">
        <v>298</v>
      </c>
      <c r="G2009" t="s">
        <v>3529</v>
      </c>
      <c r="H2009" t="s">
        <v>3530</v>
      </c>
      <c r="I2009" t="s">
        <v>5489</v>
      </c>
      <c r="J2009" t="s">
        <v>5490</v>
      </c>
      <c r="K2009" t="s">
        <v>5491</v>
      </c>
      <c r="L2009" t="s">
        <v>5465</v>
      </c>
      <c r="M2009" s="37">
        <v>0.952</v>
      </c>
      <c r="N2009" s="37">
        <v>0.4</v>
      </c>
      <c r="O2009">
        <v>0.952</v>
      </c>
      <c r="P2009" s="37">
        <v>1.1054</v>
      </c>
      <c r="Q2009">
        <v>0.92</v>
      </c>
      <c r="R2009">
        <v>4604</v>
      </c>
      <c r="S2009">
        <v>4604</v>
      </c>
      <c r="T2009">
        <v>5000</v>
      </c>
      <c r="U2009" t="s">
        <v>5325</v>
      </c>
      <c r="W2009" t="s">
        <v>5323</v>
      </c>
      <c r="X2009" t="s">
        <v>5324</v>
      </c>
      <c r="Y2009" t="s">
        <v>4833</v>
      </c>
      <c r="Z2009" s="37">
        <v>0.012</v>
      </c>
      <c r="AA2009" s="37">
        <v>1</v>
      </c>
      <c r="AB2009">
        <v>0</v>
      </c>
    </row>
    <row r="2010">
      <c r="A2010" t="s">
        <v>5487</v>
      </c>
      <c r="B2010" t="s">
        <v>5475</v>
      </c>
      <c r="C2010" t="s">
        <v>5475</v>
      </c>
      <c r="D2010" t="s">
        <v>2521</v>
      </c>
      <c r="E2010" t="s">
        <v>5488</v>
      </c>
      <c r="F2010" t="s">
        <v>298</v>
      </c>
      <c r="G2010" t="s">
        <v>3529</v>
      </c>
      <c r="H2010" t="s">
        <v>3551</v>
      </c>
      <c r="I2010" t="s">
        <v>5492</v>
      </c>
      <c r="J2010" t="s">
        <v>5493</v>
      </c>
      <c r="K2010" t="s">
        <v>5494</v>
      </c>
      <c r="L2010" t="s">
        <v>5465</v>
      </c>
      <c r="M2010" s="37">
        <v>1.324</v>
      </c>
      <c r="N2010" s="37">
        <v>0.2</v>
      </c>
      <c r="O2010">
        <v>1.2</v>
      </c>
      <c r="P2010" s="37">
        <v>1.1054</v>
      </c>
      <c r="Q2010">
        <v>0.92</v>
      </c>
      <c r="R2010">
        <v>4604</v>
      </c>
      <c r="S2010">
        <v>4604</v>
      </c>
      <c r="T2010">
        <v>5000</v>
      </c>
      <c r="U2010" t="s">
        <v>5325</v>
      </c>
      <c r="W2010" t="s">
        <v>5323</v>
      </c>
      <c r="X2010" t="s">
        <v>5324</v>
      </c>
      <c r="Y2010" t="s">
        <v>4833</v>
      </c>
      <c r="Z2010" s="37">
        <v>0.012</v>
      </c>
      <c r="AA2010" s="37">
        <v>1</v>
      </c>
      <c r="AB2010">
        <v>0</v>
      </c>
    </row>
    <row r="2011">
      <c r="A2011" t="s">
        <v>5487</v>
      </c>
      <c r="B2011" t="s">
        <v>5475</v>
      </c>
      <c r="C2011" t="s">
        <v>5475</v>
      </c>
      <c r="D2011" t="s">
        <v>2521</v>
      </c>
      <c r="E2011" t="s">
        <v>5488</v>
      </c>
      <c r="F2011" t="s">
        <v>298</v>
      </c>
      <c r="G2011" t="s">
        <v>3529</v>
      </c>
      <c r="H2011" t="s">
        <v>3599</v>
      </c>
      <c r="I2011" t="s">
        <v>5495</v>
      </c>
      <c r="J2011" t="s">
        <v>5496</v>
      </c>
      <c r="K2011">
        <v>6395</v>
      </c>
      <c r="L2011" t="s">
        <v>5465</v>
      </c>
      <c r="M2011" s="37">
        <v>0.799</v>
      </c>
      <c r="N2011" s="37">
        <v>0.2</v>
      </c>
      <c r="O2011">
        <v>0</v>
      </c>
      <c r="P2011" s="37">
        <v>1.1054</v>
      </c>
      <c r="Q2011">
        <v>0.92</v>
      </c>
      <c r="R2011">
        <v>4604</v>
      </c>
      <c r="S2011">
        <v>4604</v>
      </c>
      <c r="T2011">
        <v>5000</v>
      </c>
      <c r="U2011" t="s">
        <v>5325</v>
      </c>
      <c r="W2011" t="s">
        <v>5323</v>
      </c>
      <c r="X2011" t="s">
        <v>5324</v>
      </c>
      <c r="Y2011" t="s">
        <v>4833</v>
      </c>
      <c r="Z2011" s="37">
        <v>0.012</v>
      </c>
      <c r="AA2011" s="37">
        <v>1</v>
      </c>
      <c r="AB2011">
        <v>0</v>
      </c>
    </row>
    <row r="2012">
      <c r="A2012" t="s">
        <v>5487</v>
      </c>
      <c r="B2012" t="s">
        <v>5475</v>
      </c>
      <c r="C2012" t="s">
        <v>5475</v>
      </c>
      <c r="D2012" t="s">
        <v>2521</v>
      </c>
      <c r="E2012" t="s">
        <v>5488</v>
      </c>
      <c r="F2012" t="s">
        <v>298</v>
      </c>
      <c r="G2012" t="s">
        <v>3529</v>
      </c>
      <c r="H2012" t="s">
        <v>3537</v>
      </c>
      <c r="I2012" t="s">
        <v>5497</v>
      </c>
      <c r="J2012" t="s">
        <v>5498</v>
      </c>
      <c r="K2012">
        <v>3</v>
      </c>
      <c r="L2012" t="s">
        <v>5465</v>
      </c>
      <c r="M2012" s="37">
        <v>1.5</v>
      </c>
      <c r="N2012" s="37">
        <v>0.2</v>
      </c>
      <c r="O2012">
        <v>1.5</v>
      </c>
      <c r="P2012" s="37">
        <v>1.1054</v>
      </c>
      <c r="Q2012">
        <v>0.92</v>
      </c>
      <c r="R2012">
        <v>4604</v>
      </c>
      <c r="S2012">
        <v>4604</v>
      </c>
      <c r="T2012">
        <v>5000</v>
      </c>
      <c r="U2012" t="s">
        <v>5325</v>
      </c>
      <c r="W2012" t="s">
        <v>5323</v>
      </c>
      <c r="X2012" t="s">
        <v>5324</v>
      </c>
      <c r="Y2012" t="s">
        <v>4833</v>
      </c>
      <c r="Z2012" s="37">
        <v>0.012</v>
      </c>
      <c r="AA2012" s="37">
        <v>1</v>
      </c>
      <c r="AB2012">
        <v>0</v>
      </c>
    </row>
    <row r="2013">
      <c r="A2013" t="s">
        <v>5499</v>
      </c>
      <c r="B2013" t="s">
        <v>5475</v>
      </c>
      <c r="C2013" t="s">
        <v>5475</v>
      </c>
      <c r="D2013" t="s">
        <v>359</v>
      </c>
      <c r="E2013" t="s">
        <v>5500</v>
      </c>
      <c r="F2013" t="s">
        <v>298</v>
      </c>
      <c r="G2013" t="s">
        <v>3529</v>
      </c>
      <c r="H2013" t="s">
        <v>3530</v>
      </c>
      <c r="I2013" t="s">
        <v>5477</v>
      </c>
      <c r="J2013" t="s">
        <v>5478</v>
      </c>
      <c r="K2013" t="s">
        <v>5479</v>
      </c>
      <c r="L2013" t="s">
        <v>5465</v>
      </c>
      <c r="M2013" s="37">
        <v>0.895</v>
      </c>
      <c r="N2013" s="37">
        <v>0.15</v>
      </c>
      <c r="O2013">
        <v>0.895</v>
      </c>
      <c r="P2013" s="37">
        <v>1.0436</v>
      </c>
      <c r="Q2013">
        <v>1</v>
      </c>
      <c r="R2013">
        <v>5000</v>
      </c>
      <c r="S2013">
        <v>5000</v>
      </c>
      <c r="T2013">
        <v>5000</v>
      </c>
      <c r="U2013" t="s">
        <v>5325</v>
      </c>
      <c r="W2013" t="s">
        <v>5323</v>
      </c>
      <c r="X2013" t="s">
        <v>5324</v>
      </c>
      <c r="Y2013" t="s">
        <v>4833</v>
      </c>
      <c r="Z2013" s="37">
        <v>0.012</v>
      </c>
      <c r="AA2013" s="37">
        <v>1</v>
      </c>
      <c r="AB2013">
        <v>0</v>
      </c>
    </row>
    <row r="2014">
      <c r="A2014" t="s">
        <v>5499</v>
      </c>
      <c r="B2014" t="s">
        <v>5475</v>
      </c>
      <c r="C2014" t="s">
        <v>5475</v>
      </c>
      <c r="D2014" t="s">
        <v>359</v>
      </c>
      <c r="E2014" t="s">
        <v>5500</v>
      </c>
      <c r="F2014" t="s">
        <v>298</v>
      </c>
      <c r="G2014" t="s">
        <v>3529</v>
      </c>
      <c r="H2014" t="s">
        <v>3551</v>
      </c>
      <c r="I2014" t="s">
        <v>5480</v>
      </c>
      <c r="J2014" t="s">
        <v>5481</v>
      </c>
      <c r="K2014" s="38">
        <v>0.22</v>
      </c>
      <c r="L2014" t="s">
        <v>5465</v>
      </c>
      <c r="M2014" s="37">
        <v>1.273</v>
      </c>
      <c r="N2014" s="37">
        <v>0.2</v>
      </c>
      <c r="O2014">
        <v>1.2</v>
      </c>
      <c r="P2014" s="37">
        <v>1.0436</v>
      </c>
      <c r="Q2014">
        <v>1</v>
      </c>
      <c r="R2014">
        <v>5000</v>
      </c>
      <c r="S2014">
        <v>5000</v>
      </c>
      <c r="T2014">
        <v>5000</v>
      </c>
      <c r="U2014" t="s">
        <v>5325</v>
      </c>
      <c r="W2014" t="s">
        <v>5323</v>
      </c>
      <c r="X2014" t="s">
        <v>5324</v>
      </c>
      <c r="Y2014" t="s">
        <v>4833</v>
      </c>
      <c r="Z2014" s="37">
        <v>0.012</v>
      </c>
      <c r="AA2014" s="37">
        <v>1</v>
      </c>
      <c r="AB2014">
        <v>0</v>
      </c>
    </row>
    <row r="2015">
      <c r="A2015" t="s">
        <v>5499</v>
      </c>
      <c r="B2015" t="s">
        <v>5475</v>
      </c>
      <c r="C2015" t="s">
        <v>5475</v>
      </c>
      <c r="D2015" t="s">
        <v>359</v>
      </c>
      <c r="E2015" t="s">
        <v>5500</v>
      </c>
      <c r="F2015" t="s">
        <v>298</v>
      </c>
      <c r="G2015" t="s">
        <v>3529</v>
      </c>
      <c r="H2015" t="s">
        <v>3541</v>
      </c>
      <c r="I2015" t="s">
        <v>5501</v>
      </c>
      <c r="J2015" t="s">
        <v>5502</v>
      </c>
      <c r="K2015" t="s">
        <v>5503</v>
      </c>
      <c r="L2015" t="s">
        <v>5465</v>
      </c>
      <c r="M2015" s="37">
        <v>1.467</v>
      </c>
      <c r="N2015" s="37">
        <v>0.35</v>
      </c>
      <c r="O2015">
        <v>1.467</v>
      </c>
      <c r="P2015" s="37">
        <v>1.0436</v>
      </c>
      <c r="Q2015">
        <v>1</v>
      </c>
      <c r="R2015">
        <v>5000</v>
      </c>
      <c r="S2015">
        <v>5000</v>
      </c>
      <c r="T2015">
        <v>5000</v>
      </c>
      <c r="U2015" t="s">
        <v>5325</v>
      </c>
      <c r="W2015" t="s">
        <v>5323</v>
      </c>
      <c r="X2015" t="s">
        <v>5324</v>
      </c>
      <c r="Y2015" t="s">
        <v>4833</v>
      </c>
      <c r="Z2015" s="37">
        <v>0.012</v>
      </c>
      <c r="AA2015" s="37">
        <v>1</v>
      </c>
      <c r="AB2015">
        <v>0</v>
      </c>
    </row>
    <row r="2016">
      <c r="A2016" t="s">
        <v>5499</v>
      </c>
      <c r="B2016" t="s">
        <v>5475</v>
      </c>
      <c r="C2016" t="s">
        <v>5475</v>
      </c>
      <c r="D2016" t="s">
        <v>359</v>
      </c>
      <c r="E2016" t="s">
        <v>5500</v>
      </c>
      <c r="F2016" t="s">
        <v>298</v>
      </c>
      <c r="G2016" t="s">
        <v>3529</v>
      </c>
      <c r="H2016" t="s">
        <v>3541</v>
      </c>
      <c r="I2016" t="s">
        <v>5504</v>
      </c>
      <c r="J2016" t="s">
        <v>5505</v>
      </c>
      <c r="K2016" t="s">
        <v>5506</v>
      </c>
      <c r="L2016" t="s">
        <v>5465</v>
      </c>
      <c r="M2016" s="37">
        <v>0.471</v>
      </c>
      <c r="N2016" s="37">
        <v>0.3</v>
      </c>
      <c r="O2016">
        <v>0.377</v>
      </c>
      <c r="P2016" s="37">
        <v>1.0436</v>
      </c>
      <c r="Q2016">
        <v>1</v>
      </c>
      <c r="R2016">
        <v>5000</v>
      </c>
      <c r="S2016">
        <v>5000</v>
      </c>
      <c r="T2016">
        <v>5000</v>
      </c>
      <c r="U2016" t="s">
        <v>5325</v>
      </c>
      <c r="W2016" t="s">
        <v>5323</v>
      </c>
      <c r="X2016" t="s">
        <v>5324</v>
      </c>
      <c r="Y2016" t="s">
        <v>4833</v>
      </c>
      <c r="Z2016" s="37">
        <v>0.012</v>
      </c>
      <c r="AA2016" s="37">
        <v>1</v>
      </c>
      <c r="AB2016">
        <v>0</v>
      </c>
    </row>
    <row r="2017">
      <c r="A2017" t="s">
        <v>5507</v>
      </c>
      <c r="B2017" t="s">
        <v>5475</v>
      </c>
      <c r="C2017" t="s">
        <v>5475</v>
      </c>
      <c r="D2017" t="s">
        <v>2521</v>
      </c>
      <c r="E2017" t="s">
        <v>5508</v>
      </c>
      <c r="F2017" t="s">
        <v>298</v>
      </c>
      <c r="G2017" t="s">
        <v>3529</v>
      </c>
      <c r="H2017" t="s">
        <v>3530</v>
      </c>
      <c r="I2017" t="s">
        <v>5509</v>
      </c>
      <c r="J2017" t="s">
        <v>5510</v>
      </c>
      <c r="K2017" t="s">
        <v>5511</v>
      </c>
      <c r="L2017" t="s">
        <v>5465</v>
      </c>
      <c r="M2017" s="37">
        <v>0.832</v>
      </c>
      <c r="N2017" s="37">
        <v>0.15</v>
      </c>
      <c r="O2017">
        <v>0.832</v>
      </c>
      <c r="P2017" s="37">
        <v>1.8932</v>
      </c>
      <c r="Q2017">
        <v>1.14</v>
      </c>
      <c r="R2017">
        <v>7000</v>
      </c>
      <c r="S2017">
        <v>7000</v>
      </c>
      <c r="T2017">
        <v>5000</v>
      </c>
      <c r="U2017" t="s">
        <v>5325</v>
      </c>
      <c r="W2017" t="s">
        <v>5323</v>
      </c>
      <c r="X2017" t="s">
        <v>5324</v>
      </c>
      <c r="Y2017" t="s">
        <v>4833</v>
      </c>
      <c r="Z2017" s="37">
        <v>0.012</v>
      </c>
      <c r="AA2017" s="37">
        <v>1</v>
      </c>
      <c r="AB2017">
        <v>0</v>
      </c>
    </row>
    <row r="2018">
      <c r="A2018" t="s">
        <v>5507</v>
      </c>
      <c r="B2018" t="s">
        <v>5475</v>
      </c>
      <c r="C2018" t="s">
        <v>5475</v>
      </c>
      <c r="D2018" t="s">
        <v>2521</v>
      </c>
      <c r="E2018" t="s">
        <v>5508</v>
      </c>
      <c r="F2018" t="s">
        <v>298</v>
      </c>
      <c r="G2018" t="s">
        <v>3529</v>
      </c>
      <c r="H2018" t="s">
        <v>3551</v>
      </c>
      <c r="I2018" t="s">
        <v>5512</v>
      </c>
      <c r="J2018" t="s">
        <v>2344</v>
      </c>
      <c r="K2018">
        <v>0.204</v>
      </c>
      <c r="L2018" t="s">
        <v>5465</v>
      </c>
      <c r="M2018" s="37">
        <v>1.134</v>
      </c>
      <c r="N2018" s="37">
        <v>0.2</v>
      </c>
      <c r="O2018">
        <v>1.134</v>
      </c>
      <c r="P2018" s="37">
        <v>1.8932</v>
      </c>
      <c r="Q2018">
        <v>1.14</v>
      </c>
      <c r="R2018">
        <v>7000</v>
      </c>
      <c r="S2018">
        <v>7000</v>
      </c>
      <c r="T2018">
        <v>5000</v>
      </c>
      <c r="U2018" t="s">
        <v>5325</v>
      </c>
      <c r="W2018" t="s">
        <v>5323</v>
      </c>
      <c r="X2018" t="s">
        <v>5324</v>
      </c>
      <c r="Y2018" t="s">
        <v>4833</v>
      </c>
      <c r="Z2018" s="37">
        <v>0.012</v>
      </c>
      <c r="AA2018" s="37">
        <v>1</v>
      </c>
      <c r="AB2018">
        <v>0</v>
      </c>
    </row>
    <row r="2019">
      <c r="A2019" t="s">
        <v>5507</v>
      </c>
      <c r="B2019" t="s">
        <v>5475</v>
      </c>
      <c r="C2019" t="s">
        <v>5475</v>
      </c>
      <c r="D2019" t="s">
        <v>2521</v>
      </c>
      <c r="E2019" t="s">
        <v>5508</v>
      </c>
      <c r="F2019" t="s">
        <v>298</v>
      </c>
      <c r="G2019" t="s">
        <v>3529</v>
      </c>
      <c r="H2019" t="s">
        <v>5513</v>
      </c>
      <c r="I2019" t="s">
        <v>5514</v>
      </c>
      <c r="J2019" t="s">
        <v>5515</v>
      </c>
      <c r="K2019" t="s">
        <v>5516</v>
      </c>
      <c r="L2019" t="s">
        <v>5465</v>
      </c>
      <c r="M2019" s="37">
        <v>0.976</v>
      </c>
      <c r="N2019" s="37">
        <v>0.35</v>
      </c>
      <c r="O2019">
        <v>0.976</v>
      </c>
      <c r="P2019" s="37">
        <v>1.8932</v>
      </c>
      <c r="Q2019">
        <v>1.14</v>
      </c>
      <c r="R2019">
        <v>7000</v>
      </c>
      <c r="S2019">
        <v>7000</v>
      </c>
      <c r="T2019">
        <v>5000</v>
      </c>
      <c r="U2019" t="s">
        <v>5325</v>
      </c>
      <c r="W2019" t="s">
        <v>5323</v>
      </c>
      <c r="X2019" t="s">
        <v>5324</v>
      </c>
      <c r="Y2019" t="s">
        <v>4833</v>
      </c>
      <c r="Z2019" s="37">
        <v>0.012</v>
      </c>
      <c r="AA2019" s="37">
        <v>1</v>
      </c>
      <c r="AB2019">
        <v>0</v>
      </c>
    </row>
    <row r="2020">
      <c r="A2020" t="s">
        <v>5507</v>
      </c>
      <c r="B2020" t="s">
        <v>5475</v>
      </c>
      <c r="C2020" t="s">
        <v>5475</v>
      </c>
      <c r="D2020" t="s">
        <v>2521</v>
      </c>
      <c r="E2020" t="s">
        <v>5508</v>
      </c>
      <c r="F2020" t="s">
        <v>298</v>
      </c>
      <c r="G2020" t="s">
        <v>3529</v>
      </c>
      <c r="H2020" t="s">
        <v>5517</v>
      </c>
      <c r="I2020" t="s">
        <v>5518</v>
      </c>
      <c r="J2020" t="s">
        <v>709</v>
      </c>
      <c r="K2020">
        <v>8</v>
      </c>
      <c r="L2020" t="s">
        <v>5465</v>
      </c>
      <c r="M2020" s="37">
        <v>4</v>
      </c>
      <c r="N2020" s="37">
        <v>0.3</v>
      </c>
      <c r="O2020">
        <v>1.5</v>
      </c>
      <c r="P2020" s="37">
        <v>1.8932</v>
      </c>
      <c r="Q2020">
        <v>1.14</v>
      </c>
      <c r="R2020">
        <v>7000</v>
      </c>
      <c r="S2020">
        <v>7000</v>
      </c>
      <c r="T2020">
        <v>5000</v>
      </c>
      <c r="U2020" t="s">
        <v>5325</v>
      </c>
      <c r="W2020" t="s">
        <v>5323</v>
      </c>
      <c r="X2020" t="s">
        <v>5324</v>
      </c>
      <c r="Y2020" t="s">
        <v>4833</v>
      </c>
      <c r="Z2020" s="37">
        <v>0.012</v>
      </c>
      <c r="AA2020" s="37">
        <v>1</v>
      </c>
      <c r="AB2020">
        <v>0</v>
      </c>
    </row>
    <row r="2021">
      <c r="A2021" t="s">
        <v>5519</v>
      </c>
      <c r="B2021" t="s">
        <v>5475</v>
      </c>
      <c r="C2021" t="s">
        <v>5475</v>
      </c>
      <c r="D2021" t="s">
        <v>2521</v>
      </c>
      <c r="E2021" t="s">
        <v>5520</v>
      </c>
      <c r="F2021" t="s">
        <v>298</v>
      </c>
      <c r="G2021" t="s">
        <v>3529</v>
      </c>
      <c r="H2021" t="s">
        <v>3530</v>
      </c>
      <c r="I2021" t="s">
        <v>5521</v>
      </c>
      <c r="J2021" t="s">
        <v>5515</v>
      </c>
      <c r="K2021" t="s">
        <v>5522</v>
      </c>
      <c r="L2021" t="s">
        <v>5465</v>
      </c>
      <c r="M2021" s="37">
        <v>0.986</v>
      </c>
      <c r="N2021" s="37">
        <v>0.3</v>
      </c>
      <c r="O2021">
        <v>0.986</v>
      </c>
      <c r="P2021" s="37">
        <v>1.17765</v>
      </c>
      <c r="Q2021">
        <v>1.05</v>
      </c>
      <c r="R2021">
        <v>0</v>
      </c>
      <c r="S2021">
        <v>0</v>
      </c>
      <c r="T2021">
        <v>5000</v>
      </c>
      <c r="U2021" t="s">
        <v>5325</v>
      </c>
      <c r="W2021" t="s">
        <v>5323</v>
      </c>
      <c r="X2021" t="s">
        <v>5324</v>
      </c>
      <c r="Y2021" t="s">
        <v>4833</v>
      </c>
      <c r="Z2021" s="37">
        <v>0.012</v>
      </c>
      <c r="AA2021" s="37">
        <v>1</v>
      </c>
      <c r="AB2021">
        <v>0</v>
      </c>
    </row>
    <row r="2022">
      <c r="A2022" t="s">
        <v>5519</v>
      </c>
      <c r="B2022" t="s">
        <v>5475</v>
      </c>
      <c r="C2022" t="s">
        <v>5475</v>
      </c>
      <c r="D2022" t="s">
        <v>2521</v>
      </c>
      <c r="E2022" t="s">
        <v>5520</v>
      </c>
      <c r="F2022" t="s">
        <v>298</v>
      </c>
      <c r="G2022" t="s">
        <v>3529</v>
      </c>
      <c r="H2022" t="s">
        <v>3551</v>
      </c>
      <c r="I2022" t="s">
        <v>5523</v>
      </c>
      <c r="J2022" t="s">
        <v>2296</v>
      </c>
      <c r="K2022" s="38">
        <v>0.19</v>
      </c>
      <c r="L2022" t="s">
        <v>5465</v>
      </c>
      <c r="M2022" s="37">
        <v>1.004</v>
      </c>
      <c r="N2022" s="37">
        <v>0.2</v>
      </c>
      <c r="O2022">
        <v>1.004</v>
      </c>
      <c r="P2022" s="37">
        <v>1.17765</v>
      </c>
      <c r="Q2022">
        <v>1.05</v>
      </c>
      <c r="R2022">
        <v>0</v>
      </c>
      <c r="S2022">
        <v>0</v>
      </c>
      <c r="T2022">
        <v>5000</v>
      </c>
      <c r="U2022" t="s">
        <v>5325</v>
      </c>
      <c r="W2022" t="s">
        <v>5323</v>
      </c>
      <c r="X2022" t="s">
        <v>5324</v>
      </c>
      <c r="Y2022" t="s">
        <v>4833</v>
      </c>
      <c r="Z2022" s="37">
        <v>0.012</v>
      </c>
      <c r="AA2022" s="37">
        <v>1</v>
      </c>
      <c r="AB2022">
        <v>0</v>
      </c>
    </row>
    <row r="2023">
      <c r="A2023" t="s">
        <v>5519</v>
      </c>
      <c r="B2023" t="s">
        <v>5475</v>
      </c>
      <c r="C2023" t="s">
        <v>5475</v>
      </c>
      <c r="D2023" t="s">
        <v>2521</v>
      </c>
      <c r="E2023" t="s">
        <v>5520</v>
      </c>
      <c r="F2023" t="s">
        <v>298</v>
      </c>
      <c r="G2023" t="s">
        <v>3529</v>
      </c>
      <c r="H2023" t="s">
        <v>3530</v>
      </c>
      <c r="I2023" t="s">
        <v>5524</v>
      </c>
      <c r="J2023" t="s">
        <v>5525</v>
      </c>
      <c r="K2023" t="s">
        <v>5526</v>
      </c>
      <c r="L2023" t="s">
        <v>5465</v>
      </c>
      <c r="M2023" s="37">
        <v>0.761</v>
      </c>
      <c r="N2023" s="37">
        <v>0.15</v>
      </c>
      <c r="O2023">
        <v>0.609</v>
      </c>
      <c r="P2023" s="37">
        <v>1.17765</v>
      </c>
      <c r="Q2023">
        <v>1.05</v>
      </c>
      <c r="R2023">
        <v>0</v>
      </c>
      <c r="S2023">
        <v>0</v>
      </c>
      <c r="T2023">
        <v>5000</v>
      </c>
      <c r="U2023" t="s">
        <v>5325</v>
      </c>
      <c r="W2023" t="s">
        <v>5323</v>
      </c>
      <c r="X2023" t="s">
        <v>5324</v>
      </c>
      <c r="Y2023" t="s">
        <v>4833</v>
      </c>
      <c r="Z2023" s="37">
        <v>0.012</v>
      </c>
      <c r="AA2023" s="37">
        <v>1</v>
      </c>
      <c r="AB2023">
        <v>0</v>
      </c>
    </row>
    <row r="2024">
      <c r="A2024" t="s">
        <v>5519</v>
      </c>
      <c r="B2024" t="s">
        <v>5475</v>
      </c>
      <c r="C2024" t="s">
        <v>5475</v>
      </c>
      <c r="D2024" t="s">
        <v>2521</v>
      </c>
      <c r="E2024" t="s">
        <v>5520</v>
      </c>
      <c r="F2024" t="s">
        <v>298</v>
      </c>
      <c r="G2024" t="s">
        <v>3529</v>
      </c>
      <c r="H2024" t="s">
        <v>3551</v>
      </c>
      <c r="I2024" t="s">
        <v>5527</v>
      </c>
      <c r="J2024" t="s">
        <v>5528</v>
      </c>
      <c r="K2024" t="s">
        <v>5529</v>
      </c>
      <c r="L2024" t="s">
        <v>5465</v>
      </c>
      <c r="M2024" s="37">
        <v>1.558</v>
      </c>
      <c r="N2024" s="37">
        <v>0.1</v>
      </c>
      <c r="O2024">
        <v>1.2</v>
      </c>
      <c r="P2024" s="37">
        <v>1.17765</v>
      </c>
      <c r="Q2024">
        <v>1.05</v>
      </c>
      <c r="R2024">
        <v>0</v>
      </c>
      <c r="S2024">
        <v>0</v>
      </c>
      <c r="T2024">
        <v>5000</v>
      </c>
      <c r="U2024" t="s">
        <v>5325</v>
      </c>
      <c r="W2024" t="s">
        <v>5323</v>
      </c>
      <c r="X2024" t="s">
        <v>5324</v>
      </c>
      <c r="Y2024" t="s">
        <v>4833</v>
      </c>
      <c r="Z2024" s="37">
        <v>0.012</v>
      </c>
      <c r="AA2024" s="37">
        <v>1</v>
      </c>
      <c r="AB2024">
        <v>0</v>
      </c>
    </row>
    <row r="2025">
      <c r="A2025" t="s">
        <v>5519</v>
      </c>
      <c r="B2025" t="s">
        <v>5475</v>
      </c>
      <c r="C2025" t="s">
        <v>5475</v>
      </c>
      <c r="D2025" t="s">
        <v>2521</v>
      </c>
      <c r="E2025" t="s">
        <v>5520</v>
      </c>
      <c r="F2025" t="s">
        <v>298</v>
      </c>
      <c r="G2025" t="s">
        <v>3529</v>
      </c>
      <c r="H2025" t="s">
        <v>3530</v>
      </c>
      <c r="I2025" t="s">
        <v>5530</v>
      </c>
      <c r="J2025" t="s">
        <v>5531</v>
      </c>
      <c r="K2025" t="s">
        <v>5532</v>
      </c>
      <c r="L2025" t="s">
        <v>5465</v>
      </c>
      <c r="M2025" s="37">
        <v>1.36</v>
      </c>
      <c r="N2025" s="37">
        <v>0.15</v>
      </c>
      <c r="O2025">
        <v>1.5</v>
      </c>
      <c r="P2025" s="37">
        <v>1.17765</v>
      </c>
      <c r="Q2025">
        <v>1.05</v>
      </c>
      <c r="R2025">
        <v>0</v>
      </c>
      <c r="S2025">
        <v>0</v>
      </c>
      <c r="T2025">
        <v>5000</v>
      </c>
      <c r="U2025" t="s">
        <v>5325</v>
      </c>
      <c r="W2025" t="s">
        <v>5323</v>
      </c>
      <c r="X2025" t="s">
        <v>5324</v>
      </c>
      <c r="Y2025" t="s">
        <v>4833</v>
      </c>
      <c r="Z2025" s="37">
        <v>0.012</v>
      </c>
      <c r="AA2025" s="37">
        <v>1</v>
      </c>
      <c r="AB2025">
        <v>0</v>
      </c>
    </row>
    <row r="2026">
      <c r="A2026" t="s">
        <v>5519</v>
      </c>
      <c r="B2026" t="s">
        <v>5475</v>
      </c>
      <c r="C2026" t="s">
        <v>5475</v>
      </c>
      <c r="D2026" t="s">
        <v>2521</v>
      </c>
      <c r="E2026" t="s">
        <v>5520</v>
      </c>
      <c r="F2026" t="s">
        <v>298</v>
      </c>
      <c r="G2026" t="s">
        <v>3529</v>
      </c>
      <c r="H2026" t="s">
        <v>3551</v>
      </c>
      <c r="I2026" t="s">
        <v>5533</v>
      </c>
      <c r="J2026" t="s">
        <v>5534</v>
      </c>
      <c r="K2026" t="s">
        <v>5535</v>
      </c>
      <c r="L2026" t="s">
        <v>5465</v>
      </c>
      <c r="M2026" s="37">
        <v>2.071</v>
      </c>
      <c r="N2026" s="37">
        <v>0.1</v>
      </c>
      <c r="O2026">
        <v>1.2</v>
      </c>
      <c r="P2026" s="37">
        <v>1.17765</v>
      </c>
      <c r="Q2026">
        <v>1.05</v>
      </c>
      <c r="R2026">
        <v>0</v>
      </c>
      <c r="S2026">
        <v>0</v>
      </c>
      <c r="T2026">
        <v>5000</v>
      </c>
      <c r="U2026" t="s">
        <v>5325</v>
      </c>
      <c r="W2026" t="s">
        <v>5323</v>
      </c>
      <c r="X2026" t="s">
        <v>5324</v>
      </c>
      <c r="Y2026" t="s">
        <v>4833</v>
      </c>
      <c r="Z2026" s="37">
        <v>0.012</v>
      </c>
      <c r="AA2026" s="37">
        <v>1</v>
      </c>
      <c r="AB2026">
        <v>0</v>
      </c>
    </row>
    <row r="2027">
      <c r="A2027" t="s">
        <v>5536</v>
      </c>
      <c r="B2027" t="s">
        <v>5475</v>
      </c>
      <c r="C2027" t="s">
        <v>5475</v>
      </c>
      <c r="D2027" t="s">
        <v>2521</v>
      </c>
      <c r="E2027" t="s">
        <v>5537</v>
      </c>
      <c r="F2027" t="s">
        <v>298</v>
      </c>
      <c r="G2027" t="s">
        <v>3529</v>
      </c>
      <c r="H2027" t="s">
        <v>3530</v>
      </c>
      <c r="I2027" t="s">
        <v>5538</v>
      </c>
      <c r="J2027" t="s">
        <v>5539</v>
      </c>
      <c r="K2027" t="s">
        <v>5540</v>
      </c>
      <c r="L2027" t="s">
        <v>5465</v>
      </c>
      <c r="M2027" s="37">
        <v>0.902</v>
      </c>
      <c r="N2027" s="37">
        <v>0.5</v>
      </c>
      <c r="O2027">
        <v>0.902</v>
      </c>
      <c r="P2027" s="37">
        <v>0.851</v>
      </c>
      <c r="Q2027">
        <v>0.85</v>
      </c>
      <c r="R2027">
        <v>0</v>
      </c>
      <c r="S2027">
        <v>0</v>
      </c>
      <c r="T2027">
        <v>5000</v>
      </c>
      <c r="U2027" t="s">
        <v>5325</v>
      </c>
      <c r="W2027" t="s">
        <v>5323</v>
      </c>
      <c r="X2027" t="s">
        <v>5324</v>
      </c>
      <c r="Y2027" t="s">
        <v>4833</v>
      </c>
      <c r="Z2027" s="37">
        <v>0.012</v>
      </c>
      <c r="AA2027" s="37">
        <v>1</v>
      </c>
      <c r="AB2027">
        <v>0</v>
      </c>
    </row>
    <row r="2028">
      <c r="A2028" t="s">
        <v>5536</v>
      </c>
      <c r="B2028" t="s">
        <v>5475</v>
      </c>
      <c r="C2028" t="s">
        <v>5475</v>
      </c>
      <c r="D2028" t="s">
        <v>2521</v>
      </c>
      <c r="E2028" t="s">
        <v>5537</v>
      </c>
      <c r="F2028" t="s">
        <v>298</v>
      </c>
      <c r="G2028" t="s">
        <v>3529</v>
      </c>
      <c r="H2028" t="s">
        <v>3551</v>
      </c>
      <c r="I2028" t="s">
        <v>5541</v>
      </c>
      <c r="J2028" t="s">
        <v>2347</v>
      </c>
      <c r="K2028" s="38">
        <v>0.2</v>
      </c>
      <c r="L2028" t="s">
        <v>5465</v>
      </c>
      <c r="M2028" s="37">
        <v>0.8</v>
      </c>
      <c r="N2028" s="37">
        <v>0.5</v>
      </c>
      <c r="O2028">
        <v>0.8</v>
      </c>
      <c r="P2028" s="37">
        <v>0.851</v>
      </c>
      <c r="Q2028">
        <v>0.85</v>
      </c>
      <c r="R2028">
        <v>0</v>
      </c>
      <c r="S2028">
        <v>0</v>
      </c>
      <c r="T2028">
        <v>5000</v>
      </c>
      <c r="U2028" t="s">
        <v>5325</v>
      </c>
      <c r="W2028" t="s">
        <v>5323</v>
      </c>
      <c r="X2028" t="s">
        <v>5324</v>
      </c>
      <c r="Y2028" t="s">
        <v>4833</v>
      </c>
      <c r="Z2028" s="37">
        <v>0.012</v>
      </c>
      <c r="AA2028" s="37">
        <v>1</v>
      </c>
      <c r="AB2028">
        <v>0</v>
      </c>
    </row>
    <row r="2029">
      <c r="A2029" t="s">
        <v>5542</v>
      </c>
      <c r="B2029" t="s">
        <v>694</v>
      </c>
      <c r="C2029" t="s">
        <v>694</v>
      </c>
      <c r="D2029" t="s">
        <v>5543</v>
      </c>
      <c r="E2029" t="s">
        <v>5544</v>
      </c>
      <c r="F2029" t="s">
        <v>298</v>
      </c>
      <c r="G2029" t="s">
        <v>5543</v>
      </c>
      <c r="H2029" t="s">
        <v>5545</v>
      </c>
      <c r="I2029" t="s">
        <v>5546</v>
      </c>
      <c r="J2029" s="38">
        <v>1</v>
      </c>
      <c r="K2029" s="38">
        <v>1</v>
      </c>
      <c r="L2029" t="s">
        <v>5465</v>
      </c>
      <c r="M2029" s="37">
        <v>1.1</v>
      </c>
      <c r="N2029" s="37">
        <v>0.7</v>
      </c>
      <c r="O2029">
        <v>0.77</v>
      </c>
      <c r="P2029" s="37">
        <v>0.815</v>
      </c>
      <c r="Q2029">
        <v>1.07</v>
      </c>
      <c r="R2029">
        <v>1200</v>
      </c>
      <c r="S2029">
        <v>1200</v>
      </c>
      <c r="T2029">
        <v>1200</v>
      </c>
      <c r="U2029" t="s">
        <v>5325</v>
      </c>
      <c r="W2029" t="s">
        <v>5323</v>
      </c>
      <c r="X2029" t="s">
        <v>5324</v>
      </c>
      <c r="Y2029" t="s">
        <v>4833</v>
      </c>
      <c r="Z2029" s="37">
        <v>0.012</v>
      </c>
      <c r="AA2029" s="37">
        <v>1</v>
      </c>
      <c r="AB2029">
        <v>0</v>
      </c>
    </row>
    <row r="2030">
      <c r="A2030" t="s">
        <v>5542</v>
      </c>
      <c r="B2030" t="s">
        <v>694</v>
      </c>
      <c r="C2030" t="s">
        <v>694</v>
      </c>
      <c r="D2030" t="s">
        <v>5543</v>
      </c>
      <c r="E2030" t="s">
        <v>5544</v>
      </c>
      <c r="F2030" t="s">
        <v>298</v>
      </c>
      <c r="G2030" t="s">
        <v>5543</v>
      </c>
      <c r="H2030" t="s">
        <v>5547</v>
      </c>
      <c r="I2030" t="s">
        <v>5548</v>
      </c>
      <c r="J2030" s="38">
        <v>1</v>
      </c>
      <c r="K2030" s="38">
        <v>1</v>
      </c>
      <c r="L2030" t="s">
        <v>5465</v>
      </c>
      <c r="M2030" s="37">
        <v>0.15</v>
      </c>
      <c r="N2030" s="37">
        <v>0.15</v>
      </c>
      <c r="O2030">
        <v>0.15</v>
      </c>
      <c r="P2030" s="37">
        <v>0.815</v>
      </c>
      <c r="Q2030">
        <v>1.07</v>
      </c>
      <c r="R2030">
        <v>1200</v>
      </c>
      <c r="S2030">
        <v>1200</v>
      </c>
      <c r="T2030">
        <v>1200</v>
      </c>
      <c r="U2030" t="s">
        <v>5325</v>
      </c>
      <c r="W2030" t="s">
        <v>5323</v>
      </c>
      <c r="X2030" t="s">
        <v>5324</v>
      </c>
      <c r="Y2030" t="s">
        <v>4833</v>
      </c>
      <c r="Z2030" s="37">
        <v>0.012</v>
      </c>
      <c r="AA2030" s="37">
        <v>1</v>
      </c>
      <c r="AB2030">
        <v>0</v>
      </c>
    </row>
    <row r="2031">
      <c r="A2031" t="s">
        <v>5542</v>
      </c>
      <c r="B2031" t="s">
        <v>694</v>
      </c>
      <c r="C2031" t="s">
        <v>694</v>
      </c>
      <c r="D2031" t="s">
        <v>5543</v>
      </c>
      <c r="E2031" t="s">
        <v>5544</v>
      </c>
      <c r="F2031" t="s">
        <v>298</v>
      </c>
      <c r="G2031" t="s">
        <v>5543</v>
      </c>
      <c r="H2031" t="s">
        <v>5549</v>
      </c>
      <c r="I2031" t="s">
        <v>5548</v>
      </c>
      <c r="J2031" s="38">
        <v>1</v>
      </c>
      <c r="K2031" s="38">
        <v>1</v>
      </c>
      <c r="L2031" t="s">
        <v>5465</v>
      </c>
      <c r="M2031" s="37">
        <v>0.15</v>
      </c>
      <c r="N2031" s="37">
        <v>0.15</v>
      </c>
      <c r="O2031">
        <v>0.15</v>
      </c>
      <c r="P2031" s="37">
        <v>0.815</v>
      </c>
      <c r="Q2031">
        <v>1.07</v>
      </c>
      <c r="R2031">
        <v>1200</v>
      </c>
      <c r="S2031">
        <v>1200</v>
      </c>
      <c r="T2031">
        <v>1200</v>
      </c>
      <c r="U2031" t="s">
        <v>5325</v>
      </c>
      <c r="W2031" t="s">
        <v>5323</v>
      </c>
      <c r="X2031" t="s">
        <v>5324</v>
      </c>
      <c r="Y2031" t="s">
        <v>4833</v>
      </c>
      <c r="Z2031" s="37">
        <v>0.012</v>
      </c>
      <c r="AA2031" s="37">
        <v>1</v>
      </c>
      <c r="AB2031">
        <v>0</v>
      </c>
    </row>
    <row r="2032">
      <c r="A2032" t="s">
        <v>5550</v>
      </c>
      <c r="B2032" t="s">
        <v>5475</v>
      </c>
      <c r="C2032" t="s">
        <v>5475</v>
      </c>
      <c r="D2032" t="s">
        <v>5551</v>
      </c>
      <c r="E2032" t="s">
        <v>5552</v>
      </c>
      <c r="F2032" t="s">
        <v>298</v>
      </c>
      <c r="G2032" t="s">
        <v>5553</v>
      </c>
      <c r="H2032" t="s">
        <v>5554</v>
      </c>
      <c r="I2032" t="s">
        <v>5555</v>
      </c>
      <c r="J2032" t="s">
        <v>5556</v>
      </c>
      <c r="K2032">
        <v>100337.52</v>
      </c>
      <c r="L2032" t="s">
        <v>5465</v>
      </c>
      <c r="M2032" s="37">
        <v>0.94658</v>
      </c>
      <c r="N2032" s="37">
        <v>0.3</v>
      </c>
      <c r="O2032">
        <v>0.9466</v>
      </c>
      <c r="P2032" s="37">
        <v>1.212424</v>
      </c>
      <c r="Q2032">
        <v>1.21</v>
      </c>
      <c r="R2032">
        <v>4000</v>
      </c>
      <c r="S2032">
        <v>4000</v>
      </c>
      <c r="T2032">
        <v>3000</v>
      </c>
      <c r="U2032" t="s">
        <v>5325</v>
      </c>
      <c r="W2032" t="s">
        <v>5323</v>
      </c>
      <c r="X2032" t="s">
        <v>5324</v>
      </c>
      <c r="Y2032" t="s">
        <v>4833</v>
      </c>
      <c r="Z2032" s="37">
        <v>0.012</v>
      </c>
      <c r="AA2032" s="37">
        <v>1</v>
      </c>
      <c r="AB2032">
        <v>0</v>
      </c>
    </row>
    <row r="2033">
      <c r="A2033" t="s">
        <v>5550</v>
      </c>
      <c r="B2033" t="s">
        <v>5475</v>
      </c>
      <c r="C2033" t="s">
        <v>5475</v>
      </c>
      <c r="D2033" t="s">
        <v>5551</v>
      </c>
      <c r="E2033" t="s">
        <v>5552</v>
      </c>
      <c r="F2033" t="s">
        <v>298</v>
      </c>
      <c r="G2033" t="s">
        <v>5553</v>
      </c>
      <c r="H2033" t="s">
        <v>5557</v>
      </c>
      <c r="I2033" t="s">
        <v>5558</v>
      </c>
      <c r="J2033" t="s">
        <v>5559</v>
      </c>
      <c r="K2033">
        <v>3737.5</v>
      </c>
      <c r="L2033" t="s">
        <v>5465</v>
      </c>
      <c r="M2033" s="37">
        <v>1.041667</v>
      </c>
      <c r="N2033" s="37">
        <v>0.05</v>
      </c>
      <c r="O2033">
        <v>1.0417</v>
      </c>
      <c r="P2033" s="37">
        <v>1.212424</v>
      </c>
      <c r="Q2033">
        <v>1.21</v>
      </c>
      <c r="R2033">
        <v>4000</v>
      </c>
      <c r="S2033">
        <v>4000</v>
      </c>
      <c r="T2033">
        <v>3000</v>
      </c>
      <c r="U2033" t="s">
        <v>5325</v>
      </c>
      <c r="W2033" t="s">
        <v>5323</v>
      </c>
      <c r="X2033" t="s">
        <v>5324</v>
      </c>
      <c r="Y2033" t="s">
        <v>4833</v>
      </c>
      <c r="Z2033" s="37">
        <v>0.012</v>
      </c>
      <c r="AA2033" s="37">
        <v>1</v>
      </c>
      <c r="AB2033">
        <v>0</v>
      </c>
    </row>
    <row r="2034">
      <c r="A2034" t="s">
        <v>5550</v>
      </c>
      <c r="B2034" t="s">
        <v>5475</v>
      </c>
      <c r="C2034" t="s">
        <v>5475</v>
      </c>
      <c r="D2034" t="s">
        <v>5551</v>
      </c>
      <c r="E2034" t="s">
        <v>5552</v>
      </c>
      <c r="F2034" t="s">
        <v>298</v>
      </c>
      <c r="G2034" t="s">
        <v>5553</v>
      </c>
      <c r="H2034" t="s">
        <v>5560</v>
      </c>
      <c r="I2034" t="s">
        <v>5561</v>
      </c>
      <c r="J2034" t="s">
        <v>5562</v>
      </c>
      <c r="K2034">
        <v>3680</v>
      </c>
      <c r="L2034" t="s">
        <v>5465</v>
      </c>
      <c r="M2034" s="37">
        <v>1.533333</v>
      </c>
      <c r="N2034" s="37">
        <v>0.2</v>
      </c>
      <c r="O2034">
        <v>1.5333</v>
      </c>
      <c r="P2034" s="37">
        <v>1.212424</v>
      </c>
      <c r="Q2034">
        <v>1.21</v>
      </c>
      <c r="R2034">
        <v>4000</v>
      </c>
      <c r="S2034">
        <v>4000</v>
      </c>
      <c r="T2034">
        <v>3000</v>
      </c>
      <c r="U2034" t="s">
        <v>5325</v>
      </c>
      <c r="W2034" t="s">
        <v>5323</v>
      </c>
      <c r="X2034" t="s">
        <v>5324</v>
      </c>
      <c r="Y2034" t="s">
        <v>4833</v>
      </c>
      <c r="Z2034" s="37">
        <v>0.012</v>
      </c>
      <c r="AA2034" s="37">
        <v>1</v>
      </c>
      <c r="AB2034">
        <v>0</v>
      </c>
    </row>
    <row r="2035">
      <c r="A2035" t="s">
        <v>5550</v>
      </c>
      <c r="B2035" t="s">
        <v>5475</v>
      </c>
      <c r="C2035" t="s">
        <v>5475</v>
      </c>
      <c r="D2035" t="s">
        <v>5551</v>
      </c>
      <c r="E2035" t="s">
        <v>5552</v>
      </c>
      <c r="F2035" t="s">
        <v>298</v>
      </c>
      <c r="G2035" t="s">
        <v>5553</v>
      </c>
      <c r="H2035" t="s">
        <v>5563</v>
      </c>
      <c r="I2035" t="s">
        <v>5564</v>
      </c>
      <c r="J2035" t="s">
        <v>5565</v>
      </c>
      <c r="K2035" s="37">
        <v>0.998</v>
      </c>
      <c r="L2035" t="s">
        <v>5465</v>
      </c>
      <c r="M2035" s="37">
        <v>0.998</v>
      </c>
      <c r="N2035" s="37">
        <v>0.15</v>
      </c>
      <c r="O2035">
        <v>0.998</v>
      </c>
      <c r="P2035" s="37">
        <v>1.212424</v>
      </c>
      <c r="Q2035">
        <v>1.21</v>
      </c>
      <c r="R2035">
        <v>4000</v>
      </c>
      <c r="S2035">
        <v>4000</v>
      </c>
      <c r="T2035">
        <v>3000</v>
      </c>
      <c r="U2035" t="s">
        <v>5325</v>
      </c>
      <c r="W2035" t="s">
        <v>5323</v>
      </c>
      <c r="X2035" t="s">
        <v>5324</v>
      </c>
      <c r="Y2035" t="s">
        <v>4833</v>
      </c>
      <c r="Z2035" s="37">
        <v>0.012</v>
      </c>
      <c r="AA2035" s="37">
        <v>1</v>
      </c>
      <c r="AB2035">
        <v>0</v>
      </c>
    </row>
    <row r="2036">
      <c r="A2036" t="s">
        <v>5550</v>
      </c>
      <c r="B2036" t="s">
        <v>5475</v>
      </c>
      <c r="C2036" t="s">
        <v>5475</v>
      </c>
      <c r="D2036" t="s">
        <v>5551</v>
      </c>
      <c r="E2036" t="s">
        <v>5552</v>
      </c>
      <c r="F2036" t="s">
        <v>298</v>
      </c>
      <c r="G2036" t="s">
        <v>5553</v>
      </c>
      <c r="H2036" t="s">
        <v>5566</v>
      </c>
      <c r="I2036" t="s">
        <v>5567</v>
      </c>
      <c r="J2036" t="s">
        <v>5565</v>
      </c>
      <c r="K2036">
        <v>1.4</v>
      </c>
      <c r="L2036" t="s">
        <v>5465</v>
      </c>
      <c r="M2036" s="37">
        <v>1.4</v>
      </c>
      <c r="N2036" s="37">
        <v>0.3</v>
      </c>
      <c r="O2036">
        <v>1.4</v>
      </c>
      <c r="P2036" s="37">
        <v>1.212424</v>
      </c>
      <c r="Q2036">
        <v>1.21</v>
      </c>
      <c r="R2036">
        <v>4000</v>
      </c>
      <c r="S2036">
        <v>4000</v>
      </c>
      <c r="T2036">
        <v>3000</v>
      </c>
      <c r="U2036" t="s">
        <v>5325</v>
      </c>
      <c r="W2036" t="s">
        <v>5323</v>
      </c>
      <c r="X2036" t="s">
        <v>5324</v>
      </c>
      <c r="Y2036" t="s">
        <v>4833</v>
      </c>
      <c r="Z2036" s="37">
        <v>0.012</v>
      </c>
      <c r="AA2036" s="37">
        <v>1</v>
      </c>
      <c r="AB2036">
        <v>0</v>
      </c>
    </row>
    <row r="2037">
      <c r="A2037" t="s">
        <v>5568</v>
      </c>
      <c r="B2037" t="s">
        <v>5475</v>
      </c>
      <c r="C2037" t="s">
        <v>5475</v>
      </c>
      <c r="D2037" t="s">
        <v>5551</v>
      </c>
      <c r="E2037" t="s">
        <v>5569</v>
      </c>
      <c r="F2037" t="s">
        <v>298</v>
      </c>
      <c r="G2037" t="s">
        <v>5553</v>
      </c>
      <c r="H2037" t="s">
        <v>5554</v>
      </c>
      <c r="I2037" t="s">
        <v>5555</v>
      </c>
      <c r="J2037" t="s">
        <v>5556</v>
      </c>
      <c r="K2037">
        <v>99659.86</v>
      </c>
      <c r="L2037" t="s">
        <v>5465</v>
      </c>
      <c r="M2037" s="37">
        <v>0.940187</v>
      </c>
      <c r="N2037" s="37">
        <v>0.3</v>
      </c>
      <c r="O2037">
        <v>0.9402</v>
      </c>
      <c r="P2037" s="37">
        <v>1.060506</v>
      </c>
      <c r="Q2037">
        <v>1.06</v>
      </c>
      <c r="R2037">
        <v>2000</v>
      </c>
      <c r="S2037">
        <v>2000</v>
      </c>
      <c r="T2037">
        <v>3000</v>
      </c>
      <c r="U2037" t="s">
        <v>5325</v>
      </c>
      <c r="W2037" t="s">
        <v>5323</v>
      </c>
      <c r="X2037" t="s">
        <v>5324</v>
      </c>
      <c r="Y2037" t="s">
        <v>4833</v>
      </c>
      <c r="Z2037" s="37">
        <v>0.012</v>
      </c>
      <c r="AA2037" s="37">
        <v>1</v>
      </c>
      <c r="AB2037">
        <v>0</v>
      </c>
    </row>
    <row r="2038">
      <c r="A2038" t="s">
        <v>5568</v>
      </c>
      <c r="B2038" t="s">
        <v>5475</v>
      </c>
      <c r="C2038" t="s">
        <v>5475</v>
      </c>
      <c r="D2038" t="s">
        <v>5551</v>
      </c>
      <c r="E2038" t="s">
        <v>5569</v>
      </c>
      <c r="F2038" t="s">
        <v>298</v>
      </c>
      <c r="G2038" t="s">
        <v>5553</v>
      </c>
      <c r="H2038" t="s">
        <v>5557</v>
      </c>
      <c r="I2038" t="s">
        <v>5558</v>
      </c>
      <c r="J2038" t="s">
        <v>5559</v>
      </c>
      <c r="K2038">
        <v>2541.5</v>
      </c>
      <c r="L2038" t="s">
        <v>5465</v>
      </c>
      <c r="M2038" s="37">
        <v>0.708333</v>
      </c>
      <c r="N2038" s="37">
        <v>0.05</v>
      </c>
      <c r="O2038">
        <v>0.7083</v>
      </c>
      <c r="P2038" s="37">
        <v>1.060506</v>
      </c>
      <c r="Q2038">
        <v>1.06</v>
      </c>
      <c r="R2038">
        <v>2000</v>
      </c>
      <c r="S2038">
        <v>2000</v>
      </c>
      <c r="T2038">
        <v>3000</v>
      </c>
      <c r="U2038" t="s">
        <v>5325</v>
      </c>
      <c r="W2038" t="s">
        <v>5323</v>
      </c>
      <c r="X2038" t="s">
        <v>5324</v>
      </c>
      <c r="Y2038" t="s">
        <v>4833</v>
      </c>
      <c r="Z2038" s="37">
        <v>0.012</v>
      </c>
      <c r="AA2038" s="37">
        <v>1</v>
      </c>
      <c r="AB2038">
        <v>0</v>
      </c>
    </row>
    <row r="2039">
      <c r="A2039" t="s">
        <v>5568</v>
      </c>
      <c r="B2039" t="s">
        <v>5475</v>
      </c>
      <c r="C2039" t="s">
        <v>5475</v>
      </c>
      <c r="D2039" t="s">
        <v>5551</v>
      </c>
      <c r="E2039" t="s">
        <v>5569</v>
      </c>
      <c r="F2039" t="s">
        <v>298</v>
      </c>
      <c r="G2039" t="s">
        <v>5553</v>
      </c>
      <c r="H2039" t="s">
        <v>5560</v>
      </c>
      <c r="I2039" t="s">
        <v>5561</v>
      </c>
      <c r="J2039" t="s">
        <v>5562</v>
      </c>
      <c r="K2039">
        <v>2800</v>
      </c>
      <c r="L2039" t="s">
        <v>5465</v>
      </c>
      <c r="M2039" s="37">
        <v>1.166667</v>
      </c>
      <c r="N2039" s="37">
        <v>0.2</v>
      </c>
      <c r="O2039">
        <v>1.1667</v>
      </c>
      <c r="P2039" s="37">
        <v>1.060506</v>
      </c>
      <c r="Q2039">
        <v>1.06</v>
      </c>
      <c r="R2039">
        <v>2000</v>
      </c>
      <c r="S2039">
        <v>2000</v>
      </c>
      <c r="T2039">
        <v>3000</v>
      </c>
      <c r="U2039" t="s">
        <v>5325</v>
      </c>
      <c r="W2039" t="s">
        <v>5323</v>
      </c>
      <c r="X2039" t="s">
        <v>5324</v>
      </c>
      <c r="Y2039" t="s">
        <v>4833</v>
      </c>
      <c r="Z2039" s="37">
        <v>0.012</v>
      </c>
      <c r="AA2039" s="37">
        <v>1</v>
      </c>
      <c r="AB2039">
        <v>0</v>
      </c>
    </row>
    <row r="2040">
      <c r="A2040" t="s">
        <v>5568</v>
      </c>
      <c r="B2040" t="s">
        <v>5475</v>
      </c>
      <c r="C2040" t="s">
        <v>5475</v>
      </c>
      <c r="D2040" t="s">
        <v>5551</v>
      </c>
      <c r="E2040" t="s">
        <v>5569</v>
      </c>
      <c r="F2040" t="s">
        <v>298</v>
      </c>
      <c r="G2040" t="s">
        <v>5553</v>
      </c>
      <c r="H2040" t="s">
        <v>5563</v>
      </c>
      <c r="I2040" t="s">
        <v>5564</v>
      </c>
      <c r="J2040" t="s">
        <v>5565</v>
      </c>
      <c r="K2040" s="37">
        <v>0.998</v>
      </c>
      <c r="L2040" t="s">
        <v>5465</v>
      </c>
      <c r="M2040" s="37">
        <v>0.998</v>
      </c>
      <c r="N2040" s="37">
        <v>0.15</v>
      </c>
      <c r="O2040">
        <v>0.998</v>
      </c>
      <c r="P2040" s="37">
        <v>1.060506</v>
      </c>
      <c r="Q2040">
        <v>1.06</v>
      </c>
      <c r="R2040">
        <v>2000</v>
      </c>
      <c r="S2040">
        <v>2000</v>
      </c>
      <c r="T2040">
        <v>3000</v>
      </c>
      <c r="U2040" t="s">
        <v>5325</v>
      </c>
      <c r="W2040" t="s">
        <v>5323</v>
      </c>
      <c r="X2040" t="s">
        <v>5324</v>
      </c>
      <c r="Y2040" t="s">
        <v>4833</v>
      </c>
      <c r="Z2040" s="37">
        <v>0.012</v>
      </c>
      <c r="AA2040" s="37">
        <v>1</v>
      </c>
      <c r="AB2040">
        <v>0</v>
      </c>
    </row>
    <row r="2041">
      <c r="A2041" t="s">
        <v>5568</v>
      </c>
      <c r="B2041" t="s">
        <v>5475</v>
      </c>
      <c r="C2041" t="s">
        <v>5475</v>
      </c>
      <c r="D2041" t="s">
        <v>5551</v>
      </c>
      <c r="E2041" t="s">
        <v>5569</v>
      </c>
      <c r="F2041" t="s">
        <v>298</v>
      </c>
      <c r="G2041" t="s">
        <v>5553</v>
      </c>
      <c r="H2041" t="s">
        <v>5566</v>
      </c>
      <c r="I2041" t="s">
        <v>5567</v>
      </c>
      <c r="J2041" t="s">
        <v>5565</v>
      </c>
      <c r="K2041">
        <v>1.2</v>
      </c>
      <c r="L2041" t="s">
        <v>5465</v>
      </c>
      <c r="M2041" s="37">
        <v>1.2</v>
      </c>
      <c r="N2041" s="37">
        <v>0.3</v>
      </c>
      <c r="O2041">
        <v>1.2</v>
      </c>
      <c r="P2041" s="37">
        <v>1.060506</v>
      </c>
      <c r="Q2041">
        <v>1.06</v>
      </c>
      <c r="R2041">
        <v>2000</v>
      </c>
      <c r="S2041">
        <v>2000</v>
      </c>
      <c r="T2041">
        <v>3000</v>
      </c>
      <c r="U2041" t="s">
        <v>5325</v>
      </c>
      <c r="W2041" t="s">
        <v>5323</v>
      </c>
      <c r="X2041" t="s">
        <v>5324</v>
      </c>
      <c r="Y2041" t="s">
        <v>4833</v>
      </c>
      <c r="Z2041" s="37">
        <v>0.012</v>
      </c>
      <c r="AA2041" s="37">
        <v>1</v>
      </c>
      <c r="AB2041">
        <v>0</v>
      </c>
    </row>
    <row r="2042">
      <c r="A2042" t="s">
        <v>5570</v>
      </c>
      <c r="B2042" t="s">
        <v>1573</v>
      </c>
      <c r="C2042" t="s">
        <v>1573</v>
      </c>
      <c r="D2042" t="s">
        <v>1617</v>
      </c>
      <c r="E2042" t="s">
        <v>5571</v>
      </c>
      <c r="F2042" t="s">
        <v>298</v>
      </c>
      <c r="G2042" t="s">
        <v>5572</v>
      </c>
      <c r="H2042" t="s">
        <v>1526</v>
      </c>
      <c r="I2042" t="s">
        <v>5573</v>
      </c>
      <c r="J2042" t="s">
        <v>980</v>
      </c>
      <c r="K2042" t="s">
        <v>980</v>
      </c>
      <c r="L2042" t="s">
        <v>5465</v>
      </c>
      <c r="M2042" s="37">
        <v>1</v>
      </c>
      <c r="N2042" s="37">
        <v>0.05</v>
      </c>
      <c r="O2042">
        <v>1</v>
      </c>
      <c r="P2042" s="37">
        <v>0.8985</v>
      </c>
      <c r="Q2042">
        <v>0.82</v>
      </c>
      <c r="R2042">
        <v>6720</v>
      </c>
      <c r="S2042">
        <v>3360</v>
      </c>
      <c r="T2042">
        <v>5000</v>
      </c>
      <c r="U2042" t="s">
        <v>5325</v>
      </c>
      <c r="W2042" t="s">
        <v>5323</v>
      </c>
      <c r="X2042" t="s">
        <v>5324</v>
      </c>
      <c r="Y2042" t="s">
        <v>4833</v>
      </c>
      <c r="Z2042" s="37">
        <v>0.012</v>
      </c>
      <c r="AA2042" s="37">
        <v>1</v>
      </c>
      <c r="AB2042">
        <v>0</v>
      </c>
    </row>
    <row r="2043">
      <c r="A2043" t="s">
        <v>5570</v>
      </c>
      <c r="B2043" t="s">
        <v>1573</v>
      </c>
      <c r="C2043" t="s">
        <v>1573</v>
      </c>
      <c r="D2043" t="s">
        <v>1617</v>
      </c>
      <c r="E2043" t="s">
        <v>5571</v>
      </c>
      <c r="F2043" t="s">
        <v>298</v>
      </c>
      <c r="G2043" t="s">
        <v>5572</v>
      </c>
      <c r="H2043" t="s">
        <v>1526</v>
      </c>
      <c r="I2043" t="s">
        <v>5574</v>
      </c>
      <c r="J2043" t="s">
        <v>709</v>
      </c>
      <c r="K2043" t="s">
        <v>1418</v>
      </c>
      <c r="L2043" t="s">
        <v>5465</v>
      </c>
      <c r="M2043" s="37">
        <v>2</v>
      </c>
      <c r="N2043" s="37">
        <v>0.05</v>
      </c>
      <c r="O2043">
        <v>1.5</v>
      </c>
      <c r="P2043" s="37">
        <v>0.8985</v>
      </c>
      <c r="Q2043">
        <v>0.82</v>
      </c>
      <c r="R2043">
        <v>6720</v>
      </c>
      <c r="S2043">
        <v>3360</v>
      </c>
      <c r="T2043">
        <v>5000</v>
      </c>
      <c r="U2043" t="s">
        <v>5325</v>
      </c>
      <c r="W2043" t="s">
        <v>5323</v>
      </c>
      <c r="X2043" t="s">
        <v>5324</v>
      </c>
      <c r="Y2043" t="s">
        <v>4833</v>
      </c>
      <c r="Z2043" s="37">
        <v>0.012</v>
      </c>
      <c r="AA2043" s="37">
        <v>1</v>
      </c>
      <c r="AB2043">
        <v>0</v>
      </c>
    </row>
    <row r="2044">
      <c r="A2044" t="s">
        <v>5570</v>
      </c>
      <c r="B2044" t="s">
        <v>1573</v>
      </c>
      <c r="C2044" t="s">
        <v>1573</v>
      </c>
      <c r="D2044" t="s">
        <v>1617</v>
      </c>
      <c r="E2044" t="s">
        <v>5571</v>
      </c>
      <c r="F2044" t="s">
        <v>298</v>
      </c>
      <c r="G2044" t="s">
        <v>5572</v>
      </c>
      <c r="H2044" t="s">
        <v>1491</v>
      </c>
      <c r="I2044" t="s">
        <v>5575</v>
      </c>
      <c r="J2044" t="s">
        <v>1909</v>
      </c>
      <c r="K2044" t="s">
        <v>5576</v>
      </c>
      <c r="L2044" t="s">
        <v>5465</v>
      </c>
      <c r="M2044" s="37">
        <v>0.38</v>
      </c>
      <c r="N2044" s="37">
        <v>0.1</v>
      </c>
      <c r="O2044">
        <v>0.3</v>
      </c>
      <c r="P2044" s="37">
        <v>0.8985</v>
      </c>
      <c r="Q2044">
        <v>0.82</v>
      </c>
      <c r="R2044">
        <v>6720</v>
      </c>
      <c r="S2044">
        <v>3360</v>
      </c>
      <c r="T2044">
        <v>5000</v>
      </c>
      <c r="U2044" t="s">
        <v>5325</v>
      </c>
      <c r="W2044" t="s">
        <v>5323</v>
      </c>
      <c r="X2044" t="s">
        <v>5324</v>
      </c>
      <c r="Y2044" t="s">
        <v>4833</v>
      </c>
      <c r="Z2044" s="37">
        <v>0.012</v>
      </c>
      <c r="AA2044" s="37">
        <v>1</v>
      </c>
      <c r="AB2044">
        <v>0</v>
      </c>
    </row>
    <row r="2045">
      <c r="A2045" t="s">
        <v>5570</v>
      </c>
      <c r="B2045" t="s">
        <v>1573</v>
      </c>
      <c r="C2045" t="s">
        <v>1573</v>
      </c>
      <c r="D2045" t="s">
        <v>1617</v>
      </c>
      <c r="E2045" t="s">
        <v>5571</v>
      </c>
      <c r="F2045" t="s">
        <v>298</v>
      </c>
      <c r="G2045" t="s">
        <v>5572</v>
      </c>
      <c r="H2045" t="s">
        <v>1491</v>
      </c>
      <c r="I2045" t="s">
        <v>5577</v>
      </c>
      <c r="J2045" t="s">
        <v>5578</v>
      </c>
      <c r="K2045" t="s">
        <v>5579</v>
      </c>
      <c r="L2045" t="s">
        <v>5465</v>
      </c>
      <c r="M2045" s="37">
        <v>1.53</v>
      </c>
      <c r="N2045" s="37">
        <v>0.05</v>
      </c>
      <c r="O2045">
        <v>1.5</v>
      </c>
      <c r="P2045" s="37">
        <v>0.8985</v>
      </c>
      <c r="Q2045">
        <v>0.82</v>
      </c>
      <c r="R2045">
        <v>6720</v>
      </c>
      <c r="S2045">
        <v>3360</v>
      </c>
      <c r="T2045">
        <v>5000</v>
      </c>
      <c r="U2045" t="s">
        <v>5325</v>
      </c>
      <c r="W2045" t="s">
        <v>5323</v>
      </c>
      <c r="X2045" t="s">
        <v>5324</v>
      </c>
      <c r="Y2045" t="s">
        <v>4833</v>
      </c>
      <c r="Z2045" s="37">
        <v>0.012</v>
      </c>
      <c r="AA2045" s="37">
        <v>1</v>
      </c>
      <c r="AB2045">
        <v>0</v>
      </c>
    </row>
    <row r="2046">
      <c r="A2046" t="s">
        <v>5570</v>
      </c>
      <c r="B2046" t="s">
        <v>1573</v>
      </c>
      <c r="C2046" t="s">
        <v>1573</v>
      </c>
      <c r="D2046" t="s">
        <v>1617</v>
      </c>
      <c r="E2046" t="s">
        <v>5571</v>
      </c>
      <c r="F2046" t="s">
        <v>298</v>
      </c>
      <c r="G2046" t="s">
        <v>5572</v>
      </c>
      <c r="H2046" t="s">
        <v>1491</v>
      </c>
      <c r="I2046" t="s">
        <v>5580</v>
      </c>
      <c r="J2046" t="s">
        <v>3539</v>
      </c>
      <c r="K2046" t="s">
        <v>1529</v>
      </c>
      <c r="L2046" t="s">
        <v>5465</v>
      </c>
      <c r="M2046" s="37">
        <v>0</v>
      </c>
      <c r="N2046" s="37">
        <v>0.05</v>
      </c>
      <c r="O2046">
        <v>0</v>
      </c>
      <c r="P2046" s="37">
        <v>0.8985</v>
      </c>
      <c r="Q2046">
        <v>0.82</v>
      </c>
      <c r="R2046">
        <v>6720</v>
      </c>
      <c r="S2046">
        <v>3360</v>
      </c>
      <c r="T2046">
        <v>5000</v>
      </c>
      <c r="U2046" t="s">
        <v>5325</v>
      </c>
      <c r="W2046" t="s">
        <v>5323</v>
      </c>
      <c r="X2046" t="s">
        <v>5324</v>
      </c>
      <c r="Y2046" t="s">
        <v>4833</v>
      </c>
      <c r="Z2046" s="37">
        <v>0.012</v>
      </c>
      <c r="AA2046" s="37">
        <v>1</v>
      </c>
      <c r="AB2046">
        <v>0</v>
      </c>
    </row>
    <row r="2047">
      <c r="A2047" t="s">
        <v>5570</v>
      </c>
      <c r="B2047" t="s">
        <v>1573</v>
      </c>
      <c r="C2047" t="s">
        <v>1573</v>
      </c>
      <c r="D2047" t="s">
        <v>1617</v>
      </c>
      <c r="E2047" t="s">
        <v>5571</v>
      </c>
      <c r="F2047" t="s">
        <v>298</v>
      </c>
      <c r="G2047" t="s">
        <v>5572</v>
      </c>
      <c r="H2047" t="s">
        <v>1526</v>
      </c>
      <c r="I2047" t="s">
        <v>5581</v>
      </c>
      <c r="J2047" t="s">
        <v>1931</v>
      </c>
      <c r="K2047" t="s">
        <v>5582</v>
      </c>
      <c r="L2047" t="s">
        <v>5465</v>
      </c>
      <c r="M2047" s="37">
        <v>0.72</v>
      </c>
      <c r="N2047" s="37">
        <v>0.3</v>
      </c>
      <c r="O2047">
        <v>0.58</v>
      </c>
      <c r="P2047" s="37">
        <v>0.8985</v>
      </c>
      <c r="Q2047">
        <v>0.82</v>
      </c>
      <c r="R2047">
        <v>6720</v>
      </c>
      <c r="S2047">
        <v>3360</v>
      </c>
      <c r="T2047">
        <v>5000</v>
      </c>
      <c r="U2047" t="s">
        <v>5325</v>
      </c>
      <c r="W2047" t="s">
        <v>5323</v>
      </c>
      <c r="X2047" t="s">
        <v>5324</v>
      </c>
      <c r="Y2047" t="s">
        <v>4833</v>
      </c>
      <c r="Z2047" s="37">
        <v>0.012</v>
      </c>
      <c r="AA2047" s="37">
        <v>1</v>
      </c>
      <c r="AB2047">
        <v>0</v>
      </c>
    </row>
    <row r="2048">
      <c r="A2048" t="s">
        <v>5570</v>
      </c>
      <c r="B2048" t="s">
        <v>1573</v>
      </c>
      <c r="C2048" t="s">
        <v>1573</v>
      </c>
      <c r="D2048" t="s">
        <v>1617</v>
      </c>
      <c r="E2048" t="s">
        <v>5571</v>
      </c>
      <c r="F2048" t="s">
        <v>298</v>
      </c>
      <c r="G2048" t="s">
        <v>5572</v>
      </c>
      <c r="H2048" t="s">
        <v>1512</v>
      </c>
      <c r="I2048" t="s">
        <v>5583</v>
      </c>
      <c r="J2048" t="s">
        <v>5584</v>
      </c>
      <c r="K2048" t="s">
        <v>5585</v>
      </c>
      <c r="L2048" t="s">
        <v>5465</v>
      </c>
      <c r="M2048" s="37">
        <v>0.96</v>
      </c>
      <c r="N2048" s="37">
        <v>0.3</v>
      </c>
      <c r="O2048">
        <v>0.96</v>
      </c>
      <c r="P2048" s="37">
        <v>0.8985</v>
      </c>
      <c r="Q2048">
        <v>0.82</v>
      </c>
      <c r="R2048">
        <v>6720</v>
      </c>
      <c r="S2048">
        <v>3360</v>
      </c>
      <c r="T2048">
        <v>5000</v>
      </c>
      <c r="U2048" t="s">
        <v>5325</v>
      </c>
      <c r="W2048" t="s">
        <v>5323</v>
      </c>
      <c r="X2048" t="s">
        <v>5324</v>
      </c>
      <c r="Y2048" t="s">
        <v>4833</v>
      </c>
      <c r="Z2048" s="37">
        <v>0.012</v>
      </c>
      <c r="AA2048" s="37">
        <v>1</v>
      </c>
      <c r="AB2048">
        <v>0</v>
      </c>
    </row>
    <row r="2049">
      <c r="A2049" t="s">
        <v>5570</v>
      </c>
      <c r="B2049" t="s">
        <v>1573</v>
      </c>
      <c r="C2049" t="s">
        <v>1573</v>
      </c>
      <c r="D2049" t="s">
        <v>1617</v>
      </c>
      <c r="E2049" t="s">
        <v>5571</v>
      </c>
      <c r="F2049" t="s">
        <v>298</v>
      </c>
      <c r="G2049" t="s">
        <v>5572</v>
      </c>
      <c r="H2049" t="s">
        <v>1512</v>
      </c>
      <c r="I2049" t="s">
        <v>5586</v>
      </c>
      <c r="J2049" t="s">
        <v>5587</v>
      </c>
      <c r="K2049" t="s">
        <v>5588</v>
      </c>
      <c r="M2049" s="37">
        <v>1.5</v>
      </c>
      <c r="N2049" s="37">
        <v>0.05</v>
      </c>
      <c r="O2049">
        <v>1.5</v>
      </c>
      <c r="P2049" s="37">
        <v>0.8985</v>
      </c>
      <c r="Q2049">
        <v>0.82</v>
      </c>
      <c r="R2049">
        <v>6720</v>
      </c>
      <c r="S2049">
        <v>3360</v>
      </c>
      <c r="T2049">
        <v>5000</v>
      </c>
      <c r="U2049" t="s">
        <v>5325</v>
      </c>
      <c r="W2049" t="s">
        <v>5323</v>
      </c>
      <c r="X2049" t="s">
        <v>5324</v>
      </c>
      <c r="Y2049" t="s">
        <v>4833</v>
      </c>
      <c r="Z2049" s="37">
        <v>0.012</v>
      </c>
      <c r="AA2049" s="37">
        <v>1</v>
      </c>
      <c r="AB2049">
        <v>0</v>
      </c>
    </row>
    <row r="2050">
      <c r="A2050" t="s">
        <v>5570</v>
      </c>
      <c r="B2050" t="s">
        <v>1573</v>
      </c>
      <c r="C2050" t="s">
        <v>1573</v>
      </c>
      <c r="D2050" t="s">
        <v>1617</v>
      </c>
      <c r="E2050" t="s">
        <v>5571</v>
      </c>
      <c r="F2050" t="s">
        <v>298</v>
      </c>
      <c r="G2050" t="s">
        <v>5572</v>
      </c>
      <c r="H2050" t="s">
        <v>1495</v>
      </c>
      <c r="I2050" t="s">
        <v>5589</v>
      </c>
      <c r="J2050" t="s">
        <v>5590</v>
      </c>
      <c r="K2050" t="s">
        <v>5591</v>
      </c>
      <c r="M2050" s="37">
        <v>1.1</v>
      </c>
      <c r="N2050" s="37">
        <v>0.05</v>
      </c>
      <c r="O2050">
        <v>1.1</v>
      </c>
      <c r="P2050" s="37">
        <v>0.8985</v>
      </c>
      <c r="Q2050">
        <v>0.82</v>
      </c>
      <c r="R2050">
        <v>6720</v>
      </c>
      <c r="S2050">
        <v>3360</v>
      </c>
      <c r="T2050">
        <v>5000</v>
      </c>
      <c r="U2050" t="s">
        <v>5325</v>
      </c>
      <c r="W2050" t="s">
        <v>5323</v>
      </c>
      <c r="X2050" t="s">
        <v>5324</v>
      </c>
      <c r="Y2050" t="s">
        <v>4833</v>
      </c>
      <c r="Z2050" s="37">
        <v>0.012</v>
      </c>
      <c r="AA2050" s="37">
        <v>1</v>
      </c>
      <c r="AB2050">
        <v>0</v>
      </c>
    </row>
    <row r="2051">
      <c r="A2051" t="s">
        <v>5592</v>
      </c>
      <c r="B2051" t="s">
        <v>1573</v>
      </c>
      <c r="C2051" t="s">
        <v>1573</v>
      </c>
      <c r="D2051" t="s">
        <v>1617</v>
      </c>
      <c r="E2051" t="s">
        <v>5593</v>
      </c>
      <c r="F2051" t="s">
        <v>298</v>
      </c>
      <c r="G2051" t="s">
        <v>5572</v>
      </c>
      <c r="H2051" t="s">
        <v>1491</v>
      </c>
      <c r="I2051" t="s">
        <v>5594</v>
      </c>
      <c r="J2051" t="s">
        <v>5595</v>
      </c>
      <c r="K2051" t="s">
        <v>1529</v>
      </c>
      <c r="L2051" t="s">
        <v>5596</v>
      </c>
      <c r="M2051" s="37">
        <v>0</v>
      </c>
      <c r="N2051" s="37">
        <v>0.25</v>
      </c>
      <c r="O2051">
        <v>0</v>
      </c>
      <c r="P2051" s="37">
        <v>0.5465</v>
      </c>
      <c r="Q2051">
        <v>0.53</v>
      </c>
      <c r="R2051">
        <v>1680</v>
      </c>
      <c r="S2051">
        <v>1680</v>
      </c>
      <c r="T2051">
        <v>5000</v>
      </c>
      <c r="U2051" t="s">
        <v>5325</v>
      </c>
      <c r="W2051" t="s">
        <v>5323</v>
      </c>
      <c r="X2051" t="s">
        <v>5324</v>
      </c>
      <c r="Y2051" t="s">
        <v>4833</v>
      </c>
      <c r="Z2051" s="37">
        <v>0.012</v>
      </c>
      <c r="AA2051" s="37">
        <v>1</v>
      </c>
      <c r="AB2051">
        <v>0</v>
      </c>
    </row>
    <row r="2052">
      <c r="A2052" t="s">
        <v>5592</v>
      </c>
      <c r="B2052" t="s">
        <v>1573</v>
      </c>
      <c r="C2052" t="s">
        <v>1573</v>
      </c>
      <c r="D2052" t="s">
        <v>1617</v>
      </c>
      <c r="E2052" t="s">
        <v>5593</v>
      </c>
      <c r="F2052" t="s">
        <v>298</v>
      </c>
      <c r="G2052" t="s">
        <v>5572</v>
      </c>
      <c r="H2052" t="s">
        <v>1487</v>
      </c>
      <c r="I2052" t="s">
        <v>5597</v>
      </c>
      <c r="J2052" t="s">
        <v>5598</v>
      </c>
      <c r="K2052" t="s">
        <v>1907</v>
      </c>
      <c r="L2052" t="s">
        <v>5596</v>
      </c>
      <c r="M2052" s="37">
        <v>1</v>
      </c>
      <c r="N2052" s="37">
        <v>0.3</v>
      </c>
      <c r="O2052">
        <v>1</v>
      </c>
      <c r="P2052" s="37">
        <v>0.5465</v>
      </c>
      <c r="Q2052">
        <v>0.53</v>
      </c>
      <c r="R2052">
        <v>1680</v>
      </c>
      <c r="S2052">
        <v>1680</v>
      </c>
      <c r="T2052">
        <v>5000</v>
      </c>
      <c r="U2052" t="s">
        <v>5325</v>
      </c>
      <c r="W2052" t="s">
        <v>5323</v>
      </c>
      <c r="X2052" t="s">
        <v>5324</v>
      </c>
      <c r="Y2052" t="s">
        <v>4833</v>
      </c>
      <c r="Z2052" s="37">
        <v>0.012</v>
      </c>
      <c r="AA2052" s="37">
        <v>1</v>
      </c>
      <c r="AB2052">
        <v>0</v>
      </c>
    </row>
    <row r="2053">
      <c r="A2053" t="s">
        <v>5592</v>
      </c>
      <c r="B2053" t="s">
        <v>1573</v>
      </c>
      <c r="C2053" t="s">
        <v>1573</v>
      </c>
      <c r="D2053" t="s">
        <v>1617</v>
      </c>
      <c r="E2053" t="s">
        <v>5593</v>
      </c>
      <c r="F2053" t="s">
        <v>298</v>
      </c>
      <c r="G2053" t="s">
        <v>5572</v>
      </c>
      <c r="H2053" t="s">
        <v>1487</v>
      </c>
      <c r="I2053" t="s">
        <v>5599</v>
      </c>
      <c r="J2053" t="s">
        <v>5600</v>
      </c>
      <c r="K2053" t="s">
        <v>5601</v>
      </c>
      <c r="L2053" t="s">
        <v>5596</v>
      </c>
      <c r="M2053" s="37">
        <v>0.05</v>
      </c>
      <c r="N2053" s="37">
        <v>0.15</v>
      </c>
      <c r="O2053">
        <v>0.4</v>
      </c>
      <c r="P2053" s="37">
        <v>0.5465</v>
      </c>
      <c r="Q2053">
        <v>0.53</v>
      </c>
      <c r="R2053">
        <v>1680</v>
      </c>
      <c r="S2053">
        <v>1680</v>
      </c>
      <c r="T2053">
        <v>5000</v>
      </c>
      <c r="U2053" t="s">
        <v>5325</v>
      </c>
      <c r="W2053" t="s">
        <v>5323</v>
      </c>
      <c r="X2053" t="s">
        <v>5324</v>
      </c>
      <c r="Y2053" t="s">
        <v>4833</v>
      </c>
      <c r="Z2053" s="37">
        <v>0.012</v>
      </c>
      <c r="AA2053" s="37">
        <v>1</v>
      </c>
      <c r="AB2053">
        <v>0</v>
      </c>
    </row>
    <row r="2054">
      <c r="A2054" t="s">
        <v>5592</v>
      </c>
      <c r="B2054" t="s">
        <v>1573</v>
      </c>
      <c r="C2054" t="s">
        <v>1573</v>
      </c>
      <c r="D2054" t="s">
        <v>1617</v>
      </c>
      <c r="E2054" t="s">
        <v>5593</v>
      </c>
      <c r="F2054" t="s">
        <v>298</v>
      </c>
      <c r="G2054" t="s">
        <v>5572</v>
      </c>
      <c r="H2054" t="s">
        <v>1487</v>
      </c>
      <c r="I2054" t="s">
        <v>5602</v>
      </c>
      <c r="J2054" t="s">
        <v>3604</v>
      </c>
      <c r="K2054" t="s">
        <v>5603</v>
      </c>
      <c r="L2054" t="s">
        <v>5596</v>
      </c>
      <c r="M2054" s="37">
        <v>0.97</v>
      </c>
      <c r="N2054" s="37">
        <v>0.1</v>
      </c>
      <c r="O2054">
        <v>0.97</v>
      </c>
      <c r="P2054" s="37">
        <v>0.5465</v>
      </c>
      <c r="Q2054">
        <v>0.53</v>
      </c>
      <c r="R2054">
        <v>1680</v>
      </c>
      <c r="S2054">
        <v>1680</v>
      </c>
      <c r="T2054">
        <v>5000</v>
      </c>
      <c r="U2054" t="s">
        <v>5325</v>
      </c>
      <c r="W2054" t="s">
        <v>5323</v>
      </c>
      <c r="X2054" t="s">
        <v>5324</v>
      </c>
      <c r="Y2054" t="s">
        <v>4833</v>
      </c>
      <c r="Z2054" s="37">
        <v>0.012</v>
      </c>
      <c r="AA2054" s="37">
        <v>1</v>
      </c>
      <c r="AB2054">
        <v>0</v>
      </c>
    </row>
    <row r="2055">
      <c r="A2055" t="s">
        <v>5592</v>
      </c>
      <c r="B2055" t="s">
        <v>1573</v>
      </c>
      <c r="C2055" t="s">
        <v>1573</v>
      </c>
      <c r="D2055" t="s">
        <v>1617</v>
      </c>
      <c r="E2055" t="s">
        <v>5593</v>
      </c>
      <c r="F2055" t="s">
        <v>298</v>
      </c>
      <c r="G2055" t="s">
        <v>5572</v>
      </c>
      <c r="H2055" t="s">
        <v>1526</v>
      </c>
      <c r="I2055" t="s">
        <v>5604</v>
      </c>
      <c r="J2055" t="s">
        <v>5605</v>
      </c>
      <c r="K2055" t="s">
        <v>5606</v>
      </c>
      <c r="L2055" t="s">
        <v>5596</v>
      </c>
      <c r="M2055" s="37">
        <v>0.7</v>
      </c>
      <c r="N2055" s="37">
        <v>0.1</v>
      </c>
      <c r="O2055">
        <v>0.56</v>
      </c>
      <c r="P2055" s="37">
        <v>0.5465</v>
      </c>
      <c r="Q2055">
        <v>0.53</v>
      </c>
      <c r="R2055">
        <v>1680</v>
      </c>
      <c r="S2055">
        <v>1680</v>
      </c>
      <c r="T2055">
        <v>5000</v>
      </c>
      <c r="U2055" t="s">
        <v>5325</v>
      </c>
      <c r="W2055" t="s">
        <v>5323</v>
      </c>
      <c r="X2055" t="s">
        <v>5324</v>
      </c>
      <c r="Y2055" t="s">
        <v>4833</v>
      </c>
      <c r="Z2055" s="37">
        <v>0.012</v>
      </c>
      <c r="AA2055" s="37">
        <v>1</v>
      </c>
      <c r="AB2055">
        <v>0</v>
      </c>
    </row>
    <row r="2056">
      <c r="A2056" t="s">
        <v>5592</v>
      </c>
      <c r="B2056" t="s">
        <v>1573</v>
      </c>
      <c r="C2056" t="s">
        <v>1573</v>
      </c>
      <c r="D2056" t="s">
        <v>1617</v>
      </c>
      <c r="E2056" t="s">
        <v>5593</v>
      </c>
      <c r="F2056" t="s">
        <v>298</v>
      </c>
      <c r="G2056" t="s">
        <v>5572</v>
      </c>
      <c r="H2056" t="s">
        <v>1495</v>
      </c>
      <c r="I2056" t="s">
        <v>5607</v>
      </c>
      <c r="J2056" t="s">
        <v>5608</v>
      </c>
      <c r="K2056" t="s">
        <v>5609</v>
      </c>
      <c r="L2056" t="s">
        <v>5596</v>
      </c>
      <c r="M2056" s="37">
        <v>1.44</v>
      </c>
      <c r="N2056" s="37">
        <v>0.05</v>
      </c>
      <c r="O2056">
        <v>1.44</v>
      </c>
      <c r="P2056" s="37">
        <v>0.5465</v>
      </c>
      <c r="Q2056">
        <v>0.53</v>
      </c>
      <c r="R2056">
        <v>1680</v>
      </c>
      <c r="S2056">
        <v>1680</v>
      </c>
      <c r="T2056">
        <v>5000</v>
      </c>
      <c r="U2056" t="s">
        <v>5325</v>
      </c>
      <c r="W2056" t="s">
        <v>5323</v>
      </c>
      <c r="X2056" t="s">
        <v>5324</v>
      </c>
      <c r="Y2056" t="s">
        <v>4833</v>
      </c>
      <c r="Z2056" s="37">
        <v>0.012</v>
      </c>
      <c r="AA2056" s="37">
        <v>1</v>
      </c>
      <c r="AB2056">
        <v>0</v>
      </c>
    </row>
    <row r="2057">
      <c r="A2057" t="s">
        <v>5592</v>
      </c>
      <c r="B2057" t="s">
        <v>1573</v>
      </c>
      <c r="C2057" t="s">
        <v>1573</v>
      </c>
      <c r="D2057" t="s">
        <v>1617</v>
      </c>
      <c r="E2057" t="s">
        <v>5593</v>
      </c>
      <c r="F2057" t="s">
        <v>298</v>
      </c>
      <c r="G2057" t="s">
        <v>5572</v>
      </c>
      <c r="H2057" t="s">
        <v>1526</v>
      </c>
      <c r="I2057" t="s">
        <v>5610</v>
      </c>
      <c r="J2057" t="s">
        <v>3236</v>
      </c>
      <c r="K2057" t="s">
        <v>1041</v>
      </c>
      <c r="L2057" t="s">
        <v>5596</v>
      </c>
      <c r="M2057" s="37">
        <v>0</v>
      </c>
      <c r="N2057" s="37">
        <v>0.05</v>
      </c>
      <c r="O2057">
        <v>0</v>
      </c>
      <c r="P2057" s="37">
        <v>0.5465</v>
      </c>
      <c r="Q2057">
        <v>0.53</v>
      </c>
      <c r="R2057">
        <v>1680</v>
      </c>
      <c r="S2057">
        <v>1680</v>
      </c>
      <c r="T2057">
        <v>5000</v>
      </c>
      <c r="U2057" t="s">
        <v>5325</v>
      </c>
      <c r="W2057" t="s">
        <v>5323</v>
      </c>
      <c r="X2057" t="s">
        <v>5324</v>
      </c>
      <c r="Y2057" t="s">
        <v>4833</v>
      </c>
      <c r="Z2057" s="37">
        <v>0.012</v>
      </c>
      <c r="AA2057" s="37">
        <v>1</v>
      </c>
      <c r="AB2057">
        <v>0</v>
      </c>
    </row>
    <row r="2058">
      <c r="A2058" t="s">
        <v>5611</v>
      </c>
      <c r="B2058" t="s">
        <v>1573</v>
      </c>
      <c r="C2058" t="s">
        <v>1573</v>
      </c>
      <c r="D2058" t="s">
        <v>1617</v>
      </c>
      <c r="E2058" t="s">
        <v>5612</v>
      </c>
      <c r="F2058" t="s">
        <v>298</v>
      </c>
      <c r="G2058" t="s">
        <v>5572</v>
      </c>
      <c r="H2058" t="s">
        <v>1487</v>
      </c>
      <c r="I2058" t="s">
        <v>5613</v>
      </c>
      <c r="J2058" t="s">
        <v>1053</v>
      </c>
      <c r="K2058" t="s">
        <v>5614</v>
      </c>
      <c r="L2058" t="s">
        <v>5596</v>
      </c>
      <c r="M2058" s="37">
        <v>0.2</v>
      </c>
      <c r="N2058" s="37">
        <v>0.05</v>
      </c>
      <c r="O2058">
        <v>0.16</v>
      </c>
      <c r="P2058" s="37">
        <v>0.7675</v>
      </c>
      <c r="Q2058">
        <v>0.73</v>
      </c>
      <c r="R2058">
        <v>0</v>
      </c>
      <c r="S2058">
        <v>0</v>
      </c>
      <c r="T2058">
        <v>4000</v>
      </c>
      <c r="U2058" t="s">
        <v>5325</v>
      </c>
      <c r="W2058" t="s">
        <v>5323</v>
      </c>
      <c r="X2058" t="s">
        <v>5324</v>
      </c>
      <c r="Y2058" t="s">
        <v>4833</v>
      </c>
      <c r="Z2058" s="37">
        <v>0.012</v>
      </c>
      <c r="AA2058" s="37">
        <v>1</v>
      </c>
      <c r="AB2058">
        <v>0</v>
      </c>
    </row>
    <row r="2059">
      <c r="A2059" t="s">
        <v>5611</v>
      </c>
      <c r="B2059" t="s">
        <v>1573</v>
      </c>
      <c r="C2059" t="s">
        <v>1573</v>
      </c>
      <c r="D2059" t="s">
        <v>1617</v>
      </c>
      <c r="E2059" t="s">
        <v>5612</v>
      </c>
      <c r="F2059" t="s">
        <v>298</v>
      </c>
      <c r="G2059" t="s">
        <v>5572</v>
      </c>
      <c r="H2059" t="s">
        <v>1526</v>
      </c>
      <c r="I2059" t="s">
        <v>5615</v>
      </c>
      <c r="J2059" t="s">
        <v>980</v>
      </c>
      <c r="K2059" t="s">
        <v>817</v>
      </c>
      <c r="M2059" s="37">
        <v>0</v>
      </c>
      <c r="N2059" s="37">
        <v>0.05</v>
      </c>
      <c r="O2059">
        <v>0</v>
      </c>
      <c r="P2059" s="37">
        <v>0.7675</v>
      </c>
      <c r="Q2059">
        <v>0.73</v>
      </c>
      <c r="R2059">
        <v>0</v>
      </c>
      <c r="S2059">
        <v>0</v>
      </c>
      <c r="T2059">
        <v>4000</v>
      </c>
      <c r="U2059" t="s">
        <v>5325</v>
      </c>
      <c r="W2059" t="s">
        <v>5323</v>
      </c>
      <c r="X2059" t="s">
        <v>5324</v>
      </c>
      <c r="Y2059" t="s">
        <v>4833</v>
      </c>
      <c r="Z2059" s="37">
        <v>0.012</v>
      </c>
      <c r="AA2059" s="37">
        <v>1</v>
      </c>
      <c r="AB2059">
        <v>0</v>
      </c>
    </row>
    <row r="2060">
      <c r="A2060" t="s">
        <v>5611</v>
      </c>
      <c r="B2060" t="s">
        <v>1573</v>
      </c>
      <c r="C2060" t="s">
        <v>1573</v>
      </c>
      <c r="D2060" t="s">
        <v>1617</v>
      </c>
      <c r="E2060" t="s">
        <v>5612</v>
      </c>
      <c r="F2060" t="s">
        <v>298</v>
      </c>
      <c r="G2060" t="s">
        <v>5572</v>
      </c>
      <c r="H2060" t="s">
        <v>1491</v>
      </c>
      <c r="I2060" t="s">
        <v>5616</v>
      </c>
      <c r="J2060" t="s">
        <v>977</v>
      </c>
      <c r="K2060" t="s">
        <v>5617</v>
      </c>
      <c r="M2060" s="37">
        <v>0.51</v>
      </c>
      <c r="N2060" s="37">
        <v>0.1</v>
      </c>
      <c r="O2060">
        <v>0.4</v>
      </c>
      <c r="P2060" s="37">
        <v>0.7675</v>
      </c>
      <c r="Q2060">
        <v>0.73</v>
      </c>
      <c r="R2060">
        <v>0</v>
      </c>
      <c r="S2060">
        <v>0</v>
      </c>
      <c r="T2060">
        <v>4000</v>
      </c>
      <c r="U2060" t="s">
        <v>5325</v>
      </c>
      <c r="W2060" t="s">
        <v>5323</v>
      </c>
      <c r="X2060" t="s">
        <v>5324</v>
      </c>
      <c r="Y2060" t="s">
        <v>4833</v>
      </c>
      <c r="Z2060" s="37">
        <v>0.012</v>
      </c>
      <c r="AA2060" s="37">
        <v>1</v>
      </c>
      <c r="AB2060">
        <v>0</v>
      </c>
    </row>
    <row r="2061">
      <c r="A2061" t="s">
        <v>5611</v>
      </c>
      <c r="B2061" t="s">
        <v>1573</v>
      </c>
      <c r="C2061" t="s">
        <v>1573</v>
      </c>
      <c r="D2061" t="s">
        <v>1617</v>
      </c>
      <c r="E2061" t="s">
        <v>5612</v>
      </c>
      <c r="F2061" t="s">
        <v>298</v>
      </c>
      <c r="G2061" t="s">
        <v>5572</v>
      </c>
      <c r="H2061" t="s">
        <v>1491</v>
      </c>
      <c r="I2061" t="s">
        <v>5618</v>
      </c>
      <c r="J2061" t="s">
        <v>1529</v>
      </c>
      <c r="K2061" t="s">
        <v>1529</v>
      </c>
      <c r="M2061" s="37">
        <v>0</v>
      </c>
      <c r="N2061" s="37">
        <v>0.05</v>
      </c>
      <c r="O2061">
        <v>0</v>
      </c>
      <c r="P2061" s="37">
        <v>0.7675</v>
      </c>
      <c r="Q2061">
        <v>0.73</v>
      </c>
      <c r="R2061">
        <v>0</v>
      </c>
      <c r="S2061">
        <v>0</v>
      </c>
      <c r="T2061">
        <v>4000</v>
      </c>
      <c r="U2061" t="s">
        <v>5325</v>
      </c>
      <c r="W2061" t="s">
        <v>5323</v>
      </c>
      <c r="X2061" t="s">
        <v>5324</v>
      </c>
      <c r="Y2061" t="s">
        <v>4833</v>
      </c>
      <c r="Z2061" s="37">
        <v>0.012</v>
      </c>
      <c r="AA2061" s="37">
        <v>1</v>
      </c>
      <c r="AB2061">
        <v>0</v>
      </c>
    </row>
    <row r="2062">
      <c r="A2062" t="s">
        <v>5611</v>
      </c>
      <c r="B2062" t="s">
        <v>1573</v>
      </c>
      <c r="C2062" t="s">
        <v>1573</v>
      </c>
      <c r="D2062" t="s">
        <v>1617</v>
      </c>
      <c r="E2062" t="s">
        <v>5612</v>
      </c>
      <c r="F2062" t="s">
        <v>298</v>
      </c>
      <c r="G2062" t="s">
        <v>5572</v>
      </c>
      <c r="H2062" t="s">
        <v>1491</v>
      </c>
      <c r="I2062" t="s">
        <v>5619</v>
      </c>
      <c r="J2062" t="s">
        <v>1053</v>
      </c>
      <c r="K2062" t="s">
        <v>5620</v>
      </c>
      <c r="M2062" s="37">
        <v>0.58</v>
      </c>
      <c r="N2062" s="37">
        <v>0.25</v>
      </c>
      <c r="O2062">
        <v>0.46</v>
      </c>
      <c r="P2062" s="37">
        <v>0.7675</v>
      </c>
      <c r="Q2062">
        <v>0.73</v>
      </c>
      <c r="R2062">
        <v>0</v>
      </c>
      <c r="S2062">
        <v>0</v>
      </c>
      <c r="T2062">
        <v>4000</v>
      </c>
      <c r="U2062" t="s">
        <v>5325</v>
      </c>
      <c r="W2062" t="s">
        <v>5323</v>
      </c>
      <c r="X2062" t="s">
        <v>5324</v>
      </c>
      <c r="Y2062" t="s">
        <v>4833</v>
      </c>
      <c r="Z2062" s="37">
        <v>0.012</v>
      </c>
      <c r="AA2062" s="37">
        <v>1</v>
      </c>
      <c r="AB2062">
        <v>0</v>
      </c>
    </row>
    <row r="2063">
      <c r="A2063" t="s">
        <v>5611</v>
      </c>
      <c r="B2063" t="s">
        <v>1573</v>
      </c>
      <c r="C2063" t="s">
        <v>1573</v>
      </c>
      <c r="D2063" t="s">
        <v>1617</v>
      </c>
      <c r="E2063" t="s">
        <v>5612</v>
      </c>
      <c r="F2063" t="s">
        <v>298</v>
      </c>
      <c r="G2063" t="s">
        <v>5572</v>
      </c>
      <c r="H2063" t="s">
        <v>1491</v>
      </c>
      <c r="I2063" t="s">
        <v>5621</v>
      </c>
      <c r="J2063" t="s">
        <v>5600</v>
      </c>
      <c r="K2063" t="s">
        <v>5622</v>
      </c>
      <c r="M2063" s="37">
        <v>1.11</v>
      </c>
      <c r="N2063" s="37">
        <v>0.4</v>
      </c>
      <c r="O2063">
        <v>1.11</v>
      </c>
      <c r="P2063" s="37">
        <v>0.7675</v>
      </c>
      <c r="Q2063">
        <v>0.73</v>
      </c>
      <c r="R2063">
        <v>0</v>
      </c>
      <c r="S2063">
        <v>0</v>
      </c>
      <c r="T2063">
        <v>4000</v>
      </c>
      <c r="U2063" t="s">
        <v>5325</v>
      </c>
      <c r="W2063" t="s">
        <v>5323</v>
      </c>
      <c r="X2063" t="s">
        <v>5324</v>
      </c>
      <c r="Y2063" t="s">
        <v>4833</v>
      </c>
      <c r="Z2063" s="37">
        <v>0.012</v>
      </c>
      <c r="AA2063" s="37">
        <v>1</v>
      </c>
      <c r="AB2063">
        <v>0</v>
      </c>
    </row>
    <row r="2064">
      <c r="A2064" t="s">
        <v>5611</v>
      </c>
      <c r="B2064" t="s">
        <v>1573</v>
      </c>
      <c r="C2064" t="s">
        <v>1573</v>
      </c>
      <c r="D2064" t="s">
        <v>1617</v>
      </c>
      <c r="E2064" t="s">
        <v>5612</v>
      </c>
      <c r="F2064" t="s">
        <v>298</v>
      </c>
      <c r="G2064" t="s">
        <v>5572</v>
      </c>
      <c r="H2064" t="s">
        <v>1526</v>
      </c>
      <c r="I2064" t="s">
        <v>5623</v>
      </c>
      <c r="J2064" t="s">
        <v>980</v>
      </c>
      <c r="K2064" t="s">
        <v>980</v>
      </c>
      <c r="M2064" s="37">
        <v>1</v>
      </c>
      <c r="N2064" s="37">
        <v>0.05</v>
      </c>
      <c r="O2064">
        <v>1</v>
      </c>
      <c r="P2064" s="37">
        <v>0.7675</v>
      </c>
      <c r="Q2064">
        <v>0.73</v>
      </c>
      <c r="R2064">
        <v>0</v>
      </c>
      <c r="S2064">
        <v>0</v>
      </c>
      <c r="T2064">
        <v>4000</v>
      </c>
      <c r="U2064" t="s">
        <v>5325</v>
      </c>
      <c r="W2064" t="s">
        <v>5323</v>
      </c>
      <c r="X2064" t="s">
        <v>5324</v>
      </c>
      <c r="Y2064" t="s">
        <v>4833</v>
      </c>
      <c r="Z2064" s="37">
        <v>0.012</v>
      </c>
      <c r="AA2064" s="37">
        <v>1</v>
      </c>
      <c r="AB2064">
        <v>0</v>
      </c>
    </row>
    <row r="2065">
      <c r="A2065" t="s">
        <v>5611</v>
      </c>
      <c r="B2065" t="s">
        <v>1573</v>
      </c>
      <c r="C2065" t="s">
        <v>1573</v>
      </c>
      <c r="D2065" t="s">
        <v>1617</v>
      </c>
      <c r="E2065" t="s">
        <v>5612</v>
      </c>
      <c r="F2065" t="s">
        <v>298</v>
      </c>
      <c r="G2065" t="s">
        <v>5572</v>
      </c>
      <c r="H2065" t="s">
        <v>1495</v>
      </c>
      <c r="I2065" t="s">
        <v>5624</v>
      </c>
      <c r="J2065" t="s">
        <v>5608</v>
      </c>
      <c r="K2065" t="s">
        <v>5625</v>
      </c>
      <c r="M2065" s="37">
        <v>1.35</v>
      </c>
      <c r="N2065" s="37">
        <v>0.05</v>
      </c>
      <c r="O2065">
        <v>1.35</v>
      </c>
      <c r="P2065" s="37">
        <v>0.7675</v>
      </c>
      <c r="Q2065">
        <v>0.73</v>
      </c>
      <c r="R2065">
        <v>0</v>
      </c>
      <c r="S2065">
        <v>0</v>
      </c>
      <c r="T2065">
        <v>4000</v>
      </c>
      <c r="U2065" t="s">
        <v>5325</v>
      </c>
      <c r="W2065" t="s">
        <v>5323</v>
      </c>
      <c r="X2065" t="s">
        <v>5324</v>
      </c>
      <c r="Y2065" t="s">
        <v>4833</v>
      </c>
      <c r="Z2065" s="37">
        <v>0.012</v>
      </c>
      <c r="AA2065" s="37">
        <v>1</v>
      </c>
      <c r="AB2065">
        <v>0</v>
      </c>
    </row>
    <row r="2066">
      <c r="A2066" t="s">
        <v>5626</v>
      </c>
      <c r="B2066" t="s">
        <v>5022</v>
      </c>
      <c r="C2066" t="s">
        <v>5022</v>
      </c>
      <c r="D2066" t="s">
        <v>598</v>
      </c>
      <c r="E2066" t="s">
        <v>5627</v>
      </c>
      <c r="F2066" t="s">
        <v>298</v>
      </c>
      <c r="G2066" t="s">
        <v>5628</v>
      </c>
      <c r="H2066" t="s">
        <v>604</v>
      </c>
      <c r="I2066" t="s">
        <v>5629</v>
      </c>
      <c r="J2066" t="s">
        <v>5026</v>
      </c>
      <c r="L2066" t="s">
        <v>5027</v>
      </c>
      <c r="M2066" s="37">
        <v>1.15</v>
      </c>
      <c r="N2066" s="37">
        <v>0.3</v>
      </c>
      <c r="O2066">
        <v>1.15</v>
      </c>
      <c r="P2066" s="37">
        <v>0.95</v>
      </c>
      <c r="Q2066">
        <v>0.95</v>
      </c>
      <c r="R2066">
        <v>1970</v>
      </c>
      <c r="S2066">
        <v>1970</v>
      </c>
      <c r="T2066">
        <v>2000</v>
      </c>
      <c r="U2066" t="s">
        <v>5325</v>
      </c>
      <c r="W2066" t="s">
        <v>5323</v>
      </c>
      <c r="X2066" t="s">
        <v>5324</v>
      </c>
      <c r="Y2066" t="s">
        <v>4833</v>
      </c>
      <c r="Z2066" s="37">
        <v>0.012</v>
      </c>
      <c r="AA2066" s="37">
        <v>1</v>
      </c>
      <c r="AB2066">
        <v>0</v>
      </c>
    </row>
    <row r="2067">
      <c r="A2067" t="s">
        <v>5626</v>
      </c>
      <c r="B2067" t="s">
        <v>5022</v>
      </c>
      <c r="C2067" t="s">
        <v>5022</v>
      </c>
      <c r="D2067" t="s">
        <v>598</v>
      </c>
      <c r="E2067" t="s">
        <v>5627</v>
      </c>
      <c r="F2067" t="s">
        <v>298</v>
      </c>
      <c r="G2067" t="s">
        <v>5628</v>
      </c>
      <c r="H2067" t="s">
        <v>604</v>
      </c>
      <c r="I2067" t="s">
        <v>5630</v>
      </c>
      <c r="J2067" t="s">
        <v>5030</v>
      </c>
      <c r="L2067">
        <v>38</v>
      </c>
      <c r="M2067" s="37">
        <v>0.95</v>
      </c>
      <c r="N2067" s="37">
        <v>0.2</v>
      </c>
      <c r="O2067">
        <v>0.95</v>
      </c>
      <c r="P2067" s="37">
        <v>0.95</v>
      </c>
      <c r="Q2067">
        <v>0.95</v>
      </c>
      <c r="R2067">
        <v>1970</v>
      </c>
      <c r="S2067">
        <v>1970</v>
      </c>
      <c r="T2067">
        <v>2000</v>
      </c>
      <c r="U2067" t="s">
        <v>5325</v>
      </c>
      <c r="W2067" t="s">
        <v>5323</v>
      </c>
      <c r="X2067" t="s">
        <v>5324</v>
      </c>
      <c r="Y2067" t="s">
        <v>4833</v>
      </c>
      <c r="Z2067" s="37">
        <v>0.012</v>
      </c>
      <c r="AA2067" s="37">
        <v>1</v>
      </c>
      <c r="AB2067">
        <v>0</v>
      </c>
    </row>
    <row r="2068">
      <c r="A2068" t="s">
        <v>5626</v>
      </c>
      <c r="B2068" t="s">
        <v>5022</v>
      </c>
      <c r="C2068" t="s">
        <v>5022</v>
      </c>
      <c r="D2068" t="s">
        <v>598</v>
      </c>
      <c r="E2068" t="s">
        <v>5627</v>
      </c>
      <c r="F2068" t="s">
        <v>298</v>
      </c>
      <c r="G2068" t="s">
        <v>5628</v>
      </c>
      <c r="H2068" t="s">
        <v>604</v>
      </c>
      <c r="I2068" t="s">
        <v>5631</v>
      </c>
      <c r="J2068">
        <v>1</v>
      </c>
      <c r="L2068" t="s">
        <v>5632</v>
      </c>
      <c r="M2068" s="37">
        <v>0.83</v>
      </c>
      <c r="N2068" s="37">
        <v>0.5</v>
      </c>
      <c r="O2068">
        <v>0.83</v>
      </c>
      <c r="P2068" s="37">
        <v>0.95</v>
      </c>
      <c r="Q2068">
        <v>0.95</v>
      </c>
      <c r="R2068">
        <v>1970</v>
      </c>
      <c r="S2068">
        <v>1970</v>
      </c>
      <c r="T2068">
        <v>2000</v>
      </c>
      <c r="U2068" t="s">
        <v>5325</v>
      </c>
      <c r="W2068" t="s">
        <v>5323</v>
      </c>
      <c r="X2068" t="s">
        <v>5324</v>
      </c>
      <c r="Y2068" t="s">
        <v>4833</v>
      </c>
      <c r="Z2068" s="37">
        <v>0.012</v>
      </c>
      <c r="AA2068" s="37">
        <v>1</v>
      </c>
      <c r="AB2068">
        <v>0</v>
      </c>
    </row>
    <row r="2069">
      <c r="A2069" t="s">
        <v>5633</v>
      </c>
      <c r="B2069" t="s">
        <v>5022</v>
      </c>
      <c r="C2069" t="s">
        <v>5022</v>
      </c>
      <c r="D2069" t="s">
        <v>5341</v>
      </c>
      <c r="E2069" t="s">
        <v>5634</v>
      </c>
      <c r="F2069" t="s">
        <v>298</v>
      </c>
      <c r="G2069" t="s">
        <v>5628</v>
      </c>
      <c r="H2069" t="s">
        <v>4460</v>
      </c>
      <c r="I2069" t="s">
        <v>5629</v>
      </c>
      <c r="J2069" t="s">
        <v>5026</v>
      </c>
      <c r="L2069" t="s">
        <v>5027</v>
      </c>
      <c r="M2069" s="37">
        <v>1.15</v>
      </c>
      <c r="N2069" s="37">
        <v>0.3</v>
      </c>
      <c r="O2069">
        <v>1.15</v>
      </c>
      <c r="P2069" s="37">
        <v>0.96</v>
      </c>
      <c r="Q2069">
        <v>0.96</v>
      </c>
      <c r="R2069">
        <v>2925</v>
      </c>
      <c r="S2069">
        <v>2925</v>
      </c>
      <c r="T2069">
        <v>2700</v>
      </c>
      <c r="U2069" t="s">
        <v>5325</v>
      </c>
      <c r="W2069" t="s">
        <v>5323</v>
      </c>
      <c r="X2069" t="s">
        <v>5324</v>
      </c>
      <c r="Y2069" t="s">
        <v>4833</v>
      </c>
      <c r="Z2069" s="37">
        <v>0.012</v>
      </c>
      <c r="AA2069" s="37">
        <v>1</v>
      </c>
      <c r="AB2069">
        <v>0</v>
      </c>
    </row>
    <row r="2070">
      <c r="A2070" t="s">
        <v>5633</v>
      </c>
      <c r="B2070" t="s">
        <v>5022</v>
      </c>
      <c r="C2070" t="s">
        <v>5022</v>
      </c>
      <c r="D2070" t="s">
        <v>5341</v>
      </c>
      <c r="E2070" t="s">
        <v>5634</v>
      </c>
      <c r="F2070" t="s">
        <v>298</v>
      </c>
      <c r="G2070" t="s">
        <v>5628</v>
      </c>
      <c r="H2070" t="s">
        <v>4460</v>
      </c>
      <c r="I2070" t="s">
        <v>5630</v>
      </c>
      <c r="J2070" t="s">
        <v>5030</v>
      </c>
      <c r="L2070" t="s">
        <v>5031</v>
      </c>
      <c r="M2070" s="37">
        <v>0.95</v>
      </c>
      <c r="N2070" s="37">
        <v>0.2</v>
      </c>
      <c r="O2070">
        <v>0.95</v>
      </c>
      <c r="P2070" s="37">
        <v>0.96</v>
      </c>
      <c r="Q2070">
        <v>0.96</v>
      </c>
      <c r="R2070">
        <v>2925</v>
      </c>
      <c r="S2070">
        <v>2925</v>
      </c>
      <c r="T2070">
        <v>2700</v>
      </c>
      <c r="U2070" t="s">
        <v>5325</v>
      </c>
      <c r="W2070" t="s">
        <v>5323</v>
      </c>
      <c r="X2070" t="s">
        <v>5324</v>
      </c>
      <c r="Y2070" t="s">
        <v>4833</v>
      </c>
      <c r="Z2070" s="37">
        <v>0.012</v>
      </c>
      <c r="AA2070" s="37">
        <v>1</v>
      </c>
      <c r="AB2070">
        <v>0</v>
      </c>
    </row>
    <row r="2071">
      <c r="A2071" t="s">
        <v>5633</v>
      </c>
      <c r="B2071" t="s">
        <v>5022</v>
      </c>
      <c r="C2071" t="s">
        <v>5022</v>
      </c>
      <c r="D2071" t="s">
        <v>5341</v>
      </c>
      <c r="E2071" t="s">
        <v>5634</v>
      </c>
      <c r="F2071" t="s">
        <v>298</v>
      </c>
      <c r="G2071" t="s">
        <v>5628</v>
      </c>
      <c r="H2071" t="s">
        <v>604</v>
      </c>
      <c r="I2071" t="s">
        <v>5631</v>
      </c>
      <c r="J2071">
        <v>1</v>
      </c>
      <c r="L2071" t="s">
        <v>5635</v>
      </c>
      <c r="M2071" s="37">
        <v>0.85</v>
      </c>
      <c r="N2071" s="37">
        <v>0.5</v>
      </c>
      <c r="O2071">
        <v>0.85</v>
      </c>
      <c r="P2071" s="37">
        <v>0.96</v>
      </c>
      <c r="Q2071">
        <v>0.96</v>
      </c>
      <c r="R2071">
        <v>2925</v>
      </c>
      <c r="S2071">
        <v>2925</v>
      </c>
      <c r="T2071">
        <v>2700</v>
      </c>
      <c r="U2071" t="s">
        <v>5325</v>
      </c>
      <c r="W2071" t="s">
        <v>5323</v>
      </c>
      <c r="X2071" t="s">
        <v>5324</v>
      </c>
      <c r="Y2071" t="s">
        <v>4833</v>
      </c>
      <c r="Z2071" s="37">
        <v>0.012</v>
      </c>
      <c r="AA2071" s="37">
        <v>1</v>
      </c>
      <c r="AB2071">
        <v>0</v>
      </c>
    </row>
    <row r="2072">
      <c r="A2072" t="s">
        <v>5636</v>
      </c>
      <c r="B2072" t="s">
        <v>5022</v>
      </c>
      <c r="C2072" t="s">
        <v>5022</v>
      </c>
      <c r="D2072" t="s">
        <v>3400</v>
      </c>
      <c r="E2072" t="s">
        <v>5637</v>
      </c>
      <c r="F2072" t="s">
        <v>298</v>
      </c>
      <c r="G2072" t="s">
        <v>5628</v>
      </c>
      <c r="H2072" t="s">
        <v>4460</v>
      </c>
      <c r="I2072" t="s">
        <v>5629</v>
      </c>
      <c r="J2072" t="s">
        <v>5026</v>
      </c>
      <c r="L2072" t="s">
        <v>5027</v>
      </c>
      <c r="M2072" s="37">
        <v>1.15</v>
      </c>
      <c r="N2072" s="37">
        <v>0.3</v>
      </c>
      <c r="O2072">
        <v>1.15</v>
      </c>
      <c r="P2072" s="37">
        <v>0.94</v>
      </c>
      <c r="Q2072">
        <v>0.94</v>
      </c>
      <c r="R2072">
        <v>3015</v>
      </c>
      <c r="S2072">
        <v>3015</v>
      </c>
      <c r="T2072">
        <v>3400</v>
      </c>
      <c r="U2072" t="s">
        <v>5325</v>
      </c>
      <c r="W2072" t="s">
        <v>5323</v>
      </c>
      <c r="X2072" t="s">
        <v>5324</v>
      </c>
      <c r="Y2072" t="s">
        <v>4833</v>
      </c>
      <c r="Z2072" s="37">
        <v>0.012</v>
      </c>
      <c r="AA2072" s="37">
        <v>1</v>
      </c>
      <c r="AB2072">
        <v>0</v>
      </c>
    </row>
    <row r="2073">
      <c r="A2073" t="s">
        <v>5636</v>
      </c>
      <c r="B2073" t="s">
        <v>5022</v>
      </c>
      <c r="C2073" t="s">
        <v>5022</v>
      </c>
      <c r="D2073" t="s">
        <v>3400</v>
      </c>
      <c r="E2073" t="s">
        <v>5637</v>
      </c>
      <c r="F2073" t="s">
        <v>298</v>
      </c>
      <c r="G2073" t="s">
        <v>5628</v>
      </c>
      <c r="H2073" t="s">
        <v>4460</v>
      </c>
      <c r="I2073" t="s">
        <v>5630</v>
      </c>
      <c r="J2073" t="s">
        <v>5030</v>
      </c>
      <c r="L2073" t="s">
        <v>5031</v>
      </c>
      <c r="M2073" s="37">
        <v>0.95</v>
      </c>
      <c r="N2073" s="37">
        <v>0.2</v>
      </c>
      <c r="O2073">
        <v>0.95</v>
      </c>
      <c r="P2073" s="37">
        <v>0.94</v>
      </c>
      <c r="Q2073">
        <v>0.94</v>
      </c>
      <c r="R2073">
        <v>3015</v>
      </c>
      <c r="S2073">
        <v>3015</v>
      </c>
      <c r="T2073">
        <v>3400</v>
      </c>
      <c r="U2073" t="s">
        <v>5325</v>
      </c>
      <c r="W2073" t="s">
        <v>5323</v>
      </c>
      <c r="X2073" t="s">
        <v>5324</v>
      </c>
      <c r="Y2073" t="s">
        <v>4833</v>
      </c>
      <c r="Z2073" s="37">
        <v>0.012</v>
      </c>
      <c r="AA2073" s="37">
        <v>1</v>
      </c>
      <c r="AB2073">
        <v>0</v>
      </c>
    </row>
    <row r="2074">
      <c r="A2074" t="s">
        <v>5636</v>
      </c>
      <c r="B2074" t="s">
        <v>5022</v>
      </c>
      <c r="C2074" t="s">
        <v>5022</v>
      </c>
      <c r="D2074" t="s">
        <v>3400</v>
      </c>
      <c r="E2074" t="s">
        <v>5637</v>
      </c>
      <c r="F2074" t="s">
        <v>298</v>
      </c>
      <c r="G2074" t="s">
        <v>5628</v>
      </c>
      <c r="H2074" t="s">
        <v>604</v>
      </c>
      <c r="I2074" t="s">
        <v>5638</v>
      </c>
      <c r="J2074">
        <v>1</v>
      </c>
      <c r="L2074" t="s">
        <v>5639</v>
      </c>
      <c r="M2074" s="37">
        <v>0.81</v>
      </c>
      <c r="N2074" s="37">
        <v>0.5</v>
      </c>
      <c r="O2074">
        <v>0.81</v>
      </c>
      <c r="P2074" s="37">
        <v>0.94</v>
      </c>
      <c r="Q2074">
        <v>0.94</v>
      </c>
      <c r="R2074">
        <v>3015</v>
      </c>
      <c r="S2074">
        <v>3015</v>
      </c>
      <c r="T2074">
        <v>3400</v>
      </c>
      <c r="U2074" t="s">
        <v>5325</v>
      </c>
      <c r="W2074" t="s">
        <v>5323</v>
      </c>
      <c r="X2074" t="s">
        <v>5324</v>
      </c>
      <c r="Y2074" t="s">
        <v>4833</v>
      </c>
      <c r="Z2074" s="37">
        <v>0.012</v>
      </c>
      <c r="AA2074" s="37">
        <v>1</v>
      </c>
      <c r="AB2074">
        <v>0</v>
      </c>
    </row>
    <row r="2075">
      <c r="A2075" t="s">
        <v>5640</v>
      </c>
      <c r="B2075" t="s">
        <v>5022</v>
      </c>
      <c r="C2075" t="s">
        <v>5022</v>
      </c>
      <c r="D2075" t="s">
        <v>566</v>
      </c>
      <c r="E2075" t="s">
        <v>5641</v>
      </c>
      <c r="F2075" t="s">
        <v>298</v>
      </c>
      <c r="G2075" t="s">
        <v>5628</v>
      </c>
      <c r="H2075" t="s">
        <v>4460</v>
      </c>
      <c r="I2075" t="s">
        <v>5629</v>
      </c>
      <c r="J2075" t="s">
        <v>5026</v>
      </c>
      <c r="L2075" t="s">
        <v>5027</v>
      </c>
      <c r="M2075" s="37">
        <v>1.15</v>
      </c>
      <c r="N2075" s="37">
        <v>0.3</v>
      </c>
      <c r="O2075">
        <v>1.15</v>
      </c>
      <c r="P2075" s="37">
        <v>0.935</v>
      </c>
      <c r="Q2075">
        <v>0.94</v>
      </c>
      <c r="R2075">
        <v>2680</v>
      </c>
      <c r="S2075">
        <v>2680</v>
      </c>
      <c r="T2075">
        <v>3400</v>
      </c>
      <c r="U2075" t="s">
        <v>5325</v>
      </c>
      <c r="W2075" t="s">
        <v>5323</v>
      </c>
      <c r="X2075" t="s">
        <v>5324</v>
      </c>
      <c r="Y2075" t="s">
        <v>4833</v>
      </c>
      <c r="Z2075" s="37">
        <v>0.012</v>
      </c>
      <c r="AA2075" s="37">
        <v>1</v>
      </c>
      <c r="AB2075">
        <v>0</v>
      </c>
    </row>
    <row r="2076">
      <c r="A2076" t="s">
        <v>5640</v>
      </c>
      <c r="B2076" t="s">
        <v>5022</v>
      </c>
      <c r="C2076" t="s">
        <v>5022</v>
      </c>
      <c r="D2076" t="s">
        <v>566</v>
      </c>
      <c r="E2076" t="s">
        <v>5641</v>
      </c>
      <c r="F2076" t="s">
        <v>298</v>
      </c>
      <c r="G2076" t="s">
        <v>5628</v>
      </c>
      <c r="H2076" t="s">
        <v>4460</v>
      </c>
      <c r="I2076" t="s">
        <v>5630</v>
      </c>
      <c r="J2076" t="s">
        <v>5030</v>
      </c>
      <c r="L2076" t="s">
        <v>5031</v>
      </c>
      <c r="M2076" s="37">
        <v>0.95</v>
      </c>
      <c r="N2076" s="37">
        <v>0.2</v>
      </c>
      <c r="O2076">
        <v>0.95</v>
      </c>
      <c r="P2076" s="37">
        <v>0.935</v>
      </c>
      <c r="Q2076">
        <v>0.94</v>
      </c>
      <c r="R2076">
        <v>2680</v>
      </c>
      <c r="S2076">
        <v>2680</v>
      </c>
      <c r="T2076">
        <v>3400</v>
      </c>
      <c r="U2076" t="s">
        <v>5325</v>
      </c>
      <c r="W2076" t="s">
        <v>5323</v>
      </c>
      <c r="X2076" t="s">
        <v>5324</v>
      </c>
      <c r="Y2076" t="s">
        <v>4833</v>
      </c>
      <c r="Z2076" s="37">
        <v>0.012</v>
      </c>
      <c r="AA2076" s="37">
        <v>1</v>
      </c>
      <c r="AB2076">
        <v>0</v>
      </c>
    </row>
    <row r="2077">
      <c r="A2077" t="s">
        <v>5640</v>
      </c>
      <c r="B2077" t="s">
        <v>5022</v>
      </c>
      <c r="C2077" t="s">
        <v>5022</v>
      </c>
      <c r="D2077" t="s">
        <v>566</v>
      </c>
      <c r="E2077" t="s">
        <v>5641</v>
      </c>
      <c r="F2077" t="s">
        <v>298</v>
      </c>
      <c r="G2077" t="s">
        <v>5628</v>
      </c>
      <c r="H2077" t="s">
        <v>604</v>
      </c>
      <c r="I2077" t="s">
        <v>5638</v>
      </c>
      <c r="J2077">
        <v>1</v>
      </c>
      <c r="L2077" t="s">
        <v>5642</v>
      </c>
      <c r="M2077" s="37">
        <v>0.8</v>
      </c>
      <c r="N2077" s="37">
        <v>0.5</v>
      </c>
      <c r="O2077">
        <v>0.8</v>
      </c>
      <c r="P2077" s="37">
        <v>0.935</v>
      </c>
      <c r="Q2077">
        <v>0.94</v>
      </c>
      <c r="R2077">
        <v>2680</v>
      </c>
      <c r="S2077">
        <v>2680</v>
      </c>
      <c r="T2077">
        <v>3400</v>
      </c>
      <c r="U2077" t="s">
        <v>5325</v>
      </c>
      <c r="W2077" t="s">
        <v>5323</v>
      </c>
      <c r="X2077" t="s">
        <v>5324</v>
      </c>
      <c r="Y2077" t="s">
        <v>4833</v>
      </c>
      <c r="Z2077" s="37">
        <v>0.012</v>
      </c>
      <c r="AA2077" s="37">
        <v>1</v>
      </c>
      <c r="AB2077">
        <v>0</v>
      </c>
    </row>
    <row r="2078">
      <c r="A2078" t="s">
        <v>5643</v>
      </c>
      <c r="B2078" t="s">
        <v>5022</v>
      </c>
      <c r="C2078" t="s">
        <v>5022</v>
      </c>
      <c r="D2078" t="s">
        <v>598</v>
      </c>
      <c r="E2078" t="s">
        <v>5644</v>
      </c>
      <c r="F2078" t="s">
        <v>298</v>
      </c>
      <c r="G2078" t="s">
        <v>5628</v>
      </c>
      <c r="H2078" t="s">
        <v>604</v>
      </c>
      <c r="I2078" t="s">
        <v>5645</v>
      </c>
      <c r="J2078">
        <v>1</v>
      </c>
      <c r="L2078" t="s">
        <v>5646</v>
      </c>
      <c r="M2078" s="37">
        <v>0.95</v>
      </c>
      <c r="N2078" s="37">
        <v>0.5</v>
      </c>
      <c r="O2078">
        <v>0.95</v>
      </c>
      <c r="P2078" s="37">
        <v>1.01</v>
      </c>
      <c r="Q2078">
        <v>1.01</v>
      </c>
      <c r="R2078">
        <v>5910</v>
      </c>
      <c r="S2078">
        <v>5910</v>
      </c>
      <c r="T2078">
        <v>5000</v>
      </c>
      <c r="U2078" t="s">
        <v>5325</v>
      </c>
      <c r="W2078" t="s">
        <v>5323</v>
      </c>
      <c r="X2078" t="s">
        <v>5324</v>
      </c>
      <c r="Y2078" t="s">
        <v>4833</v>
      </c>
      <c r="Z2078" s="37">
        <v>0.012</v>
      </c>
      <c r="AA2078" s="37">
        <v>1</v>
      </c>
      <c r="AB2078">
        <v>0</v>
      </c>
    </row>
    <row r="2079">
      <c r="A2079" t="s">
        <v>5643</v>
      </c>
      <c r="B2079" t="s">
        <v>5022</v>
      </c>
      <c r="C2079" t="s">
        <v>5022</v>
      </c>
      <c r="D2079" t="s">
        <v>598</v>
      </c>
      <c r="E2079" t="s">
        <v>5644</v>
      </c>
      <c r="F2079" t="s">
        <v>298</v>
      </c>
      <c r="G2079" t="s">
        <v>5628</v>
      </c>
      <c r="H2079" t="s">
        <v>4460</v>
      </c>
      <c r="I2079" t="s">
        <v>5647</v>
      </c>
      <c r="J2079" t="s">
        <v>5026</v>
      </c>
      <c r="L2079" t="s">
        <v>5027</v>
      </c>
      <c r="M2079" s="37">
        <v>1.15</v>
      </c>
      <c r="N2079" s="37">
        <v>0.3</v>
      </c>
      <c r="O2079">
        <v>1.15</v>
      </c>
      <c r="P2079" s="37">
        <v>1.01</v>
      </c>
      <c r="Q2079">
        <v>1.01</v>
      </c>
      <c r="R2079">
        <v>5910</v>
      </c>
      <c r="S2079">
        <v>5910</v>
      </c>
      <c r="T2079">
        <v>5000</v>
      </c>
      <c r="U2079" t="s">
        <v>5325</v>
      </c>
      <c r="W2079" t="s">
        <v>5323</v>
      </c>
      <c r="X2079" t="s">
        <v>5324</v>
      </c>
      <c r="Y2079" t="s">
        <v>4833</v>
      </c>
      <c r="Z2079" s="37">
        <v>0.012</v>
      </c>
      <c r="AA2079" s="37">
        <v>1</v>
      </c>
      <c r="AB2079">
        <v>0</v>
      </c>
    </row>
    <row r="2080">
      <c r="A2080" t="s">
        <v>5643</v>
      </c>
      <c r="B2080" t="s">
        <v>5022</v>
      </c>
      <c r="C2080" t="s">
        <v>5022</v>
      </c>
      <c r="D2080" t="s">
        <v>598</v>
      </c>
      <c r="E2080" t="s">
        <v>5644</v>
      </c>
      <c r="F2080" t="s">
        <v>298</v>
      </c>
      <c r="G2080" t="s">
        <v>5628</v>
      </c>
      <c r="H2080" t="s">
        <v>4460</v>
      </c>
      <c r="I2080" t="s">
        <v>5648</v>
      </c>
      <c r="J2080" t="s">
        <v>5030</v>
      </c>
      <c r="L2080" t="s">
        <v>5031</v>
      </c>
      <c r="M2080" s="37">
        <v>0.95</v>
      </c>
      <c r="N2080" s="37">
        <v>0.2</v>
      </c>
      <c r="O2080">
        <v>0.95</v>
      </c>
      <c r="P2080" s="37">
        <v>1.01</v>
      </c>
      <c r="Q2080">
        <v>1.01</v>
      </c>
      <c r="R2080">
        <v>5910</v>
      </c>
      <c r="S2080">
        <v>5910</v>
      </c>
      <c r="T2080">
        <v>5000</v>
      </c>
      <c r="U2080" t="s">
        <v>5325</v>
      </c>
      <c r="W2080" t="s">
        <v>5323</v>
      </c>
      <c r="X2080" t="s">
        <v>5324</v>
      </c>
      <c r="Y2080" t="s">
        <v>4833</v>
      </c>
      <c r="Z2080" s="37">
        <v>0.012</v>
      </c>
      <c r="AA2080" s="37">
        <v>1</v>
      </c>
      <c r="AB2080">
        <v>0</v>
      </c>
    </row>
    <row r="2081">
      <c r="A2081" t="s">
        <v>5649</v>
      </c>
      <c r="B2081" t="s">
        <v>5022</v>
      </c>
      <c r="C2081" t="s">
        <v>5022</v>
      </c>
      <c r="D2081" t="s">
        <v>598</v>
      </c>
      <c r="E2081" t="s">
        <v>5650</v>
      </c>
      <c r="F2081" t="s">
        <v>298</v>
      </c>
      <c r="G2081" t="s">
        <v>5628</v>
      </c>
      <c r="H2081" t="s">
        <v>4460</v>
      </c>
      <c r="I2081" t="s">
        <v>5629</v>
      </c>
      <c r="J2081" t="s">
        <v>5026</v>
      </c>
      <c r="L2081" t="s">
        <v>5027</v>
      </c>
      <c r="M2081" s="37">
        <v>1.15</v>
      </c>
      <c r="N2081" s="37">
        <v>0.3</v>
      </c>
      <c r="O2081">
        <v>1.15</v>
      </c>
      <c r="P2081" s="37">
        <v>0.985</v>
      </c>
      <c r="Q2081">
        <v>0.99</v>
      </c>
      <c r="R2081">
        <v>0</v>
      </c>
      <c r="S2081">
        <v>0</v>
      </c>
      <c r="T2081">
        <v>5000</v>
      </c>
      <c r="U2081" t="s">
        <v>5325</v>
      </c>
      <c r="W2081" t="s">
        <v>5323</v>
      </c>
      <c r="X2081" t="s">
        <v>5324</v>
      </c>
      <c r="Y2081" t="s">
        <v>4833</v>
      </c>
      <c r="Z2081" s="37">
        <v>0.012</v>
      </c>
      <c r="AA2081" s="37">
        <v>1</v>
      </c>
      <c r="AB2081">
        <v>0</v>
      </c>
    </row>
    <row r="2082">
      <c r="A2082" t="s">
        <v>5649</v>
      </c>
      <c r="B2082" t="s">
        <v>5022</v>
      </c>
      <c r="C2082" t="s">
        <v>5022</v>
      </c>
      <c r="D2082" t="s">
        <v>598</v>
      </c>
      <c r="E2082" t="s">
        <v>5650</v>
      </c>
      <c r="F2082" t="s">
        <v>298</v>
      </c>
      <c r="G2082" t="s">
        <v>5628</v>
      </c>
      <c r="H2082" t="s">
        <v>4460</v>
      </c>
      <c r="I2082" t="s">
        <v>5630</v>
      </c>
      <c r="J2082" t="s">
        <v>5030</v>
      </c>
      <c r="L2082" t="s">
        <v>5031</v>
      </c>
      <c r="M2082" s="37">
        <v>0.95</v>
      </c>
      <c r="N2082" s="37">
        <v>0.2</v>
      </c>
      <c r="O2082">
        <v>0.95</v>
      </c>
      <c r="P2082" s="37">
        <v>0.985</v>
      </c>
      <c r="Q2082">
        <v>0.99</v>
      </c>
      <c r="R2082">
        <v>0</v>
      </c>
      <c r="S2082">
        <v>0</v>
      </c>
      <c r="T2082">
        <v>5000</v>
      </c>
      <c r="U2082" t="s">
        <v>5325</v>
      </c>
      <c r="W2082" t="s">
        <v>5323</v>
      </c>
      <c r="X2082" t="s">
        <v>5324</v>
      </c>
      <c r="Y2082" t="s">
        <v>4833</v>
      </c>
      <c r="Z2082" s="37">
        <v>0.012</v>
      </c>
      <c r="AA2082" s="37">
        <v>1</v>
      </c>
      <c r="AB2082">
        <v>0</v>
      </c>
    </row>
    <row r="2083">
      <c r="A2083" t="s">
        <v>5649</v>
      </c>
      <c r="B2083" t="s">
        <v>5022</v>
      </c>
      <c r="C2083" t="s">
        <v>5022</v>
      </c>
      <c r="D2083" t="s">
        <v>598</v>
      </c>
      <c r="E2083" t="s">
        <v>5650</v>
      </c>
      <c r="F2083" t="s">
        <v>298</v>
      </c>
      <c r="G2083" t="s">
        <v>5628</v>
      </c>
      <c r="H2083" t="s">
        <v>604</v>
      </c>
      <c r="I2083" t="s">
        <v>5631</v>
      </c>
      <c r="J2083" s="38">
        <v>1</v>
      </c>
      <c r="L2083" t="s">
        <v>5651</v>
      </c>
      <c r="M2083" s="37">
        <v>0.9</v>
      </c>
      <c r="N2083" s="37">
        <v>0.5</v>
      </c>
      <c r="O2083">
        <v>0.9</v>
      </c>
      <c r="P2083" s="37">
        <v>0.985</v>
      </c>
      <c r="Q2083">
        <v>0.99</v>
      </c>
      <c r="R2083">
        <v>0</v>
      </c>
      <c r="S2083">
        <v>0</v>
      </c>
      <c r="T2083">
        <v>5000</v>
      </c>
      <c r="U2083" t="s">
        <v>5325</v>
      </c>
      <c r="W2083" t="s">
        <v>5323</v>
      </c>
      <c r="X2083" t="s">
        <v>5324</v>
      </c>
      <c r="Y2083" t="s">
        <v>4833</v>
      </c>
      <c r="Z2083" s="37">
        <v>0.012</v>
      </c>
      <c r="AA2083" s="37">
        <v>1</v>
      </c>
      <c r="AB2083">
        <v>0</v>
      </c>
    </row>
    <row r="2084">
      <c r="A2084" t="s">
        <v>5652</v>
      </c>
      <c r="B2084" t="s">
        <v>5022</v>
      </c>
      <c r="C2084" t="s">
        <v>5022</v>
      </c>
      <c r="D2084" t="s">
        <v>359</v>
      </c>
      <c r="E2084" t="s">
        <v>5653</v>
      </c>
      <c r="F2084" t="s">
        <v>298</v>
      </c>
      <c r="G2084" t="s">
        <v>5628</v>
      </c>
      <c r="H2084" t="s">
        <v>4460</v>
      </c>
      <c r="I2084" t="s">
        <v>5629</v>
      </c>
      <c r="J2084" t="s">
        <v>5026</v>
      </c>
      <c r="L2084" t="s">
        <v>5027</v>
      </c>
      <c r="M2084" s="37">
        <v>1.15</v>
      </c>
      <c r="N2084" s="37">
        <v>0.3</v>
      </c>
      <c r="O2084">
        <v>1.15</v>
      </c>
      <c r="P2084" s="37">
        <v>0.945</v>
      </c>
      <c r="Q2084">
        <v>0.95</v>
      </c>
      <c r="R2084">
        <v>0</v>
      </c>
      <c r="S2084">
        <v>0</v>
      </c>
      <c r="T2084">
        <v>5000</v>
      </c>
      <c r="U2084" t="s">
        <v>5325</v>
      </c>
      <c r="W2084" t="s">
        <v>5323</v>
      </c>
      <c r="X2084" t="s">
        <v>5324</v>
      </c>
      <c r="Y2084" t="s">
        <v>4833</v>
      </c>
      <c r="Z2084" s="37">
        <v>0.012</v>
      </c>
      <c r="AA2084" s="37">
        <v>1</v>
      </c>
      <c r="AB2084">
        <v>0</v>
      </c>
    </row>
    <row r="2085">
      <c r="A2085" t="s">
        <v>5652</v>
      </c>
      <c r="B2085" t="s">
        <v>5022</v>
      </c>
      <c r="C2085" t="s">
        <v>5022</v>
      </c>
      <c r="D2085" t="s">
        <v>359</v>
      </c>
      <c r="E2085" t="s">
        <v>5653</v>
      </c>
      <c r="F2085" t="s">
        <v>298</v>
      </c>
      <c r="G2085" t="s">
        <v>5628</v>
      </c>
      <c r="H2085" t="s">
        <v>4460</v>
      </c>
      <c r="I2085" t="s">
        <v>5630</v>
      </c>
      <c r="J2085" t="s">
        <v>5030</v>
      </c>
      <c r="L2085" t="s">
        <v>5031</v>
      </c>
      <c r="M2085" s="37">
        <v>0.95</v>
      </c>
      <c r="N2085" s="37">
        <v>0.2</v>
      </c>
      <c r="O2085">
        <v>0.95</v>
      </c>
      <c r="P2085" s="37">
        <v>0.945</v>
      </c>
      <c r="Q2085">
        <v>0.95</v>
      </c>
      <c r="R2085">
        <v>0</v>
      </c>
      <c r="S2085">
        <v>0</v>
      </c>
      <c r="T2085">
        <v>5000</v>
      </c>
      <c r="U2085" t="s">
        <v>5325</v>
      </c>
      <c r="W2085" t="s">
        <v>5323</v>
      </c>
      <c r="X2085" t="s">
        <v>5324</v>
      </c>
      <c r="Y2085" t="s">
        <v>4833</v>
      </c>
      <c r="Z2085" s="37">
        <v>0.012</v>
      </c>
      <c r="AA2085" s="37">
        <v>1</v>
      </c>
      <c r="AB2085">
        <v>0</v>
      </c>
    </row>
    <row r="2086">
      <c r="A2086" t="s">
        <v>5652</v>
      </c>
      <c r="B2086" t="s">
        <v>5022</v>
      </c>
      <c r="C2086" t="s">
        <v>5022</v>
      </c>
      <c r="D2086" t="s">
        <v>359</v>
      </c>
      <c r="E2086" t="s">
        <v>5653</v>
      </c>
      <c r="F2086" t="s">
        <v>298</v>
      </c>
      <c r="G2086" t="s">
        <v>5628</v>
      </c>
      <c r="H2086" t="s">
        <v>604</v>
      </c>
      <c r="I2086" t="s">
        <v>5638</v>
      </c>
      <c r="J2086">
        <v>1</v>
      </c>
      <c r="L2086" t="s">
        <v>5654</v>
      </c>
      <c r="M2086" s="37">
        <v>0.82</v>
      </c>
      <c r="N2086" s="37">
        <v>0.5</v>
      </c>
      <c r="O2086">
        <v>0.82</v>
      </c>
      <c r="P2086" s="37">
        <v>0.945</v>
      </c>
      <c r="Q2086">
        <v>0.95</v>
      </c>
      <c r="R2086">
        <v>0</v>
      </c>
      <c r="S2086">
        <v>0</v>
      </c>
      <c r="T2086">
        <v>5000</v>
      </c>
      <c r="U2086" t="s">
        <v>5325</v>
      </c>
      <c r="W2086" t="s">
        <v>5323</v>
      </c>
      <c r="X2086" t="s">
        <v>5324</v>
      </c>
      <c r="Y2086" t="s">
        <v>4833</v>
      </c>
      <c r="Z2086" s="37">
        <v>0.012</v>
      </c>
      <c r="AA2086" s="37">
        <v>1</v>
      </c>
      <c r="AB2086">
        <v>0</v>
      </c>
    </row>
    <row r="2087">
      <c r="A2087" t="s">
        <v>5655</v>
      </c>
      <c r="B2087" t="s">
        <v>5656</v>
      </c>
      <c r="C2087" t="s">
        <v>5656</v>
      </c>
      <c r="D2087" t="s">
        <v>359</v>
      </c>
      <c r="E2087" t="s">
        <v>5657</v>
      </c>
      <c r="F2087" t="s">
        <v>298</v>
      </c>
      <c r="G2087" t="s">
        <v>3529</v>
      </c>
      <c r="H2087" t="s">
        <v>3534</v>
      </c>
      <c r="I2087" t="s">
        <v>5658</v>
      </c>
      <c r="J2087" t="s">
        <v>5483</v>
      </c>
      <c r="K2087" t="s">
        <v>5659</v>
      </c>
      <c r="L2087" t="s">
        <v>5654</v>
      </c>
      <c r="M2087" s="37">
        <v>0.426</v>
      </c>
      <c r="N2087" s="37">
        <v>0.5</v>
      </c>
      <c r="O2087">
        <v>0.511</v>
      </c>
      <c r="P2087" s="37">
        <v>0.9145</v>
      </c>
      <c r="Q2087">
        <v>0.78</v>
      </c>
      <c r="R2087">
        <v>3889</v>
      </c>
      <c r="S2087">
        <v>3889</v>
      </c>
      <c r="T2087">
        <v>5000</v>
      </c>
      <c r="U2087" t="s">
        <v>5325</v>
      </c>
      <c r="W2087" t="s">
        <v>5323</v>
      </c>
      <c r="X2087" t="s">
        <v>5324</v>
      </c>
      <c r="Y2087" t="s">
        <v>4833</v>
      </c>
      <c r="Z2087" s="37">
        <v>0.012</v>
      </c>
      <c r="AA2087" s="37">
        <v>1</v>
      </c>
      <c r="AB2087">
        <v>0</v>
      </c>
    </row>
    <row r="2088">
      <c r="A2088" t="s">
        <v>5655</v>
      </c>
      <c r="B2088" t="s">
        <v>5656</v>
      </c>
      <c r="C2088" t="s">
        <v>5656</v>
      </c>
      <c r="D2088" t="s">
        <v>359</v>
      </c>
      <c r="E2088" t="s">
        <v>5657</v>
      </c>
      <c r="F2088" t="s">
        <v>298</v>
      </c>
      <c r="G2088" t="s">
        <v>3529</v>
      </c>
      <c r="H2088" t="s">
        <v>3530</v>
      </c>
      <c r="I2088" t="s">
        <v>5660</v>
      </c>
      <c r="J2088" t="s">
        <v>5661</v>
      </c>
      <c r="K2088" t="s">
        <v>5662</v>
      </c>
      <c r="L2088" t="s">
        <v>5654</v>
      </c>
      <c r="M2088" s="37">
        <v>0.791</v>
      </c>
      <c r="N2088" s="37">
        <v>0.2</v>
      </c>
      <c r="O2088">
        <v>0.633</v>
      </c>
      <c r="P2088" s="37">
        <v>0.9145</v>
      </c>
      <c r="Q2088">
        <v>0.78</v>
      </c>
      <c r="R2088">
        <v>3889</v>
      </c>
      <c r="S2088">
        <v>3889</v>
      </c>
      <c r="T2088">
        <v>5000</v>
      </c>
      <c r="U2088" t="s">
        <v>5325</v>
      </c>
      <c r="W2088" t="s">
        <v>5323</v>
      </c>
      <c r="X2088" t="s">
        <v>5324</v>
      </c>
      <c r="Y2088" t="s">
        <v>4833</v>
      </c>
      <c r="Z2088" s="37">
        <v>0.012</v>
      </c>
      <c r="AA2088" s="37">
        <v>1</v>
      </c>
      <c r="AB2088">
        <v>0</v>
      </c>
    </row>
    <row r="2089">
      <c r="A2089" t="s">
        <v>5655</v>
      </c>
      <c r="B2089" t="s">
        <v>5656</v>
      </c>
      <c r="C2089" t="s">
        <v>5656</v>
      </c>
      <c r="D2089" t="s">
        <v>359</v>
      </c>
      <c r="E2089" t="s">
        <v>5657</v>
      </c>
      <c r="F2089" t="s">
        <v>298</v>
      </c>
      <c r="G2089" t="s">
        <v>3529</v>
      </c>
      <c r="H2089" t="s">
        <v>3541</v>
      </c>
      <c r="I2089" t="s">
        <v>5663</v>
      </c>
      <c r="J2089" t="s">
        <v>5528</v>
      </c>
      <c r="K2089" t="s">
        <v>5664</v>
      </c>
      <c r="L2089" t="s">
        <v>5654</v>
      </c>
      <c r="M2089" s="37">
        <v>2.238</v>
      </c>
      <c r="N2089" s="37">
        <v>0.2</v>
      </c>
      <c r="O2089">
        <v>1.5</v>
      </c>
      <c r="P2089" s="37">
        <v>0.9145</v>
      </c>
      <c r="Q2089">
        <v>0.78</v>
      </c>
      <c r="R2089">
        <v>3889</v>
      </c>
      <c r="S2089">
        <v>3889</v>
      </c>
      <c r="T2089">
        <v>5000</v>
      </c>
      <c r="U2089" t="s">
        <v>5325</v>
      </c>
      <c r="W2089" t="s">
        <v>5323</v>
      </c>
      <c r="X2089" t="s">
        <v>5324</v>
      </c>
      <c r="Y2089" t="s">
        <v>4833</v>
      </c>
      <c r="Z2089" s="37">
        <v>0.012</v>
      </c>
      <c r="AA2089" s="37">
        <v>1</v>
      </c>
      <c r="AB2089">
        <v>0</v>
      </c>
    </row>
    <row r="2090">
      <c r="A2090" t="s">
        <v>5655</v>
      </c>
      <c r="B2090" t="s">
        <v>5656</v>
      </c>
      <c r="C2090" t="s">
        <v>5656</v>
      </c>
      <c r="D2090" t="s">
        <v>359</v>
      </c>
      <c r="E2090" t="s">
        <v>5657</v>
      </c>
      <c r="F2090" t="s">
        <v>298</v>
      </c>
      <c r="G2090" t="s">
        <v>3529</v>
      </c>
      <c r="H2090" t="s">
        <v>3530</v>
      </c>
      <c r="I2090" t="s">
        <v>5665</v>
      </c>
      <c r="J2090" t="s">
        <v>5666</v>
      </c>
      <c r="K2090" t="s">
        <v>5667</v>
      </c>
      <c r="L2090" t="s">
        <v>5654</v>
      </c>
      <c r="M2090" s="37">
        <v>0.957</v>
      </c>
      <c r="N2090" s="37">
        <v>0.1</v>
      </c>
      <c r="O2090">
        <v>0.957</v>
      </c>
      <c r="P2090" s="37">
        <v>0.9145</v>
      </c>
      <c r="Q2090">
        <v>0.78</v>
      </c>
      <c r="R2090">
        <v>3889</v>
      </c>
      <c r="S2090">
        <v>3889</v>
      </c>
      <c r="T2090">
        <v>5000</v>
      </c>
      <c r="U2090" t="s">
        <v>5325</v>
      </c>
      <c r="W2090" t="s">
        <v>5323</v>
      </c>
      <c r="X2090" t="s">
        <v>5324</v>
      </c>
      <c r="Y2090" t="s">
        <v>4833</v>
      </c>
      <c r="Z2090" s="37">
        <v>0.012</v>
      </c>
      <c r="AA2090" s="37">
        <v>1</v>
      </c>
      <c r="AB2090">
        <v>0</v>
      </c>
    </row>
    <row r="2091">
      <c r="A2091" t="s">
        <v>5668</v>
      </c>
      <c r="B2091" t="s">
        <v>5656</v>
      </c>
      <c r="C2091" t="s">
        <v>5656</v>
      </c>
      <c r="D2091" t="s">
        <v>359</v>
      </c>
      <c r="E2091" t="s">
        <v>5669</v>
      </c>
      <c r="F2091" t="s">
        <v>298</v>
      </c>
      <c r="G2091" t="s">
        <v>3529</v>
      </c>
      <c r="H2091" t="s">
        <v>3534</v>
      </c>
      <c r="I2091" t="s">
        <v>5670</v>
      </c>
      <c r="J2091" t="s">
        <v>5671</v>
      </c>
      <c r="K2091" t="s">
        <v>5672</v>
      </c>
      <c r="L2091" t="s">
        <v>5654</v>
      </c>
      <c r="M2091" s="37">
        <v>0.91</v>
      </c>
      <c r="N2091" s="37">
        <v>0.4</v>
      </c>
      <c r="O2091">
        <v>1.092</v>
      </c>
      <c r="P2091" s="37">
        <v>0.9004</v>
      </c>
      <c r="Q2091">
        <v>0.9</v>
      </c>
      <c r="R2091">
        <v>0</v>
      </c>
      <c r="S2091">
        <v>0</v>
      </c>
      <c r="T2091">
        <v>5000</v>
      </c>
      <c r="U2091" t="s">
        <v>5325</v>
      </c>
      <c r="W2091" t="s">
        <v>5323</v>
      </c>
      <c r="X2091" t="s">
        <v>5324</v>
      </c>
      <c r="Y2091" t="s">
        <v>4833</v>
      </c>
      <c r="Z2091" s="37">
        <v>0.012</v>
      </c>
      <c r="AA2091" s="37">
        <v>1</v>
      </c>
      <c r="AB2091">
        <v>0</v>
      </c>
    </row>
    <row r="2092">
      <c r="A2092" t="s">
        <v>5668</v>
      </c>
      <c r="B2092" t="s">
        <v>5656</v>
      </c>
      <c r="C2092" t="s">
        <v>5656</v>
      </c>
      <c r="D2092" t="s">
        <v>359</v>
      </c>
      <c r="E2092" t="s">
        <v>5669</v>
      </c>
      <c r="F2092" t="s">
        <v>298</v>
      </c>
      <c r="G2092" t="s">
        <v>3529</v>
      </c>
      <c r="H2092" t="s">
        <v>3530</v>
      </c>
      <c r="I2092" t="s">
        <v>5673</v>
      </c>
      <c r="J2092" t="s">
        <v>5674</v>
      </c>
      <c r="K2092" t="s">
        <v>5675</v>
      </c>
      <c r="L2092" t="s">
        <v>5654</v>
      </c>
      <c r="M2092" s="37">
        <v>0.74</v>
      </c>
      <c r="N2092" s="37">
        <v>0.2</v>
      </c>
      <c r="O2092">
        <v>0.592</v>
      </c>
      <c r="P2092" s="37">
        <v>0.9004</v>
      </c>
      <c r="Q2092">
        <v>0.9</v>
      </c>
      <c r="R2092">
        <v>0</v>
      </c>
      <c r="S2092">
        <v>0</v>
      </c>
      <c r="T2092">
        <v>5000</v>
      </c>
      <c r="U2092" t="s">
        <v>5325</v>
      </c>
      <c r="W2092" t="s">
        <v>5323</v>
      </c>
      <c r="X2092" t="s">
        <v>5324</v>
      </c>
      <c r="Y2092" t="s">
        <v>4833</v>
      </c>
      <c r="Z2092" s="37">
        <v>0.012</v>
      </c>
      <c r="AA2092" s="37">
        <v>1</v>
      </c>
      <c r="AB2092">
        <v>0</v>
      </c>
    </row>
    <row r="2093">
      <c r="A2093" t="s">
        <v>5668</v>
      </c>
      <c r="B2093" t="s">
        <v>5656</v>
      </c>
      <c r="C2093" t="s">
        <v>5656</v>
      </c>
      <c r="D2093" t="s">
        <v>359</v>
      </c>
      <c r="E2093" t="s">
        <v>5669</v>
      </c>
      <c r="F2093" t="s">
        <v>298</v>
      </c>
      <c r="G2093" t="s">
        <v>3529</v>
      </c>
      <c r="H2093" t="s">
        <v>3541</v>
      </c>
      <c r="I2093" t="s">
        <v>5676</v>
      </c>
      <c r="J2093" t="s">
        <v>5677</v>
      </c>
      <c r="K2093" t="s">
        <v>5678</v>
      </c>
      <c r="L2093" t="s">
        <v>5654</v>
      </c>
      <c r="M2093" s="37">
        <v>0.275</v>
      </c>
      <c r="N2093" s="37">
        <v>0.2</v>
      </c>
      <c r="O2093">
        <v>0.22</v>
      </c>
      <c r="P2093" s="37">
        <v>0.9004</v>
      </c>
      <c r="Q2093">
        <v>0.9</v>
      </c>
      <c r="R2093">
        <v>0</v>
      </c>
      <c r="S2093">
        <v>0</v>
      </c>
      <c r="T2093">
        <v>5000</v>
      </c>
      <c r="U2093" t="s">
        <v>5325</v>
      </c>
      <c r="W2093" t="s">
        <v>5323</v>
      </c>
      <c r="X2093" t="s">
        <v>5324</v>
      </c>
      <c r="Y2093" t="s">
        <v>4833</v>
      </c>
      <c r="Z2093" s="37">
        <v>0.012</v>
      </c>
      <c r="AA2093" s="37">
        <v>1</v>
      </c>
      <c r="AB2093">
        <v>0</v>
      </c>
    </row>
    <row r="2094">
      <c r="A2094" t="s">
        <v>5668</v>
      </c>
      <c r="B2094" t="s">
        <v>5656</v>
      </c>
      <c r="C2094" t="s">
        <v>5656</v>
      </c>
      <c r="D2094" t="s">
        <v>359</v>
      </c>
      <c r="E2094" t="s">
        <v>5669</v>
      </c>
      <c r="F2094" t="s">
        <v>298</v>
      </c>
      <c r="G2094" t="s">
        <v>3529</v>
      </c>
      <c r="H2094" t="s">
        <v>3537</v>
      </c>
      <c r="I2094" t="s">
        <v>5679</v>
      </c>
      <c r="J2094" t="s">
        <v>5680</v>
      </c>
      <c r="K2094">
        <v>5</v>
      </c>
      <c r="L2094" t="s">
        <v>5654</v>
      </c>
      <c r="M2094" s="37">
        <v>1.667</v>
      </c>
      <c r="N2094" s="37">
        <v>0.2</v>
      </c>
      <c r="O2094">
        <v>1.5</v>
      </c>
      <c r="P2094" s="37">
        <v>0.9004</v>
      </c>
      <c r="Q2094">
        <v>0.9</v>
      </c>
      <c r="R2094">
        <v>0</v>
      </c>
      <c r="S2094">
        <v>0</v>
      </c>
      <c r="T2094">
        <v>5000</v>
      </c>
      <c r="U2094" t="s">
        <v>5325</v>
      </c>
      <c r="W2094" t="s">
        <v>5323</v>
      </c>
      <c r="X2094" t="s">
        <v>5324</v>
      </c>
      <c r="Y2094" t="s">
        <v>4833</v>
      </c>
      <c r="Z2094" s="37">
        <v>0.012</v>
      </c>
      <c r="AA2094" s="37">
        <v>1</v>
      </c>
      <c r="AB2094">
        <v>0</v>
      </c>
    </row>
    <row r="2095">
      <c r="A2095" t="s">
        <v>5681</v>
      </c>
      <c r="B2095" t="s">
        <v>5656</v>
      </c>
      <c r="C2095" t="s">
        <v>5656</v>
      </c>
      <c r="D2095" t="s">
        <v>2521</v>
      </c>
      <c r="E2095" t="s">
        <v>5682</v>
      </c>
      <c r="F2095" t="s">
        <v>298</v>
      </c>
      <c r="G2095" t="s">
        <v>3529</v>
      </c>
      <c r="H2095" t="s">
        <v>3534</v>
      </c>
      <c r="I2095" t="s">
        <v>5683</v>
      </c>
      <c r="J2095" t="s">
        <v>5684</v>
      </c>
      <c r="K2095" t="s">
        <v>5685</v>
      </c>
      <c r="L2095" t="s">
        <v>5654</v>
      </c>
      <c r="M2095" s="37">
        <v>0.904</v>
      </c>
      <c r="N2095" s="37">
        <v>0.5</v>
      </c>
      <c r="O2095">
        <v>0.904</v>
      </c>
      <c r="P2095" s="37">
        <v>0.89675</v>
      </c>
      <c r="Q2095">
        <v>0.9</v>
      </c>
      <c r="R2095">
        <v>0</v>
      </c>
      <c r="S2095">
        <v>0</v>
      </c>
      <c r="T2095">
        <v>5000</v>
      </c>
      <c r="U2095" t="s">
        <v>5325</v>
      </c>
      <c r="W2095" t="s">
        <v>5323</v>
      </c>
      <c r="X2095" t="s">
        <v>5324</v>
      </c>
      <c r="Y2095" t="s">
        <v>4833</v>
      </c>
      <c r="Z2095" s="37">
        <v>0.012</v>
      </c>
      <c r="AA2095" s="37">
        <v>1</v>
      </c>
      <c r="AB2095">
        <v>0</v>
      </c>
    </row>
    <row r="2096">
      <c r="A2096" t="s">
        <v>5681</v>
      </c>
      <c r="B2096" t="s">
        <v>5656</v>
      </c>
      <c r="C2096" t="s">
        <v>5656</v>
      </c>
      <c r="D2096" t="s">
        <v>2521</v>
      </c>
      <c r="E2096" t="s">
        <v>5682</v>
      </c>
      <c r="F2096" t="s">
        <v>298</v>
      </c>
      <c r="G2096" t="s">
        <v>3529</v>
      </c>
      <c r="H2096" t="s">
        <v>3541</v>
      </c>
      <c r="I2096" t="s">
        <v>5686</v>
      </c>
      <c r="J2096" t="s">
        <v>5502</v>
      </c>
      <c r="K2096" t="s">
        <v>5687</v>
      </c>
      <c r="L2096" t="s">
        <v>5654</v>
      </c>
      <c r="M2096" s="37">
        <v>0.837</v>
      </c>
      <c r="N2096" s="37">
        <v>0.25</v>
      </c>
      <c r="O2096">
        <v>0.837</v>
      </c>
      <c r="P2096" s="37">
        <v>0.89675</v>
      </c>
      <c r="Q2096">
        <v>0.9</v>
      </c>
      <c r="R2096">
        <v>0</v>
      </c>
      <c r="S2096">
        <v>0</v>
      </c>
      <c r="T2096">
        <v>5000</v>
      </c>
      <c r="U2096" t="s">
        <v>5325</v>
      </c>
      <c r="W2096" t="s">
        <v>5323</v>
      </c>
      <c r="X2096" t="s">
        <v>5324</v>
      </c>
      <c r="Y2096" t="s">
        <v>4833</v>
      </c>
      <c r="Z2096" s="37">
        <v>0.012</v>
      </c>
      <c r="AA2096" s="37">
        <v>1</v>
      </c>
      <c r="AB2096">
        <v>0</v>
      </c>
    </row>
    <row r="2097">
      <c r="A2097" t="s">
        <v>5681</v>
      </c>
      <c r="B2097" t="s">
        <v>5656</v>
      </c>
      <c r="C2097" t="s">
        <v>5656</v>
      </c>
      <c r="D2097" t="s">
        <v>2521</v>
      </c>
      <c r="E2097" t="s">
        <v>5682</v>
      </c>
      <c r="F2097" t="s">
        <v>298</v>
      </c>
      <c r="G2097" t="s">
        <v>3529</v>
      </c>
      <c r="H2097" t="s">
        <v>3541</v>
      </c>
      <c r="I2097" t="s">
        <v>5688</v>
      </c>
      <c r="J2097" t="s">
        <v>5515</v>
      </c>
      <c r="K2097" t="s">
        <v>5689</v>
      </c>
      <c r="L2097" t="s">
        <v>5654</v>
      </c>
      <c r="M2097" s="37">
        <v>0.942</v>
      </c>
      <c r="N2097" s="37">
        <v>0.25</v>
      </c>
      <c r="O2097">
        <v>0.942</v>
      </c>
      <c r="P2097" s="37">
        <v>0.89675</v>
      </c>
      <c r="Q2097">
        <v>0.9</v>
      </c>
      <c r="R2097">
        <v>0</v>
      </c>
      <c r="S2097">
        <v>0</v>
      </c>
      <c r="T2097">
        <v>5000</v>
      </c>
      <c r="U2097" t="s">
        <v>5325</v>
      </c>
      <c r="W2097" t="s">
        <v>5323</v>
      </c>
      <c r="X2097" t="s">
        <v>5324</v>
      </c>
      <c r="Y2097" t="s">
        <v>4833</v>
      </c>
      <c r="Z2097" s="37">
        <v>0.012</v>
      </c>
      <c r="AA2097" s="37">
        <v>1</v>
      </c>
      <c r="AB2097">
        <v>0</v>
      </c>
    </row>
    <row r="2098">
      <c r="A2098" t="s">
        <v>5690</v>
      </c>
      <c r="B2098" t="s">
        <v>5656</v>
      </c>
      <c r="C2098" t="s">
        <v>5656</v>
      </c>
      <c r="D2098" t="s">
        <v>1013</v>
      </c>
      <c r="E2098" t="s">
        <v>5691</v>
      </c>
      <c r="F2098" t="s">
        <v>298</v>
      </c>
      <c r="G2098" t="s">
        <v>5692</v>
      </c>
      <c r="H2098" t="s">
        <v>3530</v>
      </c>
      <c r="I2098" t="s">
        <v>5693</v>
      </c>
      <c r="J2098" t="s">
        <v>5694</v>
      </c>
      <c r="K2098">
        <v>244283.9612</v>
      </c>
      <c r="L2098" t="s">
        <v>5654</v>
      </c>
      <c r="M2098" s="37">
        <v>0.939554</v>
      </c>
      <c r="N2098" s="37">
        <v>0.4</v>
      </c>
      <c r="O2098">
        <v>0.9396</v>
      </c>
      <c r="P2098" s="37">
        <v>0.769155</v>
      </c>
      <c r="Q2098">
        <v>0.77</v>
      </c>
      <c r="R2098">
        <v>1153.73</v>
      </c>
      <c r="S2098">
        <v>1153.73</v>
      </c>
      <c r="T2098">
        <v>1500</v>
      </c>
      <c r="U2098" t="s">
        <v>5325</v>
      </c>
      <c r="W2098" t="s">
        <v>5323</v>
      </c>
      <c r="X2098" t="s">
        <v>5324</v>
      </c>
      <c r="Y2098" t="s">
        <v>4833</v>
      </c>
      <c r="Z2098" s="37">
        <v>0.012</v>
      </c>
      <c r="AA2098" s="37">
        <v>1</v>
      </c>
      <c r="AB2098">
        <v>0</v>
      </c>
    </row>
    <row r="2099">
      <c r="A2099" t="s">
        <v>5690</v>
      </c>
      <c r="B2099" t="s">
        <v>5656</v>
      </c>
      <c r="C2099" t="s">
        <v>5656</v>
      </c>
      <c r="D2099" t="s">
        <v>1013</v>
      </c>
      <c r="E2099" t="s">
        <v>5691</v>
      </c>
      <c r="F2099" t="s">
        <v>298</v>
      </c>
      <c r="G2099" t="s">
        <v>5692</v>
      </c>
      <c r="H2099" t="s">
        <v>3530</v>
      </c>
      <c r="I2099" t="s">
        <v>5695</v>
      </c>
      <c r="J2099" t="s">
        <v>864</v>
      </c>
      <c r="K2099" s="37">
        <v>-0.055</v>
      </c>
      <c r="L2099" t="s">
        <v>5654</v>
      </c>
      <c r="M2099" s="37">
        <v>0</v>
      </c>
      <c r="N2099" s="37">
        <v>0.2</v>
      </c>
      <c r="O2099">
        <v>0</v>
      </c>
      <c r="P2099" s="37">
        <v>0.769155</v>
      </c>
      <c r="Q2099">
        <v>0.77</v>
      </c>
      <c r="R2099">
        <v>1153.73</v>
      </c>
      <c r="S2099">
        <v>1153.73</v>
      </c>
      <c r="T2099">
        <v>1500</v>
      </c>
      <c r="U2099" t="s">
        <v>5325</v>
      </c>
      <c r="W2099" t="s">
        <v>5323</v>
      </c>
      <c r="X2099" t="s">
        <v>5324</v>
      </c>
      <c r="Y2099" t="s">
        <v>4833</v>
      </c>
      <c r="Z2099" s="37">
        <v>0.012</v>
      </c>
      <c r="AA2099" s="37">
        <v>1</v>
      </c>
      <c r="AB2099">
        <v>0</v>
      </c>
    </row>
    <row r="2100">
      <c r="A2100" t="s">
        <v>5690</v>
      </c>
      <c r="B2100" t="s">
        <v>5656</v>
      </c>
      <c r="C2100" t="s">
        <v>5656</v>
      </c>
      <c r="D2100" t="s">
        <v>1013</v>
      </c>
      <c r="E2100" t="s">
        <v>5691</v>
      </c>
      <c r="F2100" t="s">
        <v>298</v>
      </c>
      <c r="G2100" t="s">
        <v>5692</v>
      </c>
      <c r="H2100" t="s">
        <v>5696</v>
      </c>
      <c r="I2100" t="s">
        <v>5697</v>
      </c>
      <c r="J2100" t="s">
        <v>2389</v>
      </c>
      <c r="K2100">
        <v>7</v>
      </c>
      <c r="L2100" t="s">
        <v>5654</v>
      </c>
      <c r="M2100" s="37">
        <v>0.466667</v>
      </c>
      <c r="N2100" s="37">
        <v>0.2</v>
      </c>
      <c r="O2100">
        <v>0.4667</v>
      </c>
      <c r="P2100" s="37">
        <v>0.769155</v>
      </c>
      <c r="Q2100">
        <v>0.77</v>
      </c>
      <c r="R2100">
        <v>1153.73</v>
      </c>
      <c r="S2100">
        <v>1153.73</v>
      </c>
      <c r="T2100">
        <v>1500</v>
      </c>
      <c r="U2100" t="s">
        <v>5325</v>
      </c>
      <c r="W2100" t="s">
        <v>5323</v>
      </c>
      <c r="X2100" t="s">
        <v>5324</v>
      </c>
      <c r="Y2100" t="s">
        <v>4833</v>
      </c>
      <c r="Z2100" s="37">
        <v>0.012</v>
      </c>
      <c r="AA2100" s="37">
        <v>1</v>
      </c>
      <c r="AB2100">
        <v>0</v>
      </c>
    </row>
    <row r="2101">
      <c r="A2101" t="s">
        <v>5690</v>
      </c>
      <c r="B2101" t="s">
        <v>5656</v>
      </c>
      <c r="C2101" t="s">
        <v>5656</v>
      </c>
      <c r="D2101" t="s">
        <v>1013</v>
      </c>
      <c r="E2101" t="s">
        <v>5691</v>
      </c>
      <c r="F2101" t="s">
        <v>298</v>
      </c>
      <c r="G2101" t="s">
        <v>5692</v>
      </c>
      <c r="H2101" t="s">
        <v>3537</v>
      </c>
      <c r="I2101" t="s">
        <v>5698</v>
      </c>
      <c r="J2101" t="s">
        <v>342</v>
      </c>
      <c r="K2101">
        <v>3</v>
      </c>
      <c r="L2101" t="s">
        <v>5654</v>
      </c>
      <c r="M2101" s="37">
        <v>1.5</v>
      </c>
      <c r="N2101" s="37">
        <v>0.2</v>
      </c>
      <c r="O2101">
        <v>1.5</v>
      </c>
      <c r="P2101" s="37">
        <v>0.769155</v>
      </c>
      <c r="Q2101">
        <v>0.77</v>
      </c>
      <c r="R2101">
        <v>1153.73</v>
      </c>
      <c r="S2101">
        <v>1153.73</v>
      </c>
      <c r="T2101">
        <v>1500</v>
      </c>
      <c r="U2101" t="s">
        <v>5325</v>
      </c>
      <c r="W2101" t="s">
        <v>5323</v>
      </c>
      <c r="X2101" t="s">
        <v>5324</v>
      </c>
      <c r="Y2101" t="s">
        <v>4833</v>
      </c>
      <c r="Z2101" s="37">
        <v>0.012</v>
      </c>
      <c r="AA2101" s="37">
        <v>1</v>
      </c>
      <c r="AB2101">
        <v>0</v>
      </c>
    </row>
    <row r="2102">
      <c r="A2102" t="s">
        <v>5699</v>
      </c>
      <c r="B2102" t="s">
        <v>5656</v>
      </c>
      <c r="C2102" t="s">
        <v>5656</v>
      </c>
      <c r="D2102" t="s">
        <v>1013</v>
      </c>
      <c r="E2102" t="s">
        <v>5700</v>
      </c>
      <c r="F2102" t="s">
        <v>298</v>
      </c>
      <c r="G2102" t="s">
        <v>5692</v>
      </c>
      <c r="H2102" t="s">
        <v>5701</v>
      </c>
      <c r="I2102" t="s">
        <v>5702</v>
      </c>
      <c r="J2102" t="s">
        <v>5703</v>
      </c>
      <c r="K2102">
        <v>7476.47</v>
      </c>
      <c r="L2102" t="s">
        <v>5654</v>
      </c>
      <c r="M2102" s="37">
        <v>0.249216</v>
      </c>
      <c r="N2102" s="37">
        <v>0.5</v>
      </c>
      <c r="O2102">
        <v>0.1595</v>
      </c>
      <c r="P2102" s="37">
        <v>0.424608</v>
      </c>
      <c r="Q2102">
        <v>0.38</v>
      </c>
      <c r="R2102">
        <v>0</v>
      </c>
      <c r="S2102">
        <v>0</v>
      </c>
      <c r="T2102">
        <v>1500</v>
      </c>
      <c r="U2102" t="s">
        <v>5325</v>
      </c>
      <c r="W2102" t="s">
        <v>5323</v>
      </c>
      <c r="X2102" t="s">
        <v>5324</v>
      </c>
      <c r="Y2102" t="s">
        <v>4833</v>
      </c>
      <c r="Z2102" s="37">
        <v>0.012</v>
      </c>
      <c r="AA2102" s="37">
        <v>1</v>
      </c>
      <c r="AB2102">
        <v>0</v>
      </c>
    </row>
    <row r="2103">
      <c r="A2103" t="s">
        <v>5699</v>
      </c>
      <c r="B2103" t="s">
        <v>5656</v>
      </c>
      <c r="C2103" t="s">
        <v>5656</v>
      </c>
      <c r="D2103" t="s">
        <v>1013</v>
      </c>
      <c r="E2103" t="s">
        <v>5700</v>
      </c>
      <c r="F2103" t="s">
        <v>298</v>
      </c>
      <c r="G2103" t="s">
        <v>5692</v>
      </c>
      <c r="H2103" t="s">
        <v>3537</v>
      </c>
      <c r="I2103" t="s">
        <v>5704</v>
      </c>
      <c r="J2103" t="s">
        <v>3236</v>
      </c>
      <c r="K2103">
        <v>0</v>
      </c>
      <c r="L2103" t="s">
        <v>5654</v>
      </c>
      <c r="M2103" s="37">
        <v>0</v>
      </c>
      <c r="N2103" s="37">
        <v>0.2</v>
      </c>
      <c r="O2103">
        <v>0</v>
      </c>
      <c r="P2103" s="37">
        <v>0.424608</v>
      </c>
      <c r="Q2103">
        <v>0.38</v>
      </c>
      <c r="R2103">
        <v>0</v>
      </c>
      <c r="S2103">
        <v>0</v>
      </c>
      <c r="T2103">
        <v>1500</v>
      </c>
      <c r="U2103" t="s">
        <v>5325</v>
      </c>
      <c r="W2103" t="s">
        <v>5323</v>
      </c>
      <c r="X2103" t="s">
        <v>5324</v>
      </c>
      <c r="Y2103" t="s">
        <v>4833</v>
      </c>
      <c r="Z2103" s="37">
        <v>0.012</v>
      </c>
      <c r="AA2103" s="37">
        <v>1</v>
      </c>
      <c r="AB2103">
        <v>0</v>
      </c>
    </row>
    <row r="2104">
      <c r="A2104" t="s">
        <v>5699</v>
      </c>
      <c r="B2104" t="s">
        <v>5656</v>
      </c>
      <c r="C2104" t="s">
        <v>5656</v>
      </c>
      <c r="D2104" t="s">
        <v>1013</v>
      </c>
      <c r="E2104" t="s">
        <v>5700</v>
      </c>
      <c r="F2104" t="s">
        <v>298</v>
      </c>
      <c r="G2104" t="s">
        <v>5692</v>
      </c>
      <c r="H2104" t="s">
        <v>5696</v>
      </c>
      <c r="I2104" t="s">
        <v>5705</v>
      </c>
      <c r="J2104" t="s">
        <v>3242</v>
      </c>
      <c r="K2104">
        <v>100</v>
      </c>
      <c r="L2104" t="s">
        <v>5654</v>
      </c>
      <c r="M2104" s="37">
        <v>1</v>
      </c>
      <c r="N2104" s="37">
        <v>0.1</v>
      </c>
      <c r="O2104">
        <v>1</v>
      </c>
      <c r="P2104" s="37">
        <v>0.424608</v>
      </c>
      <c r="Q2104">
        <v>0.38</v>
      </c>
      <c r="R2104">
        <v>0</v>
      </c>
      <c r="S2104">
        <v>0</v>
      </c>
      <c r="T2104">
        <v>1500</v>
      </c>
      <c r="U2104" t="s">
        <v>5325</v>
      </c>
      <c r="W2104" t="s">
        <v>5323</v>
      </c>
      <c r="X2104" t="s">
        <v>5324</v>
      </c>
      <c r="Y2104" t="s">
        <v>4833</v>
      </c>
      <c r="Z2104" s="37">
        <v>0.012</v>
      </c>
      <c r="AA2104" s="37">
        <v>1</v>
      </c>
      <c r="AB2104">
        <v>0</v>
      </c>
    </row>
    <row r="2105">
      <c r="A2105" t="s">
        <v>5699</v>
      </c>
      <c r="B2105" t="s">
        <v>5656</v>
      </c>
      <c r="C2105" t="s">
        <v>5656</v>
      </c>
      <c r="D2105" t="s">
        <v>1013</v>
      </c>
      <c r="E2105" t="s">
        <v>5700</v>
      </c>
      <c r="F2105" t="s">
        <v>298</v>
      </c>
      <c r="G2105" t="s">
        <v>5692</v>
      </c>
      <c r="H2105" t="s">
        <v>3599</v>
      </c>
      <c r="I2105" t="s">
        <v>5706</v>
      </c>
      <c r="J2105" t="s">
        <v>5565</v>
      </c>
      <c r="K2105">
        <v>100</v>
      </c>
      <c r="L2105" t="s">
        <v>5654</v>
      </c>
      <c r="M2105" s="37">
        <v>1</v>
      </c>
      <c r="N2105" s="37">
        <v>0.2</v>
      </c>
      <c r="O2105">
        <v>1</v>
      </c>
      <c r="P2105" s="37">
        <v>0.424608</v>
      </c>
      <c r="Q2105">
        <v>0.38</v>
      </c>
      <c r="R2105">
        <v>0</v>
      </c>
      <c r="S2105">
        <v>0</v>
      </c>
      <c r="T2105">
        <v>1500</v>
      </c>
      <c r="U2105" t="s">
        <v>5325</v>
      </c>
      <c r="W2105" t="s">
        <v>5323</v>
      </c>
      <c r="X2105" t="s">
        <v>5324</v>
      </c>
      <c r="Y2105" t="s">
        <v>4833</v>
      </c>
      <c r="Z2105" s="37">
        <v>0.012</v>
      </c>
      <c r="AA2105" s="37">
        <v>1</v>
      </c>
      <c r="AB2105">
        <v>0</v>
      </c>
    </row>
    <row r="2106">
      <c r="A2106" t="s">
        <v>5707</v>
      </c>
      <c r="B2106" t="s">
        <v>5708</v>
      </c>
      <c r="C2106" t="s">
        <v>5708</v>
      </c>
      <c r="D2106" t="s">
        <v>5709</v>
      </c>
      <c r="E2106" t="s">
        <v>5710</v>
      </c>
      <c r="F2106" t="s">
        <v>298</v>
      </c>
      <c r="G2106" t="s">
        <v>5711</v>
      </c>
      <c r="H2106" t="s">
        <v>5712</v>
      </c>
      <c r="I2106" t="s">
        <v>5713</v>
      </c>
      <c r="K2106">
        <v>100</v>
      </c>
      <c r="L2106" t="s">
        <v>5714</v>
      </c>
      <c r="M2106" s="37">
        <v>1</v>
      </c>
      <c r="N2106" s="37">
        <v>0.3</v>
      </c>
      <c r="O2106">
        <v>1</v>
      </c>
      <c r="P2106" s="37">
        <v>1.07</v>
      </c>
      <c r="Q2106">
        <v>1.07</v>
      </c>
      <c r="R2106">
        <v>2940</v>
      </c>
      <c r="S2106">
        <v>2940</v>
      </c>
      <c r="T2106">
        <v>3000</v>
      </c>
      <c r="U2106" t="s">
        <v>5715</v>
      </c>
      <c r="V2106" t="s">
        <v>5716</v>
      </c>
      <c r="W2106">
        <v>1</v>
      </c>
      <c r="X2106">
        <v>100</v>
      </c>
      <c r="Y2106" t="s">
        <v>4833</v>
      </c>
      <c r="Z2106" s="37">
        <v>1</v>
      </c>
      <c r="AA2106" s="37">
        <v>0.6</v>
      </c>
      <c r="AB2106">
        <v>0</v>
      </c>
    </row>
    <row r="2107">
      <c r="A2107" t="s">
        <v>5707</v>
      </c>
      <c r="B2107" t="s">
        <v>5708</v>
      </c>
      <c r="C2107" t="s">
        <v>5708</v>
      </c>
      <c r="D2107" t="s">
        <v>5709</v>
      </c>
      <c r="E2107" t="s">
        <v>5710</v>
      </c>
      <c r="F2107" t="s">
        <v>298</v>
      </c>
      <c r="G2107" t="s">
        <v>5711</v>
      </c>
      <c r="H2107" t="s">
        <v>5712</v>
      </c>
      <c r="I2107" t="s">
        <v>5713</v>
      </c>
      <c r="K2107">
        <v>100</v>
      </c>
      <c r="L2107" t="s">
        <v>5714</v>
      </c>
      <c r="M2107" s="37">
        <v>1</v>
      </c>
      <c r="N2107" s="37">
        <v>0.3</v>
      </c>
      <c r="O2107">
        <v>1</v>
      </c>
      <c r="P2107" s="37">
        <v>1.07</v>
      </c>
      <c r="Q2107">
        <v>1.07</v>
      </c>
      <c r="R2107">
        <v>2940</v>
      </c>
      <c r="S2107">
        <v>2940</v>
      </c>
      <c r="T2107">
        <v>3000</v>
      </c>
      <c r="U2107" t="s">
        <v>5717</v>
      </c>
      <c r="V2107" t="s">
        <v>5718</v>
      </c>
      <c r="W2107">
        <v>1</v>
      </c>
      <c r="X2107">
        <v>100</v>
      </c>
      <c r="Z2107" s="37">
        <v>1</v>
      </c>
      <c r="AA2107" s="37">
        <v>0.4</v>
      </c>
      <c r="AB2107">
        <v>0</v>
      </c>
    </row>
    <row r="2108">
      <c r="A2108" t="s">
        <v>5707</v>
      </c>
      <c r="B2108" t="s">
        <v>5708</v>
      </c>
      <c r="C2108" t="s">
        <v>5708</v>
      </c>
      <c r="D2108" t="s">
        <v>5709</v>
      </c>
      <c r="E2108" t="s">
        <v>5710</v>
      </c>
      <c r="F2108" t="s">
        <v>298</v>
      </c>
      <c r="G2108" t="s">
        <v>5711</v>
      </c>
      <c r="H2108" t="s">
        <v>5719</v>
      </c>
      <c r="I2108" t="s">
        <v>5720</v>
      </c>
      <c r="K2108">
        <v>1.28</v>
      </c>
      <c r="L2108" t="s">
        <v>5721</v>
      </c>
      <c r="M2108" s="37">
        <v>1.2</v>
      </c>
      <c r="N2108" s="37">
        <v>0.35</v>
      </c>
      <c r="O2108">
        <v>1.2</v>
      </c>
      <c r="P2108" s="37">
        <v>1.07</v>
      </c>
      <c r="Q2108">
        <v>1.07</v>
      </c>
      <c r="R2108">
        <v>2940</v>
      </c>
      <c r="S2108">
        <v>2940</v>
      </c>
      <c r="T2108">
        <v>3000</v>
      </c>
      <c r="U2108" t="s">
        <v>5717</v>
      </c>
      <c r="V2108" t="s">
        <v>5718</v>
      </c>
      <c r="W2108">
        <v>1</v>
      </c>
      <c r="X2108">
        <v>100</v>
      </c>
      <c r="Z2108" s="37">
        <v>1</v>
      </c>
      <c r="AA2108" s="37">
        <v>0.4</v>
      </c>
      <c r="AB2108">
        <v>0</v>
      </c>
    </row>
    <row r="2109">
      <c r="A2109" t="s">
        <v>5707</v>
      </c>
      <c r="B2109" t="s">
        <v>5708</v>
      </c>
      <c r="C2109" t="s">
        <v>5708</v>
      </c>
      <c r="D2109" t="s">
        <v>5709</v>
      </c>
      <c r="E2109" t="s">
        <v>5710</v>
      </c>
      <c r="F2109" t="s">
        <v>298</v>
      </c>
      <c r="G2109" t="s">
        <v>5711</v>
      </c>
      <c r="H2109" t="s">
        <v>5722</v>
      </c>
      <c r="I2109" t="s">
        <v>5723</v>
      </c>
      <c r="K2109">
        <v>100</v>
      </c>
      <c r="L2109" t="s">
        <v>5724</v>
      </c>
      <c r="M2109" s="37">
        <v>1</v>
      </c>
      <c r="N2109" s="37">
        <v>0.35</v>
      </c>
      <c r="O2109">
        <v>1</v>
      </c>
      <c r="P2109" s="37">
        <v>1.07</v>
      </c>
      <c r="Q2109">
        <v>1.07</v>
      </c>
      <c r="R2109">
        <v>2940</v>
      </c>
      <c r="S2109">
        <v>2940</v>
      </c>
      <c r="T2109">
        <v>3000</v>
      </c>
      <c r="U2109" t="s">
        <v>5725</v>
      </c>
      <c r="V2109" t="s">
        <v>5726</v>
      </c>
      <c r="X2109" s="38">
        <v>1</v>
      </c>
      <c r="Y2109" t="s">
        <v>5727</v>
      </c>
      <c r="Z2109" s="37">
        <v>1</v>
      </c>
      <c r="AA2109" s="37">
        <v>0.4</v>
      </c>
      <c r="AB2109">
        <v>0</v>
      </c>
    </row>
    <row r="2110">
      <c r="A2110" t="s">
        <v>5707</v>
      </c>
      <c r="B2110" t="s">
        <v>5708</v>
      </c>
      <c r="C2110" t="s">
        <v>5708</v>
      </c>
      <c r="D2110" t="s">
        <v>5709</v>
      </c>
      <c r="E2110" t="s">
        <v>5710</v>
      </c>
      <c r="F2110" t="s">
        <v>298</v>
      </c>
      <c r="G2110" t="s">
        <v>5711</v>
      </c>
      <c r="H2110" t="s">
        <v>5722</v>
      </c>
      <c r="I2110" t="s">
        <v>5723</v>
      </c>
      <c r="K2110">
        <v>100</v>
      </c>
      <c r="L2110" t="s">
        <v>5724</v>
      </c>
      <c r="M2110" s="37">
        <v>1</v>
      </c>
      <c r="N2110" s="37">
        <v>0.35</v>
      </c>
      <c r="O2110">
        <v>1</v>
      </c>
      <c r="P2110" s="37">
        <v>1.07</v>
      </c>
      <c r="Q2110">
        <v>1.07</v>
      </c>
      <c r="R2110">
        <v>2940</v>
      </c>
      <c r="S2110">
        <v>2940</v>
      </c>
      <c r="T2110">
        <v>3000</v>
      </c>
      <c r="U2110" t="s">
        <v>758</v>
      </c>
      <c r="V2110" t="s">
        <v>5728</v>
      </c>
      <c r="X2110">
        <v>100</v>
      </c>
      <c r="Y2110" t="s">
        <v>5729</v>
      </c>
      <c r="Z2110" s="37">
        <v>1</v>
      </c>
      <c r="AA2110" s="37">
        <v>0.5</v>
      </c>
      <c r="AB2110">
        <v>0</v>
      </c>
    </row>
    <row r="2111">
      <c r="A2111" t="s">
        <v>5707</v>
      </c>
      <c r="B2111" t="s">
        <v>5708</v>
      </c>
      <c r="C2111" t="s">
        <v>5708</v>
      </c>
      <c r="D2111" t="s">
        <v>5709</v>
      </c>
      <c r="E2111" t="s">
        <v>5710</v>
      </c>
      <c r="F2111" t="s">
        <v>298</v>
      </c>
      <c r="G2111" t="s">
        <v>5711</v>
      </c>
      <c r="H2111" t="s">
        <v>5722</v>
      </c>
      <c r="I2111" t="s">
        <v>5723</v>
      </c>
      <c r="K2111">
        <v>100</v>
      </c>
      <c r="L2111" t="s">
        <v>5724</v>
      </c>
      <c r="M2111" s="37">
        <v>1</v>
      </c>
      <c r="N2111" s="37">
        <v>0.35</v>
      </c>
      <c r="O2111">
        <v>1</v>
      </c>
      <c r="P2111" s="37">
        <v>1.07</v>
      </c>
      <c r="Q2111">
        <v>1.07</v>
      </c>
      <c r="R2111">
        <v>2940</v>
      </c>
      <c r="S2111">
        <v>2940</v>
      </c>
      <c r="T2111">
        <v>3000</v>
      </c>
      <c r="U2111" t="s">
        <v>5730</v>
      </c>
      <c r="V2111" t="s">
        <v>5731</v>
      </c>
      <c r="X2111">
        <v>100</v>
      </c>
      <c r="Y2111" t="s">
        <v>5732</v>
      </c>
      <c r="Z2111" s="37">
        <v>1</v>
      </c>
      <c r="AA2111" s="37">
        <v>0.1</v>
      </c>
      <c r="AB2111">
        <v>0</v>
      </c>
    </row>
    <row r="2112">
      <c r="A2112" t="s">
        <v>5733</v>
      </c>
      <c r="B2112" t="s">
        <v>945</v>
      </c>
      <c r="C2112" t="s">
        <v>945</v>
      </c>
      <c r="D2112" t="s">
        <v>5709</v>
      </c>
      <c r="E2112" t="s">
        <v>5734</v>
      </c>
      <c r="F2112" t="s">
        <v>298</v>
      </c>
      <c r="G2112" t="s">
        <v>5711</v>
      </c>
      <c r="H2112" t="s">
        <v>5719</v>
      </c>
      <c r="I2112" t="s">
        <v>5735</v>
      </c>
      <c r="K2112" t="s">
        <v>5736</v>
      </c>
      <c r="L2112" t="s">
        <v>5724</v>
      </c>
      <c r="M2112" s="37">
        <v>1.36</v>
      </c>
      <c r="N2112" s="37">
        <v>0.4</v>
      </c>
      <c r="O2112">
        <v>1.2</v>
      </c>
      <c r="P2112" s="37">
        <v>1.084</v>
      </c>
      <c r="Q2112">
        <v>1.08</v>
      </c>
      <c r="R2112">
        <v>3360</v>
      </c>
      <c r="S2112">
        <v>3360</v>
      </c>
      <c r="T2112">
        <v>3000</v>
      </c>
      <c r="U2112" t="s">
        <v>5730</v>
      </c>
      <c r="V2112" t="s">
        <v>5731</v>
      </c>
      <c r="X2112">
        <v>100</v>
      </c>
      <c r="Y2112" t="s">
        <v>5732</v>
      </c>
      <c r="Z2112" s="37">
        <v>1</v>
      </c>
      <c r="AA2112" s="37">
        <v>0.1</v>
      </c>
      <c r="AB2112">
        <v>0</v>
      </c>
    </row>
    <row r="2113">
      <c r="A2113" t="s">
        <v>5733</v>
      </c>
      <c r="B2113" t="s">
        <v>945</v>
      </c>
      <c r="C2113" t="s">
        <v>945</v>
      </c>
      <c r="D2113" t="s">
        <v>5709</v>
      </c>
      <c r="E2113" t="s">
        <v>5734</v>
      </c>
      <c r="F2113" t="s">
        <v>298</v>
      </c>
      <c r="G2113" t="s">
        <v>5711</v>
      </c>
      <c r="H2113" t="s">
        <v>5722</v>
      </c>
      <c r="I2113" t="s">
        <v>5737</v>
      </c>
      <c r="K2113" t="s">
        <v>5738</v>
      </c>
      <c r="L2113" t="s">
        <v>5724</v>
      </c>
      <c r="M2113" s="37">
        <v>1</v>
      </c>
      <c r="N2113" s="37">
        <v>0.3</v>
      </c>
      <c r="O2113">
        <v>1.2</v>
      </c>
      <c r="P2113" s="37">
        <v>1.084</v>
      </c>
      <c r="Q2113">
        <v>1.08</v>
      </c>
      <c r="R2113">
        <v>3360</v>
      </c>
      <c r="S2113">
        <v>3360</v>
      </c>
      <c r="T2113">
        <v>3000</v>
      </c>
      <c r="U2113" t="s">
        <v>5739</v>
      </c>
      <c r="X2113">
        <v>100</v>
      </c>
      <c r="Y2113" t="s">
        <v>5732</v>
      </c>
      <c r="Z2113" s="37">
        <v>1</v>
      </c>
      <c r="AA2113" s="37">
        <v>0.2</v>
      </c>
      <c r="AB2113">
        <v>0</v>
      </c>
    </row>
    <row r="2114">
      <c r="A2114" t="s">
        <v>5733</v>
      </c>
      <c r="B2114" t="s">
        <v>945</v>
      </c>
      <c r="C2114" t="s">
        <v>945</v>
      </c>
      <c r="D2114" t="s">
        <v>5709</v>
      </c>
      <c r="E2114" t="s">
        <v>5734</v>
      </c>
      <c r="F2114" t="s">
        <v>298</v>
      </c>
      <c r="G2114" t="s">
        <v>5711</v>
      </c>
      <c r="H2114" t="s">
        <v>5722</v>
      </c>
      <c r="I2114" t="s">
        <v>5737</v>
      </c>
      <c r="K2114" t="s">
        <v>5738</v>
      </c>
      <c r="L2114" t="s">
        <v>5724</v>
      </c>
      <c r="M2114" s="37">
        <v>1</v>
      </c>
      <c r="N2114" s="37">
        <v>0.3</v>
      </c>
      <c r="O2114">
        <v>1.2</v>
      </c>
      <c r="P2114" s="37">
        <v>1.084</v>
      </c>
      <c r="Q2114">
        <v>1.08</v>
      </c>
      <c r="R2114">
        <v>3360</v>
      </c>
      <c r="S2114">
        <v>3360</v>
      </c>
      <c r="T2114">
        <v>3000</v>
      </c>
      <c r="U2114" t="s">
        <v>5740</v>
      </c>
      <c r="X2114">
        <v>100</v>
      </c>
      <c r="Y2114" t="s">
        <v>5732</v>
      </c>
      <c r="Z2114" s="37">
        <v>1</v>
      </c>
      <c r="AA2114" s="37">
        <v>0.1</v>
      </c>
      <c r="AB2114">
        <v>0</v>
      </c>
    </row>
    <row r="2115">
      <c r="A2115" t="s">
        <v>5733</v>
      </c>
      <c r="B2115" t="s">
        <v>945</v>
      </c>
      <c r="C2115" t="s">
        <v>945</v>
      </c>
      <c r="D2115" t="s">
        <v>5709</v>
      </c>
      <c r="E2115" t="s">
        <v>5734</v>
      </c>
      <c r="F2115" t="s">
        <v>298</v>
      </c>
      <c r="G2115" t="s">
        <v>5711</v>
      </c>
      <c r="H2115" t="s">
        <v>5741</v>
      </c>
      <c r="I2115" t="s">
        <v>5742</v>
      </c>
      <c r="J2115" t="s">
        <v>1424</v>
      </c>
      <c r="K2115" t="s">
        <v>5743</v>
      </c>
      <c r="L2115" t="s">
        <v>5724</v>
      </c>
      <c r="M2115" s="37">
        <v>0.8</v>
      </c>
      <c r="N2115" s="37">
        <v>0.3</v>
      </c>
      <c r="O2115">
        <v>0.8</v>
      </c>
      <c r="P2115" s="37">
        <v>1.084</v>
      </c>
      <c r="Q2115">
        <v>1.08</v>
      </c>
      <c r="R2115">
        <v>3360</v>
      </c>
      <c r="S2115">
        <v>3360</v>
      </c>
      <c r="T2115">
        <v>3000</v>
      </c>
      <c r="U2115" t="s">
        <v>5740</v>
      </c>
      <c r="X2115">
        <v>100</v>
      </c>
      <c r="Y2115" t="s">
        <v>5732</v>
      </c>
      <c r="Z2115" s="37">
        <v>1</v>
      </c>
      <c r="AA2115" s="37">
        <v>0.1</v>
      </c>
      <c r="AB2115">
        <v>0</v>
      </c>
    </row>
    <row r="2116">
      <c r="A2116" t="s">
        <v>5744</v>
      </c>
      <c r="B2116" t="s">
        <v>5745</v>
      </c>
      <c r="C2116" t="s">
        <v>5745</v>
      </c>
      <c r="D2116" t="s">
        <v>5709</v>
      </c>
      <c r="E2116" t="s">
        <v>5746</v>
      </c>
      <c r="F2116" t="s">
        <v>298</v>
      </c>
      <c r="G2116" t="s">
        <v>5711</v>
      </c>
      <c r="H2116" t="s">
        <v>5722</v>
      </c>
      <c r="I2116" t="s">
        <v>5747</v>
      </c>
      <c r="L2116" t="s">
        <v>5724</v>
      </c>
      <c r="M2116" s="37">
        <v>0.8</v>
      </c>
      <c r="N2116" s="37">
        <v>1</v>
      </c>
      <c r="O2116">
        <v>0.8</v>
      </c>
      <c r="P2116" s="37">
        <v>0.8</v>
      </c>
      <c r="Q2116">
        <v>0.8</v>
      </c>
      <c r="R2116">
        <v>2000</v>
      </c>
      <c r="S2116">
        <v>2000</v>
      </c>
      <c r="T2116">
        <v>3000</v>
      </c>
      <c r="U2116" t="s">
        <v>5748</v>
      </c>
      <c r="Y2116" t="s">
        <v>5732</v>
      </c>
      <c r="Z2116" s="37">
        <v>1</v>
      </c>
      <c r="AA2116" s="37">
        <v>0.2</v>
      </c>
      <c r="AB2116">
        <v>0</v>
      </c>
    </row>
    <row r="2117">
      <c r="A2117" t="s">
        <v>5744</v>
      </c>
      <c r="B2117" t="s">
        <v>5745</v>
      </c>
      <c r="C2117" t="s">
        <v>5745</v>
      </c>
      <c r="D2117" t="s">
        <v>5709</v>
      </c>
      <c r="E2117" t="s">
        <v>5746</v>
      </c>
      <c r="F2117" t="s">
        <v>298</v>
      </c>
      <c r="G2117" t="s">
        <v>5711</v>
      </c>
      <c r="H2117" t="s">
        <v>5722</v>
      </c>
      <c r="I2117" t="s">
        <v>5747</v>
      </c>
      <c r="L2117" t="s">
        <v>5724</v>
      </c>
      <c r="M2117" s="37">
        <v>0.8</v>
      </c>
      <c r="N2117" s="37">
        <v>1</v>
      </c>
      <c r="O2117">
        <v>0.8</v>
      </c>
      <c r="P2117" s="37">
        <v>0.8</v>
      </c>
      <c r="Q2117">
        <v>0.8</v>
      </c>
      <c r="R2117">
        <v>2000</v>
      </c>
      <c r="S2117">
        <v>2000</v>
      </c>
      <c r="T2117">
        <v>3000</v>
      </c>
      <c r="U2117" t="s">
        <v>5749</v>
      </c>
      <c r="Y2117" t="s">
        <v>5732</v>
      </c>
      <c r="Z2117" s="37">
        <v>1</v>
      </c>
      <c r="AA2117" s="37">
        <v>0.2</v>
      </c>
      <c r="AB2117">
        <v>0</v>
      </c>
    </row>
    <row r="2118">
      <c r="A2118" t="s">
        <v>5744</v>
      </c>
      <c r="B2118" t="s">
        <v>5745</v>
      </c>
      <c r="C2118" t="s">
        <v>5745</v>
      </c>
      <c r="D2118" t="s">
        <v>5709</v>
      </c>
      <c r="E2118" t="s">
        <v>5746</v>
      </c>
      <c r="F2118" t="s">
        <v>298</v>
      </c>
      <c r="G2118" t="s">
        <v>5711</v>
      </c>
      <c r="H2118" t="s">
        <v>5722</v>
      </c>
      <c r="I2118" t="s">
        <v>5747</v>
      </c>
      <c r="L2118" t="s">
        <v>5724</v>
      </c>
      <c r="M2118" s="37">
        <v>0.8</v>
      </c>
      <c r="N2118" s="37">
        <v>1</v>
      </c>
      <c r="O2118">
        <v>0.8</v>
      </c>
      <c r="P2118" s="37">
        <v>0.8</v>
      </c>
      <c r="Q2118">
        <v>0.8</v>
      </c>
      <c r="R2118">
        <v>2000</v>
      </c>
      <c r="S2118">
        <v>2000</v>
      </c>
      <c r="T2118">
        <v>3000</v>
      </c>
      <c r="U2118" t="s">
        <v>5750</v>
      </c>
      <c r="Y2118" t="s">
        <v>5732</v>
      </c>
      <c r="Z2118" s="37">
        <v>1</v>
      </c>
      <c r="AA2118" s="37">
        <v>0.2</v>
      </c>
      <c r="AB2118">
        <v>0</v>
      </c>
    </row>
    <row r="2119">
      <c r="A2119" t="s">
        <v>5744</v>
      </c>
      <c r="B2119" t="s">
        <v>5745</v>
      </c>
      <c r="C2119" t="s">
        <v>5745</v>
      </c>
      <c r="D2119" t="s">
        <v>5709</v>
      </c>
      <c r="E2119" t="s">
        <v>5746</v>
      </c>
      <c r="F2119" t="s">
        <v>298</v>
      </c>
      <c r="G2119" t="s">
        <v>5711</v>
      </c>
      <c r="H2119" t="s">
        <v>5722</v>
      </c>
      <c r="I2119" t="s">
        <v>5747</v>
      </c>
      <c r="L2119" t="s">
        <v>5724</v>
      </c>
      <c r="M2119" s="37">
        <v>0.8</v>
      </c>
      <c r="N2119" s="37">
        <v>1</v>
      </c>
      <c r="O2119">
        <v>0.8</v>
      </c>
      <c r="P2119" s="37">
        <v>0.8</v>
      </c>
      <c r="Q2119">
        <v>0.8</v>
      </c>
      <c r="R2119">
        <v>2000</v>
      </c>
      <c r="S2119">
        <v>2000</v>
      </c>
      <c r="T2119">
        <v>3000</v>
      </c>
      <c r="U2119" t="s">
        <v>5751</v>
      </c>
      <c r="Y2119" t="s">
        <v>5732</v>
      </c>
      <c r="Z2119" s="37">
        <v>1</v>
      </c>
      <c r="AA2119" s="37">
        <v>0.2</v>
      </c>
      <c r="AB2119">
        <v>0</v>
      </c>
    </row>
    <row r="2120">
      <c r="A2120" t="s">
        <v>5744</v>
      </c>
      <c r="B2120" t="s">
        <v>5745</v>
      </c>
      <c r="C2120" t="s">
        <v>5745</v>
      </c>
      <c r="D2120" t="s">
        <v>5709</v>
      </c>
      <c r="E2120" t="s">
        <v>5746</v>
      </c>
      <c r="F2120" t="s">
        <v>298</v>
      </c>
      <c r="G2120" t="s">
        <v>5711</v>
      </c>
      <c r="H2120" t="s">
        <v>5722</v>
      </c>
      <c r="I2120" t="s">
        <v>5747</v>
      </c>
      <c r="L2120" t="s">
        <v>5724</v>
      </c>
      <c r="M2120" s="37">
        <v>0.8</v>
      </c>
      <c r="N2120" s="37">
        <v>1</v>
      </c>
      <c r="O2120">
        <v>0.8</v>
      </c>
      <c r="P2120" s="37">
        <v>0.8</v>
      </c>
      <c r="Q2120">
        <v>0.8</v>
      </c>
      <c r="R2120">
        <v>2000</v>
      </c>
      <c r="S2120">
        <v>2000</v>
      </c>
      <c r="T2120">
        <v>3000</v>
      </c>
      <c r="U2120" t="s">
        <v>5752</v>
      </c>
      <c r="Y2120" t="s">
        <v>5732</v>
      </c>
      <c r="Z2120" s="37">
        <v>1</v>
      </c>
      <c r="AA2120" s="37">
        <v>0.2</v>
      </c>
      <c r="AB2120">
        <v>0</v>
      </c>
    </row>
    <row r="2121">
      <c r="A2121" t="s">
        <v>5753</v>
      </c>
      <c r="B2121" t="s">
        <v>5754</v>
      </c>
      <c r="C2121" t="s">
        <v>5754</v>
      </c>
      <c r="D2121" t="s">
        <v>5709</v>
      </c>
      <c r="E2121" t="s">
        <v>5755</v>
      </c>
      <c r="F2121" t="s">
        <v>298</v>
      </c>
      <c r="G2121" t="s">
        <v>5711</v>
      </c>
      <c r="H2121" t="s">
        <v>5741</v>
      </c>
      <c r="I2121" t="s">
        <v>5756</v>
      </c>
      <c r="J2121" s="38">
        <v>1</v>
      </c>
      <c r="K2121" s="38">
        <v>1</v>
      </c>
      <c r="L2121" t="s">
        <v>5724</v>
      </c>
      <c r="M2121" s="37">
        <v>1</v>
      </c>
      <c r="N2121" s="37">
        <v>0.3</v>
      </c>
      <c r="O2121">
        <v>1.2</v>
      </c>
      <c r="P2121" s="37">
        <v>1.009</v>
      </c>
      <c r="Q2121">
        <v>1.2</v>
      </c>
      <c r="R2121">
        <v>4000</v>
      </c>
      <c r="S2121">
        <v>4000</v>
      </c>
      <c r="T2121">
        <v>3000</v>
      </c>
      <c r="U2121" t="s">
        <v>5752</v>
      </c>
      <c r="Y2121" t="s">
        <v>5732</v>
      </c>
      <c r="Z2121" s="37">
        <v>1</v>
      </c>
      <c r="AA2121" s="37">
        <v>0.2</v>
      </c>
      <c r="AB2121">
        <v>0</v>
      </c>
    </row>
    <row r="2122">
      <c r="A2122" t="s">
        <v>5753</v>
      </c>
      <c r="B2122" t="s">
        <v>5754</v>
      </c>
      <c r="C2122" t="s">
        <v>5754</v>
      </c>
      <c r="D2122" t="s">
        <v>5709</v>
      </c>
      <c r="E2122" t="s">
        <v>5755</v>
      </c>
      <c r="F2122" t="s">
        <v>298</v>
      </c>
      <c r="G2122" t="s">
        <v>5711</v>
      </c>
      <c r="H2122" t="s">
        <v>5722</v>
      </c>
      <c r="I2122" t="s">
        <v>5757</v>
      </c>
      <c r="K2122">
        <v>100</v>
      </c>
      <c r="L2122" t="s">
        <v>5724</v>
      </c>
      <c r="M2122" s="37">
        <v>1</v>
      </c>
      <c r="N2122" s="37">
        <v>0.3</v>
      </c>
      <c r="O2122">
        <v>1.2</v>
      </c>
      <c r="P2122" s="37">
        <v>1.009</v>
      </c>
      <c r="Q2122">
        <v>1.2</v>
      </c>
      <c r="R2122">
        <v>4000</v>
      </c>
      <c r="S2122">
        <v>4000</v>
      </c>
      <c r="T2122">
        <v>3000</v>
      </c>
      <c r="U2122" t="s">
        <v>5758</v>
      </c>
      <c r="V2122" t="s">
        <v>5759</v>
      </c>
      <c r="W2122" s="38">
        <v>1</v>
      </c>
      <c r="X2122" s="38">
        <v>1</v>
      </c>
      <c r="Y2122" t="s">
        <v>5732</v>
      </c>
      <c r="Z2122" s="37">
        <v>0.01</v>
      </c>
      <c r="AA2122" s="37">
        <v>0.35</v>
      </c>
      <c r="AB2122">
        <v>0</v>
      </c>
    </row>
    <row r="2123">
      <c r="A2123" t="s">
        <v>5753</v>
      </c>
      <c r="B2123" t="s">
        <v>5754</v>
      </c>
      <c r="C2123" t="s">
        <v>5754</v>
      </c>
      <c r="D2123" t="s">
        <v>5709</v>
      </c>
      <c r="E2123" t="s">
        <v>5755</v>
      </c>
      <c r="F2123" t="s">
        <v>298</v>
      </c>
      <c r="G2123" t="s">
        <v>5711</v>
      </c>
      <c r="H2123" t="s">
        <v>5722</v>
      </c>
      <c r="I2123" t="s">
        <v>5757</v>
      </c>
      <c r="K2123">
        <v>100</v>
      </c>
      <c r="L2123" t="s">
        <v>5724</v>
      </c>
      <c r="M2123" s="37">
        <v>1</v>
      </c>
      <c r="N2123" s="37">
        <v>0.3</v>
      </c>
      <c r="O2123">
        <v>1.2</v>
      </c>
      <c r="P2123" s="37">
        <v>1.009</v>
      </c>
      <c r="Q2123">
        <v>1.2</v>
      </c>
      <c r="R2123">
        <v>4000</v>
      </c>
      <c r="S2123">
        <v>4000</v>
      </c>
      <c r="T2123">
        <v>3000</v>
      </c>
      <c r="U2123" t="s">
        <v>5760</v>
      </c>
      <c r="W2123" s="38">
        <v>1</v>
      </c>
      <c r="X2123" s="38">
        <v>1</v>
      </c>
      <c r="Y2123" t="s">
        <v>5732</v>
      </c>
      <c r="Z2123" s="37">
        <v>0.01</v>
      </c>
      <c r="AA2123" s="37">
        <v>0.35</v>
      </c>
      <c r="AB2123">
        <v>0</v>
      </c>
    </row>
    <row r="2124">
      <c r="A2124" t="s">
        <v>5753</v>
      </c>
      <c r="B2124" t="s">
        <v>5754</v>
      </c>
      <c r="C2124" t="s">
        <v>5754</v>
      </c>
      <c r="D2124" t="s">
        <v>5709</v>
      </c>
      <c r="E2124" t="s">
        <v>5755</v>
      </c>
      <c r="F2124" t="s">
        <v>298</v>
      </c>
      <c r="G2124" t="s">
        <v>5711</v>
      </c>
      <c r="H2124" t="s">
        <v>5722</v>
      </c>
      <c r="I2124" t="s">
        <v>5757</v>
      </c>
      <c r="K2124">
        <v>100</v>
      </c>
      <c r="L2124" t="s">
        <v>5724</v>
      </c>
      <c r="M2124" s="37">
        <v>1</v>
      </c>
      <c r="N2124" s="37">
        <v>0.3</v>
      </c>
      <c r="O2124">
        <v>1.2</v>
      </c>
      <c r="P2124" s="37">
        <v>1.009</v>
      </c>
      <c r="Q2124">
        <v>1.2</v>
      </c>
      <c r="R2124">
        <v>4000</v>
      </c>
      <c r="S2124">
        <v>4000</v>
      </c>
      <c r="T2124">
        <v>3000</v>
      </c>
      <c r="U2124" t="s">
        <v>5761</v>
      </c>
      <c r="W2124" s="38">
        <v>1</v>
      </c>
      <c r="X2124" s="38">
        <v>1</v>
      </c>
      <c r="Y2124" t="s">
        <v>5732</v>
      </c>
      <c r="Z2124" s="37">
        <v>0.01</v>
      </c>
      <c r="AA2124" s="37">
        <v>0.3</v>
      </c>
      <c r="AB2124">
        <v>0</v>
      </c>
    </row>
    <row r="2125">
      <c r="A2125" t="s">
        <v>5753</v>
      </c>
      <c r="B2125" t="s">
        <v>5754</v>
      </c>
      <c r="C2125" t="s">
        <v>5754</v>
      </c>
      <c r="D2125" t="s">
        <v>5709</v>
      </c>
      <c r="E2125" t="s">
        <v>5755</v>
      </c>
      <c r="F2125" t="s">
        <v>298</v>
      </c>
      <c r="G2125" t="s">
        <v>5711</v>
      </c>
      <c r="H2125" t="s">
        <v>5719</v>
      </c>
      <c r="I2125" t="s">
        <v>5762</v>
      </c>
      <c r="K2125">
        <v>1.09</v>
      </c>
      <c r="L2125" t="s">
        <v>5724</v>
      </c>
      <c r="M2125" s="37">
        <v>1.09</v>
      </c>
      <c r="N2125" s="37">
        <v>0.1</v>
      </c>
      <c r="O2125">
        <v>1.2</v>
      </c>
      <c r="P2125" s="37">
        <v>1.009</v>
      </c>
      <c r="Q2125">
        <v>1.2</v>
      </c>
      <c r="R2125">
        <v>4000</v>
      </c>
      <c r="S2125">
        <v>4000</v>
      </c>
      <c r="T2125">
        <v>3000</v>
      </c>
      <c r="U2125" t="s">
        <v>5761</v>
      </c>
      <c r="W2125" s="38">
        <v>1</v>
      </c>
      <c r="X2125" s="38">
        <v>1</v>
      </c>
      <c r="Y2125" t="s">
        <v>5732</v>
      </c>
      <c r="Z2125" s="37">
        <v>0.01</v>
      </c>
      <c r="AA2125" s="37">
        <v>0.3</v>
      </c>
      <c r="AB2125">
        <v>0</v>
      </c>
    </row>
    <row r="2126">
      <c r="A2126" t="s">
        <v>5753</v>
      </c>
      <c r="B2126" t="s">
        <v>5754</v>
      </c>
      <c r="C2126" t="s">
        <v>5754</v>
      </c>
      <c r="D2126" t="s">
        <v>5709</v>
      </c>
      <c r="E2126" t="s">
        <v>5755</v>
      </c>
      <c r="F2126" t="s">
        <v>298</v>
      </c>
      <c r="G2126" t="s">
        <v>5711</v>
      </c>
      <c r="H2126" t="s">
        <v>5712</v>
      </c>
      <c r="I2126" t="s">
        <v>5763</v>
      </c>
      <c r="K2126">
        <v>100</v>
      </c>
      <c r="L2126" t="s">
        <v>5724</v>
      </c>
      <c r="M2126" s="37">
        <v>1</v>
      </c>
      <c r="N2126" s="37">
        <v>0.3</v>
      </c>
      <c r="O2126">
        <v>1.2</v>
      </c>
      <c r="P2126" s="37">
        <v>1.009</v>
      </c>
      <c r="Q2126">
        <v>1.2</v>
      </c>
      <c r="R2126">
        <v>4000</v>
      </c>
      <c r="S2126">
        <v>4000</v>
      </c>
      <c r="T2126">
        <v>3000</v>
      </c>
      <c r="U2126" t="s">
        <v>5764</v>
      </c>
      <c r="V2126" t="s">
        <v>5716</v>
      </c>
      <c r="W2126" s="38">
        <v>1</v>
      </c>
      <c r="X2126" s="38">
        <v>1</v>
      </c>
      <c r="Y2126" t="s">
        <v>5732</v>
      </c>
      <c r="Z2126" s="37">
        <v>1</v>
      </c>
      <c r="AA2126" s="37">
        <v>0.4</v>
      </c>
      <c r="AB2126">
        <v>0</v>
      </c>
    </row>
    <row r="2127">
      <c r="A2127" t="s">
        <v>5753</v>
      </c>
      <c r="B2127" t="s">
        <v>5754</v>
      </c>
      <c r="C2127" t="s">
        <v>5754</v>
      </c>
      <c r="D2127" t="s">
        <v>5709</v>
      </c>
      <c r="E2127" t="s">
        <v>5755</v>
      </c>
      <c r="F2127" t="s">
        <v>298</v>
      </c>
      <c r="G2127" t="s">
        <v>5711</v>
      </c>
      <c r="H2127" t="s">
        <v>5712</v>
      </c>
      <c r="I2127" t="s">
        <v>5763</v>
      </c>
      <c r="K2127">
        <v>100</v>
      </c>
      <c r="L2127" t="s">
        <v>5724</v>
      </c>
      <c r="M2127" s="37">
        <v>1</v>
      </c>
      <c r="N2127" s="37">
        <v>0.3</v>
      </c>
      <c r="O2127">
        <v>1.2</v>
      </c>
      <c r="P2127" s="37">
        <v>1.009</v>
      </c>
      <c r="Q2127">
        <v>1.2</v>
      </c>
      <c r="R2127">
        <v>4000</v>
      </c>
      <c r="S2127">
        <v>4000</v>
      </c>
      <c r="T2127">
        <v>3000</v>
      </c>
      <c r="U2127" t="s">
        <v>5765</v>
      </c>
      <c r="V2127" t="s">
        <v>5718</v>
      </c>
      <c r="W2127" s="38">
        <v>1</v>
      </c>
      <c r="X2127" s="38">
        <v>1</v>
      </c>
      <c r="Y2127" t="s">
        <v>5732</v>
      </c>
      <c r="Z2127" s="37">
        <v>1</v>
      </c>
      <c r="AA2127" s="37">
        <v>0.6</v>
      </c>
      <c r="AB2127">
        <v>0</v>
      </c>
    </row>
    <row r="2128">
      <c r="A2128" t="s">
        <v>5766</v>
      </c>
      <c r="B2128" t="s">
        <v>4624</v>
      </c>
      <c r="C2128" t="s">
        <v>4624</v>
      </c>
      <c r="D2128" t="s">
        <v>5709</v>
      </c>
      <c r="E2128" t="s">
        <v>5767</v>
      </c>
      <c r="F2128" t="s">
        <v>298</v>
      </c>
      <c r="G2128" t="s">
        <v>5711</v>
      </c>
      <c r="H2128" t="s">
        <v>5722</v>
      </c>
      <c r="I2128" t="s">
        <v>5768</v>
      </c>
      <c r="K2128" s="38">
        <v>1</v>
      </c>
      <c r="L2128" t="s">
        <v>5724</v>
      </c>
      <c r="M2128" s="37">
        <v>1</v>
      </c>
      <c r="N2128" s="37">
        <v>0.5</v>
      </c>
      <c r="O2128">
        <v>1.2</v>
      </c>
      <c r="P2128" s="37">
        <v>0.888</v>
      </c>
      <c r="Q2128">
        <v>0.97</v>
      </c>
      <c r="R2128">
        <v>2780</v>
      </c>
      <c r="S2128">
        <v>2780</v>
      </c>
      <c r="T2128">
        <v>3000</v>
      </c>
      <c r="U2128" t="s">
        <v>5769</v>
      </c>
      <c r="X2128">
        <v>100</v>
      </c>
      <c r="Y2128" t="s">
        <v>5732</v>
      </c>
      <c r="Z2128" s="37">
        <v>1</v>
      </c>
      <c r="AA2128" s="37">
        <v>0.5</v>
      </c>
      <c r="AB2128">
        <v>0</v>
      </c>
    </row>
    <row r="2129">
      <c r="A2129" t="s">
        <v>5766</v>
      </c>
      <c r="B2129" t="s">
        <v>4624</v>
      </c>
      <c r="C2129" t="s">
        <v>4624</v>
      </c>
      <c r="D2129" t="s">
        <v>5709</v>
      </c>
      <c r="E2129" t="s">
        <v>5767</v>
      </c>
      <c r="F2129" t="s">
        <v>298</v>
      </c>
      <c r="G2129" t="s">
        <v>5711</v>
      </c>
      <c r="H2129" t="s">
        <v>5712</v>
      </c>
      <c r="I2129" t="s">
        <v>5770</v>
      </c>
      <c r="K2129" s="38">
        <v>1</v>
      </c>
      <c r="L2129" t="s">
        <v>5724</v>
      </c>
      <c r="M2129" s="37">
        <v>1</v>
      </c>
      <c r="N2129" s="37">
        <v>0.3</v>
      </c>
      <c r="O2129">
        <v>1</v>
      </c>
      <c r="P2129" s="37">
        <v>0.888</v>
      </c>
      <c r="Q2129">
        <v>0.97</v>
      </c>
      <c r="R2129">
        <v>2780</v>
      </c>
      <c r="S2129">
        <v>2780</v>
      </c>
      <c r="T2129">
        <v>3000</v>
      </c>
      <c r="U2129" t="s">
        <v>5715</v>
      </c>
      <c r="V2129" t="s">
        <v>5716</v>
      </c>
      <c r="W2129">
        <v>1</v>
      </c>
      <c r="X2129">
        <v>100</v>
      </c>
      <c r="Y2129" t="s">
        <v>5732</v>
      </c>
      <c r="Z2129" s="37">
        <v>1</v>
      </c>
      <c r="AA2129" s="37">
        <v>0.6</v>
      </c>
      <c r="AB2129">
        <v>0</v>
      </c>
    </row>
    <row r="2130">
      <c r="A2130" t="s">
        <v>5766</v>
      </c>
      <c r="B2130" t="s">
        <v>4624</v>
      </c>
      <c r="C2130" t="s">
        <v>4624</v>
      </c>
      <c r="D2130" t="s">
        <v>5709</v>
      </c>
      <c r="E2130" t="s">
        <v>5767</v>
      </c>
      <c r="F2130" t="s">
        <v>298</v>
      </c>
      <c r="G2130" t="s">
        <v>5711</v>
      </c>
      <c r="H2130" t="s">
        <v>5712</v>
      </c>
      <c r="I2130" t="s">
        <v>5770</v>
      </c>
      <c r="K2130" s="38">
        <v>1</v>
      </c>
      <c r="L2130" t="s">
        <v>5724</v>
      </c>
      <c r="M2130" s="37">
        <v>1</v>
      </c>
      <c r="N2130" s="37">
        <v>0.3</v>
      </c>
      <c r="O2130">
        <v>1</v>
      </c>
      <c r="P2130" s="37">
        <v>0.888</v>
      </c>
      <c r="Q2130">
        <v>0.97</v>
      </c>
      <c r="R2130">
        <v>2780</v>
      </c>
      <c r="S2130">
        <v>2780</v>
      </c>
      <c r="T2130">
        <v>3000</v>
      </c>
      <c r="U2130" t="s">
        <v>5717</v>
      </c>
      <c r="V2130" t="s">
        <v>5718</v>
      </c>
      <c r="W2130">
        <v>1</v>
      </c>
      <c r="X2130">
        <v>100</v>
      </c>
      <c r="Y2130" t="s">
        <v>5732</v>
      </c>
      <c r="Z2130" s="37">
        <v>1</v>
      </c>
      <c r="AA2130" s="37">
        <v>0.4</v>
      </c>
      <c r="AB2130">
        <v>0</v>
      </c>
    </row>
    <row r="2131">
      <c r="A2131" t="s">
        <v>5766</v>
      </c>
      <c r="B2131" t="s">
        <v>4624</v>
      </c>
      <c r="C2131" t="s">
        <v>4624</v>
      </c>
      <c r="D2131" t="s">
        <v>5709</v>
      </c>
      <c r="E2131" t="s">
        <v>5767</v>
      </c>
      <c r="F2131" t="s">
        <v>298</v>
      </c>
      <c r="G2131" t="s">
        <v>5711</v>
      </c>
      <c r="H2131" t="s">
        <v>5719</v>
      </c>
      <c r="I2131" t="s">
        <v>5771</v>
      </c>
      <c r="K2131" s="38">
        <v>0.44</v>
      </c>
      <c r="L2131" t="s">
        <v>5772</v>
      </c>
      <c r="M2131" s="37">
        <v>0.44</v>
      </c>
      <c r="N2131" s="37">
        <v>0.2</v>
      </c>
      <c r="O2131">
        <v>0.352</v>
      </c>
      <c r="P2131" s="37">
        <v>0.888</v>
      </c>
      <c r="Q2131">
        <v>0.97</v>
      </c>
      <c r="R2131">
        <v>2780</v>
      </c>
      <c r="S2131">
        <v>2780</v>
      </c>
      <c r="T2131">
        <v>3000</v>
      </c>
      <c r="U2131" t="s">
        <v>5717</v>
      </c>
      <c r="V2131" t="s">
        <v>5718</v>
      </c>
      <c r="W2131">
        <v>1</v>
      </c>
      <c r="X2131">
        <v>100</v>
      </c>
      <c r="Y2131" t="s">
        <v>5732</v>
      </c>
      <c r="Z2131" s="37">
        <v>1</v>
      </c>
      <c r="AA2131" s="37">
        <v>0.4</v>
      </c>
      <c r="AB2131">
        <v>0</v>
      </c>
    </row>
    <row r="2132">
      <c r="A2132" t="s">
        <v>5773</v>
      </c>
      <c r="B2132" t="s">
        <v>3859</v>
      </c>
      <c r="C2132" t="s">
        <v>3859</v>
      </c>
      <c r="D2132" t="s">
        <v>5709</v>
      </c>
      <c r="E2132" t="s">
        <v>5774</v>
      </c>
      <c r="F2132" t="s">
        <v>298</v>
      </c>
      <c r="G2132" t="s">
        <v>5711</v>
      </c>
      <c r="H2132" t="s">
        <v>5722</v>
      </c>
      <c r="I2132" t="s">
        <v>5775</v>
      </c>
      <c r="L2132" t="s">
        <v>5772</v>
      </c>
      <c r="M2132" s="37">
        <v>1.0288</v>
      </c>
      <c r="N2132" s="37">
        <v>0.5</v>
      </c>
      <c r="O2132">
        <v>1.2</v>
      </c>
      <c r="P2132" s="37">
        <v>1.0894</v>
      </c>
      <c r="Q2132">
        <v>1.2</v>
      </c>
      <c r="R2132">
        <v>4000</v>
      </c>
      <c r="S2132">
        <v>4000</v>
      </c>
      <c r="T2132">
        <v>3000</v>
      </c>
      <c r="U2132" t="s">
        <v>5776</v>
      </c>
      <c r="V2132">
        <v>1</v>
      </c>
      <c r="W2132" s="38">
        <v>1</v>
      </c>
      <c r="X2132" s="38">
        <v>1.1</v>
      </c>
      <c r="Y2132" t="s">
        <v>5732</v>
      </c>
      <c r="Z2132" s="37">
        <v>1.1</v>
      </c>
      <c r="AA2132" s="37">
        <v>0.125</v>
      </c>
      <c r="AB2132">
        <v>0</v>
      </c>
    </row>
    <row r="2133">
      <c r="A2133" t="s">
        <v>5773</v>
      </c>
      <c r="B2133" t="s">
        <v>3859</v>
      </c>
      <c r="C2133" t="s">
        <v>3859</v>
      </c>
      <c r="D2133" t="s">
        <v>5709</v>
      </c>
      <c r="E2133" t="s">
        <v>5774</v>
      </c>
      <c r="F2133" t="s">
        <v>298</v>
      </c>
      <c r="G2133" t="s">
        <v>5711</v>
      </c>
      <c r="H2133" t="s">
        <v>5722</v>
      </c>
      <c r="I2133" t="s">
        <v>5775</v>
      </c>
      <c r="L2133" t="s">
        <v>5772</v>
      </c>
      <c r="M2133" s="37">
        <v>1.0288</v>
      </c>
      <c r="N2133" s="37">
        <v>0.5</v>
      </c>
      <c r="O2133">
        <v>1.2</v>
      </c>
      <c r="P2133" s="37">
        <v>1.0894</v>
      </c>
      <c r="Q2133">
        <v>1.2</v>
      </c>
      <c r="R2133">
        <v>4000</v>
      </c>
      <c r="S2133">
        <v>4000</v>
      </c>
      <c r="T2133">
        <v>3000</v>
      </c>
      <c r="U2133" t="s">
        <v>5777</v>
      </c>
      <c r="W2133" s="38">
        <v>1</v>
      </c>
      <c r="X2133" s="38">
        <v>1.17</v>
      </c>
      <c r="Y2133" t="s">
        <v>5732</v>
      </c>
      <c r="Z2133" s="37">
        <v>1.17</v>
      </c>
      <c r="AA2133" s="37">
        <v>0.125</v>
      </c>
      <c r="AB2133">
        <v>0</v>
      </c>
    </row>
    <row r="2134">
      <c r="A2134" t="s">
        <v>5773</v>
      </c>
      <c r="B2134" t="s">
        <v>3859</v>
      </c>
      <c r="C2134" t="s">
        <v>3859</v>
      </c>
      <c r="D2134" t="s">
        <v>5709</v>
      </c>
      <c r="E2134" t="s">
        <v>5774</v>
      </c>
      <c r="F2134" t="s">
        <v>298</v>
      </c>
      <c r="G2134" t="s">
        <v>5711</v>
      </c>
      <c r="H2134" t="s">
        <v>5722</v>
      </c>
      <c r="I2134" t="s">
        <v>5775</v>
      </c>
      <c r="L2134" t="s">
        <v>5772</v>
      </c>
      <c r="M2134" s="37">
        <v>1.0288</v>
      </c>
      <c r="N2134" s="37">
        <v>0.5</v>
      </c>
      <c r="O2134">
        <v>1.2</v>
      </c>
      <c r="P2134" s="37">
        <v>1.0894</v>
      </c>
      <c r="Q2134">
        <v>1.2</v>
      </c>
      <c r="R2134">
        <v>4000</v>
      </c>
      <c r="S2134">
        <v>4000</v>
      </c>
      <c r="T2134">
        <v>3000</v>
      </c>
      <c r="U2134" t="s">
        <v>5778</v>
      </c>
      <c r="W2134" s="38">
        <v>1</v>
      </c>
      <c r="X2134" s="38">
        <v>1.2</v>
      </c>
      <c r="Y2134" t="s">
        <v>5732</v>
      </c>
      <c r="Z2134" s="37">
        <v>1.2</v>
      </c>
      <c r="AA2134" s="37">
        <v>0.125</v>
      </c>
      <c r="AB2134">
        <v>0</v>
      </c>
    </row>
    <row r="2135">
      <c r="A2135" t="s">
        <v>5773</v>
      </c>
      <c r="B2135" t="s">
        <v>3859</v>
      </c>
      <c r="C2135" t="s">
        <v>3859</v>
      </c>
      <c r="D2135" t="s">
        <v>5709</v>
      </c>
      <c r="E2135" t="s">
        <v>5774</v>
      </c>
      <c r="F2135" t="s">
        <v>298</v>
      </c>
      <c r="G2135" t="s">
        <v>5711</v>
      </c>
      <c r="H2135" t="s">
        <v>5722</v>
      </c>
      <c r="I2135" t="s">
        <v>5775</v>
      </c>
      <c r="L2135" t="s">
        <v>5772</v>
      </c>
      <c r="M2135" s="37">
        <v>1.0288</v>
      </c>
      <c r="N2135" s="37">
        <v>0.5</v>
      </c>
      <c r="O2135">
        <v>1.2</v>
      </c>
      <c r="P2135" s="37">
        <v>1.0894</v>
      </c>
      <c r="Q2135">
        <v>1.2</v>
      </c>
      <c r="R2135">
        <v>4000</v>
      </c>
      <c r="S2135">
        <v>4000</v>
      </c>
      <c r="T2135">
        <v>3000</v>
      </c>
      <c r="U2135" t="s">
        <v>5779</v>
      </c>
      <c r="W2135" s="38">
        <v>1</v>
      </c>
      <c r="X2135" s="38">
        <v>0.93</v>
      </c>
      <c r="Y2135" t="s">
        <v>5732</v>
      </c>
      <c r="Z2135" s="37">
        <v>0.93</v>
      </c>
      <c r="AA2135" s="37">
        <v>0.125</v>
      </c>
      <c r="AB2135">
        <v>0</v>
      </c>
    </row>
    <row r="2136">
      <c r="A2136" t="s">
        <v>5773</v>
      </c>
      <c r="B2136" t="s">
        <v>3859</v>
      </c>
      <c r="C2136" t="s">
        <v>3859</v>
      </c>
      <c r="D2136" t="s">
        <v>5709</v>
      </c>
      <c r="E2136" t="s">
        <v>5774</v>
      </c>
      <c r="F2136" t="s">
        <v>298</v>
      </c>
      <c r="G2136" t="s">
        <v>5711</v>
      </c>
      <c r="H2136" t="s">
        <v>5722</v>
      </c>
      <c r="I2136" t="s">
        <v>5775</v>
      </c>
      <c r="L2136" t="s">
        <v>5772</v>
      </c>
      <c r="M2136" s="37">
        <v>1.0288</v>
      </c>
      <c r="N2136" s="37">
        <v>0.5</v>
      </c>
      <c r="O2136">
        <v>1.2</v>
      </c>
      <c r="P2136" s="37">
        <v>1.0894</v>
      </c>
      <c r="Q2136">
        <v>1.2</v>
      </c>
      <c r="R2136">
        <v>4000</v>
      </c>
      <c r="S2136">
        <v>4000</v>
      </c>
      <c r="T2136">
        <v>3000</v>
      </c>
      <c r="U2136" t="s">
        <v>5780</v>
      </c>
      <c r="W2136" s="38">
        <v>1</v>
      </c>
      <c r="X2136" s="38">
        <v>0.7</v>
      </c>
      <c r="Y2136" t="s">
        <v>5732</v>
      </c>
      <c r="Z2136" s="37">
        <v>0.7</v>
      </c>
      <c r="AA2136" s="37">
        <v>0.125</v>
      </c>
      <c r="AB2136">
        <v>0</v>
      </c>
    </row>
    <row r="2137">
      <c r="A2137" t="s">
        <v>5773</v>
      </c>
      <c r="B2137" t="s">
        <v>3859</v>
      </c>
      <c r="C2137" t="s">
        <v>3859</v>
      </c>
      <c r="D2137" t="s">
        <v>5709</v>
      </c>
      <c r="E2137" t="s">
        <v>5774</v>
      </c>
      <c r="F2137" t="s">
        <v>298</v>
      </c>
      <c r="G2137" t="s">
        <v>5711</v>
      </c>
      <c r="H2137" t="s">
        <v>5722</v>
      </c>
      <c r="I2137" t="s">
        <v>5775</v>
      </c>
      <c r="L2137" t="s">
        <v>5772</v>
      </c>
      <c r="M2137" s="37">
        <v>1.0288</v>
      </c>
      <c r="N2137" s="37">
        <v>0.5</v>
      </c>
      <c r="O2137">
        <v>1.2</v>
      </c>
      <c r="P2137" s="37">
        <v>1.0894</v>
      </c>
      <c r="Q2137">
        <v>1.2</v>
      </c>
      <c r="R2137">
        <v>4000</v>
      </c>
      <c r="S2137">
        <v>4000</v>
      </c>
      <c r="T2137">
        <v>3000</v>
      </c>
      <c r="U2137" t="s">
        <v>5781</v>
      </c>
      <c r="W2137" s="38">
        <v>1</v>
      </c>
      <c r="X2137" s="38">
        <v>1.19</v>
      </c>
      <c r="Y2137" t="s">
        <v>5732</v>
      </c>
      <c r="Z2137" s="37">
        <v>1.19</v>
      </c>
      <c r="AA2137" s="37">
        <v>0.125</v>
      </c>
      <c r="AB2137">
        <v>0</v>
      </c>
    </row>
    <row r="2138">
      <c r="A2138" t="s">
        <v>5773</v>
      </c>
      <c r="B2138" t="s">
        <v>3859</v>
      </c>
      <c r="C2138" t="s">
        <v>3859</v>
      </c>
      <c r="D2138" t="s">
        <v>5709</v>
      </c>
      <c r="E2138" t="s">
        <v>5774</v>
      </c>
      <c r="F2138" t="s">
        <v>298</v>
      </c>
      <c r="G2138" t="s">
        <v>5711</v>
      </c>
      <c r="H2138" t="s">
        <v>5722</v>
      </c>
      <c r="I2138" t="s">
        <v>5775</v>
      </c>
      <c r="L2138" t="s">
        <v>5772</v>
      </c>
      <c r="M2138" s="37">
        <v>1.0288</v>
      </c>
      <c r="N2138" s="37">
        <v>0.5</v>
      </c>
      <c r="O2138">
        <v>1.2</v>
      </c>
      <c r="P2138" s="37">
        <v>1.0894</v>
      </c>
      <c r="Q2138">
        <v>1.2</v>
      </c>
      <c r="R2138">
        <v>4000</v>
      </c>
      <c r="S2138">
        <v>4000</v>
      </c>
      <c r="T2138">
        <v>3000</v>
      </c>
      <c r="U2138" t="s">
        <v>5782</v>
      </c>
      <c r="W2138">
        <v>100</v>
      </c>
      <c r="X2138">
        <v>100</v>
      </c>
      <c r="Y2138" t="s">
        <v>5732</v>
      </c>
      <c r="Z2138" s="37">
        <v>1</v>
      </c>
      <c r="AA2138" s="37">
        <v>0.125</v>
      </c>
      <c r="AB2138">
        <v>0</v>
      </c>
    </row>
    <row r="2139">
      <c r="A2139" t="s">
        <v>5773</v>
      </c>
      <c r="B2139" t="s">
        <v>3859</v>
      </c>
      <c r="C2139" t="s">
        <v>3859</v>
      </c>
      <c r="D2139" t="s">
        <v>5709</v>
      </c>
      <c r="E2139" t="s">
        <v>5774</v>
      </c>
      <c r="F2139" t="s">
        <v>298</v>
      </c>
      <c r="G2139" t="s">
        <v>5711</v>
      </c>
      <c r="H2139" t="s">
        <v>5722</v>
      </c>
      <c r="I2139" t="s">
        <v>5775</v>
      </c>
      <c r="L2139" t="s">
        <v>5772</v>
      </c>
      <c r="M2139" s="37">
        <v>1.0288</v>
      </c>
      <c r="N2139" s="37">
        <v>0.5</v>
      </c>
      <c r="O2139">
        <v>1.2</v>
      </c>
      <c r="P2139" s="37">
        <v>1.0894</v>
      </c>
      <c r="Q2139">
        <v>1.2</v>
      </c>
      <c r="R2139">
        <v>4000</v>
      </c>
      <c r="S2139">
        <v>4000</v>
      </c>
      <c r="T2139">
        <v>3000</v>
      </c>
      <c r="U2139" t="s">
        <v>5783</v>
      </c>
      <c r="W2139">
        <v>100</v>
      </c>
      <c r="X2139">
        <v>94</v>
      </c>
      <c r="Y2139" t="s">
        <v>5732</v>
      </c>
      <c r="Z2139" s="37">
        <v>0.94</v>
      </c>
      <c r="AA2139" s="37">
        <v>0.125</v>
      </c>
      <c r="AB2139">
        <v>0</v>
      </c>
    </row>
    <row r="2140">
      <c r="A2140" t="s">
        <v>5773</v>
      </c>
      <c r="B2140" t="s">
        <v>3859</v>
      </c>
      <c r="C2140" t="s">
        <v>3859</v>
      </c>
      <c r="D2140" t="s">
        <v>5709</v>
      </c>
      <c r="E2140" t="s">
        <v>5774</v>
      </c>
      <c r="F2140" t="s">
        <v>298</v>
      </c>
      <c r="G2140" t="s">
        <v>5711</v>
      </c>
      <c r="H2140" t="s">
        <v>5719</v>
      </c>
      <c r="I2140" t="s">
        <v>5784</v>
      </c>
      <c r="K2140">
        <v>115</v>
      </c>
      <c r="L2140" t="s">
        <v>5772</v>
      </c>
      <c r="M2140" s="37">
        <v>1.15</v>
      </c>
      <c r="N2140" s="37">
        <v>0.5</v>
      </c>
      <c r="O2140">
        <v>1.2</v>
      </c>
      <c r="P2140" s="37">
        <v>1.0894</v>
      </c>
      <c r="Q2140">
        <v>1.2</v>
      </c>
      <c r="R2140">
        <v>4000</v>
      </c>
      <c r="S2140">
        <v>4000</v>
      </c>
      <c r="T2140">
        <v>3000</v>
      </c>
      <c r="U2140" t="s">
        <v>5783</v>
      </c>
      <c r="W2140">
        <v>100</v>
      </c>
      <c r="X2140">
        <v>94</v>
      </c>
      <c r="Y2140" t="s">
        <v>5732</v>
      </c>
      <c r="Z2140" s="37">
        <v>0.94</v>
      </c>
      <c r="AA2140" s="37">
        <v>0.125</v>
      </c>
      <c r="AB2140">
        <v>0</v>
      </c>
    </row>
    <row r="2141">
      <c r="A2141" t="s">
        <v>5785</v>
      </c>
      <c r="B2141" t="s">
        <v>1736</v>
      </c>
      <c r="C2141" t="s">
        <v>1736</v>
      </c>
      <c r="D2141" t="s">
        <v>5709</v>
      </c>
      <c r="E2141" t="s">
        <v>5786</v>
      </c>
      <c r="F2141" t="s">
        <v>298</v>
      </c>
      <c r="G2141" t="s">
        <v>5711</v>
      </c>
      <c r="H2141" t="s">
        <v>5741</v>
      </c>
      <c r="I2141" t="s">
        <v>5787</v>
      </c>
      <c r="J2141" s="38">
        <v>1</v>
      </c>
      <c r="K2141" s="38">
        <v>0.9</v>
      </c>
      <c r="L2141" t="s">
        <v>5772</v>
      </c>
      <c r="M2141" s="37">
        <v>0.9</v>
      </c>
      <c r="N2141" s="37">
        <v>0.35</v>
      </c>
      <c r="O2141">
        <v>0.9</v>
      </c>
      <c r="P2141" s="37">
        <v>0.9125</v>
      </c>
      <c r="Q2141">
        <v>0.91</v>
      </c>
      <c r="R2141">
        <v>2220</v>
      </c>
      <c r="S2141">
        <v>2220</v>
      </c>
      <c r="T2141">
        <v>3000</v>
      </c>
      <c r="U2141" t="s">
        <v>5783</v>
      </c>
      <c r="W2141">
        <v>100</v>
      </c>
      <c r="X2141">
        <v>94</v>
      </c>
      <c r="Y2141" t="s">
        <v>5732</v>
      </c>
      <c r="Z2141" s="37">
        <v>0.94</v>
      </c>
      <c r="AA2141" s="37">
        <v>0.125</v>
      </c>
      <c r="AB2141">
        <v>0</v>
      </c>
    </row>
    <row r="2142">
      <c r="A2142" t="s">
        <v>5785</v>
      </c>
      <c r="B2142" t="s">
        <v>1736</v>
      </c>
      <c r="C2142" t="s">
        <v>1736</v>
      </c>
      <c r="D2142" t="s">
        <v>5709</v>
      </c>
      <c r="E2142" t="s">
        <v>5786</v>
      </c>
      <c r="F2142" t="s">
        <v>298</v>
      </c>
      <c r="G2142" t="s">
        <v>5711</v>
      </c>
      <c r="H2142" t="s">
        <v>5722</v>
      </c>
      <c r="I2142" t="s">
        <v>5788</v>
      </c>
      <c r="K2142">
        <v>85</v>
      </c>
      <c r="L2142" t="s">
        <v>5772</v>
      </c>
      <c r="M2142" s="37">
        <v>0.85</v>
      </c>
      <c r="N2142" s="37">
        <v>0.35</v>
      </c>
      <c r="O2142">
        <v>0.85</v>
      </c>
      <c r="P2142" s="37">
        <v>0.9125</v>
      </c>
      <c r="Q2142">
        <v>0.91</v>
      </c>
      <c r="R2142">
        <v>2220</v>
      </c>
      <c r="S2142">
        <v>2220</v>
      </c>
      <c r="T2142">
        <v>3000</v>
      </c>
      <c r="U2142" t="s">
        <v>5789</v>
      </c>
      <c r="W2142" s="38">
        <v>1</v>
      </c>
      <c r="X2142" s="38">
        <v>0.85</v>
      </c>
      <c r="Y2142" t="s">
        <v>5732</v>
      </c>
      <c r="Z2142" s="37">
        <v>0.85</v>
      </c>
      <c r="AA2142" s="37">
        <v>0.2</v>
      </c>
      <c r="AB2142">
        <v>0</v>
      </c>
    </row>
    <row r="2143">
      <c r="A2143" t="s">
        <v>5785</v>
      </c>
      <c r="B2143" t="s">
        <v>1736</v>
      </c>
      <c r="C2143" t="s">
        <v>1736</v>
      </c>
      <c r="D2143" t="s">
        <v>5709</v>
      </c>
      <c r="E2143" t="s">
        <v>5786</v>
      </c>
      <c r="F2143" t="s">
        <v>298</v>
      </c>
      <c r="G2143" t="s">
        <v>5711</v>
      </c>
      <c r="H2143" t="s">
        <v>5722</v>
      </c>
      <c r="I2143" t="s">
        <v>5788</v>
      </c>
      <c r="K2143">
        <v>85</v>
      </c>
      <c r="L2143" t="s">
        <v>5772</v>
      </c>
      <c r="M2143" s="37">
        <v>0.85</v>
      </c>
      <c r="N2143" s="37">
        <v>0.35</v>
      </c>
      <c r="O2143">
        <v>0.85</v>
      </c>
      <c r="P2143" s="37">
        <v>0.9125</v>
      </c>
      <c r="Q2143">
        <v>0.91</v>
      </c>
      <c r="R2143">
        <v>2220</v>
      </c>
      <c r="S2143">
        <v>2220</v>
      </c>
      <c r="T2143">
        <v>3000</v>
      </c>
      <c r="U2143" t="s">
        <v>5790</v>
      </c>
      <c r="W2143" s="38">
        <v>1</v>
      </c>
      <c r="X2143" s="38">
        <v>0.85</v>
      </c>
      <c r="Y2143" t="s">
        <v>5732</v>
      </c>
      <c r="Z2143" s="37">
        <v>0.85</v>
      </c>
      <c r="AA2143" s="37">
        <v>0.15</v>
      </c>
      <c r="AB2143">
        <v>0</v>
      </c>
    </row>
    <row r="2144">
      <c r="A2144" t="s">
        <v>5785</v>
      </c>
      <c r="B2144" t="s">
        <v>1736</v>
      </c>
      <c r="C2144" t="s">
        <v>1736</v>
      </c>
      <c r="D2144" t="s">
        <v>5709</v>
      </c>
      <c r="E2144" t="s">
        <v>5786</v>
      </c>
      <c r="F2144" t="s">
        <v>298</v>
      </c>
      <c r="G2144" t="s">
        <v>5711</v>
      </c>
      <c r="H2144" t="s">
        <v>5712</v>
      </c>
      <c r="I2144" t="s">
        <v>5791</v>
      </c>
      <c r="K2144">
        <v>100</v>
      </c>
      <c r="L2144" t="s">
        <v>5772</v>
      </c>
      <c r="M2144" s="37">
        <v>1</v>
      </c>
      <c r="N2144" s="37">
        <v>0.3</v>
      </c>
      <c r="O2144">
        <v>1</v>
      </c>
      <c r="P2144" s="37">
        <v>0.9125</v>
      </c>
      <c r="Q2144">
        <v>0.91</v>
      </c>
      <c r="R2144">
        <v>2220</v>
      </c>
      <c r="S2144">
        <v>2220</v>
      </c>
      <c r="T2144">
        <v>3000</v>
      </c>
      <c r="U2144" t="s">
        <v>5715</v>
      </c>
      <c r="V2144" t="s">
        <v>5716</v>
      </c>
      <c r="W2144" s="38">
        <v>1</v>
      </c>
      <c r="X2144" s="38">
        <v>1</v>
      </c>
      <c r="Y2144" t="s">
        <v>5732</v>
      </c>
      <c r="Z2144" s="37">
        <v>1</v>
      </c>
      <c r="AA2144" s="37">
        <v>0.15</v>
      </c>
      <c r="AB2144">
        <v>0</v>
      </c>
    </row>
    <row r="2145">
      <c r="A2145" t="s">
        <v>5785</v>
      </c>
      <c r="B2145" t="s">
        <v>1736</v>
      </c>
      <c r="C2145" t="s">
        <v>1736</v>
      </c>
      <c r="D2145" t="s">
        <v>5709</v>
      </c>
      <c r="E2145" t="s">
        <v>5786</v>
      </c>
      <c r="F2145" t="s">
        <v>298</v>
      </c>
      <c r="G2145" t="s">
        <v>5711</v>
      </c>
      <c r="H2145" t="s">
        <v>5712</v>
      </c>
      <c r="I2145" t="s">
        <v>5791</v>
      </c>
      <c r="K2145">
        <v>100</v>
      </c>
      <c r="L2145" t="s">
        <v>5772</v>
      </c>
      <c r="M2145" s="37">
        <v>1</v>
      </c>
      <c r="N2145" s="37">
        <v>0.3</v>
      </c>
      <c r="O2145">
        <v>1</v>
      </c>
      <c r="P2145" s="37">
        <v>0.9125</v>
      </c>
      <c r="Q2145">
        <v>0.91</v>
      </c>
      <c r="R2145">
        <v>2220</v>
      </c>
      <c r="S2145">
        <v>2220</v>
      </c>
      <c r="T2145">
        <v>3000</v>
      </c>
      <c r="U2145" t="s">
        <v>5717</v>
      </c>
      <c r="V2145" t="s">
        <v>5718</v>
      </c>
      <c r="W2145" s="38">
        <v>1</v>
      </c>
      <c r="X2145" s="38">
        <v>1</v>
      </c>
      <c r="Y2145" t="s">
        <v>5732</v>
      </c>
      <c r="Z2145" s="37">
        <v>1</v>
      </c>
      <c r="AA2145" s="37">
        <v>0.15</v>
      </c>
      <c r="AB2145">
        <v>0</v>
      </c>
    </row>
    <row r="2146">
      <c r="A2146" t="s">
        <v>5792</v>
      </c>
      <c r="B2146" t="s">
        <v>4979</v>
      </c>
      <c r="C2146" t="s">
        <v>4979</v>
      </c>
      <c r="D2146" t="s">
        <v>5709</v>
      </c>
      <c r="E2146" t="s">
        <v>5793</v>
      </c>
      <c r="F2146" t="s">
        <v>298</v>
      </c>
      <c r="G2146" t="s">
        <v>5711</v>
      </c>
      <c r="H2146" t="s">
        <v>5722</v>
      </c>
      <c r="I2146" t="s">
        <v>5794</v>
      </c>
      <c r="K2146" s="38">
        <v>1</v>
      </c>
      <c r="L2146" t="s">
        <v>5795</v>
      </c>
      <c r="M2146" s="37">
        <v>1</v>
      </c>
      <c r="N2146" s="37">
        <v>0.5</v>
      </c>
      <c r="O2146">
        <v>1.2</v>
      </c>
      <c r="P2146" s="37">
        <v>1.01152</v>
      </c>
      <c r="Q2146">
        <v>1.34</v>
      </c>
      <c r="R2146">
        <v>4400</v>
      </c>
      <c r="S2146">
        <v>4400</v>
      </c>
      <c r="T2146">
        <v>3000</v>
      </c>
      <c r="U2146" t="s">
        <v>5796</v>
      </c>
      <c r="V2146" t="s">
        <v>5797</v>
      </c>
      <c r="W2146" s="38">
        <v>1</v>
      </c>
      <c r="X2146" s="38">
        <v>1</v>
      </c>
      <c r="Y2146" t="s">
        <v>5798</v>
      </c>
      <c r="Z2146" s="37">
        <v>1</v>
      </c>
      <c r="AA2146" s="37">
        <v>0.25</v>
      </c>
      <c r="AB2146">
        <v>0</v>
      </c>
    </row>
    <row r="2147">
      <c r="A2147" t="s">
        <v>5792</v>
      </c>
      <c r="B2147" t="s">
        <v>4979</v>
      </c>
      <c r="C2147" t="s">
        <v>4979</v>
      </c>
      <c r="D2147" t="s">
        <v>5709</v>
      </c>
      <c r="E2147" t="s">
        <v>5793</v>
      </c>
      <c r="F2147" t="s">
        <v>298</v>
      </c>
      <c r="G2147" t="s">
        <v>5711</v>
      </c>
      <c r="H2147" t="s">
        <v>5722</v>
      </c>
      <c r="I2147" t="s">
        <v>5794</v>
      </c>
      <c r="K2147" s="38">
        <v>1</v>
      </c>
      <c r="L2147" t="s">
        <v>5795</v>
      </c>
      <c r="M2147" s="37">
        <v>1</v>
      </c>
      <c r="N2147" s="37">
        <v>0.5</v>
      </c>
      <c r="O2147">
        <v>1.2</v>
      </c>
      <c r="P2147" s="37">
        <v>1.01152</v>
      </c>
      <c r="Q2147">
        <v>1.34</v>
      </c>
      <c r="R2147">
        <v>4400</v>
      </c>
      <c r="S2147">
        <v>4400</v>
      </c>
      <c r="T2147">
        <v>3000</v>
      </c>
      <c r="U2147" t="s">
        <v>5799</v>
      </c>
      <c r="V2147" t="s">
        <v>5800</v>
      </c>
      <c r="W2147" s="38">
        <v>1</v>
      </c>
      <c r="X2147" s="38">
        <v>1</v>
      </c>
      <c r="Y2147" t="s">
        <v>5801</v>
      </c>
      <c r="Z2147" s="37">
        <v>1</v>
      </c>
      <c r="AA2147" s="37">
        <v>0.25</v>
      </c>
      <c r="AB2147">
        <v>0</v>
      </c>
    </row>
    <row r="2148">
      <c r="A2148" t="s">
        <v>5792</v>
      </c>
      <c r="B2148" t="s">
        <v>4979</v>
      </c>
      <c r="C2148" t="s">
        <v>4979</v>
      </c>
      <c r="D2148" t="s">
        <v>5709</v>
      </c>
      <c r="E2148" t="s">
        <v>5793</v>
      </c>
      <c r="F2148" t="s">
        <v>298</v>
      </c>
      <c r="G2148" t="s">
        <v>5711</v>
      </c>
      <c r="H2148" t="s">
        <v>5722</v>
      </c>
      <c r="I2148" t="s">
        <v>5794</v>
      </c>
      <c r="K2148" s="38">
        <v>1</v>
      </c>
      <c r="L2148" t="s">
        <v>5795</v>
      </c>
      <c r="M2148" s="37">
        <v>1</v>
      </c>
      <c r="N2148" s="37">
        <v>0.5</v>
      </c>
      <c r="O2148">
        <v>1.2</v>
      </c>
      <c r="P2148" s="37">
        <v>1.01152</v>
      </c>
      <c r="Q2148">
        <v>1.34</v>
      </c>
      <c r="R2148">
        <v>4400</v>
      </c>
      <c r="S2148">
        <v>4400</v>
      </c>
      <c r="T2148">
        <v>3000</v>
      </c>
      <c r="U2148" t="s">
        <v>5802</v>
      </c>
      <c r="V2148" t="s">
        <v>5803</v>
      </c>
      <c r="W2148" s="38">
        <v>1</v>
      </c>
      <c r="X2148" s="38">
        <v>1</v>
      </c>
      <c r="Y2148" t="s">
        <v>5804</v>
      </c>
      <c r="Z2148" s="37">
        <v>1</v>
      </c>
      <c r="AA2148" s="37">
        <v>0.25</v>
      </c>
      <c r="AB2148">
        <v>0</v>
      </c>
    </row>
    <row r="2149">
      <c r="A2149" t="s">
        <v>5792</v>
      </c>
      <c r="B2149" t="s">
        <v>4979</v>
      </c>
      <c r="C2149" t="s">
        <v>4979</v>
      </c>
      <c r="D2149" t="s">
        <v>5709</v>
      </c>
      <c r="E2149" t="s">
        <v>5793</v>
      </c>
      <c r="F2149" t="s">
        <v>298</v>
      </c>
      <c r="G2149" t="s">
        <v>5711</v>
      </c>
      <c r="H2149" t="s">
        <v>5722</v>
      </c>
      <c r="I2149" t="s">
        <v>5794</v>
      </c>
      <c r="K2149" s="38">
        <v>1</v>
      </c>
      <c r="L2149" t="s">
        <v>5795</v>
      </c>
      <c r="M2149" s="37">
        <v>1</v>
      </c>
      <c r="N2149" s="37">
        <v>0.5</v>
      </c>
      <c r="O2149">
        <v>1.2</v>
      </c>
      <c r="P2149" s="37">
        <v>1.01152</v>
      </c>
      <c r="Q2149">
        <v>1.34</v>
      </c>
      <c r="R2149">
        <v>4400</v>
      </c>
      <c r="S2149">
        <v>4400</v>
      </c>
      <c r="T2149">
        <v>3000</v>
      </c>
      <c r="U2149" t="s">
        <v>5805</v>
      </c>
      <c r="V2149" t="s">
        <v>5806</v>
      </c>
      <c r="W2149" s="38">
        <v>1</v>
      </c>
      <c r="X2149" s="38">
        <v>1</v>
      </c>
      <c r="Y2149" t="s">
        <v>5807</v>
      </c>
      <c r="Z2149" s="37">
        <v>1</v>
      </c>
      <c r="AA2149" s="37">
        <v>0.25</v>
      </c>
      <c r="AB2149">
        <v>0</v>
      </c>
    </row>
    <row r="2150">
      <c r="A2150" t="s">
        <v>5792</v>
      </c>
      <c r="B2150" t="s">
        <v>4979</v>
      </c>
      <c r="C2150" t="s">
        <v>4979</v>
      </c>
      <c r="D2150" t="s">
        <v>5709</v>
      </c>
      <c r="E2150" t="s">
        <v>5793</v>
      </c>
      <c r="F2150" t="s">
        <v>298</v>
      </c>
      <c r="G2150" t="s">
        <v>5711</v>
      </c>
      <c r="H2150" t="s">
        <v>5712</v>
      </c>
      <c r="I2150" t="s">
        <v>5808</v>
      </c>
      <c r="K2150" s="38">
        <v>1</v>
      </c>
      <c r="L2150" t="s">
        <v>5809</v>
      </c>
      <c r="M2150" s="37">
        <v>1</v>
      </c>
      <c r="N2150" s="37">
        <v>0.3</v>
      </c>
      <c r="O2150">
        <v>1</v>
      </c>
      <c r="P2150" s="37">
        <v>1.01152</v>
      </c>
      <c r="Q2150">
        <v>1.34</v>
      </c>
      <c r="R2150">
        <v>4400</v>
      </c>
      <c r="S2150">
        <v>4400</v>
      </c>
      <c r="T2150">
        <v>3000</v>
      </c>
      <c r="U2150" t="s">
        <v>5715</v>
      </c>
      <c r="V2150" t="s">
        <v>5716</v>
      </c>
      <c r="W2150" s="38">
        <v>1</v>
      </c>
      <c r="X2150" s="38">
        <v>1</v>
      </c>
      <c r="Y2150" t="s">
        <v>5807</v>
      </c>
      <c r="Z2150" s="37">
        <v>1</v>
      </c>
      <c r="AA2150" s="37">
        <v>0.6</v>
      </c>
      <c r="AB2150">
        <v>0</v>
      </c>
    </row>
    <row r="2151">
      <c r="A2151" t="s">
        <v>5792</v>
      </c>
      <c r="B2151" t="s">
        <v>4979</v>
      </c>
      <c r="C2151" t="s">
        <v>4979</v>
      </c>
      <c r="D2151" t="s">
        <v>5709</v>
      </c>
      <c r="E2151" t="s">
        <v>5793</v>
      </c>
      <c r="F2151" t="s">
        <v>298</v>
      </c>
      <c r="G2151" t="s">
        <v>5711</v>
      </c>
      <c r="H2151" t="s">
        <v>5712</v>
      </c>
      <c r="I2151" t="s">
        <v>5808</v>
      </c>
      <c r="K2151" s="38">
        <v>1</v>
      </c>
      <c r="L2151" t="s">
        <v>5809</v>
      </c>
      <c r="M2151" s="37">
        <v>1</v>
      </c>
      <c r="N2151" s="37">
        <v>0.3</v>
      </c>
      <c r="O2151">
        <v>1</v>
      </c>
      <c r="P2151" s="37">
        <v>1.01152</v>
      </c>
      <c r="Q2151">
        <v>1.34</v>
      </c>
      <c r="R2151">
        <v>4400</v>
      </c>
      <c r="S2151">
        <v>4400</v>
      </c>
      <c r="T2151">
        <v>3000</v>
      </c>
      <c r="U2151" t="s">
        <v>5717</v>
      </c>
      <c r="V2151" t="s">
        <v>5718</v>
      </c>
      <c r="W2151" s="38">
        <v>1</v>
      </c>
      <c r="X2151" s="38">
        <v>1</v>
      </c>
      <c r="Y2151" t="s">
        <v>5807</v>
      </c>
      <c r="Z2151" s="37">
        <v>1</v>
      </c>
      <c r="AA2151" s="37">
        <v>0.4</v>
      </c>
      <c r="AB2151">
        <v>0</v>
      </c>
    </row>
    <row r="2152">
      <c r="A2152" t="s">
        <v>5792</v>
      </c>
      <c r="B2152" t="s">
        <v>4979</v>
      </c>
      <c r="C2152" t="s">
        <v>4979</v>
      </c>
      <c r="D2152" t="s">
        <v>5709</v>
      </c>
      <c r="E2152" t="s">
        <v>5793</v>
      </c>
      <c r="F2152" t="s">
        <v>298</v>
      </c>
      <c r="G2152" t="s">
        <v>5711</v>
      </c>
      <c r="H2152" t="s">
        <v>5719</v>
      </c>
      <c r="I2152" t="s">
        <v>5810</v>
      </c>
      <c r="K2152" s="37">
        <v>1.0576</v>
      </c>
      <c r="L2152" t="s">
        <v>5811</v>
      </c>
      <c r="M2152" s="37">
        <v>1.0576</v>
      </c>
      <c r="N2152" s="37">
        <v>0.2</v>
      </c>
      <c r="O2152">
        <v>1.2</v>
      </c>
      <c r="P2152" s="37">
        <v>1.01152</v>
      </c>
      <c r="Q2152">
        <v>1.34</v>
      </c>
      <c r="R2152">
        <v>4400</v>
      </c>
      <c r="S2152">
        <v>4400</v>
      </c>
      <c r="T2152">
        <v>3000</v>
      </c>
      <c r="U2152" t="s">
        <v>5717</v>
      </c>
      <c r="V2152" t="s">
        <v>5718</v>
      </c>
      <c r="W2152" s="38">
        <v>1</v>
      </c>
      <c r="X2152" s="38">
        <v>1</v>
      </c>
      <c r="Y2152" t="s">
        <v>5807</v>
      </c>
      <c r="Z2152" s="37">
        <v>1</v>
      </c>
      <c r="AA2152" s="37">
        <v>0.4</v>
      </c>
      <c r="AB2152">
        <v>0</v>
      </c>
    </row>
    <row r="2153">
      <c r="A2153" t="s">
        <v>5812</v>
      </c>
      <c r="B2153" t="s">
        <v>5813</v>
      </c>
      <c r="C2153" t="s">
        <v>5813</v>
      </c>
      <c r="D2153" t="s">
        <v>5709</v>
      </c>
      <c r="E2153" t="s">
        <v>5814</v>
      </c>
      <c r="F2153" t="s">
        <v>298</v>
      </c>
      <c r="G2153" t="s">
        <v>5711</v>
      </c>
      <c r="H2153" t="s">
        <v>5741</v>
      </c>
      <c r="I2153" t="s">
        <v>5815</v>
      </c>
      <c r="J2153" s="38">
        <v>1</v>
      </c>
      <c r="K2153" s="38">
        <v>0.8</v>
      </c>
      <c r="L2153" t="s">
        <v>5811</v>
      </c>
      <c r="M2153" s="37">
        <v>0.8</v>
      </c>
      <c r="N2153" s="37">
        <v>0.3</v>
      </c>
      <c r="O2153">
        <v>0.8</v>
      </c>
      <c r="P2153" s="37">
        <v>0.8843</v>
      </c>
      <c r="Q2153">
        <v>0.64</v>
      </c>
      <c r="R2153">
        <v>1280</v>
      </c>
      <c r="S2153">
        <v>1280</v>
      </c>
      <c r="T2153">
        <v>3000</v>
      </c>
      <c r="U2153" t="s">
        <v>5717</v>
      </c>
      <c r="V2153" t="s">
        <v>5718</v>
      </c>
      <c r="W2153" s="38">
        <v>1</v>
      </c>
      <c r="X2153" s="38">
        <v>1</v>
      </c>
      <c r="Y2153" t="s">
        <v>5807</v>
      </c>
      <c r="Z2153" s="37">
        <v>1</v>
      </c>
      <c r="AA2153" s="37">
        <v>0.4</v>
      </c>
      <c r="AB2153">
        <v>0</v>
      </c>
    </row>
    <row r="2154">
      <c r="A2154" t="s">
        <v>5812</v>
      </c>
      <c r="B2154" t="s">
        <v>5813</v>
      </c>
      <c r="C2154" t="s">
        <v>5813</v>
      </c>
      <c r="D2154" t="s">
        <v>5709</v>
      </c>
      <c r="E2154" t="s">
        <v>5814</v>
      </c>
      <c r="F2154" t="s">
        <v>298</v>
      </c>
      <c r="G2154" t="s">
        <v>5711</v>
      </c>
      <c r="H2154" t="s">
        <v>5722</v>
      </c>
      <c r="I2154" t="s">
        <v>5816</v>
      </c>
      <c r="K2154" s="37">
        <v>0.751</v>
      </c>
      <c r="L2154" t="s">
        <v>5811</v>
      </c>
      <c r="M2154" s="37">
        <v>0.751</v>
      </c>
      <c r="N2154" s="37">
        <v>0.3</v>
      </c>
      <c r="O2154">
        <v>0.6008</v>
      </c>
      <c r="P2154" s="37">
        <v>0.8843</v>
      </c>
      <c r="Q2154">
        <v>0.64</v>
      </c>
      <c r="R2154">
        <v>1280</v>
      </c>
      <c r="S2154">
        <v>1280</v>
      </c>
      <c r="T2154">
        <v>3000</v>
      </c>
      <c r="U2154" t="s">
        <v>5817</v>
      </c>
      <c r="V2154" t="s">
        <v>5759</v>
      </c>
      <c r="W2154" s="38">
        <v>1</v>
      </c>
      <c r="X2154" s="38">
        <v>0.85</v>
      </c>
      <c r="Y2154" t="s">
        <v>5807</v>
      </c>
      <c r="Z2154" s="37">
        <v>0.85</v>
      </c>
      <c r="AA2154" s="37">
        <v>0.4</v>
      </c>
      <c r="AB2154">
        <v>0.85</v>
      </c>
    </row>
    <row r="2155">
      <c r="A2155" t="s">
        <v>5812</v>
      </c>
      <c r="B2155" t="s">
        <v>5813</v>
      </c>
      <c r="C2155" t="s">
        <v>5813</v>
      </c>
      <c r="D2155" t="s">
        <v>5709</v>
      </c>
      <c r="E2155" t="s">
        <v>5814</v>
      </c>
      <c r="F2155" t="s">
        <v>298</v>
      </c>
      <c r="G2155" t="s">
        <v>5711</v>
      </c>
      <c r="H2155" t="s">
        <v>5722</v>
      </c>
      <c r="I2155" t="s">
        <v>5816</v>
      </c>
      <c r="K2155" s="37">
        <v>0.751</v>
      </c>
      <c r="L2155" t="s">
        <v>5811</v>
      </c>
      <c r="M2155" s="37">
        <v>0.751</v>
      </c>
      <c r="N2155" s="37">
        <v>0.3</v>
      </c>
      <c r="O2155">
        <v>0.6008</v>
      </c>
      <c r="P2155" s="37">
        <v>0.8843</v>
      </c>
      <c r="Q2155">
        <v>0.64</v>
      </c>
      <c r="R2155">
        <v>1280</v>
      </c>
      <c r="S2155">
        <v>1280</v>
      </c>
      <c r="T2155">
        <v>3000</v>
      </c>
      <c r="U2155" t="s">
        <v>5818</v>
      </c>
      <c r="W2155" s="38">
        <v>1</v>
      </c>
      <c r="X2155" s="38">
        <v>0.77</v>
      </c>
      <c r="Y2155" t="s">
        <v>5807</v>
      </c>
      <c r="Z2155" s="37">
        <v>0.77</v>
      </c>
      <c r="AA2155" s="37">
        <v>0.3</v>
      </c>
      <c r="AB2155">
        <v>0.77</v>
      </c>
    </row>
    <row r="2156">
      <c r="A2156" t="s">
        <v>5812</v>
      </c>
      <c r="B2156" t="s">
        <v>5813</v>
      </c>
      <c r="C2156" t="s">
        <v>5813</v>
      </c>
      <c r="D2156" t="s">
        <v>5709</v>
      </c>
      <c r="E2156" t="s">
        <v>5814</v>
      </c>
      <c r="F2156" t="s">
        <v>298</v>
      </c>
      <c r="G2156" t="s">
        <v>5711</v>
      </c>
      <c r="H2156" t="s">
        <v>5722</v>
      </c>
      <c r="I2156" t="s">
        <v>5816</v>
      </c>
      <c r="K2156" s="37">
        <v>0.751</v>
      </c>
      <c r="L2156" t="s">
        <v>5811</v>
      </c>
      <c r="M2156" s="37">
        <v>0.751</v>
      </c>
      <c r="N2156" s="37">
        <v>0.3</v>
      </c>
      <c r="O2156">
        <v>0.6008</v>
      </c>
      <c r="P2156" s="37">
        <v>0.8843</v>
      </c>
      <c r="Q2156">
        <v>0.64</v>
      </c>
      <c r="R2156">
        <v>1280</v>
      </c>
      <c r="S2156">
        <v>1280</v>
      </c>
      <c r="T2156">
        <v>3000</v>
      </c>
      <c r="U2156" t="s">
        <v>5819</v>
      </c>
      <c r="W2156" s="38">
        <v>1</v>
      </c>
      <c r="X2156" s="38">
        <v>0.6</v>
      </c>
      <c r="Y2156" t="s">
        <v>5807</v>
      </c>
      <c r="Z2156" s="37">
        <v>0.6</v>
      </c>
      <c r="AA2156" s="37">
        <v>0.3</v>
      </c>
      <c r="AB2156">
        <v>0.6</v>
      </c>
    </row>
    <row r="2157">
      <c r="A2157" t="s">
        <v>5812</v>
      </c>
      <c r="B2157" t="s">
        <v>5813</v>
      </c>
      <c r="C2157" t="s">
        <v>5813</v>
      </c>
      <c r="D2157" t="s">
        <v>5709</v>
      </c>
      <c r="E2157" t="s">
        <v>5814</v>
      </c>
      <c r="F2157" t="s">
        <v>298</v>
      </c>
      <c r="G2157" t="s">
        <v>5711</v>
      </c>
      <c r="H2157" t="s">
        <v>5719</v>
      </c>
      <c r="I2157" t="s">
        <v>5820</v>
      </c>
      <c r="K2157" t="s">
        <v>5821</v>
      </c>
      <c r="L2157" t="s">
        <v>5811</v>
      </c>
      <c r="M2157" s="37">
        <v>1.19</v>
      </c>
      <c r="N2157" s="37">
        <v>0.1</v>
      </c>
      <c r="O2157">
        <v>1.2</v>
      </c>
      <c r="P2157" s="37">
        <v>0.8843</v>
      </c>
      <c r="Q2157">
        <v>0.64</v>
      </c>
      <c r="R2157">
        <v>1280</v>
      </c>
      <c r="S2157">
        <v>1280</v>
      </c>
      <c r="T2157">
        <v>3000</v>
      </c>
      <c r="U2157" t="s">
        <v>5819</v>
      </c>
      <c r="W2157" s="38">
        <v>1</v>
      </c>
      <c r="X2157" s="38">
        <v>0.6</v>
      </c>
      <c r="Y2157" t="s">
        <v>5807</v>
      </c>
      <c r="Z2157" s="37">
        <v>0.6</v>
      </c>
      <c r="AA2157" s="37">
        <v>0.3</v>
      </c>
      <c r="AB2157">
        <v>0.6</v>
      </c>
    </row>
    <row r="2158">
      <c r="A2158" t="s">
        <v>5812</v>
      </c>
      <c r="B2158" t="s">
        <v>5813</v>
      </c>
      <c r="C2158" t="s">
        <v>5813</v>
      </c>
      <c r="D2158" t="s">
        <v>5709</v>
      </c>
      <c r="E2158" t="s">
        <v>5814</v>
      </c>
      <c r="F2158" t="s">
        <v>298</v>
      </c>
      <c r="G2158" t="s">
        <v>5711</v>
      </c>
      <c r="H2158" t="s">
        <v>5712</v>
      </c>
      <c r="I2158" t="s">
        <v>5715</v>
      </c>
      <c r="K2158" t="s">
        <v>5715</v>
      </c>
      <c r="L2158" t="s">
        <v>5811</v>
      </c>
      <c r="M2158" s="37">
        <v>1</v>
      </c>
      <c r="N2158" s="37">
        <v>0.3</v>
      </c>
      <c r="O2158">
        <v>1</v>
      </c>
      <c r="P2158" s="37">
        <v>0.8843</v>
      </c>
      <c r="Q2158">
        <v>0.64</v>
      </c>
      <c r="R2158">
        <v>1280</v>
      </c>
      <c r="S2158">
        <v>1280</v>
      </c>
      <c r="T2158">
        <v>3000</v>
      </c>
      <c r="U2158" t="s">
        <v>5715</v>
      </c>
      <c r="V2158" t="s">
        <v>5716</v>
      </c>
      <c r="W2158" s="38">
        <v>1</v>
      </c>
      <c r="X2158" s="38">
        <v>1</v>
      </c>
      <c r="Y2158" t="s">
        <v>5807</v>
      </c>
      <c r="Z2158" s="37">
        <v>1</v>
      </c>
      <c r="AA2158" s="37">
        <v>1</v>
      </c>
      <c r="AB2158">
        <v>1</v>
      </c>
    </row>
    <row r="2159">
      <c r="A2159" t="s">
        <v>5822</v>
      </c>
      <c r="B2159" t="s">
        <v>5823</v>
      </c>
      <c r="C2159" t="s">
        <v>5823</v>
      </c>
      <c r="D2159" t="s">
        <v>5709</v>
      </c>
      <c r="E2159" t="s">
        <v>5824</v>
      </c>
      <c r="F2159" t="s">
        <v>298</v>
      </c>
      <c r="G2159" t="s">
        <v>5711</v>
      </c>
      <c r="H2159" t="s">
        <v>5741</v>
      </c>
      <c r="I2159" t="s">
        <v>5825</v>
      </c>
      <c r="J2159" s="38">
        <v>1</v>
      </c>
      <c r="K2159" s="38">
        <v>0.5</v>
      </c>
      <c r="L2159" t="s">
        <v>5811</v>
      </c>
      <c r="M2159" s="37">
        <v>0.5</v>
      </c>
      <c r="N2159" s="37">
        <v>0.3</v>
      </c>
      <c r="O2159">
        <v>0.3</v>
      </c>
      <c r="P2159" s="37">
        <v>0.744</v>
      </c>
      <c r="Q2159">
        <v>0.77</v>
      </c>
      <c r="R2159">
        <v>0</v>
      </c>
      <c r="S2159">
        <v>0</v>
      </c>
      <c r="T2159">
        <v>3000</v>
      </c>
      <c r="U2159" t="s">
        <v>5715</v>
      </c>
      <c r="V2159" t="s">
        <v>5716</v>
      </c>
      <c r="W2159" s="38">
        <v>1</v>
      </c>
      <c r="X2159" s="38">
        <v>1</v>
      </c>
      <c r="Y2159" t="s">
        <v>5807</v>
      </c>
      <c r="Z2159" s="37">
        <v>1</v>
      </c>
      <c r="AA2159" s="37">
        <v>1</v>
      </c>
      <c r="AB2159">
        <v>1</v>
      </c>
    </row>
    <row r="2160">
      <c r="A2160" t="s">
        <v>5822</v>
      </c>
      <c r="B2160" t="s">
        <v>5823</v>
      </c>
      <c r="C2160" t="s">
        <v>5823</v>
      </c>
      <c r="D2160" t="s">
        <v>5709</v>
      </c>
      <c r="E2160" t="s">
        <v>5824</v>
      </c>
      <c r="F2160" t="s">
        <v>298</v>
      </c>
      <c r="G2160" t="s">
        <v>5711</v>
      </c>
      <c r="H2160" t="s">
        <v>5722</v>
      </c>
      <c r="I2160" t="s">
        <v>5826</v>
      </c>
      <c r="K2160" s="38">
        <v>1</v>
      </c>
      <c r="L2160" t="s">
        <v>5811</v>
      </c>
      <c r="M2160" s="37">
        <v>1</v>
      </c>
      <c r="N2160" s="37">
        <v>0.5</v>
      </c>
      <c r="O2160">
        <v>1.2</v>
      </c>
      <c r="P2160" s="37">
        <v>0.744</v>
      </c>
      <c r="Q2160">
        <v>0.77</v>
      </c>
      <c r="R2160">
        <v>0</v>
      </c>
      <c r="S2160">
        <v>0</v>
      </c>
      <c r="T2160">
        <v>3000</v>
      </c>
      <c r="U2160" t="s">
        <v>5827</v>
      </c>
      <c r="V2160" t="s">
        <v>5759</v>
      </c>
      <c r="W2160" s="38">
        <v>1</v>
      </c>
      <c r="X2160" s="38">
        <v>1</v>
      </c>
      <c r="Y2160" t="s">
        <v>5807</v>
      </c>
      <c r="Z2160" s="37">
        <v>1</v>
      </c>
      <c r="AA2160" s="37">
        <v>0.5</v>
      </c>
      <c r="AB2160">
        <v>1</v>
      </c>
    </row>
    <row r="2161">
      <c r="A2161" t="s">
        <v>5822</v>
      </c>
      <c r="B2161" t="s">
        <v>5823</v>
      </c>
      <c r="C2161" t="s">
        <v>5823</v>
      </c>
      <c r="D2161" t="s">
        <v>5709</v>
      </c>
      <c r="E2161" t="s">
        <v>5824</v>
      </c>
      <c r="F2161" t="s">
        <v>298</v>
      </c>
      <c r="G2161" t="s">
        <v>5711</v>
      </c>
      <c r="H2161" t="s">
        <v>5719</v>
      </c>
      <c r="K2161" s="38">
        <v>0.47</v>
      </c>
      <c r="L2161" t="s">
        <v>5811</v>
      </c>
      <c r="M2161" s="37">
        <v>0.47</v>
      </c>
      <c r="N2161" s="37">
        <v>0.2</v>
      </c>
      <c r="O2161">
        <v>0.376</v>
      </c>
      <c r="P2161" s="37">
        <v>0.744</v>
      </c>
      <c r="Q2161">
        <v>0.77</v>
      </c>
      <c r="R2161">
        <v>0</v>
      </c>
      <c r="S2161">
        <v>0</v>
      </c>
      <c r="T2161">
        <v>3000</v>
      </c>
      <c r="U2161" t="s">
        <v>5827</v>
      </c>
      <c r="V2161" t="s">
        <v>5759</v>
      </c>
      <c r="W2161" s="38">
        <v>1</v>
      </c>
      <c r="X2161" s="38">
        <v>1</v>
      </c>
      <c r="Y2161" t="s">
        <v>5807</v>
      </c>
      <c r="Z2161" s="37">
        <v>1</v>
      </c>
      <c r="AA2161" s="37">
        <v>0.5</v>
      </c>
      <c r="AB2161">
        <v>1</v>
      </c>
    </row>
    <row r="2162">
      <c r="A2162" t="s">
        <v>5828</v>
      </c>
      <c r="B2162" t="s">
        <v>5829</v>
      </c>
      <c r="C2162" t="s">
        <v>5829</v>
      </c>
      <c r="D2162" t="s">
        <v>5709</v>
      </c>
      <c r="E2162" t="s">
        <v>5830</v>
      </c>
      <c r="F2162" t="s">
        <v>298</v>
      </c>
      <c r="G2162" t="s">
        <v>5711</v>
      </c>
      <c r="H2162" t="s">
        <v>5741</v>
      </c>
      <c r="I2162" t="s">
        <v>5831</v>
      </c>
      <c r="J2162" t="s">
        <v>5832</v>
      </c>
      <c r="K2162" t="s">
        <v>5833</v>
      </c>
      <c r="L2162" t="s">
        <v>5811</v>
      </c>
      <c r="M2162" s="37">
        <v>1.4</v>
      </c>
      <c r="N2162" s="37">
        <v>0.3</v>
      </c>
      <c r="O2162">
        <v>1.2</v>
      </c>
      <c r="P2162" s="37">
        <v>1.1036</v>
      </c>
      <c r="Q2162">
        <v>1.1</v>
      </c>
      <c r="R2162">
        <v>0</v>
      </c>
      <c r="S2162">
        <v>0</v>
      </c>
      <c r="T2162">
        <v>3000</v>
      </c>
      <c r="U2162" t="s">
        <v>5827</v>
      </c>
      <c r="V2162" t="s">
        <v>5759</v>
      </c>
      <c r="W2162" s="38">
        <v>1</v>
      </c>
      <c r="X2162" s="38">
        <v>1</v>
      </c>
      <c r="Y2162" t="s">
        <v>5807</v>
      </c>
      <c r="Z2162" s="37">
        <v>1</v>
      </c>
      <c r="AA2162" s="37">
        <v>0.5</v>
      </c>
      <c r="AB2162">
        <v>1</v>
      </c>
    </row>
    <row r="2163">
      <c r="A2163" t="s">
        <v>5828</v>
      </c>
      <c r="B2163" t="s">
        <v>5829</v>
      </c>
      <c r="C2163" t="s">
        <v>5829</v>
      </c>
      <c r="D2163" t="s">
        <v>5709</v>
      </c>
      <c r="E2163" t="s">
        <v>5830</v>
      </c>
      <c r="F2163" t="s">
        <v>298</v>
      </c>
      <c r="G2163" t="s">
        <v>5711</v>
      </c>
      <c r="H2163" t="s">
        <v>5719</v>
      </c>
      <c r="I2163" t="s">
        <v>5834</v>
      </c>
      <c r="K2163" t="s">
        <v>5835</v>
      </c>
      <c r="L2163" t="s">
        <v>5811</v>
      </c>
      <c r="M2163" s="37">
        <v>0.836</v>
      </c>
      <c r="N2163" s="37">
        <v>0.1</v>
      </c>
      <c r="O2163">
        <v>0.84</v>
      </c>
      <c r="P2163" s="37">
        <v>1.1036</v>
      </c>
      <c r="Q2163">
        <v>1.1</v>
      </c>
      <c r="R2163">
        <v>0</v>
      </c>
      <c r="S2163">
        <v>0</v>
      </c>
      <c r="T2163">
        <v>3000</v>
      </c>
      <c r="U2163" t="s">
        <v>5827</v>
      </c>
      <c r="V2163" t="s">
        <v>5759</v>
      </c>
      <c r="W2163" s="38">
        <v>1</v>
      </c>
      <c r="X2163" s="38">
        <v>1</v>
      </c>
      <c r="Y2163" t="s">
        <v>5807</v>
      </c>
      <c r="Z2163" s="37">
        <v>1</v>
      </c>
      <c r="AA2163" s="37">
        <v>0.5</v>
      </c>
      <c r="AB2163">
        <v>1</v>
      </c>
    </row>
    <row r="2164">
      <c r="A2164" t="s">
        <v>5828</v>
      </c>
      <c r="B2164" t="s">
        <v>5829</v>
      </c>
      <c r="C2164" t="s">
        <v>5829</v>
      </c>
      <c r="D2164" t="s">
        <v>5709</v>
      </c>
      <c r="E2164" t="s">
        <v>5830</v>
      </c>
      <c r="F2164" t="s">
        <v>298</v>
      </c>
      <c r="G2164" t="s">
        <v>5711</v>
      </c>
      <c r="H2164" t="s">
        <v>5722</v>
      </c>
      <c r="I2164" t="s">
        <v>5836</v>
      </c>
      <c r="K2164" t="s">
        <v>5837</v>
      </c>
      <c r="L2164" t="s">
        <v>5811</v>
      </c>
      <c r="M2164" s="37">
        <v>1</v>
      </c>
      <c r="N2164" s="37">
        <v>0.6</v>
      </c>
      <c r="O2164">
        <v>1.2</v>
      </c>
      <c r="P2164" s="37">
        <v>1.1036</v>
      </c>
      <c r="Q2164">
        <v>1.1</v>
      </c>
      <c r="R2164">
        <v>0</v>
      </c>
      <c r="S2164">
        <v>0</v>
      </c>
      <c r="T2164">
        <v>3000</v>
      </c>
      <c r="U2164" t="s">
        <v>5838</v>
      </c>
      <c r="V2164" t="s">
        <v>5759</v>
      </c>
      <c r="X2164">
        <v>100</v>
      </c>
      <c r="Y2164" t="s">
        <v>5807</v>
      </c>
      <c r="Z2164" s="37">
        <v>1</v>
      </c>
      <c r="AA2164" s="37">
        <v>0.5</v>
      </c>
      <c r="AB2164">
        <v>1</v>
      </c>
    </row>
    <row r="2165">
      <c r="A2165" t="s">
        <v>5828</v>
      </c>
      <c r="B2165" t="s">
        <v>5829</v>
      </c>
      <c r="C2165" t="s">
        <v>5829</v>
      </c>
      <c r="D2165" t="s">
        <v>5709</v>
      </c>
      <c r="E2165" t="s">
        <v>5830</v>
      </c>
      <c r="F2165" t="s">
        <v>298</v>
      </c>
      <c r="G2165" t="s">
        <v>5711</v>
      </c>
      <c r="H2165" t="s">
        <v>5722</v>
      </c>
      <c r="I2165" t="s">
        <v>5836</v>
      </c>
      <c r="K2165" t="s">
        <v>5837</v>
      </c>
      <c r="L2165" t="s">
        <v>5811</v>
      </c>
      <c r="M2165" s="37">
        <v>1</v>
      </c>
      <c r="N2165" s="37">
        <v>0.6</v>
      </c>
      <c r="O2165">
        <v>1.2</v>
      </c>
      <c r="P2165" s="37">
        <v>1.1036</v>
      </c>
      <c r="Q2165">
        <v>1.1</v>
      </c>
      <c r="R2165">
        <v>0</v>
      </c>
      <c r="S2165">
        <v>0</v>
      </c>
      <c r="T2165">
        <v>3000</v>
      </c>
      <c r="U2165" t="s">
        <v>5839</v>
      </c>
      <c r="X2165">
        <v>100</v>
      </c>
      <c r="Y2165" t="s">
        <v>5807</v>
      </c>
      <c r="Z2165" s="37">
        <v>1</v>
      </c>
      <c r="AA2165" s="37">
        <v>0.5</v>
      </c>
      <c r="AB2165">
        <v>1</v>
      </c>
    </row>
    <row r="2166">
      <c r="A2166" t="s">
        <v>5840</v>
      </c>
      <c r="B2166" t="s">
        <v>5841</v>
      </c>
      <c r="C2166" t="s">
        <v>5841</v>
      </c>
      <c r="D2166" t="s">
        <v>5709</v>
      </c>
      <c r="E2166" t="s">
        <v>5842</v>
      </c>
      <c r="F2166" t="s">
        <v>298</v>
      </c>
      <c r="G2166" t="s">
        <v>5711</v>
      </c>
      <c r="H2166" t="s">
        <v>5741</v>
      </c>
      <c r="I2166" t="s">
        <v>5843</v>
      </c>
      <c r="J2166">
        <v>1</v>
      </c>
      <c r="K2166">
        <v>1</v>
      </c>
      <c r="L2166" t="s">
        <v>5811</v>
      </c>
      <c r="M2166" s="37">
        <v>1</v>
      </c>
      <c r="N2166" s="37">
        <v>0.1</v>
      </c>
      <c r="O2166">
        <v>1.2</v>
      </c>
      <c r="P2166" s="37">
        <v>0.807</v>
      </c>
      <c r="Q2166">
        <v>0.55</v>
      </c>
      <c r="R2166">
        <v>0</v>
      </c>
      <c r="S2166">
        <v>0</v>
      </c>
      <c r="T2166">
        <v>3000</v>
      </c>
      <c r="U2166" t="s">
        <v>5839</v>
      </c>
      <c r="X2166">
        <v>100</v>
      </c>
      <c r="Y2166" t="s">
        <v>5807</v>
      </c>
      <c r="Z2166" s="37">
        <v>1</v>
      </c>
      <c r="AA2166" s="37">
        <v>0.5</v>
      </c>
      <c r="AB2166">
        <v>1</v>
      </c>
    </row>
    <row r="2167">
      <c r="A2167" t="s">
        <v>5840</v>
      </c>
      <c r="B2167" t="s">
        <v>5841</v>
      </c>
      <c r="C2167" t="s">
        <v>5841</v>
      </c>
      <c r="D2167" t="s">
        <v>5709</v>
      </c>
      <c r="E2167" t="s">
        <v>5842</v>
      </c>
      <c r="F2167" t="s">
        <v>298</v>
      </c>
      <c r="G2167" t="s">
        <v>5711</v>
      </c>
      <c r="H2167" t="s">
        <v>5722</v>
      </c>
      <c r="I2167" t="s">
        <v>5844</v>
      </c>
      <c r="K2167">
        <v>0.66</v>
      </c>
      <c r="L2167" t="s">
        <v>5811</v>
      </c>
      <c r="M2167" s="37">
        <v>0.66</v>
      </c>
      <c r="N2167" s="37">
        <v>0.5</v>
      </c>
      <c r="O2167">
        <v>0.528</v>
      </c>
      <c r="P2167" s="37">
        <v>0.807</v>
      </c>
      <c r="Q2167">
        <v>0.55</v>
      </c>
      <c r="R2167">
        <v>0</v>
      </c>
      <c r="S2167">
        <v>0</v>
      </c>
      <c r="T2167">
        <v>3000</v>
      </c>
      <c r="U2167" t="s">
        <v>5722</v>
      </c>
      <c r="X2167">
        <v>0.66</v>
      </c>
      <c r="Z2167" s="37">
        <v>0.66</v>
      </c>
      <c r="AA2167" s="37">
        <v>1</v>
      </c>
      <c r="AB2167">
        <v>0</v>
      </c>
    </row>
    <row r="2168">
      <c r="A2168" t="s">
        <v>5840</v>
      </c>
      <c r="B2168" t="s">
        <v>5841</v>
      </c>
      <c r="C2168" t="s">
        <v>5841</v>
      </c>
      <c r="D2168" t="s">
        <v>5709</v>
      </c>
      <c r="E2168" t="s">
        <v>5842</v>
      </c>
      <c r="F2168" t="s">
        <v>298</v>
      </c>
      <c r="G2168" t="s">
        <v>5711</v>
      </c>
      <c r="H2168" t="s">
        <v>5712</v>
      </c>
      <c r="I2168" t="s">
        <v>1468</v>
      </c>
      <c r="K2168">
        <v>1</v>
      </c>
      <c r="L2168" t="s">
        <v>5811</v>
      </c>
      <c r="M2168" s="37">
        <v>1</v>
      </c>
      <c r="N2168" s="37">
        <v>0.3</v>
      </c>
      <c r="O2168">
        <v>1</v>
      </c>
      <c r="P2168" s="37">
        <v>0.807</v>
      </c>
      <c r="Q2168">
        <v>0.55</v>
      </c>
      <c r="R2168">
        <v>0</v>
      </c>
      <c r="S2168">
        <v>0</v>
      </c>
      <c r="T2168">
        <v>3000</v>
      </c>
      <c r="U2168" t="s">
        <v>5715</v>
      </c>
      <c r="V2168" t="s">
        <v>5716</v>
      </c>
      <c r="W2168">
        <v>1</v>
      </c>
      <c r="X2168">
        <v>1</v>
      </c>
      <c r="Z2168" s="37">
        <v>1</v>
      </c>
      <c r="AA2168" s="37">
        <v>0.6</v>
      </c>
      <c r="AB2168">
        <v>0</v>
      </c>
    </row>
    <row r="2169">
      <c r="A2169" t="s">
        <v>5840</v>
      </c>
      <c r="B2169" t="s">
        <v>5841</v>
      </c>
      <c r="C2169" t="s">
        <v>5841</v>
      </c>
      <c r="D2169" t="s">
        <v>5709</v>
      </c>
      <c r="E2169" t="s">
        <v>5842</v>
      </c>
      <c r="F2169" t="s">
        <v>298</v>
      </c>
      <c r="G2169" t="s">
        <v>5711</v>
      </c>
      <c r="H2169" t="s">
        <v>5712</v>
      </c>
      <c r="I2169" t="s">
        <v>1468</v>
      </c>
      <c r="K2169">
        <v>1</v>
      </c>
      <c r="L2169" t="s">
        <v>5811</v>
      </c>
      <c r="M2169" s="37">
        <v>1</v>
      </c>
      <c r="N2169" s="37">
        <v>0.3</v>
      </c>
      <c r="O2169">
        <v>1</v>
      </c>
      <c r="P2169" s="37">
        <v>0.807</v>
      </c>
      <c r="Q2169">
        <v>0.55</v>
      </c>
      <c r="R2169">
        <v>0</v>
      </c>
      <c r="S2169">
        <v>0</v>
      </c>
      <c r="T2169">
        <v>3000</v>
      </c>
      <c r="U2169" t="s">
        <v>5717</v>
      </c>
      <c r="V2169" t="s">
        <v>5718</v>
      </c>
      <c r="W2169">
        <v>1</v>
      </c>
      <c r="X2169">
        <v>1</v>
      </c>
      <c r="Z2169" s="37">
        <v>1</v>
      </c>
      <c r="AA2169" s="37">
        <v>0.4</v>
      </c>
      <c r="AB2169">
        <v>0</v>
      </c>
    </row>
    <row r="2170">
      <c r="A2170" t="s">
        <v>5840</v>
      </c>
      <c r="B2170" t="s">
        <v>5841</v>
      </c>
      <c r="C2170" t="s">
        <v>5841</v>
      </c>
      <c r="D2170" t="s">
        <v>5709</v>
      </c>
      <c r="E2170" t="s">
        <v>5842</v>
      </c>
      <c r="F2170" t="s">
        <v>298</v>
      </c>
      <c r="G2170" t="s">
        <v>5711</v>
      </c>
      <c r="H2170" t="s">
        <v>5719</v>
      </c>
      <c r="I2170" t="s">
        <v>5845</v>
      </c>
      <c r="J2170">
        <v>1</v>
      </c>
      <c r="K2170">
        <v>0.77</v>
      </c>
      <c r="L2170" t="s">
        <v>5811</v>
      </c>
      <c r="M2170" s="37">
        <v>0.77</v>
      </c>
      <c r="N2170" s="37">
        <v>0.1</v>
      </c>
      <c r="O2170">
        <v>0.616</v>
      </c>
      <c r="P2170" s="37">
        <v>0.807</v>
      </c>
      <c r="Q2170">
        <v>0.55</v>
      </c>
      <c r="R2170">
        <v>0</v>
      </c>
      <c r="S2170">
        <v>0</v>
      </c>
      <c r="T2170">
        <v>3000</v>
      </c>
      <c r="U2170" t="s">
        <v>5717</v>
      </c>
      <c r="V2170" t="s">
        <v>5718</v>
      </c>
      <c r="W2170">
        <v>1</v>
      </c>
      <c r="X2170">
        <v>1</v>
      </c>
      <c r="Z2170" s="37">
        <v>1</v>
      </c>
      <c r="AA2170" s="37">
        <v>0.4</v>
      </c>
      <c r="AB2170">
        <v>0</v>
      </c>
    </row>
    <row r="2171">
      <c r="A2171" t="s">
        <v>5846</v>
      </c>
      <c r="B2171" t="s">
        <v>2966</v>
      </c>
      <c r="C2171" t="s">
        <v>2966</v>
      </c>
      <c r="D2171" t="s">
        <v>5847</v>
      </c>
      <c r="E2171" t="s">
        <v>5848</v>
      </c>
      <c r="F2171" t="s">
        <v>298</v>
      </c>
      <c r="G2171" t="s">
        <v>5849</v>
      </c>
      <c r="H2171" t="s">
        <v>1822</v>
      </c>
      <c r="I2171" t="s">
        <v>5850</v>
      </c>
      <c r="L2171" t="s">
        <v>5811</v>
      </c>
      <c r="M2171" s="37">
        <v>0.9</v>
      </c>
      <c r="N2171" s="37">
        <v>0.1</v>
      </c>
      <c r="O2171">
        <v>0.9</v>
      </c>
      <c r="P2171" s="37">
        <v>0.908</v>
      </c>
      <c r="Q2171">
        <v>0.91</v>
      </c>
      <c r="R2171">
        <v>1911</v>
      </c>
      <c r="S2171">
        <v>1911</v>
      </c>
      <c r="T2171">
        <v>3000</v>
      </c>
      <c r="U2171" t="s">
        <v>5717</v>
      </c>
      <c r="V2171" t="s">
        <v>5718</v>
      </c>
      <c r="W2171">
        <v>1</v>
      </c>
      <c r="X2171">
        <v>1</v>
      </c>
      <c r="Z2171" s="37">
        <v>1</v>
      </c>
      <c r="AA2171" s="37">
        <v>0.4</v>
      </c>
      <c r="AB2171">
        <v>0</v>
      </c>
    </row>
    <row r="2172">
      <c r="A2172" t="s">
        <v>5846</v>
      </c>
      <c r="B2172" t="s">
        <v>2966</v>
      </c>
      <c r="C2172" t="s">
        <v>2966</v>
      </c>
      <c r="D2172" t="s">
        <v>5847</v>
      </c>
      <c r="E2172" t="s">
        <v>5848</v>
      </c>
      <c r="F2172" t="s">
        <v>298</v>
      </c>
      <c r="G2172" t="s">
        <v>5849</v>
      </c>
      <c r="H2172" t="s">
        <v>5851</v>
      </c>
      <c r="I2172" t="s">
        <v>5852</v>
      </c>
      <c r="L2172" t="s">
        <v>5811</v>
      </c>
      <c r="M2172" s="37">
        <v>0.82</v>
      </c>
      <c r="N2172" s="37">
        <v>0.5</v>
      </c>
      <c r="O2172">
        <v>0.41</v>
      </c>
      <c r="P2172" s="37">
        <v>0.908</v>
      </c>
      <c r="Q2172">
        <v>0.91</v>
      </c>
      <c r="R2172">
        <v>1911</v>
      </c>
      <c r="S2172">
        <v>1911</v>
      </c>
      <c r="T2172">
        <v>3000</v>
      </c>
      <c r="U2172" t="s">
        <v>5717</v>
      </c>
      <c r="V2172" t="s">
        <v>5718</v>
      </c>
      <c r="W2172">
        <v>1</v>
      </c>
      <c r="X2172">
        <v>1</v>
      </c>
      <c r="Z2172" s="37">
        <v>1</v>
      </c>
      <c r="AA2172" s="37">
        <v>0.4</v>
      </c>
      <c r="AB2172">
        <v>0</v>
      </c>
    </row>
    <row r="2173">
      <c r="A2173" t="s">
        <v>5846</v>
      </c>
      <c r="B2173" t="s">
        <v>2966</v>
      </c>
      <c r="C2173" t="s">
        <v>2966</v>
      </c>
      <c r="D2173" t="s">
        <v>5847</v>
      </c>
      <c r="E2173" t="s">
        <v>5848</v>
      </c>
      <c r="F2173" t="s">
        <v>298</v>
      </c>
      <c r="G2173" t="s">
        <v>5849</v>
      </c>
      <c r="H2173" t="s">
        <v>5853</v>
      </c>
      <c r="I2173" t="s">
        <v>5854</v>
      </c>
      <c r="L2173" t="s">
        <v>5811</v>
      </c>
      <c r="M2173" s="37">
        <v>1.02</v>
      </c>
      <c r="N2173" s="37">
        <v>0.4</v>
      </c>
      <c r="O2173">
        <v>0.41</v>
      </c>
      <c r="P2173" s="37">
        <v>0.908</v>
      </c>
      <c r="Q2173">
        <v>0.91</v>
      </c>
      <c r="R2173">
        <v>1911</v>
      </c>
      <c r="S2173">
        <v>1911</v>
      </c>
      <c r="T2173">
        <v>3000</v>
      </c>
      <c r="U2173" t="s">
        <v>5717</v>
      </c>
      <c r="V2173" t="s">
        <v>5718</v>
      </c>
      <c r="W2173">
        <v>1</v>
      </c>
      <c r="X2173">
        <v>1</v>
      </c>
      <c r="Z2173" s="37">
        <v>1</v>
      </c>
      <c r="AA2173" s="37">
        <v>0.4</v>
      </c>
      <c r="AB2173">
        <v>0</v>
      </c>
    </row>
    <row r="2174">
      <c r="A2174" t="s">
        <v>5855</v>
      </c>
      <c r="B2174" t="s">
        <v>2966</v>
      </c>
      <c r="C2174" t="s">
        <v>2966</v>
      </c>
      <c r="D2174" t="s">
        <v>5847</v>
      </c>
      <c r="E2174" t="s">
        <v>5856</v>
      </c>
      <c r="F2174" t="s">
        <v>298</v>
      </c>
      <c r="G2174" t="s">
        <v>5849</v>
      </c>
      <c r="H2174" t="s">
        <v>1822</v>
      </c>
      <c r="I2174" t="s">
        <v>5850</v>
      </c>
      <c r="L2174" t="s">
        <v>5811</v>
      </c>
      <c r="M2174" s="37">
        <v>0.9</v>
      </c>
      <c r="N2174" s="37">
        <v>0.1</v>
      </c>
      <c r="O2174">
        <v>0.9</v>
      </c>
      <c r="P2174" s="37">
        <v>0.8721</v>
      </c>
      <c r="Q2174">
        <v>0.88</v>
      </c>
      <c r="R2174">
        <v>2450</v>
      </c>
      <c r="S2174">
        <v>2450</v>
      </c>
      <c r="T2174">
        <v>4000</v>
      </c>
      <c r="U2174" t="s">
        <v>5717</v>
      </c>
      <c r="V2174" t="s">
        <v>5718</v>
      </c>
      <c r="W2174">
        <v>1</v>
      </c>
      <c r="X2174">
        <v>1</v>
      </c>
      <c r="Z2174" s="37">
        <v>1</v>
      </c>
      <c r="AA2174" s="37">
        <v>0.4</v>
      </c>
      <c r="AB2174">
        <v>0</v>
      </c>
    </row>
    <row r="2175">
      <c r="A2175" t="s">
        <v>5855</v>
      </c>
      <c r="B2175" t="s">
        <v>2966</v>
      </c>
      <c r="C2175" t="s">
        <v>2966</v>
      </c>
      <c r="D2175" t="s">
        <v>5847</v>
      </c>
      <c r="E2175" t="s">
        <v>5856</v>
      </c>
      <c r="F2175" t="s">
        <v>298</v>
      </c>
      <c r="G2175" t="s">
        <v>5849</v>
      </c>
      <c r="H2175" t="s">
        <v>5853</v>
      </c>
      <c r="I2175" t="s">
        <v>5857</v>
      </c>
      <c r="L2175" t="s">
        <v>5811</v>
      </c>
      <c r="M2175" s="37">
        <v>0.888</v>
      </c>
      <c r="N2175" s="37">
        <v>0.45</v>
      </c>
      <c r="O2175">
        <v>0.4</v>
      </c>
      <c r="P2175" s="37">
        <v>0.8721</v>
      </c>
      <c r="Q2175">
        <v>0.88</v>
      </c>
      <c r="R2175">
        <v>2450</v>
      </c>
      <c r="S2175">
        <v>2450</v>
      </c>
      <c r="T2175">
        <v>4000</v>
      </c>
      <c r="U2175" t="s">
        <v>5717</v>
      </c>
      <c r="V2175" t="s">
        <v>5718</v>
      </c>
      <c r="W2175">
        <v>1</v>
      </c>
      <c r="X2175">
        <v>1</v>
      </c>
      <c r="Z2175" s="37">
        <v>1</v>
      </c>
      <c r="AA2175" s="37">
        <v>0.4</v>
      </c>
      <c r="AB2175">
        <v>0</v>
      </c>
    </row>
    <row r="2176">
      <c r="A2176" t="s">
        <v>5855</v>
      </c>
      <c r="B2176" t="s">
        <v>2966</v>
      </c>
      <c r="C2176" t="s">
        <v>2966</v>
      </c>
      <c r="D2176" t="s">
        <v>5847</v>
      </c>
      <c r="E2176" t="s">
        <v>5856</v>
      </c>
      <c r="F2176" t="s">
        <v>298</v>
      </c>
      <c r="G2176" t="s">
        <v>5849</v>
      </c>
      <c r="H2176" t="s">
        <v>5851</v>
      </c>
      <c r="I2176" t="s">
        <v>5858</v>
      </c>
      <c r="L2176" t="s">
        <v>5811</v>
      </c>
      <c r="M2176" s="37">
        <v>0.85</v>
      </c>
      <c r="N2176" s="37">
        <v>0.45</v>
      </c>
      <c r="O2176">
        <v>0.385</v>
      </c>
      <c r="P2176" s="37">
        <v>0.8721</v>
      </c>
      <c r="Q2176">
        <v>0.88</v>
      </c>
      <c r="R2176">
        <v>2450</v>
      </c>
      <c r="S2176">
        <v>2450</v>
      </c>
      <c r="T2176">
        <v>4000</v>
      </c>
      <c r="U2176" t="s">
        <v>5717</v>
      </c>
      <c r="V2176" t="s">
        <v>5718</v>
      </c>
      <c r="W2176">
        <v>1</v>
      </c>
      <c r="X2176">
        <v>1</v>
      </c>
      <c r="Z2176" s="37">
        <v>1</v>
      </c>
      <c r="AA2176" s="37">
        <v>0.4</v>
      </c>
      <c r="AB2176">
        <v>0</v>
      </c>
    </row>
    <row r="2177">
      <c r="A2177" t="s">
        <v>5859</v>
      </c>
      <c r="B2177" t="s">
        <v>2966</v>
      </c>
      <c r="C2177" t="s">
        <v>2966</v>
      </c>
      <c r="D2177" t="s">
        <v>485</v>
      </c>
      <c r="E2177" t="s">
        <v>5860</v>
      </c>
      <c r="F2177" t="s">
        <v>298</v>
      </c>
      <c r="G2177" t="s">
        <v>5849</v>
      </c>
      <c r="H2177" t="s">
        <v>1822</v>
      </c>
      <c r="I2177" t="s">
        <v>1822</v>
      </c>
      <c r="L2177" t="s">
        <v>5811</v>
      </c>
      <c r="M2177" s="37">
        <v>0.9</v>
      </c>
      <c r="N2177" s="37">
        <v>0.1</v>
      </c>
      <c r="O2177">
        <v>0.09</v>
      </c>
      <c r="P2177" s="37">
        <v>0.958</v>
      </c>
      <c r="Q2177">
        <v>1.01</v>
      </c>
      <c r="R2177">
        <v>1960</v>
      </c>
      <c r="S2177">
        <v>1960</v>
      </c>
      <c r="T2177">
        <v>2800</v>
      </c>
      <c r="U2177" t="s">
        <v>5717</v>
      </c>
      <c r="V2177" t="s">
        <v>5718</v>
      </c>
      <c r="W2177">
        <v>1</v>
      </c>
      <c r="X2177">
        <v>1</v>
      </c>
      <c r="Z2177" s="37">
        <v>1</v>
      </c>
      <c r="AA2177" s="37">
        <v>0.4</v>
      </c>
      <c r="AB2177">
        <v>0</v>
      </c>
    </row>
    <row r="2178">
      <c r="A2178" t="s">
        <v>5859</v>
      </c>
      <c r="B2178" t="s">
        <v>2966</v>
      </c>
      <c r="C2178" t="s">
        <v>2966</v>
      </c>
      <c r="D2178" t="s">
        <v>485</v>
      </c>
      <c r="E2178" t="s">
        <v>5860</v>
      </c>
      <c r="F2178" t="s">
        <v>298</v>
      </c>
      <c r="G2178" t="s">
        <v>5849</v>
      </c>
      <c r="H2178" t="s">
        <v>5851</v>
      </c>
      <c r="I2178" t="s">
        <v>5861</v>
      </c>
      <c r="L2178" t="s">
        <v>5811</v>
      </c>
      <c r="M2178" s="37">
        <v>0.84</v>
      </c>
      <c r="N2178" s="37">
        <v>0.5</v>
      </c>
      <c r="O2178">
        <v>0.42</v>
      </c>
      <c r="P2178" s="37">
        <v>0.958</v>
      </c>
      <c r="Q2178">
        <v>1.01</v>
      </c>
      <c r="R2178">
        <v>1960</v>
      </c>
      <c r="S2178">
        <v>1960</v>
      </c>
      <c r="T2178">
        <v>2800</v>
      </c>
      <c r="U2178" t="s">
        <v>5717</v>
      </c>
      <c r="V2178" t="s">
        <v>5718</v>
      </c>
      <c r="W2178">
        <v>1</v>
      </c>
      <c r="X2178">
        <v>1</v>
      </c>
      <c r="Z2178" s="37">
        <v>1</v>
      </c>
      <c r="AA2178" s="37">
        <v>0.4</v>
      </c>
      <c r="AB2178">
        <v>0</v>
      </c>
    </row>
    <row r="2179">
      <c r="A2179" t="s">
        <v>5859</v>
      </c>
      <c r="B2179" t="s">
        <v>2966</v>
      </c>
      <c r="C2179" t="s">
        <v>2966</v>
      </c>
      <c r="D2179" t="s">
        <v>485</v>
      </c>
      <c r="E2179" t="s">
        <v>5860</v>
      </c>
      <c r="F2179" t="s">
        <v>298</v>
      </c>
      <c r="G2179" t="s">
        <v>5849</v>
      </c>
      <c r="H2179" t="s">
        <v>1822</v>
      </c>
      <c r="I2179" t="s">
        <v>5862</v>
      </c>
      <c r="L2179" t="s">
        <v>5811</v>
      </c>
      <c r="M2179" s="37">
        <v>1.12</v>
      </c>
      <c r="N2179" s="37">
        <v>0.4</v>
      </c>
      <c r="O2179">
        <v>0.45</v>
      </c>
      <c r="P2179" s="37">
        <v>0.958</v>
      </c>
      <c r="Q2179">
        <v>1.01</v>
      </c>
      <c r="R2179">
        <v>1960</v>
      </c>
      <c r="S2179">
        <v>1960</v>
      </c>
      <c r="T2179">
        <v>2800</v>
      </c>
      <c r="U2179" t="s">
        <v>5717</v>
      </c>
      <c r="V2179" t="s">
        <v>5718</v>
      </c>
      <c r="W2179">
        <v>1</v>
      </c>
      <c r="X2179">
        <v>1</v>
      </c>
      <c r="Z2179" s="37">
        <v>1</v>
      </c>
      <c r="AA2179" s="37">
        <v>0.4</v>
      </c>
      <c r="AB2179">
        <v>0</v>
      </c>
    </row>
    <row r="2180">
      <c r="A2180" t="s">
        <v>5863</v>
      </c>
      <c r="B2180" t="s">
        <v>2966</v>
      </c>
      <c r="C2180" t="s">
        <v>2966</v>
      </c>
      <c r="D2180" t="s">
        <v>485</v>
      </c>
      <c r="E2180" t="s">
        <v>5864</v>
      </c>
      <c r="F2180" t="s">
        <v>298</v>
      </c>
      <c r="G2180" t="s">
        <v>5849</v>
      </c>
      <c r="H2180" t="s">
        <v>1822</v>
      </c>
      <c r="I2180" t="s">
        <v>5850</v>
      </c>
      <c r="L2180" t="s">
        <v>5811</v>
      </c>
      <c r="M2180" s="37">
        <v>0.85</v>
      </c>
      <c r="N2180" s="37">
        <v>0.1</v>
      </c>
      <c r="O2180">
        <v>0.85</v>
      </c>
      <c r="P2180" s="37">
        <v>1.001</v>
      </c>
      <c r="Q2180">
        <v>0.92</v>
      </c>
      <c r="R2180">
        <v>1797</v>
      </c>
      <c r="S2180">
        <v>1797</v>
      </c>
      <c r="T2180">
        <v>2800</v>
      </c>
      <c r="U2180" t="s">
        <v>5717</v>
      </c>
      <c r="V2180" t="s">
        <v>5718</v>
      </c>
      <c r="W2180">
        <v>1</v>
      </c>
      <c r="X2180">
        <v>1</v>
      </c>
      <c r="Z2180" s="37">
        <v>1</v>
      </c>
      <c r="AA2180" s="37">
        <v>0.4</v>
      </c>
      <c r="AB2180">
        <v>0</v>
      </c>
    </row>
    <row r="2181">
      <c r="A2181" t="s">
        <v>5863</v>
      </c>
      <c r="B2181" t="s">
        <v>2966</v>
      </c>
      <c r="C2181" t="s">
        <v>2966</v>
      </c>
      <c r="D2181" t="s">
        <v>485</v>
      </c>
      <c r="E2181" t="s">
        <v>5864</v>
      </c>
      <c r="F2181" t="s">
        <v>298</v>
      </c>
      <c r="G2181" t="s">
        <v>5849</v>
      </c>
      <c r="H2181" t="s">
        <v>5851</v>
      </c>
      <c r="I2181" t="s">
        <v>5865</v>
      </c>
      <c r="L2181" t="s">
        <v>5866</v>
      </c>
      <c r="M2181" s="37">
        <v>1</v>
      </c>
      <c r="N2181" s="37">
        <v>0.5</v>
      </c>
      <c r="O2181">
        <v>0.416</v>
      </c>
      <c r="P2181" s="37">
        <v>1.001</v>
      </c>
      <c r="Q2181">
        <v>0.92</v>
      </c>
      <c r="R2181">
        <v>1797</v>
      </c>
      <c r="S2181">
        <v>1797</v>
      </c>
      <c r="T2181">
        <v>2800</v>
      </c>
      <c r="U2181" t="s">
        <v>5717</v>
      </c>
      <c r="V2181" t="s">
        <v>5718</v>
      </c>
      <c r="W2181">
        <v>1</v>
      </c>
      <c r="X2181">
        <v>1</v>
      </c>
      <c r="Z2181" s="37">
        <v>1</v>
      </c>
      <c r="AA2181" s="37">
        <v>0.4</v>
      </c>
      <c r="AB2181">
        <v>0</v>
      </c>
    </row>
    <row r="2182">
      <c r="A2182" t="s">
        <v>5863</v>
      </c>
      <c r="B2182" t="s">
        <v>2966</v>
      </c>
      <c r="C2182" t="s">
        <v>2966</v>
      </c>
      <c r="D2182" t="s">
        <v>485</v>
      </c>
      <c r="E2182" t="s">
        <v>5864</v>
      </c>
      <c r="F2182" t="s">
        <v>298</v>
      </c>
      <c r="G2182" t="s">
        <v>5849</v>
      </c>
      <c r="H2182" t="s">
        <v>5853</v>
      </c>
      <c r="I2182" t="s">
        <v>5867</v>
      </c>
      <c r="L2182" t="s">
        <v>455</v>
      </c>
      <c r="M2182" s="37">
        <v>1.04</v>
      </c>
      <c r="N2182" s="37">
        <v>0.4</v>
      </c>
      <c r="O2182">
        <v>0.416</v>
      </c>
      <c r="P2182" s="37">
        <v>1.001</v>
      </c>
      <c r="Q2182">
        <v>0.92</v>
      </c>
      <c r="R2182">
        <v>1797</v>
      </c>
      <c r="S2182">
        <v>1797</v>
      </c>
      <c r="T2182">
        <v>2800</v>
      </c>
      <c r="U2182" t="s">
        <v>5717</v>
      </c>
      <c r="V2182" t="s">
        <v>5718</v>
      </c>
      <c r="W2182">
        <v>1</v>
      </c>
      <c r="X2182">
        <v>1</v>
      </c>
      <c r="Z2182" s="37">
        <v>1</v>
      </c>
      <c r="AA2182" s="37">
        <v>0.4</v>
      </c>
      <c r="AB2182">
        <v>0</v>
      </c>
    </row>
    <row r="2183">
      <c r="A2183" t="s">
        <v>5868</v>
      </c>
      <c r="B2183" t="s">
        <v>2966</v>
      </c>
      <c r="C2183" t="s">
        <v>2966</v>
      </c>
      <c r="D2183" t="s">
        <v>485</v>
      </c>
      <c r="E2183" t="s">
        <v>5869</v>
      </c>
      <c r="F2183" t="s">
        <v>298</v>
      </c>
      <c r="G2183" t="s">
        <v>5849</v>
      </c>
      <c r="H2183" t="s">
        <v>1822</v>
      </c>
      <c r="I2183" t="s">
        <v>1822</v>
      </c>
      <c r="L2183" t="s">
        <v>455</v>
      </c>
      <c r="M2183" s="37">
        <v>0.95</v>
      </c>
      <c r="N2183" s="37">
        <v>0.1</v>
      </c>
      <c r="O2183">
        <v>0.095</v>
      </c>
      <c r="P2183" s="37">
        <v>0.96485</v>
      </c>
      <c r="Q2183">
        <v>0.97</v>
      </c>
      <c r="R2183">
        <v>1891.4</v>
      </c>
      <c r="S2183">
        <v>1891.4</v>
      </c>
      <c r="T2183">
        <v>2800</v>
      </c>
      <c r="U2183" t="s">
        <v>5717</v>
      </c>
      <c r="V2183" t="s">
        <v>5718</v>
      </c>
      <c r="W2183">
        <v>1</v>
      </c>
      <c r="X2183">
        <v>1</v>
      </c>
      <c r="Z2183" s="37">
        <v>1</v>
      </c>
      <c r="AA2183" s="37">
        <v>0.4</v>
      </c>
      <c r="AB2183">
        <v>0</v>
      </c>
    </row>
    <row r="2184">
      <c r="A2184" t="s">
        <v>5868</v>
      </c>
      <c r="B2184" t="s">
        <v>2966</v>
      </c>
      <c r="C2184" t="s">
        <v>2966</v>
      </c>
      <c r="D2184" t="s">
        <v>485</v>
      </c>
      <c r="E2184" t="s">
        <v>5869</v>
      </c>
      <c r="F2184" t="s">
        <v>298</v>
      </c>
      <c r="G2184" t="s">
        <v>5849</v>
      </c>
      <c r="H2184" t="s">
        <v>5870</v>
      </c>
      <c r="I2184" t="s">
        <v>5871</v>
      </c>
      <c r="L2184" t="s">
        <v>455</v>
      </c>
      <c r="M2184" s="37">
        <v>0.933</v>
      </c>
      <c r="N2184" s="37">
        <v>0.45</v>
      </c>
      <c r="O2184">
        <v>0.42</v>
      </c>
      <c r="P2184" s="37">
        <v>0.96485</v>
      </c>
      <c r="Q2184">
        <v>0.97</v>
      </c>
      <c r="R2184">
        <v>1891.4</v>
      </c>
      <c r="S2184">
        <v>1891.4</v>
      </c>
      <c r="T2184">
        <v>2800</v>
      </c>
      <c r="U2184" t="s">
        <v>5717</v>
      </c>
      <c r="V2184" t="s">
        <v>5718</v>
      </c>
      <c r="W2184">
        <v>1</v>
      </c>
      <c r="X2184">
        <v>1</v>
      </c>
      <c r="Z2184" s="37">
        <v>1</v>
      </c>
      <c r="AA2184" s="37">
        <v>0.4</v>
      </c>
      <c r="AB2184">
        <v>0</v>
      </c>
    </row>
    <row r="2185">
      <c r="A2185" t="s">
        <v>5868</v>
      </c>
      <c r="B2185" t="s">
        <v>2966</v>
      </c>
      <c r="C2185" t="s">
        <v>2966</v>
      </c>
      <c r="D2185" t="s">
        <v>485</v>
      </c>
      <c r="E2185" t="s">
        <v>5869</v>
      </c>
      <c r="F2185" t="s">
        <v>298</v>
      </c>
      <c r="G2185" t="s">
        <v>5849</v>
      </c>
      <c r="H2185" t="s">
        <v>5853</v>
      </c>
      <c r="I2185" t="s">
        <v>5872</v>
      </c>
      <c r="L2185" t="s">
        <v>455</v>
      </c>
      <c r="M2185" s="37">
        <v>1</v>
      </c>
      <c r="N2185" s="37">
        <v>0.45</v>
      </c>
      <c r="O2185">
        <v>0.45</v>
      </c>
      <c r="P2185" s="37">
        <v>0.96485</v>
      </c>
      <c r="Q2185">
        <v>0.97</v>
      </c>
      <c r="R2185">
        <v>1891.4</v>
      </c>
      <c r="S2185">
        <v>1891.4</v>
      </c>
      <c r="T2185">
        <v>2800</v>
      </c>
      <c r="U2185" t="s">
        <v>5717</v>
      </c>
      <c r="V2185" t="s">
        <v>5718</v>
      </c>
      <c r="W2185">
        <v>1</v>
      </c>
      <c r="X2185">
        <v>1</v>
      </c>
      <c r="Z2185" s="37">
        <v>1</v>
      </c>
      <c r="AA2185" s="37">
        <v>0.4</v>
      </c>
      <c r="AB2185">
        <v>0</v>
      </c>
    </row>
    <row r="2186">
      <c r="A2186" t="s">
        <v>5873</v>
      </c>
      <c r="B2186" t="s">
        <v>2966</v>
      </c>
      <c r="C2186" t="s">
        <v>2966</v>
      </c>
      <c r="D2186" t="s">
        <v>359</v>
      </c>
      <c r="E2186" t="s">
        <v>5874</v>
      </c>
      <c r="F2186" t="s">
        <v>298</v>
      </c>
      <c r="G2186" t="s">
        <v>5849</v>
      </c>
      <c r="H2186" t="s">
        <v>1822</v>
      </c>
      <c r="I2186" t="s">
        <v>1822</v>
      </c>
      <c r="L2186" t="s">
        <v>455</v>
      </c>
      <c r="M2186" s="37">
        <v>0.85</v>
      </c>
      <c r="N2186" s="37">
        <v>0.1</v>
      </c>
      <c r="O2186">
        <v>0.85</v>
      </c>
      <c r="P2186" s="37">
        <v>0.7897</v>
      </c>
      <c r="Q2186">
        <v>0.79</v>
      </c>
      <c r="R2186">
        <v>0</v>
      </c>
      <c r="S2186">
        <v>0</v>
      </c>
      <c r="T2186">
        <v>5000</v>
      </c>
      <c r="U2186" t="s">
        <v>5717</v>
      </c>
      <c r="V2186" t="s">
        <v>5718</v>
      </c>
      <c r="W2186">
        <v>1</v>
      </c>
      <c r="X2186">
        <v>1</v>
      </c>
      <c r="Z2186" s="37">
        <v>1</v>
      </c>
      <c r="AA2186" s="37">
        <v>0.4</v>
      </c>
      <c r="AB2186">
        <v>0</v>
      </c>
    </row>
    <row r="2187">
      <c r="A2187" t="s">
        <v>5873</v>
      </c>
      <c r="B2187" t="s">
        <v>2966</v>
      </c>
      <c r="C2187" t="s">
        <v>2966</v>
      </c>
      <c r="D2187" t="s">
        <v>359</v>
      </c>
      <c r="E2187" t="s">
        <v>5874</v>
      </c>
      <c r="F2187" t="s">
        <v>298</v>
      </c>
      <c r="G2187" t="s">
        <v>5849</v>
      </c>
      <c r="H2187" t="s">
        <v>5851</v>
      </c>
      <c r="I2187" t="s">
        <v>5875</v>
      </c>
      <c r="L2187" t="s">
        <v>455</v>
      </c>
      <c r="M2187" s="37">
        <v>0.7</v>
      </c>
      <c r="N2187" s="37">
        <v>0.45</v>
      </c>
      <c r="O2187">
        <v>0.315</v>
      </c>
      <c r="P2187" s="37">
        <v>0.7897</v>
      </c>
      <c r="Q2187">
        <v>0.79</v>
      </c>
      <c r="R2187">
        <v>0</v>
      </c>
      <c r="S2187">
        <v>0</v>
      </c>
      <c r="T2187">
        <v>5000</v>
      </c>
      <c r="U2187" t="s">
        <v>5717</v>
      </c>
      <c r="V2187" t="s">
        <v>5718</v>
      </c>
      <c r="W2187">
        <v>1</v>
      </c>
      <c r="X2187">
        <v>1</v>
      </c>
      <c r="Z2187" s="37">
        <v>1</v>
      </c>
      <c r="AA2187" s="37">
        <v>0.4</v>
      </c>
      <c r="AB2187">
        <v>0</v>
      </c>
    </row>
    <row r="2188">
      <c r="A2188" t="s">
        <v>5873</v>
      </c>
      <c r="B2188" t="s">
        <v>2966</v>
      </c>
      <c r="C2188" t="s">
        <v>2966</v>
      </c>
      <c r="D2188" t="s">
        <v>359</v>
      </c>
      <c r="E2188" t="s">
        <v>5874</v>
      </c>
      <c r="F2188" t="s">
        <v>298</v>
      </c>
      <c r="G2188" t="s">
        <v>5849</v>
      </c>
      <c r="H2188" t="s">
        <v>5851</v>
      </c>
      <c r="I2188" t="s">
        <v>5876</v>
      </c>
      <c r="L2188" t="s">
        <v>455</v>
      </c>
      <c r="M2188" s="37">
        <v>0.866</v>
      </c>
      <c r="N2188" s="37">
        <v>0.45</v>
      </c>
      <c r="O2188">
        <v>0.39</v>
      </c>
      <c r="P2188" s="37">
        <v>0.7897</v>
      </c>
      <c r="Q2188">
        <v>0.79</v>
      </c>
      <c r="R2188">
        <v>0</v>
      </c>
      <c r="S2188">
        <v>0</v>
      </c>
      <c r="T2188">
        <v>5000</v>
      </c>
      <c r="U2188" t="s">
        <v>5717</v>
      </c>
      <c r="V2188" t="s">
        <v>5718</v>
      </c>
      <c r="W2188">
        <v>1</v>
      </c>
      <c r="X2188">
        <v>1</v>
      </c>
      <c r="Z2188" s="37">
        <v>1</v>
      </c>
      <c r="AA2188" s="37">
        <v>0.4</v>
      </c>
      <c r="AB2188">
        <v>0</v>
      </c>
    </row>
    <row r="2189">
      <c r="A2189" t="s">
        <v>5877</v>
      </c>
      <c r="B2189" t="s">
        <v>5231</v>
      </c>
      <c r="C2189" t="s">
        <v>5231</v>
      </c>
      <c r="D2189" t="s">
        <v>359</v>
      </c>
      <c r="E2189" t="s">
        <v>5878</v>
      </c>
      <c r="F2189" t="s">
        <v>298</v>
      </c>
      <c r="G2189" t="s">
        <v>5233</v>
      </c>
      <c r="H2189" t="s">
        <v>5234</v>
      </c>
      <c r="I2189" t="s">
        <v>5879</v>
      </c>
      <c r="J2189" s="38">
        <v>1</v>
      </c>
      <c r="K2189" s="38">
        <v>0.88</v>
      </c>
      <c r="L2189" t="s">
        <v>455</v>
      </c>
      <c r="M2189" s="37">
        <v>0.88</v>
      </c>
      <c r="N2189" s="37">
        <v>1</v>
      </c>
      <c r="O2189">
        <v>0.88</v>
      </c>
      <c r="P2189" s="37">
        <v>0.88</v>
      </c>
      <c r="Q2189">
        <v>0.88</v>
      </c>
      <c r="R2189">
        <v>4397</v>
      </c>
      <c r="S2189">
        <v>4397</v>
      </c>
      <c r="T2189">
        <v>5000</v>
      </c>
      <c r="U2189" t="s">
        <v>5717</v>
      </c>
      <c r="V2189" t="s">
        <v>5718</v>
      </c>
      <c r="W2189">
        <v>1</v>
      </c>
      <c r="X2189">
        <v>1</v>
      </c>
      <c r="Z2189" s="37">
        <v>1</v>
      </c>
      <c r="AA2189" s="37">
        <v>0.4</v>
      </c>
      <c r="AB2189">
        <v>0</v>
      </c>
    </row>
    <row r="2190">
      <c r="A2190" t="s">
        <v>5880</v>
      </c>
      <c r="B2190" t="s">
        <v>5231</v>
      </c>
      <c r="C2190" t="s">
        <v>5231</v>
      </c>
      <c r="D2190" t="s">
        <v>359</v>
      </c>
      <c r="E2190" t="s">
        <v>5881</v>
      </c>
      <c r="F2190" t="s">
        <v>298</v>
      </c>
      <c r="G2190" t="s">
        <v>5233</v>
      </c>
      <c r="H2190" t="s">
        <v>5234</v>
      </c>
      <c r="I2190" t="s">
        <v>5882</v>
      </c>
      <c r="J2190" s="38">
        <v>1</v>
      </c>
      <c r="K2190" s="38">
        <v>0.79</v>
      </c>
      <c r="L2190" t="s">
        <v>455</v>
      </c>
      <c r="M2190" s="37">
        <v>0.79</v>
      </c>
      <c r="N2190" s="37">
        <v>1</v>
      </c>
      <c r="O2190">
        <v>0.79</v>
      </c>
      <c r="P2190" s="37">
        <v>0.79</v>
      </c>
      <c r="Q2190">
        <v>0.79</v>
      </c>
      <c r="R2190">
        <v>3950</v>
      </c>
      <c r="S2190">
        <v>3950</v>
      </c>
      <c r="T2190">
        <v>5000</v>
      </c>
      <c r="U2190" t="s">
        <v>5717</v>
      </c>
      <c r="V2190" t="s">
        <v>5718</v>
      </c>
      <c r="W2190">
        <v>1</v>
      </c>
      <c r="X2190">
        <v>1</v>
      </c>
      <c r="Z2190" s="37">
        <v>1</v>
      </c>
      <c r="AA2190" s="37">
        <v>0.4</v>
      </c>
      <c r="AB2190">
        <v>0</v>
      </c>
    </row>
    <row r="2191">
      <c r="A2191" t="s">
        <v>5883</v>
      </c>
      <c r="B2191" t="s">
        <v>5884</v>
      </c>
      <c r="C2191" t="s">
        <v>5884</v>
      </c>
      <c r="D2191" t="s">
        <v>4937</v>
      </c>
      <c r="E2191" t="s">
        <v>5885</v>
      </c>
      <c r="F2191" t="s">
        <v>298</v>
      </c>
      <c r="G2191" t="s">
        <v>5886</v>
      </c>
      <c r="H2191" t="s">
        <v>5887</v>
      </c>
      <c r="I2191" t="s">
        <v>5888</v>
      </c>
      <c r="J2191" t="s">
        <v>5889</v>
      </c>
      <c r="K2191" t="s">
        <v>5890</v>
      </c>
      <c r="L2191" t="s">
        <v>455</v>
      </c>
      <c r="M2191" s="37">
        <v>1.037</v>
      </c>
      <c r="N2191" s="37">
        <v>0.1</v>
      </c>
      <c r="O2191">
        <v>1.03</v>
      </c>
      <c r="P2191" s="37">
        <v>0.8658</v>
      </c>
      <c r="Q2191">
        <v>0.86</v>
      </c>
      <c r="R2191">
        <v>4300</v>
      </c>
      <c r="S2191">
        <v>4300</v>
      </c>
      <c r="T2191">
        <v>5000</v>
      </c>
      <c r="U2191" t="s">
        <v>5717</v>
      </c>
      <c r="V2191" t="s">
        <v>5718</v>
      </c>
      <c r="W2191">
        <v>1</v>
      </c>
      <c r="X2191">
        <v>1</v>
      </c>
      <c r="Z2191" s="37">
        <v>1</v>
      </c>
      <c r="AA2191" s="37">
        <v>0.4</v>
      </c>
      <c r="AB2191">
        <v>0</v>
      </c>
    </row>
    <row r="2192">
      <c r="A2192" t="s">
        <v>5883</v>
      </c>
      <c r="B2192" t="s">
        <v>5884</v>
      </c>
      <c r="C2192" t="s">
        <v>5884</v>
      </c>
      <c r="D2192" t="s">
        <v>4937</v>
      </c>
      <c r="E2192" t="s">
        <v>5885</v>
      </c>
      <c r="F2192" t="s">
        <v>298</v>
      </c>
      <c r="G2192" t="s">
        <v>5886</v>
      </c>
      <c r="H2192" t="s">
        <v>5891</v>
      </c>
      <c r="I2192" t="s">
        <v>5892</v>
      </c>
      <c r="J2192" s="38">
        <v>0.1</v>
      </c>
      <c r="K2192" s="37">
        <v>0.0897</v>
      </c>
      <c r="L2192" t="s">
        <v>455</v>
      </c>
      <c r="M2192" s="37">
        <v>0.897</v>
      </c>
      <c r="N2192" s="37">
        <v>0.1</v>
      </c>
      <c r="O2192">
        <v>0.9</v>
      </c>
      <c r="P2192" s="37">
        <v>0.8658</v>
      </c>
      <c r="Q2192">
        <v>0.86</v>
      </c>
      <c r="R2192">
        <v>4300</v>
      </c>
      <c r="S2192">
        <v>4300</v>
      </c>
      <c r="T2192">
        <v>5000</v>
      </c>
      <c r="U2192" t="s">
        <v>5717</v>
      </c>
      <c r="V2192" t="s">
        <v>5718</v>
      </c>
      <c r="W2192">
        <v>1</v>
      </c>
      <c r="X2192">
        <v>1</v>
      </c>
      <c r="Z2192" s="37">
        <v>1</v>
      </c>
      <c r="AA2192" s="37">
        <v>0.4</v>
      </c>
      <c r="AB2192">
        <v>0</v>
      </c>
    </row>
    <row r="2193">
      <c r="A2193" t="s">
        <v>5883</v>
      </c>
      <c r="B2193" t="s">
        <v>5884</v>
      </c>
      <c r="C2193" t="s">
        <v>5884</v>
      </c>
      <c r="D2193" t="s">
        <v>4937</v>
      </c>
      <c r="E2193" t="s">
        <v>5885</v>
      </c>
      <c r="F2193" t="s">
        <v>298</v>
      </c>
      <c r="G2193" t="s">
        <v>5886</v>
      </c>
      <c r="H2193" t="s">
        <v>5893</v>
      </c>
      <c r="I2193" t="s">
        <v>5894</v>
      </c>
      <c r="J2193" t="s">
        <v>5895</v>
      </c>
      <c r="K2193" t="s">
        <v>5896</v>
      </c>
      <c r="L2193" t="s">
        <v>455</v>
      </c>
      <c r="M2193" s="37">
        <v>1.326</v>
      </c>
      <c r="N2193" s="37">
        <v>0.2</v>
      </c>
      <c r="O2193">
        <v>1.3</v>
      </c>
      <c r="P2193" s="37">
        <v>0.8658</v>
      </c>
      <c r="Q2193">
        <v>0.86</v>
      </c>
      <c r="R2193">
        <v>4300</v>
      </c>
      <c r="S2193">
        <v>4300</v>
      </c>
      <c r="T2193">
        <v>5000</v>
      </c>
      <c r="U2193" t="s">
        <v>5717</v>
      </c>
      <c r="V2193" t="s">
        <v>5718</v>
      </c>
      <c r="W2193">
        <v>1</v>
      </c>
      <c r="X2193">
        <v>1</v>
      </c>
      <c r="Z2193" s="37">
        <v>1</v>
      </c>
      <c r="AA2193" s="37">
        <v>0.4</v>
      </c>
      <c r="AB2193">
        <v>0</v>
      </c>
    </row>
    <row r="2194">
      <c r="A2194" t="s">
        <v>5883</v>
      </c>
      <c r="B2194" t="s">
        <v>5884</v>
      </c>
      <c r="C2194" t="s">
        <v>5884</v>
      </c>
      <c r="D2194" t="s">
        <v>4937</v>
      </c>
      <c r="E2194" t="s">
        <v>5885</v>
      </c>
      <c r="F2194" t="s">
        <v>298</v>
      </c>
      <c r="G2194" t="s">
        <v>5886</v>
      </c>
      <c r="H2194" t="s">
        <v>5897</v>
      </c>
      <c r="I2194" t="s">
        <v>5898</v>
      </c>
      <c r="J2194" s="38">
        <v>0.02</v>
      </c>
      <c r="K2194" s="37">
        <v>0.0064</v>
      </c>
      <c r="L2194" t="s">
        <v>455</v>
      </c>
      <c r="M2194" s="37">
        <v>0.32</v>
      </c>
      <c r="N2194" s="37">
        <v>0.2</v>
      </c>
      <c r="O2194">
        <v>0.32</v>
      </c>
      <c r="P2194" s="37">
        <v>0.8658</v>
      </c>
      <c r="Q2194">
        <v>0.86</v>
      </c>
      <c r="R2194">
        <v>4300</v>
      </c>
      <c r="S2194">
        <v>4300</v>
      </c>
      <c r="T2194">
        <v>5000</v>
      </c>
      <c r="U2194" t="s">
        <v>5717</v>
      </c>
      <c r="V2194" t="s">
        <v>5718</v>
      </c>
      <c r="W2194">
        <v>1</v>
      </c>
      <c r="X2194">
        <v>1</v>
      </c>
      <c r="Z2194" s="37">
        <v>1</v>
      </c>
      <c r="AA2194" s="37">
        <v>0.4</v>
      </c>
      <c r="AB2194">
        <v>0</v>
      </c>
    </row>
    <row r="2195">
      <c r="A2195" t="s">
        <v>5883</v>
      </c>
      <c r="B2195" t="s">
        <v>5884</v>
      </c>
      <c r="C2195" t="s">
        <v>5884</v>
      </c>
      <c r="D2195" t="s">
        <v>4937</v>
      </c>
      <c r="E2195" t="s">
        <v>5885</v>
      </c>
      <c r="F2195" t="s">
        <v>298</v>
      </c>
      <c r="G2195" t="s">
        <v>5886</v>
      </c>
      <c r="H2195" t="s">
        <v>5893</v>
      </c>
      <c r="I2195" t="s">
        <v>5899</v>
      </c>
      <c r="J2195" t="s">
        <v>3696</v>
      </c>
      <c r="K2195" t="s">
        <v>5900</v>
      </c>
      <c r="L2195" t="s">
        <v>455</v>
      </c>
      <c r="M2195" s="37">
        <v>1.5</v>
      </c>
      <c r="N2195" s="37">
        <v>0.2</v>
      </c>
      <c r="O2195">
        <v>1.5</v>
      </c>
      <c r="P2195" s="37">
        <v>0.8658</v>
      </c>
      <c r="Q2195">
        <v>0.86</v>
      </c>
      <c r="R2195">
        <v>4300</v>
      </c>
      <c r="S2195">
        <v>4300</v>
      </c>
      <c r="T2195">
        <v>5000</v>
      </c>
      <c r="U2195" t="s">
        <v>5717</v>
      </c>
      <c r="V2195" t="s">
        <v>5718</v>
      </c>
      <c r="W2195">
        <v>1</v>
      </c>
      <c r="X2195">
        <v>1</v>
      </c>
      <c r="Z2195" s="37">
        <v>1</v>
      </c>
      <c r="AA2195" s="37">
        <v>0.4</v>
      </c>
      <c r="AB2195">
        <v>0</v>
      </c>
    </row>
    <row r="2196">
      <c r="A2196" t="s">
        <v>5883</v>
      </c>
      <c r="B2196" t="s">
        <v>5884</v>
      </c>
      <c r="C2196" t="s">
        <v>5884</v>
      </c>
      <c r="D2196" t="s">
        <v>4937</v>
      </c>
      <c r="E2196" t="s">
        <v>5885</v>
      </c>
      <c r="F2196" t="s">
        <v>298</v>
      </c>
      <c r="G2196" t="s">
        <v>5886</v>
      </c>
      <c r="H2196" t="s">
        <v>5893</v>
      </c>
      <c r="I2196" t="s">
        <v>5901</v>
      </c>
      <c r="J2196" t="s">
        <v>2930</v>
      </c>
      <c r="K2196" t="s">
        <v>5902</v>
      </c>
      <c r="L2196" t="s">
        <v>455</v>
      </c>
      <c r="M2196" s="37">
        <v>0.216</v>
      </c>
      <c r="N2196" s="37">
        <v>0.2</v>
      </c>
      <c r="O2196">
        <v>0.2</v>
      </c>
      <c r="P2196" s="37">
        <v>0.8658</v>
      </c>
      <c r="Q2196">
        <v>0.86</v>
      </c>
      <c r="R2196">
        <v>4300</v>
      </c>
      <c r="S2196">
        <v>4300</v>
      </c>
      <c r="T2196">
        <v>5000</v>
      </c>
      <c r="U2196" t="s">
        <v>5717</v>
      </c>
      <c r="V2196" t="s">
        <v>5718</v>
      </c>
      <c r="W2196">
        <v>1</v>
      </c>
      <c r="X2196">
        <v>1</v>
      </c>
      <c r="Z2196" s="37">
        <v>1</v>
      </c>
      <c r="AA2196" s="37">
        <v>0.4</v>
      </c>
      <c r="AB2196">
        <v>0</v>
      </c>
    </row>
    <row r="2197">
      <c r="A2197" t="s">
        <v>5903</v>
      </c>
      <c r="B2197" t="s">
        <v>2966</v>
      </c>
      <c r="C2197" t="s">
        <v>2966</v>
      </c>
      <c r="D2197" t="s">
        <v>5904</v>
      </c>
      <c r="E2197" t="s">
        <v>5905</v>
      </c>
      <c r="F2197" t="s">
        <v>298</v>
      </c>
      <c r="G2197" t="s">
        <v>5906</v>
      </c>
      <c r="H2197" t="s">
        <v>1822</v>
      </c>
      <c r="I2197" t="s">
        <v>5850</v>
      </c>
      <c r="L2197" t="s">
        <v>455</v>
      </c>
      <c r="M2197" s="37">
        <v>1</v>
      </c>
      <c r="N2197" s="37">
        <v>0.1</v>
      </c>
      <c r="O2197">
        <v>0.1</v>
      </c>
      <c r="P2197" s="37">
        <v>1</v>
      </c>
      <c r="Q2197">
        <v>1</v>
      </c>
      <c r="R2197">
        <v>1200</v>
      </c>
      <c r="S2197">
        <v>2400</v>
      </c>
      <c r="T2197">
        <v>1200</v>
      </c>
      <c r="U2197" t="s">
        <v>5717</v>
      </c>
      <c r="V2197" t="s">
        <v>5718</v>
      </c>
      <c r="W2197">
        <v>1</v>
      </c>
      <c r="X2197">
        <v>1</v>
      </c>
      <c r="Z2197" s="37">
        <v>1</v>
      </c>
      <c r="AA2197" s="37">
        <v>0.4</v>
      </c>
      <c r="AB2197">
        <v>0</v>
      </c>
    </row>
    <row r="2198">
      <c r="A2198" t="s">
        <v>5903</v>
      </c>
      <c r="B2198" t="s">
        <v>2966</v>
      </c>
      <c r="C2198" t="s">
        <v>2966</v>
      </c>
      <c r="D2198" t="s">
        <v>5904</v>
      </c>
      <c r="E2198" t="s">
        <v>5905</v>
      </c>
      <c r="F2198" t="s">
        <v>298</v>
      </c>
      <c r="G2198" t="s">
        <v>5906</v>
      </c>
      <c r="H2198" t="s">
        <v>5907</v>
      </c>
      <c r="I2198" t="s">
        <v>5908</v>
      </c>
      <c r="L2198" t="s">
        <v>455</v>
      </c>
      <c r="M2198" s="37">
        <v>1</v>
      </c>
      <c r="N2198" s="37">
        <v>0.9</v>
      </c>
      <c r="O2198">
        <v>0.9</v>
      </c>
      <c r="P2198" s="37">
        <v>1</v>
      </c>
      <c r="Q2198">
        <v>1</v>
      </c>
      <c r="R2198">
        <v>1200</v>
      </c>
      <c r="S2198">
        <v>2400</v>
      </c>
      <c r="T2198">
        <v>1200</v>
      </c>
      <c r="U2198" t="s">
        <v>5717</v>
      </c>
      <c r="V2198" t="s">
        <v>5718</v>
      </c>
      <c r="W2198">
        <v>1</v>
      </c>
      <c r="X2198">
        <v>1</v>
      </c>
      <c r="Z2198" s="37">
        <v>1</v>
      </c>
      <c r="AA2198" s="37">
        <v>0.4</v>
      </c>
      <c r="AB2198">
        <v>0</v>
      </c>
    </row>
    <row r="2199">
      <c r="A2199" t="s">
        <v>5909</v>
      </c>
      <c r="B2199" t="s">
        <v>2966</v>
      </c>
      <c r="C2199" t="s">
        <v>2966</v>
      </c>
      <c r="D2199" t="s">
        <v>5904</v>
      </c>
      <c r="E2199" t="s">
        <v>5910</v>
      </c>
      <c r="F2199" t="s">
        <v>298</v>
      </c>
      <c r="G2199" t="s">
        <v>5906</v>
      </c>
      <c r="H2199" t="s">
        <v>1822</v>
      </c>
      <c r="I2199" t="s">
        <v>1822</v>
      </c>
      <c r="L2199" t="s">
        <v>455</v>
      </c>
      <c r="M2199" s="37">
        <v>1</v>
      </c>
      <c r="N2199" s="37">
        <v>0.1</v>
      </c>
      <c r="O2199">
        <v>0.1</v>
      </c>
      <c r="P2199" s="37">
        <v>1</v>
      </c>
      <c r="Q2199">
        <v>1</v>
      </c>
      <c r="R2199">
        <v>1200</v>
      </c>
      <c r="S2199">
        <v>2400</v>
      </c>
      <c r="T2199">
        <v>1200</v>
      </c>
      <c r="U2199" t="s">
        <v>5717</v>
      </c>
      <c r="V2199" t="s">
        <v>5718</v>
      </c>
      <c r="W2199">
        <v>1</v>
      </c>
      <c r="X2199">
        <v>1</v>
      </c>
      <c r="Z2199" s="37">
        <v>1</v>
      </c>
      <c r="AA2199" s="37">
        <v>0.4</v>
      </c>
      <c r="AB2199">
        <v>0</v>
      </c>
    </row>
    <row r="2200">
      <c r="A2200" t="s">
        <v>5909</v>
      </c>
      <c r="B2200" t="s">
        <v>2966</v>
      </c>
      <c r="C2200" t="s">
        <v>2966</v>
      </c>
      <c r="D2200" t="s">
        <v>5904</v>
      </c>
      <c r="E2200" t="s">
        <v>5910</v>
      </c>
      <c r="F2200" t="s">
        <v>298</v>
      </c>
      <c r="G2200" t="s">
        <v>5906</v>
      </c>
      <c r="H2200" t="s">
        <v>5907</v>
      </c>
      <c r="I2200" t="s">
        <v>5908</v>
      </c>
      <c r="L2200" t="s">
        <v>455</v>
      </c>
      <c r="M2200" s="37">
        <v>1</v>
      </c>
      <c r="N2200" s="37">
        <v>0.9</v>
      </c>
      <c r="O2200">
        <v>0.9</v>
      </c>
      <c r="P2200" s="37">
        <v>1</v>
      </c>
      <c r="Q2200">
        <v>1</v>
      </c>
      <c r="R2200">
        <v>1200</v>
      </c>
      <c r="S2200">
        <v>2400</v>
      </c>
      <c r="T2200">
        <v>1200</v>
      </c>
      <c r="U2200" t="s">
        <v>5717</v>
      </c>
      <c r="V2200" t="s">
        <v>5718</v>
      </c>
      <c r="W2200">
        <v>1</v>
      </c>
      <c r="X2200">
        <v>1</v>
      </c>
      <c r="Z2200" s="37">
        <v>1</v>
      </c>
      <c r="AA2200" s="37">
        <v>0.4</v>
      </c>
      <c r="AB2200">
        <v>0</v>
      </c>
    </row>
    <row r="2201">
      <c r="A2201" t="s">
        <v>5911</v>
      </c>
      <c r="B2201" t="s">
        <v>2698</v>
      </c>
      <c r="C2201" t="s">
        <v>2698</v>
      </c>
      <c r="D2201" t="s">
        <v>3607</v>
      </c>
      <c r="E2201" t="s">
        <v>5912</v>
      </c>
      <c r="F2201" t="s">
        <v>298</v>
      </c>
      <c r="G2201" t="s">
        <v>5913</v>
      </c>
      <c r="H2201" t="s">
        <v>5914</v>
      </c>
      <c r="I2201" t="s">
        <v>5908</v>
      </c>
      <c r="J2201" t="s">
        <v>3227</v>
      </c>
      <c r="K2201">
        <v>100</v>
      </c>
      <c r="L2201" t="s">
        <v>455</v>
      </c>
      <c r="M2201" s="37">
        <v>1</v>
      </c>
      <c r="N2201" s="37">
        <v>0.5</v>
      </c>
      <c r="O2201">
        <v>100</v>
      </c>
      <c r="P2201" s="37">
        <v>0.958125</v>
      </c>
      <c r="Q2201">
        <v>95.75</v>
      </c>
      <c r="R2201">
        <v>1806</v>
      </c>
      <c r="S2201">
        <v>1806</v>
      </c>
      <c r="T2201">
        <v>1000</v>
      </c>
      <c r="U2201" t="s">
        <v>5717</v>
      </c>
      <c r="V2201" t="s">
        <v>5718</v>
      </c>
      <c r="W2201">
        <v>1</v>
      </c>
      <c r="X2201">
        <v>1</v>
      </c>
      <c r="Z2201" s="37">
        <v>1</v>
      </c>
      <c r="AA2201" s="37">
        <v>0.4</v>
      </c>
      <c r="AB2201">
        <v>0</v>
      </c>
    </row>
    <row r="2202">
      <c r="A2202" t="s">
        <v>5911</v>
      </c>
      <c r="B2202" t="s">
        <v>2698</v>
      </c>
      <c r="C2202" t="s">
        <v>2698</v>
      </c>
      <c r="D2202" t="s">
        <v>3607</v>
      </c>
      <c r="E2202" t="s">
        <v>5912</v>
      </c>
      <c r="F2202" t="s">
        <v>298</v>
      </c>
      <c r="G2202" t="s">
        <v>5913</v>
      </c>
      <c r="H2202" t="s">
        <v>5915</v>
      </c>
      <c r="I2202" t="s">
        <v>5908</v>
      </c>
      <c r="J2202" t="s">
        <v>3227</v>
      </c>
      <c r="K2202">
        <v>92.75</v>
      </c>
      <c r="L2202" t="s">
        <v>455</v>
      </c>
      <c r="M2202" s="37">
        <v>0.9275</v>
      </c>
      <c r="N2202" s="37">
        <v>0.35</v>
      </c>
      <c r="O2202">
        <v>92.75</v>
      </c>
      <c r="P2202" s="37">
        <v>0.958125</v>
      </c>
      <c r="Q2202">
        <v>95.75</v>
      </c>
      <c r="R2202">
        <v>1806</v>
      </c>
      <c r="S2202">
        <v>1806</v>
      </c>
      <c r="T2202">
        <v>1000</v>
      </c>
      <c r="U2202" t="s">
        <v>5717</v>
      </c>
      <c r="V2202" t="s">
        <v>5718</v>
      </c>
      <c r="W2202">
        <v>1</v>
      </c>
      <c r="X2202">
        <v>1</v>
      </c>
      <c r="Z2202" s="37">
        <v>1</v>
      </c>
      <c r="AA2202" s="37">
        <v>0.4</v>
      </c>
      <c r="AB2202">
        <v>0</v>
      </c>
    </row>
    <row r="2203">
      <c r="A2203" t="s">
        <v>5911</v>
      </c>
      <c r="B2203" t="s">
        <v>2698</v>
      </c>
      <c r="C2203" t="s">
        <v>2698</v>
      </c>
      <c r="D2203" t="s">
        <v>3607</v>
      </c>
      <c r="E2203" t="s">
        <v>5912</v>
      </c>
      <c r="F2203" t="s">
        <v>298</v>
      </c>
      <c r="G2203" t="s">
        <v>5913</v>
      </c>
      <c r="H2203" t="s">
        <v>5916</v>
      </c>
      <c r="I2203" t="s">
        <v>5908</v>
      </c>
      <c r="J2203" t="s">
        <v>3227</v>
      </c>
      <c r="K2203">
        <v>89</v>
      </c>
      <c r="L2203" t="s">
        <v>455</v>
      </c>
      <c r="M2203" s="37">
        <v>0.89</v>
      </c>
      <c r="N2203" s="37">
        <v>0.15</v>
      </c>
      <c r="O2203">
        <v>89</v>
      </c>
      <c r="P2203" s="37">
        <v>0.958125</v>
      </c>
      <c r="Q2203">
        <v>95.75</v>
      </c>
      <c r="R2203">
        <v>1806</v>
      </c>
      <c r="S2203">
        <v>1806</v>
      </c>
      <c r="T2203">
        <v>1000</v>
      </c>
      <c r="U2203" t="s">
        <v>5717</v>
      </c>
      <c r="V2203" t="s">
        <v>5718</v>
      </c>
      <c r="W2203">
        <v>1</v>
      </c>
      <c r="X2203">
        <v>1</v>
      </c>
      <c r="Z2203" s="37">
        <v>1</v>
      </c>
      <c r="AA2203" s="37">
        <v>0.4</v>
      </c>
      <c r="AB2203">
        <v>0</v>
      </c>
    </row>
    <row r="2204">
      <c r="A2204" t="s">
        <v>5917</v>
      </c>
      <c r="B2204" t="s">
        <v>2698</v>
      </c>
      <c r="C2204" t="s">
        <v>2698</v>
      </c>
      <c r="D2204" t="s">
        <v>3607</v>
      </c>
      <c r="E2204" t="s">
        <v>5918</v>
      </c>
      <c r="F2204" t="s">
        <v>298</v>
      </c>
      <c r="G2204" t="s">
        <v>5913</v>
      </c>
      <c r="H2204" t="s">
        <v>5914</v>
      </c>
      <c r="I2204" t="s">
        <v>5908</v>
      </c>
      <c r="J2204" t="s">
        <v>3227</v>
      </c>
      <c r="K2204">
        <v>100</v>
      </c>
      <c r="L2204" t="s">
        <v>455</v>
      </c>
      <c r="M2204" s="37">
        <v>1</v>
      </c>
      <c r="N2204" s="37">
        <v>0.5</v>
      </c>
      <c r="O2204">
        <v>100</v>
      </c>
      <c r="P2204" s="37">
        <v>0.947875</v>
      </c>
      <c r="Q2204">
        <v>94.82</v>
      </c>
      <c r="R2204">
        <v>1462</v>
      </c>
      <c r="S2204">
        <v>1462</v>
      </c>
      <c r="T2204">
        <v>1000</v>
      </c>
      <c r="U2204" t="s">
        <v>5717</v>
      </c>
      <c r="V2204" t="s">
        <v>5718</v>
      </c>
      <c r="W2204">
        <v>1</v>
      </c>
      <c r="X2204">
        <v>1</v>
      </c>
      <c r="Z2204" s="37">
        <v>1</v>
      </c>
      <c r="AA2204" s="37">
        <v>0.4</v>
      </c>
      <c r="AB2204">
        <v>0</v>
      </c>
    </row>
    <row r="2205">
      <c r="A2205" t="s">
        <v>5917</v>
      </c>
      <c r="B2205" t="s">
        <v>2698</v>
      </c>
      <c r="C2205" t="s">
        <v>2698</v>
      </c>
      <c r="D2205" t="s">
        <v>3607</v>
      </c>
      <c r="E2205" t="s">
        <v>5918</v>
      </c>
      <c r="F2205" t="s">
        <v>298</v>
      </c>
      <c r="G2205" t="s">
        <v>5913</v>
      </c>
      <c r="H2205" t="s">
        <v>5915</v>
      </c>
      <c r="I2205" t="s">
        <v>5908</v>
      </c>
      <c r="J2205" t="s">
        <v>3227</v>
      </c>
      <c r="K2205">
        <v>87.25</v>
      </c>
      <c r="L2205" t="s">
        <v>455</v>
      </c>
      <c r="M2205" s="37">
        <v>0.8725</v>
      </c>
      <c r="N2205" s="37">
        <v>0.35</v>
      </c>
      <c r="O2205">
        <v>87.25</v>
      </c>
      <c r="P2205" s="37">
        <v>0.947875</v>
      </c>
      <c r="Q2205">
        <v>94.82</v>
      </c>
      <c r="R2205">
        <v>1462</v>
      </c>
      <c r="S2205">
        <v>1462</v>
      </c>
      <c r="T2205">
        <v>1000</v>
      </c>
      <c r="U2205" t="s">
        <v>5717</v>
      </c>
      <c r="V2205" t="s">
        <v>5718</v>
      </c>
      <c r="W2205">
        <v>1</v>
      </c>
      <c r="X2205">
        <v>1</v>
      </c>
      <c r="Z2205" s="37">
        <v>1</v>
      </c>
      <c r="AA2205" s="37">
        <v>0.4</v>
      </c>
      <c r="AB2205">
        <v>0</v>
      </c>
    </row>
    <row r="2206">
      <c r="A2206" t="s">
        <v>5917</v>
      </c>
      <c r="B2206" t="s">
        <v>2698</v>
      </c>
      <c r="C2206" t="s">
        <v>2698</v>
      </c>
      <c r="D2206" t="s">
        <v>3607</v>
      </c>
      <c r="E2206" t="s">
        <v>5918</v>
      </c>
      <c r="F2206" t="s">
        <v>298</v>
      </c>
      <c r="G2206" t="s">
        <v>5913</v>
      </c>
      <c r="H2206" t="s">
        <v>5916</v>
      </c>
      <c r="I2206" t="s">
        <v>5908</v>
      </c>
      <c r="J2206" t="s">
        <v>3227</v>
      </c>
      <c r="K2206">
        <v>95</v>
      </c>
      <c r="L2206" t="s">
        <v>455</v>
      </c>
      <c r="M2206" s="37">
        <v>0.95</v>
      </c>
      <c r="N2206" s="37">
        <v>0.15</v>
      </c>
      <c r="O2206">
        <v>95</v>
      </c>
      <c r="P2206" s="37">
        <v>0.947875</v>
      </c>
      <c r="Q2206">
        <v>94.82</v>
      </c>
      <c r="R2206">
        <v>1462</v>
      </c>
      <c r="S2206">
        <v>1462</v>
      </c>
      <c r="T2206">
        <v>1000</v>
      </c>
      <c r="U2206" t="s">
        <v>5717</v>
      </c>
      <c r="V2206" t="s">
        <v>5718</v>
      </c>
      <c r="W2206">
        <v>1</v>
      </c>
      <c r="X2206">
        <v>1</v>
      </c>
      <c r="Z2206" s="37">
        <v>1</v>
      </c>
      <c r="AA2206" s="37">
        <v>0.4</v>
      </c>
      <c r="AB2206">
        <v>0</v>
      </c>
    </row>
    <row r="2207">
      <c r="A2207" t="s">
        <v>5919</v>
      </c>
      <c r="B2207" t="s">
        <v>2698</v>
      </c>
      <c r="C2207" t="s">
        <v>2698</v>
      </c>
      <c r="D2207" t="s">
        <v>3607</v>
      </c>
      <c r="E2207" t="s">
        <v>5920</v>
      </c>
      <c r="F2207" t="s">
        <v>298</v>
      </c>
      <c r="G2207" t="s">
        <v>5913</v>
      </c>
      <c r="H2207" t="s">
        <v>5914</v>
      </c>
      <c r="I2207" t="s">
        <v>5908</v>
      </c>
      <c r="J2207" t="s">
        <v>3227</v>
      </c>
      <c r="K2207">
        <v>100</v>
      </c>
      <c r="L2207" t="s">
        <v>455</v>
      </c>
      <c r="M2207" s="37">
        <v>1</v>
      </c>
      <c r="N2207" s="37">
        <v>0.5</v>
      </c>
      <c r="O2207">
        <v>100</v>
      </c>
      <c r="P2207" s="37">
        <v>0.933375</v>
      </c>
      <c r="Q2207">
        <v>93.27</v>
      </c>
      <c r="R2207">
        <v>1032</v>
      </c>
      <c r="S2207">
        <v>1032</v>
      </c>
      <c r="T2207">
        <v>2300</v>
      </c>
      <c r="U2207" t="s">
        <v>5717</v>
      </c>
      <c r="V2207" t="s">
        <v>5718</v>
      </c>
      <c r="W2207">
        <v>1</v>
      </c>
      <c r="X2207">
        <v>1</v>
      </c>
      <c r="Z2207" s="37">
        <v>1</v>
      </c>
      <c r="AA2207" s="37">
        <v>0.4</v>
      </c>
      <c r="AB2207">
        <v>0</v>
      </c>
    </row>
    <row r="2208">
      <c r="A2208" t="s">
        <v>5919</v>
      </c>
      <c r="B2208" t="s">
        <v>2698</v>
      </c>
      <c r="C2208" t="s">
        <v>2698</v>
      </c>
      <c r="D2208" t="s">
        <v>3607</v>
      </c>
      <c r="E2208" t="s">
        <v>5920</v>
      </c>
      <c r="F2208" t="s">
        <v>298</v>
      </c>
      <c r="G2208" t="s">
        <v>5913</v>
      </c>
      <c r="H2208" t="s">
        <v>5915</v>
      </c>
      <c r="I2208" t="s">
        <v>5908</v>
      </c>
      <c r="J2208" t="s">
        <v>3227</v>
      </c>
      <c r="K2208">
        <v>85.25</v>
      </c>
      <c r="L2208" t="s">
        <v>455</v>
      </c>
      <c r="M2208" s="37">
        <v>0.8525</v>
      </c>
      <c r="N2208" s="37">
        <v>0.35</v>
      </c>
      <c r="O2208">
        <v>85.25</v>
      </c>
      <c r="P2208" s="37">
        <v>0.933375</v>
      </c>
      <c r="Q2208">
        <v>93.27</v>
      </c>
      <c r="R2208">
        <v>1032</v>
      </c>
      <c r="S2208">
        <v>1032</v>
      </c>
      <c r="T2208">
        <v>2300</v>
      </c>
      <c r="U2208" t="s">
        <v>5717</v>
      </c>
      <c r="V2208" t="s">
        <v>5718</v>
      </c>
      <c r="W2208">
        <v>1</v>
      </c>
      <c r="X2208">
        <v>1</v>
      </c>
      <c r="Z2208" s="37">
        <v>1</v>
      </c>
      <c r="AA2208" s="37">
        <v>0.4</v>
      </c>
      <c r="AB2208">
        <v>0</v>
      </c>
    </row>
    <row r="2209">
      <c r="A2209" t="s">
        <v>5919</v>
      </c>
      <c r="B2209" t="s">
        <v>2698</v>
      </c>
      <c r="C2209" t="s">
        <v>2698</v>
      </c>
      <c r="D2209" t="s">
        <v>3607</v>
      </c>
      <c r="E2209" t="s">
        <v>5920</v>
      </c>
      <c r="F2209" t="s">
        <v>298</v>
      </c>
      <c r="G2209" t="s">
        <v>5913</v>
      </c>
      <c r="H2209" t="s">
        <v>5916</v>
      </c>
      <c r="I2209" t="s">
        <v>5908</v>
      </c>
      <c r="J2209" t="s">
        <v>3227</v>
      </c>
      <c r="K2209">
        <v>90</v>
      </c>
      <c r="L2209" t="s">
        <v>455</v>
      </c>
      <c r="M2209" s="37">
        <v>0.9</v>
      </c>
      <c r="N2209" s="37">
        <v>0.15</v>
      </c>
      <c r="O2209">
        <v>90</v>
      </c>
      <c r="P2209" s="37">
        <v>0.933375</v>
      </c>
      <c r="Q2209">
        <v>93.27</v>
      </c>
      <c r="R2209">
        <v>1032</v>
      </c>
      <c r="S2209">
        <v>1032</v>
      </c>
      <c r="T2209">
        <v>2300</v>
      </c>
      <c r="U2209" t="s">
        <v>5717</v>
      </c>
      <c r="V2209" t="s">
        <v>5718</v>
      </c>
      <c r="W2209">
        <v>1</v>
      </c>
      <c r="X2209">
        <v>1</v>
      </c>
      <c r="Z2209" s="37">
        <v>1</v>
      </c>
      <c r="AA2209" s="37">
        <v>0.4</v>
      </c>
      <c r="AB2209">
        <v>0</v>
      </c>
    </row>
    <row r="2210">
      <c r="A2210" t="s">
        <v>5921</v>
      </c>
      <c r="B2210" t="s">
        <v>3672</v>
      </c>
      <c r="C2210" t="s">
        <v>3672</v>
      </c>
      <c r="D2210" t="s">
        <v>5922</v>
      </c>
      <c r="E2210" t="s">
        <v>5923</v>
      </c>
      <c r="F2210" t="s">
        <v>298</v>
      </c>
      <c r="G2210" t="s">
        <v>5924</v>
      </c>
      <c r="H2210" t="s">
        <v>5925</v>
      </c>
      <c r="I2210" t="s">
        <v>5908</v>
      </c>
      <c r="J2210" t="s">
        <v>3227</v>
      </c>
      <c r="K2210">
        <v>100</v>
      </c>
      <c r="L2210" t="s">
        <v>455</v>
      </c>
      <c r="M2210" s="37">
        <v>1</v>
      </c>
      <c r="N2210" s="37">
        <v>1</v>
      </c>
      <c r="O2210">
        <v>254</v>
      </c>
      <c r="P2210" s="37">
        <v>1</v>
      </c>
      <c r="Q2210">
        <v>254</v>
      </c>
      <c r="R2210">
        <v>14000</v>
      </c>
      <c r="S2210">
        <v>14000</v>
      </c>
      <c r="T2210">
        <v>55000</v>
      </c>
      <c r="U2210" t="s">
        <v>5717</v>
      </c>
      <c r="V2210" t="s">
        <v>5718</v>
      </c>
      <c r="W2210">
        <v>1</v>
      </c>
      <c r="X2210">
        <v>1</v>
      </c>
      <c r="Z2210" s="37">
        <v>1</v>
      </c>
      <c r="AA2210" s="37">
        <v>0.4</v>
      </c>
      <c r="AB2210">
        <v>0</v>
      </c>
    </row>
    <row r="2211">
      <c r="A2211" t="s">
        <v>5926</v>
      </c>
      <c r="B2211" t="s">
        <v>3672</v>
      </c>
      <c r="C2211" t="s">
        <v>3672</v>
      </c>
      <c r="D2211" t="s">
        <v>5922</v>
      </c>
      <c r="E2211" t="s">
        <v>5927</v>
      </c>
      <c r="F2211" t="s">
        <v>298</v>
      </c>
      <c r="G2211" t="s">
        <v>5924</v>
      </c>
      <c r="H2211" t="s">
        <v>5925</v>
      </c>
      <c r="I2211" t="s">
        <v>5908</v>
      </c>
      <c r="J2211" t="s">
        <v>3227</v>
      </c>
      <c r="K2211">
        <v>100</v>
      </c>
      <c r="L2211" t="s">
        <v>455</v>
      </c>
      <c r="M2211" s="37">
        <v>1</v>
      </c>
      <c r="N2211" s="37">
        <v>1</v>
      </c>
      <c r="O2211">
        <v>343</v>
      </c>
      <c r="P2211" s="37">
        <v>1</v>
      </c>
      <c r="Q2211">
        <v>343</v>
      </c>
      <c r="R2211">
        <v>60000</v>
      </c>
      <c r="S2211">
        <v>60000</v>
      </c>
      <c r="T2211">
        <v>55000</v>
      </c>
      <c r="U2211" t="s">
        <v>5717</v>
      </c>
      <c r="V2211" t="s">
        <v>5718</v>
      </c>
      <c r="W2211">
        <v>1</v>
      </c>
      <c r="X2211">
        <v>1</v>
      </c>
      <c r="Z2211" s="37">
        <v>1</v>
      </c>
      <c r="AA2211" s="37">
        <v>0.4</v>
      </c>
      <c r="AB2211">
        <v>0</v>
      </c>
    </row>
    <row r="2212">
      <c r="A2212" t="s">
        <v>5928</v>
      </c>
      <c r="B2212" t="s">
        <v>3672</v>
      </c>
      <c r="C2212" t="s">
        <v>3672</v>
      </c>
      <c r="D2212" t="s">
        <v>5922</v>
      </c>
      <c r="E2212" t="s">
        <v>5929</v>
      </c>
      <c r="F2212" t="s">
        <v>298</v>
      </c>
      <c r="G2212" t="s">
        <v>5924</v>
      </c>
      <c r="H2212" t="s">
        <v>5925</v>
      </c>
      <c r="I2212" t="s">
        <v>5908</v>
      </c>
      <c r="J2212" t="s">
        <v>3227</v>
      </c>
      <c r="K2212">
        <v>100</v>
      </c>
      <c r="L2212" t="s">
        <v>455</v>
      </c>
      <c r="M2212" s="37">
        <v>1</v>
      </c>
      <c r="N2212" s="37">
        <v>1</v>
      </c>
      <c r="O2212">
        <v>313.5</v>
      </c>
      <c r="P2212" s="37">
        <v>1</v>
      </c>
      <c r="Q2212">
        <v>313.5</v>
      </c>
      <c r="R2212">
        <v>20000</v>
      </c>
      <c r="S2212">
        <v>20500</v>
      </c>
      <c r="T2212">
        <v>55000</v>
      </c>
      <c r="U2212" t="s">
        <v>5717</v>
      </c>
      <c r="V2212" t="s">
        <v>5718</v>
      </c>
      <c r="W2212">
        <v>1</v>
      </c>
      <c r="X2212">
        <v>1</v>
      </c>
      <c r="Z2212" s="37">
        <v>1</v>
      </c>
      <c r="AA2212" s="37">
        <v>0.4</v>
      </c>
      <c r="AB2212">
        <v>0</v>
      </c>
    </row>
    <row r="2213">
      <c r="A2213" t="s">
        <v>5930</v>
      </c>
      <c r="B2213" t="s">
        <v>3672</v>
      </c>
      <c r="C2213" t="s">
        <v>3672</v>
      </c>
      <c r="D2213" t="s">
        <v>5155</v>
      </c>
      <c r="E2213" t="s">
        <v>5931</v>
      </c>
      <c r="F2213" t="s">
        <v>298</v>
      </c>
      <c r="G2213" t="s">
        <v>5924</v>
      </c>
      <c r="H2213" t="s">
        <v>5925</v>
      </c>
      <c r="I2213" t="s">
        <v>5908</v>
      </c>
      <c r="J2213" t="s">
        <v>3227</v>
      </c>
      <c r="K2213">
        <v>100</v>
      </c>
      <c r="L2213" t="s">
        <v>455</v>
      </c>
      <c r="M2213" s="37">
        <v>1</v>
      </c>
      <c r="N2213" s="37">
        <v>1</v>
      </c>
      <c r="O2213">
        <v>321.5</v>
      </c>
      <c r="P2213" s="37">
        <v>1</v>
      </c>
      <c r="Q2213">
        <v>321.5</v>
      </c>
      <c r="R2213">
        <v>40000</v>
      </c>
      <c r="S2213">
        <v>40500</v>
      </c>
      <c r="T2213">
        <v>10000</v>
      </c>
      <c r="U2213" t="s">
        <v>5717</v>
      </c>
      <c r="V2213" t="s">
        <v>5718</v>
      </c>
      <c r="W2213">
        <v>1</v>
      </c>
      <c r="X2213">
        <v>1</v>
      </c>
      <c r="Z2213" s="37">
        <v>1</v>
      </c>
      <c r="AA2213" s="37">
        <v>0.4</v>
      </c>
      <c r="AB2213">
        <v>0</v>
      </c>
    </row>
    <row r="2214">
      <c r="A2214" t="s">
        <v>5932</v>
      </c>
      <c r="B2214" t="s">
        <v>3672</v>
      </c>
      <c r="C2214" t="s">
        <v>3672</v>
      </c>
      <c r="D2214" t="s">
        <v>5155</v>
      </c>
      <c r="E2214" t="s">
        <v>5933</v>
      </c>
      <c r="F2214" t="s">
        <v>298</v>
      </c>
      <c r="G2214" t="s">
        <v>5924</v>
      </c>
      <c r="H2214" t="s">
        <v>5925</v>
      </c>
      <c r="I2214" t="s">
        <v>5908</v>
      </c>
      <c r="J2214" t="s">
        <v>3227</v>
      </c>
      <c r="K2214">
        <v>100</v>
      </c>
      <c r="L2214" t="s">
        <v>455</v>
      </c>
      <c r="M2214" s="37">
        <v>1</v>
      </c>
      <c r="N2214" s="37">
        <v>1</v>
      </c>
      <c r="O2214">
        <v>288</v>
      </c>
      <c r="P2214" s="37">
        <v>1</v>
      </c>
      <c r="Q2214">
        <v>288</v>
      </c>
      <c r="R2214">
        <v>500</v>
      </c>
      <c r="S2214">
        <v>200</v>
      </c>
      <c r="T2214">
        <v>10000</v>
      </c>
      <c r="U2214" t="s">
        <v>5717</v>
      </c>
      <c r="V2214" t="s">
        <v>5718</v>
      </c>
      <c r="W2214">
        <v>1</v>
      </c>
      <c r="X2214">
        <v>1</v>
      </c>
      <c r="Z2214" s="37">
        <v>1</v>
      </c>
      <c r="AA2214" s="37">
        <v>0.4</v>
      </c>
      <c r="AB2214">
        <v>0</v>
      </c>
    </row>
    <row r="2215">
      <c r="A2215" t="s">
        <v>5934</v>
      </c>
      <c r="B2215" t="s">
        <v>3672</v>
      </c>
      <c r="C2215" t="s">
        <v>3672</v>
      </c>
      <c r="D2215" t="s">
        <v>5155</v>
      </c>
      <c r="E2215" t="s">
        <v>5935</v>
      </c>
      <c r="F2215" t="s">
        <v>298</v>
      </c>
      <c r="G2215" t="s">
        <v>5924</v>
      </c>
      <c r="H2215" t="s">
        <v>5925</v>
      </c>
      <c r="I2215" t="s">
        <v>5908</v>
      </c>
      <c r="J2215" t="s">
        <v>3227</v>
      </c>
      <c r="K2215">
        <v>100</v>
      </c>
      <c r="L2215" t="s">
        <v>455</v>
      </c>
      <c r="M2215" s="37">
        <v>1</v>
      </c>
      <c r="N2215" s="37">
        <v>1</v>
      </c>
      <c r="O2215">
        <v>280</v>
      </c>
      <c r="P2215" s="37">
        <v>1</v>
      </c>
      <c r="Q2215">
        <v>280</v>
      </c>
      <c r="R2215">
        <v>6000</v>
      </c>
      <c r="S2215">
        <v>6000</v>
      </c>
      <c r="T2215">
        <v>10000</v>
      </c>
      <c r="U2215" t="s">
        <v>5717</v>
      </c>
      <c r="V2215" t="s">
        <v>5718</v>
      </c>
      <c r="W2215">
        <v>1</v>
      </c>
      <c r="X2215">
        <v>1</v>
      </c>
      <c r="Z2215" s="37">
        <v>1</v>
      </c>
      <c r="AA2215" s="37">
        <v>0.4</v>
      </c>
      <c r="AB2215">
        <v>0</v>
      </c>
    </row>
    <row r="2216">
      <c r="A2216" t="s">
        <v>5936</v>
      </c>
      <c r="B2216" t="s">
        <v>3672</v>
      </c>
      <c r="C2216" t="s">
        <v>3672</v>
      </c>
      <c r="D2216" t="s">
        <v>5155</v>
      </c>
      <c r="E2216" t="s">
        <v>5937</v>
      </c>
      <c r="F2216" t="s">
        <v>298</v>
      </c>
      <c r="G2216" t="s">
        <v>5924</v>
      </c>
      <c r="H2216" t="s">
        <v>5925</v>
      </c>
      <c r="I2216" t="s">
        <v>5908</v>
      </c>
      <c r="J2216" t="s">
        <v>3227</v>
      </c>
      <c r="K2216">
        <v>100</v>
      </c>
      <c r="L2216" t="s">
        <v>455</v>
      </c>
      <c r="M2216" s="37">
        <v>1</v>
      </c>
      <c r="N2216" s="37">
        <v>1</v>
      </c>
      <c r="O2216">
        <v>249</v>
      </c>
      <c r="P2216" s="37">
        <v>1</v>
      </c>
      <c r="Q2216">
        <v>249</v>
      </c>
      <c r="R2216">
        <v>16000</v>
      </c>
      <c r="S2216">
        <v>16000</v>
      </c>
      <c r="T2216">
        <v>10000</v>
      </c>
      <c r="U2216" t="s">
        <v>5717</v>
      </c>
      <c r="V2216" t="s">
        <v>5718</v>
      </c>
      <c r="W2216">
        <v>1</v>
      </c>
      <c r="X2216">
        <v>1</v>
      </c>
      <c r="Z2216" s="37">
        <v>1</v>
      </c>
      <c r="AA2216" s="37">
        <v>0.4</v>
      </c>
      <c r="AB2216">
        <v>0</v>
      </c>
    </row>
    <row r="2217">
      <c r="A2217" t="s">
        <v>5938</v>
      </c>
      <c r="B2217" t="s">
        <v>3672</v>
      </c>
      <c r="C2217" t="s">
        <v>3672</v>
      </c>
      <c r="D2217" t="s">
        <v>5155</v>
      </c>
      <c r="E2217" t="s">
        <v>5939</v>
      </c>
      <c r="F2217" t="s">
        <v>298</v>
      </c>
      <c r="G2217" t="s">
        <v>5924</v>
      </c>
      <c r="H2217" t="s">
        <v>5925</v>
      </c>
      <c r="I2217" t="s">
        <v>5908</v>
      </c>
      <c r="J2217" t="s">
        <v>3227</v>
      </c>
      <c r="K2217">
        <v>100</v>
      </c>
      <c r="L2217" t="s">
        <v>455</v>
      </c>
      <c r="M2217" s="37">
        <v>1</v>
      </c>
      <c r="N2217" s="37">
        <v>1</v>
      </c>
      <c r="O2217">
        <v>265.5</v>
      </c>
      <c r="P2217" s="37">
        <v>1</v>
      </c>
      <c r="Q2217">
        <v>265.5</v>
      </c>
      <c r="R2217">
        <v>2000</v>
      </c>
      <c r="S2217">
        <v>2500</v>
      </c>
      <c r="T2217">
        <v>10000</v>
      </c>
      <c r="U2217" t="s">
        <v>5717</v>
      </c>
      <c r="V2217" t="s">
        <v>5718</v>
      </c>
      <c r="W2217">
        <v>1</v>
      </c>
      <c r="X2217">
        <v>1</v>
      </c>
      <c r="Z2217" s="37">
        <v>1</v>
      </c>
      <c r="AA2217" s="37">
        <v>0.4</v>
      </c>
      <c r="AB2217">
        <v>0</v>
      </c>
    </row>
    <row r="2218">
      <c r="A2218" t="s">
        <v>5940</v>
      </c>
      <c r="B2218" t="s">
        <v>3672</v>
      </c>
      <c r="C2218" t="s">
        <v>3672</v>
      </c>
      <c r="D2218" t="s">
        <v>5155</v>
      </c>
      <c r="E2218" t="s">
        <v>5941</v>
      </c>
      <c r="F2218" t="s">
        <v>298</v>
      </c>
      <c r="G2218" t="s">
        <v>5924</v>
      </c>
      <c r="H2218" t="s">
        <v>5925</v>
      </c>
      <c r="I2218" t="s">
        <v>5908</v>
      </c>
      <c r="J2218" t="s">
        <v>3227</v>
      </c>
      <c r="K2218">
        <v>100</v>
      </c>
      <c r="L2218" t="s">
        <v>455</v>
      </c>
      <c r="M2218" s="37">
        <v>1</v>
      </c>
      <c r="N2218" s="37">
        <v>1</v>
      </c>
      <c r="O2218">
        <v>373</v>
      </c>
      <c r="P2218" s="37">
        <v>1</v>
      </c>
      <c r="Q2218">
        <v>373</v>
      </c>
      <c r="R2218">
        <v>13000</v>
      </c>
      <c r="S2218">
        <v>13000</v>
      </c>
      <c r="T2218">
        <v>10000</v>
      </c>
      <c r="U2218" t="s">
        <v>5717</v>
      </c>
      <c r="V2218" t="s">
        <v>5718</v>
      </c>
      <c r="W2218">
        <v>1</v>
      </c>
      <c r="X2218">
        <v>1</v>
      </c>
      <c r="Z2218" s="37">
        <v>1</v>
      </c>
      <c r="AA2218" s="37">
        <v>0.4</v>
      </c>
      <c r="AB2218">
        <v>0</v>
      </c>
    </row>
    <row r="2219">
      <c r="A2219" t="s">
        <v>5942</v>
      </c>
      <c r="B2219" t="s">
        <v>3672</v>
      </c>
      <c r="C2219" t="s">
        <v>3672</v>
      </c>
      <c r="D2219" t="s">
        <v>5922</v>
      </c>
      <c r="E2219" t="s">
        <v>5943</v>
      </c>
      <c r="F2219" t="s">
        <v>298</v>
      </c>
      <c r="G2219" t="s">
        <v>5924</v>
      </c>
      <c r="H2219" t="s">
        <v>5925</v>
      </c>
      <c r="I2219" t="s">
        <v>5908</v>
      </c>
      <c r="J2219" t="s">
        <v>3227</v>
      </c>
      <c r="K2219">
        <v>100</v>
      </c>
      <c r="L2219" t="s">
        <v>455</v>
      </c>
      <c r="M2219" s="37">
        <v>1</v>
      </c>
      <c r="N2219" s="37">
        <v>1</v>
      </c>
      <c r="O2219">
        <v>319</v>
      </c>
      <c r="P2219" s="37">
        <v>1</v>
      </c>
      <c r="Q2219">
        <v>319</v>
      </c>
      <c r="R2219">
        <v>30000</v>
      </c>
      <c r="S2219">
        <v>30000</v>
      </c>
      <c r="T2219">
        <v>100000</v>
      </c>
      <c r="U2219" t="s">
        <v>5717</v>
      </c>
      <c r="V2219" t="s">
        <v>5718</v>
      </c>
      <c r="W2219">
        <v>1</v>
      </c>
      <c r="X2219">
        <v>1</v>
      </c>
      <c r="Z2219" s="37">
        <v>1</v>
      </c>
      <c r="AA2219" s="37">
        <v>0.4</v>
      </c>
      <c r="AB2219">
        <v>0</v>
      </c>
    </row>
    <row r="2220">
      <c r="A2220" t="s">
        <v>5944</v>
      </c>
      <c r="B2220" t="s">
        <v>3672</v>
      </c>
      <c r="C2220" t="s">
        <v>3672</v>
      </c>
      <c r="D2220" t="s">
        <v>5155</v>
      </c>
      <c r="E2220" t="s">
        <v>5945</v>
      </c>
      <c r="F2220" t="s">
        <v>298</v>
      </c>
      <c r="G2220" t="s">
        <v>5924</v>
      </c>
      <c r="H2220" t="s">
        <v>5925</v>
      </c>
      <c r="I2220" t="s">
        <v>5908</v>
      </c>
      <c r="J2220" t="s">
        <v>3227</v>
      </c>
      <c r="K2220">
        <v>100</v>
      </c>
      <c r="L2220" t="s">
        <v>455</v>
      </c>
      <c r="M2220" s="37">
        <v>1</v>
      </c>
      <c r="N2220" s="37">
        <v>1</v>
      </c>
      <c r="O2220">
        <v>254</v>
      </c>
      <c r="P2220" s="37">
        <v>1</v>
      </c>
      <c r="Q2220">
        <v>254</v>
      </c>
      <c r="R2220">
        <v>0</v>
      </c>
      <c r="S2220">
        <v>0</v>
      </c>
      <c r="T2220">
        <v>10000</v>
      </c>
      <c r="U2220" t="s">
        <v>5717</v>
      </c>
      <c r="V2220" t="s">
        <v>5718</v>
      </c>
      <c r="W2220">
        <v>1</v>
      </c>
      <c r="X2220">
        <v>1</v>
      </c>
      <c r="Z2220" s="37">
        <v>1</v>
      </c>
      <c r="AA2220" s="37">
        <v>0.4</v>
      </c>
      <c r="AB2220">
        <v>0</v>
      </c>
    </row>
    <row r="2221">
      <c r="A2221" t="s">
        <v>5946</v>
      </c>
      <c r="B2221" t="s">
        <v>3672</v>
      </c>
      <c r="C2221" t="s">
        <v>3672</v>
      </c>
      <c r="D2221" t="s">
        <v>5155</v>
      </c>
      <c r="E2221" t="s">
        <v>5947</v>
      </c>
      <c r="F2221" t="s">
        <v>298</v>
      </c>
      <c r="G2221" t="s">
        <v>5924</v>
      </c>
      <c r="H2221" t="s">
        <v>5925</v>
      </c>
      <c r="I2221" t="s">
        <v>5908</v>
      </c>
      <c r="J2221" t="s">
        <v>3227</v>
      </c>
      <c r="K2221">
        <v>100</v>
      </c>
      <c r="L2221" t="s">
        <v>455</v>
      </c>
      <c r="M2221" s="37">
        <v>1</v>
      </c>
      <c r="N2221" s="37">
        <v>1</v>
      </c>
      <c r="O2221">
        <v>293</v>
      </c>
      <c r="P2221" s="37">
        <v>1</v>
      </c>
      <c r="Q2221">
        <v>293</v>
      </c>
      <c r="R2221">
        <v>8000</v>
      </c>
      <c r="S2221">
        <v>8200</v>
      </c>
      <c r="T2221">
        <v>10000</v>
      </c>
      <c r="U2221" t="s">
        <v>5717</v>
      </c>
      <c r="V2221" t="s">
        <v>5718</v>
      </c>
      <c r="W2221">
        <v>1</v>
      </c>
      <c r="X2221">
        <v>1</v>
      </c>
      <c r="Z2221" s="37">
        <v>1</v>
      </c>
      <c r="AA2221" s="37">
        <v>0.4</v>
      </c>
      <c r="AB2221">
        <v>0</v>
      </c>
    </row>
    <row r="2222">
      <c r="A2222" t="s">
        <v>5948</v>
      </c>
      <c r="B2222" t="s">
        <v>3672</v>
      </c>
      <c r="C2222" t="s">
        <v>3672</v>
      </c>
      <c r="D2222" t="s">
        <v>5155</v>
      </c>
      <c r="E2222" t="s">
        <v>5949</v>
      </c>
      <c r="F2222" t="s">
        <v>298</v>
      </c>
      <c r="G2222" t="s">
        <v>5924</v>
      </c>
      <c r="H2222" t="s">
        <v>5925</v>
      </c>
      <c r="I2222" t="s">
        <v>5908</v>
      </c>
      <c r="J2222" t="s">
        <v>3227</v>
      </c>
      <c r="K2222">
        <v>100</v>
      </c>
      <c r="L2222" t="s">
        <v>455</v>
      </c>
      <c r="M2222" s="37">
        <v>1</v>
      </c>
      <c r="N2222" s="37">
        <v>1</v>
      </c>
      <c r="O2222">
        <v>238</v>
      </c>
      <c r="P2222" s="37">
        <v>1</v>
      </c>
      <c r="Q2222">
        <v>238</v>
      </c>
      <c r="R2222">
        <v>300</v>
      </c>
      <c r="S2222">
        <v>0</v>
      </c>
      <c r="T2222">
        <v>10000</v>
      </c>
      <c r="U2222" t="s">
        <v>5717</v>
      </c>
      <c r="V2222" t="s">
        <v>5718</v>
      </c>
      <c r="W2222">
        <v>1</v>
      </c>
      <c r="X2222">
        <v>1</v>
      </c>
      <c r="Z2222" s="37">
        <v>1</v>
      </c>
      <c r="AA2222" s="37">
        <v>0.4</v>
      </c>
      <c r="AB2222">
        <v>0</v>
      </c>
    </row>
    <row r="2223">
      <c r="A2223" t="s">
        <v>5950</v>
      </c>
      <c r="B2223" t="s">
        <v>3672</v>
      </c>
      <c r="C2223" t="s">
        <v>3672</v>
      </c>
      <c r="D2223" t="s">
        <v>5155</v>
      </c>
      <c r="E2223" t="s">
        <v>5951</v>
      </c>
      <c r="F2223" t="s">
        <v>298</v>
      </c>
      <c r="G2223" t="s">
        <v>5924</v>
      </c>
      <c r="H2223" t="s">
        <v>5925</v>
      </c>
      <c r="I2223" t="s">
        <v>5908</v>
      </c>
      <c r="J2223" t="s">
        <v>3227</v>
      </c>
      <c r="K2223">
        <v>100</v>
      </c>
      <c r="L2223" t="s">
        <v>455</v>
      </c>
      <c r="M2223" s="37">
        <v>1</v>
      </c>
      <c r="N2223" s="37">
        <v>1</v>
      </c>
      <c r="O2223">
        <v>0</v>
      </c>
      <c r="P2223" s="37">
        <v>1</v>
      </c>
      <c r="Q2223">
        <v>0</v>
      </c>
      <c r="R2223">
        <v>0</v>
      </c>
      <c r="S2223">
        <v>0</v>
      </c>
      <c r="T2223">
        <v>10000</v>
      </c>
      <c r="U2223" t="s">
        <v>5717</v>
      </c>
      <c r="V2223" t="s">
        <v>5718</v>
      </c>
      <c r="W2223">
        <v>1</v>
      </c>
      <c r="X2223">
        <v>1</v>
      </c>
      <c r="Z2223" s="37">
        <v>1</v>
      </c>
      <c r="AA2223" s="37">
        <v>0.4</v>
      </c>
      <c r="AB2223">
        <v>0</v>
      </c>
    </row>
    <row r="2224">
      <c r="A2224" t="s">
        <v>5952</v>
      </c>
      <c r="B2224" t="s">
        <v>3672</v>
      </c>
      <c r="C2224" t="s">
        <v>3672</v>
      </c>
      <c r="D2224" t="s">
        <v>5155</v>
      </c>
      <c r="E2224" t="s">
        <v>5953</v>
      </c>
      <c r="F2224" t="s">
        <v>298</v>
      </c>
      <c r="G2224" t="s">
        <v>5924</v>
      </c>
      <c r="H2224" t="s">
        <v>5925</v>
      </c>
      <c r="I2224" t="s">
        <v>5908</v>
      </c>
      <c r="J2224" t="s">
        <v>3227</v>
      </c>
      <c r="K2224">
        <v>100</v>
      </c>
      <c r="L2224" t="s">
        <v>455</v>
      </c>
      <c r="M2224" s="37">
        <v>1</v>
      </c>
      <c r="N2224" s="37">
        <v>1</v>
      </c>
      <c r="O2224">
        <v>0</v>
      </c>
      <c r="P2224" s="37">
        <v>1</v>
      </c>
      <c r="Q2224">
        <v>0</v>
      </c>
      <c r="R2224">
        <v>0</v>
      </c>
      <c r="S2224">
        <v>0</v>
      </c>
      <c r="T2224">
        <v>10000</v>
      </c>
      <c r="U2224" t="s">
        <v>5717</v>
      </c>
      <c r="V2224" t="s">
        <v>5718</v>
      </c>
      <c r="W2224">
        <v>1</v>
      </c>
      <c r="X2224">
        <v>1</v>
      </c>
      <c r="Z2224" s="37">
        <v>1</v>
      </c>
      <c r="AA2224" s="37">
        <v>0.4</v>
      </c>
      <c r="AB2224">
        <v>0</v>
      </c>
    </row>
    <row r="2225">
      <c r="A2225" t="s">
        <v>5954</v>
      </c>
      <c r="B2225" t="s">
        <v>3672</v>
      </c>
      <c r="C2225" t="s">
        <v>3672</v>
      </c>
      <c r="D2225" t="s">
        <v>5155</v>
      </c>
      <c r="E2225" t="s">
        <v>5955</v>
      </c>
      <c r="F2225" t="s">
        <v>298</v>
      </c>
      <c r="G2225" t="s">
        <v>5924</v>
      </c>
      <c r="H2225" t="s">
        <v>5925</v>
      </c>
      <c r="I2225" t="s">
        <v>5908</v>
      </c>
      <c r="J2225" t="s">
        <v>3227</v>
      </c>
      <c r="K2225">
        <v>100</v>
      </c>
      <c r="L2225" t="s">
        <v>455</v>
      </c>
      <c r="M2225" s="37">
        <v>1</v>
      </c>
      <c r="N2225" s="37">
        <v>1</v>
      </c>
      <c r="O2225">
        <v>190</v>
      </c>
      <c r="P2225" s="37">
        <v>1</v>
      </c>
      <c r="Q2225">
        <v>190</v>
      </c>
      <c r="R2225">
        <v>0</v>
      </c>
      <c r="S2225">
        <v>0</v>
      </c>
      <c r="T2225">
        <v>10000</v>
      </c>
      <c r="U2225" t="s">
        <v>5717</v>
      </c>
      <c r="V2225" t="s">
        <v>5718</v>
      </c>
      <c r="W2225">
        <v>1</v>
      </c>
      <c r="X2225">
        <v>1</v>
      </c>
      <c r="Z2225" s="37">
        <v>1</v>
      </c>
      <c r="AA2225" s="37">
        <v>0.4</v>
      </c>
      <c r="AB2225">
        <v>0</v>
      </c>
    </row>
    <row r="2226">
      <c r="A2226" t="s">
        <v>5956</v>
      </c>
      <c r="B2226" t="s">
        <v>3672</v>
      </c>
      <c r="C2226" t="s">
        <v>3672</v>
      </c>
      <c r="D2226" t="s">
        <v>5155</v>
      </c>
      <c r="E2226" t="s">
        <v>5957</v>
      </c>
      <c r="F2226" t="s">
        <v>298</v>
      </c>
      <c r="G2226" t="s">
        <v>5924</v>
      </c>
      <c r="H2226" t="s">
        <v>5925</v>
      </c>
      <c r="I2226" t="s">
        <v>5908</v>
      </c>
      <c r="J2226" t="s">
        <v>3227</v>
      </c>
      <c r="K2226">
        <v>100</v>
      </c>
      <c r="L2226" t="s">
        <v>455</v>
      </c>
      <c r="M2226" s="37">
        <v>1</v>
      </c>
      <c r="N2226" s="37">
        <v>1</v>
      </c>
      <c r="O2226">
        <v>0</v>
      </c>
      <c r="P2226" s="37">
        <v>1</v>
      </c>
      <c r="Q2226">
        <v>0</v>
      </c>
      <c r="R2226">
        <v>0</v>
      </c>
      <c r="S2226">
        <v>0</v>
      </c>
      <c r="T2226">
        <v>10000</v>
      </c>
      <c r="U2226" t="s">
        <v>5717</v>
      </c>
      <c r="V2226" t="s">
        <v>5718</v>
      </c>
      <c r="W2226">
        <v>1</v>
      </c>
      <c r="X2226">
        <v>1</v>
      </c>
      <c r="Z2226" s="37">
        <v>1</v>
      </c>
      <c r="AA2226" s="37">
        <v>0.4</v>
      </c>
      <c r="AB2226">
        <v>0</v>
      </c>
    </row>
    <row r="2227">
      <c r="A2227" t="s">
        <v>5958</v>
      </c>
      <c r="B2227" t="s">
        <v>3672</v>
      </c>
      <c r="C2227" t="s">
        <v>3672</v>
      </c>
      <c r="D2227" t="s">
        <v>5155</v>
      </c>
      <c r="E2227" t="s">
        <v>5959</v>
      </c>
      <c r="F2227" t="s">
        <v>298</v>
      </c>
      <c r="G2227" t="s">
        <v>5924</v>
      </c>
      <c r="H2227" t="s">
        <v>5925</v>
      </c>
      <c r="I2227" t="s">
        <v>5908</v>
      </c>
      <c r="J2227" t="s">
        <v>3227</v>
      </c>
      <c r="K2227">
        <v>100</v>
      </c>
      <c r="L2227" t="s">
        <v>455</v>
      </c>
      <c r="M2227" s="37">
        <v>1</v>
      </c>
      <c r="N2227" s="37">
        <v>1</v>
      </c>
      <c r="O2227">
        <v>0</v>
      </c>
      <c r="P2227" s="37">
        <v>1</v>
      </c>
      <c r="Q2227">
        <v>0</v>
      </c>
      <c r="R2227">
        <v>0</v>
      </c>
      <c r="S2227">
        <v>0</v>
      </c>
      <c r="T2227">
        <v>10000</v>
      </c>
      <c r="U2227" t="s">
        <v>5717</v>
      </c>
      <c r="V2227" t="s">
        <v>5718</v>
      </c>
      <c r="W2227">
        <v>1</v>
      </c>
      <c r="X2227">
        <v>1</v>
      </c>
      <c r="Z2227" s="37">
        <v>1</v>
      </c>
      <c r="AA2227" s="37">
        <v>0.4</v>
      </c>
      <c r="AB2227">
        <v>0</v>
      </c>
    </row>
    <row r="2228">
      <c r="A2228" t="s">
        <v>5960</v>
      </c>
      <c r="B2228" t="s">
        <v>3672</v>
      </c>
      <c r="C2228" t="s">
        <v>3672</v>
      </c>
      <c r="D2228" t="s">
        <v>4748</v>
      </c>
      <c r="E2228" t="s">
        <v>5961</v>
      </c>
      <c r="F2228" t="s">
        <v>298</v>
      </c>
      <c r="G2228" t="s">
        <v>5962</v>
      </c>
      <c r="H2228" t="s">
        <v>5963</v>
      </c>
      <c r="I2228" t="s">
        <v>5908</v>
      </c>
      <c r="J2228" t="s">
        <v>5964</v>
      </c>
      <c r="K2228" t="s">
        <v>3227</v>
      </c>
      <c r="L2228" t="s">
        <v>455</v>
      </c>
      <c r="M2228" s="37">
        <v>0.925</v>
      </c>
      <c r="N2228" s="37">
        <v>0.1</v>
      </c>
      <c r="O2228">
        <v>9.25</v>
      </c>
      <c r="P2228" s="37">
        <v>0.9844</v>
      </c>
      <c r="Q2228">
        <v>98.44</v>
      </c>
      <c r="R2228">
        <v>1000</v>
      </c>
      <c r="S2228">
        <v>1225</v>
      </c>
      <c r="T2228">
        <v>1000</v>
      </c>
      <c r="U2228" t="s">
        <v>5717</v>
      </c>
      <c r="V2228" t="s">
        <v>5718</v>
      </c>
      <c r="W2228">
        <v>1</v>
      </c>
      <c r="X2228">
        <v>1</v>
      </c>
      <c r="Z2228" s="37">
        <v>1</v>
      </c>
      <c r="AA2228" s="37">
        <v>0.4</v>
      </c>
      <c r="AB2228">
        <v>0</v>
      </c>
    </row>
    <row r="2229">
      <c r="A2229" t="s">
        <v>5960</v>
      </c>
      <c r="B2229" t="s">
        <v>3672</v>
      </c>
      <c r="C2229" t="s">
        <v>3672</v>
      </c>
      <c r="D2229" t="s">
        <v>4748</v>
      </c>
      <c r="E2229" t="s">
        <v>5961</v>
      </c>
      <c r="F2229" t="s">
        <v>298</v>
      </c>
      <c r="G2229" t="s">
        <v>5962</v>
      </c>
      <c r="H2229" t="s">
        <v>3609</v>
      </c>
      <c r="I2229" t="s">
        <v>5908</v>
      </c>
      <c r="J2229" t="s">
        <v>5964</v>
      </c>
      <c r="K2229" t="s">
        <v>3227</v>
      </c>
      <c r="L2229" t="s">
        <v>455</v>
      </c>
      <c r="M2229" s="37">
        <v>0.973</v>
      </c>
      <c r="N2229" s="37">
        <v>0.3</v>
      </c>
      <c r="O2229">
        <v>29.19</v>
      </c>
      <c r="P2229" s="37">
        <v>0.9844</v>
      </c>
      <c r="Q2229">
        <v>98.44</v>
      </c>
      <c r="R2229">
        <v>1000</v>
      </c>
      <c r="S2229">
        <v>1225</v>
      </c>
      <c r="T2229">
        <v>1000</v>
      </c>
      <c r="U2229" t="s">
        <v>5717</v>
      </c>
      <c r="V2229" t="s">
        <v>5718</v>
      </c>
      <c r="W2229">
        <v>1</v>
      </c>
      <c r="X2229">
        <v>1</v>
      </c>
      <c r="Z2229" s="37">
        <v>1</v>
      </c>
      <c r="AA2229" s="37">
        <v>0.4</v>
      </c>
      <c r="AB2229">
        <v>0</v>
      </c>
    </row>
    <row r="2230">
      <c r="A2230" t="s">
        <v>5960</v>
      </c>
      <c r="B2230" t="s">
        <v>3672</v>
      </c>
      <c r="C2230" t="s">
        <v>3672</v>
      </c>
      <c r="D2230" t="s">
        <v>4748</v>
      </c>
      <c r="E2230" t="s">
        <v>5961</v>
      </c>
      <c r="F2230" t="s">
        <v>298</v>
      </c>
      <c r="G2230" t="s">
        <v>5962</v>
      </c>
      <c r="H2230" t="s">
        <v>5965</v>
      </c>
      <c r="I2230" t="s">
        <v>5908</v>
      </c>
      <c r="J2230" t="s">
        <v>5964</v>
      </c>
      <c r="K2230" t="s">
        <v>3227</v>
      </c>
      <c r="L2230" t="s">
        <v>455</v>
      </c>
      <c r="M2230" s="37">
        <v>1</v>
      </c>
      <c r="N2230" s="37">
        <v>0.6</v>
      </c>
      <c r="O2230">
        <v>60</v>
      </c>
      <c r="P2230" s="37">
        <v>0.9844</v>
      </c>
      <c r="Q2230">
        <v>98.44</v>
      </c>
      <c r="R2230">
        <v>1000</v>
      </c>
      <c r="S2230">
        <v>1225</v>
      </c>
      <c r="T2230">
        <v>1000</v>
      </c>
      <c r="U2230" t="s">
        <v>5717</v>
      </c>
      <c r="V2230" t="s">
        <v>5718</v>
      </c>
      <c r="W2230">
        <v>1</v>
      </c>
      <c r="X2230">
        <v>1</v>
      </c>
      <c r="Z2230" s="37">
        <v>1</v>
      </c>
      <c r="AA2230" s="37">
        <v>0.4</v>
      </c>
      <c r="AB2230">
        <v>0</v>
      </c>
    </row>
    <row r="2231">
      <c r="A2231" t="s">
        <v>5966</v>
      </c>
      <c r="B2231" t="s">
        <v>3672</v>
      </c>
      <c r="C2231" t="s">
        <v>3672</v>
      </c>
      <c r="D2231" t="s">
        <v>4748</v>
      </c>
      <c r="E2231" t="s">
        <v>5967</v>
      </c>
      <c r="F2231" t="s">
        <v>298</v>
      </c>
      <c r="G2231" t="s">
        <v>5962</v>
      </c>
      <c r="H2231" t="s">
        <v>5963</v>
      </c>
      <c r="I2231" t="s">
        <v>5908</v>
      </c>
      <c r="J2231" t="s">
        <v>5964</v>
      </c>
      <c r="K2231" t="s">
        <v>3227</v>
      </c>
      <c r="L2231" t="s">
        <v>455</v>
      </c>
      <c r="M2231" s="37">
        <v>0.9375</v>
      </c>
      <c r="N2231" s="37">
        <v>0.1</v>
      </c>
      <c r="O2231">
        <v>9.375</v>
      </c>
      <c r="P2231" s="37">
        <v>0.98565</v>
      </c>
      <c r="Q2231">
        <v>98.57</v>
      </c>
      <c r="R2231">
        <v>1200</v>
      </c>
      <c r="S2231">
        <v>1650</v>
      </c>
      <c r="T2231">
        <v>1000</v>
      </c>
      <c r="U2231" t="s">
        <v>5717</v>
      </c>
      <c r="V2231" t="s">
        <v>5718</v>
      </c>
      <c r="W2231">
        <v>1</v>
      </c>
      <c r="X2231">
        <v>1</v>
      </c>
      <c r="Z2231" s="37">
        <v>1</v>
      </c>
      <c r="AA2231" s="37">
        <v>0.4</v>
      </c>
      <c r="AB2231">
        <v>0</v>
      </c>
    </row>
    <row r="2232">
      <c r="A2232" t="s">
        <v>5966</v>
      </c>
      <c r="B2232" t="s">
        <v>3672</v>
      </c>
      <c r="C2232" t="s">
        <v>3672</v>
      </c>
      <c r="D2232" t="s">
        <v>4748</v>
      </c>
      <c r="E2232" t="s">
        <v>5967</v>
      </c>
      <c r="F2232" t="s">
        <v>298</v>
      </c>
      <c r="G2232" t="s">
        <v>5962</v>
      </c>
      <c r="H2232" t="s">
        <v>3609</v>
      </c>
      <c r="I2232" t="s">
        <v>5908</v>
      </c>
      <c r="J2232" t="s">
        <v>5964</v>
      </c>
      <c r="K2232" t="s">
        <v>3227</v>
      </c>
      <c r="L2232" t="s">
        <v>455</v>
      </c>
      <c r="M2232" s="37">
        <v>0.973</v>
      </c>
      <c r="N2232" s="37">
        <v>0.3</v>
      </c>
      <c r="O2232">
        <v>29.19</v>
      </c>
      <c r="P2232" s="37">
        <v>0.98565</v>
      </c>
      <c r="Q2232">
        <v>98.57</v>
      </c>
      <c r="R2232">
        <v>1200</v>
      </c>
      <c r="S2232">
        <v>1650</v>
      </c>
      <c r="T2232">
        <v>1000</v>
      </c>
      <c r="U2232" t="s">
        <v>5717</v>
      </c>
      <c r="V2232" t="s">
        <v>5718</v>
      </c>
      <c r="W2232">
        <v>1</v>
      </c>
      <c r="X2232">
        <v>1</v>
      </c>
      <c r="Z2232" s="37">
        <v>1</v>
      </c>
      <c r="AA2232" s="37">
        <v>0.4</v>
      </c>
      <c r="AB2232">
        <v>0</v>
      </c>
    </row>
    <row r="2233">
      <c r="A2233" t="s">
        <v>5966</v>
      </c>
      <c r="B2233" t="s">
        <v>3672</v>
      </c>
      <c r="C2233" t="s">
        <v>3672</v>
      </c>
      <c r="D2233" t="s">
        <v>4748</v>
      </c>
      <c r="E2233" t="s">
        <v>5967</v>
      </c>
      <c r="F2233" t="s">
        <v>298</v>
      </c>
      <c r="G2233" t="s">
        <v>5962</v>
      </c>
      <c r="H2233" t="s">
        <v>5965</v>
      </c>
      <c r="I2233" t="s">
        <v>5908</v>
      </c>
      <c r="J2233" t="s">
        <v>5964</v>
      </c>
      <c r="K2233" t="s">
        <v>3227</v>
      </c>
      <c r="L2233" t="s">
        <v>455</v>
      </c>
      <c r="M2233" s="37">
        <v>1</v>
      </c>
      <c r="N2233" s="37">
        <v>0.6</v>
      </c>
      <c r="O2233">
        <v>60</v>
      </c>
      <c r="P2233" s="37">
        <v>0.98565</v>
      </c>
      <c r="Q2233">
        <v>98.57</v>
      </c>
      <c r="R2233">
        <v>1200</v>
      </c>
      <c r="S2233">
        <v>1650</v>
      </c>
      <c r="T2233">
        <v>1000</v>
      </c>
      <c r="U2233" t="s">
        <v>5717</v>
      </c>
      <c r="V2233" t="s">
        <v>5718</v>
      </c>
      <c r="W2233">
        <v>1</v>
      </c>
      <c r="X2233">
        <v>1</v>
      </c>
      <c r="Z2233" s="37">
        <v>1</v>
      </c>
      <c r="AA2233" s="37">
        <v>0.4</v>
      </c>
      <c r="AB2233">
        <v>0</v>
      </c>
    </row>
    <row r="2234">
      <c r="A2234" t="s">
        <v>5968</v>
      </c>
      <c r="B2234" t="s">
        <v>3672</v>
      </c>
      <c r="C2234" t="s">
        <v>3672</v>
      </c>
      <c r="D2234" t="s">
        <v>4748</v>
      </c>
      <c r="E2234" t="s">
        <v>5969</v>
      </c>
      <c r="F2234" t="s">
        <v>298</v>
      </c>
      <c r="G2234" t="s">
        <v>5962</v>
      </c>
      <c r="H2234" t="s">
        <v>5963</v>
      </c>
      <c r="I2234" t="s">
        <v>5908</v>
      </c>
      <c r="J2234" t="s">
        <v>5964</v>
      </c>
      <c r="K2234" t="s">
        <v>3227</v>
      </c>
      <c r="L2234" t="s">
        <v>455</v>
      </c>
      <c r="M2234" s="37">
        <v>0.95</v>
      </c>
      <c r="N2234" s="37">
        <v>0.1</v>
      </c>
      <c r="O2234">
        <v>9.5</v>
      </c>
      <c r="P2234" s="37">
        <v>0.9929</v>
      </c>
      <c r="Q2234">
        <v>99.29</v>
      </c>
      <c r="R2234">
        <v>1600</v>
      </c>
      <c r="S2234">
        <v>1750</v>
      </c>
      <c r="T2234">
        <v>1000</v>
      </c>
      <c r="U2234" t="s">
        <v>5717</v>
      </c>
      <c r="V2234" t="s">
        <v>5718</v>
      </c>
      <c r="W2234">
        <v>1</v>
      </c>
      <c r="X2234">
        <v>1</v>
      </c>
      <c r="Z2234" s="37">
        <v>1</v>
      </c>
      <c r="AA2234" s="37">
        <v>0.4</v>
      </c>
      <c r="AB2234">
        <v>0</v>
      </c>
    </row>
    <row r="2235">
      <c r="A2235" t="s">
        <v>5968</v>
      </c>
      <c r="B2235" t="s">
        <v>3672</v>
      </c>
      <c r="C2235" t="s">
        <v>3672</v>
      </c>
      <c r="D2235" t="s">
        <v>4748</v>
      </c>
      <c r="E2235" t="s">
        <v>5969</v>
      </c>
      <c r="F2235" t="s">
        <v>298</v>
      </c>
      <c r="G2235" t="s">
        <v>5962</v>
      </c>
      <c r="H2235" t="s">
        <v>3609</v>
      </c>
      <c r="I2235" t="s">
        <v>5908</v>
      </c>
      <c r="J2235" t="s">
        <v>5964</v>
      </c>
      <c r="K2235" t="s">
        <v>3227</v>
      </c>
      <c r="L2235" t="s">
        <v>455</v>
      </c>
      <c r="M2235" s="37">
        <v>0.993</v>
      </c>
      <c r="N2235" s="37">
        <v>0.3</v>
      </c>
      <c r="O2235">
        <v>29.79</v>
      </c>
      <c r="P2235" s="37">
        <v>0.9929</v>
      </c>
      <c r="Q2235">
        <v>99.29</v>
      </c>
      <c r="R2235">
        <v>1600</v>
      </c>
      <c r="S2235">
        <v>1750</v>
      </c>
      <c r="T2235">
        <v>1000</v>
      </c>
      <c r="U2235" t="s">
        <v>5717</v>
      </c>
      <c r="V2235" t="s">
        <v>5718</v>
      </c>
      <c r="W2235">
        <v>1</v>
      </c>
      <c r="X2235">
        <v>1</v>
      </c>
      <c r="Z2235" s="37">
        <v>1</v>
      </c>
      <c r="AA2235" s="37">
        <v>0.4</v>
      </c>
      <c r="AB2235">
        <v>0</v>
      </c>
    </row>
    <row r="2236">
      <c r="A2236" t="s">
        <v>5968</v>
      </c>
      <c r="B2236" t="s">
        <v>3672</v>
      </c>
      <c r="C2236" t="s">
        <v>3672</v>
      </c>
      <c r="D2236" t="s">
        <v>4748</v>
      </c>
      <c r="E2236" t="s">
        <v>5969</v>
      </c>
      <c r="F2236" t="s">
        <v>298</v>
      </c>
      <c r="G2236" t="s">
        <v>5962</v>
      </c>
      <c r="H2236" t="s">
        <v>5965</v>
      </c>
      <c r="I2236" t="s">
        <v>5908</v>
      </c>
      <c r="J2236" t="s">
        <v>5964</v>
      </c>
      <c r="K2236" t="s">
        <v>3227</v>
      </c>
      <c r="L2236" t="s">
        <v>455</v>
      </c>
      <c r="M2236" s="37">
        <v>1</v>
      </c>
      <c r="N2236" s="37">
        <v>0.6</v>
      </c>
      <c r="O2236">
        <v>60</v>
      </c>
      <c r="P2236" s="37">
        <v>0.9929</v>
      </c>
      <c r="Q2236">
        <v>99.29</v>
      </c>
      <c r="R2236">
        <v>1600</v>
      </c>
      <c r="S2236">
        <v>1750</v>
      </c>
      <c r="T2236">
        <v>1000</v>
      </c>
      <c r="U2236" t="s">
        <v>5717</v>
      </c>
      <c r="V2236" t="s">
        <v>5718</v>
      </c>
      <c r="W2236">
        <v>1</v>
      </c>
      <c r="X2236">
        <v>1</v>
      </c>
      <c r="Z2236" s="37">
        <v>1</v>
      </c>
      <c r="AA2236" s="37">
        <v>0.4</v>
      </c>
      <c r="AB2236">
        <v>0</v>
      </c>
    </row>
    <row r="2237">
      <c r="A2237" t="s">
        <v>5970</v>
      </c>
      <c r="B2237" t="s">
        <v>3672</v>
      </c>
      <c r="C2237" t="s">
        <v>3672</v>
      </c>
      <c r="D2237" t="s">
        <v>4748</v>
      </c>
      <c r="E2237" t="s">
        <v>5971</v>
      </c>
      <c r="F2237" t="s">
        <v>298</v>
      </c>
      <c r="G2237" t="s">
        <v>5962</v>
      </c>
      <c r="H2237" t="s">
        <v>5963</v>
      </c>
      <c r="I2237" t="s">
        <v>5908</v>
      </c>
      <c r="J2237" t="s">
        <v>5964</v>
      </c>
      <c r="K2237" t="s">
        <v>3227</v>
      </c>
      <c r="L2237" t="s">
        <v>455</v>
      </c>
      <c r="M2237" s="37">
        <v>0.925</v>
      </c>
      <c r="N2237" s="37">
        <v>0.1</v>
      </c>
      <c r="O2237">
        <v>9.25</v>
      </c>
      <c r="P2237" s="37">
        <v>0.9775</v>
      </c>
      <c r="Q2237">
        <v>97.75</v>
      </c>
      <c r="R2237">
        <v>300</v>
      </c>
      <c r="S2237">
        <v>300</v>
      </c>
      <c r="T2237">
        <v>1000</v>
      </c>
      <c r="U2237" t="s">
        <v>5717</v>
      </c>
      <c r="V2237" t="s">
        <v>5718</v>
      </c>
      <c r="W2237">
        <v>1</v>
      </c>
      <c r="X2237">
        <v>1</v>
      </c>
      <c r="Z2237" s="37">
        <v>1</v>
      </c>
      <c r="AA2237" s="37">
        <v>0.4</v>
      </c>
      <c r="AB2237">
        <v>0</v>
      </c>
    </row>
    <row r="2238">
      <c r="A2238" t="s">
        <v>5970</v>
      </c>
      <c r="B2238" t="s">
        <v>3672</v>
      </c>
      <c r="C2238" t="s">
        <v>3672</v>
      </c>
      <c r="D2238" t="s">
        <v>4748</v>
      </c>
      <c r="E2238" t="s">
        <v>5971</v>
      </c>
      <c r="F2238" t="s">
        <v>298</v>
      </c>
      <c r="G2238" t="s">
        <v>5962</v>
      </c>
      <c r="H2238" t="s">
        <v>3609</v>
      </c>
      <c r="I2238" t="s">
        <v>5908</v>
      </c>
      <c r="J2238" t="s">
        <v>5964</v>
      </c>
      <c r="K2238" t="s">
        <v>3227</v>
      </c>
      <c r="L2238" t="s">
        <v>455</v>
      </c>
      <c r="M2238" s="37">
        <v>0.95</v>
      </c>
      <c r="N2238" s="37">
        <v>0.3</v>
      </c>
      <c r="O2238">
        <v>28.5</v>
      </c>
      <c r="P2238" s="37">
        <v>0.9775</v>
      </c>
      <c r="Q2238">
        <v>97.75</v>
      </c>
      <c r="R2238">
        <v>300</v>
      </c>
      <c r="S2238">
        <v>300</v>
      </c>
      <c r="T2238">
        <v>1000</v>
      </c>
      <c r="U2238" t="s">
        <v>5717</v>
      </c>
      <c r="V2238" t="s">
        <v>5718</v>
      </c>
      <c r="W2238">
        <v>1</v>
      </c>
      <c r="X2238">
        <v>1</v>
      </c>
      <c r="Z2238" s="37">
        <v>1</v>
      </c>
      <c r="AA2238" s="37">
        <v>0.4</v>
      </c>
      <c r="AB2238">
        <v>0</v>
      </c>
    </row>
    <row r="2239">
      <c r="A2239" t="s">
        <v>5970</v>
      </c>
      <c r="B2239" t="s">
        <v>3672</v>
      </c>
      <c r="C2239" t="s">
        <v>3672</v>
      </c>
      <c r="D2239" t="s">
        <v>4748</v>
      </c>
      <c r="E2239" t="s">
        <v>5971</v>
      </c>
      <c r="F2239" t="s">
        <v>298</v>
      </c>
      <c r="G2239" t="s">
        <v>5962</v>
      </c>
      <c r="H2239" t="s">
        <v>5965</v>
      </c>
      <c r="I2239" t="s">
        <v>5908</v>
      </c>
      <c r="J2239" t="s">
        <v>5964</v>
      </c>
      <c r="K2239" t="s">
        <v>3227</v>
      </c>
      <c r="L2239" t="s">
        <v>455</v>
      </c>
      <c r="M2239" s="37">
        <v>1</v>
      </c>
      <c r="N2239" s="37">
        <v>0.6</v>
      </c>
      <c r="O2239">
        <v>60</v>
      </c>
      <c r="P2239" s="37">
        <v>0.9775</v>
      </c>
      <c r="Q2239">
        <v>97.75</v>
      </c>
      <c r="R2239">
        <v>300</v>
      </c>
      <c r="S2239">
        <v>300</v>
      </c>
      <c r="T2239">
        <v>1000</v>
      </c>
      <c r="U2239" t="s">
        <v>5717</v>
      </c>
      <c r="V2239" t="s">
        <v>5718</v>
      </c>
      <c r="W2239">
        <v>1</v>
      </c>
      <c r="X2239">
        <v>1</v>
      </c>
      <c r="Z2239" s="37">
        <v>1</v>
      </c>
      <c r="AA2239" s="37">
        <v>0.4</v>
      </c>
      <c r="AB2239">
        <v>0</v>
      </c>
    </row>
    <row r="2240">
      <c r="A2240" t="s">
        <v>5972</v>
      </c>
      <c r="B2240" t="s">
        <v>3672</v>
      </c>
      <c r="C2240" t="s">
        <v>3672</v>
      </c>
      <c r="D2240" t="s">
        <v>4748</v>
      </c>
      <c r="E2240" t="s">
        <v>5973</v>
      </c>
      <c r="F2240" t="s">
        <v>298</v>
      </c>
      <c r="G2240" t="s">
        <v>5962</v>
      </c>
      <c r="H2240" t="s">
        <v>5963</v>
      </c>
      <c r="I2240" t="s">
        <v>5908</v>
      </c>
      <c r="J2240" t="s">
        <v>5964</v>
      </c>
      <c r="K2240" t="s">
        <v>3227</v>
      </c>
      <c r="L2240" t="s">
        <v>455</v>
      </c>
      <c r="M2240" s="37">
        <v>0.9375</v>
      </c>
      <c r="N2240" s="37">
        <v>0.1</v>
      </c>
      <c r="O2240">
        <v>9.375</v>
      </c>
      <c r="P2240" s="37">
        <v>0.99315</v>
      </c>
      <c r="Q2240">
        <v>99.32</v>
      </c>
      <c r="R2240">
        <v>2050</v>
      </c>
      <c r="S2240">
        <v>2200</v>
      </c>
      <c r="T2240">
        <v>1000</v>
      </c>
      <c r="U2240" t="s">
        <v>5717</v>
      </c>
      <c r="V2240" t="s">
        <v>5718</v>
      </c>
      <c r="W2240">
        <v>1</v>
      </c>
      <c r="X2240">
        <v>1</v>
      </c>
      <c r="Z2240" s="37">
        <v>1</v>
      </c>
      <c r="AA2240" s="37">
        <v>0.4</v>
      </c>
      <c r="AB2240">
        <v>0</v>
      </c>
    </row>
    <row r="2241">
      <c r="A2241" t="s">
        <v>5972</v>
      </c>
      <c r="B2241" t="s">
        <v>3672</v>
      </c>
      <c r="C2241" t="s">
        <v>3672</v>
      </c>
      <c r="D2241" t="s">
        <v>4748</v>
      </c>
      <c r="E2241" t="s">
        <v>5973</v>
      </c>
      <c r="F2241" t="s">
        <v>298</v>
      </c>
      <c r="G2241" t="s">
        <v>5962</v>
      </c>
      <c r="H2241" t="s">
        <v>3609</v>
      </c>
      <c r="I2241" t="s">
        <v>5908</v>
      </c>
      <c r="J2241" t="s">
        <v>5964</v>
      </c>
      <c r="K2241" t="s">
        <v>3227</v>
      </c>
      <c r="L2241" t="s">
        <v>455</v>
      </c>
      <c r="M2241" s="37">
        <v>0.998</v>
      </c>
      <c r="N2241" s="37">
        <v>0.3</v>
      </c>
      <c r="O2241">
        <v>29.94</v>
      </c>
      <c r="P2241" s="37">
        <v>0.99315</v>
      </c>
      <c r="Q2241">
        <v>99.32</v>
      </c>
      <c r="R2241">
        <v>2050</v>
      </c>
      <c r="S2241">
        <v>2200</v>
      </c>
      <c r="T2241">
        <v>1000</v>
      </c>
      <c r="U2241" t="s">
        <v>5717</v>
      </c>
      <c r="V2241" t="s">
        <v>5718</v>
      </c>
      <c r="W2241">
        <v>1</v>
      </c>
      <c r="X2241">
        <v>1</v>
      </c>
      <c r="Z2241" s="37">
        <v>1</v>
      </c>
      <c r="AA2241" s="37">
        <v>0.4</v>
      </c>
      <c r="AB2241">
        <v>0</v>
      </c>
    </row>
    <row r="2242">
      <c r="A2242" t="s">
        <v>5972</v>
      </c>
      <c r="B2242" t="s">
        <v>3672</v>
      </c>
      <c r="C2242" t="s">
        <v>3672</v>
      </c>
      <c r="D2242" t="s">
        <v>4748</v>
      </c>
      <c r="E2242" t="s">
        <v>5973</v>
      </c>
      <c r="F2242" t="s">
        <v>298</v>
      </c>
      <c r="G2242" t="s">
        <v>5962</v>
      </c>
      <c r="H2242" t="s">
        <v>5965</v>
      </c>
      <c r="I2242" t="s">
        <v>5908</v>
      </c>
      <c r="J2242" t="s">
        <v>5964</v>
      </c>
      <c r="K2242" t="s">
        <v>3227</v>
      </c>
      <c r="L2242" t="s">
        <v>455</v>
      </c>
      <c r="M2242" s="37">
        <v>1</v>
      </c>
      <c r="N2242" s="37">
        <v>0.6</v>
      </c>
      <c r="O2242">
        <v>60</v>
      </c>
      <c r="P2242" s="37">
        <v>0.99315</v>
      </c>
      <c r="Q2242">
        <v>99.32</v>
      </c>
      <c r="R2242">
        <v>2050</v>
      </c>
      <c r="S2242">
        <v>2200</v>
      </c>
      <c r="T2242">
        <v>1000</v>
      </c>
      <c r="U2242" t="s">
        <v>5717</v>
      </c>
      <c r="V2242" t="s">
        <v>5718</v>
      </c>
      <c r="W2242">
        <v>1</v>
      </c>
      <c r="X2242">
        <v>1</v>
      </c>
      <c r="Z2242" s="37">
        <v>1</v>
      </c>
      <c r="AA2242" s="37">
        <v>0.4</v>
      </c>
      <c r="AB2242">
        <v>0</v>
      </c>
    </row>
    <row r="2243">
      <c r="A2243" t="s">
        <v>5974</v>
      </c>
      <c r="B2243" t="s">
        <v>3672</v>
      </c>
      <c r="C2243" t="s">
        <v>3672</v>
      </c>
      <c r="D2243" t="s">
        <v>4748</v>
      </c>
      <c r="E2243" t="s">
        <v>5975</v>
      </c>
      <c r="F2243" t="s">
        <v>298</v>
      </c>
      <c r="G2243" t="s">
        <v>5962</v>
      </c>
      <c r="H2243" t="s">
        <v>5963</v>
      </c>
      <c r="I2243" t="s">
        <v>5908</v>
      </c>
      <c r="J2243" t="s">
        <v>5964</v>
      </c>
      <c r="K2243" t="s">
        <v>3227</v>
      </c>
      <c r="L2243" t="s">
        <v>455</v>
      </c>
      <c r="M2243" s="37">
        <v>0.925</v>
      </c>
      <c r="N2243" s="37">
        <v>0.1</v>
      </c>
      <c r="O2243">
        <v>9.25</v>
      </c>
      <c r="P2243" s="37">
        <v>0.9853</v>
      </c>
      <c r="Q2243">
        <v>98.53</v>
      </c>
      <c r="R2243">
        <v>1200</v>
      </c>
      <c r="S2243">
        <v>1425</v>
      </c>
      <c r="T2243">
        <v>1000</v>
      </c>
      <c r="U2243" t="s">
        <v>5717</v>
      </c>
      <c r="V2243" t="s">
        <v>5718</v>
      </c>
      <c r="W2243">
        <v>1</v>
      </c>
      <c r="X2243">
        <v>1</v>
      </c>
      <c r="Z2243" s="37">
        <v>1</v>
      </c>
      <c r="AA2243" s="37">
        <v>0.4</v>
      </c>
      <c r="AB2243">
        <v>0</v>
      </c>
    </row>
    <row r="2244">
      <c r="A2244" t="s">
        <v>5974</v>
      </c>
      <c r="B2244" t="s">
        <v>3672</v>
      </c>
      <c r="C2244" t="s">
        <v>3672</v>
      </c>
      <c r="D2244" t="s">
        <v>4748</v>
      </c>
      <c r="E2244" t="s">
        <v>5975</v>
      </c>
      <c r="F2244" t="s">
        <v>298</v>
      </c>
      <c r="G2244" t="s">
        <v>5962</v>
      </c>
      <c r="H2244" t="s">
        <v>3609</v>
      </c>
      <c r="I2244" t="s">
        <v>5908</v>
      </c>
      <c r="J2244" t="s">
        <v>5964</v>
      </c>
      <c r="K2244" t="s">
        <v>3227</v>
      </c>
      <c r="L2244" t="s">
        <v>455</v>
      </c>
      <c r="M2244" s="37">
        <v>0.976</v>
      </c>
      <c r="N2244" s="37">
        <v>0.3</v>
      </c>
      <c r="O2244">
        <v>29.28</v>
      </c>
      <c r="P2244" s="37">
        <v>0.9853</v>
      </c>
      <c r="Q2244">
        <v>98.53</v>
      </c>
      <c r="R2244">
        <v>1200</v>
      </c>
      <c r="S2244">
        <v>1425</v>
      </c>
      <c r="T2244">
        <v>1000</v>
      </c>
      <c r="U2244" t="s">
        <v>5717</v>
      </c>
      <c r="V2244" t="s">
        <v>5718</v>
      </c>
      <c r="W2244">
        <v>1</v>
      </c>
      <c r="X2244">
        <v>1</v>
      </c>
      <c r="Z2244" s="37">
        <v>1</v>
      </c>
      <c r="AA2244" s="37">
        <v>0.4</v>
      </c>
      <c r="AB2244">
        <v>0</v>
      </c>
    </row>
    <row r="2245">
      <c r="A2245" t="s">
        <v>5974</v>
      </c>
      <c r="B2245" t="s">
        <v>3672</v>
      </c>
      <c r="C2245" t="s">
        <v>3672</v>
      </c>
      <c r="D2245" t="s">
        <v>4748</v>
      </c>
      <c r="E2245" t="s">
        <v>5975</v>
      </c>
      <c r="F2245" t="s">
        <v>298</v>
      </c>
      <c r="G2245" t="s">
        <v>5962</v>
      </c>
      <c r="H2245" t="s">
        <v>5965</v>
      </c>
      <c r="I2245" t="s">
        <v>5908</v>
      </c>
      <c r="J2245" t="s">
        <v>5964</v>
      </c>
      <c r="K2245" t="s">
        <v>3227</v>
      </c>
      <c r="L2245" t="s">
        <v>455</v>
      </c>
      <c r="M2245" s="37">
        <v>1</v>
      </c>
      <c r="N2245" s="37">
        <v>0.6</v>
      </c>
      <c r="O2245">
        <v>60</v>
      </c>
      <c r="P2245" s="37">
        <v>0.9853</v>
      </c>
      <c r="Q2245">
        <v>98.53</v>
      </c>
      <c r="R2245">
        <v>1200</v>
      </c>
      <c r="S2245">
        <v>1425</v>
      </c>
      <c r="T2245">
        <v>1000</v>
      </c>
      <c r="U2245" t="s">
        <v>5717</v>
      </c>
      <c r="V2245" t="s">
        <v>5718</v>
      </c>
      <c r="W2245">
        <v>1</v>
      </c>
      <c r="X2245">
        <v>1</v>
      </c>
      <c r="Z2245" s="37">
        <v>1</v>
      </c>
      <c r="AA2245" s="37">
        <v>0.4</v>
      </c>
      <c r="AB2245">
        <v>0</v>
      </c>
    </row>
    <row r="2246">
      <c r="A2246" t="s">
        <v>5976</v>
      </c>
      <c r="B2246" t="s">
        <v>3672</v>
      </c>
      <c r="C2246" t="s">
        <v>3672</v>
      </c>
      <c r="D2246" t="s">
        <v>4748</v>
      </c>
      <c r="E2246" t="s">
        <v>5977</v>
      </c>
      <c r="F2246" t="s">
        <v>298</v>
      </c>
      <c r="G2246" t="s">
        <v>5962</v>
      </c>
      <c r="H2246" t="s">
        <v>5963</v>
      </c>
      <c r="I2246" t="s">
        <v>5908</v>
      </c>
      <c r="J2246" t="s">
        <v>5964</v>
      </c>
      <c r="K2246" t="s">
        <v>3227</v>
      </c>
      <c r="L2246" t="s">
        <v>455</v>
      </c>
      <c r="M2246" s="37">
        <v>0.925</v>
      </c>
      <c r="N2246" s="37">
        <v>0.1</v>
      </c>
      <c r="O2246">
        <v>9.25</v>
      </c>
      <c r="P2246" s="37">
        <v>0.9811</v>
      </c>
      <c r="Q2246">
        <v>98.11</v>
      </c>
      <c r="R2246">
        <v>950</v>
      </c>
      <c r="S2246">
        <v>1100</v>
      </c>
      <c r="T2246">
        <v>1000</v>
      </c>
      <c r="U2246" t="s">
        <v>5717</v>
      </c>
      <c r="V2246" t="s">
        <v>5718</v>
      </c>
      <c r="W2246">
        <v>1</v>
      </c>
      <c r="X2246">
        <v>1</v>
      </c>
      <c r="Z2246" s="37">
        <v>1</v>
      </c>
      <c r="AA2246" s="37">
        <v>0.4</v>
      </c>
      <c r="AB2246">
        <v>0</v>
      </c>
    </row>
    <row r="2247">
      <c r="A2247" t="s">
        <v>5976</v>
      </c>
      <c r="B2247" t="s">
        <v>3672</v>
      </c>
      <c r="C2247" t="s">
        <v>3672</v>
      </c>
      <c r="D2247" t="s">
        <v>4748</v>
      </c>
      <c r="E2247" t="s">
        <v>5977</v>
      </c>
      <c r="F2247" t="s">
        <v>298</v>
      </c>
      <c r="G2247" t="s">
        <v>5962</v>
      </c>
      <c r="H2247" t="s">
        <v>3609</v>
      </c>
      <c r="I2247" t="s">
        <v>5908</v>
      </c>
      <c r="J2247" t="s">
        <v>5964</v>
      </c>
      <c r="K2247" t="s">
        <v>3227</v>
      </c>
      <c r="L2247" t="s">
        <v>455</v>
      </c>
      <c r="M2247" s="37">
        <v>0.962</v>
      </c>
      <c r="N2247" s="37">
        <v>0.3</v>
      </c>
      <c r="O2247">
        <v>28.86</v>
      </c>
      <c r="P2247" s="37">
        <v>0.9811</v>
      </c>
      <c r="Q2247">
        <v>98.11</v>
      </c>
      <c r="R2247">
        <v>950</v>
      </c>
      <c r="S2247">
        <v>1100</v>
      </c>
      <c r="T2247">
        <v>1000</v>
      </c>
      <c r="U2247" t="s">
        <v>5717</v>
      </c>
      <c r="V2247" t="s">
        <v>5718</v>
      </c>
      <c r="W2247">
        <v>1</v>
      </c>
      <c r="X2247">
        <v>1</v>
      </c>
      <c r="Z2247" s="37">
        <v>1</v>
      </c>
      <c r="AA2247" s="37">
        <v>0.4</v>
      </c>
      <c r="AB2247">
        <v>0</v>
      </c>
    </row>
    <row r="2248">
      <c r="A2248" t="s">
        <v>5976</v>
      </c>
      <c r="B2248" t="s">
        <v>3672</v>
      </c>
      <c r="C2248" t="s">
        <v>3672</v>
      </c>
      <c r="D2248" t="s">
        <v>4748</v>
      </c>
      <c r="E2248" t="s">
        <v>5977</v>
      </c>
      <c r="F2248" t="s">
        <v>298</v>
      </c>
      <c r="G2248" t="s">
        <v>5962</v>
      </c>
      <c r="H2248" t="s">
        <v>5965</v>
      </c>
      <c r="I2248" t="s">
        <v>5908</v>
      </c>
      <c r="J2248" t="s">
        <v>5964</v>
      </c>
      <c r="K2248" t="s">
        <v>3227</v>
      </c>
      <c r="L2248" t="s">
        <v>455</v>
      </c>
      <c r="M2248" s="37">
        <v>1</v>
      </c>
      <c r="N2248" s="37">
        <v>0.6</v>
      </c>
      <c r="O2248">
        <v>60</v>
      </c>
      <c r="P2248" s="37">
        <v>0.9811</v>
      </c>
      <c r="Q2248">
        <v>98.11</v>
      </c>
      <c r="R2248">
        <v>950</v>
      </c>
      <c r="S2248">
        <v>1100</v>
      </c>
      <c r="T2248">
        <v>1000</v>
      </c>
      <c r="U2248" t="s">
        <v>5717</v>
      </c>
      <c r="V2248" t="s">
        <v>5718</v>
      </c>
      <c r="W2248">
        <v>1</v>
      </c>
      <c r="X2248">
        <v>1</v>
      </c>
      <c r="Z2248" s="37">
        <v>1</v>
      </c>
      <c r="AA2248" s="37">
        <v>0.4</v>
      </c>
      <c r="AB2248">
        <v>0</v>
      </c>
    </row>
    <row r="2249">
      <c r="A2249" t="s">
        <v>5978</v>
      </c>
      <c r="B2249" t="s">
        <v>3672</v>
      </c>
      <c r="C2249" t="s">
        <v>3672</v>
      </c>
      <c r="D2249" t="s">
        <v>4748</v>
      </c>
      <c r="E2249" t="s">
        <v>5979</v>
      </c>
      <c r="F2249" t="s">
        <v>298</v>
      </c>
      <c r="G2249" t="s">
        <v>5962</v>
      </c>
      <c r="H2249" t="s">
        <v>5963</v>
      </c>
      <c r="I2249" t="s">
        <v>5908</v>
      </c>
      <c r="J2249" t="s">
        <v>5964</v>
      </c>
      <c r="K2249" t="s">
        <v>3227</v>
      </c>
      <c r="L2249" t="s">
        <v>455</v>
      </c>
      <c r="M2249" s="37">
        <v>0.9125</v>
      </c>
      <c r="N2249" s="37">
        <v>0.1</v>
      </c>
      <c r="O2249">
        <v>9.125</v>
      </c>
      <c r="P2249" s="37">
        <v>0.98615</v>
      </c>
      <c r="Q2249">
        <v>98.62</v>
      </c>
      <c r="R2249">
        <v>1500</v>
      </c>
      <c r="S2249">
        <v>1500</v>
      </c>
      <c r="T2249">
        <v>1000</v>
      </c>
      <c r="U2249" t="s">
        <v>5717</v>
      </c>
      <c r="V2249" t="s">
        <v>5718</v>
      </c>
      <c r="W2249">
        <v>1</v>
      </c>
      <c r="X2249">
        <v>1</v>
      </c>
      <c r="Z2249" s="37">
        <v>1</v>
      </c>
      <c r="AA2249" s="37">
        <v>0.4</v>
      </c>
      <c r="AB2249">
        <v>0</v>
      </c>
    </row>
    <row r="2250">
      <c r="A2250" t="s">
        <v>5978</v>
      </c>
      <c r="B2250" t="s">
        <v>3672</v>
      </c>
      <c r="C2250" t="s">
        <v>3672</v>
      </c>
      <c r="D2250" t="s">
        <v>4748</v>
      </c>
      <c r="E2250" t="s">
        <v>5979</v>
      </c>
      <c r="F2250" t="s">
        <v>298</v>
      </c>
      <c r="G2250" t="s">
        <v>5962</v>
      </c>
      <c r="H2250" t="s">
        <v>3609</v>
      </c>
      <c r="I2250" t="s">
        <v>5908</v>
      </c>
      <c r="J2250" t="s">
        <v>5964</v>
      </c>
      <c r="K2250" t="s">
        <v>3227</v>
      </c>
      <c r="L2250" t="s">
        <v>455</v>
      </c>
      <c r="M2250" s="37">
        <v>0.983</v>
      </c>
      <c r="N2250" s="37">
        <v>0.3</v>
      </c>
      <c r="O2250">
        <v>29.49</v>
      </c>
      <c r="P2250" s="37">
        <v>0.98615</v>
      </c>
      <c r="Q2250">
        <v>98.62</v>
      </c>
      <c r="R2250">
        <v>1500</v>
      </c>
      <c r="S2250">
        <v>1500</v>
      </c>
      <c r="T2250">
        <v>1000</v>
      </c>
      <c r="U2250" t="s">
        <v>5717</v>
      </c>
      <c r="V2250" t="s">
        <v>5718</v>
      </c>
      <c r="W2250">
        <v>1</v>
      </c>
      <c r="X2250">
        <v>1</v>
      </c>
      <c r="Z2250" s="37">
        <v>1</v>
      </c>
      <c r="AA2250" s="37">
        <v>0.4</v>
      </c>
      <c r="AB2250">
        <v>0</v>
      </c>
    </row>
    <row r="2251">
      <c r="A2251" t="s">
        <v>5978</v>
      </c>
      <c r="B2251" t="s">
        <v>3672</v>
      </c>
      <c r="C2251" t="s">
        <v>3672</v>
      </c>
      <c r="D2251" t="s">
        <v>4748</v>
      </c>
      <c r="E2251" t="s">
        <v>5979</v>
      </c>
      <c r="F2251" t="s">
        <v>298</v>
      </c>
      <c r="G2251" t="s">
        <v>5962</v>
      </c>
      <c r="H2251" t="s">
        <v>5965</v>
      </c>
      <c r="I2251" t="s">
        <v>5908</v>
      </c>
      <c r="J2251" t="s">
        <v>5964</v>
      </c>
      <c r="K2251" t="s">
        <v>3227</v>
      </c>
      <c r="L2251" t="s">
        <v>455</v>
      </c>
      <c r="M2251" s="37">
        <v>1</v>
      </c>
      <c r="N2251" s="37">
        <v>0.6</v>
      </c>
      <c r="O2251">
        <v>60</v>
      </c>
      <c r="P2251" s="37">
        <v>0.98615</v>
      </c>
      <c r="Q2251">
        <v>98.62</v>
      </c>
      <c r="R2251">
        <v>1500</v>
      </c>
      <c r="S2251">
        <v>1500</v>
      </c>
      <c r="T2251">
        <v>1000</v>
      </c>
      <c r="U2251" t="s">
        <v>5717</v>
      </c>
      <c r="V2251" t="s">
        <v>5718</v>
      </c>
      <c r="W2251">
        <v>1</v>
      </c>
      <c r="X2251">
        <v>1</v>
      </c>
      <c r="Z2251" s="37">
        <v>1</v>
      </c>
      <c r="AA2251" s="37">
        <v>0.4</v>
      </c>
      <c r="AB2251">
        <v>0</v>
      </c>
    </row>
    <row r="2252">
      <c r="A2252" t="s">
        <v>5980</v>
      </c>
      <c r="B2252" t="s">
        <v>3672</v>
      </c>
      <c r="C2252" t="s">
        <v>3672</v>
      </c>
      <c r="D2252" t="s">
        <v>4748</v>
      </c>
      <c r="E2252" t="s">
        <v>5981</v>
      </c>
      <c r="F2252" t="s">
        <v>298</v>
      </c>
      <c r="G2252" t="s">
        <v>5962</v>
      </c>
      <c r="H2252" t="s">
        <v>5963</v>
      </c>
      <c r="I2252" t="s">
        <v>5908</v>
      </c>
      <c r="J2252" t="s">
        <v>5964</v>
      </c>
      <c r="K2252" t="s">
        <v>3227</v>
      </c>
      <c r="L2252" t="s">
        <v>455</v>
      </c>
      <c r="M2252" s="37">
        <v>0.925</v>
      </c>
      <c r="N2252" s="37">
        <v>0.1</v>
      </c>
      <c r="O2252">
        <v>9.25</v>
      </c>
      <c r="P2252" s="37">
        <v>0.9778</v>
      </c>
      <c r="Q2252">
        <v>97.78</v>
      </c>
      <c r="R2252">
        <v>400</v>
      </c>
      <c r="S2252">
        <v>700</v>
      </c>
      <c r="T2252">
        <v>1000</v>
      </c>
      <c r="U2252" t="s">
        <v>5717</v>
      </c>
      <c r="V2252" t="s">
        <v>5718</v>
      </c>
      <c r="W2252">
        <v>1</v>
      </c>
      <c r="X2252">
        <v>1</v>
      </c>
      <c r="Z2252" s="37">
        <v>1</v>
      </c>
      <c r="AA2252" s="37">
        <v>0.4</v>
      </c>
      <c r="AB2252">
        <v>0</v>
      </c>
    </row>
    <row r="2253">
      <c r="A2253" t="s">
        <v>5980</v>
      </c>
      <c r="B2253" t="s">
        <v>3672</v>
      </c>
      <c r="C2253" t="s">
        <v>3672</v>
      </c>
      <c r="D2253" t="s">
        <v>4748</v>
      </c>
      <c r="E2253" t="s">
        <v>5981</v>
      </c>
      <c r="F2253" t="s">
        <v>298</v>
      </c>
      <c r="G2253" t="s">
        <v>5962</v>
      </c>
      <c r="H2253" t="s">
        <v>3609</v>
      </c>
      <c r="I2253" t="s">
        <v>5908</v>
      </c>
      <c r="J2253" t="s">
        <v>5964</v>
      </c>
      <c r="K2253" t="s">
        <v>3227</v>
      </c>
      <c r="L2253" t="s">
        <v>455</v>
      </c>
      <c r="M2253" s="37">
        <v>0.951</v>
      </c>
      <c r="N2253" s="37">
        <v>0.3</v>
      </c>
      <c r="O2253">
        <v>28.53</v>
      </c>
      <c r="P2253" s="37">
        <v>0.9778</v>
      </c>
      <c r="Q2253">
        <v>97.78</v>
      </c>
      <c r="R2253">
        <v>400</v>
      </c>
      <c r="S2253">
        <v>700</v>
      </c>
      <c r="T2253">
        <v>1000</v>
      </c>
      <c r="U2253" t="s">
        <v>5717</v>
      </c>
      <c r="V2253" t="s">
        <v>5718</v>
      </c>
      <c r="W2253">
        <v>1</v>
      </c>
      <c r="X2253">
        <v>1</v>
      </c>
      <c r="Z2253" s="37">
        <v>1</v>
      </c>
      <c r="AA2253" s="37">
        <v>0.4</v>
      </c>
      <c r="AB2253">
        <v>0</v>
      </c>
    </row>
    <row r="2254">
      <c r="A2254" t="s">
        <v>5980</v>
      </c>
      <c r="B2254" t="s">
        <v>3672</v>
      </c>
      <c r="C2254" t="s">
        <v>3672</v>
      </c>
      <c r="D2254" t="s">
        <v>4748</v>
      </c>
      <c r="E2254" t="s">
        <v>5981</v>
      </c>
      <c r="F2254" t="s">
        <v>298</v>
      </c>
      <c r="G2254" t="s">
        <v>5962</v>
      </c>
      <c r="H2254" t="s">
        <v>5965</v>
      </c>
      <c r="I2254" t="s">
        <v>5908</v>
      </c>
      <c r="J2254" t="s">
        <v>5964</v>
      </c>
      <c r="K2254" t="s">
        <v>3227</v>
      </c>
      <c r="L2254" t="s">
        <v>455</v>
      </c>
      <c r="M2254" s="37">
        <v>1</v>
      </c>
      <c r="N2254" s="37">
        <v>0.6</v>
      </c>
      <c r="O2254">
        <v>60</v>
      </c>
      <c r="P2254" s="37">
        <v>0.9778</v>
      </c>
      <c r="Q2254">
        <v>97.78</v>
      </c>
      <c r="R2254">
        <v>400</v>
      </c>
      <c r="S2254">
        <v>700</v>
      </c>
      <c r="T2254">
        <v>1000</v>
      </c>
      <c r="U2254" t="s">
        <v>5717</v>
      </c>
      <c r="V2254" t="s">
        <v>5718</v>
      </c>
      <c r="W2254">
        <v>1</v>
      </c>
      <c r="X2254">
        <v>1</v>
      </c>
      <c r="Z2254" s="37">
        <v>1</v>
      </c>
      <c r="AA2254" s="37">
        <v>0.4</v>
      </c>
      <c r="AB2254">
        <v>0</v>
      </c>
    </row>
    <row r="2255">
      <c r="A2255" t="s">
        <v>5982</v>
      </c>
      <c r="B2255" t="s">
        <v>3672</v>
      </c>
      <c r="C2255" t="s">
        <v>3672</v>
      </c>
      <c r="D2255" t="s">
        <v>4748</v>
      </c>
      <c r="E2255" t="s">
        <v>5983</v>
      </c>
      <c r="F2255" t="s">
        <v>298</v>
      </c>
      <c r="G2255" t="s">
        <v>5962</v>
      </c>
      <c r="H2255" t="s">
        <v>5963</v>
      </c>
      <c r="I2255" t="s">
        <v>5908</v>
      </c>
      <c r="J2255" t="s">
        <v>5964</v>
      </c>
      <c r="K2255" t="s">
        <v>3227</v>
      </c>
      <c r="L2255" t="s">
        <v>455</v>
      </c>
      <c r="M2255" s="37">
        <v>0.9</v>
      </c>
      <c r="N2255" s="37">
        <v>0.1</v>
      </c>
      <c r="O2255">
        <v>9</v>
      </c>
      <c r="P2255" s="37">
        <v>0.9615</v>
      </c>
      <c r="Q2255">
        <v>96.15</v>
      </c>
      <c r="R2255">
        <v>400</v>
      </c>
      <c r="S2255">
        <v>625</v>
      </c>
      <c r="T2255">
        <v>1000</v>
      </c>
      <c r="U2255" t="s">
        <v>5717</v>
      </c>
      <c r="V2255" t="s">
        <v>5718</v>
      </c>
      <c r="W2255">
        <v>1</v>
      </c>
      <c r="X2255">
        <v>1</v>
      </c>
      <c r="Z2255" s="37">
        <v>1</v>
      </c>
      <c r="AA2255" s="37">
        <v>0.4</v>
      </c>
      <c r="AB2255">
        <v>0</v>
      </c>
    </row>
    <row r="2256">
      <c r="A2256" t="s">
        <v>5982</v>
      </c>
      <c r="B2256" t="s">
        <v>3672</v>
      </c>
      <c r="C2256" t="s">
        <v>3672</v>
      </c>
      <c r="D2256" t="s">
        <v>4748</v>
      </c>
      <c r="E2256" t="s">
        <v>5983</v>
      </c>
      <c r="F2256" t="s">
        <v>298</v>
      </c>
      <c r="G2256" t="s">
        <v>5962</v>
      </c>
      <c r="H2256" t="s">
        <v>3609</v>
      </c>
      <c r="I2256" t="s">
        <v>5908</v>
      </c>
      <c r="J2256" t="s">
        <v>5964</v>
      </c>
      <c r="K2256" t="s">
        <v>3227</v>
      </c>
      <c r="L2256" t="s">
        <v>455</v>
      </c>
      <c r="M2256" s="37">
        <v>0.945</v>
      </c>
      <c r="N2256" s="37">
        <v>0.3</v>
      </c>
      <c r="O2256">
        <v>28.35</v>
      </c>
      <c r="P2256" s="37">
        <v>0.9615</v>
      </c>
      <c r="Q2256">
        <v>96.15</v>
      </c>
      <c r="R2256">
        <v>400</v>
      </c>
      <c r="S2256">
        <v>625</v>
      </c>
      <c r="T2256">
        <v>1000</v>
      </c>
      <c r="U2256" t="s">
        <v>5717</v>
      </c>
      <c r="V2256" t="s">
        <v>5718</v>
      </c>
      <c r="W2256">
        <v>1</v>
      </c>
      <c r="X2256">
        <v>1</v>
      </c>
      <c r="Z2256" s="37">
        <v>1</v>
      </c>
      <c r="AA2256" s="37">
        <v>0.4</v>
      </c>
      <c r="AB2256">
        <v>0</v>
      </c>
    </row>
    <row r="2257">
      <c r="A2257" t="s">
        <v>5982</v>
      </c>
      <c r="B2257" t="s">
        <v>3672</v>
      </c>
      <c r="C2257" t="s">
        <v>3672</v>
      </c>
      <c r="D2257" t="s">
        <v>4748</v>
      </c>
      <c r="E2257" t="s">
        <v>5983</v>
      </c>
      <c r="F2257" t="s">
        <v>298</v>
      </c>
      <c r="G2257" t="s">
        <v>5962</v>
      </c>
      <c r="H2257" t="s">
        <v>5965</v>
      </c>
      <c r="I2257" t="s">
        <v>5908</v>
      </c>
      <c r="J2257" t="s">
        <v>5964</v>
      </c>
      <c r="K2257" t="s">
        <v>3227</v>
      </c>
      <c r="L2257" t="s">
        <v>455</v>
      </c>
      <c r="M2257" s="37">
        <v>0.98</v>
      </c>
      <c r="N2257" s="37">
        <v>0.6</v>
      </c>
      <c r="O2257">
        <v>58.8</v>
      </c>
      <c r="P2257" s="37">
        <v>0.9615</v>
      </c>
      <c r="Q2257">
        <v>96.15</v>
      </c>
      <c r="R2257">
        <v>400</v>
      </c>
      <c r="S2257">
        <v>625</v>
      </c>
      <c r="T2257">
        <v>1000</v>
      </c>
      <c r="U2257" t="s">
        <v>5717</v>
      </c>
      <c r="V2257" t="s">
        <v>5718</v>
      </c>
      <c r="W2257">
        <v>1</v>
      </c>
      <c r="X2257">
        <v>1</v>
      </c>
      <c r="Z2257" s="37">
        <v>1</v>
      </c>
      <c r="AA2257" s="37">
        <v>0.4</v>
      </c>
      <c r="AB2257">
        <v>0</v>
      </c>
    </row>
    <row r="2258">
      <c r="A2258" t="s">
        <v>5984</v>
      </c>
      <c r="B2258" t="s">
        <v>3672</v>
      </c>
      <c r="C2258" t="s">
        <v>3672</v>
      </c>
      <c r="D2258" t="s">
        <v>4748</v>
      </c>
      <c r="E2258" t="s">
        <v>5985</v>
      </c>
      <c r="F2258" t="s">
        <v>298</v>
      </c>
      <c r="G2258" t="s">
        <v>5962</v>
      </c>
      <c r="H2258" t="s">
        <v>5963</v>
      </c>
      <c r="I2258" t="s">
        <v>5908</v>
      </c>
      <c r="J2258" t="s">
        <v>5964</v>
      </c>
      <c r="K2258" t="s">
        <v>3227</v>
      </c>
      <c r="L2258" t="s">
        <v>455</v>
      </c>
      <c r="M2258" s="37">
        <v>0.925</v>
      </c>
      <c r="N2258" s="37">
        <v>0.1</v>
      </c>
      <c r="O2258">
        <v>9.25</v>
      </c>
      <c r="P2258" s="37">
        <v>0.9802</v>
      </c>
      <c r="Q2258">
        <v>98.02</v>
      </c>
      <c r="R2258">
        <v>700</v>
      </c>
      <c r="S2258">
        <v>700</v>
      </c>
      <c r="T2258">
        <v>1000</v>
      </c>
      <c r="U2258" t="s">
        <v>5717</v>
      </c>
      <c r="V2258" t="s">
        <v>5718</v>
      </c>
      <c r="W2258">
        <v>1</v>
      </c>
      <c r="X2258">
        <v>1</v>
      </c>
      <c r="Z2258" s="37">
        <v>1</v>
      </c>
      <c r="AA2258" s="37">
        <v>0.4</v>
      </c>
      <c r="AB2258">
        <v>0</v>
      </c>
    </row>
    <row r="2259">
      <c r="A2259" t="s">
        <v>5984</v>
      </c>
      <c r="B2259" t="s">
        <v>3672</v>
      </c>
      <c r="C2259" t="s">
        <v>3672</v>
      </c>
      <c r="D2259" t="s">
        <v>4748</v>
      </c>
      <c r="E2259" t="s">
        <v>5985</v>
      </c>
      <c r="F2259" t="s">
        <v>298</v>
      </c>
      <c r="G2259" t="s">
        <v>5962</v>
      </c>
      <c r="H2259" t="s">
        <v>3609</v>
      </c>
      <c r="I2259" t="s">
        <v>5908</v>
      </c>
      <c r="J2259" t="s">
        <v>5964</v>
      </c>
      <c r="K2259" t="s">
        <v>3227</v>
      </c>
      <c r="L2259" t="s">
        <v>455</v>
      </c>
      <c r="M2259" s="37">
        <v>0.959</v>
      </c>
      <c r="N2259" s="37">
        <v>0.3</v>
      </c>
      <c r="O2259">
        <v>28.77</v>
      </c>
      <c r="P2259" s="37">
        <v>0.9802</v>
      </c>
      <c r="Q2259">
        <v>98.02</v>
      </c>
      <c r="R2259">
        <v>700</v>
      </c>
      <c r="S2259">
        <v>700</v>
      </c>
      <c r="T2259">
        <v>1000</v>
      </c>
      <c r="U2259" t="s">
        <v>5717</v>
      </c>
      <c r="V2259" t="s">
        <v>5718</v>
      </c>
      <c r="W2259">
        <v>1</v>
      </c>
      <c r="X2259">
        <v>1</v>
      </c>
      <c r="Z2259" s="37">
        <v>1</v>
      </c>
      <c r="AA2259" s="37">
        <v>0.4</v>
      </c>
      <c r="AB2259">
        <v>0</v>
      </c>
    </row>
    <row r="2260">
      <c r="A2260" t="s">
        <v>5984</v>
      </c>
      <c r="B2260" t="s">
        <v>3672</v>
      </c>
      <c r="C2260" t="s">
        <v>3672</v>
      </c>
      <c r="D2260" t="s">
        <v>4748</v>
      </c>
      <c r="E2260" t="s">
        <v>5985</v>
      </c>
      <c r="F2260" t="s">
        <v>298</v>
      </c>
      <c r="G2260" t="s">
        <v>5962</v>
      </c>
      <c r="H2260" t="s">
        <v>5965</v>
      </c>
      <c r="I2260" t="s">
        <v>5908</v>
      </c>
      <c r="J2260" t="s">
        <v>5964</v>
      </c>
      <c r="K2260" t="s">
        <v>3227</v>
      </c>
      <c r="L2260" t="s">
        <v>455</v>
      </c>
      <c r="M2260" s="37">
        <v>1</v>
      </c>
      <c r="N2260" s="37">
        <v>0.6</v>
      </c>
      <c r="O2260">
        <v>60</v>
      </c>
      <c r="P2260" s="37">
        <v>0.9802</v>
      </c>
      <c r="Q2260">
        <v>98.02</v>
      </c>
      <c r="R2260">
        <v>700</v>
      </c>
      <c r="S2260">
        <v>700</v>
      </c>
      <c r="T2260">
        <v>1000</v>
      </c>
      <c r="U2260" t="s">
        <v>5717</v>
      </c>
      <c r="V2260" t="s">
        <v>5718</v>
      </c>
      <c r="W2260">
        <v>1</v>
      </c>
      <c r="X2260">
        <v>1</v>
      </c>
      <c r="Z2260" s="37">
        <v>1</v>
      </c>
      <c r="AA2260" s="37">
        <v>0.4</v>
      </c>
      <c r="AB2260">
        <v>0</v>
      </c>
    </row>
    <row r="2261">
      <c r="A2261" t="s">
        <v>5986</v>
      </c>
      <c r="B2261" t="s">
        <v>3672</v>
      </c>
      <c r="C2261" t="s">
        <v>3672</v>
      </c>
      <c r="D2261" t="s">
        <v>4748</v>
      </c>
      <c r="E2261" t="s">
        <v>5987</v>
      </c>
      <c r="F2261" t="s">
        <v>298</v>
      </c>
      <c r="G2261" t="s">
        <v>5962</v>
      </c>
      <c r="H2261" t="s">
        <v>5963</v>
      </c>
      <c r="I2261" t="s">
        <v>5908</v>
      </c>
      <c r="J2261" t="s">
        <v>5964</v>
      </c>
      <c r="K2261" t="s">
        <v>3227</v>
      </c>
      <c r="L2261" t="s">
        <v>455</v>
      </c>
      <c r="M2261" s="37">
        <v>0.9</v>
      </c>
      <c r="N2261" s="37">
        <v>0.1</v>
      </c>
      <c r="O2261">
        <v>9</v>
      </c>
      <c r="P2261" s="37">
        <v>0.9768</v>
      </c>
      <c r="Q2261">
        <v>97.68</v>
      </c>
      <c r="R2261">
        <v>700</v>
      </c>
      <c r="S2261">
        <v>1000</v>
      </c>
      <c r="T2261">
        <v>1000</v>
      </c>
      <c r="U2261" t="s">
        <v>5717</v>
      </c>
      <c r="V2261" t="s">
        <v>5718</v>
      </c>
      <c r="W2261">
        <v>1</v>
      </c>
      <c r="X2261">
        <v>1</v>
      </c>
      <c r="Z2261" s="37">
        <v>1</v>
      </c>
      <c r="AA2261" s="37">
        <v>0.4</v>
      </c>
      <c r="AB2261">
        <v>0</v>
      </c>
    </row>
    <row r="2262">
      <c r="A2262" t="s">
        <v>5986</v>
      </c>
      <c r="B2262" t="s">
        <v>3672</v>
      </c>
      <c r="C2262" t="s">
        <v>3672</v>
      </c>
      <c r="D2262" t="s">
        <v>4748</v>
      </c>
      <c r="E2262" t="s">
        <v>5987</v>
      </c>
      <c r="F2262" t="s">
        <v>298</v>
      </c>
      <c r="G2262" t="s">
        <v>5962</v>
      </c>
      <c r="H2262" t="s">
        <v>3609</v>
      </c>
      <c r="I2262" t="s">
        <v>5908</v>
      </c>
      <c r="J2262" t="s">
        <v>5964</v>
      </c>
      <c r="K2262" t="s">
        <v>3227</v>
      </c>
      <c r="L2262" t="s">
        <v>455</v>
      </c>
      <c r="M2262" s="37">
        <v>0.956</v>
      </c>
      <c r="N2262" s="37">
        <v>0.3</v>
      </c>
      <c r="O2262">
        <v>28.68</v>
      </c>
      <c r="P2262" s="37">
        <v>0.9768</v>
      </c>
      <c r="Q2262">
        <v>97.68</v>
      </c>
      <c r="R2262">
        <v>700</v>
      </c>
      <c r="S2262">
        <v>1000</v>
      </c>
      <c r="T2262">
        <v>1000</v>
      </c>
      <c r="U2262" t="s">
        <v>5717</v>
      </c>
      <c r="V2262" t="s">
        <v>5718</v>
      </c>
      <c r="W2262">
        <v>1</v>
      </c>
      <c r="X2262">
        <v>1</v>
      </c>
      <c r="Z2262" s="37">
        <v>1</v>
      </c>
      <c r="AA2262" s="37">
        <v>0.4</v>
      </c>
      <c r="AB2262">
        <v>0</v>
      </c>
    </row>
    <row r="2263">
      <c r="A2263" t="s">
        <v>5986</v>
      </c>
      <c r="B2263" t="s">
        <v>3672</v>
      </c>
      <c r="C2263" t="s">
        <v>3672</v>
      </c>
      <c r="D2263" t="s">
        <v>4748</v>
      </c>
      <c r="E2263" t="s">
        <v>5987</v>
      </c>
      <c r="F2263" t="s">
        <v>298</v>
      </c>
      <c r="G2263" t="s">
        <v>5962</v>
      </c>
      <c r="H2263" t="s">
        <v>5965</v>
      </c>
      <c r="I2263" t="s">
        <v>5908</v>
      </c>
      <c r="J2263" t="s">
        <v>5964</v>
      </c>
      <c r="K2263" t="s">
        <v>3227</v>
      </c>
      <c r="L2263" t="s">
        <v>455</v>
      </c>
      <c r="M2263" s="37">
        <v>1</v>
      </c>
      <c r="N2263" s="37">
        <v>0.6</v>
      </c>
      <c r="O2263">
        <v>60</v>
      </c>
      <c r="P2263" s="37">
        <v>0.9768</v>
      </c>
      <c r="Q2263">
        <v>97.68</v>
      </c>
      <c r="R2263">
        <v>700</v>
      </c>
      <c r="S2263">
        <v>1000</v>
      </c>
      <c r="T2263">
        <v>1000</v>
      </c>
      <c r="U2263" t="s">
        <v>5717</v>
      </c>
      <c r="V2263" t="s">
        <v>5718</v>
      </c>
      <c r="W2263">
        <v>1</v>
      </c>
      <c r="X2263">
        <v>1</v>
      </c>
      <c r="Z2263" s="37">
        <v>1</v>
      </c>
      <c r="AA2263" s="37">
        <v>0.4</v>
      </c>
      <c r="AB2263">
        <v>0</v>
      </c>
    </row>
    <row r="2264">
      <c r="A2264" t="s">
        <v>5988</v>
      </c>
      <c r="B2264" t="s">
        <v>3672</v>
      </c>
      <c r="C2264" t="s">
        <v>3672</v>
      </c>
      <c r="D2264" t="s">
        <v>3607</v>
      </c>
      <c r="E2264" t="s">
        <v>5989</v>
      </c>
      <c r="F2264" t="s">
        <v>298</v>
      </c>
      <c r="G2264" t="s">
        <v>5990</v>
      </c>
      <c r="H2264" t="s">
        <v>5991</v>
      </c>
      <c r="I2264" t="s">
        <v>5908</v>
      </c>
      <c r="J2264" t="s">
        <v>5964</v>
      </c>
      <c r="K2264" t="s">
        <v>3227</v>
      </c>
      <c r="L2264" t="s">
        <v>455</v>
      </c>
      <c r="M2264" s="37">
        <v>0</v>
      </c>
      <c r="N2264" s="37">
        <v>0.1</v>
      </c>
      <c r="O2264">
        <v>0</v>
      </c>
      <c r="P2264" s="37">
        <v>0</v>
      </c>
      <c r="Q2264">
        <v>0</v>
      </c>
      <c r="R2264">
        <v>0</v>
      </c>
      <c r="S2264">
        <v>0</v>
      </c>
      <c r="T2264">
        <v>1000</v>
      </c>
      <c r="U2264" t="s">
        <v>5717</v>
      </c>
      <c r="V2264" t="s">
        <v>5718</v>
      </c>
      <c r="W2264">
        <v>1</v>
      </c>
      <c r="X2264">
        <v>1</v>
      </c>
      <c r="Z2264" s="37">
        <v>1</v>
      </c>
      <c r="AA2264" s="37">
        <v>0.4</v>
      </c>
      <c r="AB2264">
        <v>0</v>
      </c>
    </row>
    <row r="2265">
      <c r="A2265" t="s">
        <v>5988</v>
      </c>
      <c r="B2265" t="s">
        <v>3672</v>
      </c>
      <c r="C2265" t="s">
        <v>3672</v>
      </c>
      <c r="D2265" t="s">
        <v>3607</v>
      </c>
      <c r="E2265" t="s">
        <v>5989</v>
      </c>
      <c r="F2265" t="s">
        <v>298</v>
      </c>
      <c r="G2265" t="s">
        <v>5990</v>
      </c>
      <c r="H2265" t="s">
        <v>5992</v>
      </c>
      <c r="I2265" t="s">
        <v>5908</v>
      </c>
      <c r="J2265" t="s">
        <v>5964</v>
      </c>
      <c r="K2265" t="s">
        <v>3227</v>
      </c>
      <c r="L2265" t="s">
        <v>455</v>
      </c>
      <c r="M2265" s="37">
        <v>0</v>
      </c>
      <c r="N2265" s="37">
        <v>0.1</v>
      </c>
      <c r="O2265">
        <v>0</v>
      </c>
      <c r="P2265" s="37">
        <v>0</v>
      </c>
      <c r="Q2265">
        <v>0</v>
      </c>
      <c r="R2265">
        <v>0</v>
      </c>
      <c r="S2265">
        <v>0</v>
      </c>
      <c r="T2265">
        <v>1000</v>
      </c>
      <c r="U2265" t="s">
        <v>5717</v>
      </c>
      <c r="V2265" t="s">
        <v>5718</v>
      </c>
      <c r="W2265">
        <v>1</v>
      </c>
      <c r="X2265">
        <v>1</v>
      </c>
      <c r="Z2265" s="37">
        <v>1</v>
      </c>
      <c r="AA2265" s="37">
        <v>0.4</v>
      </c>
      <c r="AB2265">
        <v>0</v>
      </c>
    </row>
    <row r="2266">
      <c r="A2266" t="s">
        <v>5988</v>
      </c>
      <c r="B2266" t="s">
        <v>3672</v>
      </c>
      <c r="C2266" t="s">
        <v>3672</v>
      </c>
      <c r="D2266" t="s">
        <v>3607</v>
      </c>
      <c r="E2266" t="s">
        <v>5989</v>
      </c>
      <c r="F2266" t="s">
        <v>298</v>
      </c>
      <c r="G2266" t="s">
        <v>5990</v>
      </c>
      <c r="H2266" t="s">
        <v>5993</v>
      </c>
      <c r="I2266" t="s">
        <v>5908</v>
      </c>
      <c r="J2266" t="s">
        <v>5964</v>
      </c>
      <c r="K2266" t="s">
        <v>3227</v>
      </c>
      <c r="L2266" t="s">
        <v>455</v>
      </c>
      <c r="M2266" s="37">
        <v>0</v>
      </c>
      <c r="N2266" s="37">
        <v>0.4</v>
      </c>
      <c r="O2266">
        <v>0</v>
      </c>
      <c r="P2266" s="37">
        <v>0</v>
      </c>
      <c r="Q2266">
        <v>0</v>
      </c>
      <c r="R2266">
        <v>0</v>
      </c>
      <c r="S2266">
        <v>0</v>
      </c>
      <c r="T2266">
        <v>1000</v>
      </c>
      <c r="U2266" t="s">
        <v>5717</v>
      </c>
      <c r="V2266" t="s">
        <v>5718</v>
      </c>
      <c r="W2266">
        <v>1</v>
      </c>
      <c r="X2266">
        <v>1</v>
      </c>
      <c r="Z2266" s="37">
        <v>1</v>
      </c>
      <c r="AA2266" s="37">
        <v>0.4</v>
      </c>
      <c r="AB2266">
        <v>0</v>
      </c>
    </row>
    <row r="2267">
      <c r="A2267" t="s">
        <v>5988</v>
      </c>
      <c r="B2267" t="s">
        <v>3672</v>
      </c>
      <c r="C2267" t="s">
        <v>3672</v>
      </c>
      <c r="D2267" t="s">
        <v>3607</v>
      </c>
      <c r="E2267" t="s">
        <v>5989</v>
      </c>
      <c r="F2267" t="s">
        <v>298</v>
      </c>
      <c r="G2267" t="s">
        <v>5990</v>
      </c>
      <c r="H2267" t="s">
        <v>5994</v>
      </c>
      <c r="I2267" t="s">
        <v>5908</v>
      </c>
      <c r="J2267" t="s">
        <v>5964</v>
      </c>
      <c r="K2267" t="s">
        <v>3227</v>
      </c>
      <c r="L2267" t="s">
        <v>455</v>
      </c>
      <c r="M2267" s="37">
        <v>0</v>
      </c>
      <c r="N2267" s="37">
        <v>0.4</v>
      </c>
      <c r="O2267">
        <v>0</v>
      </c>
      <c r="P2267" s="37">
        <v>0</v>
      </c>
      <c r="Q2267">
        <v>0</v>
      </c>
      <c r="R2267">
        <v>0</v>
      </c>
      <c r="S2267">
        <v>0</v>
      </c>
      <c r="T2267">
        <v>1000</v>
      </c>
      <c r="U2267" t="s">
        <v>5717</v>
      </c>
      <c r="V2267" t="s">
        <v>5718</v>
      </c>
      <c r="W2267">
        <v>1</v>
      </c>
      <c r="X2267">
        <v>1</v>
      </c>
      <c r="Z2267" s="37">
        <v>1</v>
      </c>
      <c r="AA2267" s="37">
        <v>0.4</v>
      </c>
      <c r="AB2267">
        <v>0</v>
      </c>
    </row>
    <row r="2268">
      <c r="A2268" t="s">
        <v>5995</v>
      </c>
      <c r="B2268" t="s">
        <v>3672</v>
      </c>
      <c r="C2268" t="s">
        <v>3672</v>
      </c>
      <c r="D2268" t="s">
        <v>3607</v>
      </c>
      <c r="E2268" t="s">
        <v>5996</v>
      </c>
      <c r="F2268" t="s">
        <v>298</v>
      </c>
      <c r="G2268" t="s">
        <v>5990</v>
      </c>
      <c r="H2268" t="s">
        <v>5991</v>
      </c>
      <c r="I2268" t="s">
        <v>5908</v>
      </c>
      <c r="J2268" t="s">
        <v>5964</v>
      </c>
      <c r="K2268" t="s">
        <v>3227</v>
      </c>
      <c r="L2268" t="s">
        <v>455</v>
      </c>
      <c r="M2268" s="37">
        <v>1</v>
      </c>
      <c r="N2268" s="37">
        <v>0.1</v>
      </c>
      <c r="O2268">
        <v>10</v>
      </c>
      <c r="P2268" s="37">
        <v>0.94</v>
      </c>
      <c r="Q2268">
        <v>0.94</v>
      </c>
      <c r="R2268">
        <v>940</v>
      </c>
      <c r="S2268">
        <v>940</v>
      </c>
      <c r="T2268">
        <v>1000</v>
      </c>
      <c r="U2268" t="s">
        <v>5717</v>
      </c>
      <c r="V2268" t="s">
        <v>5718</v>
      </c>
      <c r="W2268">
        <v>1</v>
      </c>
      <c r="X2268">
        <v>1</v>
      </c>
      <c r="Z2268" s="37">
        <v>1</v>
      </c>
      <c r="AA2268" s="37">
        <v>0.4</v>
      </c>
      <c r="AB2268">
        <v>0</v>
      </c>
    </row>
    <row r="2269">
      <c r="A2269" t="s">
        <v>5995</v>
      </c>
      <c r="B2269" t="s">
        <v>3672</v>
      </c>
      <c r="C2269" t="s">
        <v>3672</v>
      </c>
      <c r="D2269" t="s">
        <v>3607</v>
      </c>
      <c r="E2269" t="s">
        <v>5996</v>
      </c>
      <c r="F2269" t="s">
        <v>298</v>
      </c>
      <c r="G2269" t="s">
        <v>5990</v>
      </c>
      <c r="H2269" t="s">
        <v>5992</v>
      </c>
      <c r="I2269" t="s">
        <v>5908</v>
      </c>
      <c r="J2269" t="s">
        <v>5964</v>
      </c>
      <c r="K2269" t="s">
        <v>3227</v>
      </c>
      <c r="L2269" t="s">
        <v>455</v>
      </c>
      <c r="M2269" s="37">
        <v>1</v>
      </c>
      <c r="N2269" s="37">
        <v>0.1</v>
      </c>
      <c r="O2269">
        <v>10</v>
      </c>
      <c r="P2269" s="37">
        <v>0.94</v>
      </c>
      <c r="Q2269">
        <v>0.94</v>
      </c>
      <c r="R2269">
        <v>940</v>
      </c>
      <c r="S2269">
        <v>940</v>
      </c>
      <c r="T2269">
        <v>1000</v>
      </c>
      <c r="U2269" t="s">
        <v>5717</v>
      </c>
      <c r="V2269" t="s">
        <v>5718</v>
      </c>
      <c r="W2269">
        <v>1</v>
      </c>
      <c r="X2269">
        <v>1</v>
      </c>
      <c r="Z2269" s="37">
        <v>1</v>
      </c>
      <c r="AA2269" s="37">
        <v>0.4</v>
      </c>
      <c r="AB2269">
        <v>0</v>
      </c>
    </row>
    <row r="2270">
      <c r="A2270" t="s">
        <v>5995</v>
      </c>
      <c r="B2270" t="s">
        <v>3672</v>
      </c>
      <c r="C2270" t="s">
        <v>3672</v>
      </c>
      <c r="D2270" t="s">
        <v>3607</v>
      </c>
      <c r="E2270" t="s">
        <v>5996</v>
      </c>
      <c r="F2270" t="s">
        <v>298</v>
      </c>
      <c r="G2270" t="s">
        <v>5990</v>
      </c>
      <c r="H2270" t="s">
        <v>5993</v>
      </c>
      <c r="I2270" t="s">
        <v>5908</v>
      </c>
      <c r="J2270" t="s">
        <v>5964</v>
      </c>
      <c r="K2270" t="s">
        <v>3227</v>
      </c>
      <c r="L2270" t="s">
        <v>455</v>
      </c>
      <c r="M2270" s="37">
        <v>0.9</v>
      </c>
      <c r="N2270" s="37">
        <v>0.4</v>
      </c>
      <c r="O2270">
        <v>36</v>
      </c>
      <c r="P2270" s="37">
        <v>0.94</v>
      </c>
      <c r="Q2270">
        <v>0.94</v>
      </c>
      <c r="R2270">
        <v>940</v>
      </c>
      <c r="S2270">
        <v>940</v>
      </c>
      <c r="T2270">
        <v>1000</v>
      </c>
      <c r="U2270" t="s">
        <v>5717</v>
      </c>
      <c r="V2270" t="s">
        <v>5718</v>
      </c>
      <c r="W2270">
        <v>1</v>
      </c>
      <c r="X2270">
        <v>1</v>
      </c>
      <c r="Z2270" s="37">
        <v>1</v>
      </c>
      <c r="AA2270" s="37">
        <v>0.4</v>
      </c>
      <c r="AB2270">
        <v>0</v>
      </c>
    </row>
    <row r="2271">
      <c r="A2271" t="s">
        <v>5995</v>
      </c>
      <c r="B2271" t="s">
        <v>3672</v>
      </c>
      <c r="C2271" t="s">
        <v>3672</v>
      </c>
      <c r="D2271" t="s">
        <v>3607</v>
      </c>
      <c r="E2271" t="s">
        <v>5996</v>
      </c>
      <c r="F2271" t="s">
        <v>298</v>
      </c>
      <c r="G2271" t="s">
        <v>5990</v>
      </c>
      <c r="H2271" t="s">
        <v>5994</v>
      </c>
      <c r="I2271" t="s">
        <v>5908</v>
      </c>
      <c r="J2271" t="s">
        <v>5964</v>
      </c>
      <c r="K2271" t="s">
        <v>3227</v>
      </c>
      <c r="L2271" t="s">
        <v>455</v>
      </c>
      <c r="M2271" s="37">
        <v>0.95</v>
      </c>
      <c r="N2271" s="37">
        <v>0.4</v>
      </c>
      <c r="O2271">
        <v>38</v>
      </c>
      <c r="P2271" s="37">
        <v>0.94</v>
      </c>
      <c r="Q2271">
        <v>0.94</v>
      </c>
      <c r="R2271">
        <v>940</v>
      </c>
      <c r="S2271">
        <v>940</v>
      </c>
      <c r="T2271">
        <v>1000</v>
      </c>
      <c r="U2271" t="s">
        <v>5717</v>
      </c>
      <c r="V2271" t="s">
        <v>5718</v>
      </c>
      <c r="W2271">
        <v>1</v>
      </c>
      <c r="X2271">
        <v>1</v>
      </c>
      <c r="Z2271" s="37">
        <v>1</v>
      </c>
      <c r="AA2271" s="37">
        <v>0.4</v>
      </c>
      <c r="AB2271">
        <v>0</v>
      </c>
    </row>
    <row r="2272">
      <c r="A2272" t="s">
        <v>5997</v>
      </c>
      <c r="B2272" t="s">
        <v>3672</v>
      </c>
      <c r="C2272" t="s">
        <v>3672</v>
      </c>
      <c r="D2272" t="s">
        <v>3607</v>
      </c>
      <c r="E2272" t="s">
        <v>5998</v>
      </c>
      <c r="F2272" t="s">
        <v>298</v>
      </c>
      <c r="G2272" t="s">
        <v>5990</v>
      </c>
      <c r="H2272" t="s">
        <v>5991</v>
      </c>
      <c r="I2272" t="s">
        <v>5908</v>
      </c>
      <c r="J2272" t="s">
        <v>5964</v>
      </c>
      <c r="K2272" t="s">
        <v>3227</v>
      </c>
      <c r="L2272" t="s">
        <v>455</v>
      </c>
      <c r="M2272" s="37">
        <v>1</v>
      </c>
      <c r="N2272" s="37">
        <v>0.1</v>
      </c>
      <c r="O2272">
        <v>10</v>
      </c>
      <c r="P2272" s="37">
        <v>0.968</v>
      </c>
      <c r="Q2272">
        <v>0.97</v>
      </c>
      <c r="R2272">
        <v>2425</v>
      </c>
      <c r="S2272">
        <v>2425</v>
      </c>
      <c r="T2272">
        <v>2500</v>
      </c>
      <c r="U2272" t="s">
        <v>5717</v>
      </c>
      <c r="V2272" t="s">
        <v>5718</v>
      </c>
      <c r="W2272">
        <v>1</v>
      </c>
      <c r="X2272">
        <v>1</v>
      </c>
      <c r="Z2272" s="37">
        <v>1</v>
      </c>
      <c r="AA2272" s="37">
        <v>0.4</v>
      </c>
      <c r="AB2272">
        <v>0</v>
      </c>
    </row>
    <row r="2273">
      <c r="A2273" t="s">
        <v>5997</v>
      </c>
      <c r="B2273" t="s">
        <v>3672</v>
      </c>
      <c r="C2273" t="s">
        <v>3672</v>
      </c>
      <c r="D2273" t="s">
        <v>3607</v>
      </c>
      <c r="E2273" t="s">
        <v>5998</v>
      </c>
      <c r="F2273" t="s">
        <v>298</v>
      </c>
      <c r="G2273" t="s">
        <v>5990</v>
      </c>
      <c r="H2273" t="s">
        <v>5992</v>
      </c>
      <c r="I2273" t="s">
        <v>5908</v>
      </c>
      <c r="J2273" t="s">
        <v>5964</v>
      </c>
      <c r="K2273" t="s">
        <v>3227</v>
      </c>
      <c r="L2273" t="s">
        <v>455</v>
      </c>
      <c r="M2273" s="37">
        <v>1</v>
      </c>
      <c r="N2273" s="37">
        <v>0.1</v>
      </c>
      <c r="O2273">
        <v>10</v>
      </c>
      <c r="P2273" s="37">
        <v>0.968</v>
      </c>
      <c r="Q2273">
        <v>0.97</v>
      </c>
      <c r="R2273">
        <v>2425</v>
      </c>
      <c r="S2273">
        <v>2425</v>
      </c>
      <c r="T2273">
        <v>2500</v>
      </c>
      <c r="U2273" t="s">
        <v>5717</v>
      </c>
      <c r="V2273" t="s">
        <v>5718</v>
      </c>
      <c r="W2273">
        <v>1</v>
      </c>
      <c r="X2273">
        <v>1</v>
      </c>
      <c r="Z2273" s="37">
        <v>1</v>
      </c>
      <c r="AA2273" s="37">
        <v>0.4</v>
      </c>
      <c r="AB2273">
        <v>0</v>
      </c>
    </row>
    <row r="2274">
      <c r="A2274" t="s">
        <v>5997</v>
      </c>
      <c r="B2274" t="s">
        <v>3672</v>
      </c>
      <c r="C2274" t="s">
        <v>3672</v>
      </c>
      <c r="D2274" t="s">
        <v>3607</v>
      </c>
      <c r="E2274" t="s">
        <v>5998</v>
      </c>
      <c r="F2274" t="s">
        <v>298</v>
      </c>
      <c r="G2274" t="s">
        <v>5990</v>
      </c>
      <c r="H2274" t="s">
        <v>5993</v>
      </c>
      <c r="I2274" t="s">
        <v>5908</v>
      </c>
      <c r="J2274" t="s">
        <v>5964</v>
      </c>
      <c r="K2274" t="s">
        <v>3227</v>
      </c>
      <c r="L2274" t="s">
        <v>455</v>
      </c>
      <c r="M2274" s="37">
        <v>1</v>
      </c>
      <c r="N2274" s="37">
        <v>0.4</v>
      </c>
      <c r="O2274">
        <v>40</v>
      </c>
      <c r="P2274" s="37">
        <v>0.968</v>
      </c>
      <c r="Q2274">
        <v>0.97</v>
      </c>
      <c r="R2274">
        <v>2425</v>
      </c>
      <c r="S2274">
        <v>2425</v>
      </c>
      <c r="T2274">
        <v>2500</v>
      </c>
      <c r="U2274" t="s">
        <v>5717</v>
      </c>
      <c r="V2274" t="s">
        <v>5718</v>
      </c>
      <c r="W2274">
        <v>1</v>
      </c>
      <c r="X2274">
        <v>1</v>
      </c>
      <c r="Z2274" s="37">
        <v>1</v>
      </c>
      <c r="AA2274" s="37">
        <v>0.4</v>
      </c>
      <c r="AB2274">
        <v>0</v>
      </c>
    </row>
    <row r="2275">
      <c r="A2275" t="s">
        <v>5997</v>
      </c>
      <c r="B2275" t="s">
        <v>3672</v>
      </c>
      <c r="C2275" t="s">
        <v>3672</v>
      </c>
      <c r="D2275" t="s">
        <v>3607</v>
      </c>
      <c r="E2275" t="s">
        <v>5998</v>
      </c>
      <c r="F2275" t="s">
        <v>298</v>
      </c>
      <c r="G2275" t="s">
        <v>5990</v>
      </c>
      <c r="H2275" t="s">
        <v>5994</v>
      </c>
      <c r="I2275" t="s">
        <v>5908</v>
      </c>
      <c r="J2275" t="s">
        <v>5964</v>
      </c>
      <c r="K2275" t="s">
        <v>3227</v>
      </c>
      <c r="L2275" t="s">
        <v>455</v>
      </c>
      <c r="M2275" s="37">
        <v>0.92</v>
      </c>
      <c r="N2275" s="37">
        <v>0.4</v>
      </c>
      <c r="O2275">
        <v>36.8</v>
      </c>
      <c r="P2275" s="37">
        <v>0.968</v>
      </c>
      <c r="Q2275">
        <v>0.97</v>
      </c>
      <c r="R2275">
        <v>2425</v>
      </c>
      <c r="S2275">
        <v>2425</v>
      </c>
      <c r="T2275">
        <v>2500</v>
      </c>
      <c r="U2275" t="s">
        <v>5717</v>
      </c>
      <c r="V2275" t="s">
        <v>5718</v>
      </c>
      <c r="W2275">
        <v>1</v>
      </c>
      <c r="X2275">
        <v>1</v>
      </c>
      <c r="Z2275" s="37">
        <v>1</v>
      </c>
      <c r="AA2275" s="37">
        <v>0.4</v>
      </c>
      <c r="AB2275">
        <v>0</v>
      </c>
    </row>
    <row r="2276">
      <c r="A2276" t="s">
        <v>5999</v>
      </c>
      <c r="B2276" t="s">
        <v>4702</v>
      </c>
      <c r="C2276" t="s">
        <v>4702</v>
      </c>
      <c r="D2276" t="s">
        <v>999</v>
      </c>
      <c r="E2276" t="s">
        <v>6000</v>
      </c>
      <c r="F2276" t="s">
        <v>298</v>
      </c>
      <c r="G2276" t="s">
        <v>4732</v>
      </c>
      <c r="H2276" t="s">
        <v>4648</v>
      </c>
      <c r="I2276" t="s">
        <v>6001</v>
      </c>
      <c r="J2276" t="s">
        <v>6002</v>
      </c>
      <c r="K2276">
        <v>225637.61</v>
      </c>
      <c r="L2276" t="s">
        <v>455</v>
      </c>
      <c r="M2276" s="37">
        <v>0.005415</v>
      </c>
      <c r="N2276" s="37">
        <v>0.6</v>
      </c>
      <c r="O2276">
        <v>0.32</v>
      </c>
      <c r="P2276" s="37">
        <v>0.008257</v>
      </c>
      <c r="Q2276">
        <v>0.82</v>
      </c>
      <c r="R2276">
        <v>4100</v>
      </c>
      <c r="S2276">
        <v>4100</v>
      </c>
      <c r="T2276">
        <v>5000</v>
      </c>
      <c r="U2276" t="s">
        <v>5717</v>
      </c>
      <c r="V2276" t="s">
        <v>5718</v>
      </c>
      <c r="W2276">
        <v>1</v>
      </c>
      <c r="X2276">
        <v>1</v>
      </c>
      <c r="Z2276" s="37">
        <v>1</v>
      </c>
      <c r="AA2276" s="37">
        <v>0.4</v>
      </c>
      <c r="AB2276">
        <v>0</v>
      </c>
    </row>
    <row r="2277">
      <c r="A2277" t="s">
        <v>5999</v>
      </c>
      <c r="B2277" t="s">
        <v>4702</v>
      </c>
      <c r="C2277" t="s">
        <v>4702</v>
      </c>
      <c r="D2277" t="s">
        <v>999</v>
      </c>
      <c r="E2277" t="s">
        <v>6000</v>
      </c>
      <c r="F2277" t="s">
        <v>298</v>
      </c>
      <c r="G2277" t="s">
        <v>4732</v>
      </c>
      <c r="H2277" t="s">
        <v>6003</v>
      </c>
      <c r="I2277" t="s">
        <v>6004</v>
      </c>
      <c r="J2277">
        <v>3</v>
      </c>
      <c r="K2277">
        <v>2</v>
      </c>
      <c r="L2277" t="s">
        <v>455</v>
      </c>
      <c r="M2277" s="37">
        <v>0.008</v>
      </c>
      <c r="N2277" s="37">
        <v>0.2</v>
      </c>
      <c r="O2277">
        <v>0.16</v>
      </c>
      <c r="P2277" s="37">
        <v>0.008257</v>
      </c>
      <c r="Q2277">
        <v>0.82</v>
      </c>
      <c r="R2277">
        <v>4100</v>
      </c>
      <c r="S2277">
        <v>4100</v>
      </c>
      <c r="T2277">
        <v>5000</v>
      </c>
      <c r="U2277" t="s">
        <v>5717</v>
      </c>
      <c r="V2277" t="s">
        <v>5718</v>
      </c>
      <c r="W2277">
        <v>1</v>
      </c>
      <c r="X2277">
        <v>1</v>
      </c>
      <c r="Z2277" s="37">
        <v>1</v>
      </c>
      <c r="AA2277" s="37">
        <v>0.4</v>
      </c>
      <c r="AB2277">
        <v>0</v>
      </c>
    </row>
    <row r="2278">
      <c r="A2278" t="s">
        <v>5999</v>
      </c>
      <c r="B2278" t="s">
        <v>4702</v>
      </c>
      <c r="C2278" t="s">
        <v>4702</v>
      </c>
      <c r="D2278" t="s">
        <v>999</v>
      </c>
      <c r="E2278" t="s">
        <v>6000</v>
      </c>
      <c r="F2278" t="s">
        <v>298</v>
      </c>
      <c r="G2278" t="s">
        <v>4732</v>
      </c>
      <c r="H2278" t="s">
        <v>6003</v>
      </c>
      <c r="I2278" t="s">
        <v>6005</v>
      </c>
      <c r="J2278" t="s">
        <v>6006</v>
      </c>
      <c r="K2278">
        <v>213024.79</v>
      </c>
      <c r="L2278" t="s">
        <v>455</v>
      </c>
      <c r="M2278" s="37">
        <v>0.017042</v>
      </c>
      <c r="N2278" s="37">
        <v>0.2</v>
      </c>
      <c r="O2278">
        <v>0.3</v>
      </c>
      <c r="P2278" s="37">
        <v>0.008257</v>
      </c>
      <c r="Q2278">
        <v>0.82</v>
      </c>
      <c r="R2278">
        <v>4100</v>
      </c>
      <c r="S2278">
        <v>4100</v>
      </c>
      <c r="T2278">
        <v>5000</v>
      </c>
      <c r="U2278" t="s">
        <v>5717</v>
      </c>
      <c r="V2278" t="s">
        <v>5718</v>
      </c>
      <c r="W2278">
        <v>1</v>
      </c>
      <c r="X2278">
        <v>1</v>
      </c>
      <c r="Z2278" s="37">
        <v>1</v>
      </c>
      <c r="AA2278" s="37">
        <v>0.4</v>
      </c>
      <c r="AB2278">
        <v>0</v>
      </c>
    </row>
    <row r="2279">
      <c r="A2279" t="s">
        <v>6007</v>
      </c>
      <c r="B2279" t="s">
        <v>3648</v>
      </c>
      <c r="C2279" t="s">
        <v>3648</v>
      </c>
      <c r="D2279" t="s">
        <v>1013</v>
      </c>
      <c r="E2279" t="s">
        <v>6008</v>
      </c>
      <c r="F2279" t="s">
        <v>298</v>
      </c>
      <c r="G2279" t="s">
        <v>4681</v>
      </c>
      <c r="H2279" t="s">
        <v>4682</v>
      </c>
      <c r="I2279" t="s">
        <v>6005</v>
      </c>
      <c r="J2279" t="s">
        <v>6009</v>
      </c>
      <c r="K2279">
        <v>17.86</v>
      </c>
      <c r="L2279" t="s">
        <v>455</v>
      </c>
      <c r="M2279" s="37">
        <v>0.000992</v>
      </c>
      <c r="N2279" s="37">
        <v>1</v>
      </c>
      <c r="O2279">
        <v>0.0992</v>
      </c>
      <c r="P2279" s="37">
        <v>0.000992</v>
      </c>
      <c r="Q2279">
        <v>0.1</v>
      </c>
      <c r="R2279">
        <v>0</v>
      </c>
      <c r="S2279">
        <v>0</v>
      </c>
      <c r="T2279">
        <v>1500</v>
      </c>
      <c r="U2279" t="s">
        <v>5717</v>
      </c>
      <c r="V2279" t="s">
        <v>5718</v>
      </c>
      <c r="W2279">
        <v>1</v>
      </c>
      <c r="X2279">
        <v>1</v>
      </c>
      <c r="Z2279" s="37">
        <v>1</v>
      </c>
      <c r="AA2279" s="37">
        <v>0.4</v>
      </c>
      <c r="AB2279">
        <v>0</v>
      </c>
    </row>
    <row r="2280">
      <c r="A2280" t="s">
        <v>6010</v>
      </c>
      <c r="B2280" t="s">
        <v>3648</v>
      </c>
      <c r="C2280" t="s">
        <v>3648</v>
      </c>
      <c r="D2280" t="s">
        <v>1013</v>
      </c>
      <c r="E2280" t="s">
        <v>6011</v>
      </c>
      <c r="F2280" t="s">
        <v>298</v>
      </c>
      <c r="G2280" t="s">
        <v>4681</v>
      </c>
      <c r="H2280" t="s">
        <v>4682</v>
      </c>
      <c r="I2280" t="s">
        <v>6005</v>
      </c>
      <c r="J2280" t="s">
        <v>6009</v>
      </c>
      <c r="K2280">
        <v>2.87</v>
      </c>
      <c r="L2280" t="s">
        <v>455</v>
      </c>
      <c r="M2280" s="37">
        <v>0.000159</v>
      </c>
      <c r="N2280" s="37">
        <v>1</v>
      </c>
      <c r="O2280">
        <v>0.0159</v>
      </c>
      <c r="P2280" s="37">
        <v>0.000159</v>
      </c>
      <c r="Q2280">
        <v>0.02</v>
      </c>
      <c r="R2280">
        <v>23.91</v>
      </c>
      <c r="S2280">
        <v>23.91</v>
      </c>
      <c r="T2280">
        <v>1500</v>
      </c>
      <c r="U2280" t="s">
        <v>5717</v>
      </c>
      <c r="V2280" t="s">
        <v>5718</v>
      </c>
      <c r="W2280">
        <v>1</v>
      </c>
      <c r="X2280">
        <v>1</v>
      </c>
      <c r="Z2280" s="37">
        <v>1</v>
      </c>
      <c r="AA2280" s="37">
        <v>0.4</v>
      </c>
      <c r="AB2280">
        <v>0</v>
      </c>
    </row>
    <row r="2281">
      <c r="A2281" t="s">
        <v>6012</v>
      </c>
      <c r="B2281" t="s">
        <v>3648</v>
      </c>
      <c r="C2281" t="s">
        <v>3648</v>
      </c>
      <c r="D2281" t="s">
        <v>999</v>
      </c>
      <c r="E2281" t="s">
        <v>6013</v>
      </c>
      <c r="F2281" t="s">
        <v>298</v>
      </c>
      <c r="G2281" t="s">
        <v>4647</v>
      </c>
      <c r="H2281" t="s">
        <v>3537</v>
      </c>
      <c r="I2281" t="s">
        <v>6014</v>
      </c>
      <c r="J2281" t="s">
        <v>6015</v>
      </c>
      <c r="K2281">
        <v>1987884</v>
      </c>
      <c r="L2281" t="s">
        <v>455</v>
      </c>
      <c r="M2281" s="37">
        <v>0.049697</v>
      </c>
      <c r="N2281" s="37">
        <v>0.6</v>
      </c>
      <c r="O2281">
        <v>0.9</v>
      </c>
      <c r="P2281" s="37">
        <v>0.033818</v>
      </c>
      <c r="Q2281">
        <v>1.3</v>
      </c>
      <c r="R2281">
        <v>4800</v>
      </c>
      <c r="S2281">
        <v>4800</v>
      </c>
      <c r="T2281">
        <v>2000</v>
      </c>
      <c r="U2281" t="s">
        <v>5717</v>
      </c>
      <c r="V2281" t="s">
        <v>5718</v>
      </c>
      <c r="W2281">
        <v>1</v>
      </c>
      <c r="X2281">
        <v>1</v>
      </c>
      <c r="Z2281" s="37">
        <v>1</v>
      </c>
      <c r="AA2281" s="37">
        <v>0.4</v>
      </c>
      <c r="AB2281">
        <v>0</v>
      </c>
    </row>
    <row r="2282">
      <c r="A2282" t="s">
        <v>6012</v>
      </c>
      <c r="B2282" t="s">
        <v>3648</v>
      </c>
      <c r="C2282" t="s">
        <v>3648</v>
      </c>
      <c r="D2282" t="s">
        <v>999</v>
      </c>
      <c r="E2282" t="s">
        <v>6013</v>
      </c>
      <c r="F2282" t="s">
        <v>298</v>
      </c>
      <c r="G2282" t="s">
        <v>4647</v>
      </c>
      <c r="H2282" t="s">
        <v>3537</v>
      </c>
      <c r="I2282" t="s">
        <v>6016</v>
      </c>
      <c r="J2282" t="s">
        <v>6017</v>
      </c>
      <c r="K2282">
        <v>10000</v>
      </c>
      <c r="L2282" t="s">
        <v>455</v>
      </c>
      <c r="M2282" s="37">
        <v>0.01</v>
      </c>
      <c r="N2282" s="37">
        <v>0.4</v>
      </c>
      <c r="O2282">
        <v>0.4</v>
      </c>
      <c r="P2282" s="37">
        <v>0.033818</v>
      </c>
      <c r="Q2282">
        <v>1.3</v>
      </c>
      <c r="R2282">
        <v>4800</v>
      </c>
      <c r="S2282">
        <v>4800</v>
      </c>
      <c r="T2282">
        <v>2000</v>
      </c>
      <c r="U2282" t="s">
        <v>5717</v>
      </c>
      <c r="V2282" t="s">
        <v>5718</v>
      </c>
      <c r="W2282">
        <v>1</v>
      </c>
      <c r="X2282">
        <v>1</v>
      </c>
      <c r="Z2282" s="37">
        <v>1</v>
      </c>
      <c r="AA2282" s="37">
        <v>0.4</v>
      </c>
      <c r="AB2282">
        <v>0</v>
      </c>
    </row>
    <row r="2283">
      <c r="A2283" t="s">
        <v>6018</v>
      </c>
      <c r="B2283" t="s">
        <v>6019</v>
      </c>
      <c r="C2283" t="s">
        <v>6019</v>
      </c>
      <c r="D2283" t="s">
        <v>999</v>
      </c>
      <c r="E2283" t="s">
        <v>6020</v>
      </c>
      <c r="F2283" t="s">
        <v>298</v>
      </c>
      <c r="G2283" t="s">
        <v>6021</v>
      </c>
      <c r="H2283" t="s">
        <v>6022</v>
      </c>
      <c r="I2283" t="s">
        <v>6023</v>
      </c>
      <c r="J2283" t="s">
        <v>777</v>
      </c>
      <c r="K2283" t="s">
        <v>6024</v>
      </c>
      <c r="L2283" t="s">
        <v>455</v>
      </c>
      <c r="M2283" s="37">
        <v>0.8216</v>
      </c>
      <c r="N2283" s="37">
        <v>0.55</v>
      </c>
      <c r="O2283">
        <v>0.82</v>
      </c>
      <c r="P2283" s="37">
        <v>1.19963</v>
      </c>
      <c r="Q2283">
        <v>1.13</v>
      </c>
      <c r="R2283">
        <v>7000</v>
      </c>
      <c r="S2283">
        <v>7000</v>
      </c>
      <c r="T2283">
        <v>5000</v>
      </c>
      <c r="U2283" t="s">
        <v>5717</v>
      </c>
      <c r="V2283" t="s">
        <v>5718</v>
      </c>
      <c r="W2283">
        <v>1</v>
      </c>
      <c r="X2283">
        <v>1</v>
      </c>
      <c r="Z2283" s="37">
        <v>1</v>
      </c>
      <c r="AA2283" s="37">
        <v>0.4</v>
      </c>
      <c r="AB2283">
        <v>0</v>
      </c>
    </row>
    <row r="2284">
      <c r="A2284" t="s">
        <v>6018</v>
      </c>
      <c r="B2284" t="s">
        <v>6019</v>
      </c>
      <c r="C2284" t="s">
        <v>6019</v>
      </c>
      <c r="D2284" t="s">
        <v>999</v>
      </c>
      <c r="E2284" t="s">
        <v>6020</v>
      </c>
      <c r="F2284" t="s">
        <v>298</v>
      </c>
      <c r="G2284" t="s">
        <v>6021</v>
      </c>
      <c r="H2284" t="s">
        <v>6022</v>
      </c>
      <c r="I2284" t="s">
        <v>6025</v>
      </c>
      <c r="J2284" t="s">
        <v>3174</v>
      </c>
      <c r="K2284" t="s">
        <v>6026</v>
      </c>
      <c r="L2284" t="s">
        <v>455</v>
      </c>
      <c r="M2284" s="37">
        <v>1.7025</v>
      </c>
      <c r="N2284" s="37">
        <v>0.3</v>
      </c>
      <c r="O2284">
        <v>1.5</v>
      </c>
      <c r="P2284" s="37">
        <v>1.19963</v>
      </c>
      <c r="Q2284">
        <v>1.13</v>
      </c>
      <c r="R2284">
        <v>7000</v>
      </c>
      <c r="S2284">
        <v>7000</v>
      </c>
      <c r="T2284">
        <v>5000</v>
      </c>
      <c r="U2284" t="s">
        <v>5717</v>
      </c>
      <c r="V2284" t="s">
        <v>5718</v>
      </c>
      <c r="W2284">
        <v>1</v>
      </c>
      <c r="X2284">
        <v>1</v>
      </c>
      <c r="Z2284" s="37">
        <v>1</v>
      </c>
      <c r="AA2284" s="37">
        <v>0.4</v>
      </c>
      <c r="AB2284">
        <v>0</v>
      </c>
    </row>
    <row r="2285">
      <c r="A2285" t="s">
        <v>6018</v>
      </c>
      <c r="B2285" t="s">
        <v>6019</v>
      </c>
      <c r="C2285" t="s">
        <v>6019</v>
      </c>
      <c r="D2285" t="s">
        <v>999</v>
      </c>
      <c r="E2285" t="s">
        <v>6020</v>
      </c>
      <c r="F2285" t="s">
        <v>298</v>
      </c>
      <c r="G2285" t="s">
        <v>6021</v>
      </c>
      <c r="H2285" t="s">
        <v>6027</v>
      </c>
      <c r="I2285" t="s">
        <v>6028</v>
      </c>
      <c r="J2285" t="s">
        <v>1053</v>
      </c>
      <c r="K2285" t="s">
        <v>6029</v>
      </c>
      <c r="L2285" t="s">
        <v>455</v>
      </c>
      <c r="M2285" s="37">
        <v>1.58</v>
      </c>
      <c r="N2285" s="37">
        <v>0.15</v>
      </c>
      <c r="O2285">
        <v>1.5</v>
      </c>
      <c r="P2285" s="37">
        <v>1.19963</v>
      </c>
      <c r="Q2285">
        <v>1.13</v>
      </c>
      <c r="R2285">
        <v>7000</v>
      </c>
      <c r="S2285">
        <v>7000</v>
      </c>
      <c r="T2285">
        <v>5000</v>
      </c>
      <c r="U2285" t="s">
        <v>5717</v>
      </c>
      <c r="V2285" t="s">
        <v>5718</v>
      </c>
      <c r="W2285">
        <v>1</v>
      </c>
      <c r="X2285">
        <v>1</v>
      </c>
      <c r="Z2285" s="37">
        <v>1</v>
      </c>
      <c r="AA2285" s="37">
        <v>0.4</v>
      </c>
      <c r="AB2285">
        <v>0</v>
      </c>
    </row>
    <row r="2286">
      <c r="A2286" t="s">
        <v>6030</v>
      </c>
      <c r="B2286" t="s">
        <v>6019</v>
      </c>
      <c r="C2286" t="s">
        <v>6019</v>
      </c>
      <c r="D2286" t="s">
        <v>999</v>
      </c>
      <c r="E2286" t="s">
        <v>1532</v>
      </c>
      <c r="F2286" t="s">
        <v>298</v>
      </c>
      <c r="G2286" t="s">
        <v>6021</v>
      </c>
      <c r="H2286" t="s">
        <v>6022</v>
      </c>
      <c r="I2286" t="s">
        <v>6031</v>
      </c>
      <c r="J2286" t="s">
        <v>2502</v>
      </c>
      <c r="K2286" t="s">
        <v>6032</v>
      </c>
      <c r="L2286" t="s">
        <v>455</v>
      </c>
      <c r="M2286" s="37">
        <v>0.44</v>
      </c>
      <c r="N2286" s="37">
        <v>0.5</v>
      </c>
      <c r="O2286">
        <v>0.44</v>
      </c>
      <c r="P2286" s="37">
        <v>0.52</v>
      </c>
      <c r="Q2286">
        <v>0.52</v>
      </c>
      <c r="R2286">
        <v>3000</v>
      </c>
      <c r="S2286">
        <v>3000</v>
      </c>
      <c r="T2286">
        <v>5000</v>
      </c>
      <c r="U2286" t="s">
        <v>5717</v>
      </c>
      <c r="V2286" t="s">
        <v>5718</v>
      </c>
      <c r="W2286">
        <v>1</v>
      </c>
      <c r="X2286">
        <v>1</v>
      </c>
      <c r="Z2286" s="37">
        <v>1</v>
      </c>
      <c r="AA2286" s="37">
        <v>0.4</v>
      </c>
      <c r="AB2286">
        <v>0</v>
      </c>
    </row>
    <row r="2287">
      <c r="A2287" t="s">
        <v>6030</v>
      </c>
      <c r="B2287" t="s">
        <v>6019</v>
      </c>
      <c r="C2287" t="s">
        <v>6019</v>
      </c>
      <c r="D2287" t="s">
        <v>999</v>
      </c>
      <c r="E2287" t="s">
        <v>1532</v>
      </c>
      <c r="F2287" t="s">
        <v>298</v>
      </c>
      <c r="G2287" t="s">
        <v>6021</v>
      </c>
      <c r="H2287" t="s">
        <v>6022</v>
      </c>
      <c r="I2287" t="s">
        <v>6033</v>
      </c>
      <c r="J2287" t="s">
        <v>777</v>
      </c>
      <c r="K2287" t="s">
        <v>6034</v>
      </c>
      <c r="L2287" t="s">
        <v>455</v>
      </c>
      <c r="M2287" s="37">
        <v>0.6</v>
      </c>
      <c r="N2287" s="37">
        <v>0.5</v>
      </c>
      <c r="O2287">
        <v>0.6</v>
      </c>
      <c r="P2287" s="37">
        <v>0.52</v>
      </c>
      <c r="Q2287">
        <v>0.52</v>
      </c>
      <c r="R2287">
        <v>3000</v>
      </c>
      <c r="S2287">
        <v>3000</v>
      </c>
      <c r="T2287">
        <v>5000</v>
      </c>
      <c r="U2287" t="s">
        <v>5717</v>
      </c>
      <c r="V2287" t="s">
        <v>5718</v>
      </c>
      <c r="W2287">
        <v>1</v>
      </c>
      <c r="X2287">
        <v>1</v>
      </c>
      <c r="Z2287" s="37">
        <v>1</v>
      </c>
      <c r="AA2287" s="37">
        <v>0.4</v>
      </c>
      <c r="AB2287">
        <v>0</v>
      </c>
    </row>
    <row r="2288">
      <c r="A2288" t="s">
        <v>6035</v>
      </c>
      <c r="B2288" t="s">
        <v>6019</v>
      </c>
      <c r="C2288" t="s">
        <v>6019</v>
      </c>
      <c r="D2288" t="s">
        <v>1013</v>
      </c>
      <c r="E2288" t="s">
        <v>6036</v>
      </c>
      <c r="F2288" t="s">
        <v>298</v>
      </c>
      <c r="G2288" t="s">
        <v>6037</v>
      </c>
      <c r="H2288" t="s">
        <v>6038</v>
      </c>
      <c r="I2288" t="s">
        <v>6039</v>
      </c>
      <c r="J2288" t="s">
        <v>2502</v>
      </c>
      <c r="K2288" t="s">
        <v>6040</v>
      </c>
      <c r="L2288" t="s">
        <v>6041</v>
      </c>
      <c r="M2288" s="37">
        <v>0.7999</v>
      </c>
      <c r="N2288" s="37">
        <v>0.9</v>
      </c>
      <c r="O2288">
        <v>0.7999</v>
      </c>
      <c r="P2288" s="37">
        <v>0.81991</v>
      </c>
      <c r="Q2288">
        <v>0.82</v>
      </c>
      <c r="R2288">
        <v>2700</v>
      </c>
      <c r="S2288">
        <v>4700</v>
      </c>
      <c r="T2288">
        <v>1500</v>
      </c>
      <c r="U2288" t="s">
        <v>5717</v>
      </c>
      <c r="V2288" t="s">
        <v>5718</v>
      </c>
      <c r="W2288">
        <v>1</v>
      </c>
      <c r="X2288">
        <v>1</v>
      </c>
      <c r="Z2288" s="37">
        <v>1</v>
      </c>
      <c r="AA2288" s="37">
        <v>0.4</v>
      </c>
      <c r="AB2288">
        <v>0</v>
      </c>
    </row>
    <row r="2289">
      <c r="A2289" t="s">
        <v>6035</v>
      </c>
      <c r="B2289" t="s">
        <v>6019</v>
      </c>
      <c r="C2289" t="s">
        <v>6019</v>
      </c>
      <c r="D2289" t="s">
        <v>1013</v>
      </c>
      <c r="E2289" t="s">
        <v>6036</v>
      </c>
      <c r="F2289" t="s">
        <v>298</v>
      </c>
      <c r="G2289" t="s">
        <v>6037</v>
      </c>
      <c r="H2289" t="s">
        <v>6038</v>
      </c>
      <c r="I2289" t="s">
        <v>6042</v>
      </c>
      <c r="J2289" s="38">
        <v>1</v>
      </c>
      <c r="K2289" s="38">
        <v>1</v>
      </c>
      <c r="L2289" t="s">
        <v>6043</v>
      </c>
      <c r="M2289" s="37">
        <v>1</v>
      </c>
      <c r="N2289" s="37">
        <v>0.1</v>
      </c>
      <c r="O2289">
        <v>1</v>
      </c>
      <c r="P2289" s="37">
        <v>0.81991</v>
      </c>
      <c r="Q2289">
        <v>0.82</v>
      </c>
      <c r="R2289">
        <v>2700</v>
      </c>
      <c r="S2289">
        <v>4700</v>
      </c>
      <c r="T2289">
        <v>1500</v>
      </c>
      <c r="U2289" t="s">
        <v>5717</v>
      </c>
      <c r="V2289" t="s">
        <v>5718</v>
      </c>
      <c r="W2289">
        <v>1</v>
      </c>
      <c r="X2289">
        <v>1</v>
      </c>
      <c r="Z2289" s="37">
        <v>1</v>
      </c>
      <c r="AA2289" s="37">
        <v>0.4</v>
      </c>
      <c r="AB2289">
        <v>0</v>
      </c>
    </row>
    <row r="2290">
      <c r="A2290" t="s">
        <v>6044</v>
      </c>
      <c r="B2290" t="s">
        <v>6019</v>
      </c>
      <c r="C2290" t="s">
        <v>6019</v>
      </c>
      <c r="D2290" t="s">
        <v>1013</v>
      </c>
      <c r="E2290" t="s">
        <v>6045</v>
      </c>
      <c r="F2290" t="s">
        <v>298</v>
      </c>
      <c r="G2290" t="s">
        <v>6037</v>
      </c>
      <c r="H2290" t="s">
        <v>6038</v>
      </c>
      <c r="I2290" t="s">
        <v>6039</v>
      </c>
      <c r="J2290" t="s">
        <v>2502</v>
      </c>
      <c r="K2290" t="s">
        <v>6046</v>
      </c>
      <c r="L2290" t="s">
        <v>6043</v>
      </c>
      <c r="M2290" s="37">
        <v>0.57125</v>
      </c>
      <c r="N2290" s="37">
        <v>0.9</v>
      </c>
      <c r="O2290">
        <v>0.457</v>
      </c>
      <c r="P2290" s="37">
        <v>0.614125</v>
      </c>
      <c r="Q2290">
        <v>0.51</v>
      </c>
      <c r="R2290">
        <v>900</v>
      </c>
      <c r="S2290">
        <v>900</v>
      </c>
      <c r="T2290">
        <v>1500</v>
      </c>
      <c r="U2290" t="s">
        <v>5717</v>
      </c>
      <c r="V2290" t="s">
        <v>5718</v>
      </c>
      <c r="W2290">
        <v>1</v>
      </c>
      <c r="X2290">
        <v>1</v>
      </c>
      <c r="Z2290" s="37">
        <v>1</v>
      </c>
      <c r="AA2290" s="37">
        <v>0.4</v>
      </c>
      <c r="AB2290">
        <v>0</v>
      </c>
    </row>
    <row r="2291">
      <c r="A2291" t="s">
        <v>6044</v>
      </c>
      <c r="B2291" t="s">
        <v>6019</v>
      </c>
      <c r="C2291" t="s">
        <v>6019</v>
      </c>
      <c r="D2291" t="s">
        <v>1013</v>
      </c>
      <c r="E2291" t="s">
        <v>6045</v>
      </c>
      <c r="F2291" t="s">
        <v>298</v>
      </c>
      <c r="G2291" t="s">
        <v>6037</v>
      </c>
      <c r="H2291" t="s">
        <v>6038</v>
      </c>
      <c r="I2291" t="s">
        <v>6042</v>
      </c>
      <c r="J2291">
        <v>1</v>
      </c>
      <c r="K2291">
        <v>1</v>
      </c>
      <c r="L2291" t="s">
        <v>6043</v>
      </c>
      <c r="M2291" s="37">
        <v>1</v>
      </c>
      <c r="N2291" s="37">
        <v>0.1</v>
      </c>
      <c r="O2291">
        <v>1</v>
      </c>
      <c r="P2291" s="37">
        <v>0.614125</v>
      </c>
      <c r="Q2291">
        <v>0.51</v>
      </c>
      <c r="R2291">
        <v>900</v>
      </c>
      <c r="S2291">
        <v>900</v>
      </c>
      <c r="T2291">
        <v>1500</v>
      </c>
      <c r="U2291" t="s">
        <v>5717</v>
      </c>
      <c r="V2291" t="s">
        <v>5718</v>
      </c>
      <c r="W2291">
        <v>1</v>
      </c>
      <c r="X2291">
        <v>1</v>
      </c>
      <c r="Z2291" s="37">
        <v>1</v>
      </c>
      <c r="AA2291" s="37">
        <v>0.4</v>
      </c>
      <c r="AB2291">
        <v>0</v>
      </c>
    </row>
    <row r="2292">
      <c r="A2292" t="s">
        <v>6047</v>
      </c>
      <c r="B2292" t="s">
        <v>6019</v>
      </c>
      <c r="C2292" t="s">
        <v>6019</v>
      </c>
      <c r="D2292" t="s">
        <v>1013</v>
      </c>
      <c r="E2292" t="s">
        <v>6048</v>
      </c>
      <c r="F2292" t="s">
        <v>298</v>
      </c>
      <c r="G2292" t="s">
        <v>6037</v>
      </c>
      <c r="H2292" t="s">
        <v>6038</v>
      </c>
      <c r="I2292" t="s">
        <v>6049</v>
      </c>
      <c r="J2292">
        <v>20000</v>
      </c>
      <c r="K2292" s="41">
        <v>33524.66</v>
      </c>
      <c r="L2292" t="s">
        <v>6043</v>
      </c>
      <c r="M2292" s="37">
        <v>1.676233</v>
      </c>
      <c r="N2292" s="37">
        <v>0.2</v>
      </c>
      <c r="O2292">
        <v>1.5</v>
      </c>
      <c r="P2292" s="37">
        <v>1.445613</v>
      </c>
      <c r="Q2292">
        <v>1.35</v>
      </c>
      <c r="R2292">
        <v>4500</v>
      </c>
      <c r="S2292">
        <v>6500</v>
      </c>
      <c r="T2292">
        <v>1500</v>
      </c>
      <c r="U2292" t="s">
        <v>5717</v>
      </c>
      <c r="V2292" t="s">
        <v>5718</v>
      </c>
      <c r="W2292">
        <v>1</v>
      </c>
      <c r="X2292">
        <v>1</v>
      </c>
      <c r="Z2292" s="37">
        <v>1</v>
      </c>
      <c r="AA2292" s="37">
        <v>0.4</v>
      </c>
      <c r="AB2292">
        <v>0</v>
      </c>
    </row>
    <row r="2293">
      <c r="A2293" t="s">
        <v>6047</v>
      </c>
      <c r="B2293" t="s">
        <v>6019</v>
      </c>
      <c r="C2293" t="s">
        <v>6019</v>
      </c>
      <c r="D2293" t="s">
        <v>1013</v>
      </c>
      <c r="E2293" t="s">
        <v>6048</v>
      </c>
      <c r="F2293" t="s">
        <v>298</v>
      </c>
      <c r="G2293" t="s">
        <v>6037</v>
      </c>
      <c r="H2293" t="s">
        <v>6038</v>
      </c>
      <c r="I2293" t="s">
        <v>6050</v>
      </c>
      <c r="J2293">
        <v>1</v>
      </c>
      <c r="K2293" s="38">
        <v>1</v>
      </c>
      <c r="L2293" t="s">
        <v>6043</v>
      </c>
      <c r="M2293" s="37">
        <v>1</v>
      </c>
      <c r="N2293" s="37">
        <v>0.3</v>
      </c>
      <c r="O2293">
        <v>1</v>
      </c>
      <c r="P2293" s="37">
        <v>1.445613</v>
      </c>
      <c r="Q2293">
        <v>1.35</v>
      </c>
      <c r="R2293">
        <v>4500</v>
      </c>
      <c r="S2293">
        <v>6500</v>
      </c>
      <c r="T2293">
        <v>1500</v>
      </c>
      <c r="U2293" t="s">
        <v>5717</v>
      </c>
      <c r="V2293" t="s">
        <v>5718</v>
      </c>
      <c r="W2293">
        <v>1</v>
      </c>
      <c r="X2293">
        <v>1</v>
      </c>
      <c r="Z2293" s="37">
        <v>1</v>
      </c>
      <c r="AA2293" s="37">
        <v>0.4</v>
      </c>
      <c r="AB2293">
        <v>0</v>
      </c>
    </row>
    <row r="2294">
      <c r="A2294" t="s">
        <v>6047</v>
      </c>
      <c r="B2294" t="s">
        <v>6019</v>
      </c>
      <c r="C2294" t="s">
        <v>6019</v>
      </c>
      <c r="D2294" t="s">
        <v>1013</v>
      </c>
      <c r="E2294" t="s">
        <v>6048</v>
      </c>
      <c r="F2294" t="s">
        <v>298</v>
      </c>
      <c r="G2294" t="s">
        <v>6037</v>
      </c>
      <c r="H2294" t="s">
        <v>6038</v>
      </c>
      <c r="I2294" t="s">
        <v>6051</v>
      </c>
      <c r="J2294">
        <v>40000</v>
      </c>
      <c r="K2294">
        <v>64829.31</v>
      </c>
      <c r="L2294" t="s">
        <v>6043</v>
      </c>
      <c r="M2294" s="37">
        <v>1.620733</v>
      </c>
      <c r="N2294" s="37">
        <v>0.5</v>
      </c>
      <c r="O2294">
        <v>1.5</v>
      </c>
      <c r="P2294" s="37">
        <v>1.445613</v>
      </c>
      <c r="Q2294">
        <v>1.35</v>
      </c>
      <c r="R2294">
        <v>4500</v>
      </c>
      <c r="S2294">
        <v>6500</v>
      </c>
      <c r="T2294">
        <v>1500</v>
      </c>
      <c r="U2294" t="s">
        <v>5717</v>
      </c>
      <c r="V2294" t="s">
        <v>5718</v>
      </c>
      <c r="W2294">
        <v>1</v>
      </c>
      <c r="X2294">
        <v>1</v>
      </c>
      <c r="Z2294" s="37">
        <v>1</v>
      </c>
      <c r="AA2294" s="37">
        <v>0.4</v>
      </c>
      <c r="AB2294">
        <v>0</v>
      </c>
    </row>
    <row r="2295">
      <c r="A2295" t="s">
        <v>6052</v>
      </c>
      <c r="B2295" t="s">
        <v>6019</v>
      </c>
      <c r="C2295" t="s">
        <v>6019</v>
      </c>
      <c r="D2295" t="s">
        <v>1013</v>
      </c>
      <c r="E2295" t="s">
        <v>6053</v>
      </c>
      <c r="F2295" t="s">
        <v>298</v>
      </c>
      <c r="G2295" t="s">
        <v>6037</v>
      </c>
      <c r="H2295" t="s">
        <v>6038</v>
      </c>
      <c r="I2295" t="s">
        <v>6054</v>
      </c>
      <c r="J2295">
        <v>80000</v>
      </c>
      <c r="K2295">
        <v>15104</v>
      </c>
      <c r="L2295" t="s">
        <v>6043</v>
      </c>
      <c r="M2295" s="37">
        <v>0.151</v>
      </c>
      <c r="N2295" s="37">
        <v>0.9</v>
      </c>
      <c r="O2295">
        <v>0.151</v>
      </c>
      <c r="P2295" s="37">
        <v>0.2359</v>
      </c>
      <c r="Q2295">
        <v>0.24</v>
      </c>
      <c r="R2295">
        <v>0</v>
      </c>
      <c r="S2295">
        <v>0</v>
      </c>
      <c r="T2295">
        <v>1500</v>
      </c>
      <c r="U2295" t="s">
        <v>5717</v>
      </c>
      <c r="V2295" t="s">
        <v>5718</v>
      </c>
      <c r="W2295">
        <v>1</v>
      </c>
      <c r="X2295">
        <v>1</v>
      </c>
      <c r="Z2295" s="37">
        <v>1</v>
      </c>
      <c r="AA2295" s="37">
        <v>0.4</v>
      </c>
      <c r="AB2295">
        <v>0</v>
      </c>
    </row>
    <row r="2296">
      <c r="A2296" t="s">
        <v>6052</v>
      </c>
      <c r="B2296" t="s">
        <v>6019</v>
      </c>
      <c r="C2296" t="s">
        <v>6019</v>
      </c>
      <c r="D2296" t="s">
        <v>1013</v>
      </c>
      <c r="E2296" t="s">
        <v>6053</v>
      </c>
      <c r="F2296" t="s">
        <v>298</v>
      </c>
      <c r="G2296" t="s">
        <v>6037</v>
      </c>
      <c r="H2296" t="s">
        <v>6038</v>
      </c>
      <c r="I2296" t="s">
        <v>6055</v>
      </c>
      <c r="J2296">
        <v>1</v>
      </c>
      <c r="K2296">
        <v>1</v>
      </c>
      <c r="L2296" t="s">
        <v>6043</v>
      </c>
      <c r="M2296" s="37">
        <v>1</v>
      </c>
      <c r="N2296" s="37">
        <v>0.1</v>
      </c>
      <c r="O2296">
        <v>1</v>
      </c>
      <c r="P2296" s="37">
        <v>0.2359</v>
      </c>
      <c r="Q2296">
        <v>0.24</v>
      </c>
      <c r="R2296">
        <v>0</v>
      </c>
      <c r="S2296">
        <v>0</v>
      </c>
      <c r="T2296">
        <v>1500</v>
      </c>
      <c r="U2296" t="s">
        <v>5717</v>
      </c>
      <c r="V2296" t="s">
        <v>5718</v>
      </c>
      <c r="W2296">
        <v>1</v>
      </c>
      <c r="X2296">
        <v>1</v>
      </c>
      <c r="Z2296" s="37">
        <v>1</v>
      </c>
      <c r="AA2296" s="37">
        <v>0.4</v>
      </c>
      <c r="AB2296">
        <v>0</v>
      </c>
    </row>
    <row r="2297">
      <c r="A2297" t="s">
        <v>6056</v>
      </c>
      <c r="B2297" t="s">
        <v>6019</v>
      </c>
      <c r="C2297" t="s">
        <v>6019</v>
      </c>
      <c r="D2297" t="s">
        <v>1013</v>
      </c>
      <c r="E2297" t="s">
        <v>6057</v>
      </c>
      <c r="F2297" t="s">
        <v>298</v>
      </c>
      <c r="G2297" t="s">
        <v>6037</v>
      </c>
      <c r="H2297" t="s">
        <v>6038</v>
      </c>
      <c r="I2297" t="s">
        <v>6039</v>
      </c>
      <c r="J2297" t="s">
        <v>2502</v>
      </c>
      <c r="K2297" t="s">
        <v>6058</v>
      </c>
      <c r="L2297" t="s">
        <v>6059</v>
      </c>
      <c r="M2297" s="37">
        <v>0.1968</v>
      </c>
      <c r="N2297" s="37">
        <v>0.9</v>
      </c>
      <c r="O2297">
        <v>0.1968</v>
      </c>
      <c r="P2297" s="37">
        <v>0.27712</v>
      </c>
      <c r="Q2297">
        <v>0.3</v>
      </c>
      <c r="R2297">
        <v>900</v>
      </c>
      <c r="S2297">
        <v>900</v>
      </c>
      <c r="T2297">
        <v>1500</v>
      </c>
      <c r="U2297" t="s">
        <v>5717</v>
      </c>
      <c r="V2297" t="s">
        <v>5718</v>
      </c>
      <c r="W2297">
        <v>1</v>
      </c>
      <c r="X2297">
        <v>1</v>
      </c>
      <c r="Z2297" s="37">
        <v>1</v>
      </c>
      <c r="AA2297" s="37">
        <v>0.4</v>
      </c>
      <c r="AB2297">
        <v>0</v>
      </c>
    </row>
    <row r="2298">
      <c r="A2298" t="s">
        <v>6056</v>
      </c>
      <c r="B2298" t="s">
        <v>6019</v>
      </c>
      <c r="C2298" t="s">
        <v>6019</v>
      </c>
      <c r="D2298" t="s">
        <v>1013</v>
      </c>
      <c r="E2298" t="s">
        <v>6057</v>
      </c>
      <c r="F2298" t="s">
        <v>298</v>
      </c>
      <c r="G2298" t="s">
        <v>6037</v>
      </c>
      <c r="H2298" t="s">
        <v>6038</v>
      </c>
      <c r="I2298" t="s">
        <v>6042</v>
      </c>
      <c r="J2298">
        <v>1</v>
      </c>
      <c r="K2298">
        <v>1</v>
      </c>
      <c r="L2298">
        <v>1</v>
      </c>
      <c r="M2298" s="37">
        <v>1</v>
      </c>
      <c r="N2298" s="37">
        <v>0.1</v>
      </c>
      <c r="O2298">
        <v>0.1</v>
      </c>
      <c r="P2298" s="37">
        <v>0.27712</v>
      </c>
      <c r="Q2298">
        <v>0.3</v>
      </c>
      <c r="R2298">
        <v>900</v>
      </c>
      <c r="S2298">
        <v>900</v>
      </c>
      <c r="T2298">
        <v>1500</v>
      </c>
      <c r="U2298" t="s">
        <v>5717</v>
      </c>
      <c r="V2298" t="s">
        <v>5718</v>
      </c>
      <c r="W2298">
        <v>1</v>
      </c>
      <c r="X2298">
        <v>1</v>
      </c>
      <c r="Z2298" s="37">
        <v>1</v>
      </c>
      <c r="AA2298" s="37">
        <v>0.4</v>
      </c>
      <c r="AB2298">
        <v>0</v>
      </c>
    </row>
    <row r="2299">
      <c r="A2299" t="s">
        <v>6060</v>
      </c>
      <c r="B2299" t="s">
        <v>6019</v>
      </c>
      <c r="C2299" t="s">
        <v>6019</v>
      </c>
      <c r="D2299" t="s">
        <v>1013</v>
      </c>
      <c r="E2299" t="s">
        <v>6061</v>
      </c>
      <c r="F2299" t="s">
        <v>298</v>
      </c>
      <c r="G2299" t="s">
        <v>6037</v>
      </c>
      <c r="H2299" t="s">
        <v>6038</v>
      </c>
      <c r="I2299" t="s">
        <v>6062</v>
      </c>
      <c r="J2299" t="s">
        <v>2502</v>
      </c>
      <c r="K2299" t="s">
        <v>6063</v>
      </c>
      <c r="L2299">
        <v>1</v>
      </c>
      <c r="M2299" s="37">
        <v>0.1595</v>
      </c>
      <c r="N2299" s="37">
        <v>0.9</v>
      </c>
      <c r="O2299">
        <v>0.16</v>
      </c>
      <c r="P2299" s="37">
        <v>0.24355</v>
      </c>
      <c r="Q2299">
        <v>0.24</v>
      </c>
      <c r="R2299">
        <v>0</v>
      </c>
      <c r="S2299">
        <v>0</v>
      </c>
      <c r="T2299">
        <v>1500</v>
      </c>
      <c r="U2299" t="s">
        <v>5717</v>
      </c>
      <c r="V2299" t="s">
        <v>5718</v>
      </c>
      <c r="W2299">
        <v>1</v>
      </c>
      <c r="X2299">
        <v>1</v>
      </c>
      <c r="Z2299" s="37">
        <v>1</v>
      </c>
      <c r="AA2299" s="37">
        <v>0.4</v>
      </c>
      <c r="AB2299">
        <v>0</v>
      </c>
    </row>
    <row r="2300">
      <c r="A2300" t="s">
        <v>6060</v>
      </c>
      <c r="B2300" t="s">
        <v>6019</v>
      </c>
      <c r="C2300" t="s">
        <v>6019</v>
      </c>
      <c r="D2300" t="s">
        <v>1013</v>
      </c>
      <c r="E2300" t="s">
        <v>6061</v>
      </c>
      <c r="F2300" t="s">
        <v>298</v>
      </c>
      <c r="G2300" t="s">
        <v>6037</v>
      </c>
      <c r="H2300" t="s">
        <v>6038</v>
      </c>
      <c r="I2300" t="s">
        <v>6064</v>
      </c>
      <c r="J2300">
        <v>1</v>
      </c>
      <c r="K2300">
        <v>1</v>
      </c>
      <c r="L2300">
        <v>1</v>
      </c>
      <c r="M2300" s="37">
        <v>1</v>
      </c>
      <c r="N2300" s="37">
        <v>0.1</v>
      </c>
      <c r="O2300">
        <v>1</v>
      </c>
      <c r="P2300" s="37">
        <v>0.24355</v>
      </c>
      <c r="Q2300">
        <v>0.24</v>
      </c>
      <c r="R2300">
        <v>0</v>
      </c>
      <c r="S2300">
        <v>0</v>
      </c>
      <c r="T2300">
        <v>1500</v>
      </c>
      <c r="U2300" t="s">
        <v>5717</v>
      </c>
      <c r="V2300" t="s">
        <v>5718</v>
      </c>
      <c r="W2300">
        <v>1</v>
      </c>
      <c r="X2300">
        <v>1</v>
      </c>
      <c r="Z2300" s="37">
        <v>1</v>
      </c>
      <c r="AA2300" s="37">
        <v>0.4</v>
      </c>
      <c r="AB2300">
        <v>0</v>
      </c>
    </row>
    <row r="2301">
      <c r="A2301" t="s">
        <v>6065</v>
      </c>
      <c r="B2301" t="s">
        <v>2356</v>
      </c>
      <c r="C2301" t="s">
        <v>2356</v>
      </c>
      <c r="D2301" t="s">
        <v>2521</v>
      </c>
      <c r="E2301" t="s">
        <v>6066</v>
      </c>
      <c r="F2301" t="s">
        <v>298</v>
      </c>
      <c r="G2301" t="s">
        <v>6067</v>
      </c>
      <c r="H2301" t="s">
        <v>2863</v>
      </c>
      <c r="I2301" t="s">
        <v>6068</v>
      </c>
      <c r="J2301">
        <v>350</v>
      </c>
      <c r="K2301">
        <v>249.7</v>
      </c>
      <c r="L2301">
        <v>1</v>
      </c>
      <c r="M2301" s="37">
        <v>0.71</v>
      </c>
      <c r="N2301" s="37">
        <v>0.15</v>
      </c>
      <c r="O2301">
        <v>0.71</v>
      </c>
      <c r="P2301" s="37">
        <v>0.889</v>
      </c>
      <c r="Q2301">
        <v>0.99</v>
      </c>
      <c r="R2301">
        <v>4950</v>
      </c>
      <c r="S2301">
        <v>4950</v>
      </c>
      <c r="T2301">
        <v>5000</v>
      </c>
      <c r="U2301" t="s">
        <v>5717</v>
      </c>
      <c r="V2301" t="s">
        <v>5718</v>
      </c>
      <c r="W2301">
        <v>1</v>
      </c>
      <c r="X2301">
        <v>1</v>
      </c>
      <c r="Z2301" s="37">
        <v>1</v>
      </c>
      <c r="AA2301" s="37">
        <v>0.4</v>
      </c>
      <c r="AB2301">
        <v>0</v>
      </c>
    </row>
    <row r="2302">
      <c r="A2302" t="s">
        <v>6065</v>
      </c>
      <c r="B2302" t="s">
        <v>2356</v>
      </c>
      <c r="C2302" t="s">
        <v>2356</v>
      </c>
      <c r="D2302" t="s">
        <v>2521</v>
      </c>
      <c r="E2302" t="s">
        <v>6066</v>
      </c>
      <c r="F2302" t="s">
        <v>298</v>
      </c>
      <c r="G2302" t="s">
        <v>6067</v>
      </c>
      <c r="H2302" t="s">
        <v>2863</v>
      </c>
      <c r="I2302" t="s">
        <v>6069</v>
      </c>
      <c r="J2302">
        <v>200</v>
      </c>
      <c r="K2302">
        <v>229.57</v>
      </c>
      <c r="L2302">
        <v>1</v>
      </c>
      <c r="M2302" s="37">
        <v>1.15</v>
      </c>
      <c r="N2302" s="37">
        <v>0.15</v>
      </c>
      <c r="O2302">
        <v>1.15</v>
      </c>
      <c r="P2302" s="37">
        <v>0.889</v>
      </c>
      <c r="Q2302">
        <v>0.99</v>
      </c>
      <c r="R2302">
        <v>4950</v>
      </c>
      <c r="S2302">
        <v>4950</v>
      </c>
      <c r="T2302">
        <v>5000</v>
      </c>
      <c r="U2302" t="s">
        <v>5717</v>
      </c>
      <c r="V2302" t="s">
        <v>5718</v>
      </c>
      <c r="W2302">
        <v>1</v>
      </c>
      <c r="X2302">
        <v>1</v>
      </c>
      <c r="Z2302" s="37">
        <v>1</v>
      </c>
      <c r="AA2302" s="37">
        <v>0.4</v>
      </c>
      <c r="AB2302">
        <v>0</v>
      </c>
    </row>
    <row r="2303">
      <c r="A2303" t="s">
        <v>6065</v>
      </c>
      <c r="B2303" t="s">
        <v>2356</v>
      </c>
      <c r="C2303" t="s">
        <v>2356</v>
      </c>
      <c r="D2303" t="s">
        <v>2521</v>
      </c>
      <c r="E2303" t="s">
        <v>6066</v>
      </c>
      <c r="F2303" t="s">
        <v>298</v>
      </c>
      <c r="G2303" t="s">
        <v>6067</v>
      </c>
      <c r="H2303" t="s">
        <v>2863</v>
      </c>
      <c r="I2303" t="s">
        <v>6070</v>
      </c>
      <c r="J2303">
        <v>400</v>
      </c>
      <c r="K2303">
        <v>424.2</v>
      </c>
      <c r="L2303">
        <v>1</v>
      </c>
      <c r="M2303" s="37">
        <v>1.06</v>
      </c>
      <c r="N2303" s="37">
        <v>0.15</v>
      </c>
      <c r="O2303">
        <v>1.06</v>
      </c>
      <c r="P2303" s="37">
        <v>0.889</v>
      </c>
      <c r="Q2303">
        <v>0.99</v>
      </c>
      <c r="R2303">
        <v>4950</v>
      </c>
      <c r="S2303">
        <v>4950</v>
      </c>
      <c r="T2303">
        <v>5000</v>
      </c>
      <c r="U2303" t="s">
        <v>5717</v>
      </c>
      <c r="V2303" t="s">
        <v>5718</v>
      </c>
      <c r="W2303">
        <v>1</v>
      </c>
      <c r="X2303">
        <v>1</v>
      </c>
      <c r="Z2303" s="37">
        <v>1</v>
      </c>
      <c r="AA2303" s="37">
        <v>0.4</v>
      </c>
      <c r="AB2303">
        <v>0</v>
      </c>
    </row>
    <row r="2304">
      <c r="A2304" t="s">
        <v>6065</v>
      </c>
      <c r="B2304" t="s">
        <v>2356</v>
      </c>
      <c r="C2304" t="s">
        <v>2356</v>
      </c>
      <c r="D2304" t="s">
        <v>2521</v>
      </c>
      <c r="E2304" t="s">
        <v>6066</v>
      </c>
      <c r="F2304" t="s">
        <v>298</v>
      </c>
      <c r="G2304" t="s">
        <v>6067</v>
      </c>
      <c r="H2304" t="s">
        <v>2863</v>
      </c>
      <c r="I2304" t="s">
        <v>6071</v>
      </c>
      <c r="J2304">
        <v>15</v>
      </c>
      <c r="K2304">
        <v>15</v>
      </c>
      <c r="L2304">
        <v>1</v>
      </c>
      <c r="M2304" s="37">
        <v>1</v>
      </c>
      <c r="N2304" s="37">
        <v>0.15</v>
      </c>
      <c r="O2304">
        <v>1</v>
      </c>
      <c r="P2304" s="37">
        <v>0.889</v>
      </c>
      <c r="Q2304">
        <v>0.99</v>
      </c>
      <c r="R2304">
        <v>4950</v>
      </c>
      <c r="S2304">
        <v>4950</v>
      </c>
      <c r="T2304">
        <v>5000</v>
      </c>
      <c r="U2304" t="s">
        <v>5717</v>
      </c>
      <c r="V2304" t="s">
        <v>5718</v>
      </c>
      <c r="W2304">
        <v>1</v>
      </c>
      <c r="X2304">
        <v>1</v>
      </c>
      <c r="Z2304" s="37">
        <v>1</v>
      </c>
      <c r="AA2304" s="37">
        <v>0.4</v>
      </c>
      <c r="AB2304">
        <v>0</v>
      </c>
    </row>
    <row r="2305">
      <c r="A2305" t="s">
        <v>6065</v>
      </c>
      <c r="B2305" t="s">
        <v>2356</v>
      </c>
      <c r="C2305" t="s">
        <v>2356</v>
      </c>
      <c r="D2305" t="s">
        <v>2521</v>
      </c>
      <c r="E2305" t="s">
        <v>6066</v>
      </c>
      <c r="F2305" t="s">
        <v>298</v>
      </c>
      <c r="G2305" t="s">
        <v>6067</v>
      </c>
      <c r="H2305" t="s">
        <v>2863</v>
      </c>
      <c r="I2305" t="s">
        <v>6072</v>
      </c>
      <c r="J2305">
        <v>15</v>
      </c>
      <c r="K2305">
        <v>15</v>
      </c>
      <c r="L2305">
        <v>1</v>
      </c>
      <c r="M2305" s="37">
        <v>1</v>
      </c>
      <c r="N2305" s="37">
        <v>0.15</v>
      </c>
      <c r="O2305">
        <v>1</v>
      </c>
      <c r="P2305" s="37">
        <v>0.889</v>
      </c>
      <c r="Q2305">
        <v>0.99</v>
      </c>
      <c r="R2305">
        <v>4950</v>
      </c>
      <c r="S2305">
        <v>4950</v>
      </c>
      <c r="T2305">
        <v>5000</v>
      </c>
      <c r="U2305" t="s">
        <v>5717</v>
      </c>
      <c r="V2305" t="s">
        <v>5718</v>
      </c>
      <c r="W2305">
        <v>1</v>
      </c>
      <c r="X2305">
        <v>1</v>
      </c>
      <c r="Z2305" s="37">
        <v>1</v>
      </c>
      <c r="AA2305" s="37">
        <v>0.4</v>
      </c>
      <c r="AB2305">
        <v>0</v>
      </c>
    </row>
    <row r="2306">
      <c r="A2306" t="s">
        <v>6065</v>
      </c>
      <c r="B2306" t="s">
        <v>2356</v>
      </c>
      <c r="C2306" t="s">
        <v>2356</v>
      </c>
      <c r="D2306" t="s">
        <v>2521</v>
      </c>
      <c r="E2306" t="s">
        <v>6066</v>
      </c>
      <c r="F2306" t="s">
        <v>298</v>
      </c>
      <c r="G2306" t="s">
        <v>6067</v>
      </c>
      <c r="H2306" t="s">
        <v>2863</v>
      </c>
      <c r="I2306" t="s">
        <v>6073</v>
      </c>
      <c r="J2306">
        <v>15</v>
      </c>
      <c r="K2306">
        <v>15</v>
      </c>
      <c r="L2306">
        <v>1</v>
      </c>
      <c r="M2306" s="37">
        <v>1</v>
      </c>
      <c r="N2306" s="37">
        <v>0.15</v>
      </c>
      <c r="O2306">
        <v>1</v>
      </c>
      <c r="P2306" s="37">
        <v>0.889</v>
      </c>
      <c r="Q2306">
        <v>0.99</v>
      </c>
      <c r="R2306">
        <v>4950</v>
      </c>
      <c r="S2306">
        <v>4950</v>
      </c>
      <c r="T2306">
        <v>5000</v>
      </c>
      <c r="U2306" t="s">
        <v>5717</v>
      </c>
      <c r="V2306" t="s">
        <v>5718</v>
      </c>
      <c r="W2306">
        <v>1</v>
      </c>
      <c r="X2306">
        <v>1</v>
      </c>
      <c r="Z2306" s="37">
        <v>1</v>
      </c>
      <c r="AA2306" s="37">
        <v>0.4</v>
      </c>
      <c r="AB2306">
        <v>0</v>
      </c>
    </row>
    <row r="2307">
      <c r="A2307" t="s">
        <v>6065</v>
      </c>
      <c r="B2307" t="s">
        <v>2356</v>
      </c>
      <c r="C2307" t="s">
        <v>2356</v>
      </c>
      <c r="D2307" t="s">
        <v>2521</v>
      </c>
      <c r="E2307" t="s">
        <v>6066</v>
      </c>
      <c r="F2307" t="s">
        <v>298</v>
      </c>
      <c r="G2307" t="s">
        <v>6067</v>
      </c>
      <c r="H2307" t="s">
        <v>2863</v>
      </c>
      <c r="I2307" t="s">
        <v>6074</v>
      </c>
      <c r="J2307">
        <v>1</v>
      </c>
      <c r="K2307">
        <v>1</v>
      </c>
      <c r="L2307">
        <v>1</v>
      </c>
      <c r="M2307" s="37">
        <v>0.01</v>
      </c>
      <c r="N2307" s="37">
        <v>0.1</v>
      </c>
      <c r="O2307">
        <v>1</v>
      </c>
      <c r="P2307" s="37">
        <v>0.889</v>
      </c>
      <c r="Q2307">
        <v>0.99</v>
      </c>
      <c r="R2307">
        <v>4950</v>
      </c>
      <c r="S2307">
        <v>4950</v>
      </c>
      <c r="T2307">
        <v>5000</v>
      </c>
      <c r="U2307" t="s">
        <v>5717</v>
      </c>
      <c r="V2307" t="s">
        <v>5718</v>
      </c>
      <c r="W2307">
        <v>1</v>
      </c>
      <c r="X2307">
        <v>1</v>
      </c>
      <c r="Z2307" s="37">
        <v>1</v>
      </c>
      <c r="AA2307" s="37">
        <v>0.4</v>
      </c>
      <c r="AB2307">
        <v>0</v>
      </c>
    </row>
    <row r="2308">
      <c r="A2308" t="s">
        <v>6075</v>
      </c>
      <c r="B2308" t="s">
        <v>2356</v>
      </c>
      <c r="C2308" t="s">
        <v>2356</v>
      </c>
      <c r="D2308" t="s">
        <v>2521</v>
      </c>
      <c r="E2308" t="s">
        <v>6076</v>
      </c>
      <c r="F2308" t="s">
        <v>298</v>
      </c>
      <c r="G2308" t="s">
        <v>6067</v>
      </c>
      <c r="H2308" t="s">
        <v>2863</v>
      </c>
      <c r="I2308" t="s">
        <v>6077</v>
      </c>
      <c r="J2308" s="38">
        <v>1</v>
      </c>
      <c r="K2308" s="37">
        <v>0.778</v>
      </c>
      <c r="L2308" t="s">
        <v>6078</v>
      </c>
      <c r="M2308" s="37">
        <v>0.778</v>
      </c>
      <c r="N2308" s="37">
        <v>0.4</v>
      </c>
      <c r="O2308">
        <v>0.778</v>
      </c>
      <c r="P2308" s="37">
        <v>0.8802</v>
      </c>
      <c r="Q2308">
        <v>0.88</v>
      </c>
      <c r="R2308">
        <v>4400</v>
      </c>
      <c r="S2308">
        <v>4400</v>
      </c>
      <c r="T2308">
        <v>5000</v>
      </c>
      <c r="U2308" t="s">
        <v>5717</v>
      </c>
      <c r="V2308" t="s">
        <v>5718</v>
      </c>
      <c r="W2308">
        <v>1</v>
      </c>
      <c r="X2308">
        <v>1</v>
      </c>
      <c r="Z2308" s="37">
        <v>1</v>
      </c>
      <c r="AA2308" s="37">
        <v>0.4</v>
      </c>
      <c r="AB2308">
        <v>0</v>
      </c>
    </row>
    <row r="2309">
      <c r="A2309" t="s">
        <v>6075</v>
      </c>
      <c r="B2309" t="s">
        <v>2356</v>
      </c>
      <c r="C2309" t="s">
        <v>2356</v>
      </c>
      <c r="D2309" t="s">
        <v>2521</v>
      </c>
      <c r="E2309" t="s">
        <v>6076</v>
      </c>
      <c r="F2309" t="s">
        <v>298</v>
      </c>
      <c r="G2309" t="s">
        <v>6067</v>
      </c>
      <c r="H2309" t="s">
        <v>2863</v>
      </c>
      <c r="I2309" t="s">
        <v>6079</v>
      </c>
      <c r="J2309" t="s">
        <v>980</v>
      </c>
      <c r="K2309" t="s">
        <v>980</v>
      </c>
      <c r="L2309" t="s">
        <v>6080</v>
      </c>
      <c r="M2309" s="37">
        <v>1</v>
      </c>
      <c r="N2309" s="37">
        <v>0.1</v>
      </c>
      <c r="O2309">
        <v>1</v>
      </c>
      <c r="P2309" s="37">
        <v>0.8802</v>
      </c>
      <c r="Q2309">
        <v>0.88</v>
      </c>
      <c r="R2309">
        <v>4400</v>
      </c>
      <c r="S2309">
        <v>4400</v>
      </c>
      <c r="T2309">
        <v>5000</v>
      </c>
      <c r="U2309" t="s">
        <v>5717</v>
      </c>
      <c r="V2309" t="s">
        <v>5718</v>
      </c>
      <c r="W2309">
        <v>1</v>
      </c>
      <c r="X2309">
        <v>1</v>
      </c>
      <c r="Z2309" s="37">
        <v>1</v>
      </c>
      <c r="AA2309" s="37">
        <v>0.4</v>
      </c>
      <c r="AB2309">
        <v>0</v>
      </c>
    </row>
    <row r="2310">
      <c r="A2310" t="s">
        <v>6075</v>
      </c>
      <c r="B2310" t="s">
        <v>2356</v>
      </c>
      <c r="C2310" t="s">
        <v>2356</v>
      </c>
      <c r="D2310" t="s">
        <v>2521</v>
      </c>
      <c r="E2310" t="s">
        <v>6076</v>
      </c>
      <c r="F2310" t="s">
        <v>298</v>
      </c>
      <c r="G2310" t="s">
        <v>6067</v>
      </c>
      <c r="H2310" t="s">
        <v>2863</v>
      </c>
      <c r="I2310" t="s">
        <v>6081</v>
      </c>
      <c r="J2310" s="38">
        <v>1</v>
      </c>
      <c r="K2310" s="37">
        <v>0.938</v>
      </c>
      <c r="L2310" t="s">
        <v>6082</v>
      </c>
      <c r="M2310" s="37">
        <v>0.938</v>
      </c>
      <c r="N2310" s="37">
        <v>0.5</v>
      </c>
      <c r="O2310">
        <v>0.938</v>
      </c>
      <c r="P2310" s="37">
        <v>0.8802</v>
      </c>
      <c r="Q2310">
        <v>0.88</v>
      </c>
      <c r="R2310">
        <v>4400</v>
      </c>
      <c r="S2310">
        <v>4400</v>
      </c>
      <c r="T2310">
        <v>5000</v>
      </c>
      <c r="U2310" t="s">
        <v>5717</v>
      </c>
      <c r="V2310" t="s">
        <v>5718</v>
      </c>
      <c r="W2310">
        <v>1</v>
      </c>
      <c r="X2310">
        <v>1</v>
      </c>
      <c r="Z2310" s="37">
        <v>1</v>
      </c>
      <c r="AA2310" s="37">
        <v>0.4</v>
      </c>
      <c r="AB2310">
        <v>0</v>
      </c>
    </row>
    <row r="2311">
      <c r="A2311" t="s">
        <v>6083</v>
      </c>
      <c r="B2311" t="s">
        <v>5231</v>
      </c>
      <c r="C2311" t="s">
        <v>5231</v>
      </c>
      <c r="D2311" t="s">
        <v>2967</v>
      </c>
      <c r="E2311" t="s">
        <v>6084</v>
      </c>
      <c r="F2311" t="s">
        <v>298</v>
      </c>
      <c r="G2311" t="s">
        <v>6085</v>
      </c>
      <c r="H2311" t="s">
        <v>2863</v>
      </c>
      <c r="I2311" t="s">
        <v>6086</v>
      </c>
      <c r="J2311" s="38">
        <v>1</v>
      </c>
      <c r="K2311" s="38">
        <v>1</v>
      </c>
      <c r="L2311" t="s">
        <v>6087</v>
      </c>
      <c r="M2311" s="37">
        <v>1</v>
      </c>
      <c r="N2311" s="37">
        <v>0.65</v>
      </c>
      <c r="O2311">
        <v>1</v>
      </c>
      <c r="P2311" s="37">
        <v>0.93</v>
      </c>
      <c r="Q2311">
        <v>0.93</v>
      </c>
      <c r="R2311">
        <v>4630</v>
      </c>
      <c r="S2311">
        <v>4630</v>
      </c>
      <c r="T2311">
        <v>5000</v>
      </c>
      <c r="U2311" t="s">
        <v>5717</v>
      </c>
      <c r="V2311" t="s">
        <v>5718</v>
      </c>
      <c r="W2311">
        <v>1</v>
      </c>
      <c r="X2311">
        <v>1</v>
      </c>
      <c r="Z2311" s="37">
        <v>1</v>
      </c>
      <c r="AA2311" s="37">
        <v>0.4</v>
      </c>
      <c r="AB2311">
        <v>0</v>
      </c>
    </row>
    <row r="2312">
      <c r="A2312" t="s">
        <v>6083</v>
      </c>
      <c r="B2312" t="s">
        <v>5231</v>
      </c>
      <c r="C2312" t="s">
        <v>5231</v>
      </c>
      <c r="D2312" t="s">
        <v>2967</v>
      </c>
      <c r="E2312" t="s">
        <v>6084</v>
      </c>
      <c r="F2312" t="s">
        <v>298</v>
      </c>
      <c r="G2312" t="s">
        <v>6085</v>
      </c>
      <c r="H2312" t="s">
        <v>2863</v>
      </c>
      <c r="I2312" t="s">
        <v>6088</v>
      </c>
      <c r="J2312" s="38">
        <v>1</v>
      </c>
      <c r="K2312" s="38">
        <v>1</v>
      </c>
      <c r="L2312" t="s">
        <v>6089</v>
      </c>
      <c r="M2312" s="37">
        <v>0.8</v>
      </c>
      <c r="N2312" s="37">
        <v>0.35</v>
      </c>
      <c r="O2312">
        <v>0.8</v>
      </c>
      <c r="P2312" s="37">
        <v>0.93</v>
      </c>
      <c r="Q2312">
        <v>0.93</v>
      </c>
      <c r="R2312">
        <v>4630</v>
      </c>
      <c r="S2312">
        <v>4630</v>
      </c>
      <c r="T2312">
        <v>5000</v>
      </c>
      <c r="U2312" t="s">
        <v>5717</v>
      </c>
      <c r="V2312" t="s">
        <v>5718</v>
      </c>
      <c r="W2312">
        <v>1</v>
      </c>
      <c r="X2312">
        <v>1</v>
      </c>
      <c r="Z2312" s="37">
        <v>1</v>
      </c>
      <c r="AA2312" s="37">
        <v>0.4</v>
      </c>
      <c r="AB2312">
        <v>0</v>
      </c>
    </row>
    <row r="2313">
      <c r="A2313" t="s">
        <v>6090</v>
      </c>
      <c r="B2313" t="s">
        <v>1182</v>
      </c>
      <c r="C2313" t="s">
        <v>1182</v>
      </c>
      <c r="D2313" t="s">
        <v>4808</v>
      </c>
      <c r="E2313" t="s">
        <v>6091</v>
      </c>
      <c r="F2313" t="s">
        <v>298</v>
      </c>
      <c r="G2313" t="s">
        <v>6092</v>
      </c>
      <c r="H2313" t="s">
        <v>6093</v>
      </c>
      <c r="I2313" t="s">
        <v>6094</v>
      </c>
      <c r="K2313">
        <v>2060101</v>
      </c>
      <c r="L2313" t="s">
        <v>6089</v>
      </c>
      <c r="M2313" s="37">
        <v>0.4548</v>
      </c>
      <c r="N2313" s="37">
        <v>0.2</v>
      </c>
      <c r="O2313">
        <v>0.4548</v>
      </c>
      <c r="P2313" s="37">
        <v>0.82416</v>
      </c>
      <c r="Q2313">
        <v>0.82</v>
      </c>
      <c r="R2313">
        <v>4100</v>
      </c>
      <c r="S2313">
        <v>4100</v>
      </c>
      <c r="T2313">
        <v>5000</v>
      </c>
      <c r="U2313" t="s">
        <v>5717</v>
      </c>
      <c r="V2313" t="s">
        <v>5718</v>
      </c>
      <c r="W2313">
        <v>1</v>
      </c>
      <c r="X2313">
        <v>1</v>
      </c>
      <c r="Z2313" s="37">
        <v>1</v>
      </c>
      <c r="AA2313" s="37">
        <v>0.4</v>
      </c>
      <c r="AB2313">
        <v>0</v>
      </c>
    </row>
    <row r="2314">
      <c r="A2314" t="s">
        <v>6090</v>
      </c>
      <c r="B2314" t="s">
        <v>1182</v>
      </c>
      <c r="C2314" t="s">
        <v>1182</v>
      </c>
      <c r="D2314" t="s">
        <v>4808</v>
      </c>
      <c r="E2314" t="s">
        <v>6091</v>
      </c>
      <c r="F2314" t="s">
        <v>298</v>
      </c>
      <c r="G2314" t="s">
        <v>6092</v>
      </c>
      <c r="H2314" t="s">
        <v>1588</v>
      </c>
      <c r="I2314" t="s">
        <v>6095</v>
      </c>
      <c r="K2314" s="37">
        <v>-0.3013</v>
      </c>
      <c r="L2314" t="s">
        <v>6089</v>
      </c>
      <c r="M2314" s="37">
        <v>0</v>
      </c>
      <c r="N2314" s="37">
        <v>0.15</v>
      </c>
      <c r="O2314">
        <v>0</v>
      </c>
      <c r="P2314" s="37">
        <v>0.82416</v>
      </c>
      <c r="Q2314">
        <v>0.82</v>
      </c>
      <c r="R2314">
        <v>4100</v>
      </c>
      <c r="S2314">
        <v>4100</v>
      </c>
      <c r="T2314">
        <v>5000</v>
      </c>
      <c r="U2314" t="s">
        <v>5717</v>
      </c>
      <c r="V2314" t="s">
        <v>5718</v>
      </c>
      <c r="W2314">
        <v>1</v>
      </c>
      <c r="X2314">
        <v>1</v>
      </c>
      <c r="Z2314" s="37">
        <v>1</v>
      </c>
      <c r="AA2314" s="37">
        <v>0.4</v>
      </c>
      <c r="AB2314">
        <v>0</v>
      </c>
    </row>
    <row r="2315">
      <c r="A2315" t="s">
        <v>6090</v>
      </c>
      <c r="B2315" t="s">
        <v>1182</v>
      </c>
      <c r="C2315" t="s">
        <v>1182</v>
      </c>
      <c r="D2315" t="s">
        <v>4808</v>
      </c>
      <c r="E2315" t="s">
        <v>6091</v>
      </c>
      <c r="F2315" t="s">
        <v>298</v>
      </c>
      <c r="G2315" t="s">
        <v>6092</v>
      </c>
      <c r="H2315" t="s">
        <v>6093</v>
      </c>
      <c r="I2315" t="s">
        <v>6096</v>
      </c>
      <c r="K2315">
        <v>4757312.708</v>
      </c>
      <c r="L2315" t="s">
        <v>6089</v>
      </c>
      <c r="M2315" s="37">
        <v>1.0812</v>
      </c>
      <c r="N2315" s="37">
        <v>0.15</v>
      </c>
      <c r="O2315">
        <v>1.0812</v>
      </c>
      <c r="P2315" s="37">
        <v>0.82416</v>
      </c>
      <c r="Q2315">
        <v>0.82</v>
      </c>
      <c r="R2315">
        <v>4100</v>
      </c>
      <c r="S2315">
        <v>4100</v>
      </c>
      <c r="T2315">
        <v>5000</v>
      </c>
      <c r="U2315" t="s">
        <v>5717</v>
      </c>
      <c r="V2315" t="s">
        <v>5718</v>
      </c>
      <c r="W2315">
        <v>1</v>
      </c>
      <c r="X2315">
        <v>1</v>
      </c>
      <c r="Z2315" s="37">
        <v>1</v>
      </c>
      <c r="AA2315" s="37">
        <v>0.4</v>
      </c>
      <c r="AB2315">
        <v>0</v>
      </c>
    </row>
    <row r="2316">
      <c r="A2316" t="s">
        <v>6090</v>
      </c>
      <c r="B2316" t="s">
        <v>1182</v>
      </c>
      <c r="C2316" t="s">
        <v>1182</v>
      </c>
      <c r="D2316" t="s">
        <v>4808</v>
      </c>
      <c r="E2316" t="s">
        <v>6091</v>
      </c>
      <c r="F2316" t="s">
        <v>298</v>
      </c>
      <c r="G2316" t="s">
        <v>6092</v>
      </c>
      <c r="H2316" t="s">
        <v>1588</v>
      </c>
      <c r="I2316" t="s">
        <v>6097</v>
      </c>
      <c r="K2316" s="37">
        <v>0.03</v>
      </c>
      <c r="L2316" t="s">
        <v>6089</v>
      </c>
      <c r="M2316" s="37">
        <v>1.1667</v>
      </c>
      <c r="N2316" s="37">
        <v>0.15</v>
      </c>
      <c r="O2316">
        <v>1.1667</v>
      </c>
      <c r="P2316" s="37">
        <v>0.82416</v>
      </c>
      <c r="Q2316">
        <v>0.82</v>
      </c>
      <c r="R2316">
        <v>4100</v>
      </c>
      <c r="S2316">
        <v>4100</v>
      </c>
      <c r="T2316">
        <v>5000</v>
      </c>
      <c r="U2316" t="s">
        <v>5717</v>
      </c>
      <c r="V2316" t="s">
        <v>5718</v>
      </c>
      <c r="W2316">
        <v>1</v>
      </c>
      <c r="X2316">
        <v>1</v>
      </c>
      <c r="Z2316" s="37">
        <v>1</v>
      </c>
      <c r="AA2316" s="37">
        <v>0.4</v>
      </c>
      <c r="AB2316">
        <v>0</v>
      </c>
    </row>
    <row r="2317">
      <c r="A2317" t="s">
        <v>6090</v>
      </c>
      <c r="B2317" t="s">
        <v>1182</v>
      </c>
      <c r="C2317" t="s">
        <v>1182</v>
      </c>
      <c r="D2317" t="s">
        <v>4808</v>
      </c>
      <c r="E2317" t="s">
        <v>6091</v>
      </c>
      <c r="F2317" t="s">
        <v>298</v>
      </c>
      <c r="G2317" t="s">
        <v>6092</v>
      </c>
      <c r="H2317" t="s">
        <v>6093</v>
      </c>
      <c r="I2317" t="s">
        <v>6098</v>
      </c>
      <c r="K2317">
        <v>1368869</v>
      </c>
      <c r="L2317" t="s">
        <v>6089</v>
      </c>
      <c r="M2317" s="37">
        <v>0.9126</v>
      </c>
      <c r="N2317" s="37">
        <v>0.2</v>
      </c>
      <c r="O2317">
        <v>0.9126</v>
      </c>
      <c r="P2317" s="37">
        <v>0.82416</v>
      </c>
      <c r="Q2317">
        <v>0.82</v>
      </c>
      <c r="R2317">
        <v>4100</v>
      </c>
      <c r="S2317">
        <v>4100</v>
      </c>
      <c r="T2317">
        <v>5000</v>
      </c>
      <c r="U2317" t="s">
        <v>5717</v>
      </c>
      <c r="V2317" t="s">
        <v>5718</v>
      </c>
      <c r="W2317">
        <v>1</v>
      </c>
      <c r="X2317">
        <v>1</v>
      </c>
      <c r="Z2317" s="37">
        <v>1</v>
      </c>
      <c r="AA2317" s="37">
        <v>0.4</v>
      </c>
      <c r="AB2317">
        <v>0</v>
      </c>
    </row>
    <row r="2318">
      <c r="A2318" t="s">
        <v>6090</v>
      </c>
      <c r="B2318" t="s">
        <v>1182</v>
      </c>
      <c r="C2318" t="s">
        <v>1182</v>
      </c>
      <c r="D2318" t="s">
        <v>4808</v>
      </c>
      <c r="E2318" t="s">
        <v>6091</v>
      </c>
      <c r="F2318" t="s">
        <v>298</v>
      </c>
      <c r="G2318" t="s">
        <v>6092</v>
      </c>
      <c r="H2318" t="s">
        <v>1588</v>
      </c>
      <c r="I2318" t="s">
        <v>6099</v>
      </c>
      <c r="K2318" s="37">
        <v>-0.1224</v>
      </c>
      <c r="L2318" t="s">
        <v>6089</v>
      </c>
      <c r="M2318" s="37">
        <v>1.4233</v>
      </c>
      <c r="N2318" s="37">
        <v>0.15</v>
      </c>
      <c r="O2318">
        <v>1.4233</v>
      </c>
      <c r="P2318" s="37">
        <v>0.82416</v>
      </c>
      <c r="Q2318">
        <v>0.82</v>
      </c>
      <c r="R2318">
        <v>4100</v>
      </c>
      <c r="S2318">
        <v>4100</v>
      </c>
      <c r="T2318">
        <v>5000</v>
      </c>
      <c r="U2318" t="s">
        <v>5717</v>
      </c>
      <c r="V2318" t="s">
        <v>5718</v>
      </c>
      <c r="W2318">
        <v>1</v>
      </c>
      <c r="X2318">
        <v>1</v>
      </c>
      <c r="Z2318" s="37">
        <v>1</v>
      </c>
      <c r="AA2318" s="37">
        <v>0.4</v>
      </c>
      <c r="AB2318">
        <v>0</v>
      </c>
    </row>
    <row r="2319">
      <c r="A2319" t="s">
        <v>6100</v>
      </c>
      <c r="B2319" t="s">
        <v>5475</v>
      </c>
      <c r="C2319" t="s">
        <v>5475</v>
      </c>
      <c r="D2319" t="s">
        <v>6101</v>
      </c>
      <c r="E2319" t="s">
        <v>6102</v>
      </c>
      <c r="F2319" t="s">
        <v>298</v>
      </c>
      <c r="G2319" t="s">
        <v>6103</v>
      </c>
      <c r="H2319" t="s">
        <v>6104</v>
      </c>
      <c r="I2319" t="s">
        <v>6105</v>
      </c>
      <c r="J2319" t="s">
        <v>6106</v>
      </c>
      <c r="K2319" t="s">
        <v>6107</v>
      </c>
      <c r="L2319" t="s">
        <v>6089</v>
      </c>
      <c r="M2319" s="37">
        <v>0.775171</v>
      </c>
      <c r="N2319" s="37">
        <v>0.5</v>
      </c>
      <c r="O2319">
        <v>0.7752</v>
      </c>
      <c r="P2319" s="37">
        <v>0.907502</v>
      </c>
      <c r="Q2319">
        <v>0.89</v>
      </c>
      <c r="R2319">
        <v>2000</v>
      </c>
      <c r="S2319">
        <v>2000</v>
      </c>
      <c r="T2319">
        <v>5000</v>
      </c>
      <c r="U2319" t="s">
        <v>5717</v>
      </c>
      <c r="V2319" t="s">
        <v>5718</v>
      </c>
      <c r="W2319">
        <v>1</v>
      </c>
      <c r="X2319">
        <v>1</v>
      </c>
      <c r="Z2319" s="37">
        <v>1</v>
      </c>
      <c r="AA2319" s="37">
        <v>0.4</v>
      </c>
      <c r="AB2319">
        <v>0</v>
      </c>
    </row>
    <row r="2320">
      <c r="A2320" t="s">
        <v>6100</v>
      </c>
      <c r="B2320" t="s">
        <v>5475</v>
      </c>
      <c r="C2320" t="s">
        <v>5475</v>
      </c>
      <c r="D2320" t="s">
        <v>6101</v>
      </c>
      <c r="E2320" t="s">
        <v>6102</v>
      </c>
      <c r="F2320" t="s">
        <v>298</v>
      </c>
      <c r="G2320" t="s">
        <v>6103</v>
      </c>
      <c r="H2320" t="s">
        <v>6108</v>
      </c>
      <c r="I2320" t="s">
        <v>6109</v>
      </c>
      <c r="J2320" t="s">
        <v>6106</v>
      </c>
      <c r="L2320" t="s">
        <v>6089</v>
      </c>
      <c r="M2320" s="37">
        <v>1</v>
      </c>
      <c r="N2320" s="37">
        <v>0.2</v>
      </c>
      <c r="O2320">
        <v>1</v>
      </c>
      <c r="P2320" s="37">
        <v>0.907502</v>
      </c>
      <c r="Q2320">
        <v>0.89</v>
      </c>
      <c r="R2320">
        <v>2000</v>
      </c>
      <c r="S2320">
        <v>2000</v>
      </c>
      <c r="T2320">
        <v>5000</v>
      </c>
      <c r="U2320" t="s">
        <v>5717</v>
      </c>
      <c r="V2320" t="s">
        <v>5718</v>
      </c>
      <c r="W2320">
        <v>1</v>
      </c>
      <c r="X2320">
        <v>1</v>
      </c>
      <c r="Z2320" s="37">
        <v>1</v>
      </c>
      <c r="AA2320" s="37">
        <v>0.4</v>
      </c>
      <c r="AB2320">
        <v>0</v>
      </c>
    </row>
    <row r="2321">
      <c r="A2321" t="s">
        <v>6100</v>
      </c>
      <c r="B2321" t="s">
        <v>5475</v>
      </c>
      <c r="C2321" t="s">
        <v>5475</v>
      </c>
      <c r="D2321" t="s">
        <v>6101</v>
      </c>
      <c r="E2321" t="s">
        <v>6102</v>
      </c>
      <c r="F2321" t="s">
        <v>298</v>
      </c>
      <c r="G2321" t="s">
        <v>6103</v>
      </c>
      <c r="H2321" t="s">
        <v>6110</v>
      </c>
      <c r="I2321" t="s">
        <v>6111</v>
      </c>
      <c r="J2321" t="s">
        <v>4566</v>
      </c>
      <c r="K2321" t="s">
        <v>6112</v>
      </c>
      <c r="L2321" t="s">
        <v>6089</v>
      </c>
      <c r="M2321" s="37">
        <v>1.066388</v>
      </c>
      <c r="N2321" s="37">
        <v>0.3</v>
      </c>
      <c r="O2321">
        <v>1</v>
      </c>
      <c r="P2321" s="37">
        <v>0.907502</v>
      </c>
      <c r="Q2321">
        <v>0.89</v>
      </c>
      <c r="R2321">
        <v>2000</v>
      </c>
      <c r="S2321">
        <v>2000</v>
      </c>
      <c r="T2321">
        <v>5000</v>
      </c>
      <c r="U2321" t="s">
        <v>5717</v>
      </c>
      <c r="V2321" t="s">
        <v>5718</v>
      </c>
      <c r="W2321">
        <v>1</v>
      </c>
      <c r="X2321">
        <v>1</v>
      </c>
      <c r="Z2321" s="37">
        <v>1</v>
      </c>
      <c r="AA2321" s="37">
        <v>0.4</v>
      </c>
      <c r="AB2321">
        <v>0</v>
      </c>
    </row>
    <row r="2322">
      <c r="A2322" t="s">
        <v>6113</v>
      </c>
      <c r="B2322" t="s">
        <v>3799</v>
      </c>
      <c r="C2322" t="s">
        <v>3799</v>
      </c>
      <c r="D2322" t="s">
        <v>6101</v>
      </c>
      <c r="E2322" t="s">
        <v>6114</v>
      </c>
      <c r="F2322" t="s">
        <v>298</v>
      </c>
      <c r="G2322" t="s">
        <v>6103</v>
      </c>
      <c r="H2322" t="s">
        <v>6104</v>
      </c>
      <c r="I2322" t="s">
        <v>6115</v>
      </c>
      <c r="J2322" t="s">
        <v>6116</v>
      </c>
      <c r="K2322" t="s">
        <v>6117</v>
      </c>
      <c r="L2322" s="41">
        <v>5435338.23</v>
      </c>
      <c r="M2322" s="37">
        <v>0.933</v>
      </c>
      <c r="N2322" s="37">
        <v>0.5</v>
      </c>
      <c r="O2322">
        <v>0.9331</v>
      </c>
      <c r="P2322" s="37">
        <v>1.0427</v>
      </c>
      <c r="Q2322">
        <v>1.12</v>
      </c>
      <c r="R2322">
        <v>4000</v>
      </c>
      <c r="S2322">
        <v>4000</v>
      </c>
      <c r="T2322">
        <v>5000</v>
      </c>
      <c r="U2322" t="s">
        <v>5717</v>
      </c>
      <c r="V2322" t="s">
        <v>5718</v>
      </c>
      <c r="W2322">
        <v>1</v>
      </c>
      <c r="X2322">
        <v>1</v>
      </c>
      <c r="Z2322" s="37">
        <v>1</v>
      </c>
      <c r="AA2322" s="37">
        <v>0.4</v>
      </c>
      <c r="AB2322">
        <v>0</v>
      </c>
    </row>
    <row r="2323">
      <c r="A2323" t="s">
        <v>6113</v>
      </c>
      <c r="B2323" t="s">
        <v>3799</v>
      </c>
      <c r="C2323" t="s">
        <v>3799</v>
      </c>
      <c r="D2323" t="s">
        <v>6101</v>
      </c>
      <c r="E2323" t="s">
        <v>6114</v>
      </c>
      <c r="F2323" t="s">
        <v>298</v>
      </c>
      <c r="G2323" t="s">
        <v>6103</v>
      </c>
      <c r="H2323" t="s">
        <v>6108</v>
      </c>
      <c r="I2323" t="s">
        <v>6109</v>
      </c>
      <c r="J2323" t="s">
        <v>6116</v>
      </c>
      <c r="L2323" s="41">
        <v>5435338.23</v>
      </c>
      <c r="M2323" s="37">
        <v>1</v>
      </c>
      <c r="N2323" s="37">
        <v>0.2</v>
      </c>
      <c r="O2323">
        <v>1</v>
      </c>
      <c r="P2323" s="37">
        <v>1.0427</v>
      </c>
      <c r="Q2323">
        <v>1.12</v>
      </c>
      <c r="R2323">
        <v>4000</v>
      </c>
      <c r="S2323">
        <v>4000</v>
      </c>
      <c r="T2323">
        <v>5000</v>
      </c>
      <c r="U2323" t="s">
        <v>5717</v>
      </c>
      <c r="V2323" t="s">
        <v>5718</v>
      </c>
      <c r="W2323">
        <v>1</v>
      </c>
      <c r="X2323">
        <v>1</v>
      </c>
      <c r="Z2323" s="37">
        <v>1</v>
      </c>
      <c r="AA2323" s="37">
        <v>0.4</v>
      </c>
      <c r="AB2323">
        <v>0</v>
      </c>
    </row>
    <row r="2324">
      <c r="A2324" t="s">
        <v>6113</v>
      </c>
      <c r="B2324" t="s">
        <v>3799</v>
      </c>
      <c r="C2324" t="s">
        <v>3799</v>
      </c>
      <c r="D2324" t="s">
        <v>6101</v>
      </c>
      <c r="E2324" t="s">
        <v>6114</v>
      </c>
      <c r="F2324" t="s">
        <v>298</v>
      </c>
      <c r="G2324" t="s">
        <v>6103</v>
      </c>
      <c r="H2324" t="s">
        <v>6110</v>
      </c>
      <c r="I2324" t="s">
        <v>6118</v>
      </c>
      <c r="J2324" t="s">
        <v>6119</v>
      </c>
      <c r="K2324" t="s">
        <v>6120</v>
      </c>
      <c r="L2324" t="s">
        <v>6121</v>
      </c>
      <c r="M2324" s="37">
        <v>1.254</v>
      </c>
      <c r="N2324" s="37">
        <v>0.3</v>
      </c>
      <c r="O2324">
        <v>1.5</v>
      </c>
      <c r="P2324" s="37">
        <v>1.0427</v>
      </c>
      <c r="Q2324">
        <v>1.12</v>
      </c>
      <c r="R2324">
        <v>4000</v>
      </c>
      <c r="S2324">
        <v>4000</v>
      </c>
      <c r="T2324">
        <v>5000</v>
      </c>
      <c r="U2324" t="s">
        <v>5717</v>
      </c>
      <c r="V2324" t="s">
        <v>5718</v>
      </c>
      <c r="W2324">
        <v>1</v>
      </c>
      <c r="X2324">
        <v>1</v>
      </c>
      <c r="Z2324" s="37">
        <v>1</v>
      </c>
      <c r="AA2324" s="37">
        <v>0.4</v>
      </c>
      <c r="AB2324">
        <v>0</v>
      </c>
    </row>
    <row r="2325">
      <c r="A2325" t="s">
        <v>6122</v>
      </c>
      <c r="B2325" t="s">
        <v>5439</v>
      </c>
      <c r="C2325" t="s">
        <v>5439</v>
      </c>
      <c r="D2325" t="s">
        <v>6101</v>
      </c>
      <c r="E2325" t="s">
        <v>6123</v>
      </c>
      <c r="F2325" t="s">
        <v>298</v>
      </c>
      <c r="G2325" t="s">
        <v>6103</v>
      </c>
      <c r="H2325" t="s">
        <v>6104</v>
      </c>
      <c r="I2325" t="s">
        <v>6124</v>
      </c>
      <c r="J2325" t="s">
        <v>6125</v>
      </c>
      <c r="K2325" t="s">
        <v>6126</v>
      </c>
      <c r="L2325" t="s">
        <v>6121</v>
      </c>
      <c r="M2325" s="37">
        <v>0.97</v>
      </c>
      <c r="N2325" s="37">
        <v>0.5</v>
      </c>
      <c r="O2325">
        <v>0.97</v>
      </c>
      <c r="P2325" s="37">
        <v>1.06</v>
      </c>
      <c r="Q2325">
        <v>1.14</v>
      </c>
      <c r="R2325">
        <v>6000</v>
      </c>
      <c r="S2325">
        <v>6000</v>
      </c>
      <c r="T2325">
        <v>5000</v>
      </c>
      <c r="U2325" t="s">
        <v>5717</v>
      </c>
      <c r="V2325" t="s">
        <v>5718</v>
      </c>
      <c r="W2325">
        <v>1</v>
      </c>
      <c r="X2325">
        <v>1</v>
      </c>
      <c r="Z2325" s="37">
        <v>1</v>
      </c>
      <c r="AA2325" s="37">
        <v>0.4</v>
      </c>
      <c r="AB2325">
        <v>0</v>
      </c>
    </row>
    <row r="2326">
      <c r="A2326" t="s">
        <v>6122</v>
      </c>
      <c r="B2326" t="s">
        <v>5439</v>
      </c>
      <c r="C2326" t="s">
        <v>5439</v>
      </c>
      <c r="D2326" t="s">
        <v>6101</v>
      </c>
      <c r="E2326" t="s">
        <v>6123</v>
      </c>
      <c r="F2326" t="s">
        <v>298</v>
      </c>
      <c r="G2326" t="s">
        <v>6103</v>
      </c>
      <c r="H2326" t="s">
        <v>6108</v>
      </c>
      <c r="I2326" t="s">
        <v>6109</v>
      </c>
      <c r="J2326" t="s">
        <v>6125</v>
      </c>
      <c r="L2326" t="s">
        <v>6121</v>
      </c>
      <c r="M2326" s="37">
        <v>1</v>
      </c>
      <c r="N2326" s="37">
        <v>0.2</v>
      </c>
      <c r="O2326">
        <v>1</v>
      </c>
      <c r="P2326" s="37">
        <v>1.06</v>
      </c>
      <c r="Q2326">
        <v>1.14</v>
      </c>
      <c r="R2326">
        <v>6000</v>
      </c>
      <c r="S2326">
        <v>6000</v>
      </c>
      <c r="T2326">
        <v>5000</v>
      </c>
      <c r="U2326" t="s">
        <v>5717</v>
      </c>
      <c r="V2326" t="s">
        <v>5718</v>
      </c>
      <c r="W2326">
        <v>1</v>
      </c>
      <c r="X2326">
        <v>1</v>
      </c>
      <c r="Z2326" s="37">
        <v>1</v>
      </c>
      <c r="AA2326" s="37">
        <v>0.4</v>
      </c>
      <c r="AB2326">
        <v>0</v>
      </c>
    </row>
    <row r="2327">
      <c r="A2327" t="s">
        <v>6122</v>
      </c>
      <c r="B2327" t="s">
        <v>5439</v>
      </c>
      <c r="C2327" t="s">
        <v>5439</v>
      </c>
      <c r="D2327" t="s">
        <v>6101</v>
      </c>
      <c r="E2327" t="s">
        <v>6123</v>
      </c>
      <c r="F2327" t="s">
        <v>298</v>
      </c>
      <c r="G2327" t="s">
        <v>6103</v>
      </c>
      <c r="H2327" t="s">
        <v>6110</v>
      </c>
      <c r="I2327" t="s">
        <v>6127</v>
      </c>
      <c r="J2327" t="s">
        <v>6128</v>
      </c>
      <c r="K2327" t="s">
        <v>3245</v>
      </c>
      <c r="L2327" t="s">
        <v>6121</v>
      </c>
      <c r="M2327" s="37">
        <v>1.25</v>
      </c>
      <c r="N2327" s="37">
        <v>0.3</v>
      </c>
      <c r="O2327">
        <v>1.5</v>
      </c>
      <c r="P2327" s="37">
        <v>1.06</v>
      </c>
      <c r="Q2327">
        <v>1.14</v>
      </c>
      <c r="R2327">
        <v>6000</v>
      </c>
      <c r="S2327">
        <v>6000</v>
      </c>
      <c r="T2327">
        <v>5000</v>
      </c>
      <c r="U2327" t="s">
        <v>5717</v>
      </c>
      <c r="V2327" t="s">
        <v>5718</v>
      </c>
      <c r="W2327">
        <v>1</v>
      </c>
      <c r="X2327">
        <v>1</v>
      </c>
      <c r="Z2327" s="37">
        <v>1</v>
      </c>
      <c r="AA2327" s="37">
        <v>0.4</v>
      </c>
      <c r="AB2327">
        <v>0</v>
      </c>
    </row>
    <row r="2328">
      <c r="A2328" t="s">
        <v>6129</v>
      </c>
      <c r="B2328" t="s">
        <v>3527</v>
      </c>
      <c r="C2328" t="s">
        <v>3527</v>
      </c>
      <c r="D2328" t="s">
        <v>6101</v>
      </c>
      <c r="E2328" t="s">
        <v>6130</v>
      </c>
      <c r="F2328" t="s">
        <v>298</v>
      </c>
      <c r="G2328" t="s">
        <v>6103</v>
      </c>
      <c r="H2328" t="s">
        <v>6104</v>
      </c>
      <c r="I2328" t="s">
        <v>6131</v>
      </c>
      <c r="J2328" t="s">
        <v>6132</v>
      </c>
      <c r="K2328" t="s">
        <v>6133</v>
      </c>
      <c r="L2328" t="s">
        <v>6134</v>
      </c>
      <c r="M2328" s="37">
        <v>1.061526</v>
      </c>
      <c r="N2328" s="37">
        <v>0.5</v>
      </c>
      <c r="O2328">
        <v>1.0615</v>
      </c>
      <c r="P2328" s="37">
        <v>1.120302</v>
      </c>
      <c r="Q2328">
        <v>1.18</v>
      </c>
      <c r="R2328">
        <v>8000</v>
      </c>
      <c r="S2328">
        <v>8000</v>
      </c>
      <c r="T2328">
        <v>5000</v>
      </c>
      <c r="U2328" t="s">
        <v>5717</v>
      </c>
      <c r="V2328" t="s">
        <v>5718</v>
      </c>
      <c r="W2328">
        <v>1</v>
      </c>
      <c r="X2328">
        <v>1</v>
      </c>
      <c r="Z2328" s="37">
        <v>1</v>
      </c>
      <c r="AA2328" s="37">
        <v>0.4</v>
      </c>
      <c r="AB2328">
        <v>0</v>
      </c>
    </row>
    <row r="2329">
      <c r="A2329" t="s">
        <v>6129</v>
      </c>
      <c r="B2329" t="s">
        <v>3527</v>
      </c>
      <c r="C2329" t="s">
        <v>3527</v>
      </c>
      <c r="D2329" t="s">
        <v>6101</v>
      </c>
      <c r="E2329" t="s">
        <v>6130</v>
      </c>
      <c r="F2329" t="s">
        <v>298</v>
      </c>
      <c r="G2329" t="s">
        <v>6103</v>
      </c>
      <c r="H2329" t="s">
        <v>6108</v>
      </c>
      <c r="I2329" t="s">
        <v>6109</v>
      </c>
      <c r="J2329" t="s">
        <v>6132</v>
      </c>
      <c r="L2329" t="s">
        <v>6134</v>
      </c>
      <c r="M2329" s="37">
        <v>1</v>
      </c>
      <c r="N2329" s="37">
        <v>0.2</v>
      </c>
      <c r="O2329">
        <v>1</v>
      </c>
      <c r="P2329" s="37">
        <v>1.120302</v>
      </c>
      <c r="Q2329">
        <v>1.18</v>
      </c>
      <c r="R2329">
        <v>8000</v>
      </c>
      <c r="S2329">
        <v>8000</v>
      </c>
      <c r="T2329">
        <v>5000</v>
      </c>
      <c r="U2329" t="s">
        <v>5717</v>
      </c>
      <c r="V2329" t="s">
        <v>5718</v>
      </c>
      <c r="W2329">
        <v>1</v>
      </c>
      <c r="X2329">
        <v>1</v>
      </c>
      <c r="Z2329" s="37">
        <v>1</v>
      </c>
      <c r="AA2329" s="37">
        <v>0.4</v>
      </c>
      <c r="AB2329">
        <v>0</v>
      </c>
    </row>
    <row r="2330">
      <c r="A2330" t="s">
        <v>6129</v>
      </c>
      <c r="B2330" t="s">
        <v>3527</v>
      </c>
      <c r="C2330" t="s">
        <v>3527</v>
      </c>
      <c r="D2330" t="s">
        <v>6101</v>
      </c>
      <c r="E2330" t="s">
        <v>6130</v>
      </c>
      <c r="F2330" t="s">
        <v>298</v>
      </c>
      <c r="G2330" t="s">
        <v>6103</v>
      </c>
      <c r="H2330" t="s">
        <v>6110</v>
      </c>
      <c r="I2330" t="s">
        <v>6135</v>
      </c>
      <c r="J2330" t="s">
        <v>6136</v>
      </c>
      <c r="K2330" t="s">
        <v>6137</v>
      </c>
      <c r="L2330" t="s">
        <v>6138</v>
      </c>
      <c r="M2330" s="37">
        <v>1.298462</v>
      </c>
      <c r="N2330" s="37">
        <v>0.3</v>
      </c>
      <c r="O2330">
        <v>1.5</v>
      </c>
      <c r="P2330" s="37">
        <v>1.120302</v>
      </c>
      <c r="Q2330">
        <v>1.18</v>
      </c>
      <c r="R2330">
        <v>8000</v>
      </c>
      <c r="S2330">
        <v>8000</v>
      </c>
      <c r="T2330">
        <v>5000</v>
      </c>
      <c r="U2330" t="s">
        <v>5717</v>
      </c>
      <c r="V2330" t="s">
        <v>5718</v>
      </c>
      <c r="W2330">
        <v>1</v>
      </c>
      <c r="X2330">
        <v>1</v>
      </c>
      <c r="Z2330" s="37">
        <v>1</v>
      </c>
      <c r="AA2330" s="37">
        <v>0.4</v>
      </c>
      <c r="AB2330">
        <v>0</v>
      </c>
    </row>
    <row r="2331">
      <c r="A2331" t="s">
        <v>6139</v>
      </c>
      <c r="B2331" t="s">
        <v>3799</v>
      </c>
      <c r="C2331" t="s">
        <v>3799</v>
      </c>
      <c r="D2331" t="s">
        <v>359</v>
      </c>
      <c r="E2331" t="s">
        <v>6140</v>
      </c>
      <c r="F2331" t="s">
        <v>298</v>
      </c>
      <c r="G2331" t="s">
        <v>3529</v>
      </c>
      <c r="H2331" t="s">
        <v>3530</v>
      </c>
      <c r="I2331" t="s">
        <v>6141</v>
      </c>
      <c r="J2331" t="s">
        <v>6142</v>
      </c>
      <c r="K2331" t="s">
        <v>6143</v>
      </c>
      <c r="L2331" t="s">
        <v>6144</v>
      </c>
      <c r="M2331" s="37">
        <v>0.82</v>
      </c>
      <c r="N2331" s="37">
        <v>0.15</v>
      </c>
      <c r="O2331">
        <v>0.82</v>
      </c>
      <c r="P2331" s="37">
        <v>0.664</v>
      </c>
      <c r="Q2331">
        <v>0.6</v>
      </c>
      <c r="R2331">
        <v>0</v>
      </c>
      <c r="S2331">
        <v>0</v>
      </c>
      <c r="T2331">
        <v>5000</v>
      </c>
      <c r="U2331" t="s">
        <v>5717</v>
      </c>
      <c r="V2331" t="s">
        <v>5718</v>
      </c>
      <c r="W2331">
        <v>1</v>
      </c>
      <c r="X2331">
        <v>1</v>
      </c>
      <c r="Z2331" s="37">
        <v>1</v>
      </c>
      <c r="AA2331" s="37">
        <v>0.4</v>
      </c>
      <c r="AB2331">
        <v>0</v>
      </c>
    </row>
    <row r="2332">
      <c r="A2332" t="s">
        <v>6139</v>
      </c>
      <c r="B2332" t="s">
        <v>3799</v>
      </c>
      <c r="C2332" t="s">
        <v>3799</v>
      </c>
      <c r="D2332" t="s">
        <v>359</v>
      </c>
      <c r="E2332" t="s">
        <v>6140</v>
      </c>
      <c r="F2332" t="s">
        <v>298</v>
      </c>
      <c r="G2332" t="s">
        <v>3529</v>
      </c>
      <c r="H2332" t="s">
        <v>3551</v>
      </c>
      <c r="I2332" t="s">
        <v>6145</v>
      </c>
      <c r="J2332" t="s">
        <v>6146</v>
      </c>
      <c r="K2332" t="s">
        <v>4635</v>
      </c>
      <c r="L2332" t="s">
        <v>6147</v>
      </c>
      <c r="M2332" s="37">
        <v>1</v>
      </c>
      <c r="N2332" s="37">
        <v>0.2</v>
      </c>
      <c r="O2332">
        <v>1</v>
      </c>
      <c r="P2332" s="37">
        <v>0.664</v>
      </c>
      <c r="Q2332">
        <v>0.6</v>
      </c>
      <c r="R2332">
        <v>0</v>
      </c>
      <c r="S2332">
        <v>0</v>
      </c>
      <c r="T2332">
        <v>5000</v>
      </c>
      <c r="U2332" t="s">
        <v>5717</v>
      </c>
      <c r="V2332" t="s">
        <v>5718</v>
      </c>
      <c r="W2332">
        <v>1</v>
      </c>
      <c r="X2332">
        <v>1</v>
      </c>
      <c r="Z2332" s="37">
        <v>1</v>
      </c>
      <c r="AA2332" s="37">
        <v>0.4</v>
      </c>
      <c r="AB2332">
        <v>0</v>
      </c>
    </row>
    <row r="2333">
      <c r="A2333" t="s">
        <v>6139</v>
      </c>
      <c r="B2333" t="s">
        <v>3799</v>
      </c>
      <c r="C2333" t="s">
        <v>3799</v>
      </c>
      <c r="D2333" t="s">
        <v>359</v>
      </c>
      <c r="E2333" t="s">
        <v>6140</v>
      </c>
      <c r="F2333" t="s">
        <v>298</v>
      </c>
      <c r="G2333" t="s">
        <v>3529</v>
      </c>
      <c r="H2333" t="s">
        <v>3541</v>
      </c>
      <c r="I2333" t="s">
        <v>6148</v>
      </c>
      <c r="J2333" t="s">
        <v>977</v>
      </c>
      <c r="K2333" t="s">
        <v>6149</v>
      </c>
      <c r="L2333" t="s">
        <v>6150</v>
      </c>
      <c r="M2333" s="37">
        <v>0.44</v>
      </c>
      <c r="N2333" s="37">
        <v>0.4</v>
      </c>
      <c r="O2333">
        <v>0.352</v>
      </c>
      <c r="P2333" s="37">
        <v>0.664</v>
      </c>
      <c r="Q2333">
        <v>0.6</v>
      </c>
      <c r="R2333">
        <v>0</v>
      </c>
      <c r="S2333">
        <v>0</v>
      </c>
      <c r="T2333">
        <v>5000</v>
      </c>
      <c r="U2333" t="s">
        <v>5717</v>
      </c>
      <c r="V2333" t="s">
        <v>5718</v>
      </c>
      <c r="W2333">
        <v>1</v>
      </c>
      <c r="X2333">
        <v>1</v>
      </c>
      <c r="Z2333" s="37">
        <v>1</v>
      </c>
      <c r="AA2333" s="37">
        <v>0.4</v>
      </c>
      <c r="AB2333">
        <v>0</v>
      </c>
    </row>
    <row r="2334">
      <c r="A2334" t="s">
        <v>6139</v>
      </c>
      <c r="B2334" t="s">
        <v>3799</v>
      </c>
      <c r="C2334" t="s">
        <v>3799</v>
      </c>
      <c r="D2334" t="s">
        <v>359</v>
      </c>
      <c r="E2334" t="s">
        <v>6140</v>
      </c>
      <c r="F2334" t="s">
        <v>298</v>
      </c>
      <c r="G2334" t="s">
        <v>3529</v>
      </c>
      <c r="H2334" t="s">
        <v>3541</v>
      </c>
      <c r="I2334" t="s">
        <v>6151</v>
      </c>
      <c r="J2334" t="s">
        <v>969</v>
      </c>
      <c r="K2334" t="s">
        <v>342</v>
      </c>
      <c r="L2334" t="s">
        <v>6152</v>
      </c>
      <c r="M2334" s="37">
        <v>0.66</v>
      </c>
      <c r="N2334" s="37">
        <v>0.25</v>
      </c>
      <c r="O2334">
        <v>0.528</v>
      </c>
      <c r="P2334" s="37">
        <v>0.664</v>
      </c>
      <c r="Q2334">
        <v>0.6</v>
      </c>
      <c r="R2334">
        <v>0</v>
      </c>
      <c r="S2334">
        <v>0</v>
      </c>
      <c r="T2334">
        <v>5000</v>
      </c>
      <c r="U2334" t="s">
        <v>5717</v>
      </c>
      <c r="V2334" t="s">
        <v>5718</v>
      </c>
      <c r="W2334">
        <v>1</v>
      </c>
      <c r="X2334">
        <v>1</v>
      </c>
      <c r="Z2334" s="37">
        <v>1</v>
      </c>
      <c r="AA2334" s="37">
        <v>0.4</v>
      </c>
      <c r="AB2334">
        <v>0</v>
      </c>
    </row>
    <row r="2335">
      <c r="A2335" t="s">
        <v>6153</v>
      </c>
      <c r="B2335" t="s">
        <v>4989</v>
      </c>
      <c r="C2335" t="s">
        <v>4989</v>
      </c>
      <c r="D2335" t="s">
        <v>5341</v>
      </c>
      <c r="E2335" t="s">
        <v>6154</v>
      </c>
      <c r="F2335" t="s">
        <v>298</v>
      </c>
      <c r="G2335" t="s">
        <v>6155</v>
      </c>
      <c r="H2335" t="s">
        <v>604</v>
      </c>
      <c r="I2335" t="s">
        <v>6156</v>
      </c>
      <c r="J2335" s="38">
        <v>1</v>
      </c>
      <c r="L2335" t="s">
        <v>6152</v>
      </c>
      <c r="M2335" s="37">
        <v>1</v>
      </c>
      <c r="N2335" s="37">
        <v>0.5</v>
      </c>
      <c r="O2335">
        <v>1</v>
      </c>
      <c r="P2335" s="37">
        <v>1</v>
      </c>
      <c r="Q2335">
        <v>1</v>
      </c>
      <c r="R2335">
        <v>4457</v>
      </c>
      <c r="S2335">
        <v>4457</v>
      </c>
      <c r="T2335">
        <v>3500</v>
      </c>
      <c r="U2335" t="s">
        <v>5717</v>
      </c>
      <c r="V2335" t="s">
        <v>5718</v>
      </c>
      <c r="W2335">
        <v>1</v>
      </c>
      <c r="X2335">
        <v>1</v>
      </c>
      <c r="Z2335" s="37">
        <v>1</v>
      </c>
      <c r="AA2335" s="37">
        <v>0.4</v>
      </c>
      <c r="AB2335">
        <v>0</v>
      </c>
    </row>
    <row r="2336">
      <c r="A2336" t="s">
        <v>6153</v>
      </c>
      <c r="B2336" t="s">
        <v>4989</v>
      </c>
      <c r="C2336" t="s">
        <v>4989</v>
      </c>
      <c r="D2336" t="s">
        <v>5341</v>
      </c>
      <c r="E2336" t="s">
        <v>6154</v>
      </c>
      <c r="F2336" t="s">
        <v>298</v>
      </c>
      <c r="G2336" t="s">
        <v>6155</v>
      </c>
      <c r="H2336" t="s">
        <v>604</v>
      </c>
      <c r="I2336" t="s">
        <v>6157</v>
      </c>
      <c r="J2336" s="38">
        <v>1</v>
      </c>
      <c r="L2336" t="s">
        <v>6152</v>
      </c>
      <c r="M2336" s="37">
        <v>1</v>
      </c>
      <c r="N2336" s="37">
        <v>0.28</v>
      </c>
      <c r="O2336">
        <v>1</v>
      </c>
      <c r="P2336" s="37">
        <v>1</v>
      </c>
      <c r="Q2336">
        <v>1</v>
      </c>
      <c r="R2336">
        <v>4457</v>
      </c>
      <c r="S2336">
        <v>4457</v>
      </c>
      <c r="T2336">
        <v>3500</v>
      </c>
      <c r="U2336" t="s">
        <v>5717</v>
      </c>
      <c r="V2336" t="s">
        <v>5718</v>
      </c>
      <c r="W2336">
        <v>1</v>
      </c>
      <c r="X2336">
        <v>1</v>
      </c>
      <c r="Z2336" s="37">
        <v>1</v>
      </c>
      <c r="AA2336" s="37">
        <v>0.4</v>
      </c>
      <c r="AB2336">
        <v>0</v>
      </c>
    </row>
    <row r="2337">
      <c r="A2337" t="s">
        <v>6153</v>
      </c>
      <c r="B2337" t="s">
        <v>4989</v>
      </c>
      <c r="C2337" t="s">
        <v>4989</v>
      </c>
      <c r="D2337" t="s">
        <v>5341</v>
      </c>
      <c r="E2337" t="s">
        <v>6154</v>
      </c>
      <c r="F2337" t="s">
        <v>298</v>
      </c>
      <c r="G2337" t="s">
        <v>6155</v>
      </c>
      <c r="H2337" t="s">
        <v>604</v>
      </c>
      <c r="I2337" t="s">
        <v>6158</v>
      </c>
      <c r="J2337" s="38">
        <v>1</v>
      </c>
      <c r="L2337" t="s">
        <v>6152</v>
      </c>
      <c r="M2337" s="37">
        <v>1</v>
      </c>
      <c r="N2337" s="37">
        <v>0.08</v>
      </c>
      <c r="O2337">
        <v>1</v>
      </c>
      <c r="P2337" s="37">
        <v>1</v>
      </c>
      <c r="Q2337">
        <v>1</v>
      </c>
      <c r="R2337">
        <v>4457</v>
      </c>
      <c r="S2337">
        <v>4457</v>
      </c>
      <c r="T2337">
        <v>3500</v>
      </c>
      <c r="U2337" t="s">
        <v>5717</v>
      </c>
      <c r="V2337" t="s">
        <v>5718</v>
      </c>
      <c r="W2337">
        <v>1</v>
      </c>
      <c r="X2337">
        <v>1</v>
      </c>
      <c r="Z2337" s="37">
        <v>1</v>
      </c>
      <c r="AA2337" s="37">
        <v>0.4</v>
      </c>
      <c r="AB2337">
        <v>0</v>
      </c>
    </row>
    <row r="2338">
      <c r="A2338" t="s">
        <v>6153</v>
      </c>
      <c r="B2338" t="s">
        <v>4989</v>
      </c>
      <c r="C2338" t="s">
        <v>4989</v>
      </c>
      <c r="D2338" t="s">
        <v>5341</v>
      </c>
      <c r="E2338" t="s">
        <v>6154</v>
      </c>
      <c r="F2338" t="s">
        <v>298</v>
      </c>
      <c r="G2338" t="s">
        <v>6155</v>
      </c>
      <c r="H2338" t="s">
        <v>604</v>
      </c>
      <c r="I2338" t="s">
        <v>6159</v>
      </c>
      <c r="J2338">
        <v>100</v>
      </c>
      <c r="L2338" t="s">
        <v>6152</v>
      </c>
      <c r="M2338" s="37">
        <v>1</v>
      </c>
      <c r="N2338" s="37">
        <v>0.05</v>
      </c>
      <c r="O2338">
        <v>1</v>
      </c>
      <c r="P2338" s="37">
        <v>1</v>
      </c>
      <c r="Q2338">
        <v>1</v>
      </c>
      <c r="R2338">
        <v>4457</v>
      </c>
      <c r="S2338">
        <v>4457</v>
      </c>
      <c r="T2338">
        <v>3500</v>
      </c>
      <c r="U2338" t="s">
        <v>5717</v>
      </c>
      <c r="V2338" t="s">
        <v>5718</v>
      </c>
      <c r="W2338">
        <v>1</v>
      </c>
      <c r="X2338">
        <v>1</v>
      </c>
      <c r="Z2338" s="37">
        <v>1</v>
      </c>
      <c r="AA2338" s="37">
        <v>0.4</v>
      </c>
      <c r="AB2338">
        <v>0</v>
      </c>
    </row>
    <row r="2339">
      <c r="A2339" t="s">
        <v>6153</v>
      </c>
      <c r="B2339" t="s">
        <v>4989</v>
      </c>
      <c r="C2339" t="s">
        <v>4989</v>
      </c>
      <c r="D2339" t="s">
        <v>5341</v>
      </c>
      <c r="E2339" t="s">
        <v>6154</v>
      </c>
      <c r="F2339" t="s">
        <v>298</v>
      </c>
      <c r="G2339" t="s">
        <v>6155</v>
      </c>
      <c r="H2339" t="s">
        <v>604</v>
      </c>
      <c r="I2339" t="s">
        <v>6160</v>
      </c>
      <c r="J2339" s="38">
        <v>1</v>
      </c>
      <c r="L2339" t="s">
        <v>6152</v>
      </c>
      <c r="M2339" s="37">
        <v>1</v>
      </c>
      <c r="N2339" s="37">
        <v>0.04</v>
      </c>
      <c r="O2339">
        <v>1</v>
      </c>
      <c r="P2339" s="37">
        <v>1</v>
      </c>
      <c r="Q2339">
        <v>1</v>
      </c>
      <c r="R2339">
        <v>4457</v>
      </c>
      <c r="S2339">
        <v>4457</v>
      </c>
      <c r="T2339">
        <v>3500</v>
      </c>
      <c r="U2339" t="s">
        <v>5717</v>
      </c>
      <c r="V2339" t="s">
        <v>5718</v>
      </c>
      <c r="W2339">
        <v>1</v>
      </c>
      <c r="X2339">
        <v>1</v>
      </c>
      <c r="Z2339" s="37">
        <v>1</v>
      </c>
      <c r="AA2339" s="37">
        <v>0.4</v>
      </c>
      <c r="AB2339">
        <v>0</v>
      </c>
    </row>
    <row r="2340">
      <c r="A2340" t="s">
        <v>6153</v>
      </c>
      <c r="B2340" t="s">
        <v>4989</v>
      </c>
      <c r="C2340" t="s">
        <v>4989</v>
      </c>
      <c r="D2340" t="s">
        <v>5341</v>
      </c>
      <c r="E2340" t="s">
        <v>6154</v>
      </c>
      <c r="F2340" t="s">
        <v>298</v>
      </c>
      <c r="G2340" t="s">
        <v>6155</v>
      </c>
      <c r="H2340" t="s">
        <v>604</v>
      </c>
      <c r="I2340" t="s">
        <v>6161</v>
      </c>
      <c r="J2340" s="38">
        <v>1</v>
      </c>
      <c r="L2340" t="s">
        <v>6152</v>
      </c>
      <c r="M2340" s="37">
        <v>1</v>
      </c>
      <c r="N2340" s="37">
        <v>0.05</v>
      </c>
      <c r="O2340">
        <v>1</v>
      </c>
      <c r="P2340" s="37">
        <v>1</v>
      </c>
      <c r="Q2340">
        <v>1</v>
      </c>
      <c r="R2340">
        <v>4457</v>
      </c>
      <c r="S2340">
        <v>4457</v>
      </c>
      <c r="T2340">
        <v>3500</v>
      </c>
      <c r="U2340" t="s">
        <v>5717</v>
      </c>
      <c r="V2340" t="s">
        <v>5718</v>
      </c>
      <c r="W2340">
        <v>1</v>
      </c>
      <c r="X2340">
        <v>1</v>
      </c>
      <c r="Z2340" s="37">
        <v>1</v>
      </c>
      <c r="AA2340" s="37">
        <v>0.4</v>
      </c>
      <c r="AB2340">
        <v>0</v>
      </c>
    </row>
    <row r="2341">
      <c r="A2341" t="s">
        <v>6162</v>
      </c>
      <c r="B2341" t="s">
        <v>4989</v>
      </c>
      <c r="C2341" t="s">
        <v>4989</v>
      </c>
      <c r="D2341" t="s">
        <v>359</v>
      </c>
      <c r="E2341" t="s">
        <v>6163</v>
      </c>
      <c r="F2341" t="s">
        <v>298</v>
      </c>
      <c r="G2341" t="s">
        <v>6155</v>
      </c>
      <c r="H2341" t="s">
        <v>604</v>
      </c>
      <c r="I2341" t="s">
        <v>6164</v>
      </c>
      <c r="J2341" s="38">
        <v>0.8</v>
      </c>
      <c r="L2341" t="s">
        <v>6165</v>
      </c>
      <c r="M2341" s="37">
        <v>0.91</v>
      </c>
      <c r="N2341" s="37">
        <v>0.3</v>
      </c>
      <c r="O2341">
        <v>0.91</v>
      </c>
      <c r="P2341" s="37">
        <v>0.973</v>
      </c>
      <c r="Q2341">
        <v>0.97</v>
      </c>
      <c r="R2341">
        <v>0</v>
      </c>
      <c r="S2341">
        <v>0</v>
      </c>
      <c r="T2341">
        <v>5000</v>
      </c>
      <c r="U2341" t="s">
        <v>5717</v>
      </c>
      <c r="V2341" t="s">
        <v>5718</v>
      </c>
      <c r="W2341">
        <v>1</v>
      </c>
      <c r="X2341">
        <v>1</v>
      </c>
      <c r="Z2341" s="37">
        <v>1</v>
      </c>
      <c r="AA2341" s="37">
        <v>0.4</v>
      </c>
      <c r="AB2341">
        <v>0</v>
      </c>
    </row>
    <row r="2342">
      <c r="A2342" t="s">
        <v>6162</v>
      </c>
      <c r="B2342" t="s">
        <v>4989</v>
      </c>
      <c r="C2342" t="s">
        <v>4989</v>
      </c>
      <c r="D2342" t="s">
        <v>359</v>
      </c>
      <c r="E2342" t="s">
        <v>6163</v>
      </c>
      <c r="F2342" t="s">
        <v>298</v>
      </c>
      <c r="G2342" t="s">
        <v>6155</v>
      </c>
      <c r="H2342" t="s">
        <v>4460</v>
      </c>
      <c r="I2342" t="s">
        <v>6166</v>
      </c>
      <c r="J2342" t="s">
        <v>1454</v>
      </c>
      <c r="L2342" t="s">
        <v>6165</v>
      </c>
      <c r="M2342" s="37">
        <v>1</v>
      </c>
      <c r="N2342" s="37">
        <v>0.7</v>
      </c>
      <c r="O2342">
        <v>1</v>
      </c>
      <c r="P2342" s="37">
        <v>0.973</v>
      </c>
      <c r="Q2342">
        <v>0.97</v>
      </c>
      <c r="R2342">
        <v>0</v>
      </c>
      <c r="S2342">
        <v>0</v>
      </c>
      <c r="T2342">
        <v>5000</v>
      </c>
      <c r="U2342" t="s">
        <v>5717</v>
      </c>
      <c r="V2342" t="s">
        <v>5718</v>
      </c>
      <c r="W2342">
        <v>1</v>
      </c>
      <c r="X2342">
        <v>1</v>
      </c>
      <c r="Z2342" s="37">
        <v>1</v>
      </c>
      <c r="AA2342" s="37">
        <v>0.4</v>
      </c>
      <c r="AB2342">
        <v>0</v>
      </c>
    </row>
    <row r="2343">
      <c r="A2343" t="s">
        <v>6167</v>
      </c>
      <c r="B2343" t="s">
        <v>4989</v>
      </c>
      <c r="C2343" t="s">
        <v>4989</v>
      </c>
      <c r="D2343" t="s">
        <v>3400</v>
      </c>
      <c r="E2343" t="s">
        <v>6168</v>
      </c>
      <c r="F2343" t="s">
        <v>298</v>
      </c>
      <c r="G2343" t="s">
        <v>6155</v>
      </c>
      <c r="H2343" t="s">
        <v>4460</v>
      </c>
      <c r="I2343" t="s">
        <v>6169</v>
      </c>
      <c r="J2343" s="38">
        <v>0.8</v>
      </c>
      <c r="L2343" t="s">
        <v>6165</v>
      </c>
      <c r="M2343" s="37">
        <v>0.0091</v>
      </c>
      <c r="N2343" s="37">
        <v>0.3</v>
      </c>
      <c r="O2343">
        <v>0.91</v>
      </c>
      <c r="P2343" s="37">
        <v>0.65373</v>
      </c>
      <c r="Q2343">
        <v>0.92</v>
      </c>
      <c r="R2343">
        <v>2998</v>
      </c>
      <c r="S2343">
        <v>2998</v>
      </c>
      <c r="T2343">
        <v>3400</v>
      </c>
      <c r="U2343" t="s">
        <v>5717</v>
      </c>
      <c r="V2343" t="s">
        <v>5718</v>
      </c>
      <c r="W2343">
        <v>1</v>
      </c>
      <c r="X2343">
        <v>1</v>
      </c>
      <c r="Z2343" s="37">
        <v>1</v>
      </c>
      <c r="AA2343" s="37">
        <v>0.4</v>
      </c>
      <c r="AB2343">
        <v>0</v>
      </c>
    </row>
    <row r="2344">
      <c r="A2344" t="s">
        <v>6167</v>
      </c>
      <c r="B2344" t="s">
        <v>4989</v>
      </c>
      <c r="C2344" t="s">
        <v>4989</v>
      </c>
      <c r="D2344" t="s">
        <v>3400</v>
      </c>
      <c r="E2344" t="s">
        <v>6168</v>
      </c>
      <c r="F2344" t="s">
        <v>298</v>
      </c>
      <c r="G2344" t="s">
        <v>6155</v>
      </c>
      <c r="H2344" t="s">
        <v>604</v>
      </c>
      <c r="I2344" t="s">
        <v>6170</v>
      </c>
      <c r="J2344" t="s">
        <v>1454</v>
      </c>
      <c r="L2344" t="s">
        <v>6171</v>
      </c>
      <c r="M2344" s="37">
        <v>0.93</v>
      </c>
      <c r="N2344" s="37">
        <v>0.7</v>
      </c>
      <c r="O2344">
        <v>0.93</v>
      </c>
      <c r="P2344" s="37">
        <v>0.65373</v>
      </c>
      <c r="Q2344">
        <v>0.92</v>
      </c>
      <c r="R2344">
        <v>2998</v>
      </c>
      <c r="S2344">
        <v>2998</v>
      </c>
      <c r="T2344">
        <v>3400</v>
      </c>
      <c r="U2344" t="s">
        <v>5717</v>
      </c>
      <c r="V2344" t="s">
        <v>5718</v>
      </c>
      <c r="W2344">
        <v>1</v>
      </c>
      <c r="X2344">
        <v>1</v>
      </c>
      <c r="Z2344" s="37">
        <v>1</v>
      </c>
      <c r="AA2344" s="37">
        <v>0.4</v>
      </c>
      <c r="AB2344">
        <v>0</v>
      </c>
    </row>
    <row r="2345">
      <c r="A2345" t="s">
        <v>6172</v>
      </c>
      <c r="B2345" t="s">
        <v>4989</v>
      </c>
      <c r="C2345" t="s">
        <v>4989</v>
      </c>
      <c r="D2345" t="s">
        <v>598</v>
      </c>
      <c r="E2345" t="s">
        <v>6173</v>
      </c>
      <c r="F2345" t="s">
        <v>298</v>
      </c>
      <c r="G2345" t="s">
        <v>6155</v>
      </c>
      <c r="H2345" t="s">
        <v>604</v>
      </c>
      <c r="I2345" t="s">
        <v>6174</v>
      </c>
      <c r="J2345" s="38">
        <v>1</v>
      </c>
      <c r="L2345" t="s">
        <v>6175</v>
      </c>
      <c r="M2345" s="37">
        <v>0.95</v>
      </c>
      <c r="N2345" s="37">
        <v>0.5</v>
      </c>
      <c r="O2345">
        <v>0.95</v>
      </c>
      <c r="P2345" s="37">
        <v>0.975</v>
      </c>
      <c r="Q2345">
        <v>0.98</v>
      </c>
      <c r="R2345">
        <v>5388</v>
      </c>
      <c r="S2345">
        <v>5388</v>
      </c>
      <c r="T2345">
        <v>5000</v>
      </c>
      <c r="U2345" t="s">
        <v>5717</v>
      </c>
      <c r="V2345" t="s">
        <v>5718</v>
      </c>
      <c r="W2345">
        <v>1</v>
      </c>
      <c r="X2345">
        <v>1</v>
      </c>
      <c r="Z2345" s="37">
        <v>1</v>
      </c>
      <c r="AA2345" s="37">
        <v>0.4</v>
      </c>
      <c r="AB2345">
        <v>0</v>
      </c>
    </row>
    <row r="2346">
      <c r="A2346" t="s">
        <v>6172</v>
      </c>
      <c r="B2346" t="s">
        <v>4989</v>
      </c>
      <c r="C2346" t="s">
        <v>4989</v>
      </c>
      <c r="D2346" t="s">
        <v>598</v>
      </c>
      <c r="E2346" t="s">
        <v>6173</v>
      </c>
      <c r="F2346" t="s">
        <v>298</v>
      </c>
      <c r="G2346" t="s">
        <v>6155</v>
      </c>
      <c r="H2346" t="s">
        <v>604</v>
      </c>
      <c r="I2346" t="s">
        <v>6176</v>
      </c>
      <c r="J2346" s="38">
        <v>1</v>
      </c>
      <c r="L2346" t="s">
        <v>6177</v>
      </c>
      <c r="M2346" s="37">
        <v>1</v>
      </c>
      <c r="N2346" s="37">
        <v>0.5</v>
      </c>
      <c r="O2346">
        <v>1</v>
      </c>
      <c r="P2346" s="37">
        <v>0.975</v>
      </c>
      <c r="Q2346">
        <v>0.98</v>
      </c>
      <c r="R2346">
        <v>5388</v>
      </c>
      <c r="S2346">
        <v>5388</v>
      </c>
      <c r="T2346">
        <v>5000</v>
      </c>
      <c r="U2346" t="s">
        <v>5717</v>
      </c>
      <c r="V2346" t="s">
        <v>5718</v>
      </c>
      <c r="W2346">
        <v>1</v>
      </c>
      <c r="X2346">
        <v>1</v>
      </c>
      <c r="Z2346" s="37">
        <v>1</v>
      </c>
      <c r="AA2346" s="37">
        <v>0.4</v>
      </c>
      <c r="AB2346">
        <v>0</v>
      </c>
    </row>
    <row r="2347">
      <c r="A2347" t="s">
        <v>6178</v>
      </c>
      <c r="B2347" t="s">
        <v>5884</v>
      </c>
      <c r="C2347" t="s">
        <v>5884</v>
      </c>
      <c r="D2347" t="s">
        <v>3649</v>
      </c>
      <c r="E2347" t="s">
        <v>6179</v>
      </c>
      <c r="F2347" t="s">
        <v>298</v>
      </c>
      <c r="G2347" t="s">
        <v>6180</v>
      </c>
      <c r="H2347" t="s">
        <v>5887</v>
      </c>
      <c r="I2347" t="s">
        <v>5888</v>
      </c>
      <c r="J2347" t="s">
        <v>5889</v>
      </c>
      <c r="K2347" t="s">
        <v>5890</v>
      </c>
      <c r="L2347" t="s">
        <v>6177</v>
      </c>
      <c r="M2347" s="37">
        <v>1.037</v>
      </c>
      <c r="N2347" s="37">
        <v>0.1</v>
      </c>
      <c r="O2347">
        <v>1.04</v>
      </c>
      <c r="P2347" s="37">
        <v>0.9022</v>
      </c>
      <c r="Q2347">
        <v>0.9</v>
      </c>
      <c r="R2347">
        <v>4500</v>
      </c>
      <c r="S2347">
        <v>4600</v>
      </c>
      <c r="T2347">
        <v>5000</v>
      </c>
      <c r="U2347" t="s">
        <v>5717</v>
      </c>
      <c r="V2347" t="s">
        <v>5718</v>
      </c>
      <c r="W2347">
        <v>1</v>
      </c>
      <c r="X2347">
        <v>1</v>
      </c>
      <c r="Z2347" s="37">
        <v>1</v>
      </c>
      <c r="AA2347" s="37">
        <v>0.4</v>
      </c>
      <c r="AB2347">
        <v>0</v>
      </c>
    </row>
    <row r="2348">
      <c r="A2348" t="s">
        <v>6178</v>
      </c>
      <c r="B2348" t="s">
        <v>5884</v>
      </c>
      <c r="C2348" t="s">
        <v>5884</v>
      </c>
      <c r="D2348" t="s">
        <v>3649</v>
      </c>
      <c r="E2348" t="s">
        <v>6179</v>
      </c>
      <c r="F2348" t="s">
        <v>298</v>
      </c>
      <c r="G2348" t="s">
        <v>6180</v>
      </c>
      <c r="H2348" t="s">
        <v>5891</v>
      </c>
      <c r="I2348" t="s">
        <v>5892</v>
      </c>
      <c r="J2348" s="38">
        <v>0.1</v>
      </c>
      <c r="K2348" s="37">
        <v>0.0897</v>
      </c>
      <c r="L2348" t="s">
        <v>6177</v>
      </c>
      <c r="M2348" s="37">
        <v>0.897</v>
      </c>
      <c r="N2348" s="37">
        <v>0.1</v>
      </c>
      <c r="O2348">
        <v>0.9</v>
      </c>
      <c r="P2348" s="37">
        <v>0.9022</v>
      </c>
      <c r="Q2348">
        <v>0.9</v>
      </c>
      <c r="R2348">
        <v>4500</v>
      </c>
      <c r="S2348">
        <v>4600</v>
      </c>
      <c r="T2348">
        <v>5000</v>
      </c>
      <c r="U2348" t="s">
        <v>5717</v>
      </c>
      <c r="V2348" t="s">
        <v>5718</v>
      </c>
      <c r="W2348">
        <v>1</v>
      </c>
      <c r="X2348">
        <v>1</v>
      </c>
      <c r="Z2348" s="37">
        <v>1</v>
      </c>
      <c r="AA2348" s="37">
        <v>0.4</v>
      </c>
      <c r="AB2348">
        <v>0</v>
      </c>
    </row>
    <row r="2349">
      <c r="A2349" t="s">
        <v>6178</v>
      </c>
      <c r="B2349" t="s">
        <v>5884</v>
      </c>
      <c r="C2349" t="s">
        <v>5884</v>
      </c>
      <c r="D2349" t="s">
        <v>3649</v>
      </c>
      <c r="E2349" t="s">
        <v>6179</v>
      </c>
      <c r="F2349" t="s">
        <v>298</v>
      </c>
      <c r="G2349" t="s">
        <v>6180</v>
      </c>
      <c r="H2349" t="s">
        <v>6181</v>
      </c>
      <c r="J2349" t="s">
        <v>6182</v>
      </c>
      <c r="K2349" t="s">
        <v>6183</v>
      </c>
      <c r="L2349" t="s">
        <v>6177</v>
      </c>
      <c r="M2349" s="37">
        <v>0.695</v>
      </c>
      <c r="N2349" s="37">
        <v>0.4</v>
      </c>
      <c r="O2349">
        <v>0.7</v>
      </c>
      <c r="P2349" s="37">
        <v>0.9022</v>
      </c>
      <c r="Q2349">
        <v>0.9</v>
      </c>
      <c r="R2349">
        <v>4500</v>
      </c>
      <c r="S2349">
        <v>4600</v>
      </c>
      <c r="T2349">
        <v>5000</v>
      </c>
      <c r="U2349" t="s">
        <v>5717</v>
      </c>
      <c r="V2349" t="s">
        <v>5718</v>
      </c>
      <c r="W2349">
        <v>1</v>
      </c>
      <c r="X2349">
        <v>1</v>
      </c>
      <c r="Z2349" s="37">
        <v>1</v>
      </c>
      <c r="AA2349" s="37">
        <v>0.4</v>
      </c>
      <c r="AB2349">
        <v>0</v>
      </c>
    </row>
    <row r="2350">
      <c r="A2350" t="s">
        <v>6178</v>
      </c>
      <c r="B2350" t="s">
        <v>5884</v>
      </c>
      <c r="C2350" t="s">
        <v>5884</v>
      </c>
      <c r="D2350" t="s">
        <v>3649</v>
      </c>
      <c r="E2350" t="s">
        <v>6179</v>
      </c>
      <c r="F2350" t="s">
        <v>298</v>
      </c>
      <c r="G2350" t="s">
        <v>6180</v>
      </c>
      <c r="H2350" t="s">
        <v>6184</v>
      </c>
      <c r="I2350" t="s">
        <v>6184</v>
      </c>
      <c r="J2350" s="38">
        <v>-0.14</v>
      </c>
      <c r="K2350" s="38">
        <v>-0.13</v>
      </c>
      <c r="L2350" t="s">
        <v>6177</v>
      </c>
      <c r="M2350" s="37">
        <v>1.077</v>
      </c>
      <c r="N2350" s="37">
        <v>0.4</v>
      </c>
      <c r="O2350">
        <v>1.07</v>
      </c>
      <c r="P2350" s="37">
        <v>0.9022</v>
      </c>
      <c r="Q2350">
        <v>0.9</v>
      </c>
      <c r="R2350">
        <v>4500</v>
      </c>
      <c r="S2350">
        <v>4600</v>
      </c>
      <c r="T2350">
        <v>5000</v>
      </c>
      <c r="U2350" t="s">
        <v>5717</v>
      </c>
      <c r="V2350" t="s">
        <v>5718</v>
      </c>
      <c r="W2350">
        <v>1</v>
      </c>
      <c r="X2350">
        <v>1</v>
      </c>
      <c r="Z2350" s="37">
        <v>1</v>
      </c>
      <c r="AA2350" s="37">
        <v>0.4</v>
      </c>
      <c r="AB2350">
        <v>0</v>
      </c>
    </row>
    <row r="2351">
      <c r="A2351" t="s">
        <v>6185</v>
      </c>
      <c r="B2351" t="s">
        <v>3662</v>
      </c>
      <c r="C2351" t="s">
        <v>3662</v>
      </c>
      <c r="D2351" t="s">
        <v>1013</v>
      </c>
      <c r="E2351" t="s">
        <v>6186</v>
      </c>
      <c r="F2351" t="s">
        <v>298</v>
      </c>
      <c r="G2351" t="s">
        <v>4175</v>
      </c>
      <c r="H2351" t="s">
        <v>4088</v>
      </c>
      <c r="I2351" t="s">
        <v>6184</v>
      </c>
      <c r="J2351">
        <v>200</v>
      </c>
      <c r="K2351">
        <v>54.9</v>
      </c>
      <c r="L2351" t="s">
        <v>6177</v>
      </c>
      <c r="M2351" s="37">
        <v>0.002745</v>
      </c>
      <c r="N2351" s="37">
        <v>0.25</v>
      </c>
      <c r="O2351">
        <v>0.2745</v>
      </c>
      <c r="P2351" s="37">
        <v>0.000686</v>
      </c>
      <c r="Q2351">
        <v>0.07</v>
      </c>
      <c r="R2351">
        <v>794.39</v>
      </c>
      <c r="S2351">
        <v>794.39</v>
      </c>
      <c r="T2351">
        <v>1500</v>
      </c>
      <c r="U2351" t="s">
        <v>5717</v>
      </c>
      <c r="V2351" t="s">
        <v>5718</v>
      </c>
      <c r="W2351">
        <v>1</v>
      </c>
      <c r="X2351">
        <v>1</v>
      </c>
      <c r="Z2351" s="37">
        <v>1</v>
      </c>
      <c r="AA2351" s="37">
        <v>0.4</v>
      </c>
      <c r="AB2351">
        <v>0</v>
      </c>
    </row>
    <row r="2352">
      <c r="A2352" t="s">
        <v>6185</v>
      </c>
      <c r="B2352" t="s">
        <v>3662</v>
      </c>
      <c r="C2352" t="s">
        <v>3662</v>
      </c>
      <c r="D2352" t="s">
        <v>1013</v>
      </c>
      <c r="E2352" t="s">
        <v>6186</v>
      </c>
      <c r="F2352" t="s">
        <v>298</v>
      </c>
      <c r="G2352" t="s">
        <v>4175</v>
      </c>
      <c r="H2352" t="s">
        <v>4113</v>
      </c>
      <c r="I2352" t="s">
        <v>6184</v>
      </c>
      <c r="J2352">
        <v>10</v>
      </c>
      <c r="K2352">
        <v>0</v>
      </c>
      <c r="L2352" t="s">
        <v>6177</v>
      </c>
      <c r="M2352" s="37">
        <v>0</v>
      </c>
      <c r="N2352" s="37">
        <v>0.65</v>
      </c>
      <c r="O2352">
        <v>0</v>
      </c>
      <c r="P2352" s="37">
        <v>0.000686</v>
      </c>
      <c r="Q2352">
        <v>0.07</v>
      </c>
      <c r="R2352">
        <v>794.39</v>
      </c>
      <c r="S2352">
        <v>794.39</v>
      </c>
      <c r="T2352">
        <v>1500</v>
      </c>
      <c r="U2352" t="s">
        <v>5717</v>
      </c>
      <c r="V2352" t="s">
        <v>5718</v>
      </c>
      <c r="W2352">
        <v>1</v>
      </c>
      <c r="X2352">
        <v>1</v>
      </c>
      <c r="Z2352" s="37">
        <v>1</v>
      </c>
      <c r="AA2352" s="37">
        <v>0.4</v>
      </c>
      <c r="AB2352">
        <v>0</v>
      </c>
    </row>
    <row r="2353">
      <c r="A2353" t="s">
        <v>6185</v>
      </c>
      <c r="B2353" t="s">
        <v>3662</v>
      </c>
      <c r="C2353" t="s">
        <v>3662</v>
      </c>
      <c r="D2353" t="s">
        <v>1013</v>
      </c>
      <c r="E2353" t="s">
        <v>6186</v>
      </c>
      <c r="F2353" t="s">
        <v>298</v>
      </c>
      <c r="G2353" t="s">
        <v>4175</v>
      </c>
      <c r="H2353" t="s">
        <v>4097</v>
      </c>
      <c r="I2353" t="s">
        <v>6184</v>
      </c>
      <c r="J2353">
        <v>1</v>
      </c>
      <c r="K2353">
        <v>0</v>
      </c>
      <c r="L2353" t="s">
        <v>6177</v>
      </c>
      <c r="M2353" s="37">
        <v>0</v>
      </c>
      <c r="N2353" s="37">
        <v>0.1</v>
      </c>
      <c r="O2353">
        <v>0</v>
      </c>
      <c r="P2353" s="37">
        <v>0.000686</v>
      </c>
      <c r="Q2353">
        <v>0.07</v>
      </c>
      <c r="R2353">
        <v>794.39</v>
      </c>
      <c r="S2353">
        <v>794.39</v>
      </c>
      <c r="T2353">
        <v>1500</v>
      </c>
      <c r="U2353" t="s">
        <v>5717</v>
      </c>
      <c r="V2353" t="s">
        <v>5718</v>
      </c>
      <c r="W2353">
        <v>1</v>
      </c>
      <c r="X2353">
        <v>1</v>
      </c>
      <c r="Z2353" s="37">
        <v>1</v>
      </c>
      <c r="AA2353" s="37">
        <v>0.4</v>
      </c>
      <c r="AB2353">
        <v>0</v>
      </c>
    </row>
    <row r="2354">
      <c r="A2354" t="s">
        <v>6187</v>
      </c>
      <c r="B2354" t="s">
        <v>3314</v>
      </c>
      <c r="C2354" t="s">
        <v>3314</v>
      </c>
      <c r="D2354" t="s">
        <v>6188</v>
      </c>
      <c r="E2354" t="s">
        <v>6189</v>
      </c>
      <c r="F2354" t="s">
        <v>298</v>
      </c>
      <c r="G2354" t="s">
        <v>6190</v>
      </c>
      <c r="H2354" t="s">
        <v>6191</v>
      </c>
      <c r="I2354" t="s">
        <v>6192</v>
      </c>
      <c r="J2354" t="s">
        <v>586</v>
      </c>
      <c r="K2354" t="s">
        <v>4164</v>
      </c>
      <c r="L2354" t="s">
        <v>6177</v>
      </c>
      <c r="M2354" s="37">
        <v>0</v>
      </c>
      <c r="N2354" s="37">
        <v>0.25</v>
      </c>
      <c r="O2354">
        <v>0</v>
      </c>
      <c r="P2354" s="37">
        <v>0.448</v>
      </c>
      <c r="Q2354">
        <v>0.5</v>
      </c>
      <c r="R2354">
        <v>4500</v>
      </c>
      <c r="S2354">
        <v>4500</v>
      </c>
      <c r="T2354">
        <v>3000</v>
      </c>
      <c r="U2354" t="s">
        <v>5717</v>
      </c>
      <c r="V2354" t="s">
        <v>5718</v>
      </c>
      <c r="W2354">
        <v>1</v>
      </c>
      <c r="X2354">
        <v>1</v>
      </c>
      <c r="Z2354" s="37">
        <v>1</v>
      </c>
      <c r="AA2354" s="37">
        <v>0.4</v>
      </c>
      <c r="AB2354">
        <v>0</v>
      </c>
    </row>
    <row r="2355">
      <c r="A2355" t="s">
        <v>6187</v>
      </c>
      <c r="B2355" t="s">
        <v>3314</v>
      </c>
      <c r="C2355" t="s">
        <v>3314</v>
      </c>
      <c r="D2355" t="s">
        <v>6188</v>
      </c>
      <c r="E2355" t="s">
        <v>6189</v>
      </c>
      <c r="F2355" t="s">
        <v>298</v>
      </c>
      <c r="G2355" t="s">
        <v>6190</v>
      </c>
      <c r="H2355" t="s">
        <v>6191</v>
      </c>
      <c r="I2355" t="s">
        <v>6193</v>
      </c>
      <c r="J2355" t="s">
        <v>588</v>
      </c>
      <c r="K2355" t="s">
        <v>4164</v>
      </c>
      <c r="M2355" s="37">
        <v>0</v>
      </c>
      <c r="N2355" s="37">
        <v>0.15</v>
      </c>
      <c r="O2355">
        <v>0</v>
      </c>
      <c r="P2355" s="37">
        <v>0.448</v>
      </c>
      <c r="Q2355">
        <v>0.5</v>
      </c>
      <c r="R2355">
        <v>4500</v>
      </c>
      <c r="S2355">
        <v>4500</v>
      </c>
      <c r="T2355">
        <v>3000</v>
      </c>
      <c r="U2355" t="s">
        <v>5717</v>
      </c>
      <c r="V2355" t="s">
        <v>5718</v>
      </c>
      <c r="W2355">
        <v>1</v>
      </c>
      <c r="X2355">
        <v>1</v>
      </c>
      <c r="Z2355" s="37">
        <v>1</v>
      </c>
      <c r="AA2355" s="37">
        <v>0.4</v>
      </c>
      <c r="AB2355">
        <v>0</v>
      </c>
    </row>
    <row r="2356">
      <c r="A2356" t="s">
        <v>6187</v>
      </c>
      <c r="B2356" t="s">
        <v>3314</v>
      </c>
      <c r="C2356" t="s">
        <v>3314</v>
      </c>
      <c r="D2356" t="s">
        <v>6188</v>
      </c>
      <c r="E2356" t="s">
        <v>6189</v>
      </c>
      <c r="F2356" t="s">
        <v>298</v>
      </c>
      <c r="G2356" t="s">
        <v>6190</v>
      </c>
      <c r="H2356" t="s">
        <v>6194</v>
      </c>
      <c r="I2356" t="s">
        <v>6195</v>
      </c>
      <c r="J2356" t="s">
        <v>586</v>
      </c>
      <c r="K2356" t="s">
        <v>4164</v>
      </c>
      <c r="M2356" s="37">
        <v>0</v>
      </c>
      <c r="N2356" s="37">
        <v>0.15</v>
      </c>
      <c r="O2356">
        <v>0</v>
      </c>
      <c r="P2356" s="37">
        <v>0.448</v>
      </c>
      <c r="Q2356">
        <v>0.5</v>
      </c>
      <c r="R2356">
        <v>4500</v>
      </c>
      <c r="S2356">
        <v>4500</v>
      </c>
      <c r="T2356">
        <v>3000</v>
      </c>
      <c r="U2356" t="s">
        <v>5717</v>
      </c>
      <c r="V2356" t="s">
        <v>5718</v>
      </c>
      <c r="W2356">
        <v>1</v>
      </c>
      <c r="X2356">
        <v>1</v>
      </c>
      <c r="Z2356" s="37">
        <v>1</v>
      </c>
      <c r="AA2356" s="37">
        <v>0.4</v>
      </c>
      <c r="AB2356">
        <v>0</v>
      </c>
    </row>
    <row r="2357">
      <c r="A2357" t="s">
        <v>6187</v>
      </c>
      <c r="B2357" t="s">
        <v>3314</v>
      </c>
      <c r="C2357" t="s">
        <v>3314</v>
      </c>
      <c r="D2357" t="s">
        <v>6188</v>
      </c>
      <c r="E2357" t="s">
        <v>6189</v>
      </c>
      <c r="F2357" t="s">
        <v>298</v>
      </c>
      <c r="G2357" t="s">
        <v>6190</v>
      </c>
      <c r="H2357" t="s">
        <v>6191</v>
      </c>
      <c r="I2357" t="s">
        <v>6196</v>
      </c>
      <c r="J2357" t="s">
        <v>6197</v>
      </c>
      <c r="K2357" t="s">
        <v>6198</v>
      </c>
      <c r="M2357" s="37">
        <v>0.58</v>
      </c>
      <c r="N2357" s="37">
        <v>0.1</v>
      </c>
      <c r="O2357">
        <v>0.046</v>
      </c>
      <c r="P2357" s="37">
        <v>0.448</v>
      </c>
      <c r="Q2357">
        <v>0.5</v>
      </c>
      <c r="R2357">
        <v>4500</v>
      </c>
      <c r="S2357">
        <v>4500</v>
      </c>
      <c r="T2357">
        <v>3000</v>
      </c>
      <c r="U2357" t="s">
        <v>5717</v>
      </c>
      <c r="V2357" t="s">
        <v>5718</v>
      </c>
      <c r="W2357">
        <v>1</v>
      </c>
      <c r="X2357">
        <v>1</v>
      </c>
      <c r="Z2357" s="37">
        <v>1</v>
      </c>
      <c r="AA2357" s="37">
        <v>0.4</v>
      </c>
      <c r="AB2357">
        <v>0</v>
      </c>
    </row>
    <row r="2358">
      <c r="A2358" t="s">
        <v>6187</v>
      </c>
      <c r="B2358" t="s">
        <v>3314</v>
      </c>
      <c r="C2358" t="s">
        <v>3314</v>
      </c>
      <c r="D2358" t="s">
        <v>6188</v>
      </c>
      <c r="E2358" t="s">
        <v>6189</v>
      </c>
      <c r="F2358" t="s">
        <v>298</v>
      </c>
      <c r="G2358" t="s">
        <v>6190</v>
      </c>
      <c r="H2358" t="s">
        <v>6199</v>
      </c>
      <c r="I2358" t="s">
        <v>6200</v>
      </c>
      <c r="K2358">
        <v>1</v>
      </c>
      <c r="M2358" s="37">
        <v>1</v>
      </c>
      <c r="N2358" s="37">
        <v>0.15</v>
      </c>
      <c r="O2358">
        <v>0.15</v>
      </c>
      <c r="P2358" s="37">
        <v>0.448</v>
      </c>
      <c r="Q2358">
        <v>0.5</v>
      </c>
      <c r="R2358">
        <v>4500</v>
      </c>
      <c r="S2358">
        <v>4500</v>
      </c>
      <c r="T2358">
        <v>3000</v>
      </c>
      <c r="U2358" t="s">
        <v>5717</v>
      </c>
      <c r="V2358" t="s">
        <v>5718</v>
      </c>
      <c r="W2358">
        <v>1</v>
      </c>
      <c r="X2358">
        <v>1</v>
      </c>
      <c r="Z2358" s="37">
        <v>1</v>
      </c>
      <c r="AA2358" s="37">
        <v>0.4</v>
      </c>
      <c r="AB2358">
        <v>0</v>
      </c>
    </row>
    <row r="2359">
      <c r="A2359" t="s">
        <v>6187</v>
      </c>
      <c r="B2359" t="s">
        <v>3314</v>
      </c>
      <c r="C2359" t="s">
        <v>3314</v>
      </c>
      <c r="D2359" t="s">
        <v>6188</v>
      </c>
      <c r="E2359" t="s">
        <v>6189</v>
      </c>
      <c r="F2359" t="s">
        <v>298</v>
      </c>
      <c r="G2359" t="s">
        <v>6190</v>
      </c>
      <c r="H2359" t="s">
        <v>6191</v>
      </c>
      <c r="I2359" t="s">
        <v>6201</v>
      </c>
      <c r="J2359" t="s">
        <v>3063</v>
      </c>
      <c r="K2359" t="s">
        <v>6202</v>
      </c>
      <c r="M2359" s="37">
        <v>1.2</v>
      </c>
      <c r="N2359" s="37">
        <v>0.2</v>
      </c>
      <c r="O2359">
        <v>0.3</v>
      </c>
      <c r="P2359" s="37">
        <v>0.448</v>
      </c>
      <c r="Q2359">
        <v>0.5</v>
      </c>
      <c r="R2359">
        <v>4500</v>
      </c>
      <c r="S2359">
        <v>4500</v>
      </c>
      <c r="T2359">
        <v>3000</v>
      </c>
      <c r="U2359" t="s">
        <v>5717</v>
      </c>
      <c r="V2359" t="s">
        <v>5718</v>
      </c>
      <c r="W2359">
        <v>1</v>
      </c>
      <c r="X2359">
        <v>1</v>
      </c>
      <c r="Z2359" s="37">
        <v>1</v>
      </c>
      <c r="AA2359" s="37">
        <v>0.4</v>
      </c>
      <c r="AB2359">
        <v>0</v>
      </c>
    </row>
    <row r="2360">
      <c r="A2360" t="s">
        <v>6203</v>
      </c>
      <c r="B2360" t="s">
        <v>3314</v>
      </c>
      <c r="C2360" t="s">
        <v>3314</v>
      </c>
      <c r="D2360" t="s">
        <v>1396</v>
      </c>
      <c r="E2360" t="s">
        <v>6204</v>
      </c>
      <c r="F2360" t="s">
        <v>298</v>
      </c>
      <c r="G2360" t="s">
        <v>6190</v>
      </c>
      <c r="H2360" t="s">
        <v>6191</v>
      </c>
      <c r="I2360" t="s">
        <v>6205</v>
      </c>
      <c r="J2360" t="s">
        <v>588</v>
      </c>
      <c r="K2360" t="s">
        <v>4164</v>
      </c>
      <c r="M2360" s="37">
        <v>0</v>
      </c>
      <c r="N2360" s="37">
        <v>0.3</v>
      </c>
      <c r="O2360">
        <v>0</v>
      </c>
      <c r="P2360" s="37">
        <v>0.27</v>
      </c>
      <c r="Q2360">
        <v>0.23</v>
      </c>
      <c r="R2360">
        <v>1500</v>
      </c>
      <c r="S2360">
        <v>1500</v>
      </c>
      <c r="T2360">
        <v>3000</v>
      </c>
      <c r="U2360" t="s">
        <v>5717</v>
      </c>
      <c r="V2360" t="s">
        <v>5718</v>
      </c>
      <c r="W2360">
        <v>1</v>
      </c>
      <c r="X2360">
        <v>1</v>
      </c>
      <c r="Z2360" s="37">
        <v>1</v>
      </c>
      <c r="AA2360" s="37">
        <v>0.4</v>
      </c>
      <c r="AB2360">
        <v>0</v>
      </c>
    </row>
    <row r="2361">
      <c r="A2361" t="s">
        <v>6203</v>
      </c>
      <c r="B2361" t="s">
        <v>3314</v>
      </c>
      <c r="C2361" t="s">
        <v>3314</v>
      </c>
      <c r="D2361" t="s">
        <v>1396</v>
      </c>
      <c r="E2361" t="s">
        <v>6204</v>
      </c>
      <c r="F2361" t="s">
        <v>298</v>
      </c>
      <c r="G2361" t="s">
        <v>6190</v>
      </c>
      <c r="H2361" t="s">
        <v>6191</v>
      </c>
      <c r="I2361" t="s">
        <v>6206</v>
      </c>
      <c r="J2361" t="s">
        <v>588</v>
      </c>
      <c r="K2361" t="s">
        <v>1437</v>
      </c>
      <c r="M2361" s="37">
        <v>0.5</v>
      </c>
      <c r="N2361" s="37">
        <v>0.2</v>
      </c>
      <c r="O2361">
        <v>0.4</v>
      </c>
      <c r="P2361" s="37">
        <v>0.27</v>
      </c>
      <c r="Q2361">
        <v>0.23</v>
      </c>
      <c r="R2361">
        <v>1500</v>
      </c>
      <c r="S2361">
        <v>1500</v>
      </c>
      <c r="T2361">
        <v>3000</v>
      </c>
      <c r="U2361" t="s">
        <v>5717</v>
      </c>
      <c r="V2361" t="s">
        <v>5718</v>
      </c>
      <c r="W2361">
        <v>1</v>
      </c>
      <c r="X2361">
        <v>1</v>
      </c>
      <c r="Z2361" s="37">
        <v>1</v>
      </c>
      <c r="AA2361" s="37">
        <v>0.4</v>
      </c>
      <c r="AB2361">
        <v>0</v>
      </c>
    </row>
    <row r="2362">
      <c r="A2362" t="s">
        <v>6203</v>
      </c>
      <c r="B2362" t="s">
        <v>3314</v>
      </c>
      <c r="C2362" t="s">
        <v>3314</v>
      </c>
      <c r="D2362" t="s">
        <v>1396</v>
      </c>
      <c r="E2362" t="s">
        <v>6204</v>
      </c>
      <c r="F2362" t="s">
        <v>298</v>
      </c>
      <c r="G2362" t="s">
        <v>6190</v>
      </c>
      <c r="H2362" t="s">
        <v>6191</v>
      </c>
      <c r="I2362" t="s">
        <v>6207</v>
      </c>
      <c r="J2362" t="s">
        <v>3063</v>
      </c>
      <c r="K2362" t="s">
        <v>6208</v>
      </c>
      <c r="M2362" s="37">
        <v>0.42</v>
      </c>
      <c r="N2362" s="37">
        <v>0.2</v>
      </c>
      <c r="O2362">
        <v>0.336</v>
      </c>
      <c r="P2362" s="37">
        <v>0.27</v>
      </c>
      <c r="Q2362">
        <v>0.23</v>
      </c>
      <c r="R2362">
        <v>1500</v>
      </c>
      <c r="S2362">
        <v>1500</v>
      </c>
      <c r="T2362">
        <v>3000</v>
      </c>
      <c r="U2362" t="s">
        <v>5717</v>
      </c>
      <c r="V2362" t="s">
        <v>5718</v>
      </c>
      <c r="W2362">
        <v>1</v>
      </c>
      <c r="X2362">
        <v>1</v>
      </c>
      <c r="Z2362" s="37">
        <v>1</v>
      </c>
      <c r="AA2362" s="37">
        <v>0.4</v>
      </c>
      <c r="AB2362">
        <v>0</v>
      </c>
    </row>
    <row r="2363">
      <c r="A2363" t="s">
        <v>6203</v>
      </c>
      <c r="B2363" t="s">
        <v>3314</v>
      </c>
      <c r="C2363" t="s">
        <v>3314</v>
      </c>
      <c r="D2363" t="s">
        <v>1396</v>
      </c>
      <c r="E2363" t="s">
        <v>6204</v>
      </c>
      <c r="F2363" t="s">
        <v>298</v>
      </c>
      <c r="G2363" t="s">
        <v>6190</v>
      </c>
      <c r="H2363" t="s">
        <v>6194</v>
      </c>
      <c r="I2363" t="s">
        <v>6209</v>
      </c>
      <c r="J2363" t="s">
        <v>586</v>
      </c>
      <c r="K2363" t="s">
        <v>4164</v>
      </c>
      <c r="M2363" s="37">
        <v>0</v>
      </c>
      <c r="N2363" s="37">
        <v>0.2</v>
      </c>
      <c r="O2363">
        <v>0</v>
      </c>
      <c r="P2363" s="37">
        <v>0.27</v>
      </c>
      <c r="Q2363">
        <v>0.23</v>
      </c>
      <c r="R2363">
        <v>1500</v>
      </c>
      <c r="S2363">
        <v>1500</v>
      </c>
      <c r="T2363">
        <v>3000</v>
      </c>
      <c r="U2363" t="s">
        <v>5717</v>
      </c>
      <c r="V2363" t="s">
        <v>5718</v>
      </c>
      <c r="W2363">
        <v>1</v>
      </c>
      <c r="X2363">
        <v>1</v>
      </c>
      <c r="Z2363" s="37">
        <v>1</v>
      </c>
      <c r="AA2363" s="37">
        <v>0.4</v>
      </c>
      <c r="AB2363">
        <v>0</v>
      </c>
    </row>
    <row r="2364">
      <c r="A2364" t="s">
        <v>6203</v>
      </c>
      <c r="B2364" t="s">
        <v>3314</v>
      </c>
      <c r="C2364" t="s">
        <v>3314</v>
      </c>
      <c r="D2364" t="s">
        <v>1396</v>
      </c>
      <c r="E2364" t="s">
        <v>6204</v>
      </c>
      <c r="F2364" t="s">
        <v>298</v>
      </c>
      <c r="G2364" t="s">
        <v>6190</v>
      </c>
      <c r="H2364" t="s">
        <v>6194</v>
      </c>
      <c r="I2364" t="s">
        <v>6210</v>
      </c>
      <c r="J2364" t="s">
        <v>6211</v>
      </c>
      <c r="K2364" t="s">
        <v>6197</v>
      </c>
      <c r="M2364" s="37">
        <v>0.86</v>
      </c>
      <c r="N2364" s="37">
        <v>0.1</v>
      </c>
      <c r="O2364">
        <v>0.86</v>
      </c>
      <c r="P2364" s="37">
        <v>0.27</v>
      </c>
      <c r="Q2364">
        <v>0.23</v>
      </c>
      <c r="R2364">
        <v>1500</v>
      </c>
      <c r="S2364">
        <v>1500</v>
      </c>
      <c r="T2364">
        <v>3000</v>
      </c>
      <c r="U2364" t="s">
        <v>5717</v>
      </c>
      <c r="V2364" t="s">
        <v>5718</v>
      </c>
      <c r="W2364">
        <v>1</v>
      </c>
      <c r="X2364">
        <v>1</v>
      </c>
      <c r="Z2364" s="37">
        <v>1</v>
      </c>
      <c r="AA2364" s="37">
        <v>0.4</v>
      </c>
      <c r="AB2364">
        <v>0</v>
      </c>
    </row>
    <row r="2365">
      <c r="A2365" t="s">
        <v>6212</v>
      </c>
      <c r="B2365" t="s">
        <v>3314</v>
      </c>
      <c r="C2365" t="s">
        <v>3314</v>
      </c>
      <c r="D2365" t="s">
        <v>6188</v>
      </c>
      <c r="E2365" t="s">
        <v>6213</v>
      </c>
      <c r="F2365" t="s">
        <v>298</v>
      </c>
      <c r="G2365" t="s">
        <v>6190</v>
      </c>
      <c r="H2365" t="s">
        <v>6191</v>
      </c>
      <c r="I2365" t="s">
        <v>6214</v>
      </c>
      <c r="J2365" t="s">
        <v>586</v>
      </c>
      <c r="K2365" t="s">
        <v>4164</v>
      </c>
      <c r="M2365" s="37">
        <v>0</v>
      </c>
      <c r="N2365" s="37">
        <v>0.3</v>
      </c>
      <c r="O2365">
        <v>0</v>
      </c>
      <c r="P2365" s="37">
        <v>0.373333</v>
      </c>
      <c r="Q2365">
        <v>0.48</v>
      </c>
      <c r="R2365">
        <v>3000</v>
      </c>
      <c r="S2365">
        <v>3000</v>
      </c>
      <c r="T2365">
        <v>3000</v>
      </c>
      <c r="U2365" t="s">
        <v>5717</v>
      </c>
      <c r="V2365" t="s">
        <v>5718</v>
      </c>
      <c r="W2365">
        <v>1</v>
      </c>
      <c r="X2365">
        <v>1</v>
      </c>
      <c r="Z2365" s="37">
        <v>1</v>
      </c>
      <c r="AA2365" s="37">
        <v>0.4</v>
      </c>
      <c r="AB2365">
        <v>0</v>
      </c>
    </row>
    <row r="2366">
      <c r="A2366" t="s">
        <v>6212</v>
      </c>
      <c r="B2366" t="s">
        <v>3314</v>
      </c>
      <c r="C2366" t="s">
        <v>3314</v>
      </c>
      <c r="D2366" t="s">
        <v>6188</v>
      </c>
      <c r="E2366" t="s">
        <v>6213</v>
      </c>
      <c r="F2366" t="s">
        <v>298</v>
      </c>
      <c r="G2366" t="s">
        <v>6190</v>
      </c>
      <c r="H2366" t="s">
        <v>6191</v>
      </c>
      <c r="I2366" t="s">
        <v>6193</v>
      </c>
      <c r="J2366" t="s">
        <v>588</v>
      </c>
      <c r="K2366" t="s">
        <v>588</v>
      </c>
      <c r="M2366" s="37">
        <v>1</v>
      </c>
      <c r="N2366" s="37">
        <v>0.2</v>
      </c>
      <c r="O2366">
        <v>1.2</v>
      </c>
      <c r="P2366" s="37">
        <v>0.373333</v>
      </c>
      <c r="Q2366">
        <v>0.48</v>
      </c>
      <c r="R2366">
        <v>3000</v>
      </c>
      <c r="S2366">
        <v>3000</v>
      </c>
      <c r="T2366">
        <v>3000</v>
      </c>
      <c r="U2366" t="s">
        <v>5717</v>
      </c>
      <c r="V2366" t="s">
        <v>5718</v>
      </c>
      <c r="W2366">
        <v>1</v>
      </c>
      <c r="X2366">
        <v>1</v>
      </c>
      <c r="Z2366" s="37">
        <v>1</v>
      </c>
      <c r="AA2366" s="37">
        <v>0.4</v>
      </c>
      <c r="AB2366">
        <v>0</v>
      </c>
    </row>
    <row r="2367">
      <c r="A2367" t="s">
        <v>6212</v>
      </c>
      <c r="B2367" t="s">
        <v>3314</v>
      </c>
      <c r="C2367" t="s">
        <v>3314</v>
      </c>
      <c r="D2367" t="s">
        <v>6188</v>
      </c>
      <c r="E2367" t="s">
        <v>6213</v>
      </c>
      <c r="F2367" t="s">
        <v>298</v>
      </c>
      <c r="G2367" t="s">
        <v>6190</v>
      </c>
      <c r="H2367" t="s">
        <v>6191</v>
      </c>
      <c r="I2367" t="s">
        <v>6215</v>
      </c>
      <c r="J2367" t="s">
        <v>3063</v>
      </c>
      <c r="K2367" t="s">
        <v>6216</v>
      </c>
      <c r="M2367" s="37">
        <v>0.616667</v>
      </c>
      <c r="N2367" s="37">
        <v>0.2</v>
      </c>
      <c r="O2367">
        <v>0.4933</v>
      </c>
      <c r="P2367" s="37">
        <v>0.373333</v>
      </c>
      <c r="Q2367">
        <v>0.48</v>
      </c>
      <c r="R2367">
        <v>3000</v>
      </c>
      <c r="S2367">
        <v>3000</v>
      </c>
      <c r="T2367">
        <v>3000</v>
      </c>
      <c r="U2367" t="s">
        <v>5717</v>
      </c>
      <c r="V2367" t="s">
        <v>5718</v>
      </c>
      <c r="W2367">
        <v>1</v>
      </c>
      <c r="X2367">
        <v>1</v>
      </c>
      <c r="Z2367" s="37">
        <v>1</v>
      </c>
      <c r="AA2367" s="37">
        <v>0.4</v>
      </c>
      <c r="AB2367">
        <v>0</v>
      </c>
    </row>
    <row r="2368">
      <c r="A2368" t="s">
        <v>6212</v>
      </c>
      <c r="B2368" t="s">
        <v>3314</v>
      </c>
      <c r="C2368" t="s">
        <v>3314</v>
      </c>
      <c r="D2368" t="s">
        <v>6188</v>
      </c>
      <c r="E2368" t="s">
        <v>6213</v>
      </c>
      <c r="F2368" t="s">
        <v>298</v>
      </c>
      <c r="G2368" t="s">
        <v>6190</v>
      </c>
      <c r="H2368" t="s">
        <v>6194</v>
      </c>
      <c r="I2368" t="s">
        <v>6195</v>
      </c>
      <c r="J2368" t="s">
        <v>586</v>
      </c>
      <c r="K2368" t="s">
        <v>4164</v>
      </c>
      <c r="M2368" s="37">
        <v>0</v>
      </c>
      <c r="N2368" s="37">
        <v>0.2</v>
      </c>
      <c r="O2368">
        <v>0</v>
      </c>
      <c r="P2368" s="37">
        <v>0.373333</v>
      </c>
      <c r="Q2368">
        <v>0.48</v>
      </c>
      <c r="R2368">
        <v>3000</v>
      </c>
      <c r="S2368">
        <v>3000</v>
      </c>
      <c r="T2368">
        <v>3000</v>
      </c>
      <c r="U2368" t="s">
        <v>5717</v>
      </c>
      <c r="V2368" t="s">
        <v>5718</v>
      </c>
      <c r="W2368">
        <v>1</v>
      </c>
      <c r="X2368">
        <v>1</v>
      </c>
      <c r="Z2368" s="37">
        <v>1</v>
      </c>
      <c r="AA2368" s="37">
        <v>0.4</v>
      </c>
      <c r="AB2368">
        <v>0</v>
      </c>
    </row>
    <row r="2369">
      <c r="A2369" t="s">
        <v>6212</v>
      </c>
      <c r="B2369" t="s">
        <v>3314</v>
      </c>
      <c r="C2369" t="s">
        <v>3314</v>
      </c>
      <c r="D2369" t="s">
        <v>6188</v>
      </c>
      <c r="E2369" t="s">
        <v>6213</v>
      </c>
      <c r="F2369" t="s">
        <v>298</v>
      </c>
      <c r="G2369" t="s">
        <v>6190</v>
      </c>
      <c r="H2369" t="s">
        <v>6194</v>
      </c>
      <c r="I2369" t="s">
        <v>6217</v>
      </c>
      <c r="J2369" t="s">
        <v>6211</v>
      </c>
      <c r="K2369" t="s">
        <v>6198</v>
      </c>
      <c r="M2369" s="37">
        <v>0.5</v>
      </c>
      <c r="N2369" s="37">
        <v>0.1</v>
      </c>
      <c r="O2369">
        <v>0.4</v>
      </c>
      <c r="P2369" s="37">
        <v>0.373333</v>
      </c>
      <c r="Q2369">
        <v>0.48</v>
      </c>
      <c r="R2369">
        <v>3000</v>
      </c>
      <c r="S2369">
        <v>3000</v>
      </c>
      <c r="T2369">
        <v>3000</v>
      </c>
      <c r="U2369" t="s">
        <v>5717</v>
      </c>
      <c r="V2369" t="s">
        <v>5718</v>
      </c>
      <c r="W2369">
        <v>1</v>
      </c>
      <c r="X2369">
        <v>1</v>
      </c>
      <c r="Z2369" s="37">
        <v>1</v>
      </c>
      <c r="AA2369" s="37">
        <v>0.4</v>
      </c>
      <c r="AB2369">
        <v>0</v>
      </c>
    </row>
    <row r="2370">
      <c r="A2370" t="s">
        <v>6212</v>
      </c>
      <c r="B2370" t="s">
        <v>3314</v>
      </c>
      <c r="C2370" t="s">
        <v>3314</v>
      </c>
      <c r="D2370" t="s">
        <v>6188</v>
      </c>
      <c r="E2370" t="s">
        <v>6213</v>
      </c>
      <c r="F2370" t="s">
        <v>298</v>
      </c>
      <c r="G2370" t="s">
        <v>6190</v>
      </c>
      <c r="H2370" t="s">
        <v>6218</v>
      </c>
      <c r="I2370" t="s">
        <v>6219</v>
      </c>
      <c r="J2370" t="s">
        <v>586</v>
      </c>
      <c r="K2370" t="s">
        <v>588</v>
      </c>
      <c r="M2370" s="37">
        <v>0.5</v>
      </c>
      <c r="N2370" s="37">
        <v>0</v>
      </c>
      <c r="O2370">
        <v>0</v>
      </c>
      <c r="P2370" s="37">
        <v>0.373333</v>
      </c>
      <c r="Q2370">
        <v>0.48</v>
      </c>
      <c r="R2370">
        <v>3000</v>
      </c>
      <c r="S2370">
        <v>3000</v>
      </c>
      <c r="T2370">
        <v>3000</v>
      </c>
      <c r="U2370" t="s">
        <v>6220</v>
      </c>
      <c r="X2370">
        <v>50</v>
      </c>
      <c r="Z2370" s="37">
        <v>0.5</v>
      </c>
      <c r="AA2370" s="37">
        <v>1</v>
      </c>
      <c r="AB2370">
        <v>0</v>
      </c>
    </row>
    <row r="2371">
      <c r="A2371" t="s">
        <v>6212</v>
      </c>
      <c r="B2371" t="s">
        <v>3314</v>
      </c>
      <c r="C2371" t="s">
        <v>3314</v>
      </c>
      <c r="D2371" t="s">
        <v>6188</v>
      </c>
      <c r="E2371" t="s">
        <v>6213</v>
      </c>
      <c r="F2371" t="s">
        <v>298</v>
      </c>
      <c r="G2371" t="s">
        <v>6190</v>
      </c>
      <c r="H2371" t="s">
        <v>6218</v>
      </c>
      <c r="I2371" t="s">
        <v>6221</v>
      </c>
      <c r="J2371" s="38">
        <v>1</v>
      </c>
      <c r="K2371" s="38">
        <v>0</v>
      </c>
      <c r="M2371" s="37">
        <v>0</v>
      </c>
      <c r="N2371" s="37">
        <v>0</v>
      </c>
      <c r="O2371">
        <v>0</v>
      </c>
      <c r="P2371" s="37">
        <v>0.373333</v>
      </c>
      <c r="Q2371">
        <v>0.48</v>
      </c>
      <c r="R2371">
        <v>3000</v>
      </c>
      <c r="S2371">
        <v>3000</v>
      </c>
      <c r="T2371">
        <v>3000</v>
      </c>
      <c r="U2371" t="s">
        <v>6222</v>
      </c>
      <c r="X2371">
        <v>0</v>
      </c>
      <c r="Z2371" s="37">
        <v>0</v>
      </c>
      <c r="AA2371" s="37">
        <v>1</v>
      </c>
      <c r="AB2371">
        <v>0</v>
      </c>
    </row>
    <row r="2372">
      <c r="A2372" t="s">
        <v>6223</v>
      </c>
      <c r="B2372" t="s">
        <v>3314</v>
      </c>
      <c r="C2372" t="s">
        <v>3314</v>
      </c>
      <c r="D2372" t="s">
        <v>359</v>
      </c>
      <c r="E2372" t="s">
        <v>6224</v>
      </c>
      <c r="F2372" t="s">
        <v>298</v>
      </c>
      <c r="G2372" t="s">
        <v>6190</v>
      </c>
      <c r="H2372" t="s">
        <v>6191</v>
      </c>
      <c r="I2372" t="s">
        <v>6205</v>
      </c>
      <c r="J2372" t="s">
        <v>588</v>
      </c>
      <c r="K2372" t="s">
        <v>4164</v>
      </c>
      <c r="M2372" s="37">
        <v>0</v>
      </c>
      <c r="N2372" s="37">
        <v>0.3</v>
      </c>
      <c r="O2372">
        <v>0</v>
      </c>
      <c r="P2372" s="37">
        <v>0.477</v>
      </c>
      <c r="Q2372">
        <v>0.54</v>
      </c>
      <c r="R2372">
        <v>0</v>
      </c>
      <c r="S2372">
        <v>0</v>
      </c>
      <c r="T2372">
        <v>5000</v>
      </c>
      <c r="U2372" t="s">
        <v>6222</v>
      </c>
      <c r="X2372">
        <v>0</v>
      </c>
      <c r="Z2372" s="37">
        <v>0</v>
      </c>
      <c r="AA2372" s="37">
        <v>1</v>
      </c>
      <c r="AB2372">
        <v>0</v>
      </c>
    </row>
    <row r="2373">
      <c r="A2373" t="s">
        <v>6223</v>
      </c>
      <c r="B2373" t="s">
        <v>3314</v>
      </c>
      <c r="C2373" t="s">
        <v>3314</v>
      </c>
      <c r="D2373" t="s">
        <v>359</v>
      </c>
      <c r="E2373" t="s">
        <v>6224</v>
      </c>
      <c r="F2373" t="s">
        <v>298</v>
      </c>
      <c r="G2373" t="s">
        <v>6190</v>
      </c>
      <c r="H2373" t="s">
        <v>6191</v>
      </c>
      <c r="I2373" t="s">
        <v>6206</v>
      </c>
      <c r="J2373" t="s">
        <v>588</v>
      </c>
      <c r="K2373" t="s">
        <v>588</v>
      </c>
      <c r="M2373" s="37">
        <v>1</v>
      </c>
      <c r="N2373" s="37">
        <v>0.2</v>
      </c>
      <c r="O2373">
        <v>0.24</v>
      </c>
      <c r="P2373" s="37">
        <v>0.477</v>
      </c>
      <c r="Q2373">
        <v>0.54</v>
      </c>
      <c r="R2373">
        <v>0</v>
      </c>
      <c r="S2373">
        <v>0</v>
      </c>
      <c r="T2373">
        <v>5000</v>
      </c>
      <c r="U2373" t="s">
        <v>6222</v>
      </c>
      <c r="X2373">
        <v>0</v>
      </c>
      <c r="Z2373" s="37">
        <v>0</v>
      </c>
      <c r="AA2373" s="37">
        <v>1</v>
      </c>
      <c r="AB2373">
        <v>0</v>
      </c>
    </row>
    <row r="2374">
      <c r="A2374" t="s">
        <v>6223</v>
      </c>
      <c r="B2374" t="s">
        <v>3314</v>
      </c>
      <c r="C2374" t="s">
        <v>3314</v>
      </c>
      <c r="D2374" t="s">
        <v>359</v>
      </c>
      <c r="E2374" t="s">
        <v>6224</v>
      </c>
      <c r="F2374" t="s">
        <v>298</v>
      </c>
      <c r="G2374" t="s">
        <v>6190</v>
      </c>
      <c r="H2374" t="s">
        <v>6191</v>
      </c>
      <c r="I2374" t="s">
        <v>6207</v>
      </c>
      <c r="J2374" t="s">
        <v>3063</v>
      </c>
      <c r="K2374" t="s">
        <v>6225</v>
      </c>
      <c r="M2374" s="37">
        <v>1.03</v>
      </c>
      <c r="N2374" s="37">
        <v>0.2</v>
      </c>
      <c r="O2374">
        <v>0.24</v>
      </c>
      <c r="P2374" s="37">
        <v>0.477</v>
      </c>
      <c r="Q2374">
        <v>0.54</v>
      </c>
      <c r="R2374">
        <v>0</v>
      </c>
      <c r="S2374">
        <v>0</v>
      </c>
      <c r="T2374">
        <v>5000</v>
      </c>
      <c r="U2374" t="s">
        <v>6222</v>
      </c>
      <c r="X2374">
        <v>0</v>
      </c>
      <c r="Z2374" s="37">
        <v>0</v>
      </c>
      <c r="AA2374" s="37">
        <v>1</v>
      </c>
      <c r="AB2374">
        <v>0</v>
      </c>
    </row>
    <row r="2375">
      <c r="A2375" t="s">
        <v>6223</v>
      </c>
      <c r="B2375" t="s">
        <v>3314</v>
      </c>
      <c r="C2375" t="s">
        <v>3314</v>
      </c>
      <c r="D2375" t="s">
        <v>359</v>
      </c>
      <c r="E2375" t="s">
        <v>6224</v>
      </c>
      <c r="F2375" t="s">
        <v>298</v>
      </c>
      <c r="G2375" t="s">
        <v>6190</v>
      </c>
      <c r="H2375" t="s">
        <v>6194</v>
      </c>
      <c r="I2375" t="s">
        <v>6209</v>
      </c>
      <c r="J2375" t="s">
        <v>586</v>
      </c>
      <c r="K2375" t="s">
        <v>4164</v>
      </c>
      <c r="M2375" s="37">
        <v>0</v>
      </c>
      <c r="N2375" s="37">
        <v>0.2</v>
      </c>
      <c r="O2375">
        <v>0</v>
      </c>
      <c r="P2375" s="37">
        <v>0.477</v>
      </c>
      <c r="Q2375">
        <v>0.54</v>
      </c>
      <c r="R2375">
        <v>0</v>
      </c>
      <c r="S2375">
        <v>0</v>
      </c>
      <c r="T2375">
        <v>5000</v>
      </c>
      <c r="U2375" t="s">
        <v>6222</v>
      </c>
      <c r="X2375">
        <v>0</v>
      </c>
      <c r="Z2375" s="37">
        <v>0</v>
      </c>
      <c r="AA2375" s="37">
        <v>1</v>
      </c>
      <c r="AB2375">
        <v>0</v>
      </c>
    </row>
    <row r="2376">
      <c r="A2376" t="s">
        <v>6223</v>
      </c>
      <c r="B2376" t="s">
        <v>3314</v>
      </c>
      <c r="C2376" t="s">
        <v>3314</v>
      </c>
      <c r="D2376" t="s">
        <v>359</v>
      </c>
      <c r="E2376" t="s">
        <v>6224</v>
      </c>
      <c r="F2376" t="s">
        <v>298</v>
      </c>
      <c r="G2376" t="s">
        <v>6190</v>
      </c>
      <c r="H2376" t="s">
        <v>6194</v>
      </c>
      <c r="I2376" t="s">
        <v>6210</v>
      </c>
      <c r="J2376" t="s">
        <v>6211</v>
      </c>
      <c r="K2376" t="s">
        <v>1407</v>
      </c>
      <c r="M2376" s="37">
        <v>0.71</v>
      </c>
      <c r="N2376" s="37">
        <v>0.1</v>
      </c>
      <c r="O2376">
        <v>0.06</v>
      </c>
      <c r="P2376" s="37">
        <v>0.477</v>
      </c>
      <c r="Q2376">
        <v>0.54</v>
      </c>
      <c r="R2376">
        <v>0</v>
      </c>
      <c r="S2376">
        <v>0</v>
      </c>
      <c r="T2376">
        <v>5000</v>
      </c>
      <c r="U2376" t="s">
        <v>6222</v>
      </c>
      <c r="X2376">
        <v>0</v>
      </c>
      <c r="Z2376" s="37">
        <v>0</v>
      </c>
      <c r="AA2376" s="37">
        <v>1</v>
      </c>
      <c r="AB2376">
        <v>0</v>
      </c>
    </row>
    <row r="2377">
      <c r="A2377" t="s">
        <v>6226</v>
      </c>
      <c r="B2377" t="s">
        <v>3314</v>
      </c>
      <c r="C2377" t="s">
        <v>3314</v>
      </c>
      <c r="D2377" t="s">
        <v>359</v>
      </c>
      <c r="E2377" t="s">
        <v>6227</v>
      </c>
      <c r="F2377" t="s">
        <v>298</v>
      </c>
      <c r="G2377" t="s">
        <v>6190</v>
      </c>
      <c r="H2377" t="s">
        <v>6191</v>
      </c>
      <c r="I2377" t="s">
        <v>6228</v>
      </c>
      <c r="J2377" t="s">
        <v>588</v>
      </c>
      <c r="K2377" t="s">
        <v>4164</v>
      </c>
      <c r="M2377" s="37">
        <v>0</v>
      </c>
      <c r="N2377" s="37">
        <v>0.3</v>
      </c>
      <c r="O2377">
        <v>0</v>
      </c>
      <c r="P2377" s="37">
        <v>0.458</v>
      </c>
      <c r="Q2377">
        <v>0.46</v>
      </c>
      <c r="R2377">
        <v>0</v>
      </c>
      <c r="S2377">
        <v>0</v>
      </c>
      <c r="T2377">
        <v>5000</v>
      </c>
      <c r="U2377" t="s">
        <v>6222</v>
      </c>
      <c r="X2377">
        <v>0</v>
      </c>
      <c r="Z2377" s="37">
        <v>0</v>
      </c>
      <c r="AA2377" s="37">
        <v>1</v>
      </c>
      <c r="AB2377">
        <v>0</v>
      </c>
    </row>
    <row r="2378">
      <c r="A2378" t="s">
        <v>6226</v>
      </c>
      <c r="B2378" t="s">
        <v>3314</v>
      </c>
      <c r="C2378" t="s">
        <v>3314</v>
      </c>
      <c r="D2378" t="s">
        <v>359</v>
      </c>
      <c r="E2378" t="s">
        <v>6227</v>
      </c>
      <c r="F2378" t="s">
        <v>298</v>
      </c>
      <c r="G2378" t="s">
        <v>6190</v>
      </c>
      <c r="H2378" t="s">
        <v>6191</v>
      </c>
      <c r="I2378" t="s">
        <v>6229</v>
      </c>
      <c r="J2378" t="s">
        <v>3063</v>
      </c>
      <c r="K2378" t="s">
        <v>6230</v>
      </c>
      <c r="M2378" s="37">
        <v>0.98</v>
      </c>
      <c r="N2378" s="37">
        <v>0.4</v>
      </c>
      <c r="O2378">
        <v>0.983</v>
      </c>
      <c r="P2378" s="37">
        <v>0.458</v>
      </c>
      <c r="Q2378">
        <v>0.46</v>
      </c>
      <c r="R2378">
        <v>0</v>
      </c>
      <c r="S2378">
        <v>0</v>
      </c>
      <c r="T2378">
        <v>5000</v>
      </c>
      <c r="U2378" t="s">
        <v>6222</v>
      </c>
      <c r="X2378">
        <v>0</v>
      </c>
      <c r="Z2378" s="37">
        <v>0</v>
      </c>
      <c r="AA2378" s="37">
        <v>1</v>
      </c>
      <c r="AB2378">
        <v>0</v>
      </c>
    </row>
    <row r="2379">
      <c r="A2379" t="s">
        <v>6226</v>
      </c>
      <c r="B2379" t="s">
        <v>3314</v>
      </c>
      <c r="C2379" t="s">
        <v>3314</v>
      </c>
      <c r="D2379" t="s">
        <v>359</v>
      </c>
      <c r="E2379" t="s">
        <v>6227</v>
      </c>
      <c r="F2379" t="s">
        <v>298</v>
      </c>
      <c r="G2379" t="s">
        <v>6190</v>
      </c>
      <c r="H2379" t="s">
        <v>6194</v>
      </c>
      <c r="I2379" t="s">
        <v>6195</v>
      </c>
      <c r="J2379" t="s">
        <v>586</v>
      </c>
      <c r="K2379" t="s">
        <v>4164</v>
      </c>
      <c r="M2379" s="37">
        <v>0</v>
      </c>
      <c r="N2379" s="37">
        <v>0.2</v>
      </c>
      <c r="O2379">
        <v>0</v>
      </c>
      <c r="P2379" s="37">
        <v>0.458</v>
      </c>
      <c r="Q2379">
        <v>0.46</v>
      </c>
      <c r="R2379">
        <v>0</v>
      </c>
      <c r="S2379">
        <v>0</v>
      </c>
      <c r="T2379">
        <v>5000</v>
      </c>
      <c r="U2379" t="s">
        <v>6222</v>
      </c>
      <c r="X2379">
        <v>0</v>
      </c>
      <c r="Z2379" s="37">
        <v>0</v>
      </c>
      <c r="AA2379" s="37">
        <v>1</v>
      </c>
      <c r="AB2379">
        <v>0</v>
      </c>
    </row>
    <row r="2380">
      <c r="A2380" t="s">
        <v>6226</v>
      </c>
      <c r="B2380" t="s">
        <v>3314</v>
      </c>
      <c r="C2380" t="s">
        <v>3314</v>
      </c>
      <c r="D2380" t="s">
        <v>359</v>
      </c>
      <c r="E2380" t="s">
        <v>6227</v>
      </c>
      <c r="F2380" t="s">
        <v>298</v>
      </c>
      <c r="G2380" t="s">
        <v>6190</v>
      </c>
      <c r="H2380" t="s">
        <v>6194</v>
      </c>
      <c r="I2380" t="s">
        <v>6196</v>
      </c>
      <c r="J2380" t="s">
        <v>6197</v>
      </c>
      <c r="K2380" t="s">
        <v>3064</v>
      </c>
      <c r="M2380" s="37">
        <v>0.66</v>
      </c>
      <c r="N2380" s="37">
        <v>0.1</v>
      </c>
      <c r="O2380">
        <v>0.666</v>
      </c>
      <c r="P2380" s="37">
        <v>0.458</v>
      </c>
      <c r="Q2380">
        <v>0.46</v>
      </c>
      <c r="R2380">
        <v>0</v>
      </c>
      <c r="S2380">
        <v>0</v>
      </c>
      <c r="T2380">
        <v>5000</v>
      </c>
      <c r="U2380" t="s">
        <v>6222</v>
      </c>
      <c r="X2380">
        <v>0</v>
      </c>
      <c r="Z2380" s="37">
        <v>0</v>
      </c>
      <c r="AA2380" s="37">
        <v>1</v>
      </c>
      <c r="AB2380">
        <v>0</v>
      </c>
    </row>
    <row r="2381">
      <c r="A2381" t="s">
        <v>6226</v>
      </c>
      <c r="B2381" t="s">
        <v>3314</v>
      </c>
      <c r="C2381" t="s">
        <v>3314</v>
      </c>
      <c r="D2381" t="s">
        <v>359</v>
      </c>
      <c r="E2381" t="s">
        <v>6227</v>
      </c>
      <c r="F2381" t="s">
        <v>298</v>
      </c>
      <c r="G2381" t="s">
        <v>6190</v>
      </c>
      <c r="H2381" t="s">
        <v>6218</v>
      </c>
      <c r="I2381" t="s">
        <v>6231</v>
      </c>
      <c r="J2381" t="s">
        <v>588</v>
      </c>
      <c r="K2381" t="s">
        <v>588</v>
      </c>
      <c r="M2381" s="37">
        <v>1</v>
      </c>
      <c r="N2381" s="37">
        <v>0</v>
      </c>
      <c r="O2381">
        <v>0</v>
      </c>
      <c r="P2381" s="37">
        <v>0.458</v>
      </c>
      <c r="Q2381">
        <v>0.46</v>
      </c>
      <c r="R2381">
        <v>0</v>
      </c>
      <c r="S2381">
        <v>0</v>
      </c>
      <c r="T2381">
        <v>5000</v>
      </c>
      <c r="U2381" t="s">
        <v>6232</v>
      </c>
      <c r="X2381">
        <v>1</v>
      </c>
      <c r="Z2381" s="37">
        <v>1</v>
      </c>
      <c r="AA2381" s="37">
        <v>1</v>
      </c>
      <c r="AB2381">
        <v>0</v>
      </c>
    </row>
    <row r="2382">
      <c r="A2382" t="s">
        <v>6233</v>
      </c>
      <c r="B2382" t="s">
        <v>2057</v>
      </c>
      <c r="C2382" t="s">
        <v>2057</v>
      </c>
      <c r="D2382" t="s">
        <v>6234</v>
      </c>
      <c r="E2382" t="s">
        <v>6235</v>
      </c>
      <c r="F2382" t="s">
        <v>298</v>
      </c>
      <c r="G2382" t="s">
        <v>2107</v>
      </c>
      <c r="H2382" t="s">
        <v>2108</v>
      </c>
      <c r="I2382" t="s">
        <v>6231</v>
      </c>
      <c r="J2382" t="s">
        <v>6236</v>
      </c>
      <c r="K2382">
        <v>100</v>
      </c>
      <c r="M2382" s="37">
        <v>1</v>
      </c>
      <c r="N2382" s="37">
        <v>0.4</v>
      </c>
      <c r="O2382">
        <v>1</v>
      </c>
      <c r="P2382" s="37">
        <v>0.4</v>
      </c>
      <c r="Q2382">
        <v>0.4</v>
      </c>
      <c r="R2382">
        <v>1000</v>
      </c>
      <c r="S2382">
        <v>1000</v>
      </c>
      <c r="T2382">
        <v>1000</v>
      </c>
      <c r="U2382" t="s">
        <v>6232</v>
      </c>
      <c r="X2382">
        <v>1</v>
      </c>
      <c r="Z2382" s="37">
        <v>1</v>
      </c>
      <c r="AA2382" s="37">
        <v>1</v>
      </c>
      <c r="AB2382">
        <v>0</v>
      </c>
    </row>
    <row r="2383">
      <c r="A2383" t="s">
        <v>6233</v>
      </c>
      <c r="B2383" t="s">
        <v>2057</v>
      </c>
      <c r="C2383" t="s">
        <v>2057</v>
      </c>
      <c r="D2383" t="s">
        <v>6234</v>
      </c>
      <c r="E2383" t="s">
        <v>6235</v>
      </c>
      <c r="F2383" t="s">
        <v>298</v>
      </c>
      <c r="G2383" t="s">
        <v>2107</v>
      </c>
      <c r="H2383" t="s">
        <v>2108</v>
      </c>
      <c r="I2383" t="s">
        <v>6231</v>
      </c>
      <c r="J2383" t="s">
        <v>6237</v>
      </c>
      <c r="K2383">
        <v>0</v>
      </c>
      <c r="M2383" s="37">
        <v>0</v>
      </c>
      <c r="N2383" s="37">
        <v>0.3</v>
      </c>
      <c r="O2383">
        <v>0</v>
      </c>
      <c r="P2383" s="37">
        <v>0.4</v>
      </c>
      <c r="Q2383">
        <v>0.4</v>
      </c>
      <c r="R2383">
        <v>1000</v>
      </c>
      <c r="S2383">
        <v>1000</v>
      </c>
      <c r="T2383">
        <v>1000</v>
      </c>
      <c r="U2383" t="s">
        <v>6232</v>
      </c>
      <c r="X2383">
        <v>1</v>
      </c>
      <c r="Z2383" s="37">
        <v>1</v>
      </c>
      <c r="AA2383" s="37">
        <v>1</v>
      </c>
      <c r="AB2383">
        <v>0</v>
      </c>
    </row>
    <row r="2384">
      <c r="A2384" t="s">
        <v>6233</v>
      </c>
      <c r="B2384" t="s">
        <v>2057</v>
      </c>
      <c r="C2384" t="s">
        <v>2057</v>
      </c>
      <c r="D2384" t="s">
        <v>6234</v>
      </c>
      <c r="E2384" t="s">
        <v>6235</v>
      </c>
      <c r="F2384" t="s">
        <v>298</v>
      </c>
      <c r="G2384" t="s">
        <v>2107</v>
      </c>
      <c r="H2384" t="s">
        <v>2108</v>
      </c>
      <c r="I2384" t="s">
        <v>6231</v>
      </c>
      <c r="J2384" t="s">
        <v>6238</v>
      </c>
      <c r="K2384">
        <v>0</v>
      </c>
      <c r="M2384" s="37">
        <v>0</v>
      </c>
      <c r="N2384" s="37">
        <v>0.3</v>
      </c>
      <c r="O2384">
        <v>0</v>
      </c>
      <c r="P2384" s="37">
        <v>0.4</v>
      </c>
      <c r="Q2384">
        <v>0.4</v>
      </c>
      <c r="R2384">
        <v>1000</v>
      </c>
      <c r="S2384">
        <v>1000</v>
      </c>
      <c r="T2384">
        <v>1000</v>
      </c>
      <c r="U2384" t="s">
        <v>6232</v>
      </c>
      <c r="X2384">
        <v>1</v>
      </c>
      <c r="Z2384" s="37">
        <v>1</v>
      </c>
      <c r="AA2384" s="37">
        <v>1</v>
      </c>
      <c r="AB2384">
        <v>0</v>
      </c>
    </row>
    <row r="2385">
      <c r="A2385" t="s">
        <v>6239</v>
      </c>
      <c r="B2385" t="s">
        <v>5884</v>
      </c>
      <c r="C2385" t="s">
        <v>5884</v>
      </c>
      <c r="D2385" t="s">
        <v>1062</v>
      </c>
      <c r="E2385" t="s">
        <v>6240</v>
      </c>
      <c r="F2385" t="s">
        <v>298</v>
      </c>
      <c r="G2385" t="s">
        <v>6241</v>
      </c>
      <c r="H2385" t="s">
        <v>5887</v>
      </c>
      <c r="I2385" t="s">
        <v>6242</v>
      </c>
      <c r="J2385" s="38">
        <v>1</v>
      </c>
      <c r="K2385" s="38">
        <v>0.67</v>
      </c>
      <c r="M2385" s="37">
        <v>0.67</v>
      </c>
      <c r="N2385" s="37">
        <v>0.3</v>
      </c>
      <c r="O2385">
        <v>0.67</v>
      </c>
      <c r="P2385" s="37">
        <v>0.8235</v>
      </c>
      <c r="Q2385">
        <v>0.82</v>
      </c>
      <c r="R2385">
        <v>4100</v>
      </c>
      <c r="S2385">
        <v>4100</v>
      </c>
      <c r="T2385">
        <v>5000</v>
      </c>
      <c r="U2385" t="s">
        <v>6232</v>
      </c>
      <c r="X2385">
        <v>1</v>
      </c>
      <c r="Z2385" s="37">
        <v>1</v>
      </c>
      <c r="AA2385" s="37">
        <v>1</v>
      </c>
      <c r="AB2385">
        <v>0</v>
      </c>
    </row>
    <row r="2386">
      <c r="A2386" t="s">
        <v>6239</v>
      </c>
      <c r="B2386" t="s">
        <v>5884</v>
      </c>
      <c r="C2386" t="s">
        <v>5884</v>
      </c>
      <c r="D2386" t="s">
        <v>1062</v>
      </c>
      <c r="E2386" t="s">
        <v>6240</v>
      </c>
      <c r="F2386" t="s">
        <v>298</v>
      </c>
      <c r="G2386" t="s">
        <v>6241</v>
      </c>
      <c r="H2386" t="s">
        <v>6243</v>
      </c>
      <c r="I2386" t="s">
        <v>6244</v>
      </c>
      <c r="J2386" s="38">
        <v>1</v>
      </c>
      <c r="M2386" s="37">
        <v>1</v>
      </c>
      <c r="N2386" s="37">
        <v>0.25</v>
      </c>
      <c r="O2386">
        <v>1</v>
      </c>
      <c r="P2386" s="37">
        <v>0.8235</v>
      </c>
      <c r="Q2386">
        <v>0.82</v>
      </c>
      <c r="R2386">
        <v>4100</v>
      </c>
      <c r="S2386">
        <v>4100</v>
      </c>
      <c r="T2386">
        <v>5000</v>
      </c>
      <c r="U2386" t="s">
        <v>6232</v>
      </c>
      <c r="X2386">
        <v>1</v>
      </c>
      <c r="Z2386" s="37">
        <v>1</v>
      </c>
      <c r="AA2386" s="37">
        <v>1</v>
      </c>
      <c r="AB2386">
        <v>0</v>
      </c>
    </row>
    <row r="2387">
      <c r="A2387" t="s">
        <v>6239</v>
      </c>
      <c r="B2387" t="s">
        <v>5884</v>
      </c>
      <c r="C2387" t="s">
        <v>5884</v>
      </c>
      <c r="D2387" t="s">
        <v>1062</v>
      </c>
      <c r="E2387" t="s">
        <v>6240</v>
      </c>
      <c r="F2387" t="s">
        <v>298</v>
      </c>
      <c r="G2387" t="s">
        <v>6241</v>
      </c>
      <c r="H2387" t="s">
        <v>6245</v>
      </c>
      <c r="I2387" t="s">
        <v>6246</v>
      </c>
      <c r="J2387" s="38">
        <v>1</v>
      </c>
      <c r="M2387" s="37">
        <v>0.89</v>
      </c>
      <c r="N2387" s="37">
        <v>0.25</v>
      </c>
      <c r="O2387">
        <v>0.89</v>
      </c>
      <c r="P2387" s="37">
        <v>0.8235</v>
      </c>
      <c r="Q2387">
        <v>0.82</v>
      </c>
      <c r="R2387">
        <v>4100</v>
      </c>
      <c r="S2387">
        <v>4100</v>
      </c>
      <c r="T2387">
        <v>5000</v>
      </c>
      <c r="U2387" t="s">
        <v>6232</v>
      </c>
      <c r="X2387">
        <v>1</v>
      </c>
      <c r="Z2387" s="37">
        <v>1</v>
      </c>
      <c r="AA2387" s="37">
        <v>1</v>
      </c>
      <c r="AB2387">
        <v>0</v>
      </c>
    </row>
    <row r="2388">
      <c r="A2388" t="s">
        <v>6239</v>
      </c>
      <c r="B2388" t="s">
        <v>5884</v>
      </c>
      <c r="C2388" t="s">
        <v>5884</v>
      </c>
      <c r="D2388" t="s">
        <v>1062</v>
      </c>
      <c r="E2388" t="s">
        <v>6240</v>
      </c>
      <c r="F2388" t="s">
        <v>298</v>
      </c>
      <c r="G2388" t="s">
        <v>6241</v>
      </c>
      <c r="H2388" t="s">
        <v>6247</v>
      </c>
      <c r="I2388" t="s">
        <v>6248</v>
      </c>
      <c r="J2388" s="38">
        <v>1</v>
      </c>
      <c r="M2388" s="37">
        <v>0.75</v>
      </c>
      <c r="N2388" s="37">
        <v>0.2</v>
      </c>
      <c r="O2388">
        <v>0.75</v>
      </c>
      <c r="P2388" s="37">
        <v>0.8235</v>
      </c>
      <c r="Q2388">
        <v>0.82</v>
      </c>
      <c r="R2388">
        <v>4100</v>
      </c>
      <c r="S2388">
        <v>4100</v>
      </c>
      <c r="T2388">
        <v>5000</v>
      </c>
      <c r="U2388" t="s">
        <v>6232</v>
      </c>
      <c r="X2388">
        <v>1</v>
      </c>
      <c r="Z2388" s="37">
        <v>1</v>
      </c>
      <c r="AA2388" s="37">
        <v>1</v>
      </c>
      <c r="AB2388">
        <v>0</v>
      </c>
    </row>
    <row r="2389">
      <c r="A2389" t="s">
        <v>6249</v>
      </c>
      <c r="B2389" t="s">
        <v>3359</v>
      </c>
      <c r="C2389" t="s">
        <v>3359</v>
      </c>
      <c r="D2389" t="s">
        <v>1013</v>
      </c>
      <c r="E2389" t="s">
        <v>6250</v>
      </c>
      <c r="F2389" t="s">
        <v>298</v>
      </c>
      <c r="G2389" t="s">
        <v>3361</v>
      </c>
      <c r="H2389" t="s">
        <v>3362</v>
      </c>
      <c r="I2389" t="s">
        <v>3363</v>
      </c>
      <c r="J2389" t="s">
        <v>6251</v>
      </c>
      <c r="K2389" s="41">
        <v>619433.64</v>
      </c>
      <c r="M2389" s="37">
        <v>0.6194</v>
      </c>
      <c r="N2389" s="37">
        <v>0.09</v>
      </c>
      <c r="O2389">
        <v>0.4955</v>
      </c>
      <c r="P2389" s="37">
        <v>0.463886</v>
      </c>
      <c r="Q2389">
        <v>0.47</v>
      </c>
      <c r="R2389">
        <v>675</v>
      </c>
      <c r="S2389">
        <v>675</v>
      </c>
      <c r="T2389">
        <v>1500</v>
      </c>
      <c r="U2389" t="s">
        <v>6232</v>
      </c>
      <c r="X2389">
        <v>1</v>
      </c>
      <c r="Z2389" s="37">
        <v>1</v>
      </c>
      <c r="AA2389" s="37">
        <v>1</v>
      </c>
      <c r="AB2389">
        <v>0</v>
      </c>
    </row>
    <row r="2390">
      <c r="A2390" t="s">
        <v>6249</v>
      </c>
      <c r="B2390" t="s">
        <v>3359</v>
      </c>
      <c r="C2390" t="s">
        <v>3359</v>
      </c>
      <c r="D2390" t="s">
        <v>1013</v>
      </c>
      <c r="E2390" t="s">
        <v>6250</v>
      </c>
      <c r="F2390" t="s">
        <v>298</v>
      </c>
      <c r="G2390" t="s">
        <v>3361</v>
      </c>
      <c r="H2390" t="s">
        <v>3365</v>
      </c>
      <c r="I2390" t="s">
        <v>6252</v>
      </c>
      <c r="J2390" t="s">
        <v>2954</v>
      </c>
      <c r="K2390" s="41">
        <v>3702.8</v>
      </c>
      <c r="M2390" s="37">
        <v>0.037</v>
      </c>
      <c r="N2390" s="37">
        <v>0.22</v>
      </c>
      <c r="O2390">
        <v>0.0296</v>
      </c>
      <c r="P2390" s="37">
        <v>0.463886</v>
      </c>
      <c r="Q2390">
        <v>0.47</v>
      </c>
      <c r="R2390">
        <v>675</v>
      </c>
      <c r="S2390">
        <v>675</v>
      </c>
      <c r="T2390">
        <v>1500</v>
      </c>
      <c r="U2390" t="s">
        <v>6232</v>
      </c>
      <c r="X2390">
        <v>1</v>
      </c>
      <c r="Z2390" s="37">
        <v>1</v>
      </c>
      <c r="AA2390" s="37">
        <v>1</v>
      </c>
      <c r="AB2390">
        <v>0</v>
      </c>
    </row>
    <row r="2391">
      <c r="A2391" t="s">
        <v>6249</v>
      </c>
      <c r="B2391" t="s">
        <v>3359</v>
      </c>
      <c r="C2391" t="s">
        <v>3359</v>
      </c>
      <c r="D2391" t="s">
        <v>1013</v>
      </c>
      <c r="E2391" t="s">
        <v>6250</v>
      </c>
      <c r="F2391" t="s">
        <v>298</v>
      </c>
      <c r="G2391" t="s">
        <v>3361</v>
      </c>
      <c r="H2391" t="s">
        <v>3376</v>
      </c>
      <c r="I2391" t="s">
        <v>3387</v>
      </c>
      <c r="J2391" t="s">
        <v>3236</v>
      </c>
      <c r="K2391">
        <v>0</v>
      </c>
      <c r="M2391" s="37">
        <v>0</v>
      </c>
      <c r="N2391" s="37">
        <v>0.14</v>
      </c>
      <c r="O2391">
        <v>0</v>
      </c>
      <c r="P2391" s="37">
        <v>0.463886</v>
      </c>
      <c r="Q2391">
        <v>0.47</v>
      </c>
      <c r="R2391">
        <v>675</v>
      </c>
      <c r="S2391">
        <v>675</v>
      </c>
      <c r="T2391">
        <v>1500</v>
      </c>
      <c r="U2391" t="s">
        <v>6232</v>
      </c>
      <c r="X2391">
        <v>1</v>
      </c>
      <c r="Z2391" s="37">
        <v>1</v>
      </c>
      <c r="AA2391" s="37">
        <v>1</v>
      </c>
      <c r="AB2391">
        <v>0</v>
      </c>
    </row>
    <row r="2392">
      <c r="A2392" t="s">
        <v>6249</v>
      </c>
      <c r="B2392" t="s">
        <v>3359</v>
      </c>
      <c r="C2392" t="s">
        <v>3359</v>
      </c>
      <c r="D2392" t="s">
        <v>1013</v>
      </c>
      <c r="E2392" t="s">
        <v>6250</v>
      </c>
      <c r="F2392" t="s">
        <v>298</v>
      </c>
      <c r="G2392" t="s">
        <v>3361</v>
      </c>
      <c r="H2392" t="s">
        <v>3369</v>
      </c>
      <c r="I2392" t="s">
        <v>3370</v>
      </c>
      <c r="J2392" t="s">
        <v>2267</v>
      </c>
      <c r="K2392">
        <v>80</v>
      </c>
      <c r="M2392" s="37">
        <v>0.8</v>
      </c>
      <c r="N2392" s="37">
        <v>0.05</v>
      </c>
      <c r="O2392">
        <v>0.8</v>
      </c>
      <c r="P2392" s="37">
        <v>0.463886</v>
      </c>
      <c r="Q2392">
        <v>0.47</v>
      </c>
      <c r="R2392">
        <v>675</v>
      </c>
      <c r="S2392">
        <v>675</v>
      </c>
      <c r="T2392">
        <v>1500</v>
      </c>
      <c r="U2392" t="s">
        <v>6232</v>
      </c>
      <c r="X2392">
        <v>1</v>
      </c>
      <c r="Z2392" s="37">
        <v>1</v>
      </c>
      <c r="AA2392" s="37">
        <v>1</v>
      </c>
      <c r="AB2392">
        <v>0</v>
      </c>
    </row>
    <row r="2393">
      <c r="A2393" t="s">
        <v>6249</v>
      </c>
      <c r="B2393" t="s">
        <v>3359</v>
      </c>
      <c r="C2393" t="s">
        <v>3359</v>
      </c>
      <c r="D2393" t="s">
        <v>1013</v>
      </c>
      <c r="E2393" t="s">
        <v>6250</v>
      </c>
      <c r="F2393" t="s">
        <v>298</v>
      </c>
      <c r="G2393" t="s">
        <v>3361</v>
      </c>
      <c r="H2393" t="s">
        <v>3369</v>
      </c>
      <c r="I2393" t="s">
        <v>6253</v>
      </c>
      <c r="J2393" t="s">
        <v>2267</v>
      </c>
      <c r="K2393">
        <v>72</v>
      </c>
      <c r="M2393" s="37">
        <v>0.72</v>
      </c>
      <c r="N2393" s="37">
        <v>0.5</v>
      </c>
      <c r="O2393">
        <v>0.72</v>
      </c>
      <c r="P2393" s="37">
        <v>0.463886</v>
      </c>
      <c r="Q2393">
        <v>0.47</v>
      </c>
      <c r="R2393">
        <v>675</v>
      </c>
      <c r="S2393">
        <v>675</v>
      </c>
      <c r="T2393">
        <v>1500</v>
      </c>
      <c r="U2393" t="s">
        <v>6232</v>
      </c>
      <c r="X2393">
        <v>1</v>
      </c>
      <c r="Z2393" s="37">
        <v>1</v>
      </c>
      <c r="AA2393" s="37">
        <v>1</v>
      </c>
      <c r="AB2393">
        <v>0</v>
      </c>
    </row>
    <row r="2394">
      <c r="A2394" t="s">
        <v>6254</v>
      </c>
      <c r="B2394" t="s">
        <v>3359</v>
      </c>
      <c r="C2394" t="s">
        <v>3359</v>
      </c>
      <c r="D2394" t="s">
        <v>1013</v>
      </c>
      <c r="E2394" t="s">
        <v>6255</v>
      </c>
      <c r="F2394" t="s">
        <v>298</v>
      </c>
      <c r="G2394" t="s">
        <v>3361</v>
      </c>
      <c r="H2394" t="s">
        <v>3362</v>
      </c>
      <c r="I2394" t="s">
        <v>3363</v>
      </c>
      <c r="J2394" t="s">
        <v>6251</v>
      </c>
      <c r="K2394" s="41">
        <v>321960.16</v>
      </c>
      <c r="M2394" s="37">
        <v>0.322</v>
      </c>
      <c r="N2394" s="37">
        <v>0.18</v>
      </c>
      <c r="O2394">
        <v>0.2576</v>
      </c>
      <c r="P2394" s="37">
        <v>0.180035</v>
      </c>
      <c r="Q2394">
        <v>0.16</v>
      </c>
      <c r="R2394">
        <v>405</v>
      </c>
      <c r="S2394">
        <v>405</v>
      </c>
      <c r="T2394">
        <v>1500</v>
      </c>
      <c r="U2394" t="s">
        <v>6232</v>
      </c>
      <c r="X2394">
        <v>1</v>
      </c>
      <c r="Z2394" s="37">
        <v>1</v>
      </c>
      <c r="AA2394" s="37">
        <v>1</v>
      </c>
      <c r="AB2394">
        <v>0</v>
      </c>
    </row>
    <row r="2395">
      <c r="A2395" t="s">
        <v>6254</v>
      </c>
      <c r="B2395" t="s">
        <v>3359</v>
      </c>
      <c r="C2395" t="s">
        <v>3359</v>
      </c>
      <c r="D2395" t="s">
        <v>1013</v>
      </c>
      <c r="E2395" t="s">
        <v>6255</v>
      </c>
      <c r="F2395" t="s">
        <v>298</v>
      </c>
      <c r="G2395" t="s">
        <v>3361</v>
      </c>
      <c r="H2395" t="s">
        <v>3365</v>
      </c>
      <c r="I2395" t="s">
        <v>6252</v>
      </c>
      <c r="J2395" t="s">
        <v>2954</v>
      </c>
      <c r="K2395" s="41">
        <v>18707.22</v>
      </c>
      <c r="M2395" s="37">
        <v>0.0935</v>
      </c>
      <c r="N2395" s="37">
        <v>0.45</v>
      </c>
      <c r="O2395">
        <v>0.0748</v>
      </c>
      <c r="P2395" s="37">
        <v>0.180035</v>
      </c>
      <c r="Q2395">
        <v>0.16</v>
      </c>
      <c r="R2395">
        <v>405</v>
      </c>
      <c r="S2395">
        <v>405</v>
      </c>
      <c r="T2395">
        <v>1500</v>
      </c>
      <c r="U2395" t="s">
        <v>6232</v>
      </c>
      <c r="X2395">
        <v>1</v>
      </c>
      <c r="Z2395" s="37">
        <v>1</v>
      </c>
      <c r="AA2395" s="37">
        <v>1</v>
      </c>
      <c r="AB2395">
        <v>0</v>
      </c>
    </row>
    <row r="2396">
      <c r="A2396" t="s">
        <v>6254</v>
      </c>
      <c r="B2396" t="s">
        <v>3359</v>
      </c>
      <c r="C2396" t="s">
        <v>3359</v>
      </c>
      <c r="D2396" t="s">
        <v>1013</v>
      </c>
      <c r="E2396" t="s">
        <v>6255</v>
      </c>
      <c r="F2396" t="s">
        <v>298</v>
      </c>
      <c r="G2396" t="s">
        <v>3361</v>
      </c>
      <c r="H2396" t="s">
        <v>3376</v>
      </c>
      <c r="I2396" t="s">
        <v>3387</v>
      </c>
      <c r="J2396" t="s">
        <v>3236</v>
      </c>
      <c r="K2396">
        <v>0</v>
      </c>
      <c r="M2396" s="37">
        <v>0</v>
      </c>
      <c r="N2396" s="37">
        <v>0.27</v>
      </c>
      <c r="O2396">
        <v>0</v>
      </c>
      <c r="P2396" s="37">
        <v>0.180035</v>
      </c>
      <c r="Q2396">
        <v>0.16</v>
      </c>
      <c r="R2396">
        <v>405</v>
      </c>
      <c r="S2396">
        <v>405</v>
      </c>
      <c r="T2396">
        <v>1500</v>
      </c>
      <c r="U2396" t="s">
        <v>6232</v>
      </c>
      <c r="X2396">
        <v>1</v>
      </c>
      <c r="Z2396" s="37">
        <v>1</v>
      </c>
      <c r="AA2396" s="37">
        <v>1</v>
      </c>
      <c r="AB2396">
        <v>0</v>
      </c>
    </row>
    <row r="2397">
      <c r="A2397" t="s">
        <v>6254</v>
      </c>
      <c r="B2397" t="s">
        <v>3359</v>
      </c>
      <c r="C2397" t="s">
        <v>3359</v>
      </c>
      <c r="D2397" t="s">
        <v>1013</v>
      </c>
      <c r="E2397" t="s">
        <v>6255</v>
      </c>
      <c r="F2397" t="s">
        <v>298</v>
      </c>
      <c r="G2397" t="s">
        <v>3361</v>
      </c>
      <c r="H2397" t="s">
        <v>3369</v>
      </c>
      <c r="I2397" t="s">
        <v>3370</v>
      </c>
      <c r="J2397" t="s">
        <v>2267</v>
      </c>
      <c r="K2397">
        <v>80</v>
      </c>
      <c r="M2397" s="37">
        <v>0.8</v>
      </c>
      <c r="N2397" s="37">
        <v>0.1</v>
      </c>
      <c r="O2397">
        <v>0.8</v>
      </c>
      <c r="P2397" s="37">
        <v>0.180035</v>
      </c>
      <c r="Q2397">
        <v>0.16</v>
      </c>
      <c r="R2397">
        <v>405</v>
      </c>
      <c r="S2397">
        <v>405</v>
      </c>
      <c r="T2397">
        <v>1500</v>
      </c>
      <c r="U2397" t="s">
        <v>6232</v>
      </c>
      <c r="X2397">
        <v>1</v>
      </c>
      <c r="Z2397" s="37">
        <v>1</v>
      </c>
      <c r="AA2397" s="37">
        <v>1</v>
      </c>
      <c r="AB2397">
        <v>0</v>
      </c>
    </row>
    <row r="2398">
      <c r="A2398" t="s">
        <v>6256</v>
      </c>
      <c r="B2398" t="s">
        <v>3359</v>
      </c>
      <c r="C2398" t="s">
        <v>3359</v>
      </c>
      <c r="D2398" t="s">
        <v>1013</v>
      </c>
      <c r="E2398" t="s">
        <v>6257</v>
      </c>
      <c r="F2398" t="s">
        <v>298</v>
      </c>
      <c r="G2398" t="s">
        <v>3361</v>
      </c>
      <c r="H2398" t="s">
        <v>3362</v>
      </c>
      <c r="I2398" t="s">
        <v>3363</v>
      </c>
      <c r="J2398" t="s">
        <v>6251</v>
      </c>
      <c r="K2398" s="41">
        <v>267233.62</v>
      </c>
      <c r="M2398" s="37">
        <v>0.267</v>
      </c>
      <c r="N2398" s="37">
        <v>0.18</v>
      </c>
      <c r="O2398">
        <v>0.2136</v>
      </c>
      <c r="P2398" s="37">
        <v>0.14461</v>
      </c>
      <c r="Q2398">
        <v>0.15</v>
      </c>
      <c r="R2398">
        <v>0</v>
      </c>
      <c r="S2398">
        <v>0</v>
      </c>
      <c r="T2398">
        <v>1500</v>
      </c>
      <c r="U2398" t="s">
        <v>6232</v>
      </c>
      <c r="X2398">
        <v>1</v>
      </c>
      <c r="Z2398" s="37">
        <v>1</v>
      </c>
      <c r="AA2398" s="37">
        <v>1</v>
      </c>
      <c r="AB2398">
        <v>0</v>
      </c>
    </row>
    <row r="2399">
      <c r="A2399" t="s">
        <v>6256</v>
      </c>
      <c r="B2399" t="s">
        <v>3359</v>
      </c>
      <c r="C2399" t="s">
        <v>3359</v>
      </c>
      <c r="D2399" t="s">
        <v>1013</v>
      </c>
      <c r="E2399" t="s">
        <v>6257</v>
      </c>
      <c r="F2399" t="s">
        <v>298</v>
      </c>
      <c r="G2399" t="s">
        <v>3361</v>
      </c>
      <c r="H2399" t="s">
        <v>3365</v>
      </c>
      <c r="I2399" t="s">
        <v>6252</v>
      </c>
      <c r="J2399" t="s">
        <v>2954</v>
      </c>
      <c r="K2399" s="41">
        <v>11814.48</v>
      </c>
      <c r="M2399" s="37">
        <v>0.059</v>
      </c>
      <c r="N2399" s="37">
        <v>0.45</v>
      </c>
      <c r="O2399">
        <v>0.0472</v>
      </c>
      <c r="P2399" s="37">
        <v>0.14461</v>
      </c>
      <c r="Q2399">
        <v>0.15</v>
      </c>
      <c r="R2399">
        <v>0</v>
      </c>
      <c r="S2399">
        <v>0</v>
      </c>
      <c r="T2399">
        <v>1500</v>
      </c>
      <c r="U2399" t="s">
        <v>6232</v>
      </c>
      <c r="X2399">
        <v>1</v>
      </c>
      <c r="Z2399" s="37">
        <v>1</v>
      </c>
      <c r="AA2399" s="37">
        <v>1</v>
      </c>
      <c r="AB2399">
        <v>0</v>
      </c>
    </row>
    <row r="2400">
      <c r="A2400" t="s">
        <v>6256</v>
      </c>
      <c r="B2400" t="s">
        <v>3359</v>
      </c>
      <c r="C2400" t="s">
        <v>3359</v>
      </c>
      <c r="D2400" t="s">
        <v>1013</v>
      </c>
      <c r="E2400" t="s">
        <v>6257</v>
      </c>
      <c r="F2400" t="s">
        <v>298</v>
      </c>
      <c r="G2400" t="s">
        <v>3361</v>
      </c>
      <c r="H2400" t="s">
        <v>3376</v>
      </c>
      <c r="I2400" t="s">
        <v>3387</v>
      </c>
      <c r="J2400" t="s">
        <v>3236</v>
      </c>
      <c r="K2400">
        <v>0</v>
      </c>
      <c r="M2400" s="37">
        <v>0</v>
      </c>
      <c r="N2400" s="37">
        <v>0.27</v>
      </c>
      <c r="O2400">
        <v>0</v>
      </c>
      <c r="P2400" s="37">
        <v>0.14461</v>
      </c>
      <c r="Q2400">
        <v>0.15</v>
      </c>
      <c r="R2400">
        <v>0</v>
      </c>
      <c r="S2400">
        <v>0</v>
      </c>
      <c r="T2400">
        <v>1500</v>
      </c>
      <c r="U2400" t="s">
        <v>6232</v>
      </c>
      <c r="X2400">
        <v>1</v>
      </c>
      <c r="Z2400" s="37">
        <v>1</v>
      </c>
      <c r="AA2400" s="37">
        <v>1</v>
      </c>
      <c r="AB2400">
        <v>0</v>
      </c>
    </row>
    <row r="2401">
      <c r="A2401" t="s">
        <v>6256</v>
      </c>
      <c r="B2401" t="s">
        <v>3359</v>
      </c>
      <c r="C2401" t="s">
        <v>3359</v>
      </c>
      <c r="D2401" t="s">
        <v>1013</v>
      </c>
      <c r="E2401" t="s">
        <v>6257</v>
      </c>
      <c r="F2401" t="s">
        <v>298</v>
      </c>
      <c r="G2401" t="s">
        <v>3361</v>
      </c>
      <c r="H2401" t="s">
        <v>3369</v>
      </c>
      <c r="I2401" t="s">
        <v>3370</v>
      </c>
      <c r="J2401" t="s">
        <v>2267</v>
      </c>
      <c r="K2401">
        <v>70</v>
      </c>
      <c r="M2401" s="37">
        <v>0.7</v>
      </c>
      <c r="N2401" s="37">
        <v>0.1</v>
      </c>
      <c r="O2401">
        <v>0.56</v>
      </c>
      <c r="P2401" s="37">
        <v>0.14461</v>
      </c>
      <c r="Q2401">
        <v>0.15</v>
      </c>
      <c r="R2401">
        <v>0</v>
      </c>
      <c r="S2401">
        <v>0</v>
      </c>
      <c r="T2401">
        <v>1500</v>
      </c>
      <c r="U2401" t="s">
        <v>6232</v>
      </c>
      <c r="X2401">
        <v>1</v>
      </c>
      <c r="Z2401" s="37">
        <v>1</v>
      </c>
      <c r="AA2401" s="37">
        <v>1</v>
      </c>
      <c r="AB2401">
        <v>0</v>
      </c>
    </row>
    <row r="2402">
      <c r="A2402" t="s">
        <v>6258</v>
      </c>
      <c r="B2402" t="s">
        <v>5884</v>
      </c>
      <c r="C2402" t="s">
        <v>5884</v>
      </c>
      <c r="D2402" t="s">
        <v>359</v>
      </c>
      <c r="E2402" t="s">
        <v>6259</v>
      </c>
      <c r="F2402" t="s">
        <v>298</v>
      </c>
      <c r="G2402" t="s">
        <v>6241</v>
      </c>
      <c r="H2402" t="s">
        <v>5887</v>
      </c>
      <c r="I2402" t="s">
        <v>6260</v>
      </c>
      <c r="J2402" t="s">
        <v>5889</v>
      </c>
      <c r="K2402" t="s">
        <v>5890</v>
      </c>
      <c r="M2402" s="37">
        <v>1.037</v>
      </c>
      <c r="N2402" s="37">
        <v>0.1</v>
      </c>
      <c r="O2402">
        <v>1.03</v>
      </c>
      <c r="P2402" s="37">
        <v>0.7934</v>
      </c>
      <c r="Q2402">
        <v>0.79</v>
      </c>
      <c r="R2402">
        <v>4740</v>
      </c>
      <c r="S2402">
        <v>4740</v>
      </c>
      <c r="T2402">
        <v>6000</v>
      </c>
      <c r="U2402" t="s">
        <v>6232</v>
      </c>
      <c r="X2402">
        <v>1</v>
      </c>
      <c r="Z2402" s="37">
        <v>1</v>
      </c>
      <c r="AA2402" s="37">
        <v>1</v>
      </c>
      <c r="AB2402">
        <v>0</v>
      </c>
    </row>
    <row r="2403">
      <c r="A2403" t="s">
        <v>6258</v>
      </c>
      <c r="B2403" t="s">
        <v>5884</v>
      </c>
      <c r="C2403" t="s">
        <v>5884</v>
      </c>
      <c r="D2403" t="s">
        <v>359</v>
      </c>
      <c r="E2403" t="s">
        <v>6259</v>
      </c>
      <c r="F2403" t="s">
        <v>298</v>
      </c>
      <c r="G2403" t="s">
        <v>6241</v>
      </c>
      <c r="H2403" t="s">
        <v>5891</v>
      </c>
      <c r="J2403" s="38">
        <v>0.1</v>
      </c>
      <c r="K2403" s="37">
        <v>0.0897</v>
      </c>
      <c r="M2403" s="37">
        <v>0.897</v>
      </c>
      <c r="N2403" s="37">
        <v>0.1</v>
      </c>
      <c r="O2403">
        <v>0.9</v>
      </c>
      <c r="P2403" s="37">
        <v>0.7934</v>
      </c>
      <c r="Q2403">
        <v>0.79</v>
      </c>
      <c r="R2403">
        <v>4740</v>
      </c>
      <c r="S2403">
        <v>4740</v>
      </c>
      <c r="T2403">
        <v>6000</v>
      </c>
      <c r="U2403" t="s">
        <v>6232</v>
      </c>
      <c r="X2403">
        <v>1</v>
      </c>
      <c r="Z2403" s="37">
        <v>1</v>
      </c>
      <c r="AA2403" s="37">
        <v>1</v>
      </c>
      <c r="AB2403">
        <v>0</v>
      </c>
    </row>
    <row r="2404">
      <c r="A2404" t="s">
        <v>6258</v>
      </c>
      <c r="B2404" t="s">
        <v>5884</v>
      </c>
      <c r="C2404" t="s">
        <v>5884</v>
      </c>
      <c r="D2404" t="s">
        <v>359</v>
      </c>
      <c r="E2404" t="s">
        <v>6259</v>
      </c>
      <c r="F2404" t="s">
        <v>298</v>
      </c>
      <c r="G2404" t="s">
        <v>6241</v>
      </c>
      <c r="H2404" t="s">
        <v>5887</v>
      </c>
      <c r="I2404" t="s">
        <v>6261</v>
      </c>
      <c r="J2404" s="38">
        <v>1</v>
      </c>
      <c r="K2404" s="38">
        <v>0.5</v>
      </c>
      <c r="M2404" s="37">
        <v>0.5</v>
      </c>
      <c r="N2404" s="37">
        <v>0.3</v>
      </c>
      <c r="O2404">
        <v>0.5</v>
      </c>
      <c r="P2404" s="37">
        <v>0.7934</v>
      </c>
      <c r="Q2404">
        <v>0.79</v>
      </c>
      <c r="R2404">
        <v>4740</v>
      </c>
      <c r="S2404">
        <v>4740</v>
      </c>
      <c r="T2404">
        <v>6000</v>
      </c>
      <c r="U2404" t="s">
        <v>6232</v>
      </c>
      <c r="X2404">
        <v>1</v>
      </c>
      <c r="Z2404" s="37">
        <v>1</v>
      </c>
      <c r="AA2404" s="37">
        <v>1</v>
      </c>
      <c r="AB2404">
        <v>0</v>
      </c>
    </row>
    <row r="2405">
      <c r="A2405" t="s">
        <v>6258</v>
      </c>
      <c r="B2405" t="s">
        <v>5884</v>
      </c>
      <c r="C2405" t="s">
        <v>5884</v>
      </c>
      <c r="D2405" t="s">
        <v>359</v>
      </c>
      <c r="E2405" t="s">
        <v>6259</v>
      </c>
      <c r="F2405" t="s">
        <v>298</v>
      </c>
      <c r="G2405" t="s">
        <v>6241</v>
      </c>
      <c r="H2405" t="s">
        <v>6243</v>
      </c>
      <c r="I2405" t="s">
        <v>6262</v>
      </c>
      <c r="J2405" s="38">
        <v>1</v>
      </c>
      <c r="M2405" s="37">
        <v>1</v>
      </c>
      <c r="N2405" s="37">
        <v>0.25</v>
      </c>
      <c r="O2405">
        <v>1</v>
      </c>
      <c r="P2405" s="37">
        <v>0.7934</v>
      </c>
      <c r="Q2405">
        <v>0.79</v>
      </c>
      <c r="R2405">
        <v>4740</v>
      </c>
      <c r="S2405">
        <v>4740</v>
      </c>
      <c r="T2405">
        <v>6000</v>
      </c>
      <c r="U2405" t="s">
        <v>6232</v>
      </c>
      <c r="X2405">
        <v>1</v>
      </c>
      <c r="Z2405" s="37">
        <v>1</v>
      </c>
      <c r="AA2405" s="37">
        <v>1</v>
      </c>
      <c r="AB2405">
        <v>0</v>
      </c>
    </row>
    <row r="2406">
      <c r="A2406" t="s">
        <v>6258</v>
      </c>
      <c r="B2406" t="s">
        <v>5884</v>
      </c>
      <c r="C2406" t="s">
        <v>5884</v>
      </c>
      <c r="D2406" t="s">
        <v>359</v>
      </c>
      <c r="E2406" t="s">
        <v>6259</v>
      </c>
      <c r="F2406" t="s">
        <v>298</v>
      </c>
      <c r="G2406" t="s">
        <v>6241</v>
      </c>
      <c r="H2406" t="s">
        <v>6245</v>
      </c>
      <c r="I2406" t="s">
        <v>6263</v>
      </c>
      <c r="J2406" s="38">
        <v>1</v>
      </c>
      <c r="M2406" s="37">
        <v>0.8</v>
      </c>
      <c r="N2406" s="37">
        <v>0.25</v>
      </c>
      <c r="O2406">
        <v>0.8</v>
      </c>
      <c r="P2406" s="37">
        <v>0.7934</v>
      </c>
      <c r="Q2406">
        <v>0.79</v>
      </c>
      <c r="R2406">
        <v>4740</v>
      </c>
      <c r="S2406">
        <v>4740</v>
      </c>
      <c r="T2406">
        <v>6000</v>
      </c>
      <c r="U2406" t="s">
        <v>6232</v>
      </c>
      <c r="X2406">
        <v>1</v>
      </c>
      <c r="Z2406" s="37">
        <v>1</v>
      </c>
      <c r="AA2406" s="37">
        <v>1</v>
      </c>
      <c r="AB2406">
        <v>0</v>
      </c>
    </row>
    <row r="2407">
      <c r="A2407" t="s">
        <v>6264</v>
      </c>
      <c r="B2407" t="s">
        <v>5340</v>
      </c>
      <c r="C2407" t="s">
        <v>5340</v>
      </c>
      <c r="D2407" t="s">
        <v>4990</v>
      </c>
      <c r="E2407" t="s">
        <v>6265</v>
      </c>
      <c r="F2407" t="s">
        <v>298</v>
      </c>
      <c r="G2407" t="s">
        <v>4992</v>
      </c>
      <c r="H2407" t="s">
        <v>4993</v>
      </c>
      <c r="I2407">
        <v>1</v>
      </c>
      <c r="J2407" t="s">
        <v>6266</v>
      </c>
      <c r="K2407" s="38">
        <v>1</v>
      </c>
      <c r="L2407" t="s">
        <v>6267</v>
      </c>
      <c r="M2407" s="37">
        <v>0.01</v>
      </c>
      <c r="N2407" s="37">
        <v>0.4</v>
      </c>
      <c r="O2407">
        <v>0.4</v>
      </c>
      <c r="P2407" s="37">
        <v>0.01</v>
      </c>
      <c r="Q2407">
        <v>1</v>
      </c>
      <c r="R2407">
        <v>5182.84</v>
      </c>
      <c r="S2407">
        <v>5182.84</v>
      </c>
      <c r="T2407">
        <v>5000</v>
      </c>
      <c r="U2407" t="s">
        <v>6232</v>
      </c>
      <c r="X2407">
        <v>1</v>
      </c>
      <c r="Z2407" s="37">
        <v>1</v>
      </c>
      <c r="AA2407" s="37">
        <v>1</v>
      </c>
      <c r="AB2407">
        <v>0</v>
      </c>
    </row>
    <row r="2408">
      <c r="A2408" t="s">
        <v>6264</v>
      </c>
      <c r="B2408" t="s">
        <v>5340</v>
      </c>
      <c r="C2408" t="s">
        <v>5340</v>
      </c>
      <c r="D2408" t="s">
        <v>4990</v>
      </c>
      <c r="E2408" t="s">
        <v>6265</v>
      </c>
      <c r="F2408" t="s">
        <v>298</v>
      </c>
      <c r="G2408" t="s">
        <v>4992</v>
      </c>
      <c r="H2408" t="s">
        <v>4998</v>
      </c>
      <c r="I2408">
        <v>1</v>
      </c>
      <c r="J2408" t="s">
        <v>6268</v>
      </c>
      <c r="K2408" s="38">
        <v>1</v>
      </c>
      <c r="L2408" t="s">
        <v>6269</v>
      </c>
      <c r="M2408" s="37">
        <v>0.01</v>
      </c>
      <c r="N2408" s="37">
        <v>0.4</v>
      </c>
      <c r="O2408">
        <v>0.4</v>
      </c>
      <c r="P2408" s="37">
        <v>0.01</v>
      </c>
      <c r="Q2408">
        <v>1</v>
      </c>
      <c r="R2408">
        <v>5182.84</v>
      </c>
      <c r="S2408">
        <v>5182.84</v>
      </c>
      <c r="T2408">
        <v>5000</v>
      </c>
      <c r="U2408" t="s">
        <v>6232</v>
      </c>
      <c r="X2408">
        <v>1</v>
      </c>
      <c r="Z2408" s="37">
        <v>1</v>
      </c>
      <c r="AA2408" s="37">
        <v>1</v>
      </c>
      <c r="AB2408">
        <v>0</v>
      </c>
    </row>
    <row r="2409">
      <c r="A2409" t="s">
        <v>6264</v>
      </c>
      <c r="B2409" t="s">
        <v>5340</v>
      </c>
      <c r="C2409" t="s">
        <v>5340</v>
      </c>
      <c r="D2409" t="s">
        <v>4990</v>
      </c>
      <c r="E2409" t="s">
        <v>6265</v>
      </c>
      <c r="F2409" t="s">
        <v>298</v>
      </c>
      <c r="G2409" t="s">
        <v>4992</v>
      </c>
      <c r="H2409" t="s">
        <v>5001</v>
      </c>
      <c r="I2409">
        <v>1</v>
      </c>
      <c r="J2409">
        <v>14950</v>
      </c>
      <c r="K2409" s="38">
        <v>1</v>
      </c>
      <c r="L2409" t="s">
        <v>6270</v>
      </c>
      <c r="M2409" s="37">
        <v>0.01</v>
      </c>
      <c r="N2409" s="37">
        <v>0.2</v>
      </c>
      <c r="O2409">
        <v>0.2</v>
      </c>
      <c r="P2409" s="37">
        <v>0.01</v>
      </c>
      <c r="Q2409">
        <v>1</v>
      </c>
      <c r="R2409">
        <v>5182.84</v>
      </c>
      <c r="S2409">
        <v>5182.84</v>
      </c>
      <c r="T2409">
        <v>5000</v>
      </c>
      <c r="U2409" t="s">
        <v>6232</v>
      </c>
      <c r="X2409">
        <v>1</v>
      </c>
      <c r="Z2409" s="37">
        <v>1</v>
      </c>
      <c r="AA2409" s="37">
        <v>1</v>
      </c>
      <c r="AB2409">
        <v>0</v>
      </c>
    </row>
    <row r="2410">
      <c r="A2410" t="s">
        <v>6271</v>
      </c>
      <c r="B2410" t="s">
        <v>6272</v>
      </c>
      <c r="C2410" t="s">
        <v>6272</v>
      </c>
      <c r="D2410" t="s">
        <v>4748</v>
      </c>
      <c r="E2410" t="s">
        <v>6273</v>
      </c>
      <c r="F2410" t="s">
        <v>298</v>
      </c>
      <c r="G2410" t="s">
        <v>6274</v>
      </c>
      <c r="H2410" t="s">
        <v>6275</v>
      </c>
      <c r="I2410">
        <v>1</v>
      </c>
      <c r="J2410" t="s">
        <v>3227</v>
      </c>
      <c r="K2410">
        <v>94.8</v>
      </c>
      <c r="L2410" t="s">
        <v>6270</v>
      </c>
      <c r="M2410" s="37">
        <v>0.948</v>
      </c>
      <c r="N2410" s="37">
        <v>0.7</v>
      </c>
      <c r="O2410">
        <v>94.8</v>
      </c>
      <c r="P2410" s="37">
        <v>0.9377</v>
      </c>
      <c r="Q2410">
        <v>93.77</v>
      </c>
      <c r="R2410">
        <v>600</v>
      </c>
      <c r="S2410">
        <v>600</v>
      </c>
      <c r="T2410">
        <v>1000</v>
      </c>
      <c r="U2410" t="s">
        <v>6232</v>
      </c>
      <c r="X2410">
        <v>1</v>
      </c>
      <c r="Z2410" s="37">
        <v>1</v>
      </c>
      <c r="AA2410" s="37">
        <v>1</v>
      </c>
      <c r="AB2410">
        <v>0</v>
      </c>
    </row>
    <row r="2411">
      <c r="A2411" t="s">
        <v>6271</v>
      </c>
      <c r="B2411" t="s">
        <v>6272</v>
      </c>
      <c r="C2411" t="s">
        <v>6272</v>
      </c>
      <c r="D2411" t="s">
        <v>4748</v>
      </c>
      <c r="E2411" t="s">
        <v>6273</v>
      </c>
      <c r="F2411" t="s">
        <v>298</v>
      </c>
      <c r="G2411" t="s">
        <v>6274</v>
      </c>
      <c r="H2411" t="s">
        <v>6276</v>
      </c>
      <c r="I2411">
        <v>1</v>
      </c>
      <c r="J2411" t="s">
        <v>3227</v>
      </c>
      <c r="K2411">
        <v>100</v>
      </c>
      <c r="L2411" t="s">
        <v>6270</v>
      </c>
      <c r="M2411" s="37">
        <v>1</v>
      </c>
      <c r="N2411" s="37">
        <v>0.2</v>
      </c>
      <c r="O2411">
        <v>100</v>
      </c>
      <c r="P2411" s="37">
        <v>0.9377</v>
      </c>
      <c r="Q2411">
        <v>93.77</v>
      </c>
      <c r="R2411">
        <v>600</v>
      </c>
      <c r="S2411">
        <v>600</v>
      </c>
      <c r="T2411">
        <v>1000</v>
      </c>
      <c r="U2411" t="s">
        <v>6232</v>
      </c>
      <c r="X2411">
        <v>1</v>
      </c>
      <c r="Z2411" s="37">
        <v>1</v>
      </c>
      <c r="AA2411" s="37">
        <v>1</v>
      </c>
      <c r="AB2411">
        <v>0</v>
      </c>
    </row>
    <row r="2412">
      <c r="A2412" t="s">
        <v>6271</v>
      </c>
      <c r="B2412" t="s">
        <v>6272</v>
      </c>
      <c r="C2412" t="s">
        <v>6272</v>
      </c>
      <c r="D2412" t="s">
        <v>4748</v>
      </c>
      <c r="E2412" t="s">
        <v>6273</v>
      </c>
      <c r="F2412" t="s">
        <v>298</v>
      </c>
      <c r="G2412" t="s">
        <v>6274</v>
      </c>
      <c r="H2412" t="s">
        <v>2702</v>
      </c>
      <c r="I2412">
        <v>1</v>
      </c>
      <c r="J2412" t="s">
        <v>3227</v>
      </c>
      <c r="K2412">
        <v>74.1</v>
      </c>
      <c r="L2412" t="s">
        <v>6270</v>
      </c>
      <c r="M2412" s="37">
        <v>0.741</v>
      </c>
      <c r="N2412" s="37">
        <v>0.1</v>
      </c>
      <c r="O2412">
        <v>74.1</v>
      </c>
      <c r="P2412" s="37">
        <v>0.9377</v>
      </c>
      <c r="Q2412">
        <v>93.77</v>
      </c>
      <c r="R2412">
        <v>600</v>
      </c>
      <c r="S2412">
        <v>600</v>
      </c>
      <c r="T2412">
        <v>1000</v>
      </c>
      <c r="U2412" t="s">
        <v>6232</v>
      </c>
      <c r="X2412">
        <v>1</v>
      </c>
      <c r="Z2412" s="37">
        <v>1</v>
      </c>
      <c r="AA2412" s="37">
        <v>1</v>
      </c>
      <c r="AB2412">
        <v>0</v>
      </c>
    </row>
    <row r="2413">
      <c r="A2413" t="s">
        <v>6277</v>
      </c>
      <c r="B2413" t="s">
        <v>6278</v>
      </c>
      <c r="C2413" t="s">
        <v>6278</v>
      </c>
      <c r="D2413" t="s">
        <v>4748</v>
      </c>
      <c r="E2413" t="s">
        <v>6279</v>
      </c>
      <c r="F2413" t="s">
        <v>298</v>
      </c>
      <c r="G2413" t="s">
        <v>6274</v>
      </c>
      <c r="H2413" t="s">
        <v>6275</v>
      </c>
      <c r="I2413">
        <v>1</v>
      </c>
      <c r="J2413" t="s">
        <v>3227</v>
      </c>
      <c r="K2413">
        <v>95.875</v>
      </c>
      <c r="L2413" t="s">
        <v>6270</v>
      </c>
      <c r="M2413" s="37">
        <v>0.95875</v>
      </c>
      <c r="N2413" s="37">
        <v>0.7</v>
      </c>
      <c r="O2413">
        <v>95.875</v>
      </c>
      <c r="P2413" s="37">
        <v>0.908725</v>
      </c>
      <c r="Q2413">
        <v>95.87</v>
      </c>
      <c r="R2413">
        <v>1300</v>
      </c>
      <c r="S2413">
        <v>1300</v>
      </c>
      <c r="T2413">
        <v>1000</v>
      </c>
      <c r="U2413" t="s">
        <v>6232</v>
      </c>
      <c r="X2413">
        <v>1</v>
      </c>
      <c r="Z2413" s="37">
        <v>1</v>
      </c>
      <c r="AA2413" s="37">
        <v>1</v>
      </c>
      <c r="AB2413">
        <v>0</v>
      </c>
    </row>
    <row r="2414">
      <c r="A2414" t="s">
        <v>6277</v>
      </c>
      <c r="B2414" t="s">
        <v>6278</v>
      </c>
      <c r="C2414" t="s">
        <v>6278</v>
      </c>
      <c r="D2414" t="s">
        <v>4748</v>
      </c>
      <c r="E2414" t="s">
        <v>6279</v>
      </c>
      <c r="F2414" t="s">
        <v>298</v>
      </c>
      <c r="G2414" t="s">
        <v>6274</v>
      </c>
      <c r="H2414" t="s">
        <v>6276</v>
      </c>
      <c r="I2414">
        <v>1</v>
      </c>
      <c r="J2414" t="s">
        <v>3227</v>
      </c>
      <c r="K2414">
        <v>100</v>
      </c>
      <c r="L2414" t="s">
        <v>6270</v>
      </c>
      <c r="M2414" s="37">
        <v>1</v>
      </c>
      <c r="N2414" s="37">
        <v>0.2</v>
      </c>
      <c r="O2414">
        <v>100</v>
      </c>
      <c r="P2414" s="37">
        <v>0.908725</v>
      </c>
      <c r="Q2414">
        <v>95.87</v>
      </c>
      <c r="R2414">
        <v>1300</v>
      </c>
      <c r="S2414">
        <v>1300</v>
      </c>
      <c r="T2414">
        <v>1000</v>
      </c>
      <c r="U2414" t="s">
        <v>6232</v>
      </c>
      <c r="X2414">
        <v>1</v>
      </c>
      <c r="Z2414" s="37">
        <v>1</v>
      </c>
      <c r="AA2414" s="37">
        <v>1</v>
      </c>
      <c r="AB2414">
        <v>0</v>
      </c>
    </row>
    <row r="2415">
      <c r="A2415" t="s">
        <v>6277</v>
      </c>
      <c r="B2415" t="s">
        <v>6278</v>
      </c>
      <c r="C2415" t="s">
        <v>6278</v>
      </c>
      <c r="D2415" t="s">
        <v>4748</v>
      </c>
      <c r="E2415" t="s">
        <v>6279</v>
      </c>
      <c r="F2415" t="s">
        <v>298</v>
      </c>
      <c r="G2415" t="s">
        <v>6274</v>
      </c>
      <c r="H2415" t="s">
        <v>2702</v>
      </c>
      <c r="I2415">
        <v>1</v>
      </c>
      <c r="J2415" t="s">
        <v>3227</v>
      </c>
      <c r="K2415">
        <v>37.6</v>
      </c>
      <c r="L2415" t="s">
        <v>6270</v>
      </c>
      <c r="M2415" s="37">
        <v>0.376</v>
      </c>
      <c r="N2415" s="37">
        <v>0.1</v>
      </c>
      <c r="O2415">
        <v>37.6</v>
      </c>
      <c r="P2415" s="37">
        <v>0.908725</v>
      </c>
      <c r="Q2415">
        <v>95.87</v>
      </c>
      <c r="R2415">
        <v>1300</v>
      </c>
      <c r="S2415">
        <v>1300</v>
      </c>
      <c r="T2415">
        <v>1000</v>
      </c>
      <c r="U2415" t="s">
        <v>6232</v>
      </c>
      <c r="X2415">
        <v>1</v>
      </c>
      <c r="Z2415" s="37">
        <v>1</v>
      </c>
      <c r="AA2415" s="37">
        <v>1</v>
      </c>
      <c r="AB2415">
        <v>0</v>
      </c>
    </row>
    <row r="2416">
      <c r="A2416" t="s">
        <v>6280</v>
      </c>
      <c r="B2416" t="s">
        <v>6281</v>
      </c>
      <c r="C2416" t="s">
        <v>6281</v>
      </c>
      <c r="D2416" t="s">
        <v>4748</v>
      </c>
      <c r="E2416" t="s">
        <v>6282</v>
      </c>
      <c r="F2416" t="s">
        <v>298</v>
      </c>
      <c r="G2416" t="s">
        <v>6274</v>
      </c>
      <c r="H2416" t="s">
        <v>6275</v>
      </c>
      <c r="I2416">
        <v>1</v>
      </c>
      <c r="J2416" t="s">
        <v>3227</v>
      </c>
      <c r="K2416">
        <v>95.1785</v>
      </c>
      <c r="L2416" t="s">
        <v>6270</v>
      </c>
      <c r="M2416" s="37">
        <v>0.951785</v>
      </c>
      <c r="N2416" s="37">
        <v>0.7</v>
      </c>
      <c r="O2416">
        <v>95.1785</v>
      </c>
      <c r="P2416" s="37">
        <v>0.94317</v>
      </c>
      <c r="Q2416">
        <v>94.31</v>
      </c>
      <c r="R2416">
        <v>1000</v>
      </c>
      <c r="S2416">
        <v>2050</v>
      </c>
      <c r="T2416">
        <v>1000</v>
      </c>
      <c r="U2416" t="s">
        <v>6232</v>
      </c>
      <c r="X2416">
        <v>1</v>
      </c>
      <c r="Z2416" s="37">
        <v>1</v>
      </c>
      <c r="AA2416" s="37">
        <v>1</v>
      </c>
      <c r="AB2416">
        <v>0</v>
      </c>
    </row>
    <row r="2417">
      <c r="A2417" t="s">
        <v>6280</v>
      </c>
      <c r="B2417" t="s">
        <v>6281</v>
      </c>
      <c r="C2417" t="s">
        <v>6281</v>
      </c>
      <c r="D2417" t="s">
        <v>4748</v>
      </c>
      <c r="E2417" t="s">
        <v>6282</v>
      </c>
      <c r="F2417" t="s">
        <v>298</v>
      </c>
      <c r="G2417" t="s">
        <v>6274</v>
      </c>
      <c r="H2417" t="s">
        <v>6276</v>
      </c>
      <c r="I2417">
        <v>1</v>
      </c>
      <c r="J2417" t="s">
        <v>3227</v>
      </c>
      <c r="K2417">
        <v>100</v>
      </c>
      <c r="L2417" t="s">
        <v>6270</v>
      </c>
      <c r="M2417" s="37">
        <v>1</v>
      </c>
      <c r="N2417" s="37">
        <v>0.2</v>
      </c>
      <c r="O2417">
        <v>100</v>
      </c>
      <c r="P2417" s="37">
        <v>0.94317</v>
      </c>
      <c r="Q2417">
        <v>94.31</v>
      </c>
      <c r="R2417">
        <v>1000</v>
      </c>
      <c r="S2417">
        <v>2050</v>
      </c>
      <c r="T2417">
        <v>1000</v>
      </c>
      <c r="U2417" t="s">
        <v>6232</v>
      </c>
      <c r="X2417">
        <v>1</v>
      </c>
      <c r="Z2417" s="37">
        <v>1</v>
      </c>
      <c r="AA2417" s="37">
        <v>1</v>
      </c>
      <c r="AB2417">
        <v>0</v>
      </c>
    </row>
    <row r="2418">
      <c r="A2418" t="s">
        <v>6280</v>
      </c>
      <c r="B2418" t="s">
        <v>6281</v>
      </c>
      <c r="C2418" t="s">
        <v>6281</v>
      </c>
      <c r="D2418" t="s">
        <v>4748</v>
      </c>
      <c r="E2418" t="s">
        <v>6282</v>
      </c>
      <c r="F2418" t="s">
        <v>298</v>
      </c>
      <c r="G2418" t="s">
        <v>6274</v>
      </c>
      <c r="H2418" t="s">
        <v>2702</v>
      </c>
      <c r="I2418">
        <v>1</v>
      </c>
      <c r="J2418" t="s">
        <v>3227</v>
      </c>
      <c r="K2418">
        <v>76.92</v>
      </c>
      <c r="L2418" t="s">
        <v>6270</v>
      </c>
      <c r="M2418" s="37">
        <v>0.7692</v>
      </c>
      <c r="N2418" s="37">
        <v>0.1</v>
      </c>
      <c r="O2418">
        <v>76.92</v>
      </c>
      <c r="P2418" s="37">
        <v>0.94317</v>
      </c>
      <c r="Q2418">
        <v>94.31</v>
      </c>
      <c r="R2418">
        <v>1000</v>
      </c>
      <c r="S2418">
        <v>2050</v>
      </c>
      <c r="T2418">
        <v>1000</v>
      </c>
      <c r="U2418" t="s">
        <v>6232</v>
      </c>
      <c r="X2418">
        <v>1</v>
      </c>
      <c r="Z2418" s="37">
        <v>1</v>
      </c>
      <c r="AA2418" s="37">
        <v>1</v>
      </c>
      <c r="AB2418">
        <v>0</v>
      </c>
    </row>
    <row r="2419">
      <c r="A2419" t="s">
        <v>6283</v>
      </c>
      <c r="B2419" t="s">
        <v>6278</v>
      </c>
      <c r="C2419" t="s">
        <v>6278</v>
      </c>
      <c r="D2419" t="s">
        <v>4748</v>
      </c>
      <c r="E2419" t="s">
        <v>6284</v>
      </c>
      <c r="F2419" t="s">
        <v>298</v>
      </c>
      <c r="G2419" t="s">
        <v>6274</v>
      </c>
      <c r="H2419" t="s">
        <v>6275</v>
      </c>
      <c r="I2419">
        <v>1</v>
      </c>
      <c r="J2419" t="s">
        <v>3227</v>
      </c>
      <c r="K2419">
        <v>95.875</v>
      </c>
      <c r="L2419" t="s">
        <v>6270</v>
      </c>
      <c r="M2419" s="37">
        <v>0.95875</v>
      </c>
      <c r="N2419" s="37">
        <v>0.7</v>
      </c>
      <c r="O2419">
        <v>95.875</v>
      </c>
      <c r="P2419" s="37">
        <v>0.908725</v>
      </c>
      <c r="Q2419">
        <v>95.87</v>
      </c>
      <c r="R2419">
        <v>1300</v>
      </c>
      <c r="S2419">
        <v>1300</v>
      </c>
      <c r="T2419">
        <v>1000</v>
      </c>
      <c r="U2419" t="s">
        <v>6232</v>
      </c>
      <c r="X2419">
        <v>1</v>
      </c>
      <c r="Z2419" s="37">
        <v>1</v>
      </c>
      <c r="AA2419" s="37">
        <v>1</v>
      </c>
      <c r="AB2419">
        <v>0</v>
      </c>
    </row>
    <row r="2420">
      <c r="A2420" t="s">
        <v>6283</v>
      </c>
      <c r="B2420" t="s">
        <v>6278</v>
      </c>
      <c r="C2420" t="s">
        <v>6278</v>
      </c>
      <c r="D2420" t="s">
        <v>4748</v>
      </c>
      <c r="E2420" t="s">
        <v>6284</v>
      </c>
      <c r="F2420" t="s">
        <v>298</v>
      </c>
      <c r="G2420" t="s">
        <v>6274</v>
      </c>
      <c r="H2420" t="s">
        <v>6276</v>
      </c>
      <c r="I2420">
        <v>1</v>
      </c>
      <c r="J2420" t="s">
        <v>3227</v>
      </c>
      <c r="K2420">
        <v>100</v>
      </c>
      <c r="L2420" t="s">
        <v>6270</v>
      </c>
      <c r="M2420" s="37">
        <v>1</v>
      </c>
      <c r="N2420" s="37">
        <v>0.2</v>
      </c>
      <c r="O2420">
        <v>100</v>
      </c>
      <c r="P2420" s="37">
        <v>0.908725</v>
      </c>
      <c r="Q2420">
        <v>95.87</v>
      </c>
      <c r="R2420">
        <v>1300</v>
      </c>
      <c r="S2420">
        <v>1300</v>
      </c>
      <c r="T2420">
        <v>1000</v>
      </c>
      <c r="U2420" t="s">
        <v>6232</v>
      </c>
      <c r="X2420">
        <v>1</v>
      </c>
      <c r="Z2420" s="37">
        <v>1</v>
      </c>
      <c r="AA2420" s="37">
        <v>1</v>
      </c>
      <c r="AB2420">
        <v>0</v>
      </c>
    </row>
    <row r="2421">
      <c r="A2421" t="s">
        <v>6283</v>
      </c>
      <c r="B2421" t="s">
        <v>6278</v>
      </c>
      <c r="C2421" t="s">
        <v>6278</v>
      </c>
      <c r="D2421" t="s">
        <v>4748</v>
      </c>
      <c r="E2421" t="s">
        <v>6284</v>
      </c>
      <c r="F2421" t="s">
        <v>298</v>
      </c>
      <c r="G2421" t="s">
        <v>6274</v>
      </c>
      <c r="H2421" t="s">
        <v>2702</v>
      </c>
      <c r="I2421">
        <v>1</v>
      </c>
      <c r="J2421" t="s">
        <v>3227</v>
      </c>
      <c r="K2421">
        <v>37.6</v>
      </c>
      <c r="L2421" t="s">
        <v>6270</v>
      </c>
      <c r="M2421" s="37">
        <v>0.376</v>
      </c>
      <c r="N2421" s="37">
        <v>0.1</v>
      </c>
      <c r="O2421">
        <v>37.6</v>
      </c>
      <c r="P2421" s="37">
        <v>0.908725</v>
      </c>
      <c r="Q2421">
        <v>95.87</v>
      </c>
      <c r="R2421">
        <v>1300</v>
      </c>
      <c r="S2421">
        <v>1300</v>
      </c>
      <c r="T2421">
        <v>1000</v>
      </c>
      <c r="U2421" t="s">
        <v>6232</v>
      </c>
      <c r="X2421">
        <v>1</v>
      </c>
      <c r="Z2421" s="37">
        <v>1</v>
      </c>
      <c r="AA2421" s="37">
        <v>1</v>
      </c>
      <c r="AB2421">
        <v>0</v>
      </c>
    </row>
    <row r="2422">
      <c r="A2422" t="s">
        <v>6285</v>
      </c>
      <c r="B2422" t="s">
        <v>6272</v>
      </c>
      <c r="C2422" t="s">
        <v>6272</v>
      </c>
      <c r="D2422" t="s">
        <v>4748</v>
      </c>
      <c r="E2422" t="s">
        <v>6286</v>
      </c>
      <c r="F2422" t="s">
        <v>298</v>
      </c>
      <c r="G2422" t="s">
        <v>6274</v>
      </c>
      <c r="H2422" t="s">
        <v>6275</v>
      </c>
      <c r="I2422">
        <v>1</v>
      </c>
      <c r="J2422" t="s">
        <v>3227</v>
      </c>
      <c r="K2422">
        <v>83.125</v>
      </c>
      <c r="L2422" t="s">
        <v>6270</v>
      </c>
      <c r="M2422" s="37">
        <v>0.83125</v>
      </c>
      <c r="N2422" s="37">
        <v>0.7</v>
      </c>
      <c r="O2422">
        <v>83.125</v>
      </c>
      <c r="P2422" s="37">
        <v>0.819475</v>
      </c>
      <c r="Q2422">
        <v>83.12</v>
      </c>
      <c r="R2422">
        <v>250</v>
      </c>
      <c r="S2422">
        <v>250</v>
      </c>
      <c r="T2422">
        <v>1000</v>
      </c>
      <c r="U2422" t="s">
        <v>6232</v>
      </c>
      <c r="X2422">
        <v>1</v>
      </c>
      <c r="Z2422" s="37">
        <v>1</v>
      </c>
      <c r="AA2422" s="37">
        <v>1</v>
      </c>
      <c r="AB2422">
        <v>0</v>
      </c>
    </row>
    <row r="2423">
      <c r="A2423" t="s">
        <v>6285</v>
      </c>
      <c r="B2423" t="s">
        <v>6272</v>
      </c>
      <c r="C2423" t="s">
        <v>6272</v>
      </c>
      <c r="D2423" t="s">
        <v>4748</v>
      </c>
      <c r="E2423" t="s">
        <v>6286</v>
      </c>
      <c r="F2423" t="s">
        <v>298</v>
      </c>
      <c r="G2423" t="s">
        <v>6274</v>
      </c>
      <c r="H2423" t="s">
        <v>6276</v>
      </c>
      <c r="I2423">
        <v>1</v>
      </c>
      <c r="J2423" t="s">
        <v>3227</v>
      </c>
      <c r="K2423">
        <v>100</v>
      </c>
      <c r="L2423" t="s">
        <v>6270</v>
      </c>
      <c r="M2423" s="37">
        <v>1</v>
      </c>
      <c r="N2423" s="37">
        <v>0.2</v>
      </c>
      <c r="O2423">
        <v>100</v>
      </c>
      <c r="P2423" s="37">
        <v>0.819475</v>
      </c>
      <c r="Q2423">
        <v>83.12</v>
      </c>
      <c r="R2423">
        <v>250</v>
      </c>
      <c r="S2423">
        <v>250</v>
      </c>
      <c r="T2423">
        <v>1000</v>
      </c>
      <c r="U2423" t="s">
        <v>6232</v>
      </c>
      <c r="X2423">
        <v>1</v>
      </c>
      <c r="Z2423" s="37">
        <v>1</v>
      </c>
      <c r="AA2423" s="37">
        <v>1</v>
      </c>
      <c r="AB2423">
        <v>0</v>
      </c>
    </row>
    <row r="2424">
      <c r="A2424" t="s">
        <v>6285</v>
      </c>
      <c r="B2424" t="s">
        <v>6272</v>
      </c>
      <c r="C2424" t="s">
        <v>6272</v>
      </c>
      <c r="D2424" t="s">
        <v>4748</v>
      </c>
      <c r="E2424" t="s">
        <v>6286</v>
      </c>
      <c r="F2424" t="s">
        <v>298</v>
      </c>
      <c r="G2424" t="s">
        <v>6274</v>
      </c>
      <c r="H2424" t="s">
        <v>2702</v>
      </c>
      <c r="I2424">
        <v>1</v>
      </c>
      <c r="J2424" t="s">
        <v>3227</v>
      </c>
      <c r="K2424">
        <v>37.6</v>
      </c>
      <c r="L2424" t="s">
        <v>6270</v>
      </c>
      <c r="M2424" s="37">
        <v>0.376</v>
      </c>
      <c r="N2424" s="37">
        <v>0.1</v>
      </c>
      <c r="O2424">
        <v>37.6</v>
      </c>
      <c r="P2424" s="37">
        <v>0.819475</v>
      </c>
      <c r="Q2424">
        <v>83.12</v>
      </c>
      <c r="R2424">
        <v>250</v>
      </c>
      <c r="S2424">
        <v>250</v>
      </c>
      <c r="T2424">
        <v>1000</v>
      </c>
      <c r="U2424" t="s">
        <v>6232</v>
      </c>
      <c r="X2424">
        <v>1</v>
      </c>
      <c r="Z2424" s="37">
        <v>1</v>
      </c>
      <c r="AA2424" s="37">
        <v>1</v>
      </c>
      <c r="AB2424">
        <v>0</v>
      </c>
    </row>
    <row r="2425">
      <c r="A2425" t="s">
        <v>6287</v>
      </c>
      <c r="B2425" t="s">
        <v>6288</v>
      </c>
      <c r="C2425" t="s">
        <v>6288</v>
      </c>
      <c r="D2425" t="s">
        <v>4748</v>
      </c>
      <c r="E2425" t="s">
        <v>5912</v>
      </c>
      <c r="F2425" t="s">
        <v>298</v>
      </c>
      <c r="G2425" t="s">
        <v>6274</v>
      </c>
      <c r="H2425" t="s">
        <v>6275</v>
      </c>
      <c r="I2425">
        <v>1</v>
      </c>
      <c r="J2425" t="s">
        <v>3227</v>
      </c>
      <c r="K2425">
        <v>85.5468</v>
      </c>
      <c r="L2425" t="s">
        <v>6270</v>
      </c>
      <c r="M2425" s="37">
        <v>0.855468</v>
      </c>
      <c r="N2425" s="37">
        <v>0.7</v>
      </c>
      <c r="O2425">
        <v>85.5468</v>
      </c>
      <c r="P2425" s="37">
        <v>0.875748</v>
      </c>
      <c r="Q2425">
        <v>87.57</v>
      </c>
      <c r="R2425">
        <v>200</v>
      </c>
      <c r="S2425">
        <v>425</v>
      </c>
      <c r="T2425">
        <v>1000</v>
      </c>
      <c r="U2425" t="s">
        <v>6232</v>
      </c>
      <c r="X2425">
        <v>1</v>
      </c>
      <c r="Z2425" s="37">
        <v>1</v>
      </c>
      <c r="AA2425" s="37">
        <v>1</v>
      </c>
      <c r="AB2425">
        <v>0</v>
      </c>
    </row>
    <row r="2426">
      <c r="A2426" t="s">
        <v>6287</v>
      </c>
      <c r="B2426" t="s">
        <v>6288</v>
      </c>
      <c r="C2426" t="s">
        <v>6288</v>
      </c>
      <c r="D2426" t="s">
        <v>4748</v>
      </c>
      <c r="E2426" t="s">
        <v>5912</v>
      </c>
      <c r="F2426" t="s">
        <v>298</v>
      </c>
      <c r="G2426" t="s">
        <v>6274</v>
      </c>
      <c r="H2426" t="s">
        <v>6276</v>
      </c>
      <c r="I2426">
        <v>1</v>
      </c>
      <c r="J2426" t="s">
        <v>3227</v>
      </c>
      <c r="K2426">
        <v>100</v>
      </c>
      <c r="L2426" t="s">
        <v>6270</v>
      </c>
      <c r="M2426" s="37">
        <v>1</v>
      </c>
      <c r="N2426" s="37">
        <v>0.2</v>
      </c>
      <c r="O2426">
        <v>100</v>
      </c>
      <c r="P2426" s="37">
        <v>0.875748</v>
      </c>
      <c r="Q2426">
        <v>87.57</v>
      </c>
      <c r="R2426">
        <v>200</v>
      </c>
      <c r="S2426">
        <v>425</v>
      </c>
      <c r="T2426">
        <v>1000</v>
      </c>
      <c r="U2426" t="s">
        <v>6232</v>
      </c>
      <c r="X2426">
        <v>1</v>
      </c>
      <c r="Z2426" s="37">
        <v>1</v>
      </c>
      <c r="AA2426" s="37">
        <v>1</v>
      </c>
      <c r="AB2426">
        <v>0</v>
      </c>
    </row>
    <row r="2427">
      <c r="A2427" t="s">
        <v>6287</v>
      </c>
      <c r="B2427" t="s">
        <v>6288</v>
      </c>
      <c r="C2427" t="s">
        <v>6288</v>
      </c>
      <c r="D2427" t="s">
        <v>4748</v>
      </c>
      <c r="E2427" t="s">
        <v>5912</v>
      </c>
      <c r="F2427" t="s">
        <v>298</v>
      </c>
      <c r="G2427" t="s">
        <v>6274</v>
      </c>
      <c r="H2427" t="s">
        <v>2702</v>
      </c>
      <c r="I2427">
        <v>1</v>
      </c>
      <c r="J2427" t="s">
        <v>3227</v>
      </c>
      <c r="K2427">
        <v>76.92</v>
      </c>
      <c r="L2427" t="s">
        <v>6270</v>
      </c>
      <c r="M2427" s="37">
        <v>0.7692</v>
      </c>
      <c r="N2427" s="37">
        <v>0.1</v>
      </c>
      <c r="O2427">
        <v>76.92</v>
      </c>
      <c r="P2427" s="37">
        <v>0.875748</v>
      </c>
      <c r="Q2427">
        <v>87.57</v>
      </c>
      <c r="R2427">
        <v>200</v>
      </c>
      <c r="S2427">
        <v>425</v>
      </c>
      <c r="T2427">
        <v>1000</v>
      </c>
      <c r="U2427" t="s">
        <v>6232</v>
      </c>
      <c r="X2427">
        <v>1</v>
      </c>
      <c r="Z2427" s="37">
        <v>1</v>
      </c>
      <c r="AA2427" s="37">
        <v>1</v>
      </c>
      <c r="AB2427">
        <v>0</v>
      </c>
    </row>
    <row r="2428">
      <c r="A2428" t="s">
        <v>6289</v>
      </c>
      <c r="B2428" t="s">
        <v>6281</v>
      </c>
      <c r="C2428" t="s">
        <v>6281</v>
      </c>
      <c r="D2428" t="s">
        <v>4748</v>
      </c>
      <c r="E2428" t="s">
        <v>6290</v>
      </c>
      <c r="F2428" t="s">
        <v>298</v>
      </c>
      <c r="G2428" t="s">
        <v>6274</v>
      </c>
      <c r="H2428" t="s">
        <v>6275</v>
      </c>
      <c r="I2428">
        <v>1</v>
      </c>
      <c r="J2428" t="s">
        <v>3227</v>
      </c>
      <c r="K2428">
        <v>98.125</v>
      </c>
      <c r="L2428" t="s">
        <v>6270</v>
      </c>
      <c r="M2428" s="37">
        <v>0.98125</v>
      </c>
      <c r="N2428" s="37">
        <v>0.7</v>
      </c>
      <c r="O2428">
        <v>98.125</v>
      </c>
      <c r="P2428" s="37">
        <v>0.963795</v>
      </c>
      <c r="Q2428">
        <v>96.38</v>
      </c>
      <c r="R2428">
        <v>2100</v>
      </c>
      <c r="S2428">
        <v>3350</v>
      </c>
      <c r="T2428">
        <v>1000</v>
      </c>
      <c r="U2428" t="s">
        <v>6232</v>
      </c>
      <c r="X2428">
        <v>1</v>
      </c>
      <c r="Z2428" s="37">
        <v>1</v>
      </c>
      <c r="AA2428" s="37">
        <v>1</v>
      </c>
      <c r="AB2428">
        <v>0</v>
      </c>
    </row>
    <row r="2429">
      <c r="A2429" t="s">
        <v>6289</v>
      </c>
      <c r="B2429" t="s">
        <v>6281</v>
      </c>
      <c r="C2429" t="s">
        <v>6281</v>
      </c>
      <c r="D2429" t="s">
        <v>4748</v>
      </c>
      <c r="E2429" t="s">
        <v>6290</v>
      </c>
      <c r="F2429" t="s">
        <v>298</v>
      </c>
      <c r="G2429" t="s">
        <v>6274</v>
      </c>
      <c r="H2429" t="s">
        <v>6276</v>
      </c>
      <c r="I2429">
        <v>1</v>
      </c>
      <c r="J2429" t="s">
        <v>3227</v>
      </c>
      <c r="K2429">
        <v>100</v>
      </c>
      <c r="L2429" t="s">
        <v>6270</v>
      </c>
      <c r="M2429" s="37">
        <v>1</v>
      </c>
      <c r="N2429" s="37">
        <v>0.2</v>
      </c>
      <c r="O2429">
        <v>100</v>
      </c>
      <c r="P2429" s="37">
        <v>0.963795</v>
      </c>
      <c r="Q2429">
        <v>96.38</v>
      </c>
      <c r="R2429">
        <v>2100</v>
      </c>
      <c r="S2429">
        <v>3350</v>
      </c>
      <c r="T2429">
        <v>1000</v>
      </c>
      <c r="U2429" t="s">
        <v>6232</v>
      </c>
      <c r="X2429">
        <v>1</v>
      </c>
      <c r="Z2429" s="37">
        <v>1</v>
      </c>
      <c r="AA2429" s="37">
        <v>1</v>
      </c>
      <c r="AB2429">
        <v>0</v>
      </c>
    </row>
    <row r="2430">
      <c r="A2430" t="s">
        <v>6289</v>
      </c>
      <c r="B2430" t="s">
        <v>6281</v>
      </c>
      <c r="C2430" t="s">
        <v>6281</v>
      </c>
      <c r="D2430" t="s">
        <v>4748</v>
      </c>
      <c r="E2430" t="s">
        <v>6290</v>
      </c>
      <c r="F2430" t="s">
        <v>298</v>
      </c>
      <c r="G2430" t="s">
        <v>6274</v>
      </c>
      <c r="H2430" t="s">
        <v>2702</v>
      </c>
      <c r="I2430">
        <v>1</v>
      </c>
      <c r="J2430" t="s">
        <v>3227</v>
      </c>
      <c r="K2430">
        <v>76.92</v>
      </c>
      <c r="L2430" t="s">
        <v>6270</v>
      </c>
      <c r="M2430" s="37">
        <v>0.7692</v>
      </c>
      <c r="N2430" s="37">
        <v>0.1</v>
      </c>
      <c r="O2430">
        <v>76.92</v>
      </c>
      <c r="P2430" s="37">
        <v>0.963795</v>
      </c>
      <c r="Q2430">
        <v>96.38</v>
      </c>
      <c r="R2430">
        <v>2100</v>
      </c>
      <c r="S2430">
        <v>3350</v>
      </c>
      <c r="T2430">
        <v>1000</v>
      </c>
      <c r="U2430" t="s">
        <v>6232</v>
      </c>
      <c r="X2430">
        <v>1</v>
      </c>
      <c r="Z2430" s="37">
        <v>1</v>
      </c>
      <c r="AA2430" s="37">
        <v>1</v>
      </c>
      <c r="AB2430">
        <v>0</v>
      </c>
    </row>
    <row r="2431">
      <c r="A2431" t="s">
        <v>6291</v>
      </c>
      <c r="B2431" t="s">
        <v>6272</v>
      </c>
      <c r="C2431" t="s">
        <v>6272</v>
      </c>
      <c r="D2431" t="s">
        <v>4748</v>
      </c>
      <c r="E2431" t="s">
        <v>6292</v>
      </c>
      <c r="F2431" t="s">
        <v>298</v>
      </c>
      <c r="G2431" t="s">
        <v>6274</v>
      </c>
      <c r="H2431" t="s">
        <v>6275</v>
      </c>
      <c r="I2431">
        <v>1</v>
      </c>
      <c r="J2431" t="s">
        <v>3227</v>
      </c>
      <c r="K2431">
        <v>99.8</v>
      </c>
      <c r="L2431" t="s">
        <v>6270</v>
      </c>
      <c r="M2431" s="37">
        <v>0.998</v>
      </c>
      <c r="N2431" s="37">
        <v>0.7</v>
      </c>
      <c r="O2431">
        <v>99.8</v>
      </c>
      <c r="P2431" s="37">
        <v>0.9727</v>
      </c>
      <c r="Q2431">
        <v>97.27</v>
      </c>
      <c r="R2431">
        <v>1550</v>
      </c>
      <c r="S2431">
        <v>1550</v>
      </c>
      <c r="T2431">
        <v>1000</v>
      </c>
      <c r="U2431" t="s">
        <v>6232</v>
      </c>
      <c r="X2431">
        <v>1</v>
      </c>
      <c r="Z2431" s="37">
        <v>1</v>
      </c>
      <c r="AA2431" s="37">
        <v>1</v>
      </c>
      <c r="AB2431">
        <v>0</v>
      </c>
    </row>
    <row r="2432">
      <c r="A2432" t="s">
        <v>6291</v>
      </c>
      <c r="B2432" t="s">
        <v>6272</v>
      </c>
      <c r="C2432" t="s">
        <v>6272</v>
      </c>
      <c r="D2432" t="s">
        <v>4748</v>
      </c>
      <c r="E2432" t="s">
        <v>6292</v>
      </c>
      <c r="F2432" t="s">
        <v>298</v>
      </c>
      <c r="G2432" t="s">
        <v>6274</v>
      </c>
      <c r="H2432" t="s">
        <v>6276</v>
      </c>
      <c r="I2432">
        <v>1</v>
      </c>
      <c r="J2432" t="s">
        <v>3227</v>
      </c>
      <c r="K2432">
        <v>100</v>
      </c>
      <c r="L2432" t="s">
        <v>6270</v>
      </c>
      <c r="M2432" s="37">
        <v>1</v>
      </c>
      <c r="N2432" s="37">
        <v>0.2</v>
      </c>
      <c r="O2432">
        <v>100</v>
      </c>
      <c r="P2432" s="37">
        <v>0.9727</v>
      </c>
      <c r="Q2432">
        <v>97.27</v>
      </c>
      <c r="R2432">
        <v>1550</v>
      </c>
      <c r="S2432">
        <v>1550</v>
      </c>
      <c r="T2432">
        <v>1000</v>
      </c>
      <c r="U2432" t="s">
        <v>6232</v>
      </c>
      <c r="X2432">
        <v>1</v>
      </c>
      <c r="Z2432" s="37">
        <v>1</v>
      </c>
      <c r="AA2432" s="37">
        <v>1</v>
      </c>
      <c r="AB2432">
        <v>0</v>
      </c>
    </row>
    <row r="2433">
      <c r="A2433" t="s">
        <v>6291</v>
      </c>
      <c r="B2433" t="s">
        <v>6272</v>
      </c>
      <c r="C2433" t="s">
        <v>6272</v>
      </c>
      <c r="D2433" t="s">
        <v>4748</v>
      </c>
      <c r="E2433" t="s">
        <v>6292</v>
      </c>
      <c r="F2433" t="s">
        <v>298</v>
      </c>
      <c r="G2433" t="s">
        <v>6274</v>
      </c>
      <c r="H2433" t="s">
        <v>2702</v>
      </c>
      <c r="I2433">
        <v>1</v>
      </c>
      <c r="J2433" t="s">
        <v>3227</v>
      </c>
      <c r="K2433">
        <v>74.1</v>
      </c>
      <c r="L2433" t="s">
        <v>6270</v>
      </c>
      <c r="M2433" s="37">
        <v>0.741</v>
      </c>
      <c r="N2433" s="37">
        <v>0.1</v>
      </c>
      <c r="O2433">
        <v>74.1</v>
      </c>
      <c r="P2433" s="37">
        <v>0.9727</v>
      </c>
      <c r="Q2433">
        <v>97.27</v>
      </c>
      <c r="R2433">
        <v>1550</v>
      </c>
      <c r="S2433">
        <v>1550</v>
      </c>
      <c r="T2433">
        <v>1000</v>
      </c>
      <c r="U2433" t="s">
        <v>6232</v>
      </c>
      <c r="X2433">
        <v>1</v>
      </c>
      <c r="Z2433" s="37">
        <v>1</v>
      </c>
      <c r="AA2433" s="37">
        <v>1</v>
      </c>
      <c r="AB2433">
        <v>0</v>
      </c>
    </row>
    <row r="2434">
      <c r="A2434" t="s">
        <v>6293</v>
      </c>
      <c r="B2434" t="s">
        <v>6288</v>
      </c>
      <c r="C2434" t="s">
        <v>6288</v>
      </c>
      <c r="D2434" t="s">
        <v>4748</v>
      </c>
      <c r="E2434" t="s">
        <v>6294</v>
      </c>
      <c r="F2434" t="s">
        <v>298</v>
      </c>
      <c r="G2434" t="s">
        <v>6274</v>
      </c>
      <c r="H2434" t="s">
        <v>6275</v>
      </c>
      <c r="I2434">
        <v>1</v>
      </c>
      <c r="J2434" t="s">
        <v>3227</v>
      </c>
      <c r="K2434">
        <v>91.83</v>
      </c>
      <c r="L2434" t="s">
        <v>6270</v>
      </c>
      <c r="M2434" s="37">
        <v>0.9183</v>
      </c>
      <c r="N2434" s="37">
        <v>0.7</v>
      </c>
      <c r="O2434">
        <v>91.83</v>
      </c>
      <c r="P2434" s="37">
        <v>0.91973</v>
      </c>
      <c r="Q2434">
        <v>91.83</v>
      </c>
      <c r="R2434">
        <v>933.33</v>
      </c>
      <c r="S2434">
        <v>1433.33</v>
      </c>
      <c r="T2434">
        <v>1000</v>
      </c>
      <c r="U2434" t="s">
        <v>6232</v>
      </c>
      <c r="X2434">
        <v>1</v>
      </c>
      <c r="Z2434" s="37">
        <v>1</v>
      </c>
      <c r="AA2434" s="37">
        <v>1</v>
      </c>
      <c r="AB2434">
        <v>0</v>
      </c>
    </row>
    <row r="2435">
      <c r="A2435" t="s">
        <v>6293</v>
      </c>
      <c r="B2435" t="s">
        <v>6288</v>
      </c>
      <c r="C2435" t="s">
        <v>6288</v>
      </c>
      <c r="D2435" t="s">
        <v>4748</v>
      </c>
      <c r="E2435" t="s">
        <v>6294</v>
      </c>
      <c r="F2435" t="s">
        <v>298</v>
      </c>
      <c r="G2435" t="s">
        <v>6274</v>
      </c>
      <c r="H2435" t="s">
        <v>6276</v>
      </c>
      <c r="I2435">
        <v>1</v>
      </c>
      <c r="J2435" t="s">
        <v>3227</v>
      </c>
      <c r="K2435">
        <v>100</v>
      </c>
      <c r="L2435" t="s">
        <v>6270</v>
      </c>
      <c r="M2435" s="37">
        <v>1</v>
      </c>
      <c r="N2435" s="37">
        <v>0.2</v>
      </c>
      <c r="O2435">
        <v>100</v>
      </c>
      <c r="P2435" s="37">
        <v>0.91973</v>
      </c>
      <c r="Q2435">
        <v>91.83</v>
      </c>
      <c r="R2435">
        <v>933.33</v>
      </c>
      <c r="S2435">
        <v>1433.33</v>
      </c>
      <c r="T2435">
        <v>1000</v>
      </c>
      <c r="U2435" t="s">
        <v>6232</v>
      </c>
      <c r="X2435">
        <v>1</v>
      </c>
      <c r="Z2435" s="37">
        <v>1</v>
      </c>
      <c r="AA2435" s="37">
        <v>1</v>
      </c>
      <c r="AB2435">
        <v>0</v>
      </c>
    </row>
    <row r="2436">
      <c r="A2436" t="s">
        <v>6293</v>
      </c>
      <c r="B2436" t="s">
        <v>6288</v>
      </c>
      <c r="C2436" t="s">
        <v>6288</v>
      </c>
      <c r="D2436" t="s">
        <v>4748</v>
      </c>
      <c r="E2436" t="s">
        <v>6294</v>
      </c>
      <c r="F2436" t="s">
        <v>298</v>
      </c>
      <c r="G2436" t="s">
        <v>6274</v>
      </c>
      <c r="H2436" t="s">
        <v>2702</v>
      </c>
      <c r="I2436">
        <v>1</v>
      </c>
      <c r="J2436" t="s">
        <v>3227</v>
      </c>
      <c r="K2436">
        <v>76.92</v>
      </c>
      <c r="L2436" t="s">
        <v>6270</v>
      </c>
      <c r="M2436" s="37">
        <v>0.7692</v>
      </c>
      <c r="N2436" s="37">
        <v>0.1</v>
      </c>
      <c r="O2436">
        <v>76.92</v>
      </c>
      <c r="P2436" s="37">
        <v>0.91973</v>
      </c>
      <c r="Q2436">
        <v>91.83</v>
      </c>
      <c r="R2436">
        <v>933.33</v>
      </c>
      <c r="S2436">
        <v>1433.33</v>
      </c>
      <c r="T2436">
        <v>1000</v>
      </c>
      <c r="U2436" t="s">
        <v>6232</v>
      </c>
      <c r="X2436">
        <v>1</v>
      </c>
      <c r="Z2436" s="37">
        <v>1</v>
      </c>
      <c r="AA2436" s="37">
        <v>1</v>
      </c>
      <c r="AB2436">
        <v>0</v>
      </c>
    </row>
    <row r="2437">
      <c r="A2437" t="s">
        <v>6295</v>
      </c>
      <c r="B2437" t="s">
        <v>6281</v>
      </c>
      <c r="C2437" t="s">
        <v>6281</v>
      </c>
      <c r="D2437" t="s">
        <v>4748</v>
      </c>
      <c r="E2437" t="s">
        <v>6296</v>
      </c>
      <c r="F2437" t="s">
        <v>298</v>
      </c>
      <c r="G2437" t="s">
        <v>6274</v>
      </c>
      <c r="H2437" t="s">
        <v>6275</v>
      </c>
      <c r="I2437">
        <v>1</v>
      </c>
      <c r="J2437" t="s">
        <v>3227</v>
      </c>
      <c r="K2437">
        <v>95.7142</v>
      </c>
      <c r="L2437" t="s">
        <v>6270</v>
      </c>
      <c r="M2437" s="37">
        <v>0.957142</v>
      </c>
      <c r="N2437" s="37">
        <v>0.7</v>
      </c>
      <c r="O2437">
        <v>95.7142</v>
      </c>
      <c r="P2437" s="37">
        <v>0.946919</v>
      </c>
      <c r="Q2437">
        <v>94.69</v>
      </c>
      <c r="R2437">
        <v>1400</v>
      </c>
      <c r="S2437">
        <v>2500</v>
      </c>
      <c r="T2437">
        <v>1000</v>
      </c>
      <c r="U2437" t="s">
        <v>6232</v>
      </c>
      <c r="X2437">
        <v>1</v>
      </c>
      <c r="Z2437" s="37">
        <v>1</v>
      </c>
      <c r="AA2437" s="37">
        <v>1</v>
      </c>
      <c r="AB2437">
        <v>0</v>
      </c>
    </row>
    <row r="2438">
      <c r="A2438" t="s">
        <v>6295</v>
      </c>
      <c r="B2438" t="s">
        <v>6281</v>
      </c>
      <c r="C2438" t="s">
        <v>6281</v>
      </c>
      <c r="D2438" t="s">
        <v>4748</v>
      </c>
      <c r="E2438" t="s">
        <v>6296</v>
      </c>
      <c r="F2438" t="s">
        <v>298</v>
      </c>
      <c r="G2438" t="s">
        <v>6274</v>
      </c>
      <c r="H2438" t="s">
        <v>6276</v>
      </c>
      <c r="I2438">
        <v>1</v>
      </c>
      <c r="J2438" t="s">
        <v>3227</v>
      </c>
      <c r="K2438">
        <v>100</v>
      </c>
      <c r="L2438" t="s">
        <v>6270</v>
      </c>
      <c r="M2438" s="37">
        <v>1</v>
      </c>
      <c r="N2438" s="37">
        <v>0.2</v>
      </c>
      <c r="O2438">
        <v>100</v>
      </c>
      <c r="P2438" s="37">
        <v>0.946919</v>
      </c>
      <c r="Q2438">
        <v>94.69</v>
      </c>
      <c r="R2438">
        <v>1400</v>
      </c>
      <c r="S2438">
        <v>2500</v>
      </c>
      <c r="T2438">
        <v>1000</v>
      </c>
      <c r="U2438" t="s">
        <v>6232</v>
      </c>
      <c r="X2438">
        <v>1</v>
      </c>
      <c r="Z2438" s="37">
        <v>1</v>
      </c>
      <c r="AA2438" s="37">
        <v>1</v>
      </c>
      <c r="AB2438">
        <v>0</v>
      </c>
    </row>
    <row r="2439">
      <c r="A2439" t="s">
        <v>6295</v>
      </c>
      <c r="B2439" t="s">
        <v>6281</v>
      </c>
      <c r="C2439" t="s">
        <v>6281</v>
      </c>
      <c r="D2439" t="s">
        <v>4748</v>
      </c>
      <c r="E2439" t="s">
        <v>6296</v>
      </c>
      <c r="F2439" t="s">
        <v>298</v>
      </c>
      <c r="G2439" t="s">
        <v>6274</v>
      </c>
      <c r="H2439" t="s">
        <v>2702</v>
      </c>
      <c r="I2439">
        <v>1</v>
      </c>
      <c r="J2439" t="s">
        <v>3227</v>
      </c>
      <c r="K2439">
        <v>76.92</v>
      </c>
      <c r="L2439" t="s">
        <v>6270</v>
      </c>
      <c r="M2439" s="37">
        <v>0.7692</v>
      </c>
      <c r="N2439" s="37">
        <v>0.1</v>
      </c>
      <c r="O2439">
        <v>76.92</v>
      </c>
      <c r="P2439" s="37">
        <v>0.946919</v>
      </c>
      <c r="Q2439">
        <v>94.69</v>
      </c>
      <c r="R2439">
        <v>1400</v>
      </c>
      <c r="S2439">
        <v>2500</v>
      </c>
      <c r="T2439">
        <v>1000</v>
      </c>
      <c r="U2439" t="s">
        <v>6232</v>
      </c>
      <c r="X2439">
        <v>1</v>
      </c>
      <c r="Z2439" s="37">
        <v>1</v>
      </c>
      <c r="AA2439" s="37">
        <v>1</v>
      </c>
      <c r="AB2439">
        <v>0</v>
      </c>
    </row>
    <row r="2440">
      <c r="A2440" t="s">
        <v>6297</v>
      </c>
      <c r="B2440" t="s">
        <v>6281</v>
      </c>
      <c r="C2440" t="s">
        <v>6281</v>
      </c>
      <c r="D2440" t="s">
        <v>4748</v>
      </c>
      <c r="E2440" t="s">
        <v>6298</v>
      </c>
      <c r="F2440" t="s">
        <v>298</v>
      </c>
      <c r="G2440" t="s">
        <v>6274</v>
      </c>
      <c r="H2440" t="s">
        <v>6275</v>
      </c>
      <c r="I2440">
        <v>1</v>
      </c>
      <c r="J2440" t="s">
        <v>3227</v>
      </c>
      <c r="K2440">
        <v>98.3928</v>
      </c>
      <c r="L2440" t="s">
        <v>6270</v>
      </c>
      <c r="M2440" s="37">
        <v>0.983928</v>
      </c>
      <c r="N2440" s="37">
        <v>0.7</v>
      </c>
      <c r="O2440">
        <v>98.3928</v>
      </c>
      <c r="P2440" s="37">
        <v>0.96567</v>
      </c>
      <c r="Q2440">
        <v>96.56</v>
      </c>
      <c r="R2440">
        <v>2800</v>
      </c>
      <c r="S2440">
        <v>2800</v>
      </c>
      <c r="T2440">
        <v>1000</v>
      </c>
      <c r="U2440" t="s">
        <v>6232</v>
      </c>
      <c r="X2440">
        <v>1</v>
      </c>
      <c r="Z2440" s="37">
        <v>1</v>
      </c>
      <c r="AA2440" s="37">
        <v>1</v>
      </c>
      <c r="AB2440">
        <v>0</v>
      </c>
    </row>
    <row r="2441">
      <c r="A2441" t="s">
        <v>6297</v>
      </c>
      <c r="B2441" t="s">
        <v>6281</v>
      </c>
      <c r="C2441" t="s">
        <v>6281</v>
      </c>
      <c r="D2441" t="s">
        <v>4748</v>
      </c>
      <c r="E2441" t="s">
        <v>6298</v>
      </c>
      <c r="F2441" t="s">
        <v>298</v>
      </c>
      <c r="G2441" t="s">
        <v>6274</v>
      </c>
      <c r="H2441" t="s">
        <v>6276</v>
      </c>
      <c r="I2441">
        <v>1</v>
      </c>
      <c r="J2441" t="s">
        <v>3227</v>
      </c>
      <c r="K2441">
        <v>100</v>
      </c>
      <c r="L2441" t="s">
        <v>6270</v>
      </c>
      <c r="M2441" s="37">
        <v>1</v>
      </c>
      <c r="N2441" s="37">
        <v>0.2</v>
      </c>
      <c r="O2441">
        <v>100</v>
      </c>
      <c r="P2441" s="37">
        <v>0.96567</v>
      </c>
      <c r="Q2441">
        <v>96.56</v>
      </c>
      <c r="R2441">
        <v>2800</v>
      </c>
      <c r="S2441">
        <v>2800</v>
      </c>
      <c r="T2441">
        <v>1000</v>
      </c>
      <c r="U2441" t="s">
        <v>6232</v>
      </c>
      <c r="X2441">
        <v>1</v>
      </c>
      <c r="Z2441" s="37">
        <v>1</v>
      </c>
      <c r="AA2441" s="37">
        <v>1</v>
      </c>
      <c r="AB2441">
        <v>0</v>
      </c>
    </row>
    <row r="2442">
      <c r="A2442" t="s">
        <v>6297</v>
      </c>
      <c r="B2442" t="s">
        <v>6281</v>
      </c>
      <c r="C2442" t="s">
        <v>6281</v>
      </c>
      <c r="D2442" t="s">
        <v>4748</v>
      </c>
      <c r="E2442" t="s">
        <v>6298</v>
      </c>
      <c r="F2442" t="s">
        <v>298</v>
      </c>
      <c r="G2442" t="s">
        <v>6274</v>
      </c>
      <c r="H2442" t="s">
        <v>2702</v>
      </c>
      <c r="I2442">
        <v>1</v>
      </c>
      <c r="J2442" t="s">
        <v>3227</v>
      </c>
      <c r="K2442">
        <v>76.92</v>
      </c>
      <c r="L2442" t="s">
        <v>6270</v>
      </c>
      <c r="M2442" s="37">
        <v>0.7692</v>
      </c>
      <c r="N2442" s="37">
        <v>0.1</v>
      </c>
      <c r="O2442">
        <v>76.92</v>
      </c>
      <c r="P2442" s="37">
        <v>0.96567</v>
      </c>
      <c r="Q2442">
        <v>96.56</v>
      </c>
      <c r="R2442">
        <v>2800</v>
      </c>
      <c r="S2442">
        <v>2800</v>
      </c>
      <c r="T2442">
        <v>1000</v>
      </c>
      <c r="U2442" t="s">
        <v>6232</v>
      </c>
      <c r="X2442">
        <v>1</v>
      </c>
      <c r="Z2442" s="37">
        <v>1</v>
      </c>
      <c r="AA2442" s="37">
        <v>1</v>
      </c>
      <c r="AB2442">
        <v>0</v>
      </c>
    </row>
    <row r="2443">
      <c r="A2443" t="s">
        <v>6299</v>
      </c>
      <c r="B2443" t="s">
        <v>6288</v>
      </c>
      <c r="C2443" t="s">
        <v>6288</v>
      </c>
      <c r="D2443" t="s">
        <v>4748</v>
      </c>
      <c r="E2443" t="s">
        <v>6300</v>
      </c>
      <c r="F2443" t="s">
        <v>298</v>
      </c>
      <c r="G2443" t="s">
        <v>6274</v>
      </c>
      <c r="H2443" t="s">
        <v>6275</v>
      </c>
      <c r="I2443">
        <v>1</v>
      </c>
      <c r="J2443" t="s">
        <v>3227</v>
      </c>
      <c r="K2443">
        <v>93.25</v>
      </c>
      <c r="L2443" t="s">
        <v>6270</v>
      </c>
      <c r="M2443" s="37">
        <v>0.9325</v>
      </c>
      <c r="N2443" s="37">
        <v>0.7</v>
      </c>
      <c r="O2443">
        <v>93.25</v>
      </c>
      <c r="P2443" s="37">
        <v>0.89035</v>
      </c>
      <c r="Q2443">
        <v>93.25</v>
      </c>
      <c r="R2443">
        <v>400</v>
      </c>
      <c r="S2443">
        <v>400</v>
      </c>
      <c r="T2443">
        <v>1000</v>
      </c>
      <c r="U2443" t="s">
        <v>6232</v>
      </c>
      <c r="X2443">
        <v>1</v>
      </c>
      <c r="Z2443" s="37">
        <v>1</v>
      </c>
      <c r="AA2443" s="37">
        <v>1</v>
      </c>
      <c r="AB2443">
        <v>0</v>
      </c>
    </row>
    <row r="2444">
      <c r="A2444" t="s">
        <v>6299</v>
      </c>
      <c r="B2444" t="s">
        <v>6288</v>
      </c>
      <c r="C2444" t="s">
        <v>6288</v>
      </c>
      <c r="D2444" t="s">
        <v>4748</v>
      </c>
      <c r="E2444" t="s">
        <v>6300</v>
      </c>
      <c r="F2444" t="s">
        <v>298</v>
      </c>
      <c r="G2444" t="s">
        <v>6274</v>
      </c>
      <c r="H2444" t="s">
        <v>6276</v>
      </c>
      <c r="I2444">
        <v>1</v>
      </c>
      <c r="J2444" t="s">
        <v>3227</v>
      </c>
      <c r="K2444">
        <v>100</v>
      </c>
      <c r="L2444" t="s">
        <v>6270</v>
      </c>
      <c r="M2444" s="37">
        <v>1</v>
      </c>
      <c r="N2444" s="37">
        <v>0.2</v>
      </c>
      <c r="O2444">
        <v>100</v>
      </c>
      <c r="P2444" s="37">
        <v>0.89035</v>
      </c>
      <c r="Q2444">
        <v>93.25</v>
      </c>
      <c r="R2444">
        <v>400</v>
      </c>
      <c r="S2444">
        <v>400</v>
      </c>
      <c r="T2444">
        <v>1000</v>
      </c>
      <c r="U2444" t="s">
        <v>6232</v>
      </c>
      <c r="X2444">
        <v>1</v>
      </c>
      <c r="Z2444" s="37">
        <v>1</v>
      </c>
      <c r="AA2444" s="37">
        <v>1</v>
      </c>
      <c r="AB2444">
        <v>0</v>
      </c>
    </row>
    <row r="2445">
      <c r="A2445" t="s">
        <v>6299</v>
      </c>
      <c r="B2445" t="s">
        <v>6288</v>
      </c>
      <c r="C2445" t="s">
        <v>6288</v>
      </c>
      <c r="D2445" t="s">
        <v>4748</v>
      </c>
      <c r="E2445" t="s">
        <v>6300</v>
      </c>
      <c r="F2445" t="s">
        <v>298</v>
      </c>
      <c r="G2445" t="s">
        <v>6274</v>
      </c>
      <c r="H2445" t="s">
        <v>2702</v>
      </c>
      <c r="I2445">
        <v>1</v>
      </c>
      <c r="J2445" t="s">
        <v>3227</v>
      </c>
      <c r="K2445">
        <v>37.6</v>
      </c>
      <c r="L2445" t="s">
        <v>6270</v>
      </c>
      <c r="M2445" s="37">
        <v>0.376</v>
      </c>
      <c r="N2445" s="37">
        <v>0.1</v>
      </c>
      <c r="O2445">
        <v>37.6</v>
      </c>
      <c r="P2445" s="37">
        <v>0.89035</v>
      </c>
      <c r="Q2445">
        <v>93.25</v>
      </c>
      <c r="R2445">
        <v>400</v>
      </c>
      <c r="S2445">
        <v>400</v>
      </c>
      <c r="T2445">
        <v>1000</v>
      </c>
      <c r="U2445" t="s">
        <v>6232</v>
      </c>
      <c r="X2445">
        <v>1</v>
      </c>
      <c r="Z2445" s="37">
        <v>1</v>
      </c>
      <c r="AA2445" s="37">
        <v>1</v>
      </c>
      <c r="AB2445">
        <v>0</v>
      </c>
    </row>
    <row r="2446">
      <c r="A2446" t="s">
        <v>6301</v>
      </c>
      <c r="B2446" t="s">
        <v>6278</v>
      </c>
      <c r="C2446" t="s">
        <v>6278</v>
      </c>
      <c r="D2446" t="s">
        <v>4748</v>
      </c>
      <c r="E2446" t="s">
        <v>6302</v>
      </c>
      <c r="F2446" t="s">
        <v>298</v>
      </c>
      <c r="G2446" t="s">
        <v>6274</v>
      </c>
      <c r="H2446" t="s">
        <v>6275</v>
      </c>
      <c r="I2446">
        <v>1</v>
      </c>
      <c r="J2446" t="s">
        <v>3227</v>
      </c>
      <c r="K2446">
        <v>99.8</v>
      </c>
      <c r="L2446" t="s">
        <v>6270</v>
      </c>
      <c r="M2446" s="37">
        <v>0.998</v>
      </c>
      <c r="N2446" s="37">
        <v>0.7</v>
      </c>
      <c r="O2446">
        <v>99.8</v>
      </c>
      <c r="P2446" s="37">
        <v>0.9727</v>
      </c>
      <c r="Q2446">
        <v>97.27</v>
      </c>
      <c r="R2446">
        <v>1550</v>
      </c>
      <c r="S2446">
        <v>1550</v>
      </c>
      <c r="T2446">
        <v>1000</v>
      </c>
      <c r="U2446" t="s">
        <v>6232</v>
      </c>
      <c r="X2446">
        <v>1</v>
      </c>
      <c r="Z2446" s="37">
        <v>1</v>
      </c>
      <c r="AA2446" s="37">
        <v>1</v>
      </c>
      <c r="AB2446">
        <v>0</v>
      </c>
    </row>
    <row r="2447">
      <c r="A2447" t="s">
        <v>6301</v>
      </c>
      <c r="B2447" t="s">
        <v>6278</v>
      </c>
      <c r="C2447" t="s">
        <v>6278</v>
      </c>
      <c r="D2447" t="s">
        <v>4748</v>
      </c>
      <c r="E2447" t="s">
        <v>6302</v>
      </c>
      <c r="F2447" t="s">
        <v>298</v>
      </c>
      <c r="G2447" t="s">
        <v>6274</v>
      </c>
      <c r="H2447" t="s">
        <v>6276</v>
      </c>
      <c r="I2447">
        <v>1</v>
      </c>
      <c r="J2447" t="s">
        <v>3227</v>
      </c>
      <c r="K2447">
        <v>100</v>
      </c>
      <c r="L2447" t="s">
        <v>6270</v>
      </c>
      <c r="M2447" s="37">
        <v>1</v>
      </c>
      <c r="N2447" s="37">
        <v>0.2</v>
      </c>
      <c r="O2447">
        <v>100</v>
      </c>
      <c r="P2447" s="37">
        <v>0.9727</v>
      </c>
      <c r="Q2447">
        <v>97.27</v>
      </c>
      <c r="R2447">
        <v>1550</v>
      </c>
      <c r="S2447">
        <v>1550</v>
      </c>
      <c r="T2447">
        <v>1000</v>
      </c>
      <c r="U2447" t="s">
        <v>6232</v>
      </c>
      <c r="X2447">
        <v>1</v>
      </c>
      <c r="Z2447" s="37">
        <v>1</v>
      </c>
      <c r="AA2447" s="37">
        <v>1</v>
      </c>
      <c r="AB2447">
        <v>0</v>
      </c>
    </row>
    <row r="2448">
      <c r="A2448" t="s">
        <v>6301</v>
      </c>
      <c r="B2448" t="s">
        <v>6278</v>
      </c>
      <c r="C2448" t="s">
        <v>6278</v>
      </c>
      <c r="D2448" t="s">
        <v>4748</v>
      </c>
      <c r="E2448" t="s">
        <v>6302</v>
      </c>
      <c r="F2448" t="s">
        <v>298</v>
      </c>
      <c r="G2448" t="s">
        <v>6274</v>
      </c>
      <c r="H2448" t="s">
        <v>2702</v>
      </c>
      <c r="I2448">
        <v>1</v>
      </c>
      <c r="J2448" t="s">
        <v>3227</v>
      </c>
      <c r="K2448">
        <v>74.1</v>
      </c>
      <c r="L2448" t="s">
        <v>6270</v>
      </c>
      <c r="M2448" s="37">
        <v>0.741</v>
      </c>
      <c r="N2448" s="37">
        <v>0.1</v>
      </c>
      <c r="O2448">
        <v>74.1</v>
      </c>
      <c r="P2448" s="37">
        <v>0.9727</v>
      </c>
      <c r="Q2448">
        <v>97.27</v>
      </c>
      <c r="R2448">
        <v>1550</v>
      </c>
      <c r="S2448">
        <v>1550</v>
      </c>
      <c r="T2448">
        <v>1000</v>
      </c>
      <c r="U2448" t="s">
        <v>6232</v>
      </c>
      <c r="X2448">
        <v>1</v>
      </c>
      <c r="Z2448" s="37">
        <v>1</v>
      </c>
      <c r="AA2448" s="37">
        <v>1</v>
      </c>
      <c r="AB2448">
        <v>0</v>
      </c>
    </row>
    <row r="2449">
      <c r="A2449" t="s">
        <v>6303</v>
      </c>
      <c r="B2449" t="s">
        <v>6272</v>
      </c>
      <c r="C2449" t="s">
        <v>6272</v>
      </c>
      <c r="D2449" t="s">
        <v>4748</v>
      </c>
      <c r="E2449" t="s">
        <v>6304</v>
      </c>
      <c r="F2449" t="s">
        <v>298</v>
      </c>
      <c r="G2449" t="s">
        <v>6274</v>
      </c>
      <c r="H2449" t="s">
        <v>6275</v>
      </c>
      <c r="I2449">
        <v>1</v>
      </c>
      <c r="J2449" t="s">
        <v>3227</v>
      </c>
      <c r="K2449">
        <v>99.4</v>
      </c>
      <c r="L2449" t="s">
        <v>6270</v>
      </c>
      <c r="M2449" s="37">
        <v>0.994</v>
      </c>
      <c r="N2449" s="37">
        <v>0.7</v>
      </c>
      <c r="O2449">
        <v>99.4</v>
      </c>
      <c r="P2449" s="37">
        <v>0.9699</v>
      </c>
      <c r="Q2449">
        <v>96.99</v>
      </c>
      <c r="R2449">
        <v>800</v>
      </c>
      <c r="S2449">
        <v>800</v>
      </c>
      <c r="T2449">
        <v>1000</v>
      </c>
      <c r="U2449" t="s">
        <v>6232</v>
      </c>
      <c r="X2449">
        <v>1</v>
      </c>
      <c r="Z2449" s="37">
        <v>1</v>
      </c>
      <c r="AA2449" s="37">
        <v>1</v>
      </c>
      <c r="AB2449">
        <v>0</v>
      </c>
    </row>
    <row r="2450">
      <c r="A2450" t="s">
        <v>6303</v>
      </c>
      <c r="B2450" t="s">
        <v>6272</v>
      </c>
      <c r="C2450" t="s">
        <v>6272</v>
      </c>
      <c r="D2450" t="s">
        <v>4748</v>
      </c>
      <c r="E2450" t="s">
        <v>6304</v>
      </c>
      <c r="F2450" t="s">
        <v>298</v>
      </c>
      <c r="G2450" t="s">
        <v>6274</v>
      </c>
      <c r="H2450" t="s">
        <v>6276</v>
      </c>
      <c r="I2450">
        <v>1</v>
      </c>
      <c r="J2450" t="s">
        <v>3227</v>
      </c>
      <c r="K2450">
        <v>100</v>
      </c>
      <c r="L2450" t="s">
        <v>6270</v>
      </c>
      <c r="M2450" s="37">
        <v>1</v>
      </c>
      <c r="N2450" s="37">
        <v>0.2</v>
      </c>
      <c r="O2450">
        <v>100</v>
      </c>
      <c r="P2450" s="37">
        <v>0.9699</v>
      </c>
      <c r="Q2450">
        <v>96.99</v>
      </c>
      <c r="R2450">
        <v>800</v>
      </c>
      <c r="S2450">
        <v>800</v>
      </c>
      <c r="T2450">
        <v>1000</v>
      </c>
      <c r="U2450" t="s">
        <v>6232</v>
      </c>
      <c r="X2450">
        <v>1</v>
      </c>
      <c r="Z2450" s="37">
        <v>1</v>
      </c>
      <c r="AA2450" s="37">
        <v>1</v>
      </c>
      <c r="AB2450">
        <v>0</v>
      </c>
    </row>
    <row r="2451">
      <c r="A2451" t="s">
        <v>6303</v>
      </c>
      <c r="B2451" t="s">
        <v>6272</v>
      </c>
      <c r="C2451" t="s">
        <v>6272</v>
      </c>
      <c r="D2451" t="s">
        <v>4748</v>
      </c>
      <c r="E2451" t="s">
        <v>6304</v>
      </c>
      <c r="F2451" t="s">
        <v>298</v>
      </c>
      <c r="G2451" t="s">
        <v>6274</v>
      </c>
      <c r="H2451" t="s">
        <v>2702</v>
      </c>
      <c r="I2451">
        <v>1</v>
      </c>
      <c r="J2451" t="s">
        <v>3227</v>
      </c>
      <c r="K2451">
        <v>74.1</v>
      </c>
      <c r="L2451" t="s">
        <v>6270</v>
      </c>
      <c r="M2451" s="37">
        <v>0.741</v>
      </c>
      <c r="N2451" s="37">
        <v>0.1</v>
      </c>
      <c r="O2451">
        <v>74.1</v>
      </c>
      <c r="P2451" s="37">
        <v>0.9699</v>
      </c>
      <c r="Q2451">
        <v>96.99</v>
      </c>
      <c r="R2451">
        <v>800</v>
      </c>
      <c r="S2451">
        <v>800</v>
      </c>
      <c r="T2451">
        <v>1000</v>
      </c>
      <c r="U2451" t="s">
        <v>6232</v>
      </c>
      <c r="X2451">
        <v>1</v>
      </c>
      <c r="Z2451" s="37">
        <v>1</v>
      </c>
      <c r="AA2451" s="37">
        <v>1</v>
      </c>
      <c r="AB2451">
        <v>0</v>
      </c>
    </row>
    <row r="2452">
      <c r="A2452" t="s">
        <v>6305</v>
      </c>
      <c r="B2452" t="s">
        <v>6288</v>
      </c>
      <c r="C2452" t="s">
        <v>6288</v>
      </c>
      <c r="D2452" t="s">
        <v>4748</v>
      </c>
      <c r="E2452" t="s">
        <v>6306</v>
      </c>
      <c r="F2452" t="s">
        <v>298</v>
      </c>
      <c r="G2452" t="s">
        <v>6274</v>
      </c>
      <c r="H2452" t="s">
        <v>6275</v>
      </c>
      <c r="I2452">
        <v>1</v>
      </c>
      <c r="J2452" t="s">
        <v>3227</v>
      </c>
      <c r="K2452">
        <v>95.8</v>
      </c>
      <c r="L2452" t="s">
        <v>6270</v>
      </c>
      <c r="M2452" s="37">
        <v>0.958</v>
      </c>
      <c r="N2452" s="37">
        <v>0.7</v>
      </c>
      <c r="O2452">
        <v>95.8</v>
      </c>
      <c r="P2452" s="37">
        <v>0.9247</v>
      </c>
      <c r="Q2452">
        <v>92.47</v>
      </c>
      <c r="R2452">
        <v>200</v>
      </c>
      <c r="S2452">
        <v>0</v>
      </c>
      <c r="T2452">
        <v>1000</v>
      </c>
      <c r="U2452" t="s">
        <v>6232</v>
      </c>
      <c r="X2452">
        <v>1</v>
      </c>
      <c r="Z2452" s="37">
        <v>1</v>
      </c>
      <c r="AA2452" s="37">
        <v>1</v>
      </c>
      <c r="AB2452">
        <v>0</v>
      </c>
    </row>
    <row r="2453">
      <c r="A2453" t="s">
        <v>6305</v>
      </c>
      <c r="B2453" t="s">
        <v>6288</v>
      </c>
      <c r="C2453" t="s">
        <v>6288</v>
      </c>
      <c r="D2453" t="s">
        <v>4748</v>
      </c>
      <c r="E2453" t="s">
        <v>6306</v>
      </c>
      <c r="F2453" t="s">
        <v>298</v>
      </c>
      <c r="G2453" t="s">
        <v>6274</v>
      </c>
      <c r="H2453" t="s">
        <v>6276</v>
      </c>
      <c r="I2453">
        <v>1</v>
      </c>
      <c r="J2453" t="s">
        <v>3227</v>
      </c>
      <c r="K2453">
        <v>90</v>
      </c>
      <c r="L2453" t="s">
        <v>6270</v>
      </c>
      <c r="M2453" s="37">
        <v>0.9</v>
      </c>
      <c r="N2453" s="37">
        <v>0.2</v>
      </c>
      <c r="O2453">
        <v>90</v>
      </c>
      <c r="P2453" s="37">
        <v>0.9247</v>
      </c>
      <c r="Q2453">
        <v>92.47</v>
      </c>
      <c r="R2453">
        <v>200</v>
      </c>
      <c r="S2453">
        <v>0</v>
      </c>
      <c r="T2453">
        <v>1000</v>
      </c>
      <c r="U2453" t="s">
        <v>6232</v>
      </c>
      <c r="X2453">
        <v>1</v>
      </c>
      <c r="Z2453" s="37">
        <v>1</v>
      </c>
      <c r="AA2453" s="37">
        <v>1</v>
      </c>
      <c r="AB2453">
        <v>0</v>
      </c>
    </row>
    <row r="2454">
      <c r="A2454" t="s">
        <v>6305</v>
      </c>
      <c r="B2454" t="s">
        <v>6288</v>
      </c>
      <c r="C2454" t="s">
        <v>6288</v>
      </c>
      <c r="D2454" t="s">
        <v>4748</v>
      </c>
      <c r="E2454" t="s">
        <v>6306</v>
      </c>
      <c r="F2454" t="s">
        <v>298</v>
      </c>
      <c r="G2454" t="s">
        <v>6274</v>
      </c>
      <c r="H2454" t="s">
        <v>2702</v>
      </c>
      <c r="I2454">
        <v>1</v>
      </c>
      <c r="J2454" t="s">
        <v>3227</v>
      </c>
      <c r="K2454">
        <v>74.1</v>
      </c>
      <c r="L2454" t="s">
        <v>6270</v>
      </c>
      <c r="M2454" s="37">
        <v>0.741</v>
      </c>
      <c r="N2454" s="37">
        <v>0.1</v>
      </c>
      <c r="O2454">
        <v>74.1</v>
      </c>
      <c r="P2454" s="37">
        <v>0.9247</v>
      </c>
      <c r="Q2454">
        <v>92.47</v>
      </c>
      <c r="R2454">
        <v>200</v>
      </c>
      <c r="S2454">
        <v>0</v>
      </c>
      <c r="T2454">
        <v>1000</v>
      </c>
      <c r="U2454" t="s">
        <v>6232</v>
      </c>
      <c r="X2454">
        <v>1</v>
      </c>
      <c r="Z2454" s="37">
        <v>1</v>
      </c>
      <c r="AA2454" s="37">
        <v>1</v>
      </c>
      <c r="AB2454">
        <v>0</v>
      </c>
    </row>
    <row r="2455">
      <c r="A2455" t="s">
        <v>6307</v>
      </c>
      <c r="B2455" t="s">
        <v>6278</v>
      </c>
      <c r="C2455" t="s">
        <v>6278</v>
      </c>
      <c r="D2455" t="s">
        <v>4748</v>
      </c>
      <c r="E2455" t="s">
        <v>6308</v>
      </c>
      <c r="F2455" t="s">
        <v>298</v>
      </c>
      <c r="G2455" t="s">
        <v>6274</v>
      </c>
      <c r="H2455" t="s">
        <v>6275</v>
      </c>
      <c r="I2455">
        <v>1</v>
      </c>
      <c r="J2455" t="s">
        <v>3227</v>
      </c>
      <c r="K2455">
        <v>95.125</v>
      </c>
      <c r="L2455" t="s">
        <v>6270</v>
      </c>
      <c r="M2455" s="37">
        <v>0.95125</v>
      </c>
      <c r="N2455" s="37">
        <v>0.7</v>
      </c>
      <c r="O2455">
        <v>95.125</v>
      </c>
      <c r="P2455" s="37">
        <v>0.903475</v>
      </c>
      <c r="Q2455">
        <v>95.12</v>
      </c>
      <c r="R2455">
        <v>700</v>
      </c>
      <c r="S2455">
        <v>700</v>
      </c>
      <c r="T2455">
        <v>1000</v>
      </c>
      <c r="U2455" t="s">
        <v>6232</v>
      </c>
      <c r="X2455">
        <v>1</v>
      </c>
      <c r="Z2455" s="37">
        <v>1</v>
      </c>
      <c r="AA2455" s="37">
        <v>1</v>
      </c>
      <c r="AB2455">
        <v>0</v>
      </c>
    </row>
    <row r="2456">
      <c r="A2456" t="s">
        <v>6307</v>
      </c>
      <c r="B2456" t="s">
        <v>6278</v>
      </c>
      <c r="C2456" t="s">
        <v>6278</v>
      </c>
      <c r="D2456" t="s">
        <v>4748</v>
      </c>
      <c r="E2456" t="s">
        <v>6308</v>
      </c>
      <c r="F2456" t="s">
        <v>298</v>
      </c>
      <c r="G2456" t="s">
        <v>6274</v>
      </c>
      <c r="H2456" t="s">
        <v>6276</v>
      </c>
      <c r="I2456">
        <v>1</v>
      </c>
      <c r="J2456" t="s">
        <v>3227</v>
      </c>
      <c r="K2456">
        <v>100</v>
      </c>
      <c r="L2456" t="s">
        <v>6270</v>
      </c>
      <c r="M2456" s="37">
        <v>1</v>
      </c>
      <c r="N2456" s="37">
        <v>0.2</v>
      </c>
      <c r="O2456">
        <v>100</v>
      </c>
      <c r="P2456" s="37">
        <v>0.903475</v>
      </c>
      <c r="Q2456">
        <v>95.12</v>
      </c>
      <c r="R2456">
        <v>700</v>
      </c>
      <c r="S2456">
        <v>700</v>
      </c>
      <c r="T2456">
        <v>1000</v>
      </c>
      <c r="U2456" t="s">
        <v>6232</v>
      </c>
      <c r="X2456">
        <v>1</v>
      </c>
      <c r="Z2456" s="37">
        <v>1</v>
      </c>
      <c r="AA2456" s="37">
        <v>1</v>
      </c>
      <c r="AB2456">
        <v>0</v>
      </c>
    </row>
    <row r="2457">
      <c r="A2457" t="s">
        <v>6307</v>
      </c>
      <c r="B2457" t="s">
        <v>6278</v>
      </c>
      <c r="C2457" t="s">
        <v>6278</v>
      </c>
      <c r="D2457" t="s">
        <v>4748</v>
      </c>
      <c r="E2457" t="s">
        <v>6308</v>
      </c>
      <c r="F2457" t="s">
        <v>298</v>
      </c>
      <c r="G2457" t="s">
        <v>6274</v>
      </c>
      <c r="H2457" t="s">
        <v>2702</v>
      </c>
      <c r="I2457">
        <v>1</v>
      </c>
      <c r="J2457" t="s">
        <v>3227</v>
      </c>
      <c r="K2457">
        <v>37.6</v>
      </c>
      <c r="L2457" t="s">
        <v>6270</v>
      </c>
      <c r="M2457" s="37">
        <v>0.376</v>
      </c>
      <c r="N2457" s="37">
        <v>0.1</v>
      </c>
      <c r="O2457">
        <v>37.6</v>
      </c>
      <c r="P2457" s="37">
        <v>0.903475</v>
      </c>
      <c r="Q2457">
        <v>95.12</v>
      </c>
      <c r="R2457">
        <v>700</v>
      </c>
      <c r="S2457">
        <v>700</v>
      </c>
      <c r="T2457">
        <v>1000</v>
      </c>
      <c r="U2457" t="s">
        <v>6232</v>
      </c>
      <c r="X2457">
        <v>1</v>
      </c>
      <c r="Z2457" s="37">
        <v>1</v>
      </c>
      <c r="AA2457" s="37">
        <v>1</v>
      </c>
      <c r="AB2457">
        <v>0</v>
      </c>
    </row>
    <row r="2458">
      <c r="A2458" t="s">
        <v>6309</v>
      </c>
      <c r="B2458" t="s">
        <v>6278</v>
      </c>
      <c r="C2458" t="s">
        <v>6278</v>
      </c>
      <c r="D2458" t="s">
        <v>4748</v>
      </c>
      <c r="E2458" t="s">
        <v>6310</v>
      </c>
      <c r="F2458" t="s">
        <v>298</v>
      </c>
      <c r="G2458" t="s">
        <v>6274</v>
      </c>
      <c r="H2458" t="s">
        <v>6275</v>
      </c>
      <c r="I2458">
        <v>1</v>
      </c>
      <c r="J2458" t="s">
        <v>3227</v>
      </c>
      <c r="K2458">
        <v>94.375</v>
      </c>
      <c r="L2458" t="s">
        <v>6270</v>
      </c>
      <c r="M2458" s="37">
        <v>0.94375</v>
      </c>
      <c r="N2458" s="37">
        <v>0.7</v>
      </c>
      <c r="O2458">
        <v>94.375</v>
      </c>
      <c r="P2458" s="37">
        <v>0.898225</v>
      </c>
      <c r="Q2458">
        <v>94.37</v>
      </c>
      <c r="R2458">
        <v>550</v>
      </c>
      <c r="S2458">
        <v>550</v>
      </c>
      <c r="T2458">
        <v>1000</v>
      </c>
      <c r="U2458" t="s">
        <v>6232</v>
      </c>
      <c r="X2458">
        <v>1</v>
      </c>
      <c r="Z2458" s="37">
        <v>1</v>
      </c>
      <c r="AA2458" s="37">
        <v>1</v>
      </c>
      <c r="AB2458">
        <v>0</v>
      </c>
    </row>
    <row r="2459">
      <c r="A2459" t="s">
        <v>6309</v>
      </c>
      <c r="B2459" t="s">
        <v>6278</v>
      </c>
      <c r="C2459" t="s">
        <v>6278</v>
      </c>
      <c r="D2459" t="s">
        <v>4748</v>
      </c>
      <c r="E2459" t="s">
        <v>6310</v>
      </c>
      <c r="F2459" t="s">
        <v>298</v>
      </c>
      <c r="G2459" t="s">
        <v>6274</v>
      </c>
      <c r="H2459" t="s">
        <v>6276</v>
      </c>
      <c r="I2459">
        <v>1</v>
      </c>
      <c r="J2459" t="s">
        <v>3227</v>
      </c>
      <c r="K2459">
        <v>100</v>
      </c>
      <c r="L2459" t="s">
        <v>6270</v>
      </c>
      <c r="M2459" s="37">
        <v>1</v>
      </c>
      <c r="N2459" s="37">
        <v>0.2</v>
      </c>
      <c r="O2459">
        <v>100</v>
      </c>
      <c r="P2459" s="37">
        <v>0.898225</v>
      </c>
      <c r="Q2459">
        <v>94.37</v>
      </c>
      <c r="R2459">
        <v>550</v>
      </c>
      <c r="S2459">
        <v>550</v>
      </c>
      <c r="T2459">
        <v>1000</v>
      </c>
      <c r="U2459" t="s">
        <v>6232</v>
      </c>
      <c r="X2459">
        <v>1</v>
      </c>
      <c r="Z2459" s="37">
        <v>1</v>
      </c>
      <c r="AA2459" s="37">
        <v>1</v>
      </c>
      <c r="AB2459">
        <v>0</v>
      </c>
    </row>
    <row r="2460">
      <c r="A2460" t="s">
        <v>6309</v>
      </c>
      <c r="B2460" t="s">
        <v>6278</v>
      </c>
      <c r="C2460" t="s">
        <v>6278</v>
      </c>
      <c r="D2460" t="s">
        <v>4748</v>
      </c>
      <c r="E2460" t="s">
        <v>6310</v>
      </c>
      <c r="F2460" t="s">
        <v>298</v>
      </c>
      <c r="G2460" t="s">
        <v>6274</v>
      </c>
      <c r="H2460" t="s">
        <v>2702</v>
      </c>
      <c r="I2460">
        <v>1</v>
      </c>
      <c r="J2460" t="s">
        <v>3227</v>
      </c>
      <c r="K2460">
        <v>37.6</v>
      </c>
      <c r="L2460" t="s">
        <v>6270</v>
      </c>
      <c r="M2460" s="37">
        <v>0.376</v>
      </c>
      <c r="N2460" s="37">
        <v>0.1</v>
      </c>
      <c r="O2460">
        <v>37.6</v>
      </c>
      <c r="P2460" s="37">
        <v>0.898225</v>
      </c>
      <c r="Q2460">
        <v>94.37</v>
      </c>
      <c r="R2460">
        <v>550</v>
      </c>
      <c r="S2460">
        <v>550</v>
      </c>
      <c r="T2460">
        <v>1000</v>
      </c>
      <c r="U2460" t="s">
        <v>6232</v>
      </c>
      <c r="X2460">
        <v>1</v>
      </c>
      <c r="Z2460" s="37">
        <v>1</v>
      </c>
      <c r="AA2460" s="37">
        <v>1</v>
      </c>
      <c r="AB2460">
        <v>0</v>
      </c>
    </row>
    <row r="2461">
      <c r="A2461" t="s">
        <v>6311</v>
      </c>
      <c r="B2461" t="s">
        <v>6272</v>
      </c>
      <c r="C2461" t="s">
        <v>6272</v>
      </c>
      <c r="D2461" t="s">
        <v>4748</v>
      </c>
      <c r="E2461" t="s">
        <v>6312</v>
      </c>
      <c r="F2461" t="s">
        <v>298</v>
      </c>
      <c r="G2461" t="s">
        <v>6274</v>
      </c>
      <c r="H2461" t="s">
        <v>6275</v>
      </c>
      <c r="I2461">
        <v>1</v>
      </c>
      <c r="J2461" t="s">
        <v>3227</v>
      </c>
      <c r="K2461">
        <v>82.14</v>
      </c>
      <c r="L2461" t="s">
        <v>6270</v>
      </c>
      <c r="M2461" s="37">
        <v>0.8214</v>
      </c>
      <c r="N2461" s="37">
        <v>0.7</v>
      </c>
      <c r="O2461">
        <v>82.14</v>
      </c>
      <c r="P2461" s="37">
        <v>0.8519</v>
      </c>
      <c r="Q2461">
        <v>82.14</v>
      </c>
      <c r="R2461">
        <v>300</v>
      </c>
      <c r="S2461">
        <v>850</v>
      </c>
      <c r="T2461">
        <v>1000</v>
      </c>
      <c r="U2461" t="s">
        <v>6232</v>
      </c>
      <c r="X2461">
        <v>1</v>
      </c>
      <c r="Z2461" s="37">
        <v>1</v>
      </c>
      <c r="AA2461" s="37">
        <v>1</v>
      </c>
      <c r="AB2461">
        <v>0</v>
      </c>
    </row>
    <row r="2462">
      <c r="A2462" t="s">
        <v>6311</v>
      </c>
      <c r="B2462" t="s">
        <v>6272</v>
      </c>
      <c r="C2462" t="s">
        <v>6272</v>
      </c>
      <c r="D2462" t="s">
        <v>4748</v>
      </c>
      <c r="E2462" t="s">
        <v>6312</v>
      </c>
      <c r="F2462" t="s">
        <v>298</v>
      </c>
      <c r="G2462" t="s">
        <v>6274</v>
      </c>
      <c r="H2462" t="s">
        <v>6276</v>
      </c>
      <c r="I2462">
        <v>1</v>
      </c>
      <c r="J2462" t="s">
        <v>3227</v>
      </c>
      <c r="K2462">
        <v>100</v>
      </c>
      <c r="L2462" t="s">
        <v>6270</v>
      </c>
      <c r="M2462" s="37">
        <v>1</v>
      </c>
      <c r="N2462" s="37">
        <v>0.2</v>
      </c>
      <c r="O2462">
        <v>100</v>
      </c>
      <c r="P2462" s="37">
        <v>0.8519</v>
      </c>
      <c r="Q2462">
        <v>82.14</v>
      </c>
      <c r="R2462">
        <v>300</v>
      </c>
      <c r="S2462">
        <v>850</v>
      </c>
      <c r="T2462">
        <v>1000</v>
      </c>
      <c r="U2462" t="s">
        <v>6232</v>
      </c>
      <c r="X2462">
        <v>1</v>
      </c>
      <c r="Z2462" s="37">
        <v>1</v>
      </c>
      <c r="AA2462" s="37">
        <v>1</v>
      </c>
      <c r="AB2462">
        <v>0</v>
      </c>
    </row>
    <row r="2463">
      <c r="A2463" t="s">
        <v>6311</v>
      </c>
      <c r="B2463" t="s">
        <v>6272</v>
      </c>
      <c r="C2463" t="s">
        <v>6272</v>
      </c>
      <c r="D2463" t="s">
        <v>4748</v>
      </c>
      <c r="E2463" t="s">
        <v>6312</v>
      </c>
      <c r="F2463" t="s">
        <v>298</v>
      </c>
      <c r="G2463" t="s">
        <v>6274</v>
      </c>
      <c r="H2463" t="s">
        <v>2702</v>
      </c>
      <c r="I2463">
        <v>1</v>
      </c>
      <c r="J2463" t="s">
        <v>3227</v>
      </c>
      <c r="K2463">
        <v>76.92</v>
      </c>
      <c r="L2463" t="s">
        <v>6270</v>
      </c>
      <c r="M2463" s="37">
        <v>0.7692</v>
      </c>
      <c r="N2463" s="37">
        <v>0.1</v>
      </c>
      <c r="O2463">
        <v>76.92</v>
      </c>
      <c r="P2463" s="37">
        <v>0.8519</v>
      </c>
      <c r="Q2463">
        <v>82.14</v>
      </c>
      <c r="R2463">
        <v>300</v>
      </c>
      <c r="S2463">
        <v>850</v>
      </c>
      <c r="T2463">
        <v>1000</v>
      </c>
      <c r="U2463" t="s">
        <v>6232</v>
      </c>
      <c r="X2463">
        <v>1</v>
      </c>
      <c r="Z2463" s="37">
        <v>1</v>
      </c>
      <c r="AA2463" s="37">
        <v>1</v>
      </c>
      <c r="AB2463">
        <v>0</v>
      </c>
    </row>
    <row r="2464">
      <c r="A2464" t="s">
        <v>6313</v>
      </c>
      <c r="B2464" t="s">
        <v>6314</v>
      </c>
      <c r="C2464" t="s">
        <v>6314</v>
      </c>
      <c r="D2464" t="s">
        <v>4748</v>
      </c>
      <c r="E2464" t="s">
        <v>6315</v>
      </c>
      <c r="F2464" t="s">
        <v>298</v>
      </c>
      <c r="G2464" t="s">
        <v>6274</v>
      </c>
      <c r="H2464" t="s">
        <v>6275</v>
      </c>
      <c r="I2464">
        <v>1</v>
      </c>
      <c r="J2464" t="s">
        <v>3227</v>
      </c>
      <c r="K2464">
        <v>97.5</v>
      </c>
      <c r="L2464" t="s">
        <v>6270</v>
      </c>
      <c r="M2464" s="37">
        <v>0.975</v>
      </c>
      <c r="N2464" s="37">
        <v>0.7</v>
      </c>
      <c r="O2464">
        <v>97.5</v>
      </c>
      <c r="P2464" s="37">
        <v>0.95942</v>
      </c>
      <c r="Q2464">
        <v>97.5</v>
      </c>
      <c r="R2464">
        <v>2600</v>
      </c>
      <c r="S2464">
        <v>3100</v>
      </c>
      <c r="T2464">
        <v>1000</v>
      </c>
      <c r="U2464" t="s">
        <v>6232</v>
      </c>
      <c r="X2464">
        <v>1</v>
      </c>
      <c r="Z2464" s="37">
        <v>1</v>
      </c>
      <c r="AA2464" s="37">
        <v>1</v>
      </c>
      <c r="AB2464">
        <v>0</v>
      </c>
    </row>
    <row r="2465">
      <c r="A2465" t="s">
        <v>6313</v>
      </c>
      <c r="B2465" t="s">
        <v>6314</v>
      </c>
      <c r="C2465" t="s">
        <v>6314</v>
      </c>
      <c r="D2465" t="s">
        <v>4748</v>
      </c>
      <c r="E2465" t="s">
        <v>6315</v>
      </c>
      <c r="F2465" t="s">
        <v>298</v>
      </c>
      <c r="G2465" t="s">
        <v>6274</v>
      </c>
      <c r="H2465" t="s">
        <v>6276</v>
      </c>
      <c r="I2465">
        <v>1</v>
      </c>
      <c r="J2465" t="s">
        <v>3227</v>
      </c>
      <c r="K2465">
        <v>100</v>
      </c>
      <c r="L2465" t="s">
        <v>6270</v>
      </c>
      <c r="M2465" s="37">
        <v>1</v>
      </c>
      <c r="N2465" s="37">
        <v>0.2</v>
      </c>
      <c r="O2465">
        <v>100</v>
      </c>
      <c r="P2465" s="37">
        <v>0.95942</v>
      </c>
      <c r="Q2465">
        <v>97.5</v>
      </c>
      <c r="R2465">
        <v>2600</v>
      </c>
      <c r="S2465">
        <v>3100</v>
      </c>
      <c r="T2465">
        <v>1000</v>
      </c>
      <c r="U2465" t="s">
        <v>6232</v>
      </c>
      <c r="X2465">
        <v>1</v>
      </c>
      <c r="Z2465" s="37">
        <v>1</v>
      </c>
      <c r="AA2465" s="37">
        <v>1</v>
      </c>
      <c r="AB2465">
        <v>0</v>
      </c>
    </row>
    <row r="2466">
      <c r="A2466" t="s">
        <v>6313</v>
      </c>
      <c r="B2466" t="s">
        <v>6314</v>
      </c>
      <c r="C2466" t="s">
        <v>6314</v>
      </c>
      <c r="D2466" t="s">
        <v>4748</v>
      </c>
      <c r="E2466" t="s">
        <v>6315</v>
      </c>
      <c r="F2466" t="s">
        <v>298</v>
      </c>
      <c r="G2466" t="s">
        <v>6274</v>
      </c>
      <c r="H2466" t="s">
        <v>2702</v>
      </c>
      <c r="I2466">
        <v>1</v>
      </c>
      <c r="J2466" t="s">
        <v>3227</v>
      </c>
      <c r="K2466">
        <v>76.92</v>
      </c>
      <c r="L2466" t="s">
        <v>6270</v>
      </c>
      <c r="M2466" s="37">
        <v>0.7692</v>
      </c>
      <c r="N2466" s="37">
        <v>0.1</v>
      </c>
      <c r="O2466">
        <v>76.92</v>
      </c>
      <c r="P2466" s="37">
        <v>0.95942</v>
      </c>
      <c r="Q2466">
        <v>97.5</v>
      </c>
      <c r="R2466">
        <v>2600</v>
      </c>
      <c r="S2466">
        <v>3100</v>
      </c>
      <c r="T2466">
        <v>1000</v>
      </c>
      <c r="U2466" t="s">
        <v>6232</v>
      </c>
      <c r="X2466">
        <v>1</v>
      </c>
      <c r="Z2466" s="37">
        <v>1</v>
      </c>
      <c r="AA2466" s="37">
        <v>1</v>
      </c>
      <c r="AB2466">
        <v>0</v>
      </c>
    </row>
    <row r="2467">
      <c r="A2467" t="s">
        <v>6316</v>
      </c>
      <c r="B2467" t="s">
        <v>6314</v>
      </c>
      <c r="C2467" t="s">
        <v>6314</v>
      </c>
      <c r="D2467" t="s">
        <v>4748</v>
      </c>
      <c r="E2467" t="s">
        <v>6317</v>
      </c>
      <c r="F2467" t="s">
        <v>298</v>
      </c>
      <c r="G2467" t="s">
        <v>6274</v>
      </c>
      <c r="H2467" t="s">
        <v>6275</v>
      </c>
      <c r="I2467">
        <v>1</v>
      </c>
      <c r="J2467" t="s">
        <v>3227</v>
      </c>
      <c r="K2467">
        <v>90.33</v>
      </c>
      <c r="L2467" t="s">
        <v>6270</v>
      </c>
      <c r="M2467" s="37">
        <v>0.9033</v>
      </c>
      <c r="N2467" s="37">
        <v>0.7</v>
      </c>
      <c r="O2467">
        <v>90.33</v>
      </c>
      <c r="P2467" s="37">
        <v>0.90923</v>
      </c>
      <c r="Q2467">
        <v>90.33</v>
      </c>
      <c r="R2467">
        <v>500</v>
      </c>
      <c r="S2467">
        <v>1000</v>
      </c>
      <c r="T2467">
        <v>1000</v>
      </c>
      <c r="U2467" t="s">
        <v>6232</v>
      </c>
      <c r="X2467">
        <v>1</v>
      </c>
      <c r="Z2467" s="37">
        <v>1</v>
      </c>
      <c r="AA2467" s="37">
        <v>1</v>
      </c>
      <c r="AB2467">
        <v>0</v>
      </c>
    </row>
    <row r="2468">
      <c r="A2468" t="s">
        <v>6316</v>
      </c>
      <c r="B2468" t="s">
        <v>6314</v>
      </c>
      <c r="C2468" t="s">
        <v>6314</v>
      </c>
      <c r="D2468" t="s">
        <v>4748</v>
      </c>
      <c r="E2468" t="s">
        <v>6317</v>
      </c>
      <c r="F2468" t="s">
        <v>298</v>
      </c>
      <c r="G2468" t="s">
        <v>6274</v>
      </c>
      <c r="H2468" t="s">
        <v>6276</v>
      </c>
      <c r="I2468">
        <v>1</v>
      </c>
      <c r="J2468" t="s">
        <v>3227</v>
      </c>
      <c r="K2468">
        <v>100</v>
      </c>
      <c r="L2468" t="s">
        <v>6270</v>
      </c>
      <c r="M2468" s="37">
        <v>1</v>
      </c>
      <c r="N2468" s="37">
        <v>0.2</v>
      </c>
      <c r="O2468">
        <v>100</v>
      </c>
      <c r="P2468" s="37">
        <v>0.90923</v>
      </c>
      <c r="Q2468">
        <v>90.33</v>
      </c>
      <c r="R2468">
        <v>500</v>
      </c>
      <c r="S2468">
        <v>1000</v>
      </c>
      <c r="T2468">
        <v>1000</v>
      </c>
      <c r="U2468" t="s">
        <v>6232</v>
      </c>
      <c r="X2468">
        <v>1</v>
      </c>
      <c r="Z2468" s="37">
        <v>1</v>
      </c>
      <c r="AA2468" s="37">
        <v>1</v>
      </c>
      <c r="AB2468">
        <v>0</v>
      </c>
    </row>
    <row r="2469">
      <c r="A2469" t="s">
        <v>6316</v>
      </c>
      <c r="B2469" t="s">
        <v>6314</v>
      </c>
      <c r="C2469" t="s">
        <v>6314</v>
      </c>
      <c r="D2469" t="s">
        <v>4748</v>
      </c>
      <c r="E2469" t="s">
        <v>6317</v>
      </c>
      <c r="F2469" t="s">
        <v>298</v>
      </c>
      <c r="G2469" t="s">
        <v>6274</v>
      </c>
      <c r="H2469" t="s">
        <v>2702</v>
      </c>
      <c r="I2469">
        <v>1</v>
      </c>
      <c r="J2469" t="s">
        <v>3227</v>
      </c>
      <c r="K2469">
        <v>76.92</v>
      </c>
      <c r="L2469" t="s">
        <v>6270</v>
      </c>
      <c r="M2469" s="37">
        <v>0.7692</v>
      </c>
      <c r="N2469" s="37">
        <v>0.1</v>
      </c>
      <c r="O2469">
        <v>76.92</v>
      </c>
      <c r="P2469" s="37">
        <v>0.90923</v>
      </c>
      <c r="Q2469">
        <v>90.33</v>
      </c>
      <c r="R2469">
        <v>500</v>
      </c>
      <c r="S2469">
        <v>1000</v>
      </c>
      <c r="T2469">
        <v>1000</v>
      </c>
      <c r="U2469" t="s">
        <v>6232</v>
      </c>
      <c r="X2469">
        <v>1</v>
      </c>
      <c r="Z2469" s="37">
        <v>1</v>
      </c>
      <c r="AA2469" s="37">
        <v>1</v>
      </c>
      <c r="AB2469">
        <v>0</v>
      </c>
    </row>
    <row r="2470">
      <c r="A2470" t="s">
        <v>6318</v>
      </c>
      <c r="B2470" t="s">
        <v>2698</v>
      </c>
      <c r="C2470" t="s">
        <v>2698</v>
      </c>
      <c r="D2470" t="s">
        <v>4748</v>
      </c>
      <c r="E2470" t="s">
        <v>6319</v>
      </c>
      <c r="F2470" t="s">
        <v>298</v>
      </c>
      <c r="G2470" t="s">
        <v>6274</v>
      </c>
      <c r="H2470" t="s">
        <v>6275</v>
      </c>
      <c r="I2470">
        <v>1</v>
      </c>
      <c r="J2470" t="s">
        <v>3227</v>
      </c>
      <c r="K2470">
        <v>90.8928</v>
      </c>
      <c r="L2470" t="s">
        <v>6270</v>
      </c>
      <c r="M2470" s="37">
        <v>0.908928</v>
      </c>
      <c r="N2470" s="37">
        <v>0.7</v>
      </c>
      <c r="O2470">
        <v>90.8928</v>
      </c>
      <c r="P2470" s="37">
        <v>0.91317</v>
      </c>
      <c r="Q2470">
        <v>91.31</v>
      </c>
      <c r="R2470">
        <v>600</v>
      </c>
      <c r="S2470">
        <v>600</v>
      </c>
      <c r="T2470">
        <v>1000</v>
      </c>
      <c r="U2470" t="s">
        <v>6232</v>
      </c>
      <c r="X2470">
        <v>1</v>
      </c>
      <c r="Z2470" s="37">
        <v>1</v>
      </c>
      <c r="AA2470" s="37">
        <v>1</v>
      </c>
      <c r="AB2470">
        <v>0</v>
      </c>
    </row>
    <row r="2471">
      <c r="A2471" t="s">
        <v>6318</v>
      </c>
      <c r="B2471" t="s">
        <v>2698</v>
      </c>
      <c r="C2471" t="s">
        <v>2698</v>
      </c>
      <c r="D2471" t="s">
        <v>4748</v>
      </c>
      <c r="E2471" t="s">
        <v>6319</v>
      </c>
      <c r="F2471" t="s">
        <v>298</v>
      </c>
      <c r="G2471" t="s">
        <v>6274</v>
      </c>
      <c r="H2471" t="s">
        <v>6276</v>
      </c>
      <c r="I2471">
        <v>1</v>
      </c>
      <c r="J2471" t="s">
        <v>3227</v>
      </c>
      <c r="K2471">
        <v>100</v>
      </c>
      <c r="L2471" t="s">
        <v>6270</v>
      </c>
      <c r="M2471" s="37">
        <v>1</v>
      </c>
      <c r="N2471" s="37">
        <v>0.2</v>
      </c>
      <c r="O2471">
        <v>100</v>
      </c>
      <c r="P2471" s="37">
        <v>0.91317</v>
      </c>
      <c r="Q2471">
        <v>91.31</v>
      </c>
      <c r="R2471">
        <v>600</v>
      </c>
      <c r="S2471">
        <v>600</v>
      </c>
      <c r="T2471">
        <v>1000</v>
      </c>
      <c r="U2471" t="s">
        <v>6232</v>
      </c>
      <c r="X2471">
        <v>1</v>
      </c>
      <c r="Z2471" s="37">
        <v>1</v>
      </c>
      <c r="AA2471" s="37">
        <v>1</v>
      </c>
      <c r="AB2471">
        <v>0</v>
      </c>
    </row>
    <row r="2472">
      <c r="A2472" t="s">
        <v>6318</v>
      </c>
      <c r="B2472" t="s">
        <v>2698</v>
      </c>
      <c r="C2472" t="s">
        <v>2698</v>
      </c>
      <c r="D2472" t="s">
        <v>4748</v>
      </c>
      <c r="E2472" t="s">
        <v>6319</v>
      </c>
      <c r="F2472" t="s">
        <v>298</v>
      </c>
      <c r="G2472" t="s">
        <v>6274</v>
      </c>
      <c r="H2472" t="s">
        <v>2702</v>
      </c>
      <c r="I2472">
        <v>1</v>
      </c>
      <c r="J2472" t="s">
        <v>3227</v>
      </c>
      <c r="K2472">
        <v>76.92</v>
      </c>
      <c r="L2472" t="s">
        <v>6270</v>
      </c>
      <c r="M2472" s="37">
        <v>0.7692</v>
      </c>
      <c r="N2472" s="37">
        <v>0.1</v>
      </c>
      <c r="O2472">
        <v>76.92</v>
      </c>
      <c r="P2472" s="37">
        <v>0.91317</v>
      </c>
      <c r="Q2472">
        <v>91.31</v>
      </c>
      <c r="R2472">
        <v>600</v>
      </c>
      <c r="S2472">
        <v>600</v>
      </c>
      <c r="T2472">
        <v>1000</v>
      </c>
      <c r="U2472" t="s">
        <v>6232</v>
      </c>
      <c r="X2472">
        <v>1</v>
      </c>
      <c r="Z2472" s="37">
        <v>1</v>
      </c>
      <c r="AA2472" s="37">
        <v>1</v>
      </c>
      <c r="AB2472">
        <v>0</v>
      </c>
    </row>
    <row r="2473">
      <c r="A2473" t="s">
        <v>6320</v>
      </c>
      <c r="B2473" t="s">
        <v>2698</v>
      </c>
      <c r="C2473" t="s">
        <v>2698</v>
      </c>
      <c r="D2473" t="s">
        <v>4748</v>
      </c>
      <c r="E2473" t="s">
        <v>6321</v>
      </c>
      <c r="F2473" t="s">
        <v>298</v>
      </c>
      <c r="G2473" t="s">
        <v>6274</v>
      </c>
      <c r="H2473" t="s">
        <v>6275</v>
      </c>
      <c r="I2473">
        <v>1</v>
      </c>
      <c r="J2473" t="s">
        <v>3227</v>
      </c>
      <c r="K2473">
        <v>95.33</v>
      </c>
      <c r="L2473" t="s">
        <v>6270</v>
      </c>
      <c r="M2473" s="37">
        <v>0.9533</v>
      </c>
      <c r="N2473" s="37">
        <v>0.7</v>
      </c>
      <c r="O2473">
        <v>95.33</v>
      </c>
      <c r="P2473" s="37">
        <v>0.94423</v>
      </c>
      <c r="Q2473">
        <v>95.33</v>
      </c>
      <c r="R2473">
        <v>1900</v>
      </c>
      <c r="S2473">
        <v>1900</v>
      </c>
      <c r="T2473">
        <v>1000</v>
      </c>
      <c r="U2473" t="s">
        <v>6232</v>
      </c>
      <c r="X2473">
        <v>1</v>
      </c>
      <c r="Z2473" s="37">
        <v>1</v>
      </c>
      <c r="AA2473" s="37">
        <v>1</v>
      </c>
      <c r="AB2473">
        <v>0</v>
      </c>
    </row>
    <row r="2474">
      <c r="A2474" t="s">
        <v>6320</v>
      </c>
      <c r="B2474" t="s">
        <v>2698</v>
      </c>
      <c r="C2474" t="s">
        <v>2698</v>
      </c>
      <c r="D2474" t="s">
        <v>4748</v>
      </c>
      <c r="E2474" t="s">
        <v>6321</v>
      </c>
      <c r="F2474" t="s">
        <v>298</v>
      </c>
      <c r="G2474" t="s">
        <v>6274</v>
      </c>
      <c r="H2474" t="s">
        <v>6276</v>
      </c>
      <c r="I2474">
        <v>1</v>
      </c>
      <c r="J2474" t="s">
        <v>3227</v>
      </c>
      <c r="K2474">
        <v>100</v>
      </c>
      <c r="L2474" t="s">
        <v>6270</v>
      </c>
      <c r="M2474" s="37">
        <v>1</v>
      </c>
      <c r="N2474" s="37">
        <v>0.2</v>
      </c>
      <c r="O2474">
        <v>100</v>
      </c>
      <c r="P2474" s="37">
        <v>0.94423</v>
      </c>
      <c r="Q2474">
        <v>95.33</v>
      </c>
      <c r="R2474">
        <v>1900</v>
      </c>
      <c r="S2474">
        <v>1900</v>
      </c>
      <c r="T2474">
        <v>1000</v>
      </c>
      <c r="U2474" t="s">
        <v>6232</v>
      </c>
      <c r="X2474">
        <v>1</v>
      </c>
      <c r="Z2474" s="37">
        <v>1</v>
      </c>
      <c r="AA2474" s="37">
        <v>1</v>
      </c>
      <c r="AB2474">
        <v>0</v>
      </c>
    </row>
    <row r="2475">
      <c r="A2475" t="s">
        <v>6320</v>
      </c>
      <c r="B2475" t="s">
        <v>2698</v>
      </c>
      <c r="C2475" t="s">
        <v>2698</v>
      </c>
      <c r="D2475" t="s">
        <v>4748</v>
      </c>
      <c r="E2475" t="s">
        <v>6321</v>
      </c>
      <c r="F2475" t="s">
        <v>298</v>
      </c>
      <c r="G2475" t="s">
        <v>6274</v>
      </c>
      <c r="H2475" t="s">
        <v>2702</v>
      </c>
      <c r="I2475">
        <v>1</v>
      </c>
      <c r="J2475" t="s">
        <v>3227</v>
      </c>
      <c r="K2475">
        <v>76.92</v>
      </c>
      <c r="L2475" t="s">
        <v>6270</v>
      </c>
      <c r="M2475" s="37">
        <v>0.7692</v>
      </c>
      <c r="N2475" s="37">
        <v>0.1</v>
      </c>
      <c r="O2475">
        <v>76.92</v>
      </c>
      <c r="P2475" s="37">
        <v>0.94423</v>
      </c>
      <c r="Q2475">
        <v>95.33</v>
      </c>
      <c r="R2475">
        <v>1900</v>
      </c>
      <c r="S2475">
        <v>1900</v>
      </c>
      <c r="T2475">
        <v>1000</v>
      </c>
      <c r="U2475" t="s">
        <v>6232</v>
      </c>
      <c r="X2475">
        <v>1</v>
      </c>
      <c r="Z2475" s="37">
        <v>1</v>
      </c>
      <c r="AA2475" s="37">
        <v>1</v>
      </c>
      <c r="AB2475">
        <v>0</v>
      </c>
    </row>
    <row r="2476">
      <c r="A2476" t="s">
        <v>6322</v>
      </c>
      <c r="B2476" t="s">
        <v>6314</v>
      </c>
      <c r="C2476" t="s">
        <v>6314</v>
      </c>
      <c r="D2476" t="s">
        <v>4748</v>
      </c>
      <c r="E2476" t="s">
        <v>6323</v>
      </c>
      <c r="F2476" t="s">
        <v>298</v>
      </c>
      <c r="G2476" t="s">
        <v>6274</v>
      </c>
      <c r="H2476" t="s">
        <v>6275</v>
      </c>
      <c r="I2476">
        <v>1</v>
      </c>
      <c r="J2476" t="s">
        <v>3227</v>
      </c>
      <c r="K2476">
        <v>93.83</v>
      </c>
      <c r="L2476" t="s">
        <v>6270</v>
      </c>
      <c r="M2476" s="37">
        <v>0.9383</v>
      </c>
      <c r="N2476" s="37">
        <v>0.7</v>
      </c>
      <c r="O2476">
        <v>93.83</v>
      </c>
      <c r="P2476" s="37">
        <v>0.93373</v>
      </c>
      <c r="Q2476">
        <v>93.83</v>
      </c>
      <c r="R2476">
        <v>933.33</v>
      </c>
      <c r="S2476">
        <v>1433.33</v>
      </c>
      <c r="T2476">
        <v>1000</v>
      </c>
      <c r="U2476" t="s">
        <v>6232</v>
      </c>
      <c r="X2476">
        <v>1</v>
      </c>
      <c r="Z2476" s="37">
        <v>1</v>
      </c>
      <c r="AA2476" s="37">
        <v>1</v>
      </c>
      <c r="AB2476">
        <v>0</v>
      </c>
    </row>
    <row r="2477">
      <c r="A2477" t="s">
        <v>6322</v>
      </c>
      <c r="B2477" t="s">
        <v>6314</v>
      </c>
      <c r="C2477" t="s">
        <v>6314</v>
      </c>
      <c r="D2477" t="s">
        <v>4748</v>
      </c>
      <c r="E2477" t="s">
        <v>6323</v>
      </c>
      <c r="F2477" t="s">
        <v>298</v>
      </c>
      <c r="G2477" t="s">
        <v>6274</v>
      </c>
      <c r="H2477" t="s">
        <v>6276</v>
      </c>
      <c r="I2477">
        <v>1</v>
      </c>
      <c r="J2477" t="s">
        <v>3227</v>
      </c>
      <c r="K2477">
        <v>100</v>
      </c>
      <c r="L2477" t="s">
        <v>6270</v>
      </c>
      <c r="M2477" s="37">
        <v>1</v>
      </c>
      <c r="N2477" s="37">
        <v>0.2</v>
      </c>
      <c r="O2477">
        <v>100</v>
      </c>
      <c r="P2477" s="37">
        <v>0.93373</v>
      </c>
      <c r="Q2477">
        <v>93.83</v>
      </c>
      <c r="R2477">
        <v>933.33</v>
      </c>
      <c r="S2477">
        <v>1433.33</v>
      </c>
      <c r="T2477">
        <v>1000</v>
      </c>
      <c r="U2477" t="s">
        <v>6232</v>
      </c>
      <c r="X2477">
        <v>1</v>
      </c>
      <c r="Z2477" s="37">
        <v>1</v>
      </c>
      <c r="AA2477" s="37">
        <v>1</v>
      </c>
      <c r="AB2477">
        <v>0</v>
      </c>
    </row>
    <row r="2478">
      <c r="A2478" t="s">
        <v>6322</v>
      </c>
      <c r="B2478" t="s">
        <v>6314</v>
      </c>
      <c r="C2478" t="s">
        <v>6314</v>
      </c>
      <c r="D2478" t="s">
        <v>4748</v>
      </c>
      <c r="E2478" t="s">
        <v>6323</v>
      </c>
      <c r="F2478" t="s">
        <v>298</v>
      </c>
      <c r="G2478" t="s">
        <v>6274</v>
      </c>
      <c r="H2478" t="s">
        <v>2702</v>
      </c>
      <c r="I2478">
        <v>1</v>
      </c>
      <c r="J2478" t="s">
        <v>3227</v>
      </c>
      <c r="K2478">
        <v>76.92</v>
      </c>
      <c r="L2478" t="s">
        <v>6270</v>
      </c>
      <c r="M2478" s="37">
        <v>0.7692</v>
      </c>
      <c r="N2478" s="37">
        <v>0.1</v>
      </c>
      <c r="O2478">
        <v>76.92</v>
      </c>
      <c r="P2478" s="37">
        <v>0.93373</v>
      </c>
      <c r="Q2478">
        <v>93.83</v>
      </c>
      <c r="R2478">
        <v>933.33</v>
      </c>
      <c r="S2478">
        <v>1433.33</v>
      </c>
      <c r="T2478">
        <v>1000</v>
      </c>
      <c r="U2478" t="s">
        <v>6232</v>
      </c>
      <c r="X2478">
        <v>1</v>
      </c>
      <c r="Z2478" s="37">
        <v>1</v>
      </c>
      <c r="AA2478" s="37">
        <v>1</v>
      </c>
      <c r="AB2478">
        <v>0</v>
      </c>
    </row>
    <row r="2479">
      <c r="A2479" t="s">
        <v>6324</v>
      </c>
      <c r="B2479" t="s">
        <v>2698</v>
      </c>
      <c r="C2479" t="s">
        <v>2698</v>
      </c>
      <c r="D2479" t="s">
        <v>4748</v>
      </c>
      <c r="E2479" t="s">
        <v>6325</v>
      </c>
      <c r="F2479" t="s">
        <v>298</v>
      </c>
      <c r="G2479" t="s">
        <v>6274</v>
      </c>
      <c r="H2479" t="s">
        <v>6275</v>
      </c>
      <c r="I2479">
        <v>1</v>
      </c>
      <c r="J2479" t="s">
        <v>3227</v>
      </c>
      <c r="K2479">
        <v>93.83</v>
      </c>
      <c r="L2479" t="s">
        <v>6270</v>
      </c>
      <c r="M2479" s="37">
        <v>0.9383</v>
      </c>
      <c r="N2479" s="37">
        <v>0.7</v>
      </c>
      <c r="O2479">
        <v>93.83</v>
      </c>
      <c r="P2479" s="37">
        <v>0.93373</v>
      </c>
      <c r="Q2479">
        <v>93.83</v>
      </c>
      <c r="R2479">
        <v>933.33</v>
      </c>
      <c r="S2479">
        <v>1533.33</v>
      </c>
      <c r="T2479">
        <v>1000</v>
      </c>
      <c r="U2479" t="s">
        <v>6232</v>
      </c>
      <c r="X2479">
        <v>1</v>
      </c>
      <c r="Z2479" s="37">
        <v>1</v>
      </c>
      <c r="AA2479" s="37">
        <v>1</v>
      </c>
      <c r="AB2479">
        <v>0</v>
      </c>
    </row>
    <row r="2480">
      <c r="A2480" t="s">
        <v>6324</v>
      </c>
      <c r="B2480" t="s">
        <v>2698</v>
      </c>
      <c r="C2480" t="s">
        <v>2698</v>
      </c>
      <c r="D2480" t="s">
        <v>4748</v>
      </c>
      <c r="E2480" t="s">
        <v>6325</v>
      </c>
      <c r="F2480" t="s">
        <v>298</v>
      </c>
      <c r="G2480" t="s">
        <v>6274</v>
      </c>
      <c r="H2480" t="s">
        <v>6276</v>
      </c>
      <c r="I2480">
        <v>1</v>
      </c>
      <c r="J2480" t="s">
        <v>3227</v>
      </c>
      <c r="K2480">
        <v>100</v>
      </c>
      <c r="L2480" t="s">
        <v>6270</v>
      </c>
      <c r="M2480" s="37">
        <v>1</v>
      </c>
      <c r="N2480" s="37">
        <v>0.2</v>
      </c>
      <c r="O2480">
        <v>100</v>
      </c>
      <c r="P2480" s="37">
        <v>0.93373</v>
      </c>
      <c r="Q2480">
        <v>93.83</v>
      </c>
      <c r="R2480">
        <v>933.33</v>
      </c>
      <c r="S2480">
        <v>1533.33</v>
      </c>
      <c r="T2480">
        <v>1000</v>
      </c>
      <c r="U2480" t="s">
        <v>6232</v>
      </c>
      <c r="X2480">
        <v>1</v>
      </c>
      <c r="Z2480" s="37">
        <v>1</v>
      </c>
      <c r="AA2480" s="37">
        <v>1</v>
      </c>
      <c r="AB2480">
        <v>0</v>
      </c>
    </row>
    <row r="2481">
      <c r="A2481" t="s">
        <v>6324</v>
      </c>
      <c r="B2481" t="s">
        <v>2698</v>
      </c>
      <c r="C2481" t="s">
        <v>2698</v>
      </c>
      <c r="D2481" t="s">
        <v>4748</v>
      </c>
      <c r="E2481" t="s">
        <v>6325</v>
      </c>
      <c r="F2481" t="s">
        <v>298</v>
      </c>
      <c r="G2481" t="s">
        <v>6274</v>
      </c>
      <c r="H2481" t="s">
        <v>2702</v>
      </c>
      <c r="I2481">
        <v>1</v>
      </c>
      <c r="J2481" t="s">
        <v>3227</v>
      </c>
      <c r="K2481">
        <v>76.92</v>
      </c>
      <c r="L2481" t="s">
        <v>6270</v>
      </c>
      <c r="M2481" s="37">
        <v>0.7692</v>
      </c>
      <c r="N2481" s="37">
        <v>0.1</v>
      </c>
      <c r="O2481">
        <v>76.92</v>
      </c>
      <c r="P2481" s="37">
        <v>0.93373</v>
      </c>
      <c r="Q2481">
        <v>93.83</v>
      </c>
      <c r="R2481">
        <v>933.33</v>
      </c>
      <c r="S2481">
        <v>1533.33</v>
      </c>
      <c r="T2481">
        <v>1000</v>
      </c>
      <c r="U2481" t="s">
        <v>6232</v>
      </c>
      <c r="X2481">
        <v>1</v>
      </c>
      <c r="Z2481" s="37">
        <v>1</v>
      </c>
      <c r="AA2481" s="37">
        <v>1</v>
      </c>
      <c r="AB2481">
        <v>0</v>
      </c>
    </row>
    <row r="2482">
      <c r="A2482" t="s">
        <v>6326</v>
      </c>
      <c r="B2482" t="s">
        <v>6281</v>
      </c>
      <c r="C2482" t="s">
        <v>6281</v>
      </c>
      <c r="D2482" t="s">
        <v>4748</v>
      </c>
      <c r="E2482" t="s">
        <v>6327</v>
      </c>
      <c r="F2482" t="s">
        <v>298</v>
      </c>
      <c r="G2482" t="s">
        <v>6274</v>
      </c>
      <c r="H2482" t="s">
        <v>6275</v>
      </c>
      <c r="I2482">
        <v>1</v>
      </c>
      <c r="J2482" t="s">
        <v>3227</v>
      </c>
      <c r="K2482">
        <v>94</v>
      </c>
      <c r="L2482" t="s">
        <v>6270</v>
      </c>
      <c r="M2482" s="37">
        <v>0.94</v>
      </c>
      <c r="N2482" s="37">
        <v>0.7</v>
      </c>
      <c r="O2482">
        <v>94</v>
      </c>
      <c r="P2482" s="37">
        <v>0.9321</v>
      </c>
      <c r="Q2482">
        <v>93.21</v>
      </c>
      <c r="R2482">
        <v>400</v>
      </c>
      <c r="S2482">
        <v>400</v>
      </c>
      <c r="T2482">
        <v>1000</v>
      </c>
      <c r="U2482" t="s">
        <v>6232</v>
      </c>
      <c r="X2482">
        <v>1</v>
      </c>
      <c r="Z2482" s="37">
        <v>1</v>
      </c>
      <c r="AA2482" s="37">
        <v>1</v>
      </c>
      <c r="AB2482">
        <v>0</v>
      </c>
    </row>
    <row r="2483">
      <c r="A2483" t="s">
        <v>6326</v>
      </c>
      <c r="B2483" t="s">
        <v>6281</v>
      </c>
      <c r="C2483" t="s">
        <v>6281</v>
      </c>
      <c r="D2483" t="s">
        <v>4748</v>
      </c>
      <c r="E2483" t="s">
        <v>6327</v>
      </c>
      <c r="F2483" t="s">
        <v>298</v>
      </c>
      <c r="G2483" t="s">
        <v>6274</v>
      </c>
      <c r="H2483" t="s">
        <v>6276</v>
      </c>
      <c r="I2483">
        <v>1</v>
      </c>
      <c r="J2483" t="s">
        <v>3227</v>
      </c>
      <c r="K2483">
        <v>100</v>
      </c>
      <c r="L2483" t="s">
        <v>6270</v>
      </c>
      <c r="M2483" s="37">
        <v>1</v>
      </c>
      <c r="N2483" s="37">
        <v>0.2</v>
      </c>
      <c r="O2483">
        <v>100</v>
      </c>
      <c r="P2483" s="37">
        <v>0.9321</v>
      </c>
      <c r="Q2483">
        <v>93.21</v>
      </c>
      <c r="R2483">
        <v>400</v>
      </c>
      <c r="S2483">
        <v>400</v>
      </c>
      <c r="T2483">
        <v>1000</v>
      </c>
      <c r="U2483" t="s">
        <v>6232</v>
      </c>
      <c r="X2483">
        <v>1</v>
      </c>
      <c r="Z2483" s="37">
        <v>1</v>
      </c>
      <c r="AA2483" s="37">
        <v>1</v>
      </c>
      <c r="AB2483">
        <v>0</v>
      </c>
    </row>
    <row r="2484">
      <c r="A2484" t="s">
        <v>6326</v>
      </c>
      <c r="B2484" t="s">
        <v>6281</v>
      </c>
      <c r="C2484" t="s">
        <v>6281</v>
      </c>
      <c r="D2484" t="s">
        <v>4748</v>
      </c>
      <c r="E2484" t="s">
        <v>6327</v>
      </c>
      <c r="F2484" t="s">
        <v>298</v>
      </c>
      <c r="G2484" t="s">
        <v>6274</v>
      </c>
      <c r="H2484" t="s">
        <v>2702</v>
      </c>
      <c r="I2484">
        <v>1</v>
      </c>
      <c r="J2484" t="s">
        <v>3227</v>
      </c>
      <c r="K2484">
        <v>74.1</v>
      </c>
      <c r="L2484" t="s">
        <v>6270</v>
      </c>
      <c r="M2484" s="37">
        <v>0.741</v>
      </c>
      <c r="N2484" s="37">
        <v>0.1</v>
      </c>
      <c r="O2484">
        <v>74.1</v>
      </c>
      <c r="P2484" s="37">
        <v>0.9321</v>
      </c>
      <c r="Q2484">
        <v>93.21</v>
      </c>
      <c r="R2484">
        <v>400</v>
      </c>
      <c r="S2484">
        <v>400</v>
      </c>
      <c r="T2484">
        <v>1000</v>
      </c>
      <c r="U2484" t="s">
        <v>6232</v>
      </c>
      <c r="X2484">
        <v>1</v>
      </c>
      <c r="Z2484" s="37">
        <v>1</v>
      </c>
      <c r="AA2484" s="37">
        <v>1</v>
      </c>
      <c r="AB2484">
        <v>0</v>
      </c>
    </row>
    <row r="2485">
      <c r="A2485" t="s">
        <v>6328</v>
      </c>
      <c r="B2485" t="s">
        <v>2698</v>
      </c>
      <c r="C2485" t="s">
        <v>2698</v>
      </c>
      <c r="D2485" t="s">
        <v>4748</v>
      </c>
      <c r="E2485" t="s">
        <v>6329</v>
      </c>
      <c r="F2485" t="s">
        <v>298</v>
      </c>
      <c r="G2485" t="s">
        <v>6274</v>
      </c>
      <c r="H2485" t="s">
        <v>6275</v>
      </c>
      <c r="I2485">
        <v>1</v>
      </c>
      <c r="J2485" t="s">
        <v>3227</v>
      </c>
      <c r="K2485">
        <v>91.9642</v>
      </c>
      <c r="L2485" t="s">
        <v>6270</v>
      </c>
      <c r="M2485" s="37">
        <v>0.919642</v>
      </c>
      <c r="N2485" s="37">
        <v>0.7</v>
      </c>
      <c r="O2485">
        <v>91.9642</v>
      </c>
      <c r="P2485" s="37">
        <v>0.920669</v>
      </c>
      <c r="Q2485">
        <v>92.06</v>
      </c>
      <c r="R2485">
        <v>800</v>
      </c>
      <c r="S2485">
        <v>800</v>
      </c>
      <c r="T2485">
        <v>1000</v>
      </c>
      <c r="U2485" t="s">
        <v>6232</v>
      </c>
      <c r="X2485">
        <v>1</v>
      </c>
      <c r="Z2485" s="37">
        <v>1</v>
      </c>
      <c r="AA2485" s="37">
        <v>1</v>
      </c>
      <c r="AB2485">
        <v>0</v>
      </c>
    </row>
    <row r="2486">
      <c r="A2486" t="s">
        <v>6328</v>
      </c>
      <c r="B2486" t="s">
        <v>2698</v>
      </c>
      <c r="C2486" t="s">
        <v>2698</v>
      </c>
      <c r="D2486" t="s">
        <v>4748</v>
      </c>
      <c r="E2486" t="s">
        <v>6329</v>
      </c>
      <c r="F2486" t="s">
        <v>298</v>
      </c>
      <c r="G2486" t="s">
        <v>6274</v>
      </c>
      <c r="H2486" t="s">
        <v>6276</v>
      </c>
      <c r="I2486">
        <v>1</v>
      </c>
      <c r="J2486" t="s">
        <v>3227</v>
      </c>
      <c r="K2486">
        <v>100</v>
      </c>
      <c r="L2486" t="s">
        <v>6270</v>
      </c>
      <c r="M2486" s="37">
        <v>1</v>
      </c>
      <c r="N2486" s="37">
        <v>0.2</v>
      </c>
      <c r="O2486">
        <v>100</v>
      </c>
      <c r="P2486" s="37">
        <v>0.920669</v>
      </c>
      <c r="Q2486">
        <v>92.06</v>
      </c>
      <c r="R2486">
        <v>800</v>
      </c>
      <c r="S2486">
        <v>800</v>
      </c>
      <c r="T2486">
        <v>1000</v>
      </c>
      <c r="U2486" t="s">
        <v>6232</v>
      </c>
      <c r="X2486">
        <v>1</v>
      </c>
      <c r="Z2486" s="37">
        <v>1</v>
      </c>
      <c r="AA2486" s="37">
        <v>1</v>
      </c>
      <c r="AB2486">
        <v>0</v>
      </c>
    </row>
    <row r="2487">
      <c r="A2487" t="s">
        <v>6328</v>
      </c>
      <c r="B2487" t="s">
        <v>2698</v>
      </c>
      <c r="C2487" t="s">
        <v>2698</v>
      </c>
      <c r="D2487" t="s">
        <v>4748</v>
      </c>
      <c r="E2487" t="s">
        <v>6329</v>
      </c>
      <c r="F2487" t="s">
        <v>298</v>
      </c>
      <c r="G2487" t="s">
        <v>6274</v>
      </c>
      <c r="H2487" t="s">
        <v>2702</v>
      </c>
      <c r="I2487">
        <v>1</v>
      </c>
      <c r="J2487" t="s">
        <v>3227</v>
      </c>
      <c r="K2487">
        <v>76.92</v>
      </c>
      <c r="L2487" t="s">
        <v>6270</v>
      </c>
      <c r="M2487" s="37">
        <v>0.7692</v>
      </c>
      <c r="N2487" s="37">
        <v>0.1</v>
      </c>
      <c r="O2487">
        <v>76.92</v>
      </c>
      <c r="P2487" s="37">
        <v>0.920669</v>
      </c>
      <c r="Q2487">
        <v>92.06</v>
      </c>
      <c r="R2487">
        <v>800</v>
      </c>
      <c r="S2487">
        <v>800</v>
      </c>
      <c r="T2487">
        <v>1000</v>
      </c>
      <c r="U2487" t="s">
        <v>6232</v>
      </c>
      <c r="X2487">
        <v>1</v>
      </c>
      <c r="Z2487" s="37">
        <v>1</v>
      </c>
      <c r="AA2487" s="37">
        <v>1</v>
      </c>
      <c r="AB2487">
        <v>0</v>
      </c>
    </row>
    <row r="2488">
      <c r="A2488" t="s">
        <v>6330</v>
      </c>
      <c r="B2488" t="s">
        <v>6281</v>
      </c>
      <c r="C2488" t="s">
        <v>6281</v>
      </c>
      <c r="D2488" t="s">
        <v>4748</v>
      </c>
      <c r="E2488" t="s">
        <v>6331</v>
      </c>
      <c r="F2488" t="s">
        <v>298</v>
      </c>
      <c r="G2488" t="s">
        <v>6274</v>
      </c>
      <c r="H2488" t="s">
        <v>6275</v>
      </c>
      <c r="I2488">
        <v>1</v>
      </c>
      <c r="J2488" t="s">
        <v>3227</v>
      </c>
      <c r="K2488">
        <v>86.6071</v>
      </c>
      <c r="L2488" t="s">
        <v>6270</v>
      </c>
      <c r="M2488" s="37">
        <v>0.866071</v>
      </c>
      <c r="N2488" s="37">
        <v>0.7</v>
      </c>
      <c r="O2488">
        <v>86.6071</v>
      </c>
      <c r="P2488" s="37">
        <v>0.88317</v>
      </c>
      <c r="Q2488">
        <v>88.31</v>
      </c>
      <c r="R2488">
        <v>400</v>
      </c>
      <c r="S2488">
        <v>400</v>
      </c>
      <c r="T2488">
        <v>1000</v>
      </c>
      <c r="U2488" t="s">
        <v>6232</v>
      </c>
      <c r="X2488">
        <v>1</v>
      </c>
      <c r="Z2488" s="37">
        <v>1</v>
      </c>
      <c r="AA2488" s="37">
        <v>1</v>
      </c>
      <c r="AB2488">
        <v>0</v>
      </c>
    </row>
    <row r="2489">
      <c r="A2489" t="s">
        <v>6330</v>
      </c>
      <c r="B2489" t="s">
        <v>6281</v>
      </c>
      <c r="C2489" t="s">
        <v>6281</v>
      </c>
      <c r="D2489" t="s">
        <v>4748</v>
      </c>
      <c r="E2489" t="s">
        <v>6331</v>
      </c>
      <c r="F2489" t="s">
        <v>298</v>
      </c>
      <c r="G2489" t="s">
        <v>6274</v>
      </c>
      <c r="H2489" t="s">
        <v>6276</v>
      </c>
      <c r="I2489">
        <v>1</v>
      </c>
      <c r="J2489" t="s">
        <v>3227</v>
      </c>
      <c r="K2489">
        <v>100</v>
      </c>
      <c r="L2489" t="s">
        <v>6270</v>
      </c>
      <c r="M2489" s="37">
        <v>1</v>
      </c>
      <c r="N2489" s="37">
        <v>0.2</v>
      </c>
      <c r="O2489">
        <v>100</v>
      </c>
      <c r="P2489" s="37">
        <v>0.88317</v>
      </c>
      <c r="Q2489">
        <v>88.31</v>
      </c>
      <c r="R2489">
        <v>400</v>
      </c>
      <c r="S2489">
        <v>400</v>
      </c>
      <c r="T2489">
        <v>1000</v>
      </c>
      <c r="U2489" t="s">
        <v>6232</v>
      </c>
      <c r="X2489">
        <v>1</v>
      </c>
      <c r="Z2489" s="37">
        <v>1</v>
      </c>
      <c r="AA2489" s="37">
        <v>1</v>
      </c>
      <c r="AB2489">
        <v>0</v>
      </c>
    </row>
    <row r="2490">
      <c r="A2490" t="s">
        <v>6330</v>
      </c>
      <c r="B2490" t="s">
        <v>6281</v>
      </c>
      <c r="C2490" t="s">
        <v>6281</v>
      </c>
      <c r="D2490" t="s">
        <v>4748</v>
      </c>
      <c r="E2490" t="s">
        <v>6331</v>
      </c>
      <c r="F2490" t="s">
        <v>298</v>
      </c>
      <c r="G2490" t="s">
        <v>6274</v>
      </c>
      <c r="H2490" t="s">
        <v>2702</v>
      </c>
      <c r="I2490">
        <v>1</v>
      </c>
      <c r="J2490" t="s">
        <v>3227</v>
      </c>
      <c r="K2490">
        <v>76.92</v>
      </c>
      <c r="L2490" t="s">
        <v>6270</v>
      </c>
      <c r="M2490" s="37">
        <v>0.7692</v>
      </c>
      <c r="N2490" s="37">
        <v>0.1</v>
      </c>
      <c r="O2490">
        <v>76.92</v>
      </c>
      <c r="P2490" s="37">
        <v>0.88317</v>
      </c>
      <c r="Q2490">
        <v>88.31</v>
      </c>
      <c r="R2490">
        <v>400</v>
      </c>
      <c r="S2490">
        <v>400</v>
      </c>
      <c r="T2490">
        <v>1000</v>
      </c>
      <c r="U2490" t="s">
        <v>6232</v>
      </c>
      <c r="X2490">
        <v>1</v>
      </c>
      <c r="Z2490" s="37">
        <v>1</v>
      </c>
      <c r="AA2490" s="37">
        <v>1</v>
      </c>
      <c r="AB2490">
        <v>0</v>
      </c>
    </row>
    <row r="2491">
      <c r="A2491" t="s">
        <v>6332</v>
      </c>
      <c r="B2491" t="s">
        <v>2698</v>
      </c>
      <c r="C2491" t="s">
        <v>2698</v>
      </c>
      <c r="D2491" t="s">
        <v>5155</v>
      </c>
      <c r="E2491" t="s">
        <v>6333</v>
      </c>
      <c r="F2491" t="s">
        <v>298</v>
      </c>
      <c r="G2491" t="s">
        <v>6334</v>
      </c>
      <c r="H2491" t="s">
        <v>6335</v>
      </c>
      <c r="I2491">
        <v>1</v>
      </c>
      <c r="J2491" t="s">
        <v>3227</v>
      </c>
      <c r="K2491">
        <v>0</v>
      </c>
      <c r="L2491" t="s">
        <v>6270</v>
      </c>
      <c r="M2491" s="37">
        <v>1</v>
      </c>
      <c r="N2491" s="37">
        <v>1</v>
      </c>
      <c r="O2491">
        <v>1</v>
      </c>
      <c r="P2491" s="37">
        <v>1</v>
      </c>
      <c r="Q2491">
        <v>0</v>
      </c>
      <c r="R2491">
        <v>1700</v>
      </c>
      <c r="S2491">
        <v>1700</v>
      </c>
      <c r="T2491">
        <v>10000</v>
      </c>
      <c r="U2491" t="s">
        <v>6232</v>
      </c>
      <c r="X2491">
        <v>1</v>
      </c>
      <c r="Z2491" s="37">
        <v>1</v>
      </c>
      <c r="AA2491" s="37">
        <v>1</v>
      </c>
      <c r="AB2491">
        <v>0</v>
      </c>
    </row>
    <row r="2492">
      <c r="A2492" t="s">
        <v>6336</v>
      </c>
      <c r="B2492" t="s">
        <v>2698</v>
      </c>
      <c r="C2492" t="s">
        <v>2698</v>
      </c>
      <c r="D2492" t="s">
        <v>5155</v>
      </c>
      <c r="E2492" t="s">
        <v>6337</v>
      </c>
      <c r="F2492" t="s">
        <v>298</v>
      </c>
      <c r="G2492" t="s">
        <v>6334</v>
      </c>
      <c r="H2492" t="s">
        <v>6335</v>
      </c>
      <c r="I2492">
        <v>1</v>
      </c>
      <c r="J2492" t="s">
        <v>3227</v>
      </c>
      <c r="K2492">
        <v>0</v>
      </c>
      <c r="L2492" t="s">
        <v>6270</v>
      </c>
      <c r="M2492" s="37">
        <v>1</v>
      </c>
      <c r="N2492" s="37">
        <v>1</v>
      </c>
      <c r="O2492">
        <v>1</v>
      </c>
      <c r="P2492" s="37">
        <v>1</v>
      </c>
      <c r="Q2492">
        <v>0</v>
      </c>
      <c r="R2492">
        <v>1000</v>
      </c>
      <c r="S2492">
        <v>1000</v>
      </c>
      <c r="T2492">
        <v>10000</v>
      </c>
      <c r="U2492" t="s">
        <v>6232</v>
      </c>
      <c r="X2492">
        <v>1</v>
      </c>
      <c r="Z2492" s="37">
        <v>1</v>
      </c>
      <c r="AA2492" s="37">
        <v>1</v>
      </c>
      <c r="AB2492">
        <v>0</v>
      </c>
    </row>
    <row r="2493">
      <c r="A2493" t="s">
        <v>6338</v>
      </c>
      <c r="B2493" t="s">
        <v>2698</v>
      </c>
      <c r="C2493" t="s">
        <v>2698</v>
      </c>
      <c r="D2493" t="s">
        <v>5155</v>
      </c>
      <c r="E2493" t="s">
        <v>6339</v>
      </c>
      <c r="F2493" t="s">
        <v>298</v>
      </c>
      <c r="G2493" t="s">
        <v>6334</v>
      </c>
      <c r="H2493" t="s">
        <v>6335</v>
      </c>
      <c r="I2493">
        <v>1</v>
      </c>
      <c r="J2493" t="s">
        <v>3227</v>
      </c>
      <c r="K2493">
        <v>0</v>
      </c>
      <c r="L2493" t="s">
        <v>6270</v>
      </c>
      <c r="M2493" s="37">
        <v>1</v>
      </c>
      <c r="N2493" s="37">
        <v>1</v>
      </c>
      <c r="O2493">
        <v>1</v>
      </c>
      <c r="P2493" s="37">
        <v>1</v>
      </c>
      <c r="Q2493">
        <v>0</v>
      </c>
      <c r="R2493">
        <v>700</v>
      </c>
      <c r="S2493">
        <v>700</v>
      </c>
      <c r="T2493">
        <v>10000</v>
      </c>
      <c r="U2493" t="s">
        <v>6232</v>
      </c>
      <c r="X2493">
        <v>1</v>
      </c>
      <c r="Z2493" s="37">
        <v>1</v>
      </c>
      <c r="AA2493" s="37">
        <v>1</v>
      </c>
      <c r="AB2493">
        <v>0</v>
      </c>
    </row>
    <row r="2494">
      <c r="A2494" t="s">
        <v>6340</v>
      </c>
      <c r="B2494" t="s">
        <v>2698</v>
      </c>
      <c r="C2494" t="s">
        <v>2698</v>
      </c>
      <c r="D2494" t="s">
        <v>5155</v>
      </c>
      <c r="E2494" t="s">
        <v>6341</v>
      </c>
      <c r="F2494" t="s">
        <v>298</v>
      </c>
      <c r="G2494" t="s">
        <v>6334</v>
      </c>
      <c r="H2494" t="s">
        <v>6335</v>
      </c>
      <c r="I2494">
        <v>1</v>
      </c>
      <c r="J2494" t="s">
        <v>3227</v>
      </c>
      <c r="K2494">
        <v>0</v>
      </c>
      <c r="L2494" t="s">
        <v>6270</v>
      </c>
      <c r="M2494" s="37">
        <v>1</v>
      </c>
      <c r="N2494" s="37">
        <v>1</v>
      </c>
      <c r="O2494">
        <v>1</v>
      </c>
      <c r="P2494" s="37">
        <v>1</v>
      </c>
      <c r="Q2494">
        <v>0</v>
      </c>
      <c r="R2494">
        <v>500</v>
      </c>
      <c r="S2494">
        <v>500</v>
      </c>
      <c r="T2494">
        <v>10000</v>
      </c>
      <c r="U2494" t="s">
        <v>6232</v>
      </c>
      <c r="X2494">
        <v>1</v>
      </c>
      <c r="Z2494" s="37">
        <v>1</v>
      </c>
      <c r="AA2494" s="37">
        <v>1</v>
      </c>
      <c r="AB2494">
        <v>0</v>
      </c>
    </row>
    <row r="2495">
      <c r="A2495" t="s">
        <v>6342</v>
      </c>
      <c r="B2495" t="s">
        <v>3527</v>
      </c>
      <c r="C2495" t="s">
        <v>3527</v>
      </c>
      <c r="D2495" t="s">
        <v>1013</v>
      </c>
      <c r="E2495" t="s">
        <v>6343</v>
      </c>
      <c r="F2495" t="s">
        <v>298</v>
      </c>
      <c r="G2495" t="s">
        <v>3623</v>
      </c>
      <c r="H2495" t="s">
        <v>3624</v>
      </c>
      <c r="I2495" t="s">
        <v>3639</v>
      </c>
      <c r="J2495" t="s">
        <v>977</v>
      </c>
      <c r="K2495" t="s">
        <v>6344</v>
      </c>
      <c r="L2495" t="s">
        <v>6270</v>
      </c>
      <c r="M2495" s="37">
        <v>0.19</v>
      </c>
      <c r="N2495" s="37">
        <v>0.5</v>
      </c>
      <c r="O2495">
        <v>0.19</v>
      </c>
      <c r="P2495" s="37">
        <v>0.365</v>
      </c>
      <c r="Q2495">
        <v>0.26</v>
      </c>
      <c r="R2495">
        <v>385.5</v>
      </c>
      <c r="S2495">
        <v>385.5</v>
      </c>
      <c r="T2495">
        <v>1500</v>
      </c>
      <c r="U2495" t="s">
        <v>6232</v>
      </c>
      <c r="X2495">
        <v>1</v>
      </c>
      <c r="Z2495" s="37">
        <v>1</v>
      </c>
      <c r="AA2495" s="37">
        <v>1</v>
      </c>
      <c r="AB2495">
        <v>0</v>
      </c>
    </row>
    <row r="2496">
      <c r="A2496" t="s">
        <v>6342</v>
      </c>
      <c r="B2496" t="s">
        <v>3527</v>
      </c>
      <c r="C2496" t="s">
        <v>3527</v>
      </c>
      <c r="D2496" t="s">
        <v>1013</v>
      </c>
      <c r="E2496" t="s">
        <v>6343</v>
      </c>
      <c r="F2496" t="s">
        <v>298</v>
      </c>
      <c r="G2496" t="s">
        <v>3623</v>
      </c>
      <c r="H2496" t="s">
        <v>3624</v>
      </c>
      <c r="I2496" t="s">
        <v>6345</v>
      </c>
      <c r="J2496" t="s">
        <v>3643</v>
      </c>
      <c r="K2496" t="s">
        <v>1529</v>
      </c>
      <c r="L2496" t="s">
        <v>6270</v>
      </c>
      <c r="M2496" s="37">
        <v>0</v>
      </c>
      <c r="N2496" s="37">
        <v>0.2</v>
      </c>
      <c r="O2496">
        <v>0</v>
      </c>
      <c r="P2496" s="37">
        <v>0.365</v>
      </c>
      <c r="Q2496">
        <v>0.26</v>
      </c>
      <c r="R2496">
        <v>385.5</v>
      </c>
      <c r="S2496">
        <v>385.5</v>
      </c>
      <c r="T2496">
        <v>1500</v>
      </c>
      <c r="U2496" t="s">
        <v>6232</v>
      </c>
      <c r="X2496">
        <v>1</v>
      </c>
      <c r="Z2496" s="37">
        <v>1</v>
      </c>
      <c r="AA2496" s="37">
        <v>1</v>
      </c>
      <c r="AB2496">
        <v>0</v>
      </c>
    </row>
    <row r="2497">
      <c r="A2497" t="s">
        <v>6342</v>
      </c>
      <c r="B2497" t="s">
        <v>3527</v>
      </c>
      <c r="C2497" t="s">
        <v>3527</v>
      </c>
      <c r="D2497" t="s">
        <v>1013</v>
      </c>
      <c r="E2497" t="s">
        <v>6343</v>
      </c>
      <c r="F2497" t="s">
        <v>298</v>
      </c>
      <c r="G2497" t="s">
        <v>3623</v>
      </c>
      <c r="H2497" t="s">
        <v>2404</v>
      </c>
      <c r="I2497" t="s">
        <v>3645</v>
      </c>
      <c r="J2497" t="s">
        <v>2267</v>
      </c>
      <c r="K2497" t="s">
        <v>3071</v>
      </c>
      <c r="L2497" t="s">
        <v>6346</v>
      </c>
      <c r="M2497" s="37">
        <v>0.9</v>
      </c>
      <c r="N2497" s="37">
        <v>0.3</v>
      </c>
      <c r="O2497">
        <v>0.54</v>
      </c>
      <c r="P2497" s="37">
        <v>0.365</v>
      </c>
      <c r="Q2497">
        <v>0.26</v>
      </c>
      <c r="R2497">
        <v>385.5</v>
      </c>
      <c r="S2497">
        <v>385.5</v>
      </c>
      <c r="T2497">
        <v>1500</v>
      </c>
      <c r="U2497" t="s">
        <v>6232</v>
      </c>
      <c r="X2497">
        <v>1</v>
      </c>
      <c r="Z2497" s="37">
        <v>1</v>
      </c>
      <c r="AA2497" s="37">
        <v>1</v>
      </c>
      <c r="AB2497">
        <v>0</v>
      </c>
    </row>
    <row r="2498">
      <c r="A2498" t="s">
        <v>6347</v>
      </c>
      <c r="B2498" t="s">
        <v>6288</v>
      </c>
      <c r="C2498" t="s">
        <v>6288</v>
      </c>
      <c r="D2498" t="s">
        <v>5922</v>
      </c>
      <c r="E2498" t="s">
        <v>6348</v>
      </c>
      <c r="F2498" t="s">
        <v>298</v>
      </c>
      <c r="G2498" t="s">
        <v>6334</v>
      </c>
      <c r="H2498" t="s">
        <v>6335</v>
      </c>
      <c r="I2498" t="s">
        <v>3645</v>
      </c>
      <c r="J2498" t="s">
        <v>3227</v>
      </c>
      <c r="K2498">
        <v>1857465</v>
      </c>
      <c r="L2498" t="s">
        <v>6346</v>
      </c>
      <c r="M2498" s="37">
        <v>1</v>
      </c>
      <c r="N2498" s="37">
        <v>1</v>
      </c>
      <c r="O2498">
        <v>1</v>
      </c>
      <c r="P2498" s="37">
        <v>1</v>
      </c>
      <c r="Q2498">
        <v>0</v>
      </c>
      <c r="R2498">
        <v>68000</v>
      </c>
      <c r="S2498">
        <v>68000</v>
      </c>
      <c r="T2498">
        <v>55000</v>
      </c>
      <c r="U2498" t="s">
        <v>6232</v>
      </c>
      <c r="X2498">
        <v>1</v>
      </c>
      <c r="Z2498" s="37">
        <v>1</v>
      </c>
      <c r="AA2498" s="37">
        <v>1</v>
      </c>
      <c r="AB2498">
        <v>0</v>
      </c>
    </row>
    <row r="2499">
      <c r="A2499" t="s">
        <v>6349</v>
      </c>
      <c r="B2499" t="s">
        <v>6281</v>
      </c>
      <c r="C2499" t="s">
        <v>6281</v>
      </c>
      <c r="D2499" t="s">
        <v>5148</v>
      </c>
      <c r="E2499" t="s">
        <v>6350</v>
      </c>
      <c r="F2499" t="s">
        <v>298</v>
      </c>
      <c r="G2499" t="s">
        <v>6334</v>
      </c>
      <c r="H2499" t="s">
        <v>6335</v>
      </c>
      <c r="I2499" t="s">
        <v>3645</v>
      </c>
      <c r="J2499" t="s">
        <v>3227</v>
      </c>
      <c r="K2499">
        <v>1595798</v>
      </c>
      <c r="L2499" t="s">
        <v>6346</v>
      </c>
      <c r="M2499" s="37">
        <v>1</v>
      </c>
      <c r="N2499" s="37">
        <v>1</v>
      </c>
      <c r="O2499">
        <v>1</v>
      </c>
      <c r="P2499" s="37">
        <v>1</v>
      </c>
      <c r="Q2499">
        <v>0</v>
      </c>
      <c r="R2499">
        <v>44600</v>
      </c>
      <c r="S2499">
        <v>44600</v>
      </c>
      <c r="T2499">
        <v>10000</v>
      </c>
      <c r="U2499" t="s">
        <v>6232</v>
      </c>
      <c r="X2499">
        <v>1</v>
      </c>
      <c r="Z2499" s="37">
        <v>1</v>
      </c>
      <c r="AA2499" s="37">
        <v>1</v>
      </c>
      <c r="AB2499">
        <v>0</v>
      </c>
    </row>
    <row r="2500">
      <c r="A2500" t="s">
        <v>6351</v>
      </c>
      <c r="B2500" t="s">
        <v>6281</v>
      </c>
      <c r="C2500" t="s">
        <v>6281</v>
      </c>
      <c r="D2500" t="s">
        <v>5155</v>
      </c>
      <c r="E2500" t="s">
        <v>6352</v>
      </c>
      <c r="F2500" t="s">
        <v>298</v>
      </c>
      <c r="G2500" t="s">
        <v>6334</v>
      </c>
      <c r="H2500" t="s">
        <v>6335</v>
      </c>
      <c r="I2500" t="s">
        <v>3645</v>
      </c>
      <c r="J2500" t="s">
        <v>3227</v>
      </c>
      <c r="K2500">
        <v>1533937</v>
      </c>
      <c r="L2500" t="s">
        <v>6346</v>
      </c>
      <c r="M2500" s="37">
        <v>1</v>
      </c>
      <c r="N2500" s="37">
        <v>1</v>
      </c>
      <c r="O2500">
        <v>1</v>
      </c>
      <c r="P2500" s="37">
        <v>1</v>
      </c>
      <c r="Q2500">
        <v>0</v>
      </c>
      <c r="R2500">
        <v>30200</v>
      </c>
      <c r="S2500">
        <v>30200</v>
      </c>
      <c r="T2500">
        <v>10000</v>
      </c>
      <c r="U2500" t="s">
        <v>6232</v>
      </c>
      <c r="X2500">
        <v>1</v>
      </c>
      <c r="Z2500" s="37">
        <v>1</v>
      </c>
      <c r="AA2500" s="37">
        <v>1</v>
      </c>
      <c r="AB2500">
        <v>0</v>
      </c>
    </row>
    <row r="2501">
      <c r="A2501" t="s">
        <v>6353</v>
      </c>
      <c r="B2501" t="s">
        <v>6314</v>
      </c>
      <c r="C2501" t="s">
        <v>6314</v>
      </c>
      <c r="D2501" t="s">
        <v>5155</v>
      </c>
      <c r="E2501" t="s">
        <v>6354</v>
      </c>
      <c r="F2501" t="s">
        <v>298</v>
      </c>
      <c r="G2501" t="s">
        <v>6334</v>
      </c>
      <c r="H2501" t="s">
        <v>6335</v>
      </c>
      <c r="I2501" t="s">
        <v>3645</v>
      </c>
      <c r="J2501" t="s">
        <v>3227</v>
      </c>
      <c r="K2501">
        <v>1209173</v>
      </c>
      <c r="L2501" t="s">
        <v>6346</v>
      </c>
      <c r="M2501" s="37">
        <v>1</v>
      </c>
      <c r="N2501" s="37">
        <v>1</v>
      </c>
      <c r="O2501">
        <v>1</v>
      </c>
      <c r="P2501" s="37">
        <v>1</v>
      </c>
      <c r="Q2501">
        <v>0</v>
      </c>
      <c r="R2501">
        <v>23200</v>
      </c>
      <c r="S2501">
        <v>23600</v>
      </c>
      <c r="T2501">
        <v>10000</v>
      </c>
      <c r="U2501" t="s">
        <v>6232</v>
      </c>
      <c r="X2501">
        <v>1</v>
      </c>
      <c r="Z2501" s="37">
        <v>1</v>
      </c>
      <c r="AA2501" s="37">
        <v>1</v>
      </c>
      <c r="AB2501">
        <v>0</v>
      </c>
    </row>
    <row r="2502">
      <c r="A2502" t="s">
        <v>6355</v>
      </c>
      <c r="B2502" t="s">
        <v>6281</v>
      </c>
      <c r="C2502" t="s">
        <v>6281</v>
      </c>
      <c r="D2502" t="s">
        <v>5922</v>
      </c>
      <c r="E2502" t="s">
        <v>6356</v>
      </c>
      <c r="F2502" t="s">
        <v>298</v>
      </c>
      <c r="G2502" t="s">
        <v>6334</v>
      </c>
      <c r="H2502" t="s">
        <v>6335</v>
      </c>
      <c r="I2502" t="s">
        <v>3645</v>
      </c>
      <c r="J2502" t="s">
        <v>3227</v>
      </c>
      <c r="K2502">
        <v>1147138</v>
      </c>
      <c r="L2502" t="s">
        <v>6346</v>
      </c>
      <c r="M2502" s="37">
        <v>1</v>
      </c>
      <c r="N2502" s="37">
        <v>1</v>
      </c>
      <c r="O2502">
        <v>1</v>
      </c>
      <c r="P2502" s="37">
        <v>1</v>
      </c>
      <c r="Q2502">
        <v>0</v>
      </c>
      <c r="R2502">
        <v>19200</v>
      </c>
      <c r="S2502">
        <v>19200</v>
      </c>
      <c r="T2502">
        <v>55000</v>
      </c>
      <c r="U2502" t="s">
        <v>6232</v>
      </c>
      <c r="X2502">
        <v>1</v>
      </c>
      <c r="Z2502" s="37">
        <v>1</v>
      </c>
      <c r="AA2502" s="37">
        <v>1</v>
      </c>
      <c r="AB2502">
        <v>0</v>
      </c>
    </row>
    <row r="2503">
      <c r="A2503" t="s">
        <v>6357</v>
      </c>
      <c r="B2503" t="s">
        <v>6314</v>
      </c>
      <c r="C2503" t="s">
        <v>6314</v>
      </c>
      <c r="D2503" t="s">
        <v>5922</v>
      </c>
      <c r="E2503" t="s">
        <v>2974</v>
      </c>
      <c r="F2503" t="s">
        <v>298</v>
      </c>
      <c r="G2503" t="s">
        <v>6334</v>
      </c>
      <c r="H2503" t="s">
        <v>6335</v>
      </c>
      <c r="I2503" t="s">
        <v>3645</v>
      </c>
      <c r="J2503" t="s">
        <v>3227</v>
      </c>
      <c r="K2503">
        <v>1100826</v>
      </c>
      <c r="L2503" t="s">
        <v>6346</v>
      </c>
      <c r="M2503" s="37">
        <v>1</v>
      </c>
      <c r="N2503" s="37">
        <v>1</v>
      </c>
      <c r="O2503">
        <v>1</v>
      </c>
      <c r="P2503" s="37">
        <v>1</v>
      </c>
      <c r="Q2503">
        <v>0</v>
      </c>
      <c r="R2503">
        <v>16200</v>
      </c>
      <c r="S2503">
        <v>16400</v>
      </c>
      <c r="T2503">
        <v>55000</v>
      </c>
      <c r="U2503" t="s">
        <v>6232</v>
      </c>
      <c r="X2503">
        <v>1</v>
      </c>
      <c r="Z2503" s="37">
        <v>1</v>
      </c>
      <c r="AA2503" s="37">
        <v>1</v>
      </c>
      <c r="AB2503">
        <v>0</v>
      </c>
    </row>
    <row r="2504">
      <c r="A2504" t="s">
        <v>6358</v>
      </c>
      <c r="B2504" t="s">
        <v>6281</v>
      </c>
      <c r="C2504" t="s">
        <v>6281</v>
      </c>
      <c r="D2504" t="s">
        <v>5155</v>
      </c>
      <c r="E2504" t="s">
        <v>6359</v>
      </c>
      <c r="F2504" t="s">
        <v>298</v>
      </c>
      <c r="G2504" t="s">
        <v>6334</v>
      </c>
      <c r="H2504" t="s">
        <v>6335</v>
      </c>
      <c r="I2504" t="s">
        <v>3645</v>
      </c>
      <c r="J2504" t="s">
        <v>3227</v>
      </c>
      <c r="K2504">
        <v>1089909</v>
      </c>
      <c r="L2504" t="s">
        <v>6346</v>
      </c>
      <c r="M2504" s="37">
        <v>1</v>
      </c>
      <c r="N2504" s="37">
        <v>1</v>
      </c>
      <c r="O2504">
        <v>1</v>
      </c>
      <c r="P2504" s="37">
        <v>1</v>
      </c>
      <c r="Q2504">
        <v>0</v>
      </c>
      <c r="R2504">
        <v>14200</v>
      </c>
      <c r="S2504">
        <v>11200</v>
      </c>
      <c r="T2504">
        <v>10000</v>
      </c>
      <c r="U2504" t="s">
        <v>6232</v>
      </c>
      <c r="X2504">
        <v>1</v>
      </c>
      <c r="Z2504" s="37">
        <v>1</v>
      </c>
      <c r="AA2504" s="37">
        <v>1</v>
      </c>
      <c r="AB2504">
        <v>0</v>
      </c>
    </row>
    <row r="2505">
      <c r="A2505" t="s">
        <v>6360</v>
      </c>
      <c r="B2505" t="s">
        <v>6314</v>
      </c>
      <c r="C2505" t="s">
        <v>6314</v>
      </c>
      <c r="D2505" t="s">
        <v>5922</v>
      </c>
      <c r="E2505" t="s">
        <v>6361</v>
      </c>
      <c r="F2505" t="s">
        <v>298</v>
      </c>
      <c r="G2505" t="s">
        <v>6334</v>
      </c>
      <c r="H2505" t="s">
        <v>6335</v>
      </c>
      <c r="I2505" t="s">
        <v>3645</v>
      </c>
      <c r="J2505" t="s">
        <v>3227</v>
      </c>
      <c r="K2505">
        <v>985303</v>
      </c>
      <c r="L2505" t="s">
        <v>6346</v>
      </c>
      <c r="M2505" s="37">
        <v>1</v>
      </c>
      <c r="N2505" s="37">
        <v>1</v>
      </c>
      <c r="O2505">
        <v>1</v>
      </c>
      <c r="P2505" s="37">
        <v>1</v>
      </c>
      <c r="Q2505">
        <v>0</v>
      </c>
      <c r="R2505">
        <v>12700</v>
      </c>
      <c r="S2505">
        <v>12700</v>
      </c>
      <c r="T2505">
        <v>55000</v>
      </c>
      <c r="U2505" t="s">
        <v>6232</v>
      </c>
      <c r="X2505">
        <v>1</v>
      </c>
      <c r="Z2505" s="37">
        <v>1</v>
      </c>
      <c r="AA2505" s="37">
        <v>1</v>
      </c>
      <c r="AB2505">
        <v>0</v>
      </c>
    </row>
    <row r="2506">
      <c r="A2506" t="s">
        <v>6362</v>
      </c>
      <c r="B2506" t="s">
        <v>6363</v>
      </c>
      <c r="C2506" t="s">
        <v>6363</v>
      </c>
      <c r="D2506" t="s">
        <v>5155</v>
      </c>
      <c r="E2506" t="s">
        <v>6364</v>
      </c>
      <c r="F2506" t="s">
        <v>298</v>
      </c>
      <c r="G2506" t="s">
        <v>6334</v>
      </c>
      <c r="H2506" t="s">
        <v>6335</v>
      </c>
      <c r="I2506" t="s">
        <v>3645</v>
      </c>
      <c r="J2506" t="s">
        <v>3227</v>
      </c>
      <c r="K2506">
        <v>917242</v>
      </c>
      <c r="L2506" t="s">
        <v>6346</v>
      </c>
      <c r="M2506" s="37">
        <v>1</v>
      </c>
      <c r="N2506" s="37">
        <v>1</v>
      </c>
      <c r="O2506">
        <v>1</v>
      </c>
      <c r="P2506" s="37">
        <v>1</v>
      </c>
      <c r="Q2506">
        <v>0</v>
      </c>
      <c r="R2506">
        <v>11400</v>
      </c>
      <c r="S2506">
        <v>11900</v>
      </c>
      <c r="T2506">
        <v>10000</v>
      </c>
      <c r="U2506" t="s">
        <v>6232</v>
      </c>
      <c r="X2506">
        <v>1</v>
      </c>
      <c r="Z2506" s="37">
        <v>1</v>
      </c>
      <c r="AA2506" s="37">
        <v>1</v>
      </c>
      <c r="AB2506">
        <v>0</v>
      </c>
    </row>
    <row r="2507">
      <c r="A2507" t="s">
        <v>6365</v>
      </c>
      <c r="B2507" t="s">
        <v>6288</v>
      </c>
      <c r="C2507" t="s">
        <v>6288</v>
      </c>
      <c r="D2507" t="s">
        <v>5155</v>
      </c>
      <c r="E2507" t="s">
        <v>6366</v>
      </c>
      <c r="F2507" t="s">
        <v>298</v>
      </c>
      <c r="G2507" t="s">
        <v>6334</v>
      </c>
      <c r="H2507" t="s">
        <v>6335</v>
      </c>
      <c r="I2507" t="s">
        <v>3645</v>
      </c>
      <c r="J2507" t="s">
        <v>3227</v>
      </c>
      <c r="K2507">
        <v>721936</v>
      </c>
      <c r="L2507" t="s">
        <v>6346</v>
      </c>
      <c r="M2507" s="37">
        <v>1</v>
      </c>
      <c r="N2507" s="37">
        <v>1</v>
      </c>
      <c r="O2507">
        <v>1</v>
      </c>
      <c r="P2507" s="37">
        <v>1</v>
      </c>
      <c r="Q2507">
        <v>0</v>
      </c>
      <c r="R2507">
        <v>10100</v>
      </c>
      <c r="S2507">
        <v>10100</v>
      </c>
      <c r="T2507">
        <v>10000</v>
      </c>
      <c r="U2507" t="s">
        <v>6232</v>
      </c>
      <c r="X2507">
        <v>1</v>
      </c>
      <c r="Z2507" s="37">
        <v>1</v>
      </c>
      <c r="AA2507" s="37">
        <v>1</v>
      </c>
      <c r="AB2507">
        <v>0</v>
      </c>
    </row>
    <row r="2508">
      <c r="A2508" t="s">
        <v>6367</v>
      </c>
      <c r="B2508" t="s">
        <v>6278</v>
      </c>
      <c r="C2508" t="s">
        <v>6278</v>
      </c>
      <c r="D2508" t="s">
        <v>5155</v>
      </c>
      <c r="E2508" t="s">
        <v>6368</v>
      </c>
      <c r="F2508" t="s">
        <v>298</v>
      </c>
      <c r="G2508" t="s">
        <v>6334</v>
      </c>
      <c r="H2508" t="s">
        <v>6335</v>
      </c>
      <c r="I2508" t="s">
        <v>3645</v>
      </c>
      <c r="J2508" t="s">
        <v>3227</v>
      </c>
      <c r="K2508">
        <v>315525</v>
      </c>
      <c r="L2508" t="s">
        <v>6346</v>
      </c>
      <c r="M2508" s="37">
        <v>1</v>
      </c>
      <c r="N2508" s="37">
        <v>1</v>
      </c>
      <c r="O2508">
        <v>1</v>
      </c>
      <c r="P2508" s="37">
        <v>1</v>
      </c>
      <c r="Q2508">
        <v>0</v>
      </c>
      <c r="R2508">
        <v>8800</v>
      </c>
      <c r="S2508">
        <v>8800</v>
      </c>
      <c r="T2508">
        <v>10000</v>
      </c>
      <c r="U2508" t="s">
        <v>6232</v>
      </c>
      <c r="X2508">
        <v>1</v>
      </c>
      <c r="Z2508" s="37">
        <v>1</v>
      </c>
      <c r="AA2508" s="37">
        <v>1</v>
      </c>
      <c r="AB2508">
        <v>0</v>
      </c>
    </row>
    <row r="2509">
      <c r="A2509" t="s">
        <v>6369</v>
      </c>
      <c r="B2509" t="s">
        <v>2698</v>
      </c>
      <c r="C2509" t="s">
        <v>2698</v>
      </c>
      <c r="D2509" t="s">
        <v>5155</v>
      </c>
      <c r="E2509" t="s">
        <v>6370</v>
      </c>
      <c r="F2509" t="s">
        <v>298</v>
      </c>
      <c r="G2509" t="s">
        <v>6334</v>
      </c>
      <c r="H2509" t="s">
        <v>6335</v>
      </c>
      <c r="I2509" t="s">
        <v>3645</v>
      </c>
      <c r="J2509" t="s">
        <v>3227</v>
      </c>
      <c r="K2509">
        <v>198019</v>
      </c>
      <c r="L2509" t="s">
        <v>6346</v>
      </c>
      <c r="M2509" s="37">
        <v>1</v>
      </c>
      <c r="N2509" s="37">
        <v>1</v>
      </c>
      <c r="O2509">
        <v>1</v>
      </c>
      <c r="P2509" s="37">
        <v>1</v>
      </c>
      <c r="Q2509">
        <v>0</v>
      </c>
      <c r="R2509">
        <v>7800</v>
      </c>
      <c r="S2509">
        <v>7800</v>
      </c>
      <c r="T2509">
        <v>10000</v>
      </c>
      <c r="U2509" t="s">
        <v>6232</v>
      </c>
      <c r="X2509">
        <v>1</v>
      </c>
      <c r="Z2509" s="37">
        <v>1</v>
      </c>
      <c r="AA2509" s="37">
        <v>1</v>
      </c>
      <c r="AB2509">
        <v>0</v>
      </c>
    </row>
    <row r="2510">
      <c r="A2510" t="s">
        <v>6371</v>
      </c>
      <c r="B2510" t="s">
        <v>6272</v>
      </c>
      <c r="C2510" t="s">
        <v>6272</v>
      </c>
      <c r="D2510" t="s">
        <v>5155</v>
      </c>
      <c r="E2510" t="s">
        <v>6372</v>
      </c>
      <c r="F2510" t="s">
        <v>298</v>
      </c>
      <c r="G2510" t="s">
        <v>6334</v>
      </c>
      <c r="H2510" t="s">
        <v>6335</v>
      </c>
      <c r="I2510" t="s">
        <v>3645</v>
      </c>
      <c r="J2510" t="s">
        <v>3227</v>
      </c>
      <c r="K2510">
        <v>196100</v>
      </c>
      <c r="L2510" t="s">
        <v>6346</v>
      </c>
      <c r="M2510" s="37">
        <v>1</v>
      </c>
      <c r="N2510" s="37">
        <v>1</v>
      </c>
      <c r="O2510">
        <v>1</v>
      </c>
      <c r="P2510" s="37">
        <v>1</v>
      </c>
      <c r="Q2510">
        <v>0</v>
      </c>
      <c r="R2510">
        <v>6800</v>
      </c>
      <c r="S2510">
        <v>6800</v>
      </c>
      <c r="T2510">
        <v>10000</v>
      </c>
      <c r="U2510" t="s">
        <v>6232</v>
      </c>
      <c r="X2510">
        <v>1</v>
      </c>
      <c r="Z2510" s="37">
        <v>1</v>
      </c>
      <c r="AA2510" s="37">
        <v>1</v>
      </c>
      <c r="AB2510">
        <v>0</v>
      </c>
    </row>
    <row r="2511">
      <c r="A2511" t="s">
        <v>6373</v>
      </c>
      <c r="B2511" t="s">
        <v>6278</v>
      </c>
      <c r="C2511" t="s">
        <v>6278</v>
      </c>
      <c r="D2511" t="s">
        <v>5155</v>
      </c>
      <c r="E2511" t="s">
        <v>6374</v>
      </c>
      <c r="F2511" t="s">
        <v>298</v>
      </c>
      <c r="G2511" t="s">
        <v>6334</v>
      </c>
      <c r="H2511" t="s">
        <v>6335</v>
      </c>
      <c r="I2511" t="s">
        <v>3645</v>
      </c>
      <c r="J2511" t="s">
        <v>3227</v>
      </c>
      <c r="K2511">
        <v>191374</v>
      </c>
      <c r="L2511" t="s">
        <v>6346</v>
      </c>
      <c r="M2511" s="37">
        <v>1</v>
      </c>
      <c r="N2511" s="37">
        <v>1</v>
      </c>
      <c r="O2511">
        <v>1</v>
      </c>
      <c r="P2511" s="37">
        <v>1</v>
      </c>
      <c r="Q2511">
        <v>0</v>
      </c>
      <c r="R2511">
        <v>6100</v>
      </c>
      <c r="S2511">
        <v>6100</v>
      </c>
      <c r="T2511">
        <v>10000</v>
      </c>
      <c r="U2511" t="s">
        <v>6232</v>
      </c>
      <c r="X2511">
        <v>1</v>
      </c>
      <c r="Z2511" s="37">
        <v>1</v>
      </c>
      <c r="AA2511" s="37">
        <v>1</v>
      </c>
      <c r="AB2511">
        <v>0</v>
      </c>
    </row>
    <row r="2512">
      <c r="A2512" t="s">
        <v>6375</v>
      </c>
      <c r="B2512" t="s">
        <v>6278</v>
      </c>
      <c r="C2512" t="s">
        <v>6278</v>
      </c>
      <c r="D2512" t="s">
        <v>5155</v>
      </c>
      <c r="E2512" t="s">
        <v>6376</v>
      </c>
      <c r="F2512" t="s">
        <v>298</v>
      </c>
      <c r="G2512" t="s">
        <v>6334</v>
      </c>
      <c r="H2512" t="s">
        <v>6335</v>
      </c>
      <c r="I2512" t="s">
        <v>3645</v>
      </c>
      <c r="J2512" t="s">
        <v>3227</v>
      </c>
      <c r="K2512">
        <v>162877</v>
      </c>
      <c r="L2512" t="s">
        <v>6346</v>
      </c>
      <c r="M2512" s="37">
        <v>1</v>
      </c>
      <c r="N2512" s="37">
        <v>1</v>
      </c>
      <c r="O2512">
        <v>1</v>
      </c>
      <c r="P2512" s="37">
        <v>1</v>
      </c>
      <c r="Q2512">
        <v>0</v>
      </c>
      <c r="R2512">
        <v>5400</v>
      </c>
      <c r="S2512">
        <v>2400</v>
      </c>
      <c r="T2512">
        <v>10000</v>
      </c>
      <c r="U2512" t="s">
        <v>6232</v>
      </c>
      <c r="X2512">
        <v>1</v>
      </c>
      <c r="Z2512" s="37">
        <v>1</v>
      </c>
      <c r="AA2512" s="37">
        <v>1</v>
      </c>
      <c r="AB2512">
        <v>0</v>
      </c>
    </row>
    <row r="2513">
      <c r="A2513" t="s">
        <v>6377</v>
      </c>
      <c r="B2513" t="s">
        <v>2698</v>
      </c>
      <c r="C2513" t="s">
        <v>2698</v>
      </c>
      <c r="D2513" t="s">
        <v>5155</v>
      </c>
      <c r="E2513" t="s">
        <v>6378</v>
      </c>
      <c r="F2513" t="s">
        <v>298</v>
      </c>
      <c r="G2513" t="s">
        <v>6334</v>
      </c>
      <c r="H2513" t="s">
        <v>6335</v>
      </c>
      <c r="I2513" t="s">
        <v>3645</v>
      </c>
      <c r="J2513" t="s">
        <v>3227</v>
      </c>
      <c r="K2513">
        <v>147977</v>
      </c>
      <c r="L2513" t="s">
        <v>6346</v>
      </c>
      <c r="M2513" s="37">
        <v>1</v>
      </c>
      <c r="N2513" s="37">
        <v>1</v>
      </c>
      <c r="O2513">
        <v>1</v>
      </c>
      <c r="P2513" s="37">
        <v>1</v>
      </c>
      <c r="Q2513">
        <v>0</v>
      </c>
      <c r="R2513">
        <v>4700</v>
      </c>
      <c r="S2513">
        <v>4700</v>
      </c>
      <c r="T2513">
        <v>10000</v>
      </c>
      <c r="U2513" t="s">
        <v>6232</v>
      </c>
      <c r="X2513">
        <v>1</v>
      </c>
      <c r="Z2513" s="37">
        <v>1</v>
      </c>
      <c r="AA2513" s="37">
        <v>1</v>
      </c>
      <c r="AB2513">
        <v>0</v>
      </c>
    </row>
    <row r="2514">
      <c r="A2514" t="s">
        <v>6379</v>
      </c>
      <c r="B2514" t="s">
        <v>2698</v>
      </c>
      <c r="C2514" t="s">
        <v>2698</v>
      </c>
      <c r="D2514" t="s">
        <v>5155</v>
      </c>
      <c r="E2514" t="s">
        <v>6380</v>
      </c>
      <c r="F2514" t="s">
        <v>298</v>
      </c>
      <c r="G2514" t="s">
        <v>6334</v>
      </c>
      <c r="H2514" t="s">
        <v>6335</v>
      </c>
      <c r="I2514" t="s">
        <v>3645</v>
      </c>
      <c r="J2514" t="s">
        <v>3227</v>
      </c>
      <c r="K2514">
        <v>125079</v>
      </c>
      <c r="L2514" t="s">
        <v>6346</v>
      </c>
      <c r="M2514" s="37">
        <v>1</v>
      </c>
      <c r="N2514" s="37">
        <v>1</v>
      </c>
      <c r="O2514">
        <v>1</v>
      </c>
      <c r="P2514" s="37">
        <v>1</v>
      </c>
      <c r="Q2514">
        <v>0</v>
      </c>
      <c r="R2514">
        <v>4100</v>
      </c>
      <c r="S2514">
        <v>4100</v>
      </c>
      <c r="T2514">
        <v>10000</v>
      </c>
      <c r="U2514" t="s">
        <v>6232</v>
      </c>
      <c r="X2514">
        <v>1</v>
      </c>
      <c r="Z2514" s="37">
        <v>1</v>
      </c>
      <c r="AA2514" s="37">
        <v>1</v>
      </c>
      <c r="AB2514">
        <v>0</v>
      </c>
    </row>
    <row r="2515">
      <c r="A2515" t="s">
        <v>6381</v>
      </c>
      <c r="B2515" t="s">
        <v>2698</v>
      </c>
      <c r="C2515" t="s">
        <v>2698</v>
      </c>
      <c r="D2515" t="s">
        <v>5155</v>
      </c>
      <c r="E2515" t="s">
        <v>6382</v>
      </c>
      <c r="F2515" t="s">
        <v>298</v>
      </c>
      <c r="G2515" t="s">
        <v>6334</v>
      </c>
      <c r="H2515" t="s">
        <v>6335</v>
      </c>
      <c r="I2515" t="s">
        <v>3645</v>
      </c>
      <c r="J2515" t="s">
        <v>3227</v>
      </c>
      <c r="K2515">
        <v>113515</v>
      </c>
      <c r="L2515" t="s">
        <v>6346</v>
      </c>
      <c r="M2515" s="37">
        <v>1</v>
      </c>
      <c r="N2515" s="37">
        <v>1</v>
      </c>
      <c r="O2515">
        <v>1</v>
      </c>
      <c r="P2515" s="37">
        <v>1</v>
      </c>
      <c r="Q2515">
        <v>0</v>
      </c>
      <c r="R2515">
        <v>3500</v>
      </c>
      <c r="S2515">
        <v>3500</v>
      </c>
      <c r="T2515">
        <v>10000</v>
      </c>
      <c r="U2515" t="s">
        <v>6232</v>
      </c>
      <c r="X2515">
        <v>1</v>
      </c>
      <c r="Z2515" s="37">
        <v>1</v>
      </c>
      <c r="AA2515" s="37">
        <v>1</v>
      </c>
      <c r="AB2515">
        <v>0</v>
      </c>
    </row>
    <row r="2516">
      <c r="A2516" t="s">
        <v>6383</v>
      </c>
      <c r="B2516" t="s">
        <v>2698</v>
      </c>
      <c r="C2516" t="s">
        <v>2698</v>
      </c>
      <c r="D2516" t="s">
        <v>5155</v>
      </c>
      <c r="E2516" t="s">
        <v>6384</v>
      </c>
      <c r="F2516" t="s">
        <v>298</v>
      </c>
      <c r="G2516" t="s">
        <v>6334</v>
      </c>
      <c r="H2516" t="s">
        <v>6335</v>
      </c>
      <c r="I2516" t="s">
        <v>3645</v>
      </c>
      <c r="J2516" t="s">
        <v>3227</v>
      </c>
      <c r="K2516">
        <v>108297</v>
      </c>
      <c r="L2516" t="s">
        <v>6346</v>
      </c>
      <c r="M2516" s="37">
        <v>1</v>
      </c>
      <c r="N2516" s="37">
        <v>1</v>
      </c>
      <c r="O2516">
        <v>1</v>
      </c>
      <c r="P2516" s="37">
        <v>1</v>
      </c>
      <c r="Q2516">
        <v>0</v>
      </c>
      <c r="R2516">
        <v>3000</v>
      </c>
      <c r="S2516">
        <v>3000</v>
      </c>
      <c r="T2516">
        <v>10000</v>
      </c>
      <c r="U2516" t="s">
        <v>6232</v>
      </c>
      <c r="X2516">
        <v>1</v>
      </c>
      <c r="Z2516" s="37">
        <v>1</v>
      </c>
      <c r="AA2516" s="37">
        <v>1</v>
      </c>
      <c r="AB2516">
        <v>0</v>
      </c>
    </row>
    <row r="2517">
      <c r="A2517" t="s">
        <v>6385</v>
      </c>
      <c r="B2517" t="s">
        <v>6288</v>
      </c>
      <c r="C2517" t="s">
        <v>6288</v>
      </c>
      <c r="D2517" t="s">
        <v>5155</v>
      </c>
      <c r="E2517" t="s">
        <v>6386</v>
      </c>
      <c r="F2517" t="s">
        <v>298</v>
      </c>
      <c r="G2517" t="s">
        <v>6334</v>
      </c>
      <c r="H2517" t="s">
        <v>6335</v>
      </c>
      <c r="I2517" t="s">
        <v>3645</v>
      </c>
      <c r="J2517" t="s">
        <v>3227</v>
      </c>
      <c r="K2517">
        <v>104754</v>
      </c>
      <c r="L2517" t="s">
        <v>6346</v>
      </c>
      <c r="M2517" s="37">
        <v>1</v>
      </c>
      <c r="N2517" s="37">
        <v>1</v>
      </c>
      <c r="O2517">
        <v>1</v>
      </c>
      <c r="P2517" s="37">
        <v>1</v>
      </c>
      <c r="Q2517">
        <v>0</v>
      </c>
      <c r="R2517">
        <v>2500</v>
      </c>
      <c r="S2517">
        <v>2500</v>
      </c>
      <c r="T2517">
        <v>10000</v>
      </c>
      <c r="U2517" t="s">
        <v>6232</v>
      </c>
      <c r="X2517">
        <v>1</v>
      </c>
      <c r="Z2517" s="37">
        <v>1</v>
      </c>
      <c r="AA2517" s="37">
        <v>1</v>
      </c>
      <c r="AB2517">
        <v>0</v>
      </c>
    </row>
    <row r="2518">
      <c r="A2518" t="s">
        <v>6387</v>
      </c>
      <c r="B2518" t="s">
        <v>2698</v>
      </c>
      <c r="C2518" t="s">
        <v>2698</v>
      </c>
      <c r="D2518" t="s">
        <v>5155</v>
      </c>
      <c r="E2518" t="s">
        <v>6388</v>
      </c>
      <c r="F2518" t="s">
        <v>298</v>
      </c>
      <c r="G2518" t="s">
        <v>6334</v>
      </c>
      <c r="H2518" t="s">
        <v>6335</v>
      </c>
      <c r="I2518" t="s">
        <v>3645</v>
      </c>
      <c r="J2518" t="s">
        <v>3227</v>
      </c>
      <c r="K2518">
        <v>85226</v>
      </c>
      <c r="L2518" t="s">
        <v>6346</v>
      </c>
      <c r="M2518" s="37">
        <v>1</v>
      </c>
      <c r="N2518" s="37">
        <v>1</v>
      </c>
      <c r="O2518">
        <v>1</v>
      </c>
      <c r="P2518" s="37">
        <v>1</v>
      </c>
      <c r="Q2518">
        <v>0</v>
      </c>
      <c r="R2518">
        <v>2100</v>
      </c>
      <c r="S2518">
        <v>1900</v>
      </c>
      <c r="T2518">
        <v>10000</v>
      </c>
      <c r="U2518" t="s">
        <v>6232</v>
      </c>
      <c r="X2518">
        <v>1</v>
      </c>
      <c r="Z2518" s="37">
        <v>1</v>
      </c>
      <c r="AA2518" s="37">
        <v>1</v>
      </c>
      <c r="AB2518">
        <v>0</v>
      </c>
    </row>
    <row r="2519">
      <c r="A2519" t="s">
        <v>6389</v>
      </c>
      <c r="B2519" t="s">
        <v>2698</v>
      </c>
      <c r="C2519" t="s">
        <v>2698</v>
      </c>
      <c r="D2519" t="s">
        <v>5155</v>
      </c>
      <c r="E2519" t="s">
        <v>6390</v>
      </c>
      <c r="F2519" t="s">
        <v>298</v>
      </c>
      <c r="G2519" t="s">
        <v>6334</v>
      </c>
      <c r="H2519" t="s">
        <v>6335</v>
      </c>
      <c r="I2519" t="s">
        <v>3645</v>
      </c>
      <c r="J2519" t="s">
        <v>3227</v>
      </c>
      <c r="K2519">
        <v>41741</v>
      </c>
      <c r="L2519" t="s">
        <v>6346</v>
      </c>
      <c r="M2519" s="37">
        <v>1</v>
      </c>
      <c r="N2519" s="37">
        <v>1</v>
      </c>
      <c r="O2519">
        <v>1</v>
      </c>
      <c r="P2519" s="37">
        <v>1</v>
      </c>
      <c r="Q2519">
        <v>0</v>
      </c>
      <c r="R2519">
        <v>200</v>
      </c>
      <c r="S2519">
        <v>200</v>
      </c>
      <c r="T2519">
        <v>10000</v>
      </c>
      <c r="U2519" t="s">
        <v>6232</v>
      </c>
      <c r="X2519">
        <v>1</v>
      </c>
      <c r="Z2519" s="37">
        <v>1</v>
      </c>
      <c r="AA2519" s="37">
        <v>1</v>
      </c>
      <c r="AB2519">
        <v>0</v>
      </c>
    </row>
    <row r="2520">
      <c r="A2520" t="s">
        <v>6391</v>
      </c>
      <c r="B2520" t="s">
        <v>2698</v>
      </c>
      <c r="C2520" t="s">
        <v>2698</v>
      </c>
      <c r="D2520" t="s">
        <v>5155</v>
      </c>
      <c r="E2520" t="s">
        <v>6392</v>
      </c>
      <c r="F2520" t="s">
        <v>298</v>
      </c>
      <c r="G2520" t="s">
        <v>6334</v>
      </c>
      <c r="H2520" t="s">
        <v>6335</v>
      </c>
      <c r="I2520" t="s">
        <v>3645</v>
      </c>
      <c r="J2520" t="s">
        <v>3227</v>
      </c>
      <c r="K2520">
        <v>32732</v>
      </c>
      <c r="L2520" t="s">
        <v>6346</v>
      </c>
      <c r="M2520" s="37">
        <v>1</v>
      </c>
      <c r="N2520" s="37">
        <v>1</v>
      </c>
      <c r="O2520">
        <v>1</v>
      </c>
      <c r="P2520" s="37">
        <v>1</v>
      </c>
      <c r="Q2520">
        <v>0</v>
      </c>
      <c r="R2520">
        <v>0</v>
      </c>
      <c r="S2520">
        <v>0</v>
      </c>
      <c r="T2520">
        <v>10000</v>
      </c>
      <c r="U2520" t="s">
        <v>6232</v>
      </c>
      <c r="X2520">
        <v>1</v>
      </c>
      <c r="Z2520" s="37">
        <v>1</v>
      </c>
      <c r="AA2520" s="37">
        <v>1</v>
      </c>
      <c r="AB2520">
        <v>0</v>
      </c>
    </row>
    <row r="2521">
      <c r="A2521" t="s">
        <v>6393</v>
      </c>
      <c r="B2521" t="s">
        <v>2698</v>
      </c>
      <c r="C2521" t="s">
        <v>2698</v>
      </c>
      <c r="D2521" t="s">
        <v>5155</v>
      </c>
      <c r="E2521" t="s">
        <v>6394</v>
      </c>
      <c r="F2521" t="s">
        <v>298</v>
      </c>
      <c r="G2521" t="s">
        <v>6334</v>
      </c>
      <c r="H2521" t="s">
        <v>6335</v>
      </c>
      <c r="I2521" t="s">
        <v>3645</v>
      </c>
      <c r="J2521" t="s">
        <v>3227</v>
      </c>
      <c r="K2521">
        <v>19402</v>
      </c>
      <c r="L2521" t="s">
        <v>6346</v>
      </c>
      <c r="M2521" s="37">
        <v>1</v>
      </c>
      <c r="N2521" s="37">
        <v>1</v>
      </c>
      <c r="O2521">
        <v>1</v>
      </c>
      <c r="P2521" s="37">
        <v>1</v>
      </c>
      <c r="Q2521">
        <v>0</v>
      </c>
      <c r="R2521">
        <v>0</v>
      </c>
      <c r="S2521">
        <v>0</v>
      </c>
      <c r="T2521">
        <v>10000</v>
      </c>
      <c r="U2521" t="s">
        <v>6232</v>
      </c>
      <c r="X2521">
        <v>1</v>
      </c>
      <c r="Z2521" s="37">
        <v>1</v>
      </c>
      <c r="AA2521" s="37">
        <v>1</v>
      </c>
      <c r="AB2521">
        <v>0</v>
      </c>
    </row>
    <row r="2522">
      <c r="A2522" t="s">
        <v>6395</v>
      </c>
      <c r="B2522" t="s">
        <v>2698</v>
      </c>
      <c r="C2522" t="s">
        <v>2698</v>
      </c>
      <c r="D2522" t="s">
        <v>5155</v>
      </c>
      <c r="E2522" t="s">
        <v>6396</v>
      </c>
      <c r="F2522" t="s">
        <v>298</v>
      </c>
      <c r="G2522" t="s">
        <v>6334</v>
      </c>
      <c r="H2522" t="s">
        <v>6335</v>
      </c>
      <c r="I2522" t="s">
        <v>3645</v>
      </c>
      <c r="J2522" t="s">
        <v>3227</v>
      </c>
      <c r="K2522">
        <v>72237</v>
      </c>
      <c r="L2522" t="s">
        <v>6346</v>
      </c>
      <c r="M2522" s="37">
        <v>1</v>
      </c>
      <c r="N2522" s="37">
        <v>1</v>
      </c>
      <c r="O2522">
        <v>1</v>
      </c>
      <c r="P2522" s="37">
        <v>1</v>
      </c>
      <c r="Q2522">
        <v>0</v>
      </c>
      <c r="R2522">
        <v>1300</v>
      </c>
      <c r="S2522">
        <v>1100</v>
      </c>
      <c r="T2522">
        <v>10000</v>
      </c>
      <c r="U2522" t="s">
        <v>6232</v>
      </c>
      <c r="X2522">
        <v>1</v>
      </c>
      <c r="Z2522" s="37">
        <v>1</v>
      </c>
      <c r="AA2522" s="37">
        <v>1</v>
      </c>
      <c r="AB2522">
        <v>0</v>
      </c>
    </row>
    <row r="2523">
      <c r="A2523" t="s">
        <v>6397</v>
      </c>
      <c r="B2523" t="s">
        <v>4989</v>
      </c>
      <c r="C2523" t="s">
        <v>4989</v>
      </c>
      <c r="D2523" t="s">
        <v>5341</v>
      </c>
      <c r="E2523" t="s">
        <v>6398</v>
      </c>
      <c r="F2523" t="s">
        <v>298</v>
      </c>
      <c r="G2523" t="s">
        <v>6155</v>
      </c>
      <c r="H2523" t="s">
        <v>604</v>
      </c>
      <c r="I2523" t="s">
        <v>6399</v>
      </c>
      <c r="J2523" s="38">
        <v>1</v>
      </c>
      <c r="K2523">
        <v>100</v>
      </c>
      <c r="L2523" t="s">
        <v>6346</v>
      </c>
      <c r="M2523" s="37">
        <v>1</v>
      </c>
      <c r="N2523" s="37">
        <v>0.5</v>
      </c>
      <c r="O2523">
        <v>1</v>
      </c>
      <c r="P2523" s="37">
        <v>0.85</v>
      </c>
      <c r="Q2523">
        <v>0.85</v>
      </c>
      <c r="R2523">
        <v>2057</v>
      </c>
      <c r="S2523">
        <v>2057</v>
      </c>
      <c r="T2523">
        <v>3000</v>
      </c>
      <c r="U2523" t="s">
        <v>6232</v>
      </c>
      <c r="X2523">
        <v>1</v>
      </c>
      <c r="Z2523" s="37">
        <v>1</v>
      </c>
      <c r="AA2523" s="37">
        <v>1</v>
      </c>
      <c r="AB2523">
        <v>0</v>
      </c>
    </row>
    <row r="2524">
      <c r="A2524" t="s">
        <v>6397</v>
      </c>
      <c r="B2524" t="s">
        <v>4989</v>
      </c>
      <c r="C2524" t="s">
        <v>4989</v>
      </c>
      <c r="D2524" t="s">
        <v>5341</v>
      </c>
      <c r="E2524" t="s">
        <v>6398</v>
      </c>
      <c r="F2524" t="s">
        <v>298</v>
      </c>
      <c r="G2524" t="s">
        <v>6155</v>
      </c>
      <c r="H2524" t="s">
        <v>604</v>
      </c>
      <c r="I2524" t="s">
        <v>6400</v>
      </c>
      <c r="J2524" s="38">
        <v>1</v>
      </c>
      <c r="K2524">
        <v>70</v>
      </c>
      <c r="L2524" t="s">
        <v>6346</v>
      </c>
      <c r="M2524" s="37">
        <v>0.7</v>
      </c>
      <c r="N2524" s="37">
        <v>0.5</v>
      </c>
      <c r="O2524">
        <v>0.7</v>
      </c>
      <c r="P2524" s="37">
        <v>0.85</v>
      </c>
      <c r="Q2524">
        <v>0.85</v>
      </c>
      <c r="R2524">
        <v>2057</v>
      </c>
      <c r="S2524">
        <v>2057</v>
      </c>
      <c r="T2524">
        <v>3000</v>
      </c>
      <c r="U2524" t="s">
        <v>6232</v>
      </c>
      <c r="X2524">
        <v>1</v>
      </c>
      <c r="Z2524" s="37">
        <v>1</v>
      </c>
      <c r="AA2524" s="37">
        <v>1</v>
      </c>
      <c r="AB2524">
        <v>0</v>
      </c>
    </row>
    <row r="2525">
      <c r="A2525" t="s">
        <v>6401</v>
      </c>
      <c r="B2525" t="s">
        <v>6402</v>
      </c>
      <c r="C2525" t="s">
        <v>6402</v>
      </c>
      <c r="D2525" t="s">
        <v>6403</v>
      </c>
      <c r="E2525" t="s">
        <v>6404</v>
      </c>
      <c r="F2525" t="s">
        <v>298</v>
      </c>
      <c r="G2525" t="s">
        <v>6405</v>
      </c>
      <c r="H2525" t="s">
        <v>6406</v>
      </c>
      <c r="I2525" t="s">
        <v>6400</v>
      </c>
      <c r="J2525" t="s">
        <v>6407</v>
      </c>
      <c r="K2525" t="s">
        <v>6408</v>
      </c>
      <c r="L2525" t="s">
        <v>6346</v>
      </c>
      <c r="M2525" s="37">
        <v>0.01</v>
      </c>
      <c r="N2525" s="37">
        <v>0.2</v>
      </c>
      <c r="O2525">
        <v>1</v>
      </c>
      <c r="P2525" s="37">
        <v>0.009743</v>
      </c>
      <c r="Q2525">
        <v>0.97</v>
      </c>
      <c r="R2525">
        <v>2520</v>
      </c>
      <c r="S2525">
        <v>2520</v>
      </c>
      <c r="T2525">
        <v>2100</v>
      </c>
      <c r="U2525" t="s">
        <v>6232</v>
      </c>
      <c r="X2525">
        <v>1</v>
      </c>
      <c r="Z2525" s="37">
        <v>1</v>
      </c>
      <c r="AA2525" s="37">
        <v>1</v>
      </c>
      <c r="AB2525">
        <v>0</v>
      </c>
    </row>
    <row r="2526">
      <c r="A2526" t="s">
        <v>6401</v>
      </c>
      <c r="B2526" t="s">
        <v>6402</v>
      </c>
      <c r="C2526" t="s">
        <v>6402</v>
      </c>
      <c r="D2526" t="s">
        <v>6403</v>
      </c>
      <c r="E2526" t="s">
        <v>6404</v>
      </c>
      <c r="F2526" t="s">
        <v>298</v>
      </c>
      <c r="G2526" t="s">
        <v>6405</v>
      </c>
      <c r="H2526" t="s">
        <v>6406</v>
      </c>
      <c r="I2526" t="s">
        <v>6400</v>
      </c>
      <c r="J2526" t="s">
        <v>6409</v>
      </c>
      <c r="K2526" t="s">
        <v>6410</v>
      </c>
      <c r="L2526" t="s">
        <v>6346</v>
      </c>
      <c r="M2526" s="37">
        <v>0.009667</v>
      </c>
      <c r="N2526" s="37">
        <v>0.15</v>
      </c>
      <c r="O2526">
        <v>0.9667</v>
      </c>
      <c r="P2526" s="37">
        <v>0.009743</v>
      </c>
      <c r="Q2526">
        <v>0.97</v>
      </c>
      <c r="R2526">
        <v>2520</v>
      </c>
      <c r="S2526">
        <v>2520</v>
      </c>
      <c r="T2526">
        <v>2100</v>
      </c>
      <c r="U2526" t="s">
        <v>6232</v>
      </c>
      <c r="X2526">
        <v>1</v>
      </c>
      <c r="Z2526" s="37">
        <v>1</v>
      </c>
      <c r="AA2526" s="37">
        <v>1</v>
      </c>
      <c r="AB2526">
        <v>0</v>
      </c>
    </row>
    <row r="2527">
      <c r="A2527" t="s">
        <v>6401</v>
      </c>
      <c r="B2527" t="s">
        <v>6402</v>
      </c>
      <c r="C2527" t="s">
        <v>6402</v>
      </c>
      <c r="D2527" t="s">
        <v>6403</v>
      </c>
      <c r="E2527" t="s">
        <v>6404</v>
      </c>
      <c r="F2527" t="s">
        <v>298</v>
      </c>
      <c r="G2527" t="s">
        <v>6405</v>
      </c>
      <c r="H2527" t="s">
        <v>6406</v>
      </c>
      <c r="I2527" t="s">
        <v>6400</v>
      </c>
      <c r="J2527" t="s">
        <v>6411</v>
      </c>
      <c r="K2527" t="s">
        <v>6412</v>
      </c>
      <c r="L2527" t="s">
        <v>6346</v>
      </c>
      <c r="M2527" s="37">
        <v>0.009</v>
      </c>
      <c r="N2527" s="37">
        <v>0.1</v>
      </c>
      <c r="O2527">
        <v>0.9</v>
      </c>
      <c r="P2527" s="37">
        <v>0.009743</v>
      </c>
      <c r="Q2527">
        <v>0.97</v>
      </c>
      <c r="R2527">
        <v>2520</v>
      </c>
      <c r="S2527">
        <v>2520</v>
      </c>
      <c r="T2527">
        <v>2100</v>
      </c>
      <c r="U2527" t="s">
        <v>6232</v>
      </c>
      <c r="X2527">
        <v>1</v>
      </c>
      <c r="Z2527" s="37">
        <v>1</v>
      </c>
      <c r="AA2527" s="37">
        <v>1</v>
      </c>
      <c r="AB2527">
        <v>0</v>
      </c>
    </row>
    <row r="2528">
      <c r="A2528" t="s">
        <v>6401</v>
      </c>
      <c r="B2528" t="s">
        <v>6402</v>
      </c>
      <c r="C2528" t="s">
        <v>6402</v>
      </c>
      <c r="D2528" t="s">
        <v>6403</v>
      </c>
      <c r="E2528" t="s">
        <v>6404</v>
      </c>
      <c r="F2528" t="s">
        <v>298</v>
      </c>
      <c r="G2528" t="s">
        <v>6405</v>
      </c>
      <c r="H2528" t="s">
        <v>6406</v>
      </c>
      <c r="I2528" t="s">
        <v>6400</v>
      </c>
      <c r="J2528" t="s">
        <v>6413</v>
      </c>
      <c r="K2528" t="s">
        <v>6414</v>
      </c>
      <c r="L2528" t="s">
        <v>6346</v>
      </c>
      <c r="M2528" s="37">
        <v>0.01</v>
      </c>
      <c r="N2528" s="37">
        <v>0.05</v>
      </c>
      <c r="O2528">
        <v>1</v>
      </c>
      <c r="P2528" s="37">
        <v>0.009743</v>
      </c>
      <c r="Q2528">
        <v>0.97</v>
      </c>
      <c r="R2528">
        <v>2520</v>
      </c>
      <c r="S2528">
        <v>2520</v>
      </c>
      <c r="T2528">
        <v>2100</v>
      </c>
      <c r="U2528" t="s">
        <v>6232</v>
      </c>
      <c r="X2528">
        <v>1</v>
      </c>
      <c r="Z2528" s="37">
        <v>1</v>
      </c>
      <c r="AA2528" s="37">
        <v>1</v>
      </c>
      <c r="AB2528">
        <v>0</v>
      </c>
    </row>
    <row r="2529">
      <c r="A2529" t="s">
        <v>6401</v>
      </c>
      <c r="B2529" t="s">
        <v>6402</v>
      </c>
      <c r="C2529" t="s">
        <v>6402</v>
      </c>
      <c r="D2529" t="s">
        <v>6403</v>
      </c>
      <c r="E2529" t="s">
        <v>6404</v>
      </c>
      <c r="F2529" t="s">
        <v>298</v>
      </c>
      <c r="G2529" t="s">
        <v>6405</v>
      </c>
      <c r="H2529" t="s">
        <v>6406</v>
      </c>
      <c r="I2529" t="s">
        <v>6400</v>
      </c>
      <c r="J2529" t="s">
        <v>6415</v>
      </c>
      <c r="K2529" t="s">
        <v>6416</v>
      </c>
      <c r="L2529" t="s">
        <v>6346</v>
      </c>
      <c r="M2529" s="37">
        <v>0.01</v>
      </c>
      <c r="N2529" s="37">
        <v>0.1</v>
      </c>
      <c r="O2529">
        <v>1</v>
      </c>
      <c r="P2529" s="37">
        <v>0.009743</v>
      </c>
      <c r="Q2529">
        <v>0.97</v>
      </c>
      <c r="R2529">
        <v>2520</v>
      </c>
      <c r="S2529">
        <v>2520</v>
      </c>
      <c r="T2529">
        <v>2100</v>
      </c>
      <c r="U2529" t="s">
        <v>6232</v>
      </c>
      <c r="X2529">
        <v>1</v>
      </c>
      <c r="Z2529" s="37">
        <v>1</v>
      </c>
      <c r="AA2529" s="37">
        <v>1</v>
      </c>
      <c r="AB2529">
        <v>0</v>
      </c>
    </row>
    <row r="2530">
      <c r="A2530" t="s">
        <v>6401</v>
      </c>
      <c r="B2530" t="s">
        <v>6402</v>
      </c>
      <c r="C2530" t="s">
        <v>6402</v>
      </c>
      <c r="D2530" t="s">
        <v>6403</v>
      </c>
      <c r="E2530" t="s">
        <v>6404</v>
      </c>
      <c r="F2530" t="s">
        <v>298</v>
      </c>
      <c r="G2530" t="s">
        <v>6405</v>
      </c>
      <c r="H2530" t="s">
        <v>6406</v>
      </c>
      <c r="I2530" t="s">
        <v>6400</v>
      </c>
      <c r="J2530" t="s">
        <v>6417</v>
      </c>
      <c r="K2530" t="s">
        <v>6418</v>
      </c>
      <c r="L2530" t="s">
        <v>6346</v>
      </c>
      <c r="M2530" s="37">
        <v>0.01</v>
      </c>
      <c r="N2530" s="37">
        <v>0.15</v>
      </c>
      <c r="O2530">
        <v>1</v>
      </c>
      <c r="P2530" s="37">
        <v>0.009743</v>
      </c>
      <c r="Q2530">
        <v>0.97</v>
      </c>
      <c r="R2530">
        <v>2520</v>
      </c>
      <c r="S2530">
        <v>2520</v>
      </c>
      <c r="T2530">
        <v>2100</v>
      </c>
      <c r="U2530" t="s">
        <v>6232</v>
      </c>
      <c r="X2530">
        <v>1</v>
      </c>
      <c r="Z2530" s="37">
        <v>1</v>
      </c>
      <c r="AA2530" s="37">
        <v>1</v>
      </c>
      <c r="AB2530">
        <v>0</v>
      </c>
    </row>
    <row r="2531">
      <c r="A2531" t="s">
        <v>6401</v>
      </c>
      <c r="B2531" t="s">
        <v>6402</v>
      </c>
      <c r="C2531" t="s">
        <v>6402</v>
      </c>
      <c r="D2531" t="s">
        <v>6403</v>
      </c>
      <c r="E2531" t="s">
        <v>6404</v>
      </c>
      <c r="F2531" t="s">
        <v>298</v>
      </c>
      <c r="G2531" t="s">
        <v>6405</v>
      </c>
      <c r="H2531" t="s">
        <v>6406</v>
      </c>
      <c r="I2531" t="s">
        <v>6400</v>
      </c>
      <c r="J2531" t="s">
        <v>6419</v>
      </c>
      <c r="K2531" t="s">
        <v>6420</v>
      </c>
      <c r="L2531" t="s">
        <v>6346</v>
      </c>
      <c r="M2531" s="37">
        <v>0.009</v>
      </c>
      <c r="N2531" s="37">
        <v>0.1</v>
      </c>
      <c r="O2531">
        <v>0.9</v>
      </c>
      <c r="P2531" s="37">
        <v>0.009743</v>
      </c>
      <c r="Q2531">
        <v>0.97</v>
      </c>
      <c r="R2531">
        <v>2520</v>
      </c>
      <c r="S2531">
        <v>2520</v>
      </c>
      <c r="T2531">
        <v>2100</v>
      </c>
      <c r="U2531" t="s">
        <v>6232</v>
      </c>
      <c r="X2531">
        <v>1</v>
      </c>
      <c r="Z2531" s="37">
        <v>1</v>
      </c>
      <c r="AA2531" s="37">
        <v>1</v>
      </c>
      <c r="AB2531">
        <v>0</v>
      </c>
    </row>
    <row r="2532">
      <c r="A2532" t="s">
        <v>6401</v>
      </c>
      <c r="B2532" t="s">
        <v>6402</v>
      </c>
      <c r="C2532" t="s">
        <v>6402</v>
      </c>
      <c r="D2532" t="s">
        <v>6403</v>
      </c>
      <c r="E2532" t="s">
        <v>6404</v>
      </c>
      <c r="F2532" t="s">
        <v>298</v>
      </c>
      <c r="G2532" t="s">
        <v>6405</v>
      </c>
      <c r="H2532" t="s">
        <v>6406</v>
      </c>
      <c r="I2532" t="s">
        <v>6400</v>
      </c>
      <c r="J2532" t="s">
        <v>6421</v>
      </c>
      <c r="K2532" t="s">
        <v>6422</v>
      </c>
      <c r="L2532" t="s">
        <v>6346</v>
      </c>
      <c r="M2532" s="37">
        <v>0.00995</v>
      </c>
      <c r="N2532" s="37">
        <v>0.15</v>
      </c>
      <c r="O2532">
        <v>0.995</v>
      </c>
      <c r="P2532" s="37">
        <v>0.009743</v>
      </c>
      <c r="Q2532">
        <v>0.97</v>
      </c>
      <c r="R2532">
        <v>2520</v>
      </c>
      <c r="S2532">
        <v>2520</v>
      </c>
      <c r="T2532">
        <v>2100</v>
      </c>
      <c r="U2532" t="s">
        <v>6232</v>
      </c>
      <c r="X2532">
        <v>1</v>
      </c>
      <c r="Z2532" s="37">
        <v>1</v>
      </c>
      <c r="AA2532" s="37">
        <v>1</v>
      </c>
      <c r="AB2532">
        <v>0</v>
      </c>
    </row>
    <row r="2533">
      <c r="A2533" t="s">
        <v>6423</v>
      </c>
      <c r="B2533" t="s">
        <v>6402</v>
      </c>
      <c r="C2533" t="s">
        <v>6402</v>
      </c>
      <c r="D2533" t="s">
        <v>6403</v>
      </c>
      <c r="E2533" t="s">
        <v>6424</v>
      </c>
      <c r="F2533" t="s">
        <v>298</v>
      </c>
      <c r="G2533" t="s">
        <v>6405</v>
      </c>
      <c r="H2533" t="s">
        <v>6406</v>
      </c>
      <c r="I2533" t="s">
        <v>6400</v>
      </c>
      <c r="J2533" t="s">
        <v>6425</v>
      </c>
      <c r="K2533" t="s">
        <v>6426</v>
      </c>
      <c r="L2533" t="s">
        <v>6346</v>
      </c>
      <c r="M2533" s="37">
        <v>0.01</v>
      </c>
      <c r="N2533" s="37">
        <v>0.2</v>
      </c>
      <c r="O2533">
        <v>1</v>
      </c>
      <c r="P2533" s="37">
        <v>0.009244</v>
      </c>
      <c r="Q2533">
        <v>0.92</v>
      </c>
      <c r="R2533">
        <v>1890</v>
      </c>
      <c r="S2533">
        <v>1890</v>
      </c>
      <c r="T2533">
        <v>2100</v>
      </c>
      <c r="U2533" t="s">
        <v>6232</v>
      </c>
      <c r="X2533">
        <v>1</v>
      </c>
      <c r="Z2533" s="37">
        <v>1</v>
      </c>
      <c r="AA2533" s="37">
        <v>1</v>
      </c>
      <c r="AB2533">
        <v>0</v>
      </c>
    </row>
    <row r="2534">
      <c r="A2534" t="s">
        <v>6423</v>
      </c>
      <c r="B2534" t="s">
        <v>6402</v>
      </c>
      <c r="C2534" t="s">
        <v>6402</v>
      </c>
      <c r="D2534" t="s">
        <v>6403</v>
      </c>
      <c r="E2534" t="s">
        <v>6424</v>
      </c>
      <c r="F2534" t="s">
        <v>298</v>
      </c>
      <c r="G2534" t="s">
        <v>6405</v>
      </c>
      <c r="H2534" t="s">
        <v>6406</v>
      </c>
      <c r="I2534" t="s">
        <v>6400</v>
      </c>
      <c r="J2534" t="s">
        <v>6427</v>
      </c>
      <c r="K2534" t="s">
        <v>6428</v>
      </c>
      <c r="L2534" t="s">
        <v>6346</v>
      </c>
      <c r="M2534" s="37">
        <v>0.0095</v>
      </c>
      <c r="N2534" s="37">
        <v>0.1</v>
      </c>
      <c r="O2534">
        <v>0.95</v>
      </c>
      <c r="P2534" s="37">
        <v>0.009244</v>
      </c>
      <c r="Q2534">
        <v>0.92</v>
      </c>
      <c r="R2534">
        <v>1890</v>
      </c>
      <c r="S2534">
        <v>1890</v>
      </c>
      <c r="T2534">
        <v>2100</v>
      </c>
      <c r="U2534" t="s">
        <v>6232</v>
      </c>
      <c r="X2534">
        <v>1</v>
      </c>
      <c r="Z2534" s="37">
        <v>1</v>
      </c>
      <c r="AA2534" s="37">
        <v>1</v>
      </c>
      <c r="AB2534">
        <v>0</v>
      </c>
    </row>
    <row r="2535">
      <c r="A2535" t="s">
        <v>6423</v>
      </c>
      <c r="B2535" t="s">
        <v>6402</v>
      </c>
      <c r="C2535" t="s">
        <v>6402</v>
      </c>
      <c r="D2535" t="s">
        <v>6403</v>
      </c>
      <c r="E2535" t="s">
        <v>6424</v>
      </c>
      <c r="F2535" t="s">
        <v>298</v>
      </c>
      <c r="G2535" t="s">
        <v>6405</v>
      </c>
      <c r="H2535" t="s">
        <v>6406</v>
      </c>
      <c r="I2535" t="s">
        <v>6400</v>
      </c>
      <c r="J2535" t="s">
        <v>6429</v>
      </c>
      <c r="K2535" t="s">
        <v>6430</v>
      </c>
      <c r="L2535" t="s">
        <v>6346</v>
      </c>
      <c r="M2535" s="37">
        <v>0.0085</v>
      </c>
      <c r="N2535" s="37">
        <v>0.15</v>
      </c>
      <c r="O2535">
        <v>0.85</v>
      </c>
      <c r="P2535" s="37">
        <v>0.009244</v>
      </c>
      <c r="Q2535">
        <v>0.92</v>
      </c>
      <c r="R2535">
        <v>1890</v>
      </c>
      <c r="S2535">
        <v>1890</v>
      </c>
      <c r="T2535">
        <v>2100</v>
      </c>
      <c r="U2535" t="s">
        <v>6232</v>
      </c>
      <c r="X2535">
        <v>1</v>
      </c>
      <c r="Z2535" s="37">
        <v>1</v>
      </c>
      <c r="AA2535" s="37">
        <v>1</v>
      </c>
      <c r="AB2535">
        <v>0</v>
      </c>
    </row>
    <row r="2536">
      <c r="A2536" t="s">
        <v>6423</v>
      </c>
      <c r="B2536" t="s">
        <v>6402</v>
      </c>
      <c r="C2536" t="s">
        <v>6402</v>
      </c>
      <c r="D2536" t="s">
        <v>6403</v>
      </c>
      <c r="E2536" t="s">
        <v>6424</v>
      </c>
      <c r="F2536" t="s">
        <v>298</v>
      </c>
      <c r="G2536" t="s">
        <v>6405</v>
      </c>
      <c r="H2536" t="s">
        <v>6406</v>
      </c>
      <c r="I2536" t="s">
        <v>6400</v>
      </c>
      <c r="J2536" t="s">
        <v>6431</v>
      </c>
      <c r="K2536" t="s">
        <v>6432</v>
      </c>
      <c r="L2536" t="s">
        <v>6346</v>
      </c>
      <c r="M2536" s="37">
        <v>0.01</v>
      </c>
      <c r="N2536" s="37">
        <v>0.05</v>
      </c>
      <c r="O2536">
        <v>1</v>
      </c>
      <c r="P2536" s="37">
        <v>0.009244</v>
      </c>
      <c r="Q2536">
        <v>0.92</v>
      </c>
      <c r="R2536">
        <v>1890</v>
      </c>
      <c r="S2536">
        <v>1890</v>
      </c>
      <c r="T2536">
        <v>2100</v>
      </c>
      <c r="U2536" t="s">
        <v>6232</v>
      </c>
      <c r="X2536">
        <v>1</v>
      </c>
      <c r="Z2536" s="37">
        <v>1</v>
      </c>
      <c r="AA2536" s="37">
        <v>1</v>
      </c>
      <c r="AB2536">
        <v>0</v>
      </c>
    </row>
    <row r="2537">
      <c r="A2537" t="s">
        <v>6423</v>
      </c>
      <c r="B2537" t="s">
        <v>6402</v>
      </c>
      <c r="C2537" t="s">
        <v>6402</v>
      </c>
      <c r="D2537" t="s">
        <v>6403</v>
      </c>
      <c r="E2537" t="s">
        <v>6424</v>
      </c>
      <c r="F2537" t="s">
        <v>298</v>
      </c>
      <c r="G2537" t="s">
        <v>6405</v>
      </c>
      <c r="H2537" t="s">
        <v>6406</v>
      </c>
      <c r="I2537" t="s">
        <v>6400</v>
      </c>
      <c r="J2537" t="s">
        <v>6433</v>
      </c>
      <c r="K2537" t="s">
        <v>6434</v>
      </c>
      <c r="L2537" t="s">
        <v>6346</v>
      </c>
      <c r="M2537" s="37">
        <v>0.0096</v>
      </c>
      <c r="N2537" s="37">
        <v>0.1</v>
      </c>
      <c r="O2537">
        <v>0.96</v>
      </c>
      <c r="P2537" s="37">
        <v>0.009244</v>
      </c>
      <c r="Q2537">
        <v>0.92</v>
      </c>
      <c r="R2537">
        <v>1890</v>
      </c>
      <c r="S2537">
        <v>1890</v>
      </c>
      <c r="T2537">
        <v>2100</v>
      </c>
      <c r="U2537" t="s">
        <v>6232</v>
      </c>
      <c r="X2537">
        <v>1</v>
      </c>
      <c r="Z2537" s="37">
        <v>1</v>
      </c>
      <c r="AA2537" s="37">
        <v>1</v>
      </c>
      <c r="AB2537">
        <v>0</v>
      </c>
    </row>
    <row r="2538">
      <c r="A2538" t="s">
        <v>6423</v>
      </c>
      <c r="B2538" t="s">
        <v>6402</v>
      </c>
      <c r="C2538" t="s">
        <v>6402</v>
      </c>
      <c r="D2538" t="s">
        <v>6403</v>
      </c>
      <c r="E2538" t="s">
        <v>6424</v>
      </c>
      <c r="F2538" t="s">
        <v>298</v>
      </c>
      <c r="G2538" t="s">
        <v>6405</v>
      </c>
      <c r="H2538" t="s">
        <v>6406</v>
      </c>
      <c r="I2538" t="s">
        <v>6400</v>
      </c>
      <c r="J2538" t="s">
        <v>6435</v>
      </c>
      <c r="K2538" t="s">
        <v>6436</v>
      </c>
      <c r="L2538" t="s">
        <v>6346</v>
      </c>
      <c r="M2538" s="37">
        <v>0.01</v>
      </c>
      <c r="N2538" s="37">
        <v>0.05</v>
      </c>
      <c r="O2538">
        <v>1</v>
      </c>
      <c r="P2538" s="37">
        <v>0.009244</v>
      </c>
      <c r="Q2538">
        <v>0.92</v>
      </c>
      <c r="R2538">
        <v>1890</v>
      </c>
      <c r="S2538">
        <v>1890</v>
      </c>
      <c r="T2538">
        <v>2100</v>
      </c>
      <c r="U2538" t="s">
        <v>6232</v>
      </c>
      <c r="X2538">
        <v>1</v>
      </c>
      <c r="Z2538" s="37">
        <v>1</v>
      </c>
      <c r="AA2538" s="37">
        <v>1</v>
      </c>
      <c r="AB2538">
        <v>0</v>
      </c>
    </row>
    <row r="2539">
      <c r="A2539" t="s">
        <v>6423</v>
      </c>
      <c r="B2539" t="s">
        <v>6402</v>
      </c>
      <c r="C2539" t="s">
        <v>6402</v>
      </c>
      <c r="D2539" t="s">
        <v>6403</v>
      </c>
      <c r="E2539" t="s">
        <v>6424</v>
      </c>
      <c r="F2539" t="s">
        <v>298</v>
      </c>
      <c r="G2539" t="s">
        <v>6405</v>
      </c>
      <c r="H2539" t="s">
        <v>6406</v>
      </c>
      <c r="I2539" t="s">
        <v>6400</v>
      </c>
      <c r="J2539" t="s">
        <v>6421</v>
      </c>
      <c r="K2539" t="s">
        <v>6437</v>
      </c>
      <c r="L2539" t="s">
        <v>6346</v>
      </c>
      <c r="M2539" s="37">
        <v>0.00706</v>
      </c>
      <c r="N2539" s="37">
        <v>0.15</v>
      </c>
      <c r="O2539">
        <v>0.706</v>
      </c>
      <c r="P2539" s="37">
        <v>0.009244</v>
      </c>
      <c r="Q2539">
        <v>0.92</v>
      </c>
      <c r="R2539">
        <v>1890</v>
      </c>
      <c r="S2539">
        <v>1890</v>
      </c>
      <c r="T2539">
        <v>2100</v>
      </c>
      <c r="U2539" t="s">
        <v>6232</v>
      </c>
      <c r="X2539">
        <v>1</v>
      </c>
      <c r="Z2539" s="37">
        <v>1</v>
      </c>
      <c r="AA2539" s="37">
        <v>1</v>
      </c>
      <c r="AB2539">
        <v>0</v>
      </c>
    </row>
    <row r="2540">
      <c r="A2540" t="s">
        <v>6423</v>
      </c>
      <c r="B2540" t="s">
        <v>6402</v>
      </c>
      <c r="C2540" t="s">
        <v>6402</v>
      </c>
      <c r="D2540" t="s">
        <v>6403</v>
      </c>
      <c r="E2540" t="s">
        <v>6424</v>
      </c>
      <c r="F2540" t="s">
        <v>298</v>
      </c>
      <c r="G2540" t="s">
        <v>6405</v>
      </c>
      <c r="H2540" t="s">
        <v>6406</v>
      </c>
      <c r="I2540" t="s">
        <v>6400</v>
      </c>
      <c r="J2540" t="s">
        <v>4170</v>
      </c>
      <c r="K2540" t="s">
        <v>6438</v>
      </c>
      <c r="L2540" t="s">
        <v>6346</v>
      </c>
      <c r="M2540" s="37">
        <v>0.01</v>
      </c>
      <c r="N2540" s="37">
        <v>0.2</v>
      </c>
      <c r="O2540">
        <v>1</v>
      </c>
      <c r="P2540" s="37">
        <v>0.009244</v>
      </c>
      <c r="Q2540">
        <v>0.92</v>
      </c>
      <c r="R2540">
        <v>1890</v>
      </c>
      <c r="S2540">
        <v>1890</v>
      </c>
      <c r="T2540">
        <v>2100</v>
      </c>
      <c r="U2540" t="s">
        <v>6232</v>
      </c>
      <c r="X2540">
        <v>1</v>
      </c>
      <c r="Z2540" s="37">
        <v>1</v>
      </c>
      <c r="AA2540" s="37">
        <v>1</v>
      </c>
      <c r="AB2540">
        <v>0</v>
      </c>
    </row>
    <row r="2541">
      <c r="A2541" t="s">
        <v>6439</v>
      </c>
      <c r="B2541" t="s">
        <v>6402</v>
      </c>
      <c r="C2541" t="s">
        <v>6402</v>
      </c>
      <c r="D2541" t="s">
        <v>6403</v>
      </c>
      <c r="E2541" t="s">
        <v>6440</v>
      </c>
      <c r="F2541" t="s">
        <v>298</v>
      </c>
      <c r="G2541" t="s">
        <v>6405</v>
      </c>
      <c r="H2541" t="s">
        <v>6406</v>
      </c>
      <c r="I2541" t="s">
        <v>6400</v>
      </c>
      <c r="J2541" t="s">
        <v>6425</v>
      </c>
      <c r="K2541" t="s">
        <v>6441</v>
      </c>
      <c r="L2541" t="s">
        <v>6346</v>
      </c>
      <c r="M2541" s="37">
        <v>0.0092</v>
      </c>
      <c r="N2541" s="37">
        <v>0.25</v>
      </c>
      <c r="O2541">
        <v>0.92</v>
      </c>
      <c r="P2541" s="37">
        <v>0.009343</v>
      </c>
      <c r="Q2541">
        <v>0.93</v>
      </c>
      <c r="R2541">
        <v>2100</v>
      </c>
      <c r="S2541">
        <v>2100</v>
      </c>
      <c r="T2541">
        <v>2100</v>
      </c>
      <c r="U2541" t="s">
        <v>6232</v>
      </c>
      <c r="X2541">
        <v>1</v>
      </c>
      <c r="Z2541" s="37">
        <v>1</v>
      </c>
      <c r="AA2541" s="37">
        <v>1</v>
      </c>
      <c r="AB2541">
        <v>0</v>
      </c>
    </row>
    <row r="2542">
      <c r="A2542" t="s">
        <v>6439</v>
      </c>
      <c r="B2542" t="s">
        <v>6402</v>
      </c>
      <c r="C2542" t="s">
        <v>6402</v>
      </c>
      <c r="D2542" t="s">
        <v>6403</v>
      </c>
      <c r="E2542" t="s">
        <v>6440</v>
      </c>
      <c r="F2542" t="s">
        <v>298</v>
      </c>
      <c r="G2542" t="s">
        <v>6405</v>
      </c>
      <c r="H2542" t="s">
        <v>6406</v>
      </c>
      <c r="I2542" t="s">
        <v>6400</v>
      </c>
      <c r="J2542" t="s">
        <v>6427</v>
      </c>
      <c r="K2542" t="s">
        <v>6442</v>
      </c>
      <c r="L2542" t="s">
        <v>6346</v>
      </c>
      <c r="M2542" s="37">
        <v>0.0085</v>
      </c>
      <c r="N2542" s="37">
        <v>0.1</v>
      </c>
      <c r="O2542">
        <v>0.85</v>
      </c>
      <c r="P2542" s="37">
        <v>0.009343</v>
      </c>
      <c r="Q2542">
        <v>0.93</v>
      </c>
      <c r="R2542">
        <v>2100</v>
      </c>
      <c r="S2542">
        <v>2100</v>
      </c>
      <c r="T2542">
        <v>2100</v>
      </c>
      <c r="U2542" t="s">
        <v>6232</v>
      </c>
      <c r="X2542">
        <v>1</v>
      </c>
      <c r="Z2542" s="37">
        <v>1</v>
      </c>
      <c r="AA2542" s="37">
        <v>1</v>
      </c>
      <c r="AB2542">
        <v>0</v>
      </c>
    </row>
    <row r="2543">
      <c r="A2543" t="s">
        <v>6439</v>
      </c>
      <c r="B2543" t="s">
        <v>6402</v>
      </c>
      <c r="C2543" t="s">
        <v>6402</v>
      </c>
      <c r="D2543" t="s">
        <v>6403</v>
      </c>
      <c r="E2543" t="s">
        <v>6440</v>
      </c>
      <c r="F2543" t="s">
        <v>298</v>
      </c>
      <c r="G2543" t="s">
        <v>6405</v>
      </c>
      <c r="H2543" t="s">
        <v>6406</v>
      </c>
      <c r="I2543" t="s">
        <v>6400</v>
      </c>
      <c r="J2543" t="s">
        <v>6433</v>
      </c>
      <c r="K2543" t="s">
        <v>6434</v>
      </c>
      <c r="L2543" t="s">
        <v>6346</v>
      </c>
      <c r="M2543" s="37">
        <v>0.009</v>
      </c>
      <c r="N2543" s="37">
        <v>0.1</v>
      </c>
      <c r="O2543">
        <v>0.9</v>
      </c>
      <c r="P2543" s="37">
        <v>0.009343</v>
      </c>
      <c r="Q2543">
        <v>0.93</v>
      </c>
      <c r="R2543">
        <v>2100</v>
      </c>
      <c r="S2543">
        <v>2100</v>
      </c>
      <c r="T2543">
        <v>2100</v>
      </c>
      <c r="U2543" t="s">
        <v>6232</v>
      </c>
      <c r="X2543">
        <v>1</v>
      </c>
      <c r="Z2543" s="37">
        <v>1</v>
      </c>
      <c r="AA2543" s="37">
        <v>1</v>
      </c>
      <c r="AB2543">
        <v>0</v>
      </c>
    </row>
    <row r="2544">
      <c r="A2544" t="s">
        <v>6439</v>
      </c>
      <c r="B2544" t="s">
        <v>6402</v>
      </c>
      <c r="C2544" t="s">
        <v>6402</v>
      </c>
      <c r="D2544" t="s">
        <v>6403</v>
      </c>
      <c r="E2544" t="s">
        <v>6440</v>
      </c>
      <c r="F2544" t="s">
        <v>298</v>
      </c>
      <c r="G2544" t="s">
        <v>6405</v>
      </c>
      <c r="H2544" t="s">
        <v>6406</v>
      </c>
      <c r="I2544" t="s">
        <v>6400</v>
      </c>
      <c r="J2544" t="s">
        <v>6443</v>
      </c>
      <c r="K2544" t="s">
        <v>6444</v>
      </c>
      <c r="L2544" t="s">
        <v>6346</v>
      </c>
      <c r="M2544" s="37">
        <v>0.01</v>
      </c>
      <c r="N2544" s="37">
        <v>0.05</v>
      </c>
      <c r="O2544">
        <v>1</v>
      </c>
      <c r="P2544" s="37">
        <v>0.009343</v>
      </c>
      <c r="Q2544">
        <v>0.93</v>
      </c>
      <c r="R2544">
        <v>2100</v>
      </c>
      <c r="S2544">
        <v>2100</v>
      </c>
      <c r="T2544">
        <v>2100</v>
      </c>
      <c r="U2544" t="s">
        <v>6232</v>
      </c>
      <c r="X2544">
        <v>1</v>
      </c>
      <c r="Z2544" s="37">
        <v>1</v>
      </c>
      <c r="AA2544" s="37">
        <v>1</v>
      </c>
      <c r="AB2544">
        <v>0</v>
      </c>
    </row>
    <row r="2545">
      <c r="A2545" t="s">
        <v>6439</v>
      </c>
      <c r="B2545" t="s">
        <v>6402</v>
      </c>
      <c r="C2545" t="s">
        <v>6402</v>
      </c>
      <c r="D2545" t="s">
        <v>6403</v>
      </c>
      <c r="E2545" t="s">
        <v>6440</v>
      </c>
      <c r="F2545" t="s">
        <v>298</v>
      </c>
      <c r="G2545" t="s">
        <v>6405</v>
      </c>
      <c r="H2545" t="s">
        <v>6406</v>
      </c>
      <c r="I2545" t="s">
        <v>6400</v>
      </c>
      <c r="J2545" t="s">
        <v>6431</v>
      </c>
      <c r="K2545" t="s">
        <v>6445</v>
      </c>
      <c r="L2545" t="s">
        <v>6346</v>
      </c>
      <c r="M2545" s="37">
        <v>0.01</v>
      </c>
      <c r="N2545" s="37">
        <v>0.05</v>
      </c>
      <c r="O2545">
        <v>1</v>
      </c>
      <c r="P2545" s="37">
        <v>0.009343</v>
      </c>
      <c r="Q2545">
        <v>0.93</v>
      </c>
      <c r="R2545">
        <v>2100</v>
      </c>
      <c r="S2545">
        <v>2100</v>
      </c>
      <c r="T2545">
        <v>2100</v>
      </c>
      <c r="U2545" t="s">
        <v>6232</v>
      </c>
      <c r="X2545">
        <v>1</v>
      </c>
      <c r="Z2545" s="37">
        <v>1</v>
      </c>
      <c r="AA2545" s="37">
        <v>1</v>
      </c>
      <c r="AB2545">
        <v>0</v>
      </c>
    </row>
    <row r="2546">
      <c r="A2546" t="s">
        <v>6439</v>
      </c>
      <c r="B2546" t="s">
        <v>6402</v>
      </c>
      <c r="C2546" t="s">
        <v>6402</v>
      </c>
      <c r="D2546" t="s">
        <v>6403</v>
      </c>
      <c r="E2546" t="s">
        <v>6440</v>
      </c>
      <c r="F2546" t="s">
        <v>298</v>
      </c>
      <c r="G2546" t="s">
        <v>6405</v>
      </c>
      <c r="H2546" t="s">
        <v>6406</v>
      </c>
      <c r="I2546" t="s">
        <v>6400</v>
      </c>
      <c r="J2546" t="s">
        <v>6446</v>
      </c>
      <c r="K2546" t="s">
        <v>6447</v>
      </c>
      <c r="L2546" t="s">
        <v>6346</v>
      </c>
      <c r="M2546" s="37">
        <v>0.01</v>
      </c>
      <c r="N2546" s="37">
        <v>0.1</v>
      </c>
      <c r="O2546">
        <v>1</v>
      </c>
      <c r="P2546" s="37">
        <v>0.009343</v>
      </c>
      <c r="Q2546">
        <v>0.93</v>
      </c>
      <c r="R2546">
        <v>2100</v>
      </c>
      <c r="S2546">
        <v>2100</v>
      </c>
      <c r="T2546">
        <v>2100</v>
      </c>
      <c r="U2546" t="s">
        <v>6232</v>
      </c>
      <c r="X2546">
        <v>1</v>
      </c>
      <c r="Z2546" s="37">
        <v>1</v>
      </c>
      <c r="AA2546" s="37">
        <v>1</v>
      </c>
      <c r="AB2546">
        <v>0</v>
      </c>
    </row>
    <row r="2547">
      <c r="A2547" t="s">
        <v>6439</v>
      </c>
      <c r="B2547" t="s">
        <v>6402</v>
      </c>
      <c r="C2547" t="s">
        <v>6402</v>
      </c>
      <c r="D2547" t="s">
        <v>6403</v>
      </c>
      <c r="E2547" t="s">
        <v>6440</v>
      </c>
      <c r="F2547" t="s">
        <v>298</v>
      </c>
      <c r="G2547" t="s">
        <v>6405</v>
      </c>
      <c r="H2547" t="s">
        <v>6406</v>
      </c>
      <c r="I2547" t="s">
        <v>6400</v>
      </c>
      <c r="J2547" t="s">
        <v>6448</v>
      </c>
      <c r="K2547" t="s">
        <v>6449</v>
      </c>
      <c r="L2547" t="s">
        <v>6346</v>
      </c>
      <c r="M2547" s="37">
        <v>0.01</v>
      </c>
      <c r="N2547" s="37">
        <v>0.05</v>
      </c>
      <c r="O2547">
        <v>1</v>
      </c>
      <c r="P2547" s="37">
        <v>0.009343</v>
      </c>
      <c r="Q2547">
        <v>0.93</v>
      </c>
      <c r="R2547">
        <v>2100</v>
      </c>
      <c r="S2547">
        <v>2100</v>
      </c>
      <c r="T2547">
        <v>2100</v>
      </c>
      <c r="U2547" t="s">
        <v>6232</v>
      </c>
      <c r="X2547">
        <v>1</v>
      </c>
      <c r="Z2547" s="37">
        <v>1</v>
      </c>
      <c r="AA2547" s="37">
        <v>1</v>
      </c>
      <c r="AB2547">
        <v>0</v>
      </c>
    </row>
    <row r="2548">
      <c r="A2548" t="s">
        <v>6439</v>
      </c>
      <c r="B2548" t="s">
        <v>6402</v>
      </c>
      <c r="C2548" t="s">
        <v>6402</v>
      </c>
      <c r="D2548" t="s">
        <v>6403</v>
      </c>
      <c r="E2548" t="s">
        <v>6440</v>
      </c>
      <c r="F2548" t="s">
        <v>298</v>
      </c>
      <c r="G2548" t="s">
        <v>6405</v>
      </c>
      <c r="H2548" t="s">
        <v>6406</v>
      </c>
      <c r="I2548" t="s">
        <v>6400</v>
      </c>
      <c r="J2548" t="s">
        <v>6435</v>
      </c>
      <c r="K2548" t="s">
        <v>6450</v>
      </c>
      <c r="L2548" t="s">
        <v>6346</v>
      </c>
      <c r="M2548" s="37">
        <v>0.01</v>
      </c>
      <c r="N2548" s="37">
        <v>0.05</v>
      </c>
      <c r="O2548">
        <v>1</v>
      </c>
      <c r="P2548" s="37">
        <v>0.009343</v>
      </c>
      <c r="Q2548">
        <v>0.93</v>
      </c>
      <c r="R2548">
        <v>2100</v>
      </c>
      <c r="S2548">
        <v>2100</v>
      </c>
      <c r="T2548">
        <v>2100</v>
      </c>
      <c r="U2548" t="s">
        <v>6232</v>
      </c>
      <c r="X2548">
        <v>1</v>
      </c>
      <c r="Z2548" s="37">
        <v>1</v>
      </c>
      <c r="AA2548" s="37">
        <v>1</v>
      </c>
      <c r="AB2548">
        <v>0</v>
      </c>
    </row>
    <row r="2549">
      <c r="A2549" t="s">
        <v>6439</v>
      </c>
      <c r="B2549" t="s">
        <v>6402</v>
      </c>
      <c r="C2549" t="s">
        <v>6402</v>
      </c>
      <c r="D2549" t="s">
        <v>6403</v>
      </c>
      <c r="E2549" t="s">
        <v>6440</v>
      </c>
      <c r="F2549" t="s">
        <v>298</v>
      </c>
      <c r="G2549" t="s">
        <v>6405</v>
      </c>
      <c r="H2549" t="s">
        <v>6406</v>
      </c>
      <c r="I2549" t="s">
        <v>6400</v>
      </c>
      <c r="J2549" t="s">
        <v>6421</v>
      </c>
      <c r="K2549" t="s">
        <v>6451</v>
      </c>
      <c r="L2549" t="s">
        <v>6346</v>
      </c>
      <c r="M2549" s="37">
        <v>0.00862</v>
      </c>
      <c r="N2549" s="37">
        <v>0.15</v>
      </c>
      <c r="O2549">
        <v>0.862</v>
      </c>
      <c r="P2549" s="37">
        <v>0.009343</v>
      </c>
      <c r="Q2549">
        <v>0.93</v>
      </c>
      <c r="R2549">
        <v>2100</v>
      </c>
      <c r="S2549">
        <v>2100</v>
      </c>
      <c r="T2549">
        <v>2100</v>
      </c>
      <c r="U2549" t="s">
        <v>6232</v>
      </c>
      <c r="X2549">
        <v>1</v>
      </c>
      <c r="Z2549" s="37">
        <v>1</v>
      </c>
      <c r="AA2549" s="37">
        <v>1</v>
      </c>
      <c r="AB2549">
        <v>0</v>
      </c>
    </row>
    <row r="2550">
      <c r="A2550" t="s">
        <v>6439</v>
      </c>
      <c r="B2550" t="s">
        <v>6402</v>
      </c>
      <c r="C2550" t="s">
        <v>6402</v>
      </c>
      <c r="D2550" t="s">
        <v>6403</v>
      </c>
      <c r="E2550" t="s">
        <v>6440</v>
      </c>
      <c r="F2550" t="s">
        <v>298</v>
      </c>
      <c r="G2550" t="s">
        <v>6405</v>
      </c>
      <c r="H2550" t="s">
        <v>6406</v>
      </c>
      <c r="I2550" t="s">
        <v>6400</v>
      </c>
      <c r="J2550" t="s">
        <v>4170</v>
      </c>
      <c r="K2550" t="s">
        <v>6452</v>
      </c>
      <c r="L2550" t="s">
        <v>6346</v>
      </c>
      <c r="M2550" s="37">
        <v>0.01</v>
      </c>
      <c r="N2550" s="37">
        <v>0.1</v>
      </c>
      <c r="O2550">
        <v>1</v>
      </c>
      <c r="P2550" s="37">
        <v>0.009343</v>
      </c>
      <c r="Q2550">
        <v>0.93</v>
      </c>
      <c r="R2550">
        <v>2100</v>
      </c>
      <c r="S2550">
        <v>2100</v>
      </c>
      <c r="T2550">
        <v>2100</v>
      </c>
      <c r="U2550" t="s">
        <v>6232</v>
      </c>
      <c r="X2550">
        <v>1</v>
      </c>
      <c r="Z2550" s="37">
        <v>1</v>
      </c>
      <c r="AA2550" s="37">
        <v>1</v>
      </c>
      <c r="AB2550">
        <v>0</v>
      </c>
    </row>
    <row r="2551">
      <c r="A2551" t="s">
        <v>6453</v>
      </c>
      <c r="B2551" t="s">
        <v>6402</v>
      </c>
      <c r="C2551" t="s">
        <v>6402</v>
      </c>
      <c r="D2551" t="s">
        <v>6403</v>
      </c>
      <c r="E2551" t="s">
        <v>6454</v>
      </c>
      <c r="F2551" t="s">
        <v>298</v>
      </c>
      <c r="G2551" t="s">
        <v>6405</v>
      </c>
      <c r="H2551" t="s">
        <v>6406</v>
      </c>
      <c r="I2551" t="s">
        <v>6400</v>
      </c>
      <c r="J2551" t="s">
        <v>6455</v>
      </c>
      <c r="K2551" t="s">
        <v>6456</v>
      </c>
      <c r="L2551" t="s">
        <v>6346</v>
      </c>
      <c r="M2551" s="37">
        <v>0.0088</v>
      </c>
      <c r="N2551" s="37">
        <v>0.25</v>
      </c>
      <c r="O2551">
        <v>0.88</v>
      </c>
      <c r="P2551" s="37">
        <v>0.0095</v>
      </c>
      <c r="Q2551">
        <v>0.95</v>
      </c>
      <c r="R2551">
        <v>2310</v>
      </c>
      <c r="S2551">
        <v>2310</v>
      </c>
      <c r="T2551">
        <v>2100</v>
      </c>
      <c r="U2551" t="s">
        <v>6232</v>
      </c>
      <c r="X2551">
        <v>1</v>
      </c>
      <c r="Z2551" s="37">
        <v>1</v>
      </c>
      <c r="AA2551" s="37">
        <v>1</v>
      </c>
      <c r="AB2551">
        <v>0</v>
      </c>
    </row>
    <row r="2552">
      <c r="A2552" t="s">
        <v>6453</v>
      </c>
      <c r="B2552" t="s">
        <v>6402</v>
      </c>
      <c r="C2552" t="s">
        <v>6402</v>
      </c>
      <c r="D2552" t="s">
        <v>6403</v>
      </c>
      <c r="E2552" t="s">
        <v>6454</v>
      </c>
      <c r="F2552" t="s">
        <v>298</v>
      </c>
      <c r="G2552" t="s">
        <v>6405</v>
      </c>
      <c r="H2552" t="s">
        <v>6406</v>
      </c>
      <c r="I2552" t="s">
        <v>6400</v>
      </c>
      <c r="J2552" t="s">
        <v>6457</v>
      </c>
      <c r="K2552" t="s">
        <v>6458</v>
      </c>
      <c r="L2552" t="s">
        <v>6346</v>
      </c>
      <c r="M2552" s="37">
        <v>0.008667</v>
      </c>
      <c r="N2552" s="37">
        <v>0.15</v>
      </c>
      <c r="O2552">
        <v>0.8667</v>
      </c>
      <c r="P2552" s="37">
        <v>0.0095</v>
      </c>
      <c r="Q2552">
        <v>0.95</v>
      </c>
      <c r="R2552">
        <v>2310</v>
      </c>
      <c r="S2552">
        <v>2310</v>
      </c>
      <c r="T2552">
        <v>2100</v>
      </c>
      <c r="U2552" t="s">
        <v>6232</v>
      </c>
      <c r="X2552">
        <v>1</v>
      </c>
      <c r="Z2552" s="37">
        <v>1</v>
      </c>
      <c r="AA2552" s="37">
        <v>1</v>
      </c>
      <c r="AB2552">
        <v>0</v>
      </c>
    </row>
    <row r="2553">
      <c r="A2553" t="s">
        <v>6453</v>
      </c>
      <c r="B2553" t="s">
        <v>6402</v>
      </c>
      <c r="C2553" t="s">
        <v>6402</v>
      </c>
      <c r="D2553" t="s">
        <v>6403</v>
      </c>
      <c r="E2553" t="s">
        <v>6454</v>
      </c>
      <c r="F2553" t="s">
        <v>298</v>
      </c>
      <c r="G2553" t="s">
        <v>6405</v>
      </c>
      <c r="H2553" t="s">
        <v>6406</v>
      </c>
      <c r="I2553" t="s">
        <v>6400</v>
      </c>
      <c r="J2553" t="s">
        <v>6459</v>
      </c>
      <c r="K2553" t="s">
        <v>6460</v>
      </c>
      <c r="L2553" t="s">
        <v>6346</v>
      </c>
      <c r="M2553" s="37">
        <v>0.01</v>
      </c>
      <c r="N2553" s="37">
        <v>0.1</v>
      </c>
      <c r="O2553">
        <v>1</v>
      </c>
      <c r="P2553" s="37">
        <v>0.0095</v>
      </c>
      <c r="Q2553">
        <v>0.95</v>
      </c>
      <c r="R2553">
        <v>2310</v>
      </c>
      <c r="S2553">
        <v>2310</v>
      </c>
      <c r="T2553">
        <v>2100</v>
      </c>
      <c r="U2553" t="s">
        <v>6232</v>
      </c>
      <c r="X2553">
        <v>1</v>
      </c>
      <c r="Z2553" s="37">
        <v>1</v>
      </c>
      <c r="AA2553" s="37">
        <v>1</v>
      </c>
      <c r="AB2553">
        <v>0</v>
      </c>
    </row>
    <row r="2554">
      <c r="A2554" t="s">
        <v>6453</v>
      </c>
      <c r="B2554" t="s">
        <v>6402</v>
      </c>
      <c r="C2554" t="s">
        <v>6402</v>
      </c>
      <c r="D2554" t="s">
        <v>6403</v>
      </c>
      <c r="E2554" t="s">
        <v>6454</v>
      </c>
      <c r="F2554" t="s">
        <v>298</v>
      </c>
      <c r="G2554" t="s">
        <v>6405</v>
      </c>
      <c r="H2554" t="s">
        <v>6406</v>
      </c>
      <c r="I2554" t="s">
        <v>6400</v>
      </c>
      <c r="J2554" t="s">
        <v>6461</v>
      </c>
      <c r="K2554" t="s">
        <v>6462</v>
      </c>
      <c r="L2554" t="s">
        <v>6346</v>
      </c>
      <c r="M2554" s="37">
        <v>0.01</v>
      </c>
      <c r="N2554" s="37">
        <v>0.05</v>
      </c>
      <c r="O2554">
        <v>1</v>
      </c>
      <c r="P2554" s="37">
        <v>0.0095</v>
      </c>
      <c r="Q2554">
        <v>0.95</v>
      </c>
      <c r="R2554">
        <v>2310</v>
      </c>
      <c r="S2554">
        <v>2310</v>
      </c>
      <c r="T2554">
        <v>2100</v>
      </c>
      <c r="U2554" t="s">
        <v>6232</v>
      </c>
      <c r="X2554">
        <v>1</v>
      </c>
      <c r="Z2554" s="37">
        <v>1</v>
      </c>
      <c r="AA2554" s="37">
        <v>1</v>
      </c>
      <c r="AB2554">
        <v>0</v>
      </c>
    </row>
    <row r="2555">
      <c r="A2555" t="s">
        <v>6453</v>
      </c>
      <c r="B2555" t="s">
        <v>6402</v>
      </c>
      <c r="C2555" t="s">
        <v>6402</v>
      </c>
      <c r="D2555" t="s">
        <v>6403</v>
      </c>
      <c r="E2555" t="s">
        <v>6454</v>
      </c>
      <c r="F2555" t="s">
        <v>298</v>
      </c>
      <c r="G2555" t="s">
        <v>6405</v>
      </c>
      <c r="H2555" t="s">
        <v>6406</v>
      </c>
      <c r="I2555" t="s">
        <v>6400</v>
      </c>
      <c r="J2555" t="s">
        <v>6446</v>
      </c>
      <c r="K2555" t="s">
        <v>6463</v>
      </c>
      <c r="L2555" t="s">
        <v>6346</v>
      </c>
      <c r="M2555" s="37">
        <v>0.01</v>
      </c>
      <c r="N2555" s="37">
        <v>0.1</v>
      </c>
      <c r="O2555">
        <v>1</v>
      </c>
      <c r="P2555" s="37">
        <v>0.0095</v>
      </c>
      <c r="Q2555">
        <v>0.95</v>
      </c>
      <c r="R2555">
        <v>2310</v>
      </c>
      <c r="S2555">
        <v>2310</v>
      </c>
      <c r="T2555">
        <v>2100</v>
      </c>
      <c r="U2555" t="s">
        <v>6232</v>
      </c>
      <c r="X2555">
        <v>1</v>
      </c>
      <c r="Z2555" s="37">
        <v>1</v>
      </c>
      <c r="AA2555" s="37">
        <v>1</v>
      </c>
      <c r="AB2555">
        <v>0</v>
      </c>
    </row>
    <row r="2556">
      <c r="A2556" t="s">
        <v>6453</v>
      </c>
      <c r="B2556" t="s">
        <v>6402</v>
      </c>
      <c r="C2556" t="s">
        <v>6402</v>
      </c>
      <c r="D2556" t="s">
        <v>6403</v>
      </c>
      <c r="E2556" t="s">
        <v>6454</v>
      </c>
      <c r="F2556" t="s">
        <v>298</v>
      </c>
      <c r="G2556" t="s">
        <v>6405</v>
      </c>
      <c r="H2556" t="s">
        <v>6406</v>
      </c>
      <c r="I2556" t="s">
        <v>6400</v>
      </c>
      <c r="J2556" t="s">
        <v>6421</v>
      </c>
      <c r="K2556" t="s">
        <v>6464</v>
      </c>
      <c r="L2556" t="s">
        <v>6346</v>
      </c>
      <c r="M2556" s="37">
        <v>0.01</v>
      </c>
      <c r="N2556" s="37">
        <v>0.15</v>
      </c>
      <c r="O2556">
        <v>1</v>
      </c>
      <c r="P2556" s="37">
        <v>0.0095</v>
      </c>
      <c r="Q2556">
        <v>0.95</v>
      </c>
      <c r="R2556">
        <v>2310</v>
      </c>
      <c r="S2556">
        <v>2310</v>
      </c>
      <c r="T2556">
        <v>2100</v>
      </c>
      <c r="U2556" t="s">
        <v>6232</v>
      </c>
      <c r="X2556">
        <v>1</v>
      </c>
      <c r="Z2556" s="37">
        <v>1</v>
      </c>
      <c r="AA2556" s="37">
        <v>1</v>
      </c>
      <c r="AB2556">
        <v>0</v>
      </c>
    </row>
    <row r="2557">
      <c r="A2557" t="s">
        <v>6453</v>
      </c>
      <c r="B2557" t="s">
        <v>6402</v>
      </c>
      <c r="C2557" t="s">
        <v>6402</v>
      </c>
      <c r="D2557" t="s">
        <v>6403</v>
      </c>
      <c r="E2557" t="s">
        <v>6454</v>
      </c>
      <c r="F2557" t="s">
        <v>298</v>
      </c>
      <c r="G2557" t="s">
        <v>6405</v>
      </c>
      <c r="H2557" t="s">
        <v>6406</v>
      </c>
      <c r="I2557" t="s">
        <v>6400</v>
      </c>
      <c r="J2557" t="s">
        <v>4170</v>
      </c>
      <c r="K2557" t="s">
        <v>6465</v>
      </c>
      <c r="L2557" t="s">
        <v>6346</v>
      </c>
      <c r="M2557" s="37">
        <v>0.01</v>
      </c>
      <c r="N2557" s="37">
        <v>0.2</v>
      </c>
      <c r="O2557">
        <v>1</v>
      </c>
      <c r="P2557" s="37">
        <v>0.0095</v>
      </c>
      <c r="Q2557">
        <v>0.95</v>
      </c>
      <c r="R2557">
        <v>2310</v>
      </c>
      <c r="S2557">
        <v>2310</v>
      </c>
      <c r="T2557">
        <v>2100</v>
      </c>
      <c r="U2557" t="s">
        <v>6232</v>
      </c>
      <c r="X2557">
        <v>1</v>
      </c>
      <c r="Z2557" s="37">
        <v>1</v>
      </c>
      <c r="AA2557" s="37">
        <v>1</v>
      </c>
      <c r="AB2557">
        <v>0</v>
      </c>
    </row>
    <row r="2558">
      <c r="A2558" t="s">
        <v>6466</v>
      </c>
      <c r="B2558" t="s">
        <v>6402</v>
      </c>
      <c r="C2558" t="s">
        <v>6402</v>
      </c>
      <c r="D2558" t="s">
        <v>6403</v>
      </c>
      <c r="E2558" t="s">
        <v>6467</v>
      </c>
      <c r="F2558" t="s">
        <v>298</v>
      </c>
      <c r="G2558" t="s">
        <v>6405</v>
      </c>
      <c r="H2558" t="s">
        <v>6406</v>
      </c>
      <c r="I2558" t="s">
        <v>6400</v>
      </c>
      <c r="J2558" t="s">
        <v>6468</v>
      </c>
      <c r="K2558" t="s">
        <v>6469</v>
      </c>
      <c r="L2558" t="s">
        <v>6346</v>
      </c>
      <c r="M2558" s="37">
        <v>0.0094</v>
      </c>
      <c r="N2558" s="37">
        <v>0.2</v>
      </c>
      <c r="O2558">
        <v>0.94</v>
      </c>
      <c r="P2558" s="37">
        <v>0.008819</v>
      </c>
      <c r="Q2558">
        <v>0.87</v>
      </c>
      <c r="R2558">
        <v>1680</v>
      </c>
      <c r="S2558">
        <v>1680</v>
      </c>
      <c r="T2558">
        <v>2100</v>
      </c>
      <c r="U2558" t="s">
        <v>6232</v>
      </c>
      <c r="X2558">
        <v>1</v>
      </c>
      <c r="Z2558" s="37">
        <v>1</v>
      </c>
      <c r="AA2558" s="37">
        <v>1</v>
      </c>
      <c r="AB2558">
        <v>0</v>
      </c>
    </row>
    <row r="2559">
      <c r="A2559" t="s">
        <v>6466</v>
      </c>
      <c r="B2559" t="s">
        <v>6402</v>
      </c>
      <c r="C2559" t="s">
        <v>6402</v>
      </c>
      <c r="D2559" t="s">
        <v>6403</v>
      </c>
      <c r="E2559" t="s">
        <v>6467</v>
      </c>
      <c r="F2559" t="s">
        <v>298</v>
      </c>
      <c r="G2559" t="s">
        <v>6405</v>
      </c>
      <c r="H2559" t="s">
        <v>6406</v>
      </c>
      <c r="I2559" t="s">
        <v>6400</v>
      </c>
      <c r="J2559" t="s">
        <v>6470</v>
      </c>
      <c r="K2559" t="s">
        <v>6471</v>
      </c>
      <c r="L2559" t="s">
        <v>6346</v>
      </c>
      <c r="M2559" s="37">
        <v>0.01</v>
      </c>
      <c r="N2559" s="37">
        <v>0.05</v>
      </c>
      <c r="O2559">
        <v>1</v>
      </c>
      <c r="P2559" s="37">
        <v>0.008819</v>
      </c>
      <c r="Q2559">
        <v>0.87</v>
      </c>
      <c r="R2559">
        <v>1680</v>
      </c>
      <c r="S2559">
        <v>1680</v>
      </c>
      <c r="T2559">
        <v>2100</v>
      </c>
      <c r="U2559" t="s">
        <v>6232</v>
      </c>
      <c r="X2559">
        <v>1</v>
      </c>
      <c r="Z2559" s="37">
        <v>1</v>
      </c>
      <c r="AA2559" s="37">
        <v>1</v>
      </c>
      <c r="AB2559">
        <v>0</v>
      </c>
    </row>
    <row r="2560">
      <c r="A2560" t="s">
        <v>6466</v>
      </c>
      <c r="B2560" t="s">
        <v>6402</v>
      </c>
      <c r="C2560" t="s">
        <v>6402</v>
      </c>
      <c r="D2560" t="s">
        <v>6403</v>
      </c>
      <c r="E2560" t="s">
        <v>6467</v>
      </c>
      <c r="F2560" t="s">
        <v>298</v>
      </c>
      <c r="G2560" t="s">
        <v>6405</v>
      </c>
      <c r="H2560" t="s">
        <v>6406</v>
      </c>
      <c r="I2560" t="s">
        <v>6400</v>
      </c>
      <c r="J2560" t="s">
        <v>6446</v>
      </c>
      <c r="K2560" t="s">
        <v>3733</v>
      </c>
      <c r="L2560" t="s">
        <v>6346</v>
      </c>
      <c r="M2560" s="37">
        <v>0.01</v>
      </c>
      <c r="N2560" s="37">
        <v>0.1</v>
      </c>
      <c r="O2560">
        <v>1</v>
      </c>
      <c r="P2560" s="37">
        <v>0.008819</v>
      </c>
      <c r="Q2560">
        <v>0.87</v>
      </c>
      <c r="R2560">
        <v>1680</v>
      </c>
      <c r="S2560">
        <v>1680</v>
      </c>
      <c r="T2560">
        <v>2100</v>
      </c>
      <c r="U2560" t="s">
        <v>6232</v>
      </c>
      <c r="X2560">
        <v>1</v>
      </c>
      <c r="Z2560" s="37">
        <v>1</v>
      </c>
      <c r="AA2560" s="37">
        <v>1</v>
      </c>
      <c r="AB2560">
        <v>0</v>
      </c>
    </row>
    <row r="2561">
      <c r="A2561" t="s">
        <v>6466</v>
      </c>
      <c r="B2561" t="s">
        <v>6402</v>
      </c>
      <c r="C2561" t="s">
        <v>6402</v>
      </c>
      <c r="D2561" t="s">
        <v>6403</v>
      </c>
      <c r="E2561" t="s">
        <v>6467</v>
      </c>
      <c r="F2561" t="s">
        <v>298</v>
      </c>
      <c r="G2561" t="s">
        <v>6405</v>
      </c>
      <c r="H2561" t="s">
        <v>6406</v>
      </c>
      <c r="I2561" t="s">
        <v>6400</v>
      </c>
      <c r="J2561" t="s">
        <v>6472</v>
      </c>
      <c r="K2561" t="s">
        <v>3733</v>
      </c>
      <c r="L2561" t="s">
        <v>6346</v>
      </c>
      <c r="M2561" s="37">
        <v>0.01</v>
      </c>
      <c r="N2561" s="37">
        <v>0.1</v>
      </c>
      <c r="O2561">
        <v>1</v>
      </c>
      <c r="P2561" s="37">
        <v>0.008819</v>
      </c>
      <c r="Q2561">
        <v>0.87</v>
      </c>
      <c r="R2561">
        <v>1680</v>
      </c>
      <c r="S2561">
        <v>1680</v>
      </c>
      <c r="T2561">
        <v>2100</v>
      </c>
      <c r="U2561" t="s">
        <v>6232</v>
      </c>
      <c r="X2561">
        <v>1</v>
      </c>
      <c r="Z2561" s="37">
        <v>1</v>
      </c>
      <c r="AA2561" s="37">
        <v>1</v>
      </c>
      <c r="AB2561">
        <v>0</v>
      </c>
    </row>
    <row r="2562">
      <c r="A2562" t="s">
        <v>6466</v>
      </c>
      <c r="B2562" t="s">
        <v>6402</v>
      </c>
      <c r="C2562" t="s">
        <v>6402</v>
      </c>
      <c r="D2562" t="s">
        <v>6403</v>
      </c>
      <c r="E2562" t="s">
        <v>6467</v>
      </c>
      <c r="F2562" t="s">
        <v>298</v>
      </c>
      <c r="G2562" t="s">
        <v>6405</v>
      </c>
      <c r="H2562" t="s">
        <v>6406</v>
      </c>
      <c r="I2562" t="s">
        <v>6400</v>
      </c>
      <c r="J2562" t="s">
        <v>6473</v>
      </c>
      <c r="K2562" t="s">
        <v>6474</v>
      </c>
      <c r="L2562" t="s">
        <v>6346</v>
      </c>
      <c r="M2562" s="37">
        <v>0.0085</v>
      </c>
      <c r="N2562" s="37">
        <v>0.1</v>
      </c>
      <c r="O2562">
        <v>0.85</v>
      </c>
      <c r="P2562" s="37">
        <v>0.008819</v>
      </c>
      <c r="Q2562">
        <v>0.87</v>
      </c>
      <c r="R2562">
        <v>1680</v>
      </c>
      <c r="S2562">
        <v>1680</v>
      </c>
      <c r="T2562">
        <v>2100</v>
      </c>
      <c r="U2562" t="s">
        <v>6232</v>
      </c>
      <c r="X2562">
        <v>1</v>
      </c>
      <c r="Z2562" s="37">
        <v>1</v>
      </c>
      <c r="AA2562" s="37">
        <v>1</v>
      </c>
      <c r="AB2562">
        <v>0</v>
      </c>
    </row>
    <row r="2563">
      <c r="A2563" t="s">
        <v>6466</v>
      </c>
      <c r="B2563" t="s">
        <v>6402</v>
      </c>
      <c r="C2563" t="s">
        <v>6402</v>
      </c>
      <c r="D2563" t="s">
        <v>6403</v>
      </c>
      <c r="E2563" t="s">
        <v>6467</v>
      </c>
      <c r="F2563" t="s">
        <v>298</v>
      </c>
      <c r="G2563" t="s">
        <v>6405</v>
      </c>
      <c r="H2563" t="s">
        <v>6406</v>
      </c>
      <c r="I2563" t="s">
        <v>6400</v>
      </c>
      <c r="J2563" t="s">
        <v>6475</v>
      </c>
      <c r="K2563" t="s">
        <v>6476</v>
      </c>
      <c r="L2563" t="s">
        <v>6346</v>
      </c>
      <c r="M2563" s="37">
        <v>0.005</v>
      </c>
      <c r="N2563" s="37">
        <v>0.1</v>
      </c>
      <c r="O2563">
        <v>0.4</v>
      </c>
      <c r="P2563" s="37">
        <v>0.008819</v>
      </c>
      <c r="Q2563">
        <v>0.87</v>
      </c>
      <c r="R2563">
        <v>1680</v>
      </c>
      <c r="S2563">
        <v>1680</v>
      </c>
      <c r="T2563">
        <v>2100</v>
      </c>
      <c r="U2563" t="s">
        <v>6232</v>
      </c>
      <c r="X2563">
        <v>1</v>
      </c>
      <c r="Z2563" s="37">
        <v>1</v>
      </c>
      <c r="AA2563" s="37">
        <v>1</v>
      </c>
      <c r="AB2563">
        <v>0</v>
      </c>
    </row>
    <row r="2564">
      <c r="A2564" t="s">
        <v>6466</v>
      </c>
      <c r="B2564" t="s">
        <v>6402</v>
      </c>
      <c r="C2564" t="s">
        <v>6402</v>
      </c>
      <c r="D2564" t="s">
        <v>6403</v>
      </c>
      <c r="E2564" t="s">
        <v>6467</v>
      </c>
      <c r="F2564" t="s">
        <v>298</v>
      </c>
      <c r="G2564" t="s">
        <v>6405</v>
      </c>
      <c r="H2564" t="s">
        <v>6406</v>
      </c>
      <c r="I2564" t="s">
        <v>6400</v>
      </c>
      <c r="J2564" t="s">
        <v>6421</v>
      </c>
      <c r="K2564" t="s">
        <v>6477</v>
      </c>
      <c r="L2564" t="s">
        <v>6346</v>
      </c>
      <c r="M2564" s="37">
        <v>0.00726</v>
      </c>
      <c r="N2564" s="37">
        <v>0.15</v>
      </c>
      <c r="O2564">
        <v>0.726</v>
      </c>
      <c r="P2564" s="37">
        <v>0.008819</v>
      </c>
      <c r="Q2564">
        <v>0.87</v>
      </c>
      <c r="R2564">
        <v>1680</v>
      </c>
      <c r="S2564">
        <v>1680</v>
      </c>
      <c r="T2564">
        <v>2100</v>
      </c>
      <c r="U2564" t="s">
        <v>6232</v>
      </c>
      <c r="X2564">
        <v>1</v>
      </c>
      <c r="Z2564" s="37">
        <v>1</v>
      </c>
      <c r="AA2564" s="37">
        <v>1</v>
      </c>
      <c r="AB2564">
        <v>0</v>
      </c>
    </row>
    <row r="2565">
      <c r="A2565" t="s">
        <v>6466</v>
      </c>
      <c r="B2565" t="s">
        <v>6402</v>
      </c>
      <c r="C2565" t="s">
        <v>6402</v>
      </c>
      <c r="D2565" t="s">
        <v>6403</v>
      </c>
      <c r="E2565" t="s">
        <v>6467</v>
      </c>
      <c r="F2565" t="s">
        <v>298</v>
      </c>
      <c r="G2565" t="s">
        <v>6405</v>
      </c>
      <c r="H2565" t="s">
        <v>6406</v>
      </c>
      <c r="I2565" t="s">
        <v>6400</v>
      </c>
      <c r="J2565" t="s">
        <v>4170</v>
      </c>
      <c r="K2565" t="s">
        <v>3733</v>
      </c>
      <c r="L2565" t="s">
        <v>6346</v>
      </c>
      <c r="M2565" s="37">
        <v>0.01</v>
      </c>
      <c r="N2565" s="37">
        <v>0.2</v>
      </c>
      <c r="O2565">
        <v>1</v>
      </c>
      <c r="P2565" s="37">
        <v>0.008819</v>
      </c>
      <c r="Q2565">
        <v>0.87</v>
      </c>
      <c r="R2565">
        <v>1680</v>
      </c>
      <c r="S2565">
        <v>1680</v>
      </c>
      <c r="T2565">
        <v>2100</v>
      </c>
      <c r="U2565" t="s">
        <v>6232</v>
      </c>
      <c r="X2565">
        <v>1</v>
      </c>
      <c r="Z2565" s="37">
        <v>1</v>
      </c>
      <c r="AA2565" s="37">
        <v>1</v>
      </c>
      <c r="AB2565">
        <v>0</v>
      </c>
    </row>
    <row r="2566">
      <c r="A2566" t="s">
        <v>6478</v>
      </c>
      <c r="B2566" t="s">
        <v>6402</v>
      </c>
      <c r="C2566" t="s">
        <v>6402</v>
      </c>
      <c r="D2566" t="s">
        <v>6479</v>
      </c>
      <c r="E2566" t="s">
        <v>6480</v>
      </c>
      <c r="F2566" t="s">
        <v>298</v>
      </c>
      <c r="G2566" t="s">
        <v>6481</v>
      </c>
      <c r="H2566" t="s">
        <v>6482</v>
      </c>
      <c r="I2566" t="s">
        <v>6400</v>
      </c>
      <c r="J2566" t="s">
        <v>6483</v>
      </c>
      <c r="K2566" t="s">
        <v>6484</v>
      </c>
      <c r="L2566" t="s">
        <v>6346</v>
      </c>
      <c r="M2566" s="37">
        <v>0.009358</v>
      </c>
      <c r="N2566" s="37">
        <v>0.4</v>
      </c>
      <c r="O2566">
        <v>0.9358</v>
      </c>
      <c r="P2566" s="37">
        <v>0.009643</v>
      </c>
      <c r="Q2566">
        <v>0.96</v>
      </c>
      <c r="R2566">
        <v>3521.12</v>
      </c>
      <c r="S2566">
        <v>3521.12</v>
      </c>
      <c r="T2566">
        <v>3000</v>
      </c>
      <c r="U2566" t="s">
        <v>6232</v>
      </c>
      <c r="X2566">
        <v>1</v>
      </c>
      <c r="Z2566" s="37">
        <v>1</v>
      </c>
      <c r="AA2566" s="37">
        <v>1</v>
      </c>
      <c r="AB2566">
        <v>0</v>
      </c>
    </row>
    <row r="2567">
      <c r="A2567" t="s">
        <v>6478</v>
      </c>
      <c r="B2567" t="s">
        <v>6402</v>
      </c>
      <c r="C2567" t="s">
        <v>6402</v>
      </c>
      <c r="D2567" t="s">
        <v>6479</v>
      </c>
      <c r="E2567" t="s">
        <v>6480</v>
      </c>
      <c r="F2567" t="s">
        <v>298</v>
      </c>
      <c r="G2567" t="s">
        <v>6481</v>
      </c>
      <c r="H2567" t="s">
        <v>6482</v>
      </c>
      <c r="I2567" t="s">
        <v>6400</v>
      </c>
      <c r="J2567" t="s">
        <v>6485</v>
      </c>
      <c r="K2567" t="s">
        <v>6486</v>
      </c>
      <c r="L2567" t="s">
        <v>6346</v>
      </c>
      <c r="M2567" s="37">
        <v>0.01</v>
      </c>
      <c r="N2567" s="37">
        <v>0.1</v>
      </c>
      <c r="O2567">
        <v>1</v>
      </c>
      <c r="P2567" s="37">
        <v>0.009643</v>
      </c>
      <c r="Q2567">
        <v>0.96</v>
      </c>
      <c r="R2567">
        <v>3521.12</v>
      </c>
      <c r="S2567">
        <v>3521.12</v>
      </c>
      <c r="T2567">
        <v>3000</v>
      </c>
      <c r="U2567" t="s">
        <v>6232</v>
      </c>
      <c r="X2567">
        <v>1</v>
      </c>
      <c r="Z2567" s="37">
        <v>1</v>
      </c>
      <c r="AA2567" s="37">
        <v>1</v>
      </c>
      <c r="AB2567">
        <v>0</v>
      </c>
    </row>
    <row r="2568">
      <c r="A2568" t="s">
        <v>6478</v>
      </c>
      <c r="B2568" t="s">
        <v>6402</v>
      </c>
      <c r="C2568" t="s">
        <v>6402</v>
      </c>
      <c r="D2568" t="s">
        <v>6479</v>
      </c>
      <c r="E2568" t="s">
        <v>6480</v>
      </c>
      <c r="F2568" t="s">
        <v>298</v>
      </c>
      <c r="G2568" t="s">
        <v>6481</v>
      </c>
      <c r="H2568" t="s">
        <v>6482</v>
      </c>
      <c r="I2568" t="s">
        <v>6400</v>
      </c>
      <c r="J2568" t="s">
        <v>6487</v>
      </c>
      <c r="K2568" t="s">
        <v>6488</v>
      </c>
      <c r="L2568" t="s">
        <v>6346</v>
      </c>
      <c r="M2568" s="37">
        <v>0.01</v>
      </c>
      <c r="N2568" s="37">
        <v>0.1</v>
      </c>
      <c r="O2568">
        <v>1</v>
      </c>
      <c r="P2568" s="37">
        <v>0.009643</v>
      </c>
      <c r="Q2568">
        <v>0.96</v>
      </c>
      <c r="R2568">
        <v>3521.12</v>
      </c>
      <c r="S2568">
        <v>3521.12</v>
      </c>
      <c r="T2568">
        <v>3000</v>
      </c>
      <c r="U2568" t="s">
        <v>6232</v>
      </c>
      <c r="X2568">
        <v>1</v>
      </c>
      <c r="Z2568" s="37">
        <v>1</v>
      </c>
      <c r="AA2568" s="37">
        <v>1</v>
      </c>
      <c r="AB2568">
        <v>0</v>
      </c>
    </row>
    <row r="2569">
      <c r="A2569" t="s">
        <v>6478</v>
      </c>
      <c r="B2569" t="s">
        <v>6402</v>
      </c>
      <c r="C2569" t="s">
        <v>6402</v>
      </c>
      <c r="D2569" t="s">
        <v>6479</v>
      </c>
      <c r="E2569" t="s">
        <v>6480</v>
      </c>
      <c r="F2569" t="s">
        <v>298</v>
      </c>
      <c r="G2569" t="s">
        <v>6481</v>
      </c>
      <c r="H2569" t="s">
        <v>6482</v>
      </c>
      <c r="I2569" t="s">
        <v>6400</v>
      </c>
      <c r="J2569" t="s">
        <v>6489</v>
      </c>
      <c r="K2569" t="s">
        <v>6490</v>
      </c>
      <c r="L2569" t="s">
        <v>6346</v>
      </c>
      <c r="M2569" s="37">
        <v>0.008</v>
      </c>
      <c r="N2569" s="37">
        <v>0.05</v>
      </c>
      <c r="O2569">
        <v>0.8</v>
      </c>
      <c r="P2569" s="37">
        <v>0.009643</v>
      </c>
      <c r="Q2569">
        <v>0.96</v>
      </c>
      <c r="R2569">
        <v>3521.12</v>
      </c>
      <c r="S2569">
        <v>3521.12</v>
      </c>
      <c r="T2569">
        <v>3000</v>
      </c>
      <c r="U2569" t="s">
        <v>6232</v>
      </c>
      <c r="X2569">
        <v>1</v>
      </c>
      <c r="Z2569" s="37">
        <v>1</v>
      </c>
      <c r="AA2569" s="37">
        <v>1</v>
      </c>
      <c r="AB2569">
        <v>0</v>
      </c>
    </row>
    <row r="2570">
      <c r="A2570" t="s">
        <v>6478</v>
      </c>
      <c r="B2570" t="s">
        <v>6402</v>
      </c>
      <c r="C2570" t="s">
        <v>6402</v>
      </c>
      <c r="D2570" t="s">
        <v>6479</v>
      </c>
      <c r="E2570" t="s">
        <v>6480</v>
      </c>
      <c r="F2570" t="s">
        <v>298</v>
      </c>
      <c r="G2570" t="s">
        <v>6481</v>
      </c>
      <c r="H2570" t="s">
        <v>6482</v>
      </c>
      <c r="I2570" t="s">
        <v>6400</v>
      </c>
      <c r="J2570" t="s">
        <v>6491</v>
      </c>
      <c r="K2570" t="s">
        <v>6492</v>
      </c>
      <c r="L2570" t="s">
        <v>6346</v>
      </c>
      <c r="M2570" s="37">
        <v>0.01</v>
      </c>
      <c r="N2570" s="37">
        <v>0.2</v>
      </c>
      <c r="O2570">
        <v>1</v>
      </c>
      <c r="P2570" s="37">
        <v>0.009643</v>
      </c>
      <c r="Q2570">
        <v>0.96</v>
      </c>
      <c r="R2570">
        <v>3521.12</v>
      </c>
      <c r="S2570">
        <v>3521.12</v>
      </c>
      <c r="T2570">
        <v>3000</v>
      </c>
      <c r="U2570" t="s">
        <v>6232</v>
      </c>
      <c r="X2570">
        <v>1</v>
      </c>
      <c r="Z2570" s="37">
        <v>1</v>
      </c>
      <c r="AA2570" s="37">
        <v>1</v>
      </c>
      <c r="AB2570">
        <v>0</v>
      </c>
    </row>
    <row r="2571">
      <c r="A2571" t="s">
        <v>6478</v>
      </c>
      <c r="B2571" t="s">
        <v>6402</v>
      </c>
      <c r="C2571" t="s">
        <v>6402</v>
      </c>
      <c r="D2571" t="s">
        <v>6479</v>
      </c>
      <c r="E2571" t="s">
        <v>6480</v>
      </c>
      <c r="F2571" t="s">
        <v>298</v>
      </c>
      <c r="G2571" t="s">
        <v>6481</v>
      </c>
      <c r="H2571" t="s">
        <v>6482</v>
      </c>
      <c r="I2571" t="s">
        <v>6400</v>
      </c>
      <c r="J2571" t="s">
        <v>6421</v>
      </c>
      <c r="K2571" t="s">
        <v>6493</v>
      </c>
      <c r="L2571" t="s">
        <v>6346</v>
      </c>
      <c r="M2571" s="37">
        <v>0.01</v>
      </c>
      <c r="N2571" s="37">
        <v>0.15</v>
      </c>
      <c r="O2571">
        <v>1</v>
      </c>
      <c r="P2571" s="37">
        <v>0.009643</v>
      </c>
      <c r="Q2571">
        <v>0.96</v>
      </c>
      <c r="R2571">
        <v>3521.12</v>
      </c>
      <c r="S2571">
        <v>3521.12</v>
      </c>
      <c r="T2571">
        <v>3000</v>
      </c>
      <c r="U2571" t="s">
        <v>6232</v>
      </c>
      <c r="X2571">
        <v>1</v>
      </c>
      <c r="Z2571" s="37">
        <v>1</v>
      </c>
      <c r="AA2571" s="37">
        <v>1</v>
      </c>
      <c r="AB2571">
        <v>0</v>
      </c>
    </row>
    <row r="2572">
      <c r="A2572" t="s">
        <v>6494</v>
      </c>
      <c r="B2572" t="s">
        <v>6402</v>
      </c>
      <c r="C2572" t="s">
        <v>6402</v>
      </c>
      <c r="D2572" t="s">
        <v>6495</v>
      </c>
      <c r="E2572" t="s">
        <v>6496</v>
      </c>
      <c r="F2572" t="s">
        <v>298</v>
      </c>
      <c r="G2572" t="s">
        <v>6481</v>
      </c>
      <c r="H2572" t="s">
        <v>6482</v>
      </c>
      <c r="I2572" t="s">
        <v>6400</v>
      </c>
      <c r="J2572" t="s">
        <v>6497</v>
      </c>
      <c r="K2572" t="s">
        <v>6498</v>
      </c>
      <c r="L2572" t="s">
        <v>6346</v>
      </c>
      <c r="M2572" s="37">
        <v>0.0093</v>
      </c>
      <c r="N2572" s="37">
        <v>0.5</v>
      </c>
      <c r="O2572">
        <v>0.93</v>
      </c>
      <c r="P2572" s="37">
        <v>0.009002</v>
      </c>
      <c r="Q2572">
        <v>0.9</v>
      </c>
      <c r="R2572">
        <v>1706.39</v>
      </c>
      <c r="S2572">
        <v>1706.39</v>
      </c>
      <c r="T2572">
        <v>2100</v>
      </c>
      <c r="U2572" t="s">
        <v>6232</v>
      </c>
      <c r="X2572">
        <v>1</v>
      </c>
      <c r="Z2572" s="37">
        <v>1</v>
      </c>
      <c r="AA2572" s="37">
        <v>1</v>
      </c>
      <c r="AB2572">
        <v>0</v>
      </c>
    </row>
    <row r="2573">
      <c r="A2573" t="s">
        <v>6494</v>
      </c>
      <c r="B2573" t="s">
        <v>6402</v>
      </c>
      <c r="C2573" t="s">
        <v>6402</v>
      </c>
      <c r="D2573" t="s">
        <v>6495</v>
      </c>
      <c r="E2573" t="s">
        <v>6496</v>
      </c>
      <c r="F2573" t="s">
        <v>298</v>
      </c>
      <c r="G2573" t="s">
        <v>6481</v>
      </c>
      <c r="H2573" t="s">
        <v>6482</v>
      </c>
      <c r="I2573" t="s">
        <v>6400</v>
      </c>
      <c r="J2573" t="s">
        <v>6499</v>
      </c>
      <c r="K2573" t="s">
        <v>6500</v>
      </c>
      <c r="L2573" t="s">
        <v>6346</v>
      </c>
      <c r="M2573" s="37">
        <v>0.0095</v>
      </c>
      <c r="N2573" s="37">
        <v>0.05</v>
      </c>
      <c r="O2573">
        <v>0.95</v>
      </c>
      <c r="P2573" s="37">
        <v>0.009002</v>
      </c>
      <c r="Q2573">
        <v>0.9</v>
      </c>
      <c r="R2573">
        <v>1706.39</v>
      </c>
      <c r="S2573">
        <v>1706.39</v>
      </c>
      <c r="T2573">
        <v>2100</v>
      </c>
      <c r="U2573" t="s">
        <v>6232</v>
      </c>
      <c r="X2573">
        <v>1</v>
      </c>
      <c r="Z2573" s="37">
        <v>1</v>
      </c>
      <c r="AA2573" s="37">
        <v>1</v>
      </c>
      <c r="AB2573">
        <v>0</v>
      </c>
    </row>
    <row r="2574">
      <c r="A2574" t="s">
        <v>6494</v>
      </c>
      <c r="B2574" t="s">
        <v>6402</v>
      </c>
      <c r="C2574" t="s">
        <v>6402</v>
      </c>
      <c r="D2574" t="s">
        <v>6495</v>
      </c>
      <c r="E2574" t="s">
        <v>6496</v>
      </c>
      <c r="F2574" t="s">
        <v>298</v>
      </c>
      <c r="G2574" t="s">
        <v>6481</v>
      </c>
      <c r="H2574" t="s">
        <v>6482</v>
      </c>
      <c r="I2574" t="s">
        <v>6400</v>
      </c>
      <c r="J2574" t="s">
        <v>6443</v>
      </c>
      <c r="K2574" t="s">
        <v>6501</v>
      </c>
      <c r="L2574" t="s">
        <v>6346</v>
      </c>
      <c r="M2574" s="37">
        <v>0.01</v>
      </c>
      <c r="N2574" s="37">
        <v>0.05</v>
      </c>
      <c r="O2574">
        <v>1</v>
      </c>
      <c r="P2574" s="37">
        <v>0.009002</v>
      </c>
      <c r="Q2574">
        <v>0.9</v>
      </c>
      <c r="R2574">
        <v>1706.39</v>
      </c>
      <c r="S2574">
        <v>1706.39</v>
      </c>
      <c r="T2574">
        <v>2100</v>
      </c>
      <c r="U2574" t="s">
        <v>6232</v>
      </c>
      <c r="X2574">
        <v>1</v>
      </c>
      <c r="Z2574" s="37">
        <v>1</v>
      </c>
      <c r="AA2574" s="37">
        <v>1</v>
      </c>
      <c r="AB2574">
        <v>0</v>
      </c>
    </row>
    <row r="2575">
      <c r="A2575" t="s">
        <v>6494</v>
      </c>
      <c r="B2575" t="s">
        <v>6402</v>
      </c>
      <c r="C2575" t="s">
        <v>6402</v>
      </c>
      <c r="D2575" t="s">
        <v>6495</v>
      </c>
      <c r="E2575" t="s">
        <v>6496</v>
      </c>
      <c r="F2575" t="s">
        <v>298</v>
      </c>
      <c r="G2575" t="s">
        <v>6481</v>
      </c>
      <c r="H2575" t="s">
        <v>6482</v>
      </c>
      <c r="I2575" t="s">
        <v>6400</v>
      </c>
      <c r="J2575" t="s">
        <v>6502</v>
      </c>
      <c r="K2575" t="s">
        <v>6503</v>
      </c>
      <c r="L2575" t="s">
        <v>6346</v>
      </c>
      <c r="M2575" s="37">
        <v>0.0095</v>
      </c>
      <c r="N2575" s="37">
        <v>0.1</v>
      </c>
      <c r="O2575">
        <v>0.95</v>
      </c>
      <c r="P2575" s="37">
        <v>0.009002</v>
      </c>
      <c r="Q2575">
        <v>0.9</v>
      </c>
      <c r="R2575">
        <v>1706.39</v>
      </c>
      <c r="S2575">
        <v>1706.39</v>
      </c>
      <c r="T2575">
        <v>2100</v>
      </c>
      <c r="U2575" t="s">
        <v>6232</v>
      </c>
      <c r="X2575">
        <v>1</v>
      </c>
      <c r="Z2575" s="37">
        <v>1</v>
      </c>
      <c r="AA2575" s="37">
        <v>1</v>
      </c>
      <c r="AB2575">
        <v>0</v>
      </c>
    </row>
    <row r="2576">
      <c r="A2576" t="s">
        <v>6494</v>
      </c>
      <c r="B2576" t="s">
        <v>6402</v>
      </c>
      <c r="C2576" t="s">
        <v>6402</v>
      </c>
      <c r="D2576" t="s">
        <v>6495</v>
      </c>
      <c r="E2576" t="s">
        <v>6496</v>
      </c>
      <c r="F2576" t="s">
        <v>298</v>
      </c>
      <c r="G2576" t="s">
        <v>6481</v>
      </c>
      <c r="H2576" t="s">
        <v>6482</v>
      </c>
      <c r="I2576" t="s">
        <v>6400</v>
      </c>
      <c r="J2576" t="s">
        <v>6504</v>
      </c>
      <c r="K2576" t="s">
        <v>6505</v>
      </c>
      <c r="L2576" t="s">
        <v>6346</v>
      </c>
      <c r="M2576" s="37">
        <v>0.0095</v>
      </c>
      <c r="N2576" s="37">
        <v>0.05</v>
      </c>
      <c r="O2576">
        <v>0.95</v>
      </c>
      <c r="P2576" s="37">
        <v>0.009002</v>
      </c>
      <c r="Q2576">
        <v>0.9</v>
      </c>
      <c r="R2576">
        <v>1706.39</v>
      </c>
      <c r="S2576">
        <v>1706.39</v>
      </c>
      <c r="T2576">
        <v>2100</v>
      </c>
      <c r="U2576" t="s">
        <v>6232</v>
      </c>
      <c r="X2576">
        <v>1</v>
      </c>
      <c r="Z2576" s="37">
        <v>1</v>
      </c>
      <c r="AA2576" s="37">
        <v>1</v>
      </c>
      <c r="AB2576">
        <v>0</v>
      </c>
    </row>
    <row r="2577">
      <c r="A2577" t="s">
        <v>6494</v>
      </c>
      <c r="B2577" t="s">
        <v>6402</v>
      </c>
      <c r="C2577" t="s">
        <v>6402</v>
      </c>
      <c r="D2577" t="s">
        <v>6495</v>
      </c>
      <c r="E2577" t="s">
        <v>6496</v>
      </c>
      <c r="F2577" t="s">
        <v>298</v>
      </c>
      <c r="G2577" t="s">
        <v>6481</v>
      </c>
      <c r="H2577" t="s">
        <v>6482</v>
      </c>
      <c r="I2577" t="s">
        <v>6400</v>
      </c>
      <c r="J2577" t="s">
        <v>6506</v>
      </c>
      <c r="K2577" t="s">
        <v>6507</v>
      </c>
      <c r="L2577" t="s">
        <v>6346</v>
      </c>
      <c r="M2577" s="37">
        <v>0.009</v>
      </c>
      <c r="N2577" s="37">
        <v>0.1</v>
      </c>
      <c r="O2577">
        <v>0.9</v>
      </c>
      <c r="P2577" s="37">
        <v>0.009002</v>
      </c>
      <c r="Q2577">
        <v>0.9</v>
      </c>
      <c r="R2577">
        <v>1706.39</v>
      </c>
      <c r="S2577">
        <v>1706.39</v>
      </c>
      <c r="T2577">
        <v>2100</v>
      </c>
      <c r="U2577" t="s">
        <v>6232</v>
      </c>
      <c r="X2577">
        <v>1</v>
      </c>
      <c r="Z2577" s="37">
        <v>1</v>
      </c>
      <c r="AA2577" s="37">
        <v>1</v>
      </c>
      <c r="AB2577">
        <v>0</v>
      </c>
    </row>
    <row r="2578">
      <c r="A2578" t="s">
        <v>6494</v>
      </c>
      <c r="B2578" t="s">
        <v>6402</v>
      </c>
      <c r="C2578" t="s">
        <v>6402</v>
      </c>
      <c r="D2578" t="s">
        <v>6495</v>
      </c>
      <c r="E2578" t="s">
        <v>6496</v>
      </c>
      <c r="F2578" t="s">
        <v>298</v>
      </c>
      <c r="G2578" t="s">
        <v>6481</v>
      </c>
      <c r="H2578" t="s">
        <v>6482</v>
      </c>
      <c r="I2578" t="s">
        <v>6400</v>
      </c>
      <c r="J2578" t="s">
        <v>6421</v>
      </c>
      <c r="K2578" t="s">
        <v>6508</v>
      </c>
      <c r="L2578" t="s">
        <v>6346</v>
      </c>
      <c r="M2578" s="37">
        <v>0.00701</v>
      </c>
      <c r="N2578" s="37">
        <v>0.15</v>
      </c>
      <c r="O2578">
        <v>0.701</v>
      </c>
      <c r="P2578" s="37">
        <v>0.009002</v>
      </c>
      <c r="Q2578">
        <v>0.9</v>
      </c>
      <c r="R2578">
        <v>1706.39</v>
      </c>
      <c r="S2578">
        <v>1706.39</v>
      </c>
      <c r="T2578">
        <v>2100</v>
      </c>
      <c r="U2578" t="s">
        <v>6232</v>
      </c>
      <c r="X2578">
        <v>1</v>
      </c>
      <c r="Z2578" s="37">
        <v>1</v>
      </c>
      <c r="AA2578" s="37">
        <v>1</v>
      </c>
      <c r="AB2578">
        <v>0</v>
      </c>
    </row>
    <row r="2579">
      <c r="A2579" t="s">
        <v>6509</v>
      </c>
      <c r="B2579" t="s">
        <v>6402</v>
      </c>
      <c r="C2579" t="s">
        <v>6402</v>
      </c>
      <c r="D2579" t="s">
        <v>6495</v>
      </c>
      <c r="E2579" t="s">
        <v>6510</v>
      </c>
      <c r="F2579" t="s">
        <v>298</v>
      </c>
      <c r="G2579" t="s">
        <v>6481</v>
      </c>
      <c r="H2579" t="s">
        <v>6482</v>
      </c>
      <c r="I2579" t="s">
        <v>6400</v>
      </c>
      <c r="J2579" t="s">
        <v>6511</v>
      </c>
      <c r="K2579" t="s">
        <v>455</v>
      </c>
      <c r="L2579" t="s">
        <v>6346</v>
      </c>
      <c r="M2579" s="37">
        <v>0.01</v>
      </c>
      <c r="N2579" s="37">
        <v>0.3</v>
      </c>
      <c r="O2579">
        <v>1</v>
      </c>
      <c r="P2579" s="37">
        <v>0.009625</v>
      </c>
      <c r="Q2579">
        <v>0.96</v>
      </c>
      <c r="R2579">
        <v>2166.84</v>
      </c>
      <c r="S2579">
        <v>2166.84</v>
      </c>
      <c r="T2579">
        <v>2000</v>
      </c>
      <c r="U2579" t="s">
        <v>6232</v>
      </c>
      <c r="X2579">
        <v>1</v>
      </c>
      <c r="Z2579" s="37">
        <v>1</v>
      </c>
      <c r="AA2579" s="37">
        <v>1</v>
      </c>
      <c r="AB2579">
        <v>0</v>
      </c>
    </row>
    <row r="2580">
      <c r="A2580" t="s">
        <v>6509</v>
      </c>
      <c r="B2580" t="s">
        <v>6402</v>
      </c>
      <c r="C2580" t="s">
        <v>6402</v>
      </c>
      <c r="D2580" t="s">
        <v>6495</v>
      </c>
      <c r="E2580" t="s">
        <v>6510</v>
      </c>
      <c r="F2580" t="s">
        <v>298</v>
      </c>
      <c r="G2580" t="s">
        <v>6481</v>
      </c>
      <c r="H2580" t="s">
        <v>6482</v>
      </c>
      <c r="I2580" t="s">
        <v>6400</v>
      </c>
      <c r="J2580" t="s">
        <v>6512</v>
      </c>
      <c r="K2580" t="s">
        <v>455</v>
      </c>
      <c r="L2580" t="s">
        <v>6346</v>
      </c>
      <c r="M2580" s="37">
        <v>0.01</v>
      </c>
      <c r="N2580" s="37">
        <v>0.05</v>
      </c>
      <c r="O2580">
        <v>1</v>
      </c>
      <c r="P2580" s="37">
        <v>0.009625</v>
      </c>
      <c r="Q2580">
        <v>0.96</v>
      </c>
      <c r="R2580">
        <v>2166.84</v>
      </c>
      <c r="S2580">
        <v>2166.84</v>
      </c>
      <c r="T2580">
        <v>2000</v>
      </c>
      <c r="U2580" t="s">
        <v>6232</v>
      </c>
      <c r="X2580">
        <v>1</v>
      </c>
      <c r="Z2580" s="37">
        <v>1</v>
      </c>
      <c r="AA2580" s="37">
        <v>1</v>
      </c>
      <c r="AB2580">
        <v>0</v>
      </c>
    </row>
    <row r="2581">
      <c r="A2581" t="s">
        <v>6509</v>
      </c>
      <c r="B2581" t="s">
        <v>6402</v>
      </c>
      <c r="C2581" t="s">
        <v>6402</v>
      </c>
      <c r="D2581" t="s">
        <v>6495</v>
      </c>
      <c r="E2581" t="s">
        <v>6510</v>
      </c>
      <c r="F2581" t="s">
        <v>298</v>
      </c>
      <c r="G2581" t="s">
        <v>6481</v>
      </c>
      <c r="H2581" t="s">
        <v>6482</v>
      </c>
      <c r="I2581" t="s">
        <v>6400</v>
      </c>
      <c r="J2581" t="s">
        <v>6513</v>
      </c>
      <c r="K2581" t="s">
        <v>455</v>
      </c>
      <c r="L2581" t="s">
        <v>6346</v>
      </c>
      <c r="M2581" s="37">
        <v>0.009</v>
      </c>
      <c r="N2581" s="37">
        <v>0.05</v>
      </c>
      <c r="O2581">
        <v>0.9</v>
      </c>
      <c r="P2581" s="37">
        <v>0.009625</v>
      </c>
      <c r="Q2581">
        <v>0.96</v>
      </c>
      <c r="R2581">
        <v>2166.84</v>
      </c>
      <c r="S2581">
        <v>2166.84</v>
      </c>
      <c r="T2581">
        <v>2000</v>
      </c>
      <c r="U2581" t="s">
        <v>6232</v>
      </c>
      <c r="X2581">
        <v>1</v>
      </c>
      <c r="Z2581" s="37">
        <v>1</v>
      </c>
      <c r="AA2581" s="37">
        <v>1</v>
      </c>
      <c r="AB2581">
        <v>0</v>
      </c>
    </row>
    <row r="2582">
      <c r="A2582" t="s">
        <v>6509</v>
      </c>
      <c r="B2582" t="s">
        <v>6402</v>
      </c>
      <c r="C2582" t="s">
        <v>6402</v>
      </c>
      <c r="D2582" t="s">
        <v>6495</v>
      </c>
      <c r="E2582" t="s">
        <v>6510</v>
      </c>
      <c r="F2582" t="s">
        <v>298</v>
      </c>
      <c r="G2582" t="s">
        <v>6481</v>
      </c>
      <c r="H2582" t="s">
        <v>6482</v>
      </c>
      <c r="I2582" t="s">
        <v>6400</v>
      </c>
      <c r="J2582" t="s">
        <v>6514</v>
      </c>
      <c r="K2582" t="s">
        <v>455</v>
      </c>
      <c r="L2582" t="s">
        <v>6346</v>
      </c>
      <c r="M2582" s="37">
        <v>0.01</v>
      </c>
      <c r="N2582" s="37">
        <v>0.1</v>
      </c>
      <c r="O2582">
        <v>1</v>
      </c>
      <c r="P2582" s="37">
        <v>0.009625</v>
      </c>
      <c r="Q2582">
        <v>0.96</v>
      </c>
      <c r="R2582">
        <v>2166.84</v>
      </c>
      <c r="S2582">
        <v>2166.84</v>
      </c>
      <c r="T2582">
        <v>2000</v>
      </c>
      <c r="U2582" t="s">
        <v>6232</v>
      </c>
      <c r="X2582">
        <v>1</v>
      </c>
      <c r="Z2582" s="37">
        <v>1</v>
      </c>
      <c r="AA2582" s="37">
        <v>1</v>
      </c>
      <c r="AB2582">
        <v>0</v>
      </c>
    </row>
    <row r="2583">
      <c r="A2583" t="s">
        <v>6509</v>
      </c>
      <c r="B2583" t="s">
        <v>6402</v>
      </c>
      <c r="C2583" t="s">
        <v>6402</v>
      </c>
      <c r="D2583" t="s">
        <v>6495</v>
      </c>
      <c r="E2583" t="s">
        <v>6510</v>
      </c>
      <c r="F2583" t="s">
        <v>298</v>
      </c>
      <c r="G2583" t="s">
        <v>6481</v>
      </c>
      <c r="H2583" t="s">
        <v>6482</v>
      </c>
      <c r="I2583" t="s">
        <v>6400</v>
      </c>
      <c r="J2583" t="s">
        <v>6443</v>
      </c>
      <c r="K2583" t="s">
        <v>455</v>
      </c>
      <c r="L2583" t="s">
        <v>6346</v>
      </c>
      <c r="M2583" s="37">
        <v>0.01</v>
      </c>
      <c r="N2583" s="37">
        <v>0.05</v>
      </c>
      <c r="O2583">
        <v>1</v>
      </c>
      <c r="P2583" s="37">
        <v>0.009625</v>
      </c>
      <c r="Q2583">
        <v>0.96</v>
      </c>
      <c r="R2583">
        <v>2166.84</v>
      </c>
      <c r="S2583">
        <v>2166.84</v>
      </c>
      <c r="T2583">
        <v>2000</v>
      </c>
      <c r="U2583" t="s">
        <v>6232</v>
      </c>
      <c r="X2583">
        <v>1</v>
      </c>
      <c r="Z2583" s="37">
        <v>1</v>
      </c>
      <c r="AA2583" s="37">
        <v>1</v>
      </c>
      <c r="AB2583">
        <v>0</v>
      </c>
    </row>
    <row r="2584">
      <c r="A2584" t="s">
        <v>6509</v>
      </c>
      <c r="B2584" t="s">
        <v>6402</v>
      </c>
      <c r="C2584" t="s">
        <v>6402</v>
      </c>
      <c r="D2584" t="s">
        <v>6495</v>
      </c>
      <c r="E2584" t="s">
        <v>6510</v>
      </c>
      <c r="F2584" t="s">
        <v>298</v>
      </c>
      <c r="G2584" t="s">
        <v>6481</v>
      </c>
      <c r="H2584" t="s">
        <v>6482</v>
      </c>
      <c r="I2584" t="s">
        <v>6400</v>
      </c>
      <c r="J2584" t="s">
        <v>6515</v>
      </c>
      <c r="K2584" t="s">
        <v>455</v>
      </c>
      <c r="L2584" t="s">
        <v>6346</v>
      </c>
      <c r="M2584" s="37">
        <v>0.007833</v>
      </c>
      <c r="N2584" s="37">
        <v>0.15</v>
      </c>
      <c r="O2584">
        <v>0.7833</v>
      </c>
      <c r="P2584" s="37">
        <v>0.009625</v>
      </c>
      <c r="Q2584">
        <v>0.96</v>
      </c>
      <c r="R2584">
        <v>2166.84</v>
      </c>
      <c r="S2584">
        <v>2166.84</v>
      </c>
      <c r="T2584">
        <v>2000</v>
      </c>
      <c r="U2584" t="s">
        <v>6232</v>
      </c>
      <c r="X2584">
        <v>1</v>
      </c>
      <c r="Z2584" s="37">
        <v>1</v>
      </c>
      <c r="AA2584" s="37">
        <v>1</v>
      </c>
      <c r="AB2584">
        <v>0</v>
      </c>
    </row>
    <row r="2585">
      <c r="A2585" t="s">
        <v>6509</v>
      </c>
      <c r="B2585" t="s">
        <v>6402</v>
      </c>
      <c r="C2585" t="s">
        <v>6402</v>
      </c>
      <c r="D2585" t="s">
        <v>6495</v>
      </c>
      <c r="E2585" t="s">
        <v>6510</v>
      </c>
      <c r="F2585" t="s">
        <v>298</v>
      </c>
      <c r="G2585" t="s">
        <v>6481</v>
      </c>
      <c r="H2585" t="s">
        <v>6482</v>
      </c>
      <c r="I2585" t="s">
        <v>6400</v>
      </c>
      <c r="J2585" t="s">
        <v>6516</v>
      </c>
      <c r="K2585" t="s">
        <v>455</v>
      </c>
      <c r="L2585" t="s">
        <v>6346</v>
      </c>
      <c r="M2585" s="37">
        <v>0.01</v>
      </c>
      <c r="N2585" s="37">
        <v>0.05</v>
      </c>
      <c r="O2585">
        <v>1</v>
      </c>
      <c r="P2585" s="37">
        <v>0.009625</v>
      </c>
      <c r="Q2585">
        <v>0.96</v>
      </c>
      <c r="R2585">
        <v>2166.84</v>
      </c>
      <c r="S2585">
        <v>2166.84</v>
      </c>
      <c r="T2585">
        <v>2000</v>
      </c>
      <c r="U2585" t="s">
        <v>6232</v>
      </c>
      <c r="X2585">
        <v>1</v>
      </c>
      <c r="Z2585" s="37">
        <v>1</v>
      </c>
      <c r="AA2585" s="37">
        <v>1</v>
      </c>
      <c r="AB2585">
        <v>0</v>
      </c>
    </row>
    <row r="2586">
      <c r="A2586" t="s">
        <v>6509</v>
      </c>
      <c r="B2586" t="s">
        <v>6402</v>
      </c>
      <c r="C2586" t="s">
        <v>6402</v>
      </c>
      <c r="D2586" t="s">
        <v>6495</v>
      </c>
      <c r="E2586" t="s">
        <v>6510</v>
      </c>
      <c r="F2586" t="s">
        <v>298</v>
      </c>
      <c r="G2586" t="s">
        <v>6481</v>
      </c>
      <c r="H2586" t="s">
        <v>6482</v>
      </c>
      <c r="I2586" t="s">
        <v>6400</v>
      </c>
      <c r="J2586" t="s">
        <v>6421</v>
      </c>
      <c r="K2586" t="s">
        <v>455</v>
      </c>
      <c r="L2586" t="s">
        <v>6346</v>
      </c>
      <c r="M2586" s="37">
        <v>0.01</v>
      </c>
      <c r="N2586" s="37">
        <v>0.15</v>
      </c>
      <c r="O2586">
        <v>1</v>
      </c>
      <c r="P2586" s="37">
        <v>0.009625</v>
      </c>
      <c r="Q2586">
        <v>0.96</v>
      </c>
      <c r="R2586">
        <v>2166.84</v>
      </c>
      <c r="S2586">
        <v>2166.84</v>
      </c>
      <c r="T2586">
        <v>2000</v>
      </c>
      <c r="U2586" t="s">
        <v>6232</v>
      </c>
      <c r="X2586">
        <v>1</v>
      </c>
      <c r="Z2586" s="37">
        <v>1</v>
      </c>
      <c r="AA2586" s="37">
        <v>1</v>
      </c>
      <c r="AB2586">
        <v>0</v>
      </c>
    </row>
    <row r="2587">
      <c r="A2587" t="s">
        <v>6509</v>
      </c>
      <c r="B2587" t="s">
        <v>6402</v>
      </c>
      <c r="C2587" t="s">
        <v>6402</v>
      </c>
      <c r="D2587" t="s">
        <v>6495</v>
      </c>
      <c r="E2587" t="s">
        <v>6510</v>
      </c>
      <c r="F2587" t="s">
        <v>298</v>
      </c>
      <c r="G2587" t="s">
        <v>6481</v>
      </c>
      <c r="H2587" t="s">
        <v>6482</v>
      </c>
      <c r="I2587" t="s">
        <v>6400</v>
      </c>
      <c r="J2587" t="s">
        <v>4170</v>
      </c>
      <c r="K2587" t="s">
        <v>455</v>
      </c>
      <c r="L2587" t="s">
        <v>6346</v>
      </c>
      <c r="M2587" s="37">
        <v>0.01</v>
      </c>
      <c r="N2587" s="37">
        <v>0.1</v>
      </c>
      <c r="O2587">
        <v>1</v>
      </c>
      <c r="P2587" s="37">
        <v>0.009625</v>
      </c>
      <c r="Q2587">
        <v>0.96</v>
      </c>
      <c r="R2587">
        <v>2166.84</v>
      </c>
      <c r="S2587">
        <v>2166.84</v>
      </c>
      <c r="T2587">
        <v>2000</v>
      </c>
      <c r="U2587" t="s">
        <v>6232</v>
      </c>
      <c r="X2587">
        <v>1</v>
      </c>
      <c r="Z2587" s="37">
        <v>1</v>
      </c>
      <c r="AA2587" s="37">
        <v>1</v>
      </c>
      <c r="AB2587">
        <v>0</v>
      </c>
    </row>
    <row r="2588">
      <c r="A2588" t="s">
        <v>6517</v>
      </c>
      <c r="B2588" t="s">
        <v>6402</v>
      </c>
      <c r="C2588" t="s">
        <v>6402</v>
      </c>
      <c r="D2588" t="s">
        <v>6495</v>
      </c>
      <c r="E2588" t="s">
        <v>6518</v>
      </c>
      <c r="F2588" t="s">
        <v>298</v>
      </c>
      <c r="G2588" t="s">
        <v>6481</v>
      </c>
      <c r="H2588" t="s">
        <v>6482</v>
      </c>
      <c r="I2588" t="s">
        <v>6400</v>
      </c>
      <c r="J2588" t="s">
        <v>6519</v>
      </c>
      <c r="K2588" t="s">
        <v>6520</v>
      </c>
      <c r="L2588" t="s">
        <v>6346</v>
      </c>
      <c r="M2588" s="37">
        <v>0.0095</v>
      </c>
      <c r="N2588" s="37">
        <v>0.45</v>
      </c>
      <c r="O2588">
        <v>0.95</v>
      </c>
      <c r="P2588" s="37">
        <v>0.00955</v>
      </c>
      <c r="Q2588">
        <v>0.96</v>
      </c>
      <c r="R2588">
        <v>2482.84</v>
      </c>
      <c r="S2588">
        <v>2482.84</v>
      </c>
      <c r="T2588">
        <v>2500</v>
      </c>
      <c r="U2588" t="s">
        <v>6232</v>
      </c>
      <c r="X2588">
        <v>1</v>
      </c>
      <c r="Z2588" s="37">
        <v>1</v>
      </c>
      <c r="AA2588" s="37">
        <v>1</v>
      </c>
      <c r="AB2588">
        <v>0</v>
      </c>
    </row>
    <row r="2589">
      <c r="A2589" t="s">
        <v>6517</v>
      </c>
      <c r="B2589" t="s">
        <v>6402</v>
      </c>
      <c r="C2589" t="s">
        <v>6402</v>
      </c>
      <c r="D2589" t="s">
        <v>6495</v>
      </c>
      <c r="E2589" t="s">
        <v>6518</v>
      </c>
      <c r="F2589" t="s">
        <v>298</v>
      </c>
      <c r="G2589" t="s">
        <v>6481</v>
      </c>
      <c r="H2589" t="s">
        <v>6482</v>
      </c>
      <c r="I2589" t="s">
        <v>6400</v>
      </c>
      <c r="J2589" t="s">
        <v>6429</v>
      </c>
      <c r="K2589" t="s">
        <v>6521</v>
      </c>
      <c r="L2589" t="s">
        <v>6346</v>
      </c>
      <c r="M2589" s="37">
        <v>0.0085</v>
      </c>
      <c r="N2589" s="37">
        <v>0.15</v>
      </c>
      <c r="O2589">
        <v>0.85</v>
      </c>
      <c r="P2589" s="37">
        <v>0.00955</v>
      </c>
      <c r="Q2589">
        <v>0.96</v>
      </c>
      <c r="R2589">
        <v>2482.84</v>
      </c>
      <c r="S2589">
        <v>2482.84</v>
      </c>
      <c r="T2589">
        <v>2500</v>
      </c>
      <c r="U2589" t="s">
        <v>6232</v>
      </c>
      <c r="X2589">
        <v>1</v>
      </c>
      <c r="Z2589" s="37">
        <v>1</v>
      </c>
      <c r="AA2589" s="37">
        <v>1</v>
      </c>
      <c r="AB2589">
        <v>0</v>
      </c>
    </row>
    <row r="2590">
      <c r="A2590" t="s">
        <v>6517</v>
      </c>
      <c r="B2590" t="s">
        <v>6402</v>
      </c>
      <c r="C2590" t="s">
        <v>6402</v>
      </c>
      <c r="D2590" t="s">
        <v>6495</v>
      </c>
      <c r="E2590" t="s">
        <v>6518</v>
      </c>
      <c r="F2590" t="s">
        <v>298</v>
      </c>
      <c r="G2590" t="s">
        <v>6481</v>
      </c>
      <c r="H2590" t="s">
        <v>6482</v>
      </c>
      <c r="I2590" t="s">
        <v>6400</v>
      </c>
      <c r="J2590" t="s">
        <v>6522</v>
      </c>
      <c r="K2590" t="s">
        <v>6523</v>
      </c>
      <c r="L2590" t="s">
        <v>6346</v>
      </c>
      <c r="M2590" s="37">
        <v>0.01</v>
      </c>
      <c r="N2590" s="37">
        <v>0.1</v>
      </c>
      <c r="O2590">
        <v>1</v>
      </c>
      <c r="P2590" s="37">
        <v>0.00955</v>
      </c>
      <c r="Q2590">
        <v>0.96</v>
      </c>
      <c r="R2590">
        <v>2482.84</v>
      </c>
      <c r="S2590">
        <v>2482.84</v>
      </c>
      <c r="T2590">
        <v>2500</v>
      </c>
      <c r="U2590" t="s">
        <v>6232</v>
      </c>
      <c r="X2590">
        <v>1</v>
      </c>
      <c r="Z2590" s="37">
        <v>1</v>
      </c>
      <c r="AA2590" s="37">
        <v>1</v>
      </c>
      <c r="AB2590">
        <v>0</v>
      </c>
    </row>
    <row r="2591">
      <c r="A2591" t="s">
        <v>6517</v>
      </c>
      <c r="B2591" t="s">
        <v>6402</v>
      </c>
      <c r="C2591" t="s">
        <v>6402</v>
      </c>
      <c r="D2591" t="s">
        <v>6495</v>
      </c>
      <c r="E2591" t="s">
        <v>6518</v>
      </c>
      <c r="F2591" t="s">
        <v>298</v>
      </c>
      <c r="G2591" t="s">
        <v>6481</v>
      </c>
      <c r="H2591" t="s">
        <v>6482</v>
      </c>
      <c r="I2591" t="s">
        <v>6400</v>
      </c>
      <c r="J2591" t="s">
        <v>6443</v>
      </c>
      <c r="K2591" t="s">
        <v>6524</v>
      </c>
      <c r="L2591" t="s">
        <v>6346</v>
      </c>
      <c r="M2591" s="37">
        <v>0.01</v>
      </c>
      <c r="N2591" s="37">
        <v>0.05</v>
      </c>
      <c r="O2591">
        <v>1</v>
      </c>
      <c r="P2591" s="37">
        <v>0.00955</v>
      </c>
      <c r="Q2591">
        <v>0.96</v>
      </c>
      <c r="R2591">
        <v>2482.84</v>
      </c>
      <c r="S2591">
        <v>2482.84</v>
      </c>
      <c r="T2591">
        <v>2500</v>
      </c>
      <c r="U2591" t="s">
        <v>6232</v>
      </c>
      <c r="X2591">
        <v>1</v>
      </c>
      <c r="Z2591" s="37">
        <v>1</v>
      </c>
      <c r="AA2591" s="37">
        <v>1</v>
      </c>
      <c r="AB2591">
        <v>0</v>
      </c>
    </row>
    <row r="2592">
      <c r="A2592" t="s">
        <v>6517</v>
      </c>
      <c r="B2592" t="s">
        <v>6402</v>
      </c>
      <c r="C2592" t="s">
        <v>6402</v>
      </c>
      <c r="D2592" t="s">
        <v>6495</v>
      </c>
      <c r="E2592" t="s">
        <v>6518</v>
      </c>
      <c r="F2592" t="s">
        <v>298</v>
      </c>
      <c r="G2592" t="s">
        <v>6481</v>
      </c>
      <c r="H2592" t="s">
        <v>6482</v>
      </c>
      <c r="I2592" t="s">
        <v>6400</v>
      </c>
      <c r="J2592" t="s">
        <v>6525</v>
      </c>
      <c r="K2592" t="s">
        <v>6526</v>
      </c>
      <c r="L2592" t="s">
        <v>6346</v>
      </c>
      <c r="M2592" s="37">
        <v>0.01</v>
      </c>
      <c r="N2592" s="37">
        <v>0.05</v>
      </c>
      <c r="O2592">
        <v>1</v>
      </c>
      <c r="P2592" s="37">
        <v>0.00955</v>
      </c>
      <c r="Q2592">
        <v>0.96</v>
      </c>
      <c r="R2592">
        <v>2482.84</v>
      </c>
      <c r="S2592">
        <v>2482.84</v>
      </c>
      <c r="T2592">
        <v>2500</v>
      </c>
      <c r="U2592" t="s">
        <v>6232</v>
      </c>
      <c r="X2592">
        <v>1</v>
      </c>
      <c r="Z2592" s="37">
        <v>1</v>
      </c>
      <c r="AA2592" s="37">
        <v>1</v>
      </c>
      <c r="AB2592">
        <v>0</v>
      </c>
    </row>
    <row r="2593">
      <c r="A2593" t="s">
        <v>6517</v>
      </c>
      <c r="B2593" t="s">
        <v>6402</v>
      </c>
      <c r="C2593" t="s">
        <v>6402</v>
      </c>
      <c r="D2593" t="s">
        <v>6495</v>
      </c>
      <c r="E2593" t="s">
        <v>6518</v>
      </c>
      <c r="F2593" t="s">
        <v>298</v>
      </c>
      <c r="G2593" t="s">
        <v>6481</v>
      </c>
      <c r="H2593" t="s">
        <v>6482</v>
      </c>
      <c r="I2593" t="s">
        <v>6400</v>
      </c>
      <c r="J2593" t="s">
        <v>6527</v>
      </c>
      <c r="K2593" t="s">
        <v>455</v>
      </c>
      <c r="L2593" t="s">
        <v>6346</v>
      </c>
      <c r="M2593" s="37">
        <v>0.01</v>
      </c>
      <c r="N2593" s="37">
        <v>0.05</v>
      </c>
      <c r="O2593">
        <v>1</v>
      </c>
      <c r="P2593" s="37">
        <v>0.00955</v>
      </c>
      <c r="Q2593">
        <v>0.96</v>
      </c>
      <c r="R2593">
        <v>2482.84</v>
      </c>
      <c r="S2593">
        <v>2482.84</v>
      </c>
      <c r="T2593">
        <v>2500</v>
      </c>
      <c r="U2593" t="s">
        <v>6232</v>
      </c>
      <c r="X2593">
        <v>1</v>
      </c>
      <c r="Z2593" s="37">
        <v>1</v>
      </c>
      <c r="AA2593" s="37">
        <v>1</v>
      </c>
      <c r="AB2593">
        <v>0</v>
      </c>
    </row>
    <row r="2594">
      <c r="A2594" t="s">
        <v>6517</v>
      </c>
      <c r="B2594" t="s">
        <v>6402</v>
      </c>
      <c r="C2594" t="s">
        <v>6402</v>
      </c>
      <c r="D2594" t="s">
        <v>6495</v>
      </c>
      <c r="E2594" t="s">
        <v>6518</v>
      </c>
      <c r="F2594" t="s">
        <v>298</v>
      </c>
      <c r="G2594" t="s">
        <v>6481</v>
      </c>
      <c r="H2594" t="s">
        <v>6482</v>
      </c>
      <c r="I2594" t="s">
        <v>6400</v>
      </c>
      <c r="J2594" t="s">
        <v>6421</v>
      </c>
      <c r="K2594" t="s">
        <v>6528</v>
      </c>
      <c r="L2594" t="s">
        <v>6346</v>
      </c>
      <c r="M2594" s="37">
        <v>0.01</v>
      </c>
      <c r="N2594" s="37">
        <v>0.15</v>
      </c>
      <c r="O2594">
        <v>1</v>
      </c>
      <c r="P2594" s="37">
        <v>0.00955</v>
      </c>
      <c r="Q2594">
        <v>0.96</v>
      </c>
      <c r="R2594">
        <v>2482.84</v>
      </c>
      <c r="S2594">
        <v>2482.84</v>
      </c>
      <c r="T2594">
        <v>2500</v>
      </c>
      <c r="U2594" t="s">
        <v>6232</v>
      </c>
      <c r="X2594">
        <v>1</v>
      </c>
      <c r="Z2594" s="37">
        <v>1</v>
      </c>
      <c r="AA2594" s="37">
        <v>1</v>
      </c>
      <c r="AB2594">
        <v>0</v>
      </c>
    </row>
    <row r="2595">
      <c r="A2595" t="s">
        <v>6529</v>
      </c>
      <c r="B2595" t="s">
        <v>6402</v>
      </c>
      <c r="C2595" t="s">
        <v>6402</v>
      </c>
      <c r="D2595" t="s">
        <v>6495</v>
      </c>
      <c r="E2595" t="s">
        <v>6530</v>
      </c>
      <c r="F2595" t="s">
        <v>298</v>
      </c>
      <c r="G2595" t="s">
        <v>6481</v>
      </c>
      <c r="H2595" t="s">
        <v>6482</v>
      </c>
      <c r="I2595" t="s">
        <v>6400</v>
      </c>
      <c r="J2595" t="s">
        <v>6531</v>
      </c>
      <c r="K2595" t="s">
        <v>6532</v>
      </c>
      <c r="L2595" t="s">
        <v>6346</v>
      </c>
      <c r="M2595" s="37">
        <v>0.009</v>
      </c>
      <c r="N2595" s="37">
        <v>0.2</v>
      </c>
      <c r="O2595">
        <v>0.9</v>
      </c>
      <c r="P2595" s="37">
        <v>0.008909</v>
      </c>
      <c r="Q2595">
        <v>0.89</v>
      </c>
      <c r="R2595">
        <v>1805.7</v>
      </c>
      <c r="S2595">
        <v>1805.7</v>
      </c>
      <c r="T2595">
        <v>2500</v>
      </c>
      <c r="U2595" t="s">
        <v>6232</v>
      </c>
      <c r="X2595">
        <v>1</v>
      </c>
      <c r="Z2595" s="37">
        <v>1</v>
      </c>
      <c r="AA2595" s="37">
        <v>1</v>
      </c>
      <c r="AB2595">
        <v>0</v>
      </c>
    </row>
    <row r="2596">
      <c r="A2596" t="s">
        <v>6529</v>
      </c>
      <c r="B2596" t="s">
        <v>6402</v>
      </c>
      <c r="C2596" t="s">
        <v>6402</v>
      </c>
      <c r="D2596" t="s">
        <v>6495</v>
      </c>
      <c r="E2596" t="s">
        <v>6530</v>
      </c>
      <c r="F2596" t="s">
        <v>298</v>
      </c>
      <c r="G2596" t="s">
        <v>6481</v>
      </c>
      <c r="H2596" t="s">
        <v>6482</v>
      </c>
      <c r="I2596" t="s">
        <v>6400</v>
      </c>
      <c r="J2596" t="s">
        <v>6533</v>
      </c>
      <c r="K2596" t="s">
        <v>6534</v>
      </c>
      <c r="L2596" t="s">
        <v>6346</v>
      </c>
      <c r="M2596" s="37">
        <v>0.01</v>
      </c>
      <c r="N2596" s="37">
        <v>0.1</v>
      </c>
      <c r="O2596">
        <v>1</v>
      </c>
      <c r="P2596" s="37">
        <v>0.008909</v>
      </c>
      <c r="Q2596">
        <v>0.89</v>
      </c>
      <c r="R2596">
        <v>1805.7</v>
      </c>
      <c r="S2596">
        <v>1805.7</v>
      </c>
      <c r="T2596">
        <v>2500</v>
      </c>
      <c r="U2596" t="s">
        <v>6232</v>
      </c>
      <c r="X2596">
        <v>1</v>
      </c>
      <c r="Z2596" s="37">
        <v>1</v>
      </c>
      <c r="AA2596" s="37">
        <v>1</v>
      </c>
      <c r="AB2596">
        <v>0</v>
      </c>
    </row>
    <row r="2597">
      <c r="A2597" t="s">
        <v>6529</v>
      </c>
      <c r="B2597" t="s">
        <v>6402</v>
      </c>
      <c r="C2597" t="s">
        <v>6402</v>
      </c>
      <c r="D2597" t="s">
        <v>6495</v>
      </c>
      <c r="E2597" t="s">
        <v>6530</v>
      </c>
      <c r="F2597" t="s">
        <v>298</v>
      </c>
      <c r="G2597" t="s">
        <v>6481</v>
      </c>
      <c r="H2597" t="s">
        <v>6482</v>
      </c>
      <c r="I2597" t="s">
        <v>6400</v>
      </c>
      <c r="J2597" t="s">
        <v>6535</v>
      </c>
      <c r="K2597" t="s">
        <v>6536</v>
      </c>
      <c r="L2597" t="s">
        <v>6346</v>
      </c>
      <c r="M2597" s="37">
        <v>0.01</v>
      </c>
      <c r="N2597" s="37">
        <v>0.05</v>
      </c>
      <c r="O2597">
        <v>1</v>
      </c>
      <c r="P2597" s="37">
        <v>0.008909</v>
      </c>
      <c r="Q2597">
        <v>0.89</v>
      </c>
      <c r="R2597">
        <v>1805.7</v>
      </c>
      <c r="S2597">
        <v>1805.7</v>
      </c>
      <c r="T2597">
        <v>2500</v>
      </c>
      <c r="U2597" t="s">
        <v>6232</v>
      </c>
      <c r="X2597">
        <v>1</v>
      </c>
      <c r="Z2597" s="37">
        <v>1</v>
      </c>
      <c r="AA2597" s="37">
        <v>1</v>
      </c>
      <c r="AB2597">
        <v>0</v>
      </c>
    </row>
    <row r="2598">
      <c r="A2598" t="s">
        <v>6529</v>
      </c>
      <c r="B2598" t="s">
        <v>6402</v>
      </c>
      <c r="C2598" t="s">
        <v>6402</v>
      </c>
      <c r="D2598" t="s">
        <v>6495</v>
      </c>
      <c r="E2598" t="s">
        <v>6530</v>
      </c>
      <c r="F2598" t="s">
        <v>298</v>
      </c>
      <c r="G2598" t="s">
        <v>6481</v>
      </c>
      <c r="H2598" t="s">
        <v>6482</v>
      </c>
      <c r="I2598" t="s">
        <v>6400</v>
      </c>
      <c r="J2598" t="s">
        <v>6537</v>
      </c>
      <c r="K2598" t="s">
        <v>6538</v>
      </c>
      <c r="L2598" t="s">
        <v>6346</v>
      </c>
      <c r="M2598" s="37">
        <v>0.01</v>
      </c>
      <c r="N2598" s="37">
        <v>0.1</v>
      </c>
      <c r="O2598">
        <v>1</v>
      </c>
      <c r="P2598" s="37">
        <v>0.008909</v>
      </c>
      <c r="Q2598">
        <v>0.89</v>
      </c>
      <c r="R2598">
        <v>1805.7</v>
      </c>
      <c r="S2598">
        <v>1805.7</v>
      </c>
      <c r="T2598">
        <v>2500</v>
      </c>
      <c r="U2598" t="s">
        <v>6232</v>
      </c>
      <c r="X2598">
        <v>1</v>
      </c>
      <c r="Z2598" s="37">
        <v>1</v>
      </c>
      <c r="AA2598" s="37">
        <v>1</v>
      </c>
      <c r="AB2598">
        <v>0</v>
      </c>
    </row>
    <row r="2599">
      <c r="A2599" t="s">
        <v>6529</v>
      </c>
      <c r="B2599" t="s">
        <v>6402</v>
      </c>
      <c r="C2599" t="s">
        <v>6402</v>
      </c>
      <c r="D2599" t="s">
        <v>6495</v>
      </c>
      <c r="E2599" t="s">
        <v>6530</v>
      </c>
      <c r="F2599" t="s">
        <v>298</v>
      </c>
      <c r="G2599" t="s">
        <v>6481</v>
      </c>
      <c r="H2599" t="s">
        <v>6482</v>
      </c>
      <c r="I2599" t="s">
        <v>6400</v>
      </c>
      <c r="J2599" t="s">
        <v>6539</v>
      </c>
      <c r="K2599" t="s">
        <v>6540</v>
      </c>
      <c r="L2599" t="s">
        <v>6346</v>
      </c>
      <c r="M2599" s="37">
        <v>0.01</v>
      </c>
      <c r="N2599" s="37">
        <v>0.05</v>
      </c>
      <c r="O2599">
        <v>1</v>
      </c>
      <c r="P2599" s="37">
        <v>0.008909</v>
      </c>
      <c r="Q2599">
        <v>0.89</v>
      </c>
      <c r="R2599">
        <v>1805.7</v>
      </c>
      <c r="S2599">
        <v>1805.7</v>
      </c>
      <c r="T2599">
        <v>2500</v>
      </c>
      <c r="U2599" t="s">
        <v>6232</v>
      </c>
      <c r="X2599">
        <v>1</v>
      </c>
      <c r="Z2599" s="37">
        <v>1</v>
      </c>
      <c r="AA2599" s="37">
        <v>1</v>
      </c>
      <c r="AB2599">
        <v>0</v>
      </c>
    </row>
    <row r="2600">
      <c r="A2600" t="s">
        <v>6529</v>
      </c>
      <c r="B2600" t="s">
        <v>6402</v>
      </c>
      <c r="C2600" t="s">
        <v>6402</v>
      </c>
      <c r="D2600" t="s">
        <v>6495</v>
      </c>
      <c r="E2600" t="s">
        <v>6530</v>
      </c>
      <c r="F2600" t="s">
        <v>298</v>
      </c>
      <c r="G2600" t="s">
        <v>6481</v>
      </c>
      <c r="H2600" t="s">
        <v>6482</v>
      </c>
      <c r="I2600" t="s">
        <v>6400</v>
      </c>
      <c r="J2600" t="s">
        <v>6443</v>
      </c>
      <c r="K2600" t="s">
        <v>6541</v>
      </c>
      <c r="L2600" t="s">
        <v>6346</v>
      </c>
      <c r="M2600" s="37">
        <v>0.01</v>
      </c>
      <c r="N2600" s="37">
        <v>0.05</v>
      </c>
      <c r="O2600">
        <v>1</v>
      </c>
      <c r="P2600" s="37">
        <v>0.008909</v>
      </c>
      <c r="Q2600">
        <v>0.89</v>
      </c>
      <c r="R2600">
        <v>1805.7</v>
      </c>
      <c r="S2600">
        <v>1805.7</v>
      </c>
      <c r="T2600">
        <v>2500</v>
      </c>
      <c r="U2600" t="s">
        <v>6232</v>
      </c>
      <c r="X2600">
        <v>1</v>
      </c>
      <c r="Z2600" s="37">
        <v>1</v>
      </c>
      <c r="AA2600" s="37">
        <v>1</v>
      </c>
      <c r="AB2600">
        <v>0</v>
      </c>
    </row>
    <row r="2601">
      <c r="A2601" t="s">
        <v>6529</v>
      </c>
      <c r="B2601" t="s">
        <v>6402</v>
      </c>
      <c r="C2601" t="s">
        <v>6402</v>
      </c>
      <c r="D2601" t="s">
        <v>6495</v>
      </c>
      <c r="E2601" t="s">
        <v>6530</v>
      </c>
      <c r="F2601" t="s">
        <v>298</v>
      </c>
      <c r="G2601" t="s">
        <v>6481</v>
      </c>
      <c r="H2601" t="s">
        <v>6482</v>
      </c>
      <c r="I2601" t="s">
        <v>6400</v>
      </c>
      <c r="J2601" t="s">
        <v>6542</v>
      </c>
      <c r="K2601" t="s">
        <v>6543</v>
      </c>
      <c r="L2601" t="s">
        <v>6346</v>
      </c>
      <c r="M2601" s="37">
        <v>0.0095</v>
      </c>
      <c r="N2601" s="37">
        <v>0.1</v>
      </c>
      <c r="O2601">
        <v>0.95</v>
      </c>
      <c r="P2601" s="37">
        <v>0.008909</v>
      </c>
      <c r="Q2601">
        <v>0.89</v>
      </c>
      <c r="R2601">
        <v>1805.7</v>
      </c>
      <c r="S2601">
        <v>1805.7</v>
      </c>
      <c r="T2601">
        <v>2500</v>
      </c>
      <c r="U2601" t="s">
        <v>6232</v>
      </c>
      <c r="X2601">
        <v>1</v>
      </c>
      <c r="Z2601" s="37">
        <v>1</v>
      </c>
      <c r="AA2601" s="37">
        <v>1</v>
      </c>
      <c r="AB2601">
        <v>0</v>
      </c>
    </row>
    <row r="2602">
      <c r="A2602" t="s">
        <v>6529</v>
      </c>
      <c r="B2602" t="s">
        <v>6402</v>
      </c>
      <c r="C2602" t="s">
        <v>6402</v>
      </c>
      <c r="D2602" t="s">
        <v>6495</v>
      </c>
      <c r="E2602" t="s">
        <v>6530</v>
      </c>
      <c r="F2602" t="s">
        <v>298</v>
      </c>
      <c r="G2602" t="s">
        <v>6481</v>
      </c>
      <c r="H2602" t="s">
        <v>6482</v>
      </c>
      <c r="I2602" t="s">
        <v>6400</v>
      </c>
      <c r="J2602" t="s">
        <v>6421</v>
      </c>
      <c r="K2602" t="s">
        <v>6544</v>
      </c>
      <c r="L2602" t="s">
        <v>6346</v>
      </c>
      <c r="M2602" s="37">
        <v>0.00706</v>
      </c>
      <c r="N2602" s="37">
        <v>0.15</v>
      </c>
      <c r="O2602">
        <v>0.706</v>
      </c>
      <c r="P2602" s="37">
        <v>0.008909</v>
      </c>
      <c r="Q2602">
        <v>0.89</v>
      </c>
      <c r="R2602">
        <v>1805.7</v>
      </c>
      <c r="S2602">
        <v>1805.7</v>
      </c>
      <c r="T2602">
        <v>2500</v>
      </c>
      <c r="U2602" t="s">
        <v>6232</v>
      </c>
      <c r="X2602">
        <v>1</v>
      </c>
      <c r="Z2602" s="37">
        <v>1</v>
      </c>
      <c r="AA2602" s="37">
        <v>1</v>
      </c>
      <c r="AB2602">
        <v>0</v>
      </c>
    </row>
    <row r="2603">
      <c r="A2603" t="s">
        <v>6529</v>
      </c>
      <c r="B2603" t="s">
        <v>6402</v>
      </c>
      <c r="C2603" t="s">
        <v>6402</v>
      </c>
      <c r="D2603" t="s">
        <v>6495</v>
      </c>
      <c r="E2603" t="s">
        <v>6530</v>
      </c>
      <c r="F2603" t="s">
        <v>298</v>
      </c>
      <c r="G2603" t="s">
        <v>6481</v>
      </c>
      <c r="H2603" t="s">
        <v>6482</v>
      </c>
      <c r="I2603" t="s">
        <v>6400</v>
      </c>
      <c r="J2603" t="s">
        <v>4170</v>
      </c>
      <c r="K2603" t="s">
        <v>6545</v>
      </c>
      <c r="L2603" t="s">
        <v>6346</v>
      </c>
      <c r="M2603" s="37">
        <v>0.008</v>
      </c>
      <c r="N2603" s="37">
        <v>0.2</v>
      </c>
      <c r="O2603">
        <v>0.8</v>
      </c>
      <c r="P2603" s="37">
        <v>0.008909</v>
      </c>
      <c r="Q2603">
        <v>0.89</v>
      </c>
      <c r="R2603">
        <v>1805.7</v>
      </c>
      <c r="S2603">
        <v>1805.7</v>
      </c>
      <c r="T2603">
        <v>2500</v>
      </c>
      <c r="U2603" t="s">
        <v>6232</v>
      </c>
      <c r="X2603">
        <v>1</v>
      </c>
      <c r="Z2603" s="37">
        <v>1</v>
      </c>
      <c r="AA2603" s="37">
        <v>1</v>
      </c>
      <c r="AB2603">
        <v>0</v>
      </c>
    </row>
    <row r="2604">
      <c r="A2604" t="s">
        <v>6546</v>
      </c>
      <c r="B2604" t="s">
        <v>6402</v>
      </c>
      <c r="C2604" t="s">
        <v>6402</v>
      </c>
      <c r="D2604" t="s">
        <v>6495</v>
      </c>
      <c r="E2604" t="s">
        <v>6547</v>
      </c>
      <c r="F2604" t="s">
        <v>298</v>
      </c>
      <c r="G2604" t="s">
        <v>6481</v>
      </c>
      <c r="H2604" t="s">
        <v>6482</v>
      </c>
      <c r="I2604" t="s">
        <v>6400</v>
      </c>
      <c r="J2604" t="s">
        <v>6548</v>
      </c>
      <c r="K2604" t="s">
        <v>6549</v>
      </c>
      <c r="L2604" t="s">
        <v>6346</v>
      </c>
      <c r="M2604" s="37">
        <v>0.00844</v>
      </c>
      <c r="N2604" s="37">
        <v>0.25</v>
      </c>
      <c r="O2604">
        <v>0.844</v>
      </c>
      <c r="P2604" s="37">
        <v>0.009265</v>
      </c>
      <c r="Q2604">
        <v>0.93</v>
      </c>
      <c r="R2604">
        <v>2257.13</v>
      </c>
      <c r="S2604">
        <v>2257.13</v>
      </c>
      <c r="T2604">
        <v>2500</v>
      </c>
      <c r="U2604" t="s">
        <v>6232</v>
      </c>
      <c r="X2604">
        <v>1</v>
      </c>
      <c r="Z2604" s="37">
        <v>1</v>
      </c>
      <c r="AA2604" s="37">
        <v>1</v>
      </c>
      <c r="AB2604">
        <v>0</v>
      </c>
    </row>
    <row r="2605">
      <c r="A2605" t="s">
        <v>6546</v>
      </c>
      <c r="B2605" t="s">
        <v>6402</v>
      </c>
      <c r="C2605" t="s">
        <v>6402</v>
      </c>
      <c r="D2605" t="s">
        <v>6495</v>
      </c>
      <c r="E2605" t="s">
        <v>6547</v>
      </c>
      <c r="F2605" t="s">
        <v>298</v>
      </c>
      <c r="G2605" t="s">
        <v>6481</v>
      </c>
      <c r="H2605" t="s">
        <v>6482</v>
      </c>
      <c r="I2605" t="s">
        <v>6400</v>
      </c>
      <c r="J2605" t="s">
        <v>6550</v>
      </c>
      <c r="K2605" t="s">
        <v>6551</v>
      </c>
      <c r="L2605" t="s">
        <v>6346</v>
      </c>
      <c r="M2605" s="37">
        <v>0.01</v>
      </c>
      <c r="N2605" s="37">
        <v>0.3</v>
      </c>
      <c r="O2605">
        <v>1</v>
      </c>
      <c r="P2605" s="37">
        <v>0.009265</v>
      </c>
      <c r="Q2605">
        <v>0.93</v>
      </c>
      <c r="R2605">
        <v>2257.13</v>
      </c>
      <c r="S2605">
        <v>2257.13</v>
      </c>
      <c r="T2605">
        <v>2500</v>
      </c>
      <c r="U2605" t="s">
        <v>6232</v>
      </c>
      <c r="X2605">
        <v>1</v>
      </c>
      <c r="Z2605" s="37">
        <v>1</v>
      </c>
      <c r="AA2605" s="37">
        <v>1</v>
      </c>
      <c r="AB2605">
        <v>0</v>
      </c>
    </row>
    <row r="2606">
      <c r="A2606" t="s">
        <v>6546</v>
      </c>
      <c r="B2606" t="s">
        <v>6402</v>
      </c>
      <c r="C2606" t="s">
        <v>6402</v>
      </c>
      <c r="D2606" t="s">
        <v>6495</v>
      </c>
      <c r="E2606" t="s">
        <v>6547</v>
      </c>
      <c r="F2606" t="s">
        <v>298</v>
      </c>
      <c r="G2606" t="s">
        <v>6481</v>
      </c>
      <c r="H2606" t="s">
        <v>6482</v>
      </c>
      <c r="I2606" t="s">
        <v>6400</v>
      </c>
      <c r="J2606" t="s">
        <v>6552</v>
      </c>
      <c r="K2606" t="s">
        <v>6553</v>
      </c>
      <c r="L2606" t="s">
        <v>6346</v>
      </c>
      <c r="M2606" s="37">
        <v>0.01</v>
      </c>
      <c r="N2606" s="37">
        <v>0.05</v>
      </c>
      <c r="O2606">
        <v>1</v>
      </c>
      <c r="P2606" s="37">
        <v>0.009265</v>
      </c>
      <c r="Q2606">
        <v>0.93</v>
      </c>
      <c r="R2606">
        <v>2257.13</v>
      </c>
      <c r="S2606">
        <v>2257.13</v>
      </c>
      <c r="T2606">
        <v>2500</v>
      </c>
      <c r="U2606" t="s">
        <v>6232</v>
      </c>
      <c r="X2606">
        <v>1</v>
      </c>
      <c r="Z2606" s="37">
        <v>1</v>
      </c>
      <c r="AA2606" s="37">
        <v>1</v>
      </c>
      <c r="AB2606">
        <v>0</v>
      </c>
    </row>
    <row r="2607">
      <c r="A2607" t="s">
        <v>6546</v>
      </c>
      <c r="B2607" t="s">
        <v>6402</v>
      </c>
      <c r="C2607" t="s">
        <v>6402</v>
      </c>
      <c r="D2607" t="s">
        <v>6495</v>
      </c>
      <c r="E2607" t="s">
        <v>6547</v>
      </c>
      <c r="F2607" t="s">
        <v>298</v>
      </c>
      <c r="G2607" t="s">
        <v>6481</v>
      </c>
      <c r="H2607" t="s">
        <v>6482</v>
      </c>
      <c r="I2607" t="s">
        <v>6400</v>
      </c>
      <c r="J2607" t="s">
        <v>6506</v>
      </c>
      <c r="K2607" t="s">
        <v>6554</v>
      </c>
      <c r="L2607" t="s">
        <v>6346</v>
      </c>
      <c r="M2607" s="37">
        <v>0.007</v>
      </c>
      <c r="N2607" s="37">
        <v>0.1</v>
      </c>
      <c r="O2607">
        <v>0.7</v>
      </c>
      <c r="P2607" s="37">
        <v>0.009265</v>
      </c>
      <c r="Q2607">
        <v>0.93</v>
      </c>
      <c r="R2607">
        <v>2257.13</v>
      </c>
      <c r="S2607">
        <v>2257.13</v>
      </c>
      <c r="T2607">
        <v>2500</v>
      </c>
      <c r="U2607" t="s">
        <v>6232</v>
      </c>
      <c r="X2607">
        <v>1</v>
      </c>
      <c r="Z2607" s="37">
        <v>1</v>
      </c>
      <c r="AA2607" s="37">
        <v>1</v>
      </c>
      <c r="AB2607">
        <v>0</v>
      </c>
    </row>
    <row r="2608">
      <c r="A2608" t="s">
        <v>6546</v>
      </c>
      <c r="B2608" t="s">
        <v>6402</v>
      </c>
      <c r="C2608" t="s">
        <v>6402</v>
      </c>
      <c r="D2608" t="s">
        <v>6495</v>
      </c>
      <c r="E2608" t="s">
        <v>6547</v>
      </c>
      <c r="F2608" t="s">
        <v>298</v>
      </c>
      <c r="G2608" t="s">
        <v>6481</v>
      </c>
      <c r="H2608" t="s">
        <v>6482</v>
      </c>
      <c r="I2608" t="s">
        <v>6400</v>
      </c>
      <c r="J2608" t="s">
        <v>6555</v>
      </c>
      <c r="K2608" t="s">
        <v>6556</v>
      </c>
      <c r="L2608" t="s">
        <v>6346</v>
      </c>
      <c r="M2608" s="37">
        <v>0.01</v>
      </c>
      <c r="N2608" s="37">
        <v>0.05</v>
      </c>
      <c r="O2608">
        <v>1</v>
      </c>
      <c r="P2608" s="37">
        <v>0.009265</v>
      </c>
      <c r="Q2608">
        <v>0.93</v>
      </c>
      <c r="R2608">
        <v>2257.13</v>
      </c>
      <c r="S2608">
        <v>2257.13</v>
      </c>
      <c r="T2608">
        <v>2500</v>
      </c>
      <c r="U2608" t="s">
        <v>6232</v>
      </c>
      <c r="X2608">
        <v>1</v>
      </c>
      <c r="Z2608" s="37">
        <v>1</v>
      </c>
      <c r="AA2608" s="37">
        <v>1</v>
      </c>
      <c r="AB2608">
        <v>0</v>
      </c>
    </row>
    <row r="2609">
      <c r="A2609" t="s">
        <v>6546</v>
      </c>
      <c r="B2609" t="s">
        <v>6402</v>
      </c>
      <c r="C2609" t="s">
        <v>6402</v>
      </c>
      <c r="D2609" t="s">
        <v>6495</v>
      </c>
      <c r="E2609" t="s">
        <v>6547</v>
      </c>
      <c r="F2609" t="s">
        <v>298</v>
      </c>
      <c r="G2609" t="s">
        <v>6481</v>
      </c>
      <c r="H2609" t="s">
        <v>6482</v>
      </c>
      <c r="I2609" t="s">
        <v>6400</v>
      </c>
      <c r="J2609" t="s">
        <v>6421</v>
      </c>
      <c r="K2609" t="s">
        <v>6557</v>
      </c>
      <c r="L2609" t="s">
        <v>6346</v>
      </c>
      <c r="M2609" s="37">
        <v>0.0097</v>
      </c>
      <c r="N2609" s="37">
        <v>0.15</v>
      </c>
      <c r="O2609">
        <v>0.97</v>
      </c>
      <c r="P2609" s="37">
        <v>0.009265</v>
      </c>
      <c r="Q2609">
        <v>0.93</v>
      </c>
      <c r="R2609">
        <v>2257.13</v>
      </c>
      <c r="S2609">
        <v>2257.13</v>
      </c>
      <c r="T2609">
        <v>2500</v>
      </c>
      <c r="U2609" t="s">
        <v>6232</v>
      </c>
      <c r="X2609">
        <v>1</v>
      </c>
      <c r="Z2609" s="37">
        <v>1</v>
      </c>
      <c r="AA2609" s="37">
        <v>1</v>
      </c>
      <c r="AB2609">
        <v>0</v>
      </c>
    </row>
    <row r="2610">
      <c r="A2610" t="s">
        <v>6546</v>
      </c>
      <c r="B2610" t="s">
        <v>6402</v>
      </c>
      <c r="C2610" t="s">
        <v>6402</v>
      </c>
      <c r="D2610" t="s">
        <v>6495</v>
      </c>
      <c r="E2610" t="s">
        <v>6547</v>
      </c>
      <c r="F2610" t="s">
        <v>298</v>
      </c>
      <c r="G2610" t="s">
        <v>6481</v>
      </c>
      <c r="H2610" t="s">
        <v>6482</v>
      </c>
      <c r="I2610" t="s">
        <v>6400</v>
      </c>
      <c r="J2610" t="s">
        <v>4170</v>
      </c>
      <c r="K2610" t="s">
        <v>6558</v>
      </c>
      <c r="L2610" t="s">
        <v>6346</v>
      </c>
      <c r="M2610" s="37">
        <v>0.01</v>
      </c>
      <c r="N2610" s="37">
        <v>0.1</v>
      </c>
      <c r="O2610">
        <v>1</v>
      </c>
      <c r="P2610" s="37">
        <v>0.009265</v>
      </c>
      <c r="Q2610">
        <v>0.93</v>
      </c>
      <c r="R2610">
        <v>2257.13</v>
      </c>
      <c r="S2610">
        <v>2257.13</v>
      </c>
      <c r="T2610">
        <v>2500</v>
      </c>
      <c r="U2610" t="s">
        <v>6232</v>
      </c>
      <c r="X2610">
        <v>1</v>
      </c>
      <c r="Z2610" s="37">
        <v>1</v>
      </c>
      <c r="AA2610" s="37">
        <v>1</v>
      </c>
      <c r="AB2610">
        <v>0</v>
      </c>
    </row>
    <row r="2611">
      <c r="A2611" t="s">
        <v>6559</v>
      </c>
      <c r="B2611" t="s">
        <v>6402</v>
      </c>
      <c r="C2611" t="s">
        <v>6402</v>
      </c>
      <c r="D2611" t="s">
        <v>6495</v>
      </c>
      <c r="E2611" t="s">
        <v>6560</v>
      </c>
      <c r="F2611" t="s">
        <v>298</v>
      </c>
      <c r="G2611" t="s">
        <v>6481</v>
      </c>
      <c r="H2611" t="s">
        <v>6482</v>
      </c>
      <c r="I2611" t="s">
        <v>6400</v>
      </c>
      <c r="J2611" t="s">
        <v>6561</v>
      </c>
      <c r="K2611" t="s">
        <v>6562</v>
      </c>
      <c r="L2611" t="s">
        <v>6346</v>
      </c>
      <c r="M2611" s="37">
        <v>0.01</v>
      </c>
      <c r="N2611" s="37">
        <v>0.05</v>
      </c>
      <c r="O2611">
        <v>1</v>
      </c>
      <c r="P2611" s="37">
        <v>0.0098</v>
      </c>
      <c r="Q2611">
        <v>0.98</v>
      </c>
      <c r="R2611">
        <v>3159.98</v>
      </c>
      <c r="S2611">
        <v>3159.98</v>
      </c>
      <c r="T2611">
        <v>2500</v>
      </c>
      <c r="U2611" t="s">
        <v>6232</v>
      </c>
      <c r="X2611">
        <v>1</v>
      </c>
      <c r="Z2611" s="37">
        <v>1</v>
      </c>
      <c r="AA2611" s="37">
        <v>1</v>
      </c>
      <c r="AB2611">
        <v>0</v>
      </c>
    </row>
    <row r="2612">
      <c r="A2612" t="s">
        <v>6559</v>
      </c>
      <c r="B2612" t="s">
        <v>6402</v>
      </c>
      <c r="C2612" t="s">
        <v>6402</v>
      </c>
      <c r="D2612" t="s">
        <v>6495</v>
      </c>
      <c r="E2612" t="s">
        <v>6560</v>
      </c>
      <c r="F2612" t="s">
        <v>298</v>
      </c>
      <c r="G2612" t="s">
        <v>6481</v>
      </c>
      <c r="H2612" t="s">
        <v>6482</v>
      </c>
      <c r="I2612" t="s">
        <v>6400</v>
      </c>
      <c r="J2612" t="s">
        <v>6563</v>
      </c>
      <c r="K2612" t="s">
        <v>6564</v>
      </c>
      <c r="L2612" t="s">
        <v>6346</v>
      </c>
      <c r="M2612" s="37">
        <v>0.01</v>
      </c>
      <c r="N2612" s="37">
        <v>0.15</v>
      </c>
      <c r="O2612">
        <v>1</v>
      </c>
      <c r="P2612" s="37">
        <v>0.0098</v>
      </c>
      <c r="Q2612">
        <v>0.98</v>
      </c>
      <c r="R2612">
        <v>3159.98</v>
      </c>
      <c r="S2612">
        <v>3159.98</v>
      </c>
      <c r="T2612">
        <v>2500</v>
      </c>
      <c r="U2612" t="s">
        <v>6232</v>
      </c>
      <c r="X2612">
        <v>1</v>
      </c>
      <c r="Z2612" s="37">
        <v>1</v>
      </c>
      <c r="AA2612" s="37">
        <v>1</v>
      </c>
      <c r="AB2612">
        <v>0</v>
      </c>
    </row>
    <row r="2613">
      <c r="A2613" t="s">
        <v>6559</v>
      </c>
      <c r="B2613" t="s">
        <v>6402</v>
      </c>
      <c r="C2613" t="s">
        <v>6402</v>
      </c>
      <c r="D2613" t="s">
        <v>6495</v>
      </c>
      <c r="E2613" t="s">
        <v>6560</v>
      </c>
      <c r="F2613" t="s">
        <v>298</v>
      </c>
      <c r="G2613" t="s">
        <v>6481</v>
      </c>
      <c r="H2613" t="s">
        <v>6482</v>
      </c>
      <c r="I2613" t="s">
        <v>6400</v>
      </c>
      <c r="J2613" t="s">
        <v>6565</v>
      </c>
      <c r="K2613" t="s">
        <v>6566</v>
      </c>
      <c r="L2613" t="s">
        <v>6346</v>
      </c>
      <c r="M2613" s="37">
        <v>0.01</v>
      </c>
      <c r="N2613" s="37">
        <v>0.3</v>
      </c>
      <c r="O2613">
        <v>1</v>
      </c>
      <c r="P2613" s="37">
        <v>0.0098</v>
      </c>
      <c r="Q2613">
        <v>0.98</v>
      </c>
      <c r="R2613">
        <v>3159.98</v>
      </c>
      <c r="S2613">
        <v>3159.98</v>
      </c>
      <c r="T2613">
        <v>2500</v>
      </c>
      <c r="U2613" t="s">
        <v>6232</v>
      </c>
      <c r="X2613">
        <v>1</v>
      </c>
      <c r="Z2613" s="37">
        <v>1</v>
      </c>
      <c r="AA2613" s="37">
        <v>1</v>
      </c>
      <c r="AB2613">
        <v>0</v>
      </c>
    </row>
    <row r="2614">
      <c r="A2614" t="s">
        <v>6559</v>
      </c>
      <c r="B2614" t="s">
        <v>6402</v>
      </c>
      <c r="C2614" t="s">
        <v>6402</v>
      </c>
      <c r="D2614" t="s">
        <v>6495</v>
      </c>
      <c r="E2614" t="s">
        <v>6560</v>
      </c>
      <c r="F2614" t="s">
        <v>298</v>
      </c>
      <c r="G2614" t="s">
        <v>6481</v>
      </c>
      <c r="H2614" t="s">
        <v>6482</v>
      </c>
      <c r="I2614" t="s">
        <v>6400</v>
      </c>
      <c r="J2614" t="s">
        <v>6443</v>
      </c>
      <c r="K2614" t="s">
        <v>455</v>
      </c>
      <c r="L2614" t="s">
        <v>6346</v>
      </c>
      <c r="M2614" s="37">
        <v>0.01</v>
      </c>
      <c r="N2614" s="37">
        <v>0.05</v>
      </c>
      <c r="O2614">
        <v>1</v>
      </c>
      <c r="P2614" s="37">
        <v>0.0098</v>
      </c>
      <c r="Q2614">
        <v>0.98</v>
      </c>
      <c r="R2614">
        <v>3159.98</v>
      </c>
      <c r="S2614">
        <v>3159.98</v>
      </c>
      <c r="T2614">
        <v>2500</v>
      </c>
      <c r="U2614" t="s">
        <v>6232</v>
      </c>
      <c r="X2614">
        <v>1</v>
      </c>
      <c r="Z2614" s="37">
        <v>1</v>
      </c>
      <c r="AA2614" s="37">
        <v>1</v>
      </c>
      <c r="AB2614">
        <v>0</v>
      </c>
    </row>
    <row r="2615">
      <c r="A2615" t="s">
        <v>6559</v>
      </c>
      <c r="B2615" t="s">
        <v>6402</v>
      </c>
      <c r="C2615" t="s">
        <v>6402</v>
      </c>
      <c r="D2615" t="s">
        <v>6495</v>
      </c>
      <c r="E2615" t="s">
        <v>6560</v>
      </c>
      <c r="F2615" t="s">
        <v>298</v>
      </c>
      <c r="G2615" t="s">
        <v>6481</v>
      </c>
      <c r="H2615" t="s">
        <v>6482</v>
      </c>
      <c r="I2615" t="s">
        <v>6400</v>
      </c>
      <c r="J2615" t="s">
        <v>6567</v>
      </c>
      <c r="K2615" t="s">
        <v>6568</v>
      </c>
      <c r="L2615" t="s">
        <v>6346</v>
      </c>
      <c r="M2615" s="37">
        <v>0.008</v>
      </c>
      <c r="N2615" s="37">
        <v>0.1</v>
      </c>
      <c r="O2615">
        <v>0.8</v>
      </c>
      <c r="P2615" s="37">
        <v>0.0098</v>
      </c>
      <c r="Q2615">
        <v>0.98</v>
      </c>
      <c r="R2615">
        <v>3159.98</v>
      </c>
      <c r="S2615">
        <v>3159.98</v>
      </c>
      <c r="T2615">
        <v>2500</v>
      </c>
      <c r="U2615" t="s">
        <v>6232</v>
      </c>
      <c r="X2615">
        <v>1</v>
      </c>
      <c r="Z2615" s="37">
        <v>1</v>
      </c>
      <c r="AA2615" s="37">
        <v>1</v>
      </c>
      <c r="AB2615">
        <v>0</v>
      </c>
    </row>
    <row r="2616">
      <c r="A2616" t="s">
        <v>6559</v>
      </c>
      <c r="B2616" t="s">
        <v>6402</v>
      </c>
      <c r="C2616" t="s">
        <v>6402</v>
      </c>
      <c r="D2616" t="s">
        <v>6495</v>
      </c>
      <c r="E2616" t="s">
        <v>6560</v>
      </c>
      <c r="F2616" t="s">
        <v>298</v>
      </c>
      <c r="G2616" t="s">
        <v>6481</v>
      </c>
      <c r="H2616" t="s">
        <v>6482</v>
      </c>
      <c r="I2616" t="s">
        <v>6400</v>
      </c>
      <c r="J2616" t="s">
        <v>6569</v>
      </c>
      <c r="K2616" t="s">
        <v>6570</v>
      </c>
      <c r="L2616" t="s">
        <v>6346</v>
      </c>
      <c r="M2616" s="37">
        <v>0.01</v>
      </c>
      <c r="N2616" s="37">
        <v>0.1</v>
      </c>
      <c r="O2616">
        <v>1</v>
      </c>
      <c r="P2616" s="37">
        <v>0.0098</v>
      </c>
      <c r="Q2616">
        <v>0.98</v>
      </c>
      <c r="R2616">
        <v>3159.98</v>
      </c>
      <c r="S2616">
        <v>3159.98</v>
      </c>
      <c r="T2616">
        <v>2500</v>
      </c>
      <c r="U2616" t="s">
        <v>6232</v>
      </c>
      <c r="X2616">
        <v>1</v>
      </c>
      <c r="Z2616" s="37">
        <v>1</v>
      </c>
      <c r="AA2616" s="37">
        <v>1</v>
      </c>
      <c r="AB2616">
        <v>0</v>
      </c>
    </row>
    <row r="2617">
      <c r="A2617" t="s">
        <v>6559</v>
      </c>
      <c r="B2617" t="s">
        <v>6402</v>
      </c>
      <c r="C2617" t="s">
        <v>6402</v>
      </c>
      <c r="D2617" t="s">
        <v>6495</v>
      </c>
      <c r="E2617" t="s">
        <v>6560</v>
      </c>
      <c r="F2617" t="s">
        <v>298</v>
      </c>
      <c r="G2617" t="s">
        <v>6481</v>
      </c>
      <c r="H2617" t="s">
        <v>6482</v>
      </c>
      <c r="I2617" t="s">
        <v>6400</v>
      </c>
      <c r="J2617" t="s">
        <v>6421</v>
      </c>
      <c r="K2617" t="s">
        <v>6571</v>
      </c>
      <c r="L2617" t="s">
        <v>6346</v>
      </c>
      <c r="M2617" s="37">
        <v>0.01</v>
      </c>
      <c r="N2617" s="37">
        <v>0.15</v>
      </c>
      <c r="O2617">
        <v>1</v>
      </c>
      <c r="P2617" s="37">
        <v>0.0098</v>
      </c>
      <c r="Q2617">
        <v>0.98</v>
      </c>
      <c r="R2617">
        <v>3159.98</v>
      </c>
      <c r="S2617">
        <v>3159.98</v>
      </c>
      <c r="T2617">
        <v>2500</v>
      </c>
      <c r="U2617" t="s">
        <v>6232</v>
      </c>
      <c r="X2617">
        <v>1</v>
      </c>
      <c r="Z2617" s="37">
        <v>1</v>
      </c>
      <c r="AA2617" s="37">
        <v>1</v>
      </c>
      <c r="AB2617">
        <v>0</v>
      </c>
    </row>
    <row r="2618">
      <c r="A2618" t="s">
        <v>6559</v>
      </c>
      <c r="B2618" t="s">
        <v>6402</v>
      </c>
      <c r="C2618" t="s">
        <v>6402</v>
      </c>
      <c r="D2618" t="s">
        <v>6495</v>
      </c>
      <c r="E2618" t="s">
        <v>6560</v>
      </c>
      <c r="F2618" t="s">
        <v>298</v>
      </c>
      <c r="G2618" t="s">
        <v>6481</v>
      </c>
      <c r="H2618" t="s">
        <v>6482</v>
      </c>
      <c r="I2618" t="s">
        <v>6400</v>
      </c>
      <c r="J2618" t="s">
        <v>4170</v>
      </c>
      <c r="K2618" t="s">
        <v>6572</v>
      </c>
      <c r="L2618" t="s">
        <v>6346</v>
      </c>
      <c r="M2618" s="37">
        <v>0.01</v>
      </c>
      <c r="N2618" s="37">
        <v>0.1</v>
      </c>
      <c r="O2618">
        <v>1</v>
      </c>
      <c r="P2618" s="37">
        <v>0.0098</v>
      </c>
      <c r="Q2618">
        <v>0.98</v>
      </c>
      <c r="R2618">
        <v>3159.98</v>
      </c>
      <c r="S2618">
        <v>3159.98</v>
      </c>
      <c r="T2618">
        <v>2500</v>
      </c>
      <c r="U2618" t="s">
        <v>6232</v>
      </c>
      <c r="X2618">
        <v>1</v>
      </c>
      <c r="Z2618" s="37">
        <v>1</v>
      </c>
      <c r="AA2618" s="37">
        <v>1</v>
      </c>
      <c r="AB2618">
        <v>0</v>
      </c>
    </row>
    <row r="2619">
      <c r="A2619" t="s">
        <v>6573</v>
      </c>
      <c r="B2619" t="s">
        <v>5884</v>
      </c>
      <c r="C2619" t="s">
        <v>5884</v>
      </c>
      <c r="D2619" t="s">
        <v>6574</v>
      </c>
      <c r="E2619" t="s">
        <v>6575</v>
      </c>
      <c r="F2619" t="s">
        <v>298</v>
      </c>
      <c r="G2619" t="s">
        <v>6576</v>
      </c>
      <c r="H2619" t="s">
        <v>5887</v>
      </c>
      <c r="I2619" t="s">
        <v>6577</v>
      </c>
      <c r="J2619">
        <v>7205</v>
      </c>
      <c r="K2619">
        <v>7475</v>
      </c>
      <c r="L2619" t="s">
        <v>6346</v>
      </c>
      <c r="M2619" s="37">
        <v>1.037</v>
      </c>
      <c r="N2619" s="37">
        <v>0.125</v>
      </c>
      <c r="O2619">
        <v>1.037</v>
      </c>
      <c r="P2619" s="37">
        <v>0.76925</v>
      </c>
      <c r="Q2619">
        <v>0.96</v>
      </c>
      <c r="R2619">
        <v>4800</v>
      </c>
      <c r="S2619">
        <v>4800</v>
      </c>
      <c r="T2619">
        <v>5000</v>
      </c>
      <c r="U2619" t="s">
        <v>6232</v>
      </c>
      <c r="X2619">
        <v>1</v>
      </c>
      <c r="Z2619" s="37">
        <v>1</v>
      </c>
      <c r="AA2619" s="37">
        <v>1</v>
      </c>
      <c r="AB2619">
        <v>0</v>
      </c>
    </row>
    <row r="2620">
      <c r="A2620" t="s">
        <v>6573</v>
      </c>
      <c r="B2620" t="s">
        <v>5884</v>
      </c>
      <c r="C2620" t="s">
        <v>5884</v>
      </c>
      <c r="D2620" t="s">
        <v>6574</v>
      </c>
      <c r="E2620" t="s">
        <v>6575</v>
      </c>
      <c r="F2620" t="s">
        <v>298</v>
      </c>
      <c r="G2620" t="s">
        <v>6576</v>
      </c>
      <c r="H2620" t="s">
        <v>5891</v>
      </c>
      <c r="I2620" t="s">
        <v>5892</v>
      </c>
      <c r="J2620" s="38">
        <v>0.1</v>
      </c>
      <c r="K2620" s="37">
        <v>0.0897</v>
      </c>
      <c r="L2620" t="s">
        <v>6346</v>
      </c>
      <c r="M2620" s="37">
        <v>0.897</v>
      </c>
      <c r="N2620" s="37">
        <v>0.125</v>
      </c>
      <c r="O2620">
        <v>0.897</v>
      </c>
      <c r="P2620" s="37">
        <v>0.76925</v>
      </c>
      <c r="Q2620">
        <v>0.96</v>
      </c>
      <c r="R2620">
        <v>4800</v>
      </c>
      <c r="S2620">
        <v>4800</v>
      </c>
      <c r="T2620">
        <v>5000</v>
      </c>
      <c r="U2620" t="s">
        <v>6232</v>
      </c>
      <c r="X2620">
        <v>1</v>
      </c>
      <c r="Z2620" s="37">
        <v>1</v>
      </c>
      <c r="AA2620" s="37">
        <v>1</v>
      </c>
      <c r="AB2620">
        <v>0</v>
      </c>
    </row>
    <row r="2621">
      <c r="A2621" t="s">
        <v>6573</v>
      </c>
      <c r="B2621" t="s">
        <v>5884</v>
      </c>
      <c r="C2621" t="s">
        <v>5884</v>
      </c>
      <c r="D2621" t="s">
        <v>6574</v>
      </c>
      <c r="E2621" t="s">
        <v>6575</v>
      </c>
      <c r="F2621" t="s">
        <v>298</v>
      </c>
      <c r="G2621" t="s">
        <v>6576</v>
      </c>
      <c r="H2621" t="s">
        <v>5887</v>
      </c>
      <c r="I2621" t="s">
        <v>5893</v>
      </c>
      <c r="J2621" t="s">
        <v>6578</v>
      </c>
      <c r="K2621" t="s">
        <v>6579</v>
      </c>
      <c r="L2621" t="s">
        <v>6346</v>
      </c>
      <c r="M2621" s="37">
        <v>1.2</v>
      </c>
      <c r="N2621" s="37">
        <v>0.25</v>
      </c>
      <c r="O2621">
        <v>1.2</v>
      </c>
      <c r="P2621" s="37">
        <v>0.76925</v>
      </c>
      <c r="Q2621">
        <v>0.96</v>
      </c>
      <c r="R2621">
        <v>4800</v>
      </c>
      <c r="S2621">
        <v>4800</v>
      </c>
      <c r="T2621">
        <v>5000</v>
      </c>
      <c r="U2621" t="s">
        <v>6232</v>
      </c>
      <c r="X2621">
        <v>1</v>
      </c>
      <c r="Z2621" s="37">
        <v>1</v>
      </c>
      <c r="AA2621" s="37">
        <v>1</v>
      </c>
      <c r="AB2621">
        <v>0</v>
      </c>
    </row>
    <row r="2622">
      <c r="A2622" t="s">
        <v>6573</v>
      </c>
      <c r="B2622" t="s">
        <v>5884</v>
      </c>
      <c r="C2622" t="s">
        <v>5884</v>
      </c>
      <c r="D2622" t="s">
        <v>6574</v>
      </c>
      <c r="E2622" t="s">
        <v>6575</v>
      </c>
      <c r="F2622" t="s">
        <v>298</v>
      </c>
      <c r="G2622" t="s">
        <v>6576</v>
      </c>
      <c r="H2622" t="s">
        <v>6245</v>
      </c>
      <c r="I2622" t="s">
        <v>6580</v>
      </c>
      <c r="J2622" s="38">
        <v>1</v>
      </c>
      <c r="L2622" t="s">
        <v>6346</v>
      </c>
      <c r="M2622" s="37">
        <v>0.87</v>
      </c>
      <c r="N2622" s="37">
        <v>0.25</v>
      </c>
      <c r="O2622">
        <v>0.87</v>
      </c>
      <c r="P2622" s="37">
        <v>0.76925</v>
      </c>
      <c r="Q2622">
        <v>0.96</v>
      </c>
      <c r="R2622">
        <v>4800</v>
      </c>
      <c r="S2622">
        <v>4800</v>
      </c>
      <c r="T2622">
        <v>5000</v>
      </c>
      <c r="U2622" t="s">
        <v>6232</v>
      </c>
      <c r="X2622">
        <v>1</v>
      </c>
      <c r="Z2622" s="37">
        <v>1</v>
      </c>
      <c r="AA2622" s="37">
        <v>1</v>
      </c>
      <c r="AB2622">
        <v>0</v>
      </c>
    </row>
    <row r="2623">
      <c r="A2623" t="s">
        <v>6573</v>
      </c>
      <c r="B2623" t="s">
        <v>5884</v>
      </c>
      <c r="C2623" t="s">
        <v>5884</v>
      </c>
      <c r="D2623" t="s">
        <v>6574</v>
      </c>
      <c r="E2623" t="s">
        <v>6575</v>
      </c>
      <c r="F2623" t="s">
        <v>298</v>
      </c>
      <c r="G2623" t="s">
        <v>6576</v>
      </c>
      <c r="H2623" t="s">
        <v>6243</v>
      </c>
      <c r="I2623" t="s">
        <v>6581</v>
      </c>
      <c r="J2623" t="s">
        <v>2578</v>
      </c>
      <c r="L2623" t="s">
        <v>6346</v>
      </c>
      <c r="M2623" s="37">
        <v>0.04</v>
      </c>
      <c r="N2623" s="37">
        <v>0.25</v>
      </c>
      <c r="O2623">
        <v>0.8</v>
      </c>
      <c r="P2623" s="37">
        <v>0.76925</v>
      </c>
      <c r="Q2623">
        <v>0.96</v>
      </c>
      <c r="R2623">
        <v>4800</v>
      </c>
      <c r="S2623">
        <v>4800</v>
      </c>
      <c r="T2623">
        <v>5000</v>
      </c>
      <c r="U2623" t="s">
        <v>6232</v>
      </c>
      <c r="X2623">
        <v>1</v>
      </c>
      <c r="Z2623" s="37">
        <v>1</v>
      </c>
      <c r="AA2623" s="37">
        <v>1</v>
      </c>
      <c r="AB2623">
        <v>0</v>
      </c>
    </row>
    <row r="2624">
      <c r="A2624" t="s">
        <v>6582</v>
      </c>
      <c r="B2624" t="s">
        <v>5106</v>
      </c>
      <c r="C2624" t="s">
        <v>5106</v>
      </c>
      <c r="D2624" t="s">
        <v>3649</v>
      </c>
      <c r="E2624" t="s">
        <v>6583</v>
      </c>
      <c r="F2624" t="s">
        <v>298</v>
      </c>
      <c r="G2624" t="s">
        <v>6584</v>
      </c>
      <c r="H2624" t="s">
        <v>6585</v>
      </c>
      <c r="I2624" t="s">
        <v>6586</v>
      </c>
      <c r="J2624" t="s">
        <v>6587</v>
      </c>
      <c r="K2624" t="s">
        <v>6588</v>
      </c>
      <c r="L2624" t="s">
        <v>6346</v>
      </c>
      <c r="M2624" s="37">
        <v>0.8</v>
      </c>
      <c r="N2624" s="37">
        <v>0.25</v>
      </c>
      <c r="O2624">
        <v>0.8</v>
      </c>
      <c r="P2624" s="37">
        <v>0.866675</v>
      </c>
      <c r="Q2624">
        <v>0.87</v>
      </c>
      <c r="R2624">
        <v>4686</v>
      </c>
      <c r="S2624">
        <v>4686</v>
      </c>
      <c r="T2624">
        <v>5000</v>
      </c>
      <c r="U2624" t="s">
        <v>6232</v>
      </c>
      <c r="X2624">
        <v>1</v>
      </c>
      <c r="Z2624" s="37">
        <v>1</v>
      </c>
      <c r="AA2624" s="37">
        <v>1</v>
      </c>
      <c r="AB2624">
        <v>0</v>
      </c>
    </row>
    <row r="2625">
      <c r="A2625" t="s">
        <v>6582</v>
      </c>
      <c r="B2625" t="s">
        <v>5106</v>
      </c>
      <c r="C2625" t="s">
        <v>5106</v>
      </c>
      <c r="D2625" t="s">
        <v>3649</v>
      </c>
      <c r="E2625" t="s">
        <v>6583</v>
      </c>
      <c r="F2625" t="s">
        <v>298</v>
      </c>
      <c r="G2625" t="s">
        <v>6584</v>
      </c>
      <c r="H2625" t="s">
        <v>6589</v>
      </c>
      <c r="I2625" t="s">
        <v>6586</v>
      </c>
      <c r="J2625" s="37">
        <v>-0.107</v>
      </c>
      <c r="K2625" s="37">
        <v>-0.1091</v>
      </c>
      <c r="L2625" t="s">
        <v>6346</v>
      </c>
      <c r="M2625" s="37">
        <v>0.9867</v>
      </c>
      <c r="N2625" s="37">
        <v>0.25</v>
      </c>
      <c r="O2625">
        <v>0.9804</v>
      </c>
      <c r="P2625" s="37">
        <v>0.866675</v>
      </c>
      <c r="Q2625">
        <v>0.87</v>
      </c>
      <c r="R2625">
        <v>4686</v>
      </c>
      <c r="S2625">
        <v>4686</v>
      </c>
      <c r="T2625">
        <v>5000</v>
      </c>
      <c r="U2625" t="s">
        <v>6232</v>
      </c>
      <c r="X2625">
        <v>1</v>
      </c>
      <c r="Z2625" s="37">
        <v>1</v>
      </c>
      <c r="AA2625" s="37">
        <v>1</v>
      </c>
      <c r="AB2625">
        <v>0</v>
      </c>
    </row>
    <row r="2626">
      <c r="A2626" t="s">
        <v>6582</v>
      </c>
      <c r="B2626" t="s">
        <v>5106</v>
      </c>
      <c r="C2626" t="s">
        <v>5106</v>
      </c>
      <c r="D2626" t="s">
        <v>3649</v>
      </c>
      <c r="E2626" t="s">
        <v>6583</v>
      </c>
      <c r="F2626" t="s">
        <v>298</v>
      </c>
      <c r="G2626" t="s">
        <v>6584</v>
      </c>
      <c r="H2626" t="s">
        <v>6590</v>
      </c>
      <c r="I2626" t="s">
        <v>6591</v>
      </c>
      <c r="J2626" t="s">
        <v>4931</v>
      </c>
      <c r="K2626" t="s">
        <v>6592</v>
      </c>
      <c r="L2626" t="s">
        <v>6593</v>
      </c>
      <c r="M2626" s="37">
        <v>0.86</v>
      </c>
      <c r="N2626" s="37">
        <v>0.25</v>
      </c>
      <c r="O2626">
        <v>0.86</v>
      </c>
      <c r="P2626" s="37">
        <v>0.866675</v>
      </c>
      <c r="Q2626">
        <v>0.87</v>
      </c>
      <c r="R2626">
        <v>4686</v>
      </c>
      <c r="S2626">
        <v>4686</v>
      </c>
      <c r="T2626">
        <v>5000</v>
      </c>
      <c r="U2626" t="s">
        <v>6232</v>
      </c>
      <c r="X2626">
        <v>1</v>
      </c>
      <c r="Z2626" s="37">
        <v>1</v>
      </c>
      <c r="AA2626" s="37">
        <v>1</v>
      </c>
      <c r="AB2626">
        <v>0</v>
      </c>
    </row>
    <row r="2627">
      <c r="A2627" t="s">
        <v>6582</v>
      </c>
      <c r="B2627" t="s">
        <v>5106</v>
      </c>
      <c r="C2627" t="s">
        <v>5106</v>
      </c>
      <c r="D2627" t="s">
        <v>3649</v>
      </c>
      <c r="E2627" t="s">
        <v>6583</v>
      </c>
      <c r="F2627" t="s">
        <v>298</v>
      </c>
      <c r="G2627" t="s">
        <v>6584</v>
      </c>
      <c r="H2627" t="s">
        <v>6585</v>
      </c>
      <c r="I2627" t="s">
        <v>6594</v>
      </c>
      <c r="J2627" t="s">
        <v>2930</v>
      </c>
      <c r="K2627" t="s">
        <v>2934</v>
      </c>
      <c r="L2627" t="s">
        <v>6593</v>
      </c>
      <c r="M2627" s="37">
        <v>0.82</v>
      </c>
      <c r="N2627" s="37">
        <v>0.25</v>
      </c>
      <c r="O2627">
        <v>0.82</v>
      </c>
      <c r="P2627" s="37">
        <v>0.866675</v>
      </c>
      <c r="Q2627">
        <v>0.87</v>
      </c>
      <c r="R2627">
        <v>4686</v>
      </c>
      <c r="S2627">
        <v>4686</v>
      </c>
      <c r="T2627">
        <v>5000</v>
      </c>
      <c r="U2627" t="s">
        <v>6232</v>
      </c>
      <c r="X2627">
        <v>1</v>
      </c>
      <c r="Z2627" s="37">
        <v>1</v>
      </c>
      <c r="AA2627" s="37">
        <v>1</v>
      </c>
      <c r="AB2627">
        <v>0</v>
      </c>
    </row>
    <row r="2628">
      <c r="A2628" t="s">
        <v>6595</v>
      </c>
      <c r="B2628" t="s">
        <v>3359</v>
      </c>
      <c r="C2628" t="s">
        <v>3359</v>
      </c>
      <c r="D2628" t="s">
        <v>3649</v>
      </c>
      <c r="E2628" t="s">
        <v>6596</v>
      </c>
      <c r="F2628" t="s">
        <v>298</v>
      </c>
      <c r="G2628" t="s">
        <v>6584</v>
      </c>
      <c r="H2628" t="s">
        <v>6585</v>
      </c>
      <c r="I2628" t="s">
        <v>6597</v>
      </c>
      <c r="J2628" t="s">
        <v>2564</v>
      </c>
      <c r="K2628" t="s">
        <v>6598</v>
      </c>
      <c r="L2628" t="s">
        <v>6593</v>
      </c>
      <c r="M2628" s="37">
        <v>2.09</v>
      </c>
      <c r="N2628" s="37">
        <v>0.7</v>
      </c>
      <c r="O2628">
        <v>1.5</v>
      </c>
      <c r="P2628" s="37">
        <v>5.663</v>
      </c>
      <c r="Q2628">
        <v>1.5</v>
      </c>
      <c r="R2628">
        <v>5756</v>
      </c>
      <c r="S2628">
        <v>5756</v>
      </c>
      <c r="T2628">
        <v>5000</v>
      </c>
      <c r="U2628" t="s">
        <v>6232</v>
      </c>
      <c r="X2628">
        <v>1</v>
      </c>
      <c r="Z2628" s="37">
        <v>1</v>
      </c>
      <c r="AA2628" s="37">
        <v>1</v>
      </c>
      <c r="AB2628">
        <v>0</v>
      </c>
    </row>
    <row r="2629">
      <c r="A2629" t="s">
        <v>6595</v>
      </c>
      <c r="B2629" t="s">
        <v>3359</v>
      </c>
      <c r="C2629" t="s">
        <v>3359</v>
      </c>
      <c r="D2629" t="s">
        <v>3649</v>
      </c>
      <c r="E2629" t="s">
        <v>6596</v>
      </c>
      <c r="F2629" t="s">
        <v>298</v>
      </c>
      <c r="G2629" t="s">
        <v>6584</v>
      </c>
      <c r="H2629" t="s">
        <v>6599</v>
      </c>
      <c r="I2629" t="s">
        <v>6600</v>
      </c>
      <c r="J2629" t="s">
        <v>342</v>
      </c>
      <c r="K2629" t="s">
        <v>6601</v>
      </c>
      <c r="L2629" t="s">
        <v>6593</v>
      </c>
      <c r="M2629" s="37">
        <v>14</v>
      </c>
      <c r="N2629" s="37">
        <v>0.3</v>
      </c>
      <c r="O2629">
        <v>1.5</v>
      </c>
      <c r="P2629" s="37">
        <v>5.663</v>
      </c>
      <c r="Q2629">
        <v>1.5</v>
      </c>
      <c r="R2629">
        <v>5756</v>
      </c>
      <c r="S2629">
        <v>5756</v>
      </c>
      <c r="T2629">
        <v>5000</v>
      </c>
      <c r="U2629" t="s">
        <v>6232</v>
      </c>
      <c r="X2629">
        <v>1</v>
      </c>
      <c r="Z2629" s="37">
        <v>1</v>
      </c>
      <c r="AA2629" s="37">
        <v>1</v>
      </c>
      <c r="AB2629">
        <v>0</v>
      </c>
    </row>
    <row r="2630">
      <c r="A2630" t="s">
        <v>6602</v>
      </c>
      <c r="B2630" t="s">
        <v>2548</v>
      </c>
      <c r="C2630" t="s">
        <v>2548</v>
      </c>
      <c r="D2630" t="s">
        <v>6603</v>
      </c>
      <c r="E2630" t="s">
        <v>6604</v>
      </c>
      <c r="F2630" t="s">
        <v>298</v>
      </c>
      <c r="G2630" t="s">
        <v>6584</v>
      </c>
      <c r="H2630" t="s">
        <v>6605</v>
      </c>
      <c r="I2630" t="s">
        <v>6606</v>
      </c>
      <c r="J2630" t="s">
        <v>6607</v>
      </c>
      <c r="K2630" t="s">
        <v>6608</v>
      </c>
      <c r="L2630" t="s">
        <v>6593</v>
      </c>
      <c r="M2630" s="37">
        <v>1.18</v>
      </c>
      <c r="N2630" s="37">
        <v>0.5</v>
      </c>
      <c r="O2630">
        <v>1.18</v>
      </c>
      <c r="P2630" s="37">
        <v>1.39</v>
      </c>
      <c r="Q2630">
        <v>1.24</v>
      </c>
      <c r="R2630">
        <v>3504</v>
      </c>
      <c r="S2630">
        <v>3504</v>
      </c>
      <c r="T2630">
        <v>3000</v>
      </c>
      <c r="U2630" t="s">
        <v>6232</v>
      </c>
      <c r="X2630">
        <v>1</v>
      </c>
      <c r="Z2630" s="37">
        <v>1</v>
      </c>
      <c r="AA2630" s="37">
        <v>1</v>
      </c>
      <c r="AB2630">
        <v>0</v>
      </c>
    </row>
    <row r="2631">
      <c r="A2631" t="s">
        <v>6602</v>
      </c>
      <c r="B2631" t="s">
        <v>2548</v>
      </c>
      <c r="C2631" t="s">
        <v>2548</v>
      </c>
      <c r="D2631" t="s">
        <v>6603</v>
      </c>
      <c r="E2631" t="s">
        <v>6604</v>
      </c>
      <c r="F2631" t="s">
        <v>298</v>
      </c>
      <c r="G2631" t="s">
        <v>6584</v>
      </c>
      <c r="H2631" t="s">
        <v>6609</v>
      </c>
      <c r="I2631" t="s">
        <v>6610</v>
      </c>
      <c r="J2631" s="37">
        <v>0.017</v>
      </c>
      <c r="K2631" s="37">
        <v>0.0182</v>
      </c>
      <c r="L2631" t="s">
        <v>6593</v>
      </c>
      <c r="M2631" s="37">
        <v>1</v>
      </c>
      <c r="N2631" s="37">
        <v>0.2</v>
      </c>
      <c r="O2631">
        <v>1</v>
      </c>
      <c r="P2631" s="37">
        <v>1.39</v>
      </c>
      <c r="Q2631">
        <v>1.24</v>
      </c>
      <c r="R2631">
        <v>3504</v>
      </c>
      <c r="S2631">
        <v>3504</v>
      </c>
      <c r="T2631">
        <v>3000</v>
      </c>
      <c r="U2631" t="s">
        <v>6232</v>
      </c>
      <c r="X2631">
        <v>1</v>
      </c>
      <c r="Z2631" s="37">
        <v>1</v>
      </c>
      <c r="AA2631" s="37">
        <v>1</v>
      </c>
      <c r="AB2631">
        <v>0</v>
      </c>
    </row>
    <row r="2632">
      <c r="A2632" t="s">
        <v>6602</v>
      </c>
      <c r="B2632" t="s">
        <v>2548</v>
      </c>
      <c r="C2632" t="s">
        <v>2548</v>
      </c>
      <c r="D2632" t="s">
        <v>6603</v>
      </c>
      <c r="E2632" t="s">
        <v>6604</v>
      </c>
      <c r="F2632" t="s">
        <v>298</v>
      </c>
      <c r="G2632" t="s">
        <v>6584</v>
      </c>
      <c r="H2632" t="s">
        <v>6611</v>
      </c>
      <c r="I2632" t="s">
        <v>6612</v>
      </c>
      <c r="J2632" t="s">
        <v>2397</v>
      </c>
      <c r="L2632" t="s">
        <v>6613</v>
      </c>
      <c r="M2632" s="37">
        <v>2</v>
      </c>
      <c r="N2632" s="37">
        <v>0.3</v>
      </c>
      <c r="O2632">
        <v>1.5</v>
      </c>
      <c r="P2632" s="37">
        <v>1.39</v>
      </c>
      <c r="Q2632">
        <v>1.24</v>
      </c>
      <c r="R2632">
        <v>3504</v>
      </c>
      <c r="S2632">
        <v>3504</v>
      </c>
      <c r="T2632">
        <v>3000</v>
      </c>
      <c r="U2632" t="s">
        <v>6232</v>
      </c>
      <c r="X2632">
        <v>1</v>
      </c>
      <c r="Z2632" s="37">
        <v>1</v>
      </c>
      <c r="AA2632" s="37">
        <v>1</v>
      </c>
      <c r="AB2632">
        <v>0</v>
      </c>
    </row>
    <row r="2633">
      <c r="A2633" t="s">
        <v>6614</v>
      </c>
      <c r="B2633" t="s">
        <v>2698</v>
      </c>
      <c r="C2633" t="s">
        <v>2698</v>
      </c>
      <c r="D2633" t="s">
        <v>3673</v>
      </c>
      <c r="E2633" t="s">
        <v>6615</v>
      </c>
      <c r="F2633" t="s">
        <v>298</v>
      </c>
      <c r="G2633" t="s">
        <v>6584</v>
      </c>
      <c r="H2633" t="s">
        <v>6616</v>
      </c>
      <c r="I2633" t="s">
        <v>6617</v>
      </c>
      <c r="J2633" t="s">
        <v>6618</v>
      </c>
      <c r="K2633" t="s">
        <v>6619</v>
      </c>
      <c r="L2633" t="s">
        <v>6613</v>
      </c>
      <c r="M2633" s="37">
        <v>0.58</v>
      </c>
      <c r="N2633" s="37">
        <v>0.4</v>
      </c>
      <c r="O2633">
        <v>0.47</v>
      </c>
      <c r="P2633" s="37">
        <v>1.132</v>
      </c>
      <c r="Q2633">
        <v>0.74</v>
      </c>
      <c r="R2633">
        <v>3952</v>
      </c>
      <c r="S2633">
        <v>3952</v>
      </c>
      <c r="T2633">
        <v>5000</v>
      </c>
      <c r="U2633" t="s">
        <v>6232</v>
      </c>
      <c r="X2633">
        <v>1</v>
      </c>
      <c r="Z2633" s="37">
        <v>1</v>
      </c>
      <c r="AA2633" s="37">
        <v>1</v>
      </c>
      <c r="AB2633">
        <v>0</v>
      </c>
    </row>
    <row r="2634">
      <c r="A2634" t="s">
        <v>6614</v>
      </c>
      <c r="B2634" t="s">
        <v>2698</v>
      </c>
      <c r="C2634" t="s">
        <v>2698</v>
      </c>
      <c r="D2634" t="s">
        <v>3673</v>
      </c>
      <c r="E2634" t="s">
        <v>6615</v>
      </c>
      <c r="F2634" t="s">
        <v>298</v>
      </c>
      <c r="G2634" t="s">
        <v>6584</v>
      </c>
      <c r="H2634" t="s">
        <v>6620</v>
      </c>
      <c r="I2634" t="s">
        <v>6621</v>
      </c>
      <c r="J2634" t="s">
        <v>588</v>
      </c>
      <c r="K2634" t="s">
        <v>586</v>
      </c>
      <c r="L2634" t="s">
        <v>6622</v>
      </c>
      <c r="M2634" s="37">
        <v>2</v>
      </c>
      <c r="N2634" s="37">
        <v>0.3</v>
      </c>
      <c r="O2634">
        <v>1.5</v>
      </c>
      <c r="P2634" s="37">
        <v>1.132</v>
      </c>
      <c r="Q2634">
        <v>0.74</v>
      </c>
      <c r="R2634">
        <v>3952</v>
      </c>
      <c r="S2634">
        <v>3952</v>
      </c>
      <c r="T2634">
        <v>5000</v>
      </c>
      <c r="U2634" t="s">
        <v>6232</v>
      </c>
      <c r="X2634">
        <v>1</v>
      </c>
      <c r="Z2634" s="37">
        <v>1</v>
      </c>
      <c r="AA2634" s="37">
        <v>1</v>
      </c>
      <c r="AB2634">
        <v>0</v>
      </c>
    </row>
    <row r="2635">
      <c r="A2635" t="s">
        <v>6614</v>
      </c>
      <c r="B2635" t="s">
        <v>2698</v>
      </c>
      <c r="C2635" t="s">
        <v>2698</v>
      </c>
      <c r="D2635" t="s">
        <v>3673</v>
      </c>
      <c r="E2635" t="s">
        <v>6615</v>
      </c>
      <c r="F2635" t="s">
        <v>298</v>
      </c>
      <c r="G2635" t="s">
        <v>6584</v>
      </c>
      <c r="H2635" t="s">
        <v>6623</v>
      </c>
      <c r="I2635" t="s">
        <v>6624</v>
      </c>
      <c r="K2635">
        <v>2</v>
      </c>
      <c r="L2635" t="s">
        <v>6625</v>
      </c>
      <c r="M2635" s="37">
        <v>1</v>
      </c>
      <c r="N2635" s="37">
        <v>0.3</v>
      </c>
      <c r="O2635">
        <v>1</v>
      </c>
      <c r="P2635" s="37">
        <v>1.132</v>
      </c>
      <c r="Q2635">
        <v>0.74</v>
      </c>
      <c r="R2635">
        <v>3952</v>
      </c>
      <c r="S2635">
        <v>3952</v>
      </c>
      <c r="T2635">
        <v>5000</v>
      </c>
      <c r="U2635" t="s">
        <v>6232</v>
      </c>
      <c r="X2635">
        <v>1</v>
      </c>
      <c r="Z2635" s="37">
        <v>1</v>
      </c>
      <c r="AA2635" s="37">
        <v>1</v>
      </c>
      <c r="AB2635">
        <v>0</v>
      </c>
    </row>
    <row r="2636">
      <c r="A2636" t="s">
        <v>6626</v>
      </c>
      <c r="B2636" t="s">
        <v>3359</v>
      </c>
      <c r="C2636" t="s">
        <v>3359</v>
      </c>
      <c r="D2636" t="s">
        <v>359</v>
      </c>
      <c r="E2636" t="s">
        <v>6627</v>
      </c>
      <c r="F2636" t="s">
        <v>298</v>
      </c>
      <c r="G2636" t="s">
        <v>6584</v>
      </c>
      <c r="H2636" t="s">
        <v>6585</v>
      </c>
      <c r="I2636" t="s">
        <v>6628</v>
      </c>
      <c r="J2636" t="s">
        <v>3696</v>
      </c>
      <c r="K2636" t="s">
        <v>6629</v>
      </c>
      <c r="L2636" t="s">
        <v>6625</v>
      </c>
      <c r="M2636" s="37">
        <v>1.83</v>
      </c>
      <c r="N2636" s="37">
        <v>0.6</v>
      </c>
      <c r="O2636">
        <v>1.5</v>
      </c>
      <c r="P2636" s="37">
        <v>1.898</v>
      </c>
      <c r="Q2636">
        <v>1.5</v>
      </c>
      <c r="R2636">
        <v>6630</v>
      </c>
      <c r="S2636">
        <v>6630</v>
      </c>
      <c r="T2636">
        <v>6000</v>
      </c>
      <c r="U2636" t="s">
        <v>6232</v>
      </c>
      <c r="X2636">
        <v>1</v>
      </c>
      <c r="Z2636" s="37">
        <v>1</v>
      </c>
      <c r="AA2636" s="37">
        <v>1</v>
      </c>
      <c r="AB2636">
        <v>0</v>
      </c>
    </row>
    <row r="2637">
      <c r="A2637" t="s">
        <v>6626</v>
      </c>
      <c r="B2637" t="s">
        <v>3359</v>
      </c>
      <c r="C2637" t="s">
        <v>3359</v>
      </c>
      <c r="D2637" t="s">
        <v>359</v>
      </c>
      <c r="E2637" t="s">
        <v>6627</v>
      </c>
      <c r="F2637" t="s">
        <v>298</v>
      </c>
      <c r="G2637" t="s">
        <v>6584</v>
      </c>
      <c r="H2637" t="s">
        <v>6599</v>
      </c>
      <c r="I2637" t="s">
        <v>6630</v>
      </c>
      <c r="J2637" t="s">
        <v>342</v>
      </c>
      <c r="K2637" t="s">
        <v>1025</v>
      </c>
      <c r="L2637" t="s">
        <v>6625</v>
      </c>
      <c r="M2637" s="37">
        <v>2</v>
      </c>
      <c r="N2637" s="37">
        <v>0.4</v>
      </c>
      <c r="O2637">
        <v>1.5</v>
      </c>
      <c r="P2637" s="37">
        <v>1.898</v>
      </c>
      <c r="Q2637">
        <v>1.5</v>
      </c>
      <c r="R2637">
        <v>6630</v>
      </c>
      <c r="S2637">
        <v>6630</v>
      </c>
      <c r="T2637">
        <v>6000</v>
      </c>
      <c r="U2637" t="s">
        <v>6232</v>
      </c>
      <c r="X2637">
        <v>1</v>
      </c>
      <c r="Z2637" s="37">
        <v>1</v>
      </c>
      <c r="AA2637" s="37">
        <v>1</v>
      </c>
      <c r="AB2637">
        <v>0</v>
      </c>
    </row>
    <row r="2638">
      <c r="A2638" t="s">
        <v>6631</v>
      </c>
      <c r="B2638" t="s">
        <v>4807</v>
      </c>
      <c r="C2638" t="s">
        <v>4807</v>
      </c>
      <c r="D2638" t="s">
        <v>359</v>
      </c>
      <c r="E2638" t="s">
        <v>6632</v>
      </c>
      <c r="F2638" t="s">
        <v>298</v>
      </c>
      <c r="G2638" t="s">
        <v>6633</v>
      </c>
      <c r="H2638" t="s">
        <v>6634</v>
      </c>
      <c r="I2638" t="s">
        <v>6635</v>
      </c>
      <c r="J2638">
        <v>120</v>
      </c>
      <c r="K2638">
        <v>112</v>
      </c>
      <c r="L2638" t="s">
        <v>6636</v>
      </c>
      <c r="M2638" s="37">
        <v>0.933333</v>
      </c>
      <c r="N2638" s="37">
        <v>0.09</v>
      </c>
      <c r="O2638">
        <v>1.0267</v>
      </c>
      <c r="P2638" s="37">
        <v>0.880912</v>
      </c>
      <c r="Q2638">
        <v>1.19</v>
      </c>
      <c r="R2638">
        <v>3653.62</v>
      </c>
      <c r="S2638">
        <v>3653.62</v>
      </c>
      <c r="T2638">
        <v>5000</v>
      </c>
      <c r="U2638" t="s">
        <v>6232</v>
      </c>
      <c r="X2638">
        <v>1</v>
      </c>
      <c r="Z2638" s="37">
        <v>1</v>
      </c>
      <c r="AA2638" s="37">
        <v>1</v>
      </c>
      <c r="AB2638">
        <v>0</v>
      </c>
    </row>
    <row r="2639">
      <c r="A2639" t="s">
        <v>6631</v>
      </c>
      <c r="B2639" t="s">
        <v>4807</v>
      </c>
      <c r="C2639" t="s">
        <v>4807</v>
      </c>
      <c r="D2639" t="s">
        <v>359</v>
      </c>
      <c r="E2639" t="s">
        <v>6632</v>
      </c>
      <c r="F2639" t="s">
        <v>298</v>
      </c>
      <c r="G2639" t="s">
        <v>6633</v>
      </c>
      <c r="H2639" t="s">
        <v>6637</v>
      </c>
      <c r="I2639" t="s">
        <v>6638</v>
      </c>
      <c r="J2639">
        <v>110</v>
      </c>
      <c r="K2639">
        <v>219</v>
      </c>
      <c r="L2639" t="s">
        <v>6639</v>
      </c>
      <c r="M2639" s="37">
        <v>1.5</v>
      </c>
      <c r="N2639" s="37">
        <v>0.075</v>
      </c>
      <c r="O2639">
        <v>1.5</v>
      </c>
      <c r="P2639" s="37">
        <v>0.880912</v>
      </c>
      <c r="Q2639">
        <v>1.19</v>
      </c>
      <c r="R2639">
        <v>3653.62</v>
      </c>
      <c r="S2639">
        <v>3653.62</v>
      </c>
      <c r="T2639">
        <v>5000</v>
      </c>
      <c r="U2639" t="s">
        <v>6232</v>
      </c>
      <c r="X2639">
        <v>1</v>
      </c>
      <c r="Z2639" s="37">
        <v>1</v>
      </c>
      <c r="AA2639" s="37">
        <v>1</v>
      </c>
      <c r="AB2639">
        <v>0</v>
      </c>
    </row>
    <row r="2640">
      <c r="A2640" t="s">
        <v>6631</v>
      </c>
      <c r="B2640" t="s">
        <v>4807</v>
      </c>
      <c r="C2640" t="s">
        <v>4807</v>
      </c>
      <c r="D2640" t="s">
        <v>359</v>
      </c>
      <c r="E2640" t="s">
        <v>6632</v>
      </c>
      <c r="F2640" t="s">
        <v>298</v>
      </c>
      <c r="G2640" t="s">
        <v>6633</v>
      </c>
      <c r="H2640" t="s">
        <v>6634</v>
      </c>
      <c r="I2640" t="s">
        <v>6640</v>
      </c>
      <c r="J2640">
        <v>5</v>
      </c>
      <c r="K2640">
        <v>11</v>
      </c>
      <c r="L2640" t="s">
        <v>6641</v>
      </c>
      <c r="M2640" s="37">
        <v>1.5</v>
      </c>
      <c r="N2640" s="37">
        <v>0.075</v>
      </c>
      <c r="O2640">
        <v>1.5</v>
      </c>
      <c r="P2640" s="37">
        <v>0.880912</v>
      </c>
      <c r="Q2640">
        <v>1.19</v>
      </c>
      <c r="R2640">
        <v>3653.62</v>
      </c>
      <c r="S2640">
        <v>3653.62</v>
      </c>
      <c r="T2640">
        <v>5000</v>
      </c>
      <c r="U2640" t="s">
        <v>6232</v>
      </c>
      <c r="X2640">
        <v>1</v>
      </c>
      <c r="Z2640" s="37">
        <v>1</v>
      </c>
      <c r="AA2640" s="37">
        <v>1</v>
      </c>
      <c r="AB2640">
        <v>0</v>
      </c>
    </row>
    <row r="2641">
      <c r="A2641" t="s">
        <v>6631</v>
      </c>
      <c r="B2641" t="s">
        <v>4807</v>
      </c>
      <c r="C2641" t="s">
        <v>4807</v>
      </c>
      <c r="D2641" t="s">
        <v>359</v>
      </c>
      <c r="E2641" t="s">
        <v>6632</v>
      </c>
      <c r="F2641" t="s">
        <v>298</v>
      </c>
      <c r="G2641" t="s">
        <v>6633</v>
      </c>
      <c r="H2641" t="s">
        <v>6637</v>
      </c>
      <c r="I2641" t="s">
        <v>6642</v>
      </c>
      <c r="J2641">
        <v>14</v>
      </c>
      <c r="K2641">
        <v>14</v>
      </c>
      <c r="L2641" t="s">
        <v>6643</v>
      </c>
      <c r="M2641" s="37">
        <v>1</v>
      </c>
      <c r="N2641" s="37">
        <v>0.06</v>
      </c>
      <c r="O2641">
        <v>1</v>
      </c>
      <c r="P2641" s="37">
        <v>0.880912</v>
      </c>
      <c r="Q2641">
        <v>1.19</v>
      </c>
      <c r="R2641">
        <v>3653.62</v>
      </c>
      <c r="S2641">
        <v>3653.62</v>
      </c>
      <c r="T2641">
        <v>5000</v>
      </c>
      <c r="U2641" t="s">
        <v>6232</v>
      </c>
      <c r="X2641">
        <v>1</v>
      </c>
      <c r="Z2641" s="37">
        <v>1</v>
      </c>
      <c r="AA2641" s="37">
        <v>1</v>
      </c>
      <c r="AB2641">
        <v>0</v>
      </c>
    </row>
    <row r="2642">
      <c r="A2642" t="s">
        <v>6631</v>
      </c>
      <c r="B2642" t="s">
        <v>4807</v>
      </c>
      <c r="C2642" t="s">
        <v>4807</v>
      </c>
      <c r="D2642" t="s">
        <v>359</v>
      </c>
      <c r="E2642" t="s">
        <v>6632</v>
      </c>
      <c r="F2642" t="s">
        <v>298</v>
      </c>
      <c r="G2642" t="s">
        <v>6633</v>
      </c>
      <c r="H2642" t="s">
        <v>6644</v>
      </c>
      <c r="I2642" t="s">
        <v>6645</v>
      </c>
      <c r="J2642">
        <v>1</v>
      </c>
      <c r="K2642">
        <v>1</v>
      </c>
      <c r="L2642" t="s">
        <v>6646</v>
      </c>
      <c r="M2642" s="37">
        <v>1</v>
      </c>
      <c r="N2642" s="37">
        <v>0.3</v>
      </c>
      <c r="O2642">
        <v>1</v>
      </c>
      <c r="P2642" s="37">
        <v>0.880912</v>
      </c>
      <c r="Q2642">
        <v>1.19</v>
      </c>
      <c r="R2642">
        <v>3653.62</v>
      </c>
      <c r="S2642">
        <v>3653.62</v>
      </c>
      <c r="T2642">
        <v>5000</v>
      </c>
      <c r="U2642" t="s">
        <v>6232</v>
      </c>
      <c r="X2642">
        <v>1</v>
      </c>
      <c r="Z2642" s="37">
        <v>1</v>
      </c>
      <c r="AA2642" s="37">
        <v>1</v>
      </c>
      <c r="AB2642">
        <v>0</v>
      </c>
    </row>
    <row r="2643">
      <c r="A2643" t="s">
        <v>6631</v>
      </c>
      <c r="B2643" t="s">
        <v>4807</v>
      </c>
      <c r="C2643" t="s">
        <v>4807</v>
      </c>
      <c r="D2643" t="s">
        <v>359</v>
      </c>
      <c r="E2643" t="s">
        <v>6632</v>
      </c>
      <c r="F2643" t="s">
        <v>298</v>
      </c>
      <c r="G2643" t="s">
        <v>6633</v>
      </c>
      <c r="H2643" t="s">
        <v>6647</v>
      </c>
      <c r="I2643" t="s">
        <v>6648</v>
      </c>
      <c r="J2643">
        <v>232.2</v>
      </c>
      <c r="K2643">
        <v>123.014853</v>
      </c>
      <c r="L2643" t="s">
        <v>6649</v>
      </c>
      <c r="M2643" s="37">
        <v>0.52978</v>
      </c>
      <c r="N2643" s="37">
        <v>0.4</v>
      </c>
      <c r="O2643">
        <v>0.5298</v>
      </c>
      <c r="P2643" s="37">
        <v>0.880912</v>
      </c>
      <c r="Q2643">
        <v>1.19</v>
      </c>
      <c r="R2643">
        <v>3653.62</v>
      </c>
      <c r="S2643">
        <v>3653.62</v>
      </c>
      <c r="T2643">
        <v>5000</v>
      </c>
      <c r="U2643" t="s">
        <v>6232</v>
      </c>
      <c r="X2643">
        <v>1</v>
      </c>
      <c r="Z2643" s="37">
        <v>1</v>
      </c>
      <c r="AA2643" s="37">
        <v>1</v>
      </c>
      <c r="AB2643">
        <v>0</v>
      </c>
    </row>
    <row r="2644">
      <c r="A2644" t="s">
        <v>6650</v>
      </c>
      <c r="B2644" t="s">
        <v>4807</v>
      </c>
      <c r="C2644" t="s">
        <v>4807</v>
      </c>
      <c r="D2644" t="s">
        <v>6651</v>
      </c>
      <c r="E2644" t="s">
        <v>6652</v>
      </c>
      <c r="F2644" t="s">
        <v>298</v>
      </c>
      <c r="G2644" t="s">
        <v>6653</v>
      </c>
      <c r="H2644" t="s">
        <v>6654</v>
      </c>
      <c r="I2644" t="s">
        <v>6655</v>
      </c>
      <c r="J2644">
        <v>232.2</v>
      </c>
      <c r="K2644">
        <v>0.8</v>
      </c>
      <c r="L2644" t="s">
        <v>6656</v>
      </c>
      <c r="M2644" s="37">
        <v>0.6</v>
      </c>
      <c r="N2644" s="37">
        <v>0.3</v>
      </c>
      <c r="O2644">
        <v>0.8</v>
      </c>
      <c r="P2644" s="37">
        <v>0.88</v>
      </c>
      <c r="Q2644">
        <v>1.29</v>
      </c>
      <c r="R2644">
        <v>2000</v>
      </c>
      <c r="S2644">
        <v>2000</v>
      </c>
      <c r="T2644">
        <v>2000</v>
      </c>
      <c r="U2644" t="s">
        <v>6232</v>
      </c>
      <c r="X2644">
        <v>1</v>
      </c>
      <c r="Z2644" s="37">
        <v>1</v>
      </c>
      <c r="AA2644" s="37">
        <v>1</v>
      </c>
      <c r="AB2644">
        <v>0</v>
      </c>
    </row>
    <row r="2645">
      <c r="A2645" t="s">
        <v>6650</v>
      </c>
      <c r="B2645" t="s">
        <v>4807</v>
      </c>
      <c r="C2645" t="s">
        <v>4807</v>
      </c>
      <c r="D2645" t="s">
        <v>6651</v>
      </c>
      <c r="E2645" t="s">
        <v>6652</v>
      </c>
      <c r="F2645" t="s">
        <v>298</v>
      </c>
      <c r="G2645" t="s">
        <v>6653</v>
      </c>
      <c r="H2645" t="s">
        <v>6657</v>
      </c>
      <c r="I2645" t="s">
        <v>6658</v>
      </c>
      <c r="J2645">
        <v>232.2</v>
      </c>
      <c r="L2645" t="s">
        <v>6659</v>
      </c>
      <c r="M2645" s="37">
        <v>1</v>
      </c>
      <c r="N2645" s="37">
        <v>0.2</v>
      </c>
      <c r="O2645">
        <v>1.5</v>
      </c>
      <c r="P2645" s="37">
        <v>0.88</v>
      </c>
      <c r="Q2645">
        <v>1.29</v>
      </c>
      <c r="R2645">
        <v>2000</v>
      </c>
      <c r="S2645">
        <v>2000</v>
      </c>
      <c r="T2645">
        <v>2000</v>
      </c>
      <c r="U2645" t="s">
        <v>6232</v>
      </c>
      <c r="X2645">
        <v>1</v>
      </c>
      <c r="Z2645" s="37">
        <v>1</v>
      </c>
      <c r="AA2645" s="37">
        <v>1</v>
      </c>
      <c r="AB2645">
        <v>0</v>
      </c>
    </row>
    <row r="2646">
      <c r="A2646" t="s">
        <v>6650</v>
      </c>
      <c r="B2646" t="s">
        <v>4807</v>
      </c>
      <c r="C2646" t="s">
        <v>4807</v>
      </c>
      <c r="D2646" t="s">
        <v>6651</v>
      </c>
      <c r="E2646" t="s">
        <v>6652</v>
      </c>
      <c r="F2646" t="s">
        <v>298</v>
      </c>
      <c r="G2646" t="s">
        <v>6653</v>
      </c>
      <c r="H2646" t="s">
        <v>6660</v>
      </c>
      <c r="I2646" t="s">
        <v>6661</v>
      </c>
      <c r="J2646">
        <v>232.2</v>
      </c>
      <c r="L2646" t="s">
        <v>6662</v>
      </c>
      <c r="M2646" s="37">
        <v>1</v>
      </c>
      <c r="N2646" s="37">
        <v>0.5</v>
      </c>
      <c r="O2646">
        <v>1.5</v>
      </c>
      <c r="P2646" s="37">
        <v>0.88</v>
      </c>
      <c r="Q2646">
        <v>1.29</v>
      </c>
      <c r="R2646">
        <v>2000</v>
      </c>
      <c r="S2646">
        <v>2000</v>
      </c>
      <c r="T2646">
        <v>2000</v>
      </c>
      <c r="U2646" t="s">
        <v>6232</v>
      </c>
      <c r="X2646">
        <v>1</v>
      </c>
      <c r="Z2646" s="37">
        <v>1</v>
      </c>
      <c r="AA2646" s="37">
        <v>1</v>
      </c>
      <c r="AB2646">
        <v>0</v>
      </c>
    </row>
    <row r="2647">
      <c r="A2647" t="s">
        <v>6663</v>
      </c>
      <c r="B2647" t="s">
        <v>3672</v>
      </c>
      <c r="C2647" t="s">
        <v>3672</v>
      </c>
      <c r="D2647" t="s">
        <v>4748</v>
      </c>
      <c r="E2647" t="s">
        <v>6664</v>
      </c>
      <c r="F2647" t="s">
        <v>298</v>
      </c>
      <c r="G2647" t="s">
        <v>6665</v>
      </c>
      <c r="H2647" t="s">
        <v>6666</v>
      </c>
      <c r="I2647" t="s">
        <v>6661</v>
      </c>
      <c r="J2647" t="s">
        <v>5964</v>
      </c>
      <c r="K2647" t="s">
        <v>3227</v>
      </c>
      <c r="L2647" t="s">
        <v>6662</v>
      </c>
      <c r="M2647" s="37">
        <v>1</v>
      </c>
      <c r="N2647" s="37">
        <v>0.2</v>
      </c>
      <c r="O2647">
        <v>20</v>
      </c>
      <c r="P2647" s="37">
        <v>1</v>
      </c>
      <c r="Q2647">
        <v>100</v>
      </c>
      <c r="R2647">
        <v>1000</v>
      </c>
      <c r="S2647">
        <v>1000</v>
      </c>
      <c r="T2647">
        <v>1000</v>
      </c>
      <c r="U2647" t="s">
        <v>6232</v>
      </c>
      <c r="X2647">
        <v>1</v>
      </c>
      <c r="Z2647" s="37">
        <v>1</v>
      </c>
      <c r="AA2647" s="37">
        <v>1</v>
      </c>
      <c r="AB2647">
        <v>0</v>
      </c>
    </row>
    <row r="2648">
      <c r="A2648" t="s">
        <v>6663</v>
      </c>
      <c r="B2648" t="s">
        <v>3672</v>
      </c>
      <c r="C2648" t="s">
        <v>3672</v>
      </c>
      <c r="D2648" t="s">
        <v>4748</v>
      </c>
      <c r="E2648" t="s">
        <v>6664</v>
      </c>
      <c r="F2648" t="s">
        <v>298</v>
      </c>
      <c r="G2648" t="s">
        <v>6665</v>
      </c>
      <c r="H2648" t="s">
        <v>6667</v>
      </c>
      <c r="I2648" t="s">
        <v>6661</v>
      </c>
      <c r="J2648" t="s">
        <v>5964</v>
      </c>
      <c r="K2648" t="s">
        <v>3227</v>
      </c>
      <c r="L2648" t="s">
        <v>6662</v>
      </c>
      <c r="M2648" s="37">
        <v>1</v>
      </c>
      <c r="N2648" s="37">
        <v>0.2</v>
      </c>
      <c r="O2648">
        <v>20</v>
      </c>
      <c r="P2648" s="37">
        <v>1</v>
      </c>
      <c r="Q2648">
        <v>100</v>
      </c>
      <c r="R2648">
        <v>1000</v>
      </c>
      <c r="S2648">
        <v>1000</v>
      </c>
      <c r="T2648">
        <v>1000</v>
      </c>
      <c r="U2648" t="s">
        <v>6232</v>
      </c>
      <c r="X2648">
        <v>1</v>
      </c>
      <c r="Z2648" s="37">
        <v>1</v>
      </c>
      <c r="AA2648" s="37">
        <v>1</v>
      </c>
      <c r="AB2648">
        <v>0</v>
      </c>
    </row>
    <row r="2649">
      <c r="A2649" t="s">
        <v>6663</v>
      </c>
      <c r="B2649" t="s">
        <v>3672</v>
      </c>
      <c r="C2649" t="s">
        <v>3672</v>
      </c>
      <c r="D2649" t="s">
        <v>4748</v>
      </c>
      <c r="E2649" t="s">
        <v>6664</v>
      </c>
      <c r="F2649" t="s">
        <v>298</v>
      </c>
      <c r="G2649" t="s">
        <v>6665</v>
      </c>
      <c r="H2649" t="s">
        <v>6668</v>
      </c>
      <c r="I2649" t="s">
        <v>6661</v>
      </c>
      <c r="J2649" t="s">
        <v>5964</v>
      </c>
      <c r="K2649" t="s">
        <v>3227</v>
      </c>
      <c r="L2649" t="s">
        <v>6662</v>
      </c>
      <c r="M2649" s="37">
        <v>1</v>
      </c>
      <c r="N2649" s="37">
        <v>0.3</v>
      </c>
      <c r="O2649">
        <v>30</v>
      </c>
      <c r="P2649" s="37">
        <v>1</v>
      </c>
      <c r="Q2649">
        <v>100</v>
      </c>
      <c r="R2649">
        <v>1000</v>
      </c>
      <c r="S2649">
        <v>1000</v>
      </c>
      <c r="T2649">
        <v>1000</v>
      </c>
      <c r="U2649" t="s">
        <v>6232</v>
      </c>
      <c r="X2649">
        <v>1</v>
      </c>
      <c r="Z2649" s="37">
        <v>1</v>
      </c>
      <c r="AA2649" s="37">
        <v>1</v>
      </c>
      <c r="AB2649">
        <v>0</v>
      </c>
    </row>
    <row r="2650">
      <c r="A2650" t="s">
        <v>6663</v>
      </c>
      <c r="B2650" t="s">
        <v>3672</v>
      </c>
      <c r="C2650" t="s">
        <v>3672</v>
      </c>
      <c r="D2650" t="s">
        <v>4748</v>
      </c>
      <c r="E2650" t="s">
        <v>6664</v>
      </c>
      <c r="F2650" t="s">
        <v>298</v>
      </c>
      <c r="G2650" t="s">
        <v>6665</v>
      </c>
      <c r="H2650" t="s">
        <v>3520</v>
      </c>
      <c r="I2650" t="s">
        <v>6661</v>
      </c>
      <c r="J2650" t="s">
        <v>5964</v>
      </c>
      <c r="K2650" t="s">
        <v>3227</v>
      </c>
      <c r="L2650" t="s">
        <v>6662</v>
      </c>
      <c r="M2650" s="37">
        <v>1</v>
      </c>
      <c r="N2650" s="37">
        <v>0.3</v>
      </c>
      <c r="O2650">
        <v>30</v>
      </c>
      <c r="P2650" s="37">
        <v>1</v>
      </c>
      <c r="Q2650">
        <v>100</v>
      </c>
      <c r="R2650">
        <v>1000</v>
      </c>
      <c r="S2650">
        <v>1000</v>
      </c>
      <c r="T2650">
        <v>1000</v>
      </c>
      <c r="U2650" t="s">
        <v>6232</v>
      </c>
      <c r="X2650">
        <v>1</v>
      </c>
      <c r="Z2650" s="37">
        <v>1</v>
      </c>
      <c r="AA2650" s="37">
        <v>1</v>
      </c>
      <c r="AB2650">
        <v>0</v>
      </c>
    </row>
    <row r="2651">
      <c r="A2651" t="s">
        <v>6669</v>
      </c>
      <c r="B2651" t="s">
        <v>1565</v>
      </c>
      <c r="C2651" t="s">
        <v>1565</v>
      </c>
      <c r="D2651" t="s">
        <v>1582</v>
      </c>
      <c r="E2651" t="s">
        <v>6670</v>
      </c>
      <c r="F2651" t="s">
        <v>298</v>
      </c>
      <c r="G2651" t="s">
        <v>6671</v>
      </c>
      <c r="H2651" t="s">
        <v>1491</v>
      </c>
      <c r="I2651" t="s">
        <v>6672</v>
      </c>
      <c r="J2651" t="s">
        <v>6673</v>
      </c>
      <c r="K2651" t="s">
        <v>3603</v>
      </c>
      <c r="L2651" t="s">
        <v>6662</v>
      </c>
      <c r="M2651" s="37">
        <v>0.16</v>
      </c>
      <c r="N2651" s="37">
        <v>0.45</v>
      </c>
      <c r="O2651">
        <v>0.127</v>
      </c>
      <c r="P2651" s="37">
        <v>0.372</v>
      </c>
      <c r="Q2651">
        <v>0.36</v>
      </c>
      <c r="R2651">
        <v>3188</v>
      </c>
      <c r="S2651">
        <v>2624.14</v>
      </c>
      <c r="T2651">
        <v>6000</v>
      </c>
      <c r="U2651" t="s">
        <v>6232</v>
      </c>
      <c r="X2651">
        <v>1</v>
      </c>
      <c r="Z2651" s="37">
        <v>1</v>
      </c>
      <c r="AA2651" s="37">
        <v>1</v>
      </c>
      <c r="AB2651">
        <v>0</v>
      </c>
    </row>
    <row r="2652">
      <c r="A2652" t="s">
        <v>6669</v>
      </c>
      <c r="B2652" t="s">
        <v>1565</v>
      </c>
      <c r="C2652" t="s">
        <v>1565</v>
      </c>
      <c r="D2652" t="s">
        <v>1582</v>
      </c>
      <c r="E2652" t="s">
        <v>6670</v>
      </c>
      <c r="F2652" t="s">
        <v>298</v>
      </c>
      <c r="G2652" t="s">
        <v>6671</v>
      </c>
      <c r="H2652" t="s">
        <v>1526</v>
      </c>
      <c r="I2652" t="s">
        <v>6674</v>
      </c>
      <c r="J2652" s="38">
        <v>0.09</v>
      </c>
      <c r="K2652" s="37">
        <v>-0.4856</v>
      </c>
      <c r="L2652" t="s">
        <v>6662</v>
      </c>
      <c r="M2652" s="37">
        <v>0</v>
      </c>
      <c r="N2652" s="37">
        <v>0.15</v>
      </c>
      <c r="O2652">
        <v>0</v>
      </c>
      <c r="P2652" s="37">
        <v>0.372</v>
      </c>
      <c r="Q2652">
        <v>0.36</v>
      </c>
      <c r="R2652">
        <v>3188</v>
      </c>
      <c r="S2652">
        <v>2624.14</v>
      </c>
      <c r="T2652">
        <v>6000</v>
      </c>
      <c r="U2652" t="s">
        <v>6232</v>
      </c>
      <c r="X2652">
        <v>1</v>
      </c>
      <c r="Z2652" s="37">
        <v>1</v>
      </c>
      <c r="AA2652" s="37">
        <v>1</v>
      </c>
      <c r="AB2652">
        <v>0</v>
      </c>
    </row>
    <row r="2653">
      <c r="A2653" t="s">
        <v>6669</v>
      </c>
      <c r="B2653" t="s">
        <v>1565</v>
      </c>
      <c r="C2653" t="s">
        <v>1565</v>
      </c>
      <c r="D2653" t="s">
        <v>1582</v>
      </c>
      <c r="E2653" t="s">
        <v>6670</v>
      </c>
      <c r="F2653" t="s">
        <v>298</v>
      </c>
      <c r="G2653" t="s">
        <v>6671</v>
      </c>
      <c r="H2653" t="s">
        <v>1526</v>
      </c>
      <c r="I2653" t="s">
        <v>6675</v>
      </c>
      <c r="J2653" t="s">
        <v>3311</v>
      </c>
      <c r="K2653" t="s">
        <v>3311</v>
      </c>
      <c r="L2653" t="s">
        <v>6662</v>
      </c>
      <c r="M2653" s="37">
        <v>1.5</v>
      </c>
      <c r="N2653" s="37">
        <v>0.2</v>
      </c>
      <c r="O2653">
        <v>1.5</v>
      </c>
      <c r="P2653" s="37">
        <v>0.372</v>
      </c>
      <c r="Q2653">
        <v>0.36</v>
      </c>
      <c r="R2653">
        <v>3188</v>
      </c>
      <c r="S2653">
        <v>2624.14</v>
      </c>
      <c r="T2653">
        <v>6000</v>
      </c>
      <c r="U2653" t="s">
        <v>6232</v>
      </c>
      <c r="X2653">
        <v>1</v>
      </c>
      <c r="Z2653" s="37">
        <v>1</v>
      </c>
      <c r="AA2653" s="37">
        <v>1</v>
      </c>
      <c r="AB2653">
        <v>0</v>
      </c>
    </row>
    <row r="2654">
      <c r="A2654" t="s">
        <v>6669</v>
      </c>
      <c r="B2654" t="s">
        <v>1565</v>
      </c>
      <c r="C2654" t="s">
        <v>1565</v>
      </c>
      <c r="D2654" t="s">
        <v>1582</v>
      </c>
      <c r="E2654" t="s">
        <v>6670</v>
      </c>
      <c r="F2654" t="s">
        <v>298</v>
      </c>
      <c r="G2654" t="s">
        <v>6671</v>
      </c>
      <c r="H2654" t="s">
        <v>1526</v>
      </c>
      <c r="I2654" t="s">
        <v>2902</v>
      </c>
      <c r="J2654" t="s">
        <v>3643</v>
      </c>
      <c r="K2654" t="s">
        <v>1529</v>
      </c>
      <c r="L2654" t="s">
        <v>6662</v>
      </c>
      <c r="M2654" s="37">
        <v>0</v>
      </c>
      <c r="N2654" s="37">
        <v>0.1</v>
      </c>
      <c r="O2654">
        <v>0</v>
      </c>
      <c r="P2654" s="37">
        <v>0.372</v>
      </c>
      <c r="Q2654">
        <v>0.36</v>
      </c>
      <c r="R2654">
        <v>3188</v>
      </c>
      <c r="S2654">
        <v>2624.14</v>
      </c>
      <c r="T2654">
        <v>6000</v>
      </c>
      <c r="U2654" t="s">
        <v>6232</v>
      </c>
      <c r="X2654">
        <v>1</v>
      </c>
      <c r="Z2654" s="37">
        <v>1</v>
      </c>
      <c r="AA2654" s="37">
        <v>1</v>
      </c>
      <c r="AB2654">
        <v>0</v>
      </c>
    </row>
    <row r="2655">
      <c r="A2655" t="s">
        <v>6669</v>
      </c>
      <c r="B2655" t="s">
        <v>1565</v>
      </c>
      <c r="C2655" t="s">
        <v>1565</v>
      </c>
      <c r="D2655" t="s">
        <v>1582</v>
      </c>
      <c r="E2655" t="s">
        <v>6670</v>
      </c>
      <c r="F2655" t="s">
        <v>298</v>
      </c>
      <c r="G2655" t="s">
        <v>6671</v>
      </c>
      <c r="H2655" t="s">
        <v>1526</v>
      </c>
      <c r="I2655" t="s">
        <v>1599</v>
      </c>
      <c r="J2655" t="s">
        <v>709</v>
      </c>
      <c r="K2655" t="s">
        <v>817</v>
      </c>
      <c r="L2655" t="s">
        <v>6662</v>
      </c>
      <c r="M2655" s="37">
        <v>0</v>
      </c>
      <c r="N2655" s="37">
        <v>0.1</v>
      </c>
      <c r="O2655">
        <v>0</v>
      </c>
      <c r="P2655" s="37">
        <v>0.372</v>
      </c>
      <c r="Q2655">
        <v>0.36</v>
      </c>
      <c r="R2655">
        <v>3188</v>
      </c>
      <c r="S2655">
        <v>2624.14</v>
      </c>
      <c r="T2655">
        <v>6000</v>
      </c>
      <c r="U2655" t="s">
        <v>6232</v>
      </c>
      <c r="X2655">
        <v>1</v>
      </c>
      <c r="Z2655" s="37">
        <v>1</v>
      </c>
      <c r="AA2655" s="37">
        <v>1</v>
      </c>
      <c r="AB2655">
        <v>0</v>
      </c>
    </row>
    <row r="2656">
      <c r="A2656" t="s">
        <v>6676</v>
      </c>
      <c r="B2656" t="s">
        <v>1565</v>
      </c>
      <c r="C2656" t="s">
        <v>1565</v>
      </c>
      <c r="D2656" t="s">
        <v>1582</v>
      </c>
      <c r="E2656" t="s">
        <v>6677</v>
      </c>
      <c r="F2656" t="s">
        <v>298</v>
      </c>
      <c r="G2656" t="s">
        <v>6671</v>
      </c>
      <c r="H2656" t="s">
        <v>1491</v>
      </c>
      <c r="I2656" t="s">
        <v>1491</v>
      </c>
      <c r="J2656" t="s">
        <v>6678</v>
      </c>
      <c r="K2656" t="s">
        <v>6679</v>
      </c>
      <c r="L2656" t="s">
        <v>6662</v>
      </c>
      <c r="M2656" s="37">
        <v>0.74</v>
      </c>
      <c r="N2656" s="37">
        <v>0.45</v>
      </c>
      <c r="O2656">
        <v>0.592</v>
      </c>
      <c r="P2656" s="37">
        <v>0.779</v>
      </c>
      <c r="Q2656">
        <v>0.68</v>
      </c>
      <c r="R2656">
        <v>5188</v>
      </c>
      <c r="S2656">
        <v>2900.34</v>
      </c>
      <c r="T2656">
        <v>6000</v>
      </c>
      <c r="U2656" t="s">
        <v>6232</v>
      </c>
      <c r="X2656">
        <v>1</v>
      </c>
      <c r="Z2656" s="37">
        <v>1</v>
      </c>
      <c r="AA2656" s="37">
        <v>1</v>
      </c>
      <c r="AB2656">
        <v>0</v>
      </c>
    </row>
    <row r="2657">
      <c r="A2657" t="s">
        <v>6676</v>
      </c>
      <c r="B2657" t="s">
        <v>1565</v>
      </c>
      <c r="C2657" t="s">
        <v>1565</v>
      </c>
      <c r="D2657" t="s">
        <v>1582</v>
      </c>
      <c r="E2657" t="s">
        <v>6677</v>
      </c>
      <c r="F2657" t="s">
        <v>298</v>
      </c>
      <c r="G2657" t="s">
        <v>6671</v>
      </c>
      <c r="H2657" t="s">
        <v>4083</v>
      </c>
      <c r="I2657" t="s">
        <v>6680</v>
      </c>
      <c r="J2657" t="s">
        <v>709</v>
      </c>
      <c r="K2657" t="s">
        <v>706</v>
      </c>
      <c r="L2657" t="s">
        <v>6662</v>
      </c>
      <c r="M2657" s="37">
        <v>1.5</v>
      </c>
      <c r="N2657" s="37">
        <v>0.1</v>
      </c>
      <c r="O2657">
        <v>1.5</v>
      </c>
      <c r="P2657" s="37">
        <v>0.779</v>
      </c>
      <c r="Q2657">
        <v>0.68</v>
      </c>
      <c r="R2657">
        <v>5188</v>
      </c>
      <c r="S2657">
        <v>2900.34</v>
      </c>
      <c r="T2657">
        <v>6000</v>
      </c>
      <c r="U2657" t="s">
        <v>6232</v>
      </c>
      <c r="X2657">
        <v>1</v>
      </c>
      <c r="Z2657" s="37">
        <v>1</v>
      </c>
      <c r="AA2657" s="37">
        <v>1</v>
      </c>
      <c r="AB2657">
        <v>0</v>
      </c>
    </row>
    <row r="2658">
      <c r="A2658" t="s">
        <v>6676</v>
      </c>
      <c r="B2658" t="s">
        <v>1565</v>
      </c>
      <c r="C2658" t="s">
        <v>1565</v>
      </c>
      <c r="D2658" t="s">
        <v>1582</v>
      </c>
      <c r="E2658" t="s">
        <v>6677</v>
      </c>
      <c r="F2658" t="s">
        <v>298</v>
      </c>
      <c r="G2658" t="s">
        <v>6671</v>
      </c>
      <c r="H2658" t="s">
        <v>1526</v>
      </c>
      <c r="I2658" t="s">
        <v>2923</v>
      </c>
      <c r="J2658" t="s">
        <v>6681</v>
      </c>
      <c r="K2658" t="s">
        <v>6682</v>
      </c>
      <c r="L2658" t="s">
        <v>6662</v>
      </c>
      <c r="M2658" s="37">
        <v>1.46</v>
      </c>
      <c r="N2658" s="37">
        <v>0.05</v>
      </c>
      <c r="O2658">
        <v>1.459</v>
      </c>
      <c r="P2658" s="37">
        <v>0.779</v>
      </c>
      <c r="Q2658">
        <v>0.68</v>
      </c>
      <c r="R2658">
        <v>5188</v>
      </c>
      <c r="S2658">
        <v>2900.34</v>
      </c>
      <c r="T2658">
        <v>6000</v>
      </c>
      <c r="U2658" t="s">
        <v>6232</v>
      </c>
      <c r="X2658">
        <v>1</v>
      </c>
      <c r="Z2658" s="37">
        <v>1</v>
      </c>
      <c r="AA2658" s="37">
        <v>1</v>
      </c>
      <c r="AB2658">
        <v>0</v>
      </c>
    </row>
    <row r="2659">
      <c r="A2659" t="s">
        <v>6676</v>
      </c>
      <c r="B2659" t="s">
        <v>1565</v>
      </c>
      <c r="C2659" t="s">
        <v>1565</v>
      </c>
      <c r="D2659" t="s">
        <v>1582</v>
      </c>
      <c r="E2659" t="s">
        <v>6677</v>
      </c>
      <c r="F2659" t="s">
        <v>298</v>
      </c>
      <c r="G2659" t="s">
        <v>6671</v>
      </c>
      <c r="H2659" t="s">
        <v>1526</v>
      </c>
      <c r="I2659" t="s">
        <v>1588</v>
      </c>
      <c r="J2659" s="38">
        <v>0.09</v>
      </c>
      <c r="K2659" s="37">
        <v>-0.485</v>
      </c>
      <c r="L2659" t="s">
        <v>6662</v>
      </c>
      <c r="M2659" s="37">
        <v>0</v>
      </c>
      <c r="N2659" s="37">
        <v>0.15</v>
      </c>
      <c r="O2659">
        <v>0</v>
      </c>
      <c r="P2659" s="37">
        <v>0.779</v>
      </c>
      <c r="Q2659">
        <v>0.68</v>
      </c>
      <c r="R2659">
        <v>5188</v>
      </c>
      <c r="S2659">
        <v>2900.34</v>
      </c>
      <c r="T2659">
        <v>6000</v>
      </c>
      <c r="U2659" t="s">
        <v>6232</v>
      </c>
      <c r="X2659">
        <v>1</v>
      </c>
      <c r="Z2659" s="37">
        <v>1</v>
      </c>
      <c r="AA2659" s="37">
        <v>1</v>
      </c>
      <c r="AB2659">
        <v>0</v>
      </c>
    </row>
    <row r="2660">
      <c r="A2660" t="s">
        <v>6676</v>
      </c>
      <c r="B2660" t="s">
        <v>1565</v>
      </c>
      <c r="C2660" t="s">
        <v>1565</v>
      </c>
      <c r="D2660" t="s">
        <v>1582</v>
      </c>
      <c r="E2660" t="s">
        <v>6677</v>
      </c>
      <c r="F2660" t="s">
        <v>298</v>
      </c>
      <c r="G2660" t="s">
        <v>6671</v>
      </c>
      <c r="H2660" t="s">
        <v>1526</v>
      </c>
      <c r="I2660" t="s">
        <v>4069</v>
      </c>
      <c r="J2660" t="s">
        <v>6683</v>
      </c>
      <c r="K2660" t="s">
        <v>6684</v>
      </c>
      <c r="L2660" t="s">
        <v>6662</v>
      </c>
      <c r="M2660" s="37">
        <v>0.74</v>
      </c>
      <c r="N2660" s="37">
        <v>0.2</v>
      </c>
      <c r="O2660">
        <v>0.588</v>
      </c>
      <c r="P2660" s="37">
        <v>0.779</v>
      </c>
      <c r="Q2660">
        <v>0.68</v>
      </c>
      <c r="R2660">
        <v>5188</v>
      </c>
      <c r="S2660">
        <v>2900.34</v>
      </c>
      <c r="T2660">
        <v>6000</v>
      </c>
      <c r="U2660" t="s">
        <v>6232</v>
      </c>
      <c r="X2660">
        <v>1</v>
      </c>
      <c r="Z2660" s="37">
        <v>1</v>
      </c>
      <c r="AA2660" s="37">
        <v>1</v>
      </c>
      <c r="AB2660">
        <v>0</v>
      </c>
    </row>
    <row r="2661">
      <c r="A2661" t="s">
        <v>6676</v>
      </c>
      <c r="B2661" t="s">
        <v>1565</v>
      </c>
      <c r="C2661" t="s">
        <v>1565</v>
      </c>
      <c r="D2661" t="s">
        <v>1582</v>
      </c>
      <c r="E2661" t="s">
        <v>6677</v>
      </c>
      <c r="F2661" t="s">
        <v>298</v>
      </c>
      <c r="G2661" t="s">
        <v>6671</v>
      </c>
      <c r="H2661" t="s">
        <v>1526</v>
      </c>
      <c r="I2661" t="s">
        <v>6685</v>
      </c>
      <c r="J2661" t="s">
        <v>3643</v>
      </c>
      <c r="K2661" t="s">
        <v>6686</v>
      </c>
      <c r="L2661">
        <v>0</v>
      </c>
      <c r="M2661" s="37">
        <v>1.5</v>
      </c>
      <c r="N2661" s="37">
        <v>0.05</v>
      </c>
      <c r="O2661">
        <v>1.5</v>
      </c>
      <c r="P2661" s="37">
        <v>0.779</v>
      </c>
      <c r="Q2661">
        <v>0.68</v>
      </c>
      <c r="R2661">
        <v>5188</v>
      </c>
      <c r="S2661">
        <v>2900.34</v>
      </c>
      <c r="T2661">
        <v>6000</v>
      </c>
      <c r="U2661" t="s">
        <v>6232</v>
      </c>
      <c r="X2661">
        <v>1</v>
      </c>
      <c r="Z2661" s="37">
        <v>1</v>
      </c>
      <c r="AA2661" s="37">
        <v>1</v>
      </c>
      <c r="AB2661">
        <v>0</v>
      </c>
    </row>
    <row r="2662">
      <c r="A2662" t="s">
        <v>6687</v>
      </c>
      <c r="B2662" t="s">
        <v>1565</v>
      </c>
      <c r="C2662" t="s">
        <v>1565</v>
      </c>
      <c r="D2662" t="s">
        <v>359</v>
      </c>
      <c r="E2662" t="s">
        <v>6688</v>
      </c>
      <c r="F2662" t="s">
        <v>298</v>
      </c>
      <c r="G2662" t="s">
        <v>6671</v>
      </c>
      <c r="H2662" t="s">
        <v>1491</v>
      </c>
      <c r="J2662" t="s">
        <v>4081</v>
      </c>
      <c r="K2662" t="s">
        <v>6689</v>
      </c>
      <c r="L2662">
        <v>0</v>
      </c>
      <c r="M2662" s="37">
        <v>0.93</v>
      </c>
      <c r="N2662" s="37">
        <v>0.45</v>
      </c>
      <c r="O2662">
        <v>0.935</v>
      </c>
      <c r="P2662" s="37">
        <v>4.7385</v>
      </c>
      <c r="Q2662">
        <v>0.97</v>
      </c>
      <c r="R2662">
        <v>10296</v>
      </c>
      <c r="S2662">
        <v>8606.31</v>
      </c>
      <c r="T2662">
        <v>5000</v>
      </c>
      <c r="U2662" t="s">
        <v>6232</v>
      </c>
      <c r="X2662">
        <v>1</v>
      </c>
      <c r="Z2662" s="37">
        <v>1</v>
      </c>
      <c r="AA2662" s="37">
        <v>1</v>
      </c>
      <c r="AB2662">
        <v>0</v>
      </c>
    </row>
    <row r="2663">
      <c r="A2663" t="s">
        <v>6687</v>
      </c>
      <c r="B2663" t="s">
        <v>1565</v>
      </c>
      <c r="C2663" t="s">
        <v>1565</v>
      </c>
      <c r="D2663" t="s">
        <v>359</v>
      </c>
      <c r="E2663" t="s">
        <v>6688</v>
      </c>
      <c r="F2663" t="s">
        <v>298</v>
      </c>
      <c r="G2663" t="s">
        <v>6671</v>
      </c>
      <c r="H2663" t="s">
        <v>1526</v>
      </c>
      <c r="I2663" t="s">
        <v>1588</v>
      </c>
      <c r="J2663" s="38">
        <v>0.09</v>
      </c>
      <c r="K2663" s="37">
        <v>-0.4856</v>
      </c>
      <c r="L2663">
        <v>0</v>
      </c>
      <c r="M2663" s="37">
        <v>0</v>
      </c>
      <c r="N2663" s="37">
        <v>0.15</v>
      </c>
      <c r="O2663">
        <v>0</v>
      </c>
      <c r="P2663" s="37">
        <v>4.7385</v>
      </c>
      <c r="Q2663">
        <v>0.97</v>
      </c>
      <c r="R2663">
        <v>10296</v>
      </c>
      <c r="S2663">
        <v>8606.31</v>
      </c>
      <c r="T2663">
        <v>5000</v>
      </c>
      <c r="U2663" t="s">
        <v>6232</v>
      </c>
      <c r="X2663">
        <v>1</v>
      </c>
      <c r="Z2663" s="37">
        <v>1</v>
      </c>
      <c r="AA2663" s="37">
        <v>1</v>
      </c>
      <c r="AB2663">
        <v>0</v>
      </c>
    </row>
    <row r="2664">
      <c r="A2664" t="s">
        <v>6687</v>
      </c>
      <c r="B2664" t="s">
        <v>1565</v>
      </c>
      <c r="C2664" t="s">
        <v>1565</v>
      </c>
      <c r="D2664" t="s">
        <v>359</v>
      </c>
      <c r="E2664" t="s">
        <v>6688</v>
      </c>
      <c r="F2664" t="s">
        <v>298</v>
      </c>
      <c r="G2664" t="s">
        <v>6671</v>
      </c>
      <c r="H2664" t="s">
        <v>1526</v>
      </c>
      <c r="I2664" t="s">
        <v>6690</v>
      </c>
      <c r="J2664" t="s">
        <v>6691</v>
      </c>
      <c r="K2664" t="s">
        <v>1908</v>
      </c>
      <c r="L2664">
        <v>0</v>
      </c>
      <c r="M2664" s="37">
        <v>1.5</v>
      </c>
      <c r="N2664" s="37">
        <v>0.2</v>
      </c>
      <c r="O2664">
        <v>1.5</v>
      </c>
      <c r="P2664" s="37">
        <v>4.7385</v>
      </c>
      <c r="Q2664">
        <v>0.97</v>
      </c>
      <c r="R2664">
        <v>10296</v>
      </c>
      <c r="S2664">
        <v>8606.31</v>
      </c>
      <c r="T2664">
        <v>5000</v>
      </c>
      <c r="U2664" t="s">
        <v>6232</v>
      </c>
      <c r="X2664">
        <v>1</v>
      </c>
      <c r="Z2664" s="37">
        <v>1</v>
      </c>
      <c r="AA2664" s="37">
        <v>1</v>
      </c>
      <c r="AB2664">
        <v>0</v>
      </c>
    </row>
    <row r="2665">
      <c r="A2665" t="s">
        <v>6687</v>
      </c>
      <c r="B2665" t="s">
        <v>1565</v>
      </c>
      <c r="C2665" t="s">
        <v>1565</v>
      </c>
      <c r="D2665" t="s">
        <v>359</v>
      </c>
      <c r="E2665" t="s">
        <v>6688</v>
      </c>
      <c r="F2665" t="s">
        <v>298</v>
      </c>
      <c r="G2665" t="s">
        <v>6671</v>
      </c>
      <c r="H2665" t="s">
        <v>1526</v>
      </c>
      <c r="I2665" t="s">
        <v>2902</v>
      </c>
      <c r="J2665" t="s">
        <v>3643</v>
      </c>
      <c r="K2665" t="s">
        <v>6692</v>
      </c>
      <c r="L2665">
        <v>0</v>
      </c>
      <c r="M2665" s="37">
        <v>75.89</v>
      </c>
      <c r="N2665" s="37">
        <v>0.05</v>
      </c>
      <c r="O2665">
        <v>1.5</v>
      </c>
      <c r="P2665" s="37">
        <v>4.7385</v>
      </c>
      <c r="Q2665">
        <v>0.97</v>
      </c>
      <c r="R2665">
        <v>10296</v>
      </c>
      <c r="S2665">
        <v>8606.31</v>
      </c>
      <c r="T2665">
        <v>5000</v>
      </c>
      <c r="U2665" t="s">
        <v>6232</v>
      </c>
      <c r="X2665">
        <v>1</v>
      </c>
      <c r="Z2665" s="37">
        <v>1</v>
      </c>
      <c r="AA2665" s="37">
        <v>1</v>
      </c>
      <c r="AB2665">
        <v>0</v>
      </c>
    </row>
    <row r="2666">
      <c r="A2666" t="s">
        <v>6687</v>
      </c>
      <c r="B2666" t="s">
        <v>1565</v>
      </c>
      <c r="C2666" t="s">
        <v>1565</v>
      </c>
      <c r="D2666" t="s">
        <v>359</v>
      </c>
      <c r="E2666" t="s">
        <v>6688</v>
      </c>
      <c r="F2666" t="s">
        <v>298</v>
      </c>
      <c r="G2666" t="s">
        <v>6671</v>
      </c>
      <c r="H2666" t="s">
        <v>1526</v>
      </c>
      <c r="I2666" t="s">
        <v>1547</v>
      </c>
      <c r="J2666" t="s">
        <v>6681</v>
      </c>
      <c r="K2666" t="s">
        <v>6693</v>
      </c>
      <c r="L2666">
        <v>0</v>
      </c>
      <c r="M2666" s="37">
        <v>0.51</v>
      </c>
      <c r="N2666" s="37">
        <v>0.05</v>
      </c>
      <c r="O2666">
        <v>0.412</v>
      </c>
      <c r="P2666" s="37">
        <v>4.7385</v>
      </c>
      <c r="Q2666">
        <v>0.97</v>
      </c>
      <c r="R2666">
        <v>10296</v>
      </c>
      <c r="S2666">
        <v>8606.31</v>
      </c>
      <c r="T2666">
        <v>5000</v>
      </c>
      <c r="U2666" t="s">
        <v>6232</v>
      </c>
      <c r="X2666">
        <v>1</v>
      </c>
      <c r="Z2666" s="37">
        <v>1</v>
      </c>
      <c r="AA2666" s="37">
        <v>1</v>
      </c>
      <c r="AB2666">
        <v>0</v>
      </c>
    </row>
    <row r="2667">
      <c r="A2667" t="s">
        <v>6687</v>
      </c>
      <c r="B2667" t="s">
        <v>1565</v>
      </c>
      <c r="C2667" t="s">
        <v>1565</v>
      </c>
      <c r="D2667" t="s">
        <v>359</v>
      </c>
      <c r="E2667" t="s">
        <v>6688</v>
      </c>
      <c r="F2667" t="s">
        <v>298</v>
      </c>
      <c r="G2667" t="s">
        <v>6671</v>
      </c>
      <c r="H2667" t="s">
        <v>4083</v>
      </c>
      <c r="I2667" t="s">
        <v>6694</v>
      </c>
      <c r="J2667" t="s">
        <v>709</v>
      </c>
      <c r="K2667" t="s">
        <v>1418</v>
      </c>
      <c r="L2667">
        <v>0</v>
      </c>
      <c r="M2667" s="37">
        <v>2</v>
      </c>
      <c r="N2667" s="37">
        <v>0.1</v>
      </c>
      <c r="O2667">
        <v>1.5</v>
      </c>
      <c r="P2667" s="37">
        <v>4.7385</v>
      </c>
      <c r="Q2667">
        <v>0.97</v>
      </c>
      <c r="R2667">
        <v>10296</v>
      </c>
      <c r="S2667">
        <v>8606.31</v>
      </c>
      <c r="T2667">
        <v>5000</v>
      </c>
      <c r="U2667" t="s">
        <v>6232</v>
      </c>
      <c r="X2667">
        <v>1</v>
      </c>
      <c r="Z2667" s="37">
        <v>1</v>
      </c>
      <c r="AA2667" s="37">
        <v>1</v>
      </c>
      <c r="AB2667">
        <v>0</v>
      </c>
    </row>
    <row r="2668">
      <c r="A2668" t="s">
        <v>6695</v>
      </c>
      <c r="B2668" t="s">
        <v>1565</v>
      </c>
      <c r="C2668" t="s">
        <v>1565</v>
      </c>
      <c r="D2668" t="s">
        <v>359</v>
      </c>
      <c r="E2668" t="s">
        <v>6696</v>
      </c>
      <c r="F2668" t="s">
        <v>298</v>
      </c>
      <c r="G2668" t="s">
        <v>6671</v>
      </c>
      <c r="H2668" t="s">
        <v>1491</v>
      </c>
      <c r="J2668" t="s">
        <v>4225</v>
      </c>
      <c r="K2668" t="s">
        <v>6697</v>
      </c>
      <c r="L2668">
        <v>0</v>
      </c>
      <c r="M2668" s="37">
        <v>0.458824</v>
      </c>
      <c r="N2668" s="37">
        <v>0.45</v>
      </c>
      <c r="O2668">
        <v>0.3671</v>
      </c>
      <c r="P2668" s="37">
        <v>1.342471</v>
      </c>
      <c r="Q2668">
        <v>0.53</v>
      </c>
      <c r="R2668">
        <v>0</v>
      </c>
      <c r="S2668">
        <v>102.25</v>
      </c>
      <c r="T2668">
        <v>5000</v>
      </c>
      <c r="U2668" t="s">
        <v>6232</v>
      </c>
      <c r="X2668">
        <v>1</v>
      </c>
      <c r="Z2668" s="37">
        <v>1</v>
      </c>
      <c r="AA2668" s="37">
        <v>1</v>
      </c>
      <c r="AB2668">
        <v>0</v>
      </c>
    </row>
    <row r="2669">
      <c r="A2669" t="s">
        <v>6695</v>
      </c>
      <c r="B2669" t="s">
        <v>1565</v>
      </c>
      <c r="C2669" t="s">
        <v>1565</v>
      </c>
      <c r="D2669" t="s">
        <v>359</v>
      </c>
      <c r="E2669" t="s">
        <v>6696</v>
      </c>
      <c r="F2669" t="s">
        <v>298</v>
      </c>
      <c r="G2669" t="s">
        <v>6671</v>
      </c>
      <c r="H2669" t="s">
        <v>1526</v>
      </c>
      <c r="I2669" t="s">
        <v>1588</v>
      </c>
      <c r="J2669" s="38">
        <v>0.09</v>
      </c>
      <c r="K2669" s="38">
        <v>0</v>
      </c>
      <c r="L2669">
        <v>0</v>
      </c>
      <c r="M2669" s="37">
        <v>0</v>
      </c>
      <c r="N2669" s="37">
        <v>0.15</v>
      </c>
      <c r="O2669">
        <v>0</v>
      </c>
      <c r="P2669" s="37">
        <v>1.342471</v>
      </c>
      <c r="Q2669">
        <v>0.53</v>
      </c>
      <c r="R2669">
        <v>0</v>
      </c>
      <c r="S2669">
        <v>102.25</v>
      </c>
      <c r="T2669">
        <v>5000</v>
      </c>
      <c r="U2669" t="s">
        <v>6232</v>
      </c>
      <c r="X2669">
        <v>1</v>
      </c>
      <c r="Z2669" s="37">
        <v>1</v>
      </c>
      <c r="AA2669" s="37">
        <v>1</v>
      </c>
      <c r="AB2669">
        <v>0</v>
      </c>
    </row>
    <row r="2670">
      <c r="A2670" t="s">
        <v>6695</v>
      </c>
      <c r="B2670" t="s">
        <v>1565</v>
      </c>
      <c r="C2670" t="s">
        <v>1565</v>
      </c>
      <c r="D2670" t="s">
        <v>359</v>
      </c>
      <c r="E2670" t="s">
        <v>6696</v>
      </c>
      <c r="F2670" t="s">
        <v>298</v>
      </c>
      <c r="G2670" t="s">
        <v>6671</v>
      </c>
      <c r="H2670" t="s">
        <v>1526</v>
      </c>
      <c r="I2670" t="s">
        <v>6690</v>
      </c>
      <c r="J2670" t="s">
        <v>6698</v>
      </c>
      <c r="K2670" t="s">
        <v>6699</v>
      </c>
      <c r="L2670">
        <v>0</v>
      </c>
      <c r="M2670" s="37">
        <v>0.42</v>
      </c>
      <c r="N2670" s="37">
        <v>0.2</v>
      </c>
      <c r="O2670">
        <v>0.3385</v>
      </c>
      <c r="P2670" s="37">
        <v>1.342471</v>
      </c>
      <c r="Q2670">
        <v>0.53</v>
      </c>
      <c r="R2670">
        <v>0</v>
      </c>
      <c r="S2670">
        <v>102.25</v>
      </c>
      <c r="T2670">
        <v>5000</v>
      </c>
      <c r="U2670" t="s">
        <v>6232</v>
      </c>
      <c r="X2670">
        <v>1</v>
      </c>
      <c r="Z2670" s="37">
        <v>1</v>
      </c>
      <c r="AA2670" s="37">
        <v>1</v>
      </c>
      <c r="AB2670">
        <v>0</v>
      </c>
    </row>
    <row r="2671">
      <c r="A2671" t="s">
        <v>6695</v>
      </c>
      <c r="B2671" t="s">
        <v>1565</v>
      </c>
      <c r="C2671" t="s">
        <v>1565</v>
      </c>
      <c r="D2671" t="s">
        <v>359</v>
      </c>
      <c r="E2671" t="s">
        <v>6696</v>
      </c>
      <c r="F2671" t="s">
        <v>298</v>
      </c>
      <c r="G2671" t="s">
        <v>6671</v>
      </c>
      <c r="H2671" t="s">
        <v>1526</v>
      </c>
      <c r="I2671" t="s">
        <v>2910</v>
      </c>
      <c r="J2671" t="s">
        <v>3643</v>
      </c>
      <c r="K2671" t="s">
        <v>5600</v>
      </c>
      <c r="L2671">
        <v>0</v>
      </c>
      <c r="M2671" s="37">
        <v>9.02</v>
      </c>
      <c r="N2671" s="37">
        <v>0.1</v>
      </c>
      <c r="O2671">
        <v>1.5</v>
      </c>
      <c r="P2671" s="37">
        <v>1.342471</v>
      </c>
      <c r="Q2671">
        <v>0.53</v>
      </c>
      <c r="R2671">
        <v>0</v>
      </c>
      <c r="S2671">
        <v>102.25</v>
      </c>
      <c r="T2671">
        <v>5000</v>
      </c>
      <c r="U2671" t="s">
        <v>6232</v>
      </c>
      <c r="X2671">
        <v>1</v>
      </c>
      <c r="Z2671" s="37">
        <v>1</v>
      </c>
      <c r="AA2671" s="37">
        <v>1</v>
      </c>
      <c r="AB2671">
        <v>0</v>
      </c>
    </row>
    <row r="2672">
      <c r="A2672" t="s">
        <v>6695</v>
      </c>
      <c r="B2672" t="s">
        <v>1565</v>
      </c>
      <c r="C2672" t="s">
        <v>1565</v>
      </c>
      <c r="D2672" t="s">
        <v>359</v>
      </c>
      <c r="E2672" t="s">
        <v>6696</v>
      </c>
      <c r="F2672" t="s">
        <v>298</v>
      </c>
      <c r="G2672" t="s">
        <v>6671</v>
      </c>
      <c r="H2672" t="s">
        <v>4083</v>
      </c>
      <c r="J2672" t="s">
        <v>709</v>
      </c>
      <c r="K2672" t="s">
        <v>706</v>
      </c>
      <c r="L2672">
        <v>0</v>
      </c>
      <c r="M2672" s="37">
        <v>1.5</v>
      </c>
      <c r="N2672" s="37">
        <v>0.1</v>
      </c>
      <c r="O2672">
        <v>1.5</v>
      </c>
      <c r="P2672" s="37">
        <v>1.342471</v>
      </c>
      <c r="Q2672">
        <v>0.53</v>
      </c>
      <c r="R2672">
        <v>0</v>
      </c>
      <c r="S2672">
        <v>102.25</v>
      </c>
      <c r="T2672">
        <v>5000</v>
      </c>
      <c r="U2672" t="s">
        <v>6232</v>
      </c>
      <c r="X2672">
        <v>1</v>
      </c>
      <c r="Z2672" s="37">
        <v>1</v>
      </c>
      <c r="AA2672" s="37">
        <v>1</v>
      </c>
      <c r="AB2672">
        <v>0</v>
      </c>
    </row>
    <row r="2673">
      <c r="A2673" t="s">
        <v>6700</v>
      </c>
      <c r="B2673" t="s">
        <v>1517</v>
      </c>
      <c r="C2673" t="s">
        <v>1517</v>
      </c>
      <c r="D2673" t="s">
        <v>1582</v>
      </c>
      <c r="E2673" t="s">
        <v>6701</v>
      </c>
      <c r="F2673" t="s">
        <v>298</v>
      </c>
      <c r="G2673" t="s">
        <v>6671</v>
      </c>
      <c r="H2673" t="s">
        <v>1491</v>
      </c>
      <c r="I2673" t="s">
        <v>6702</v>
      </c>
      <c r="J2673" t="s">
        <v>4566</v>
      </c>
      <c r="K2673" t="s">
        <v>6703</v>
      </c>
      <c r="L2673">
        <v>0</v>
      </c>
      <c r="M2673" s="37">
        <v>0.45</v>
      </c>
      <c r="N2673" s="37">
        <v>0.45</v>
      </c>
      <c r="O2673">
        <v>0.389</v>
      </c>
      <c r="P2673" s="37">
        <v>0.3925</v>
      </c>
      <c r="Q2673">
        <v>0.4</v>
      </c>
      <c r="R2673">
        <v>4481.44</v>
      </c>
      <c r="S2673">
        <v>4481.44</v>
      </c>
      <c r="T2673">
        <v>6000</v>
      </c>
      <c r="U2673" t="s">
        <v>6232</v>
      </c>
      <c r="X2673">
        <v>1</v>
      </c>
      <c r="Z2673" s="37">
        <v>1</v>
      </c>
      <c r="AA2673" s="37">
        <v>1</v>
      </c>
      <c r="AB2673">
        <v>0</v>
      </c>
    </row>
    <row r="2674">
      <c r="A2674" t="s">
        <v>6700</v>
      </c>
      <c r="B2674" t="s">
        <v>1517</v>
      </c>
      <c r="C2674" t="s">
        <v>1517</v>
      </c>
      <c r="D2674" t="s">
        <v>1582</v>
      </c>
      <c r="E2674" t="s">
        <v>6701</v>
      </c>
      <c r="F2674" t="s">
        <v>298</v>
      </c>
      <c r="G2674" t="s">
        <v>6671</v>
      </c>
      <c r="H2674" t="s">
        <v>1526</v>
      </c>
      <c r="I2674" t="s">
        <v>6674</v>
      </c>
      <c r="J2674" s="37">
        <v>0.007</v>
      </c>
      <c r="K2674" s="37">
        <v>-0.1096</v>
      </c>
      <c r="L2674">
        <v>0</v>
      </c>
      <c r="M2674" s="37">
        <v>0</v>
      </c>
      <c r="N2674" s="37">
        <v>0.15</v>
      </c>
      <c r="O2674">
        <v>0</v>
      </c>
      <c r="P2674" s="37">
        <v>0.3925</v>
      </c>
      <c r="Q2674">
        <v>0.4</v>
      </c>
      <c r="R2674">
        <v>4481.44</v>
      </c>
      <c r="S2674">
        <v>4481.44</v>
      </c>
      <c r="T2674">
        <v>6000</v>
      </c>
      <c r="U2674" t="s">
        <v>6232</v>
      </c>
      <c r="X2674">
        <v>1</v>
      </c>
      <c r="Z2674" s="37">
        <v>1</v>
      </c>
      <c r="AA2674" s="37">
        <v>1</v>
      </c>
      <c r="AB2674">
        <v>0</v>
      </c>
    </row>
    <row r="2675">
      <c r="A2675" t="s">
        <v>6700</v>
      </c>
      <c r="B2675" t="s">
        <v>1517</v>
      </c>
      <c r="C2675" t="s">
        <v>1517</v>
      </c>
      <c r="D2675" t="s">
        <v>1582</v>
      </c>
      <c r="E2675" t="s">
        <v>6701</v>
      </c>
      <c r="F2675" t="s">
        <v>298</v>
      </c>
      <c r="G2675" t="s">
        <v>6671</v>
      </c>
      <c r="H2675" t="s">
        <v>1526</v>
      </c>
      <c r="I2675" t="s">
        <v>6704</v>
      </c>
      <c r="J2675" t="s">
        <v>6705</v>
      </c>
      <c r="K2675" t="s">
        <v>6706</v>
      </c>
      <c r="L2675">
        <v>0</v>
      </c>
      <c r="M2675" s="37">
        <v>0.2</v>
      </c>
      <c r="N2675" s="37">
        <v>0.2</v>
      </c>
      <c r="O2675">
        <v>0.357</v>
      </c>
      <c r="P2675" s="37">
        <v>0.3925</v>
      </c>
      <c r="Q2675">
        <v>0.4</v>
      </c>
      <c r="R2675">
        <v>4481.44</v>
      </c>
      <c r="S2675">
        <v>4481.44</v>
      </c>
      <c r="T2675">
        <v>6000</v>
      </c>
      <c r="U2675" t="s">
        <v>6232</v>
      </c>
      <c r="X2675">
        <v>1</v>
      </c>
      <c r="Z2675" s="37">
        <v>1</v>
      </c>
      <c r="AA2675" s="37">
        <v>1</v>
      </c>
      <c r="AB2675">
        <v>0</v>
      </c>
    </row>
    <row r="2676">
      <c r="A2676" t="s">
        <v>6700</v>
      </c>
      <c r="B2676" t="s">
        <v>1517</v>
      </c>
      <c r="C2676" t="s">
        <v>1517</v>
      </c>
      <c r="D2676" t="s">
        <v>1582</v>
      </c>
      <c r="E2676" t="s">
        <v>6701</v>
      </c>
      <c r="F2676" t="s">
        <v>298</v>
      </c>
      <c r="G2676" t="s">
        <v>6671</v>
      </c>
      <c r="H2676" t="s">
        <v>1526</v>
      </c>
      <c r="I2676" t="s">
        <v>1844</v>
      </c>
      <c r="J2676" t="s">
        <v>4071</v>
      </c>
      <c r="K2676" t="s">
        <v>1204</v>
      </c>
      <c r="L2676">
        <v>0</v>
      </c>
      <c r="M2676" s="37">
        <v>0</v>
      </c>
      <c r="N2676" s="37">
        <v>0.1</v>
      </c>
      <c r="O2676">
        <v>0</v>
      </c>
      <c r="P2676" s="37">
        <v>0.3925</v>
      </c>
      <c r="Q2676">
        <v>0.4</v>
      </c>
      <c r="R2676">
        <v>4481.44</v>
      </c>
      <c r="S2676">
        <v>4481.44</v>
      </c>
      <c r="T2676">
        <v>6000</v>
      </c>
      <c r="U2676" t="s">
        <v>6232</v>
      </c>
      <c r="X2676">
        <v>1</v>
      </c>
      <c r="Z2676" s="37">
        <v>1</v>
      </c>
      <c r="AA2676" s="37">
        <v>1</v>
      </c>
      <c r="AB2676">
        <v>0</v>
      </c>
    </row>
    <row r="2677">
      <c r="A2677" t="s">
        <v>6700</v>
      </c>
      <c r="B2677" t="s">
        <v>1517</v>
      </c>
      <c r="C2677" t="s">
        <v>1517</v>
      </c>
      <c r="D2677" t="s">
        <v>1582</v>
      </c>
      <c r="E2677" t="s">
        <v>6701</v>
      </c>
      <c r="F2677" t="s">
        <v>298</v>
      </c>
      <c r="G2677" t="s">
        <v>6671</v>
      </c>
      <c r="H2677" t="s">
        <v>1526</v>
      </c>
      <c r="I2677" t="s">
        <v>6707</v>
      </c>
      <c r="J2677" t="s">
        <v>709</v>
      </c>
      <c r="K2677" t="s">
        <v>706</v>
      </c>
      <c r="L2677">
        <v>0</v>
      </c>
      <c r="M2677" s="37">
        <v>1.5</v>
      </c>
      <c r="N2677" s="37">
        <v>0.1</v>
      </c>
      <c r="O2677">
        <v>1.5</v>
      </c>
      <c r="P2677" s="37">
        <v>0.3925</v>
      </c>
      <c r="Q2677">
        <v>0.4</v>
      </c>
      <c r="R2677">
        <v>4481.44</v>
      </c>
      <c r="S2677">
        <v>4481.44</v>
      </c>
      <c r="T2677">
        <v>6000</v>
      </c>
      <c r="U2677" t="s">
        <v>6232</v>
      </c>
      <c r="X2677">
        <v>1</v>
      </c>
      <c r="Z2677" s="37">
        <v>1</v>
      </c>
      <c r="AA2677" s="37">
        <v>1</v>
      </c>
      <c r="AB2677">
        <v>0</v>
      </c>
    </row>
    <row r="2678">
      <c r="A2678" t="s">
        <v>6708</v>
      </c>
      <c r="B2678" t="s">
        <v>1517</v>
      </c>
      <c r="C2678" t="s">
        <v>1517</v>
      </c>
      <c r="D2678" t="s">
        <v>359</v>
      </c>
      <c r="E2678" t="s">
        <v>6709</v>
      </c>
      <c r="F2678" t="s">
        <v>298</v>
      </c>
      <c r="G2678" t="s">
        <v>6671</v>
      </c>
      <c r="H2678" t="s">
        <v>1491</v>
      </c>
      <c r="J2678" t="s">
        <v>6710</v>
      </c>
      <c r="K2678" t="s">
        <v>1910</v>
      </c>
      <c r="L2678">
        <v>0</v>
      </c>
      <c r="M2678" s="37">
        <v>0.36</v>
      </c>
      <c r="N2678" s="37">
        <v>0.45</v>
      </c>
      <c r="O2678">
        <v>0.2852</v>
      </c>
      <c r="P2678" s="37">
        <v>0.376</v>
      </c>
      <c r="Q2678">
        <v>0.29</v>
      </c>
      <c r="R2678">
        <v>4026.65</v>
      </c>
      <c r="S2678">
        <v>4026.65</v>
      </c>
      <c r="T2678">
        <v>5000</v>
      </c>
      <c r="U2678" t="s">
        <v>6232</v>
      </c>
      <c r="X2678">
        <v>1</v>
      </c>
      <c r="Z2678" s="37">
        <v>1</v>
      </c>
      <c r="AA2678" s="37">
        <v>1</v>
      </c>
      <c r="AB2678">
        <v>0</v>
      </c>
    </row>
    <row r="2679">
      <c r="A2679" t="s">
        <v>6708</v>
      </c>
      <c r="B2679" t="s">
        <v>1517</v>
      </c>
      <c r="C2679" t="s">
        <v>1517</v>
      </c>
      <c r="D2679" t="s">
        <v>359</v>
      </c>
      <c r="E2679" t="s">
        <v>6709</v>
      </c>
      <c r="F2679" t="s">
        <v>298</v>
      </c>
      <c r="G2679" t="s">
        <v>6671</v>
      </c>
      <c r="H2679" t="s">
        <v>1526</v>
      </c>
      <c r="I2679" t="s">
        <v>6674</v>
      </c>
      <c r="J2679" s="37">
        <v>0.007</v>
      </c>
      <c r="K2679" s="37">
        <v>-0.1096</v>
      </c>
      <c r="L2679">
        <v>0</v>
      </c>
      <c r="M2679" s="37">
        <v>0</v>
      </c>
      <c r="N2679" s="37">
        <v>0.15</v>
      </c>
      <c r="O2679">
        <v>0</v>
      </c>
      <c r="P2679" s="37">
        <v>0.376</v>
      </c>
      <c r="Q2679">
        <v>0.29</v>
      </c>
      <c r="R2679">
        <v>4026.65</v>
      </c>
      <c r="S2679">
        <v>4026.65</v>
      </c>
      <c r="T2679">
        <v>5000</v>
      </c>
      <c r="U2679" t="s">
        <v>6232</v>
      </c>
      <c r="X2679">
        <v>1</v>
      </c>
      <c r="Z2679" s="37">
        <v>1</v>
      </c>
      <c r="AA2679" s="37">
        <v>1</v>
      </c>
      <c r="AB2679">
        <v>0</v>
      </c>
    </row>
    <row r="2680">
      <c r="A2680" t="s">
        <v>6708</v>
      </c>
      <c r="B2680" t="s">
        <v>1517</v>
      </c>
      <c r="C2680" t="s">
        <v>1517</v>
      </c>
      <c r="D2680" t="s">
        <v>359</v>
      </c>
      <c r="E2680" t="s">
        <v>6709</v>
      </c>
      <c r="F2680" t="s">
        <v>298</v>
      </c>
      <c r="G2680" t="s">
        <v>6671</v>
      </c>
      <c r="H2680" t="s">
        <v>1526</v>
      </c>
      <c r="I2680" t="s">
        <v>6675</v>
      </c>
      <c r="J2680" t="s">
        <v>6711</v>
      </c>
      <c r="K2680" t="s">
        <v>6712</v>
      </c>
      <c r="L2680">
        <v>0</v>
      </c>
      <c r="M2680" s="37">
        <v>0.07</v>
      </c>
      <c r="N2680" s="37">
        <v>0.2</v>
      </c>
      <c r="O2680">
        <v>0.053</v>
      </c>
      <c r="P2680" s="37">
        <v>0.376</v>
      </c>
      <c r="Q2680">
        <v>0.29</v>
      </c>
      <c r="R2680">
        <v>4026.65</v>
      </c>
      <c r="S2680">
        <v>4026.65</v>
      </c>
      <c r="T2680">
        <v>5000</v>
      </c>
      <c r="U2680" t="s">
        <v>6232</v>
      </c>
      <c r="X2680">
        <v>1</v>
      </c>
      <c r="Z2680" s="37">
        <v>1</v>
      </c>
      <c r="AA2680" s="37">
        <v>1</v>
      </c>
      <c r="AB2680">
        <v>0</v>
      </c>
    </row>
    <row r="2681">
      <c r="A2681" t="s">
        <v>6708</v>
      </c>
      <c r="B2681" t="s">
        <v>1517</v>
      </c>
      <c r="C2681" t="s">
        <v>1517</v>
      </c>
      <c r="D2681" t="s">
        <v>359</v>
      </c>
      <c r="E2681" t="s">
        <v>6709</v>
      </c>
      <c r="F2681" t="s">
        <v>298</v>
      </c>
      <c r="G2681" t="s">
        <v>6671</v>
      </c>
      <c r="H2681" t="s">
        <v>4083</v>
      </c>
      <c r="J2681" t="s">
        <v>709</v>
      </c>
      <c r="K2681" t="s">
        <v>1418</v>
      </c>
      <c r="L2681">
        <v>0</v>
      </c>
      <c r="M2681" s="37">
        <v>2</v>
      </c>
      <c r="N2681" s="37">
        <v>0.1</v>
      </c>
      <c r="O2681">
        <v>1.5</v>
      </c>
      <c r="P2681" s="37">
        <v>0.376</v>
      </c>
      <c r="Q2681">
        <v>0.29</v>
      </c>
      <c r="R2681">
        <v>4026.65</v>
      </c>
      <c r="S2681">
        <v>4026.65</v>
      </c>
      <c r="T2681">
        <v>5000</v>
      </c>
      <c r="U2681" t="s">
        <v>6232</v>
      </c>
      <c r="X2681">
        <v>1</v>
      </c>
      <c r="Z2681" s="37">
        <v>1</v>
      </c>
      <c r="AA2681" s="37">
        <v>1</v>
      </c>
      <c r="AB2681">
        <v>0</v>
      </c>
    </row>
    <row r="2682">
      <c r="A2682" t="s">
        <v>6708</v>
      </c>
      <c r="B2682" t="s">
        <v>1517</v>
      </c>
      <c r="C2682" t="s">
        <v>1517</v>
      </c>
      <c r="D2682" t="s">
        <v>359</v>
      </c>
      <c r="E2682" t="s">
        <v>6709</v>
      </c>
      <c r="F2682" t="s">
        <v>298</v>
      </c>
      <c r="G2682" t="s">
        <v>6671</v>
      </c>
      <c r="H2682" t="s">
        <v>1526</v>
      </c>
      <c r="I2682" t="s">
        <v>1547</v>
      </c>
      <c r="J2682" t="s">
        <v>4071</v>
      </c>
      <c r="K2682" t="s">
        <v>1204</v>
      </c>
      <c r="L2682">
        <v>0</v>
      </c>
      <c r="M2682" s="37">
        <v>0</v>
      </c>
      <c r="N2682" s="37">
        <v>0.1</v>
      </c>
      <c r="O2682">
        <v>0</v>
      </c>
      <c r="P2682" s="37">
        <v>0.376</v>
      </c>
      <c r="Q2682">
        <v>0.29</v>
      </c>
      <c r="R2682">
        <v>4026.65</v>
      </c>
      <c r="S2682">
        <v>4026.65</v>
      </c>
      <c r="T2682">
        <v>5000</v>
      </c>
      <c r="U2682" t="s">
        <v>6232</v>
      </c>
      <c r="X2682">
        <v>1</v>
      </c>
      <c r="Z2682" s="37">
        <v>1</v>
      </c>
      <c r="AA2682" s="37">
        <v>1</v>
      </c>
      <c r="AB2682">
        <v>0</v>
      </c>
    </row>
    <row r="2683">
      <c r="A2683" t="s">
        <v>6713</v>
      </c>
      <c r="B2683" t="s">
        <v>4807</v>
      </c>
      <c r="C2683" t="s">
        <v>4807</v>
      </c>
      <c r="D2683" t="s">
        <v>841</v>
      </c>
      <c r="E2683" t="s">
        <v>6714</v>
      </c>
      <c r="F2683" t="s">
        <v>298</v>
      </c>
      <c r="G2683" t="s">
        <v>6633</v>
      </c>
      <c r="H2683" t="s">
        <v>6715</v>
      </c>
      <c r="I2683" t="s">
        <v>6716</v>
      </c>
      <c r="J2683">
        <v>186</v>
      </c>
      <c r="K2683">
        <v>146</v>
      </c>
      <c r="L2683" t="s">
        <v>6717</v>
      </c>
      <c r="M2683" s="37">
        <v>0.784946</v>
      </c>
      <c r="N2683" s="37">
        <v>0.09</v>
      </c>
      <c r="O2683">
        <v>0.8242</v>
      </c>
      <c r="P2683" s="37">
        <v>0.916098</v>
      </c>
      <c r="Q2683">
        <v>1.21</v>
      </c>
      <c r="R2683">
        <v>5952.89</v>
      </c>
      <c r="S2683">
        <v>5952.89</v>
      </c>
      <c r="T2683">
        <v>5000</v>
      </c>
      <c r="U2683" t="s">
        <v>6232</v>
      </c>
      <c r="X2683">
        <v>1</v>
      </c>
      <c r="Z2683" s="37">
        <v>1</v>
      </c>
      <c r="AA2683" s="37">
        <v>1</v>
      </c>
      <c r="AB2683">
        <v>0</v>
      </c>
    </row>
    <row r="2684">
      <c r="A2684" t="s">
        <v>6713</v>
      </c>
      <c r="B2684" t="s">
        <v>4807</v>
      </c>
      <c r="C2684" t="s">
        <v>4807</v>
      </c>
      <c r="D2684" t="s">
        <v>841</v>
      </c>
      <c r="E2684" t="s">
        <v>6714</v>
      </c>
      <c r="F2684" t="s">
        <v>298</v>
      </c>
      <c r="G2684" t="s">
        <v>6633</v>
      </c>
      <c r="H2684" t="s">
        <v>6637</v>
      </c>
      <c r="I2684" t="s">
        <v>6718</v>
      </c>
      <c r="J2684">
        <v>450</v>
      </c>
      <c r="K2684">
        <v>1120</v>
      </c>
      <c r="L2684" t="s">
        <v>6719</v>
      </c>
      <c r="M2684" s="37">
        <v>1.5</v>
      </c>
      <c r="N2684" s="37">
        <v>0.06</v>
      </c>
      <c r="O2684">
        <v>1.5</v>
      </c>
      <c r="P2684" s="37">
        <v>0.916098</v>
      </c>
      <c r="Q2684">
        <v>1.21</v>
      </c>
      <c r="R2684">
        <v>5952.89</v>
      </c>
      <c r="S2684">
        <v>5952.89</v>
      </c>
      <c r="T2684">
        <v>5000</v>
      </c>
      <c r="U2684" t="s">
        <v>6232</v>
      </c>
      <c r="X2684">
        <v>1</v>
      </c>
      <c r="Z2684" s="37">
        <v>1</v>
      </c>
      <c r="AA2684" s="37">
        <v>1</v>
      </c>
      <c r="AB2684">
        <v>0</v>
      </c>
    </row>
    <row r="2685">
      <c r="A2685" t="s">
        <v>6713</v>
      </c>
      <c r="B2685" t="s">
        <v>4807</v>
      </c>
      <c r="C2685" t="s">
        <v>4807</v>
      </c>
      <c r="D2685" t="s">
        <v>841</v>
      </c>
      <c r="E2685" t="s">
        <v>6714</v>
      </c>
      <c r="F2685" t="s">
        <v>298</v>
      </c>
      <c r="G2685" t="s">
        <v>6633</v>
      </c>
      <c r="H2685" t="s">
        <v>6715</v>
      </c>
      <c r="I2685" t="s">
        <v>6720</v>
      </c>
      <c r="J2685">
        <v>200</v>
      </c>
      <c r="K2685">
        <v>100</v>
      </c>
      <c r="L2685" t="s">
        <v>6721</v>
      </c>
      <c r="M2685" s="37">
        <v>0.5</v>
      </c>
      <c r="N2685" s="37">
        <v>0.075</v>
      </c>
      <c r="O2685">
        <v>0.35</v>
      </c>
      <c r="P2685" s="37">
        <v>0.916098</v>
      </c>
      <c r="Q2685">
        <v>1.21</v>
      </c>
      <c r="R2685">
        <v>5952.89</v>
      </c>
      <c r="S2685">
        <v>5952.89</v>
      </c>
      <c r="T2685">
        <v>5000</v>
      </c>
      <c r="U2685" t="s">
        <v>6232</v>
      </c>
      <c r="X2685">
        <v>1</v>
      </c>
      <c r="Z2685" s="37">
        <v>1</v>
      </c>
      <c r="AA2685" s="37">
        <v>1</v>
      </c>
      <c r="AB2685">
        <v>0</v>
      </c>
    </row>
    <row r="2686">
      <c r="A2686" t="s">
        <v>6713</v>
      </c>
      <c r="B2686" t="s">
        <v>4807</v>
      </c>
      <c r="C2686" t="s">
        <v>4807</v>
      </c>
      <c r="D2686" t="s">
        <v>841</v>
      </c>
      <c r="E2686" t="s">
        <v>6714</v>
      </c>
      <c r="F2686" t="s">
        <v>298</v>
      </c>
      <c r="G2686" t="s">
        <v>6633</v>
      </c>
      <c r="H2686" t="s">
        <v>6722</v>
      </c>
      <c r="I2686" t="s">
        <v>6723</v>
      </c>
      <c r="J2686">
        <v>135</v>
      </c>
      <c r="K2686">
        <v>163</v>
      </c>
      <c r="L2686" t="s">
        <v>6724</v>
      </c>
      <c r="M2686" s="37">
        <v>1.207407</v>
      </c>
      <c r="N2686" s="37">
        <v>0.075</v>
      </c>
      <c r="O2686">
        <v>1.3885</v>
      </c>
      <c r="P2686" s="37">
        <v>0.916098</v>
      </c>
      <c r="Q2686">
        <v>1.21</v>
      </c>
      <c r="R2686">
        <v>5952.89</v>
      </c>
      <c r="S2686">
        <v>5952.89</v>
      </c>
      <c r="T2686">
        <v>5000</v>
      </c>
      <c r="U2686" t="s">
        <v>6232</v>
      </c>
      <c r="X2686">
        <v>1</v>
      </c>
      <c r="Z2686" s="37">
        <v>1</v>
      </c>
      <c r="AA2686" s="37">
        <v>1</v>
      </c>
      <c r="AB2686">
        <v>0</v>
      </c>
    </row>
    <row r="2687">
      <c r="A2687" t="s">
        <v>6713</v>
      </c>
      <c r="B2687" t="s">
        <v>4807</v>
      </c>
      <c r="C2687" t="s">
        <v>4807</v>
      </c>
      <c r="D2687" t="s">
        <v>841</v>
      </c>
      <c r="E2687" t="s">
        <v>6714</v>
      </c>
      <c r="F2687" t="s">
        <v>298</v>
      </c>
      <c r="G2687" t="s">
        <v>6633</v>
      </c>
      <c r="H2687" t="s">
        <v>6644</v>
      </c>
      <c r="I2687" t="s">
        <v>6646</v>
      </c>
      <c r="J2687">
        <v>1</v>
      </c>
      <c r="K2687">
        <v>1</v>
      </c>
      <c r="L2687" t="s">
        <v>6725</v>
      </c>
      <c r="M2687" s="37">
        <v>1</v>
      </c>
      <c r="N2687" s="37">
        <v>0.3</v>
      </c>
      <c r="O2687">
        <v>1</v>
      </c>
      <c r="P2687" s="37">
        <v>0.916098</v>
      </c>
      <c r="Q2687">
        <v>1.21</v>
      </c>
      <c r="R2687">
        <v>5952.89</v>
      </c>
      <c r="S2687">
        <v>5952.89</v>
      </c>
      <c r="T2687">
        <v>5000</v>
      </c>
      <c r="U2687" t="s">
        <v>6232</v>
      </c>
      <c r="X2687">
        <v>1</v>
      </c>
      <c r="Z2687" s="37">
        <v>1</v>
      </c>
      <c r="AA2687" s="37">
        <v>1</v>
      </c>
      <c r="AB2687">
        <v>0</v>
      </c>
    </row>
    <row r="2688">
      <c r="A2688" t="s">
        <v>6713</v>
      </c>
      <c r="B2688" t="s">
        <v>4807</v>
      </c>
      <c r="C2688" t="s">
        <v>4807</v>
      </c>
      <c r="D2688" t="s">
        <v>841</v>
      </c>
      <c r="E2688" t="s">
        <v>6714</v>
      </c>
      <c r="F2688" t="s">
        <v>298</v>
      </c>
      <c r="G2688" t="s">
        <v>6633</v>
      </c>
      <c r="H2688" t="s">
        <v>6726</v>
      </c>
      <c r="I2688" t="s">
        <v>6727</v>
      </c>
      <c r="J2688">
        <v>155</v>
      </c>
      <c r="K2688">
        <v>56.0947</v>
      </c>
      <c r="L2688" t="s">
        <v>6728</v>
      </c>
      <c r="M2688" s="37">
        <v>0.361901</v>
      </c>
      <c r="N2688" s="37">
        <v>0.14</v>
      </c>
      <c r="O2688">
        <v>0.3619</v>
      </c>
      <c r="P2688" s="37">
        <v>0.916098</v>
      </c>
      <c r="Q2688">
        <v>1.21</v>
      </c>
      <c r="R2688">
        <v>5952.89</v>
      </c>
      <c r="S2688">
        <v>5952.89</v>
      </c>
      <c r="T2688">
        <v>5000</v>
      </c>
      <c r="U2688" t="s">
        <v>6232</v>
      </c>
      <c r="X2688">
        <v>1</v>
      </c>
      <c r="Z2688" s="37">
        <v>1</v>
      </c>
      <c r="AA2688" s="37">
        <v>1</v>
      </c>
      <c r="AB2688">
        <v>0</v>
      </c>
    </row>
    <row r="2689">
      <c r="A2689" t="s">
        <v>6713</v>
      </c>
      <c r="B2689" t="s">
        <v>4807</v>
      </c>
      <c r="C2689" t="s">
        <v>4807</v>
      </c>
      <c r="D2689" t="s">
        <v>841</v>
      </c>
      <c r="E2689" t="s">
        <v>6714</v>
      </c>
      <c r="F2689" t="s">
        <v>298</v>
      </c>
      <c r="G2689" t="s">
        <v>6633</v>
      </c>
      <c r="H2689" t="s">
        <v>6729</v>
      </c>
      <c r="I2689" t="s">
        <v>6730</v>
      </c>
      <c r="J2689">
        <v>70</v>
      </c>
      <c r="K2689">
        <v>94.65909</v>
      </c>
      <c r="L2689" t="s">
        <v>6731</v>
      </c>
      <c r="M2689" s="37">
        <v>1.352273</v>
      </c>
      <c r="N2689" s="37">
        <v>0.14</v>
      </c>
      <c r="O2689">
        <v>1.4199</v>
      </c>
      <c r="P2689" s="37">
        <v>0.916098</v>
      </c>
      <c r="Q2689">
        <v>1.21</v>
      </c>
      <c r="R2689">
        <v>5952.89</v>
      </c>
      <c r="S2689">
        <v>5952.89</v>
      </c>
      <c r="T2689">
        <v>5000</v>
      </c>
      <c r="U2689" t="s">
        <v>6232</v>
      </c>
      <c r="X2689">
        <v>1</v>
      </c>
      <c r="Z2689" s="37">
        <v>1</v>
      </c>
      <c r="AA2689" s="37">
        <v>1</v>
      </c>
      <c r="AB2689">
        <v>0</v>
      </c>
    </row>
    <row r="2690">
      <c r="A2690" t="s">
        <v>6713</v>
      </c>
      <c r="B2690" t="s">
        <v>4807</v>
      </c>
      <c r="C2690" t="s">
        <v>4807</v>
      </c>
      <c r="D2690" t="s">
        <v>841</v>
      </c>
      <c r="E2690" t="s">
        <v>6714</v>
      </c>
      <c r="F2690" t="s">
        <v>298</v>
      </c>
      <c r="G2690" t="s">
        <v>6633</v>
      </c>
      <c r="H2690" t="s">
        <v>6732</v>
      </c>
      <c r="I2690" t="s">
        <v>6733</v>
      </c>
      <c r="J2690">
        <v>55</v>
      </c>
      <c r="K2690">
        <v>40.0642</v>
      </c>
      <c r="L2690" t="s">
        <v>6734</v>
      </c>
      <c r="M2690" s="37">
        <v>0.72844</v>
      </c>
      <c r="N2690" s="37">
        <v>0.12</v>
      </c>
      <c r="O2690">
        <v>0.5828</v>
      </c>
      <c r="P2690" s="37">
        <v>0.916098</v>
      </c>
      <c r="Q2690">
        <v>1.21</v>
      </c>
      <c r="R2690">
        <v>5952.89</v>
      </c>
      <c r="S2690">
        <v>5952.89</v>
      </c>
      <c r="T2690">
        <v>5000</v>
      </c>
      <c r="U2690" t="s">
        <v>6232</v>
      </c>
      <c r="X2690">
        <v>1</v>
      </c>
      <c r="Z2690" s="37">
        <v>1</v>
      </c>
      <c r="AA2690" s="37">
        <v>1</v>
      </c>
      <c r="AB2690">
        <v>0</v>
      </c>
    </row>
    <row r="2691">
      <c r="A2691" t="s">
        <v>6735</v>
      </c>
      <c r="B2691" t="s">
        <v>4807</v>
      </c>
      <c r="C2691" t="s">
        <v>4807</v>
      </c>
      <c r="D2691" t="s">
        <v>1216</v>
      </c>
      <c r="E2691" t="s">
        <v>6736</v>
      </c>
      <c r="F2691" t="s">
        <v>298</v>
      </c>
      <c r="G2691" t="s">
        <v>6737</v>
      </c>
      <c r="H2691" t="s">
        <v>6738</v>
      </c>
      <c r="I2691" t="s">
        <v>6739</v>
      </c>
      <c r="J2691">
        <v>18</v>
      </c>
      <c r="K2691">
        <v>3</v>
      </c>
      <c r="L2691" t="s">
        <v>6734</v>
      </c>
      <c r="M2691" s="37">
        <v>0.166667</v>
      </c>
      <c r="N2691" s="37">
        <v>0.15</v>
      </c>
      <c r="O2691">
        <v>0.1333</v>
      </c>
      <c r="P2691" s="37">
        <v>0.416386</v>
      </c>
      <c r="Q2691">
        <v>0.6</v>
      </c>
      <c r="R2691">
        <v>792.77</v>
      </c>
      <c r="S2691">
        <v>792.77</v>
      </c>
      <c r="T2691">
        <v>2000</v>
      </c>
      <c r="U2691" t="s">
        <v>6232</v>
      </c>
      <c r="X2691">
        <v>1</v>
      </c>
      <c r="Z2691" s="37">
        <v>1</v>
      </c>
      <c r="AA2691" s="37">
        <v>1</v>
      </c>
      <c r="AB2691">
        <v>0</v>
      </c>
    </row>
    <row r="2692">
      <c r="A2692" t="s">
        <v>6735</v>
      </c>
      <c r="B2692" t="s">
        <v>4807</v>
      </c>
      <c r="C2692" t="s">
        <v>4807</v>
      </c>
      <c r="D2692" t="s">
        <v>1216</v>
      </c>
      <c r="E2692" t="s">
        <v>6736</v>
      </c>
      <c r="F2692" t="s">
        <v>298</v>
      </c>
      <c r="G2692" t="s">
        <v>6737</v>
      </c>
      <c r="H2692" t="s">
        <v>6738</v>
      </c>
      <c r="I2692" t="s">
        <v>6740</v>
      </c>
      <c r="J2692">
        <v>2</v>
      </c>
      <c r="K2692">
        <v>1</v>
      </c>
      <c r="L2692" t="s">
        <v>6741</v>
      </c>
      <c r="M2692" s="37">
        <v>0.5</v>
      </c>
      <c r="N2692" s="37">
        <v>0.15</v>
      </c>
      <c r="O2692">
        <v>0.4</v>
      </c>
      <c r="P2692" s="37">
        <v>0.416386</v>
      </c>
      <c r="Q2692">
        <v>0.6</v>
      </c>
      <c r="R2692">
        <v>792.77</v>
      </c>
      <c r="S2692">
        <v>792.77</v>
      </c>
      <c r="T2692">
        <v>2000</v>
      </c>
      <c r="U2692" t="s">
        <v>6232</v>
      </c>
      <c r="X2692">
        <v>1</v>
      </c>
      <c r="Z2692" s="37">
        <v>1</v>
      </c>
      <c r="AA2692" s="37">
        <v>1</v>
      </c>
      <c r="AB2692">
        <v>0</v>
      </c>
    </row>
    <row r="2693">
      <c r="A2693" t="s">
        <v>6735</v>
      </c>
      <c r="B2693" t="s">
        <v>4807</v>
      </c>
      <c r="C2693" t="s">
        <v>4807</v>
      </c>
      <c r="D2693" t="s">
        <v>1216</v>
      </c>
      <c r="E2693" t="s">
        <v>6736</v>
      </c>
      <c r="F2693" t="s">
        <v>298</v>
      </c>
      <c r="G2693" t="s">
        <v>6737</v>
      </c>
      <c r="H2693" t="s">
        <v>6644</v>
      </c>
      <c r="I2693" t="s">
        <v>6742</v>
      </c>
      <c r="J2693">
        <v>1</v>
      </c>
      <c r="K2693">
        <v>1</v>
      </c>
      <c r="L2693" t="s">
        <v>6741</v>
      </c>
      <c r="M2693" s="37">
        <v>1</v>
      </c>
      <c r="N2693" s="37">
        <v>0.3</v>
      </c>
      <c r="O2693">
        <v>1</v>
      </c>
      <c r="P2693" s="37">
        <v>0.416386</v>
      </c>
      <c r="Q2693">
        <v>0.6</v>
      </c>
      <c r="R2693">
        <v>792.77</v>
      </c>
      <c r="S2693">
        <v>792.77</v>
      </c>
      <c r="T2693">
        <v>2000</v>
      </c>
      <c r="U2693" t="s">
        <v>6232</v>
      </c>
      <c r="X2693">
        <v>1</v>
      </c>
      <c r="Z2693" s="37">
        <v>1</v>
      </c>
      <c r="AA2693" s="37">
        <v>1</v>
      </c>
      <c r="AB2693">
        <v>0</v>
      </c>
    </row>
    <row r="2694">
      <c r="A2694" t="s">
        <v>6735</v>
      </c>
      <c r="B2694" t="s">
        <v>4807</v>
      </c>
      <c r="C2694" t="s">
        <v>4807</v>
      </c>
      <c r="D2694" t="s">
        <v>1216</v>
      </c>
      <c r="E2694" t="s">
        <v>6736</v>
      </c>
      <c r="F2694" t="s">
        <v>298</v>
      </c>
      <c r="G2694" t="s">
        <v>6737</v>
      </c>
      <c r="H2694" t="s">
        <v>6743</v>
      </c>
      <c r="I2694" t="s">
        <v>6744</v>
      </c>
      <c r="J2694">
        <v>30.48</v>
      </c>
      <c r="K2694">
        <v>1.248626</v>
      </c>
      <c r="L2694" t="s">
        <v>6741</v>
      </c>
      <c r="M2694" s="37">
        <v>0.040965</v>
      </c>
      <c r="N2694" s="37">
        <v>0.4</v>
      </c>
      <c r="O2694">
        <v>0.041</v>
      </c>
      <c r="P2694" s="37">
        <v>0.416386</v>
      </c>
      <c r="Q2694">
        <v>0.6</v>
      </c>
      <c r="R2694">
        <v>792.77</v>
      </c>
      <c r="S2694">
        <v>792.77</v>
      </c>
      <c r="T2694">
        <v>2000</v>
      </c>
      <c r="U2694" t="s">
        <v>6232</v>
      </c>
      <c r="X2694">
        <v>1</v>
      </c>
      <c r="Z2694" s="37">
        <v>1</v>
      </c>
      <c r="AA2694" s="37">
        <v>1</v>
      </c>
      <c r="AB2694">
        <v>0</v>
      </c>
    </row>
    <row r="2695">
      <c r="A2695" t="s">
        <v>6745</v>
      </c>
      <c r="B2695" t="s">
        <v>4807</v>
      </c>
      <c r="C2695" t="s">
        <v>4807</v>
      </c>
      <c r="D2695" t="s">
        <v>1216</v>
      </c>
      <c r="E2695" t="s">
        <v>6746</v>
      </c>
      <c r="F2695" t="s">
        <v>298</v>
      </c>
      <c r="G2695" t="s">
        <v>6737</v>
      </c>
      <c r="H2695" t="s">
        <v>6747</v>
      </c>
      <c r="I2695" t="s">
        <v>6748</v>
      </c>
      <c r="J2695">
        <v>65</v>
      </c>
      <c r="K2695">
        <v>69.8</v>
      </c>
      <c r="L2695" t="s">
        <v>6749</v>
      </c>
      <c r="M2695" s="37">
        <v>1.073846</v>
      </c>
      <c r="N2695" s="37">
        <v>0.3</v>
      </c>
      <c r="O2695">
        <v>1.1812</v>
      </c>
      <c r="P2695" s="37">
        <v>1.036154</v>
      </c>
      <c r="Q2695">
        <v>1.41</v>
      </c>
      <c r="R2695">
        <v>2219.54</v>
      </c>
      <c r="S2695">
        <v>2219.54</v>
      </c>
      <c r="T2695">
        <v>2000</v>
      </c>
      <c r="U2695" t="s">
        <v>6232</v>
      </c>
      <c r="X2695">
        <v>1</v>
      </c>
      <c r="Z2695" s="37">
        <v>1</v>
      </c>
      <c r="AA2695" s="37">
        <v>1</v>
      </c>
      <c r="AB2695">
        <v>0</v>
      </c>
    </row>
    <row r="2696">
      <c r="A2696" t="s">
        <v>6745</v>
      </c>
      <c r="B2696" t="s">
        <v>4807</v>
      </c>
      <c r="C2696" t="s">
        <v>4807</v>
      </c>
      <c r="D2696" t="s">
        <v>1216</v>
      </c>
      <c r="E2696" t="s">
        <v>6746</v>
      </c>
      <c r="F2696" t="s">
        <v>298</v>
      </c>
      <c r="G2696" t="s">
        <v>6737</v>
      </c>
      <c r="H2696" t="s">
        <v>6644</v>
      </c>
      <c r="I2696" t="s">
        <v>6742</v>
      </c>
      <c r="J2696">
        <v>1</v>
      </c>
      <c r="K2696">
        <v>1</v>
      </c>
      <c r="L2696" t="s">
        <v>6749</v>
      </c>
      <c r="M2696" s="37">
        <v>1</v>
      </c>
      <c r="N2696" s="37">
        <v>0.3</v>
      </c>
      <c r="O2696">
        <v>1</v>
      </c>
      <c r="P2696" s="37">
        <v>1.036154</v>
      </c>
      <c r="Q2696">
        <v>1.41</v>
      </c>
      <c r="R2696">
        <v>2219.54</v>
      </c>
      <c r="S2696">
        <v>2219.54</v>
      </c>
      <c r="T2696">
        <v>2000</v>
      </c>
      <c r="U2696" t="s">
        <v>6232</v>
      </c>
      <c r="X2696">
        <v>1</v>
      </c>
      <c r="Z2696" s="37">
        <v>1</v>
      </c>
      <c r="AA2696" s="37">
        <v>1</v>
      </c>
      <c r="AB2696">
        <v>0</v>
      </c>
    </row>
    <row r="2697">
      <c r="A2697" t="s">
        <v>6745</v>
      </c>
      <c r="B2697" t="s">
        <v>4807</v>
      </c>
      <c r="C2697" t="s">
        <v>4807</v>
      </c>
      <c r="D2697" t="s">
        <v>1216</v>
      </c>
      <c r="E2697" t="s">
        <v>6746</v>
      </c>
      <c r="F2697" t="s">
        <v>298</v>
      </c>
      <c r="G2697" t="s">
        <v>6737</v>
      </c>
      <c r="H2697" t="s">
        <v>6750</v>
      </c>
      <c r="I2697" t="s">
        <v>6751</v>
      </c>
      <c r="J2697">
        <v>40</v>
      </c>
      <c r="K2697">
        <v>41.4</v>
      </c>
      <c r="L2697" t="s">
        <v>6749</v>
      </c>
      <c r="M2697" s="37">
        <v>1.035</v>
      </c>
      <c r="N2697" s="37">
        <v>0.4</v>
      </c>
      <c r="O2697">
        <v>1.1385</v>
      </c>
      <c r="P2697" s="37">
        <v>1.036154</v>
      </c>
      <c r="Q2697">
        <v>1.41</v>
      </c>
      <c r="R2697">
        <v>2219.54</v>
      </c>
      <c r="S2697">
        <v>2219.54</v>
      </c>
      <c r="T2697">
        <v>2000</v>
      </c>
      <c r="U2697" t="s">
        <v>6232</v>
      </c>
      <c r="X2697">
        <v>1</v>
      </c>
      <c r="Z2697" s="37">
        <v>1</v>
      </c>
      <c r="AA2697" s="37">
        <v>1</v>
      </c>
      <c r="AB2697">
        <v>0</v>
      </c>
    </row>
    <row r="2698">
      <c r="A2698" t="s">
        <v>6752</v>
      </c>
      <c r="B2698" t="s">
        <v>4807</v>
      </c>
      <c r="C2698" t="s">
        <v>4807</v>
      </c>
      <c r="D2698" t="s">
        <v>1216</v>
      </c>
      <c r="E2698" t="s">
        <v>6753</v>
      </c>
      <c r="F2698" t="s">
        <v>298</v>
      </c>
      <c r="G2698" t="s">
        <v>6737</v>
      </c>
      <c r="H2698" t="s">
        <v>6738</v>
      </c>
      <c r="I2698" t="s">
        <v>6754</v>
      </c>
      <c r="J2698" t="s">
        <v>3154</v>
      </c>
      <c r="K2698">
        <v>19.2</v>
      </c>
      <c r="L2698" t="s">
        <v>6755</v>
      </c>
      <c r="M2698" s="37">
        <v>1.28</v>
      </c>
      <c r="N2698" s="37">
        <v>0.09</v>
      </c>
      <c r="O2698">
        <v>1.344</v>
      </c>
      <c r="P2698" s="37">
        <v>0.87908</v>
      </c>
      <c r="Q2698">
        <v>1.19</v>
      </c>
      <c r="R2698">
        <v>2316.82</v>
      </c>
      <c r="S2698">
        <v>2316.82</v>
      </c>
      <c r="T2698">
        <v>2000</v>
      </c>
      <c r="U2698" t="s">
        <v>6232</v>
      </c>
      <c r="X2698">
        <v>1</v>
      </c>
      <c r="Z2698" s="37">
        <v>1</v>
      </c>
      <c r="AA2698" s="37">
        <v>1</v>
      </c>
      <c r="AB2698">
        <v>0</v>
      </c>
    </row>
    <row r="2699">
      <c r="A2699" t="s">
        <v>6752</v>
      </c>
      <c r="B2699" t="s">
        <v>4807</v>
      </c>
      <c r="C2699" t="s">
        <v>4807</v>
      </c>
      <c r="D2699" t="s">
        <v>1216</v>
      </c>
      <c r="E2699" t="s">
        <v>6753</v>
      </c>
      <c r="F2699" t="s">
        <v>298</v>
      </c>
      <c r="G2699" t="s">
        <v>6737</v>
      </c>
      <c r="H2699" t="s">
        <v>6738</v>
      </c>
      <c r="I2699" t="s">
        <v>6756</v>
      </c>
      <c r="J2699" t="s">
        <v>709</v>
      </c>
      <c r="K2699">
        <v>1</v>
      </c>
      <c r="L2699" t="s">
        <v>6757</v>
      </c>
      <c r="M2699" s="37">
        <v>0.5</v>
      </c>
      <c r="N2699" s="37">
        <v>0.03</v>
      </c>
      <c r="O2699">
        <v>0.4</v>
      </c>
      <c r="P2699" s="37">
        <v>0.87908</v>
      </c>
      <c r="Q2699">
        <v>1.19</v>
      </c>
      <c r="R2699">
        <v>2316.82</v>
      </c>
      <c r="S2699">
        <v>2316.82</v>
      </c>
      <c r="T2699">
        <v>2000</v>
      </c>
      <c r="U2699" t="s">
        <v>6232</v>
      </c>
      <c r="X2699">
        <v>1</v>
      </c>
      <c r="Z2699" s="37">
        <v>1</v>
      </c>
      <c r="AA2699" s="37">
        <v>1</v>
      </c>
      <c r="AB2699">
        <v>0</v>
      </c>
    </row>
    <row r="2700">
      <c r="A2700" t="s">
        <v>6752</v>
      </c>
      <c r="B2700" t="s">
        <v>4807</v>
      </c>
      <c r="C2700" t="s">
        <v>4807</v>
      </c>
      <c r="D2700" t="s">
        <v>1216</v>
      </c>
      <c r="E2700" t="s">
        <v>6753</v>
      </c>
      <c r="F2700" t="s">
        <v>298</v>
      </c>
      <c r="G2700" t="s">
        <v>6737</v>
      </c>
      <c r="H2700" t="s">
        <v>6738</v>
      </c>
      <c r="I2700" t="s">
        <v>6758</v>
      </c>
      <c r="J2700" t="s">
        <v>706</v>
      </c>
      <c r="K2700">
        <v>5</v>
      </c>
      <c r="L2700" t="s">
        <v>6759</v>
      </c>
      <c r="M2700" s="37">
        <v>1.5</v>
      </c>
      <c r="N2700" s="37">
        <v>0.06</v>
      </c>
      <c r="O2700">
        <v>1.575</v>
      </c>
      <c r="P2700" s="37">
        <v>0.87908</v>
      </c>
      <c r="Q2700">
        <v>1.19</v>
      </c>
      <c r="R2700">
        <v>2316.82</v>
      </c>
      <c r="S2700">
        <v>2316.82</v>
      </c>
      <c r="T2700">
        <v>2000</v>
      </c>
      <c r="U2700" t="s">
        <v>6232</v>
      </c>
      <c r="X2700">
        <v>1</v>
      </c>
      <c r="Z2700" s="37">
        <v>1</v>
      </c>
      <c r="AA2700" s="37">
        <v>1</v>
      </c>
      <c r="AB2700">
        <v>0</v>
      </c>
    </row>
    <row r="2701">
      <c r="A2701" t="s">
        <v>6752</v>
      </c>
      <c r="B2701" t="s">
        <v>4807</v>
      </c>
      <c r="C2701" t="s">
        <v>4807</v>
      </c>
      <c r="D2701" t="s">
        <v>1216</v>
      </c>
      <c r="E2701" t="s">
        <v>6753</v>
      </c>
      <c r="F2701" t="s">
        <v>298</v>
      </c>
      <c r="G2701" t="s">
        <v>6737</v>
      </c>
      <c r="H2701" t="s">
        <v>6738</v>
      </c>
      <c r="I2701" t="s">
        <v>6760</v>
      </c>
      <c r="J2701" t="s">
        <v>1311</v>
      </c>
      <c r="K2701">
        <v>30</v>
      </c>
      <c r="L2701" t="s">
        <v>6761</v>
      </c>
      <c r="M2701" s="37">
        <v>1.5</v>
      </c>
      <c r="N2701" s="37">
        <v>0.09</v>
      </c>
      <c r="O2701">
        <v>1.575</v>
      </c>
      <c r="P2701" s="37">
        <v>0.87908</v>
      </c>
      <c r="Q2701">
        <v>1.19</v>
      </c>
      <c r="R2701">
        <v>2316.82</v>
      </c>
      <c r="S2701">
        <v>2316.82</v>
      </c>
      <c r="T2701">
        <v>2000</v>
      </c>
      <c r="U2701" t="s">
        <v>6232</v>
      </c>
      <c r="X2701">
        <v>1</v>
      </c>
      <c r="Z2701" s="37">
        <v>1</v>
      </c>
      <c r="AA2701" s="37">
        <v>1</v>
      </c>
      <c r="AB2701">
        <v>0</v>
      </c>
    </row>
    <row r="2702">
      <c r="A2702" t="s">
        <v>6752</v>
      </c>
      <c r="B2702" t="s">
        <v>4807</v>
      </c>
      <c r="C2702" t="s">
        <v>4807</v>
      </c>
      <c r="D2702" t="s">
        <v>1216</v>
      </c>
      <c r="E2702" t="s">
        <v>6753</v>
      </c>
      <c r="F2702" t="s">
        <v>298</v>
      </c>
      <c r="G2702" t="s">
        <v>6737</v>
      </c>
      <c r="H2702" t="s">
        <v>6738</v>
      </c>
      <c r="I2702" t="s">
        <v>6762</v>
      </c>
      <c r="J2702" t="s">
        <v>1454</v>
      </c>
      <c r="K2702">
        <v>7</v>
      </c>
      <c r="L2702" t="s">
        <v>6763</v>
      </c>
      <c r="M2702" s="37">
        <v>1</v>
      </c>
      <c r="N2702" s="37">
        <v>0.03</v>
      </c>
      <c r="O2702">
        <v>1</v>
      </c>
      <c r="P2702" s="37">
        <v>0.87908</v>
      </c>
      <c r="Q2702">
        <v>1.19</v>
      </c>
      <c r="R2702">
        <v>2316.82</v>
      </c>
      <c r="S2702">
        <v>2316.82</v>
      </c>
      <c r="T2702">
        <v>2000</v>
      </c>
      <c r="U2702" t="s">
        <v>6232</v>
      </c>
      <c r="X2702">
        <v>1</v>
      </c>
      <c r="Z2702" s="37">
        <v>1</v>
      </c>
      <c r="AA2702" s="37">
        <v>1</v>
      </c>
      <c r="AB2702">
        <v>0</v>
      </c>
    </row>
    <row r="2703">
      <c r="A2703" t="s">
        <v>6752</v>
      </c>
      <c r="B2703" t="s">
        <v>4807</v>
      </c>
      <c r="C2703" t="s">
        <v>4807</v>
      </c>
      <c r="D2703" t="s">
        <v>1216</v>
      </c>
      <c r="E2703" t="s">
        <v>6753</v>
      </c>
      <c r="F2703" t="s">
        <v>298</v>
      </c>
      <c r="G2703" t="s">
        <v>6737</v>
      </c>
      <c r="H2703" t="s">
        <v>6644</v>
      </c>
      <c r="I2703" t="s">
        <v>6764</v>
      </c>
      <c r="J2703">
        <v>1</v>
      </c>
      <c r="K2703">
        <v>1</v>
      </c>
      <c r="L2703" t="s">
        <v>6763</v>
      </c>
      <c r="M2703" s="37">
        <v>1</v>
      </c>
      <c r="N2703" s="37">
        <v>0.3</v>
      </c>
      <c r="O2703">
        <v>1</v>
      </c>
      <c r="P2703" s="37">
        <v>0.87908</v>
      </c>
      <c r="Q2703">
        <v>1.19</v>
      </c>
      <c r="R2703">
        <v>2316.82</v>
      </c>
      <c r="S2703">
        <v>2316.82</v>
      </c>
      <c r="T2703">
        <v>2000</v>
      </c>
      <c r="U2703" t="s">
        <v>6232</v>
      </c>
      <c r="X2703">
        <v>1</v>
      </c>
      <c r="Z2703" s="37">
        <v>1</v>
      </c>
      <c r="AA2703" s="37">
        <v>1</v>
      </c>
      <c r="AB2703">
        <v>0</v>
      </c>
    </row>
    <row r="2704">
      <c r="A2704" t="s">
        <v>6752</v>
      </c>
      <c r="B2704" t="s">
        <v>4807</v>
      </c>
      <c r="C2704" t="s">
        <v>4807</v>
      </c>
      <c r="D2704" t="s">
        <v>1216</v>
      </c>
      <c r="E2704" t="s">
        <v>6753</v>
      </c>
      <c r="F2704" t="s">
        <v>298</v>
      </c>
      <c r="G2704" t="s">
        <v>6737</v>
      </c>
      <c r="H2704" t="s">
        <v>6743</v>
      </c>
      <c r="I2704" t="s">
        <v>6765</v>
      </c>
      <c r="J2704" t="s">
        <v>6766</v>
      </c>
      <c r="K2704">
        <v>17.1971617</v>
      </c>
      <c r="L2704" t="s">
        <v>6767</v>
      </c>
      <c r="M2704" s="37">
        <v>0.4847</v>
      </c>
      <c r="N2704" s="37">
        <v>0.4</v>
      </c>
      <c r="O2704">
        <v>0.4847</v>
      </c>
      <c r="P2704" s="37">
        <v>0.87908</v>
      </c>
      <c r="Q2704">
        <v>1.19</v>
      </c>
      <c r="R2704">
        <v>2316.82</v>
      </c>
      <c r="S2704">
        <v>2316.82</v>
      </c>
      <c r="T2704">
        <v>2000</v>
      </c>
      <c r="U2704" t="s">
        <v>6232</v>
      </c>
      <c r="X2704">
        <v>1</v>
      </c>
      <c r="Z2704" s="37">
        <v>1</v>
      </c>
      <c r="AA2704" s="37">
        <v>1</v>
      </c>
      <c r="AB2704">
        <v>0</v>
      </c>
    </row>
    <row r="2705">
      <c r="A2705" t="s">
        <v>6768</v>
      </c>
      <c r="B2705" t="s">
        <v>4807</v>
      </c>
      <c r="C2705" t="s">
        <v>4807</v>
      </c>
      <c r="D2705" t="s">
        <v>1216</v>
      </c>
      <c r="E2705" t="s">
        <v>6769</v>
      </c>
      <c r="F2705" t="s">
        <v>298</v>
      </c>
      <c r="G2705" t="s">
        <v>6737</v>
      </c>
      <c r="H2705" t="s">
        <v>6770</v>
      </c>
      <c r="I2705" t="s">
        <v>6771</v>
      </c>
      <c r="J2705">
        <v>60</v>
      </c>
      <c r="K2705">
        <v>61</v>
      </c>
      <c r="L2705" t="s">
        <v>6772</v>
      </c>
      <c r="M2705" s="37">
        <v>1.016667</v>
      </c>
      <c r="N2705" s="37">
        <v>0.12</v>
      </c>
      <c r="O2705">
        <v>1.1183</v>
      </c>
      <c r="P2705" s="37">
        <v>0.7381</v>
      </c>
      <c r="Q2705">
        <v>1.06</v>
      </c>
      <c r="R2705">
        <v>2238.8</v>
      </c>
      <c r="S2705">
        <v>2238.8</v>
      </c>
      <c r="T2705">
        <v>3000</v>
      </c>
      <c r="U2705" t="s">
        <v>6232</v>
      </c>
      <c r="X2705">
        <v>1</v>
      </c>
      <c r="Z2705" s="37">
        <v>1</v>
      </c>
      <c r="AA2705" s="37">
        <v>1</v>
      </c>
      <c r="AB2705">
        <v>0</v>
      </c>
    </row>
    <row r="2706">
      <c r="A2706" t="s">
        <v>6768</v>
      </c>
      <c r="B2706" t="s">
        <v>4807</v>
      </c>
      <c r="C2706" t="s">
        <v>4807</v>
      </c>
      <c r="D2706" t="s">
        <v>1216</v>
      </c>
      <c r="E2706" t="s">
        <v>6769</v>
      </c>
      <c r="F2706" t="s">
        <v>298</v>
      </c>
      <c r="G2706" t="s">
        <v>6737</v>
      </c>
      <c r="H2706" t="s">
        <v>6770</v>
      </c>
      <c r="I2706" t="s">
        <v>6773</v>
      </c>
      <c r="J2706">
        <v>33</v>
      </c>
      <c r="K2706">
        <v>7.8</v>
      </c>
      <c r="L2706" t="s">
        <v>6774</v>
      </c>
      <c r="M2706" s="37">
        <v>0.236364</v>
      </c>
      <c r="N2706" s="37">
        <v>0.09</v>
      </c>
      <c r="O2706">
        <v>0.2364</v>
      </c>
      <c r="P2706" s="37">
        <v>0.7381</v>
      </c>
      <c r="Q2706">
        <v>1.06</v>
      </c>
      <c r="R2706">
        <v>2238.8</v>
      </c>
      <c r="S2706">
        <v>2238.8</v>
      </c>
      <c r="T2706">
        <v>3000</v>
      </c>
      <c r="U2706" t="s">
        <v>6232</v>
      </c>
      <c r="X2706">
        <v>1</v>
      </c>
      <c r="Z2706" s="37">
        <v>1</v>
      </c>
      <c r="AA2706" s="37">
        <v>1</v>
      </c>
      <c r="AB2706">
        <v>0</v>
      </c>
    </row>
    <row r="2707">
      <c r="A2707" t="s">
        <v>6768</v>
      </c>
      <c r="B2707" t="s">
        <v>4807</v>
      </c>
      <c r="C2707" t="s">
        <v>4807</v>
      </c>
      <c r="D2707" t="s">
        <v>1216</v>
      </c>
      <c r="E2707" t="s">
        <v>6769</v>
      </c>
      <c r="F2707" t="s">
        <v>298</v>
      </c>
      <c r="G2707" t="s">
        <v>6737</v>
      </c>
      <c r="H2707" t="s">
        <v>6775</v>
      </c>
      <c r="I2707" t="s">
        <v>6776</v>
      </c>
      <c r="J2707">
        <v>80</v>
      </c>
      <c r="K2707">
        <v>424</v>
      </c>
      <c r="L2707" t="s">
        <v>6774</v>
      </c>
      <c r="M2707" s="37">
        <v>1.5</v>
      </c>
      <c r="N2707" s="37">
        <v>0.09</v>
      </c>
      <c r="O2707">
        <v>1.5</v>
      </c>
      <c r="P2707" s="37">
        <v>0.7381</v>
      </c>
      <c r="Q2707">
        <v>1.06</v>
      </c>
      <c r="R2707">
        <v>2238.8</v>
      </c>
      <c r="S2707">
        <v>2238.8</v>
      </c>
      <c r="T2707">
        <v>3000</v>
      </c>
      <c r="U2707" t="s">
        <v>6232</v>
      </c>
      <c r="X2707">
        <v>1</v>
      </c>
      <c r="Z2707" s="37">
        <v>1</v>
      </c>
      <c r="AA2707" s="37">
        <v>1</v>
      </c>
      <c r="AB2707">
        <v>0</v>
      </c>
    </row>
    <row r="2708">
      <c r="A2708" t="s">
        <v>6768</v>
      </c>
      <c r="B2708" t="s">
        <v>4807</v>
      </c>
      <c r="C2708" t="s">
        <v>4807</v>
      </c>
      <c r="D2708" t="s">
        <v>1216</v>
      </c>
      <c r="E2708" t="s">
        <v>6769</v>
      </c>
      <c r="F2708" t="s">
        <v>298</v>
      </c>
      <c r="G2708" t="s">
        <v>6737</v>
      </c>
      <c r="H2708" t="s">
        <v>6644</v>
      </c>
      <c r="I2708" t="s">
        <v>6777</v>
      </c>
      <c r="J2708">
        <v>1</v>
      </c>
      <c r="K2708">
        <v>1</v>
      </c>
      <c r="L2708" t="s">
        <v>6774</v>
      </c>
      <c r="M2708" s="37">
        <v>1</v>
      </c>
      <c r="N2708" s="37">
        <v>0.3</v>
      </c>
      <c r="O2708">
        <v>1</v>
      </c>
      <c r="P2708" s="37">
        <v>0.7381</v>
      </c>
      <c r="Q2708">
        <v>1.06</v>
      </c>
      <c r="R2708">
        <v>2238.8</v>
      </c>
      <c r="S2708">
        <v>2238.8</v>
      </c>
      <c r="T2708">
        <v>3000</v>
      </c>
      <c r="U2708" t="s">
        <v>6232</v>
      </c>
      <c r="X2708">
        <v>1</v>
      </c>
      <c r="Z2708" s="37">
        <v>1</v>
      </c>
      <c r="AA2708" s="37">
        <v>1</v>
      </c>
      <c r="AB2708">
        <v>0</v>
      </c>
    </row>
    <row r="2709">
      <c r="A2709" t="s">
        <v>6768</v>
      </c>
      <c r="B2709" t="s">
        <v>4807</v>
      </c>
      <c r="C2709" t="s">
        <v>4807</v>
      </c>
      <c r="D2709" t="s">
        <v>1216</v>
      </c>
      <c r="E2709" t="s">
        <v>6769</v>
      </c>
      <c r="F2709" t="s">
        <v>298</v>
      </c>
      <c r="G2709" t="s">
        <v>6737</v>
      </c>
      <c r="H2709" t="s">
        <v>6778</v>
      </c>
      <c r="I2709" t="s">
        <v>6779</v>
      </c>
      <c r="J2709">
        <v>30</v>
      </c>
      <c r="K2709">
        <v>28.4</v>
      </c>
      <c r="L2709" t="s">
        <v>6780</v>
      </c>
      <c r="M2709" s="37">
        <v>0.946667</v>
      </c>
      <c r="N2709" s="37">
        <v>0.14</v>
      </c>
      <c r="O2709">
        <v>1.0413</v>
      </c>
      <c r="P2709" s="37">
        <v>0.7381</v>
      </c>
      <c r="Q2709">
        <v>1.06</v>
      </c>
      <c r="R2709">
        <v>2238.8</v>
      </c>
      <c r="S2709">
        <v>2238.8</v>
      </c>
      <c r="T2709">
        <v>3000</v>
      </c>
      <c r="U2709" t="s">
        <v>6232</v>
      </c>
      <c r="X2709">
        <v>1</v>
      </c>
      <c r="Z2709" s="37">
        <v>1</v>
      </c>
      <c r="AA2709" s="37">
        <v>1</v>
      </c>
      <c r="AB2709">
        <v>0</v>
      </c>
    </row>
    <row r="2710">
      <c r="A2710" t="s">
        <v>6768</v>
      </c>
      <c r="B2710" t="s">
        <v>4807</v>
      </c>
      <c r="C2710" t="s">
        <v>4807</v>
      </c>
      <c r="D2710" t="s">
        <v>1216</v>
      </c>
      <c r="E2710" t="s">
        <v>6769</v>
      </c>
      <c r="F2710" t="s">
        <v>298</v>
      </c>
      <c r="G2710" t="s">
        <v>6737</v>
      </c>
      <c r="H2710" t="s">
        <v>6778</v>
      </c>
      <c r="I2710" t="s">
        <v>6781</v>
      </c>
      <c r="J2710">
        <v>25</v>
      </c>
      <c r="K2710">
        <v>4.1</v>
      </c>
      <c r="L2710" t="s">
        <v>6782</v>
      </c>
      <c r="M2710" s="37">
        <v>0.164</v>
      </c>
      <c r="N2710" s="37">
        <v>0.14</v>
      </c>
      <c r="O2710">
        <v>0.164</v>
      </c>
      <c r="P2710" s="37">
        <v>0.7381</v>
      </c>
      <c r="Q2710">
        <v>1.06</v>
      </c>
      <c r="R2710">
        <v>2238.8</v>
      </c>
      <c r="S2710">
        <v>2238.8</v>
      </c>
      <c r="T2710">
        <v>3000</v>
      </c>
      <c r="U2710" t="s">
        <v>6232</v>
      </c>
      <c r="X2710">
        <v>1</v>
      </c>
      <c r="Z2710" s="37">
        <v>1</v>
      </c>
      <c r="AA2710" s="37">
        <v>1</v>
      </c>
      <c r="AB2710">
        <v>0</v>
      </c>
    </row>
    <row r="2711">
      <c r="A2711" t="s">
        <v>6768</v>
      </c>
      <c r="B2711" t="s">
        <v>4807</v>
      </c>
      <c r="C2711" t="s">
        <v>4807</v>
      </c>
      <c r="D2711" t="s">
        <v>1216</v>
      </c>
      <c r="E2711" t="s">
        <v>6769</v>
      </c>
      <c r="F2711" t="s">
        <v>298</v>
      </c>
      <c r="G2711" t="s">
        <v>6737</v>
      </c>
      <c r="H2711" t="s">
        <v>6778</v>
      </c>
      <c r="I2711" t="s">
        <v>6783</v>
      </c>
      <c r="J2711">
        <v>36</v>
      </c>
      <c r="K2711">
        <v>1.3</v>
      </c>
      <c r="L2711" t="s">
        <v>6782</v>
      </c>
      <c r="M2711" s="37">
        <v>0.036111</v>
      </c>
      <c r="N2711" s="37">
        <v>0.12</v>
      </c>
      <c r="O2711">
        <v>0.0361</v>
      </c>
      <c r="P2711" s="37">
        <v>0.7381</v>
      </c>
      <c r="Q2711">
        <v>1.06</v>
      </c>
      <c r="R2711">
        <v>2238.8</v>
      </c>
      <c r="S2711">
        <v>2238.8</v>
      </c>
      <c r="T2711">
        <v>3000</v>
      </c>
      <c r="U2711" t="s">
        <v>6232</v>
      </c>
      <c r="X2711">
        <v>1</v>
      </c>
      <c r="Z2711" s="37">
        <v>1</v>
      </c>
      <c r="AA2711" s="37">
        <v>1</v>
      </c>
      <c r="AB2711">
        <v>0</v>
      </c>
    </row>
    <row r="2712">
      <c r="A2712" t="s">
        <v>6784</v>
      </c>
      <c r="B2712" t="s">
        <v>4807</v>
      </c>
      <c r="C2712" t="s">
        <v>4807</v>
      </c>
      <c r="D2712" t="s">
        <v>1216</v>
      </c>
      <c r="E2712" t="s">
        <v>6785</v>
      </c>
      <c r="F2712" t="s">
        <v>298</v>
      </c>
      <c r="G2712" t="s">
        <v>6737</v>
      </c>
      <c r="H2712" t="s">
        <v>6770</v>
      </c>
      <c r="I2712" t="s">
        <v>6786</v>
      </c>
      <c r="J2712">
        <v>60</v>
      </c>
      <c r="K2712">
        <v>58</v>
      </c>
      <c r="L2712" t="s">
        <v>6787</v>
      </c>
      <c r="M2712" s="37">
        <v>0.966667</v>
      </c>
      <c r="N2712" s="37">
        <v>0.12</v>
      </c>
      <c r="O2712">
        <v>1.015</v>
      </c>
      <c r="P2712" s="37">
        <v>0.724728</v>
      </c>
      <c r="Q2712">
        <v>1.03</v>
      </c>
      <c r="R2712">
        <v>1837.97</v>
      </c>
      <c r="S2712">
        <v>1837.97</v>
      </c>
      <c r="T2712">
        <v>2000</v>
      </c>
      <c r="U2712" t="s">
        <v>6232</v>
      </c>
      <c r="X2712">
        <v>1</v>
      </c>
      <c r="Z2712" s="37">
        <v>1</v>
      </c>
      <c r="AA2712" s="37">
        <v>1</v>
      </c>
      <c r="AB2712">
        <v>0</v>
      </c>
    </row>
    <row r="2713">
      <c r="A2713" t="s">
        <v>6784</v>
      </c>
      <c r="B2713" t="s">
        <v>4807</v>
      </c>
      <c r="C2713" t="s">
        <v>4807</v>
      </c>
      <c r="D2713" t="s">
        <v>1216</v>
      </c>
      <c r="E2713" t="s">
        <v>6785</v>
      </c>
      <c r="F2713" t="s">
        <v>298</v>
      </c>
      <c r="G2713" t="s">
        <v>6737</v>
      </c>
      <c r="H2713" t="s">
        <v>6770</v>
      </c>
      <c r="I2713" t="s">
        <v>6788</v>
      </c>
      <c r="J2713">
        <v>33</v>
      </c>
      <c r="K2713">
        <v>21.4</v>
      </c>
      <c r="L2713" t="s">
        <v>6789</v>
      </c>
      <c r="M2713" s="37">
        <v>0.648485</v>
      </c>
      <c r="N2713" s="37">
        <v>0.09</v>
      </c>
      <c r="O2713">
        <v>0.6809</v>
      </c>
      <c r="P2713" s="37">
        <v>0.724728</v>
      </c>
      <c r="Q2713">
        <v>1.03</v>
      </c>
      <c r="R2713">
        <v>1837.97</v>
      </c>
      <c r="S2713">
        <v>1837.97</v>
      </c>
      <c r="T2713">
        <v>2000</v>
      </c>
      <c r="U2713" t="s">
        <v>6232</v>
      </c>
      <c r="X2713">
        <v>1</v>
      </c>
      <c r="Z2713" s="37">
        <v>1</v>
      </c>
      <c r="AA2713" s="37">
        <v>1</v>
      </c>
      <c r="AB2713">
        <v>0</v>
      </c>
    </row>
    <row r="2714">
      <c r="A2714" t="s">
        <v>6784</v>
      </c>
      <c r="B2714" t="s">
        <v>4807</v>
      </c>
      <c r="C2714" t="s">
        <v>4807</v>
      </c>
      <c r="D2714" t="s">
        <v>1216</v>
      </c>
      <c r="E2714" t="s">
        <v>6785</v>
      </c>
      <c r="F2714" t="s">
        <v>298</v>
      </c>
      <c r="G2714" t="s">
        <v>6737</v>
      </c>
      <c r="H2714" t="s">
        <v>6775</v>
      </c>
      <c r="I2714" t="s">
        <v>6776</v>
      </c>
      <c r="J2714">
        <v>80</v>
      </c>
      <c r="K2714">
        <v>150</v>
      </c>
      <c r="L2714" t="s">
        <v>6790</v>
      </c>
      <c r="M2714" s="37">
        <v>1.5</v>
      </c>
      <c r="N2714" s="37">
        <v>0.09</v>
      </c>
      <c r="O2714">
        <v>1.5</v>
      </c>
      <c r="P2714" s="37">
        <v>0.724728</v>
      </c>
      <c r="Q2714">
        <v>1.03</v>
      </c>
      <c r="R2714">
        <v>1837.97</v>
      </c>
      <c r="S2714">
        <v>1837.97</v>
      </c>
      <c r="T2714">
        <v>2000</v>
      </c>
      <c r="U2714" t="s">
        <v>6232</v>
      </c>
      <c r="X2714">
        <v>1</v>
      </c>
      <c r="Z2714" s="37">
        <v>1</v>
      </c>
      <c r="AA2714" s="37">
        <v>1</v>
      </c>
      <c r="AB2714">
        <v>0</v>
      </c>
    </row>
    <row r="2715">
      <c r="A2715" t="s">
        <v>6784</v>
      </c>
      <c r="B2715" t="s">
        <v>4807</v>
      </c>
      <c r="C2715" t="s">
        <v>4807</v>
      </c>
      <c r="D2715" t="s">
        <v>1216</v>
      </c>
      <c r="E2715" t="s">
        <v>6785</v>
      </c>
      <c r="F2715" t="s">
        <v>298</v>
      </c>
      <c r="G2715" t="s">
        <v>6737</v>
      </c>
      <c r="H2715" t="s">
        <v>6644</v>
      </c>
      <c r="I2715" t="s">
        <v>6791</v>
      </c>
      <c r="J2715">
        <v>1</v>
      </c>
      <c r="K2715">
        <v>1</v>
      </c>
      <c r="L2715" t="s">
        <v>6792</v>
      </c>
      <c r="M2715" s="37">
        <v>1</v>
      </c>
      <c r="N2715" s="37">
        <v>0.4</v>
      </c>
      <c r="O2715">
        <v>1</v>
      </c>
      <c r="P2715" s="37">
        <v>0.724728</v>
      </c>
      <c r="Q2715">
        <v>1.03</v>
      </c>
      <c r="R2715">
        <v>1837.97</v>
      </c>
      <c r="S2715">
        <v>1837.97</v>
      </c>
      <c r="T2715">
        <v>2000</v>
      </c>
      <c r="U2715" t="s">
        <v>6232</v>
      </c>
      <c r="X2715">
        <v>1</v>
      </c>
      <c r="Z2715" s="37">
        <v>1</v>
      </c>
      <c r="AA2715" s="37">
        <v>1</v>
      </c>
      <c r="AB2715">
        <v>0</v>
      </c>
    </row>
    <row r="2716">
      <c r="A2716" t="s">
        <v>6784</v>
      </c>
      <c r="B2716" t="s">
        <v>4807</v>
      </c>
      <c r="C2716" t="s">
        <v>4807</v>
      </c>
      <c r="D2716" t="s">
        <v>1216</v>
      </c>
      <c r="E2716" t="s">
        <v>6785</v>
      </c>
      <c r="F2716" t="s">
        <v>298</v>
      </c>
      <c r="G2716" t="s">
        <v>6737</v>
      </c>
      <c r="H2716" t="s">
        <v>6778</v>
      </c>
      <c r="I2716" t="s">
        <v>6793</v>
      </c>
      <c r="J2716">
        <v>30</v>
      </c>
      <c r="K2716">
        <v>34.961</v>
      </c>
      <c r="L2716" t="s">
        <v>6794</v>
      </c>
      <c r="M2716" s="37">
        <v>0.011654</v>
      </c>
      <c r="N2716" s="37">
        <v>0.105</v>
      </c>
      <c r="O2716">
        <v>0.0134</v>
      </c>
      <c r="P2716" s="37">
        <v>0.724728</v>
      </c>
      <c r="Q2716">
        <v>1.03</v>
      </c>
      <c r="R2716">
        <v>1837.97</v>
      </c>
      <c r="S2716">
        <v>1837.97</v>
      </c>
      <c r="T2716">
        <v>2000</v>
      </c>
      <c r="U2716" t="s">
        <v>6232</v>
      </c>
      <c r="X2716">
        <v>1</v>
      </c>
      <c r="Z2716" s="37">
        <v>1</v>
      </c>
      <c r="AA2716" s="37">
        <v>1</v>
      </c>
      <c r="AB2716">
        <v>0</v>
      </c>
    </row>
    <row r="2717">
      <c r="A2717" t="s">
        <v>6784</v>
      </c>
      <c r="B2717" t="s">
        <v>4807</v>
      </c>
      <c r="C2717" t="s">
        <v>4807</v>
      </c>
      <c r="D2717" t="s">
        <v>1216</v>
      </c>
      <c r="E2717" t="s">
        <v>6785</v>
      </c>
      <c r="F2717" t="s">
        <v>298</v>
      </c>
      <c r="G2717" t="s">
        <v>6737</v>
      </c>
      <c r="H2717" t="s">
        <v>6778</v>
      </c>
      <c r="I2717" t="s">
        <v>6795</v>
      </c>
      <c r="J2717">
        <v>25</v>
      </c>
      <c r="K2717">
        <v>2.22</v>
      </c>
      <c r="L2717" t="s">
        <v>6796</v>
      </c>
      <c r="M2717" s="37">
        <v>0.0888</v>
      </c>
      <c r="N2717" s="37">
        <v>0.105</v>
      </c>
      <c r="O2717">
        <v>0.0888</v>
      </c>
      <c r="P2717" s="37">
        <v>0.724728</v>
      </c>
      <c r="Q2717">
        <v>1.03</v>
      </c>
      <c r="R2717">
        <v>1837.97</v>
      </c>
      <c r="S2717">
        <v>1837.97</v>
      </c>
      <c r="T2717">
        <v>2000</v>
      </c>
      <c r="U2717" t="s">
        <v>6232</v>
      </c>
      <c r="X2717">
        <v>1</v>
      </c>
      <c r="Z2717" s="37">
        <v>1</v>
      </c>
      <c r="AA2717" s="37">
        <v>1</v>
      </c>
      <c r="AB2717">
        <v>0</v>
      </c>
    </row>
    <row r="2718">
      <c r="A2718" t="s">
        <v>6784</v>
      </c>
      <c r="B2718" t="s">
        <v>4807</v>
      </c>
      <c r="C2718" t="s">
        <v>4807</v>
      </c>
      <c r="D2718" t="s">
        <v>1216</v>
      </c>
      <c r="E2718" t="s">
        <v>6785</v>
      </c>
      <c r="F2718" t="s">
        <v>298</v>
      </c>
      <c r="G2718" t="s">
        <v>6737</v>
      </c>
      <c r="H2718" t="s">
        <v>6778</v>
      </c>
      <c r="I2718" t="s">
        <v>6797</v>
      </c>
      <c r="J2718">
        <v>36</v>
      </c>
      <c r="K2718">
        <v>1.9268</v>
      </c>
      <c r="L2718" t="s">
        <v>6798</v>
      </c>
      <c r="M2718" s="37">
        <v>0.053522</v>
      </c>
      <c r="N2718" s="37">
        <v>0.09</v>
      </c>
      <c r="O2718">
        <v>0.0535</v>
      </c>
      <c r="P2718" s="37">
        <v>0.724728</v>
      </c>
      <c r="Q2718">
        <v>1.03</v>
      </c>
      <c r="R2718">
        <v>1837.97</v>
      </c>
      <c r="S2718">
        <v>1837.97</v>
      </c>
      <c r="T2718">
        <v>2000</v>
      </c>
      <c r="U2718" t="s">
        <v>6232</v>
      </c>
      <c r="X2718">
        <v>1</v>
      </c>
      <c r="Z2718" s="37">
        <v>1</v>
      </c>
      <c r="AA2718" s="37">
        <v>1</v>
      </c>
      <c r="AB2718">
        <v>0</v>
      </c>
    </row>
    <row r="2719">
      <c r="A2719" t="s">
        <v>6799</v>
      </c>
      <c r="B2719" t="s">
        <v>4807</v>
      </c>
      <c r="C2719" t="s">
        <v>4807</v>
      </c>
      <c r="D2719" t="s">
        <v>1216</v>
      </c>
      <c r="E2719" t="s">
        <v>6800</v>
      </c>
      <c r="F2719" t="s">
        <v>298</v>
      </c>
      <c r="G2719" t="s">
        <v>6737</v>
      </c>
      <c r="H2719" t="s">
        <v>6738</v>
      </c>
      <c r="I2719" t="s">
        <v>6797</v>
      </c>
      <c r="J2719">
        <v>15</v>
      </c>
      <c r="K2719">
        <v>10</v>
      </c>
      <c r="L2719" t="s">
        <v>6801</v>
      </c>
      <c r="M2719" s="37">
        <v>0.666667</v>
      </c>
      <c r="N2719" s="37">
        <v>0.09</v>
      </c>
      <c r="O2719">
        <v>0.6</v>
      </c>
      <c r="P2719" s="37">
        <v>0.70567</v>
      </c>
      <c r="Q2719">
        <v>0.99</v>
      </c>
      <c r="R2719">
        <v>960.32</v>
      </c>
      <c r="S2719">
        <v>960.32</v>
      </c>
      <c r="T2719">
        <v>2000</v>
      </c>
      <c r="U2719" t="s">
        <v>6232</v>
      </c>
      <c r="X2719">
        <v>1</v>
      </c>
      <c r="Z2719" s="37">
        <v>1</v>
      </c>
      <c r="AA2719" s="37">
        <v>1</v>
      </c>
      <c r="AB2719">
        <v>0</v>
      </c>
    </row>
    <row r="2720">
      <c r="A2720" t="s">
        <v>6799</v>
      </c>
      <c r="B2720" t="s">
        <v>4807</v>
      </c>
      <c r="C2720" t="s">
        <v>4807</v>
      </c>
      <c r="D2720" t="s">
        <v>1216</v>
      </c>
      <c r="E2720" t="s">
        <v>6800</v>
      </c>
      <c r="F2720" t="s">
        <v>298</v>
      </c>
      <c r="G2720" t="s">
        <v>6737</v>
      </c>
      <c r="H2720" t="s">
        <v>6738</v>
      </c>
      <c r="I2720" t="s">
        <v>6797</v>
      </c>
      <c r="J2720">
        <v>2</v>
      </c>
      <c r="K2720">
        <v>2</v>
      </c>
      <c r="L2720" t="s">
        <v>6802</v>
      </c>
      <c r="M2720" s="37">
        <v>1</v>
      </c>
      <c r="N2720" s="37">
        <v>0.06</v>
      </c>
      <c r="O2720">
        <v>1</v>
      </c>
      <c r="P2720" s="37">
        <v>0.70567</v>
      </c>
      <c r="Q2720">
        <v>0.99</v>
      </c>
      <c r="R2720">
        <v>960.32</v>
      </c>
      <c r="S2720">
        <v>960.32</v>
      </c>
      <c r="T2720">
        <v>2000</v>
      </c>
      <c r="U2720" t="s">
        <v>6232</v>
      </c>
      <c r="X2720">
        <v>1</v>
      </c>
      <c r="Z2720" s="37">
        <v>1</v>
      </c>
      <c r="AA2720" s="37">
        <v>1</v>
      </c>
      <c r="AB2720">
        <v>0</v>
      </c>
    </row>
    <row r="2721">
      <c r="A2721" t="s">
        <v>6799</v>
      </c>
      <c r="B2721" t="s">
        <v>4807</v>
      </c>
      <c r="C2721" t="s">
        <v>4807</v>
      </c>
      <c r="D2721" t="s">
        <v>1216</v>
      </c>
      <c r="E2721" t="s">
        <v>6800</v>
      </c>
      <c r="F2721" t="s">
        <v>298</v>
      </c>
      <c r="G2721" t="s">
        <v>6737</v>
      </c>
      <c r="H2721" t="s">
        <v>6738</v>
      </c>
      <c r="I2721" t="s">
        <v>6797</v>
      </c>
      <c r="J2721">
        <v>3</v>
      </c>
      <c r="K2721">
        <v>3</v>
      </c>
      <c r="L2721" t="s">
        <v>6803</v>
      </c>
      <c r="M2721" s="37">
        <v>1</v>
      </c>
      <c r="N2721" s="37">
        <v>0.06</v>
      </c>
      <c r="O2721">
        <v>1</v>
      </c>
      <c r="P2721" s="37">
        <v>0.70567</v>
      </c>
      <c r="Q2721">
        <v>0.99</v>
      </c>
      <c r="R2721">
        <v>960.32</v>
      </c>
      <c r="S2721">
        <v>960.32</v>
      </c>
      <c r="T2721">
        <v>2000</v>
      </c>
      <c r="U2721" t="s">
        <v>6232</v>
      </c>
      <c r="X2721">
        <v>1</v>
      </c>
      <c r="Z2721" s="37">
        <v>1</v>
      </c>
      <c r="AA2721" s="37">
        <v>1</v>
      </c>
      <c r="AB2721">
        <v>0</v>
      </c>
    </row>
    <row r="2722">
      <c r="A2722" t="s">
        <v>6799</v>
      </c>
      <c r="B2722" t="s">
        <v>4807</v>
      </c>
      <c r="C2722" t="s">
        <v>4807</v>
      </c>
      <c r="D2722" t="s">
        <v>1216</v>
      </c>
      <c r="E2722" t="s">
        <v>6800</v>
      </c>
      <c r="F2722" t="s">
        <v>298</v>
      </c>
      <c r="G2722" t="s">
        <v>6737</v>
      </c>
      <c r="H2722" t="s">
        <v>6738</v>
      </c>
      <c r="I2722" t="s">
        <v>6797</v>
      </c>
      <c r="J2722">
        <v>2</v>
      </c>
      <c r="K2722">
        <v>5</v>
      </c>
      <c r="L2722" t="s">
        <v>6804</v>
      </c>
      <c r="M2722" s="37">
        <v>1.5</v>
      </c>
      <c r="N2722" s="37">
        <v>0.09</v>
      </c>
      <c r="O2722">
        <v>1.5</v>
      </c>
      <c r="P2722" s="37">
        <v>0.70567</v>
      </c>
      <c r="Q2722">
        <v>0.99</v>
      </c>
      <c r="R2722">
        <v>960.32</v>
      </c>
      <c r="S2722">
        <v>960.32</v>
      </c>
      <c r="T2722">
        <v>2000</v>
      </c>
      <c r="U2722" t="s">
        <v>6232</v>
      </c>
      <c r="X2722">
        <v>1</v>
      </c>
      <c r="Z2722" s="37">
        <v>1</v>
      </c>
      <c r="AA2722" s="37">
        <v>1</v>
      </c>
      <c r="AB2722">
        <v>0</v>
      </c>
    </row>
    <row r="2723">
      <c r="A2723" t="s">
        <v>6799</v>
      </c>
      <c r="B2723" t="s">
        <v>4807</v>
      </c>
      <c r="C2723" t="s">
        <v>4807</v>
      </c>
      <c r="D2723" t="s">
        <v>1216</v>
      </c>
      <c r="E2723" t="s">
        <v>6800</v>
      </c>
      <c r="F2723" t="s">
        <v>298</v>
      </c>
      <c r="G2723" t="s">
        <v>6737</v>
      </c>
      <c r="H2723" t="s">
        <v>6644</v>
      </c>
      <c r="I2723" t="s">
        <v>6797</v>
      </c>
      <c r="J2723">
        <v>1</v>
      </c>
      <c r="K2723">
        <v>1</v>
      </c>
      <c r="L2723" t="s">
        <v>6804</v>
      </c>
      <c r="M2723" s="37">
        <v>1</v>
      </c>
      <c r="N2723" s="37">
        <v>0.3</v>
      </c>
      <c r="O2723">
        <v>1</v>
      </c>
      <c r="P2723" s="37">
        <v>0.70567</v>
      </c>
      <c r="Q2723">
        <v>0.99</v>
      </c>
      <c r="R2723">
        <v>960.32</v>
      </c>
      <c r="S2723">
        <v>960.32</v>
      </c>
      <c r="T2723">
        <v>2000</v>
      </c>
      <c r="U2723" t="s">
        <v>6232</v>
      </c>
      <c r="X2723">
        <v>1</v>
      </c>
      <c r="Z2723" s="37">
        <v>1</v>
      </c>
      <c r="AA2723" s="37">
        <v>1</v>
      </c>
      <c r="AB2723">
        <v>0</v>
      </c>
    </row>
    <row r="2724">
      <c r="A2724" t="s">
        <v>6799</v>
      </c>
      <c r="B2724" t="s">
        <v>4807</v>
      </c>
      <c r="C2724" t="s">
        <v>4807</v>
      </c>
      <c r="D2724" t="s">
        <v>1216</v>
      </c>
      <c r="E2724" t="s">
        <v>6800</v>
      </c>
      <c r="F2724" t="s">
        <v>298</v>
      </c>
      <c r="G2724" t="s">
        <v>6737</v>
      </c>
      <c r="H2724" t="s">
        <v>6743</v>
      </c>
      <c r="I2724" t="s">
        <v>6805</v>
      </c>
      <c r="J2724">
        <v>28.48</v>
      </c>
      <c r="K2724">
        <v>0.0297</v>
      </c>
      <c r="L2724" t="s">
        <v>6806</v>
      </c>
      <c r="M2724" s="37">
        <v>0.00001</v>
      </c>
      <c r="N2724" s="37">
        <v>0.32</v>
      </c>
      <c r="O2724">
        <v>0</v>
      </c>
      <c r="P2724" s="37">
        <v>0.70567</v>
      </c>
      <c r="Q2724">
        <v>0.99</v>
      </c>
      <c r="R2724">
        <v>960.32</v>
      </c>
      <c r="S2724">
        <v>960.32</v>
      </c>
      <c r="T2724">
        <v>2000</v>
      </c>
      <c r="U2724" t="s">
        <v>6232</v>
      </c>
      <c r="X2724">
        <v>1</v>
      </c>
      <c r="Z2724" s="37">
        <v>1</v>
      </c>
      <c r="AA2724" s="37">
        <v>1</v>
      </c>
      <c r="AB2724">
        <v>0</v>
      </c>
    </row>
    <row r="2725">
      <c r="A2725" t="s">
        <v>6799</v>
      </c>
      <c r="B2725" t="s">
        <v>4807</v>
      </c>
      <c r="C2725" t="s">
        <v>4807</v>
      </c>
      <c r="D2725" t="s">
        <v>1216</v>
      </c>
      <c r="E2725" t="s">
        <v>6800</v>
      </c>
      <c r="F2725" t="s">
        <v>298</v>
      </c>
      <c r="G2725" t="s">
        <v>6737</v>
      </c>
      <c r="H2725" t="s">
        <v>6743</v>
      </c>
      <c r="I2725" t="s">
        <v>6807</v>
      </c>
      <c r="J2725" t="s">
        <v>6808</v>
      </c>
      <c r="K2725">
        <v>15</v>
      </c>
      <c r="L2725" t="s">
        <v>6809</v>
      </c>
      <c r="M2725" s="37">
        <v>1.133333</v>
      </c>
      <c r="N2725" s="37">
        <v>0.08</v>
      </c>
      <c r="O2725">
        <v>1.1333</v>
      </c>
      <c r="P2725" s="37">
        <v>0.70567</v>
      </c>
      <c r="Q2725">
        <v>0.99</v>
      </c>
      <c r="R2725">
        <v>960.32</v>
      </c>
      <c r="S2725">
        <v>960.32</v>
      </c>
      <c r="T2725">
        <v>2000</v>
      </c>
      <c r="U2725" t="s">
        <v>6232</v>
      </c>
      <c r="X2725">
        <v>1</v>
      </c>
      <c r="Z2725" s="37">
        <v>1</v>
      </c>
      <c r="AA2725" s="37">
        <v>1</v>
      </c>
      <c r="AB2725">
        <v>0</v>
      </c>
    </row>
    <row r="2726">
      <c r="A2726" t="s">
        <v>6810</v>
      </c>
      <c r="B2726" t="s">
        <v>4807</v>
      </c>
      <c r="C2726" t="s">
        <v>4807</v>
      </c>
      <c r="D2726" t="s">
        <v>1216</v>
      </c>
      <c r="E2726" t="s">
        <v>6811</v>
      </c>
      <c r="F2726" t="s">
        <v>298</v>
      </c>
      <c r="G2726" t="s">
        <v>6737</v>
      </c>
      <c r="H2726" t="s">
        <v>6738</v>
      </c>
      <c r="I2726" t="s">
        <v>6812</v>
      </c>
      <c r="J2726" t="s">
        <v>3154</v>
      </c>
      <c r="K2726">
        <v>15</v>
      </c>
      <c r="L2726" t="s">
        <v>6813</v>
      </c>
      <c r="M2726" s="37">
        <v>1</v>
      </c>
      <c r="N2726" s="37">
        <v>0.075</v>
      </c>
      <c r="O2726">
        <v>1.05</v>
      </c>
      <c r="P2726" s="37">
        <v>0.913322</v>
      </c>
      <c r="Q2726">
        <v>1</v>
      </c>
      <c r="R2726">
        <v>1401.52</v>
      </c>
      <c r="S2726">
        <v>1401.52</v>
      </c>
      <c r="T2726">
        <v>2000</v>
      </c>
      <c r="U2726" t="s">
        <v>6232</v>
      </c>
      <c r="X2726">
        <v>1</v>
      </c>
      <c r="Z2726" s="37">
        <v>1</v>
      </c>
      <c r="AA2726" s="37">
        <v>1</v>
      </c>
      <c r="AB2726">
        <v>0</v>
      </c>
    </row>
    <row r="2727">
      <c r="A2727" t="s">
        <v>6810</v>
      </c>
      <c r="B2727" t="s">
        <v>4807</v>
      </c>
      <c r="C2727" t="s">
        <v>4807</v>
      </c>
      <c r="D2727" t="s">
        <v>1216</v>
      </c>
      <c r="E2727" t="s">
        <v>6811</v>
      </c>
      <c r="F2727" t="s">
        <v>298</v>
      </c>
      <c r="G2727" t="s">
        <v>6737</v>
      </c>
      <c r="H2727" t="s">
        <v>6738</v>
      </c>
      <c r="I2727" t="s">
        <v>6814</v>
      </c>
      <c r="J2727" t="s">
        <v>706</v>
      </c>
      <c r="K2727">
        <v>4</v>
      </c>
      <c r="L2727" t="s">
        <v>6815</v>
      </c>
      <c r="M2727" s="37">
        <v>1.333333</v>
      </c>
      <c r="N2727" s="37">
        <v>0.075</v>
      </c>
      <c r="O2727">
        <v>1.3333</v>
      </c>
      <c r="P2727" s="37">
        <v>0.913322</v>
      </c>
      <c r="Q2727">
        <v>1</v>
      </c>
      <c r="R2727">
        <v>1401.52</v>
      </c>
      <c r="S2727">
        <v>1401.52</v>
      </c>
      <c r="T2727">
        <v>2000</v>
      </c>
      <c r="U2727" t="s">
        <v>6232</v>
      </c>
      <c r="X2727">
        <v>1</v>
      </c>
      <c r="Z2727" s="37">
        <v>1</v>
      </c>
      <c r="AA2727" s="37">
        <v>1</v>
      </c>
      <c r="AB2727">
        <v>0</v>
      </c>
    </row>
    <row r="2728">
      <c r="A2728" t="s">
        <v>6810</v>
      </c>
      <c r="B2728" t="s">
        <v>4807</v>
      </c>
      <c r="C2728" t="s">
        <v>4807</v>
      </c>
      <c r="D2728" t="s">
        <v>1216</v>
      </c>
      <c r="E2728" t="s">
        <v>6811</v>
      </c>
      <c r="F2728" t="s">
        <v>298</v>
      </c>
      <c r="G2728" t="s">
        <v>6737</v>
      </c>
      <c r="H2728" t="s">
        <v>6738</v>
      </c>
      <c r="I2728" t="s">
        <v>6816</v>
      </c>
      <c r="J2728" t="s">
        <v>6817</v>
      </c>
      <c r="K2728">
        <v>22</v>
      </c>
      <c r="L2728" t="s">
        <v>6818</v>
      </c>
      <c r="M2728" s="37">
        <v>1</v>
      </c>
      <c r="N2728" s="37">
        <v>0.075</v>
      </c>
      <c r="O2728">
        <v>1.05</v>
      </c>
      <c r="P2728" s="37">
        <v>0.913322</v>
      </c>
      <c r="Q2728">
        <v>1</v>
      </c>
      <c r="R2728">
        <v>1401.52</v>
      </c>
      <c r="S2728">
        <v>1401.52</v>
      </c>
      <c r="T2728">
        <v>2000</v>
      </c>
      <c r="U2728" t="s">
        <v>6232</v>
      </c>
      <c r="X2728">
        <v>1</v>
      </c>
      <c r="Z2728" s="37">
        <v>1</v>
      </c>
      <c r="AA2728" s="37">
        <v>1</v>
      </c>
      <c r="AB2728">
        <v>0</v>
      </c>
    </row>
    <row r="2729">
      <c r="A2729" t="s">
        <v>6810</v>
      </c>
      <c r="B2729" t="s">
        <v>4807</v>
      </c>
      <c r="C2729" t="s">
        <v>4807</v>
      </c>
      <c r="D2729" t="s">
        <v>1216</v>
      </c>
      <c r="E2729" t="s">
        <v>6811</v>
      </c>
      <c r="F2729" t="s">
        <v>298</v>
      </c>
      <c r="G2729" t="s">
        <v>6737</v>
      </c>
      <c r="H2729" t="s">
        <v>6738</v>
      </c>
      <c r="I2729" t="s">
        <v>6819</v>
      </c>
      <c r="J2729" t="s">
        <v>1454</v>
      </c>
      <c r="K2729">
        <v>6</v>
      </c>
      <c r="L2729" t="s">
        <v>6820</v>
      </c>
      <c r="M2729" s="37">
        <v>0.857143</v>
      </c>
      <c r="N2729" s="37">
        <v>0.075</v>
      </c>
      <c r="O2729">
        <v>0.8571</v>
      </c>
      <c r="P2729" s="37">
        <v>0.913322</v>
      </c>
      <c r="Q2729">
        <v>1</v>
      </c>
      <c r="R2729">
        <v>1401.52</v>
      </c>
      <c r="S2729">
        <v>1401.52</v>
      </c>
      <c r="T2729">
        <v>2000</v>
      </c>
      <c r="U2729" t="s">
        <v>6232</v>
      </c>
      <c r="X2729">
        <v>1</v>
      </c>
      <c r="Z2729" s="37">
        <v>1</v>
      </c>
      <c r="AA2729" s="37">
        <v>1</v>
      </c>
      <c r="AB2729">
        <v>0</v>
      </c>
    </row>
    <row r="2730">
      <c r="A2730" t="s">
        <v>6810</v>
      </c>
      <c r="B2730" t="s">
        <v>4807</v>
      </c>
      <c r="C2730" t="s">
        <v>4807</v>
      </c>
      <c r="D2730" t="s">
        <v>1216</v>
      </c>
      <c r="E2730" t="s">
        <v>6811</v>
      </c>
      <c r="F2730" t="s">
        <v>298</v>
      </c>
      <c r="G2730" t="s">
        <v>6737</v>
      </c>
      <c r="H2730" t="s">
        <v>6644</v>
      </c>
      <c r="I2730" t="s">
        <v>6764</v>
      </c>
      <c r="J2730">
        <v>1</v>
      </c>
      <c r="K2730">
        <v>1</v>
      </c>
      <c r="L2730" t="s">
        <v>6820</v>
      </c>
      <c r="M2730" s="37">
        <v>1</v>
      </c>
      <c r="N2730" s="37">
        <v>0.3</v>
      </c>
      <c r="O2730">
        <v>1</v>
      </c>
      <c r="P2730" s="37">
        <v>0.913322</v>
      </c>
      <c r="Q2730">
        <v>1</v>
      </c>
      <c r="R2730">
        <v>1401.52</v>
      </c>
      <c r="S2730">
        <v>1401.52</v>
      </c>
      <c r="T2730">
        <v>2000</v>
      </c>
      <c r="U2730" t="s">
        <v>6232</v>
      </c>
      <c r="X2730">
        <v>1</v>
      </c>
      <c r="Z2730" s="37">
        <v>1</v>
      </c>
      <c r="AA2730" s="37">
        <v>1</v>
      </c>
      <c r="AB2730">
        <v>0</v>
      </c>
    </row>
    <row r="2731">
      <c r="A2731" t="s">
        <v>6810</v>
      </c>
      <c r="B2731" t="s">
        <v>4807</v>
      </c>
      <c r="C2731" t="s">
        <v>4807</v>
      </c>
      <c r="D2731" t="s">
        <v>1216</v>
      </c>
      <c r="E2731" t="s">
        <v>6811</v>
      </c>
      <c r="F2731" t="s">
        <v>298</v>
      </c>
      <c r="G2731" t="s">
        <v>6737</v>
      </c>
      <c r="H2731" t="s">
        <v>6743</v>
      </c>
      <c r="I2731" t="s">
        <v>6821</v>
      </c>
      <c r="J2731" t="s">
        <v>6822</v>
      </c>
      <c r="K2731" t="s">
        <v>6823</v>
      </c>
      <c r="L2731" t="s">
        <v>6824</v>
      </c>
      <c r="M2731" s="37">
        <v>0.74759</v>
      </c>
      <c r="N2731" s="37">
        <v>0.4</v>
      </c>
      <c r="O2731">
        <v>0.8223</v>
      </c>
      <c r="P2731" s="37">
        <v>0.913322</v>
      </c>
      <c r="Q2731">
        <v>1</v>
      </c>
      <c r="R2731">
        <v>1401.52</v>
      </c>
      <c r="S2731">
        <v>1401.52</v>
      </c>
      <c r="T2731">
        <v>2000</v>
      </c>
      <c r="U2731" t="s">
        <v>6232</v>
      </c>
      <c r="X2731">
        <v>1</v>
      </c>
      <c r="Z2731" s="37">
        <v>1</v>
      </c>
      <c r="AA2731" s="37">
        <v>1</v>
      </c>
      <c r="AB2731">
        <v>0</v>
      </c>
    </row>
    <row r="2732">
      <c r="A2732" t="s">
        <v>6825</v>
      </c>
      <c r="B2732" t="s">
        <v>4807</v>
      </c>
      <c r="C2732" t="s">
        <v>4807</v>
      </c>
      <c r="D2732" t="s">
        <v>359</v>
      </c>
      <c r="E2732" t="s">
        <v>6826</v>
      </c>
      <c r="F2732" t="s">
        <v>298</v>
      </c>
      <c r="G2732" t="s">
        <v>6737</v>
      </c>
      <c r="H2732" t="s">
        <v>6738</v>
      </c>
      <c r="I2732" t="s">
        <v>6754</v>
      </c>
      <c r="J2732">
        <v>15</v>
      </c>
      <c r="K2732">
        <v>12.4</v>
      </c>
      <c r="L2732" t="s">
        <v>6827</v>
      </c>
      <c r="M2732" s="37">
        <v>0.826667</v>
      </c>
      <c r="N2732" s="37">
        <v>0.09</v>
      </c>
      <c r="O2732">
        <v>0.744</v>
      </c>
      <c r="P2732" s="37">
        <v>0.809148</v>
      </c>
      <c r="Q2732">
        <v>0</v>
      </c>
      <c r="R2732">
        <v>0</v>
      </c>
      <c r="S2732">
        <v>0</v>
      </c>
      <c r="T2732">
        <v>5000</v>
      </c>
      <c r="U2732" t="s">
        <v>6232</v>
      </c>
      <c r="X2732">
        <v>1</v>
      </c>
      <c r="Z2732" s="37">
        <v>1</v>
      </c>
      <c r="AA2732" s="37">
        <v>1</v>
      </c>
      <c r="AB2732">
        <v>0</v>
      </c>
    </row>
    <row r="2733">
      <c r="A2733" t="s">
        <v>6825</v>
      </c>
      <c r="B2733" t="s">
        <v>4807</v>
      </c>
      <c r="C2733" t="s">
        <v>4807</v>
      </c>
      <c r="D2733" t="s">
        <v>359</v>
      </c>
      <c r="E2733" t="s">
        <v>6826</v>
      </c>
      <c r="F2733" t="s">
        <v>298</v>
      </c>
      <c r="G2733" t="s">
        <v>6737</v>
      </c>
      <c r="H2733" t="s">
        <v>6738</v>
      </c>
      <c r="I2733" t="s">
        <v>6828</v>
      </c>
      <c r="J2733">
        <v>2</v>
      </c>
      <c r="K2733">
        <v>3</v>
      </c>
      <c r="L2733" t="s">
        <v>6829</v>
      </c>
      <c r="M2733" s="37">
        <v>1.5</v>
      </c>
      <c r="N2733" s="37">
        <v>0.06</v>
      </c>
      <c r="O2733">
        <v>1.5</v>
      </c>
      <c r="P2733" s="37">
        <v>0.809148</v>
      </c>
      <c r="Q2733">
        <v>0</v>
      </c>
      <c r="R2733">
        <v>0</v>
      </c>
      <c r="S2733">
        <v>0</v>
      </c>
      <c r="T2733">
        <v>5000</v>
      </c>
      <c r="U2733" t="s">
        <v>6232</v>
      </c>
      <c r="X2733">
        <v>1</v>
      </c>
      <c r="Z2733" s="37">
        <v>1</v>
      </c>
      <c r="AA2733" s="37">
        <v>1</v>
      </c>
      <c r="AB2733">
        <v>0</v>
      </c>
    </row>
    <row r="2734">
      <c r="A2734" t="s">
        <v>6825</v>
      </c>
      <c r="B2734" t="s">
        <v>4807</v>
      </c>
      <c r="C2734" t="s">
        <v>4807</v>
      </c>
      <c r="D2734" t="s">
        <v>359</v>
      </c>
      <c r="E2734" t="s">
        <v>6826</v>
      </c>
      <c r="F2734" t="s">
        <v>298</v>
      </c>
      <c r="G2734" t="s">
        <v>6737</v>
      </c>
      <c r="H2734" t="s">
        <v>6738</v>
      </c>
      <c r="I2734" t="s">
        <v>6830</v>
      </c>
      <c r="J2734">
        <v>3</v>
      </c>
      <c r="K2734">
        <v>4</v>
      </c>
      <c r="L2734" t="s">
        <v>6831</v>
      </c>
      <c r="M2734" s="37">
        <v>1.333333</v>
      </c>
      <c r="N2734" s="37">
        <v>0.045</v>
      </c>
      <c r="O2734">
        <v>1.3333</v>
      </c>
      <c r="P2734" s="37">
        <v>0.809148</v>
      </c>
      <c r="Q2734">
        <v>0</v>
      </c>
      <c r="R2734">
        <v>0</v>
      </c>
      <c r="S2734">
        <v>0</v>
      </c>
      <c r="T2734">
        <v>5000</v>
      </c>
      <c r="U2734" t="s">
        <v>6232</v>
      </c>
      <c r="X2734">
        <v>1</v>
      </c>
      <c r="Z2734" s="37">
        <v>1</v>
      </c>
      <c r="AA2734" s="37">
        <v>1</v>
      </c>
      <c r="AB2734">
        <v>0</v>
      </c>
    </row>
    <row r="2735">
      <c r="A2735" t="s">
        <v>6825</v>
      </c>
      <c r="B2735" t="s">
        <v>4807</v>
      </c>
      <c r="C2735" t="s">
        <v>4807</v>
      </c>
      <c r="D2735" t="s">
        <v>359</v>
      </c>
      <c r="E2735" t="s">
        <v>6826</v>
      </c>
      <c r="F2735" t="s">
        <v>298</v>
      </c>
      <c r="G2735" t="s">
        <v>6737</v>
      </c>
      <c r="H2735" t="s">
        <v>6738</v>
      </c>
      <c r="I2735" t="s">
        <v>6832</v>
      </c>
      <c r="J2735">
        <v>50</v>
      </c>
      <c r="K2735">
        <v>134</v>
      </c>
      <c r="L2735" t="s">
        <v>6833</v>
      </c>
      <c r="M2735" s="37">
        <v>1.5</v>
      </c>
      <c r="N2735" s="37">
        <v>0.045</v>
      </c>
      <c r="O2735">
        <v>1.5</v>
      </c>
      <c r="P2735" s="37">
        <v>0.809148</v>
      </c>
      <c r="Q2735">
        <v>0</v>
      </c>
      <c r="R2735">
        <v>0</v>
      </c>
      <c r="S2735">
        <v>0</v>
      </c>
      <c r="T2735">
        <v>5000</v>
      </c>
      <c r="U2735" t="s">
        <v>6232</v>
      </c>
      <c r="X2735">
        <v>1</v>
      </c>
      <c r="Z2735" s="37">
        <v>1</v>
      </c>
      <c r="AA2735" s="37">
        <v>1</v>
      </c>
      <c r="AB2735">
        <v>0</v>
      </c>
    </row>
    <row r="2736">
      <c r="A2736" t="s">
        <v>6825</v>
      </c>
      <c r="B2736" t="s">
        <v>4807</v>
      </c>
      <c r="C2736" t="s">
        <v>4807</v>
      </c>
      <c r="D2736" t="s">
        <v>359</v>
      </c>
      <c r="E2736" t="s">
        <v>6826</v>
      </c>
      <c r="F2736" t="s">
        <v>298</v>
      </c>
      <c r="G2736" t="s">
        <v>6737</v>
      </c>
      <c r="H2736" t="s">
        <v>6738</v>
      </c>
      <c r="I2736" t="s">
        <v>6834</v>
      </c>
      <c r="J2736">
        <v>2</v>
      </c>
      <c r="K2736">
        <v>2</v>
      </c>
      <c r="L2736" t="s">
        <v>6835</v>
      </c>
      <c r="M2736" s="37">
        <v>1</v>
      </c>
      <c r="N2736" s="37">
        <v>0.06</v>
      </c>
      <c r="O2736">
        <v>1</v>
      </c>
      <c r="P2736" s="37">
        <v>0.809148</v>
      </c>
      <c r="Q2736">
        <v>0</v>
      </c>
      <c r="R2736">
        <v>0</v>
      </c>
      <c r="S2736">
        <v>0</v>
      </c>
      <c r="T2736">
        <v>5000</v>
      </c>
      <c r="U2736" t="s">
        <v>6232</v>
      </c>
      <c r="X2736">
        <v>1</v>
      </c>
      <c r="Z2736" s="37">
        <v>1</v>
      </c>
      <c r="AA2736" s="37">
        <v>1</v>
      </c>
      <c r="AB2736">
        <v>0</v>
      </c>
    </row>
    <row r="2737">
      <c r="A2737" t="s">
        <v>6825</v>
      </c>
      <c r="B2737" t="s">
        <v>4807</v>
      </c>
      <c r="C2737" t="s">
        <v>4807</v>
      </c>
      <c r="D2737" t="s">
        <v>359</v>
      </c>
      <c r="E2737" t="s">
        <v>6826</v>
      </c>
      <c r="F2737" t="s">
        <v>298</v>
      </c>
      <c r="G2737" t="s">
        <v>6737</v>
      </c>
      <c r="H2737" t="s">
        <v>6644</v>
      </c>
      <c r="I2737" t="s">
        <v>6764</v>
      </c>
      <c r="J2737">
        <v>1</v>
      </c>
      <c r="K2737">
        <v>1</v>
      </c>
      <c r="L2737" t="s">
        <v>6835</v>
      </c>
      <c r="M2737" s="37">
        <v>1</v>
      </c>
      <c r="N2737" s="37">
        <v>0.3</v>
      </c>
      <c r="O2737">
        <v>1</v>
      </c>
      <c r="P2737" s="37">
        <v>0.809148</v>
      </c>
      <c r="Q2737">
        <v>0</v>
      </c>
      <c r="R2737">
        <v>0</v>
      </c>
      <c r="S2737">
        <v>0</v>
      </c>
      <c r="T2737">
        <v>5000</v>
      </c>
      <c r="U2737" t="s">
        <v>6232</v>
      </c>
      <c r="X2737">
        <v>1</v>
      </c>
      <c r="Z2737" s="37">
        <v>1</v>
      </c>
      <c r="AA2737" s="37">
        <v>1</v>
      </c>
      <c r="AB2737">
        <v>0</v>
      </c>
    </row>
    <row r="2738">
      <c r="A2738" t="s">
        <v>6825</v>
      </c>
      <c r="B2738" t="s">
        <v>4807</v>
      </c>
      <c r="C2738" t="s">
        <v>4807</v>
      </c>
      <c r="D2738" t="s">
        <v>359</v>
      </c>
      <c r="E2738" t="s">
        <v>6826</v>
      </c>
      <c r="F2738" t="s">
        <v>298</v>
      </c>
      <c r="G2738" t="s">
        <v>6737</v>
      </c>
      <c r="H2738" t="s">
        <v>6743</v>
      </c>
      <c r="I2738" t="s">
        <v>6836</v>
      </c>
      <c r="J2738" t="s">
        <v>6837</v>
      </c>
      <c r="K2738">
        <v>17.8791</v>
      </c>
      <c r="L2738" t="s">
        <v>6838</v>
      </c>
      <c r="M2738" s="37">
        <v>0.39312</v>
      </c>
      <c r="N2738" s="37">
        <v>0.4</v>
      </c>
      <c r="O2738">
        <v>0.3931</v>
      </c>
      <c r="P2738" s="37">
        <v>0.809148</v>
      </c>
      <c r="Q2738">
        <v>0</v>
      </c>
      <c r="R2738">
        <v>0</v>
      </c>
      <c r="S2738">
        <v>0</v>
      </c>
      <c r="T2738">
        <v>5000</v>
      </c>
      <c r="U2738" t="s">
        <v>6232</v>
      </c>
      <c r="X2738">
        <v>1</v>
      </c>
      <c r="Z2738" s="37">
        <v>1</v>
      </c>
      <c r="AA2738" s="37">
        <v>1</v>
      </c>
      <c r="AB2738">
        <v>0</v>
      </c>
    </row>
    <row r="2739">
      <c r="A2739" t="s">
        <v>6839</v>
      </c>
      <c r="B2739" t="s">
        <v>6840</v>
      </c>
      <c r="C2739" t="s">
        <v>6840</v>
      </c>
      <c r="D2739" t="s">
        <v>1824</v>
      </c>
      <c r="E2739" t="s">
        <v>6841</v>
      </c>
      <c r="F2739" t="s">
        <v>298</v>
      </c>
      <c r="G2739" t="s">
        <v>1826</v>
      </c>
      <c r="H2739" t="s">
        <v>1491</v>
      </c>
      <c r="I2739" t="s">
        <v>6842</v>
      </c>
      <c r="J2739" t="s">
        <v>2930</v>
      </c>
      <c r="K2739" t="s">
        <v>6843</v>
      </c>
      <c r="L2739" t="s">
        <v>6838</v>
      </c>
      <c r="M2739" s="37">
        <v>0.92</v>
      </c>
      <c r="N2739" s="37">
        <v>0.5</v>
      </c>
      <c r="O2739">
        <v>0.918</v>
      </c>
      <c r="P2739" s="37">
        <v>1.183</v>
      </c>
      <c r="Q2739">
        <v>1.16</v>
      </c>
      <c r="R2739">
        <v>8552.64</v>
      </c>
      <c r="S2739">
        <v>8638.35</v>
      </c>
      <c r="T2739">
        <v>6000</v>
      </c>
      <c r="U2739" t="s">
        <v>6232</v>
      </c>
      <c r="X2739">
        <v>1</v>
      </c>
      <c r="Z2739" s="37">
        <v>1</v>
      </c>
      <c r="AA2739" s="37">
        <v>1</v>
      </c>
      <c r="AB2739">
        <v>0</v>
      </c>
    </row>
    <row r="2740">
      <c r="A2740" t="s">
        <v>6839</v>
      </c>
      <c r="B2740" t="s">
        <v>6840</v>
      </c>
      <c r="C2740" t="s">
        <v>6840</v>
      </c>
      <c r="D2740" t="s">
        <v>1824</v>
      </c>
      <c r="E2740" t="s">
        <v>6841</v>
      </c>
      <c r="F2740" t="s">
        <v>298</v>
      </c>
      <c r="G2740" t="s">
        <v>1826</v>
      </c>
      <c r="H2740" t="s">
        <v>1526</v>
      </c>
      <c r="I2740" t="s">
        <v>2910</v>
      </c>
      <c r="J2740" t="s">
        <v>1016</v>
      </c>
      <c r="K2740" t="s">
        <v>984</v>
      </c>
      <c r="L2740" t="s">
        <v>6838</v>
      </c>
      <c r="M2740" s="37">
        <v>1.33</v>
      </c>
      <c r="N2740" s="37">
        <v>0.15</v>
      </c>
      <c r="O2740">
        <v>1.332</v>
      </c>
      <c r="P2740" s="37">
        <v>1.183</v>
      </c>
      <c r="Q2740">
        <v>1.16</v>
      </c>
      <c r="R2740">
        <v>8552.64</v>
      </c>
      <c r="S2740">
        <v>8638.35</v>
      </c>
      <c r="T2740">
        <v>6000</v>
      </c>
      <c r="U2740" t="s">
        <v>6232</v>
      </c>
      <c r="X2740">
        <v>1</v>
      </c>
      <c r="Z2740" s="37">
        <v>1</v>
      </c>
      <c r="AA2740" s="37">
        <v>1</v>
      </c>
      <c r="AB2740">
        <v>0</v>
      </c>
    </row>
    <row r="2741">
      <c r="A2741" t="s">
        <v>6839</v>
      </c>
      <c r="B2741" t="s">
        <v>6840</v>
      </c>
      <c r="C2741" t="s">
        <v>6840</v>
      </c>
      <c r="D2741" t="s">
        <v>1824</v>
      </c>
      <c r="E2741" t="s">
        <v>6841</v>
      </c>
      <c r="F2741" t="s">
        <v>298</v>
      </c>
      <c r="G2741" t="s">
        <v>1826</v>
      </c>
      <c r="H2741" t="s">
        <v>1491</v>
      </c>
      <c r="I2741" t="s">
        <v>1844</v>
      </c>
      <c r="J2741" t="s">
        <v>1048</v>
      </c>
      <c r="K2741" t="s">
        <v>6844</v>
      </c>
      <c r="L2741" t="s">
        <v>6838</v>
      </c>
      <c r="M2741" s="37">
        <v>1.7</v>
      </c>
      <c r="N2741" s="37">
        <v>0.1</v>
      </c>
      <c r="O2741">
        <v>1.5</v>
      </c>
      <c r="P2741" s="37">
        <v>1.183</v>
      </c>
      <c r="Q2741">
        <v>1.16</v>
      </c>
      <c r="R2741">
        <v>8552.64</v>
      </c>
      <c r="S2741">
        <v>8638.35</v>
      </c>
      <c r="T2741">
        <v>6000</v>
      </c>
      <c r="U2741" t="s">
        <v>6232</v>
      </c>
      <c r="X2741">
        <v>1</v>
      </c>
      <c r="Z2741" s="37">
        <v>1</v>
      </c>
      <c r="AA2741" s="37">
        <v>1</v>
      </c>
      <c r="AB2741">
        <v>0</v>
      </c>
    </row>
    <row r="2742">
      <c r="A2742" t="s">
        <v>6839</v>
      </c>
      <c r="B2742" t="s">
        <v>6840</v>
      </c>
      <c r="C2742" t="s">
        <v>6840</v>
      </c>
      <c r="D2742" t="s">
        <v>1824</v>
      </c>
      <c r="E2742" t="s">
        <v>6841</v>
      </c>
      <c r="F2742" t="s">
        <v>298</v>
      </c>
      <c r="G2742" t="s">
        <v>1826</v>
      </c>
      <c r="H2742" t="s">
        <v>1512</v>
      </c>
      <c r="I2742" t="s">
        <v>6845</v>
      </c>
      <c r="J2742" t="s">
        <v>1590</v>
      </c>
      <c r="K2742" t="s">
        <v>6846</v>
      </c>
      <c r="L2742" t="s">
        <v>6838</v>
      </c>
      <c r="M2742" s="37">
        <v>1.3</v>
      </c>
      <c r="N2742" s="37">
        <v>0.1</v>
      </c>
      <c r="O2742">
        <v>1.3</v>
      </c>
      <c r="P2742" s="37">
        <v>1.183</v>
      </c>
      <c r="Q2742">
        <v>1.16</v>
      </c>
      <c r="R2742">
        <v>8552.64</v>
      </c>
      <c r="S2742">
        <v>8638.35</v>
      </c>
      <c r="T2742">
        <v>6000</v>
      </c>
      <c r="U2742" t="s">
        <v>6232</v>
      </c>
      <c r="X2742">
        <v>1</v>
      </c>
      <c r="Z2742" s="37">
        <v>1</v>
      </c>
      <c r="AA2742" s="37">
        <v>1</v>
      </c>
      <c r="AB2742">
        <v>0</v>
      </c>
    </row>
    <row r="2743">
      <c r="A2743" t="s">
        <v>6839</v>
      </c>
      <c r="B2743" t="s">
        <v>6840</v>
      </c>
      <c r="C2743" t="s">
        <v>6840</v>
      </c>
      <c r="D2743" t="s">
        <v>1824</v>
      </c>
      <c r="E2743" t="s">
        <v>6841</v>
      </c>
      <c r="F2743" t="s">
        <v>298</v>
      </c>
      <c r="G2743" t="s">
        <v>1826</v>
      </c>
      <c r="H2743" t="s">
        <v>1495</v>
      </c>
      <c r="I2743" t="s">
        <v>1834</v>
      </c>
      <c r="J2743" t="s">
        <v>1835</v>
      </c>
      <c r="K2743" t="s">
        <v>6847</v>
      </c>
      <c r="L2743" t="s">
        <v>6838</v>
      </c>
      <c r="M2743" s="37">
        <v>1.49</v>
      </c>
      <c r="N2743" s="37">
        <v>0.15</v>
      </c>
      <c r="O2743">
        <v>1.49</v>
      </c>
      <c r="P2743" s="37">
        <v>1.183</v>
      </c>
      <c r="Q2743">
        <v>1.16</v>
      </c>
      <c r="R2743">
        <v>8552.64</v>
      </c>
      <c r="S2743">
        <v>8638.35</v>
      </c>
      <c r="T2743">
        <v>6000</v>
      </c>
      <c r="U2743" t="s">
        <v>6232</v>
      </c>
      <c r="X2743">
        <v>1</v>
      </c>
      <c r="Z2743" s="37">
        <v>1</v>
      </c>
      <c r="AA2743" s="37">
        <v>1</v>
      </c>
      <c r="AB2743">
        <v>0</v>
      </c>
    </row>
    <row r="2744">
      <c r="A2744" t="s">
        <v>6848</v>
      </c>
      <c r="B2744" t="s">
        <v>3162</v>
      </c>
      <c r="C2744" t="s">
        <v>3162</v>
      </c>
      <c r="D2744" t="s">
        <v>999</v>
      </c>
      <c r="E2744" t="s">
        <v>6849</v>
      </c>
      <c r="F2744" t="s">
        <v>298</v>
      </c>
      <c r="G2744" t="s">
        <v>3164</v>
      </c>
      <c r="H2744" t="s">
        <v>3165</v>
      </c>
      <c r="I2744" t="s">
        <v>6850</v>
      </c>
      <c r="J2744" t="s">
        <v>3167</v>
      </c>
      <c r="K2744">
        <v>1223.8</v>
      </c>
      <c r="L2744" t="s">
        <v>6838</v>
      </c>
      <c r="M2744" s="37">
        <v>0.0102</v>
      </c>
      <c r="N2744" s="37">
        <v>0.1</v>
      </c>
      <c r="O2744">
        <v>1.02</v>
      </c>
      <c r="P2744" s="37">
        <v>0.00567</v>
      </c>
      <c r="Q2744">
        <v>0.47</v>
      </c>
      <c r="R2744">
        <v>4000</v>
      </c>
      <c r="S2744">
        <v>4000</v>
      </c>
      <c r="T2744">
        <v>5000</v>
      </c>
      <c r="U2744" t="s">
        <v>6232</v>
      </c>
      <c r="X2744">
        <v>1</v>
      </c>
      <c r="Z2744" s="37">
        <v>1</v>
      </c>
      <c r="AA2744" s="37">
        <v>1</v>
      </c>
      <c r="AB2744">
        <v>0</v>
      </c>
    </row>
    <row r="2745">
      <c r="A2745" t="s">
        <v>6848</v>
      </c>
      <c r="B2745" t="s">
        <v>3162</v>
      </c>
      <c r="C2745" t="s">
        <v>3162</v>
      </c>
      <c r="D2745" t="s">
        <v>999</v>
      </c>
      <c r="E2745" t="s">
        <v>6849</v>
      </c>
      <c r="F2745" t="s">
        <v>298</v>
      </c>
      <c r="G2745" t="s">
        <v>3164</v>
      </c>
      <c r="H2745" t="s">
        <v>3170</v>
      </c>
      <c r="I2745" t="s">
        <v>6851</v>
      </c>
      <c r="J2745" t="s">
        <v>1585</v>
      </c>
      <c r="K2745">
        <v>12.4</v>
      </c>
      <c r="L2745" t="s">
        <v>6838</v>
      </c>
      <c r="M2745" s="37">
        <v>0.0031</v>
      </c>
      <c r="N2745" s="37">
        <v>0.3</v>
      </c>
      <c r="O2745">
        <v>0.248</v>
      </c>
      <c r="P2745" s="37">
        <v>0.00567</v>
      </c>
      <c r="Q2745">
        <v>0.47</v>
      </c>
      <c r="R2745">
        <v>4000</v>
      </c>
      <c r="S2745">
        <v>4000</v>
      </c>
      <c r="T2745">
        <v>5000</v>
      </c>
      <c r="U2745" t="s">
        <v>6232</v>
      </c>
      <c r="X2745">
        <v>1</v>
      </c>
      <c r="Z2745" s="37">
        <v>1</v>
      </c>
      <c r="AA2745" s="37">
        <v>1</v>
      </c>
      <c r="AB2745">
        <v>0</v>
      </c>
    </row>
    <row r="2746">
      <c r="A2746" t="s">
        <v>6848</v>
      </c>
      <c r="B2746" t="s">
        <v>3162</v>
      </c>
      <c r="C2746" t="s">
        <v>3162</v>
      </c>
      <c r="D2746" t="s">
        <v>999</v>
      </c>
      <c r="E2746" t="s">
        <v>6849</v>
      </c>
      <c r="F2746" t="s">
        <v>298</v>
      </c>
      <c r="G2746" t="s">
        <v>3164</v>
      </c>
      <c r="H2746" t="s">
        <v>3170</v>
      </c>
      <c r="I2746" t="s">
        <v>6852</v>
      </c>
      <c r="J2746" t="s">
        <v>1585</v>
      </c>
      <c r="K2746">
        <v>24.6</v>
      </c>
      <c r="L2746" t="s">
        <v>6838</v>
      </c>
      <c r="M2746" s="37">
        <v>0.0062</v>
      </c>
      <c r="N2746" s="37">
        <v>0.6</v>
      </c>
      <c r="O2746">
        <v>0.496</v>
      </c>
      <c r="P2746" s="37">
        <v>0.00567</v>
      </c>
      <c r="Q2746">
        <v>0.47</v>
      </c>
      <c r="R2746">
        <v>4000</v>
      </c>
      <c r="S2746">
        <v>4000</v>
      </c>
      <c r="T2746">
        <v>5000</v>
      </c>
      <c r="U2746" t="s">
        <v>6232</v>
      </c>
      <c r="X2746">
        <v>1</v>
      </c>
      <c r="Z2746" s="37">
        <v>1</v>
      </c>
      <c r="AA2746" s="37">
        <v>1</v>
      </c>
      <c r="AB2746">
        <v>0</v>
      </c>
    </row>
    <row r="2747">
      <c r="A2747" t="s">
        <v>6853</v>
      </c>
      <c r="B2747" t="s">
        <v>5656</v>
      </c>
      <c r="C2747" t="s">
        <v>5656</v>
      </c>
      <c r="D2747" t="s">
        <v>6101</v>
      </c>
      <c r="E2747" t="s">
        <v>6854</v>
      </c>
      <c r="F2747" t="s">
        <v>298</v>
      </c>
      <c r="G2747" t="s">
        <v>6103</v>
      </c>
      <c r="H2747" t="s">
        <v>6104</v>
      </c>
      <c r="I2747" t="s">
        <v>6852</v>
      </c>
      <c r="J2747">
        <v>660</v>
      </c>
      <c r="K2747">
        <v>537</v>
      </c>
      <c r="L2747" t="s">
        <v>6838</v>
      </c>
      <c r="M2747" s="37">
        <v>0.813636</v>
      </c>
      <c r="N2747" s="37">
        <v>1</v>
      </c>
      <c r="O2747">
        <v>1</v>
      </c>
      <c r="P2747" s="37">
        <v>0.813636</v>
      </c>
      <c r="Q2747">
        <v>0.71</v>
      </c>
      <c r="R2747">
        <v>3550</v>
      </c>
      <c r="S2747">
        <v>3550</v>
      </c>
      <c r="T2747">
        <v>5000</v>
      </c>
      <c r="U2747" t="s">
        <v>6232</v>
      </c>
      <c r="X2747">
        <v>1</v>
      </c>
      <c r="Z2747" s="37">
        <v>1</v>
      </c>
      <c r="AA2747" s="37">
        <v>1</v>
      </c>
      <c r="AB2747">
        <v>0</v>
      </c>
    </row>
    <row r="2748">
      <c r="A2748" t="s">
        <v>6855</v>
      </c>
      <c r="B2748" t="s">
        <v>3672</v>
      </c>
      <c r="C2748" t="s">
        <v>3672</v>
      </c>
      <c r="D2748" t="s">
        <v>5155</v>
      </c>
      <c r="E2748" t="s">
        <v>6856</v>
      </c>
      <c r="F2748" t="s">
        <v>298</v>
      </c>
      <c r="G2748" t="s">
        <v>5924</v>
      </c>
      <c r="H2748" t="s">
        <v>5925</v>
      </c>
      <c r="I2748" t="s">
        <v>6852</v>
      </c>
      <c r="J2748" t="s">
        <v>3227</v>
      </c>
      <c r="K2748">
        <v>100</v>
      </c>
      <c r="L2748" t="s">
        <v>6838</v>
      </c>
      <c r="M2748" s="37">
        <v>1</v>
      </c>
      <c r="N2748" s="37">
        <v>1</v>
      </c>
      <c r="O2748">
        <v>310</v>
      </c>
      <c r="P2748" s="37">
        <v>1</v>
      </c>
      <c r="Q2748">
        <v>310</v>
      </c>
      <c r="R2748">
        <v>10000</v>
      </c>
      <c r="S2748">
        <v>10000</v>
      </c>
      <c r="T2748">
        <v>10000</v>
      </c>
      <c r="U2748" t="s">
        <v>6232</v>
      </c>
      <c r="X2748">
        <v>1</v>
      </c>
      <c r="Z2748" s="37">
        <v>1</v>
      </c>
      <c r="AA2748" s="37">
        <v>1</v>
      </c>
      <c r="AB2748">
        <v>0</v>
      </c>
    </row>
    <row r="2749">
      <c r="A2749" t="s">
        <v>6857</v>
      </c>
      <c r="B2749" t="s">
        <v>3359</v>
      </c>
      <c r="C2749" t="s">
        <v>3359</v>
      </c>
      <c r="D2749" t="s">
        <v>1013</v>
      </c>
      <c r="E2749" t="s">
        <v>6858</v>
      </c>
      <c r="F2749" t="s">
        <v>298</v>
      </c>
      <c r="G2749" t="s">
        <v>6859</v>
      </c>
      <c r="H2749" t="s">
        <v>3226</v>
      </c>
      <c r="I2749" t="s">
        <v>6860</v>
      </c>
      <c r="J2749" t="s">
        <v>2564</v>
      </c>
      <c r="K2749" t="s">
        <v>6861</v>
      </c>
      <c r="L2749" t="s">
        <v>6838</v>
      </c>
      <c r="M2749" s="37">
        <v>2.06</v>
      </c>
      <c r="N2749" s="37">
        <v>0.05</v>
      </c>
      <c r="O2749">
        <v>1.5</v>
      </c>
      <c r="P2749" s="37">
        <v>3.2355</v>
      </c>
      <c r="Q2749">
        <v>1.31</v>
      </c>
      <c r="R2749">
        <v>2250</v>
      </c>
      <c r="S2749">
        <v>2250</v>
      </c>
      <c r="T2749">
        <v>1500</v>
      </c>
      <c r="U2749" t="s">
        <v>6232</v>
      </c>
      <c r="X2749">
        <v>1</v>
      </c>
      <c r="Z2749" s="37">
        <v>1</v>
      </c>
      <c r="AA2749" s="37">
        <v>1</v>
      </c>
      <c r="AB2749">
        <v>0</v>
      </c>
    </row>
    <row r="2750">
      <c r="A2750" t="s">
        <v>6857</v>
      </c>
      <c r="B2750" t="s">
        <v>3359</v>
      </c>
      <c r="C2750" t="s">
        <v>3359</v>
      </c>
      <c r="D2750" t="s">
        <v>1013</v>
      </c>
      <c r="E2750" t="s">
        <v>6858</v>
      </c>
      <c r="F2750" t="s">
        <v>298</v>
      </c>
      <c r="G2750" t="s">
        <v>6859</v>
      </c>
      <c r="H2750" t="s">
        <v>3229</v>
      </c>
      <c r="I2750" t="s">
        <v>6862</v>
      </c>
      <c r="J2750" t="s">
        <v>342</v>
      </c>
      <c r="K2750" t="s">
        <v>6863</v>
      </c>
      <c r="L2750" t="s">
        <v>6838</v>
      </c>
      <c r="M2750" s="37">
        <v>7</v>
      </c>
      <c r="N2750" s="37">
        <v>0.3</v>
      </c>
      <c r="O2750">
        <v>1.5</v>
      </c>
      <c r="P2750" s="37">
        <v>3.2355</v>
      </c>
      <c r="Q2750">
        <v>1.31</v>
      </c>
      <c r="R2750">
        <v>2250</v>
      </c>
      <c r="S2750">
        <v>2250</v>
      </c>
      <c r="T2750">
        <v>1500</v>
      </c>
      <c r="U2750" t="s">
        <v>6232</v>
      </c>
      <c r="X2750">
        <v>1</v>
      </c>
      <c r="Z2750" s="37">
        <v>1</v>
      </c>
      <c r="AA2750" s="37">
        <v>1</v>
      </c>
      <c r="AB2750">
        <v>0</v>
      </c>
    </row>
    <row r="2751">
      <c r="A2751" t="s">
        <v>6857</v>
      </c>
      <c r="B2751" t="s">
        <v>3359</v>
      </c>
      <c r="C2751" t="s">
        <v>3359</v>
      </c>
      <c r="D2751" t="s">
        <v>1013</v>
      </c>
      <c r="E2751" t="s">
        <v>6858</v>
      </c>
      <c r="F2751" t="s">
        <v>298</v>
      </c>
      <c r="G2751" t="s">
        <v>6859</v>
      </c>
      <c r="H2751" t="s">
        <v>3229</v>
      </c>
      <c r="I2751" t="s">
        <v>6864</v>
      </c>
      <c r="J2751" t="s">
        <v>2930</v>
      </c>
      <c r="K2751" t="s">
        <v>6865</v>
      </c>
      <c r="L2751" t="s">
        <v>6838</v>
      </c>
      <c r="M2751" s="37">
        <v>2.08</v>
      </c>
      <c r="N2751" s="37">
        <v>0.35</v>
      </c>
      <c r="O2751">
        <v>1.5</v>
      </c>
      <c r="P2751" s="37">
        <v>3.2355</v>
      </c>
      <c r="Q2751">
        <v>1.31</v>
      </c>
      <c r="R2751">
        <v>2250</v>
      </c>
      <c r="S2751">
        <v>2250</v>
      </c>
      <c r="T2751">
        <v>1500</v>
      </c>
      <c r="U2751" t="s">
        <v>6232</v>
      </c>
      <c r="X2751">
        <v>1</v>
      </c>
      <c r="Z2751" s="37">
        <v>1</v>
      </c>
      <c r="AA2751" s="37">
        <v>1</v>
      </c>
      <c r="AB2751">
        <v>0</v>
      </c>
    </row>
    <row r="2752">
      <c r="A2752" t="s">
        <v>6857</v>
      </c>
      <c r="B2752" t="s">
        <v>3359</v>
      </c>
      <c r="C2752" t="s">
        <v>3359</v>
      </c>
      <c r="D2752" t="s">
        <v>1013</v>
      </c>
      <c r="E2752" t="s">
        <v>6858</v>
      </c>
      <c r="F2752" t="s">
        <v>298</v>
      </c>
      <c r="G2752" t="s">
        <v>6859</v>
      </c>
      <c r="H2752" t="s">
        <v>3369</v>
      </c>
      <c r="I2752" t="s">
        <v>3238</v>
      </c>
      <c r="J2752" t="s">
        <v>588</v>
      </c>
      <c r="L2752" t="s">
        <v>6838</v>
      </c>
      <c r="M2752" s="37">
        <v>1</v>
      </c>
      <c r="N2752" s="37">
        <v>0.1</v>
      </c>
      <c r="O2752">
        <v>1</v>
      </c>
      <c r="P2752" s="37">
        <v>3.2355</v>
      </c>
      <c r="Q2752">
        <v>1.31</v>
      </c>
      <c r="R2752">
        <v>2250</v>
      </c>
      <c r="S2752">
        <v>2250</v>
      </c>
      <c r="T2752">
        <v>1500</v>
      </c>
      <c r="U2752" t="s">
        <v>6232</v>
      </c>
      <c r="X2752">
        <v>1</v>
      </c>
      <c r="Z2752" s="37">
        <v>1</v>
      </c>
      <c r="AA2752" s="37">
        <v>1</v>
      </c>
      <c r="AB2752">
        <v>0</v>
      </c>
    </row>
    <row r="2753">
      <c r="A2753" t="s">
        <v>6857</v>
      </c>
      <c r="B2753" t="s">
        <v>3359</v>
      </c>
      <c r="C2753" t="s">
        <v>3359</v>
      </c>
      <c r="D2753" t="s">
        <v>1013</v>
      </c>
      <c r="E2753" t="s">
        <v>6858</v>
      </c>
      <c r="F2753" t="s">
        <v>298</v>
      </c>
      <c r="G2753" t="s">
        <v>6859</v>
      </c>
      <c r="H2753" t="s">
        <v>3231</v>
      </c>
      <c r="I2753" t="s">
        <v>6866</v>
      </c>
      <c r="J2753" t="s">
        <v>5323</v>
      </c>
      <c r="K2753" t="s">
        <v>3261</v>
      </c>
      <c r="L2753" t="s">
        <v>6838</v>
      </c>
      <c r="M2753" s="37">
        <v>1.25</v>
      </c>
      <c r="N2753" s="37">
        <v>0.1</v>
      </c>
      <c r="O2753">
        <v>1</v>
      </c>
      <c r="P2753" s="37">
        <v>3.2355</v>
      </c>
      <c r="Q2753">
        <v>1.31</v>
      </c>
      <c r="R2753">
        <v>2250</v>
      </c>
      <c r="S2753">
        <v>2250</v>
      </c>
      <c r="T2753">
        <v>1500</v>
      </c>
      <c r="U2753" t="s">
        <v>6232</v>
      </c>
      <c r="X2753">
        <v>1</v>
      </c>
      <c r="Z2753" s="37">
        <v>1</v>
      </c>
      <c r="AA2753" s="37">
        <v>1</v>
      </c>
      <c r="AB2753">
        <v>0</v>
      </c>
    </row>
    <row r="2754">
      <c r="A2754" t="s">
        <v>6857</v>
      </c>
      <c r="B2754" t="s">
        <v>3359</v>
      </c>
      <c r="C2754" t="s">
        <v>3359</v>
      </c>
      <c r="D2754" t="s">
        <v>1013</v>
      </c>
      <c r="E2754" t="s">
        <v>6858</v>
      </c>
      <c r="F2754" t="s">
        <v>298</v>
      </c>
      <c r="G2754" t="s">
        <v>6859</v>
      </c>
      <c r="H2754" t="s">
        <v>3231</v>
      </c>
      <c r="I2754" t="s">
        <v>6867</v>
      </c>
      <c r="J2754" t="s">
        <v>6868</v>
      </c>
      <c r="K2754" t="s">
        <v>6869</v>
      </c>
      <c r="L2754" t="s">
        <v>6838</v>
      </c>
      <c r="M2754" s="37">
        <v>0.795</v>
      </c>
      <c r="N2754" s="37">
        <v>0.1</v>
      </c>
      <c r="O2754">
        <v>0.636</v>
      </c>
      <c r="P2754" s="37">
        <v>3.2355</v>
      </c>
      <c r="Q2754">
        <v>1.31</v>
      </c>
      <c r="R2754">
        <v>2250</v>
      </c>
      <c r="S2754">
        <v>2250</v>
      </c>
      <c r="T2754">
        <v>1500</v>
      </c>
      <c r="U2754" t="s">
        <v>6232</v>
      </c>
      <c r="X2754">
        <v>1</v>
      </c>
      <c r="Z2754" s="37">
        <v>1</v>
      </c>
      <c r="AA2754" s="37">
        <v>1</v>
      </c>
      <c r="AB2754">
        <v>0</v>
      </c>
    </row>
    <row r="2755">
      <c r="A2755" t="s">
        <v>6870</v>
      </c>
      <c r="B2755" t="s">
        <v>3359</v>
      </c>
      <c r="C2755" t="s">
        <v>3359</v>
      </c>
      <c r="D2755" t="s">
        <v>1013</v>
      </c>
      <c r="E2755" t="s">
        <v>6871</v>
      </c>
      <c r="F2755" t="s">
        <v>298</v>
      </c>
      <c r="G2755" t="s">
        <v>6859</v>
      </c>
      <c r="H2755" t="s">
        <v>3226</v>
      </c>
      <c r="I2755" t="s">
        <v>6872</v>
      </c>
      <c r="J2755" t="s">
        <v>2564</v>
      </c>
      <c r="K2755" t="s">
        <v>6873</v>
      </c>
      <c r="L2755" t="s">
        <v>6838</v>
      </c>
      <c r="M2755" s="37">
        <v>2.06</v>
      </c>
      <c r="N2755" s="37">
        <v>0.05</v>
      </c>
      <c r="O2755">
        <v>0.075</v>
      </c>
      <c r="P2755" s="37">
        <v>0.2905</v>
      </c>
      <c r="Q2755">
        <v>0.25</v>
      </c>
      <c r="R2755">
        <v>750</v>
      </c>
      <c r="S2755">
        <v>750</v>
      </c>
      <c r="T2755">
        <v>1500</v>
      </c>
      <c r="U2755" t="s">
        <v>6232</v>
      </c>
      <c r="X2755">
        <v>1</v>
      </c>
      <c r="Z2755" s="37">
        <v>1</v>
      </c>
      <c r="AA2755" s="37">
        <v>1</v>
      </c>
      <c r="AB2755">
        <v>0</v>
      </c>
    </row>
    <row r="2756">
      <c r="A2756" t="s">
        <v>6870</v>
      </c>
      <c r="B2756" t="s">
        <v>3359</v>
      </c>
      <c r="C2756" t="s">
        <v>3359</v>
      </c>
      <c r="D2756" t="s">
        <v>1013</v>
      </c>
      <c r="E2756" t="s">
        <v>6871</v>
      </c>
      <c r="F2756" t="s">
        <v>298</v>
      </c>
      <c r="G2756" t="s">
        <v>6859</v>
      </c>
      <c r="H2756" t="s">
        <v>3229</v>
      </c>
      <c r="I2756" t="s">
        <v>6874</v>
      </c>
      <c r="J2756" t="s">
        <v>6875</v>
      </c>
      <c r="K2756" t="s">
        <v>6876</v>
      </c>
      <c r="L2756" t="s">
        <v>6838</v>
      </c>
      <c r="M2756" s="37">
        <v>0</v>
      </c>
      <c r="N2756" s="37">
        <v>0.1</v>
      </c>
      <c r="O2756">
        <v>0</v>
      </c>
      <c r="P2756" s="37">
        <v>0.2905</v>
      </c>
      <c r="Q2756">
        <v>0.25</v>
      </c>
      <c r="R2756">
        <v>750</v>
      </c>
      <c r="S2756">
        <v>750</v>
      </c>
      <c r="T2756">
        <v>1500</v>
      </c>
      <c r="U2756" t="s">
        <v>6232</v>
      </c>
      <c r="X2756">
        <v>1</v>
      </c>
      <c r="Z2756" s="37">
        <v>1</v>
      </c>
      <c r="AA2756" s="37">
        <v>1</v>
      </c>
      <c r="AB2756">
        <v>0</v>
      </c>
    </row>
    <row r="2757">
      <c r="A2757" t="s">
        <v>6870</v>
      </c>
      <c r="B2757" t="s">
        <v>3359</v>
      </c>
      <c r="C2757" t="s">
        <v>3359</v>
      </c>
      <c r="D2757" t="s">
        <v>1013</v>
      </c>
      <c r="E2757" t="s">
        <v>6871</v>
      </c>
      <c r="F2757" t="s">
        <v>298</v>
      </c>
      <c r="G2757" t="s">
        <v>6859</v>
      </c>
      <c r="H2757" t="s">
        <v>3229</v>
      </c>
      <c r="I2757" t="s">
        <v>6877</v>
      </c>
      <c r="J2757" t="s">
        <v>2564</v>
      </c>
      <c r="K2757" t="s">
        <v>1053</v>
      </c>
      <c r="L2757" t="s">
        <v>6838</v>
      </c>
      <c r="M2757" s="37">
        <v>0.05</v>
      </c>
      <c r="N2757" s="37">
        <v>0.55</v>
      </c>
      <c r="O2757">
        <v>0.03</v>
      </c>
      <c r="P2757" s="37">
        <v>0.2905</v>
      </c>
      <c r="Q2757">
        <v>0.25</v>
      </c>
      <c r="R2757">
        <v>750</v>
      </c>
      <c r="S2757">
        <v>750</v>
      </c>
      <c r="T2757">
        <v>1500</v>
      </c>
      <c r="U2757" t="s">
        <v>6232</v>
      </c>
      <c r="X2757">
        <v>1</v>
      </c>
      <c r="Z2757" s="37">
        <v>1</v>
      </c>
      <c r="AA2757" s="37">
        <v>1</v>
      </c>
      <c r="AB2757">
        <v>0</v>
      </c>
    </row>
    <row r="2758">
      <c r="A2758" t="s">
        <v>6870</v>
      </c>
      <c r="B2758" t="s">
        <v>3359</v>
      </c>
      <c r="C2758" t="s">
        <v>3359</v>
      </c>
      <c r="D2758" t="s">
        <v>1013</v>
      </c>
      <c r="E2758" t="s">
        <v>6871</v>
      </c>
      <c r="F2758" t="s">
        <v>298</v>
      </c>
      <c r="G2758" t="s">
        <v>6859</v>
      </c>
      <c r="H2758" t="s">
        <v>3231</v>
      </c>
      <c r="I2758" t="s">
        <v>6878</v>
      </c>
      <c r="J2758" t="s">
        <v>6879</v>
      </c>
      <c r="K2758" t="s">
        <v>6879</v>
      </c>
      <c r="L2758" t="s">
        <v>6838</v>
      </c>
      <c r="M2758" s="37">
        <v>1</v>
      </c>
      <c r="N2758" s="37">
        <v>0.1</v>
      </c>
      <c r="O2758">
        <v>0.1</v>
      </c>
      <c r="P2758" s="37">
        <v>0.2905</v>
      </c>
      <c r="Q2758">
        <v>0.25</v>
      </c>
      <c r="R2758">
        <v>750</v>
      </c>
      <c r="S2758">
        <v>750</v>
      </c>
      <c r="T2758">
        <v>1500</v>
      </c>
      <c r="U2758" t="s">
        <v>6232</v>
      </c>
      <c r="X2758">
        <v>1</v>
      </c>
      <c r="Z2758" s="37">
        <v>1</v>
      </c>
      <c r="AA2758" s="37">
        <v>1</v>
      </c>
      <c r="AB2758">
        <v>0</v>
      </c>
    </row>
    <row r="2759">
      <c r="A2759" t="s">
        <v>6870</v>
      </c>
      <c r="B2759" t="s">
        <v>3359</v>
      </c>
      <c r="C2759" t="s">
        <v>3359</v>
      </c>
      <c r="D2759" t="s">
        <v>1013</v>
      </c>
      <c r="E2759" t="s">
        <v>6871</v>
      </c>
      <c r="F2759" t="s">
        <v>298</v>
      </c>
      <c r="G2759" t="s">
        <v>6859</v>
      </c>
      <c r="H2759" t="s">
        <v>3229</v>
      </c>
      <c r="I2759" t="s">
        <v>6880</v>
      </c>
      <c r="J2759" t="s">
        <v>3539</v>
      </c>
      <c r="K2759" t="s">
        <v>1529</v>
      </c>
      <c r="L2759" t="s">
        <v>6838</v>
      </c>
      <c r="M2759" s="37">
        <v>0</v>
      </c>
      <c r="N2759" s="37">
        <v>0.1</v>
      </c>
      <c r="O2759">
        <v>0</v>
      </c>
      <c r="P2759" s="37">
        <v>0.2905</v>
      </c>
      <c r="Q2759">
        <v>0.25</v>
      </c>
      <c r="R2759">
        <v>750</v>
      </c>
      <c r="S2759">
        <v>750</v>
      </c>
      <c r="T2759">
        <v>1500</v>
      </c>
      <c r="U2759" t="s">
        <v>6232</v>
      </c>
      <c r="X2759">
        <v>1</v>
      </c>
      <c r="Z2759" s="37">
        <v>1</v>
      </c>
      <c r="AA2759" s="37">
        <v>1</v>
      </c>
      <c r="AB2759">
        <v>0</v>
      </c>
    </row>
    <row r="2760">
      <c r="A2760" t="s">
        <v>6870</v>
      </c>
      <c r="B2760" t="s">
        <v>3359</v>
      </c>
      <c r="C2760" t="s">
        <v>3359</v>
      </c>
      <c r="D2760" t="s">
        <v>1013</v>
      </c>
      <c r="E2760" t="s">
        <v>6871</v>
      </c>
      <c r="F2760" t="s">
        <v>298</v>
      </c>
      <c r="G2760" t="s">
        <v>6859</v>
      </c>
      <c r="H2760" t="s">
        <v>3369</v>
      </c>
      <c r="I2760" t="s">
        <v>3713</v>
      </c>
      <c r="J2760" t="s">
        <v>2267</v>
      </c>
      <c r="L2760" t="s">
        <v>6838</v>
      </c>
      <c r="M2760" s="37">
        <v>0.6</v>
      </c>
      <c r="N2760" s="37">
        <v>0.1</v>
      </c>
      <c r="O2760">
        <v>0.05</v>
      </c>
      <c r="P2760" s="37">
        <v>0.2905</v>
      </c>
      <c r="Q2760">
        <v>0.25</v>
      </c>
      <c r="R2760">
        <v>750</v>
      </c>
      <c r="S2760">
        <v>750</v>
      </c>
      <c r="T2760">
        <v>1500</v>
      </c>
      <c r="U2760" t="s">
        <v>6232</v>
      </c>
      <c r="X2760">
        <v>1</v>
      </c>
      <c r="Z2760" s="37">
        <v>1</v>
      </c>
      <c r="AA2760" s="37">
        <v>1</v>
      </c>
      <c r="AB2760">
        <v>0</v>
      </c>
    </row>
    <row r="2761">
      <c r="A2761" t="s">
        <v>6881</v>
      </c>
      <c r="B2761" t="s">
        <v>3359</v>
      </c>
      <c r="C2761" t="s">
        <v>3359</v>
      </c>
      <c r="D2761" t="s">
        <v>1013</v>
      </c>
      <c r="E2761" t="s">
        <v>6882</v>
      </c>
      <c r="F2761" t="s">
        <v>298</v>
      </c>
      <c r="G2761" t="s">
        <v>6859</v>
      </c>
      <c r="H2761" t="s">
        <v>3226</v>
      </c>
      <c r="I2761" t="s">
        <v>6860</v>
      </c>
      <c r="J2761" t="s">
        <v>2564</v>
      </c>
      <c r="K2761" t="s">
        <v>6883</v>
      </c>
      <c r="L2761" t="s">
        <v>6838</v>
      </c>
      <c r="M2761" s="37">
        <v>2.06</v>
      </c>
      <c r="N2761" s="37">
        <v>0.05</v>
      </c>
      <c r="O2761">
        <v>1.5</v>
      </c>
      <c r="P2761" s="37">
        <v>2.222</v>
      </c>
      <c r="Q2761">
        <v>1.13</v>
      </c>
      <c r="R2761">
        <v>1500</v>
      </c>
      <c r="S2761">
        <v>1500</v>
      </c>
      <c r="T2761">
        <v>1500</v>
      </c>
      <c r="U2761" t="s">
        <v>6232</v>
      </c>
      <c r="X2761">
        <v>1</v>
      </c>
      <c r="Z2761" s="37">
        <v>1</v>
      </c>
      <c r="AA2761" s="37">
        <v>1</v>
      </c>
      <c r="AB2761">
        <v>0</v>
      </c>
    </row>
    <row r="2762">
      <c r="A2762" t="s">
        <v>6881</v>
      </c>
      <c r="B2762" t="s">
        <v>3359</v>
      </c>
      <c r="C2762" t="s">
        <v>3359</v>
      </c>
      <c r="D2762" t="s">
        <v>1013</v>
      </c>
      <c r="E2762" t="s">
        <v>6882</v>
      </c>
      <c r="F2762" t="s">
        <v>298</v>
      </c>
      <c r="G2762" t="s">
        <v>6859</v>
      </c>
      <c r="H2762" t="s">
        <v>3229</v>
      </c>
      <c r="I2762" t="s">
        <v>6884</v>
      </c>
      <c r="J2762" t="s">
        <v>342</v>
      </c>
      <c r="K2762" t="s">
        <v>658</v>
      </c>
      <c r="L2762" t="s">
        <v>6838</v>
      </c>
      <c r="M2762" s="37">
        <v>5</v>
      </c>
      <c r="N2762" s="37">
        <v>0.3</v>
      </c>
      <c r="O2762">
        <v>1.5</v>
      </c>
      <c r="P2762" s="37">
        <v>2.222</v>
      </c>
      <c r="Q2762">
        <v>1.13</v>
      </c>
      <c r="R2762">
        <v>1500</v>
      </c>
      <c r="S2762">
        <v>1500</v>
      </c>
      <c r="T2762">
        <v>1500</v>
      </c>
      <c r="U2762" t="s">
        <v>6232</v>
      </c>
      <c r="X2762">
        <v>1</v>
      </c>
      <c r="Z2762" s="37">
        <v>1</v>
      </c>
      <c r="AA2762" s="37">
        <v>1</v>
      </c>
      <c r="AB2762">
        <v>0</v>
      </c>
    </row>
    <row r="2763">
      <c r="A2763" t="s">
        <v>6881</v>
      </c>
      <c r="B2763" t="s">
        <v>3359</v>
      </c>
      <c r="C2763" t="s">
        <v>3359</v>
      </c>
      <c r="D2763" t="s">
        <v>1013</v>
      </c>
      <c r="E2763" t="s">
        <v>6882</v>
      </c>
      <c r="F2763" t="s">
        <v>298</v>
      </c>
      <c r="G2763" t="s">
        <v>6859</v>
      </c>
      <c r="H2763" t="s">
        <v>3229</v>
      </c>
      <c r="I2763" t="s">
        <v>6885</v>
      </c>
      <c r="J2763" t="s">
        <v>2930</v>
      </c>
      <c r="K2763" t="s">
        <v>6142</v>
      </c>
      <c r="L2763" t="s">
        <v>6838</v>
      </c>
      <c r="M2763" s="37">
        <v>1.24</v>
      </c>
      <c r="N2763" s="37">
        <v>0.35</v>
      </c>
      <c r="O2763">
        <v>1.24</v>
      </c>
      <c r="P2763" s="37">
        <v>2.222</v>
      </c>
      <c r="Q2763">
        <v>1.13</v>
      </c>
      <c r="R2763">
        <v>1500</v>
      </c>
      <c r="S2763">
        <v>1500</v>
      </c>
      <c r="T2763">
        <v>1500</v>
      </c>
      <c r="U2763" t="s">
        <v>6232</v>
      </c>
      <c r="X2763">
        <v>1</v>
      </c>
      <c r="Z2763" s="37">
        <v>1</v>
      </c>
      <c r="AA2763" s="37">
        <v>1</v>
      </c>
      <c r="AB2763">
        <v>0</v>
      </c>
    </row>
    <row r="2764">
      <c r="A2764" t="s">
        <v>6881</v>
      </c>
      <c r="B2764" t="s">
        <v>3359</v>
      </c>
      <c r="C2764" t="s">
        <v>3359</v>
      </c>
      <c r="D2764" t="s">
        <v>1013</v>
      </c>
      <c r="E2764" t="s">
        <v>6882</v>
      </c>
      <c r="F2764" t="s">
        <v>298</v>
      </c>
      <c r="G2764" t="s">
        <v>6859</v>
      </c>
      <c r="H2764" t="s">
        <v>3231</v>
      </c>
      <c r="I2764" t="s">
        <v>6867</v>
      </c>
      <c r="J2764" t="s">
        <v>6868</v>
      </c>
      <c r="K2764" t="s">
        <v>6886</v>
      </c>
      <c r="L2764" t="s">
        <v>6838</v>
      </c>
      <c r="M2764" s="37">
        <v>0.35</v>
      </c>
      <c r="N2764" s="37">
        <v>0.1</v>
      </c>
      <c r="O2764">
        <v>0.28</v>
      </c>
      <c r="P2764" s="37">
        <v>2.222</v>
      </c>
      <c r="Q2764">
        <v>1.13</v>
      </c>
      <c r="R2764">
        <v>1500</v>
      </c>
      <c r="S2764">
        <v>1500</v>
      </c>
      <c r="T2764">
        <v>1500</v>
      </c>
      <c r="U2764" t="s">
        <v>6232</v>
      </c>
      <c r="X2764">
        <v>1</v>
      </c>
      <c r="Z2764" s="37">
        <v>1</v>
      </c>
      <c r="AA2764" s="37">
        <v>1</v>
      </c>
      <c r="AB2764">
        <v>0</v>
      </c>
    </row>
    <row r="2765">
      <c r="A2765" t="s">
        <v>6881</v>
      </c>
      <c r="B2765" t="s">
        <v>3359</v>
      </c>
      <c r="C2765" t="s">
        <v>3359</v>
      </c>
      <c r="D2765" t="s">
        <v>1013</v>
      </c>
      <c r="E2765" t="s">
        <v>6882</v>
      </c>
      <c r="F2765" t="s">
        <v>298</v>
      </c>
      <c r="G2765" t="s">
        <v>6859</v>
      </c>
      <c r="H2765" t="s">
        <v>3231</v>
      </c>
      <c r="I2765" t="s">
        <v>6887</v>
      </c>
      <c r="J2765" t="s">
        <v>5323</v>
      </c>
      <c r="K2765" t="s">
        <v>2387</v>
      </c>
      <c r="L2765" t="s">
        <v>6838</v>
      </c>
      <c r="M2765" s="37">
        <v>0.5</v>
      </c>
      <c r="N2765" s="37">
        <v>0.1</v>
      </c>
      <c r="O2765">
        <v>0.4</v>
      </c>
      <c r="P2765" s="37">
        <v>2.222</v>
      </c>
      <c r="Q2765">
        <v>1.13</v>
      </c>
      <c r="R2765">
        <v>1500</v>
      </c>
      <c r="S2765">
        <v>1500</v>
      </c>
      <c r="T2765">
        <v>1500</v>
      </c>
      <c r="U2765" t="s">
        <v>6232</v>
      </c>
      <c r="X2765">
        <v>1</v>
      </c>
      <c r="Z2765" s="37">
        <v>1</v>
      </c>
      <c r="AA2765" s="37">
        <v>1</v>
      </c>
      <c r="AB2765">
        <v>0</v>
      </c>
    </row>
    <row r="2766">
      <c r="A2766" t="s">
        <v>6881</v>
      </c>
      <c r="B2766" t="s">
        <v>3359</v>
      </c>
      <c r="C2766" t="s">
        <v>3359</v>
      </c>
      <c r="D2766" t="s">
        <v>1013</v>
      </c>
      <c r="E2766" t="s">
        <v>6882</v>
      </c>
      <c r="F2766" t="s">
        <v>298</v>
      </c>
      <c r="G2766" t="s">
        <v>6859</v>
      </c>
      <c r="H2766" t="s">
        <v>3369</v>
      </c>
      <c r="I2766" t="s">
        <v>3238</v>
      </c>
      <c r="J2766" t="s">
        <v>588</v>
      </c>
      <c r="L2766" t="s">
        <v>6838</v>
      </c>
      <c r="M2766" s="37">
        <v>1</v>
      </c>
      <c r="N2766" s="37">
        <v>0.1</v>
      </c>
      <c r="O2766">
        <v>1</v>
      </c>
      <c r="P2766" s="37">
        <v>2.222</v>
      </c>
      <c r="Q2766">
        <v>1.13</v>
      </c>
      <c r="R2766">
        <v>1500</v>
      </c>
      <c r="S2766">
        <v>1500</v>
      </c>
      <c r="T2766">
        <v>1500</v>
      </c>
      <c r="U2766" t="s">
        <v>6232</v>
      </c>
      <c r="X2766">
        <v>1</v>
      </c>
      <c r="Z2766" s="37">
        <v>1</v>
      </c>
      <c r="AA2766" s="37">
        <v>1</v>
      </c>
      <c r="AB2766">
        <v>0</v>
      </c>
    </row>
    <row r="2767">
      <c r="A2767" t="s">
        <v>6888</v>
      </c>
      <c r="B2767" t="s">
        <v>3359</v>
      </c>
      <c r="C2767" t="s">
        <v>3359</v>
      </c>
      <c r="D2767" t="s">
        <v>3382</v>
      </c>
      <c r="E2767" t="s">
        <v>6889</v>
      </c>
      <c r="F2767" t="s">
        <v>298</v>
      </c>
      <c r="G2767" t="s">
        <v>6859</v>
      </c>
      <c r="H2767" t="s">
        <v>3226</v>
      </c>
      <c r="I2767" t="s">
        <v>6890</v>
      </c>
      <c r="J2767" t="s">
        <v>2564</v>
      </c>
      <c r="K2767" t="s">
        <v>6861</v>
      </c>
      <c r="L2767" t="s">
        <v>6838</v>
      </c>
      <c r="M2767" s="37">
        <v>2.06</v>
      </c>
      <c r="N2767" s="37">
        <v>0.05</v>
      </c>
      <c r="O2767">
        <v>0.075</v>
      </c>
      <c r="P2767" s="37">
        <v>1.177</v>
      </c>
      <c r="Q2767">
        <v>1.06</v>
      </c>
      <c r="R2767">
        <v>500</v>
      </c>
      <c r="S2767">
        <v>500</v>
      </c>
      <c r="T2767">
        <v>500</v>
      </c>
      <c r="U2767" t="s">
        <v>6232</v>
      </c>
      <c r="X2767">
        <v>1</v>
      </c>
      <c r="Z2767" s="37">
        <v>1</v>
      </c>
      <c r="AA2767" s="37">
        <v>1</v>
      </c>
      <c r="AB2767">
        <v>0</v>
      </c>
    </row>
    <row r="2768">
      <c r="A2768" t="s">
        <v>6888</v>
      </c>
      <c r="B2768" t="s">
        <v>3359</v>
      </c>
      <c r="C2768" t="s">
        <v>3359</v>
      </c>
      <c r="D2768" t="s">
        <v>3382</v>
      </c>
      <c r="E2768" t="s">
        <v>6889</v>
      </c>
      <c r="F2768" t="s">
        <v>298</v>
      </c>
      <c r="G2768" t="s">
        <v>6859</v>
      </c>
      <c r="H2768" t="s">
        <v>3229</v>
      </c>
      <c r="I2768" t="s">
        <v>6891</v>
      </c>
      <c r="J2768" t="s">
        <v>984</v>
      </c>
      <c r="K2768" t="s">
        <v>6892</v>
      </c>
      <c r="L2768" t="s">
        <v>6838</v>
      </c>
      <c r="M2768" s="37">
        <v>1.4</v>
      </c>
      <c r="N2768" s="37">
        <v>0.45</v>
      </c>
      <c r="O2768">
        <v>0.54</v>
      </c>
      <c r="P2768" s="37">
        <v>1.177</v>
      </c>
      <c r="Q2768">
        <v>1.06</v>
      </c>
      <c r="R2768">
        <v>500</v>
      </c>
      <c r="S2768">
        <v>500</v>
      </c>
      <c r="T2768">
        <v>500</v>
      </c>
      <c r="U2768" t="s">
        <v>6232</v>
      </c>
      <c r="X2768">
        <v>1</v>
      </c>
      <c r="Z2768" s="37">
        <v>1</v>
      </c>
      <c r="AA2768" s="37">
        <v>1</v>
      </c>
      <c r="AB2768">
        <v>0</v>
      </c>
    </row>
    <row r="2769">
      <c r="A2769" t="s">
        <v>6888</v>
      </c>
      <c r="B2769" t="s">
        <v>3359</v>
      </c>
      <c r="C2769" t="s">
        <v>3359</v>
      </c>
      <c r="D2769" t="s">
        <v>3382</v>
      </c>
      <c r="E2769" t="s">
        <v>6889</v>
      </c>
      <c r="F2769" t="s">
        <v>298</v>
      </c>
      <c r="G2769" t="s">
        <v>6859</v>
      </c>
      <c r="H2769" t="s">
        <v>3231</v>
      </c>
      <c r="I2769" t="s">
        <v>6893</v>
      </c>
      <c r="J2769" t="s">
        <v>2387</v>
      </c>
      <c r="K2769" t="s">
        <v>6894</v>
      </c>
      <c r="L2769" t="s">
        <v>6838</v>
      </c>
      <c r="M2769" s="37">
        <v>0.86</v>
      </c>
      <c r="N2769" s="37">
        <v>0.4</v>
      </c>
      <c r="O2769">
        <v>0.344</v>
      </c>
      <c r="P2769" s="37">
        <v>1.177</v>
      </c>
      <c r="Q2769">
        <v>1.06</v>
      </c>
      <c r="R2769">
        <v>500</v>
      </c>
      <c r="S2769">
        <v>500</v>
      </c>
      <c r="T2769">
        <v>500</v>
      </c>
      <c r="U2769" t="s">
        <v>6232</v>
      </c>
      <c r="X2769">
        <v>1</v>
      </c>
      <c r="Z2769" s="37">
        <v>1</v>
      </c>
      <c r="AA2769" s="37">
        <v>1</v>
      </c>
      <c r="AB2769">
        <v>0</v>
      </c>
    </row>
    <row r="2770">
      <c r="A2770" t="s">
        <v>6888</v>
      </c>
      <c r="B2770" t="s">
        <v>3359</v>
      </c>
      <c r="C2770" t="s">
        <v>3359</v>
      </c>
      <c r="D2770" t="s">
        <v>3382</v>
      </c>
      <c r="E2770" t="s">
        <v>6889</v>
      </c>
      <c r="F2770" t="s">
        <v>298</v>
      </c>
      <c r="G2770" t="s">
        <v>6859</v>
      </c>
      <c r="H2770" t="s">
        <v>3229</v>
      </c>
      <c r="I2770" t="s">
        <v>3238</v>
      </c>
      <c r="J2770" t="s">
        <v>980</v>
      </c>
      <c r="K2770" t="s">
        <v>980</v>
      </c>
      <c r="L2770" t="s">
        <v>6838</v>
      </c>
      <c r="M2770" s="37">
        <v>1</v>
      </c>
      <c r="N2770" s="37">
        <v>0.1</v>
      </c>
      <c r="O2770">
        <v>0.1</v>
      </c>
      <c r="P2770" s="37">
        <v>1.177</v>
      </c>
      <c r="Q2770">
        <v>1.06</v>
      </c>
      <c r="R2770">
        <v>500</v>
      </c>
      <c r="S2770">
        <v>500</v>
      </c>
      <c r="T2770">
        <v>500</v>
      </c>
      <c r="U2770" t="s">
        <v>6232</v>
      </c>
      <c r="X2770">
        <v>1</v>
      </c>
      <c r="Z2770" s="37">
        <v>1</v>
      </c>
      <c r="AA2770" s="37">
        <v>1</v>
      </c>
      <c r="AB2770">
        <v>0</v>
      </c>
    </row>
    <row r="2771">
      <c r="A2771" t="s">
        <v>6895</v>
      </c>
      <c r="B2771" t="s">
        <v>1395</v>
      </c>
      <c r="C2771" t="s">
        <v>1395</v>
      </c>
      <c r="D2771" t="s">
        <v>3005</v>
      </c>
      <c r="E2771" t="s">
        <v>6896</v>
      </c>
      <c r="F2771" t="s">
        <v>298</v>
      </c>
      <c r="G2771" t="s">
        <v>6897</v>
      </c>
      <c r="H2771" t="s">
        <v>6898</v>
      </c>
      <c r="I2771" t="s">
        <v>3238</v>
      </c>
      <c r="J2771" t="s">
        <v>6899</v>
      </c>
      <c r="K2771">
        <v>4</v>
      </c>
      <c r="L2771" t="s">
        <v>6900</v>
      </c>
      <c r="M2771" s="37">
        <v>0.16</v>
      </c>
      <c r="N2771" s="37">
        <v>1</v>
      </c>
      <c r="O2771">
        <v>0.16</v>
      </c>
      <c r="P2771" s="37">
        <v>0.16</v>
      </c>
      <c r="Q2771">
        <v>0.16</v>
      </c>
      <c r="R2771">
        <v>80</v>
      </c>
      <c r="S2771">
        <v>80</v>
      </c>
      <c r="T2771">
        <v>500</v>
      </c>
      <c r="U2771" t="s">
        <v>6232</v>
      </c>
      <c r="X2771">
        <v>1</v>
      </c>
      <c r="Z2771" s="37">
        <v>1</v>
      </c>
      <c r="AA2771" s="37">
        <v>1</v>
      </c>
      <c r="AB2771">
        <v>0</v>
      </c>
    </row>
    <row r="2772">
      <c r="A2772" t="s">
        <v>6901</v>
      </c>
      <c r="B2772" t="s">
        <v>1395</v>
      </c>
      <c r="C2772" t="s">
        <v>1395</v>
      </c>
      <c r="D2772" t="s">
        <v>3005</v>
      </c>
      <c r="E2772" t="s">
        <v>6902</v>
      </c>
      <c r="F2772" t="s">
        <v>298</v>
      </c>
      <c r="G2772" t="s">
        <v>6897</v>
      </c>
      <c r="H2772" t="s">
        <v>6898</v>
      </c>
      <c r="I2772" t="s">
        <v>3238</v>
      </c>
      <c r="J2772" t="s">
        <v>6899</v>
      </c>
      <c r="K2772">
        <v>12</v>
      </c>
      <c r="L2772" t="s">
        <v>6903</v>
      </c>
      <c r="M2772" s="37">
        <v>0.64</v>
      </c>
      <c r="N2772" s="37">
        <v>1</v>
      </c>
      <c r="O2772">
        <v>0.64</v>
      </c>
      <c r="P2772" s="37">
        <v>0.64</v>
      </c>
      <c r="Q2772">
        <v>0.64</v>
      </c>
      <c r="R2772">
        <v>320</v>
      </c>
      <c r="S2772">
        <v>320</v>
      </c>
      <c r="T2772">
        <v>500</v>
      </c>
      <c r="U2772" t="s">
        <v>6232</v>
      </c>
      <c r="X2772">
        <v>1</v>
      </c>
      <c r="Z2772" s="37">
        <v>1</v>
      </c>
      <c r="AA2772" s="37">
        <v>1</v>
      </c>
      <c r="AB2772">
        <v>0</v>
      </c>
    </row>
    <row r="2773">
      <c r="A2773" t="s">
        <v>6904</v>
      </c>
      <c r="B2773" t="s">
        <v>1395</v>
      </c>
      <c r="C2773" t="s">
        <v>1395</v>
      </c>
      <c r="D2773" t="s">
        <v>3005</v>
      </c>
      <c r="E2773" t="s">
        <v>6905</v>
      </c>
      <c r="F2773" t="s">
        <v>298</v>
      </c>
      <c r="G2773" t="s">
        <v>6897</v>
      </c>
      <c r="H2773" t="s">
        <v>6898</v>
      </c>
      <c r="I2773" t="s">
        <v>3238</v>
      </c>
      <c r="J2773" t="s">
        <v>6899</v>
      </c>
      <c r="K2773">
        <v>7</v>
      </c>
      <c r="L2773" t="s">
        <v>6906</v>
      </c>
      <c r="M2773" s="37">
        <v>0.28</v>
      </c>
      <c r="N2773" s="37">
        <v>1</v>
      </c>
      <c r="O2773">
        <v>0.28</v>
      </c>
      <c r="P2773" s="37">
        <v>0.28</v>
      </c>
      <c r="Q2773">
        <v>0.28</v>
      </c>
      <c r="R2773">
        <v>140</v>
      </c>
      <c r="S2773">
        <v>140</v>
      </c>
      <c r="T2773">
        <v>500</v>
      </c>
      <c r="U2773" t="s">
        <v>6232</v>
      </c>
      <c r="X2773">
        <v>1</v>
      </c>
      <c r="Z2773" s="37">
        <v>1</v>
      </c>
      <c r="AA2773" s="37">
        <v>1</v>
      </c>
      <c r="AB2773">
        <v>0</v>
      </c>
    </row>
    <row r="2774">
      <c r="A2774" t="s">
        <v>6907</v>
      </c>
      <c r="B2774" t="s">
        <v>1395</v>
      </c>
      <c r="C2774" t="s">
        <v>1395</v>
      </c>
      <c r="D2774" t="s">
        <v>3005</v>
      </c>
      <c r="E2774" t="s">
        <v>6908</v>
      </c>
      <c r="F2774" t="s">
        <v>298</v>
      </c>
      <c r="G2774" t="s">
        <v>6897</v>
      </c>
      <c r="H2774" t="s">
        <v>6898</v>
      </c>
      <c r="I2774" t="s">
        <v>3238</v>
      </c>
      <c r="J2774" t="s">
        <v>6899</v>
      </c>
      <c r="K2774">
        <v>17</v>
      </c>
      <c r="L2774" t="s">
        <v>6909</v>
      </c>
      <c r="M2774" s="37">
        <v>0.42</v>
      </c>
      <c r="N2774" s="37">
        <v>1</v>
      </c>
      <c r="O2774">
        <v>0.42</v>
      </c>
      <c r="P2774" s="37">
        <v>0.42</v>
      </c>
      <c r="Q2774">
        <v>0.42</v>
      </c>
      <c r="R2774">
        <v>210</v>
      </c>
      <c r="S2774">
        <v>210</v>
      </c>
      <c r="T2774">
        <v>500</v>
      </c>
      <c r="U2774" t="s">
        <v>6232</v>
      </c>
      <c r="X2774">
        <v>1</v>
      </c>
      <c r="Z2774" s="37">
        <v>1</v>
      </c>
      <c r="AA2774" s="37">
        <v>1</v>
      </c>
      <c r="AB2774">
        <v>0</v>
      </c>
    </row>
    <row r="2775">
      <c r="A2775" t="s">
        <v>6910</v>
      </c>
      <c r="B2775" t="s">
        <v>1395</v>
      </c>
      <c r="C2775" t="s">
        <v>1395</v>
      </c>
      <c r="D2775" t="s">
        <v>3005</v>
      </c>
      <c r="E2775" t="s">
        <v>6911</v>
      </c>
      <c r="F2775" t="s">
        <v>298</v>
      </c>
      <c r="G2775" t="s">
        <v>6897</v>
      </c>
      <c r="H2775" t="s">
        <v>6898</v>
      </c>
      <c r="I2775" t="s">
        <v>3238</v>
      </c>
      <c r="J2775" t="s">
        <v>6899</v>
      </c>
      <c r="K2775">
        <v>15</v>
      </c>
      <c r="L2775" t="s">
        <v>6912</v>
      </c>
      <c r="M2775" s="37">
        <v>0.54</v>
      </c>
      <c r="N2775" s="37">
        <v>1</v>
      </c>
      <c r="O2775">
        <v>0.54</v>
      </c>
      <c r="P2775" s="37">
        <v>0.54</v>
      </c>
      <c r="Q2775">
        <v>0.54</v>
      </c>
      <c r="R2775">
        <v>270</v>
      </c>
      <c r="S2775">
        <v>270</v>
      </c>
      <c r="T2775">
        <v>500</v>
      </c>
      <c r="U2775" t="s">
        <v>6232</v>
      </c>
      <c r="X2775">
        <v>1</v>
      </c>
      <c r="Z2775" s="37">
        <v>1</v>
      </c>
      <c r="AA2775" s="37">
        <v>1</v>
      </c>
      <c r="AB2775">
        <v>0</v>
      </c>
    </row>
    <row r="2776">
      <c r="A2776" t="s">
        <v>6913</v>
      </c>
      <c r="B2776" t="s">
        <v>2607</v>
      </c>
      <c r="C2776" t="s">
        <v>2607</v>
      </c>
      <c r="D2776" t="s">
        <v>2608</v>
      </c>
      <c r="E2776" t="s">
        <v>6914</v>
      </c>
      <c r="F2776" t="s">
        <v>298</v>
      </c>
      <c r="G2776" t="s">
        <v>2610</v>
      </c>
      <c r="H2776" t="s">
        <v>2622</v>
      </c>
      <c r="I2776" t="s">
        <v>6915</v>
      </c>
      <c r="J2776" t="s">
        <v>2084</v>
      </c>
      <c r="K2776" t="s">
        <v>455</v>
      </c>
      <c r="L2776" t="s">
        <v>6912</v>
      </c>
      <c r="M2776" s="37">
        <v>1</v>
      </c>
      <c r="N2776" s="37">
        <v>0.4</v>
      </c>
      <c r="O2776">
        <v>1</v>
      </c>
      <c r="P2776" s="37">
        <v>0.85</v>
      </c>
      <c r="Q2776">
        <v>0.85</v>
      </c>
      <c r="R2776">
        <v>850</v>
      </c>
      <c r="S2776">
        <v>850</v>
      </c>
      <c r="T2776">
        <v>1000</v>
      </c>
      <c r="U2776" t="s">
        <v>6232</v>
      </c>
      <c r="X2776">
        <v>1</v>
      </c>
      <c r="Z2776" s="37">
        <v>1</v>
      </c>
      <c r="AA2776" s="37">
        <v>1</v>
      </c>
      <c r="AB2776">
        <v>0</v>
      </c>
    </row>
    <row r="2777">
      <c r="A2777" t="s">
        <v>6913</v>
      </c>
      <c r="B2777" t="s">
        <v>2607</v>
      </c>
      <c r="C2777" t="s">
        <v>2607</v>
      </c>
      <c r="D2777" t="s">
        <v>2608</v>
      </c>
      <c r="E2777" t="s">
        <v>6914</v>
      </c>
      <c r="F2777" t="s">
        <v>298</v>
      </c>
      <c r="G2777" t="s">
        <v>2610</v>
      </c>
      <c r="H2777" t="s">
        <v>2622</v>
      </c>
      <c r="I2777" t="s">
        <v>6916</v>
      </c>
      <c r="J2777" t="s">
        <v>2084</v>
      </c>
      <c r="K2777" t="s">
        <v>6917</v>
      </c>
      <c r="L2777" t="s">
        <v>6912</v>
      </c>
      <c r="M2777" s="37">
        <v>0.5</v>
      </c>
      <c r="N2777" s="37">
        <v>0.3</v>
      </c>
      <c r="O2777">
        <v>0.5</v>
      </c>
      <c r="P2777" s="37">
        <v>0.85</v>
      </c>
      <c r="Q2777">
        <v>0.85</v>
      </c>
      <c r="R2777">
        <v>850</v>
      </c>
      <c r="S2777">
        <v>850</v>
      </c>
      <c r="T2777">
        <v>1000</v>
      </c>
      <c r="U2777" t="s">
        <v>6232</v>
      </c>
      <c r="X2777">
        <v>1</v>
      </c>
      <c r="Z2777" s="37">
        <v>1</v>
      </c>
      <c r="AA2777" s="37">
        <v>1</v>
      </c>
      <c r="AB2777">
        <v>0</v>
      </c>
    </row>
    <row r="2778">
      <c r="A2778" t="s">
        <v>6913</v>
      </c>
      <c r="B2778" t="s">
        <v>2607</v>
      </c>
      <c r="C2778" t="s">
        <v>2607</v>
      </c>
      <c r="D2778" t="s">
        <v>2608</v>
      </c>
      <c r="E2778" t="s">
        <v>6914</v>
      </c>
      <c r="F2778" t="s">
        <v>298</v>
      </c>
      <c r="G2778" t="s">
        <v>2610</v>
      </c>
      <c r="H2778" t="s">
        <v>2622</v>
      </c>
      <c r="I2778" t="s">
        <v>6918</v>
      </c>
      <c r="J2778" t="s">
        <v>2084</v>
      </c>
      <c r="K2778" t="s">
        <v>455</v>
      </c>
      <c r="L2778" t="s">
        <v>6912</v>
      </c>
      <c r="M2778" s="37">
        <v>1</v>
      </c>
      <c r="N2778" s="37">
        <v>0.3</v>
      </c>
      <c r="O2778">
        <v>1</v>
      </c>
      <c r="P2778" s="37">
        <v>0.85</v>
      </c>
      <c r="Q2778">
        <v>0.85</v>
      </c>
      <c r="R2778">
        <v>850</v>
      </c>
      <c r="S2778">
        <v>850</v>
      </c>
      <c r="T2778">
        <v>1000</v>
      </c>
      <c r="U2778" t="s">
        <v>6232</v>
      </c>
      <c r="X2778">
        <v>1</v>
      </c>
      <c r="Z2778" s="37">
        <v>1</v>
      </c>
      <c r="AA2778" s="37">
        <v>1</v>
      </c>
      <c r="AB2778">
        <v>0</v>
      </c>
    </row>
    <row r="2779">
      <c r="A2779" t="s">
        <v>6919</v>
      </c>
      <c r="B2779" t="s">
        <v>2548</v>
      </c>
      <c r="C2779" t="s">
        <v>2548</v>
      </c>
      <c r="D2779" t="s">
        <v>2571</v>
      </c>
      <c r="E2779" t="s">
        <v>6920</v>
      </c>
      <c r="F2779" t="s">
        <v>298</v>
      </c>
      <c r="G2779" t="s">
        <v>2551</v>
      </c>
      <c r="H2779" t="s">
        <v>2576</v>
      </c>
      <c r="I2779" t="s">
        <v>6921</v>
      </c>
      <c r="J2779" t="s">
        <v>2397</v>
      </c>
      <c r="K2779">
        <v>2</v>
      </c>
      <c r="L2779" t="s">
        <v>6912</v>
      </c>
      <c r="M2779" s="37">
        <v>0.4</v>
      </c>
      <c r="N2779" s="37">
        <v>0.4</v>
      </c>
      <c r="O2779">
        <v>0.4</v>
      </c>
      <c r="P2779" s="37">
        <v>0.85</v>
      </c>
      <c r="Q2779">
        <v>0.8</v>
      </c>
      <c r="R2779">
        <v>1600</v>
      </c>
      <c r="S2779">
        <v>1600</v>
      </c>
      <c r="T2779">
        <v>2000</v>
      </c>
      <c r="U2779" t="s">
        <v>6232</v>
      </c>
      <c r="X2779">
        <v>1</v>
      </c>
      <c r="Z2779" s="37">
        <v>1</v>
      </c>
      <c r="AA2779" s="37">
        <v>1</v>
      </c>
      <c r="AB2779">
        <v>0</v>
      </c>
    </row>
    <row r="2780">
      <c r="A2780" t="s">
        <v>6919</v>
      </c>
      <c r="B2780" t="s">
        <v>2548</v>
      </c>
      <c r="C2780" t="s">
        <v>2548</v>
      </c>
      <c r="D2780" t="s">
        <v>2571</v>
      </c>
      <c r="E2780" t="s">
        <v>6920</v>
      </c>
      <c r="F2780" t="s">
        <v>298</v>
      </c>
      <c r="G2780" t="s">
        <v>2551</v>
      </c>
      <c r="H2780" t="s">
        <v>2552</v>
      </c>
      <c r="I2780" t="s">
        <v>6922</v>
      </c>
      <c r="J2780" t="s">
        <v>6923</v>
      </c>
      <c r="K2780">
        <v>160</v>
      </c>
      <c r="L2780" t="s">
        <v>6912</v>
      </c>
      <c r="M2780" s="37">
        <v>1.15</v>
      </c>
      <c r="N2780" s="37">
        <v>0.6</v>
      </c>
      <c r="O2780">
        <v>1.15</v>
      </c>
      <c r="P2780" s="37">
        <v>0.85</v>
      </c>
      <c r="Q2780">
        <v>0.8</v>
      </c>
      <c r="R2780">
        <v>1600</v>
      </c>
      <c r="S2780">
        <v>1600</v>
      </c>
      <c r="T2780">
        <v>2000</v>
      </c>
      <c r="U2780" t="s">
        <v>6232</v>
      </c>
      <c r="X2780">
        <v>1</v>
      </c>
      <c r="Z2780" s="37">
        <v>1</v>
      </c>
      <c r="AA2780" s="37">
        <v>1</v>
      </c>
      <c r="AB2780">
        <v>0</v>
      </c>
    </row>
    <row r="2781">
      <c r="A2781" t="s">
        <v>6924</v>
      </c>
      <c r="B2781" t="s">
        <v>5475</v>
      </c>
      <c r="C2781" t="s">
        <v>5475</v>
      </c>
      <c r="D2781" t="s">
        <v>2521</v>
      </c>
      <c r="E2781" t="s">
        <v>6925</v>
      </c>
      <c r="F2781" t="s">
        <v>298</v>
      </c>
      <c r="G2781" t="s">
        <v>5475</v>
      </c>
      <c r="H2781" t="s">
        <v>6926</v>
      </c>
      <c r="I2781" t="s">
        <v>6922</v>
      </c>
      <c r="J2781" t="s">
        <v>6927</v>
      </c>
      <c r="K2781">
        <v>3</v>
      </c>
      <c r="L2781" t="s">
        <v>6912</v>
      </c>
      <c r="M2781" s="37">
        <v>0.000968</v>
      </c>
      <c r="N2781" s="37">
        <v>1</v>
      </c>
      <c r="O2781">
        <v>0.0968</v>
      </c>
      <c r="P2781" s="37">
        <v>0.000968</v>
      </c>
      <c r="Q2781">
        <v>0.1</v>
      </c>
      <c r="R2781">
        <v>483.87</v>
      </c>
      <c r="S2781">
        <v>483.87</v>
      </c>
      <c r="T2781">
        <v>5000</v>
      </c>
      <c r="U2781" t="s">
        <v>6232</v>
      </c>
      <c r="X2781">
        <v>1</v>
      </c>
      <c r="Z2781" s="37">
        <v>1</v>
      </c>
      <c r="AA2781" s="37">
        <v>1</v>
      </c>
      <c r="AB2781">
        <v>0</v>
      </c>
    </row>
    <row r="2782">
      <c r="A2782" t="s">
        <v>6928</v>
      </c>
      <c r="B2782" t="s">
        <v>1395</v>
      </c>
      <c r="C2782" t="s">
        <v>1395</v>
      </c>
      <c r="D2782" t="s">
        <v>581</v>
      </c>
      <c r="E2782" t="s">
        <v>6929</v>
      </c>
      <c r="F2782" t="s">
        <v>298</v>
      </c>
      <c r="G2782" t="s">
        <v>6930</v>
      </c>
      <c r="H2782" t="s">
        <v>6931</v>
      </c>
      <c r="I2782" t="s">
        <v>6922</v>
      </c>
      <c r="J2782">
        <v>0.76</v>
      </c>
      <c r="K2782">
        <v>0.47</v>
      </c>
      <c r="L2782" t="s">
        <v>6912</v>
      </c>
      <c r="M2782" s="37">
        <v>0.62</v>
      </c>
      <c r="N2782" s="37">
        <v>1</v>
      </c>
      <c r="O2782">
        <v>0.62</v>
      </c>
      <c r="P2782" s="37">
        <v>0.62</v>
      </c>
      <c r="Q2782">
        <v>0.62</v>
      </c>
      <c r="R2782">
        <v>1113.16</v>
      </c>
      <c r="S2782">
        <v>1113.16</v>
      </c>
      <c r="T2782">
        <v>3000</v>
      </c>
      <c r="U2782" t="s">
        <v>6232</v>
      </c>
      <c r="X2782">
        <v>1</v>
      </c>
      <c r="Z2782" s="37">
        <v>1</v>
      </c>
      <c r="AA2782" s="37">
        <v>1</v>
      </c>
      <c r="AB2782">
        <v>0</v>
      </c>
    </row>
    <row r="2783">
      <c r="A2783" t="s">
        <v>6932</v>
      </c>
      <c r="B2783" t="s">
        <v>1395</v>
      </c>
      <c r="C2783" t="s">
        <v>1395</v>
      </c>
      <c r="D2783" t="s">
        <v>581</v>
      </c>
      <c r="E2783" t="s">
        <v>6933</v>
      </c>
      <c r="F2783" t="s">
        <v>298</v>
      </c>
      <c r="G2783" t="s">
        <v>6930</v>
      </c>
      <c r="H2783" t="s">
        <v>6931</v>
      </c>
      <c r="I2783" t="s">
        <v>6922</v>
      </c>
      <c r="J2783">
        <v>0.76</v>
      </c>
      <c r="K2783">
        <v>0.58</v>
      </c>
      <c r="L2783" t="s">
        <v>6912</v>
      </c>
      <c r="M2783" s="37">
        <v>0.76</v>
      </c>
      <c r="N2783" s="37">
        <v>1</v>
      </c>
      <c r="O2783">
        <v>0.76</v>
      </c>
      <c r="P2783" s="37">
        <v>0.76</v>
      </c>
      <c r="Q2783">
        <v>0.76</v>
      </c>
      <c r="R2783">
        <v>915.79</v>
      </c>
      <c r="S2783">
        <v>915.79</v>
      </c>
      <c r="T2783">
        <v>2000</v>
      </c>
      <c r="U2783" t="s">
        <v>6232</v>
      </c>
      <c r="X2783">
        <v>1</v>
      </c>
      <c r="Z2783" s="37">
        <v>1</v>
      </c>
      <c r="AA2783" s="37">
        <v>1</v>
      </c>
      <c r="AB2783">
        <v>0</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6934</v>
      </c>
      <c r="B1" t="s">
        <v>6935</v>
      </c>
      <c r="C1" t="s">
        <v>6936</v>
      </c>
      <c r="D1" t="s">
        <v>6937</v>
      </c>
      <c r="E1" t="s">
        <v>6938</v>
      </c>
      <c r="F1" t="s">
        <v>6939</v>
      </c>
      <c r="G1" t="s">
        <v>6940</v>
      </c>
      <c r="H1" t="s">
        <v>6941</v>
      </c>
      <c r="I1" t="s">
        <v>6942</v>
      </c>
      <c r="J1" t="s">
        <v>6943</v>
      </c>
      <c r="K1" t="s">
        <v>6944</v>
      </c>
      <c r="L1" t="s">
        <v>6945</v>
      </c>
      <c r="M1" t="s">
        <v>6946</v>
      </c>
      <c r="N1" t="s">
        <v>6947</v>
      </c>
      <c r="O1" t="s">
        <v>6948</v>
      </c>
      <c r="P1" t="s">
        <v>6949</v>
      </c>
      <c r="Q1" t="s">
        <v>6950</v>
      </c>
      <c r="R1" t="s">
        <v>6951</v>
      </c>
      <c r="S1" t="s">
        <v>6952</v>
      </c>
      <c r="T1" t="s">
        <v>6953</v>
      </c>
      <c r="U1" t="s">
        <v>6954</v>
      </c>
      <c r="V1" t="s">
        <v>6955</v>
      </c>
      <c r="W1" t="s">
        <v>6956</v>
      </c>
      <c r="X1" t="s">
        <v>6957</v>
      </c>
      <c r="Y1" t="s">
        <v>6958</v>
      </c>
      <c r="Z1" t="s">
        <v>6959</v>
      </c>
      <c r="AA1" t="s">
        <v>6960</v>
      </c>
      <c r="AB1" t="s">
        <v>6961</v>
      </c>
    </row>
    <row r="2">
      <c r="A2" t="s">
        <v>6962</v>
      </c>
      <c r="B2" t="s">
        <v>6963</v>
      </c>
      <c r="C2" t="s">
        <v>6963</v>
      </c>
      <c r="D2" t="s">
        <v>6964</v>
      </c>
      <c r="E2" t="s">
        <v>6965</v>
      </c>
      <c r="F2" t="s">
        <v>6966</v>
      </c>
      <c r="G2" t="s">
        <v>6967</v>
      </c>
      <c r="H2" t="s">
        <v>6968</v>
      </c>
      <c r="I2" t="s">
        <v>6969</v>
      </c>
      <c r="J2">
        <v>95</v>
      </c>
      <c r="K2" s="42">
        <v>0.971</v>
      </c>
      <c r="L2" t="s">
        <v>6970</v>
      </c>
      <c r="M2" s="42">
        <v>1.022</v>
      </c>
      <c r="N2" s="42">
        <v>0.5</v>
      </c>
      <c r="O2">
        <v>1</v>
      </c>
      <c r="P2" s="42">
        <v>0.911</v>
      </c>
      <c r="Q2">
        <v>0.91</v>
      </c>
      <c r="R2">
        <v>2821</v>
      </c>
      <c r="S2">
        <v>2821</v>
      </c>
      <c r="T2">
        <v>3100</v>
      </c>
      <c r="U2" t="s">
        <v>6954</v>
      </c>
      <c r="V2" t="s">
        <v>6955</v>
      </c>
      <c r="W2" t="s">
        <v>6956</v>
      </c>
      <c r="X2" t="s">
        <v>6957</v>
      </c>
      <c r="Y2" t="s">
        <v>6958</v>
      </c>
      <c r="Z2" t="s">
        <v>6959</v>
      </c>
      <c r="AA2" t="s">
        <v>6960</v>
      </c>
      <c r="AB2" t="s">
        <v>6961</v>
      </c>
    </row>
    <row r="3">
      <c r="A3" t="s">
        <v>6971</v>
      </c>
      <c r="B3" t="s">
        <v>6963</v>
      </c>
      <c r="C3" t="s">
        <v>6963</v>
      </c>
      <c r="D3" t="s">
        <v>6964</v>
      </c>
      <c r="E3" t="s">
        <v>6972</v>
      </c>
      <c r="F3" t="s">
        <v>6966</v>
      </c>
      <c r="G3" t="s">
        <v>6967</v>
      </c>
      <c r="H3" t="s">
        <v>6973</v>
      </c>
      <c r="I3" t="s">
        <v>6974</v>
      </c>
      <c r="J3" s="43">
        <v>0.88</v>
      </c>
      <c r="K3" t="s">
        <v>6975</v>
      </c>
      <c r="L3" t="s">
        <v>6976</v>
      </c>
      <c r="M3" s="42">
        <v>1</v>
      </c>
      <c r="N3" s="42">
        <v>0.3</v>
      </c>
      <c r="O3">
        <v>1</v>
      </c>
      <c r="P3" s="42">
        <v>0.95</v>
      </c>
      <c r="Q3">
        <v>0.95</v>
      </c>
      <c r="R3">
        <v>2968.9</v>
      </c>
      <c r="S3">
        <v>2968.9</v>
      </c>
      <c r="T3">
        <v>3000</v>
      </c>
      <c r="U3" t="s">
        <v>6954</v>
      </c>
      <c r="V3" t="s">
        <v>6955</v>
      </c>
      <c r="W3" t="s">
        <v>6956</v>
      </c>
      <c r="X3" t="s">
        <v>6957</v>
      </c>
      <c r="Y3" t="s">
        <v>6958</v>
      </c>
      <c r="Z3" t="s">
        <v>6959</v>
      </c>
      <c r="AA3" t="s">
        <v>6960</v>
      </c>
      <c r="AB3" t="s">
        <v>6961</v>
      </c>
    </row>
    <row r="4">
      <c r="A4" t="s">
        <v>6977</v>
      </c>
      <c r="B4" t="s">
        <v>6963</v>
      </c>
      <c r="C4" t="s">
        <v>6963</v>
      </c>
      <c r="D4" t="s">
        <v>6964</v>
      </c>
      <c r="E4" t="s">
        <v>6978</v>
      </c>
      <c r="F4" t="s">
        <v>6966</v>
      </c>
      <c r="G4" t="s">
        <v>6967</v>
      </c>
      <c r="H4" t="s">
        <v>6979</v>
      </c>
      <c r="I4">
        <v>1750</v>
      </c>
      <c r="J4" t="s">
        <v>6980</v>
      </c>
      <c r="K4" t="s">
        <v>6981</v>
      </c>
      <c r="M4" s="42">
        <v>1.13</v>
      </c>
      <c r="N4" s="42">
        <v>0.3</v>
      </c>
      <c r="O4">
        <v>1.13</v>
      </c>
      <c r="P4" s="42">
        <v>1.0025</v>
      </c>
      <c r="Q4">
        <v>0.85</v>
      </c>
      <c r="R4">
        <v>2550</v>
      </c>
      <c r="S4">
        <v>2550</v>
      </c>
      <c r="T4">
        <v>3000</v>
      </c>
      <c r="U4" t="s">
        <v>6954</v>
      </c>
      <c r="V4" t="s">
        <v>6955</v>
      </c>
      <c r="W4" t="s">
        <v>6956</v>
      </c>
      <c r="X4" t="s">
        <v>6957</v>
      </c>
      <c r="Y4" t="s">
        <v>6958</v>
      </c>
      <c r="Z4" t="s">
        <v>6959</v>
      </c>
      <c r="AA4" t="s">
        <v>6960</v>
      </c>
      <c r="AB4" t="s">
        <v>6961</v>
      </c>
    </row>
    <row r="5">
      <c r="A5" t="s">
        <v>6982</v>
      </c>
      <c r="B5" t="s">
        <v>6963</v>
      </c>
      <c r="C5" t="s">
        <v>6963</v>
      </c>
      <c r="D5" t="s">
        <v>6964</v>
      </c>
      <c r="E5" t="s">
        <v>6983</v>
      </c>
      <c r="F5" t="s">
        <v>6966</v>
      </c>
      <c r="G5" t="s">
        <v>6967</v>
      </c>
      <c r="H5" t="s">
        <v>6984</v>
      </c>
      <c r="I5" t="s">
        <v>6985</v>
      </c>
      <c r="J5" s="43">
        <v>1</v>
      </c>
      <c r="K5" t="s">
        <v>6986</v>
      </c>
      <c r="L5" t="s">
        <v>6987</v>
      </c>
      <c r="M5" s="42">
        <v>0.92</v>
      </c>
      <c r="N5" s="42">
        <v>0.2</v>
      </c>
      <c r="O5">
        <v>0.92</v>
      </c>
      <c r="P5" s="42">
        <v>0.9396</v>
      </c>
      <c r="Q5">
        <v>0.99</v>
      </c>
      <c r="R5">
        <v>3475.6</v>
      </c>
      <c r="S5">
        <v>3475.6</v>
      </c>
      <c r="T5">
        <v>3000</v>
      </c>
      <c r="U5" t="s">
        <v>6954</v>
      </c>
      <c r="V5" t="s">
        <v>6955</v>
      </c>
      <c r="W5" t="s">
        <v>6956</v>
      </c>
      <c r="X5" t="s">
        <v>6957</v>
      </c>
      <c r="Y5" t="s">
        <v>6958</v>
      </c>
      <c r="Z5" t="s">
        <v>6959</v>
      </c>
      <c r="AA5" t="s">
        <v>6960</v>
      </c>
      <c r="AB5" t="s">
        <v>6961</v>
      </c>
    </row>
    <row r="6">
      <c r="A6" t="s">
        <v>6988</v>
      </c>
      <c r="B6" t="s">
        <v>6963</v>
      </c>
      <c r="C6" t="s">
        <v>6963</v>
      </c>
      <c r="D6" t="s">
        <v>6964</v>
      </c>
      <c r="E6" t="s">
        <v>6989</v>
      </c>
      <c r="F6" t="s">
        <v>6966</v>
      </c>
      <c r="G6" t="s">
        <v>6967</v>
      </c>
      <c r="H6" t="s">
        <v>6984</v>
      </c>
      <c r="I6" t="s">
        <v>6990</v>
      </c>
      <c r="J6" t="s">
        <v>6991</v>
      </c>
      <c r="K6" t="s">
        <v>6992</v>
      </c>
      <c r="L6" t="s">
        <v>6993</v>
      </c>
      <c r="M6" s="42">
        <v>0.95</v>
      </c>
      <c r="N6" s="42">
        <v>0.4</v>
      </c>
      <c r="O6">
        <v>0.95</v>
      </c>
      <c r="P6" s="42">
        <v>0.905</v>
      </c>
      <c r="Q6">
        <v>0.91</v>
      </c>
      <c r="R6">
        <v>2730</v>
      </c>
      <c r="S6">
        <v>2730</v>
      </c>
      <c r="T6">
        <v>3000</v>
      </c>
      <c r="U6" t="s">
        <v>6954</v>
      </c>
      <c r="V6" t="s">
        <v>6955</v>
      </c>
      <c r="W6" t="s">
        <v>6956</v>
      </c>
      <c r="X6" t="s">
        <v>6957</v>
      </c>
      <c r="Y6" t="s">
        <v>6958</v>
      </c>
      <c r="Z6" t="s">
        <v>6959</v>
      </c>
      <c r="AA6" t="s">
        <v>6960</v>
      </c>
      <c r="AB6" t="s">
        <v>6961</v>
      </c>
    </row>
    <row r="7">
      <c r="A7" t="s">
        <v>6994</v>
      </c>
      <c r="B7" t="s">
        <v>6963</v>
      </c>
      <c r="C7" t="s">
        <v>6963</v>
      </c>
      <c r="D7" t="s">
        <v>6964</v>
      </c>
      <c r="E7" t="s">
        <v>6995</v>
      </c>
      <c r="F7" t="s">
        <v>6966</v>
      </c>
      <c r="G7" t="s">
        <v>6967</v>
      </c>
      <c r="H7" t="s">
        <v>6984</v>
      </c>
      <c r="I7" t="s">
        <v>6996</v>
      </c>
      <c r="J7" s="43">
        <v>1</v>
      </c>
      <c r="K7" t="s">
        <v>6997</v>
      </c>
      <c r="L7" t="s">
        <v>6998</v>
      </c>
      <c r="M7" s="42">
        <v>0.85</v>
      </c>
      <c r="N7" s="42">
        <v>0.6</v>
      </c>
      <c r="O7">
        <v>0.85</v>
      </c>
      <c r="P7" s="42">
        <v>0.972</v>
      </c>
      <c r="Q7">
        <v>0.98</v>
      </c>
      <c r="R7">
        <v>3058.9</v>
      </c>
      <c r="S7">
        <v>3058.9</v>
      </c>
      <c r="T7">
        <v>3000</v>
      </c>
      <c r="U7" t="s">
        <v>6954</v>
      </c>
      <c r="V7" t="s">
        <v>6955</v>
      </c>
      <c r="W7" t="s">
        <v>6956</v>
      </c>
      <c r="X7" t="s">
        <v>6957</v>
      </c>
      <c r="Y7" t="s">
        <v>6958</v>
      </c>
      <c r="Z7" t="s">
        <v>6959</v>
      </c>
      <c r="AA7" t="s">
        <v>6960</v>
      </c>
      <c r="AB7" t="s">
        <v>6961</v>
      </c>
    </row>
    <row r="8">
      <c r="A8" t="s">
        <v>6999</v>
      </c>
      <c r="B8" t="s">
        <v>6963</v>
      </c>
      <c r="C8" t="s">
        <v>6963</v>
      </c>
      <c r="D8" t="s">
        <v>7000</v>
      </c>
      <c r="E8" t="s">
        <v>7001</v>
      </c>
      <c r="F8" t="s">
        <v>6966</v>
      </c>
      <c r="G8" t="s">
        <v>6967</v>
      </c>
      <c r="H8" t="s">
        <v>6984</v>
      </c>
      <c r="I8" t="s">
        <v>7002</v>
      </c>
      <c r="J8" s="43">
        <v>1</v>
      </c>
      <c r="K8" t="s">
        <v>7003</v>
      </c>
      <c r="L8" t="s">
        <v>7004</v>
      </c>
      <c r="M8" s="42">
        <v>0.9</v>
      </c>
      <c r="N8" s="42">
        <v>0.4</v>
      </c>
      <c r="O8">
        <v>0.9</v>
      </c>
      <c r="P8" s="42">
        <v>1.00971</v>
      </c>
      <c r="Q8">
        <v>1.01</v>
      </c>
      <c r="R8">
        <v>5525.6</v>
      </c>
      <c r="S8">
        <v>5525.6</v>
      </c>
      <c r="T8">
        <v>5000</v>
      </c>
      <c r="U8" t="s">
        <v>6954</v>
      </c>
      <c r="V8" t="s">
        <v>6955</v>
      </c>
      <c r="W8" t="s">
        <v>6956</v>
      </c>
      <c r="X8" t="s">
        <v>6957</v>
      </c>
      <c r="Y8" t="s">
        <v>6958</v>
      </c>
      <c r="Z8" t="s">
        <v>6959</v>
      </c>
      <c r="AA8" t="s">
        <v>6960</v>
      </c>
      <c r="AB8" t="s">
        <v>6961</v>
      </c>
    </row>
    <row r="9">
      <c r="A9" t="s">
        <v>7005</v>
      </c>
      <c r="B9" t="s">
        <v>6963</v>
      </c>
      <c r="C9" t="s">
        <v>6963</v>
      </c>
      <c r="D9" t="s">
        <v>7000</v>
      </c>
      <c r="E9" t="s">
        <v>7006</v>
      </c>
      <c r="F9" t="s">
        <v>6966</v>
      </c>
      <c r="G9" t="s">
        <v>6967</v>
      </c>
      <c r="H9" t="s">
        <v>6968</v>
      </c>
      <c r="I9" t="s">
        <v>7007</v>
      </c>
      <c r="J9">
        <v>1</v>
      </c>
      <c r="K9" s="43">
        <v>1</v>
      </c>
      <c r="L9" t="s">
        <v>7008</v>
      </c>
      <c r="M9" s="42">
        <v>1</v>
      </c>
      <c r="N9" s="42">
        <v>0.3</v>
      </c>
      <c r="O9">
        <v>1</v>
      </c>
      <c r="P9" s="42">
        <v>0.89</v>
      </c>
      <c r="Q9">
        <v>0.91</v>
      </c>
      <c r="R9">
        <v>0</v>
      </c>
      <c r="S9">
        <v>0</v>
      </c>
      <c r="T9">
        <v>5000</v>
      </c>
      <c r="U9" t="s">
        <v>6954</v>
      </c>
      <c r="V9" t="s">
        <v>6955</v>
      </c>
      <c r="W9" t="s">
        <v>6956</v>
      </c>
      <c r="X9" t="s">
        <v>6957</v>
      </c>
      <c r="Y9" t="s">
        <v>6958</v>
      </c>
      <c r="Z9" t="s">
        <v>6959</v>
      </c>
      <c r="AA9" t="s">
        <v>6960</v>
      </c>
      <c r="AB9" t="s">
        <v>6961</v>
      </c>
    </row>
    <row r="10">
      <c r="A10" t="s">
        <v>7009</v>
      </c>
      <c r="B10" t="s">
        <v>7010</v>
      </c>
      <c r="C10" t="s">
        <v>7010</v>
      </c>
      <c r="D10" t="s">
        <v>7011</v>
      </c>
      <c r="E10" t="s">
        <v>7012</v>
      </c>
      <c r="F10" t="s">
        <v>6966</v>
      </c>
      <c r="G10" t="s">
        <v>7013</v>
      </c>
      <c r="H10" t="s">
        <v>7014</v>
      </c>
      <c r="I10" t="s">
        <v>7015</v>
      </c>
      <c r="J10">
        <v>1</v>
      </c>
      <c r="K10">
        <v>0</v>
      </c>
      <c r="L10" t="s">
        <v>7016</v>
      </c>
      <c r="M10" s="42">
        <v>1</v>
      </c>
      <c r="N10" s="42">
        <v>0.5</v>
      </c>
      <c r="O10">
        <v>1</v>
      </c>
      <c r="P10" s="42">
        <v>1</v>
      </c>
      <c r="Q10">
        <v>1</v>
      </c>
      <c r="R10">
        <v>1500</v>
      </c>
      <c r="S10">
        <v>1500</v>
      </c>
      <c r="T10">
        <v>1500</v>
      </c>
      <c r="U10" t="s">
        <v>7017</v>
      </c>
      <c r="V10" t="s">
        <v>7018</v>
      </c>
      <c r="X10" t="s">
        <v>6957</v>
      </c>
      <c r="Y10" t="s">
        <v>7019</v>
      </c>
      <c r="Z10" s="42">
        <v>1</v>
      </c>
      <c r="AA10" s="42">
        <v>0.2</v>
      </c>
      <c r="AB10">
        <v>1</v>
      </c>
    </row>
    <row r="11">
      <c r="A11" t="s">
        <v>7020</v>
      </c>
      <c r="B11" t="s">
        <v>7010</v>
      </c>
      <c r="C11" t="s">
        <v>7010</v>
      </c>
      <c r="D11" t="s">
        <v>7011</v>
      </c>
      <c r="E11" t="s">
        <v>7021</v>
      </c>
      <c r="F11" t="s">
        <v>6966</v>
      </c>
      <c r="G11" t="s">
        <v>7013</v>
      </c>
      <c r="H11" t="s">
        <v>7014</v>
      </c>
      <c r="I11" t="s">
        <v>7022</v>
      </c>
      <c r="J11">
        <v>1</v>
      </c>
      <c r="K11">
        <v>0</v>
      </c>
      <c r="L11" t="s">
        <v>7023</v>
      </c>
      <c r="M11" s="42">
        <v>1.075</v>
      </c>
      <c r="N11" s="42">
        <v>0.5</v>
      </c>
      <c r="O11">
        <v>1.075</v>
      </c>
      <c r="P11" s="42">
        <v>1.0285</v>
      </c>
      <c r="Q11">
        <v>1.03</v>
      </c>
      <c r="R11">
        <v>2060</v>
      </c>
      <c r="S11">
        <v>2060</v>
      </c>
      <c r="T11">
        <v>2000</v>
      </c>
      <c r="U11" t="s">
        <v>7024</v>
      </c>
      <c r="X11" t="s">
        <v>7025</v>
      </c>
      <c r="Y11" t="s">
        <v>7026</v>
      </c>
      <c r="Z11" s="42">
        <v>1.2</v>
      </c>
      <c r="AA11" s="42">
        <v>0.6</v>
      </c>
      <c r="AB11">
        <v>1.2</v>
      </c>
    </row>
    <row r="12">
      <c r="A12" t="s">
        <v>7027</v>
      </c>
      <c r="B12" t="s">
        <v>7010</v>
      </c>
      <c r="C12" t="s">
        <v>7010</v>
      </c>
      <c r="D12" t="s">
        <v>7011</v>
      </c>
      <c r="E12" t="s">
        <v>7028</v>
      </c>
      <c r="F12" t="s">
        <v>6966</v>
      </c>
      <c r="G12" t="s">
        <v>7013</v>
      </c>
      <c r="H12" t="s">
        <v>7014</v>
      </c>
      <c r="I12" t="s">
        <v>7029</v>
      </c>
      <c r="J12">
        <v>1</v>
      </c>
      <c r="K12">
        <v>0</v>
      </c>
      <c r="L12" t="s">
        <v>7030</v>
      </c>
      <c r="M12" s="42">
        <v>1</v>
      </c>
      <c r="N12" s="42">
        <v>0.5</v>
      </c>
      <c r="O12">
        <v>1</v>
      </c>
      <c r="P12" s="42">
        <v>0.9375</v>
      </c>
      <c r="Q12">
        <v>0.94</v>
      </c>
      <c r="R12">
        <v>1410</v>
      </c>
      <c r="S12">
        <v>1410</v>
      </c>
      <c r="T12">
        <v>1500</v>
      </c>
      <c r="U12" t="s">
        <v>7031</v>
      </c>
      <c r="V12" t="s">
        <v>7032</v>
      </c>
      <c r="W12">
        <v>1</v>
      </c>
      <c r="X12">
        <v>100</v>
      </c>
      <c r="Y12" t="s">
        <v>7033</v>
      </c>
      <c r="Z12" s="42">
        <v>0.875</v>
      </c>
      <c r="AA12" s="42">
        <v>0.3</v>
      </c>
      <c r="AB12">
        <v>1</v>
      </c>
    </row>
    <row r="13">
      <c r="A13" t="s">
        <v>7034</v>
      </c>
      <c r="B13" t="s">
        <v>7010</v>
      </c>
      <c r="C13" t="s">
        <v>7010</v>
      </c>
      <c r="D13" t="s">
        <v>7035</v>
      </c>
      <c r="E13" t="s">
        <v>7036</v>
      </c>
      <c r="F13" t="s">
        <v>6966</v>
      </c>
      <c r="G13" t="s">
        <v>7037</v>
      </c>
      <c r="H13" t="s">
        <v>7038</v>
      </c>
      <c r="I13" t="s">
        <v>7039</v>
      </c>
      <c r="K13" t="s">
        <v>7040</v>
      </c>
      <c r="L13" t="s">
        <v>7030</v>
      </c>
      <c r="M13" s="42">
        <v>1</v>
      </c>
      <c r="N13" s="42">
        <v>0.5</v>
      </c>
      <c r="O13">
        <v>1</v>
      </c>
      <c r="P13" s="42">
        <v>1</v>
      </c>
      <c r="Q13">
        <v>1</v>
      </c>
      <c r="R13">
        <v>3386</v>
      </c>
      <c r="S13">
        <v>3386</v>
      </c>
      <c r="T13">
        <v>3000</v>
      </c>
      <c r="U13" t="s">
        <v>7039</v>
      </c>
      <c r="X13" t="s">
        <v>7040</v>
      </c>
      <c r="Y13" t="s">
        <v>7041</v>
      </c>
      <c r="Z13" s="42">
        <v>1</v>
      </c>
      <c r="AA13" s="42">
        <v>1</v>
      </c>
      <c r="AB13">
        <v>1</v>
      </c>
    </row>
    <row r="14">
      <c r="A14" t="s">
        <v>7042</v>
      </c>
      <c r="B14" t="s">
        <v>7010</v>
      </c>
      <c r="C14" t="s">
        <v>7010</v>
      </c>
      <c r="D14" t="s">
        <v>7035</v>
      </c>
      <c r="E14" t="s">
        <v>7043</v>
      </c>
      <c r="F14" t="s">
        <v>6966</v>
      </c>
      <c r="G14" t="s">
        <v>7037</v>
      </c>
      <c r="H14" t="s">
        <v>7038</v>
      </c>
      <c r="I14" t="s">
        <v>7044</v>
      </c>
      <c r="K14" s="43">
        <v>1</v>
      </c>
      <c r="L14" t="s">
        <v>7045</v>
      </c>
      <c r="M14" s="42">
        <v>1</v>
      </c>
      <c r="N14" s="42">
        <v>0.7</v>
      </c>
      <c r="O14">
        <v>1</v>
      </c>
      <c r="P14" s="42">
        <v>1</v>
      </c>
      <c r="Q14">
        <v>1</v>
      </c>
      <c r="R14">
        <v>3386</v>
      </c>
      <c r="S14">
        <v>3386</v>
      </c>
      <c r="T14">
        <v>3000</v>
      </c>
      <c r="U14" t="s">
        <v>7046</v>
      </c>
      <c r="X14" s="43">
        <v>1</v>
      </c>
      <c r="Y14" t="s">
        <v>7041</v>
      </c>
      <c r="Z14" s="42">
        <v>1</v>
      </c>
      <c r="AA14" s="42">
        <v>0.4</v>
      </c>
      <c r="AB14">
        <v>1</v>
      </c>
    </row>
    <row r="15">
      <c r="A15" t="s">
        <v>7047</v>
      </c>
      <c r="B15" t="s">
        <v>7010</v>
      </c>
      <c r="C15" t="s">
        <v>7010</v>
      </c>
      <c r="D15" t="s">
        <v>7048</v>
      </c>
      <c r="E15" t="s">
        <v>7049</v>
      </c>
      <c r="F15" t="s">
        <v>6966</v>
      </c>
      <c r="G15" t="s">
        <v>7037</v>
      </c>
      <c r="H15" t="s">
        <v>7050</v>
      </c>
      <c r="I15" t="s">
        <v>7051</v>
      </c>
      <c r="J15" s="43">
        <v>1</v>
      </c>
      <c r="K15" s="42">
        <v>0.7943</v>
      </c>
      <c r="L15" t="s">
        <v>7052</v>
      </c>
      <c r="M15" s="42">
        <v>0.7943</v>
      </c>
      <c r="N15" s="42">
        <v>0.3</v>
      </c>
      <c r="O15">
        <v>0.6354</v>
      </c>
      <c r="P15" s="42">
        <v>0.85829</v>
      </c>
      <c r="Q15">
        <v>0.81</v>
      </c>
      <c r="R15">
        <v>2128</v>
      </c>
      <c r="S15">
        <v>2128</v>
      </c>
      <c r="T15">
        <v>2200</v>
      </c>
      <c r="U15" t="s">
        <v>7053</v>
      </c>
      <c r="X15">
        <v>100</v>
      </c>
      <c r="Y15" t="s">
        <v>7041</v>
      </c>
      <c r="Z15" s="42">
        <v>1</v>
      </c>
      <c r="AA15" s="42">
        <v>0.6</v>
      </c>
      <c r="AB15">
        <v>1</v>
      </c>
    </row>
    <row r="16">
      <c r="A16" t="s">
        <v>7054</v>
      </c>
      <c r="B16" t="s">
        <v>7010</v>
      </c>
      <c r="C16" t="s">
        <v>7010</v>
      </c>
      <c r="D16" t="s">
        <v>7000</v>
      </c>
      <c r="E16" t="s">
        <v>7055</v>
      </c>
      <c r="F16" t="s">
        <v>6966</v>
      </c>
      <c r="G16" t="s">
        <v>7037</v>
      </c>
      <c r="H16" t="s">
        <v>7056</v>
      </c>
      <c r="I16" t="s">
        <v>7057</v>
      </c>
      <c r="J16">
        <v>100</v>
      </c>
      <c r="K16">
        <v>80</v>
      </c>
      <c r="L16" t="s">
        <v>7058</v>
      </c>
      <c r="M16" s="42">
        <v>0.8</v>
      </c>
      <c r="N16" s="42">
        <v>0.6</v>
      </c>
      <c r="O16">
        <v>0.8</v>
      </c>
      <c r="P16" s="42">
        <v>0.8</v>
      </c>
      <c r="Q16">
        <v>0.8</v>
      </c>
      <c r="R16">
        <v>4300</v>
      </c>
      <c r="S16">
        <v>4300</v>
      </c>
      <c r="T16">
        <v>5000</v>
      </c>
      <c r="U16" t="s">
        <v>7053</v>
      </c>
      <c r="X16">
        <v>100</v>
      </c>
      <c r="Y16" t="s">
        <v>7041</v>
      </c>
      <c r="Z16" s="42">
        <v>1</v>
      </c>
      <c r="AA16" s="42">
        <v>0.6</v>
      </c>
      <c r="AB16">
        <v>1</v>
      </c>
    </row>
    <row r="17">
      <c r="A17" t="s">
        <v>7059</v>
      </c>
      <c r="B17" t="s">
        <v>7060</v>
      </c>
      <c r="C17" t="s">
        <v>7060</v>
      </c>
      <c r="D17" t="s">
        <v>7061</v>
      </c>
      <c r="E17" t="s">
        <v>7062</v>
      </c>
      <c r="F17" t="s">
        <v>6966</v>
      </c>
      <c r="G17" t="s">
        <v>7063</v>
      </c>
      <c r="H17" t="s">
        <v>7064</v>
      </c>
      <c r="I17" t="s">
        <v>7065</v>
      </c>
      <c r="J17" s="43">
        <v>1</v>
      </c>
      <c r="K17">
        <v>80</v>
      </c>
      <c r="M17" s="42">
        <v>0.4</v>
      </c>
      <c r="N17" s="42">
        <v>0.4</v>
      </c>
      <c r="O17">
        <v>0.4</v>
      </c>
      <c r="P17" s="42">
        <v>0.67</v>
      </c>
      <c r="Q17">
        <v>1.07</v>
      </c>
      <c r="R17">
        <v>3200</v>
      </c>
      <c r="S17">
        <v>3200</v>
      </c>
      <c r="T17">
        <v>2800</v>
      </c>
      <c r="U17" t="s">
        <v>7053</v>
      </c>
      <c r="X17">
        <v>100</v>
      </c>
      <c r="Y17" t="s">
        <v>7041</v>
      </c>
      <c r="Z17" s="42">
        <v>1</v>
      </c>
      <c r="AA17" s="42">
        <v>0.6</v>
      </c>
      <c r="AB17">
        <v>1</v>
      </c>
    </row>
    <row r="18">
      <c r="A18" t="s">
        <v>7066</v>
      </c>
      <c r="B18" t="s">
        <v>7060</v>
      </c>
      <c r="C18" t="s">
        <v>7060</v>
      </c>
      <c r="D18" t="s">
        <v>7061</v>
      </c>
      <c r="E18" t="s">
        <v>7067</v>
      </c>
      <c r="F18" t="s">
        <v>6966</v>
      </c>
      <c r="G18" t="s">
        <v>7063</v>
      </c>
      <c r="H18" t="s">
        <v>7064</v>
      </c>
      <c r="I18" t="s">
        <v>7065</v>
      </c>
      <c r="J18" t="s">
        <v>7068</v>
      </c>
      <c r="K18">
        <v>80</v>
      </c>
      <c r="M18" s="42">
        <v>1</v>
      </c>
      <c r="N18" s="42">
        <v>0.4</v>
      </c>
      <c r="O18">
        <v>1</v>
      </c>
      <c r="P18" s="42">
        <v>0.67</v>
      </c>
      <c r="Q18">
        <v>0.77</v>
      </c>
      <c r="R18">
        <v>2216</v>
      </c>
      <c r="S18">
        <v>2216</v>
      </c>
      <c r="T18">
        <v>2800</v>
      </c>
      <c r="U18" t="s">
        <v>7053</v>
      </c>
      <c r="X18">
        <v>100</v>
      </c>
      <c r="Y18" t="s">
        <v>7041</v>
      </c>
      <c r="Z18" s="42">
        <v>1</v>
      </c>
      <c r="AA18" s="42">
        <v>0.6</v>
      </c>
      <c r="AB18">
        <v>1</v>
      </c>
    </row>
    <row r="19">
      <c r="A19" t="s">
        <v>7069</v>
      </c>
      <c r="B19" t="s">
        <v>7060</v>
      </c>
      <c r="C19" t="s">
        <v>7060</v>
      </c>
      <c r="D19" t="s">
        <v>7061</v>
      </c>
      <c r="E19" t="s">
        <v>7070</v>
      </c>
      <c r="F19" t="s">
        <v>6966</v>
      </c>
      <c r="G19" t="s">
        <v>7063</v>
      </c>
      <c r="H19" t="s">
        <v>7064</v>
      </c>
      <c r="I19" t="s">
        <v>7065</v>
      </c>
      <c r="J19" s="43">
        <v>1</v>
      </c>
      <c r="K19">
        <v>80</v>
      </c>
      <c r="M19" s="42">
        <v>0.4</v>
      </c>
      <c r="N19" s="42">
        <v>0.4</v>
      </c>
      <c r="O19">
        <v>0.4</v>
      </c>
      <c r="P19" s="42">
        <v>0.58</v>
      </c>
      <c r="Q19">
        <v>0.68</v>
      </c>
      <c r="R19">
        <v>0</v>
      </c>
      <c r="S19">
        <v>0</v>
      </c>
      <c r="T19">
        <v>2800</v>
      </c>
      <c r="U19" t="s">
        <v>7053</v>
      </c>
      <c r="X19">
        <v>100</v>
      </c>
      <c r="Y19" t="s">
        <v>7041</v>
      </c>
      <c r="Z19" s="42">
        <v>1</v>
      </c>
      <c r="AA19" s="42">
        <v>0.6</v>
      </c>
      <c r="AB19">
        <v>1</v>
      </c>
    </row>
    <row r="20">
      <c r="A20" t="s">
        <v>7071</v>
      </c>
      <c r="B20" t="s">
        <v>7060</v>
      </c>
      <c r="C20" t="s">
        <v>7060</v>
      </c>
      <c r="D20" t="s">
        <v>7072</v>
      </c>
      <c r="E20" t="s">
        <v>7073</v>
      </c>
      <c r="F20" t="s">
        <v>6966</v>
      </c>
      <c r="G20" t="s">
        <v>7074</v>
      </c>
      <c r="H20" t="s">
        <v>7064</v>
      </c>
      <c r="I20" t="s">
        <v>7075</v>
      </c>
      <c r="J20" s="43">
        <v>1</v>
      </c>
      <c r="K20" t="s">
        <v>7076</v>
      </c>
      <c r="L20" s="43">
        <v>1</v>
      </c>
      <c r="M20" s="42">
        <v>1</v>
      </c>
      <c r="N20" s="42">
        <v>0.3</v>
      </c>
      <c r="O20">
        <v>0.3</v>
      </c>
      <c r="P20" s="42">
        <v>0.7</v>
      </c>
      <c r="Q20">
        <v>0.75</v>
      </c>
      <c r="R20">
        <v>3810</v>
      </c>
      <c r="S20">
        <v>3810</v>
      </c>
      <c r="T20">
        <v>5000</v>
      </c>
      <c r="U20" t="s">
        <v>7053</v>
      </c>
      <c r="X20">
        <v>100</v>
      </c>
      <c r="Y20" t="s">
        <v>7041</v>
      </c>
      <c r="Z20" s="42">
        <v>1</v>
      </c>
      <c r="AA20" s="42">
        <v>0.6</v>
      </c>
      <c r="AB20">
        <v>1</v>
      </c>
    </row>
    <row r="21">
      <c r="A21" t="s">
        <v>7077</v>
      </c>
      <c r="B21" t="s">
        <v>7060</v>
      </c>
      <c r="C21" t="s">
        <v>7060</v>
      </c>
      <c r="D21" t="s">
        <v>7078</v>
      </c>
      <c r="E21" t="s">
        <v>7079</v>
      </c>
      <c r="F21" t="s">
        <v>6966</v>
      </c>
      <c r="G21" t="s">
        <v>7074</v>
      </c>
      <c r="H21" t="s">
        <v>7064</v>
      </c>
      <c r="I21" t="s">
        <v>7080</v>
      </c>
      <c r="J21" s="43">
        <v>1</v>
      </c>
      <c r="K21" t="s">
        <v>7081</v>
      </c>
      <c r="L21" t="s">
        <v>7082</v>
      </c>
      <c r="M21" s="42">
        <v>1</v>
      </c>
      <c r="N21" s="42">
        <v>0.3</v>
      </c>
      <c r="O21">
        <v>1</v>
      </c>
      <c r="P21" s="42">
        <v>0.73</v>
      </c>
      <c r="Q21">
        <v>0.83</v>
      </c>
      <c r="R21">
        <v>2870</v>
      </c>
      <c r="S21">
        <v>2870</v>
      </c>
      <c r="T21">
        <v>3000</v>
      </c>
      <c r="U21" t="s">
        <v>7053</v>
      </c>
      <c r="X21">
        <v>100</v>
      </c>
      <c r="Y21" t="s">
        <v>7041</v>
      </c>
      <c r="Z21" s="42">
        <v>1</v>
      </c>
      <c r="AA21" s="42">
        <v>0.6</v>
      </c>
      <c r="AB21">
        <v>1</v>
      </c>
    </row>
    <row r="22">
      <c r="A22" t="s">
        <v>7083</v>
      </c>
      <c r="B22" t="s">
        <v>7060</v>
      </c>
      <c r="C22" t="s">
        <v>7060</v>
      </c>
      <c r="D22" t="s">
        <v>7078</v>
      </c>
      <c r="E22" t="s">
        <v>7084</v>
      </c>
      <c r="F22" t="s">
        <v>6966</v>
      </c>
      <c r="G22" t="s">
        <v>7074</v>
      </c>
      <c r="H22" t="s">
        <v>7085</v>
      </c>
      <c r="I22" t="s">
        <v>7086</v>
      </c>
      <c r="J22" s="43">
        <v>1</v>
      </c>
      <c r="K22" t="s">
        <v>7087</v>
      </c>
      <c r="L22">
        <v>100</v>
      </c>
      <c r="M22" s="42">
        <v>1</v>
      </c>
      <c r="N22" s="42">
        <v>0.3</v>
      </c>
      <c r="O22">
        <v>1</v>
      </c>
      <c r="P22" s="42">
        <v>1</v>
      </c>
      <c r="Q22">
        <v>1</v>
      </c>
      <c r="R22">
        <v>3400</v>
      </c>
      <c r="S22">
        <v>3400</v>
      </c>
      <c r="T22">
        <v>3000</v>
      </c>
      <c r="U22" t="s">
        <v>7053</v>
      </c>
      <c r="X22">
        <v>100</v>
      </c>
      <c r="Y22" t="s">
        <v>7041</v>
      </c>
      <c r="Z22" s="42">
        <v>1</v>
      </c>
      <c r="AA22" s="42">
        <v>0.6</v>
      </c>
      <c r="AB22">
        <v>1</v>
      </c>
    </row>
    <row r="23">
      <c r="A23" t="s">
        <v>7088</v>
      </c>
      <c r="B23" t="s">
        <v>7089</v>
      </c>
      <c r="C23" t="s">
        <v>7089</v>
      </c>
      <c r="D23" t="s">
        <v>7090</v>
      </c>
      <c r="E23" t="s">
        <v>7091</v>
      </c>
      <c r="F23" t="s">
        <v>6966</v>
      </c>
      <c r="G23" t="s">
        <v>7092</v>
      </c>
      <c r="H23" t="s">
        <v>7093</v>
      </c>
      <c r="I23" t="s">
        <v>7094</v>
      </c>
      <c r="J23" t="s">
        <v>7095</v>
      </c>
      <c r="K23" t="s">
        <v>7095</v>
      </c>
      <c r="L23" t="s">
        <v>7096</v>
      </c>
      <c r="M23" s="42">
        <v>1</v>
      </c>
      <c r="N23" s="42">
        <v>0.3</v>
      </c>
      <c r="O23">
        <v>1</v>
      </c>
      <c r="P23" s="42">
        <v>1</v>
      </c>
      <c r="Q23">
        <v>1</v>
      </c>
      <c r="R23">
        <v>2000</v>
      </c>
      <c r="S23">
        <v>2000</v>
      </c>
      <c r="T23">
        <v>2000</v>
      </c>
      <c r="U23" t="s">
        <v>7053</v>
      </c>
      <c r="X23">
        <v>100</v>
      </c>
      <c r="Y23" t="s">
        <v>7041</v>
      </c>
      <c r="Z23" s="42">
        <v>1</v>
      </c>
      <c r="AA23" s="42">
        <v>0.6</v>
      </c>
      <c r="AB23">
        <v>1</v>
      </c>
    </row>
    <row r="24">
      <c r="A24" t="s">
        <v>7097</v>
      </c>
      <c r="B24" t="s">
        <v>7089</v>
      </c>
      <c r="C24" t="s">
        <v>7089</v>
      </c>
      <c r="D24" t="s">
        <v>7090</v>
      </c>
      <c r="E24" t="s">
        <v>7098</v>
      </c>
      <c r="F24" t="s">
        <v>6966</v>
      </c>
      <c r="G24" t="s">
        <v>7092</v>
      </c>
      <c r="H24" t="s">
        <v>7099</v>
      </c>
      <c r="I24" t="s">
        <v>7100</v>
      </c>
      <c r="J24" t="s">
        <v>7101</v>
      </c>
      <c r="K24" t="s">
        <v>7102</v>
      </c>
      <c r="L24" t="s">
        <v>7103</v>
      </c>
      <c r="M24" s="42">
        <v>1</v>
      </c>
      <c r="N24" s="42">
        <v>0.15</v>
      </c>
      <c r="O24">
        <v>1</v>
      </c>
      <c r="P24" s="42">
        <v>0.83</v>
      </c>
      <c r="Q24">
        <v>0.83</v>
      </c>
      <c r="R24">
        <v>2490</v>
      </c>
      <c r="S24">
        <v>2490</v>
      </c>
      <c r="T24">
        <v>3000</v>
      </c>
      <c r="U24" t="s">
        <v>7104</v>
      </c>
      <c r="V24" t="s">
        <v>7105</v>
      </c>
      <c r="W24" s="43">
        <v>1</v>
      </c>
      <c r="X24" t="s">
        <v>7106</v>
      </c>
      <c r="Y24" t="s">
        <v>7041</v>
      </c>
      <c r="Z24" s="42">
        <v>1</v>
      </c>
      <c r="AA24" s="42">
        <v>0.5</v>
      </c>
      <c r="AB24">
        <v>1</v>
      </c>
    </row>
    <row r="25">
      <c r="A25" t="s">
        <v>7107</v>
      </c>
      <c r="B25" t="s">
        <v>7089</v>
      </c>
      <c r="C25" t="s">
        <v>7089</v>
      </c>
      <c r="D25" t="s">
        <v>7108</v>
      </c>
      <c r="E25" t="s">
        <v>7109</v>
      </c>
      <c r="F25" t="s">
        <v>6966</v>
      </c>
      <c r="G25" t="s">
        <v>7110</v>
      </c>
      <c r="H25" t="s">
        <v>7111</v>
      </c>
      <c r="I25" t="s">
        <v>7112</v>
      </c>
      <c r="J25" s="43">
        <v>0.8</v>
      </c>
      <c r="K25" s="42">
        <v>0.8667</v>
      </c>
      <c r="L25" t="s">
        <v>7113</v>
      </c>
      <c r="M25" s="42">
        <v>1.08</v>
      </c>
      <c r="N25" s="42">
        <v>0.3</v>
      </c>
      <c r="O25">
        <v>1.08</v>
      </c>
      <c r="P25" s="42">
        <v>1.024</v>
      </c>
      <c r="Q25">
        <v>1.02</v>
      </c>
      <c r="R25">
        <v>2040</v>
      </c>
      <c r="S25">
        <v>2040</v>
      </c>
      <c r="T25">
        <v>2000</v>
      </c>
      <c r="U25" t="s">
        <v>7114</v>
      </c>
      <c r="V25" t="s">
        <v>7105</v>
      </c>
      <c r="W25">
        <v>100</v>
      </c>
      <c r="X25" t="s">
        <v>7106</v>
      </c>
      <c r="Y25" t="s">
        <v>7041</v>
      </c>
      <c r="Z25" s="42">
        <v>1</v>
      </c>
      <c r="AA25" s="42">
        <v>0.25</v>
      </c>
      <c r="AB25">
        <v>100</v>
      </c>
    </row>
    <row r="26">
      <c r="A26" t="s">
        <v>7115</v>
      </c>
      <c r="B26" t="s">
        <v>7116</v>
      </c>
      <c r="C26" t="s">
        <v>7116</v>
      </c>
      <c r="D26" t="s">
        <v>7117</v>
      </c>
      <c r="E26" t="s">
        <v>7118</v>
      </c>
      <c r="F26" t="s">
        <v>6966</v>
      </c>
      <c r="G26" t="s">
        <v>7119</v>
      </c>
      <c r="H26" t="s">
        <v>7120</v>
      </c>
      <c r="I26" t="s">
        <v>7121</v>
      </c>
      <c r="J26" t="s">
        <v>7122</v>
      </c>
      <c r="K26" t="s">
        <v>7123</v>
      </c>
      <c r="L26" t="s">
        <v>7124</v>
      </c>
      <c r="M26" s="42">
        <v>2.25</v>
      </c>
      <c r="N26" s="42">
        <v>0.4</v>
      </c>
      <c r="O26">
        <v>1.5</v>
      </c>
      <c r="P26" s="42">
        <v>1.669283</v>
      </c>
      <c r="Q26">
        <v>1.38</v>
      </c>
      <c r="R26">
        <v>4080</v>
      </c>
      <c r="S26">
        <v>4080</v>
      </c>
      <c r="T26">
        <v>3400</v>
      </c>
      <c r="U26" t="s">
        <v>7114</v>
      </c>
      <c r="V26" t="s">
        <v>7105</v>
      </c>
      <c r="W26">
        <v>100</v>
      </c>
      <c r="X26" t="s">
        <v>7106</v>
      </c>
      <c r="Y26" t="s">
        <v>7041</v>
      </c>
      <c r="Z26" s="42">
        <v>1</v>
      </c>
      <c r="AA26" s="42">
        <v>0.25</v>
      </c>
      <c r="AB26">
        <v>100</v>
      </c>
    </row>
    <row r="27">
      <c r="A27" t="s">
        <v>7125</v>
      </c>
      <c r="B27" t="s">
        <v>7126</v>
      </c>
      <c r="C27" t="s">
        <v>7126</v>
      </c>
      <c r="D27" t="s">
        <v>7127</v>
      </c>
      <c r="E27" t="s">
        <v>7128</v>
      </c>
      <c r="F27" t="s">
        <v>6966</v>
      </c>
      <c r="G27" t="s">
        <v>7129</v>
      </c>
      <c r="H27" t="s">
        <v>7130</v>
      </c>
      <c r="I27" t="s">
        <v>7131</v>
      </c>
      <c r="J27" t="s">
        <v>7132</v>
      </c>
      <c r="K27">
        <v>0</v>
      </c>
      <c r="L27" t="s">
        <v>7124</v>
      </c>
      <c r="M27" s="42">
        <v>0</v>
      </c>
      <c r="N27" s="42">
        <v>0.6</v>
      </c>
      <c r="O27">
        <v>0</v>
      </c>
      <c r="P27" s="42">
        <v>0.4</v>
      </c>
      <c r="Q27">
        <v>0.48</v>
      </c>
      <c r="R27">
        <v>1440</v>
      </c>
      <c r="S27">
        <v>1440</v>
      </c>
      <c r="T27">
        <v>3000</v>
      </c>
      <c r="U27" t="s">
        <v>7114</v>
      </c>
      <c r="V27" t="s">
        <v>7105</v>
      </c>
      <c r="W27">
        <v>100</v>
      </c>
      <c r="X27" t="s">
        <v>7106</v>
      </c>
      <c r="Y27" t="s">
        <v>7041</v>
      </c>
      <c r="Z27" s="42">
        <v>1</v>
      </c>
      <c r="AA27" s="42">
        <v>0.25</v>
      </c>
      <c r="AB27">
        <v>100</v>
      </c>
    </row>
    <row r="28">
      <c r="A28" t="s">
        <v>7133</v>
      </c>
      <c r="B28" t="s">
        <v>7116</v>
      </c>
      <c r="C28" t="s">
        <v>7116</v>
      </c>
      <c r="D28" t="s">
        <v>7117</v>
      </c>
      <c r="E28" t="s">
        <v>7134</v>
      </c>
      <c r="F28" t="s">
        <v>6966</v>
      </c>
      <c r="G28" t="s">
        <v>7119</v>
      </c>
      <c r="H28" t="s">
        <v>7120</v>
      </c>
      <c r="I28" t="s">
        <v>7135</v>
      </c>
      <c r="J28" t="s">
        <v>7122</v>
      </c>
      <c r="K28" t="s">
        <v>7136</v>
      </c>
      <c r="L28" t="s">
        <v>7137</v>
      </c>
      <c r="M28" s="42">
        <v>2.25</v>
      </c>
      <c r="N28" s="42">
        <v>0.4</v>
      </c>
      <c r="O28">
        <v>1.5</v>
      </c>
      <c r="P28" s="42">
        <v>1.233183</v>
      </c>
      <c r="Q28">
        <v>1.28</v>
      </c>
      <c r="R28">
        <v>2720</v>
      </c>
      <c r="S28">
        <v>2720</v>
      </c>
      <c r="T28">
        <v>3400</v>
      </c>
      <c r="U28" t="s">
        <v>7114</v>
      </c>
      <c r="V28" t="s">
        <v>7105</v>
      </c>
      <c r="W28">
        <v>100</v>
      </c>
      <c r="X28" t="s">
        <v>7106</v>
      </c>
      <c r="Y28" t="s">
        <v>7041</v>
      </c>
      <c r="Z28" s="42">
        <v>1</v>
      </c>
      <c r="AA28" s="42">
        <v>0.25</v>
      </c>
      <c r="AB28">
        <v>100</v>
      </c>
    </row>
    <row r="29">
      <c r="A29" t="s">
        <v>7138</v>
      </c>
      <c r="B29" t="s">
        <v>7116</v>
      </c>
      <c r="C29" t="s">
        <v>7116</v>
      </c>
      <c r="D29" t="s">
        <v>7139</v>
      </c>
      <c r="E29" t="s">
        <v>7140</v>
      </c>
      <c r="F29" t="s">
        <v>6966</v>
      </c>
      <c r="G29" t="s">
        <v>7141</v>
      </c>
      <c r="H29" t="s">
        <v>7142</v>
      </c>
      <c r="I29" t="s">
        <v>7143</v>
      </c>
      <c r="J29" s="43">
        <v>0.11</v>
      </c>
      <c r="K29" s="42">
        <v>0.1312</v>
      </c>
      <c r="L29" t="s">
        <v>7144</v>
      </c>
      <c r="M29" s="42">
        <v>1.1927</v>
      </c>
      <c r="N29" s="42">
        <v>0.2</v>
      </c>
      <c r="O29">
        <v>1.312</v>
      </c>
      <c r="P29" s="42">
        <v>1.04904</v>
      </c>
      <c r="Q29">
        <v>0.94</v>
      </c>
      <c r="R29">
        <v>4000</v>
      </c>
      <c r="S29">
        <v>4000</v>
      </c>
      <c r="T29">
        <v>4000</v>
      </c>
      <c r="U29" t="s">
        <v>7114</v>
      </c>
      <c r="V29" t="s">
        <v>7105</v>
      </c>
      <c r="W29">
        <v>100</v>
      </c>
      <c r="X29" t="s">
        <v>7106</v>
      </c>
      <c r="Y29" t="s">
        <v>7041</v>
      </c>
      <c r="Z29" s="42">
        <v>1</v>
      </c>
      <c r="AA29" s="42">
        <v>0.25</v>
      </c>
      <c r="AB29">
        <v>100</v>
      </c>
    </row>
    <row r="30">
      <c r="A30" t="s">
        <v>7145</v>
      </c>
      <c r="B30" t="s">
        <v>7116</v>
      </c>
      <c r="C30" t="s">
        <v>7116</v>
      </c>
      <c r="D30" t="s">
        <v>7139</v>
      </c>
      <c r="E30" t="s">
        <v>7146</v>
      </c>
      <c r="F30" t="s">
        <v>6966</v>
      </c>
      <c r="G30" t="s">
        <v>7141</v>
      </c>
      <c r="H30" t="s">
        <v>7142</v>
      </c>
      <c r="I30" t="s">
        <v>7143</v>
      </c>
      <c r="J30" s="43">
        <v>0.11</v>
      </c>
      <c r="K30" s="42">
        <v>0.1312</v>
      </c>
      <c r="L30" t="s">
        <v>7147</v>
      </c>
      <c r="M30" s="42">
        <v>1.1927</v>
      </c>
      <c r="N30" s="42">
        <v>0.2</v>
      </c>
      <c r="O30">
        <v>1.312</v>
      </c>
      <c r="P30" s="42">
        <v>1.04904</v>
      </c>
      <c r="Q30">
        <v>0.94</v>
      </c>
      <c r="R30">
        <v>4000</v>
      </c>
      <c r="S30">
        <v>4000</v>
      </c>
      <c r="T30">
        <v>4000</v>
      </c>
      <c r="U30" t="s">
        <v>7114</v>
      </c>
      <c r="V30" t="s">
        <v>7105</v>
      </c>
      <c r="W30">
        <v>100</v>
      </c>
      <c r="X30" t="s">
        <v>7106</v>
      </c>
      <c r="Y30" t="s">
        <v>7041</v>
      </c>
      <c r="Z30" s="42">
        <v>1</v>
      </c>
      <c r="AA30" s="42">
        <v>0.25</v>
      </c>
      <c r="AB30">
        <v>100</v>
      </c>
    </row>
    <row r="31">
      <c r="A31" t="s">
        <v>7148</v>
      </c>
      <c r="B31" t="s">
        <v>7116</v>
      </c>
      <c r="C31" t="s">
        <v>7116</v>
      </c>
      <c r="D31" t="s">
        <v>7117</v>
      </c>
      <c r="E31" t="s">
        <v>7149</v>
      </c>
      <c r="F31" t="s">
        <v>6966</v>
      </c>
      <c r="G31" t="s">
        <v>7141</v>
      </c>
      <c r="H31" t="s">
        <v>7142</v>
      </c>
      <c r="I31" t="s">
        <v>7150</v>
      </c>
      <c r="J31" s="43">
        <v>0.11</v>
      </c>
      <c r="K31" t="s">
        <v>7151</v>
      </c>
      <c r="L31" t="s">
        <v>7152</v>
      </c>
      <c r="M31" s="42">
        <v>1.192</v>
      </c>
      <c r="N31" s="42">
        <v>0.2</v>
      </c>
      <c r="O31">
        <v>1.31</v>
      </c>
      <c r="P31" s="42">
        <v>1.0484</v>
      </c>
      <c r="Q31">
        <v>0.94</v>
      </c>
      <c r="R31">
        <v>3400</v>
      </c>
      <c r="S31">
        <v>3400</v>
      </c>
      <c r="T31">
        <v>3400</v>
      </c>
      <c r="U31" t="s">
        <v>7114</v>
      </c>
      <c r="V31" t="s">
        <v>7105</v>
      </c>
      <c r="W31">
        <v>100</v>
      </c>
      <c r="X31" t="s">
        <v>7106</v>
      </c>
      <c r="Y31" t="s">
        <v>7041</v>
      </c>
      <c r="Z31" s="42">
        <v>1</v>
      </c>
      <c r="AA31" s="42">
        <v>0.25</v>
      </c>
      <c r="AB31">
        <v>100</v>
      </c>
    </row>
    <row r="32">
      <c r="A32" t="s">
        <v>7153</v>
      </c>
      <c r="B32" t="s">
        <v>7116</v>
      </c>
      <c r="C32" t="s">
        <v>7116</v>
      </c>
      <c r="D32" t="s">
        <v>7139</v>
      </c>
      <c r="E32" t="s">
        <v>7154</v>
      </c>
      <c r="F32" t="s">
        <v>6966</v>
      </c>
      <c r="G32" t="s">
        <v>7141</v>
      </c>
      <c r="H32" t="s">
        <v>7142</v>
      </c>
      <c r="I32" t="s">
        <v>7155</v>
      </c>
      <c r="J32" s="43">
        <v>0.11</v>
      </c>
      <c r="K32" s="42">
        <v>0.1312</v>
      </c>
      <c r="L32" t="s">
        <v>7156</v>
      </c>
      <c r="M32" s="42">
        <v>1.1927</v>
      </c>
      <c r="N32" s="42">
        <v>0.2</v>
      </c>
      <c r="O32">
        <v>1.312</v>
      </c>
      <c r="P32" s="42">
        <v>1.04904</v>
      </c>
      <c r="Q32">
        <v>0.94</v>
      </c>
      <c r="R32">
        <v>5000</v>
      </c>
      <c r="S32">
        <v>5000</v>
      </c>
      <c r="T32">
        <v>5000</v>
      </c>
      <c r="U32" t="s">
        <v>7114</v>
      </c>
      <c r="V32" t="s">
        <v>7105</v>
      </c>
      <c r="W32">
        <v>100</v>
      </c>
      <c r="X32" t="s">
        <v>7106</v>
      </c>
      <c r="Y32" t="s">
        <v>7041</v>
      </c>
      <c r="Z32" s="42">
        <v>1</v>
      </c>
      <c r="AA32" s="42">
        <v>0.25</v>
      </c>
      <c r="AB32">
        <v>100</v>
      </c>
    </row>
    <row r="33">
      <c r="A33" t="s">
        <v>7157</v>
      </c>
      <c r="B33" t="s">
        <v>7158</v>
      </c>
      <c r="C33" t="s">
        <v>7158</v>
      </c>
      <c r="D33" t="s">
        <v>7159</v>
      </c>
      <c r="E33" t="s">
        <v>7160</v>
      </c>
      <c r="F33" t="s">
        <v>6966</v>
      </c>
      <c r="G33" t="s">
        <v>7161</v>
      </c>
      <c r="H33" t="s">
        <v>7162</v>
      </c>
      <c r="I33" t="s">
        <v>7163</v>
      </c>
      <c r="J33">
        <v>1</v>
      </c>
      <c r="L33" t="s">
        <v>7164</v>
      </c>
      <c r="M33" s="42">
        <v>1</v>
      </c>
      <c r="N33" s="42">
        <v>0.8</v>
      </c>
      <c r="O33">
        <v>1</v>
      </c>
      <c r="P33" s="42">
        <v>1</v>
      </c>
      <c r="Q33">
        <v>1</v>
      </c>
      <c r="R33">
        <v>5000</v>
      </c>
      <c r="S33">
        <v>5000</v>
      </c>
      <c r="T33">
        <v>5000</v>
      </c>
      <c r="U33" t="s">
        <v>7114</v>
      </c>
      <c r="V33" t="s">
        <v>7105</v>
      </c>
      <c r="W33">
        <v>100</v>
      </c>
      <c r="X33" t="s">
        <v>7106</v>
      </c>
      <c r="Y33" t="s">
        <v>7041</v>
      </c>
      <c r="Z33" s="42">
        <v>1</v>
      </c>
      <c r="AA33" s="42">
        <v>0.25</v>
      </c>
      <c r="AB33">
        <v>100</v>
      </c>
    </row>
    <row r="34">
      <c r="A34" t="s">
        <v>7165</v>
      </c>
      <c r="B34" t="s">
        <v>7158</v>
      </c>
      <c r="C34" t="s">
        <v>7158</v>
      </c>
      <c r="D34" t="s">
        <v>7159</v>
      </c>
      <c r="E34" t="s">
        <v>7166</v>
      </c>
      <c r="F34" t="s">
        <v>6966</v>
      </c>
      <c r="G34" t="s">
        <v>7161</v>
      </c>
      <c r="H34" t="s">
        <v>7162</v>
      </c>
      <c r="I34" t="s">
        <v>7167</v>
      </c>
      <c r="J34" s="43">
        <v>1</v>
      </c>
      <c r="L34" t="s">
        <v>7168</v>
      </c>
      <c r="M34" s="42">
        <v>1.0334</v>
      </c>
      <c r="N34" s="42">
        <v>0.25</v>
      </c>
      <c r="O34">
        <v>1.03</v>
      </c>
      <c r="P34" s="42">
        <v>1.000005</v>
      </c>
      <c r="Q34">
        <v>0.99</v>
      </c>
      <c r="R34">
        <v>4950</v>
      </c>
      <c r="S34">
        <v>4950</v>
      </c>
      <c r="T34">
        <v>5000</v>
      </c>
      <c r="U34" t="s">
        <v>7114</v>
      </c>
      <c r="V34" t="s">
        <v>7105</v>
      </c>
      <c r="W34">
        <v>100</v>
      </c>
      <c r="X34" t="s">
        <v>7106</v>
      </c>
      <c r="Y34" t="s">
        <v>7041</v>
      </c>
      <c r="Z34" s="42">
        <v>1</v>
      </c>
      <c r="AA34" s="42">
        <v>0.25</v>
      </c>
      <c r="AB34">
        <v>100</v>
      </c>
    </row>
    <row r="35">
      <c r="A35" t="s">
        <v>7169</v>
      </c>
      <c r="B35" t="s">
        <v>7158</v>
      </c>
      <c r="C35" t="s">
        <v>7158</v>
      </c>
      <c r="D35" t="s">
        <v>7159</v>
      </c>
      <c r="E35" t="s">
        <v>7170</v>
      </c>
      <c r="F35" t="s">
        <v>6966</v>
      </c>
      <c r="G35" t="s">
        <v>7161</v>
      </c>
      <c r="H35" t="s">
        <v>7162</v>
      </c>
      <c r="I35" t="s">
        <v>7171</v>
      </c>
      <c r="L35" t="s">
        <v>7172</v>
      </c>
      <c r="M35" s="42">
        <v>1</v>
      </c>
      <c r="N35" s="42">
        <v>0.3</v>
      </c>
      <c r="O35">
        <v>1</v>
      </c>
      <c r="P35" s="42">
        <v>1</v>
      </c>
      <c r="Q35">
        <v>1</v>
      </c>
      <c r="R35">
        <v>0</v>
      </c>
      <c r="S35">
        <v>0</v>
      </c>
      <c r="T35">
        <v>3000</v>
      </c>
      <c r="U35" t="s">
        <v>7114</v>
      </c>
      <c r="V35" t="s">
        <v>7105</v>
      </c>
      <c r="W35">
        <v>100</v>
      </c>
      <c r="X35" t="s">
        <v>7106</v>
      </c>
      <c r="Y35" t="s">
        <v>7041</v>
      </c>
      <c r="Z35" s="42">
        <v>1</v>
      </c>
      <c r="AA35" s="42">
        <v>0.25</v>
      </c>
      <c r="AB35">
        <v>100</v>
      </c>
    </row>
    <row r="36">
      <c r="A36" t="s">
        <v>7173</v>
      </c>
      <c r="B36" t="s">
        <v>7158</v>
      </c>
      <c r="C36" t="s">
        <v>7158</v>
      </c>
      <c r="D36" t="s">
        <v>7174</v>
      </c>
      <c r="E36" t="s">
        <v>7175</v>
      </c>
      <c r="F36" t="s">
        <v>6966</v>
      </c>
      <c r="G36" t="s">
        <v>7176</v>
      </c>
      <c r="H36" t="s">
        <v>7177</v>
      </c>
      <c r="I36" t="s">
        <v>7178</v>
      </c>
      <c r="J36" s="43">
        <v>0.9</v>
      </c>
      <c r="L36">
        <v>0.2</v>
      </c>
      <c r="M36" s="42">
        <v>1</v>
      </c>
      <c r="N36" s="42">
        <v>0.2</v>
      </c>
      <c r="O36">
        <v>1</v>
      </c>
      <c r="P36" s="42">
        <v>1</v>
      </c>
      <c r="Q36">
        <v>1</v>
      </c>
      <c r="R36">
        <v>2000</v>
      </c>
      <c r="S36">
        <v>2000</v>
      </c>
      <c r="T36">
        <v>2000</v>
      </c>
      <c r="U36" t="s">
        <v>7114</v>
      </c>
      <c r="V36" t="s">
        <v>7105</v>
      </c>
      <c r="W36">
        <v>100</v>
      </c>
      <c r="X36" t="s">
        <v>7106</v>
      </c>
      <c r="Y36" t="s">
        <v>7041</v>
      </c>
      <c r="Z36" s="42">
        <v>1</v>
      </c>
      <c r="AA36" s="42">
        <v>0.25</v>
      </c>
      <c r="AB36">
        <v>100</v>
      </c>
    </row>
    <row r="37">
      <c r="A37" t="s">
        <v>7179</v>
      </c>
      <c r="B37" t="s">
        <v>7158</v>
      </c>
      <c r="C37" t="s">
        <v>7158</v>
      </c>
      <c r="D37" t="s">
        <v>7180</v>
      </c>
      <c r="E37" t="s">
        <v>7181</v>
      </c>
      <c r="F37" t="s">
        <v>6966</v>
      </c>
      <c r="G37" t="s">
        <v>7182</v>
      </c>
      <c r="H37" t="s">
        <v>7183</v>
      </c>
      <c r="I37" t="s">
        <v>7184</v>
      </c>
      <c r="J37">
        <v>4</v>
      </c>
      <c r="K37">
        <v>4</v>
      </c>
      <c r="L37">
        <v>0.2</v>
      </c>
      <c r="M37" s="42">
        <v>1</v>
      </c>
      <c r="N37" s="42">
        <v>0.4</v>
      </c>
      <c r="O37">
        <v>1</v>
      </c>
      <c r="P37" s="42">
        <v>1</v>
      </c>
      <c r="Q37">
        <v>1</v>
      </c>
      <c r="R37">
        <v>5000</v>
      </c>
      <c r="S37">
        <v>5000</v>
      </c>
      <c r="T37">
        <v>5000</v>
      </c>
      <c r="U37" t="s">
        <v>7114</v>
      </c>
      <c r="V37" t="s">
        <v>7105</v>
      </c>
      <c r="W37">
        <v>100</v>
      </c>
      <c r="X37" t="s">
        <v>7106</v>
      </c>
      <c r="Y37" t="s">
        <v>7041</v>
      </c>
      <c r="Z37" s="42">
        <v>1</v>
      </c>
      <c r="AA37" s="42">
        <v>0.25</v>
      </c>
      <c r="AB37">
        <v>100</v>
      </c>
    </row>
    <row r="38">
      <c r="A38" t="s">
        <v>7185</v>
      </c>
      <c r="B38" t="s">
        <v>7186</v>
      </c>
      <c r="C38" t="s">
        <v>7186</v>
      </c>
      <c r="D38" t="s">
        <v>7187</v>
      </c>
      <c r="E38" t="s">
        <v>7188</v>
      </c>
      <c r="F38" t="s">
        <v>6966</v>
      </c>
      <c r="G38" t="s">
        <v>7189</v>
      </c>
      <c r="H38" t="s">
        <v>7190</v>
      </c>
      <c r="I38" t="s">
        <v>7191</v>
      </c>
      <c r="J38" s="43">
        <v>1</v>
      </c>
      <c r="K38" s="42">
        <v>0.9906</v>
      </c>
      <c r="L38" t="s">
        <v>7192</v>
      </c>
      <c r="M38" s="42">
        <v>0.9906</v>
      </c>
      <c r="N38" s="42">
        <v>0.5</v>
      </c>
      <c r="O38">
        <v>1</v>
      </c>
      <c r="P38" s="42">
        <v>0.9953</v>
      </c>
      <c r="Q38">
        <v>1.14</v>
      </c>
      <c r="R38">
        <v>3348.84</v>
      </c>
      <c r="S38">
        <v>3348.84</v>
      </c>
      <c r="T38">
        <v>3000</v>
      </c>
      <c r="U38" t="s">
        <v>7114</v>
      </c>
      <c r="V38" t="s">
        <v>7105</v>
      </c>
      <c r="W38">
        <v>100</v>
      </c>
      <c r="X38" t="s">
        <v>7106</v>
      </c>
      <c r="Y38" t="s">
        <v>7041</v>
      </c>
      <c r="Z38" s="42">
        <v>1</v>
      </c>
      <c r="AA38" s="42">
        <v>0.25</v>
      </c>
      <c r="AB38">
        <v>100</v>
      </c>
    </row>
    <row r="39">
      <c r="A39" t="s">
        <v>7193</v>
      </c>
      <c r="B39" t="s">
        <v>7186</v>
      </c>
      <c r="C39" t="s">
        <v>7186</v>
      </c>
      <c r="D39" t="s">
        <v>7187</v>
      </c>
      <c r="E39" t="s">
        <v>7194</v>
      </c>
      <c r="F39" t="s">
        <v>6966</v>
      </c>
      <c r="G39" t="s">
        <v>7189</v>
      </c>
      <c r="H39" t="s">
        <v>7190</v>
      </c>
      <c r="I39" t="s">
        <v>7195</v>
      </c>
      <c r="J39" s="43">
        <v>0.98</v>
      </c>
      <c r="K39" s="42">
        <v>0.9957</v>
      </c>
      <c r="L39" t="s">
        <v>7196</v>
      </c>
      <c r="M39" s="42">
        <v>1</v>
      </c>
      <c r="N39" s="42">
        <v>0.4</v>
      </c>
      <c r="O39">
        <v>1</v>
      </c>
      <c r="P39" s="42">
        <v>0.98314</v>
      </c>
      <c r="Q39">
        <v>1.14</v>
      </c>
      <c r="R39">
        <v>3069.77</v>
      </c>
      <c r="S39">
        <v>3069.77</v>
      </c>
      <c r="T39">
        <v>3000</v>
      </c>
      <c r="U39" t="s">
        <v>7114</v>
      </c>
      <c r="V39" t="s">
        <v>7105</v>
      </c>
      <c r="W39">
        <v>100</v>
      </c>
      <c r="X39" t="s">
        <v>7106</v>
      </c>
      <c r="Y39" t="s">
        <v>7041</v>
      </c>
      <c r="Z39" s="42">
        <v>1</v>
      </c>
      <c r="AA39" s="42">
        <v>0.25</v>
      </c>
      <c r="AB39">
        <v>100</v>
      </c>
    </row>
    <row r="40">
      <c r="A40" t="s">
        <v>7197</v>
      </c>
      <c r="B40" t="s">
        <v>7186</v>
      </c>
      <c r="C40" t="s">
        <v>7186</v>
      </c>
      <c r="D40" t="s">
        <v>7187</v>
      </c>
      <c r="E40" t="s">
        <v>7198</v>
      </c>
      <c r="F40" t="s">
        <v>6966</v>
      </c>
      <c r="G40" t="s">
        <v>7189</v>
      </c>
      <c r="H40" t="s">
        <v>7190</v>
      </c>
      <c r="I40" t="s">
        <v>7199</v>
      </c>
      <c r="J40" s="43">
        <v>0.99</v>
      </c>
      <c r="K40" s="42">
        <v>0.9741</v>
      </c>
      <c r="L40" t="s">
        <v>7200</v>
      </c>
      <c r="M40" s="42">
        <v>0.9839</v>
      </c>
      <c r="N40" s="42">
        <v>0.5</v>
      </c>
      <c r="O40">
        <v>0.8855</v>
      </c>
      <c r="P40" s="42">
        <v>0.99195</v>
      </c>
      <c r="Q40">
        <v>0.97</v>
      </c>
      <c r="R40">
        <v>2511.63</v>
      </c>
      <c r="S40">
        <v>2511.63</v>
      </c>
      <c r="T40">
        <v>3000</v>
      </c>
      <c r="U40" t="s">
        <v>7114</v>
      </c>
      <c r="V40" t="s">
        <v>7105</v>
      </c>
      <c r="W40">
        <v>100</v>
      </c>
      <c r="X40" t="s">
        <v>7106</v>
      </c>
      <c r="Y40" t="s">
        <v>7041</v>
      </c>
      <c r="Z40" s="42">
        <v>1</v>
      </c>
      <c r="AA40" s="42">
        <v>0.25</v>
      </c>
      <c r="AB40">
        <v>100</v>
      </c>
    </row>
    <row r="41">
      <c r="A41" t="s">
        <v>7201</v>
      </c>
      <c r="B41" t="s">
        <v>7186</v>
      </c>
      <c r="C41" t="s">
        <v>7186</v>
      </c>
      <c r="D41" t="s">
        <v>7187</v>
      </c>
      <c r="E41" t="s">
        <v>7202</v>
      </c>
      <c r="F41" t="s">
        <v>6966</v>
      </c>
      <c r="G41" t="s">
        <v>7189</v>
      </c>
      <c r="H41" t="s">
        <v>7190</v>
      </c>
      <c r="I41" t="s">
        <v>7203</v>
      </c>
      <c r="J41" s="43">
        <v>0.99</v>
      </c>
      <c r="K41" s="43">
        <v>0.99</v>
      </c>
      <c r="L41" t="s">
        <v>7200</v>
      </c>
      <c r="M41" s="42">
        <v>1</v>
      </c>
      <c r="N41" s="42">
        <v>0.4</v>
      </c>
      <c r="O41">
        <v>1</v>
      </c>
      <c r="P41" s="42">
        <v>0.967</v>
      </c>
      <c r="Q41">
        <v>1</v>
      </c>
      <c r="R41">
        <v>2790.7</v>
      </c>
      <c r="S41">
        <v>2790.7</v>
      </c>
      <c r="T41">
        <v>3000</v>
      </c>
      <c r="U41" t="s">
        <v>7114</v>
      </c>
      <c r="V41" t="s">
        <v>7105</v>
      </c>
      <c r="W41">
        <v>100</v>
      </c>
      <c r="X41" t="s">
        <v>7106</v>
      </c>
      <c r="Y41" t="s">
        <v>7041</v>
      </c>
      <c r="Z41" s="42">
        <v>1</v>
      </c>
      <c r="AA41" s="42">
        <v>0.25</v>
      </c>
      <c r="AB41">
        <v>100</v>
      </c>
    </row>
    <row r="42">
      <c r="A42" t="s">
        <v>7204</v>
      </c>
      <c r="B42" t="s">
        <v>7186</v>
      </c>
      <c r="C42" t="s">
        <v>7186</v>
      </c>
      <c r="D42" t="s">
        <v>7187</v>
      </c>
      <c r="E42" t="s">
        <v>7205</v>
      </c>
      <c r="F42" t="s">
        <v>6966</v>
      </c>
      <c r="G42" t="s">
        <v>7189</v>
      </c>
      <c r="H42" t="s">
        <v>7190</v>
      </c>
      <c r="I42" t="s">
        <v>7199</v>
      </c>
      <c r="J42" s="42">
        <v>0.995</v>
      </c>
      <c r="K42" s="43">
        <v>1</v>
      </c>
      <c r="L42" t="s">
        <v>7200</v>
      </c>
      <c r="M42" s="42">
        <v>1</v>
      </c>
      <c r="N42" s="42">
        <v>0.4</v>
      </c>
      <c r="O42">
        <v>1</v>
      </c>
      <c r="P42" s="42">
        <v>0.97492</v>
      </c>
      <c r="Q42">
        <v>1.17</v>
      </c>
      <c r="R42">
        <v>3627.91</v>
      </c>
      <c r="S42">
        <v>3627.91</v>
      </c>
      <c r="T42">
        <v>3000</v>
      </c>
      <c r="U42" t="s">
        <v>7114</v>
      </c>
      <c r="V42" t="s">
        <v>7105</v>
      </c>
      <c r="W42">
        <v>100</v>
      </c>
      <c r="X42" t="s">
        <v>7106</v>
      </c>
      <c r="Y42" t="s">
        <v>7041</v>
      </c>
      <c r="Z42" s="42">
        <v>1</v>
      </c>
      <c r="AA42" s="42">
        <v>0.25</v>
      </c>
      <c r="AB42">
        <v>100</v>
      </c>
    </row>
    <row r="43">
      <c r="A43" t="s">
        <v>7206</v>
      </c>
      <c r="B43" t="s">
        <v>7186</v>
      </c>
      <c r="C43" t="s">
        <v>7186</v>
      </c>
      <c r="D43" t="s">
        <v>7000</v>
      </c>
      <c r="E43" t="s">
        <v>7207</v>
      </c>
      <c r="F43" t="s">
        <v>6966</v>
      </c>
      <c r="G43" t="s">
        <v>7189</v>
      </c>
      <c r="H43" t="s">
        <v>7190</v>
      </c>
      <c r="I43" t="s">
        <v>7191</v>
      </c>
      <c r="J43" s="43">
        <v>1</v>
      </c>
      <c r="K43" t="s">
        <v>7087</v>
      </c>
      <c r="L43" t="s">
        <v>7200</v>
      </c>
      <c r="M43" s="42">
        <v>1</v>
      </c>
      <c r="N43" s="42">
        <v>0.4</v>
      </c>
      <c r="O43">
        <v>1</v>
      </c>
      <c r="P43" s="42">
        <v>0.98</v>
      </c>
      <c r="Q43">
        <v>1.01</v>
      </c>
      <c r="R43">
        <v>4651.16</v>
      </c>
      <c r="S43">
        <v>4651.16</v>
      </c>
      <c r="T43">
        <v>5000</v>
      </c>
      <c r="U43" t="s">
        <v>7114</v>
      </c>
      <c r="V43" t="s">
        <v>7105</v>
      </c>
      <c r="W43">
        <v>100</v>
      </c>
      <c r="X43" t="s">
        <v>7106</v>
      </c>
      <c r="Y43" t="s">
        <v>7041</v>
      </c>
      <c r="Z43" s="42">
        <v>1</v>
      </c>
      <c r="AA43" s="42">
        <v>0.25</v>
      </c>
      <c r="AB43">
        <v>100</v>
      </c>
    </row>
    <row r="44">
      <c r="A44" t="s">
        <v>7208</v>
      </c>
      <c r="B44" t="s">
        <v>7186</v>
      </c>
      <c r="C44" t="s">
        <v>7186</v>
      </c>
      <c r="D44" t="s">
        <v>7187</v>
      </c>
      <c r="E44" t="s">
        <v>7209</v>
      </c>
      <c r="F44" t="s">
        <v>6966</v>
      </c>
      <c r="G44" t="s">
        <v>7189</v>
      </c>
      <c r="H44" t="s">
        <v>7190</v>
      </c>
      <c r="I44" t="s">
        <v>7210</v>
      </c>
      <c r="J44" s="43">
        <v>1</v>
      </c>
      <c r="K44" s="43">
        <v>1</v>
      </c>
      <c r="L44" t="s">
        <v>7210</v>
      </c>
      <c r="M44" s="42">
        <v>1</v>
      </c>
      <c r="N44" s="42">
        <v>0.2</v>
      </c>
      <c r="O44">
        <v>1</v>
      </c>
      <c r="P44" s="42">
        <v>1</v>
      </c>
      <c r="Q44">
        <v>1</v>
      </c>
      <c r="R44">
        <v>0</v>
      </c>
      <c r="S44">
        <v>0</v>
      </c>
      <c r="T44">
        <v>3000</v>
      </c>
      <c r="U44" t="s">
        <v>7114</v>
      </c>
      <c r="V44" t="s">
        <v>7105</v>
      </c>
      <c r="W44">
        <v>100</v>
      </c>
      <c r="X44" t="s">
        <v>7106</v>
      </c>
      <c r="Y44" t="s">
        <v>7041</v>
      </c>
      <c r="Z44" s="42">
        <v>1</v>
      </c>
      <c r="AA44" s="42">
        <v>0.25</v>
      </c>
      <c r="AB44">
        <v>100</v>
      </c>
    </row>
    <row r="45">
      <c r="A45" t="s">
        <v>7211</v>
      </c>
      <c r="B45" t="s">
        <v>7212</v>
      </c>
      <c r="C45" t="s">
        <v>7212</v>
      </c>
      <c r="D45" t="s">
        <v>7139</v>
      </c>
      <c r="E45" t="s">
        <v>7213</v>
      </c>
      <c r="F45" t="s">
        <v>6966</v>
      </c>
      <c r="G45" t="s">
        <v>7214</v>
      </c>
      <c r="H45" t="s">
        <v>7215</v>
      </c>
      <c r="I45" t="s">
        <v>7216</v>
      </c>
      <c r="J45">
        <v>1</v>
      </c>
      <c r="K45" t="s">
        <v>7217</v>
      </c>
      <c r="L45" t="s">
        <v>7217</v>
      </c>
      <c r="M45" s="42">
        <v>1</v>
      </c>
      <c r="N45" s="42">
        <v>0.25</v>
      </c>
      <c r="O45">
        <v>1</v>
      </c>
      <c r="P45" s="42">
        <v>0.959375</v>
      </c>
      <c r="Q45">
        <v>0.96</v>
      </c>
      <c r="R45">
        <v>5000</v>
      </c>
      <c r="S45">
        <v>5000</v>
      </c>
      <c r="T45">
        <v>5000</v>
      </c>
      <c r="U45" t="s">
        <v>7114</v>
      </c>
      <c r="V45" t="s">
        <v>7105</v>
      </c>
      <c r="W45">
        <v>100</v>
      </c>
      <c r="X45" t="s">
        <v>7106</v>
      </c>
      <c r="Y45" t="s">
        <v>7041</v>
      </c>
      <c r="Z45" s="42">
        <v>1</v>
      </c>
      <c r="AA45" s="42">
        <v>0.25</v>
      </c>
      <c r="AB45">
        <v>100</v>
      </c>
    </row>
    <row r="46">
      <c r="A46" t="s">
        <v>7218</v>
      </c>
      <c r="B46" t="s">
        <v>7219</v>
      </c>
      <c r="C46" t="s">
        <v>7219</v>
      </c>
      <c r="D46" t="s">
        <v>7220</v>
      </c>
      <c r="E46" t="s">
        <v>7221</v>
      </c>
      <c r="F46" t="s">
        <v>6966</v>
      </c>
      <c r="G46" t="s">
        <v>7222</v>
      </c>
      <c r="H46" t="s">
        <v>7223</v>
      </c>
      <c r="I46" t="s">
        <v>7224</v>
      </c>
      <c r="J46" t="s">
        <v>7225</v>
      </c>
      <c r="K46" t="s">
        <v>7226</v>
      </c>
      <c r="L46" t="s">
        <v>7227</v>
      </c>
      <c r="M46" s="42">
        <v>0.5645</v>
      </c>
      <c r="N46" s="42">
        <v>0.4</v>
      </c>
      <c r="O46">
        <v>0.5645</v>
      </c>
      <c r="P46" s="42">
        <v>0.64741</v>
      </c>
      <c r="Q46">
        <v>0.65</v>
      </c>
      <c r="R46">
        <v>3237</v>
      </c>
      <c r="S46">
        <v>3237</v>
      </c>
      <c r="T46">
        <v>5000</v>
      </c>
      <c r="U46" t="s">
        <v>7114</v>
      </c>
      <c r="V46" t="s">
        <v>7105</v>
      </c>
      <c r="W46">
        <v>100</v>
      </c>
      <c r="X46" t="s">
        <v>7106</v>
      </c>
      <c r="Y46" t="s">
        <v>7041</v>
      </c>
      <c r="Z46" s="42">
        <v>1</v>
      </c>
      <c r="AA46" s="42">
        <v>0.25</v>
      </c>
      <c r="AB46">
        <v>100</v>
      </c>
    </row>
    <row r="47">
      <c r="A47" t="s">
        <v>7228</v>
      </c>
      <c r="B47" t="s">
        <v>7229</v>
      </c>
      <c r="C47" t="s">
        <v>7229</v>
      </c>
      <c r="D47" t="s">
        <v>7230</v>
      </c>
      <c r="E47" t="s">
        <v>7231</v>
      </c>
      <c r="F47" t="s">
        <v>6966</v>
      </c>
      <c r="G47" t="s">
        <v>7232</v>
      </c>
      <c r="H47" t="s">
        <v>7233</v>
      </c>
      <c r="I47" t="s">
        <v>7234</v>
      </c>
      <c r="J47" t="s">
        <v>7235</v>
      </c>
      <c r="K47" t="s">
        <v>7236</v>
      </c>
      <c r="L47" t="s">
        <v>7227</v>
      </c>
      <c r="M47" s="42">
        <v>0.896</v>
      </c>
      <c r="N47" s="42">
        <v>0.3</v>
      </c>
      <c r="O47">
        <v>0.8959</v>
      </c>
      <c r="P47" s="42">
        <v>1.0252</v>
      </c>
      <c r="Q47">
        <v>1.03</v>
      </c>
      <c r="R47">
        <v>3000</v>
      </c>
      <c r="S47">
        <v>3000</v>
      </c>
      <c r="T47">
        <v>3000</v>
      </c>
      <c r="U47" t="s">
        <v>7114</v>
      </c>
      <c r="V47" t="s">
        <v>7105</v>
      </c>
      <c r="W47">
        <v>100</v>
      </c>
      <c r="X47" t="s">
        <v>7106</v>
      </c>
      <c r="Y47" t="s">
        <v>7041</v>
      </c>
      <c r="Z47" s="42">
        <v>1</v>
      </c>
      <c r="AA47" s="42">
        <v>0.25</v>
      </c>
      <c r="AB47">
        <v>100</v>
      </c>
    </row>
    <row r="48">
      <c r="A48" t="s">
        <v>7237</v>
      </c>
      <c r="B48" t="s">
        <v>7238</v>
      </c>
      <c r="C48" t="s">
        <v>7238</v>
      </c>
      <c r="D48" t="s">
        <v>7239</v>
      </c>
      <c r="E48" t="s">
        <v>7240</v>
      </c>
      <c r="F48" t="s">
        <v>6966</v>
      </c>
      <c r="G48" t="s">
        <v>7241</v>
      </c>
      <c r="H48" t="s">
        <v>7242</v>
      </c>
      <c r="I48" t="s">
        <v>7243</v>
      </c>
      <c r="J48" s="42">
        <v>0.269</v>
      </c>
      <c r="K48">
        <v>0</v>
      </c>
      <c r="L48" t="s">
        <v>7244</v>
      </c>
      <c r="M48" s="42">
        <v>0.5</v>
      </c>
      <c r="N48" s="42">
        <v>1</v>
      </c>
      <c r="O48">
        <v>0.5</v>
      </c>
      <c r="P48" s="42">
        <v>0.5</v>
      </c>
      <c r="Q48">
        <v>0.5</v>
      </c>
      <c r="R48">
        <v>2500</v>
      </c>
      <c r="S48">
        <v>2500</v>
      </c>
      <c r="T48">
        <v>5000</v>
      </c>
      <c r="U48" t="s">
        <v>7114</v>
      </c>
      <c r="V48" t="s">
        <v>7105</v>
      </c>
      <c r="W48">
        <v>100</v>
      </c>
      <c r="X48" t="s">
        <v>7106</v>
      </c>
      <c r="Y48" t="s">
        <v>7041</v>
      </c>
      <c r="Z48" s="42">
        <v>1</v>
      </c>
      <c r="AA48" s="42">
        <v>0.25</v>
      </c>
      <c r="AB48">
        <v>100</v>
      </c>
    </row>
    <row r="49">
      <c r="A49" t="s">
        <v>7245</v>
      </c>
      <c r="B49" t="s">
        <v>7219</v>
      </c>
      <c r="C49" t="s">
        <v>7219</v>
      </c>
      <c r="D49" t="s">
        <v>7246</v>
      </c>
      <c r="E49" t="s">
        <v>7247</v>
      </c>
      <c r="F49" t="s">
        <v>6966</v>
      </c>
      <c r="G49" t="s">
        <v>7248</v>
      </c>
      <c r="H49" t="s">
        <v>7249</v>
      </c>
      <c r="I49" t="s">
        <v>7250</v>
      </c>
      <c r="J49" t="s">
        <v>7251</v>
      </c>
      <c r="K49" t="s">
        <v>7252</v>
      </c>
      <c r="L49" t="s">
        <v>7244</v>
      </c>
      <c r="M49" s="42">
        <v>0.7816</v>
      </c>
      <c r="N49" s="42">
        <v>0.7</v>
      </c>
      <c r="O49">
        <v>0.7816</v>
      </c>
      <c r="P49" s="42">
        <v>0.54712</v>
      </c>
      <c r="Q49">
        <v>0.55</v>
      </c>
      <c r="R49">
        <v>2750</v>
      </c>
      <c r="S49">
        <v>2750</v>
      </c>
      <c r="T49">
        <v>5000</v>
      </c>
      <c r="U49" t="s">
        <v>7114</v>
      </c>
      <c r="V49" t="s">
        <v>7105</v>
      </c>
      <c r="W49">
        <v>100</v>
      </c>
      <c r="X49" t="s">
        <v>7106</v>
      </c>
      <c r="Y49" t="s">
        <v>7041</v>
      </c>
      <c r="Z49" s="42">
        <v>1</v>
      </c>
      <c r="AA49" s="42">
        <v>0.25</v>
      </c>
      <c r="AB49">
        <v>100</v>
      </c>
    </row>
    <row r="50">
      <c r="A50" t="s">
        <v>7253</v>
      </c>
      <c r="B50" t="s">
        <v>7219</v>
      </c>
      <c r="C50" t="s">
        <v>7219</v>
      </c>
      <c r="D50" t="s">
        <v>7000</v>
      </c>
      <c r="E50" t="s">
        <v>7254</v>
      </c>
      <c r="F50" t="s">
        <v>6966</v>
      </c>
      <c r="G50" t="s">
        <v>7248</v>
      </c>
      <c r="H50" t="s">
        <v>7249</v>
      </c>
      <c r="I50" t="s">
        <v>7255</v>
      </c>
      <c r="J50" t="s">
        <v>7256</v>
      </c>
      <c r="K50" t="s">
        <v>7257</v>
      </c>
      <c r="M50" s="42">
        <v>1</v>
      </c>
      <c r="N50" s="42">
        <v>0.5</v>
      </c>
      <c r="O50">
        <v>0.5</v>
      </c>
      <c r="P50" s="42">
        <v>0.922</v>
      </c>
      <c r="Q50">
        <v>0.93</v>
      </c>
      <c r="R50">
        <v>4650</v>
      </c>
      <c r="S50">
        <v>4650</v>
      </c>
      <c r="T50">
        <v>5000</v>
      </c>
      <c r="U50" t="s">
        <v>7114</v>
      </c>
      <c r="V50" t="s">
        <v>7105</v>
      </c>
      <c r="W50">
        <v>100</v>
      </c>
      <c r="X50" t="s">
        <v>7106</v>
      </c>
      <c r="Y50" t="s">
        <v>7041</v>
      </c>
      <c r="Z50" s="42">
        <v>1</v>
      </c>
      <c r="AA50" s="42">
        <v>0.25</v>
      </c>
      <c r="AB50">
        <v>100</v>
      </c>
    </row>
    <row r="51">
      <c r="A51" t="s">
        <v>7258</v>
      </c>
      <c r="B51" t="s">
        <v>7229</v>
      </c>
      <c r="C51" t="s">
        <v>7229</v>
      </c>
      <c r="D51" t="s">
        <v>7230</v>
      </c>
      <c r="E51" t="s">
        <v>7259</v>
      </c>
      <c r="F51" t="s">
        <v>6966</v>
      </c>
      <c r="G51" t="s">
        <v>7248</v>
      </c>
      <c r="H51" t="s">
        <v>7249</v>
      </c>
      <c r="I51" t="s">
        <v>7250</v>
      </c>
      <c r="J51" t="s">
        <v>7260</v>
      </c>
      <c r="K51" t="s">
        <v>7261</v>
      </c>
      <c r="M51" s="42">
        <v>0</v>
      </c>
      <c r="N51" s="42">
        <v>0.7</v>
      </c>
      <c r="O51">
        <v>0</v>
      </c>
      <c r="P51" s="42">
        <v>0</v>
      </c>
      <c r="Q51">
        <v>0</v>
      </c>
      <c r="R51">
        <v>0</v>
      </c>
      <c r="S51">
        <v>0</v>
      </c>
      <c r="T51">
        <v>4000</v>
      </c>
      <c r="U51" t="s">
        <v>7114</v>
      </c>
      <c r="V51" t="s">
        <v>7105</v>
      </c>
      <c r="W51">
        <v>100</v>
      </c>
      <c r="X51" t="s">
        <v>7106</v>
      </c>
      <c r="Y51" t="s">
        <v>7041</v>
      </c>
      <c r="Z51" s="42">
        <v>1</v>
      </c>
      <c r="AA51" s="42">
        <v>0.25</v>
      </c>
      <c r="AB51">
        <v>100</v>
      </c>
    </row>
    <row r="52">
      <c r="A52" t="s">
        <v>7262</v>
      </c>
      <c r="B52" t="s">
        <v>7212</v>
      </c>
      <c r="C52" t="s">
        <v>7212</v>
      </c>
      <c r="D52" t="s">
        <v>7139</v>
      </c>
      <c r="E52" t="s">
        <v>7263</v>
      </c>
      <c r="F52" t="s">
        <v>6966</v>
      </c>
      <c r="G52" t="s">
        <v>7264</v>
      </c>
      <c r="H52" t="s">
        <v>7265</v>
      </c>
      <c r="I52" t="s">
        <v>7266</v>
      </c>
      <c r="J52">
        <v>1</v>
      </c>
      <c r="K52" t="s">
        <v>7267</v>
      </c>
      <c r="L52" t="s">
        <v>7268</v>
      </c>
      <c r="M52" s="42">
        <v>0.9</v>
      </c>
      <c r="N52" s="42">
        <v>0.5</v>
      </c>
      <c r="O52">
        <v>0.9</v>
      </c>
      <c r="P52" s="42">
        <v>0.95</v>
      </c>
      <c r="Q52">
        <v>0.95</v>
      </c>
      <c r="R52">
        <v>4000</v>
      </c>
      <c r="S52">
        <v>4000</v>
      </c>
      <c r="T52">
        <v>4000</v>
      </c>
      <c r="U52" t="s">
        <v>7114</v>
      </c>
      <c r="V52" t="s">
        <v>7105</v>
      </c>
      <c r="W52">
        <v>100</v>
      </c>
      <c r="X52" t="s">
        <v>7106</v>
      </c>
      <c r="Y52" t="s">
        <v>7041</v>
      </c>
      <c r="Z52" s="42">
        <v>1</v>
      </c>
      <c r="AA52" s="42">
        <v>0.25</v>
      </c>
      <c r="AB52">
        <v>100</v>
      </c>
    </row>
    <row r="53">
      <c r="A53" t="s">
        <v>7269</v>
      </c>
      <c r="B53" t="s">
        <v>7270</v>
      </c>
      <c r="C53" t="s">
        <v>7270</v>
      </c>
      <c r="D53" t="s">
        <v>7271</v>
      </c>
      <c r="E53" t="s">
        <v>7272</v>
      </c>
      <c r="F53" t="s">
        <v>6966</v>
      </c>
      <c r="G53" t="s">
        <v>7273</v>
      </c>
      <c r="H53" t="s">
        <v>7274</v>
      </c>
      <c r="I53" t="s">
        <v>7275</v>
      </c>
      <c r="K53" s="43">
        <v>1</v>
      </c>
      <c r="L53" t="s">
        <v>7276</v>
      </c>
      <c r="M53" s="42">
        <v>1</v>
      </c>
      <c r="N53" s="42">
        <v>0.3</v>
      </c>
      <c r="O53">
        <v>1</v>
      </c>
      <c r="P53" s="42">
        <v>0.84</v>
      </c>
      <c r="Q53">
        <v>0.84</v>
      </c>
      <c r="R53">
        <v>2400.24</v>
      </c>
      <c r="S53">
        <v>2400.24</v>
      </c>
      <c r="T53">
        <v>3000</v>
      </c>
      <c r="U53" t="s">
        <v>7277</v>
      </c>
      <c r="W53">
        <v>1</v>
      </c>
      <c r="X53" s="43">
        <v>1</v>
      </c>
      <c r="Y53" t="s">
        <v>7041</v>
      </c>
      <c r="Z53" s="42">
        <v>1</v>
      </c>
      <c r="AA53" s="42">
        <v>0.3</v>
      </c>
      <c r="AB53">
        <v>100</v>
      </c>
    </row>
    <row r="54">
      <c r="A54" t="s">
        <v>7278</v>
      </c>
      <c r="B54" t="s">
        <v>7270</v>
      </c>
      <c r="C54" t="s">
        <v>7270</v>
      </c>
      <c r="D54" t="s">
        <v>7000</v>
      </c>
      <c r="E54" t="s">
        <v>7279</v>
      </c>
      <c r="F54" t="s">
        <v>6966</v>
      </c>
      <c r="G54" t="s">
        <v>7273</v>
      </c>
      <c r="H54" t="s">
        <v>7274</v>
      </c>
      <c r="I54" t="s">
        <v>7280</v>
      </c>
      <c r="K54">
        <v>100</v>
      </c>
      <c r="L54" t="s">
        <v>7281</v>
      </c>
      <c r="M54" s="42">
        <v>1</v>
      </c>
      <c r="N54" s="42">
        <v>0.3</v>
      </c>
      <c r="O54">
        <v>1</v>
      </c>
      <c r="P54" s="42">
        <v>0.6883</v>
      </c>
      <c r="Q54">
        <v>0.89</v>
      </c>
      <c r="R54">
        <v>5599.76</v>
      </c>
      <c r="S54">
        <v>5599.76</v>
      </c>
      <c r="T54">
        <v>5000</v>
      </c>
      <c r="U54">
        <v>100</v>
      </c>
      <c r="X54">
        <v>100</v>
      </c>
      <c r="Y54" t="s">
        <v>7041</v>
      </c>
      <c r="Z54" s="42">
        <v>1</v>
      </c>
      <c r="AA54" s="42">
        <v>0.3</v>
      </c>
      <c r="AB54">
        <v>100</v>
      </c>
    </row>
    <row r="55">
      <c r="A55" t="s">
        <v>7282</v>
      </c>
      <c r="B55" t="s">
        <v>7270</v>
      </c>
      <c r="C55" t="s">
        <v>7270</v>
      </c>
      <c r="D55" t="s">
        <v>7000</v>
      </c>
      <c r="E55" t="s">
        <v>7283</v>
      </c>
      <c r="F55" t="s">
        <v>6966</v>
      </c>
      <c r="G55" t="s">
        <v>7273</v>
      </c>
      <c r="H55" t="s">
        <v>7284</v>
      </c>
      <c r="I55" t="s">
        <v>7285</v>
      </c>
      <c r="K55" s="43">
        <v>1</v>
      </c>
      <c r="L55" t="s">
        <v>7286</v>
      </c>
      <c r="M55" s="42">
        <v>1</v>
      </c>
      <c r="N55" s="42">
        <v>0.1</v>
      </c>
      <c r="O55">
        <v>1</v>
      </c>
      <c r="P55" s="42">
        <v>0.68172</v>
      </c>
      <c r="Q55">
        <v>0.85</v>
      </c>
      <c r="R55">
        <v>0</v>
      </c>
      <c r="S55">
        <v>0</v>
      </c>
      <c r="T55">
        <v>5000</v>
      </c>
      <c r="U55" t="s">
        <v>7053</v>
      </c>
      <c r="V55">
        <v>100</v>
      </c>
      <c r="X55">
        <v>100</v>
      </c>
      <c r="Y55" t="s">
        <v>7041</v>
      </c>
      <c r="Z55" s="42">
        <v>1</v>
      </c>
      <c r="AA55" s="42">
        <v>0.7</v>
      </c>
      <c r="AB55">
        <v>100</v>
      </c>
    </row>
    <row r="56">
      <c r="A56" t="s">
        <v>7287</v>
      </c>
      <c r="B56" t="s">
        <v>7270</v>
      </c>
      <c r="C56" t="s">
        <v>7270</v>
      </c>
      <c r="D56" t="s">
        <v>7288</v>
      </c>
      <c r="E56" t="s">
        <v>7289</v>
      </c>
      <c r="F56" t="s">
        <v>6966</v>
      </c>
      <c r="G56" t="s">
        <v>7290</v>
      </c>
      <c r="H56" t="s">
        <v>7291</v>
      </c>
      <c r="I56" t="s">
        <v>7292</v>
      </c>
      <c r="J56" s="43">
        <v>1</v>
      </c>
      <c r="K56" s="43">
        <v>1</v>
      </c>
      <c r="L56" t="s">
        <v>7293</v>
      </c>
      <c r="M56" s="42">
        <v>0.0125</v>
      </c>
      <c r="N56" s="42">
        <v>0.6</v>
      </c>
      <c r="O56">
        <v>1.25</v>
      </c>
      <c r="P56" s="42">
        <v>0.4935</v>
      </c>
      <c r="Q56">
        <v>1.5</v>
      </c>
      <c r="R56">
        <v>1800</v>
      </c>
      <c r="S56">
        <v>1800</v>
      </c>
      <c r="T56">
        <v>1200</v>
      </c>
      <c r="U56" t="s">
        <v>7294</v>
      </c>
      <c r="V56" t="s">
        <v>7295</v>
      </c>
      <c r="W56" t="s">
        <v>7296</v>
      </c>
      <c r="X56">
        <v>100</v>
      </c>
      <c r="Y56" t="s">
        <v>7041</v>
      </c>
      <c r="Z56" s="42">
        <v>1.25</v>
      </c>
      <c r="AA56" s="42">
        <v>0.006</v>
      </c>
      <c r="AB56">
        <v>0.42</v>
      </c>
    </row>
    <row r="57">
      <c r="A57" t="s">
        <v>7297</v>
      </c>
      <c r="B57" t="s">
        <v>7270</v>
      </c>
      <c r="C57" t="s">
        <v>7270</v>
      </c>
      <c r="D57" t="s">
        <v>7298</v>
      </c>
      <c r="E57" t="s">
        <v>7299</v>
      </c>
      <c r="F57" t="s">
        <v>6966</v>
      </c>
      <c r="G57" t="s">
        <v>7300</v>
      </c>
      <c r="H57" t="s">
        <v>7301</v>
      </c>
      <c r="I57" t="s">
        <v>7302</v>
      </c>
      <c r="J57" s="43">
        <v>1</v>
      </c>
      <c r="K57">
        <v>0</v>
      </c>
      <c r="L57" t="s">
        <v>7293</v>
      </c>
      <c r="M57" s="42">
        <v>1</v>
      </c>
      <c r="N57" s="42">
        <v>0.1</v>
      </c>
      <c r="O57">
        <v>1</v>
      </c>
      <c r="P57" s="42">
        <v>1</v>
      </c>
      <c r="Q57">
        <v>1.1</v>
      </c>
      <c r="R57">
        <v>0</v>
      </c>
      <c r="S57">
        <v>0</v>
      </c>
      <c r="T57">
        <v>1200</v>
      </c>
      <c r="U57" t="s">
        <v>7303</v>
      </c>
      <c r="V57" t="s">
        <v>7304</v>
      </c>
      <c r="W57" t="s">
        <v>7305</v>
      </c>
      <c r="X57">
        <v>0.4</v>
      </c>
      <c r="Y57" t="s">
        <v>7041</v>
      </c>
      <c r="Z57" s="42">
        <v>1</v>
      </c>
      <c r="AA57" s="42">
        <v>0.0025</v>
      </c>
      <c r="AB57">
        <v>0.3</v>
      </c>
    </row>
    <row r="58">
      <c r="A58" t="s">
        <v>7306</v>
      </c>
      <c r="B58" t="s">
        <v>7307</v>
      </c>
      <c r="C58" t="s">
        <v>7307</v>
      </c>
      <c r="D58" t="s">
        <v>7308</v>
      </c>
      <c r="E58" t="s">
        <v>7309</v>
      </c>
      <c r="F58" t="s">
        <v>6966</v>
      </c>
      <c r="G58" t="s">
        <v>7310</v>
      </c>
      <c r="H58" t="s">
        <v>7311</v>
      </c>
      <c r="I58" t="s">
        <v>7312</v>
      </c>
      <c r="J58" s="43">
        <v>1</v>
      </c>
      <c r="K58">
        <v>0</v>
      </c>
      <c r="L58" t="s">
        <v>7313</v>
      </c>
      <c r="M58" s="42">
        <v>1</v>
      </c>
      <c r="N58" s="42">
        <v>0.5</v>
      </c>
      <c r="O58">
        <v>1</v>
      </c>
      <c r="P58" s="42">
        <v>1</v>
      </c>
      <c r="Q58">
        <v>1</v>
      </c>
      <c r="R58">
        <v>2800</v>
      </c>
      <c r="S58">
        <v>2800</v>
      </c>
      <c r="T58">
        <v>3500</v>
      </c>
      <c r="U58" t="s">
        <v>7303</v>
      </c>
      <c r="V58" t="s">
        <v>7304</v>
      </c>
      <c r="W58" t="s">
        <v>7305</v>
      </c>
      <c r="X58">
        <v>0.4</v>
      </c>
      <c r="Y58" t="s">
        <v>7041</v>
      </c>
      <c r="Z58" s="42">
        <v>1</v>
      </c>
      <c r="AA58" s="42">
        <v>0.0025</v>
      </c>
      <c r="AB58">
        <v>0.3</v>
      </c>
    </row>
    <row r="59">
      <c r="A59" t="s">
        <v>7314</v>
      </c>
      <c r="B59" t="s">
        <v>7307</v>
      </c>
      <c r="C59" t="s">
        <v>7307</v>
      </c>
      <c r="D59" t="s">
        <v>7308</v>
      </c>
      <c r="E59" t="s">
        <v>7315</v>
      </c>
      <c r="F59" t="s">
        <v>6966</v>
      </c>
      <c r="G59" t="s">
        <v>7310</v>
      </c>
      <c r="H59" t="s">
        <v>7316</v>
      </c>
      <c r="I59" t="s">
        <v>7317</v>
      </c>
      <c r="J59" s="43">
        <v>1</v>
      </c>
      <c r="K59">
        <v>0</v>
      </c>
      <c r="L59">
        <v>1</v>
      </c>
      <c r="M59" s="42">
        <v>1</v>
      </c>
      <c r="N59" s="42">
        <v>0.2</v>
      </c>
      <c r="O59">
        <v>1</v>
      </c>
      <c r="P59" s="42">
        <v>0.97</v>
      </c>
      <c r="Q59">
        <v>0.97</v>
      </c>
      <c r="R59">
        <v>2716</v>
      </c>
      <c r="S59">
        <v>2716</v>
      </c>
      <c r="T59">
        <v>3500</v>
      </c>
      <c r="U59" t="s">
        <v>7303</v>
      </c>
      <c r="V59" t="s">
        <v>7304</v>
      </c>
      <c r="W59" t="s">
        <v>7305</v>
      </c>
      <c r="X59">
        <v>0.4</v>
      </c>
      <c r="Y59" t="s">
        <v>7041</v>
      </c>
      <c r="Z59" s="42">
        <v>1</v>
      </c>
      <c r="AA59" s="42">
        <v>0.0025</v>
      </c>
      <c r="AB59">
        <v>0.3</v>
      </c>
    </row>
    <row r="60">
      <c r="A60" t="s">
        <v>7318</v>
      </c>
      <c r="B60" t="s">
        <v>7307</v>
      </c>
      <c r="C60" t="s">
        <v>7307</v>
      </c>
      <c r="D60" t="s">
        <v>7308</v>
      </c>
      <c r="E60" t="s">
        <v>7319</v>
      </c>
      <c r="F60" t="s">
        <v>6966</v>
      </c>
      <c r="G60" t="s">
        <v>7310</v>
      </c>
      <c r="H60" t="s">
        <v>7316</v>
      </c>
      <c r="I60" t="s">
        <v>7320</v>
      </c>
      <c r="J60" s="43">
        <v>1</v>
      </c>
      <c r="K60">
        <v>0</v>
      </c>
      <c r="L60" t="s">
        <v>7321</v>
      </c>
      <c r="M60" s="42">
        <v>0.3</v>
      </c>
      <c r="N60" s="42">
        <v>0.3</v>
      </c>
      <c r="O60">
        <v>0.3</v>
      </c>
      <c r="P60" s="42">
        <v>0.79</v>
      </c>
      <c r="Q60">
        <v>0.79</v>
      </c>
      <c r="R60">
        <v>2212</v>
      </c>
      <c r="S60">
        <v>2212</v>
      </c>
      <c r="T60">
        <v>3500</v>
      </c>
      <c r="U60" t="s">
        <v>7303</v>
      </c>
      <c r="V60" t="s">
        <v>7304</v>
      </c>
      <c r="W60" t="s">
        <v>7305</v>
      </c>
      <c r="X60">
        <v>0.4</v>
      </c>
      <c r="Y60" t="s">
        <v>7041</v>
      </c>
      <c r="Z60" s="42">
        <v>1</v>
      </c>
      <c r="AA60" s="42">
        <v>0.0025</v>
      </c>
      <c r="AB60">
        <v>0.3</v>
      </c>
    </row>
    <row r="61">
      <c r="A61" t="s">
        <v>7322</v>
      </c>
      <c r="B61" t="s">
        <v>7323</v>
      </c>
      <c r="C61" t="s">
        <v>7323</v>
      </c>
      <c r="D61" t="s">
        <v>7324</v>
      </c>
      <c r="E61" t="s">
        <v>7325</v>
      </c>
      <c r="F61" t="s">
        <v>6966</v>
      </c>
      <c r="G61" t="s">
        <v>7326</v>
      </c>
      <c r="H61" t="s">
        <v>7327</v>
      </c>
      <c r="I61" t="s">
        <v>7328</v>
      </c>
      <c r="J61" s="43">
        <v>1</v>
      </c>
      <c r="K61">
        <v>0</v>
      </c>
      <c r="L61" t="s">
        <v>7329</v>
      </c>
      <c r="M61" s="42">
        <v>1</v>
      </c>
      <c r="N61" s="42">
        <v>0.5</v>
      </c>
      <c r="O61">
        <v>1</v>
      </c>
      <c r="P61" s="42">
        <v>1</v>
      </c>
      <c r="Q61">
        <v>1</v>
      </c>
      <c r="R61">
        <v>3000</v>
      </c>
      <c r="S61">
        <v>3000</v>
      </c>
      <c r="T61">
        <v>3000</v>
      </c>
      <c r="U61" t="s">
        <v>7303</v>
      </c>
      <c r="V61" t="s">
        <v>7304</v>
      </c>
      <c r="W61" t="s">
        <v>7305</v>
      </c>
      <c r="X61">
        <v>0.4</v>
      </c>
      <c r="Y61" t="s">
        <v>7041</v>
      </c>
      <c r="Z61" s="42">
        <v>1</v>
      </c>
      <c r="AA61" s="42">
        <v>0.0025</v>
      </c>
      <c r="AB61">
        <v>0.3</v>
      </c>
    </row>
    <row r="62">
      <c r="A62" t="s">
        <v>7330</v>
      </c>
      <c r="B62" t="s">
        <v>7331</v>
      </c>
      <c r="C62" t="s">
        <v>7331</v>
      </c>
      <c r="D62" t="s">
        <v>7000</v>
      </c>
      <c r="E62" t="s">
        <v>7332</v>
      </c>
      <c r="F62" t="s">
        <v>6966</v>
      </c>
      <c r="G62" t="s">
        <v>7333</v>
      </c>
      <c r="H62" t="s">
        <v>7334</v>
      </c>
      <c r="I62" t="s">
        <v>7335</v>
      </c>
      <c r="J62" t="s">
        <v>7336</v>
      </c>
      <c r="K62" t="s">
        <v>7337</v>
      </c>
      <c r="L62" t="s">
        <v>7338</v>
      </c>
      <c r="M62" s="42">
        <v>1.05</v>
      </c>
      <c r="N62" s="42">
        <v>0.3</v>
      </c>
      <c r="O62">
        <v>1.05</v>
      </c>
      <c r="P62" s="42">
        <v>0.915</v>
      </c>
      <c r="Q62">
        <v>0.92</v>
      </c>
      <c r="R62">
        <v>8400</v>
      </c>
      <c r="S62">
        <v>8400</v>
      </c>
      <c r="T62">
        <v>6000</v>
      </c>
      <c r="U62" t="s">
        <v>7303</v>
      </c>
      <c r="V62" t="s">
        <v>7304</v>
      </c>
      <c r="W62" t="s">
        <v>7305</v>
      </c>
      <c r="X62">
        <v>0.4</v>
      </c>
      <c r="Y62" t="s">
        <v>7041</v>
      </c>
      <c r="Z62" s="42">
        <v>1</v>
      </c>
      <c r="AA62" s="42">
        <v>0.0025</v>
      </c>
      <c r="AB62">
        <v>0.3</v>
      </c>
    </row>
    <row r="63">
      <c r="A63" t="s">
        <v>7339</v>
      </c>
      <c r="B63" t="s">
        <v>7331</v>
      </c>
      <c r="C63" t="s">
        <v>7331</v>
      </c>
      <c r="D63" t="s">
        <v>7000</v>
      </c>
      <c r="E63" t="s">
        <v>7340</v>
      </c>
      <c r="F63" t="s">
        <v>6966</v>
      </c>
      <c r="G63" t="s">
        <v>7333</v>
      </c>
      <c r="H63" t="s">
        <v>7341</v>
      </c>
      <c r="I63" t="s">
        <v>7342</v>
      </c>
      <c r="J63" t="s">
        <v>7343</v>
      </c>
      <c r="K63" t="s">
        <v>7344</v>
      </c>
      <c r="M63" s="42">
        <v>0.85</v>
      </c>
      <c r="N63" s="42">
        <v>0.5</v>
      </c>
      <c r="O63">
        <v>0.85</v>
      </c>
      <c r="P63" s="42">
        <v>0.721</v>
      </c>
      <c r="Q63">
        <v>0.67</v>
      </c>
      <c r="R63">
        <v>3600</v>
      </c>
      <c r="S63">
        <v>3600</v>
      </c>
      <c r="T63">
        <v>6000</v>
      </c>
      <c r="U63" t="s">
        <v>7303</v>
      </c>
      <c r="V63" t="s">
        <v>7304</v>
      </c>
      <c r="W63" t="s">
        <v>7305</v>
      </c>
      <c r="X63">
        <v>0.4</v>
      </c>
      <c r="Y63" t="s">
        <v>7041</v>
      </c>
      <c r="Z63" s="42">
        <v>1</v>
      </c>
      <c r="AA63" s="42">
        <v>0.0025</v>
      </c>
      <c r="AB63">
        <v>0.3</v>
      </c>
    </row>
    <row r="64">
      <c r="A64" t="s">
        <v>7345</v>
      </c>
      <c r="B64" t="s">
        <v>7331</v>
      </c>
      <c r="C64" t="s">
        <v>7331</v>
      </c>
      <c r="D64" t="s">
        <v>7000</v>
      </c>
      <c r="E64" t="s">
        <v>7346</v>
      </c>
      <c r="F64" t="s">
        <v>6966</v>
      </c>
      <c r="G64" t="s">
        <v>7333</v>
      </c>
      <c r="H64" t="s">
        <v>7341</v>
      </c>
      <c r="I64" t="s">
        <v>7347</v>
      </c>
      <c r="J64" t="s">
        <v>7348</v>
      </c>
      <c r="K64" t="s">
        <v>7349</v>
      </c>
      <c r="M64" s="42">
        <v>0.825</v>
      </c>
      <c r="N64" s="42">
        <v>0.6</v>
      </c>
      <c r="O64">
        <v>0.825</v>
      </c>
      <c r="P64" s="42">
        <v>0.6008</v>
      </c>
      <c r="Q64">
        <v>0.6</v>
      </c>
      <c r="R64">
        <v>0</v>
      </c>
      <c r="S64">
        <v>0</v>
      </c>
      <c r="T64">
        <v>6000</v>
      </c>
      <c r="U64" t="s">
        <v>7303</v>
      </c>
      <c r="V64" t="s">
        <v>7304</v>
      </c>
      <c r="W64" t="s">
        <v>7305</v>
      </c>
      <c r="X64">
        <v>0.4</v>
      </c>
      <c r="Y64" t="s">
        <v>7041</v>
      </c>
      <c r="Z64" s="42">
        <v>1</v>
      </c>
      <c r="AA64" s="42">
        <v>0.0025</v>
      </c>
      <c r="AB64">
        <v>0.3</v>
      </c>
    </row>
    <row r="65">
      <c r="A65" t="s">
        <v>7350</v>
      </c>
      <c r="B65" t="s">
        <v>7331</v>
      </c>
      <c r="C65" t="s">
        <v>7331</v>
      </c>
      <c r="D65" t="s">
        <v>7000</v>
      </c>
      <c r="E65" t="s">
        <v>7351</v>
      </c>
      <c r="F65" t="s">
        <v>6966</v>
      </c>
      <c r="G65" t="s">
        <v>7333</v>
      </c>
      <c r="H65" t="s">
        <v>7341</v>
      </c>
      <c r="I65" t="s">
        <v>7352</v>
      </c>
      <c r="J65" t="s">
        <v>7343</v>
      </c>
      <c r="K65" t="s">
        <v>7353</v>
      </c>
      <c r="M65" s="42">
        <v>0.195</v>
      </c>
      <c r="N65" s="42">
        <v>0.5</v>
      </c>
      <c r="O65">
        <v>0.195</v>
      </c>
      <c r="P65" s="42">
        <v>0.314</v>
      </c>
      <c r="Q65">
        <v>0.31</v>
      </c>
      <c r="R65">
        <v>0</v>
      </c>
      <c r="S65">
        <v>0</v>
      </c>
      <c r="T65">
        <v>6000</v>
      </c>
      <c r="U65" t="s">
        <v>7303</v>
      </c>
      <c r="V65" t="s">
        <v>7304</v>
      </c>
      <c r="W65" t="s">
        <v>7305</v>
      </c>
      <c r="X65">
        <v>0.4</v>
      </c>
      <c r="Y65" t="s">
        <v>7041</v>
      </c>
      <c r="Z65" s="42">
        <v>1</v>
      </c>
      <c r="AA65" s="42">
        <v>0.0025</v>
      </c>
      <c r="AB65">
        <v>0.3</v>
      </c>
    </row>
    <row r="66">
      <c r="A66" t="s">
        <v>7354</v>
      </c>
      <c r="B66" t="s">
        <v>7331</v>
      </c>
      <c r="C66" t="s">
        <v>7331</v>
      </c>
      <c r="D66" t="s">
        <v>7355</v>
      </c>
      <c r="E66" t="s">
        <v>7356</v>
      </c>
      <c r="F66" t="s">
        <v>6966</v>
      </c>
      <c r="G66" t="s">
        <v>7333</v>
      </c>
      <c r="H66" t="s">
        <v>7334</v>
      </c>
      <c r="I66" t="s">
        <v>7357</v>
      </c>
      <c r="J66" t="s">
        <v>7358</v>
      </c>
      <c r="K66" t="s">
        <v>7359</v>
      </c>
      <c r="L66" t="s">
        <v>7360</v>
      </c>
      <c r="M66" s="42">
        <v>1.5</v>
      </c>
      <c r="N66" s="42">
        <v>0.3</v>
      </c>
      <c r="O66">
        <v>1.5</v>
      </c>
      <c r="P66" s="42">
        <v>0.93</v>
      </c>
      <c r="Q66">
        <v>0.93</v>
      </c>
      <c r="R66">
        <v>0</v>
      </c>
      <c r="S66">
        <v>0</v>
      </c>
      <c r="T66">
        <v>5000</v>
      </c>
      <c r="U66" t="s">
        <v>7303</v>
      </c>
      <c r="V66" t="s">
        <v>7304</v>
      </c>
      <c r="W66" t="s">
        <v>7305</v>
      </c>
      <c r="X66">
        <v>0.4</v>
      </c>
      <c r="Y66" t="s">
        <v>7041</v>
      </c>
      <c r="Z66" s="42">
        <v>1</v>
      </c>
      <c r="AA66" s="42">
        <v>0.0025</v>
      </c>
      <c r="AB66">
        <v>0.3</v>
      </c>
    </row>
    <row r="67">
      <c r="A67" t="s">
        <v>7361</v>
      </c>
      <c r="B67" t="s">
        <v>7331</v>
      </c>
      <c r="C67" t="s">
        <v>7331</v>
      </c>
      <c r="D67" t="s">
        <v>7362</v>
      </c>
      <c r="E67" t="s">
        <v>7363</v>
      </c>
      <c r="F67" t="s">
        <v>6966</v>
      </c>
      <c r="G67" t="s">
        <v>7364</v>
      </c>
      <c r="H67" t="s">
        <v>7341</v>
      </c>
      <c r="I67" t="s">
        <v>7365</v>
      </c>
      <c r="J67" t="s">
        <v>7366</v>
      </c>
      <c r="K67" t="s">
        <v>7367</v>
      </c>
      <c r="L67" t="s">
        <v>7368</v>
      </c>
      <c r="M67" s="42">
        <v>5.03</v>
      </c>
      <c r="N67" s="42">
        <v>0.7</v>
      </c>
      <c r="O67">
        <v>5.03</v>
      </c>
      <c r="P67" s="42">
        <v>3.821</v>
      </c>
      <c r="Q67">
        <v>3.82</v>
      </c>
      <c r="R67">
        <v>2855.17</v>
      </c>
      <c r="S67">
        <v>3155.17</v>
      </c>
      <c r="T67">
        <v>1200</v>
      </c>
      <c r="U67" t="s">
        <v>7303</v>
      </c>
      <c r="V67" t="s">
        <v>7304</v>
      </c>
      <c r="W67" t="s">
        <v>7305</v>
      </c>
      <c r="X67">
        <v>0.4</v>
      </c>
      <c r="Y67" t="s">
        <v>7041</v>
      </c>
      <c r="Z67" s="42">
        <v>1</v>
      </c>
      <c r="AA67" s="42">
        <v>0.0025</v>
      </c>
      <c r="AB67">
        <v>0.3</v>
      </c>
    </row>
    <row r="68">
      <c r="A68" t="s">
        <v>7369</v>
      </c>
      <c r="B68" t="s">
        <v>7331</v>
      </c>
      <c r="C68" t="s">
        <v>7331</v>
      </c>
      <c r="D68" t="s">
        <v>7362</v>
      </c>
      <c r="E68" t="s">
        <v>7370</v>
      </c>
      <c r="F68" t="s">
        <v>6966</v>
      </c>
      <c r="G68" t="s">
        <v>7364</v>
      </c>
      <c r="H68" t="s">
        <v>7341</v>
      </c>
      <c r="I68" t="s">
        <v>7371</v>
      </c>
      <c r="J68" t="s">
        <v>7372</v>
      </c>
      <c r="K68" t="s">
        <v>7373</v>
      </c>
      <c r="L68" t="s">
        <v>7368</v>
      </c>
      <c r="M68" s="42">
        <v>3.94</v>
      </c>
      <c r="N68" s="42">
        <v>0.7</v>
      </c>
      <c r="O68">
        <v>3.94</v>
      </c>
      <c r="P68" s="42">
        <v>3.358</v>
      </c>
      <c r="Q68">
        <v>3.36</v>
      </c>
      <c r="R68">
        <v>2637.93</v>
      </c>
      <c r="S68">
        <v>3537.93</v>
      </c>
      <c r="T68">
        <v>1500</v>
      </c>
      <c r="U68" t="s">
        <v>7303</v>
      </c>
      <c r="V68" t="s">
        <v>7304</v>
      </c>
      <c r="W68" t="s">
        <v>7305</v>
      </c>
      <c r="X68">
        <v>0.4</v>
      </c>
      <c r="Y68" t="s">
        <v>7041</v>
      </c>
      <c r="Z68" s="42">
        <v>1</v>
      </c>
      <c r="AA68" s="42">
        <v>0.0025</v>
      </c>
      <c r="AB68">
        <v>0.3</v>
      </c>
    </row>
    <row r="69">
      <c r="A69" t="s">
        <v>7374</v>
      </c>
      <c r="B69" t="s">
        <v>7331</v>
      </c>
      <c r="C69" t="s">
        <v>7331</v>
      </c>
      <c r="D69" t="s">
        <v>7362</v>
      </c>
      <c r="E69" t="s">
        <v>7375</v>
      </c>
      <c r="F69" t="s">
        <v>6966</v>
      </c>
      <c r="G69" t="s">
        <v>7364</v>
      </c>
      <c r="H69" t="s">
        <v>7341</v>
      </c>
      <c r="I69" t="s">
        <v>7376</v>
      </c>
      <c r="J69" t="s">
        <v>7343</v>
      </c>
      <c r="K69" t="s">
        <v>7377</v>
      </c>
      <c r="L69" t="s">
        <v>7378</v>
      </c>
      <c r="M69" s="42">
        <v>1.05</v>
      </c>
      <c r="N69" s="42">
        <v>0.2</v>
      </c>
      <c r="O69">
        <v>1.1471</v>
      </c>
      <c r="P69" s="42">
        <v>0.51</v>
      </c>
      <c r="Q69">
        <v>0.56</v>
      </c>
      <c r="R69">
        <v>1706.9</v>
      </c>
      <c r="S69">
        <v>1706.9</v>
      </c>
      <c r="T69">
        <v>1500</v>
      </c>
      <c r="U69" t="s">
        <v>7303</v>
      </c>
      <c r="V69" t="s">
        <v>7304</v>
      </c>
      <c r="W69" t="s">
        <v>7305</v>
      </c>
      <c r="X69">
        <v>0.4</v>
      </c>
      <c r="Y69" t="s">
        <v>7041</v>
      </c>
      <c r="Z69" s="42">
        <v>1</v>
      </c>
      <c r="AA69" s="42">
        <v>0.0025</v>
      </c>
      <c r="AB69">
        <v>0.3</v>
      </c>
    </row>
    <row r="70">
      <c r="A70" t="s">
        <v>7379</v>
      </c>
      <c r="B70" t="s">
        <v>7331</v>
      </c>
      <c r="C70" t="s">
        <v>7331</v>
      </c>
      <c r="D70" t="s">
        <v>7362</v>
      </c>
      <c r="E70" t="s">
        <v>7380</v>
      </c>
      <c r="F70" t="s">
        <v>6966</v>
      </c>
      <c r="G70" t="s">
        <v>7364</v>
      </c>
      <c r="H70" t="s">
        <v>7341</v>
      </c>
      <c r="I70" t="s">
        <v>7381</v>
      </c>
      <c r="J70" t="s">
        <v>7366</v>
      </c>
      <c r="K70" t="s">
        <v>7382</v>
      </c>
      <c r="L70" t="s">
        <v>7383</v>
      </c>
      <c r="M70" s="42">
        <v>1.64</v>
      </c>
      <c r="N70" s="42">
        <v>0.7</v>
      </c>
      <c r="O70">
        <v>1.5</v>
      </c>
      <c r="P70" s="42">
        <v>1.148</v>
      </c>
      <c r="Q70">
        <v>1.05</v>
      </c>
      <c r="R70">
        <v>2172.41</v>
      </c>
      <c r="S70">
        <v>2172.41</v>
      </c>
      <c r="T70">
        <v>1500</v>
      </c>
      <c r="U70" t="s">
        <v>7303</v>
      </c>
      <c r="V70" t="s">
        <v>7304</v>
      </c>
      <c r="W70" t="s">
        <v>7305</v>
      </c>
      <c r="X70">
        <v>0.4</v>
      </c>
      <c r="Y70" t="s">
        <v>7041</v>
      </c>
      <c r="Z70" s="42">
        <v>1</v>
      </c>
      <c r="AA70" s="42">
        <v>0.0025</v>
      </c>
      <c r="AB70">
        <v>0.3</v>
      </c>
    </row>
    <row r="71">
      <c r="A71" t="s">
        <v>7384</v>
      </c>
      <c r="B71" t="s">
        <v>7331</v>
      </c>
      <c r="C71" t="s">
        <v>7331</v>
      </c>
      <c r="D71" t="s">
        <v>7362</v>
      </c>
      <c r="E71" t="s">
        <v>7385</v>
      </c>
      <c r="F71" t="s">
        <v>6966</v>
      </c>
      <c r="G71" t="s">
        <v>7364</v>
      </c>
      <c r="H71" t="s">
        <v>7341</v>
      </c>
      <c r="I71" t="s">
        <v>7386</v>
      </c>
      <c r="J71" t="s">
        <v>7387</v>
      </c>
      <c r="K71" t="s">
        <v>7388</v>
      </c>
      <c r="L71" t="s">
        <v>7383</v>
      </c>
      <c r="M71" s="42">
        <v>0.77</v>
      </c>
      <c r="N71" s="42">
        <v>0.7</v>
      </c>
      <c r="O71">
        <v>0.616</v>
      </c>
      <c r="P71" s="42">
        <v>0.539</v>
      </c>
      <c r="Q71">
        <v>0.43</v>
      </c>
      <c r="R71">
        <v>1241.38</v>
      </c>
      <c r="S71">
        <v>1241.38</v>
      </c>
      <c r="T71">
        <v>1500</v>
      </c>
      <c r="U71" t="s">
        <v>7303</v>
      </c>
      <c r="V71" t="s">
        <v>7304</v>
      </c>
      <c r="W71" t="s">
        <v>7305</v>
      </c>
      <c r="X71">
        <v>0.4</v>
      </c>
      <c r="Y71" t="s">
        <v>7041</v>
      </c>
      <c r="Z71" s="42">
        <v>1</v>
      </c>
      <c r="AA71" s="42">
        <v>0.0025</v>
      </c>
      <c r="AB71">
        <v>0.3</v>
      </c>
    </row>
    <row r="72">
      <c r="A72" t="s">
        <v>7389</v>
      </c>
      <c r="B72" t="s">
        <v>7331</v>
      </c>
      <c r="C72" t="s">
        <v>7331</v>
      </c>
      <c r="D72" t="s">
        <v>7362</v>
      </c>
      <c r="E72" t="s">
        <v>7390</v>
      </c>
      <c r="F72" t="s">
        <v>6966</v>
      </c>
      <c r="G72" t="s">
        <v>7364</v>
      </c>
      <c r="H72" t="s">
        <v>7341</v>
      </c>
      <c r="I72" t="s">
        <v>7381</v>
      </c>
      <c r="J72" t="s">
        <v>7366</v>
      </c>
      <c r="K72" t="s">
        <v>7391</v>
      </c>
      <c r="L72" t="s">
        <v>7383</v>
      </c>
      <c r="M72" s="42">
        <v>0.134</v>
      </c>
      <c r="N72" s="42">
        <v>0.7</v>
      </c>
      <c r="O72">
        <v>0.1067</v>
      </c>
      <c r="P72" s="42">
        <v>0.0938</v>
      </c>
      <c r="Q72">
        <v>0.07</v>
      </c>
      <c r="R72">
        <v>310.34</v>
      </c>
      <c r="S72">
        <v>310.34</v>
      </c>
      <c r="T72">
        <v>1500</v>
      </c>
      <c r="U72" t="s">
        <v>7303</v>
      </c>
      <c r="V72" t="s">
        <v>7304</v>
      </c>
      <c r="W72" t="s">
        <v>7305</v>
      </c>
      <c r="X72">
        <v>0.4</v>
      </c>
      <c r="Y72" t="s">
        <v>7041</v>
      </c>
      <c r="Z72" s="42">
        <v>1</v>
      </c>
      <c r="AA72" s="42">
        <v>0.0025</v>
      </c>
      <c r="AB72">
        <v>0.3</v>
      </c>
    </row>
    <row r="73">
      <c r="A73" t="s">
        <v>7392</v>
      </c>
      <c r="B73" t="s">
        <v>7331</v>
      </c>
      <c r="C73" t="s">
        <v>7331</v>
      </c>
      <c r="D73" t="s">
        <v>7362</v>
      </c>
      <c r="E73" t="s">
        <v>7393</v>
      </c>
      <c r="F73" t="s">
        <v>6966</v>
      </c>
      <c r="G73" t="s">
        <v>7364</v>
      </c>
      <c r="H73" t="s">
        <v>7341</v>
      </c>
      <c r="I73" t="s">
        <v>7394</v>
      </c>
      <c r="J73" t="s">
        <v>7366</v>
      </c>
      <c r="K73" t="s">
        <v>7395</v>
      </c>
      <c r="L73" t="s">
        <v>7383</v>
      </c>
      <c r="M73" s="42">
        <v>0.035</v>
      </c>
      <c r="N73" s="42">
        <v>0.7</v>
      </c>
      <c r="O73">
        <v>0.028</v>
      </c>
      <c r="P73" s="42">
        <v>0.0245</v>
      </c>
      <c r="Q73">
        <v>0.02</v>
      </c>
      <c r="R73">
        <v>0</v>
      </c>
      <c r="S73">
        <v>0</v>
      </c>
      <c r="T73">
        <v>1500</v>
      </c>
      <c r="U73" t="s">
        <v>7303</v>
      </c>
      <c r="V73" t="s">
        <v>7304</v>
      </c>
      <c r="W73" t="s">
        <v>7305</v>
      </c>
      <c r="X73">
        <v>0.4</v>
      </c>
      <c r="Y73" t="s">
        <v>7041</v>
      </c>
      <c r="Z73" s="42">
        <v>1</v>
      </c>
      <c r="AA73" s="42">
        <v>0.0025</v>
      </c>
      <c r="AB73">
        <v>0.3</v>
      </c>
    </row>
    <row r="74">
      <c r="A74" t="s">
        <v>7396</v>
      </c>
      <c r="B74" t="s">
        <v>7331</v>
      </c>
      <c r="C74" t="s">
        <v>7331</v>
      </c>
      <c r="D74" t="s">
        <v>7362</v>
      </c>
      <c r="E74" t="s">
        <v>7397</v>
      </c>
      <c r="F74" t="s">
        <v>6966</v>
      </c>
      <c r="G74" t="s">
        <v>7364</v>
      </c>
      <c r="H74" t="s">
        <v>7341</v>
      </c>
      <c r="I74" t="s">
        <v>7398</v>
      </c>
      <c r="J74" t="s">
        <v>7387</v>
      </c>
      <c r="K74" t="s">
        <v>7399</v>
      </c>
      <c r="L74" t="s">
        <v>7383</v>
      </c>
      <c r="M74" s="42">
        <v>0.31</v>
      </c>
      <c r="N74" s="42">
        <v>0.7</v>
      </c>
      <c r="O74">
        <v>0.248</v>
      </c>
      <c r="P74" s="42">
        <v>0.217</v>
      </c>
      <c r="Q74">
        <v>0.17</v>
      </c>
      <c r="R74">
        <v>775.86</v>
      </c>
      <c r="S74">
        <v>775.86</v>
      </c>
      <c r="T74">
        <v>1500</v>
      </c>
      <c r="U74" t="s">
        <v>7303</v>
      </c>
      <c r="V74" t="s">
        <v>7304</v>
      </c>
      <c r="W74" t="s">
        <v>7305</v>
      </c>
      <c r="X74">
        <v>0.4</v>
      </c>
      <c r="Y74" t="s">
        <v>7041</v>
      </c>
      <c r="Z74" s="42">
        <v>1</v>
      </c>
      <c r="AA74" s="42">
        <v>0.0025</v>
      </c>
      <c r="AB74">
        <v>0.3</v>
      </c>
    </row>
    <row r="75">
      <c r="A75" t="s">
        <v>7400</v>
      </c>
      <c r="B75" t="s">
        <v>7401</v>
      </c>
      <c r="C75" t="s">
        <v>7401</v>
      </c>
      <c r="D75" t="s">
        <v>7402</v>
      </c>
      <c r="E75" t="s">
        <v>7403</v>
      </c>
      <c r="F75" t="s">
        <v>6966</v>
      </c>
      <c r="G75" t="s">
        <v>7404</v>
      </c>
      <c r="H75" t="s">
        <v>7405</v>
      </c>
      <c r="I75" t="s">
        <v>7406</v>
      </c>
      <c r="K75">
        <v>85</v>
      </c>
      <c r="L75" t="s">
        <v>7407</v>
      </c>
      <c r="M75" s="42">
        <v>0.85</v>
      </c>
      <c r="N75" s="42">
        <v>0.4</v>
      </c>
      <c r="O75">
        <v>0.85</v>
      </c>
      <c r="P75" s="42">
        <v>0.845</v>
      </c>
      <c r="Q75">
        <v>0.8</v>
      </c>
      <c r="R75">
        <v>3990.1</v>
      </c>
      <c r="S75">
        <v>3990.1</v>
      </c>
      <c r="T75">
        <v>5000</v>
      </c>
      <c r="U75" t="s">
        <v>7408</v>
      </c>
      <c r="X75">
        <v>90</v>
      </c>
      <c r="Y75" t="s">
        <v>7041</v>
      </c>
      <c r="Z75" s="42">
        <v>0.9</v>
      </c>
      <c r="AA75" s="42">
        <v>0.5</v>
      </c>
      <c r="AB75">
        <v>0.3</v>
      </c>
    </row>
    <row r="76">
      <c r="A76" t="s">
        <v>7409</v>
      </c>
      <c r="B76" t="s">
        <v>7401</v>
      </c>
      <c r="C76" t="s">
        <v>7401</v>
      </c>
      <c r="D76" t="s">
        <v>7000</v>
      </c>
      <c r="E76" t="s">
        <v>7410</v>
      </c>
      <c r="F76" t="s">
        <v>6966</v>
      </c>
      <c r="G76" t="s">
        <v>7404</v>
      </c>
      <c r="H76" t="s">
        <v>7405</v>
      </c>
      <c r="I76" t="s">
        <v>7411</v>
      </c>
      <c r="K76">
        <v>0.8</v>
      </c>
      <c r="L76" t="s">
        <v>7412</v>
      </c>
      <c r="M76" s="42">
        <v>0.8</v>
      </c>
      <c r="N76" s="42">
        <v>0.4</v>
      </c>
      <c r="O76">
        <v>0.8</v>
      </c>
      <c r="P76" s="42">
        <v>0.845</v>
      </c>
      <c r="Q76">
        <v>0.85</v>
      </c>
      <c r="R76">
        <v>4782.4</v>
      </c>
      <c r="S76">
        <v>4782.4</v>
      </c>
      <c r="T76">
        <v>5000</v>
      </c>
      <c r="U76" t="s">
        <v>7413</v>
      </c>
      <c r="V76" t="s">
        <v>7414</v>
      </c>
      <c r="X76">
        <v>0.5</v>
      </c>
      <c r="Y76" t="s">
        <v>7041</v>
      </c>
      <c r="Z76" s="42">
        <v>1</v>
      </c>
      <c r="AA76" s="42">
        <v>0.5</v>
      </c>
      <c r="AB76">
        <v>0.3</v>
      </c>
    </row>
    <row r="77">
      <c r="A77" t="s">
        <v>7415</v>
      </c>
      <c r="B77" t="s">
        <v>7401</v>
      </c>
      <c r="C77" t="s">
        <v>7401</v>
      </c>
      <c r="D77" t="s">
        <v>7187</v>
      </c>
      <c r="E77" t="s">
        <v>7416</v>
      </c>
      <c r="F77" t="s">
        <v>6966</v>
      </c>
      <c r="G77" t="s">
        <v>7404</v>
      </c>
      <c r="H77" t="s">
        <v>7417</v>
      </c>
      <c r="I77" t="s">
        <v>7418</v>
      </c>
      <c r="K77">
        <v>93.4</v>
      </c>
      <c r="L77" t="s">
        <v>7419</v>
      </c>
      <c r="M77" s="42">
        <v>0.934</v>
      </c>
      <c r="N77" s="42">
        <v>0.3</v>
      </c>
      <c r="O77">
        <v>0.934</v>
      </c>
      <c r="P77" s="42">
        <v>0.8822</v>
      </c>
      <c r="Q77">
        <v>0.82</v>
      </c>
      <c r="R77">
        <v>3071.3</v>
      </c>
      <c r="S77">
        <v>3071.3</v>
      </c>
      <c r="T77">
        <v>3000</v>
      </c>
      <c r="U77" t="s">
        <v>7420</v>
      </c>
      <c r="V77" t="s">
        <v>7421</v>
      </c>
      <c r="X77">
        <v>96.75</v>
      </c>
      <c r="Y77" t="s">
        <v>7422</v>
      </c>
      <c r="Z77" s="42">
        <v>0.9675</v>
      </c>
      <c r="AA77" s="42">
        <v>0.8</v>
      </c>
      <c r="AB77">
        <v>96.75</v>
      </c>
    </row>
    <row r="78">
      <c r="A78" t="s">
        <v>7423</v>
      </c>
      <c r="B78" t="s">
        <v>7401</v>
      </c>
      <c r="C78" t="s">
        <v>7401</v>
      </c>
      <c r="D78" t="s">
        <v>7187</v>
      </c>
      <c r="E78" t="s">
        <v>7424</v>
      </c>
      <c r="F78" t="s">
        <v>6966</v>
      </c>
      <c r="G78" t="s">
        <v>7404</v>
      </c>
      <c r="H78" t="s">
        <v>7425</v>
      </c>
      <c r="I78" t="s">
        <v>7426</v>
      </c>
      <c r="K78">
        <v>87.5</v>
      </c>
      <c r="L78" t="s">
        <v>7427</v>
      </c>
      <c r="M78" s="42">
        <v>0.88</v>
      </c>
      <c r="N78" s="42">
        <v>0.4</v>
      </c>
      <c r="O78">
        <v>0.88</v>
      </c>
      <c r="P78" s="42">
        <v>0.841</v>
      </c>
      <c r="Q78">
        <v>0.84</v>
      </c>
      <c r="R78">
        <v>3234.5</v>
      </c>
      <c r="S78">
        <v>3234.5</v>
      </c>
      <c r="T78">
        <v>3000</v>
      </c>
      <c r="U78" t="s">
        <v>7428</v>
      </c>
      <c r="X78">
        <v>80</v>
      </c>
      <c r="Y78" t="s">
        <v>7429</v>
      </c>
      <c r="Z78" s="42">
        <v>0.8</v>
      </c>
      <c r="AA78" s="42">
        <v>0.4</v>
      </c>
      <c r="AB78">
        <v>32</v>
      </c>
    </row>
    <row r="79">
      <c r="A79" t="s">
        <v>7430</v>
      </c>
      <c r="B79" t="s">
        <v>7401</v>
      </c>
      <c r="C79" t="s">
        <v>7401</v>
      </c>
      <c r="D79" t="s">
        <v>7187</v>
      </c>
      <c r="E79" t="s">
        <v>7431</v>
      </c>
      <c r="F79" t="s">
        <v>6966</v>
      </c>
      <c r="G79" t="s">
        <v>7404</v>
      </c>
      <c r="H79" t="s">
        <v>7417</v>
      </c>
      <c r="I79" t="s">
        <v>7432</v>
      </c>
      <c r="K79" s="43">
        <v>1</v>
      </c>
      <c r="L79" t="s">
        <v>7433</v>
      </c>
      <c r="M79" s="42">
        <v>1</v>
      </c>
      <c r="N79" s="42">
        <v>0.3</v>
      </c>
      <c r="O79">
        <v>1</v>
      </c>
      <c r="P79" s="42">
        <v>0.84</v>
      </c>
      <c r="Q79">
        <v>0.84</v>
      </c>
      <c r="R79">
        <v>3350.9</v>
      </c>
      <c r="S79">
        <v>3350.9</v>
      </c>
      <c r="T79">
        <v>3000</v>
      </c>
      <c r="U79" t="s">
        <v>7420</v>
      </c>
      <c r="V79" t="s">
        <v>7421</v>
      </c>
      <c r="X79" s="43">
        <v>1</v>
      </c>
      <c r="Y79" t="s">
        <v>7434</v>
      </c>
      <c r="Z79" s="42">
        <v>1</v>
      </c>
      <c r="AA79" s="42">
        <v>0.8</v>
      </c>
      <c r="AB79">
        <v>80</v>
      </c>
    </row>
    <row r="80">
      <c r="A80" t="s">
        <v>7435</v>
      </c>
      <c r="B80" t="s">
        <v>7401</v>
      </c>
      <c r="C80" t="s">
        <v>7401</v>
      </c>
      <c r="D80" t="s">
        <v>7436</v>
      </c>
      <c r="E80" t="s">
        <v>7437</v>
      </c>
      <c r="F80" t="s">
        <v>6966</v>
      </c>
      <c r="G80" t="s">
        <v>7438</v>
      </c>
      <c r="H80" t="s">
        <v>7439</v>
      </c>
      <c r="I80" t="s">
        <v>7440</v>
      </c>
      <c r="J80" s="43">
        <v>0.3</v>
      </c>
      <c r="K80" s="43">
        <v>1</v>
      </c>
      <c r="L80" t="s">
        <v>7441</v>
      </c>
      <c r="M80" s="42">
        <v>1</v>
      </c>
      <c r="N80" s="42">
        <v>0.3</v>
      </c>
      <c r="O80">
        <v>100</v>
      </c>
      <c r="P80" s="42">
        <v>0.888</v>
      </c>
      <c r="Q80">
        <v>88.8</v>
      </c>
      <c r="R80">
        <v>852.5</v>
      </c>
      <c r="S80">
        <v>852.5</v>
      </c>
      <c r="T80">
        <v>1200</v>
      </c>
      <c r="U80" t="s">
        <v>7442</v>
      </c>
      <c r="X80">
        <v>100</v>
      </c>
      <c r="Y80" t="s">
        <v>7443</v>
      </c>
      <c r="Z80" s="42">
        <v>1</v>
      </c>
      <c r="AA80" s="42">
        <v>0.4</v>
      </c>
      <c r="AB80">
        <v>100</v>
      </c>
    </row>
    <row r="81">
      <c r="A81" t="s">
        <v>7444</v>
      </c>
      <c r="B81" t="s">
        <v>7401</v>
      </c>
      <c r="C81" t="s">
        <v>7401</v>
      </c>
      <c r="D81" t="s">
        <v>7436</v>
      </c>
      <c r="E81" t="s">
        <v>7445</v>
      </c>
      <c r="F81" t="s">
        <v>6966</v>
      </c>
      <c r="G81" t="s">
        <v>7438</v>
      </c>
      <c r="H81" t="s">
        <v>7439</v>
      </c>
      <c r="I81" t="s">
        <v>7446</v>
      </c>
      <c r="J81" s="43">
        <v>0.3</v>
      </c>
      <c r="K81" s="43">
        <v>0.3</v>
      </c>
      <c r="L81" t="s">
        <v>7447</v>
      </c>
      <c r="M81" s="42">
        <v>1</v>
      </c>
      <c r="N81" s="42">
        <v>0.3</v>
      </c>
      <c r="O81">
        <v>1</v>
      </c>
      <c r="P81" s="42">
        <v>0.9825</v>
      </c>
      <c r="Q81">
        <v>0.98</v>
      </c>
      <c r="R81">
        <v>1482.2</v>
      </c>
      <c r="S81">
        <v>1482.2</v>
      </c>
      <c r="T81">
        <v>1500</v>
      </c>
      <c r="U81" t="s">
        <v>7442</v>
      </c>
      <c r="W81" s="43">
        <v>0.4</v>
      </c>
      <c r="X81">
        <v>40</v>
      </c>
      <c r="Y81" t="s">
        <v>7448</v>
      </c>
      <c r="Z81" s="42">
        <v>0.4</v>
      </c>
      <c r="AA81" s="42">
        <v>0.4</v>
      </c>
      <c r="AB81">
        <v>100</v>
      </c>
    </row>
    <row r="82">
      <c r="A82" t="s">
        <v>7449</v>
      </c>
      <c r="B82" t="s">
        <v>7450</v>
      </c>
      <c r="C82" t="s">
        <v>7450</v>
      </c>
      <c r="D82" t="s">
        <v>7451</v>
      </c>
      <c r="E82" t="s">
        <v>7452</v>
      </c>
      <c r="F82" t="s">
        <v>6966</v>
      </c>
      <c r="G82" t="s">
        <v>7453</v>
      </c>
      <c r="H82" t="s">
        <v>7454</v>
      </c>
      <c r="I82" t="s">
        <v>7455</v>
      </c>
      <c r="K82" s="42">
        <v>0.975</v>
      </c>
      <c r="L82" t="s">
        <v>7456</v>
      </c>
      <c r="M82" s="42">
        <v>1</v>
      </c>
      <c r="N82" s="42">
        <v>0.8</v>
      </c>
      <c r="O82">
        <v>80</v>
      </c>
      <c r="P82" s="42">
        <v>0.96</v>
      </c>
      <c r="Q82">
        <v>0.96</v>
      </c>
      <c r="R82">
        <v>0</v>
      </c>
      <c r="S82">
        <v>0</v>
      </c>
      <c r="T82">
        <v>0</v>
      </c>
      <c r="U82" t="s">
        <v>7457</v>
      </c>
      <c r="W82" s="43">
        <v>0.6</v>
      </c>
      <c r="X82">
        <v>60</v>
      </c>
      <c r="Y82" t="s">
        <v>7448</v>
      </c>
      <c r="Z82" s="42">
        <v>0.6</v>
      </c>
      <c r="AA82" s="42">
        <v>0.6</v>
      </c>
      <c r="AB82">
        <v>100</v>
      </c>
    </row>
    <row r="83">
      <c r="A83" t="s">
        <v>7458</v>
      </c>
      <c r="B83" t="s">
        <v>7459</v>
      </c>
      <c r="C83" t="s">
        <v>7459</v>
      </c>
      <c r="D83" t="s">
        <v>7271</v>
      </c>
      <c r="E83" t="s">
        <v>7460</v>
      </c>
      <c r="F83" t="s">
        <v>6966</v>
      </c>
      <c r="G83" t="s">
        <v>7461</v>
      </c>
      <c r="H83" t="s">
        <v>7462</v>
      </c>
      <c r="I83" t="s">
        <v>7463</v>
      </c>
      <c r="J83" t="s">
        <v>7464</v>
      </c>
      <c r="K83" t="s">
        <v>7465</v>
      </c>
      <c r="L83" t="s">
        <v>7456</v>
      </c>
      <c r="M83" s="42">
        <v>0.215618</v>
      </c>
      <c r="N83" s="42">
        <v>0.25</v>
      </c>
      <c r="O83">
        <v>0.2156</v>
      </c>
      <c r="P83" s="42">
        <v>0.373905</v>
      </c>
      <c r="Q83">
        <v>0.37</v>
      </c>
      <c r="R83">
        <v>3534.14</v>
      </c>
      <c r="S83">
        <v>3534.14</v>
      </c>
      <c r="T83">
        <v>5000</v>
      </c>
      <c r="U83" t="s">
        <v>7457</v>
      </c>
      <c r="W83" s="43">
        <v>0.6</v>
      </c>
      <c r="X83">
        <v>60</v>
      </c>
      <c r="Y83" t="s">
        <v>7448</v>
      </c>
      <c r="Z83" s="42">
        <v>0.6</v>
      </c>
      <c r="AA83" s="42">
        <v>0.6</v>
      </c>
      <c r="AB83">
        <v>100</v>
      </c>
    </row>
    <row r="84">
      <c r="A84" t="s">
        <v>7466</v>
      </c>
      <c r="B84" t="s">
        <v>7459</v>
      </c>
      <c r="C84" t="s">
        <v>7459</v>
      </c>
      <c r="D84" t="s">
        <v>7271</v>
      </c>
      <c r="E84" t="s">
        <v>7467</v>
      </c>
      <c r="F84" t="s">
        <v>6966</v>
      </c>
      <c r="G84" t="s">
        <v>7461</v>
      </c>
      <c r="H84" t="s">
        <v>7462</v>
      </c>
      <c r="I84" t="s">
        <v>7468</v>
      </c>
      <c r="J84" t="s">
        <v>7469</v>
      </c>
      <c r="K84" t="s">
        <v>7470</v>
      </c>
      <c r="L84" t="s">
        <v>7456</v>
      </c>
      <c r="M84" s="42">
        <v>0.248752</v>
      </c>
      <c r="N84" s="42">
        <v>0.25</v>
      </c>
      <c r="O84">
        <v>0.2488</v>
      </c>
      <c r="P84" s="42">
        <v>0.118188</v>
      </c>
      <c r="Q84">
        <v>0.12</v>
      </c>
      <c r="R84">
        <v>2208.84</v>
      </c>
      <c r="S84">
        <v>2208.84</v>
      </c>
      <c r="T84">
        <v>5000</v>
      </c>
      <c r="U84" t="s">
        <v>7457</v>
      </c>
      <c r="W84" s="43">
        <v>0.6</v>
      </c>
      <c r="X84">
        <v>60</v>
      </c>
      <c r="Y84" t="s">
        <v>7448</v>
      </c>
      <c r="Z84" s="42">
        <v>0.6</v>
      </c>
      <c r="AA84" s="42">
        <v>0.6</v>
      </c>
      <c r="AB84">
        <v>100</v>
      </c>
    </row>
    <row r="85">
      <c r="A85" t="s">
        <v>7471</v>
      </c>
      <c r="B85" t="s">
        <v>7459</v>
      </c>
      <c r="C85" t="s">
        <v>7459</v>
      </c>
      <c r="D85" t="s">
        <v>7000</v>
      </c>
      <c r="E85" t="s">
        <v>7472</v>
      </c>
      <c r="F85" t="s">
        <v>6966</v>
      </c>
      <c r="G85" t="s">
        <v>7461</v>
      </c>
      <c r="H85" t="s">
        <v>7462</v>
      </c>
      <c r="I85" t="s">
        <v>7473</v>
      </c>
      <c r="J85" t="s">
        <v>7474</v>
      </c>
      <c r="K85" t="s">
        <v>7475</v>
      </c>
      <c r="L85" t="s">
        <v>7456</v>
      </c>
      <c r="M85" s="42">
        <v>1.125533</v>
      </c>
      <c r="N85" s="42">
        <v>0.25</v>
      </c>
      <c r="O85">
        <v>1.1255</v>
      </c>
      <c r="P85" s="42">
        <v>1.620468</v>
      </c>
      <c r="Q85">
        <v>0.97</v>
      </c>
      <c r="R85">
        <v>7068.27</v>
      </c>
      <c r="S85">
        <v>7068.27</v>
      </c>
      <c r="T85">
        <v>5000</v>
      </c>
      <c r="U85" t="s">
        <v>7457</v>
      </c>
      <c r="W85" s="43">
        <v>0.6</v>
      </c>
      <c r="X85">
        <v>60</v>
      </c>
      <c r="Y85" t="s">
        <v>7448</v>
      </c>
      <c r="Z85" s="42">
        <v>0.6</v>
      </c>
      <c r="AA85" s="42">
        <v>0.6</v>
      </c>
      <c r="AB85">
        <v>100</v>
      </c>
    </row>
    <row r="86">
      <c r="A86" t="s">
        <v>7476</v>
      </c>
      <c r="B86" t="s">
        <v>7459</v>
      </c>
      <c r="C86" t="s">
        <v>7459</v>
      </c>
      <c r="D86" t="s">
        <v>7477</v>
      </c>
      <c r="E86" t="s">
        <v>7478</v>
      </c>
      <c r="F86" t="s">
        <v>6966</v>
      </c>
      <c r="G86" t="s">
        <v>7461</v>
      </c>
      <c r="H86" t="s">
        <v>7462</v>
      </c>
      <c r="I86" t="s">
        <v>7479</v>
      </c>
      <c r="J86" t="s">
        <v>7480</v>
      </c>
      <c r="K86" t="s">
        <v>7481</v>
      </c>
      <c r="L86" t="s">
        <v>7456</v>
      </c>
      <c r="M86" s="42">
        <v>0.80012</v>
      </c>
      <c r="N86" s="42">
        <v>0.25</v>
      </c>
      <c r="O86">
        <v>0.8001</v>
      </c>
      <c r="P86" s="42">
        <v>1.08337</v>
      </c>
      <c r="Q86">
        <v>1.06</v>
      </c>
      <c r="R86">
        <v>3887.55</v>
      </c>
      <c r="S86">
        <v>3887.55</v>
      </c>
      <c r="T86">
        <v>2000</v>
      </c>
      <c r="U86" t="s">
        <v>7457</v>
      </c>
      <c r="W86" s="43">
        <v>0.6</v>
      </c>
      <c r="X86">
        <v>60</v>
      </c>
      <c r="Y86" t="s">
        <v>7448</v>
      </c>
      <c r="Z86" s="42">
        <v>0.6</v>
      </c>
      <c r="AA86" s="42">
        <v>0.6</v>
      </c>
      <c r="AB86">
        <v>100</v>
      </c>
    </row>
    <row r="87">
      <c r="A87" t="s">
        <v>7482</v>
      </c>
      <c r="B87" t="s">
        <v>7459</v>
      </c>
      <c r="C87" t="s">
        <v>7459</v>
      </c>
      <c r="D87" t="s">
        <v>7271</v>
      </c>
      <c r="E87" t="s">
        <v>7483</v>
      </c>
      <c r="F87" t="s">
        <v>6966</v>
      </c>
      <c r="G87" t="s">
        <v>7461</v>
      </c>
      <c r="H87" t="s">
        <v>7462</v>
      </c>
      <c r="I87" t="s">
        <v>7484</v>
      </c>
      <c r="J87" t="s">
        <v>7469</v>
      </c>
      <c r="K87" t="s">
        <v>7485</v>
      </c>
      <c r="L87" t="s">
        <v>7456</v>
      </c>
      <c r="M87" s="42">
        <v>0.651566</v>
      </c>
      <c r="N87" s="42">
        <v>0.25</v>
      </c>
      <c r="O87">
        <v>0.6516</v>
      </c>
      <c r="P87" s="42">
        <v>0.62279</v>
      </c>
      <c r="Q87">
        <v>0.62</v>
      </c>
      <c r="R87">
        <v>5301.2</v>
      </c>
      <c r="S87">
        <v>5301.2</v>
      </c>
      <c r="T87">
        <v>5000</v>
      </c>
      <c r="U87" t="s">
        <v>7457</v>
      </c>
      <c r="W87" s="43">
        <v>0.6</v>
      </c>
      <c r="X87">
        <v>60</v>
      </c>
      <c r="Y87" t="s">
        <v>7448</v>
      </c>
      <c r="Z87" s="42">
        <v>0.6</v>
      </c>
      <c r="AA87" s="42">
        <v>0.6</v>
      </c>
      <c r="AB87">
        <v>100</v>
      </c>
    </row>
    <row r="88">
      <c r="A88" t="s">
        <v>7486</v>
      </c>
      <c r="B88" t="s">
        <v>7459</v>
      </c>
      <c r="C88" t="s">
        <v>7459</v>
      </c>
      <c r="D88" t="s">
        <v>7000</v>
      </c>
      <c r="E88" t="s">
        <v>7487</v>
      </c>
      <c r="F88" t="s">
        <v>6966</v>
      </c>
      <c r="G88" t="s">
        <v>7461</v>
      </c>
      <c r="H88" t="s">
        <v>7462</v>
      </c>
      <c r="I88" t="s">
        <v>7463</v>
      </c>
      <c r="J88" t="s">
        <v>7488</v>
      </c>
      <c r="K88" t="s">
        <v>7489</v>
      </c>
      <c r="L88" t="s">
        <v>7456</v>
      </c>
      <c r="M88" s="42">
        <v>0.67238</v>
      </c>
      <c r="N88" s="42">
        <v>0.25</v>
      </c>
      <c r="O88">
        <v>0.6724</v>
      </c>
      <c r="P88" s="42">
        <v>0.408095</v>
      </c>
      <c r="Q88">
        <v>0.41</v>
      </c>
      <c r="R88">
        <v>0</v>
      </c>
      <c r="S88">
        <v>0</v>
      </c>
      <c r="T88">
        <v>5000</v>
      </c>
      <c r="U88" t="s">
        <v>7457</v>
      </c>
      <c r="W88" s="43">
        <v>0.6</v>
      </c>
      <c r="X88">
        <v>60</v>
      </c>
      <c r="Y88" t="s">
        <v>7448</v>
      </c>
      <c r="Z88" s="42">
        <v>0.6</v>
      </c>
      <c r="AA88" s="42">
        <v>0.6</v>
      </c>
      <c r="AB88">
        <v>100</v>
      </c>
    </row>
    <row r="89">
      <c r="A89" t="s">
        <v>7490</v>
      </c>
      <c r="B89" t="s">
        <v>7459</v>
      </c>
      <c r="C89" t="s">
        <v>7459</v>
      </c>
      <c r="D89" t="s">
        <v>7477</v>
      </c>
      <c r="E89" t="s">
        <v>7491</v>
      </c>
      <c r="F89" t="s">
        <v>6966</v>
      </c>
      <c r="G89" t="s">
        <v>7461</v>
      </c>
      <c r="H89" t="s">
        <v>7462</v>
      </c>
      <c r="I89" t="s">
        <v>7492</v>
      </c>
      <c r="J89" t="s">
        <v>7493</v>
      </c>
      <c r="K89" t="s">
        <v>7494</v>
      </c>
      <c r="L89" t="s">
        <v>7456</v>
      </c>
      <c r="M89" s="42">
        <v>0.504753</v>
      </c>
      <c r="N89" s="42">
        <v>0.25</v>
      </c>
      <c r="O89">
        <v>0.5048</v>
      </c>
      <c r="P89" s="42">
        <v>0.286188</v>
      </c>
      <c r="Q89">
        <v>0.29</v>
      </c>
      <c r="R89">
        <v>0</v>
      </c>
      <c r="S89">
        <v>0</v>
      </c>
      <c r="T89">
        <v>2000</v>
      </c>
      <c r="U89" t="s">
        <v>7457</v>
      </c>
      <c r="W89" s="43">
        <v>0.6</v>
      </c>
      <c r="X89">
        <v>60</v>
      </c>
      <c r="Y89" t="s">
        <v>7448</v>
      </c>
      <c r="Z89" s="42">
        <v>0.6</v>
      </c>
      <c r="AA89" s="42">
        <v>0.6</v>
      </c>
      <c r="AB89">
        <v>100</v>
      </c>
    </row>
    <row r="90">
      <c r="A90" t="s">
        <v>7495</v>
      </c>
      <c r="B90" t="s">
        <v>7459</v>
      </c>
      <c r="C90" t="s">
        <v>7459</v>
      </c>
      <c r="D90" t="s">
        <v>7477</v>
      </c>
      <c r="E90" t="s">
        <v>7496</v>
      </c>
      <c r="F90" t="s">
        <v>6966</v>
      </c>
      <c r="G90" t="s">
        <v>7497</v>
      </c>
      <c r="H90" t="s">
        <v>7498</v>
      </c>
      <c r="I90" t="s">
        <v>7499</v>
      </c>
      <c r="J90" t="s">
        <v>7500</v>
      </c>
      <c r="K90" t="s">
        <v>7501</v>
      </c>
      <c r="L90" t="s">
        <v>7456</v>
      </c>
      <c r="M90" s="42">
        <v>1.159325</v>
      </c>
      <c r="N90" s="42">
        <v>0.35</v>
      </c>
      <c r="O90">
        <v>1.1593</v>
      </c>
      <c r="P90" s="42">
        <v>1.282671</v>
      </c>
      <c r="Q90">
        <v>1.38</v>
      </c>
      <c r="R90">
        <v>2400</v>
      </c>
      <c r="S90">
        <v>2400</v>
      </c>
      <c r="T90">
        <v>2000</v>
      </c>
      <c r="U90" t="s">
        <v>7457</v>
      </c>
      <c r="W90" s="43">
        <v>0.6</v>
      </c>
      <c r="X90">
        <v>60</v>
      </c>
      <c r="Y90" t="s">
        <v>7448</v>
      </c>
      <c r="Z90" s="42">
        <v>0.6</v>
      </c>
      <c r="AA90" s="42">
        <v>0.6</v>
      </c>
      <c r="AB90">
        <v>100</v>
      </c>
    </row>
    <row r="91">
      <c r="A91" t="s">
        <v>7502</v>
      </c>
      <c r="B91" t="s">
        <v>7459</v>
      </c>
      <c r="C91" t="s">
        <v>7459</v>
      </c>
      <c r="D91" t="s">
        <v>7477</v>
      </c>
      <c r="E91" t="s">
        <v>7503</v>
      </c>
      <c r="F91" t="s">
        <v>6966</v>
      </c>
      <c r="G91" t="s">
        <v>7497</v>
      </c>
      <c r="H91" t="s">
        <v>7498</v>
      </c>
      <c r="I91" t="s">
        <v>7504</v>
      </c>
      <c r="J91" t="s">
        <v>7505</v>
      </c>
      <c r="K91" t="s">
        <v>7506</v>
      </c>
      <c r="L91" t="s">
        <v>7456</v>
      </c>
      <c r="M91" s="42">
        <v>0.899531</v>
      </c>
      <c r="N91" s="42">
        <v>0.35</v>
      </c>
      <c r="O91">
        <v>0.8995</v>
      </c>
      <c r="P91" s="42">
        <v>0.850534</v>
      </c>
      <c r="Q91">
        <v>0.85</v>
      </c>
      <c r="R91">
        <v>0</v>
      </c>
      <c r="S91">
        <v>0</v>
      </c>
      <c r="T91">
        <v>2000</v>
      </c>
      <c r="U91" t="s">
        <v>7457</v>
      </c>
      <c r="W91" s="43">
        <v>0.6</v>
      </c>
      <c r="X91">
        <v>60</v>
      </c>
      <c r="Y91" t="s">
        <v>7448</v>
      </c>
      <c r="Z91" s="42">
        <v>0.6</v>
      </c>
      <c r="AA91" s="42">
        <v>0.6</v>
      </c>
      <c r="AB91">
        <v>100</v>
      </c>
    </row>
    <row r="92">
      <c r="A92" t="s">
        <v>7507</v>
      </c>
      <c r="B92" t="s">
        <v>7459</v>
      </c>
      <c r="C92" t="s">
        <v>7459</v>
      </c>
      <c r="D92" t="s">
        <v>7000</v>
      </c>
      <c r="E92" t="s">
        <v>7508</v>
      </c>
      <c r="F92" t="s">
        <v>6966</v>
      </c>
      <c r="G92" t="s">
        <v>7509</v>
      </c>
      <c r="H92" t="s">
        <v>7510</v>
      </c>
      <c r="I92" t="s">
        <v>7473</v>
      </c>
      <c r="J92" t="s">
        <v>7511</v>
      </c>
      <c r="K92" t="s">
        <v>7512</v>
      </c>
      <c r="L92" t="s">
        <v>7456</v>
      </c>
      <c r="M92" s="42">
        <v>0.912579</v>
      </c>
      <c r="N92" s="42">
        <v>0.3</v>
      </c>
      <c r="O92">
        <v>0.9126</v>
      </c>
      <c r="P92" s="42">
        <v>0.813489</v>
      </c>
      <c r="Q92">
        <v>0.81</v>
      </c>
      <c r="R92">
        <v>8000</v>
      </c>
      <c r="S92">
        <v>8000</v>
      </c>
      <c r="T92">
        <v>5000</v>
      </c>
      <c r="U92" t="s">
        <v>7457</v>
      </c>
      <c r="W92" s="43">
        <v>0.6</v>
      </c>
      <c r="X92">
        <v>60</v>
      </c>
      <c r="Y92" t="s">
        <v>7448</v>
      </c>
      <c r="Z92" s="42">
        <v>0.6</v>
      </c>
      <c r="AA92" s="42">
        <v>0.6</v>
      </c>
      <c r="AB92">
        <v>100</v>
      </c>
    </row>
    <row r="93">
      <c r="A93" t="s">
        <v>7513</v>
      </c>
      <c r="B93" t="s">
        <v>7459</v>
      </c>
      <c r="C93" t="s">
        <v>7459</v>
      </c>
      <c r="D93" t="s">
        <v>7000</v>
      </c>
      <c r="E93" t="s">
        <v>7514</v>
      </c>
      <c r="F93" t="s">
        <v>6966</v>
      </c>
      <c r="G93" t="s">
        <v>7509</v>
      </c>
      <c r="H93" t="s">
        <v>7510</v>
      </c>
      <c r="I93" t="s">
        <v>7515</v>
      </c>
      <c r="J93" t="s">
        <v>7516</v>
      </c>
      <c r="K93" t="s">
        <v>7517</v>
      </c>
      <c r="L93" t="s">
        <v>7456</v>
      </c>
      <c r="M93" s="42">
        <v>1.057181</v>
      </c>
      <c r="N93" s="42">
        <v>0.3</v>
      </c>
      <c r="O93">
        <v>1.0572</v>
      </c>
      <c r="P93" s="42">
        <v>0.651226</v>
      </c>
      <c r="Q93">
        <v>0.65</v>
      </c>
      <c r="R93">
        <v>2000</v>
      </c>
      <c r="S93">
        <v>2000</v>
      </c>
      <c r="T93">
        <v>5000</v>
      </c>
      <c r="U93" t="s">
        <v>7457</v>
      </c>
      <c r="W93" s="43">
        <v>0.6</v>
      </c>
      <c r="X93">
        <v>60</v>
      </c>
      <c r="Y93" t="s">
        <v>7448</v>
      </c>
      <c r="Z93" s="42">
        <v>0.6</v>
      </c>
      <c r="AA93" s="42">
        <v>0.6</v>
      </c>
      <c r="AB93">
        <v>100</v>
      </c>
    </row>
    <row r="94">
      <c r="A94" t="s">
        <v>7518</v>
      </c>
      <c r="B94" t="s">
        <v>7459</v>
      </c>
      <c r="C94" t="s">
        <v>7459</v>
      </c>
      <c r="D94" t="s">
        <v>7000</v>
      </c>
      <c r="E94" t="s">
        <v>7519</v>
      </c>
      <c r="F94" t="s">
        <v>6966</v>
      </c>
      <c r="G94" t="s">
        <v>7509</v>
      </c>
      <c r="H94" t="s">
        <v>7510</v>
      </c>
      <c r="I94" t="s">
        <v>7520</v>
      </c>
      <c r="J94" t="s">
        <v>7521</v>
      </c>
      <c r="K94" t="s">
        <v>7522</v>
      </c>
      <c r="L94" t="s">
        <v>7456</v>
      </c>
      <c r="M94" s="42">
        <v>0.703642</v>
      </c>
      <c r="N94" s="42">
        <v>0.3</v>
      </c>
      <c r="O94">
        <v>0.7036</v>
      </c>
      <c r="P94" s="42">
        <v>0.671785</v>
      </c>
      <c r="Q94">
        <v>0.66</v>
      </c>
      <c r="R94">
        <v>5000</v>
      </c>
      <c r="S94">
        <v>5000</v>
      </c>
      <c r="T94">
        <v>5000</v>
      </c>
      <c r="U94" t="s">
        <v>7457</v>
      </c>
      <c r="W94" s="43">
        <v>0.6</v>
      </c>
      <c r="X94">
        <v>60</v>
      </c>
      <c r="Y94" t="s">
        <v>7448</v>
      </c>
      <c r="Z94" s="42">
        <v>0.6</v>
      </c>
      <c r="AA94" s="42">
        <v>0.6</v>
      </c>
      <c r="AB94">
        <v>100</v>
      </c>
    </row>
    <row r="95">
      <c r="A95" t="s">
        <v>7523</v>
      </c>
      <c r="B95" t="s">
        <v>7524</v>
      </c>
      <c r="C95" t="s">
        <v>7524</v>
      </c>
      <c r="D95" t="s">
        <v>7525</v>
      </c>
      <c r="E95" t="s">
        <v>7526</v>
      </c>
      <c r="F95" t="s">
        <v>6966</v>
      </c>
      <c r="G95" t="s">
        <v>7527</v>
      </c>
      <c r="H95" t="s">
        <v>7528</v>
      </c>
      <c r="I95" t="s">
        <v>7529</v>
      </c>
      <c r="L95" t="s">
        <v>7456</v>
      </c>
      <c r="M95" s="42">
        <v>1</v>
      </c>
      <c r="N95" s="42">
        <v>0.4</v>
      </c>
      <c r="O95">
        <v>1</v>
      </c>
      <c r="P95" s="42">
        <v>0.7505</v>
      </c>
      <c r="Q95">
        <v>0.8</v>
      </c>
      <c r="R95">
        <v>4000</v>
      </c>
      <c r="S95">
        <v>4000</v>
      </c>
      <c r="T95">
        <v>5000</v>
      </c>
      <c r="U95" t="s">
        <v>7457</v>
      </c>
      <c r="W95" s="43">
        <v>0.6</v>
      </c>
      <c r="X95">
        <v>60</v>
      </c>
      <c r="Y95" t="s">
        <v>7448</v>
      </c>
      <c r="Z95" s="42">
        <v>0.6</v>
      </c>
      <c r="AA95" s="42">
        <v>0.6</v>
      </c>
      <c r="AB95">
        <v>100</v>
      </c>
    </row>
    <row r="96">
      <c r="A96" t="s">
        <v>7530</v>
      </c>
      <c r="B96" t="s">
        <v>7524</v>
      </c>
      <c r="C96" t="s">
        <v>7524</v>
      </c>
      <c r="D96" t="s">
        <v>7531</v>
      </c>
      <c r="E96" t="s">
        <v>7532</v>
      </c>
      <c r="F96" t="s">
        <v>6966</v>
      </c>
      <c r="G96" t="s">
        <v>7533</v>
      </c>
      <c r="H96" t="s">
        <v>7534</v>
      </c>
      <c r="I96" t="s">
        <v>7535</v>
      </c>
      <c r="J96" t="s">
        <v>7536</v>
      </c>
      <c r="K96" t="s">
        <v>7537</v>
      </c>
      <c r="L96" t="s">
        <v>7538</v>
      </c>
      <c r="M96" s="42">
        <v>0.94</v>
      </c>
      <c r="N96" s="42">
        <v>0.3</v>
      </c>
      <c r="O96">
        <v>0.94</v>
      </c>
      <c r="P96" s="42">
        <v>0.9584</v>
      </c>
      <c r="Q96">
        <v>1.02</v>
      </c>
      <c r="R96">
        <v>5020</v>
      </c>
      <c r="S96">
        <v>5020</v>
      </c>
      <c r="T96">
        <v>5000</v>
      </c>
      <c r="U96" t="s">
        <v>7457</v>
      </c>
      <c r="W96" s="43">
        <v>0.6</v>
      </c>
      <c r="X96">
        <v>60</v>
      </c>
      <c r="Y96" t="s">
        <v>7448</v>
      </c>
      <c r="Z96" s="42">
        <v>0.6</v>
      </c>
      <c r="AA96" s="42">
        <v>0.6</v>
      </c>
      <c r="AB96">
        <v>100</v>
      </c>
    </row>
    <row r="97">
      <c r="A97" t="s">
        <v>7539</v>
      </c>
      <c r="B97" t="s">
        <v>7524</v>
      </c>
      <c r="C97" t="s">
        <v>7524</v>
      </c>
      <c r="D97" t="s">
        <v>7540</v>
      </c>
      <c r="E97" t="s">
        <v>7541</v>
      </c>
      <c r="F97" t="s">
        <v>6966</v>
      </c>
      <c r="G97" t="s">
        <v>7533</v>
      </c>
      <c r="H97" t="s">
        <v>7542</v>
      </c>
      <c r="I97" t="s">
        <v>7543</v>
      </c>
      <c r="J97" s="43">
        <v>1</v>
      </c>
      <c r="K97" s="43">
        <v>1</v>
      </c>
      <c r="L97" t="s">
        <v>7040</v>
      </c>
      <c r="M97" s="42">
        <v>1</v>
      </c>
      <c r="N97" s="42">
        <v>0.1</v>
      </c>
      <c r="O97">
        <v>1</v>
      </c>
      <c r="P97" s="42">
        <v>0.62425</v>
      </c>
      <c r="Q97">
        <v>0.61</v>
      </c>
      <c r="R97">
        <v>4610</v>
      </c>
      <c r="S97">
        <v>4610</v>
      </c>
      <c r="T97">
        <v>5000</v>
      </c>
      <c r="U97" t="s">
        <v>7457</v>
      </c>
      <c r="W97" s="43">
        <v>0.6</v>
      </c>
      <c r="X97">
        <v>60</v>
      </c>
      <c r="Y97" t="s">
        <v>7448</v>
      </c>
      <c r="Z97" s="42">
        <v>0.6</v>
      </c>
      <c r="AA97" s="42">
        <v>0.6</v>
      </c>
      <c r="AB97">
        <v>100</v>
      </c>
    </row>
    <row r="98">
      <c r="A98" t="s">
        <v>7544</v>
      </c>
      <c r="B98" t="s">
        <v>7524</v>
      </c>
      <c r="C98" t="s">
        <v>7524</v>
      </c>
      <c r="D98" t="s">
        <v>7540</v>
      </c>
      <c r="E98" t="s">
        <v>7545</v>
      </c>
      <c r="F98" t="s">
        <v>6966</v>
      </c>
      <c r="G98" t="s">
        <v>7533</v>
      </c>
      <c r="H98" t="s">
        <v>7546</v>
      </c>
      <c r="I98" t="s">
        <v>7547</v>
      </c>
      <c r="J98" t="s">
        <v>7548</v>
      </c>
      <c r="K98" t="s">
        <v>7548</v>
      </c>
      <c r="L98" t="s">
        <v>7549</v>
      </c>
      <c r="M98" s="42">
        <v>1</v>
      </c>
      <c r="N98" s="42">
        <v>0.5</v>
      </c>
      <c r="O98">
        <v>1</v>
      </c>
      <c r="P98" s="42">
        <v>1</v>
      </c>
      <c r="Q98">
        <v>1</v>
      </c>
      <c r="R98">
        <v>5000</v>
      </c>
      <c r="S98">
        <v>5000</v>
      </c>
      <c r="T98">
        <v>5000</v>
      </c>
      <c r="U98" t="s">
        <v>7457</v>
      </c>
      <c r="W98" s="43">
        <v>0.6</v>
      </c>
      <c r="X98">
        <v>60</v>
      </c>
      <c r="Y98" t="s">
        <v>7448</v>
      </c>
      <c r="Z98" s="42">
        <v>0.6</v>
      </c>
      <c r="AA98" s="42">
        <v>0.6</v>
      </c>
      <c r="AB98">
        <v>100</v>
      </c>
    </row>
    <row r="99">
      <c r="A99" t="s">
        <v>7550</v>
      </c>
      <c r="B99" t="s">
        <v>7524</v>
      </c>
      <c r="C99" t="s">
        <v>7524</v>
      </c>
      <c r="D99" t="s">
        <v>7551</v>
      </c>
      <c r="E99" t="s">
        <v>7552</v>
      </c>
      <c r="F99" t="s">
        <v>6966</v>
      </c>
      <c r="G99" t="s">
        <v>7533</v>
      </c>
      <c r="H99" t="s">
        <v>7553</v>
      </c>
      <c r="I99" t="s">
        <v>7554</v>
      </c>
      <c r="J99" s="43">
        <v>1</v>
      </c>
      <c r="L99" t="s">
        <v>7555</v>
      </c>
      <c r="M99" s="42">
        <v>0.5</v>
      </c>
      <c r="N99" s="42">
        <v>0.25</v>
      </c>
      <c r="O99">
        <v>0.4</v>
      </c>
      <c r="P99" s="42">
        <v>0.877</v>
      </c>
      <c r="Q99">
        <v>0.94</v>
      </c>
      <c r="R99">
        <v>10820</v>
      </c>
      <c r="S99">
        <v>10820</v>
      </c>
      <c r="T99">
        <v>11000</v>
      </c>
      <c r="U99" t="s">
        <v>7457</v>
      </c>
      <c r="W99" s="43">
        <v>0.6</v>
      </c>
      <c r="X99">
        <v>60</v>
      </c>
      <c r="Y99" t="s">
        <v>7448</v>
      </c>
      <c r="Z99" s="42">
        <v>0.6</v>
      </c>
      <c r="AA99" s="42">
        <v>0.6</v>
      </c>
      <c r="AB99">
        <v>100</v>
      </c>
    </row>
    <row r="100">
      <c r="A100" t="s">
        <v>7556</v>
      </c>
      <c r="B100" t="s">
        <v>7524</v>
      </c>
      <c r="C100" t="s">
        <v>7524</v>
      </c>
      <c r="D100" t="s">
        <v>7531</v>
      </c>
      <c r="E100" t="s">
        <v>7557</v>
      </c>
      <c r="F100" t="s">
        <v>6966</v>
      </c>
      <c r="G100" t="s">
        <v>7533</v>
      </c>
      <c r="H100" t="s">
        <v>7553</v>
      </c>
      <c r="I100" t="s">
        <v>7558</v>
      </c>
      <c r="J100" s="43">
        <v>1</v>
      </c>
      <c r="L100" t="s">
        <v>7559</v>
      </c>
      <c r="M100" s="42">
        <v>0.83</v>
      </c>
      <c r="N100" s="42">
        <v>0.5</v>
      </c>
      <c r="O100">
        <v>0.83</v>
      </c>
      <c r="P100" s="42">
        <v>1.0016</v>
      </c>
      <c r="Q100">
        <v>0.95</v>
      </c>
      <c r="R100">
        <v>4950</v>
      </c>
      <c r="S100">
        <v>4950</v>
      </c>
      <c r="T100">
        <v>5000</v>
      </c>
      <c r="U100" t="s">
        <v>7457</v>
      </c>
      <c r="W100" s="43">
        <v>0.6</v>
      </c>
      <c r="X100">
        <v>60</v>
      </c>
      <c r="Y100" t="s">
        <v>7448</v>
      </c>
      <c r="Z100" s="42">
        <v>0.6</v>
      </c>
      <c r="AA100" s="42">
        <v>0.6</v>
      </c>
      <c r="AB100">
        <v>100</v>
      </c>
    </row>
    <row r="101">
      <c r="A101" t="s">
        <v>7560</v>
      </c>
      <c r="B101" t="s">
        <v>7524</v>
      </c>
      <c r="C101" t="s">
        <v>7524</v>
      </c>
      <c r="D101" t="s">
        <v>7551</v>
      </c>
      <c r="E101" t="s">
        <v>7561</v>
      </c>
      <c r="F101" t="s">
        <v>6966</v>
      </c>
      <c r="G101" t="s">
        <v>7533</v>
      </c>
      <c r="H101" t="s">
        <v>7534</v>
      </c>
      <c r="I101" t="s">
        <v>7562</v>
      </c>
      <c r="J101" s="43">
        <v>1</v>
      </c>
      <c r="K101" s="43">
        <v>1</v>
      </c>
      <c r="L101" t="s">
        <v>7563</v>
      </c>
      <c r="M101" s="42">
        <v>1</v>
      </c>
      <c r="N101" s="42">
        <v>0.15</v>
      </c>
      <c r="O101">
        <v>1</v>
      </c>
      <c r="P101" s="42">
        <v>0.9292</v>
      </c>
      <c r="Q101">
        <v>1</v>
      </c>
      <c r="R101">
        <v>20000</v>
      </c>
      <c r="S101">
        <v>20000</v>
      </c>
      <c r="T101">
        <v>20000</v>
      </c>
      <c r="U101" t="s">
        <v>7457</v>
      </c>
      <c r="W101" s="43">
        <v>0.6</v>
      </c>
      <c r="X101">
        <v>60</v>
      </c>
      <c r="Y101" t="s">
        <v>7448</v>
      </c>
      <c r="Z101" s="42">
        <v>0.6</v>
      </c>
      <c r="AA101" s="42">
        <v>0.6</v>
      </c>
      <c r="AB101">
        <v>100</v>
      </c>
    </row>
    <row r="102">
      <c r="A102" t="s">
        <v>7564</v>
      </c>
      <c r="B102" t="s">
        <v>7565</v>
      </c>
      <c r="C102" t="s">
        <v>7565</v>
      </c>
      <c r="D102" t="s">
        <v>7566</v>
      </c>
      <c r="E102" t="s">
        <v>7567</v>
      </c>
      <c r="F102" t="s">
        <v>6966</v>
      </c>
      <c r="G102" t="s">
        <v>7568</v>
      </c>
      <c r="H102" t="s">
        <v>7569</v>
      </c>
      <c r="I102" t="s">
        <v>7570</v>
      </c>
      <c r="J102" t="s">
        <v>7571</v>
      </c>
      <c r="K102" t="s">
        <v>7572</v>
      </c>
      <c r="L102" t="s">
        <v>7573</v>
      </c>
      <c r="M102" s="42">
        <v>0.62</v>
      </c>
      <c r="N102" s="42">
        <v>1</v>
      </c>
      <c r="O102">
        <v>0.56</v>
      </c>
      <c r="P102" s="42">
        <v>0.62</v>
      </c>
      <c r="Q102">
        <v>0.56</v>
      </c>
      <c r="R102">
        <v>2545.45</v>
      </c>
      <c r="S102">
        <v>2545.45</v>
      </c>
      <c r="T102">
        <v>3000</v>
      </c>
      <c r="U102" t="s">
        <v>7457</v>
      </c>
      <c r="W102" s="43">
        <v>0.6</v>
      </c>
      <c r="X102">
        <v>60</v>
      </c>
      <c r="Y102" t="s">
        <v>7448</v>
      </c>
      <c r="Z102" s="42">
        <v>0.6</v>
      </c>
      <c r="AA102" s="42">
        <v>0.6</v>
      </c>
      <c r="AB102">
        <v>100</v>
      </c>
    </row>
    <row r="103">
      <c r="A103" t="s">
        <v>7574</v>
      </c>
      <c r="B103" t="s">
        <v>7565</v>
      </c>
      <c r="C103" t="s">
        <v>7565</v>
      </c>
      <c r="D103" t="s">
        <v>7566</v>
      </c>
      <c r="E103" t="s">
        <v>7575</v>
      </c>
      <c r="F103" t="s">
        <v>6966</v>
      </c>
      <c r="G103" t="s">
        <v>7568</v>
      </c>
      <c r="H103" t="s">
        <v>7569</v>
      </c>
      <c r="I103" t="s">
        <v>7576</v>
      </c>
      <c r="J103" t="s">
        <v>7577</v>
      </c>
      <c r="K103" t="s">
        <v>7577</v>
      </c>
      <c r="L103" t="s">
        <v>7578</v>
      </c>
      <c r="M103" s="42">
        <v>1</v>
      </c>
      <c r="N103" s="42">
        <v>1</v>
      </c>
      <c r="O103">
        <v>1</v>
      </c>
      <c r="P103" s="42">
        <v>1</v>
      </c>
      <c r="Q103">
        <v>1</v>
      </c>
      <c r="R103">
        <v>3818.18</v>
      </c>
      <c r="S103">
        <v>3818.18</v>
      </c>
      <c r="T103">
        <v>3000</v>
      </c>
      <c r="U103" t="s">
        <v>7457</v>
      </c>
      <c r="W103" s="43">
        <v>0.6</v>
      </c>
      <c r="X103">
        <v>60</v>
      </c>
      <c r="Y103" t="s">
        <v>7448</v>
      </c>
      <c r="Z103" s="42">
        <v>0.6</v>
      </c>
      <c r="AA103" s="42">
        <v>0.6</v>
      </c>
      <c r="AB103">
        <v>100</v>
      </c>
    </row>
    <row r="104">
      <c r="A104" t="s">
        <v>7579</v>
      </c>
      <c r="B104" t="s">
        <v>7565</v>
      </c>
      <c r="C104" t="s">
        <v>7565</v>
      </c>
      <c r="D104" t="s">
        <v>7000</v>
      </c>
      <c r="E104" t="s">
        <v>7580</v>
      </c>
      <c r="F104" t="s">
        <v>6966</v>
      </c>
      <c r="G104" t="s">
        <v>7568</v>
      </c>
      <c r="H104" t="s">
        <v>7569</v>
      </c>
      <c r="I104" t="s">
        <v>7581</v>
      </c>
      <c r="J104" t="s">
        <v>7582</v>
      </c>
      <c r="K104" t="s">
        <v>7583</v>
      </c>
      <c r="L104" t="s">
        <v>7584</v>
      </c>
      <c r="M104" s="42">
        <v>0.4667</v>
      </c>
      <c r="N104" s="42">
        <v>1</v>
      </c>
      <c r="O104">
        <v>0.33</v>
      </c>
      <c r="P104" s="42">
        <v>0.4667</v>
      </c>
      <c r="Q104">
        <v>0.33</v>
      </c>
      <c r="R104">
        <v>3181.82</v>
      </c>
      <c r="S104">
        <v>3181.82</v>
      </c>
      <c r="T104">
        <v>5000</v>
      </c>
      <c r="U104" t="s">
        <v>7457</v>
      </c>
      <c r="W104" s="43">
        <v>0.6</v>
      </c>
      <c r="X104">
        <v>60</v>
      </c>
      <c r="Y104" t="s">
        <v>7448</v>
      </c>
      <c r="Z104" s="42">
        <v>0.6</v>
      </c>
      <c r="AA104" s="42">
        <v>0.6</v>
      </c>
      <c r="AB104">
        <v>100</v>
      </c>
    </row>
    <row r="105">
      <c r="A105" t="s">
        <v>7585</v>
      </c>
      <c r="B105" t="s">
        <v>7565</v>
      </c>
      <c r="C105" t="s">
        <v>7565</v>
      </c>
      <c r="D105" t="s">
        <v>7566</v>
      </c>
      <c r="E105" t="s">
        <v>7586</v>
      </c>
      <c r="F105" t="s">
        <v>6966</v>
      </c>
      <c r="G105" t="s">
        <v>7568</v>
      </c>
      <c r="H105" t="s">
        <v>7569</v>
      </c>
      <c r="I105" t="s">
        <v>7587</v>
      </c>
      <c r="J105" t="s">
        <v>7588</v>
      </c>
      <c r="K105" t="s">
        <v>7589</v>
      </c>
      <c r="L105" t="s">
        <v>7590</v>
      </c>
      <c r="M105" s="42">
        <v>1.175</v>
      </c>
      <c r="N105" s="42">
        <v>1</v>
      </c>
      <c r="O105">
        <v>1.175</v>
      </c>
      <c r="P105" s="42">
        <v>1.175</v>
      </c>
      <c r="Q105">
        <v>1.18</v>
      </c>
      <c r="R105">
        <v>4454.55</v>
      </c>
      <c r="S105">
        <v>4454.55</v>
      </c>
      <c r="T105">
        <v>3000</v>
      </c>
      <c r="U105" t="s">
        <v>7457</v>
      </c>
      <c r="W105" s="43">
        <v>0.6</v>
      </c>
      <c r="X105">
        <v>60</v>
      </c>
      <c r="Y105" t="s">
        <v>7448</v>
      </c>
      <c r="Z105" s="42">
        <v>0.6</v>
      </c>
      <c r="AA105" s="42">
        <v>0.6</v>
      </c>
      <c r="AB105">
        <v>100</v>
      </c>
    </row>
    <row r="106">
      <c r="A106" t="s">
        <v>7591</v>
      </c>
      <c r="B106" t="s">
        <v>7565</v>
      </c>
      <c r="C106" t="s">
        <v>7565</v>
      </c>
      <c r="D106" t="s">
        <v>7000</v>
      </c>
      <c r="E106" t="s">
        <v>7592</v>
      </c>
      <c r="F106" t="s">
        <v>6966</v>
      </c>
      <c r="G106" t="s">
        <v>7568</v>
      </c>
      <c r="H106" t="s">
        <v>7569</v>
      </c>
      <c r="I106" t="s">
        <v>7593</v>
      </c>
      <c r="J106" t="s">
        <v>7594</v>
      </c>
      <c r="K106" t="s">
        <v>7595</v>
      </c>
      <c r="L106" t="s">
        <v>7596</v>
      </c>
      <c r="M106" s="42">
        <v>0.333</v>
      </c>
      <c r="N106" s="42">
        <v>1</v>
      </c>
      <c r="O106">
        <v>0.2331</v>
      </c>
      <c r="P106" s="42">
        <v>0.333</v>
      </c>
      <c r="Q106">
        <v>0.23</v>
      </c>
      <c r="R106">
        <v>0</v>
      </c>
      <c r="S106">
        <v>0</v>
      </c>
      <c r="T106">
        <v>5000</v>
      </c>
      <c r="U106" t="s">
        <v>7457</v>
      </c>
      <c r="W106" s="43">
        <v>0.6</v>
      </c>
      <c r="X106">
        <v>60</v>
      </c>
      <c r="Y106" t="s">
        <v>7448</v>
      </c>
      <c r="Z106" s="42">
        <v>0.6</v>
      </c>
      <c r="AA106" s="42">
        <v>0.6</v>
      </c>
      <c r="AB106">
        <v>100</v>
      </c>
    </row>
    <row r="107">
      <c r="A107" t="s">
        <v>7597</v>
      </c>
      <c r="B107" t="s">
        <v>7565</v>
      </c>
      <c r="C107" t="s">
        <v>7565</v>
      </c>
      <c r="D107" t="s">
        <v>7598</v>
      </c>
      <c r="E107" t="s">
        <v>7599</v>
      </c>
      <c r="F107" t="s">
        <v>6966</v>
      </c>
      <c r="G107" t="s">
        <v>7600</v>
      </c>
      <c r="H107" t="s">
        <v>7601</v>
      </c>
      <c r="I107" t="s">
        <v>7602</v>
      </c>
      <c r="J107">
        <v>100</v>
      </c>
      <c r="K107">
        <v>100</v>
      </c>
      <c r="L107" t="s">
        <v>7603</v>
      </c>
      <c r="M107" s="42">
        <v>1</v>
      </c>
      <c r="N107" s="42">
        <v>0.6</v>
      </c>
      <c r="O107">
        <v>1</v>
      </c>
      <c r="P107" s="42">
        <v>0.95</v>
      </c>
      <c r="Q107">
        <v>0.94</v>
      </c>
      <c r="R107">
        <v>2820</v>
      </c>
      <c r="S107">
        <v>2820</v>
      </c>
      <c r="T107">
        <v>3000</v>
      </c>
      <c r="U107" t="s">
        <v>7457</v>
      </c>
      <c r="W107" s="43">
        <v>0.6</v>
      </c>
      <c r="X107">
        <v>60</v>
      </c>
      <c r="Y107" t="s">
        <v>7448</v>
      </c>
      <c r="Z107" s="42">
        <v>0.6</v>
      </c>
      <c r="AA107" s="42">
        <v>0.6</v>
      </c>
      <c r="AB107">
        <v>100</v>
      </c>
    </row>
    <row r="108">
      <c r="A108" t="s">
        <v>7604</v>
      </c>
      <c r="B108" t="s">
        <v>7565</v>
      </c>
      <c r="C108" t="s">
        <v>7565</v>
      </c>
      <c r="D108" t="s">
        <v>7127</v>
      </c>
      <c r="E108" t="s">
        <v>7605</v>
      </c>
      <c r="F108" t="s">
        <v>6966</v>
      </c>
      <c r="G108" t="s">
        <v>7606</v>
      </c>
      <c r="H108" t="s">
        <v>7569</v>
      </c>
      <c r="I108" t="s">
        <v>7607</v>
      </c>
      <c r="J108" t="s">
        <v>7571</v>
      </c>
      <c r="K108" t="s">
        <v>7571</v>
      </c>
      <c r="L108" t="s">
        <v>7608</v>
      </c>
      <c r="M108" s="42">
        <v>1</v>
      </c>
      <c r="N108" s="42">
        <v>0.8</v>
      </c>
      <c r="O108">
        <v>1</v>
      </c>
      <c r="P108" s="42">
        <v>0.98</v>
      </c>
      <c r="Q108">
        <v>0.98</v>
      </c>
      <c r="R108">
        <v>3549.3</v>
      </c>
      <c r="S108">
        <v>3549.3</v>
      </c>
      <c r="T108">
        <v>3000</v>
      </c>
      <c r="U108" t="s">
        <v>7457</v>
      </c>
      <c r="W108" s="43">
        <v>0.6</v>
      </c>
      <c r="X108">
        <v>60</v>
      </c>
      <c r="Y108" t="s">
        <v>7448</v>
      </c>
      <c r="Z108" s="42">
        <v>0.6</v>
      </c>
      <c r="AA108" s="42">
        <v>0.6</v>
      </c>
      <c r="AB108">
        <v>100</v>
      </c>
    </row>
    <row r="109">
      <c r="A109" t="s">
        <v>7609</v>
      </c>
      <c r="B109" t="s">
        <v>7565</v>
      </c>
      <c r="C109" t="s">
        <v>7565</v>
      </c>
      <c r="D109" t="s">
        <v>7127</v>
      </c>
      <c r="E109" t="s">
        <v>7610</v>
      </c>
      <c r="F109" t="s">
        <v>6966</v>
      </c>
      <c r="G109" t="s">
        <v>7606</v>
      </c>
      <c r="H109" t="s">
        <v>7569</v>
      </c>
      <c r="I109" t="s">
        <v>7611</v>
      </c>
      <c r="J109" t="s">
        <v>7612</v>
      </c>
      <c r="K109" t="s">
        <v>7613</v>
      </c>
      <c r="L109" t="s">
        <v>7614</v>
      </c>
      <c r="M109" s="42">
        <v>0.44</v>
      </c>
      <c r="N109" s="42">
        <v>0.7</v>
      </c>
      <c r="O109">
        <v>0.308</v>
      </c>
      <c r="P109" s="42">
        <v>0.4367</v>
      </c>
      <c r="Q109">
        <v>0.41</v>
      </c>
      <c r="R109">
        <v>2957.75</v>
      </c>
      <c r="S109">
        <v>2957.75</v>
      </c>
      <c r="T109">
        <v>3000</v>
      </c>
      <c r="U109" t="s">
        <v>7457</v>
      </c>
      <c r="W109" s="43">
        <v>0.6</v>
      </c>
      <c r="X109">
        <v>60</v>
      </c>
      <c r="Y109" t="s">
        <v>7448</v>
      </c>
      <c r="Z109" s="42">
        <v>0.6</v>
      </c>
      <c r="AA109" s="42">
        <v>0.6</v>
      </c>
      <c r="AB109">
        <v>100</v>
      </c>
    </row>
    <row r="110">
      <c r="A110" t="s">
        <v>7615</v>
      </c>
      <c r="B110" t="s">
        <v>7565</v>
      </c>
      <c r="C110" t="s">
        <v>7565</v>
      </c>
      <c r="D110" t="s">
        <v>7127</v>
      </c>
      <c r="E110" t="s">
        <v>7616</v>
      </c>
      <c r="F110" t="s">
        <v>6966</v>
      </c>
      <c r="G110" t="s">
        <v>7606</v>
      </c>
      <c r="H110" t="s">
        <v>7569</v>
      </c>
      <c r="I110" t="s">
        <v>7617</v>
      </c>
      <c r="J110" t="s">
        <v>7618</v>
      </c>
      <c r="K110" t="s">
        <v>7619</v>
      </c>
      <c r="L110" t="s">
        <v>7620</v>
      </c>
      <c r="M110" s="42">
        <v>0.3667</v>
      </c>
      <c r="N110" s="42">
        <v>0.75</v>
      </c>
      <c r="O110">
        <v>0.26</v>
      </c>
      <c r="P110" s="42">
        <v>0.337525</v>
      </c>
      <c r="Q110">
        <v>0.24</v>
      </c>
      <c r="R110">
        <v>1577.46</v>
      </c>
      <c r="S110">
        <v>1577.46</v>
      </c>
      <c r="T110">
        <v>2000</v>
      </c>
      <c r="U110" t="s">
        <v>7457</v>
      </c>
      <c r="W110" s="43">
        <v>0.6</v>
      </c>
      <c r="X110">
        <v>60</v>
      </c>
      <c r="Y110" t="s">
        <v>7448</v>
      </c>
      <c r="Z110" s="42">
        <v>0.6</v>
      </c>
      <c r="AA110" s="42">
        <v>0.6</v>
      </c>
      <c r="AB110">
        <v>100</v>
      </c>
    </row>
    <row r="111">
      <c r="A111" t="s">
        <v>7621</v>
      </c>
      <c r="B111" t="s">
        <v>7565</v>
      </c>
      <c r="C111" t="s">
        <v>7565</v>
      </c>
      <c r="D111" t="s">
        <v>7127</v>
      </c>
      <c r="E111" t="s">
        <v>7622</v>
      </c>
      <c r="F111" t="s">
        <v>6966</v>
      </c>
      <c r="G111" t="s">
        <v>7606</v>
      </c>
      <c r="H111" t="s">
        <v>7569</v>
      </c>
      <c r="I111" t="s">
        <v>7623</v>
      </c>
      <c r="J111" t="s">
        <v>7624</v>
      </c>
      <c r="K111" t="s">
        <v>7267</v>
      </c>
      <c r="L111" t="s">
        <v>7625</v>
      </c>
      <c r="M111" s="42">
        <v>0</v>
      </c>
      <c r="N111" s="42">
        <v>0.7</v>
      </c>
      <c r="O111">
        <v>0</v>
      </c>
      <c r="P111" s="42">
        <v>0.09999</v>
      </c>
      <c r="Q111">
        <v>0.17</v>
      </c>
      <c r="R111">
        <v>1774.65</v>
      </c>
      <c r="S111">
        <v>1774.65</v>
      </c>
      <c r="T111">
        <v>3000</v>
      </c>
      <c r="U111" t="s">
        <v>7457</v>
      </c>
      <c r="W111" s="43">
        <v>0.6</v>
      </c>
      <c r="X111">
        <v>60</v>
      </c>
      <c r="Y111" t="s">
        <v>7448</v>
      </c>
      <c r="Z111" s="42">
        <v>0.6</v>
      </c>
      <c r="AA111" s="42">
        <v>0.6</v>
      </c>
      <c r="AB111">
        <v>100</v>
      </c>
    </row>
    <row r="112">
      <c r="A112" t="s">
        <v>7626</v>
      </c>
      <c r="B112" t="s">
        <v>7565</v>
      </c>
      <c r="C112" t="s">
        <v>7565</v>
      </c>
      <c r="D112" t="s">
        <v>7627</v>
      </c>
      <c r="E112" t="s">
        <v>7628</v>
      </c>
      <c r="F112" t="s">
        <v>6966</v>
      </c>
      <c r="G112" t="s">
        <v>7606</v>
      </c>
      <c r="H112" t="s">
        <v>7629</v>
      </c>
      <c r="I112" t="s">
        <v>7630</v>
      </c>
      <c r="J112" s="43">
        <v>0.85</v>
      </c>
      <c r="K112" s="42">
        <v>0.85714285714</v>
      </c>
      <c r="L112" t="s">
        <v>7631</v>
      </c>
      <c r="M112" s="42">
        <v>1.008403</v>
      </c>
      <c r="N112" s="42">
        <v>0.8</v>
      </c>
      <c r="O112">
        <v>1.0084</v>
      </c>
      <c r="P112" s="42">
        <v>0.973389</v>
      </c>
      <c r="Q112">
        <v>1.07</v>
      </c>
      <c r="R112">
        <v>4140.85</v>
      </c>
      <c r="S112">
        <v>4140.85</v>
      </c>
      <c r="T112">
        <v>3000</v>
      </c>
      <c r="U112" t="s">
        <v>7457</v>
      </c>
      <c r="W112" s="43">
        <v>0.6</v>
      </c>
      <c r="X112">
        <v>60</v>
      </c>
      <c r="Y112" t="s">
        <v>7448</v>
      </c>
      <c r="Z112" s="42">
        <v>0.6</v>
      </c>
      <c r="AA112" s="42">
        <v>0.6</v>
      </c>
      <c r="AB112">
        <v>100</v>
      </c>
    </row>
    <row r="113">
      <c r="A113" t="s">
        <v>7632</v>
      </c>
      <c r="B113" t="s">
        <v>7633</v>
      </c>
      <c r="C113" t="s">
        <v>7633</v>
      </c>
      <c r="D113" t="s">
        <v>7634</v>
      </c>
      <c r="E113" t="s">
        <v>7635</v>
      </c>
      <c r="F113" t="s">
        <v>6966</v>
      </c>
      <c r="G113" t="s">
        <v>7636</v>
      </c>
      <c r="H113" t="s">
        <v>7637</v>
      </c>
      <c r="I113" t="s">
        <v>7638</v>
      </c>
      <c r="J113" t="s">
        <v>7595</v>
      </c>
      <c r="K113" t="s">
        <v>7639</v>
      </c>
      <c r="L113" t="s">
        <v>7640</v>
      </c>
      <c r="M113" s="42">
        <v>1.5</v>
      </c>
      <c r="N113" s="42">
        <v>0.1</v>
      </c>
      <c r="O113">
        <v>1.5</v>
      </c>
      <c r="P113" s="42">
        <v>1.11996</v>
      </c>
      <c r="Q113">
        <v>0.7</v>
      </c>
      <c r="R113">
        <v>3570</v>
      </c>
      <c r="S113">
        <v>3570</v>
      </c>
      <c r="T113">
        <v>5000</v>
      </c>
      <c r="U113" t="s">
        <v>7457</v>
      </c>
      <c r="W113" s="43">
        <v>0.6</v>
      </c>
      <c r="X113">
        <v>60</v>
      </c>
      <c r="Y113" t="s">
        <v>7448</v>
      </c>
      <c r="Z113" s="42">
        <v>0.6</v>
      </c>
      <c r="AA113" s="42">
        <v>0.6</v>
      </c>
      <c r="AB113">
        <v>100</v>
      </c>
    </row>
    <row r="114">
      <c r="A114" t="s">
        <v>7641</v>
      </c>
      <c r="B114" t="s">
        <v>7642</v>
      </c>
      <c r="C114" t="s">
        <v>7642</v>
      </c>
      <c r="D114" t="s">
        <v>7643</v>
      </c>
      <c r="E114" t="s">
        <v>7644</v>
      </c>
      <c r="F114" t="s">
        <v>6966</v>
      </c>
      <c r="G114" t="s">
        <v>7636</v>
      </c>
      <c r="H114" t="s">
        <v>7645</v>
      </c>
      <c r="I114" t="s">
        <v>7646</v>
      </c>
      <c r="J114" t="s">
        <v>7647</v>
      </c>
      <c r="K114" t="s">
        <v>7648</v>
      </c>
      <c r="L114" t="s">
        <v>7649</v>
      </c>
      <c r="M114" s="42">
        <v>0.8194</v>
      </c>
      <c r="N114" s="42">
        <v>0.5</v>
      </c>
      <c r="O114">
        <v>0.819</v>
      </c>
      <c r="P114" s="42">
        <v>0.89492</v>
      </c>
      <c r="Q114">
        <v>0.67</v>
      </c>
      <c r="R114">
        <v>2856</v>
      </c>
      <c r="S114">
        <v>2256</v>
      </c>
      <c r="T114">
        <v>5000</v>
      </c>
      <c r="U114" t="s">
        <v>7457</v>
      </c>
      <c r="W114" s="43">
        <v>0.6</v>
      </c>
      <c r="X114">
        <v>60</v>
      </c>
      <c r="Y114" t="s">
        <v>7448</v>
      </c>
      <c r="Z114" s="42">
        <v>0.6</v>
      </c>
      <c r="AA114" s="42">
        <v>0.6</v>
      </c>
      <c r="AB114">
        <v>100</v>
      </c>
    </row>
    <row r="115">
      <c r="A115" t="s">
        <v>7650</v>
      </c>
      <c r="B115" t="s">
        <v>7651</v>
      </c>
      <c r="C115" t="s">
        <v>7651</v>
      </c>
      <c r="D115" t="s">
        <v>7643</v>
      </c>
      <c r="E115" t="s">
        <v>7652</v>
      </c>
      <c r="F115" t="s">
        <v>6966</v>
      </c>
      <c r="G115" t="s">
        <v>7636</v>
      </c>
      <c r="H115" t="s">
        <v>7645</v>
      </c>
      <c r="I115">
        <v>1260000</v>
      </c>
      <c r="J115" t="s">
        <v>7653</v>
      </c>
      <c r="K115" t="s">
        <v>7654</v>
      </c>
      <c r="L115" t="s">
        <v>7649</v>
      </c>
      <c r="M115" s="42">
        <v>0.73</v>
      </c>
      <c r="N115" s="42">
        <v>0.35</v>
      </c>
      <c r="O115">
        <v>0.58</v>
      </c>
      <c r="P115" s="42">
        <v>0.653705</v>
      </c>
      <c r="Q115">
        <v>0.47</v>
      </c>
      <c r="R115">
        <v>357</v>
      </c>
      <c r="S115">
        <v>723.67</v>
      </c>
      <c r="T115">
        <v>5000</v>
      </c>
      <c r="U115" t="s">
        <v>7457</v>
      </c>
      <c r="W115" s="43">
        <v>0.6</v>
      </c>
      <c r="X115">
        <v>60</v>
      </c>
      <c r="Y115" t="s">
        <v>7448</v>
      </c>
      <c r="Z115" s="42">
        <v>0.6</v>
      </c>
      <c r="AA115" s="42">
        <v>0.6</v>
      </c>
      <c r="AB115">
        <v>100</v>
      </c>
    </row>
    <row r="116">
      <c r="A116" t="s">
        <v>7655</v>
      </c>
      <c r="B116" t="s">
        <v>7656</v>
      </c>
      <c r="C116" t="s">
        <v>7656</v>
      </c>
      <c r="D116" t="s">
        <v>7643</v>
      </c>
      <c r="E116" t="s">
        <v>7657</v>
      </c>
      <c r="F116" t="s">
        <v>6966</v>
      </c>
      <c r="G116" t="s">
        <v>7636</v>
      </c>
      <c r="H116" t="s">
        <v>7645</v>
      </c>
      <c r="I116" t="s">
        <v>7658</v>
      </c>
      <c r="J116" t="s">
        <v>7658</v>
      </c>
      <c r="K116" t="s">
        <v>7659</v>
      </c>
      <c r="L116" t="s">
        <v>7649</v>
      </c>
      <c r="M116" s="42">
        <v>0.57</v>
      </c>
      <c r="N116" s="42">
        <v>0.5</v>
      </c>
      <c r="O116">
        <v>0.459</v>
      </c>
      <c r="P116" s="42">
        <v>0.541</v>
      </c>
      <c r="Q116">
        <v>0.47</v>
      </c>
      <c r="R116">
        <v>1071</v>
      </c>
      <c r="S116">
        <v>1421</v>
      </c>
      <c r="T116">
        <v>5000</v>
      </c>
      <c r="U116" t="s">
        <v>7457</v>
      </c>
      <c r="W116" s="43">
        <v>0.6</v>
      </c>
      <c r="X116">
        <v>60</v>
      </c>
      <c r="Y116" t="s">
        <v>7448</v>
      </c>
      <c r="Z116" s="42">
        <v>0.6</v>
      </c>
      <c r="AA116" s="42">
        <v>0.6</v>
      </c>
      <c r="AB116">
        <v>100</v>
      </c>
    </row>
    <row r="117">
      <c r="A117" t="s">
        <v>7660</v>
      </c>
      <c r="B117" t="s">
        <v>7661</v>
      </c>
      <c r="C117" t="s">
        <v>7661</v>
      </c>
      <c r="D117" t="s">
        <v>7643</v>
      </c>
      <c r="E117" t="s">
        <v>7662</v>
      </c>
      <c r="F117" t="s">
        <v>6966</v>
      </c>
      <c r="G117" t="s">
        <v>7636</v>
      </c>
      <c r="H117" t="s">
        <v>7645</v>
      </c>
      <c r="J117" t="s">
        <v>7663</v>
      </c>
      <c r="K117" t="s">
        <v>7664</v>
      </c>
      <c r="L117" t="s">
        <v>7649</v>
      </c>
      <c r="M117" s="42">
        <v>0.929</v>
      </c>
      <c r="N117" s="42">
        <v>0.45</v>
      </c>
      <c r="O117">
        <v>0.93</v>
      </c>
      <c r="P117" s="42">
        <v>2.05047</v>
      </c>
      <c r="Q117">
        <v>1.15</v>
      </c>
      <c r="R117">
        <v>8925</v>
      </c>
      <c r="S117">
        <v>9291.67</v>
      </c>
      <c r="T117">
        <v>5000</v>
      </c>
      <c r="U117" t="s">
        <v>7457</v>
      </c>
      <c r="W117" s="43">
        <v>0.6</v>
      </c>
      <c r="X117">
        <v>60</v>
      </c>
      <c r="Y117" t="s">
        <v>7448</v>
      </c>
      <c r="Z117" s="42">
        <v>0.6</v>
      </c>
      <c r="AA117" s="42">
        <v>0.6</v>
      </c>
      <c r="AB117">
        <v>100</v>
      </c>
    </row>
    <row r="118">
      <c r="A118" t="s">
        <v>7665</v>
      </c>
      <c r="B118" t="s">
        <v>7666</v>
      </c>
      <c r="C118" t="s">
        <v>7666</v>
      </c>
      <c r="D118" t="s">
        <v>7667</v>
      </c>
      <c r="E118" t="s">
        <v>7668</v>
      </c>
      <c r="F118" t="s">
        <v>6966</v>
      </c>
      <c r="G118" t="s">
        <v>7636</v>
      </c>
      <c r="H118" t="s">
        <v>7669</v>
      </c>
      <c r="I118">
        <v>-72.6</v>
      </c>
      <c r="J118" t="s">
        <v>7670</v>
      </c>
      <c r="K118" t="s">
        <v>7671</v>
      </c>
      <c r="L118" t="s">
        <v>7649</v>
      </c>
      <c r="M118" s="42">
        <v>0</v>
      </c>
      <c r="N118" s="42">
        <v>0.3</v>
      </c>
      <c r="O118">
        <v>0</v>
      </c>
      <c r="P118" s="42">
        <v>0.4555</v>
      </c>
      <c r="Q118">
        <v>0.48</v>
      </c>
      <c r="R118">
        <v>1785</v>
      </c>
      <c r="S118">
        <v>1785</v>
      </c>
      <c r="T118">
        <v>5000</v>
      </c>
      <c r="U118" t="s">
        <v>7457</v>
      </c>
      <c r="W118" s="43">
        <v>0.6</v>
      </c>
      <c r="X118">
        <v>60</v>
      </c>
      <c r="Y118" t="s">
        <v>7448</v>
      </c>
      <c r="Z118" s="42">
        <v>0.6</v>
      </c>
      <c r="AA118" s="42">
        <v>0.6</v>
      </c>
      <c r="AB118">
        <v>100</v>
      </c>
    </row>
    <row r="119">
      <c r="A119" t="s">
        <v>7672</v>
      </c>
      <c r="B119" t="s">
        <v>7673</v>
      </c>
      <c r="C119" t="s">
        <v>7673</v>
      </c>
      <c r="D119" t="s">
        <v>7643</v>
      </c>
      <c r="E119" t="s">
        <v>7674</v>
      </c>
      <c r="F119" t="s">
        <v>6966</v>
      </c>
      <c r="G119" t="s">
        <v>7636</v>
      </c>
      <c r="H119" t="s">
        <v>7645</v>
      </c>
      <c r="I119">
        <v>1680000</v>
      </c>
      <c r="J119" t="s">
        <v>7675</v>
      </c>
      <c r="K119" t="s">
        <v>7676</v>
      </c>
      <c r="L119" t="s">
        <v>7649</v>
      </c>
      <c r="M119" s="42">
        <v>0.62</v>
      </c>
      <c r="N119" s="42">
        <v>0.35</v>
      </c>
      <c r="O119">
        <v>0.49</v>
      </c>
      <c r="P119" s="42">
        <v>0.815005</v>
      </c>
      <c r="Q119">
        <v>0.76</v>
      </c>
      <c r="R119">
        <v>3927</v>
      </c>
      <c r="S119">
        <v>2827</v>
      </c>
      <c r="T119">
        <v>5000</v>
      </c>
      <c r="U119" t="s">
        <v>7457</v>
      </c>
      <c r="W119" s="43">
        <v>0.6</v>
      </c>
      <c r="X119">
        <v>60</v>
      </c>
      <c r="Y119" t="s">
        <v>7448</v>
      </c>
      <c r="Z119" s="42">
        <v>0.6</v>
      </c>
      <c r="AA119" s="42">
        <v>0.6</v>
      </c>
      <c r="AB119">
        <v>100</v>
      </c>
    </row>
    <row r="120">
      <c r="A120" t="s">
        <v>7677</v>
      </c>
      <c r="B120" t="s">
        <v>7678</v>
      </c>
      <c r="C120" t="s">
        <v>7678</v>
      </c>
      <c r="D120" t="s">
        <v>7643</v>
      </c>
      <c r="E120" t="s">
        <v>7679</v>
      </c>
      <c r="F120" t="s">
        <v>6966</v>
      </c>
      <c r="G120" t="s">
        <v>7636</v>
      </c>
      <c r="H120" t="s">
        <v>7680</v>
      </c>
      <c r="I120" t="s">
        <v>7681</v>
      </c>
      <c r="J120" t="s">
        <v>7682</v>
      </c>
      <c r="K120" t="s">
        <v>7683</v>
      </c>
      <c r="L120" t="s">
        <v>7649</v>
      </c>
      <c r="M120" s="42">
        <v>0.7388</v>
      </c>
      <c r="N120" s="42">
        <v>0.5</v>
      </c>
      <c r="O120">
        <v>0.591</v>
      </c>
      <c r="P120" s="42">
        <v>1.00876</v>
      </c>
      <c r="Q120">
        <v>0.93</v>
      </c>
      <c r="R120">
        <v>6069</v>
      </c>
      <c r="S120">
        <v>6419</v>
      </c>
      <c r="T120">
        <v>5000</v>
      </c>
      <c r="U120" t="s">
        <v>7457</v>
      </c>
      <c r="W120" s="43">
        <v>0.6</v>
      </c>
      <c r="X120">
        <v>60</v>
      </c>
      <c r="Y120" t="s">
        <v>7448</v>
      </c>
      <c r="Z120" s="42">
        <v>0.6</v>
      </c>
      <c r="AA120" s="42">
        <v>0.6</v>
      </c>
      <c r="AB120">
        <v>100</v>
      </c>
    </row>
    <row r="121">
      <c r="A121" t="s">
        <v>7684</v>
      </c>
      <c r="B121" t="s">
        <v>7685</v>
      </c>
      <c r="C121" t="s">
        <v>7685</v>
      </c>
      <c r="D121" t="s">
        <v>7686</v>
      </c>
      <c r="E121" t="s">
        <v>7687</v>
      </c>
      <c r="F121" t="s">
        <v>6966</v>
      </c>
      <c r="G121" t="s">
        <v>7636</v>
      </c>
      <c r="H121" t="s">
        <v>7645</v>
      </c>
      <c r="I121" t="s">
        <v>7688</v>
      </c>
      <c r="J121" t="s">
        <v>7689</v>
      </c>
      <c r="K121" t="s">
        <v>7690</v>
      </c>
      <c r="L121" t="s">
        <v>7649</v>
      </c>
      <c r="M121" s="42">
        <v>0.8505</v>
      </c>
      <c r="N121" s="42">
        <v>0.4</v>
      </c>
      <c r="O121">
        <v>0.8505</v>
      </c>
      <c r="P121" s="42">
        <v>0.55653</v>
      </c>
      <c r="Q121">
        <v>0.56</v>
      </c>
      <c r="R121">
        <v>2499</v>
      </c>
      <c r="S121">
        <v>2399</v>
      </c>
      <c r="T121">
        <v>6000</v>
      </c>
      <c r="U121" t="s">
        <v>7457</v>
      </c>
      <c r="W121" s="43">
        <v>0.6</v>
      </c>
      <c r="X121">
        <v>60</v>
      </c>
      <c r="Y121" t="s">
        <v>7448</v>
      </c>
      <c r="Z121" s="42">
        <v>0.6</v>
      </c>
      <c r="AA121" s="42">
        <v>0.6</v>
      </c>
      <c r="AB121">
        <v>100</v>
      </c>
    </row>
    <row r="122">
      <c r="A122" t="s">
        <v>7691</v>
      </c>
      <c r="B122" t="s">
        <v>7692</v>
      </c>
      <c r="C122" t="s">
        <v>7692</v>
      </c>
      <c r="D122" t="s">
        <v>7000</v>
      </c>
      <c r="E122" t="s">
        <v>7693</v>
      </c>
      <c r="F122" t="s">
        <v>6966</v>
      </c>
      <c r="G122" t="s">
        <v>7636</v>
      </c>
      <c r="H122" t="s">
        <v>7645</v>
      </c>
      <c r="J122" t="s">
        <v>7694</v>
      </c>
      <c r="K122" t="s">
        <v>7695</v>
      </c>
      <c r="L122" t="s">
        <v>7649</v>
      </c>
      <c r="M122" s="42">
        <v>0.5033</v>
      </c>
      <c r="N122" s="42">
        <v>0.35</v>
      </c>
      <c r="O122">
        <v>0.4</v>
      </c>
      <c r="P122" s="42">
        <v>0.889755</v>
      </c>
      <c r="Q122">
        <v>0.82</v>
      </c>
      <c r="R122">
        <v>4641</v>
      </c>
      <c r="S122">
        <v>5007.67</v>
      </c>
      <c r="T122">
        <v>5000</v>
      </c>
      <c r="U122" t="s">
        <v>7457</v>
      </c>
      <c r="W122" s="43">
        <v>0.6</v>
      </c>
      <c r="X122">
        <v>60</v>
      </c>
      <c r="Y122" t="s">
        <v>7448</v>
      </c>
      <c r="Z122" s="42">
        <v>0.6</v>
      </c>
      <c r="AA122" s="42">
        <v>0.6</v>
      </c>
      <c r="AB122">
        <v>100</v>
      </c>
    </row>
    <row r="123">
      <c r="A123" t="s">
        <v>7696</v>
      </c>
      <c r="B123" t="s">
        <v>7661</v>
      </c>
      <c r="C123" t="s">
        <v>7661</v>
      </c>
      <c r="D123" t="s">
        <v>7000</v>
      </c>
      <c r="E123" t="s">
        <v>7697</v>
      </c>
      <c r="F123" t="s">
        <v>6966</v>
      </c>
      <c r="G123" t="s">
        <v>7698</v>
      </c>
      <c r="H123" t="s">
        <v>7680</v>
      </c>
      <c r="I123" t="s">
        <v>7699</v>
      </c>
      <c r="J123" s="43">
        <v>1</v>
      </c>
      <c r="K123" s="43">
        <v>0.3</v>
      </c>
      <c r="L123" t="s">
        <v>7649</v>
      </c>
      <c r="M123" s="42">
        <v>0.3</v>
      </c>
      <c r="N123" s="42">
        <v>0.1</v>
      </c>
      <c r="O123">
        <v>0.24</v>
      </c>
      <c r="P123" s="42">
        <v>2.127</v>
      </c>
      <c r="Q123">
        <v>1.01</v>
      </c>
      <c r="R123">
        <v>6500</v>
      </c>
      <c r="S123">
        <v>6424.73</v>
      </c>
      <c r="T123">
        <v>5000</v>
      </c>
      <c r="U123" t="s">
        <v>7457</v>
      </c>
      <c r="W123" s="43">
        <v>0.6</v>
      </c>
      <c r="X123">
        <v>60</v>
      </c>
      <c r="Y123" t="s">
        <v>7448</v>
      </c>
      <c r="Z123" s="42">
        <v>0.6</v>
      </c>
      <c r="AA123" s="42">
        <v>0.6</v>
      </c>
      <c r="AB123">
        <v>100</v>
      </c>
    </row>
    <row r="124">
      <c r="A124" t="s">
        <v>7700</v>
      </c>
      <c r="B124" t="s">
        <v>7661</v>
      </c>
      <c r="C124" t="s">
        <v>7661</v>
      </c>
      <c r="D124" t="s">
        <v>7000</v>
      </c>
      <c r="E124" t="s">
        <v>7701</v>
      </c>
      <c r="F124" t="s">
        <v>6966</v>
      </c>
      <c r="G124" t="s">
        <v>7698</v>
      </c>
      <c r="H124" t="s">
        <v>7645</v>
      </c>
      <c r="I124" t="s">
        <v>7702</v>
      </c>
      <c r="J124" t="s">
        <v>7703</v>
      </c>
      <c r="K124" t="s">
        <v>7704</v>
      </c>
      <c r="L124" t="s">
        <v>7649</v>
      </c>
      <c r="M124" s="42">
        <v>0.67</v>
      </c>
      <c r="N124" s="42">
        <v>0.6</v>
      </c>
      <c r="O124">
        <v>0.53</v>
      </c>
      <c r="P124" s="42">
        <v>0.969</v>
      </c>
      <c r="Q124">
        <v>0.81</v>
      </c>
      <c r="R124">
        <v>3500</v>
      </c>
      <c r="S124">
        <v>3537.63</v>
      </c>
      <c r="T124">
        <v>5000</v>
      </c>
      <c r="U124" t="s">
        <v>7457</v>
      </c>
      <c r="W124" s="43">
        <v>0.6</v>
      </c>
      <c r="X124">
        <v>60</v>
      </c>
      <c r="Y124" t="s">
        <v>7448</v>
      </c>
      <c r="Z124" s="42">
        <v>0.6</v>
      </c>
      <c r="AA124" s="42">
        <v>0.6</v>
      </c>
      <c r="AB124">
        <v>100</v>
      </c>
    </row>
    <row r="125">
      <c r="A125" t="s">
        <v>7705</v>
      </c>
      <c r="B125" t="s">
        <v>7661</v>
      </c>
      <c r="C125" t="s">
        <v>7661</v>
      </c>
      <c r="D125" t="s">
        <v>7706</v>
      </c>
      <c r="E125" t="s">
        <v>7707</v>
      </c>
      <c r="F125" t="s">
        <v>6966</v>
      </c>
      <c r="G125" t="s">
        <v>7698</v>
      </c>
      <c r="H125" t="s">
        <v>7708</v>
      </c>
      <c r="I125" t="s">
        <v>7709</v>
      </c>
      <c r="J125" t="s">
        <v>7710</v>
      </c>
      <c r="K125" t="s">
        <v>7711</v>
      </c>
      <c r="L125" t="s">
        <v>7649</v>
      </c>
      <c r="M125" s="42">
        <v>0.96</v>
      </c>
      <c r="N125" s="42">
        <v>0.6</v>
      </c>
      <c r="O125">
        <v>0.9599</v>
      </c>
      <c r="P125" s="42">
        <v>0.90075</v>
      </c>
      <c r="Q125">
        <v>0.89</v>
      </c>
      <c r="R125">
        <v>5000</v>
      </c>
      <c r="S125">
        <v>5037.63</v>
      </c>
      <c r="T125">
        <v>5000</v>
      </c>
      <c r="U125" t="s">
        <v>7457</v>
      </c>
      <c r="W125" s="43">
        <v>0.6</v>
      </c>
      <c r="X125">
        <v>60</v>
      </c>
      <c r="Y125" t="s">
        <v>7448</v>
      </c>
      <c r="Z125" s="42">
        <v>0.6</v>
      </c>
      <c r="AA125" s="42">
        <v>0.6</v>
      </c>
      <c r="AB125">
        <v>100</v>
      </c>
    </row>
    <row r="126">
      <c r="A126" t="s">
        <v>7712</v>
      </c>
      <c r="B126" t="s">
        <v>7713</v>
      </c>
      <c r="C126" t="s">
        <v>7713</v>
      </c>
      <c r="D126" t="s">
        <v>7714</v>
      </c>
      <c r="E126" t="s">
        <v>7715</v>
      </c>
      <c r="F126" t="s">
        <v>6966</v>
      </c>
      <c r="G126" t="s">
        <v>7716</v>
      </c>
      <c r="H126" t="s">
        <v>7717</v>
      </c>
      <c r="I126" t="s">
        <v>7718</v>
      </c>
      <c r="J126" t="s">
        <v>7719</v>
      </c>
      <c r="K126" t="s">
        <v>7720</v>
      </c>
      <c r="L126" t="s">
        <v>7649</v>
      </c>
      <c r="M126" s="42">
        <v>0.9</v>
      </c>
      <c r="N126" s="42">
        <v>0.3</v>
      </c>
      <c r="O126">
        <v>0.9</v>
      </c>
      <c r="P126" s="42">
        <v>0.925</v>
      </c>
      <c r="Q126">
        <v>0.93</v>
      </c>
      <c r="R126">
        <v>2693.59</v>
      </c>
      <c r="S126">
        <v>2693.59</v>
      </c>
      <c r="T126">
        <v>3000</v>
      </c>
      <c r="U126" t="s">
        <v>7457</v>
      </c>
      <c r="W126" s="43">
        <v>0.6</v>
      </c>
      <c r="X126">
        <v>60</v>
      </c>
      <c r="Y126" t="s">
        <v>7448</v>
      </c>
      <c r="Z126" s="42">
        <v>0.6</v>
      </c>
      <c r="AA126" s="42">
        <v>0.6</v>
      </c>
      <c r="AB126">
        <v>100</v>
      </c>
    </row>
    <row r="127">
      <c r="A127" t="s">
        <v>7721</v>
      </c>
      <c r="B127" t="s">
        <v>7713</v>
      </c>
      <c r="C127" t="s">
        <v>7713</v>
      </c>
      <c r="D127" t="s">
        <v>7714</v>
      </c>
      <c r="E127" t="s">
        <v>7722</v>
      </c>
      <c r="F127" t="s">
        <v>6966</v>
      </c>
      <c r="G127" t="s">
        <v>7716</v>
      </c>
      <c r="H127" t="s">
        <v>7723</v>
      </c>
      <c r="I127" t="s">
        <v>7724</v>
      </c>
      <c r="J127" t="s">
        <v>7725</v>
      </c>
      <c r="K127" s="43">
        <v>1</v>
      </c>
      <c r="L127" t="s">
        <v>7726</v>
      </c>
      <c r="M127" s="42">
        <v>0.9411</v>
      </c>
      <c r="N127" s="42">
        <v>0.3</v>
      </c>
      <c r="O127">
        <v>0.94</v>
      </c>
      <c r="P127" s="42">
        <v>0.95233</v>
      </c>
      <c r="Q127">
        <v>0.95</v>
      </c>
      <c r="R127">
        <v>3142.52</v>
      </c>
      <c r="S127">
        <v>3142.52</v>
      </c>
      <c r="T127">
        <v>3000</v>
      </c>
      <c r="U127" t="s">
        <v>7457</v>
      </c>
      <c r="W127" s="43">
        <v>0.6</v>
      </c>
      <c r="X127">
        <v>60</v>
      </c>
      <c r="Y127" t="s">
        <v>7448</v>
      </c>
      <c r="Z127" s="42">
        <v>0.6</v>
      </c>
      <c r="AA127" s="42">
        <v>0.6</v>
      </c>
      <c r="AB127">
        <v>100</v>
      </c>
    </row>
    <row r="128">
      <c r="A128" t="s">
        <v>7727</v>
      </c>
      <c r="B128" t="s">
        <v>7713</v>
      </c>
      <c r="C128" t="s">
        <v>7713</v>
      </c>
      <c r="D128" t="s">
        <v>7714</v>
      </c>
      <c r="E128" t="s">
        <v>7728</v>
      </c>
      <c r="F128" t="s">
        <v>6966</v>
      </c>
      <c r="G128" t="s">
        <v>7716</v>
      </c>
      <c r="H128" t="s">
        <v>7729</v>
      </c>
      <c r="I128" t="s">
        <v>7730</v>
      </c>
      <c r="J128" s="43">
        <v>0.6</v>
      </c>
      <c r="K128" s="43">
        <v>1</v>
      </c>
      <c r="L128" t="s">
        <v>7731</v>
      </c>
      <c r="M128" s="42">
        <v>0.8462</v>
      </c>
      <c r="N128" s="42">
        <v>0.2</v>
      </c>
      <c r="O128">
        <v>1</v>
      </c>
      <c r="P128" s="42">
        <v>0.92684</v>
      </c>
      <c r="Q128">
        <v>0.96</v>
      </c>
      <c r="R128">
        <v>3292.16</v>
      </c>
      <c r="S128">
        <v>3292.16</v>
      </c>
      <c r="T128">
        <v>3000</v>
      </c>
      <c r="U128" t="s">
        <v>7457</v>
      </c>
      <c r="W128" s="43">
        <v>0.6</v>
      </c>
      <c r="X128">
        <v>60</v>
      </c>
      <c r="Y128" t="s">
        <v>7448</v>
      </c>
      <c r="Z128" s="42">
        <v>0.6</v>
      </c>
      <c r="AA128" s="42">
        <v>0.6</v>
      </c>
      <c r="AB128">
        <v>100</v>
      </c>
    </row>
    <row r="129">
      <c r="A129" t="s">
        <v>7732</v>
      </c>
      <c r="B129" t="s">
        <v>7713</v>
      </c>
      <c r="C129" t="s">
        <v>7713</v>
      </c>
      <c r="D129" t="s">
        <v>7000</v>
      </c>
      <c r="E129" t="s">
        <v>7733</v>
      </c>
      <c r="F129" t="s">
        <v>6966</v>
      </c>
      <c r="G129" t="s">
        <v>7716</v>
      </c>
      <c r="H129" t="s">
        <v>7734</v>
      </c>
      <c r="I129" t="s">
        <v>7735</v>
      </c>
      <c r="J129">
        <v>0</v>
      </c>
      <c r="K129" s="43">
        <v>1</v>
      </c>
      <c r="L129">
        <f>(7.88*0.3+7.94*0.3+7.55*0.2+7.06*0.2)*1.1/9.5=0.888</f>
      </c>
      <c r="M129" s="42">
        <v>1</v>
      </c>
      <c r="N129" s="42">
        <v>0.2</v>
      </c>
      <c r="O129">
        <v>1</v>
      </c>
      <c r="P129" s="42">
        <v>1.115967</v>
      </c>
      <c r="Q129">
        <v>0.96</v>
      </c>
      <c r="R129">
        <v>5736.34</v>
      </c>
      <c r="S129">
        <v>5736.34</v>
      </c>
      <c r="T129">
        <v>5000</v>
      </c>
      <c r="U129" t="s">
        <v>7457</v>
      </c>
      <c r="W129" s="43">
        <v>0.6</v>
      </c>
      <c r="X129">
        <v>60</v>
      </c>
      <c r="Y129" t="s">
        <v>7448</v>
      </c>
      <c r="Z129" s="42">
        <v>0.6</v>
      </c>
      <c r="AA129" s="42">
        <v>0.6</v>
      </c>
      <c r="AB129">
        <v>100</v>
      </c>
    </row>
    <row r="130">
      <c r="A130" t="s">
        <v>7736</v>
      </c>
      <c r="B130" t="s">
        <v>7713</v>
      </c>
      <c r="C130" t="s">
        <v>7713</v>
      </c>
      <c r="D130" t="s">
        <v>7714</v>
      </c>
      <c r="E130" t="s">
        <v>7737</v>
      </c>
      <c r="F130" t="s">
        <v>6966</v>
      </c>
      <c r="G130" t="s">
        <v>7716</v>
      </c>
      <c r="H130" t="s">
        <v>7738</v>
      </c>
      <c r="I130" t="s">
        <v>7739</v>
      </c>
      <c r="J130" s="43">
        <v>1</v>
      </c>
      <c r="K130" t="s">
        <v>7087</v>
      </c>
      <c r="L130" t="s">
        <v>7740</v>
      </c>
      <c r="M130" s="42">
        <v>1</v>
      </c>
      <c r="N130" s="42">
        <v>0.1</v>
      </c>
      <c r="O130">
        <v>1</v>
      </c>
      <c r="P130" s="42">
        <v>1.01138</v>
      </c>
      <c r="Q130">
        <v>0.95</v>
      </c>
      <c r="R130">
        <v>1895.49</v>
      </c>
      <c r="S130">
        <v>1895.49</v>
      </c>
      <c r="T130">
        <v>2000</v>
      </c>
      <c r="U130" t="s">
        <v>7457</v>
      </c>
      <c r="W130" s="43">
        <v>0.6</v>
      </c>
      <c r="X130">
        <v>60</v>
      </c>
      <c r="Y130" t="s">
        <v>7448</v>
      </c>
      <c r="Z130" s="42">
        <v>0.6</v>
      </c>
      <c r="AA130" s="42">
        <v>0.6</v>
      </c>
      <c r="AB130">
        <v>100</v>
      </c>
    </row>
    <row r="131">
      <c r="A131" t="s">
        <v>7741</v>
      </c>
      <c r="B131" t="s">
        <v>7713</v>
      </c>
      <c r="C131" t="s">
        <v>7713</v>
      </c>
      <c r="D131" t="s">
        <v>7000</v>
      </c>
      <c r="E131" t="s">
        <v>7742</v>
      </c>
      <c r="F131" t="s">
        <v>6966</v>
      </c>
      <c r="G131" t="s">
        <v>7716</v>
      </c>
      <c r="H131" t="s">
        <v>7723</v>
      </c>
      <c r="I131" t="s">
        <v>7743</v>
      </c>
      <c r="J131" t="s">
        <v>7725</v>
      </c>
      <c r="K131" t="s">
        <v>7744</v>
      </c>
      <c r="L131" t="s">
        <v>7745</v>
      </c>
      <c r="M131" s="42">
        <v>0.8214</v>
      </c>
      <c r="N131" s="42">
        <v>0.3</v>
      </c>
      <c r="O131">
        <v>0.82</v>
      </c>
      <c r="P131" s="42">
        <v>0.89089</v>
      </c>
      <c r="Q131">
        <v>0.86</v>
      </c>
      <c r="R131">
        <v>4239.9</v>
      </c>
      <c r="S131">
        <v>4239.9</v>
      </c>
      <c r="T131">
        <v>5000</v>
      </c>
      <c r="U131" t="s">
        <v>7457</v>
      </c>
      <c r="W131" s="43">
        <v>0.6</v>
      </c>
      <c r="X131">
        <v>60</v>
      </c>
      <c r="Y131" t="s">
        <v>7448</v>
      </c>
      <c r="Z131" s="42">
        <v>0.6</v>
      </c>
      <c r="AA131" s="42">
        <v>0.6</v>
      </c>
      <c r="AB131">
        <v>100</v>
      </c>
    </row>
    <row r="132">
      <c r="A132" t="s">
        <v>7746</v>
      </c>
      <c r="B132" t="s">
        <v>7713</v>
      </c>
      <c r="C132" t="s">
        <v>7713</v>
      </c>
      <c r="D132" t="s">
        <v>7714</v>
      </c>
      <c r="E132" t="s">
        <v>7747</v>
      </c>
      <c r="F132" t="s">
        <v>6966</v>
      </c>
      <c r="G132" t="s">
        <v>7716</v>
      </c>
      <c r="H132" t="s">
        <v>7738</v>
      </c>
      <c r="J132" s="43">
        <v>1</v>
      </c>
      <c r="K132" s="43">
        <v>1</v>
      </c>
      <c r="L132" t="s">
        <v>7748</v>
      </c>
      <c r="M132" s="42">
        <v>1</v>
      </c>
      <c r="N132" s="42">
        <v>0.1</v>
      </c>
      <c r="O132">
        <v>1</v>
      </c>
      <c r="P132" s="42">
        <v>0.76405</v>
      </c>
      <c r="Q132">
        <v>0.95</v>
      </c>
      <c r="R132">
        <v>0</v>
      </c>
      <c r="S132">
        <v>0</v>
      </c>
      <c r="T132">
        <v>2000</v>
      </c>
      <c r="U132" t="s">
        <v>7457</v>
      </c>
      <c r="W132" s="43">
        <v>0.6</v>
      </c>
      <c r="X132">
        <v>60</v>
      </c>
      <c r="Y132" t="s">
        <v>7448</v>
      </c>
      <c r="Z132" s="42">
        <v>0.6</v>
      </c>
      <c r="AA132" s="42">
        <v>0.6</v>
      </c>
      <c r="AB132">
        <v>100</v>
      </c>
    </row>
    <row r="133">
      <c r="A133" t="s">
        <v>7749</v>
      </c>
      <c r="B133" t="s">
        <v>7713</v>
      </c>
      <c r="C133" t="s">
        <v>7713</v>
      </c>
      <c r="D133" t="s">
        <v>7000</v>
      </c>
      <c r="E133" t="s">
        <v>7750</v>
      </c>
      <c r="F133" t="s">
        <v>6966</v>
      </c>
      <c r="G133" t="s">
        <v>7716</v>
      </c>
      <c r="H133" t="s">
        <v>7734</v>
      </c>
      <c r="I133" t="s">
        <v>7751</v>
      </c>
      <c r="J133">
        <v>0</v>
      </c>
      <c r="K133">
        <v>2</v>
      </c>
      <c r="L133" t="s">
        <v>7752</v>
      </c>
      <c r="M133" s="42">
        <v>0.8</v>
      </c>
      <c r="N133" s="42">
        <v>0.2</v>
      </c>
      <c r="O133">
        <v>0.8</v>
      </c>
      <c r="P133" s="42">
        <v>0.92342</v>
      </c>
      <c r="Q133">
        <v>0.9</v>
      </c>
      <c r="R133">
        <v>0</v>
      </c>
      <c r="S133">
        <v>0</v>
      </c>
      <c r="T133">
        <v>5000</v>
      </c>
      <c r="U133" t="s">
        <v>7457</v>
      </c>
      <c r="W133" s="43">
        <v>0.6</v>
      </c>
      <c r="X133">
        <v>60</v>
      </c>
      <c r="Y133" t="s">
        <v>7448</v>
      </c>
      <c r="Z133" s="42">
        <v>0.6</v>
      </c>
      <c r="AA133" s="42">
        <v>0.6</v>
      </c>
      <c r="AB133">
        <v>100</v>
      </c>
    </row>
    <row r="134">
      <c r="A134" t="s">
        <v>7753</v>
      </c>
      <c r="B134" t="s">
        <v>7713</v>
      </c>
      <c r="C134" t="s">
        <v>7713</v>
      </c>
      <c r="D134" t="s">
        <v>7754</v>
      </c>
      <c r="E134" t="s">
        <v>7755</v>
      </c>
      <c r="F134" t="s">
        <v>6966</v>
      </c>
      <c r="G134" t="s">
        <v>7756</v>
      </c>
      <c r="H134" t="s">
        <v>7738</v>
      </c>
      <c r="I134" t="s">
        <v>7757</v>
      </c>
      <c r="J134" s="43">
        <v>1</v>
      </c>
      <c r="K134" t="s">
        <v>7087</v>
      </c>
      <c r="L134" t="s">
        <v>7758</v>
      </c>
      <c r="M134" s="42">
        <v>0.2</v>
      </c>
      <c r="N134" s="42">
        <v>0.2</v>
      </c>
      <c r="O134">
        <v>1</v>
      </c>
      <c r="P134" s="42">
        <v>0.84</v>
      </c>
      <c r="Q134">
        <v>1</v>
      </c>
      <c r="R134">
        <v>1200</v>
      </c>
      <c r="S134">
        <v>1200</v>
      </c>
      <c r="T134">
        <v>1200</v>
      </c>
      <c r="U134" t="s">
        <v>7457</v>
      </c>
      <c r="W134" s="43">
        <v>0.6</v>
      </c>
      <c r="X134">
        <v>60</v>
      </c>
      <c r="Y134" t="s">
        <v>7448</v>
      </c>
      <c r="Z134" s="42">
        <v>0.6</v>
      </c>
      <c r="AA134" s="42">
        <v>0.6</v>
      </c>
      <c r="AB134">
        <v>100</v>
      </c>
    </row>
    <row r="135">
      <c r="A135" t="s">
        <v>7759</v>
      </c>
      <c r="B135" t="s">
        <v>7760</v>
      </c>
      <c r="C135" t="s">
        <v>7760</v>
      </c>
      <c r="D135" t="s">
        <v>7761</v>
      </c>
      <c r="E135" t="s">
        <v>7762</v>
      </c>
      <c r="F135" t="s">
        <v>6966</v>
      </c>
      <c r="G135" t="s">
        <v>7763</v>
      </c>
      <c r="H135" t="s">
        <v>7764</v>
      </c>
      <c r="I135" t="s">
        <v>7765</v>
      </c>
      <c r="J135" s="43">
        <v>1</v>
      </c>
      <c r="K135" s="43">
        <v>1</v>
      </c>
      <c r="L135" t="s">
        <v>7766</v>
      </c>
      <c r="M135" s="42">
        <v>1</v>
      </c>
      <c r="N135" s="42">
        <v>0.3</v>
      </c>
      <c r="O135">
        <v>1</v>
      </c>
      <c r="P135" s="42">
        <v>1</v>
      </c>
      <c r="Q135">
        <v>1</v>
      </c>
      <c r="R135">
        <v>2000</v>
      </c>
      <c r="S135">
        <v>2000</v>
      </c>
      <c r="T135">
        <v>2000</v>
      </c>
      <c r="U135" t="s">
        <v>7457</v>
      </c>
      <c r="W135" s="43">
        <v>0.6</v>
      </c>
      <c r="X135">
        <v>60</v>
      </c>
      <c r="Y135" t="s">
        <v>7448</v>
      </c>
      <c r="Z135" s="42">
        <v>0.6</v>
      </c>
      <c r="AA135" s="42">
        <v>0.6</v>
      </c>
      <c r="AB135">
        <v>100</v>
      </c>
    </row>
    <row r="136">
      <c r="A136" t="s">
        <v>7767</v>
      </c>
      <c r="B136" t="s">
        <v>7666</v>
      </c>
      <c r="C136" t="s">
        <v>7666</v>
      </c>
      <c r="D136" t="s">
        <v>7768</v>
      </c>
      <c r="E136" t="s">
        <v>7769</v>
      </c>
      <c r="F136" t="s">
        <v>6966</v>
      </c>
      <c r="G136" t="s">
        <v>7770</v>
      </c>
      <c r="H136" t="s">
        <v>7771</v>
      </c>
      <c r="I136" t="s">
        <v>7772</v>
      </c>
      <c r="J136" t="s">
        <v>7773</v>
      </c>
      <c r="K136" t="s">
        <v>7774</v>
      </c>
      <c r="L136" t="s">
        <v>7775</v>
      </c>
      <c r="M136" s="42">
        <v>1.28</v>
      </c>
      <c r="N136" s="42">
        <v>0.3</v>
      </c>
      <c r="O136">
        <v>1.2</v>
      </c>
      <c r="P136" s="42">
        <v>1.326</v>
      </c>
      <c r="Q136">
        <v>1.28</v>
      </c>
      <c r="R136">
        <v>2100</v>
      </c>
      <c r="S136">
        <v>2100</v>
      </c>
      <c r="T136">
        <v>3000</v>
      </c>
      <c r="U136" t="s">
        <v>7457</v>
      </c>
      <c r="W136" s="43">
        <v>0.6</v>
      </c>
      <c r="X136">
        <v>60</v>
      </c>
      <c r="Y136" t="s">
        <v>7448</v>
      </c>
      <c r="Z136" s="42">
        <v>0.6</v>
      </c>
      <c r="AA136" s="42">
        <v>0.6</v>
      </c>
      <c r="AB136">
        <v>100</v>
      </c>
    </row>
    <row r="137">
      <c r="A137" t="s">
        <v>7776</v>
      </c>
      <c r="B137" t="s">
        <v>7666</v>
      </c>
      <c r="C137" t="s">
        <v>7666</v>
      </c>
      <c r="D137" t="s">
        <v>7768</v>
      </c>
      <c r="E137" t="s">
        <v>7777</v>
      </c>
      <c r="F137" t="s">
        <v>6966</v>
      </c>
      <c r="G137" t="s">
        <v>7770</v>
      </c>
      <c r="H137" t="s">
        <v>7771</v>
      </c>
      <c r="J137" t="s">
        <v>7778</v>
      </c>
      <c r="K137" t="s">
        <v>7779</v>
      </c>
      <c r="L137" t="s">
        <v>7780</v>
      </c>
      <c r="M137" s="42">
        <v>1.28</v>
      </c>
      <c r="N137" s="42">
        <v>0.3</v>
      </c>
      <c r="O137">
        <v>1.2</v>
      </c>
      <c r="P137" s="42">
        <v>1.164</v>
      </c>
      <c r="Q137">
        <v>1.3</v>
      </c>
      <c r="R137">
        <v>3900</v>
      </c>
      <c r="S137">
        <v>3900</v>
      </c>
      <c r="T137">
        <v>3000</v>
      </c>
      <c r="U137" t="s">
        <v>7457</v>
      </c>
      <c r="W137" s="43">
        <v>0.6</v>
      </c>
      <c r="X137">
        <v>60</v>
      </c>
      <c r="Y137" t="s">
        <v>7448</v>
      </c>
      <c r="Z137" s="42">
        <v>0.6</v>
      </c>
      <c r="AA137" s="42">
        <v>0.6</v>
      </c>
      <c r="AB137">
        <v>100</v>
      </c>
    </row>
    <row r="138">
      <c r="A138" t="s">
        <v>7781</v>
      </c>
      <c r="B138" t="s">
        <v>7760</v>
      </c>
      <c r="C138" t="s">
        <v>7760</v>
      </c>
      <c r="D138" t="s">
        <v>7782</v>
      </c>
      <c r="E138" t="s">
        <v>7783</v>
      </c>
      <c r="F138" t="s">
        <v>6966</v>
      </c>
      <c r="G138" t="s">
        <v>7784</v>
      </c>
      <c r="H138" t="s">
        <v>7785</v>
      </c>
      <c r="I138" t="s">
        <v>7786</v>
      </c>
      <c r="J138" t="s">
        <v>7787</v>
      </c>
      <c r="K138" t="s">
        <v>7788</v>
      </c>
      <c r="L138" t="s">
        <v>7780</v>
      </c>
      <c r="M138" s="42">
        <v>2.57</v>
      </c>
      <c r="N138" s="42">
        <v>0.2</v>
      </c>
      <c r="O138">
        <v>1</v>
      </c>
      <c r="P138" s="42">
        <v>2.319</v>
      </c>
      <c r="Q138">
        <v>0.93</v>
      </c>
      <c r="R138">
        <v>4666.67</v>
      </c>
      <c r="S138">
        <v>4666.67</v>
      </c>
      <c r="T138">
        <v>5000</v>
      </c>
      <c r="U138" t="s">
        <v>7457</v>
      </c>
      <c r="W138" s="43">
        <v>0.6</v>
      </c>
      <c r="X138">
        <v>60</v>
      </c>
      <c r="Y138" t="s">
        <v>7448</v>
      </c>
      <c r="Z138" s="42">
        <v>0.6</v>
      </c>
      <c r="AA138" s="42">
        <v>0.6</v>
      </c>
      <c r="AB138">
        <v>100</v>
      </c>
    </row>
    <row r="139">
      <c r="A139" t="s">
        <v>7789</v>
      </c>
      <c r="B139" t="s">
        <v>7666</v>
      </c>
      <c r="C139" t="s">
        <v>7666</v>
      </c>
      <c r="D139" t="s">
        <v>7790</v>
      </c>
      <c r="E139" t="s">
        <v>7791</v>
      </c>
      <c r="F139" t="s">
        <v>6966</v>
      </c>
      <c r="G139" t="s">
        <v>7792</v>
      </c>
      <c r="H139" t="s">
        <v>7764</v>
      </c>
      <c r="I139" t="s">
        <v>7793</v>
      </c>
      <c r="J139" s="43">
        <v>0.8</v>
      </c>
      <c r="K139" s="43">
        <v>1</v>
      </c>
      <c r="L139" t="s">
        <v>7780</v>
      </c>
      <c r="M139" s="42">
        <v>1.25</v>
      </c>
      <c r="N139" s="42">
        <v>0.25</v>
      </c>
      <c r="O139">
        <v>1.2</v>
      </c>
      <c r="P139" s="42">
        <v>1.16975</v>
      </c>
      <c r="Q139">
        <v>1.1</v>
      </c>
      <c r="R139">
        <v>3600</v>
      </c>
      <c r="S139">
        <v>3600</v>
      </c>
      <c r="T139">
        <v>3000</v>
      </c>
      <c r="U139" t="s">
        <v>7457</v>
      </c>
      <c r="W139" s="43">
        <v>0.6</v>
      </c>
      <c r="X139">
        <v>60</v>
      </c>
      <c r="Y139" t="s">
        <v>7448</v>
      </c>
      <c r="Z139" s="42">
        <v>0.6</v>
      </c>
      <c r="AA139" s="42">
        <v>0.6</v>
      </c>
      <c r="AB139">
        <v>100</v>
      </c>
    </row>
    <row r="140">
      <c r="A140" t="s">
        <v>7794</v>
      </c>
      <c r="B140" t="s">
        <v>7666</v>
      </c>
      <c r="C140" t="s">
        <v>7666</v>
      </c>
      <c r="D140" t="s">
        <v>7790</v>
      </c>
      <c r="E140" t="s">
        <v>7795</v>
      </c>
      <c r="F140" t="s">
        <v>6966</v>
      </c>
      <c r="G140" t="s">
        <v>7792</v>
      </c>
      <c r="H140" t="s">
        <v>7764</v>
      </c>
      <c r="I140" t="s">
        <v>7796</v>
      </c>
      <c r="J140" s="43">
        <v>0.8</v>
      </c>
      <c r="K140" s="43">
        <v>1</v>
      </c>
      <c r="L140" t="s">
        <v>7797</v>
      </c>
      <c r="M140" s="42">
        <v>1.25</v>
      </c>
      <c r="N140" s="42">
        <v>0.25</v>
      </c>
      <c r="O140">
        <v>1.2</v>
      </c>
      <c r="P140" s="42">
        <v>1.105</v>
      </c>
      <c r="Q140">
        <v>1.09</v>
      </c>
      <c r="R140">
        <v>2400</v>
      </c>
      <c r="S140">
        <v>2400</v>
      </c>
      <c r="T140">
        <v>3000</v>
      </c>
      <c r="U140" t="s">
        <v>7457</v>
      </c>
      <c r="W140" s="43">
        <v>0.6</v>
      </c>
      <c r="X140">
        <v>60</v>
      </c>
      <c r="Y140" t="s">
        <v>7448</v>
      </c>
      <c r="Z140" s="42">
        <v>0.6</v>
      </c>
      <c r="AA140" s="42">
        <v>0.6</v>
      </c>
      <c r="AB140">
        <v>100</v>
      </c>
    </row>
    <row r="141">
      <c r="A141" t="s">
        <v>7798</v>
      </c>
      <c r="B141" t="s">
        <v>7760</v>
      </c>
      <c r="C141" t="s">
        <v>7760</v>
      </c>
      <c r="D141" t="s">
        <v>7799</v>
      </c>
      <c r="E141" t="s">
        <v>7800</v>
      </c>
      <c r="F141" t="s">
        <v>6966</v>
      </c>
      <c r="G141" t="s">
        <v>7801</v>
      </c>
      <c r="H141" t="s">
        <v>7764</v>
      </c>
      <c r="J141" s="43">
        <v>1</v>
      </c>
      <c r="K141" s="43">
        <v>1</v>
      </c>
      <c r="L141" t="s">
        <v>7040</v>
      </c>
      <c r="M141" s="42">
        <v>1</v>
      </c>
      <c r="N141" s="42">
        <v>0.5</v>
      </c>
      <c r="O141">
        <v>100</v>
      </c>
      <c r="P141" s="42">
        <v>1</v>
      </c>
      <c r="Q141">
        <v>100</v>
      </c>
      <c r="R141">
        <v>1000</v>
      </c>
      <c r="S141">
        <v>1000</v>
      </c>
      <c r="T141">
        <v>1000</v>
      </c>
      <c r="U141" t="s">
        <v>7457</v>
      </c>
      <c r="W141" s="43">
        <v>0.6</v>
      </c>
      <c r="X141">
        <v>60</v>
      </c>
      <c r="Y141" t="s">
        <v>7448</v>
      </c>
      <c r="Z141" s="42">
        <v>0.6</v>
      </c>
      <c r="AA141" s="42">
        <v>0.6</v>
      </c>
      <c r="AB141">
        <v>100</v>
      </c>
    </row>
    <row r="142">
      <c r="A142" t="s">
        <v>7802</v>
      </c>
      <c r="B142" t="s">
        <v>7760</v>
      </c>
      <c r="C142" t="s">
        <v>7760</v>
      </c>
      <c r="D142" t="s">
        <v>7803</v>
      </c>
      <c r="E142" t="s">
        <v>7804</v>
      </c>
      <c r="F142" t="s">
        <v>6966</v>
      </c>
      <c r="G142" t="s">
        <v>7801</v>
      </c>
      <c r="H142" t="s">
        <v>7764</v>
      </c>
      <c r="I142" t="s">
        <v>7805</v>
      </c>
      <c r="J142" s="43">
        <v>1</v>
      </c>
      <c r="K142" s="43">
        <v>1</v>
      </c>
      <c r="M142" s="42">
        <v>1</v>
      </c>
      <c r="N142" s="42">
        <v>0.5</v>
      </c>
      <c r="O142">
        <v>1</v>
      </c>
      <c r="P142" s="42">
        <v>1</v>
      </c>
      <c r="Q142">
        <v>1</v>
      </c>
      <c r="R142">
        <v>1000</v>
      </c>
      <c r="S142">
        <v>1000</v>
      </c>
      <c r="T142">
        <v>1000</v>
      </c>
      <c r="U142" t="s">
        <v>7457</v>
      </c>
      <c r="W142" s="43">
        <v>0.6</v>
      </c>
      <c r="X142">
        <v>60</v>
      </c>
      <c r="Y142" t="s">
        <v>7448</v>
      </c>
      <c r="Z142" s="42">
        <v>0.6</v>
      </c>
      <c r="AA142" s="42">
        <v>0.6</v>
      </c>
      <c r="AB142">
        <v>100</v>
      </c>
    </row>
    <row r="143">
      <c r="A143" t="s">
        <v>7806</v>
      </c>
      <c r="B143" t="s">
        <v>7642</v>
      </c>
      <c r="C143" t="s">
        <v>7642</v>
      </c>
      <c r="D143" t="s">
        <v>7807</v>
      </c>
      <c r="E143" t="s">
        <v>7808</v>
      </c>
      <c r="F143" t="s">
        <v>6966</v>
      </c>
      <c r="G143" t="s">
        <v>7809</v>
      </c>
      <c r="H143" t="s">
        <v>7645</v>
      </c>
      <c r="I143" t="s">
        <v>7810</v>
      </c>
      <c r="J143" t="s">
        <v>7811</v>
      </c>
      <c r="K143" t="s">
        <v>7812</v>
      </c>
      <c r="M143" s="42">
        <v>0.99</v>
      </c>
      <c r="N143" s="42">
        <v>0.5</v>
      </c>
      <c r="O143">
        <v>0.99</v>
      </c>
      <c r="P143" s="42">
        <v>1.00633</v>
      </c>
      <c r="Q143">
        <v>0.98</v>
      </c>
      <c r="R143">
        <v>7119.87</v>
      </c>
      <c r="S143">
        <v>6919.87</v>
      </c>
      <c r="T143">
        <v>6000</v>
      </c>
      <c r="U143" t="s">
        <v>7457</v>
      </c>
      <c r="W143" s="43">
        <v>0.6</v>
      </c>
      <c r="X143">
        <v>60</v>
      </c>
      <c r="Y143" t="s">
        <v>7448</v>
      </c>
      <c r="Z143" s="42">
        <v>0.6</v>
      </c>
      <c r="AA143" s="42">
        <v>0.6</v>
      </c>
      <c r="AB143">
        <v>100</v>
      </c>
    </row>
    <row r="144">
      <c r="A144" t="s">
        <v>7813</v>
      </c>
      <c r="B144" t="s">
        <v>7642</v>
      </c>
      <c r="C144" t="s">
        <v>7642</v>
      </c>
      <c r="D144" t="s">
        <v>7807</v>
      </c>
      <c r="E144" t="s">
        <v>7814</v>
      </c>
      <c r="F144" t="s">
        <v>6966</v>
      </c>
      <c r="G144" t="s">
        <v>7809</v>
      </c>
      <c r="H144" t="s">
        <v>7645</v>
      </c>
      <c r="J144" t="s">
        <v>7815</v>
      </c>
      <c r="K144" t="s">
        <v>7816</v>
      </c>
      <c r="L144" s="43">
        <v>1.08</v>
      </c>
      <c r="M144" s="42">
        <v>1.13</v>
      </c>
      <c r="N144" s="42">
        <v>0.5</v>
      </c>
      <c r="O144">
        <v>1.134</v>
      </c>
      <c r="P144" s="42">
        <v>1.785</v>
      </c>
      <c r="Q144">
        <v>1.06</v>
      </c>
      <c r="R144">
        <v>7572.33</v>
      </c>
      <c r="S144">
        <v>7172.33</v>
      </c>
      <c r="T144">
        <v>6000</v>
      </c>
      <c r="U144" t="s">
        <v>7457</v>
      </c>
      <c r="W144" s="43">
        <v>0.6</v>
      </c>
      <c r="X144">
        <v>60</v>
      </c>
      <c r="Y144" t="s">
        <v>7448</v>
      </c>
      <c r="Z144" s="42">
        <v>0.6</v>
      </c>
      <c r="AA144" s="42">
        <v>0.6</v>
      </c>
      <c r="AB144">
        <v>100</v>
      </c>
    </row>
    <row r="145">
      <c r="A145" t="s">
        <v>7817</v>
      </c>
      <c r="B145" t="s">
        <v>7818</v>
      </c>
      <c r="C145" t="s">
        <v>7818</v>
      </c>
      <c r="D145" t="s">
        <v>7807</v>
      </c>
      <c r="E145" t="s">
        <v>7819</v>
      </c>
      <c r="F145" t="s">
        <v>6966</v>
      </c>
      <c r="G145" t="s">
        <v>7809</v>
      </c>
      <c r="H145" t="s">
        <v>7645</v>
      </c>
      <c r="I145" t="s">
        <v>7820</v>
      </c>
      <c r="J145" t="s">
        <v>7811</v>
      </c>
      <c r="K145" t="s">
        <v>7821</v>
      </c>
      <c r="L145" s="43">
        <v>1.08</v>
      </c>
      <c r="M145" s="42">
        <v>0.88</v>
      </c>
      <c r="N145" s="42">
        <v>0.5</v>
      </c>
      <c r="O145">
        <v>0.88</v>
      </c>
      <c r="P145" s="42">
        <v>0.995</v>
      </c>
      <c r="Q145">
        <v>0.92</v>
      </c>
      <c r="R145">
        <v>5680.82</v>
      </c>
      <c r="S145">
        <v>5766.53</v>
      </c>
      <c r="T145">
        <v>6000</v>
      </c>
      <c r="U145" t="s">
        <v>7457</v>
      </c>
      <c r="W145" s="43">
        <v>0.6</v>
      </c>
      <c r="X145">
        <v>60</v>
      </c>
      <c r="Y145" t="s">
        <v>7448</v>
      </c>
      <c r="Z145" s="42">
        <v>0.6</v>
      </c>
      <c r="AA145" s="42">
        <v>0.6</v>
      </c>
      <c r="AB145">
        <v>100</v>
      </c>
    </row>
    <row r="146">
      <c r="A146" t="s">
        <v>7822</v>
      </c>
      <c r="B146" t="s">
        <v>7823</v>
      </c>
      <c r="C146" t="s">
        <v>7823</v>
      </c>
      <c r="D146" t="s">
        <v>7824</v>
      </c>
      <c r="E146" t="s">
        <v>7825</v>
      </c>
      <c r="F146" t="s">
        <v>6966</v>
      </c>
      <c r="G146" t="s">
        <v>7826</v>
      </c>
      <c r="H146" t="s">
        <v>7827</v>
      </c>
      <c r="I146" t="s">
        <v>7828</v>
      </c>
      <c r="J146" s="43">
        <v>1</v>
      </c>
      <c r="K146" t="s">
        <v>7829</v>
      </c>
      <c r="L146" t="s">
        <v>7830</v>
      </c>
      <c r="M146" s="42">
        <v>1</v>
      </c>
      <c r="N146" s="42">
        <v>0.25</v>
      </c>
      <c r="O146">
        <v>1</v>
      </c>
      <c r="P146" s="42">
        <v>0.7378</v>
      </c>
      <c r="Q146">
        <v>0.74</v>
      </c>
      <c r="R146">
        <v>3680</v>
      </c>
      <c r="S146">
        <v>3680</v>
      </c>
      <c r="T146">
        <v>5000</v>
      </c>
      <c r="U146" t="s">
        <v>7457</v>
      </c>
      <c r="W146" s="43">
        <v>0.6</v>
      </c>
      <c r="X146">
        <v>60</v>
      </c>
      <c r="Y146" t="s">
        <v>7448</v>
      </c>
      <c r="Z146" s="42">
        <v>0.6</v>
      </c>
      <c r="AA146" s="42">
        <v>0.6</v>
      </c>
      <c r="AB146">
        <v>100</v>
      </c>
    </row>
    <row r="147">
      <c r="A147" t="s">
        <v>7831</v>
      </c>
      <c r="B147" t="s">
        <v>7823</v>
      </c>
      <c r="C147" t="s">
        <v>7823</v>
      </c>
      <c r="D147" t="s">
        <v>7832</v>
      </c>
      <c r="E147" t="s">
        <v>7833</v>
      </c>
      <c r="F147" t="s">
        <v>6966</v>
      </c>
      <c r="G147" t="s">
        <v>7834</v>
      </c>
      <c r="H147" t="s">
        <v>7835</v>
      </c>
      <c r="I147" t="s">
        <v>7836</v>
      </c>
      <c r="J147" s="43">
        <v>1</v>
      </c>
      <c r="K147" s="43">
        <v>1</v>
      </c>
      <c r="L147" t="s">
        <v>7837</v>
      </c>
      <c r="M147" s="42">
        <v>1</v>
      </c>
      <c r="N147" s="42">
        <v>0.4</v>
      </c>
      <c r="O147">
        <v>1</v>
      </c>
      <c r="P147" s="42">
        <v>1</v>
      </c>
      <c r="Q147">
        <v>1</v>
      </c>
      <c r="R147">
        <v>1200</v>
      </c>
      <c r="S147">
        <v>1200</v>
      </c>
      <c r="T147">
        <v>1200</v>
      </c>
      <c r="U147" t="s">
        <v>7457</v>
      </c>
      <c r="W147" s="43">
        <v>0.6</v>
      </c>
      <c r="X147">
        <v>60</v>
      </c>
      <c r="Y147" t="s">
        <v>7448</v>
      </c>
      <c r="Z147" s="42">
        <v>0.6</v>
      </c>
      <c r="AA147" s="42">
        <v>0.6</v>
      </c>
      <c r="AB147">
        <v>100</v>
      </c>
    </row>
    <row r="148">
      <c r="A148" t="s">
        <v>7838</v>
      </c>
      <c r="B148" t="s">
        <v>7823</v>
      </c>
      <c r="C148" t="s">
        <v>7823</v>
      </c>
      <c r="D148" t="s">
        <v>7839</v>
      </c>
      <c r="E148" t="s">
        <v>7840</v>
      </c>
      <c r="F148" t="s">
        <v>6966</v>
      </c>
      <c r="G148" t="s">
        <v>7841</v>
      </c>
      <c r="H148" t="s">
        <v>7842</v>
      </c>
      <c r="J148" t="s">
        <v>7843</v>
      </c>
      <c r="K148" t="s">
        <v>7843</v>
      </c>
      <c r="L148" t="s">
        <v>7844</v>
      </c>
      <c r="M148" s="42">
        <v>1</v>
      </c>
      <c r="N148" s="42">
        <v>0.4</v>
      </c>
      <c r="O148">
        <v>1</v>
      </c>
      <c r="P148" s="42">
        <v>1.025</v>
      </c>
      <c r="Q148">
        <v>1.03</v>
      </c>
      <c r="R148">
        <v>2596.15</v>
      </c>
      <c r="S148">
        <v>2596.15</v>
      </c>
      <c r="T148">
        <v>3000</v>
      </c>
      <c r="U148" t="s">
        <v>7457</v>
      </c>
      <c r="W148" s="43">
        <v>0.6</v>
      </c>
      <c r="X148">
        <v>60</v>
      </c>
      <c r="Y148" t="s">
        <v>7448</v>
      </c>
      <c r="Z148" s="42">
        <v>0.6</v>
      </c>
      <c r="AA148" s="42">
        <v>0.6</v>
      </c>
      <c r="AB148">
        <v>100</v>
      </c>
    </row>
    <row r="149">
      <c r="A149" t="s">
        <v>7845</v>
      </c>
      <c r="B149" t="s">
        <v>7823</v>
      </c>
      <c r="C149" t="s">
        <v>7823</v>
      </c>
      <c r="D149" t="s">
        <v>7839</v>
      </c>
      <c r="E149" t="s">
        <v>7846</v>
      </c>
      <c r="F149" t="s">
        <v>6966</v>
      </c>
      <c r="G149" t="s">
        <v>7841</v>
      </c>
      <c r="H149" t="s">
        <v>7842</v>
      </c>
      <c r="J149" t="s">
        <v>7847</v>
      </c>
      <c r="K149" t="s">
        <v>7848</v>
      </c>
      <c r="L149" t="s">
        <v>7844</v>
      </c>
      <c r="M149" s="42">
        <v>1</v>
      </c>
      <c r="N149" s="42">
        <v>0.4</v>
      </c>
      <c r="O149">
        <v>1</v>
      </c>
      <c r="P149" s="42">
        <v>1.1</v>
      </c>
      <c r="Q149">
        <v>1.1</v>
      </c>
      <c r="R149">
        <v>3173.08</v>
      </c>
      <c r="S149">
        <v>3173.08</v>
      </c>
      <c r="T149">
        <v>3000</v>
      </c>
      <c r="U149" t="s">
        <v>7849</v>
      </c>
      <c r="X149" t="s">
        <v>7850</v>
      </c>
      <c r="Y149" t="s">
        <v>7448</v>
      </c>
      <c r="Z149" s="42">
        <v>0.5</v>
      </c>
      <c r="AA149" s="42">
        <v>0.15</v>
      </c>
      <c r="AB149">
        <v>100</v>
      </c>
    </row>
    <row r="150">
      <c r="A150" t="s">
        <v>7851</v>
      </c>
      <c r="B150" t="s">
        <v>7823</v>
      </c>
      <c r="C150" t="s">
        <v>7823</v>
      </c>
      <c r="D150" t="s">
        <v>7839</v>
      </c>
      <c r="E150" t="s">
        <v>7852</v>
      </c>
      <c r="F150" t="s">
        <v>6966</v>
      </c>
      <c r="G150" t="s">
        <v>7841</v>
      </c>
      <c r="H150" t="s">
        <v>7842</v>
      </c>
      <c r="J150" t="s">
        <v>7853</v>
      </c>
      <c r="K150">
        <v>0.846</v>
      </c>
      <c r="L150" t="s">
        <v>7844</v>
      </c>
      <c r="M150" s="42">
        <v>0.85</v>
      </c>
      <c r="N150" s="42">
        <v>0.4</v>
      </c>
      <c r="O150">
        <v>0.85</v>
      </c>
      <c r="P150" s="42">
        <v>0.74</v>
      </c>
      <c r="Q150">
        <v>0.74</v>
      </c>
      <c r="R150">
        <v>2307.69</v>
      </c>
      <c r="S150">
        <v>2307.69</v>
      </c>
      <c r="T150">
        <v>3000</v>
      </c>
      <c r="U150" t="s">
        <v>7854</v>
      </c>
      <c r="X150" t="s">
        <v>7855</v>
      </c>
      <c r="Y150" t="s">
        <v>7448</v>
      </c>
      <c r="Z150" s="42">
        <v>1</v>
      </c>
      <c r="AA150" s="42">
        <v>0.15</v>
      </c>
      <c r="AB150">
        <v>1</v>
      </c>
    </row>
    <row r="151">
      <c r="A151" t="s">
        <v>7856</v>
      </c>
      <c r="B151" t="s">
        <v>7823</v>
      </c>
      <c r="C151" t="s">
        <v>7823</v>
      </c>
      <c r="D151" t="s">
        <v>7839</v>
      </c>
      <c r="E151" t="s">
        <v>7857</v>
      </c>
      <c r="F151" t="s">
        <v>6966</v>
      </c>
      <c r="G151" t="s">
        <v>7841</v>
      </c>
      <c r="H151" t="s">
        <v>7842</v>
      </c>
      <c r="I151" t="s">
        <v>7858</v>
      </c>
      <c r="J151" t="s">
        <v>7859</v>
      </c>
      <c r="K151" t="s">
        <v>7860</v>
      </c>
      <c r="L151" t="s">
        <v>7861</v>
      </c>
      <c r="M151" s="42">
        <v>1</v>
      </c>
      <c r="N151" s="42">
        <v>0.4</v>
      </c>
      <c r="O151">
        <v>1</v>
      </c>
      <c r="P151" s="42">
        <v>1.222222</v>
      </c>
      <c r="Q151">
        <v>1.18</v>
      </c>
      <c r="R151">
        <v>3461.54</v>
      </c>
      <c r="S151">
        <v>3461.54</v>
      </c>
      <c r="T151">
        <v>3000</v>
      </c>
      <c r="U151" t="s">
        <v>7862</v>
      </c>
      <c r="X151">
        <v>1</v>
      </c>
      <c r="Y151" t="s">
        <v>7448</v>
      </c>
      <c r="Z151" s="42">
        <v>1</v>
      </c>
      <c r="AA151" s="42">
        <v>0.15</v>
      </c>
      <c r="AB151">
        <v>1</v>
      </c>
    </row>
    <row r="152">
      <c r="A152" t="s">
        <v>7863</v>
      </c>
      <c r="B152" t="s">
        <v>7823</v>
      </c>
      <c r="C152" t="s">
        <v>7823</v>
      </c>
      <c r="D152" t="s">
        <v>7000</v>
      </c>
      <c r="E152" t="s">
        <v>7864</v>
      </c>
      <c r="F152" t="s">
        <v>6966</v>
      </c>
      <c r="G152" t="s">
        <v>7841</v>
      </c>
      <c r="H152" t="s">
        <v>7842</v>
      </c>
      <c r="I152" t="s">
        <v>7865</v>
      </c>
      <c r="J152" t="s">
        <v>7866</v>
      </c>
      <c r="K152">
        <v>2.8</v>
      </c>
      <c r="L152" t="s">
        <v>7040</v>
      </c>
      <c r="M152" s="42">
        <v>1</v>
      </c>
      <c r="N152" s="42">
        <v>0.4</v>
      </c>
      <c r="O152">
        <v>1</v>
      </c>
      <c r="P152" s="42">
        <v>1.1</v>
      </c>
      <c r="Q152">
        <v>1.1</v>
      </c>
      <c r="R152">
        <v>5288.46</v>
      </c>
      <c r="S152">
        <v>5288.46</v>
      </c>
      <c r="T152">
        <v>5000</v>
      </c>
      <c r="U152" t="s">
        <v>7867</v>
      </c>
      <c r="V152" t="s">
        <v>7868</v>
      </c>
      <c r="X152" t="s">
        <v>7868</v>
      </c>
      <c r="Y152" t="s">
        <v>7867</v>
      </c>
      <c r="Z152" s="42">
        <v>1</v>
      </c>
      <c r="AA152" s="42">
        <v>0.15</v>
      </c>
      <c r="AB152">
        <v>1</v>
      </c>
    </row>
    <row r="153">
      <c r="A153" t="s">
        <v>7869</v>
      </c>
      <c r="B153" t="s">
        <v>7823</v>
      </c>
      <c r="C153" t="s">
        <v>7823</v>
      </c>
      <c r="D153" t="s">
        <v>7839</v>
      </c>
      <c r="E153" t="s">
        <v>7870</v>
      </c>
      <c r="F153" t="s">
        <v>6966</v>
      </c>
      <c r="G153" t="s">
        <v>7841</v>
      </c>
      <c r="H153" t="s">
        <v>7842</v>
      </c>
      <c r="I153" t="s">
        <v>7871</v>
      </c>
      <c r="J153" t="s">
        <v>7872</v>
      </c>
      <c r="K153">
        <v>0</v>
      </c>
      <c r="L153" t="s">
        <v>7040</v>
      </c>
      <c r="M153" s="42">
        <v>0.01</v>
      </c>
      <c r="N153" s="42">
        <v>0.4</v>
      </c>
      <c r="O153">
        <v>1</v>
      </c>
      <c r="P153" s="42">
        <v>0.011</v>
      </c>
      <c r="Q153">
        <v>1.1</v>
      </c>
      <c r="R153">
        <v>3173.08</v>
      </c>
      <c r="S153">
        <v>3173.08</v>
      </c>
      <c r="T153">
        <v>3000</v>
      </c>
      <c r="U153" t="s">
        <v>7873</v>
      </c>
      <c r="V153" t="s">
        <v>7874</v>
      </c>
      <c r="X153">
        <v>1</v>
      </c>
      <c r="Y153" t="s">
        <v>7867</v>
      </c>
      <c r="Z153" s="42">
        <v>1</v>
      </c>
      <c r="AA153" s="42">
        <v>1</v>
      </c>
      <c r="AB153">
        <v>1</v>
      </c>
    </row>
    <row r="154">
      <c r="A154" t="s">
        <v>7875</v>
      </c>
      <c r="B154" t="s">
        <v>7876</v>
      </c>
      <c r="C154" t="s">
        <v>7876</v>
      </c>
      <c r="D154" t="s">
        <v>7877</v>
      </c>
      <c r="E154" t="s">
        <v>7878</v>
      </c>
      <c r="F154" t="s">
        <v>6966</v>
      </c>
      <c r="G154" t="s">
        <v>7879</v>
      </c>
      <c r="H154" t="s">
        <v>7880</v>
      </c>
      <c r="I154" t="s">
        <v>7881</v>
      </c>
      <c r="L154" t="s">
        <v>7882</v>
      </c>
      <c r="M154" s="42">
        <v>1</v>
      </c>
      <c r="N154" s="42">
        <v>0.5</v>
      </c>
      <c r="O154">
        <v>1</v>
      </c>
      <c r="P154" s="42">
        <v>1</v>
      </c>
      <c r="Q154">
        <v>1</v>
      </c>
      <c r="R154">
        <v>3500</v>
      </c>
      <c r="S154">
        <v>3500</v>
      </c>
      <c r="T154">
        <v>5000</v>
      </c>
      <c r="U154" t="s">
        <v>7883</v>
      </c>
      <c r="V154" t="s">
        <v>7884</v>
      </c>
      <c r="X154" t="s">
        <v>7885</v>
      </c>
      <c r="Y154" t="s">
        <v>7867</v>
      </c>
      <c r="Z154" s="42">
        <v>0.01</v>
      </c>
      <c r="AA154" s="42">
        <v>0.15</v>
      </c>
      <c r="AB154">
        <v>1</v>
      </c>
    </row>
    <row r="155">
      <c r="A155" t="s">
        <v>7886</v>
      </c>
      <c r="B155" t="s">
        <v>7876</v>
      </c>
      <c r="C155" t="s">
        <v>7876</v>
      </c>
      <c r="D155" t="s">
        <v>7887</v>
      </c>
      <c r="E155" t="s">
        <v>7888</v>
      </c>
      <c r="F155" t="s">
        <v>6966</v>
      </c>
      <c r="G155" t="s">
        <v>7879</v>
      </c>
      <c r="H155" t="s">
        <v>7889</v>
      </c>
      <c r="I155" t="s">
        <v>7890</v>
      </c>
      <c r="J155" t="s">
        <v>7595</v>
      </c>
      <c r="L155" t="s">
        <v>7891</v>
      </c>
      <c r="M155" s="42">
        <v>1</v>
      </c>
      <c r="N155" s="42">
        <v>0.4</v>
      </c>
      <c r="O155">
        <v>1.2</v>
      </c>
      <c r="P155" s="42">
        <v>1</v>
      </c>
      <c r="Q155">
        <v>1.17</v>
      </c>
      <c r="R155">
        <v>2457</v>
      </c>
      <c r="S155">
        <v>2457</v>
      </c>
      <c r="T155">
        <v>3000</v>
      </c>
      <c r="U155" t="s">
        <v>7883</v>
      </c>
      <c r="V155" t="s">
        <v>7884</v>
      </c>
      <c r="X155" t="s">
        <v>7885</v>
      </c>
      <c r="Y155" t="s">
        <v>7867</v>
      </c>
      <c r="Z155" s="42">
        <v>0.01</v>
      </c>
      <c r="AA155" s="42">
        <v>0.15</v>
      </c>
      <c r="AB155">
        <v>1</v>
      </c>
    </row>
    <row r="156">
      <c r="A156" t="s">
        <v>7892</v>
      </c>
      <c r="B156" t="s">
        <v>7876</v>
      </c>
      <c r="C156" t="s">
        <v>7876</v>
      </c>
      <c r="D156" t="s">
        <v>7887</v>
      </c>
      <c r="E156" t="s">
        <v>7893</v>
      </c>
      <c r="F156" t="s">
        <v>6966</v>
      </c>
      <c r="G156" t="s">
        <v>7879</v>
      </c>
      <c r="H156" t="s">
        <v>7880</v>
      </c>
      <c r="I156" t="s">
        <v>7894</v>
      </c>
      <c r="J156">
        <v>1</v>
      </c>
      <c r="L156" t="s">
        <v>7895</v>
      </c>
      <c r="M156" s="42">
        <v>1</v>
      </c>
      <c r="N156" s="42">
        <v>0.95</v>
      </c>
      <c r="O156">
        <v>1</v>
      </c>
      <c r="P156" s="42">
        <v>0.95</v>
      </c>
      <c r="Q156">
        <v>0.95</v>
      </c>
      <c r="R156">
        <v>3230</v>
      </c>
      <c r="S156">
        <v>3230</v>
      </c>
      <c r="T156">
        <v>3400</v>
      </c>
      <c r="U156" t="s">
        <v>7883</v>
      </c>
      <c r="V156" t="s">
        <v>7884</v>
      </c>
      <c r="X156" t="s">
        <v>7885</v>
      </c>
      <c r="Y156" t="s">
        <v>7867</v>
      </c>
      <c r="Z156" s="42">
        <v>0.01</v>
      </c>
      <c r="AA156" s="42">
        <v>0.15</v>
      </c>
      <c r="AB156">
        <v>1</v>
      </c>
    </row>
    <row r="157">
      <c r="A157" t="s">
        <v>7896</v>
      </c>
      <c r="B157" t="s">
        <v>7876</v>
      </c>
      <c r="C157" t="s">
        <v>7876</v>
      </c>
      <c r="D157" t="s">
        <v>7887</v>
      </c>
      <c r="E157" t="s">
        <v>7897</v>
      </c>
      <c r="F157" t="s">
        <v>6966</v>
      </c>
      <c r="G157" t="s">
        <v>7879</v>
      </c>
      <c r="H157" t="s">
        <v>7889</v>
      </c>
      <c r="I157" t="s">
        <v>7898</v>
      </c>
      <c r="J157" s="43">
        <v>1</v>
      </c>
      <c r="L157" t="s">
        <v>7899</v>
      </c>
      <c r="M157" s="42">
        <v>1.2</v>
      </c>
      <c r="N157" s="42">
        <v>0.5</v>
      </c>
      <c r="O157">
        <v>1</v>
      </c>
      <c r="P157" s="42">
        <v>1.2</v>
      </c>
      <c r="Q157">
        <v>1</v>
      </c>
      <c r="R157">
        <v>2380</v>
      </c>
      <c r="S157">
        <v>2380</v>
      </c>
      <c r="T157">
        <v>3400</v>
      </c>
      <c r="U157" t="s">
        <v>7883</v>
      </c>
      <c r="V157" t="s">
        <v>7884</v>
      </c>
      <c r="X157" t="s">
        <v>7885</v>
      </c>
      <c r="Y157" t="s">
        <v>7867</v>
      </c>
      <c r="Z157" s="42">
        <v>0.01</v>
      </c>
      <c r="AA157" s="42">
        <v>0.15</v>
      </c>
      <c r="AB157">
        <v>1</v>
      </c>
    </row>
    <row r="158">
      <c r="A158" t="s">
        <v>7900</v>
      </c>
      <c r="B158" t="s">
        <v>7876</v>
      </c>
      <c r="C158" t="s">
        <v>7876</v>
      </c>
      <c r="D158" t="s">
        <v>7887</v>
      </c>
      <c r="E158" t="s">
        <v>7901</v>
      </c>
      <c r="F158" t="s">
        <v>6966</v>
      </c>
      <c r="G158" t="s">
        <v>7879</v>
      </c>
      <c r="H158" t="s">
        <v>7880</v>
      </c>
      <c r="I158" t="s">
        <v>7902</v>
      </c>
      <c r="L158" t="s">
        <v>7903</v>
      </c>
      <c r="M158" s="42">
        <v>1</v>
      </c>
      <c r="N158" s="42">
        <v>0.2</v>
      </c>
      <c r="O158">
        <v>1</v>
      </c>
      <c r="P158" s="42">
        <v>1</v>
      </c>
      <c r="Q158">
        <v>1</v>
      </c>
      <c r="R158">
        <v>2380</v>
      </c>
      <c r="S158">
        <v>2380</v>
      </c>
      <c r="T158">
        <v>3400</v>
      </c>
      <c r="U158" t="s">
        <v>7883</v>
      </c>
      <c r="V158" t="s">
        <v>7884</v>
      </c>
      <c r="X158" t="s">
        <v>7885</v>
      </c>
      <c r="Y158" t="s">
        <v>7867</v>
      </c>
      <c r="Z158" s="42">
        <v>0.01</v>
      </c>
      <c r="AA158" s="42">
        <v>0.15</v>
      </c>
      <c r="AB158">
        <v>1</v>
      </c>
    </row>
    <row r="159">
      <c r="A159" t="s">
        <v>7904</v>
      </c>
      <c r="B159" t="s">
        <v>7876</v>
      </c>
      <c r="C159" t="s">
        <v>7876</v>
      </c>
      <c r="D159" t="s">
        <v>7905</v>
      </c>
      <c r="E159" t="s">
        <v>7906</v>
      </c>
      <c r="F159" t="s">
        <v>6966</v>
      </c>
      <c r="G159" t="s">
        <v>7879</v>
      </c>
      <c r="H159" t="s">
        <v>7889</v>
      </c>
      <c r="I159" t="s">
        <v>7907</v>
      </c>
      <c r="J159" t="s">
        <v>7588</v>
      </c>
      <c r="L159" t="s">
        <v>7908</v>
      </c>
      <c r="M159" s="42">
        <v>1</v>
      </c>
      <c r="N159" s="42">
        <v>0.5</v>
      </c>
      <c r="O159">
        <v>1</v>
      </c>
      <c r="P159" s="42">
        <v>1</v>
      </c>
      <c r="Q159">
        <v>1</v>
      </c>
      <c r="R159">
        <v>5600</v>
      </c>
      <c r="S159">
        <v>5600</v>
      </c>
      <c r="T159">
        <v>8000</v>
      </c>
      <c r="U159" t="s">
        <v>7883</v>
      </c>
      <c r="V159" t="s">
        <v>7884</v>
      </c>
      <c r="X159" t="s">
        <v>7885</v>
      </c>
      <c r="Y159" t="s">
        <v>7867</v>
      </c>
      <c r="Z159" s="42">
        <v>0.01</v>
      </c>
      <c r="AA159" s="42">
        <v>0.15</v>
      </c>
      <c r="AB159">
        <v>1</v>
      </c>
    </row>
    <row r="160">
      <c r="A160" t="s">
        <v>7909</v>
      </c>
      <c r="B160" t="s">
        <v>7876</v>
      </c>
      <c r="C160" t="s">
        <v>7876</v>
      </c>
      <c r="D160" t="s">
        <v>7887</v>
      </c>
      <c r="E160" t="s">
        <v>7910</v>
      </c>
      <c r="F160" t="s">
        <v>6966</v>
      </c>
      <c r="G160" t="s">
        <v>7879</v>
      </c>
      <c r="H160" t="s">
        <v>7880</v>
      </c>
      <c r="I160" t="s">
        <v>7911</v>
      </c>
      <c r="L160" t="s">
        <v>7912</v>
      </c>
      <c r="M160" s="42">
        <v>1</v>
      </c>
      <c r="N160" s="42">
        <v>0.3</v>
      </c>
      <c r="O160">
        <v>1</v>
      </c>
      <c r="P160" s="42">
        <v>1</v>
      </c>
      <c r="Q160">
        <v>1</v>
      </c>
      <c r="R160">
        <v>2380</v>
      </c>
      <c r="S160">
        <v>2380</v>
      </c>
      <c r="T160">
        <v>3400</v>
      </c>
      <c r="U160" t="s">
        <v>7883</v>
      </c>
      <c r="V160" t="s">
        <v>7884</v>
      </c>
      <c r="X160" t="s">
        <v>7885</v>
      </c>
      <c r="Y160" t="s">
        <v>7867</v>
      </c>
      <c r="Z160" s="42">
        <v>0.01</v>
      </c>
      <c r="AA160" s="42">
        <v>0.15</v>
      </c>
      <c r="AB160">
        <v>1</v>
      </c>
    </row>
    <row r="161">
      <c r="A161" t="s">
        <v>7913</v>
      </c>
      <c r="B161" t="s">
        <v>7323</v>
      </c>
      <c r="C161" t="s">
        <v>7323</v>
      </c>
      <c r="D161" t="s">
        <v>7914</v>
      </c>
      <c r="E161" t="s">
        <v>7915</v>
      </c>
      <c r="F161" t="s">
        <v>6966</v>
      </c>
      <c r="G161" t="s">
        <v>7916</v>
      </c>
      <c r="H161" t="s">
        <v>7917</v>
      </c>
      <c r="I161" t="s">
        <v>7918</v>
      </c>
      <c r="J161" s="43">
        <v>1</v>
      </c>
      <c r="L161" t="s">
        <v>7919</v>
      </c>
      <c r="M161" s="42">
        <v>1</v>
      </c>
      <c r="N161" s="42">
        <v>0.4</v>
      </c>
      <c r="O161">
        <v>1</v>
      </c>
      <c r="P161" s="42">
        <v>1</v>
      </c>
      <c r="Q161">
        <v>1</v>
      </c>
      <c r="R161">
        <v>3000</v>
      </c>
      <c r="S161">
        <v>3000</v>
      </c>
      <c r="T161">
        <v>3000</v>
      </c>
      <c r="U161" t="s">
        <v>7883</v>
      </c>
      <c r="V161" t="s">
        <v>7884</v>
      </c>
      <c r="X161" t="s">
        <v>7885</v>
      </c>
      <c r="Y161" t="s">
        <v>7867</v>
      </c>
      <c r="Z161" s="42">
        <v>0.01</v>
      </c>
      <c r="AA161" s="42">
        <v>0.15</v>
      </c>
      <c r="AB161">
        <v>1</v>
      </c>
    </row>
    <row r="162">
      <c r="A162" t="s">
        <v>7920</v>
      </c>
      <c r="B162" t="s">
        <v>7323</v>
      </c>
      <c r="C162" t="s">
        <v>7323</v>
      </c>
      <c r="D162" t="s">
        <v>7914</v>
      </c>
      <c r="E162" t="s">
        <v>7921</v>
      </c>
      <c r="F162" t="s">
        <v>6966</v>
      </c>
      <c r="G162" t="s">
        <v>7916</v>
      </c>
      <c r="H162" t="s">
        <v>7922</v>
      </c>
      <c r="I162" t="s">
        <v>7923</v>
      </c>
      <c r="J162" s="43">
        <v>1</v>
      </c>
      <c r="K162" s="43">
        <v>1</v>
      </c>
      <c r="L162" t="s">
        <v>7923</v>
      </c>
      <c r="M162" s="42">
        <v>1</v>
      </c>
      <c r="N162" s="42">
        <v>0.3</v>
      </c>
      <c r="O162">
        <v>1</v>
      </c>
      <c r="P162" s="42">
        <v>1</v>
      </c>
      <c r="Q162">
        <v>1.5</v>
      </c>
      <c r="R162">
        <v>3600</v>
      </c>
      <c r="S162">
        <v>3600</v>
      </c>
      <c r="T162">
        <v>3000</v>
      </c>
      <c r="U162" t="s">
        <v>7883</v>
      </c>
      <c r="V162" t="s">
        <v>7884</v>
      </c>
      <c r="X162" t="s">
        <v>7885</v>
      </c>
      <c r="Y162" t="s">
        <v>7867</v>
      </c>
      <c r="Z162" s="42">
        <v>0.01</v>
      </c>
      <c r="AA162" s="42">
        <v>0.15</v>
      </c>
      <c r="AB162">
        <v>1</v>
      </c>
    </row>
    <row r="163">
      <c r="A163" t="s">
        <v>7924</v>
      </c>
      <c r="B163" t="s">
        <v>7323</v>
      </c>
      <c r="C163" t="s">
        <v>7323</v>
      </c>
      <c r="D163" t="s">
        <v>7925</v>
      </c>
      <c r="E163" t="s">
        <v>7926</v>
      </c>
      <c r="F163" t="s">
        <v>6966</v>
      </c>
      <c r="G163" t="s">
        <v>7916</v>
      </c>
      <c r="H163" t="s">
        <v>7917</v>
      </c>
      <c r="I163" t="s">
        <v>7927</v>
      </c>
      <c r="J163" s="43">
        <v>0.9</v>
      </c>
      <c r="L163" t="s">
        <v>7928</v>
      </c>
      <c r="M163" s="42">
        <v>1</v>
      </c>
      <c r="N163" s="42">
        <v>0.4</v>
      </c>
      <c r="O163">
        <v>1</v>
      </c>
      <c r="P163" s="42">
        <v>1</v>
      </c>
      <c r="Q163">
        <v>1</v>
      </c>
      <c r="R163">
        <v>500</v>
      </c>
      <c r="S163">
        <v>500</v>
      </c>
      <c r="T163">
        <v>0</v>
      </c>
      <c r="U163" t="s">
        <v>7883</v>
      </c>
      <c r="V163" t="s">
        <v>7884</v>
      </c>
      <c r="X163" t="s">
        <v>7885</v>
      </c>
      <c r="Y163" t="s">
        <v>7867</v>
      </c>
      <c r="Z163" s="42">
        <v>0.01</v>
      </c>
      <c r="AA163" s="42">
        <v>0.15</v>
      </c>
      <c r="AB163">
        <v>1</v>
      </c>
    </row>
    <row r="164">
      <c r="A164" t="s">
        <v>7929</v>
      </c>
      <c r="B164" t="s">
        <v>7876</v>
      </c>
      <c r="C164" t="s">
        <v>7876</v>
      </c>
      <c r="D164" t="s">
        <v>7000</v>
      </c>
      <c r="E164" t="s">
        <v>7930</v>
      </c>
      <c r="F164" t="s">
        <v>6966</v>
      </c>
      <c r="G164" t="s">
        <v>7879</v>
      </c>
      <c r="H164" t="s">
        <v>7889</v>
      </c>
      <c r="I164" t="s">
        <v>7931</v>
      </c>
      <c r="J164" s="43">
        <v>1</v>
      </c>
      <c r="L164" t="s">
        <v>7932</v>
      </c>
      <c r="M164" s="42">
        <v>1</v>
      </c>
      <c r="N164" s="42">
        <v>0.3</v>
      </c>
      <c r="O164">
        <v>1</v>
      </c>
      <c r="P164" s="42">
        <v>1</v>
      </c>
      <c r="Q164">
        <v>1</v>
      </c>
      <c r="R164">
        <v>0</v>
      </c>
      <c r="S164">
        <v>0</v>
      </c>
      <c r="T164">
        <v>5000</v>
      </c>
      <c r="U164" t="s">
        <v>7883</v>
      </c>
      <c r="V164" t="s">
        <v>7884</v>
      </c>
      <c r="X164" t="s">
        <v>7885</v>
      </c>
      <c r="Y164" t="s">
        <v>7867</v>
      </c>
      <c r="Z164" s="42">
        <v>0.01</v>
      </c>
      <c r="AA164" s="42">
        <v>0.15</v>
      </c>
      <c r="AB164">
        <v>1</v>
      </c>
    </row>
    <row r="165">
      <c r="A165" t="s">
        <v>7933</v>
      </c>
      <c r="B165" t="s">
        <v>7876</v>
      </c>
      <c r="C165" t="s">
        <v>7876</v>
      </c>
      <c r="D165" t="s">
        <v>7000</v>
      </c>
      <c r="E165" t="s">
        <v>7934</v>
      </c>
      <c r="F165" t="s">
        <v>6966</v>
      </c>
      <c r="G165" t="s">
        <v>7879</v>
      </c>
      <c r="H165" t="s">
        <v>7889</v>
      </c>
      <c r="I165" t="s">
        <v>7935</v>
      </c>
      <c r="J165" s="43">
        <v>1</v>
      </c>
      <c r="L165" t="s">
        <v>7936</v>
      </c>
      <c r="M165" s="42">
        <v>1</v>
      </c>
      <c r="N165" s="42">
        <v>0.2</v>
      </c>
      <c r="O165">
        <v>1</v>
      </c>
      <c r="P165" s="42">
        <v>1</v>
      </c>
      <c r="Q165">
        <v>1</v>
      </c>
      <c r="R165">
        <v>0</v>
      </c>
      <c r="S165">
        <v>0</v>
      </c>
      <c r="T165">
        <v>5000</v>
      </c>
      <c r="U165" t="s">
        <v>7883</v>
      </c>
      <c r="V165" t="s">
        <v>7884</v>
      </c>
      <c r="X165" t="s">
        <v>7885</v>
      </c>
      <c r="Y165" t="s">
        <v>7867</v>
      </c>
      <c r="Z165" s="42">
        <v>0.01</v>
      </c>
      <c r="AA165" s="42">
        <v>0.15</v>
      </c>
      <c r="AB165">
        <v>1</v>
      </c>
    </row>
    <row r="166">
      <c r="A166" t="s">
        <v>7937</v>
      </c>
      <c r="B166" t="s">
        <v>7938</v>
      </c>
      <c r="C166" t="s">
        <v>7938</v>
      </c>
      <c r="D166" t="s">
        <v>7939</v>
      </c>
      <c r="E166" t="s">
        <v>7940</v>
      </c>
      <c r="F166" t="s">
        <v>6966</v>
      </c>
      <c r="G166" t="s">
        <v>7941</v>
      </c>
      <c r="H166" t="s">
        <v>7942</v>
      </c>
      <c r="I166" t="s">
        <v>7943</v>
      </c>
      <c r="J166" s="43">
        <v>1</v>
      </c>
      <c r="K166" t="s">
        <v>7944</v>
      </c>
      <c r="L166" t="s">
        <v>7945</v>
      </c>
      <c r="M166" s="42">
        <v>1</v>
      </c>
      <c r="N166" s="42">
        <v>0.3</v>
      </c>
      <c r="O166">
        <v>1</v>
      </c>
      <c r="P166" s="42">
        <v>1</v>
      </c>
      <c r="Q166">
        <v>1</v>
      </c>
      <c r="R166">
        <v>1300</v>
      </c>
      <c r="S166">
        <v>1300</v>
      </c>
      <c r="T166">
        <v>1300</v>
      </c>
      <c r="U166" t="s">
        <v>7883</v>
      </c>
      <c r="V166" t="s">
        <v>7884</v>
      </c>
      <c r="X166" t="s">
        <v>7885</v>
      </c>
      <c r="Y166" t="s">
        <v>7867</v>
      </c>
      <c r="Z166" s="42">
        <v>0.01</v>
      </c>
      <c r="AA166" s="42">
        <v>0.15</v>
      </c>
      <c r="AB166">
        <v>1</v>
      </c>
    </row>
    <row r="167">
      <c r="A167" t="s">
        <v>7946</v>
      </c>
      <c r="B167" t="s">
        <v>7938</v>
      </c>
      <c r="C167" t="s">
        <v>7938</v>
      </c>
      <c r="D167" t="s">
        <v>7947</v>
      </c>
      <c r="E167" t="s">
        <v>7948</v>
      </c>
      <c r="F167" t="s">
        <v>6966</v>
      </c>
      <c r="G167" t="s">
        <v>7941</v>
      </c>
      <c r="H167" t="s">
        <v>7942</v>
      </c>
      <c r="I167" t="s">
        <v>7949</v>
      </c>
      <c r="J167">
        <v>100</v>
      </c>
      <c r="K167">
        <v>80</v>
      </c>
      <c r="L167" t="s">
        <v>7950</v>
      </c>
      <c r="M167" s="42">
        <v>0.8</v>
      </c>
      <c r="N167" s="42">
        <v>0.3</v>
      </c>
      <c r="O167">
        <v>0.8</v>
      </c>
      <c r="P167" s="42">
        <v>0.94</v>
      </c>
      <c r="Q167">
        <v>0.94</v>
      </c>
      <c r="R167">
        <v>1222</v>
      </c>
      <c r="S167">
        <v>1222</v>
      </c>
      <c r="T167">
        <v>1300</v>
      </c>
      <c r="U167" t="s">
        <v>7883</v>
      </c>
      <c r="V167" t="s">
        <v>7884</v>
      </c>
      <c r="X167" t="s">
        <v>7885</v>
      </c>
      <c r="Y167" t="s">
        <v>7867</v>
      </c>
      <c r="Z167" s="42">
        <v>0.01</v>
      </c>
      <c r="AA167" s="42">
        <v>0.15</v>
      </c>
      <c r="AB167">
        <v>1</v>
      </c>
    </row>
    <row r="168">
      <c r="A168" t="s">
        <v>7951</v>
      </c>
      <c r="B168" t="s">
        <v>7938</v>
      </c>
      <c r="C168" t="s">
        <v>7938</v>
      </c>
      <c r="D168" t="s">
        <v>7952</v>
      </c>
      <c r="E168" t="s">
        <v>7953</v>
      </c>
      <c r="F168" t="s">
        <v>6966</v>
      </c>
      <c r="G168" t="s">
        <v>7954</v>
      </c>
      <c r="H168" t="s">
        <v>7955</v>
      </c>
      <c r="I168" t="s">
        <v>7956</v>
      </c>
      <c r="J168">
        <v>100</v>
      </c>
      <c r="K168" s="43">
        <v>1</v>
      </c>
      <c r="L168" t="s">
        <v>7957</v>
      </c>
      <c r="M168" s="42">
        <v>1</v>
      </c>
      <c r="N168" s="42">
        <v>1</v>
      </c>
      <c r="O168">
        <v>1</v>
      </c>
      <c r="P168" s="42">
        <v>1</v>
      </c>
      <c r="Q168">
        <v>1</v>
      </c>
      <c r="R168">
        <v>300</v>
      </c>
      <c r="S168">
        <v>300</v>
      </c>
      <c r="T168">
        <v>300</v>
      </c>
      <c r="U168" t="s">
        <v>7883</v>
      </c>
      <c r="V168" t="s">
        <v>7884</v>
      </c>
      <c r="X168" t="s">
        <v>7885</v>
      </c>
      <c r="Y168" t="s">
        <v>7867</v>
      </c>
      <c r="Z168" s="42">
        <v>0.01</v>
      </c>
      <c r="AA168" s="42">
        <v>0.15</v>
      </c>
      <c r="AB168">
        <v>1</v>
      </c>
    </row>
    <row r="169">
      <c r="A169" t="s">
        <v>7958</v>
      </c>
      <c r="B169" t="s">
        <v>7938</v>
      </c>
      <c r="C169" t="s">
        <v>7938</v>
      </c>
      <c r="D169" t="s">
        <v>7959</v>
      </c>
      <c r="E169" t="s">
        <v>7960</v>
      </c>
      <c r="F169" t="s">
        <v>6966</v>
      </c>
      <c r="G169" t="s">
        <v>7954</v>
      </c>
      <c r="H169" t="s">
        <v>7955</v>
      </c>
      <c r="I169" t="s">
        <v>7956</v>
      </c>
      <c r="J169">
        <v>100</v>
      </c>
      <c r="K169" s="43">
        <v>1</v>
      </c>
      <c r="L169" t="s">
        <v>7957</v>
      </c>
      <c r="M169" s="42">
        <v>1</v>
      </c>
      <c r="N169" s="42">
        <v>1</v>
      </c>
      <c r="O169">
        <v>1</v>
      </c>
      <c r="P169" s="42">
        <v>1</v>
      </c>
      <c r="Q169">
        <v>1</v>
      </c>
      <c r="R169">
        <v>300</v>
      </c>
      <c r="S169">
        <v>300</v>
      </c>
      <c r="T169">
        <v>300</v>
      </c>
      <c r="U169" t="s">
        <v>7883</v>
      </c>
      <c r="V169" t="s">
        <v>7884</v>
      </c>
      <c r="X169" t="s">
        <v>7885</v>
      </c>
      <c r="Y169" t="s">
        <v>7867</v>
      </c>
      <c r="Z169" s="42">
        <v>0.01</v>
      </c>
      <c r="AA169" s="42">
        <v>0.15</v>
      </c>
      <c r="AB169">
        <v>1</v>
      </c>
    </row>
    <row r="170">
      <c r="A170" t="s">
        <v>7961</v>
      </c>
      <c r="B170" t="s">
        <v>7938</v>
      </c>
      <c r="C170" t="s">
        <v>7938</v>
      </c>
      <c r="D170" t="s">
        <v>7962</v>
      </c>
      <c r="E170" t="s">
        <v>7963</v>
      </c>
      <c r="F170" t="s">
        <v>6966</v>
      </c>
      <c r="G170" t="s">
        <v>7954</v>
      </c>
      <c r="H170" t="s">
        <v>7955</v>
      </c>
      <c r="I170" t="s">
        <v>7956</v>
      </c>
      <c r="J170">
        <v>100</v>
      </c>
      <c r="K170" s="43">
        <v>1</v>
      </c>
      <c r="L170" t="s">
        <v>7957</v>
      </c>
      <c r="M170" s="42">
        <v>1</v>
      </c>
      <c r="N170" s="42">
        <v>1</v>
      </c>
      <c r="O170">
        <v>1</v>
      </c>
      <c r="P170" s="42">
        <v>1</v>
      </c>
      <c r="Q170">
        <v>1</v>
      </c>
      <c r="R170">
        <v>300</v>
      </c>
      <c r="S170">
        <v>300</v>
      </c>
      <c r="T170">
        <v>300</v>
      </c>
      <c r="U170" t="s">
        <v>7883</v>
      </c>
      <c r="V170" t="s">
        <v>7884</v>
      </c>
      <c r="X170" t="s">
        <v>7885</v>
      </c>
      <c r="Y170" t="s">
        <v>7867</v>
      </c>
      <c r="Z170" s="42">
        <v>0.01</v>
      </c>
      <c r="AA170" s="42">
        <v>0.15</v>
      </c>
      <c r="AB170">
        <v>1</v>
      </c>
    </row>
    <row r="171">
      <c r="A171" t="s">
        <v>7964</v>
      </c>
      <c r="B171" t="s">
        <v>7938</v>
      </c>
      <c r="C171" t="s">
        <v>7938</v>
      </c>
      <c r="D171" t="s">
        <v>7962</v>
      </c>
      <c r="E171" t="s">
        <v>7965</v>
      </c>
      <c r="F171" t="s">
        <v>6966</v>
      </c>
      <c r="G171" t="s">
        <v>7966</v>
      </c>
      <c r="H171" t="s">
        <v>7967</v>
      </c>
      <c r="I171" t="s">
        <v>7968</v>
      </c>
      <c r="L171">
        <v>90</v>
      </c>
      <c r="M171" s="42">
        <v>0.9</v>
      </c>
      <c r="N171" s="42">
        <v>1</v>
      </c>
      <c r="O171">
        <v>0.9</v>
      </c>
      <c r="P171" s="42">
        <v>0.9</v>
      </c>
      <c r="Q171">
        <v>0.9</v>
      </c>
      <c r="R171">
        <v>200</v>
      </c>
      <c r="S171">
        <v>200</v>
      </c>
      <c r="T171">
        <v>200</v>
      </c>
      <c r="U171" t="s">
        <v>7883</v>
      </c>
      <c r="V171" t="s">
        <v>7884</v>
      </c>
      <c r="X171" t="s">
        <v>7885</v>
      </c>
      <c r="Y171" t="s">
        <v>7867</v>
      </c>
      <c r="Z171" s="42">
        <v>0.01</v>
      </c>
      <c r="AA171" s="42">
        <v>0.15</v>
      </c>
      <c r="AB171">
        <v>1</v>
      </c>
    </row>
    <row r="172">
      <c r="A172" t="s">
        <v>7969</v>
      </c>
      <c r="B172" t="s">
        <v>7938</v>
      </c>
      <c r="C172" t="s">
        <v>7938</v>
      </c>
      <c r="D172" t="s">
        <v>7962</v>
      </c>
      <c r="E172" t="s">
        <v>7970</v>
      </c>
      <c r="F172" t="s">
        <v>6966</v>
      </c>
      <c r="G172" t="s">
        <v>7966</v>
      </c>
      <c r="H172" t="s">
        <v>7967</v>
      </c>
      <c r="I172" t="s">
        <v>7968</v>
      </c>
      <c r="L172">
        <v>100</v>
      </c>
      <c r="M172" s="42">
        <v>1</v>
      </c>
      <c r="N172" s="42">
        <v>1</v>
      </c>
      <c r="O172">
        <v>1</v>
      </c>
      <c r="P172" s="42">
        <v>1</v>
      </c>
      <c r="Q172">
        <v>1</v>
      </c>
      <c r="R172">
        <v>300</v>
      </c>
      <c r="S172">
        <v>300</v>
      </c>
      <c r="T172">
        <v>300</v>
      </c>
      <c r="U172" t="s">
        <v>7883</v>
      </c>
      <c r="V172" t="s">
        <v>7884</v>
      </c>
      <c r="X172" t="s">
        <v>7885</v>
      </c>
      <c r="Y172" t="s">
        <v>7867</v>
      </c>
      <c r="Z172" s="42">
        <v>0.01</v>
      </c>
      <c r="AA172" s="42">
        <v>0.15</v>
      </c>
      <c r="AB172">
        <v>1</v>
      </c>
    </row>
    <row r="173">
      <c r="A173" t="s">
        <v>7971</v>
      </c>
      <c r="B173" t="s">
        <v>7938</v>
      </c>
      <c r="C173" t="s">
        <v>7938</v>
      </c>
      <c r="D173" t="s">
        <v>7962</v>
      </c>
      <c r="E173" t="s">
        <v>7972</v>
      </c>
      <c r="F173" t="s">
        <v>6966</v>
      </c>
      <c r="G173" t="s">
        <v>7966</v>
      </c>
      <c r="H173" t="s">
        <v>7967</v>
      </c>
      <c r="I173" t="s">
        <v>7968</v>
      </c>
      <c r="L173">
        <v>100</v>
      </c>
      <c r="M173" s="42">
        <v>1</v>
      </c>
      <c r="N173" s="42">
        <v>1</v>
      </c>
      <c r="O173">
        <v>1</v>
      </c>
      <c r="P173" s="42">
        <v>1</v>
      </c>
      <c r="Q173">
        <v>1</v>
      </c>
      <c r="R173">
        <v>300</v>
      </c>
      <c r="S173">
        <v>300</v>
      </c>
      <c r="T173">
        <v>300</v>
      </c>
      <c r="U173" t="s">
        <v>7883</v>
      </c>
      <c r="V173" t="s">
        <v>7884</v>
      </c>
      <c r="X173" t="s">
        <v>7885</v>
      </c>
      <c r="Y173" t="s">
        <v>7867</v>
      </c>
      <c r="Z173" s="42">
        <v>0.01</v>
      </c>
      <c r="AA173" s="42">
        <v>0.15</v>
      </c>
      <c r="AB173">
        <v>1</v>
      </c>
    </row>
    <row r="174">
      <c r="A174" t="s">
        <v>7973</v>
      </c>
      <c r="B174" t="s">
        <v>7938</v>
      </c>
      <c r="C174" t="s">
        <v>7938</v>
      </c>
      <c r="D174" t="s">
        <v>7962</v>
      </c>
      <c r="E174" t="s">
        <v>7974</v>
      </c>
      <c r="F174" t="s">
        <v>6966</v>
      </c>
      <c r="G174" t="s">
        <v>7966</v>
      </c>
      <c r="H174" t="s">
        <v>7967</v>
      </c>
      <c r="I174" t="s">
        <v>7968</v>
      </c>
      <c r="L174">
        <v>100</v>
      </c>
      <c r="M174" s="42">
        <v>1</v>
      </c>
      <c r="N174" s="42">
        <v>1</v>
      </c>
      <c r="O174">
        <v>1</v>
      </c>
      <c r="P174" s="42">
        <v>1</v>
      </c>
      <c r="Q174">
        <v>1</v>
      </c>
      <c r="R174">
        <v>0</v>
      </c>
      <c r="S174">
        <v>0</v>
      </c>
      <c r="T174">
        <v>300</v>
      </c>
      <c r="U174" t="s">
        <v>7883</v>
      </c>
      <c r="V174" t="s">
        <v>7884</v>
      </c>
      <c r="X174" t="s">
        <v>7885</v>
      </c>
      <c r="Y174" t="s">
        <v>7867</v>
      </c>
      <c r="Z174" s="42">
        <v>0.01</v>
      </c>
      <c r="AA174" s="42">
        <v>0.15</v>
      </c>
      <c r="AB174">
        <v>1</v>
      </c>
    </row>
    <row r="175">
      <c r="A175" t="s">
        <v>7975</v>
      </c>
      <c r="B175" t="s">
        <v>7938</v>
      </c>
      <c r="C175" t="s">
        <v>7938</v>
      </c>
      <c r="D175" t="s">
        <v>7962</v>
      </c>
      <c r="E175" t="s">
        <v>7976</v>
      </c>
      <c r="F175" t="s">
        <v>6966</v>
      </c>
      <c r="G175" t="s">
        <v>7966</v>
      </c>
      <c r="H175" t="s">
        <v>7967</v>
      </c>
      <c r="I175" t="s">
        <v>7968</v>
      </c>
      <c r="L175">
        <v>100</v>
      </c>
      <c r="M175" s="42">
        <v>1</v>
      </c>
      <c r="N175" s="42">
        <v>1</v>
      </c>
      <c r="O175">
        <v>1</v>
      </c>
      <c r="P175" s="42">
        <v>1</v>
      </c>
      <c r="Q175">
        <v>1</v>
      </c>
      <c r="R175">
        <v>0</v>
      </c>
      <c r="S175">
        <v>0</v>
      </c>
      <c r="T175">
        <v>300</v>
      </c>
      <c r="U175" t="s">
        <v>7883</v>
      </c>
      <c r="V175" t="s">
        <v>7884</v>
      </c>
      <c r="X175" t="s">
        <v>7885</v>
      </c>
      <c r="Y175" t="s">
        <v>7867</v>
      </c>
      <c r="Z175" s="42">
        <v>0.01</v>
      </c>
      <c r="AA175" s="42">
        <v>0.15</v>
      </c>
      <c r="AB175">
        <v>1</v>
      </c>
    </row>
    <row r="176">
      <c r="A176" t="s">
        <v>7977</v>
      </c>
      <c r="B176" t="s">
        <v>7938</v>
      </c>
      <c r="C176" t="s">
        <v>7938</v>
      </c>
      <c r="D176" t="s">
        <v>7978</v>
      </c>
      <c r="E176" t="s">
        <v>7979</v>
      </c>
      <c r="F176" t="s">
        <v>6966</v>
      </c>
      <c r="G176" t="s">
        <v>7980</v>
      </c>
      <c r="H176" t="s">
        <v>7981</v>
      </c>
      <c r="I176" t="s">
        <v>7982</v>
      </c>
      <c r="L176" t="s">
        <v>7983</v>
      </c>
      <c r="M176" s="42">
        <v>1</v>
      </c>
      <c r="N176" s="42">
        <v>0.4</v>
      </c>
      <c r="O176">
        <v>1</v>
      </c>
      <c r="P176" s="42">
        <v>0.925</v>
      </c>
      <c r="Q176">
        <v>0.88</v>
      </c>
      <c r="R176">
        <v>1144</v>
      </c>
      <c r="S176">
        <v>1144</v>
      </c>
      <c r="T176">
        <v>1300</v>
      </c>
      <c r="U176" t="s">
        <v>7883</v>
      </c>
      <c r="V176" t="s">
        <v>7884</v>
      </c>
      <c r="X176" t="s">
        <v>7885</v>
      </c>
      <c r="Y176" t="s">
        <v>7867</v>
      </c>
      <c r="Z176" s="42">
        <v>0.01</v>
      </c>
      <c r="AA176" s="42">
        <v>0.15</v>
      </c>
      <c r="AB176">
        <v>1</v>
      </c>
    </row>
    <row r="177">
      <c r="A177" t="s">
        <v>7984</v>
      </c>
      <c r="B177" t="s">
        <v>7938</v>
      </c>
      <c r="C177" t="s">
        <v>7938</v>
      </c>
      <c r="D177" t="s">
        <v>7985</v>
      </c>
      <c r="E177" t="s">
        <v>7986</v>
      </c>
      <c r="F177" t="s">
        <v>6966</v>
      </c>
      <c r="G177" t="s">
        <v>7980</v>
      </c>
      <c r="H177" t="s">
        <v>7981</v>
      </c>
      <c r="I177" t="s">
        <v>7987</v>
      </c>
      <c r="L177" t="s">
        <v>7988</v>
      </c>
      <c r="M177" s="42">
        <v>0.9</v>
      </c>
      <c r="N177" s="42">
        <v>0.3</v>
      </c>
      <c r="O177">
        <v>0.9</v>
      </c>
      <c r="P177" s="42">
        <v>0.954</v>
      </c>
      <c r="Q177">
        <v>0.95</v>
      </c>
      <c r="R177">
        <v>2102.4</v>
      </c>
      <c r="S177">
        <v>2102.4</v>
      </c>
      <c r="T177">
        <v>2000</v>
      </c>
      <c r="U177" t="s">
        <v>7883</v>
      </c>
      <c r="V177" t="s">
        <v>7884</v>
      </c>
      <c r="X177" t="s">
        <v>7885</v>
      </c>
      <c r="Y177" t="s">
        <v>7867</v>
      </c>
      <c r="Z177" s="42">
        <v>0.01</v>
      </c>
      <c r="AA177" s="42">
        <v>0.15</v>
      </c>
      <c r="AB177">
        <v>1</v>
      </c>
    </row>
    <row r="178">
      <c r="A178" t="s">
        <v>7989</v>
      </c>
      <c r="B178" t="s">
        <v>7938</v>
      </c>
      <c r="C178" t="s">
        <v>7938</v>
      </c>
      <c r="D178" t="s">
        <v>7000</v>
      </c>
      <c r="E178" t="s">
        <v>7990</v>
      </c>
      <c r="F178" t="s">
        <v>6966</v>
      </c>
      <c r="G178" t="s">
        <v>7980</v>
      </c>
      <c r="H178" t="s">
        <v>7991</v>
      </c>
      <c r="I178" t="s">
        <v>7992</v>
      </c>
      <c r="L178" t="s">
        <v>7993</v>
      </c>
      <c r="M178" s="42">
        <v>0.9</v>
      </c>
      <c r="N178" s="42">
        <v>0.45</v>
      </c>
      <c r="O178">
        <v>0.9</v>
      </c>
      <c r="P178" s="42">
        <v>0.955</v>
      </c>
      <c r="Q178">
        <v>0.96</v>
      </c>
      <c r="R178">
        <v>5076</v>
      </c>
      <c r="S178">
        <v>5076</v>
      </c>
      <c r="T178">
        <v>5000</v>
      </c>
      <c r="U178" t="s">
        <v>7883</v>
      </c>
      <c r="V178" t="s">
        <v>7884</v>
      </c>
      <c r="X178" t="s">
        <v>7885</v>
      </c>
      <c r="Y178" t="s">
        <v>7867</v>
      </c>
      <c r="Z178" s="42">
        <v>0.01</v>
      </c>
      <c r="AA178" s="42">
        <v>0.15</v>
      </c>
      <c r="AB178">
        <v>1</v>
      </c>
    </row>
    <row r="179">
      <c r="A179" t="s">
        <v>7994</v>
      </c>
      <c r="B179" t="s">
        <v>7938</v>
      </c>
      <c r="C179" t="s">
        <v>7938</v>
      </c>
      <c r="D179" t="s">
        <v>7995</v>
      </c>
      <c r="E179" t="s">
        <v>7996</v>
      </c>
      <c r="F179" t="s">
        <v>6966</v>
      </c>
      <c r="G179" t="s">
        <v>7980</v>
      </c>
      <c r="H179" t="s">
        <v>7981</v>
      </c>
      <c r="I179" t="s">
        <v>7997</v>
      </c>
      <c r="L179" t="s">
        <v>7998</v>
      </c>
      <c r="M179" s="42">
        <v>1</v>
      </c>
      <c r="N179" s="42">
        <v>0.3</v>
      </c>
      <c r="O179">
        <v>1</v>
      </c>
      <c r="P179" s="42">
        <v>0.92</v>
      </c>
      <c r="Q179">
        <v>0.92</v>
      </c>
      <c r="R179">
        <v>1932</v>
      </c>
      <c r="S179">
        <v>1932</v>
      </c>
      <c r="T179">
        <v>2000</v>
      </c>
      <c r="U179" t="s">
        <v>7883</v>
      </c>
      <c r="V179" t="s">
        <v>7884</v>
      </c>
      <c r="X179" t="s">
        <v>7885</v>
      </c>
      <c r="Y179" t="s">
        <v>7867</v>
      </c>
      <c r="Z179" s="42">
        <v>0.01</v>
      </c>
      <c r="AA179" s="42">
        <v>0.15</v>
      </c>
      <c r="AB179">
        <v>1</v>
      </c>
    </row>
    <row r="180">
      <c r="A180" t="s">
        <v>7999</v>
      </c>
      <c r="B180" t="s">
        <v>7938</v>
      </c>
      <c r="C180" t="s">
        <v>7938</v>
      </c>
      <c r="D180" t="s">
        <v>7000</v>
      </c>
      <c r="E180" t="s">
        <v>8000</v>
      </c>
      <c r="F180" t="s">
        <v>6966</v>
      </c>
      <c r="G180" t="s">
        <v>7980</v>
      </c>
      <c r="H180" t="s">
        <v>7981</v>
      </c>
      <c r="I180" t="s">
        <v>8001</v>
      </c>
      <c r="L180">
        <v>50</v>
      </c>
      <c r="M180" s="42">
        <v>0.5</v>
      </c>
      <c r="N180" s="42">
        <v>0.35</v>
      </c>
      <c r="O180">
        <v>0.4</v>
      </c>
      <c r="P180" s="42">
        <v>0.525</v>
      </c>
      <c r="Q180">
        <v>0.49</v>
      </c>
      <c r="R180">
        <v>0</v>
      </c>
      <c r="S180">
        <v>0</v>
      </c>
      <c r="T180">
        <v>5000</v>
      </c>
      <c r="U180" t="s">
        <v>7883</v>
      </c>
      <c r="V180" t="s">
        <v>7884</v>
      </c>
      <c r="X180" t="s">
        <v>7885</v>
      </c>
      <c r="Y180" t="s">
        <v>7867</v>
      </c>
      <c r="Z180" s="42">
        <v>0.01</v>
      </c>
      <c r="AA180" s="42">
        <v>0.15</v>
      </c>
      <c r="AB180">
        <v>1</v>
      </c>
    </row>
    <row r="181">
      <c r="A181" t="s">
        <v>8002</v>
      </c>
      <c r="B181" t="s">
        <v>7938</v>
      </c>
      <c r="C181" t="s">
        <v>7938</v>
      </c>
      <c r="D181" t="s">
        <v>7000</v>
      </c>
      <c r="E181" t="s">
        <v>8003</v>
      </c>
      <c r="F181" t="s">
        <v>6966</v>
      </c>
      <c r="G181" t="s">
        <v>7980</v>
      </c>
      <c r="H181" t="s">
        <v>7981</v>
      </c>
      <c r="I181" t="s">
        <v>8004</v>
      </c>
      <c r="L181" t="s">
        <v>8005</v>
      </c>
      <c r="M181" s="42">
        <v>1.1</v>
      </c>
      <c r="N181" s="42">
        <v>0.35</v>
      </c>
      <c r="O181">
        <v>1.1</v>
      </c>
      <c r="P181" s="42">
        <v>0.895</v>
      </c>
      <c r="Q181">
        <v>0.9</v>
      </c>
      <c r="R181">
        <v>0</v>
      </c>
      <c r="S181">
        <v>0</v>
      </c>
      <c r="T181">
        <v>5000</v>
      </c>
      <c r="U181" t="s">
        <v>7883</v>
      </c>
      <c r="V181" t="s">
        <v>7884</v>
      </c>
      <c r="X181" t="s">
        <v>7885</v>
      </c>
      <c r="Y181" t="s">
        <v>7867</v>
      </c>
      <c r="Z181" s="42">
        <v>0.01</v>
      </c>
      <c r="AA181" s="42">
        <v>0.15</v>
      </c>
      <c r="AB181">
        <v>1</v>
      </c>
    </row>
    <row r="182">
      <c r="A182" t="s">
        <v>8006</v>
      </c>
      <c r="B182" t="s">
        <v>7938</v>
      </c>
      <c r="C182" t="s">
        <v>7938</v>
      </c>
      <c r="D182" t="s">
        <v>8007</v>
      </c>
      <c r="E182" t="s">
        <v>8008</v>
      </c>
      <c r="F182" t="s">
        <v>6966</v>
      </c>
      <c r="G182" t="s">
        <v>7980</v>
      </c>
      <c r="H182" t="s">
        <v>7981</v>
      </c>
      <c r="I182" t="s">
        <v>8009</v>
      </c>
      <c r="L182" t="s">
        <v>8010</v>
      </c>
      <c r="M182" s="42">
        <v>1</v>
      </c>
      <c r="N182" s="42">
        <v>0.45</v>
      </c>
      <c r="O182">
        <v>1</v>
      </c>
      <c r="P182" s="42">
        <v>1</v>
      </c>
      <c r="Q182">
        <v>1</v>
      </c>
      <c r="R182">
        <v>0</v>
      </c>
      <c r="S182">
        <v>0</v>
      </c>
      <c r="T182">
        <v>3000</v>
      </c>
      <c r="U182" t="s">
        <v>7883</v>
      </c>
      <c r="V182" t="s">
        <v>7884</v>
      </c>
      <c r="X182" t="s">
        <v>7885</v>
      </c>
      <c r="Y182" t="s">
        <v>7867</v>
      </c>
      <c r="Z182" s="42">
        <v>0.01</v>
      </c>
      <c r="AA182" s="42">
        <v>0.15</v>
      </c>
      <c r="AB182">
        <v>1</v>
      </c>
    </row>
    <row r="183">
      <c r="A183" t="s">
        <v>8011</v>
      </c>
      <c r="B183" t="s">
        <v>7938</v>
      </c>
      <c r="C183" t="s">
        <v>7938</v>
      </c>
      <c r="D183" t="s">
        <v>8012</v>
      </c>
      <c r="E183" t="s">
        <v>8013</v>
      </c>
      <c r="F183" t="s">
        <v>6966</v>
      </c>
      <c r="G183" t="s">
        <v>8014</v>
      </c>
      <c r="H183" t="s">
        <v>7981</v>
      </c>
      <c r="I183" t="s">
        <v>8015</v>
      </c>
      <c r="L183" t="s">
        <v>8016</v>
      </c>
      <c r="M183" s="42">
        <v>1</v>
      </c>
      <c r="N183" s="42">
        <v>0.3</v>
      </c>
      <c r="O183">
        <v>1</v>
      </c>
      <c r="P183" s="42">
        <v>1</v>
      </c>
      <c r="Q183">
        <v>1</v>
      </c>
      <c r="R183">
        <v>3000</v>
      </c>
      <c r="S183">
        <v>3000</v>
      </c>
      <c r="T183">
        <v>3000</v>
      </c>
      <c r="U183" t="s">
        <v>7883</v>
      </c>
      <c r="V183" t="s">
        <v>7884</v>
      </c>
      <c r="X183" t="s">
        <v>7885</v>
      </c>
      <c r="Y183" t="s">
        <v>7867</v>
      </c>
      <c r="Z183" s="42">
        <v>0.01</v>
      </c>
      <c r="AA183" s="42">
        <v>0.15</v>
      </c>
      <c r="AB183">
        <v>1</v>
      </c>
    </row>
    <row r="184">
      <c r="A184" t="s">
        <v>8017</v>
      </c>
      <c r="B184" t="s">
        <v>8018</v>
      </c>
      <c r="C184" t="s">
        <v>8018</v>
      </c>
      <c r="D184" t="s">
        <v>8019</v>
      </c>
      <c r="E184" t="s">
        <v>8020</v>
      </c>
      <c r="F184" t="s">
        <v>6966</v>
      </c>
      <c r="G184" t="s">
        <v>8021</v>
      </c>
      <c r="H184" t="s">
        <v>8022</v>
      </c>
      <c r="I184" t="s">
        <v>8023</v>
      </c>
      <c r="J184">
        <v>14</v>
      </c>
      <c r="K184">
        <v>100</v>
      </c>
      <c r="L184" t="s">
        <v>8024</v>
      </c>
      <c r="M184" s="42">
        <v>1</v>
      </c>
      <c r="N184" s="42">
        <v>0.25</v>
      </c>
      <c r="O184">
        <v>25</v>
      </c>
      <c r="P184" s="42">
        <v>0.851</v>
      </c>
      <c r="Q184">
        <v>86</v>
      </c>
      <c r="R184">
        <v>1700</v>
      </c>
      <c r="S184">
        <v>2137</v>
      </c>
      <c r="T184">
        <v>2000</v>
      </c>
      <c r="U184" t="s">
        <v>7883</v>
      </c>
      <c r="V184" t="s">
        <v>7884</v>
      </c>
      <c r="X184" t="s">
        <v>7885</v>
      </c>
      <c r="Y184" t="s">
        <v>7867</v>
      </c>
      <c r="Z184" s="42">
        <v>0.01</v>
      </c>
      <c r="AA184" s="42">
        <v>0.15</v>
      </c>
      <c r="AB184">
        <v>1</v>
      </c>
    </row>
    <row r="185">
      <c r="A185" t="s">
        <v>8025</v>
      </c>
      <c r="B185" t="s">
        <v>8018</v>
      </c>
      <c r="C185" t="s">
        <v>8018</v>
      </c>
      <c r="D185" t="s">
        <v>8019</v>
      </c>
      <c r="E185" t="s">
        <v>8026</v>
      </c>
      <c r="F185" t="s">
        <v>6966</v>
      </c>
      <c r="G185" t="s">
        <v>8021</v>
      </c>
      <c r="H185" t="s">
        <v>8022</v>
      </c>
      <c r="I185" t="s">
        <v>8027</v>
      </c>
      <c r="J185" t="s">
        <v>8028</v>
      </c>
      <c r="K185" t="s">
        <v>8029</v>
      </c>
      <c r="L185" t="s">
        <v>8030</v>
      </c>
      <c r="M185" s="42">
        <v>1</v>
      </c>
      <c r="N185" s="42">
        <v>0.25</v>
      </c>
      <c r="O185">
        <v>25</v>
      </c>
      <c r="P185" s="42">
        <v>0.855</v>
      </c>
      <c r="Q185">
        <v>85.5</v>
      </c>
      <c r="R185">
        <v>1710</v>
      </c>
      <c r="S185">
        <v>2176</v>
      </c>
      <c r="T185">
        <v>2000</v>
      </c>
      <c r="U185" t="s">
        <v>7883</v>
      </c>
      <c r="V185" t="s">
        <v>7884</v>
      </c>
      <c r="X185" t="s">
        <v>7885</v>
      </c>
      <c r="Y185" t="s">
        <v>7867</v>
      </c>
      <c r="Z185" s="42">
        <v>0.01</v>
      </c>
      <c r="AA185" s="42">
        <v>0.15</v>
      </c>
      <c r="AB185">
        <v>1</v>
      </c>
    </row>
    <row r="186">
      <c r="A186" t="s">
        <v>8031</v>
      </c>
      <c r="B186" t="s">
        <v>8018</v>
      </c>
      <c r="C186" t="s">
        <v>8018</v>
      </c>
      <c r="D186" t="s">
        <v>8032</v>
      </c>
      <c r="E186" t="s">
        <v>8033</v>
      </c>
      <c r="F186" t="s">
        <v>6966</v>
      </c>
      <c r="G186" t="s">
        <v>8021</v>
      </c>
      <c r="H186" t="s">
        <v>8022</v>
      </c>
      <c r="I186" t="s">
        <v>8034</v>
      </c>
      <c r="J186" t="s">
        <v>8028</v>
      </c>
      <c r="K186" t="s">
        <v>8028</v>
      </c>
      <c r="L186" t="s">
        <v>8035</v>
      </c>
      <c r="M186" s="42">
        <v>1</v>
      </c>
      <c r="N186" s="42">
        <v>0.25</v>
      </c>
      <c r="O186">
        <v>25</v>
      </c>
      <c r="P186" s="42">
        <v>0.943</v>
      </c>
      <c r="Q186">
        <v>94.2</v>
      </c>
      <c r="R186">
        <v>1880</v>
      </c>
      <c r="S186">
        <v>2364</v>
      </c>
      <c r="T186">
        <v>2000</v>
      </c>
      <c r="U186" t="s">
        <v>7883</v>
      </c>
      <c r="V186" t="s">
        <v>7884</v>
      </c>
      <c r="X186" t="s">
        <v>7885</v>
      </c>
      <c r="Y186" t="s">
        <v>7867</v>
      </c>
      <c r="Z186" s="42">
        <v>0.01</v>
      </c>
      <c r="AA186" s="42">
        <v>0.15</v>
      </c>
      <c r="AB186">
        <v>1</v>
      </c>
    </row>
    <row r="187">
      <c r="A187" t="s">
        <v>8036</v>
      </c>
      <c r="B187" t="s">
        <v>8018</v>
      </c>
      <c r="C187" t="s">
        <v>8018</v>
      </c>
      <c r="D187" t="s">
        <v>8019</v>
      </c>
      <c r="E187" t="s">
        <v>8037</v>
      </c>
      <c r="F187" t="s">
        <v>6966</v>
      </c>
      <c r="G187" t="s">
        <v>8021</v>
      </c>
      <c r="H187" t="s">
        <v>8022</v>
      </c>
      <c r="I187" t="s">
        <v>8038</v>
      </c>
      <c r="J187" t="s">
        <v>8028</v>
      </c>
      <c r="K187" t="s">
        <v>8039</v>
      </c>
      <c r="L187" t="s">
        <v>8024</v>
      </c>
      <c r="M187" s="42">
        <v>1</v>
      </c>
      <c r="N187" s="42">
        <v>0.25</v>
      </c>
      <c r="O187">
        <v>25</v>
      </c>
      <c r="P187" s="42">
        <v>0.9135</v>
      </c>
      <c r="Q187">
        <v>91.4</v>
      </c>
      <c r="R187">
        <v>1820</v>
      </c>
      <c r="S187">
        <v>2479</v>
      </c>
      <c r="T187">
        <v>2500</v>
      </c>
      <c r="U187" t="s">
        <v>7883</v>
      </c>
      <c r="V187" t="s">
        <v>7884</v>
      </c>
      <c r="X187" t="s">
        <v>7885</v>
      </c>
      <c r="Y187" t="s">
        <v>7867</v>
      </c>
      <c r="Z187" s="42">
        <v>0.01</v>
      </c>
      <c r="AA187" s="42">
        <v>0.15</v>
      </c>
      <c r="AB187">
        <v>1</v>
      </c>
    </row>
    <row r="188">
      <c r="A188" t="s">
        <v>8040</v>
      </c>
      <c r="B188" t="s">
        <v>8018</v>
      </c>
      <c r="C188" t="s">
        <v>8018</v>
      </c>
      <c r="D188" t="s">
        <v>8019</v>
      </c>
      <c r="E188" t="s">
        <v>8041</v>
      </c>
      <c r="F188" t="s">
        <v>6966</v>
      </c>
      <c r="G188" t="s">
        <v>8042</v>
      </c>
      <c r="H188" t="s">
        <v>8043</v>
      </c>
      <c r="I188" t="s">
        <v>8044</v>
      </c>
      <c r="J188">
        <v>2500</v>
      </c>
      <c r="K188">
        <v>1513</v>
      </c>
      <c r="L188" t="s">
        <v>8045</v>
      </c>
      <c r="M188" s="42">
        <v>0.5</v>
      </c>
      <c r="N188" s="42">
        <v>0.3</v>
      </c>
      <c r="O188">
        <v>15</v>
      </c>
      <c r="P188" s="42">
        <v>0.7</v>
      </c>
      <c r="Q188">
        <v>70</v>
      </c>
      <c r="R188">
        <v>1050</v>
      </c>
      <c r="S188">
        <v>1050</v>
      </c>
      <c r="T188">
        <v>1200</v>
      </c>
      <c r="U188" t="s">
        <v>7883</v>
      </c>
      <c r="V188" t="s">
        <v>7884</v>
      </c>
      <c r="X188" t="s">
        <v>7885</v>
      </c>
      <c r="Y188" t="s">
        <v>7867</v>
      </c>
      <c r="Z188" s="42">
        <v>0.01</v>
      </c>
      <c r="AA188" s="42">
        <v>0.15</v>
      </c>
      <c r="AB188">
        <v>1</v>
      </c>
    </row>
    <row r="189">
      <c r="A189" t="s">
        <v>8046</v>
      </c>
      <c r="B189" t="s">
        <v>8018</v>
      </c>
      <c r="C189" t="s">
        <v>8018</v>
      </c>
      <c r="D189" t="s">
        <v>8019</v>
      </c>
      <c r="E189" t="s">
        <v>8047</v>
      </c>
      <c r="F189" t="s">
        <v>6966</v>
      </c>
      <c r="G189" t="s">
        <v>8042</v>
      </c>
      <c r="H189" t="s">
        <v>8048</v>
      </c>
      <c r="J189" s="43">
        <v>1</v>
      </c>
      <c r="K189" t="s">
        <v>8049</v>
      </c>
      <c r="M189" s="42">
        <v>0.84</v>
      </c>
      <c r="N189" s="42">
        <v>0.3</v>
      </c>
      <c r="O189">
        <v>25</v>
      </c>
      <c r="P189" s="42">
        <v>0.832</v>
      </c>
      <c r="Q189">
        <v>83</v>
      </c>
      <c r="R189">
        <v>1248</v>
      </c>
      <c r="S189">
        <v>1248</v>
      </c>
      <c r="T189">
        <v>1500</v>
      </c>
      <c r="U189" t="s">
        <v>7883</v>
      </c>
      <c r="V189" t="s">
        <v>7884</v>
      </c>
      <c r="X189" t="s">
        <v>7885</v>
      </c>
      <c r="Y189" t="s">
        <v>7867</v>
      </c>
      <c r="Z189" s="42">
        <v>0.01</v>
      </c>
      <c r="AA189" s="42">
        <v>0.15</v>
      </c>
      <c r="AB189">
        <v>1</v>
      </c>
    </row>
    <row r="190">
      <c r="A190" t="s">
        <v>8050</v>
      </c>
      <c r="B190" t="s">
        <v>7938</v>
      </c>
      <c r="C190" t="s">
        <v>7938</v>
      </c>
      <c r="D190" t="s">
        <v>8051</v>
      </c>
      <c r="E190" t="s">
        <v>8052</v>
      </c>
      <c r="F190" t="s">
        <v>6966</v>
      </c>
      <c r="G190" t="s">
        <v>8014</v>
      </c>
      <c r="H190" t="s">
        <v>7981</v>
      </c>
      <c r="I190" t="s">
        <v>8053</v>
      </c>
      <c r="L190" t="s">
        <v>8054</v>
      </c>
      <c r="M190" s="42">
        <v>1</v>
      </c>
      <c r="N190" s="42">
        <v>0.3</v>
      </c>
      <c r="O190">
        <v>1</v>
      </c>
      <c r="P190" s="42">
        <v>0.96</v>
      </c>
      <c r="Q190">
        <v>0.96</v>
      </c>
      <c r="R190">
        <v>0</v>
      </c>
      <c r="S190">
        <v>0</v>
      </c>
      <c r="T190">
        <v>2000</v>
      </c>
      <c r="U190" t="s">
        <v>7883</v>
      </c>
      <c r="V190" t="s">
        <v>7884</v>
      </c>
      <c r="X190" t="s">
        <v>7885</v>
      </c>
      <c r="Y190" t="s">
        <v>7867</v>
      </c>
      <c r="Z190" s="42">
        <v>0.01</v>
      </c>
      <c r="AA190" s="42">
        <v>0.15</v>
      </c>
      <c r="AB190">
        <v>1</v>
      </c>
    </row>
    <row r="191">
      <c r="A191" t="s">
        <v>8055</v>
      </c>
      <c r="B191" t="s">
        <v>8018</v>
      </c>
      <c r="C191" t="s">
        <v>8018</v>
      </c>
      <c r="D191" t="s">
        <v>8019</v>
      </c>
      <c r="E191" t="s">
        <v>8056</v>
      </c>
      <c r="F191" t="s">
        <v>6966</v>
      </c>
      <c r="G191" t="s">
        <v>8057</v>
      </c>
      <c r="H191" t="s">
        <v>8058</v>
      </c>
      <c r="I191" t="s">
        <v>8059</v>
      </c>
      <c r="J191" t="s">
        <v>8060</v>
      </c>
      <c r="K191" t="s">
        <v>8061</v>
      </c>
      <c r="L191" t="s">
        <v>8062</v>
      </c>
      <c r="M191" s="42">
        <v>0.7</v>
      </c>
      <c r="N191" s="42">
        <v>0.1</v>
      </c>
      <c r="O191">
        <v>7</v>
      </c>
      <c r="P191" s="42">
        <v>0.815</v>
      </c>
      <c r="Q191">
        <v>82</v>
      </c>
      <c r="R191">
        <v>1875</v>
      </c>
      <c r="S191">
        <v>1846</v>
      </c>
      <c r="T191">
        <v>1500</v>
      </c>
      <c r="U191" t="s">
        <v>7883</v>
      </c>
      <c r="V191" t="s">
        <v>7884</v>
      </c>
      <c r="X191" t="s">
        <v>7885</v>
      </c>
      <c r="Y191" t="s">
        <v>7867</v>
      </c>
      <c r="Z191" s="42">
        <v>0.01</v>
      </c>
      <c r="AA191" s="42">
        <v>0.15</v>
      </c>
      <c r="AB191">
        <v>1</v>
      </c>
    </row>
    <row r="192">
      <c r="A192" t="s">
        <v>8063</v>
      </c>
      <c r="B192" t="s">
        <v>8018</v>
      </c>
      <c r="C192" t="s">
        <v>8018</v>
      </c>
      <c r="D192" t="s">
        <v>8019</v>
      </c>
      <c r="E192" t="s">
        <v>8064</v>
      </c>
      <c r="F192" t="s">
        <v>6966</v>
      </c>
      <c r="G192" t="s">
        <v>8057</v>
      </c>
      <c r="H192" t="s">
        <v>8058</v>
      </c>
      <c r="I192" t="s">
        <v>8059</v>
      </c>
      <c r="J192" t="s">
        <v>8060</v>
      </c>
      <c r="K192" t="s">
        <v>8060</v>
      </c>
      <c r="L192">
        <v>17315</v>
      </c>
      <c r="M192" s="42">
        <v>1</v>
      </c>
      <c r="N192" s="42">
        <v>0.1</v>
      </c>
      <c r="O192">
        <v>10</v>
      </c>
      <c r="P192" s="42">
        <v>0.886</v>
      </c>
      <c r="Q192">
        <v>77</v>
      </c>
      <c r="R192">
        <v>1350</v>
      </c>
      <c r="S192">
        <v>1350</v>
      </c>
      <c r="T192">
        <v>1500</v>
      </c>
      <c r="U192" t="s">
        <v>7883</v>
      </c>
      <c r="V192" t="s">
        <v>7884</v>
      </c>
      <c r="X192" t="s">
        <v>7885</v>
      </c>
      <c r="Y192" t="s">
        <v>7867</v>
      </c>
      <c r="Z192" s="42">
        <v>0.01</v>
      </c>
      <c r="AA192" s="42">
        <v>0.15</v>
      </c>
      <c r="AB192">
        <v>1</v>
      </c>
    </row>
    <row r="193">
      <c r="A193" t="s">
        <v>8065</v>
      </c>
      <c r="B193" t="s">
        <v>8018</v>
      </c>
      <c r="C193" t="s">
        <v>8018</v>
      </c>
      <c r="D193" t="s">
        <v>8019</v>
      </c>
      <c r="E193" t="s">
        <v>8066</v>
      </c>
      <c r="F193" t="s">
        <v>6966</v>
      </c>
      <c r="G193" t="s">
        <v>8057</v>
      </c>
      <c r="H193" t="s">
        <v>8058</v>
      </c>
      <c r="I193" t="s">
        <v>8059</v>
      </c>
      <c r="J193" t="s">
        <v>8060</v>
      </c>
      <c r="K193" t="s">
        <v>8067</v>
      </c>
      <c r="L193" t="s">
        <v>8068</v>
      </c>
      <c r="M193" s="42">
        <v>0.7</v>
      </c>
      <c r="N193" s="42">
        <v>0.1</v>
      </c>
      <c r="O193">
        <v>7</v>
      </c>
      <c r="P193" s="42">
        <v>0.715</v>
      </c>
      <c r="Q193">
        <v>72</v>
      </c>
      <c r="R193">
        <v>1125</v>
      </c>
      <c r="S193">
        <v>1125</v>
      </c>
      <c r="T193">
        <v>1500</v>
      </c>
      <c r="U193" t="s">
        <v>7883</v>
      </c>
      <c r="V193" t="s">
        <v>7884</v>
      </c>
      <c r="X193" t="s">
        <v>7885</v>
      </c>
      <c r="Y193" t="s">
        <v>7867</v>
      </c>
      <c r="Z193" s="42">
        <v>0.01</v>
      </c>
      <c r="AA193" s="42">
        <v>0.15</v>
      </c>
      <c r="AB193">
        <v>1</v>
      </c>
    </row>
    <row r="194">
      <c r="A194" t="s">
        <v>8069</v>
      </c>
      <c r="B194" t="s">
        <v>8018</v>
      </c>
      <c r="C194" t="s">
        <v>8018</v>
      </c>
      <c r="D194" t="s">
        <v>8019</v>
      </c>
      <c r="E194" t="s">
        <v>8070</v>
      </c>
      <c r="F194" t="s">
        <v>6966</v>
      </c>
      <c r="G194" t="s">
        <v>8057</v>
      </c>
      <c r="H194" t="s">
        <v>8058</v>
      </c>
      <c r="I194" t="s">
        <v>8071</v>
      </c>
      <c r="J194" s="43">
        <v>1</v>
      </c>
      <c r="K194" s="43">
        <v>0.7</v>
      </c>
      <c r="L194">
        <v>14817</v>
      </c>
      <c r="M194" s="42">
        <v>0.7</v>
      </c>
      <c r="N194" s="42">
        <v>0.1</v>
      </c>
      <c r="O194">
        <v>7</v>
      </c>
      <c r="P194" s="42">
        <v>0.865</v>
      </c>
      <c r="Q194">
        <v>87</v>
      </c>
      <c r="R194">
        <v>2250</v>
      </c>
      <c r="S194">
        <v>2250</v>
      </c>
      <c r="T194">
        <v>1500</v>
      </c>
      <c r="U194" t="s">
        <v>7883</v>
      </c>
      <c r="V194" t="s">
        <v>7884</v>
      </c>
      <c r="X194" t="s">
        <v>7885</v>
      </c>
      <c r="Y194" t="s">
        <v>7867</v>
      </c>
      <c r="Z194" s="42">
        <v>0.01</v>
      </c>
      <c r="AA194" s="42">
        <v>0.15</v>
      </c>
      <c r="AB194">
        <v>1</v>
      </c>
    </row>
    <row r="195">
      <c r="A195" t="s">
        <v>8072</v>
      </c>
      <c r="B195" t="s">
        <v>8018</v>
      </c>
      <c r="C195" t="s">
        <v>8018</v>
      </c>
      <c r="D195" t="s">
        <v>8019</v>
      </c>
      <c r="E195" t="s">
        <v>8073</v>
      </c>
      <c r="F195" t="s">
        <v>6966</v>
      </c>
      <c r="G195" t="s">
        <v>8057</v>
      </c>
      <c r="H195" t="s">
        <v>8058</v>
      </c>
      <c r="I195" t="s">
        <v>8059</v>
      </c>
      <c r="J195" s="43">
        <v>0</v>
      </c>
      <c r="K195" t="s">
        <v>8074</v>
      </c>
      <c r="L195" s="43">
        <v>0.7</v>
      </c>
      <c r="M195" s="42">
        <v>1</v>
      </c>
      <c r="N195" s="42">
        <v>0.1</v>
      </c>
      <c r="O195">
        <v>70</v>
      </c>
      <c r="P195" s="42">
        <v>1</v>
      </c>
      <c r="Q195">
        <v>67</v>
      </c>
      <c r="R195">
        <v>900</v>
      </c>
      <c r="S195">
        <v>900</v>
      </c>
      <c r="T195">
        <v>1500</v>
      </c>
      <c r="U195" t="s">
        <v>7883</v>
      </c>
      <c r="V195" t="s">
        <v>7884</v>
      </c>
      <c r="X195" t="s">
        <v>7885</v>
      </c>
      <c r="Y195" t="s">
        <v>7867</v>
      </c>
      <c r="Z195" s="42">
        <v>0.01</v>
      </c>
      <c r="AA195" s="42">
        <v>0.15</v>
      </c>
      <c r="AB195">
        <v>1</v>
      </c>
    </row>
    <row r="196">
      <c r="A196" t="s">
        <v>8075</v>
      </c>
      <c r="B196" t="s">
        <v>8018</v>
      </c>
      <c r="C196" t="s">
        <v>8018</v>
      </c>
      <c r="D196" t="s">
        <v>8019</v>
      </c>
      <c r="E196" t="s">
        <v>8076</v>
      </c>
      <c r="F196" t="s">
        <v>6966</v>
      </c>
      <c r="G196" t="s">
        <v>8077</v>
      </c>
      <c r="H196" t="s">
        <v>8078</v>
      </c>
      <c r="I196" t="s">
        <v>8079</v>
      </c>
      <c r="J196" s="43">
        <v>0.35</v>
      </c>
      <c r="K196" t="s">
        <v>8080</v>
      </c>
      <c r="L196" s="43">
        <v>0.6</v>
      </c>
      <c r="M196" s="42">
        <v>0</v>
      </c>
      <c r="N196" s="42">
        <v>0.3</v>
      </c>
      <c r="O196">
        <v>0</v>
      </c>
      <c r="P196" s="42">
        <v>0.7</v>
      </c>
      <c r="Q196">
        <v>70</v>
      </c>
      <c r="R196">
        <v>1050</v>
      </c>
      <c r="S196">
        <v>1284</v>
      </c>
      <c r="T196">
        <v>1500</v>
      </c>
      <c r="U196" t="s">
        <v>7883</v>
      </c>
      <c r="V196" t="s">
        <v>7884</v>
      </c>
      <c r="X196" t="s">
        <v>7885</v>
      </c>
      <c r="Y196" t="s">
        <v>7867</v>
      </c>
      <c r="Z196" s="42">
        <v>0.01</v>
      </c>
      <c r="AA196" s="42">
        <v>0.15</v>
      </c>
      <c r="AB196">
        <v>1</v>
      </c>
    </row>
    <row r="197">
      <c r="A197" t="s">
        <v>8081</v>
      </c>
      <c r="B197" t="s">
        <v>8018</v>
      </c>
      <c r="C197" t="s">
        <v>8018</v>
      </c>
      <c r="D197" t="s">
        <v>8019</v>
      </c>
      <c r="E197" t="s">
        <v>8082</v>
      </c>
      <c r="F197" t="s">
        <v>6966</v>
      </c>
      <c r="G197" t="s">
        <v>8077</v>
      </c>
      <c r="H197" t="s">
        <v>8078</v>
      </c>
      <c r="I197" t="s">
        <v>8083</v>
      </c>
      <c r="J197" s="43">
        <v>0.35</v>
      </c>
      <c r="K197" t="s">
        <v>8084</v>
      </c>
      <c r="L197" s="43">
        <v>0.6</v>
      </c>
      <c r="M197" s="42">
        <v>1</v>
      </c>
      <c r="N197" s="42">
        <v>0.3</v>
      </c>
      <c r="O197">
        <v>30</v>
      </c>
      <c r="P197" s="42">
        <v>0.82</v>
      </c>
      <c r="Q197">
        <v>82</v>
      </c>
      <c r="R197">
        <v>1230</v>
      </c>
      <c r="S197">
        <v>1230</v>
      </c>
      <c r="T197">
        <v>1500</v>
      </c>
      <c r="U197" t="s">
        <v>7883</v>
      </c>
      <c r="V197" t="s">
        <v>7884</v>
      </c>
      <c r="X197" t="s">
        <v>7885</v>
      </c>
      <c r="Y197" t="s">
        <v>7867</v>
      </c>
      <c r="Z197" s="42">
        <v>0.01</v>
      </c>
      <c r="AA197" s="42">
        <v>0.15</v>
      </c>
      <c r="AB197">
        <v>1</v>
      </c>
    </row>
    <row r="198">
      <c r="A198" t="s">
        <v>8085</v>
      </c>
      <c r="B198" t="s">
        <v>8018</v>
      </c>
      <c r="C198" t="s">
        <v>8018</v>
      </c>
      <c r="D198" t="s">
        <v>8019</v>
      </c>
      <c r="E198" t="s">
        <v>8086</v>
      </c>
      <c r="F198" t="s">
        <v>6966</v>
      </c>
      <c r="G198" t="s">
        <v>8077</v>
      </c>
      <c r="H198" t="s">
        <v>8078</v>
      </c>
      <c r="I198" t="s">
        <v>8087</v>
      </c>
      <c r="J198" s="43">
        <v>0.35</v>
      </c>
      <c r="K198" s="43">
        <v>0.28</v>
      </c>
      <c r="L198" s="43">
        <v>0.6</v>
      </c>
      <c r="M198" s="42">
        <v>0.6</v>
      </c>
      <c r="N198" s="42">
        <v>0.3</v>
      </c>
      <c r="O198">
        <v>18</v>
      </c>
      <c r="P198" s="42">
        <v>0.82</v>
      </c>
      <c r="Q198">
        <v>82</v>
      </c>
      <c r="R198">
        <v>1230</v>
      </c>
      <c r="S198">
        <v>1361</v>
      </c>
      <c r="T198">
        <v>1500</v>
      </c>
      <c r="U198" t="s">
        <v>7883</v>
      </c>
      <c r="V198" t="s">
        <v>7884</v>
      </c>
      <c r="X198" t="s">
        <v>7885</v>
      </c>
      <c r="Y198" t="s">
        <v>7867</v>
      </c>
      <c r="Z198" s="42">
        <v>0.01</v>
      </c>
      <c r="AA198" s="42">
        <v>0.15</v>
      </c>
      <c r="AB198">
        <v>1</v>
      </c>
    </row>
    <row r="199">
      <c r="A199" t="s">
        <v>8088</v>
      </c>
      <c r="B199" t="s">
        <v>8018</v>
      </c>
      <c r="C199" t="s">
        <v>8018</v>
      </c>
      <c r="D199" t="s">
        <v>8019</v>
      </c>
      <c r="E199" t="s">
        <v>8089</v>
      </c>
      <c r="F199" t="s">
        <v>6966</v>
      </c>
      <c r="G199" t="s">
        <v>8077</v>
      </c>
      <c r="H199" t="s">
        <v>8078</v>
      </c>
      <c r="I199" t="s">
        <v>8087</v>
      </c>
      <c r="J199" s="43">
        <v>0.35</v>
      </c>
      <c r="K199" s="43">
        <v>0.33</v>
      </c>
      <c r="L199" s="43">
        <v>0.6</v>
      </c>
      <c r="M199" s="42">
        <v>1</v>
      </c>
      <c r="N199" s="42">
        <v>0.35</v>
      </c>
      <c r="O199">
        <v>35</v>
      </c>
      <c r="P199" s="42">
        <v>1</v>
      </c>
      <c r="Q199">
        <v>100</v>
      </c>
      <c r="R199">
        <v>1200</v>
      </c>
      <c r="S199">
        <v>1500</v>
      </c>
      <c r="T199">
        <v>1200</v>
      </c>
      <c r="U199" t="s">
        <v>7883</v>
      </c>
      <c r="V199" t="s">
        <v>7884</v>
      </c>
      <c r="X199" t="s">
        <v>7885</v>
      </c>
      <c r="Y199" t="s">
        <v>7867</v>
      </c>
      <c r="Z199" s="42">
        <v>0.01</v>
      </c>
      <c r="AA199" s="42">
        <v>0.15</v>
      </c>
      <c r="AB199">
        <v>1</v>
      </c>
    </row>
    <row r="200">
      <c r="A200" t="s">
        <v>8090</v>
      </c>
      <c r="B200" t="s">
        <v>8018</v>
      </c>
      <c r="C200" t="s">
        <v>8018</v>
      </c>
      <c r="D200" t="s">
        <v>8019</v>
      </c>
      <c r="E200" t="s">
        <v>8091</v>
      </c>
      <c r="F200" t="s">
        <v>6966</v>
      </c>
      <c r="G200" t="s">
        <v>8077</v>
      </c>
      <c r="H200" t="s">
        <v>8078</v>
      </c>
      <c r="I200" t="s">
        <v>8083</v>
      </c>
      <c r="J200" s="43">
        <v>0.35</v>
      </c>
      <c r="K200" t="s">
        <v>8092</v>
      </c>
      <c r="M200" s="42">
        <v>1</v>
      </c>
      <c r="N200" s="42">
        <v>0.3</v>
      </c>
      <c r="O200">
        <v>30</v>
      </c>
      <c r="P200" s="42">
        <v>0.94</v>
      </c>
      <c r="Q200">
        <v>94</v>
      </c>
      <c r="R200">
        <v>1128</v>
      </c>
      <c r="S200">
        <v>1551</v>
      </c>
      <c r="T200">
        <v>1200</v>
      </c>
      <c r="U200" t="s">
        <v>7883</v>
      </c>
      <c r="V200" t="s">
        <v>7884</v>
      </c>
      <c r="X200" t="s">
        <v>7885</v>
      </c>
      <c r="Y200" t="s">
        <v>7867</v>
      </c>
      <c r="Z200" s="42">
        <v>0.01</v>
      </c>
      <c r="AA200" s="42">
        <v>0.15</v>
      </c>
      <c r="AB200">
        <v>1</v>
      </c>
    </row>
    <row r="201">
      <c r="A201" t="s">
        <v>8093</v>
      </c>
      <c r="B201" t="s">
        <v>8018</v>
      </c>
      <c r="C201" t="s">
        <v>8018</v>
      </c>
      <c r="D201" t="s">
        <v>8019</v>
      </c>
      <c r="E201" t="s">
        <v>8094</v>
      </c>
      <c r="F201" t="s">
        <v>6966</v>
      </c>
      <c r="G201" t="s">
        <v>8077</v>
      </c>
      <c r="H201" t="s">
        <v>8078</v>
      </c>
      <c r="I201" t="s">
        <v>8087</v>
      </c>
      <c r="J201" s="43">
        <v>0.35</v>
      </c>
      <c r="K201" s="43">
        <v>0.21</v>
      </c>
      <c r="M201" s="42">
        <v>0.4</v>
      </c>
      <c r="N201" s="42">
        <v>0.3</v>
      </c>
      <c r="O201">
        <v>12</v>
      </c>
      <c r="P201" s="42">
        <v>0.58</v>
      </c>
      <c r="Q201">
        <v>58</v>
      </c>
      <c r="R201">
        <v>696</v>
      </c>
      <c r="S201">
        <v>680</v>
      </c>
      <c r="T201">
        <v>1200</v>
      </c>
      <c r="U201" t="s">
        <v>7883</v>
      </c>
      <c r="V201" t="s">
        <v>7884</v>
      </c>
      <c r="X201" t="s">
        <v>7885</v>
      </c>
      <c r="Y201" t="s">
        <v>7867</v>
      </c>
      <c r="Z201" s="42">
        <v>0.01</v>
      </c>
      <c r="AA201" s="42">
        <v>0.15</v>
      </c>
      <c r="AB201">
        <v>1</v>
      </c>
    </row>
    <row r="202">
      <c r="A202" t="s">
        <v>8095</v>
      </c>
      <c r="B202" t="s">
        <v>8018</v>
      </c>
      <c r="C202" t="s">
        <v>8018</v>
      </c>
      <c r="D202" t="s">
        <v>8019</v>
      </c>
      <c r="E202" t="s">
        <v>8096</v>
      </c>
      <c r="F202" t="s">
        <v>6966</v>
      </c>
      <c r="G202" t="s">
        <v>8077</v>
      </c>
      <c r="H202" t="s">
        <v>8078</v>
      </c>
      <c r="I202" t="s">
        <v>8087</v>
      </c>
      <c r="J202" s="43">
        <v>0.35</v>
      </c>
      <c r="K202" s="43">
        <v>0.17</v>
      </c>
      <c r="M202" s="42">
        <v>0</v>
      </c>
      <c r="N202" s="42">
        <v>0.3</v>
      </c>
      <c r="O202">
        <v>0</v>
      </c>
      <c r="P202" s="42">
        <v>0.46</v>
      </c>
      <c r="Q202">
        <v>46</v>
      </c>
      <c r="R202">
        <v>690</v>
      </c>
      <c r="S202">
        <v>690</v>
      </c>
      <c r="T202">
        <v>1200</v>
      </c>
      <c r="U202" t="s">
        <v>7883</v>
      </c>
      <c r="V202" t="s">
        <v>7884</v>
      </c>
      <c r="X202" t="s">
        <v>7885</v>
      </c>
      <c r="Y202" t="s">
        <v>7867</v>
      </c>
      <c r="Z202" s="42">
        <v>0.01</v>
      </c>
      <c r="AA202" s="42">
        <v>0.15</v>
      </c>
      <c r="AB202">
        <v>1</v>
      </c>
    </row>
    <row r="203">
      <c r="A203" t="s">
        <v>8097</v>
      </c>
      <c r="B203" t="s">
        <v>8018</v>
      </c>
      <c r="C203" t="s">
        <v>8018</v>
      </c>
      <c r="D203" t="s">
        <v>8019</v>
      </c>
      <c r="E203" t="s">
        <v>8098</v>
      </c>
      <c r="F203" t="s">
        <v>6966</v>
      </c>
      <c r="G203" t="s">
        <v>8077</v>
      </c>
      <c r="H203" t="s">
        <v>8078</v>
      </c>
      <c r="I203" t="s">
        <v>8078</v>
      </c>
      <c r="J203" s="43">
        <v>0.25</v>
      </c>
      <c r="K203" s="43">
        <v>0.38</v>
      </c>
      <c r="L203" s="43">
        <v>1</v>
      </c>
      <c r="M203" s="42">
        <v>0.35</v>
      </c>
      <c r="N203" s="42">
        <v>0.35</v>
      </c>
      <c r="O203">
        <v>35</v>
      </c>
      <c r="P203" s="42">
        <v>0.365</v>
      </c>
      <c r="Q203">
        <v>100</v>
      </c>
      <c r="R203">
        <v>1200</v>
      </c>
      <c r="S203">
        <v>1380</v>
      </c>
      <c r="T203">
        <v>1200</v>
      </c>
      <c r="U203" t="s">
        <v>7883</v>
      </c>
      <c r="V203" t="s">
        <v>7884</v>
      </c>
      <c r="X203" t="s">
        <v>7885</v>
      </c>
      <c r="Y203" t="s">
        <v>7867</v>
      </c>
      <c r="Z203" s="42">
        <v>0.01</v>
      </c>
      <c r="AA203" s="42">
        <v>0.15</v>
      </c>
      <c r="AB203">
        <v>1</v>
      </c>
    </row>
    <row r="204">
      <c r="A204" t="s">
        <v>8099</v>
      </c>
      <c r="B204" t="s">
        <v>8018</v>
      </c>
      <c r="C204" t="s">
        <v>8018</v>
      </c>
      <c r="D204" t="s">
        <v>8019</v>
      </c>
      <c r="E204" t="s">
        <v>8100</v>
      </c>
      <c r="F204" t="s">
        <v>6966</v>
      </c>
      <c r="G204" t="s">
        <v>8077</v>
      </c>
      <c r="H204" t="s">
        <v>8078</v>
      </c>
      <c r="I204" t="s">
        <v>8078</v>
      </c>
      <c r="J204" s="43">
        <v>0.35</v>
      </c>
      <c r="K204" s="43">
        <v>0.32</v>
      </c>
      <c r="L204" s="43">
        <v>1</v>
      </c>
      <c r="M204" s="42">
        <v>0.8</v>
      </c>
      <c r="N204" s="42">
        <v>0.3</v>
      </c>
      <c r="O204">
        <v>24</v>
      </c>
      <c r="P204" s="42">
        <v>0.94</v>
      </c>
      <c r="Q204">
        <v>94</v>
      </c>
      <c r="R204">
        <v>1128</v>
      </c>
      <c r="S204">
        <v>1646</v>
      </c>
      <c r="T204">
        <v>1200</v>
      </c>
      <c r="U204" t="s">
        <v>7883</v>
      </c>
      <c r="V204" t="s">
        <v>7884</v>
      </c>
      <c r="X204" t="s">
        <v>7885</v>
      </c>
      <c r="Y204" t="s">
        <v>7867</v>
      </c>
      <c r="Z204" s="42">
        <v>0.01</v>
      </c>
      <c r="AA204" s="42">
        <v>0.15</v>
      </c>
      <c r="AB204">
        <v>1</v>
      </c>
    </row>
    <row r="205">
      <c r="A205" t="s">
        <v>8101</v>
      </c>
      <c r="B205" t="s">
        <v>8018</v>
      </c>
      <c r="C205" t="s">
        <v>8018</v>
      </c>
      <c r="D205" t="s">
        <v>8019</v>
      </c>
      <c r="E205" t="s">
        <v>8102</v>
      </c>
      <c r="F205" t="s">
        <v>6966</v>
      </c>
      <c r="G205" t="s">
        <v>8077</v>
      </c>
      <c r="H205" t="s">
        <v>8078</v>
      </c>
      <c r="I205" t="s">
        <v>8083</v>
      </c>
      <c r="J205" s="43">
        <v>0.35</v>
      </c>
      <c r="K205" s="43">
        <v>0.16</v>
      </c>
      <c r="L205" s="43">
        <v>1</v>
      </c>
      <c r="M205" s="42">
        <v>0</v>
      </c>
      <c r="N205" s="42">
        <v>0.35</v>
      </c>
      <c r="O205">
        <v>0</v>
      </c>
      <c r="P205" s="42">
        <v>0.425</v>
      </c>
      <c r="Q205">
        <v>94</v>
      </c>
      <c r="R205">
        <v>1128</v>
      </c>
      <c r="S205">
        <v>1479</v>
      </c>
      <c r="T205">
        <v>1200</v>
      </c>
      <c r="U205" t="s">
        <v>7883</v>
      </c>
      <c r="V205" t="s">
        <v>7884</v>
      </c>
      <c r="X205" t="s">
        <v>7885</v>
      </c>
      <c r="Y205" t="s">
        <v>7867</v>
      </c>
      <c r="Z205" s="42">
        <v>0.01</v>
      </c>
      <c r="AA205" s="42">
        <v>0.15</v>
      </c>
      <c r="AB205">
        <v>1</v>
      </c>
    </row>
    <row r="206">
      <c r="A206" t="s">
        <v>8103</v>
      </c>
      <c r="B206" t="s">
        <v>8018</v>
      </c>
      <c r="C206" t="s">
        <v>8018</v>
      </c>
      <c r="D206" t="s">
        <v>8019</v>
      </c>
      <c r="E206" t="s">
        <v>8104</v>
      </c>
      <c r="F206" t="s">
        <v>6966</v>
      </c>
      <c r="G206" t="s">
        <v>8077</v>
      </c>
      <c r="H206" t="s">
        <v>8078</v>
      </c>
      <c r="I206" t="s">
        <v>8105</v>
      </c>
      <c r="J206" s="43">
        <v>0.35</v>
      </c>
      <c r="K206" s="43">
        <v>0.14</v>
      </c>
      <c r="L206" t="s">
        <v>8105</v>
      </c>
      <c r="M206" s="42">
        <v>0.14</v>
      </c>
      <c r="N206" s="42">
        <v>0.3</v>
      </c>
      <c r="O206">
        <v>0</v>
      </c>
      <c r="P206" s="42">
        <v>0.682</v>
      </c>
      <c r="Q206">
        <v>23.2</v>
      </c>
      <c r="R206">
        <v>768</v>
      </c>
      <c r="S206">
        <v>768</v>
      </c>
      <c r="T206">
        <v>1200</v>
      </c>
      <c r="U206" t="s">
        <v>7883</v>
      </c>
      <c r="V206" t="s">
        <v>7884</v>
      </c>
      <c r="X206" t="s">
        <v>7885</v>
      </c>
      <c r="Y206" t="s">
        <v>7867</v>
      </c>
      <c r="Z206" s="42">
        <v>0.01</v>
      </c>
      <c r="AA206" s="42">
        <v>0.15</v>
      </c>
      <c r="AB206">
        <v>1</v>
      </c>
    </row>
    <row r="207">
      <c r="A207" t="s">
        <v>8106</v>
      </c>
      <c r="B207" t="s">
        <v>8018</v>
      </c>
      <c r="C207" t="s">
        <v>8018</v>
      </c>
      <c r="D207" t="s">
        <v>8019</v>
      </c>
      <c r="E207" t="s">
        <v>8107</v>
      </c>
      <c r="F207" t="s">
        <v>6966</v>
      </c>
      <c r="G207" t="s">
        <v>8077</v>
      </c>
      <c r="H207" t="s">
        <v>8078</v>
      </c>
      <c r="I207" t="s">
        <v>8087</v>
      </c>
      <c r="J207" s="43">
        <v>1</v>
      </c>
      <c r="K207" s="43">
        <v>0.18</v>
      </c>
      <c r="L207" t="s">
        <v>8087</v>
      </c>
      <c r="M207" s="42">
        <v>0</v>
      </c>
      <c r="N207" s="42">
        <v>0.35</v>
      </c>
      <c r="O207">
        <v>0</v>
      </c>
      <c r="P207" s="42">
        <v>0.515</v>
      </c>
      <c r="Q207">
        <v>52</v>
      </c>
      <c r="R207">
        <v>714</v>
      </c>
      <c r="S207">
        <v>714</v>
      </c>
      <c r="T207">
        <v>1200</v>
      </c>
      <c r="U207" t="s">
        <v>7883</v>
      </c>
      <c r="V207" t="s">
        <v>7884</v>
      </c>
      <c r="X207" t="s">
        <v>7885</v>
      </c>
      <c r="Y207" t="s">
        <v>7867</v>
      </c>
      <c r="Z207" s="42">
        <v>0.01</v>
      </c>
      <c r="AA207" s="42">
        <v>0.15</v>
      </c>
      <c r="AB207">
        <v>1</v>
      </c>
    </row>
    <row r="208">
      <c r="A208" t="s">
        <v>8108</v>
      </c>
      <c r="B208" t="s">
        <v>8018</v>
      </c>
      <c r="C208" t="s">
        <v>8018</v>
      </c>
      <c r="D208" t="s">
        <v>8019</v>
      </c>
      <c r="E208" t="s">
        <v>8109</v>
      </c>
      <c r="F208" t="s">
        <v>6966</v>
      </c>
      <c r="G208" t="s">
        <v>8077</v>
      </c>
      <c r="H208" t="s">
        <v>8078</v>
      </c>
      <c r="I208" t="s">
        <v>8078</v>
      </c>
      <c r="J208" s="43">
        <v>0.35</v>
      </c>
      <c r="K208" t="s">
        <v>8110</v>
      </c>
      <c r="L208" t="s">
        <v>8087</v>
      </c>
      <c r="M208" s="42">
        <v>1</v>
      </c>
      <c r="N208" s="42">
        <v>0.3</v>
      </c>
      <c r="O208">
        <v>30</v>
      </c>
      <c r="P208" s="42">
        <v>0.88</v>
      </c>
      <c r="Q208">
        <v>88</v>
      </c>
      <c r="R208">
        <v>0</v>
      </c>
      <c r="S208">
        <v>0</v>
      </c>
      <c r="T208">
        <v>1200</v>
      </c>
      <c r="U208" t="s">
        <v>7883</v>
      </c>
      <c r="V208" t="s">
        <v>7884</v>
      </c>
      <c r="X208" t="s">
        <v>7885</v>
      </c>
      <c r="Y208" t="s">
        <v>7867</v>
      </c>
      <c r="Z208" s="42">
        <v>0.01</v>
      </c>
      <c r="AA208" s="42">
        <v>0.15</v>
      </c>
      <c r="AB208">
        <v>1</v>
      </c>
    </row>
    <row r="209">
      <c r="A209" t="s">
        <v>8111</v>
      </c>
      <c r="B209" t="s">
        <v>8018</v>
      </c>
      <c r="C209" t="s">
        <v>8018</v>
      </c>
      <c r="D209" t="s">
        <v>8019</v>
      </c>
      <c r="E209" t="s">
        <v>8112</v>
      </c>
      <c r="F209" t="s">
        <v>6966</v>
      </c>
      <c r="G209" t="s">
        <v>8077</v>
      </c>
      <c r="H209" t="s">
        <v>8078</v>
      </c>
      <c r="I209" t="s">
        <v>8113</v>
      </c>
      <c r="J209" s="43">
        <v>0.35</v>
      </c>
      <c r="K209" t="s">
        <v>8114</v>
      </c>
      <c r="L209" t="s">
        <v>8087</v>
      </c>
      <c r="M209" s="42">
        <v>0.6</v>
      </c>
      <c r="N209" s="42">
        <v>0.35</v>
      </c>
      <c r="O209">
        <v>21</v>
      </c>
      <c r="P209" s="42">
        <v>0.86</v>
      </c>
      <c r="Q209">
        <v>86</v>
      </c>
      <c r="R209">
        <v>1056</v>
      </c>
      <c r="S209">
        <v>1056</v>
      </c>
      <c r="T209">
        <v>1200</v>
      </c>
      <c r="U209" t="s">
        <v>7883</v>
      </c>
      <c r="V209" t="s">
        <v>7884</v>
      </c>
      <c r="X209" t="s">
        <v>7885</v>
      </c>
      <c r="Y209" t="s">
        <v>7867</v>
      </c>
      <c r="Z209" s="42">
        <v>0.01</v>
      </c>
      <c r="AA209" s="42">
        <v>0.15</v>
      </c>
      <c r="AB209">
        <v>1</v>
      </c>
    </row>
    <row r="210">
      <c r="A210" t="s">
        <v>8115</v>
      </c>
      <c r="B210" t="s">
        <v>8018</v>
      </c>
      <c r="C210" t="s">
        <v>8018</v>
      </c>
      <c r="D210" t="s">
        <v>8019</v>
      </c>
      <c r="E210" t="s">
        <v>8116</v>
      </c>
      <c r="F210" t="s">
        <v>6966</v>
      </c>
      <c r="G210" t="s">
        <v>8077</v>
      </c>
      <c r="H210" t="s">
        <v>8078</v>
      </c>
      <c r="I210" t="s">
        <v>8117</v>
      </c>
      <c r="J210" s="43">
        <v>0.35</v>
      </c>
      <c r="K210" s="43">
        <v>0.38</v>
      </c>
      <c r="L210" t="s">
        <v>8087</v>
      </c>
      <c r="M210" s="42">
        <v>1</v>
      </c>
      <c r="N210" s="42">
        <v>0.35</v>
      </c>
      <c r="O210">
        <v>35</v>
      </c>
      <c r="P210" s="42">
        <v>1</v>
      </c>
      <c r="Q210">
        <v>100</v>
      </c>
      <c r="R210">
        <v>1200</v>
      </c>
      <c r="S210">
        <v>1304</v>
      </c>
      <c r="T210">
        <v>1200</v>
      </c>
      <c r="U210" t="s">
        <v>7883</v>
      </c>
      <c r="V210" t="s">
        <v>7884</v>
      </c>
      <c r="X210" t="s">
        <v>7885</v>
      </c>
      <c r="Y210" t="s">
        <v>7867</v>
      </c>
      <c r="Z210" s="42">
        <v>0.01</v>
      </c>
      <c r="AA210" s="42">
        <v>0.15</v>
      </c>
      <c r="AB210">
        <v>1</v>
      </c>
    </row>
    <row r="211">
      <c r="A211" t="s">
        <v>8118</v>
      </c>
      <c r="B211" t="s">
        <v>8018</v>
      </c>
      <c r="C211" t="s">
        <v>8018</v>
      </c>
      <c r="D211" t="s">
        <v>8019</v>
      </c>
      <c r="E211" t="s">
        <v>8119</v>
      </c>
      <c r="F211" t="s">
        <v>6966</v>
      </c>
      <c r="G211" t="s">
        <v>8077</v>
      </c>
      <c r="H211" t="s">
        <v>8078</v>
      </c>
      <c r="I211" t="s">
        <v>8120</v>
      </c>
      <c r="J211" s="43">
        <v>0.35</v>
      </c>
      <c r="K211" s="43">
        <v>0.16</v>
      </c>
      <c r="L211" t="s">
        <v>8087</v>
      </c>
      <c r="M211" s="42">
        <v>0</v>
      </c>
      <c r="N211" s="42">
        <v>0.35</v>
      </c>
      <c r="O211">
        <v>0</v>
      </c>
      <c r="P211" s="42">
        <v>0.425</v>
      </c>
      <c r="Q211">
        <v>42.5</v>
      </c>
      <c r="R211">
        <v>630</v>
      </c>
      <c r="S211">
        <v>630</v>
      </c>
      <c r="T211">
        <v>1200</v>
      </c>
      <c r="U211" t="s">
        <v>7883</v>
      </c>
      <c r="V211" t="s">
        <v>7884</v>
      </c>
      <c r="X211" t="s">
        <v>7885</v>
      </c>
      <c r="Y211" t="s">
        <v>7867</v>
      </c>
      <c r="Z211" s="42">
        <v>0.01</v>
      </c>
      <c r="AA211" s="42">
        <v>0.15</v>
      </c>
      <c r="AB211">
        <v>1</v>
      </c>
    </row>
    <row r="212">
      <c r="A212" t="s">
        <v>8121</v>
      </c>
      <c r="B212" t="s">
        <v>8122</v>
      </c>
      <c r="C212" t="s">
        <v>8122</v>
      </c>
      <c r="D212" t="s">
        <v>8123</v>
      </c>
      <c r="E212" t="s">
        <v>8124</v>
      </c>
      <c r="F212" t="s">
        <v>6966</v>
      </c>
      <c r="G212" t="s">
        <v>8125</v>
      </c>
      <c r="H212" t="s">
        <v>8126</v>
      </c>
      <c r="I212" t="s">
        <v>8127</v>
      </c>
      <c r="L212" t="s">
        <v>7957</v>
      </c>
      <c r="M212" s="42">
        <v>1</v>
      </c>
      <c r="N212" s="42">
        <v>0.1</v>
      </c>
      <c r="O212">
        <v>1</v>
      </c>
      <c r="P212" s="42">
        <v>0.88239</v>
      </c>
      <c r="Q212">
        <v>0.86</v>
      </c>
      <c r="R212">
        <v>1033.13</v>
      </c>
      <c r="S212">
        <v>1033.13</v>
      </c>
      <c r="T212">
        <v>1200</v>
      </c>
      <c r="U212" t="s">
        <v>7883</v>
      </c>
      <c r="V212" t="s">
        <v>7884</v>
      </c>
      <c r="X212" t="s">
        <v>7885</v>
      </c>
      <c r="Y212" t="s">
        <v>7867</v>
      </c>
      <c r="Z212" s="42">
        <v>0.01</v>
      </c>
      <c r="AA212" s="42">
        <v>0.15</v>
      </c>
      <c r="AB212">
        <v>1</v>
      </c>
    </row>
    <row r="213">
      <c r="A213" t="s">
        <v>8128</v>
      </c>
      <c r="B213" t="s">
        <v>8122</v>
      </c>
      <c r="C213" t="s">
        <v>8122</v>
      </c>
      <c r="D213" t="s">
        <v>8123</v>
      </c>
      <c r="E213" t="s">
        <v>8129</v>
      </c>
      <c r="F213" t="s">
        <v>6966</v>
      </c>
      <c r="G213" t="s">
        <v>8125</v>
      </c>
      <c r="H213" t="s">
        <v>8130</v>
      </c>
      <c r="I213" t="s">
        <v>8131</v>
      </c>
      <c r="L213" t="s">
        <v>8132</v>
      </c>
      <c r="M213" s="42">
        <v>1</v>
      </c>
      <c r="N213" s="42">
        <v>0.5</v>
      </c>
      <c r="O213">
        <v>1</v>
      </c>
      <c r="P213" s="42">
        <v>0.918</v>
      </c>
      <c r="Q213">
        <v>0.89</v>
      </c>
      <c r="R213">
        <v>900</v>
      </c>
      <c r="S213">
        <v>900</v>
      </c>
      <c r="T213">
        <v>1000</v>
      </c>
      <c r="U213" t="s">
        <v>8133</v>
      </c>
      <c r="V213" t="s">
        <v>7957</v>
      </c>
      <c r="W213" t="s">
        <v>8134</v>
      </c>
      <c r="Y213" t="s">
        <v>7957</v>
      </c>
      <c r="Z213" s="42">
        <v>1</v>
      </c>
      <c r="AA213" s="42">
        <v>0.055</v>
      </c>
      <c r="AB213">
        <v>1</v>
      </c>
    </row>
    <row r="214">
      <c r="A214" t="s">
        <v>8135</v>
      </c>
      <c r="B214" t="s">
        <v>8122</v>
      </c>
      <c r="C214" t="s">
        <v>8122</v>
      </c>
      <c r="D214" t="s">
        <v>8123</v>
      </c>
      <c r="E214" t="s">
        <v>8136</v>
      </c>
      <c r="F214" t="s">
        <v>6966</v>
      </c>
      <c r="G214" t="s">
        <v>8137</v>
      </c>
      <c r="H214" t="s">
        <v>8138</v>
      </c>
      <c r="I214" t="s">
        <v>8139</v>
      </c>
      <c r="J214" t="s">
        <v>7773</v>
      </c>
      <c r="K214" t="s">
        <v>7773</v>
      </c>
      <c r="L214" t="s">
        <v>8140</v>
      </c>
      <c r="M214" s="42">
        <v>1</v>
      </c>
      <c r="N214" s="42">
        <v>0.8</v>
      </c>
      <c r="O214">
        <v>1</v>
      </c>
      <c r="P214" s="42">
        <v>1</v>
      </c>
      <c r="Q214">
        <v>1</v>
      </c>
      <c r="R214">
        <v>1429</v>
      </c>
      <c r="S214">
        <v>1429</v>
      </c>
      <c r="T214">
        <v>1300</v>
      </c>
      <c r="U214" t="s">
        <v>8141</v>
      </c>
      <c r="W214" t="s">
        <v>8142</v>
      </c>
      <c r="Y214" t="s">
        <v>8143</v>
      </c>
      <c r="Z214" s="42">
        <v>1</v>
      </c>
      <c r="AA214" s="42">
        <v>0.1</v>
      </c>
      <c r="AB214">
        <v>1</v>
      </c>
    </row>
    <row r="215">
      <c r="A215" t="s">
        <v>8144</v>
      </c>
      <c r="B215" t="s">
        <v>8122</v>
      </c>
      <c r="C215" t="s">
        <v>8122</v>
      </c>
      <c r="D215" t="s">
        <v>8123</v>
      </c>
      <c r="E215" t="s">
        <v>8145</v>
      </c>
      <c r="F215" t="s">
        <v>6966</v>
      </c>
      <c r="G215" t="s">
        <v>8137</v>
      </c>
      <c r="H215" t="s">
        <v>8138</v>
      </c>
      <c r="I215" t="s">
        <v>8146</v>
      </c>
      <c r="J215" t="s">
        <v>7773</v>
      </c>
      <c r="K215" t="s">
        <v>7773</v>
      </c>
      <c r="L215" t="s">
        <v>8147</v>
      </c>
      <c r="M215" s="42">
        <v>1</v>
      </c>
      <c r="N215" s="42">
        <v>0.8</v>
      </c>
      <c r="O215">
        <v>1</v>
      </c>
      <c r="P215" s="42">
        <v>1</v>
      </c>
      <c r="Q215">
        <v>1</v>
      </c>
      <c r="R215">
        <v>1329</v>
      </c>
      <c r="S215">
        <v>1329</v>
      </c>
      <c r="T215">
        <v>1200</v>
      </c>
      <c r="U215" t="s">
        <v>8141</v>
      </c>
      <c r="W215" t="s">
        <v>8142</v>
      </c>
      <c r="Y215" t="s">
        <v>8143</v>
      </c>
      <c r="Z215" s="42">
        <v>1</v>
      </c>
      <c r="AA215" s="42">
        <v>0.1</v>
      </c>
      <c r="AB215">
        <v>1</v>
      </c>
    </row>
    <row r="216">
      <c r="A216" t="s">
        <v>8148</v>
      </c>
      <c r="B216" t="s">
        <v>8122</v>
      </c>
      <c r="C216" t="s">
        <v>8122</v>
      </c>
      <c r="D216" t="s">
        <v>8123</v>
      </c>
      <c r="E216" t="s">
        <v>8149</v>
      </c>
      <c r="F216" t="s">
        <v>6966</v>
      </c>
      <c r="G216" t="s">
        <v>8137</v>
      </c>
      <c r="H216" t="s">
        <v>8138</v>
      </c>
      <c r="I216" t="s">
        <v>8150</v>
      </c>
      <c r="J216" t="s">
        <v>7773</v>
      </c>
      <c r="K216" t="s">
        <v>8151</v>
      </c>
      <c r="L216" t="s">
        <v>8152</v>
      </c>
      <c r="M216" s="42">
        <v>0.98</v>
      </c>
      <c r="N216" s="42">
        <v>0.6</v>
      </c>
      <c r="O216">
        <v>0.98</v>
      </c>
      <c r="P216" s="42">
        <v>0.87395</v>
      </c>
      <c r="Q216">
        <v>0.97</v>
      </c>
      <c r="R216">
        <v>1164</v>
      </c>
      <c r="S216">
        <v>1164</v>
      </c>
      <c r="T216">
        <v>1200</v>
      </c>
      <c r="U216" t="s">
        <v>8141</v>
      </c>
      <c r="W216" t="s">
        <v>8142</v>
      </c>
      <c r="Y216" t="s">
        <v>8143</v>
      </c>
      <c r="Z216" s="42">
        <v>1</v>
      </c>
      <c r="AA216" s="42">
        <v>0.1</v>
      </c>
      <c r="AB216">
        <v>1</v>
      </c>
    </row>
    <row r="217">
      <c r="A217" t="s">
        <v>8153</v>
      </c>
      <c r="B217" t="s">
        <v>8122</v>
      </c>
      <c r="C217" t="s">
        <v>8122</v>
      </c>
      <c r="D217" t="s">
        <v>8123</v>
      </c>
      <c r="E217" t="s">
        <v>8154</v>
      </c>
      <c r="F217" t="s">
        <v>6966</v>
      </c>
      <c r="G217" t="s">
        <v>8137</v>
      </c>
      <c r="H217" t="s">
        <v>8138</v>
      </c>
      <c r="I217" t="s">
        <v>8155</v>
      </c>
      <c r="J217" t="s">
        <v>7773</v>
      </c>
      <c r="K217" t="s">
        <v>7773</v>
      </c>
      <c r="L217" t="s">
        <v>8156</v>
      </c>
      <c r="M217" s="42">
        <v>0.98</v>
      </c>
      <c r="N217" s="42">
        <v>0.8</v>
      </c>
      <c r="O217">
        <v>0.98</v>
      </c>
      <c r="P217" s="42">
        <v>0.964</v>
      </c>
      <c r="Q217">
        <v>0.96</v>
      </c>
      <c r="R217">
        <v>1152</v>
      </c>
      <c r="S217">
        <v>1152</v>
      </c>
      <c r="T217">
        <v>1200</v>
      </c>
      <c r="U217" t="s">
        <v>8141</v>
      </c>
      <c r="W217" t="s">
        <v>8142</v>
      </c>
      <c r="Y217" t="s">
        <v>8143</v>
      </c>
      <c r="Z217" s="42">
        <v>1</v>
      </c>
      <c r="AA217" s="42">
        <v>0.1</v>
      </c>
      <c r="AB217">
        <v>1</v>
      </c>
    </row>
    <row r="218">
      <c r="A218" t="s">
        <v>8157</v>
      </c>
      <c r="B218" t="s">
        <v>8122</v>
      </c>
      <c r="C218" t="s">
        <v>8122</v>
      </c>
      <c r="D218" t="s">
        <v>8123</v>
      </c>
      <c r="E218" t="s">
        <v>8158</v>
      </c>
      <c r="F218" t="s">
        <v>6966</v>
      </c>
      <c r="G218" t="s">
        <v>8137</v>
      </c>
      <c r="H218" t="s">
        <v>8138</v>
      </c>
      <c r="I218" t="s">
        <v>8159</v>
      </c>
      <c r="J218" s="43">
        <v>1</v>
      </c>
      <c r="K218" s="43">
        <v>1</v>
      </c>
      <c r="L218" t="s">
        <v>8160</v>
      </c>
      <c r="M218" s="42">
        <v>1</v>
      </c>
      <c r="N218" s="42">
        <v>0.2</v>
      </c>
      <c r="O218">
        <v>1</v>
      </c>
      <c r="P218" s="42">
        <v>0.957</v>
      </c>
      <c r="Q218">
        <v>0.95</v>
      </c>
      <c r="R218">
        <v>1140</v>
      </c>
      <c r="S218">
        <v>1140</v>
      </c>
      <c r="T218">
        <v>1200</v>
      </c>
      <c r="U218" t="s">
        <v>8141</v>
      </c>
      <c r="W218" t="s">
        <v>8142</v>
      </c>
      <c r="Y218" t="s">
        <v>8143</v>
      </c>
      <c r="Z218" s="42">
        <v>1</v>
      </c>
      <c r="AA218" s="42">
        <v>0.1</v>
      </c>
      <c r="AB218">
        <v>1</v>
      </c>
    </row>
    <row r="219">
      <c r="A219" t="s">
        <v>8161</v>
      </c>
      <c r="B219" t="s">
        <v>8122</v>
      </c>
      <c r="C219" t="s">
        <v>8122</v>
      </c>
      <c r="D219" t="s">
        <v>8123</v>
      </c>
      <c r="E219" t="s">
        <v>8162</v>
      </c>
      <c r="F219" t="s">
        <v>6966</v>
      </c>
      <c r="G219" t="s">
        <v>8137</v>
      </c>
      <c r="H219" t="s">
        <v>8138</v>
      </c>
      <c r="I219" t="s">
        <v>8163</v>
      </c>
      <c r="J219" t="s">
        <v>7773</v>
      </c>
      <c r="K219" t="s">
        <v>7773</v>
      </c>
      <c r="L219" t="s">
        <v>8164</v>
      </c>
      <c r="M219" s="42">
        <v>1</v>
      </c>
      <c r="N219" s="42">
        <v>0.8</v>
      </c>
      <c r="O219">
        <v>1</v>
      </c>
      <c r="P219" s="42">
        <v>1</v>
      </c>
      <c r="Q219">
        <v>1</v>
      </c>
      <c r="R219">
        <v>1329</v>
      </c>
      <c r="S219">
        <v>1329</v>
      </c>
      <c r="T219">
        <v>1200</v>
      </c>
      <c r="U219" t="s">
        <v>8141</v>
      </c>
      <c r="W219" t="s">
        <v>8142</v>
      </c>
      <c r="Y219" t="s">
        <v>8143</v>
      </c>
      <c r="Z219" s="42">
        <v>1</v>
      </c>
      <c r="AA219" s="42">
        <v>0.1</v>
      </c>
      <c r="AB219">
        <v>1</v>
      </c>
    </row>
    <row r="220">
      <c r="A220" t="s">
        <v>8165</v>
      </c>
      <c r="B220" t="s">
        <v>8122</v>
      </c>
      <c r="C220" t="s">
        <v>8122</v>
      </c>
      <c r="D220" t="s">
        <v>8123</v>
      </c>
      <c r="E220" t="s">
        <v>8166</v>
      </c>
      <c r="F220" t="s">
        <v>6966</v>
      </c>
      <c r="G220" t="s">
        <v>8137</v>
      </c>
      <c r="H220" t="s">
        <v>8138</v>
      </c>
      <c r="I220" t="s">
        <v>8167</v>
      </c>
      <c r="J220" t="s">
        <v>7773</v>
      </c>
      <c r="K220" t="s">
        <v>8168</v>
      </c>
      <c r="L220" t="s">
        <v>8169</v>
      </c>
      <c r="M220" s="42">
        <v>1</v>
      </c>
      <c r="N220" s="42">
        <v>0.8</v>
      </c>
      <c r="O220">
        <v>1</v>
      </c>
      <c r="P220" s="42">
        <v>1</v>
      </c>
      <c r="Q220">
        <v>1</v>
      </c>
      <c r="R220">
        <v>1329</v>
      </c>
      <c r="S220">
        <v>1329</v>
      </c>
      <c r="T220">
        <v>1200</v>
      </c>
      <c r="U220" t="s">
        <v>8141</v>
      </c>
      <c r="W220" t="s">
        <v>8142</v>
      </c>
      <c r="Y220" t="s">
        <v>8143</v>
      </c>
      <c r="Z220" s="42">
        <v>1</v>
      </c>
      <c r="AA220" s="42">
        <v>0.1</v>
      </c>
      <c r="AB220">
        <v>1</v>
      </c>
    </row>
    <row r="221">
      <c r="A221" t="s">
        <v>8170</v>
      </c>
      <c r="B221" t="s">
        <v>8122</v>
      </c>
      <c r="C221" t="s">
        <v>8122</v>
      </c>
      <c r="D221" t="s">
        <v>8123</v>
      </c>
      <c r="E221" t="s">
        <v>8171</v>
      </c>
      <c r="F221" t="s">
        <v>6966</v>
      </c>
      <c r="G221" t="s">
        <v>8137</v>
      </c>
      <c r="H221" t="s">
        <v>8138</v>
      </c>
      <c r="I221" t="s">
        <v>8163</v>
      </c>
      <c r="J221" t="s">
        <v>7773</v>
      </c>
      <c r="K221" t="s">
        <v>7773</v>
      </c>
      <c r="L221" t="s">
        <v>8172</v>
      </c>
      <c r="M221" s="42">
        <v>1</v>
      </c>
      <c r="N221" s="42">
        <v>0.4</v>
      </c>
      <c r="O221">
        <v>1</v>
      </c>
      <c r="P221" s="42">
        <v>0.964</v>
      </c>
      <c r="Q221">
        <v>0.96</v>
      </c>
      <c r="R221">
        <v>1152</v>
      </c>
      <c r="S221">
        <v>1152</v>
      </c>
      <c r="T221">
        <v>1200</v>
      </c>
      <c r="U221" t="s">
        <v>8141</v>
      </c>
      <c r="W221" t="s">
        <v>8142</v>
      </c>
      <c r="Y221" t="s">
        <v>8143</v>
      </c>
      <c r="Z221" s="42">
        <v>1</v>
      </c>
      <c r="AA221" s="42">
        <v>0.1</v>
      </c>
      <c r="AB221">
        <v>1</v>
      </c>
    </row>
    <row r="222">
      <c r="A222" t="s">
        <v>8173</v>
      </c>
      <c r="B222" t="s">
        <v>8122</v>
      </c>
      <c r="C222" t="s">
        <v>8122</v>
      </c>
      <c r="D222" t="s">
        <v>8123</v>
      </c>
      <c r="E222" t="s">
        <v>8174</v>
      </c>
      <c r="F222" t="s">
        <v>6966</v>
      </c>
      <c r="G222" t="s">
        <v>8137</v>
      </c>
      <c r="H222" t="s">
        <v>8175</v>
      </c>
      <c r="I222" t="s">
        <v>8176</v>
      </c>
      <c r="J222" t="s">
        <v>7773</v>
      </c>
      <c r="L222" t="s">
        <v>8177</v>
      </c>
      <c r="M222" s="42">
        <v>1</v>
      </c>
      <c r="N222" s="42">
        <v>0.1</v>
      </c>
      <c r="O222">
        <v>1</v>
      </c>
      <c r="P222" s="42">
        <v>0.99</v>
      </c>
      <c r="Q222">
        <v>0.99</v>
      </c>
      <c r="R222">
        <v>1188</v>
      </c>
      <c r="S222">
        <v>1188</v>
      </c>
      <c r="T222">
        <v>1200</v>
      </c>
      <c r="U222" t="s">
        <v>8141</v>
      </c>
      <c r="W222" t="s">
        <v>8142</v>
      </c>
      <c r="Y222" t="s">
        <v>8143</v>
      </c>
      <c r="Z222" s="42">
        <v>1</v>
      </c>
      <c r="AA222" s="42">
        <v>0.1</v>
      </c>
      <c r="AB222">
        <v>1</v>
      </c>
    </row>
    <row r="223">
      <c r="A223" t="s">
        <v>8178</v>
      </c>
      <c r="B223" t="s">
        <v>8122</v>
      </c>
      <c r="C223" t="s">
        <v>8122</v>
      </c>
      <c r="D223" t="s">
        <v>8123</v>
      </c>
      <c r="E223" t="s">
        <v>8179</v>
      </c>
      <c r="F223" t="s">
        <v>6966</v>
      </c>
      <c r="G223" t="s">
        <v>8137</v>
      </c>
      <c r="H223" t="s">
        <v>8138</v>
      </c>
      <c r="I223" t="s">
        <v>8180</v>
      </c>
      <c r="J223" t="s">
        <v>7773</v>
      </c>
      <c r="K223" t="s">
        <v>7773</v>
      </c>
      <c r="L223" t="s">
        <v>8181</v>
      </c>
      <c r="M223" s="42">
        <v>1</v>
      </c>
      <c r="N223" s="42">
        <v>0.8</v>
      </c>
      <c r="O223">
        <v>1</v>
      </c>
      <c r="P223" s="42">
        <v>0.99</v>
      </c>
      <c r="Q223">
        <v>0.99</v>
      </c>
      <c r="R223">
        <v>1188</v>
      </c>
      <c r="S223">
        <v>1188</v>
      </c>
      <c r="T223">
        <v>1200</v>
      </c>
      <c r="U223" t="s">
        <v>8141</v>
      </c>
      <c r="W223" t="s">
        <v>8142</v>
      </c>
      <c r="Y223" t="s">
        <v>8143</v>
      </c>
      <c r="Z223" s="42">
        <v>1</v>
      </c>
      <c r="AA223" s="42">
        <v>0.1</v>
      </c>
      <c r="AB223">
        <v>1</v>
      </c>
    </row>
    <row r="224">
      <c r="A224" t="s">
        <v>8182</v>
      </c>
      <c r="B224" t="s">
        <v>8122</v>
      </c>
      <c r="C224" t="s">
        <v>8122</v>
      </c>
      <c r="D224" t="s">
        <v>8123</v>
      </c>
      <c r="E224" t="s">
        <v>8183</v>
      </c>
      <c r="F224" t="s">
        <v>6966</v>
      </c>
      <c r="G224" t="s">
        <v>8137</v>
      </c>
      <c r="H224" t="s">
        <v>8138</v>
      </c>
      <c r="I224" t="s">
        <v>8184</v>
      </c>
      <c r="J224" t="s">
        <v>7773</v>
      </c>
      <c r="K224" t="s">
        <v>7773</v>
      </c>
      <c r="L224" t="s">
        <v>8185</v>
      </c>
      <c r="M224" s="42">
        <v>1</v>
      </c>
      <c r="N224" s="42">
        <v>0.8</v>
      </c>
      <c r="O224">
        <v>1</v>
      </c>
      <c r="P224" s="42">
        <v>0.99</v>
      </c>
      <c r="Q224">
        <v>0.99</v>
      </c>
      <c r="R224">
        <v>1188</v>
      </c>
      <c r="S224">
        <v>1188</v>
      </c>
      <c r="T224">
        <v>1200</v>
      </c>
      <c r="U224" t="s">
        <v>8141</v>
      </c>
      <c r="W224" t="s">
        <v>8142</v>
      </c>
      <c r="Y224" t="s">
        <v>8143</v>
      </c>
      <c r="Z224" s="42">
        <v>1</v>
      </c>
      <c r="AA224" s="42">
        <v>0.1</v>
      </c>
      <c r="AB224">
        <v>1</v>
      </c>
    </row>
    <row r="225">
      <c r="A225" t="s">
        <v>8186</v>
      </c>
      <c r="B225" t="s">
        <v>8122</v>
      </c>
      <c r="C225" t="s">
        <v>8122</v>
      </c>
      <c r="D225" t="s">
        <v>8123</v>
      </c>
      <c r="E225" t="s">
        <v>8187</v>
      </c>
      <c r="F225" t="s">
        <v>6966</v>
      </c>
      <c r="G225" t="s">
        <v>8137</v>
      </c>
      <c r="H225" t="s">
        <v>8138</v>
      </c>
      <c r="I225" t="s">
        <v>8188</v>
      </c>
      <c r="J225" t="s">
        <v>7773</v>
      </c>
      <c r="K225" t="s">
        <v>7773</v>
      </c>
      <c r="L225" t="s">
        <v>8189</v>
      </c>
      <c r="M225" s="42">
        <v>0.93</v>
      </c>
      <c r="N225" s="42">
        <v>0.8</v>
      </c>
      <c r="O225">
        <v>0.93</v>
      </c>
      <c r="P225" s="42">
        <v>0.841</v>
      </c>
      <c r="Q225">
        <v>0.84</v>
      </c>
      <c r="R225">
        <v>1008</v>
      </c>
      <c r="S225">
        <v>1008</v>
      </c>
      <c r="T225">
        <v>1200</v>
      </c>
      <c r="U225" t="s">
        <v>8141</v>
      </c>
      <c r="W225" t="s">
        <v>8142</v>
      </c>
      <c r="Y225" t="s">
        <v>8143</v>
      </c>
      <c r="Z225" s="42">
        <v>1</v>
      </c>
      <c r="AA225" s="42">
        <v>0.1</v>
      </c>
      <c r="AB225">
        <v>1</v>
      </c>
    </row>
    <row r="226">
      <c r="A226" t="s">
        <v>8190</v>
      </c>
      <c r="B226" t="s">
        <v>8122</v>
      </c>
      <c r="C226" t="s">
        <v>8122</v>
      </c>
      <c r="D226" t="s">
        <v>8123</v>
      </c>
      <c r="E226" t="s">
        <v>8191</v>
      </c>
      <c r="F226" t="s">
        <v>6966</v>
      </c>
      <c r="G226" t="s">
        <v>8137</v>
      </c>
      <c r="H226" t="s">
        <v>8138</v>
      </c>
      <c r="I226" t="s">
        <v>8192</v>
      </c>
      <c r="J226" t="s">
        <v>7773</v>
      </c>
      <c r="K226" t="s">
        <v>8193</v>
      </c>
      <c r="L226" t="s">
        <v>8194</v>
      </c>
      <c r="M226" s="42">
        <v>0.94</v>
      </c>
      <c r="N226" s="42">
        <v>0.8</v>
      </c>
      <c r="O226">
        <v>0.94</v>
      </c>
      <c r="P226" s="42">
        <v>0.932</v>
      </c>
      <c r="Q226">
        <v>0.93</v>
      </c>
      <c r="R226">
        <v>1116</v>
      </c>
      <c r="S226">
        <v>1116</v>
      </c>
      <c r="T226">
        <v>1200</v>
      </c>
      <c r="U226" t="s">
        <v>8141</v>
      </c>
      <c r="W226" t="s">
        <v>8142</v>
      </c>
      <c r="Y226" t="s">
        <v>8143</v>
      </c>
      <c r="Z226" s="42">
        <v>1</v>
      </c>
      <c r="AA226" s="42">
        <v>0.1</v>
      </c>
      <c r="AB226">
        <v>1</v>
      </c>
    </row>
    <row r="227">
      <c r="A227" t="s">
        <v>8195</v>
      </c>
      <c r="B227" t="s">
        <v>8122</v>
      </c>
      <c r="C227" t="s">
        <v>8122</v>
      </c>
      <c r="D227" t="s">
        <v>8123</v>
      </c>
      <c r="E227" t="s">
        <v>8196</v>
      </c>
      <c r="F227" t="s">
        <v>6966</v>
      </c>
      <c r="G227" t="s">
        <v>8137</v>
      </c>
      <c r="H227" t="s">
        <v>8138</v>
      </c>
      <c r="I227" t="s">
        <v>8197</v>
      </c>
      <c r="J227" t="s">
        <v>7773</v>
      </c>
      <c r="K227" t="s">
        <v>7773</v>
      </c>
      <c r="L227" t="s">
        <v>8198</v>
      </c>
      <c r="M227" s="42">
        <v>0.8</v>
      </c>
      <c r="N227" s="42">
        <v>0.8</v>
      </c>
      <c r="O227">
        <v>1</v>
      </c>
      <c r="P227" s="42">
        <v>0.833</v>
      </c>
      <c r="Q227">
        <v>0.99</v>
      </c>
      <c r="R227">
        <v>1188</v>
      </c>
      <c r="S227">
        <v>1188</v>
      </c>
      <c r="T227">
        <v>1000</v>
      </c>
      <c r="U227" t="s">
        <v>8141</v>
      </c>
      <c r="W227" t="s">
        <v>8142</v>
      </c>
      <c r="Y227" t="s">
        <v>8143</v>
      </c>
      <c r="Z227" s="42">
        <v>1</v>
      </c>
      <c r="AA227" s="42">
        <v>0.1</v>
      </c>
      <c r="AB227">
        <v>1</v>
      </c>
    </row>
    <row r="228">
      <c r="A228" t="s">
        <v>8199</v>
      </c>
      <c r="B228" t="s">
        <v>8200</v>
      </c>
      <c r="C228" t="s">
        <v>8200</v>
      </c>
      <c r="D228" t="s">
        <v>7000</v>
      </c>
      <c r="E228" t="s">
        <v>8201</v>
      </c>
      <c r="F228" t="s">
        <v>6966</v>
      </c>
      <c r="G228" t="s">
        <v>8202</v>
      </c>
      <c r="H228" t="s">
        <v>8203</v>
      </c>
      <c r="I228" t="s">
        <v>8204</v>
      </c>
      <c r="J228" t="s">
        <v>8205</v>
      </c>
      <c r="K228" t="s">
        <v>8206</v>
      </c>
      <c r="L228" t="s">
        <v>8207</v>
      </c>
      <c r="M228" s="42">
        <v>0.9</v>
      </c>
      <c r="N228" s="42">
        <v>0.3</v>
      </c>
      <c r="O228">
        <v>0.9</v>
      </c>
      <c r="P228" s="42">
        <v>0.702</v>
      </c>
      <c r="Q228">
        <v>0.83</v>
      </c>
      <c r="R228">
        <v>4150</v>
      </c>
      <c r="S228">
        <v>4150</v>
      </c>
      <c r="T228">
        <v>5000</v>
      </c>
      <c r="U228" t="s">
        <v>8141</v>
      </c>
      <c r="W228" t="s">
        <v>8142</v>
      </c>
      <c r="Y228" t="s">
        <v>8143</v>
      </c>
      <c r="Z228" s="42">
        <v>1</v>
      </c>
      <c r="AA228" s="42">
        <v>0.1</v>
      </c>
      <c r="AB228">
        <v>1</v>
      </c>
    </row>
    <row r="229">
      <c r="A229" t="s">
        <v>8208</v>
      </c>
      <c r="B229" t="s">
        <v>8200</v>
      </c>
      <c r="C229" t="s">
        <v>8200</v>
      </c>
      <c r="D229" t="s">
        <v>8123</v>
      </c>
      <c r="E229" t="s">
        <v>8209</v>
      </c>
      <c r="F229" t="s">
        <v>6966</v>
      </c>
      <c r="G229" t="s">
        <v>8202</v>
      </c>
      <c r="H229" t="s">
        <v>8210</v>
      </c>
      <c r="I229" t="s">
        <v>8211</v>
      </c>
      <c r="K229" s="43">
        <v>1.14</v>
      </c>
      <c r="L229" t="s">
        <v>7040</v>
      </c>
      <c r="M229" s="42">
        <v>1</v>
      </c>
      <c r="N229" s="42">
        <v>0.35</v>
      </c>
      <c r="O229">
        <v>1</v>
      </c>
      <c r="P229" s="42">
        <v>0.695</v>
      </c>
      <c r="Q229">
        <v>0.7</v>
      </c>
      <c r="R229">
        <v>834</v>
      </c>
      <c r="S229">
        <v>834</v>
      </c>
      <c r="T229">
        <v>1200</v>
      </c>
      <c r="U229" t="s">
        <v>8141</v>
      </c>
      <c r="W229" t="s">
        <v>8142</v>
      </c>
      <c r="Y229" t="s">
        <v>8143</v>
      </c>
      <c r="Z229" s="42">
        <v>1</v>
      </c>
      <c r="AA229" s="42">
        <v>0.1</v>
      </c>
      <c r="AB229">
        <v>1</v>
      </c>
    </row>
    <row r="230">
      <c r="A230" t="s">
        <v>8212</v>
      </c>
      <c r="B230" t="s">
        <v>8200</v>
      </c>
      <c r="C230" t="s">
        <v>8200</v>
      </c>
      <c r="D230" t="s">
        <v>8213</v>
      </c>
      <c r="E230" t="s">
        <v>8214</v>
      </c>
      <c r="F230" t="s">
        <v>6966</v>
      </c>
      <c r="G230" t="s">
        <v>8202</v>
      </c>
      <c r="H230" t="s">
        <v>8203</v>
      </c>
      <c r="I230" t="s">
        <v>8215</v>
      </c>
      <c r="J230" s="43">
        <v>1</v>
      </c>
      <c r="K230" s="42">
        <v>0.503</v>
      </c>
      <c r="L230" t="s">
        <v>8216</v>
      </c>
      <c r="M230" s="42">
        <v>0.503</v>
      </c>
      <c r="N230" s="42">
        <v>0.25</v>
      </c>
      <c r="O230">
        <v>0.503</v>
      </c>
      <c r="P230" s="42">
        <v>0.812</v>
      </c>
      <c r="Q230">
        <v>0.81</v>
      </c>
      <c r="R230">
        <v>4050</v>
      </c>
      <c r="S230">
        <v>4050</v>
      </c>
      <c r="T230">
        <v>5000</v>
      </c>
      <c r="U230" t="s">
        <v>8141</v>
      </c>
      <c r="W230" t="s">
        <v>8142</v>
      </c>
      <c r="Y230" t="s">
        <v>8143</v>
      </c>
      <c r="Z230" s="42">
        <v>1</v>
      </c>
      <c r="AA230" s="42">
        <v>0.1</v>
      </c>
      <c r="AB230">
        <v>1</v>
      </c>
    </row>
    <row r="231">
      <c r="A231" t="s">
        <v>8217</v>
      </c>
      <c r="B231" t="s">
        <v>8200</v>
      </c>
      <c r="C231" t="s">
        <v>8200</v>
      </c>
      <c r="D231" t="s">
        <v>7362</v>
      </c>
      <c r="E231" t="s">
        <v>8218</v>
      </c>
      <c r="F231" t="s">
        <v>6966</v>
      </c>
      <c r="G231" t="s">
        <v>8202</v>
      </c>
      <c r="H231" t="s">
        <v>8210</v>
      </c>
      <c r="I231" t="s">
        <v>8219</v>
      </c>
      <c r="K231" t="s">
        <v>7548</v>
      </c>
      <c r="L231" t="s">
        <v>8220</v>
      </c>
      <c r="M231" s="42">
        <v>0.834</v>
      </c>
      <c r="N231" s="42">
        <v>1</v>
      </c>
      <c r="O231">
        <v>0.834</v>
      </c>
      <c r="P231" s="42">
        <v>0.834</v>
      </c>
      <c r="Q231">
        <v>0.83</v>
      </c>
      <c r="R231">
        <v>1251</v>
      </c>
      <c r="S231">
        <v>1251</v>
      </c>
      <c r="T231">
        <v>1500</v>
      </c>
      <c r="U231" t="s">
        <v>8141</v>
      </c>
      <c r="W231" t="s">
        <v>8142</v>
      </c>
      <c r="Y231" t="s">
        <v>8143</v>
      </c>
      <c r="Z231" s="42">
        <v>1</v>
      </c>
      <c r="AA231" s="42">
        <v>0.1</v>
      </c>
      <c r="AB231">
        <v>1</v>
      </c>
    </row>
    <row r="232">
      <c r="A232" t="s">
        <v>8221</v>
      </c>
      <c r="B232" t="s">
        <v>8200</v>
      </c>
      <c r="C232" t="s">
        <v>8200</v>
      </c>
      <c r="D232" t="s">
        <v>8123</v>
      </c>
      <c r="E232" t="s">
        <v>8222</v>
      </c>
      <c r="F232" t="s">
        <v>6966</v>
      </c>
      <c r="G232" t="s">
        <v>8202</v>
      </c>
      <c r="H232" t="s">
        <v>8210</v>
      </c>
      <c r="I232" t="s">
        <v>8223</v>
      </c>
      <c r="K232" t="s">
        <v>7548</v>
      </c>
      <c r="L232" t="s">
        <v>8224</v>
      </c>
      <c r="M232" s="42">
        <v>1</v>
      </c>
      <c r="N232" s="42">
        <v>0.3</v>
      </c>
      <c r="O232">
        <v>1</v>
      </c>
      <c r="P232" s="42">
        <v>0.75045</v>
      </c>
      <c r="Q232">
        <v>0.75</v>
      </c>
      <c r="R232">
        <v>0</v>
      </c>
      <c r="S232">
        <v>0</v>
      </c>
      <c r="T232">
        <v>1200</v>
      </c>
      <c r="U232" t="s">
        <v>8141</v>
      </c>
      <c r="W232" t="s">
        <v>8142</v>
      </c>
      <c r="Y232" t="s">
        <v>8143</v>
      </c>
      <c r="Z232" s="42">
        <v>1</v>
      </c>
      <c r="AA232" s="42">
        <v>0.1</v>
      </c>
      <c r="AB232">
        <v>1</v>
      </c>
    </row>
    <row r="233">
      <c r="A233" t="s">
        <v>8225</v>
      </c>
      <c r="B233" t="s">
        <v>8200</v>
      </c>
      <c r="C233" t="s">
        <v>8200</v>
      </c>
      <c r="D233" t="s">
        <v>7362</v>
      </c>
      <c r="E233" t="s">
        <v>8226</v>
      </c>
      <c r="F233" t="s">
        <v>6966</v>
      </c>
      <c r="G233" t="s">
        <v>8202</v>
      </c>
      <c r="H233" t="s">
        <v>8210</v>
      </c>
      <c r="I233" t="s">
        <v>8227</v>
      </c>
      <c r="K233" s="43">
        <v>0.74</v>
      </c>
      <c r="L233" t="s">
        <v>8228</v>
      </c>
      <c r="M233" s="42">
        <v>0.1</v>
      </c>
      <c r="N233" s="42">
        <v>1</v>
      </c>
      <c r="O233">
        <v>0.1</v>
      </c>
      <c r="P233" s="42">
        <v>0.1</v>
      </c>
      <c r="Q233">
        <v>0.1</v>
      </c>
      <c r="R233">
        <v>150</v>
      </c>
      <c r="S233">
        <v>150</v>
      </c>
      <c r="T233">
        <v>1500</v>
      </c>
      <c r="U233" t="s">
        <v>8141</v>
      </c>
      <c r="W233" t="s">
        <v>8142</v>
      </c>
      <c r="Y233" t="s">
        <v>8143</v>
      </c>
      <c r="Z233" s="42">
        <v>1</v>
      </c>
      <c r="AA233" s="42">
        <v>0.1</v>
      </c>
      <c r="AB233">
        <v>1</v>
      </c>
    </row>
    <row r="234">
      <c r="A234" t="s">
        <v>8229</v>
      </c>
      <c r="B234" t="s">
        <v>8230</v>
      </c>
      <c r="C234" t="s">
        <v>8230</v>
      </c>
      <c r="D234" t="s">
        <v>8231</v>
      </c>
      <c r="E234" t="s">
        <v>8232</v>
      </c>
      <c r="F234" t="s">
        <v>6966</v>
      </c>
      <c r="G234" t="s">
        <v>8233</v>
      </c>
      <c r="H234" t="s">
        <v>8234</v>
      </c>
      <c r="I234" t="s">
        <v>8235</v>
      </c>
      <c r="J234" t="s">
        <v>8236</v>
      </c>
      <c r="K234" t="s">
        <v>8237</v>
      </c>
      <c r="L234" t="s">
        <v>8228</v>
      </c>
      <c r="M234" s="42">
        <v>1.12</v>
      </c>
      <c r="N234" s="42">
        <v>0.5</v>
      </c>
      <c r="O234">
        <v>1.12</v>
      </c>
      <c r="P234" s="42">
        <v>1.063</v>
      </c>
      <c r="Q234">
        <v>1.06</v>
      </c>
      <c r="R234">
        <v>3180</v>
      </c>
      <c r="S234">
        <v>3180</v>
      </c>
      <c r="T234">
        <v>3000</v>
      </c>
      <c r="U234" t="s">
        <v>8141</v>
      </c>
      <c r="W234" t="s">
        <v>8142</v>
      </c>
      <c r="Y234" t="s">
        <v>8143</v>
      </c>
      <c r="Z234" s="42">
        <v>1</v>
      </c>
      <c r="AA234" s="42">
        <v>0.1</v>
      </c>
      <c r="AB234">
        <v>1</v>
      </c>
    </row>
    <row r="235">
      <c r="A235" t="s">
        <v>8238</v>
      </c>
      <c r="B235" t="s">
        <v>8230</v>
      </c>
      <c r="C235" t="s">
        <v>8230</v>
      </c>
      <c r="D235" t="s">
        <v>8239</v>
      </c>
      <c r="E235" t="s">
        <v>8240</v>
      </c>
      <c r="F235" t="s">
        <v>6966</v>
      </c>
      <c r="G235" t="s">
        <v>8233</v>
      </c>
      <c r="H235" t="s">
        <v>8234</v>
      </c>
      <c r="I235" t="s">
        <v>8241</v>
      </c>
      <c r="J235" t="s">
        <v>8242</v>
      </c>
      <c r="K235" t="s">
        <v>7694</v>
      </c>
      <c r="L235" t="s">
        <v>8243</v>
      </c>
      <c r="M235" s="42">
        <v>1.6</v>
      </c>
      <c r="N235" s="42">
        <v>0.5</v>
      </c>
      <c r="O235">
        <v>1.5</v>
      </c>
      <c r="P235" s="42">
        <v>1.3</v>
      </c>
      <c r="Q235">
        <v>1.05</v>
      </c>
      <c r="R235">
        <v>0</v>
      </c>
      <c r="S235">
        <v>0</v>
      </c>
      <c r="T235">
        <v>2000</v>
      </c>
      <c r="U235" t="s">
        <v>8141</v>
      </c>
      <c r="W235" t="s">
        <v>8142</v>
      </c>
      <c r="Y235" t="s">
        <v>8143</v>
      </c>
      <c r="Z235" s="42">
        <v>1</v>
      </c>
      <c r="AA235" s="42">
        <v>0.1</v>
      </c>
      <c r="AB235">
        <v>1</v>
      </c>
    </row>
    <row r="236">
      <c r="A236" t="s">
        <v>8244</v>
      </c>
      <c r="B236" t="s">
        <v>8230</v>
      </c>
      <c r="C236" t="s">
        <v>8230</v>
      </c>
      <c r="D236" t="s">
        <v>8245</v>
      </c>
      <c r="E236" t="s">
        <v>8246</v>
      </c>
      <c r="F236" t="s">
        <v>6966</v>
      </c>
      <c r="G236" t="s">
        <v>8233</v>
      </c>
      <c r="H236" t="s">
        <v>8234</v>
      </c>
      <c r="I236" t="s">
        <v>8247</v>
      </c>
      <c r="J236" t="s">
        <v>8242</v>
      </c>
      <c r="K236" t="s">
        <v>8248</v>
      </c>
      <c r="L236" t="s">
        <v>8249</v>
      </c>
      <c r="M236" s="42">
        <v>1</v>
      </c>
      <c r="N236" s="42">
        <v>0.6</v>
      </c>
      <c r="O236">
        <v>1.1</v>
      </c>
      <c r="P236" s="42">
        <v>0.6</v>
      </c>
      <c r="Q236">
        <v>0.66</v>
      </c>
      <c r="R236">
        <v>0</v>
      </c>
      <c r="S236">
        <v>0</v>
      </c>
      <c r="T236">
        <v>2000</v>
      </c>
      <c r="U236" t="s">
        <v>8141</v>
      </c>
      <c r="W236" t="s">
        <v>8142</v>
      </c>
      <c r="Y236" t="s">
        <v>8143</v>
      </c>
      <c r="Z236" s="42">
        <v>1</v>
      </c>
      <c r="AA236" s="42">
        <v>0.1</v>
      </c>
      <c r="AB236">
        <v>1</v>
      </c>
    </row>
    <row r="237">
      <c r="A237" t="s">
        <v>8250</v>
      </c>
      <c r="B237" t="s">
        <v>8230</v>
      </c>
      <c r="C237" t="s">
        <v>8230</v>
      </c>
      <c r="D237" t="s">
        <v>8231</v>
      </c>
      <c r="E237" t="s">
        <v>8251</v>
      </c>
      <c r="F237" t="s">
        <v>6966</v>
      </c>
      <c r="G237" t="s">
        <v>8233</v>
      </c>
      <c r="H237" t="s">
        <v>8252</v>
      </c>
      <c r="I237" t="s">
        <v>8253</v>
      </c>
      <c r="J237" s="43">
        <v>1</v>
      </c>
      <c r="K237" s="43">
        <v>1</v>
      </c>
      <c r="L237" t="s">
        <v>8254</v>
      </c>
      <c r="M237" s="42">
        <v>1</v>
      </c>
      <c r="N237" s="42">
        <v>0.3</v>
      </c>
      <c r="O237">
        <v>1</v>
      </c>
      <c r="P237" s="42">
        <v>1</v>
      </c>
      <c r="Q237">
        <v>1</v>
      </c>
      <c r="R237">
        <v>0</v>
      </c>
      <c r="S237">
        <v>0</v>
      </c>
      <c r="T237">
        <v>3000</v>
      </c>
      <c r="U237" t="s">
        <v>8141</v>
      </c>
      <c r="W237" t="s">
        <v>8142</v>
      </c>
      <c r="Y237" t="s">
        <v>8143</v>
      </c>
      <c r="Z237" s="42">
        <v>1</v>
      </c>
      <c r="AA237" s="42">
        <v>0.1</v>
      </c>
      <c r="AB237">
        <v>1</v>
      </c>
    </row>
    <row r="238">
      <c r="A238" t="s">
        <v>8255</v>
      </c>
      <c r="B238" t="s">
        <v>8230</v>
      </c>
      <c r="C238" t="s">
        <v>8230</v>
      </c>
      <c r="D238" t="s">
        <v>8231</v>
      </c>
      <c r="E238" t="s">
        <v>8256</v>
      </c>
      <c r="F238" t="s">
        <v>6966</v>
      </c>
      <c r="G238" t="s">
        <v>8233</v>
      </c>
      <c r="H238" t="s">
        <v>8234</v>
      </c>
      <c r="I238" t="s">
        <v>8257</v>
      </c>
      <c r="J238" t="s">
        <v>7682</v>
      </c>
      <c r="K238" t="s">
        <v>8258</v>
      </c>
      <c r="L238" t="s">
        <v>7040</v>
      </c>
      <c r="M238" s="42">
        <v>1</v>
      </c>
      <c r="N238" s="42">
        <v>0.5</v>
      </c>
      <c r="O238">
        <v>1.5</v>
      </c>
      <c r="P238" s="42">
        <v>1</v>
      </c>
      <c r="Q238">
        <v>1.41</v>
      </c>
      <c r="R238">
        <v>0</v>
      </c>
      <c r="S238">
        <v>0</v>
      </c>
      <c r="T238">
        <v>3000</v>
      </c>
      <c r="U238" t="s">
        <v>8141</v>
      </c>
      <c r="W238" t="s">
        <v>8142</v>
      </c>
      <c r="Y238" t="s">
        <v>8143</v>
      </c>
      <c r="Z238" s="42">
        <v>1</v>
      </c>
      <c r="AA238" s="42">
        <v>0.1</v>
      </c>
      <c r="AB238">
        <v>1</v>
      </c>
    </row>
    <row r="239">
      <c r="A239" t="s">
        <v>8259</v>
      </c>
      <c r="B239" t="s">
        <v>8230</v>
      </c>
      <c r="C239" t="s">
        <v>8230</v>
      </c>
      <c r="D239" t="s">
        <v>8239</v>
      </c>
      <c r="E239" t="s">
        <v>8260</v>
      </c>
      <c r="F239" t="s">
        <v>6966</v>
      </c>
      <c r="G239" t="s">
        <v>8233</v>
      </c>
      <c r="H239" t="s">
        <v>8252</v>
      </c>
      <c r="I239" t="s">
        <v>8261</v>
      </c>
      <c r="J239" t="s">
        <v>8242</v>
      </c>
      <c r="K239" t="s">
        <v>8262</v>
      </c>
      <c r="L239" t="s">
        <v>7040</v>
      </c>
      <c r="M239" s="42">
        <v>1.03</v>
      </c>
      <c r="N239" s="42">
        <v>0.5</v>
      </c>
      <c r="O239">
        <v>1</v>
      </c>
      <c r="P239" s="42">
        <v>0.91501</v>
      </c>
      <c r="Q239">
        <v>0.9</v>
      </c>
      <c r="R239">
        <v>0</v>
      </c>
      <c r="S239">
        <v>0</v>
      </c>
      <c r="T239">
        <v>2000</v>
      </c>
      <c r="U239" t="s">
        <v>8141</v>
      </c>
      <c r="W239" t="s">
        <v>8142</v>
      </c>
      <c r="Y239" t="s">
        <v>8143</v>
      </c>
      <c r="Z239" s="42">
        <v>1</v>
      </c>
      <c r="AA239" s="42">
        <v>0.1</v>
      </c>
      <c r="AB239">
        <v>1</v>
      </c>
    </row>
    <row r="240">
      <c r="A240" t="s">
        <v>8263</v>
      </c>
      <c r="B240" t="s">
        <v>8230</v>
      </c>
      <c r="C240" t="s">
        <v>8230</v>
      </c>
      <c r="D240" t="s">
        <v>8239</v>
      </c>
      <c r="E240" t="s">
        <v>8264</v>
      </c>
      <c r="F240" t="s">
        <v>6966</v>
      </c>
      <c r="G240" t="s">
        <v>8233</v>
      </c>
      <c r="H240" t="s">
        <v>8234</v>
      </c>
      <c r="I240" t="s">
        <v>8261</v>
      </c>
      <c r="J240" t="s">
        <v>7225</v>
      </c>
      <c r="K240" t="s">
        <v>8265</v>
      </c>
      <c r="L240" t="s">
        <v>7040</v>
      </c>
      <c r="M240" s="42">
        <v>0.145469</v>
      </c>
      <c r="N240" s="42">
        <v>0.5</v>
      </c>
      <c r="O240">
        <v>0.1164</v>
      </c>
      <c r="P240" s="42">
        <v>0.272735</v>
      </c>
      <c r="Q240">
        <v>0.26</v>
      </c>
      <c r="R240">
        <v>0</v>
      </c>
      <c r="S240">
        <v>0</v>
      </c>
      <c r="T240">
        <v>2000</v>
      </c>
      <c r="U240" t="s">
        <v>8141</v>
      </c>
      <c r="W240" t="s">
        <v>8142</v>
      </c>
      <c r="Y240" t="s">
        <v>8143</v>
      </c>
      <c r="Z240" s="42">
        <v>1</v>
      </c>
      <c r="AA240" s="42">
        <v>0.1</v>
      </c>
      <c r="AB240">
        <v>1</v>
      </c>
    </row>
    <row r="241">
      <c r="A241" t="s">
        <v>8266</v>
      </c>
      <c r="B241" t="s">
        <v>8267</v>
      </c>
      <c r="C241" t="s">
        <v>8267</v>
      </c>
      <c r="D241" t="s">
        <v>8268</v>
      </c>
      <c r="E241" t="s">
        <v>8269</v>
      </c>
      <c r="F241" t="s">
        <v>6966</v>
      </c>
      <c r="G241" t="s">
        <v>8270</v>
      </c>
      <c r="H241" t="s">
        <v>8271</v>
      </c>
      <c r="I241" t="s">
        <v>8272</v>
      </c>
      <c r="J241" t="s">
        <v>8273</v>
      </c>
      <c r="K241" t="s">
        <v>8274</v>
      </c>
      <c r="L241" t="s">
        <v>8275</v>
      </c>
      <c r="M241" s="42">
        <v>1.1408</v>
      </c>
      <c r="N241" s="42">
        <v>0.15</v>
      </c>
      <c r="O241">
        <v>1.141</v>
      </c>
      <c r="P241" s="42">
        <v>1.44321</v>
      </c>
      <c r="Q241">
        <v>0.99</v>
      </c>
      <c r="R241">
        <v>2721.77</v>
      </c>
      <c r="S241">
        <v>2721.77</v>
      </c>
      <c r="T241">
        <v>3000</v>
      </c>
      <c r="U241" t="s">
        <v>8141</v>
      </c>
      <c r="W241" t="s">
        <v>8142</v>
      </c>
      <c r="Y241" t="s">
        <v>8143</v>
      </c>
      <c r="Z241" s="42">
        <v>1</v>
      </c>
      <c r="AA241" s="42">
        <v>0.1</v>
      </c>
      <c r="AB241">
        <v>1</v>
      </c>
    </row>
    <row r="242">
      <c r="A242" t="s">
        <v>8276</v>
      </c>
      <c r="B242" t="s">
        <v>8267</v>
      </c>
      <c r="C242" t="s">
        <v>8267</v>
      </c>
      <c r="D242" t="s">
        <v>8268</v>
      </c>
      <c r="E242" t="s">
        <v>8277</v>
      </c>
      <c r="F242" t="s">
        <v>6966</v>
      </c>
      <c r="G242" t="s">
        <v>8270</v>
      </c>
      <c r="H242" t="s">
        <v>8271</v>
      </c>
      <c r="I242" t="s">
        <v>8278</v>
      </c>
      <c r="J242" t="s">
        <v>8279</v>
      </c>
      <c r="K242" t="s">
        <v>8280</v>
      </c>
      <c r="L242" t="s">
        <v>8275</v>
      </c>
      <c r="M242" s="42">
        <v>1.0047</v>
      </c>
      <c r="N242" s="42">
        <v>0.18</v>
      </c>
      <c r="O242">
        <v>1.407</v>
      </c>
      <c r="P242" s="42">
        <v>1.035966</v>
      </c>
      <c r="Q242">
        <v>1.14</v>
      </c>
      <c r="R242">
        <v>3931.45</v>
      </c>
      <c r="S242">
        <v>3931.45</v>
      </c>
      <c r="T242">
        <v>3000</v>
      </c>
      <c r="U242" t="s">
        <v>8141</v>
      </c>
      <c r="W242" t="s">
        <v>8142</v>
      </c>
      <c r="Y242" t="s">
        <v>8143</v>
      </c>
      <c r="Z242" s="42">
        <v>1</v>
      </c>
      <c r="AA242" s="42">
        <v>0.1</v>
      </c>
      <c r="AB242">
        <v>1</v>
      </c>
    </row>
    <row r="243">
      <c r="A243" t="s">
        <v>8281</v>
      </c>
      <c r="B243" t="s">
        <v>8267</v>
      </c>
      <c r="C243" t="s">
        <v>8267</v>
      </c>
      <c r="D243" t="s">
        <v>8268</v>
      </c>
      <c r="E243" t="s">
        <v>8282</v>
      </c>
      <c r="F243" t="s">
        <v>6966</v>
      </c>
      <c r="G243" t="s">
        <v>8270</v>
      </c>
      <c r="H243" t="s">
        <v>8283</v>
      </c>
      <c r="I243" t="s">
        <v>8284</v>
      </c>
      <c r="J243" t="s">
        <v>8285</v>
      </c>
      <c r="K243" t="s">
        <v>8285</v>
      </c>
      <c r="L243" t="s">
        <v>8275</v>
      </c>
      <c r="M243" s="42">
        <v>1</v>
      </c>
      <c r="N243" s="42">
        <v>0.3</v>
      </c>
      <c r="O243">
        <v>1</v>
      </c>
      <c r="P243" s="42">
        <v>0.98708</v>
      </c>
      <c r="Q243">
        <v>1.09</v>
      </c>
      <c r="R243">
        <v>3629.03</v>
      </c>
      <c r="S243">
        <v>3629.03</v>
      </c>
      <c r="T243">
        <v>3000</v>
      </c>
      <c r="U243" t="s">
        <v>8141</v>
      </c>
      <c r="W243" t="s">
        <v>8142</v>
      </c>
      <c r="Y243" t="s">
        <v>8143</v>
      </c>
      <c r="Z243" s="42">
        <v>1</v>
      </c>
      <c r="AA243" s="42">
        <v>0.1</v>
      </c>
      <c r="AB243">
        <v>1</v>
      </c>
    </row>
    <row r="244">
      <c r="A244" t="s">
        <v>8286</v>
      </c>
      <c r="B244" t="s">
        <v>8267</v>
      </c>
      <c r="C244" t="s">
        <v>8267</v>
      </c>
      <c r="D244" t="s">
        <v>8268</v>
      </c>
      <c r="E244" t="s">
        <v>8287</v>
      </c>
      <c r="F244" t="s">
        <v>6966</v>
      </c>
      <c r="G244" t="s">
        <v>8270</v>
      </c>
      <c r="H244" t="s">
        <v>8271</v>
      </c>
      <c r="I244" t="s">
        <v>8288</v>
      </c>
      <c r="J244">
        <v>1955865.36</v>
      </c>
      <c r="K244">
        <v>1864024.57</v>
      </c>
      <c r="L244" t="s">
        <v>8275</v>
      </c>
      <c r="M244" s="42">
        <v>1.0493</v>
      </c>
      <c r="N244" s="42">
        <v>0.21</v>
      </c>
      <c r="O244">
        <v>1.417</v>
      </c>
      <c r="P244" s="42">
        <v>0.73812</v>
      </c>
      <c r="Q244">
        <v>0.82</v>
      </c>
      <c r="R244">
        <v>2116.94</v>
      </c>
      <c r="S244">
        <v>2116.94</v>
      </c>
      <c r="T244">
        <v>3000</v>
      </c>
      <c r="U244" t="s">
        <v>8141</v>
      </c>
      <c r="W244" t="s">
        <v>8142</v>
      </c>
      <c r="Y244" t="s">
        <v>8143</v>
      </c>
      <c r="Z244" s="42">
        <v>1</v>
      </c>
      <c r="AA244" s="42">
        <v>0.1</v>
      </c>
      <c r="AB244">
        <v>1</v>
      </c>
    </row>
    <row r="245">
      <c r="A245" t="s">
        <v>8289</v>
      </c>
      <c r="B245" t="s">
        <v>8267</v>
      </c>
      <c r="C245" t="s">
        <v>8267</v>
      </c>
      <c r="D245" t="s">
        <v>7000</v>
      </c>
      <c r="E245" t="s">
        <v>8290</v>
      </c>
      <c r="F245" t="s">
        <v>6966</v>
      </c>
      <c r="G245" t="s">
        <v>8270</v>
      </c>
      <c r="H245" t="s">
        <v>8271</v>
      </c>
      <c r="I245" t="s">
        <v>8291</v>
      </c>
      <c r="J245">
        <v>2705290.95</v>
      </c>
      <c r="K245">
        <v>2366766.2922</v>
      </c>
      <c r="L245" t="s">
        <v>8292</v>
      </c>
      <c r="M245" s="42">
        <v>1.143</v>
      </c>
      <c r="N245" s="42">
        <v>0.3</v>
      </c>
      <c r="O245">
        <v>1.487</v>
      </c>
      <c r="P245" s="42">
        <v>0.988355</v>
      </c>
      <c r="Q245">
        <v>1.06</v>
      </c>
      <c r="R245">
        <v>5544.35</v>
      </c>
      <c r="S245">
        <v>5544.35</v>
      </c>
      <c r="T245">
        <v>5000</v>
      </c>
      <c r="U245" t="s">
        <v>8141</v>
      </c>
      <c r="W245" t="s">
        <v>8142</v>
      </c>
      <c r="Y245" t="s">
        <v>8143</v>
      </c>
      <c r="Z245" s="42">
        <v>1</v>
      </c>
      <c r="AA245" s="42">
        <v>0.1</v>
      </c>
      <c r="AB245">
        <v>1</v>
      </c>
    </row>
    <row r="246">
      <c r="A246" t="s">
        <v>8293</v>
      </c>
      <c r="B246" t="s">
        <v>8267</v>
      </c>
      <c r="C246" t="s">
        <v>8267</v>
      </c>
      <c r="D246" t="s">
        <v>8268</v>
      </c>
      <c r="E246" t="s">
        <v>8294</v>
      </c>
      <c r="F246" t="s">
        <v>6966</v>
      </c>
      <c r="G246" t="s">
        <v>8270</v>
      </c>
      <c r="H246" t="s">
        <v>8271</v>
      </c>
      <c r="I246" t="s">
        <v>8295</v>
      </c>
      <c r="J246">
        <v>1245292.32</v>
      </c>
      <c r="K246">
        <v>1216437</v>
      </c>
      <c r="M246" s="42">
        <v>1.024</v>
      </c>
      <c r="N246" s="42">
        <v>0.15</v>
      </c>
      <c r="O246">
        <v>1.331</v>
      </c>
      <c r="P246" s="42">
        <v>0.94955</v>
      </c>
      <c r="Q246">
        <v>1</v>
      </c>
      <c r="R246">
        <v>3024.19</v>
      </c>
      <c r="S246">
        <v>3024.19</v>
      </c>
      <c r="T246">
        <v>3000</v>
      </c>
      <c r="U246" t="s">
        <v>8141</v>
      </c>
      <c r="W246" t="s">
        <v>8142</v>
      </c>
      <c r="Y246" t="s">
        <v>8143</v>
      </c>
      <c r="Z246" s="42">
        <v>1</v>
      </c>
      <c r="AA246" s="42">
        <v>0.1</v>
      </c>
      <c r="AB246">
        <v>1</v>
      </c>
    </row>
    <row r="247">
      <c r="A247" t="s">
        <v>8296</v>
      </c>
      <c r="B247" t="s">
        <v>8267</v>
      </c>
      <c r="C247" t="s">
        <v>8267</v>
      </c>
      <c r="D247" t="s">
        <v>7000</v>
      </c>
      <c r="E247" t="s">
        <v>8297</v>
      </c>
      <c r="F247" t="s">
        <v>6966</v>
      </c>
      <c r="G247" t="s">
        <v>8270</v>
      </c>
      <c r="H247" t="s">
        <v>8271</v>
      </c>
      <c r="I247" t="s">
        <v>8298</v>
      </c>
      <c r="J247" t="s">
        <v>8299</v>
      </c>
      <c r="K247" t="s">
        <v>8300</v>
      </c>
      <c r="L247" t="s">
        <v>8301</v>
      </c>
      <c r="M247" s="42">
        <v>1.0802</v>
      </c>
      <c r="N247" s="42">
        <v>0.21</v>
      </c>
      <c r="O247">
        <v>1.08</v>
      </c>
      <c r="P247" s="42">
        <v>0.899561</v>
      </c>
      <c r="Q247">
        <v>0.9</v>
      </c>
      <c r="R247">
        <v>4032.26</v>
      </c>
      <c r="S247">
        <v>4032.26</v>
      </c>
      <c r="T247">
        <v>5000</v>
      </c>
      <c r="U247" t="s">
        <v>8141</v>
      </c>
      <c r="W247" t="s">
        <v>8142</v>
      </c>
      <c r="Y247" t="s">
        <v>8143</v>
      </c>
      <c r="Z247" s="42">
        <v>1</v>
      </c>
      <c r="AA247" s="42">
        <v>0.1</v>
      </c>
      <c r="AB247">
        <v>1</v>
      </c>
    </row>
    <row r="248">
      <c r="A248" t="s">
        <v>8302</v>
      </c>
      <c r="B248" t="s">
        <v>8267</v>
      </c>
      <c r="C248" t="s">
        <v>8267</v>
      </c>
      <c r="D248" t="s">
        <v>8268</v>
      </c>
      <c r="E248" t="s">
        <v>8303</v>
      </c>
      <c r="F248" t="s">
        <v>6966</v>
      </c>
      <c r="G248" t="s">
        <v>8270</v>
      </c>
      <c r="H248" t="s">
        <v>8271</v>
      </c>
      <c r="I248" t="s">
        <v>8304</v>
      </c>
      <c r="J248" s="43">
        <v>1</v>
      </c>
      <c r="K248" t="s">
        <v>8305</v>
      </c>
      <c r="L248" t="s">
        <v>8306</v>
      </c>
      <c r="M248" s="42">
        <v>1</v>
      </c>
      <c r="N248" s="42">
        <v>0.2</v>
      </c>
      <c r="O248">
        <v>1</v>
      </c>
      <c r="P248" s="42">
        <v>0.9142</v>
      </c>
      <c r="Q248">
        <v>0.91</v>
      </c>
      <c r="R248">
        <v>7280000</v>
      </c>
      <c r="S248">
        <v>7280000</v>
      </c>
      <c r="T248">
        <v>5000</v>
      </c>
      <c r="U248" t="s">
        <v>8141</v>
      </c>
      <c r="W248" t="s">
        <v>8142</v>
      </c>
      <c r="Y248" t="s">
        <v>8143</v>
      </c>
      <c r="Z248" s="42">
        <v>1</v>
      </c>
      <c r="AA248" s="42">
        <v>0.1</v>
      </c>
      <c r="AB248">
        <v>1</v>
      </c>
    </row>
    <row r="249">
      <c r="A249" t="s">
        <v>8307</v>
      </c>
      <c r="B249" t="s">
        <v>8308</v>
      </c>
      <c r="C249" t="s">
        <v>8308</v>
      </c>
      <c r="D249" t="s">
        <v>8309</v>
      </c>
      <c r="E249" t="s">
        <v>8310</v>
      </c>
      <c r="F249" t="s">
        <v>6966</v>
      </c>
      <c r="G249" t="s">
        <v>8311</v>
      </c>
      <c r="H249" t="s">
        <v>8312</v>
      </c>
      <c r="I249" t="s">
        <v>8313</v>
      </c>
      <c r="J249" t="s">
        <v>8314</v>
      </c>
      <c r="K249" t="s">
        <v>8315</v>
      </c>
      <c r="L249" t="s">
        <v>8306</v>
      </c>
      <c r="M249" s="42">
        <v>0.381</v>
      </c>
      <c r="N249" s="42">
        <v>0.3</v>
      </c>
      <c r="O249">
        <v>0.3048</v>
      </c>
      <c r="P249" s="42">
        <v>0.8143</v>
      </c>
      <c r="Q249">
        <v>0.79</v>
      </c>
      <c r="R249">
        <v>2370</v>
      </c>
      <c r="S249">
        <v>2370</v>
      </c>
      <c r="T249">
        <v>3000</v>
      </c>
      <c r="U249" t="s">
        <v>8141</v>
      </c>
      <c r="W249" t="s">
        <v>8142</v>
      </c>
      <c r="Y249" t="s">
        <v>8143</v>
      </c>
      <c r="Z249" s="42">
        <v>1</v>
      </c>
      <c r="AA249" s="42">
        <v>0.1</v>
      </c>
      <c r="AB249">
        <v>1</v>
      </c>
    </row>
    <row r="250">
      <c r="A250" t="s">
        <v>8316</v>
      </c>
      <c r="B250" t="s">
        <v>8308</v>
      </c>
      <c r="C250" t="s">
        <v>8308</v>
      </c>
      <c r="D250" t="s">
        <v>8309</v>
      </c>
      <c r="E250" t="s">
        <v>8317</v>
      </c>
      <c r="F250" t="s">
        <v>6966</v>
      </c>
      <c r="G250" t="s">
        <v>8311</v>
      </c>
      <c r="H250" t="s">
        <v>8312</v>
      </c>
      <c r="I250" t="s">
        <v>8313</v>
      </c>
      <c r="J250" t="s">
        <v>8242</v>
      </c>
      <c r="K250" t="s">
        <v>8318</v>
      </c>
      <c r="L250" s="42">
        <v>0.381</v>
      </c>
      <c r="M250" s="42">
        <v>0.381</v>
      </c>
      <c r="N250" s="42">
        <v>0.3</v>
      </c>
      <c r="O250">
        <v>0.3048</v>
      </c>
      <c r="P250" s="42">
        <v>0.9643</v>
      </c>
      <c r="Q250">
        <v>0.94</v>
      </c>
      <c r="R250">
        <v>2820</v>
      </c>
      <c r="S250">
        <v>2820</v>
      </c>
      <c r="T250">
        <v>3000</v>
      </c>
      <c r="U250" t="s">
        <v>8141</v>
      </c>
      <c r="W250" t="s">
        <v>8142</v>
      </c>
      <c r="Y250" t="s">
        <v>8143</v>
      </c>
      <c r="Z250" s="42">
        <v>1</v>
      </c>
      <c r="AA250" s="42">
        <v>0.1</v>
      </c>
      <c r="AB250">
        <v>1</v>
      </c>
    </row>
    <row r="251">
      <c r="A251" t="s">
        <v>8319</v>
      </c>
      <c r="B251" t="s">
        <v>8308</v>
      </c>
      <c r="C251" t="s">
        <v>8308</v>
      </c>
      <c r="D251" t="s">
        <v>8309</v>
      </c>
      <c r="E251" t="s">
        <v>8320</v>
      </c>
      <c r="F251" t="s">
        <v>6966</v>
      </c>
      <c r="G251" t="s">
        <v>8311</v>
      </c>
      <c r="H251" t="s">
        <v>8312</v>
      </c>
      <c r="I251" t="s">
        <v>8321</v>
      </c>
      <c r="J251">
        <v>1.5</v>
      </c>
      <c r="K251" t="s">
        <v>8322</v>
      </c>
      <c r="L251" t="s">
        <v>8323</v>
      </c>
      <c r="M251" s="42">
        <v>0.473</v>
      </c>
      <c r="N251" s="42">
        <v>0.3</v>
      </c>
      <c r="O251">
        <v>0.3784</v>
      </c>
      <c r="P251" s="42">
        <v>0.9919</v>
      </c>
      <c r="Q251">
        <v>0.77</v>
      </c>
      <c r="R251">
        <v>2310</v>
      </c>
      <c r="S251">
        <v>2310</v>
      </c>
      <c r="T251">
        <v>3000</v>
      </c>
      <c r="U251" t="s">
        <v>8141</v>
      </c>
      <c r="W251" t="s">
        <v>8142</v>
      </c>
      <c r="Y251" t="s">
        <v>8143</v>
      </c>
      <c r="Z251" s="42">
        <v>1</v>
      </c>
      <c r="AA251" s="42">
        <v>0.1</v>
      </c>
      <c r="AB251">
        <v>1</v>
      </c>
    </row>
    <row r="252">
      <c r="A252" t="s">
        <v>8324</v>
      </c>
      <c r="B252" t="s">
        <v>8308</v>
      </c>
      <c r="C252" t="s">
        <v>8308</v>
      </c>
      <c r="D252" t="s">
        <v>7000</v>
      </c>
      <c r="E252" t="s">
        <v>8325</v>
      </c>
      <c r="F252" t="s">
        <v>6966</v>
      </c>
      <c r="G252" t="s">
        <v>8311</v>
      </c>
      <c r="H252" t="s">
        <v>8312</v>
      </c>
      <c r="I252" t="s">
        <v>8326</v>
      </c>
      <c r="J252" t="s">
        <v>8327</v>
      </c>
      <c r="K252" t="s">
        <v>8328</v>
      </c>
      <c r="L252" t="s">
        <v>8323</v>
      </c>
      <c r="M252" s="42">
        <v>0.736923</v>
      </c>
      <c r="N252" s="42">
        <v>0.3</v>
      </c>
      <c r="O252">
        <v>0.5895</v>
      </c>
      <c r="P252" s="42">
        <v>0.866057</v>
      </c>
      <c r="Q252">
        <v>0.74</v>
      </c>
      <c r="R252">
        <v>4920</v>
      </c>
      <c r="S252">
        <v>4920</v>
      </c>
      <c r="T252">
        <v>6000</v>
      </c>
      <c r="U252" t="s">
        <v>8141</v>
      </c>
      <c r="W252" t="s">
        <v>8142</v>
      </c>
      <c r="Y252" t="s">
        <v>8143</v>
      </c>
      <c r="Z252" s="42">
        <v>1</v>
      </c>
      <c r="AA252" s="42">
        <v>0.1</v>
      </c>
      <c r="AB252">
        <v>1</v>
      </c>
    </row>
    <row r="253">
      <c r="A253" t="s">
        <v>8329</v>
      </c>
      <c r="B253" t="s">
        <v>8308</v>
      </c>
      <c r="C253" t="s">
        <v>8308</v>
      </c>
      <c r="D253" t="s">
        <v>8309</v>
      </c>
      <c r="E253" t="s">
        <v>8330</v>
      </c>
      <c r="F253" t="s">
        <v>6966</v>
      </c>
      <c r="G253" t="s">
        <v>8311</v>
      </c>
      <c r="H253" t="s">
        <v>8312</v>
      </c>
      <c r="I253" t="s">
        <v>8331</v>
      </c>
      <c r="J253" t="s">
        <v>8332</v>
      </c>
      <c r="K253" t="s">
        <v>8333</v>
      </c>
      <c r="L253" t="s">
        <v>8334</v>
      </c>
      <c r="M253" s="42">
        <v>0.7487</v>
      </c>
      <c r="N253" s="42">
        <v>0.3</v>
      </c>
      <c r="O253">
        <v>0.599</v>
      </c>
      <c r="P253" s="42">
        <v>1.07461</v>
      </c>
      <c r="Q253">
        <v>1.03</v>
      </c>
      <c r="R253">
        <v>3210</v>
      </c>
      <c r="S253">
        <v>3210</v>
      </c>
      <c r="T253">
        <v>3000</v>
      </c>
      <c r="U253" t="s">
        <v>8141</v>
      </c>
      <c r="W253" t="s">
        <v>8142</v>
      </c>
      <c r="Y253" t="s">
        <v>8143</v>
      </c>
      <c r="Z253" s="42">
        <v>1</v>
      </c>
      <c r="AA253" s="42">
        <v>0.1</v>
      </c>
      <c r="AB253">
        <v>1</v>
      </c>
    </row>
    <row r="254">
      <c r="A254" t="s">
        <v>8335</v>
      </c>
      <c r="B254" t="s">
        <v>8308</v>
      </c>
      <c r="C254" t="s">
        <v>8308</v>
      </c>
      <c r="D254" t="s">
        <v>8336</v>
      </c>
      <c r="E254" t="s">
        <v>8337</v>
      </c>
      <c r="F254" t="s">
        <v>6966</v>
      </c>
      <c r="G254" t="s">
        <v>8338</v>
      </c>
      <c r="H254" t="s">
        <v>8339</v>
      </c>
      <c r="I254" t="s">
        <v>8340</v>
      </c>
      <c r="K254" t="s">
        <v>7595</v>
      </c>
      <c r="L254" t="s">
        <v>8341</v>
      </c>
      <c r="M254" s="42">
        <v>1</v>
      </c>
      <c r="N254" s="42">
        <v>0.3</v>
      </c>
      <c r="O254">
        <v>0.3</v>
      </c>
      <c r="P254" s="42">
        <v>1</v>
      </c>
      <c r="Q254">
        <v>1</v>
      </c>
      <c r="R254">
        <v>2200</v>
      </c>
      <c r="S254">
        <v>2200</v>
      </c>
      <c r="T254">
        <v>2200</v>
      </c>
      <c r="U254" t="s">
        <v>8141</v>
      </c>
      <c r="W254" t="s">
        <v>8142</v>
      </c>
      <c r="Y254" t="s">
        <v>8143</v>
      </c>
      <c r="Z254" s="42">
        <v>1</v>
      </c>
      <c r="AA254" s="42">
        <v>0.1</v>
      </c>
      <c r="AB254">
        <v>1</v>
      </c>
    </row>
    <row r="255">
      <c r="A255" t="s">
        <v>8342</v>
      </c>
      <c r="B255" t="s">
        <v>8308</v>
      </c>
      <c r="C255" t="s">
        <v>8308</v>
      </c>
      <c r="D255" t="s">
        <v>8343</v>
      </c>
      <c r="E255" t="s">
        <v>8344</v>
      </c>
      <c r="F255" t="s">
        <v>6966</v>
      </c>
      <c r="G255" t="s">
        <v>8345</v>
      </c>
      <c r="H255" t="s">
        <v>8346</v>
      </c>
      <c r="I255" t="s">
        <v>8347</v>
      </c>
      <c r="J255">
        <v>1</v>
      </c>
      <c r="K255">
        <v>1</v>
      </c>
      <c r="L255" t="s">
        <v>8348</v>
      </c>
      <c r="M255" s="42">
        <v>1</v>
      </c>
      <c r="N255" s="42">
        <v>0.3</v>
      </c>
      <c r="O255">
        <v>100</v>
      </c>
      <c r="P255" s="42">
        <v>0.85</v>
      </c>
      <c r="Q255">
        <v>85</v>
      </c>
      <c r="R255">
        <v>1700</v>
      </c>
      <c r="S255">
        <v>1700</v>
      </c>
      <c r="T255">
        <v>2000</v>
      </c>
      <c r="U255" t="s">
        <v>8349</v>
      </c>
      <c r="V255" t="s">
        <v>8350</v>
      </c>
      <c r="Y255" t="s">
        <v>8143</v>
      </c>
      <c r="Z255" s="42">
        <v>1</v>
      </c>
      <c r="AA255" s="42">
        <v>0.5</v>
      </c>
      <c r="AB255">
        <v>1</v>
      </c>
    </row>
    <row r="256">
      <c r="A256" t="s">
        <v>8351</v>
      </c>
      <c r="B256" t="s">
        <v>8308</v>
      </c>
      <c r="C256" t="s">
        <v>8308</v>
      </c>
      <c r="D256" t="s">
        <v>8343</v>
      </c>
      <c r="E256" t="s">
        <v>8352</v>
      </c>
      <c r="F256" t="s">
        <v>6966</v>
      </c>
      <c r="G256" t="s">
        <v>8345</v>
      </c>
      <c r="H256" t="s">
        <v>8346</v>
      </c>
      <c r="I256" t="s">
        <v>8353</v>
      </c>
      <c r="J256">
        <v>1</v>
      </c>
      <c r="K256">
        <v>1</v>
      </c>
      <c r="L256" t="s">
        <v>8354</v>
      </c>
      <c r="M256" s="42">
        <v>1</v>
      </c>
      <c r="N256" s="42">
        <v>0.3</v>
      </c>
      <c r="O256">
        <v>100</v>
      </c>
      <c r="P256" s="42">
        <v>1</v>
      </c>
      <c r="Q256">
        <v>100</v>
      </c>
      <c r="R256">
        <v>2000</v>
      </c>
      <c r="S256">
        <v>2000</v>
      </c>
      <c r="T256">
        <v>2000</v>
      </c>
      <c r="U256" t="s">
        <v>8349</v>
      </c>
      <c r="V256" t="s">
        <v>8350</v>
      </c>
      <c r="W256">
        <v>1</v>
      </c>
      <c r="X256">
        <v>1</v>
      </c>
      <c r="Y256" t="s">
        <v>8143</v>
      </c>
      <c r="Z256" s="42">
        <v>1</v>
      </c>
      <c r="AA256" s="42">
        <v>0.5</v>
      </c>
      <c r="AB256">
        <v>1</v>
      </c>
    </row>
    <row r="257">
      <c r="A257" t="s">
        <v>8355</v>
      </c>
      <c r="B257" t="s">
        <v>8356</v>
      </c>
      <c r="C257" t="s">
        <v>8356</v>
      </c>
      <c r="D257" t="s">
        <v>8357</v>
      </c>
      <c r="E257" t="s">
        <v>8358</v>
      </c>
      <c r="F257" t="s">
        <v>6966</v>
      </c>
      <c r="G257" t="s">
        <v>8359</v>
      </c>
      <c r="H257" t="s">
        <v>8360</v>
      </c>
      <c r="I257" t="s">
        <v>8361</v>
      </c>
      <c r="J257">
        <v>1</v>
      </c>
      <c r="K257">
        <v>1.3</v>
      </c>
      <c r="L257">
        <v>1</v>
      </c>
      <c r="M257" s="42">
        <v>1.3</v>
      </c>
      <c r="N257" s="42">
        <v>0.1</v>
      </c>
      <c r="O257">
        <v>1.3</v>
      </c>
      <c r="P257" s="42">
        <v>0.866</v>
      </c>
      <c r="Q257">
        <v>1.03</v>
      </c>
      <c r="R257">
        <v>3361.11</v>
      </c>
      <c r="S257">
        <v>3361.11</v>
      </c>
      <c r="T257">
        <v>3000</v>
      </c>
      <c r="U257" t="s">
        <v>8362</v>
      </c>
      <c r="V257" t="s">
        <v>8363</v>
      </c>
      <c r="W257">
        <v>1</v>
      </c>
      <c r="X257">
        <v>1</v>
      </c>
      <c r="Y257" t="s">
        <v>8143</v>
      </c>
      <c r="Z257" s="42">
        <v>1</v>
      </c>
      <c r="AA257" s="42">
        <v>0.5</v>
      </c>
      <c r="AB257">
        <v>1</v>
      </c>
    </row>
    <row r="258">
      <c r="A258" t="s">
        <v>8364</v>
      </c>
      <c r="B258" t="s">
        <v>8356</v>
      </c>
      <c r="C258" t="s">
        <v>8356</v>
      </c>
      <c r="D258" t="s">
        <v>8357</v>
      </c>
      <c r="E258" t="s">
        <v>8365</v>
      </c>
      <c r="F258" t="s">
        <v>6966</v>
      </c>
      <c r="G258" t="s">
        <v>8359</v>
      </c>
      <c r="H258" t="s">
        <v>8360</v>
      </c>
      <c r="I258" t="s">
        <v>8361</v>
      </c>
      <c r="J258">
        <v>1</v>
      </c>
      <c r="K258">
        <v>60</v>
      </c>
      <c r="L258">
        <v>1</v>
      </c>
      <c r="M258" s="42">
        <v>0.6</v>
      </c>
      <c r="N258" s="42">
        <v>0.1</v>
      </c>
      <c r="O258">
        <v>0.6</v>
      </c>
      <c r="P258" s="42">
        <v>0.95</v>
      </c>
      <c r="Q258">
        <v>0.95</v>
      </c>
      <c r="R258">
        <v>3055.56</v>
      </c>
      <c r="S258">
        <v>3055.56</v>
      </c>
      <c r="T258">
        <v>3000</v>
      </c>
      <c r="U258" t="s">
        <v>8366</v>
      </c>
      <c r="V258">
        <v>1</v>
      </c>
      <c r="W258" s="43">
        <v>0.01</v>
      </c>
      <c r="Y258">
        <v>1</v>
      </c>
      <c r="Z258" s="42">
        <v>0.00795</v>
      </c>
      <c r="AA258" s="42">
        <v>1</v>
      </c>
      <c r="AB258">
        <v>1</v>
      </c>
    </row>
    <row r="259">
      <c r="A259" t="s">
        <v>8367</v>
      </c>
      <c r="B259" t="s">
        <v>8356</v>
      </c>
      <c r="C259" t="s">
        <v>8356</v>
      </c>
      <c r="D259" t="s">
        <v>7000</v>
      </c>
      <c r="E259" t="s">
        <v>8368</v>
      </c>
      <c r="F259" t="s">
        <v>6966</v>
      </c>
      <c r="G259" t="s">
        <v>8359</v>
      </c>
      <c r="H259" t="s">
        <v>8360</v>
      </c>
      <c r="I259" t="s">
        <v>8361</v>
      </c>
      <c r="J259">
        <v>1</v>
      </c>
      <c r="K259">
        <v>90</v>
      </c>
      <c r="L259" t="s">
        <v>8369</v>
      </c>
      <c r="M259" s="42">
        <v>0.9</v>
      </c>
      <c r="N259" s="42">
        <v>0.1</v>
      </c>
      <c r="O259">
        <v>0.9</v>
      </c>
      <c r="P259" s="42">
        <v>0.93</v>
      </c>
      <c r="Q259">
        <v>0.93</v>
      </c>
      <c r="R259">
        <v>4583.33</v>
      </c>
      <c r="S259">
        <v>4583.33</v>
      </c>
      <c r="T259">
        <v>5000</v>
      </c>
      <c r="U259" t="s">
        <v>8370</v>
      </c>
      <c r="Y259">
        <v>1</v>
      </c>
      <c r="Z259" s="42">
        <v>0.9875</v>
      </c>
      <c r="AA259" s="42">
        <v>1</v>
      </c>
      <c r="AB259">
        <v>0.9875</v>
      </c>
    </row>
    <row r="260">
      <c r="A260" t="s">
        <v>8371</v>
      </c>
      <c r="B260" t="s">
        <v>8356</v>
      </c>
      <c r="C260" t="s">
        <v>8356</v>
      </c>
      <c r="D260" t="s">
        <v>7000</v>
      </c>
      <c r="E260" t="s">
        <v>8372</v>
      </c>
      <c r="F260" t="s">
        <v>6966</v>
      </c>
      <c r="G260" t="s">
        <v>8359</v>
      </c>
      <c r="H260" t="s">
        <v>8373</v>
      </c>
      <c r="I260" t="s">
        <v>8374</v>
      </c>
      <c r="J260">
        <v>1</v>
      </c>
      <c r="L260" t="s">
        <v>7040</v>
      </c>
      <c r="M260" s="42">
        <v>1</v>
      </c>
      <c r="N260" s="42">
        <v>0.9</v>
      </c>
      <c r="O260">
        <v>100</v>
      </c>
      <c r="P260" s="42">
        <v>0.98</v>
      </c>
      <c r="Q260">
        <v>0.99</v>
      </c>
      <c r="R260">
        <v>0</v>
      </c>
      <c r="S260">
        <v>0</v>
      </c>
      <c r="T260">
        <v>5000</v>
      </c>
      <c r="U260" t="s">
        <v>8375</v>
      </c>
      <c r="Y260" t="s">
        <v>7957</v>
      </c>
      <c r="Z260" s="42">
        <v>1</v>
      </c>
      <c r="AA260" s="42">
        <v>0.1</v>
      </c>
      <c r="AB260">
        <v>1</v>
      </c>
    </row>
    <row r="261">
      <c r="A261" t="s">
        <v>8376</v>
      </c>
      <c r="B261" t="s">
        <v>8377</v>
      </c>
      <c r="C261" t="s">
        <v>8377</v>
      </c>
      <c r="D261" t="s">
        <v>8378</v>
      </c>
      <c r="E261" t="s">
        <v>8379</v>
      </c>
      <c r="F261" t="s">
        <v>6966</v>
      </c>
      <c r="G261" t="s">
        <v>8380</v>
      </c>
      <c r="H261" t="s">
        <v>8381</v>
      </c>
      <c r="I261" t="s">
        <v>8382</v>
      </c>
      <c r="J261">
        <v>7.5</v>
      </c>
      <c r="K261" s="43">
        <v>1</v>
      </c>
      <c r="L261" t="s">
        <v>8383</v>
      </c>
      <c r="M261" s="42">
        <v>1</v>
      </c>
      <c r="N261" s="42">
        <v>0.2</v>
      </c>
      <c r="O261">
        <v>100</v>
      </c>
      <c r="P261" s="42">
        <v>1.04</v>
      </c>
      <c r="Q261">
        <v>104</v>
      </c>
      <c r="R261">
        <v>2708</v>
      </c>
      <c r="S261">
        <v>2708</v>
      </c>
      <c r="T261">
        <v>3000</v>
      </c>
      <c r="U261" t="s">
        <v>8384</v>
      </c>
      <c r="Z261" s="42">
        <v>1</v>
      </c>
      <c r="AA261" s="42">
        <v>0.1</v>
      </c>
      <c r="AB261">
        <v>1.1</v>
      </c>
    </row>
    <row r="262">
      <c r="A262" t="s">
        <v>8385</v>
      </c>
      <c r="B262" t="s">
        <v>8377</v>
      </c>
      <c r="C262" t="s">
        <v>8377</v>
      </c>
      <c r="D262" t="s">
        <v>8378</v>
      </c>
      <c r="E262" t="s">
        <v>8386</v>
      </c>
      <c r="F262" t="s">
        <v>6966</v>
      </c>
      <c r="G262" t="s">
        <v>8380</v>
      </c>
      <c r="H262" t="s">
        <v>8381</v>
      </c>
      <c r="I262" t="s">
        <v>8387</v>
      </c>
      <c r="J262">
        <v>1</v>
      </c>
      <c r="K262">
        <v>110</v>
      </c>
      <c r="L262" t="s">
        <v>8388</v>
      </c>
      <c r="M262" s="42">
        <v>1.1</v>
      </c>
      <c r="N262" s="42">
        <v>0.2</v>
      </c>
      <c r="O262">
        <v>0.22</v>
      </c>
      <c r="P262" s="42">
        <v>1.05</v>
      </c>
      <c r="Q262">
        <v>105</v>
      </c>
      <c r="R262">
        <v>3135</v>
      </c>
      <c r="S262">
        <v>3135</v>
      </c>
      <c r="T262">
        <v>3000</v>
      </c>
      <c r="U262" t="s">
        <v>8384</v>
      </c>
      <c r="Z262" s="42">
        <v>1</v>
      </c>
      <c r="AA262" s="42">
        <v>0.1</v>
      </c>
      <c r="AB262">
        <v>1.1</v>
      </c>
    </row>
    <row r="263">
      <c r="A263" t="s">
        <v>8389</v>
      </c>
      <c r="B263" t="s">
        <v>8377</v>
      </c>
      <c r="C263" t="s">
        <v>8377</v>
      </c>
      <c r="D263" t="s">
        <v>8378</v>
      </c>
      <c r="E263" t="s">
        <v>8390</v>
      </c>
      <c r="F263" t="s">
        <v>6966</v>
      </c>
      <c r="G263" t="s">
        <v>8380</v>
      </c>
      <c r="H263" t="s">
        <v>8381</v>
      </c>
      <c r="I263" t="s">
        <v>8391</v>
      </c>
      <c r="J263">
        <v>7.21</v>
      </c>
      <c r="K263">
        <v>1</v>
      </c>
      <c r="L263" t="s">
        <v>8392</v>
      </c>
      <c r="M263" s="42">
        <v>1.05</v>
      </c>
      <c r="N263" s="42">
        <v>0.2</v>
      </c>
      <c r="O263">
        <v>105</v>
      </c>
      <c r="P263" s="42">
        <v>1.04</v>
      </c>
      <c r="Q263">
        <v>104</v>
      </c>
      <c r="R263">
        <v>2708</v>
      </c>
      <c r="S263">
        <v>2708</v>
      </c>
      <c r="T263">
        <v>3000</v>
      </c>
      <c r="U263" t="s">
        <v>8384</v>
      </c>
      <c r="Z263" s="42">
        <v>1</v>
      </c>
      <c r="AA263" s="42">
        <v>0.1</v>
      </c>
      <c r="AB263">
        <v>1.1</v>
      </c>
    </row>
    <row r="264">
      <c r="A264" t="s">
        <v>8393</v>
      </c>
      <c r="B264" t="s">
        <v>8377</v>
      </c>
      <c r="C264" t="s">
        <v>8377</v>
      </c>
      <c r="D264" t="s">
        <v>7000</v>
      </c>
      <c r="E264" t="s">
        <v>8394</v>
      </c>
      <c r="F264" t="s">
        <v>6966</v>
      </c>
      <c r="G264" t="s">
        <v>8380</v>
      </c>
      <c r="H264" t="s">
        <v>8381</v>
      </c>
      <c r="I264" t="s">
        <v>8395</v>
      </c>
      <c r="J264">
        <v>1</v>
      </c>
      <c r="K264">
        <v>1.1</v>
      </c>
      <c r="L264" t="s">
        <v>8392</v>
      </c>
      <c r="M264" s="42">
        <v>1.1</v>
      </c>
      <c r="N264" s="42">
        <v>0.2</v>
      </c>
      <c r="O264">
        <v>110</v>
      </c>
      <c r="P264" s="42">
        <v>1.044</v>
      </c>
      <c r="Q264">
        <v>104.4</v>
      </c>
      <c r="R264">
        <v>4988</v>
      </c>
      <c r="S264">
        <v>4988</v>
      </c>
      <c r="T264">
        <v>5000</v>
      </c>
      <c r="U264" t="s">
        <v>8384</v>
      </c>
      <c r="Z264" s="42">
        <v>1</v>
      </c>
      <c r="AA264" s="42">
        <v>0.1</v>
      </c>
      <c r="AB264">
        <v>1.1</v>
      </c>
    </row>
    <row r="265">
      <c r="A265" t="s">
        <v>8396</v>
      </c>
      <c r="B265" t="s">
        <v>8377</v>
      </c>
      <c r="C265" t="s">
        <v>8377</v>
      </c>
      <c r="D265" t="s">
        <v>7000</v>
      </c>
      <c r="E265" t="s">
        <v>8397</v>
      </c>
      <c r="F265" t="s">
        <v>6966</v>
      </c>
      <c r="G265" t="s">
        <v>8380</v>
      </c>
      <c r="H265" t="s">
        <v>8381</v>
      </c>
      <c r="I265" t="s">
        <v>8398</v>
      </c>
      <c r="J265">
        <v>7.29</v>
      </c>
      <c r="K265">
        <v>105</v>
      </c>
      <c r="L265" t="s">
        <v>7040</v>
      </c>
      <c r="M265" s="42">
        <v>1.05</v>
      </c>
      <c r="N265" s="42">
        <v>0.2</v>
      </c>
      <c r="O265">
        <v>105</v>
      </c>
      <c r="P265" s="42">
        <v>1.06</v>
      </c>
      <c r="Q265">
        <v>106</v>
      </c>
      <c r="R265">
        <v>5463</v>
      </c>
      <c r="S265">
        <v>5463</v>
      </c>
      <c r="T265">
        <v>5000</v>
      </c>
      <c r="U265" t="s">
        <v>8384</v>
      </c>
      <c r="Z265" s="42">
        <v>1</v>
      </c>
      <c r="AA265" s="42">
        <v>0.1</v>
      </c>
      <c r="AB265">
        <v>1.1</v>
      </c>
    </row>
    <row r="266">
      <c r="A266" t="s">
        <v>8399</v>
      </c>
      <c r="B266" t="s">
        <v>8377</v>
      </c>
      <c r="C266" t="s">
        <v>8377</v>
      </c>
      <c r="D266" t="s">
        <v>7000</v>
      </c>
      <c r="E266" t="s">
        <v>8400</v>
      </c>
      <c r="F266" t="s">
        <v>6966</v>
      </c>
      <c r="G266" t="s">
        <v>8380</v>
      </c>
      <c r="H266" t="s">
        <v>8381</v>
      </c>
      <c r="I266" t="s">
        <v>8401</v>
      </c>
      <c r="J266">
        <v>7.31</v>
      </c>
      <c r="K266">
        <v>100</v>
      </c>
      <c r="L266" t="s">
        <v>7040</v>
      </c>
      <c r="M266" s="42">
        <v>1</v>
      </c>
      <c r="N266" s="42">
        <v>0.25</v>
      </c>
      <c r="O266">
        <v>100</v>
      </c>
      <c r="P266" s="42">
        <v>1</v>
      </c>
      <c r="Q266">
        <v>100</v>
      </c>
      <c r="R266">
        <v>0</v>
      </c>
      <c r="S266">
        <v>0</v>
      </c>
      <c r="T266">
        <v>5000</v>
      </c>
      <c r="U266" t="s">
        <v>8384</v>
      </c>
      <c r="Z266" s="42">
        <v>1</v>
      </c>
      <c r="AA266" s="42">
        <v>0.1</v>
      </c>
      <c r="AB266">
        <v>1.1</v>
      </c>
    </row>
    <row r="267">
      <c r="A267" t="s">
        <v>8402</v>
      </c>
      <c r="B267" t="s">
        <v>7656</v>
      </c>
      <c r="C267" t="s">
        <v>7656</v>
      </c>
      <c r="D267" t="s">
        <v>7000</v>
      </c>
      <c r="E267" t="s">
        <v>8403</v>
      </c>
      <c r="F267" t="s">
        <v>6966</v>
      </c>
      <c r="G267" t="s">
        <v>7809</v>
      </c>
      <c r="H267" t="s">
        <v>7645</v>
      </c>
      <c r="I267" t="s">
        <v>7702</v>
      </c>
      <c r="J267" t="s">
        <v>8404</v>
      </c>
      <c r="K267" t="s">
        <v>8405</v>
      </c>
      <c r="L267">
        <v>100</v>
      </c>
      <c r="M267" s="42">
        <v>0.4</v>
      </c>
      <c r="N267" s="42">
        <v>0.5</v>
      </c>
      <c r="O267">
        <v>0.316</v>
      </c>
      <c r="P267" s="42">
        <v>0.4515</v>
      </c>
      <c r="Q267">
        <v>0.39</v>
      </c>
      <c r="R267">
        <v>3783.02</v>
      </c>
      <c r="S267">
        <v>-771.67</v>
      </c>
      <c r="T267">
        <v>5000</v>
      </c>
      <c r="U267" t="s">
        <v>8384</v>
      </c>
      <c r="Z267" s="42">
        <v>1</v>
      </c>
      <c r="AA267" s="42">
        <v>0.1</v>
      </c>
      <c r="AB267">
        <v>1.1</v>
      </c>
    </row>
    <row r="268">
      <c r="A268" t="s">
        <v>8406</v>
      </c>
      <c r="B268" t="s">
        <v>7656</v>
      </c>
      <c r="C268" t="s">
        <v>7656</v>
      </c>
      <c r="D268" t="s">
        <v>7807</v>
      </c>
      <c r="E268" t="s">
        <v>8407</v>
      </c>
      <c r="F268" t="s">
        <v>6966</v>
      </c>
      <c r="G268" t="s">
        <v>7809</v>
      </c>
      <c r="H268" t="s">
        <v>7645</v>
      </c>
      <c r="I268" t="s">
        <v>7702</v>
      </c>
      <c r="J268" t="s">
        <v>7225</v>
      </c>
      <c r="K268" t="s">
        <v>8408</v>
      </c>
      <c r="L268">
        <v>100</v>
      </c>
      <c r="M268" s="42">
        <v>0.44</v>
      </c>
      <c r="N268" s="42">
        <v>0.5</v>
      </c>
      <c r="O268">
        <v>0.352</v>
      </c>
      <c r="P268" s="42">
        <v>0.477</v>
      </c>
      <c r="Q268">
        <v>0.43</v>
      </c>
      <c r="R268">
        <v>4241.76</v>
      </c>
      <c r="S268">
        <v>4327.47</v>
      </c>
      <c r="T268">
        <v>6000</v>
      </c>
      <c r="U268" t="s">
        <v>8384</v>
      </c>
      <c r="Z268" s="42">
        <v>1</v>
      </c>
      <c r="AA268" s="42">
        <v>0.1</v>
      </c>
      <c r="AB268">
        <v>1.1</v>
      </c>
    </row>
    <row r="269">
      <c r="A269" t="s">
        <v>8409</v>
      </c>
      <c r="B269" t="s">
        <v>8410</v>
      </c>
      <c r="C269" t="s">
        <v>8410</v>
      </c>
      <c r="D269" t="s">
        <v>7807</v>
      </c>
      <c r="E269" t="s">
        <v>8411</v>
      </c>
      <c r="F269" t="s">
        <v>6966</v>
      </c>
      <c r="G269" t="s">
        <v>7809</v>
      </c>
      <c r="H269" t="s">
        <v>7645</v>
      </c>
      <c r="I269" t="s">
        <v>7702</v>
      </c>
      <c r="J269" t="s">
        <v>7815</v>
      </c>
      <c r="K269" t="s">
        <v>8412</v>
      </c>
      <c r="L269">
        <v>100</v>
      </c>
      <c r="M269" s="42">
        <v>0.56</v>
      </c>
      <c r="N269" s="42">
        <v>0.5</v>
      </c>
      <c r="O269">
        <v>0.452</v>
      </c>
      <c r="P269" s="42">
        <v>0.63</v>
      </c>
      <c r="Q269">
        <v>0.54</v>
      </c>
      <c r="R269">
        <v>4731.92</v>
      </c>
      <c r="S269">
        <v>4817.63</v>
      </c>
      <c r="T269">
        <v>6000</v>
      </c>
      <c r="U269" t="s">
        <v>8384</v>
      </c>
      <c r="Z269" s="42">
        <v>1</v>
      </c>
      <c r="AA269" s="42">
        <v>0.1</v>
      </c>
      <c r="AB269">
        <v>1.1</v>
      </c>
    </row>
    <row r="270">
      <c r="A270" t="s">
        <v>8413</v>
      </c>
      <c r="B270" t="s">
        <v>8414</v>
      </c>
      <c r="C270" t="s">
        <v>8414</v>
      </c>
      <c r="D270" t="s">
        <v>7807</v>
      </c>
      <c r="E270" t="s">
        <v>8415</v>
      </c>
      <c r="F270" t="s">
        <v>6966</v>
      </c>
      <c r="G270" t="s">
        <v>7809</v>
      </c>
      <c r="H270" t="s">
        <v>7680</v>
      </c>
      <c r="I270" t="s">
        <v>8416</v>
      </c>
      <c r="J270" t="s">
        <v>8417</v>
      </c>
      <c r="K270" t="s">
        <v>8418</v>
      </c>
      <c r="L270">
        <v>100</v>
      </c>
      <c r="M270" s="42">
        <v>0.99</v>
      </c>
      <c r="N270" s="42">
        <v>0.5</v>
      </c>
      <c r="O270">
        <v>0.99</v>
      </c>
      <c r="P270" s="42">
        <v>1.6965</v>
      </c>
      <c r="Q270">
        <v>0.98</v>
      </c>
      <c r="R270">
        <v>6133.27</v>
      </c>
      <c r="S270">
        <v>6218.98</v>
      </c>
      <c r="T270">
        <v>6000</v>
      </c>
      <c r="U270" t="s">
        <v>8384</v>
      </c>
      <c r="Z270" s="42">
        <v>1</v>
      </c>
      <c r="AA270" s="42">
        <v>0.1</v>
      </c>
      <c r="AB270">
        <v>1.1</v>
      </c>
    </row>
    <row r="271">
      <c r="A271" t="s">
        <v>8419</v>
      </c>
      <c r="B271" t="s">
        <v>8420</v>
      </c>
      <c r="C271" t="s">
        <v>8420</v>
      </c>
      <c r="D271" t="s">
        <v>7807</v>
      </c>
      <c r="E271" t="s">
        <v>8421</v>
      </c>
      <c r="F271" t="s">
        <v>6966</v>
      </c>
      <c r="G271" t="s">
        <v>7809</v>
      </c>
      <c r="H271" t="s">
        <v>7645</v>
      </c>
      <c r="J271" t="s">
        <v>8422</v>
      </c>
      <c r="K271" t="s">
        <v>8423</v>
      </c>
      <c r="L271">
        <v>100</v>
      </c>
      <c r="M271" s="42">
        <v>0.39</v>
      </c>
      <c r="N271" s="42">
        <v>0.5</v>
      </c>
      <c r="O271">
        <v>0.314</v>
      </c>
      <c r="P271" s="42">
        <v>0.589</v>
      </c>
      <c r="Q271">
        <v>0.55</v>
      </c>
      <c r="R271">
        <v>5184.37</v>
      </c>
      <c r="S271">
        <v>5270.08</v>
      </c>
      <c r="T271">
        <v>6000</v>
      </c>
      <c r="U271" t="s">
        <v>8384</v>
      </c>
      <c r="Z271" s="42">
        <v>1</v>
      </c>
      <c r="AA271" s="42">
        <v>0.1</v>
      </c>
      <c r="AB271">
        <v>1.1</v>
      </c>
    </row>
    <row r="272">
      <c r="A272" t="s">
        <v>8424</v>
      </c>
      <c r="B272" t="s">
        <v>7876</v>
      </c>
      <c r="C272" t="s">
        <v>7876</v>
      </c>
      <c r="D272" t="s">
        <v>8425</v>
      </c>
      <c r="E272" t="s">
        <v>8426</v>
      </c>
      <c r="F272" t="s">
        <v>6966</v>
      </c>
      <c r="G272" t="s">
        <v>8427</v>
      </c>
      <c r="H272" t="s">
        <v>8428</v>
      </c>
      <c r="I272" t="s">
        <v>8429</v>
      </c>
      <c r="J272" t="s">
        <v>8422</v>
      </c>
      <c r="K272" t="s">
        <v>8430</v>
      </c>
      <c r="L272">
        <v>100</v>
      </c>
      <c r="M272" s="42">
        <v>1.25</v>
      </c>
      <c r="N272" s="42">
        <v>0.4</v>
      </c>
      <c r="O272">
        <v>1.25</v>
      </c>
      <c r="P272" s="42">
        <v>1.6352</v>
      </c>
      <c r="Q272">
        <v>1.4</v>
      </c>
      <c r="R272">
        <v>2520</v>
      </c>
      <c r="S272">
        <v>2520</v>
      </c>
      <c r="T272">
        <v>3000</v>
      </c>
      <c r="U272" t="s">
        <v>8384</v>
      </c>
      <c r="Z272" s="42">
        <v>1</v>
      </c>
      <c r="AA272" s="42">
        <v>0.1</v>
      </c>
      <c r="AB272">
        <v>1.1</v>
      </c>
    </row>
    <row r="273">
      <c r="A273" t="s">
        <v>8431</v>
      </c>
      <c r="B273" t="s">
        <v>7307</v>
      </c>
      <c r="C273" t="s">
        <v>7307</v>
      </c>
      <c r="D273" t="s">
        <v>8425</v>
      </c>
      <c r="E273" t="s">
        <v>8432</v>
      </c>
      <c r="F273" t="s">
        <v>6966</v>
      </c>
      <c r="G273" t="s">
        <v>8427</v>
      </c>
      <c r="H273" t="s">
        <v>8433</v>
      </c>
      <c r="I273" t="s">
        <v>8434</v>
      </c>
      <c r="J273" t="s">
        <v>8435</v>
      </c>
      <c r="L273">
        <v>100</v>
      </c>
      <c r="M273" s="42">
        <v>1</v>
      </c>
      <c r="N273" s="42">
        <v>0.3</v>
      </c>
      <c r="O273">
        <v>1</v>
      </c>
      <c r="P273" s="42">
        <v>1</v>
      </c>
      <c r="Q273">
        <v>1</v>
      </c>
      <c r="R273">
        <v>3000</v>
      </c>
      <c r="S273">
        <v>3000</v>
      </c>
      <c r="T273">
        <v>5000</v>
      </c>
      <c r="U273" t="s">
        <v>8384</v>
      </c>
      <c r="Z273" s="42">
        <v>1</v>
      </c>
      <c r="AA273" s="42">
        <v>0.1</v>
      </c>
      <c r="AB273">
        <v>1.1</v>
      </c>
    </row>
    <row r="274">
      <c r="A274" t="s">
        <v>8436</v>
      </c>
      <c r="B274" t="s">
        <v>8437</v>
      </c>
      <c r="C274" t="s">
        <v>8437</v>
      </c>
      <c r="D274" t="s">
        <v>8438</v>
      </c>
      <c r="E274" t="s">
        <v>8439</v>
      </c>
      <c r="F274" t="s">
        <v>6966</v>
      </c>
      <c r="G274" t="s">
        <v>8427</v>
      </c>
      <c r="H274" t="s">
        <v>8428</v>
      </c>
      <c r="I274" t="s">
        <v>8440</v>
      </c>
      <c r="J274">
        <v>100</v>
      </c>
      <c r="K274">
        <v>100</v>
      </c>
      <c r="L274">
        <v>100</v>
      </c>
      <c r="M274" s="42">
        <v>1</v>
      </c>
      <c r="N274" s="42">
        <v>0.3</v>
      </c>
      <c r="O274">
        <v>0.3</v>
      </c>
      <c r="P274" s="42">
        <v>0.9774</v>
      </c>
      <c r="Q274">
        <v>0.97</v>
      </c>
      <c r="R274">
        <v>2910</v>
      </c>
      <c r="S274">
        <v>2910</v>
      </c>
      <c r="T274">
        <v>5000</v>
      </c>
      <c r="U274" t="s">
        <v>8384</v>
      </c>
      <c r="Z274" s="42">
        <v>1</v>
      </c>
      <c r="AA274" s="42">
        <v>0.1</v>
      </c>
      <c r="AB274">
        <v>1.1</v>
      </c>
    </row>
    <row r="275">
      <c r="A275" t="s">
        <v>8441</v>
      </c>
      <c r="B275" t="s">
        <v>7126</v>
      </c>
      <c r="C275" t="s">
        <v>7126</v>
      </c>
      <c r="D275" t="s">
        <v>7566</v>
      </c>
      <c r="E275" t="s">
        <v>8442</v>
      </c>
      <c r="F275" t="s">
        <v>6966</v>
      </c>
      <c r="G275" t="s">
        <v>8443</v>
      </c>
      <c r="H275" t="s">
        <v>8444</v>
      </c>
      <c r="I275" t="s">
        <v>8445</v>
      </c>
      <c r="J275">
        <v>1</v>
      </c>
      <c r="K275">
        <v>0</v>
      </c>
      <c r="L275">
        <v>100</v>
      </c>
      <c r="M275" s="42">
        <v>0</v>
      </c>
      <c r="N275" s="42">
        <v>0.3</v>
      </c>
      <c r="O275">
        <v>0.3</v>
      </c>
      <c r="P275" s="42">
        <v>0.325</v>
      </c>
      <c r="Q275">
        <v>0.3</v>
      </c>
      <c r="R275">
        <v>3000</v>
      </c>
      <c r="S275">
        <v>3000</v>
      </c>
      <c r="T275">
        <v>3000</v>
      </c>
      <c r="U275" t="s">
        <v>8384</v>
      </c>
      <c r="Z275" s="42">
        <v>1</v>
      </c>
      <c r="AA275" s="42">
        <v>0.1</v>
      </c>
      <c r="AB275">
        <v>1.1</v>
      </c>
    </row>
    <row r="276">
      <c r="A276" t="s">
        <v>8446</v>
      </c>
      <c r="B276" t="s">
        <v>7126</v>
      </c>
      <c r="C276" t="s">
        <v>7126</v>
      </c>
      <c r="D276" t="s">
        <v>7127</v>
      </c>
      <c r="E276" t="s">
        <v>8447</v>
      </c>
      <c r="F276" t="s">
        <v>6966</v>
      </c>
      <c r="G276" t="s">
        <v>8443</v>
      </c>
      <c r="H276" t="s">
        <v>8448</v>
      </c>
      <c r="I276" t="s">
        <v>8449</v>
      </c>
      <c r="J276">
        <v>4</v>
      </c>
      <c r="K276">
        <v>4.7</v>
      </c>
      <c r="L276" t="s">
        <v>8450</v>
      </c>
      <c r="M276" s="42">
        <v>1.175</v>
      </c>
      <c r="N276" s="42">
        <v>0.5</v>
      </c>
      <c r="O276">
        <v>1.0075</v>
      </c>
      <c r="P276" s="42">
        <v>1.0375</v>
      </c>
      <c r="Q276">
        <v>1.01</v>
      </c>
      <c r="R276">
        <v>2000</v>
      </c>
      <c r="S276">
        <v>2000</v>
      </c>
      <c r="T276">
        <v>2000</v>
      </c>
      <c r="U276" t="s">
        <v>8384</v>
      </c>
      <c r="Z276" s="42">
        <v>1</v>
      </c>
      <c r="AA276" s="42">
        <v>0.1</v>
      </c>
      <c r="AB276">
        <v>1.1</v>
      </c>
    </row>
    <row r="277">
      <c r="A277" t="s">
        <v>8451</v>
      </c>
      <c r="B277" t="s">
        <v>8267</v>
      </c>
      <c r="C277" t="s">
        <v>8267</v>
      </c>
      <c r="D277" t="s">
        <v>8452</v>
      </c>
      <c r="E277" t="s">
        <v>8453</v>
      </c>
      <c r="F277" t="s">
        <v>6966</v>
      </c>
      <c r="G277" t="s">
        <v>8443</v>
      </c>
      <c r="H277" t="s">
        <v>8444</v>
      </c>
      <c r="I277" t="s">
        <v>8454</v>
      </c>
      <c r="J277">
        <v>1</v>
      </c>
      <c r="K277">
        <v>1</v>
      </c>
      <c r="L277" t="s">
        <v>8450</v>
      </c>
      <c r="M277" s="42">
        <v>1</v>
      </c>
      <c r="N277" s="42">
        <v>0.2</v>
      </c>
      <c r="O277">
        <v>0.36</v>
      </c>
      <c r="P277" s="42">
        <v>0.4</v>
      </c>
      <c r="Q277">
        <v>0.36</v>
      </c>
      <c r="R277">
        <v>3000</v>
      </c>
      <c r="S277">
        <v>3000</v>
      </c>
      <c r="T277">
        <v>3000</v>
      </c>
      <c r="U277" t="s">
        <v>8384</v>
      </c>
      <c r="Z277" s="42">
        <v>1</v>
      </c>
      <c r="AA277" s="42">
        <v>0.1</v>
      </c>
      <c r="AB277">
        <v>1.1</v>
      </c>
    </row>
    <row r="278">
      <c r="A278" t="s">
        <v>8455</v>
      </c>
      <c r="B278" t="s">
        <v>8267</v>
      </c>
      <c r="C278" t="s">
        <v>8267</v>
      </c>
      <c r="D278" t="s">
        <v>7127</v>
      </c>
      <c r="E278" t="s">
        <v>8456</v>
      </c>
      <c r="F278" t="s">
        <v>6966</v>
      </c>
      <c r="G278" t="s">
        <v>8443</v>
      </c>
      <c r="H278" t="s">
        <v>8444</v>
      </c>
      <c r="I278" t="s">
        <v>8457</v>
      </c>
      <c r="J278">
        <v>1</v>
      </c>
      <c r="K278">
        <v>0</v>
      </c>
      <c r="L278" t="s">
        <v>8450</v>
      </c>
      <c r="M278" s="42">
        <v>0</v>
      </c>
      <c r="N278" s="42">
        <v>0.2</v>
      </c>
      <c r="O278">
        <v>1.07</v>
      </c>
      <c r="P278" s="42">
        <v>1.028</v>
      </c>
      <c r="Q278">
        <v>1.07</v>
      </c>
      <c r="R278">
        <v>2000</v>
      </c>
      <c r="S278">
        <v>2000</v>
      </c>
      <c r="T278">
        <v>2000</v>
      </c>
      <c r="U278" t="s">
        <v>8384</v>
      </c>
      <c r="Z278" s="42">
        <v>1</v>
      </c>
      <c r="AA278" s="42">
        <v>0.1</v>
      </c>
      <c r="AB278">
        <v>1.1</v>
      </c>
    </row>
    <row r="279">
      <c r="A279" t="s">
        <v>8458</v>
      </c>
      <c r="B279" t="s">
        <v>7126</v>
      </c>
      <c r="C279" t="s">
        <v>7126</v>
      </c>
      <c r="D279" t="s">
        <v>7566</v>
      </c>
      <c r="E279" t="s">
        <v>8459</v>
      </c>
      <c r="F279" t="s">
        <v>6966</v>
      </c>
      <c r="G279" t="s">
        <v>8443</v>
      </c>
      <c r="H279" t="s">
        <v>8448</v>
      </c>
      <c r="I279" t="s">
        <v>8449</v>
      </c>
      <c r="J279">
        <v>4</v>
      </c>
      <c r="K279">
        <v>3</v>
      </c>
      <c r="L279" t="s">
        <v>8460</v>
      </c>
      <c r="M279" s="42">
        <v>0.75</v>
      </c>
      <c r="N279" s="42">
        <v>0.4</v>
      </c>
      <c r="O279">
        <v>0.52</v>
      </c>
      <c r="P279" s="42">
        <v>0.6</v>
      </c>
      <c r="Q279">
        <v>0.52</v>
      </c>
      <c r="R279">
        <v>3000</v>
      </c>
      <c r="S279">
        <v>3000</v>
      </c>
      <c r="T279">
        <v>3000</v>
      </c>
      <c r="U279" t="s">
        <v>8384</v>
      </c>
      <c r="Z279" s="42">
        <v>1</v>
      </c>
      <c r="AA279" s="42">
        <v>0.1</v>
      </c>
      <c r="AB279">
        <v>1.1</v>
      </c>
    </row>
    <row r="280">
      <c r="A280" t="s">
        <v>8461</v>
      </c>
      <c r="B280" t="s">
        <v>8267</v>
      </c>
      <c r="C280" t="s">
        <v>8267</v>
      </c>
      <c r="D280" t="s">
        <v>8462</v>
      </c>
      <c r="E280" t="s">
        <v>8463</v>
      </c>
      <c r="F280" t="s">
        <v>6966</v>
      </c>
      <c r="G280" t="s">
        <v>8464</v>
      </c>
      <c r="H280" t="s">
        <v>8465</v>
      </c>
      <c r="I280" t="s">
        <v>8466</v>
      </c>
      <c r="J280">
        <v>1</v>
      </c>
      <c r="K280">
        <v>1</v>
      </c>
      <c r="L280" t="s">
        <v>8467</v>
      </c>
      <c r="M280" s="42">
        <v>1</v>
      </c>
      <c r="N280" s="42">
        <v>1</v>
      </c>
      <c r="O280">
        <v>1</v>
      </c>
      <c r="P280" s="42">
        <v>1</v>
      </c>
      <c r="Q280">
        <v>1</v>
      </c>
      <c r="R280">
        <v>500</v>
      </c>
      <c r="S280">
        <v>500</v>
      </c>
      <c r="T280">
        <v>500</v>
      </c>
      <c r="U280" t="s">
        <v>8384</v>
      </c>
      <c r="Z280" s="42">
        <v>1</v>
      </c>
      <c r="AA280" s="42">
        <v>0.1</v>
      </c>
      <c r="AB280">
        <v>1.1</v>
      </c>
    </row>
    <row r="281">
      <c r="A281" t="s">
        <v>8468</v>
      </c>
      <c r="B281" t="s">
        <v>8267</v>
      </c>
      <c r="C281" t="s">
        <v>8267</v>
      </c>
      <c r="D281" t="s">
        <v>8462</v>
      </c>
      <c r="E281" t="s">
        <v>8469</v>
      </c>
      <c r="F281" t="s">
        <v>6966</v>
      </c>
      <c r="G281" t="s">
        <v>8464</v>
      </c>
      <c r="H281" t="s">
        <v>8465</v>
      </c>
      <c r="I281" t="s">
        <v>8466</v>
      </c>
      <c r="J281">
        <v>1</v>
      </c>
      <c r="K281">
        <v>0</v>
      </c>
      <c r="L281" t="s">
        <v>8467</v>
      </c>
      <c r="M281" s="42">
        <v>0</v>
      </c>
      <c r="N281" s="42">
        <v>1</v>
      </c>
      <c r="O281">
        <v>0</v>
      </c>
      <c r="P281" s="42">
        <v>0</v>
      </c>
      <c r="Q281">
        <v>0</v>
      </c>
      <c r="R281">
        <v>0</v>
      </c>
      <c r="S281">
        <v>0</v>
      </c>
      <c r="T281">
        <v>500</v>
      </c>
      <c r="U281" t="s">
        <v>8384</v>
      </c>
      <c r="Z281" s="42">
        <v>1</v>
      </c>
      <c r="AA281" s="42">
        <v>0.1</v>
      </c>
      <c r="AB281">
        <v>1.1</v>
      </c>
    </row>
    <row r="282">
      <c r="A282" t="s">
        <v>8470</v>
      </c>
      <c r="B282" t="s">
        <v>8267</v>
      </c>
      <c r="C282" t="s">
        <v>8267</v>
      </c>
      <c r="D282" t="s">
        <v>8462</v>
      </c>
      <c r="E282" t="s">
        <v>8471</v>
      </c>
      <c r="F282" t="s">
        <v>6966</v>
      </c>
      <c r="G282" t="s">
        <v>8464</v>
      </c>
      <c r="H282" t="s">
        <v>8465</v>
      </c>
      <c r="I282" t="s">
        <v>8466</v>
      </c>
      <c r="J282">
        <v>1</v>
      </c>
      <c r="K282">
        <v>0.4</v>
      </c>
      <c r="L282" t="s">
        <v>8472</v>
      </c>
      <c r="M282" s="42">
        <v>0.4</v>
      </c>
      <c r="N282" s="42">
        <v>1</v>
      </c>
      <c r="O282">
        <v>0.4</v>
      </c>
      <c r="P282" s="42">
        <v>0.4</v>
      </c>
      <c r="Q282">
        <v>0.4</v>
      </c>
      <c r="R282">
        <v>200</v>
      </c>
      <c r="S282">
        <v>200</v>
      </c>
      <c r="T282">
        <v>500</v>
      </c>
      <c r="U282" t="s">
        <v>8384</v>
      </c>
      <c r="Z282" s="42">
        <v>1</v>
      </c>
      <c r="AA282" s="42">
        <v>0.1</v>
      </c>
      <c r="AB282">
        <v>1.1</v>
      </c>
    </row>
    <row r="283">
      <c r="A283" t="s">
        <v>8473</v>
      </c>
      <c r="B283" t="s">
        <v>6963</v>
      </c>
      <c r="C283" t="s">
        <v>6963</v>
      </c>
      <c r="D283" t="s">
        <v>8474</v>
      </c>
      <c r="E283" t="s">
        <v>8475</v>
      </c>
      <c r="F283" t="s">
        <v>6966</v>
      </c>
      <c r="G283" t="s">
        <v>8476</v>
      </c>
      <c r="H283" t="s">
        <v>8477</v>
      </c>
      <c r="I283" t="s">
        <v>8466</v>
      </c>
      <c r="J283" s="43">
        <v>1</v>
      </c>
      <c r="K283" t="s">
        <v>7944</v>
      </c>
      <c r="L283" t="s">
        <v>8478</v>
      </c>
      <c r="M283" s="42">
        <v>0.5</v>
      </c>
      <c r="N283" s="42">
        <v>0.5</v>
      </c>
      <c r="O283">
        <v>1</v>
      </c>
      <c r="P283" s="42">
        <v>0.7</v>
      </c>
      <c r="Q283">
        <v>0.95</v>
      </c>
      <c r="R283">
        <v>1200</v>
      </c>
      <c r="S283">
        <v>1200</v>
      </c>
      <c r="T283">
        <v>1200</v>
      </c>
      <c r="U283" t="s">
        <v>8384</v>
      </c>
      <c r="Z283" s="42">
        <v>1</v>
      </c>
      <c r="AA283" s="42">
        <v>0.1</v>
      </c>
      <c r="AB283">
        <v>1.1</v>
      </c>
    </row>
    <row r="284">
      <c r="A284" t="s">
        <v>8479</v>
      </c>
      <c r="B284" t="s">
        <v>6963</v>
      </c>
      <c r="C284" t="s">
        <v>6963</v>
      </c>
      <c r="D284" t="s">
        <v>8480</v>
      </c>
      <c r="E284" t="s">
        <v>8481</v>
      </c>
      <c r="F284" t="s">
        <v>6966</v>
      </c>
      <c r="G284" t="s">
        <v>8482</v>
      </c>
      <c r="H284" t="s">
        <v>8483</v>
      </c>
      <c r="I284" t="s">
        <v>8484</v>
      </c>
      <c r="J284" s="43">
        <v>0.83</v>
      </c>
      <c r="K284" s="42">
        <v>0.8355</v>
      </c>
      <c r="L284" t="s">
        <v>8485</v>
      </c>
      <c r="M284" s="42">
        <v>1</v>
      </c>
      <c r="N284" s="42">
        <v>0.2</v>
      </c>
      <c r="O284">
        <v>1</v>
      </c>
      <c r="P284" s="42">
        <v>1.17</v>
      </c>
      <c r="Q284">
        <v>1.02</v>
      </c>
      <c r="R284">
        <v>5100</v>
      </c>
      <c r="S284">
        <v>5100</v>
      </c>
      <c r="T284">
        <v>5000</v>
      </c>
      <c r="U284" t="s">
        <v>8384</v>
      </c>
      <c r="Z284" s="42">
        <v>1</v>
      </c>
      <c r="AA284" s="42">
        <v>0.1</v>
      </c>
      <c r="AB284">
        <v>1.1</v>
      </c>
    </row>
    <row r="285">
      <c r="A285" t="s">
        <v>8486</v>
      </c>
      <c r="B285" t="s">
        <v>7823</v>
      </c>
      <c r="C285" t="s">
        <v>7823</v>
      </c>
      <c r="D285" t="s">
        <v>8487</v>
      </c>
      <c r="E285" t="s">
        <v>8488</v>
      </c>
      <c r="F285" t="s">
        <v>6966</v>
      </c>
      <c r="G285" t="s">
        <v>8489</v>
      </c>
      <c r="H285" t="s">
        <v>8490</v>
      </c>
      <c r="I285" t="s">
        <v>8491</v>
      </c>
      <c r="J285">
        <v>69.7</v>
      </c>
      <c r="K285">
        <v>148</v>
      </c>
      <c r="L285" t="s">
        <v>8485</v>
      </c>
      <c r="M285" s="42">
        <v>1</v>
      </c>
      <c r="N285" s="42">
        <v>0.5</v>
      </c>
      <c r="O285">
        <v>1</v>
      </c>
      <c r="P285" s="42">
        <v>1.101</v>
      </c>
      <c r="Q285">
        <v>1.2</v>
      </c>
      <c r="R285">
        <v>5400</v>
      </c>
      <c r="S285">
        <v>5400</v>
      </c>
      <c r="T285">
        <v>5000</v>
      </c>
      <c r="U285" t="s">
        <v>8384</v>
      </c>
      <c r="Z285" s="42">
        <v>1</v>
      </c>
      <c r="AA285" s="42">
        <v>0.1</v>
      </c>
      <c r="AB285">
        <v>1.1</v>
      </c>
    </row>
    <row r="286">
      <c r="A286" t="s">
        <v>8492</v>
      </c>
      <c r="B286" t="s">
        <v>8018</v>
      </c>
      <c r="C286" t="s">
        <v>8018</v>
      </c>
      <c r="D286" t="s">
        <v>8493</v>
      </c>
      <c r="E286" t="s">
        <v>8494</v>
      </c>
      <c r="F286" t="s">
        <v>6966</v>
      </c>
      <c r="G286" t="s">
        <v>8495</v>
      </c>
      <c r="H286" t="s">
        <v>8496</v>
      </c>
      <c r="I286" t="s">
        <v>8497</v>
      </c>
      <c r="J286" t="s">
        <v>8498</v>
      </c>
      <c r="K286" t="s">
        <v>8499</v>
      </c>
      <c r="L286" t="s">
        <v>8485</v>
      </c>
      <c r="M286" s="42">
        <v>1.33</v>
      </c>
      <c r="N286" s="42">
        <v>0.3</v>
      </c>
      <c r="O286">
        <v>40</v>
      </c>
      <c r="P286" s="42">
        <v>1.099</v>
      </c>
      <c r="Q286">
        <v>1.1</v>
      </c>
      <c r="R286">
        <v>2200</v>
      </c>
      <c r="S286">
        <v>2200</v>
      </c>
      <c r="T286">
        <v>2000</v>
      </c>
      <c r="U286" t="s">
        <v>8500</v>
      </c>
      <c r="V286" t="s">
        <v>7040</v>
      </c>
      <c r="X286">
        <v>1</v>
      </c>
      <c r="Z286" s="42">
        <v>0.01</v>
      </c>
      <c r="AA286" s="42">
        <v>0.34</v>
      </c>
      <c r="AB286">
        <v>0</v>
      </c>
    </row>
    <row r="287">
      <c r="A287" t="s">
        <v>8501</v>
      </c>
      <c r="B287" t="s">
        <v>8377</v>
      </c>
      <c r="C287" t="s">
        <v>8377</v>
      </c>
      <c r="D287" t="s">
        <v>8502</v>
      </c>
      <c r="E287" t="s">
        <v>8503</v>
      </c>
      <c r="F287" t="s">
        <v>6966</v>
      </c>
      <c r="G287" t="s">
        <v>8504</v>
      </c>
      <c r="H287" t="s">
        <v>8505</v>
      </c>
      <c r="I287" t="s">
        <v>8506</v>
      </c>
      <c r="J287" t="s">
        <v>8507</v>
      </c>
      <c r="K287">
        <v>0</v>
      </c>
      <c r="L287" t="s">
        <v>8508</v>
      </c>
      <c r="M287" s="42">
        <v>0.75</v>
      </c>
      <c r="N287" s="42">
        <v>0.1</v>
      </c>
      <c r="O287">
        <v>75</v>
      </c>
      <c r="P287" s="42">
        <v>1.013</v>
      </c>
      <c r="Q287">
        <v>1.01</v>
      </c>
      <c r="R287">
        <v>5000</v>
      </c>
      <c r="S287">
        <v>5000</v>
      </c>
      <c r="T287">
        <v>5000</v>
      </c>
      <c r="U287" t="s">
        <v>8500</v>
      </c>
      <c r="V287" t="s">
        <v>7040</v>
      </c>
      <c r="X287">
        <v>1</v>
      </c>
      <c r="Z287" s="42">
        <v>0.01</v>
      </c>
      <c r="AA287" s="42">
        <v>0.34</v>
      </c>
      <c r="AB287">
        <v>0</v>
      </c>
    </row>
    <row r="288">
      <c r="A288" t="s">
        <v>8509</v>
      </c>
      <c r="B288" t="s">
        <v>7713</v>
      </c>
      <c r="C288" t="s">
        <v>7713</v>
      </c>
      <c r="D288" t="s">
        <v>8510</v>
      </c>
      <c r="E288" t="s">
        <v>8511</v>
      </c>
      <c r="F288" t="s">
        <v>6966</v>
      </c>
      <c r="G288" t="s">
        <v>8512</v>
      </c>
      <c r="H288" t="s">
        <v>8513</v>
      </c>
      <c r="I288" t="s">
        <v>8514</v>
      </c>
      <c r="J288">
        <v>99</v>
      </c>
      <c r="K288" s="43">
        <v>1</v>
      </c>
      <c r="L288" t="s">
        <v>8515</v>
      </c>
      <c r="M288" s="42">
        <v>1</v>
      </c>
      <c r="N288" s="42">
        <v>0.25</v>
      </c>
      <c r="O288">
        <v>1</v>
      </c>
      <c r="P288" s="42">
        <v>1.1</v>
      </c>
      <c r="Q288">
        <v>1.05</v>
      </c>
      <c r="R288">
        <v>2100</v>
      </c>
      <c r="S288">
        <v>2100</v>
      </c>
      <c r="T288">
        <v>2000</v>
      </c>
      <c r="U288" t="s">
        <v>8500</v>
      </c>
      <c r="V288" t="s">
        <v>7040</v>
      </c>
      <c r="X288">
        <v>1</v>
      </c>
      <c r="Z288" s="42">
        <v>0.01</v>
      </c>
      <c r="AA288" s="42">
        <v>0.34</v>
      </c>
      <c r="AB288">
        <v>0</v>
      </c>
    </row>
    <row r="289">
      <c r="A289" t="s">
        <v>8516</v>
      </c>
      <c r="B289" t="s">
        <v>8356</v>
      </c>
      <c r="C289" t="s">
        <v>8356</v>
      </c>
      <c r="D289" t="s">
        <v>8517</v>
      </c>
      <c r="E289" t="s">
        <v>8518</v>
      </c>
      <c r="F289" t="s">
        <v>6966</v>
      </c>
      <c r="G289" t="s">
        <v>8519</v>
      </c>
      <c r="H289" t="s">
        <v>8520</v>
      </c>
      <c r="I289" t="s">
        <v>8521</v>
      </c>
      <c r="J289" t="s">
        <v>8522</v>
      </c>
      <c r="K289" t="s">
        <v>8523</v>
      </c>
      <c r="L289" t="s">
        <v>8515</v>
      </c>
      <c r="M289" s="42">
        <v>2.617523</v>
      </c>
      <c r="N289" s="42">
        <v>0.5</v>
      </c>
      <c r="O289">
        <v>1.5</v>
      </c>
      <c r="P289" s="42">
        <v>1.808762</v>
      </c>
      <c r="Q289">
        <v>1.2</v>
      </c>
      <c r="R289">
        <v>5400</v>
      </c>
      <c r="S289">
        <v>5400</v>
      </c>
      <c r="T289">
        <v>5000</v>
      </c>
      <c r="U289" t="s">
        <v>8500</v>
      </c>
      <c r="V289" t="s">
        <v>7040</v>
      </c>
      <c r="X289">
        <v>1</v>
      </c>
      <c r="Z289" s="42">
        <v>0.01</v>
      </c>
      <c r="AA289" s="42">
        <v>0.34</v>
      </c>
      <c r="AB289">
        <v>0</v>
      </c>
    </row>
    <row r="290">
      <c r="A290" t="s">
        <v>8524</v>
      </c>
      <c r="B290" t="s">
        <v>8525</v>
      </c>
      <c r="C290" t="s">
        <v>8525</v>
      </c>
      <c r="D290" t="s">
        <v>7477</v>
      </c>
      <c r="E290" t="s">
        <v>8526</v>
      </c>
      <c r="F290" t="s">
        <v>6966</v>
      </c>
      <c r="G290" t="s">
        <v>8527</v>
      </c>
      <c r="H290" t="s">
        <v>8528</v>
      </c>
      <c r="I290" t="s">
        <v>8529</v>
      </c>
      <c r="J290" t="s">
        <v>7122</v>
      </c>
      <c r="K290" t="s">
        <v>8530</v>
      </c>
      <c r="L290" t="s">
        <v>8531</v>
      </c>
      <c r="M290" s="42">
        <v>0.625</v>
      </c>
      <c r="N290" s="42">
        <v>0.2</v>
      </c>
      <c r="O290">
        <v>0.4375</v>
      </c>
      <c r="P290" s="42">
        <v>0.86087</v>
      </c>
      <c r="Q290">
        <v>0.92</v>
      </c>
      <c r="R290">
        <v>2100</v>
      </c>
      <c r="S290">
        <v>2100</v>
      </c>
      <c r="T290">
        <v>2000</v>
      </c>
      <c r="U290" t="s">
        <v>8500</v>
      </c>
      <c r="V290" t="s">
        <v>7040</v>
      </c>
      <c r="X290">
        <v>1</v>
      </c>
      <c r="Z290" s="42">
        <v>0.01</v>
      </c>
      <c r="AA290" s="42">
        <v>0.34</v>
      </c>
      <c r="AB290">
        <v>0</v>
      </c>
    </row>
    <row r="291">
      <c r="A291" t="s">
        <v>8532</v>
      </c>
      <c r="B291" t="s">
        <v>8525</v>
      </c>
      <c r="C291" t="s">
        <v>8525</v>
      </c>
      <c r="D291" t="s">
        <v>7477</v>
      </c>
      <c r="E291" t="s">
        <v>8533</v>
      </c>
      <c r="F291" t="s">
        <v>6966</v>
      </c>
      <c r="G291" t="s">
        <v>8527</v>
      </c>
      <c r="H291" t="s">
        <v>8534</v>
      </c>
      <c r="I291" t="s">
        <v>8535</v>
      </c>
      <c r="J291" t="s">
        <v>8536</v>
      </c>
      <c r="K291" t="s">
        <v>8537</v>
      </c>
      <c r="L291" t="s">
        <v>8538</v>
      </c>
      <c r="M291" s="42">
        <v>0.95</v>
      </c>
      <c r="N291" s="42">
        <v>0.2</v>
      </c>
      <c r="O291">
        <v>0.95</v>
      </c>
      <c r="P291" s="42">
        <v>0.963375</v>
      </c>
      <c r="Q291">
        <v>0.96</v>
      </c>
      <c r="R291">
        <v>2410</v>
      </c>
      <c r="S291">
        <v>2410</v>
      </c>
      <c r="T291">
        <v>2000</v>
      </c>
      <c r="U291" t="s">
        <v>8500</v>
      </c>
      <c r="V291" t="s">
        <v>7040</v>
      </c>
      <c r="X291">
        <v>1</v>
      </c>
      <c r="Z291" s="42">
        <v>0.01</v>
      </c>
      <c r="AA291" s="42">
        <v>0.34</v>
      </c>
      <c r="AB291">
        <v>0</v>
      </c>
    </row>
    <row r="292">
      <c r="A292" t="s">
        <v>8539</v>
      </c>
      <c r="B292" t="s">
        <v>8525</v>
      </c>
      <c r="C292" t="s">
        <v>8525</v>
      </c>
      <c r="D292" t="s">
        <v>7477</v>
      </c>
      <c r="E292" t="s">
        <v>8540</v>
      </c>
      <c r="F292" t="s">
        <v>6966</v>
      </c>
      <c r="G292" t="s">
        <v>8527</v>
      </c>
      <c r="H292" t="s">
        <v>8534</v>
      </c>
      <c r="I292" t="s">
        <v>8541</v>
      </c>
      <c r="J292" t="s">
        <v>7595</v>
      </c>
      <c r="K292" t="s">
        <v>7267</v>
      </c>
      <c r="L292" t="s">
        <v>8542</v>
      </c>
      <c r="M292" s="42">
        <v>0</v>
      </c>
      <c r="N292" s="42">
        <v>0.2</v>
      </c>
      <c r="O292">
        <v>0</v>
      </c>
      <c r="P292" s="42">
        <v>0.9835</v>
      </c>
      <c r="Q292">
        <v>0.9</v>
      </c>
      <c r="R292">
        <v>3490</v>
      </c>
      <c r="S292">
        <v>3490</v>
      </c>
      <c r="T292">
        <v>4000</v>
      </c>
      <c r="U292" t="s">
        <v>8500</v>
      </c>
      <c r="V292" t="s">
        <v>7040</v>
      </c>
      <c r="X292">
        <v>1</v>
      </c>
      <c r="Z292" s="42">
        <v>0.01</v>
      </c>
      <c r="AA292" s="42">
        <v>0.34</v>
      </c>
      <c r="AB292">
        <v>0</v>
      </c>
    </row>
    <row r="293">
      <c r="A293" t="s">
        <v>8543</v>
      </c>
      <c r="B293" t="s">
        <v>8544</v>
      </c>
      <c r="C293" t="s">
        <v>8544</v>
      </c>
      <c r="D293" t="s">
        <v>7355</v>
      </c>
      <c r="E293" t="s">
        <v>8545</v>
      </c>
      <c r="F293" t="s">
        <v>6966</v>
      </c>
      <c r="G293" t="s">
        <v>8546</v>
      </c>
      <c r="H293" t="s">
        <v>8547</v>
      </c>
      <c r="I293" t="s">
        <v>8548</v>
      </c>
      <c r="J293" t="s">
        <v>8549</v>
      </c>
      <c r="K293" t="s">
        <v>8550</v>
      </c>
      <c r="L293" t="s">
        <v>8551</v>
      </c>
      <c r="M293" s="42">
        <v>1.019833</v>
      </c>
      <c r="N293" s="42">
        <v>0.1</v>
      </c>
      <c r="O293">
        <v>1.0198</v>
      </c>
      <c r="P293" s="42">
        <v>0.928158</v>
      </c>
      <c r="Q293">
        <v>0.98</v>
      </c>
      <c r="R293">
        <v>8000</v>
      </c>
      <c r="S293">
        <v>8000</v>
      </c>
      <c r="T293">
        <v>5000</v>
      </c>
      <c r="U293" t="s">
        <v>8500</v>
      </c>
      <c r="V293" t="s">
        <v>7040</v>
      </c>
      <c r="X293">
        <v>1</v>
      </c>
      <c r="Z293" s="42">
        <v>0.01</v>
      </c>
      <c r="AA293" s="42">
        <v>0.34</v>
      </c>
      <c r="AB293">
        <v>0</v>
      </c>
    </row>
    <row r="294">
      <c r="A294" t="s">
        <v>8552</v>
      </c>
      <c r="B294" t="s">
        <v>8544</v>
      </c>
      <c r="C294" t="s">
        <v>8544</v>
      </c>
      <c r="D294" t="s">
        <v>7000</v>
      </c>
      <c r="E294" t="s">
        <v>8553</v>
      </c>
      <c r="F294" t="s">
        <v>6966</v>
      </c>
      <c r="G294" t="s">
        <v>8546</v>
      </c>
      <c r="H294" t="s">
        <v>8554</v>
      </c>
      <c r="I294" t="s">
        <v>8555</v>
      </c>
      <c r="J294" t="s">
        <v>8236</v>
      </c>
      <c r="K294" t="s">
        <v>8556</v>
      </c>
      <c r="L294" t="s">
        <v>8557</v>
      </c>
      <c r="M294" s="42">
        <v>0</v>
      </c>
      <c r="N294" s="42">
        <v>0.1</v>
      </c>
      <c r="O294">
        <v>0</v>
      </c>
      <c r="P294" s="42">
        <v>0.635175</v>
      </c>
      <c r="Q294">
        <v>0.41</v>
      </c>
      <c r="R294">
        <v>2000</v>
      </c>
      <c r="S294">
        <v>2408</v>
      </c>
      <c r="T294">
        <v>6000</v>
      </c>
      <c r="U294" t="s">
        <v>8500</v>
      </c>
      <c r="V294" t="s">
        <v>7040</v>
      </c>
      <c r="X294">
        <v>1</v>
      </c>
      <c r="Z294" s="42">
        <v>0.01</v>
      </c>
      <c r="AA294" s="42">
        <v>0.34</v>
      </c>
      <c r="AB294">
        <v>0</v>
      </c>
    </row>
    <row r="295">
      <c r="A295" t="s">
        <v>8558</v>
      </c>
      <c r="B295" t="s">
        <v>8544</v>
      </c>
      <c r="C295" t="s">
        <v>8544</v>
      </c>
      <c r="D295" t="s">
        <v>7000</v>
      </c>
      <c r="E295" t="s">
        <v>8559</v>
      </c>
      <c r="F295" t="s">
        <v>6966</v>
      </c>
      <c r="G295" t="s">
        <v>8546</v>
      </c>
      <c r="H295" t="s">
        <v>8560</v>
      </c>
      <c r="I295" t="s">
        <v>8561</v>
      </c>
      <c r="J295" s="43">
        <v>0.52</v>
      </c>
      <c r="K295" s="43">
        <v>0.58</v>
      </c>
      <c r="L295" t="s">
        <v>8562</v>
      </c>
      <c r="M295" s="42">
        <v>0.58</v>
      </c>
      <c r="N295" s="42">
        <v>0.05</v>
      </c>
      <c r="O295">
        <v>0</v>
      </c>
      <c r="P295" s="42">
        <v>0.378993</v>
      </c>
      <c r="Q295">
        <v>0.29</v>
      </c>
      <c r="R295">
        <v>1729.8</v>
      </c>
      <c r="S295">
        <v>1729.8</v>
      </c>
      <c r="T295">
        <v>6000</v>
      </c>
      <c r="U295" t="s">
        <v>8500</v>
      </c>
      <c r="V295" t="s">
        <v>7040</v>
      </c>
      <c r="X295">
        <v>1</v>
      </c>
      <c r="Z295" s="42">
        <v>0.01</v>
      </c>
      <c r="AA295" s="42">
        <v>0.34</v>
      </c>
      <c r="AB295">
        <v>0</v>
      </c>
    </row>
    <row r="296">
      <c r="A296" t="s">
        <v>8563</v>
      </c>
      <c r="B296" t="s">
        <v>8544</v>
      </c>
      <c r="C296" t="s">
        <v>8544</v>
      </c>
      <c r="D296" t="s">
        <v>7000</v>
      </c>
      <c r="E296" t="s">
        <v>8564</v>
      </c>
      <c r="F296" t="s">
        <v>6966</v>
      </c>
      <c r="G296" t="s">
        <v>8546</v>
      </c>
      <c r="H296" t="s">
        <v>8565</v>
      </c>
      <c r="I296" t="s">
        <v>8566</v>
      </c>
      <c r="J296" t="s">
        <v>7689</v>
      </c>
      <c r="K296" t="s">
        <v>8567</v>
      </c>
      <c r="L296" t="s">
        <v>8568</v>
      </c>
      <c r="M296" s="42">
        <v>0.462769</v>
      </c>
      <c r="N296" s="42">
        <v>0.9</v>
      </c>
      <c r="O296">
        <v>0.3702</v>
      </c>
      <c r="P296" s="42">
        <v>0.518475</v>
      </c>
      <c r="Q296">
        <v>0.44</v>
      </c>
      <c r="R296">
        <v>0</v>
      </c>
      <c r="S296">
        <v>0</v>
      </c>
      <c r="T296">
        <v>6000</v>
      </c>
      <c r="U296" t="s">
        <v>8500</v>
      </c>
      <c r="V296" t="s">
        <v>7040</v>
      </c>
      <c r="X296">
        <v>1</v>
      </c>
      <c r="Z296" s="42">
        <v>0.01</v>
      </c>
      <c r="AA296" s="42">
        <v>0.34</v>
      </c>
      <c r="AB296">
        <v>0</v>
      </c>
    </row>
    <row r="297">
      <c r="A297" t="s">
        <v>8569</v>
      </c>
      <c r="B297" t="s">
        <v>8544</v>
      </c>
      <c r="C297" t="s">
        <v>8544</v>
      </c>
      <c r="D297" t="s">
        <v>7355</v>
      </c>
      <c r="E297" t="s">
        <v>8570</v>
      </c>
      <c r="F297" t="s">
        <v>6966</v>
      </c>
      <c r="G297" t="s">
        <v>8546</v>
      </c>
      <c r="H297" t="s">
        <v>8547</v>
      </c>
      <c r="I297" t="s">
        <v>8571</v>
      </c>
      <c r="J297" t="s">
        <v>8549</v>
      </c>
      <c r="K297" t="s">
        <v>8550</v>
      </c>
      <c r="L297" t="s">
        <v>8568</v>
      </c>
      <c r="M297" s="42">
        <v>1.019833</v>
      </c>
      <c r="N297" s="42">
        <v>0.1</v>
      </c>
      <c r="O297">
        <v>1.0198</v>
      </c>
      <c r="P297" s="42">
        <v>0.712435</v>
      </c>
      <c r="Q297">
        <v>0.59</v>
      </c>
      <c r="R297">
        <v>6000</v>
      </c>
      <c r="S297">
        <v>6000</v>
      </c>
      <c r="T297">
        <v>5000</v>
      </c>
      <c r="U297" t="s">
        <v>8500</v>
      </c>
      <c r="V297" t="s">
        <v>7040</v>
      </c>
      <c r="X297">
        <v>1</v>
      </c>
      <c r="Z297" s="42">
        <v>0.01</v>
      </c>
      <c r="AA297" s="42">
        <v>0.34</v>
      </c>
      <c r="AB297">
        <v>0</v>
      </c>
    </row>
    <row r="298">
      <c r="A298" t="s">
        <v>8572</v>
      </c>
      <c r="B298" t="s">
        <v>8573</v>
      </c>
      <c r="C298" t="s">
        <v>8573</v>
      </c>
      <c r="D298" t="s">
        <v>7362</v>
      </c>
      <c r="E298" t="s">
        <v>8574</v>
      </c>
      <c r="F298" t="s">
        <v>6966</v>
      </c>
      <c r="G298" t="s">
        <v>8575</v>
      </c>
      <c r="H298" t="s">
        <v>8576</v>
      </c>
      <c r="I298" t="s">
        <v>8577</v>
      </c>
      <c r="J298" t="s">
        <v>8578</v>
      </c>
      <c r="K298" t="s">
        <v>8579</v>
      </c>
      <c r="L298" t="s">
        <v>8568</v>
      </c>
      <c r="M298" s="42">
        <v>2.1</v>
      </c>
      <c r="N298" s="42">
        <v>0.2</v>
      </c>
      <c r="O298">
        <v>1</v>
      </c>
      <c r="P298" s="42">
        <v>1.372</v>
      </c>
      <c r="Q298">
        <v>0.78</v>
      </c>
      <c r="R298">
        <v>1176</v>
      </c>
      <c r="S298">
        <v>1681</v>
      </c>
      <c r="T298">
        <v>1500</v>
      </c>
      <c r="U298" t="s">
        <v>8500</v>
      </c>
      <c r="V298" t="s">
        <v>7040</v>
      </c>
      <c r="X298">
        <v>1</v>
      </c>
      <c r="Z298" s="42">
        <v>0.01</v>
      </c>
      <c r="AA298" s="42">
        <v>0.34</v>
      </c>
      <c r="AB298">
        <v>0</v>
      </c>
    </row>
    <row r="299">
      <c r="A299" t="s">
        <v>8580</v>
      </c>
      <c r="B299" t="s">
        <v>8573</v>
      </c>
      <c r="C299" t="s">
        <v>8573</v>
      </c>
      <c r="D299" t="s">
        <v>7362</v>
      </c>
      <c r="E299" t="s">
        <v>8581</v>
      </c>
      <c r="F299" t="s">
        <v>6966</v>
      </c>
      <c r="G299" t="s">
        <v>8575</v>
      </c>
      <c r="H299" t="s">
        <v>8576</v>
      </c>
      <c r="I299" t="s">
        <v>8577</v>
      </c>
      <c r="J299" t="s">
        <v>8578</v>
      </c>
      <c r="K299" t="s">
        <v>8579</v>
      </c>
      <c r="L299" t="s">
        <v>8568</v>
      </c>
      <c r="M299" s="42">
        <v>2.1</v>
      </c>
      <c r="N299" s="42">
        <v>0.2</v>
      </c>
      <c r="O299">
        <v>1</v>
      </c>
      <c r="P299" s="42">
        <v>1.976</v>
      </c>
      <c r="Q299">
        <v>0.8</v>
      </c>
      <c r="R299">
        <v>1200</v>
      </c>
      <c r="S299">
        <v>1874</v>
      </c>
      <c r="T299">
        <v>1500</v>
      </c>
      <c r="U299" t="s">
        <v>8500</v>
      </c>
      <c r="V299" t="s">
        <v>7040</v>
      </c>
      <c r="X299">
        <v>1</v>
      </c>
      <c r="Z299" s="42">
        <v>0.01</v>
      </c>
      <c r="AA299" s="42">
        <v>0.34</v>
      </c>
      <c r="AB299">
        <v>0</v>
      </c>
    </row>
    <row r="300">
      <c r="A300" t="s">
        <v>8582</v>
      </c>
      <c r="B300" t="s">
        <v>8573</v>
      </c>
      <c r="C300" t="s">
        <v>8573</v>
      </c>
      <c r="D300" t="s">
        <v>7362</v>
      </c>
      <c r="E300" t="s">
        <v>8583</v>
      </c>
      <c r="F300" t="s">
        <v>6966</v>
      </c>
      <c r="G300" t="s">
        <v>8575</v>
      </c>
      <c r="H300" t="s">
        <v>8576</v>
      </c>
      <c r="I300" t="s">
        <v>8577</v>
      </c>
      <c r="J300" t="s">
        <v>8578</v>
      </c>
      <c r="K300" t="s">
        <v>8579</v>
      </c>
      <c r="L300" t="s">
        <v>8568</v>
      </c>
      <c r="M300" s="42">
        <v>2.1</v>
      </c>
      <c r="N300" s="42">
        <v>0.2</v>
      </c>
      <c r="O300">
        <v>1</v>
      </c>
      <c r="P300" s="42">
        <v>1.68</v>
      </c>
      <c r="Q300">
        <v>0.8</v>
      </c>
      <c r="R300">
        <v>1200</v>
      </c>
      <c r="S300">
        <v>1537</v>
      </c>
      <c r="T300">
        <v>1500</v>
      </c>
      <c r="U300" t="s">
        <v>8500</v>
      </c>
      <c r="V300" t="s">
        <v>7040</v>
      </c>
      <c r="X300">
        <v>1</v>
      </c>
      <c r="Z300" s="42">
        <v>0.01</v>
      </c>
      <c r="AA300" s="42">
        <v>0.34</v>
      </c>
      <c r="AB300">
        <v>0</v>
      </c>
    </row>
    <row r="301">
      <c r="A301" t="s">
        <v>8584</v>
      </c>
      <c r="B301" t="s">
        <v>8573</v>
      </c>
      <c r="C301" t="s">
        <v>8573</v>
      </c>
      <c r="D301" t="s">
        <v>7362</v>
      </c>
      <c r="E301" t="s">
        <v>8585</v>
      </c>
      <c r="F301" t="s">
        <v>6966</v>
      </c>
      <c r="G301" t="s">
        <v>8575</v>
      </c>
      <c r="H301" t="s">
        <v>8576</v>
      </c>
      <c r="I301" t="s">
        <v>8577</v>
      </c>
      <c r="J301" t="s">
        <v>8578</v>
      </c>
      <c r="K301" t="s">
        <v>8586</v>
      </c>
      <c r="L301" t="s">
        <v>8568</v>
      </c>
      <c r="M301" s="42">
        <v>2.1</v>
      </c>
      <c r="N301" s="42">
        <v>0.2</v>
      </c>
      <c r="O301">
        <v>1</v>
      </c>
      <c r="P301" s="42">
        <v>1.096</v>
      </c>
      <c r="Q301">
        <v>0.68</v>
      </c>
      <c r="R301">
        <v>1051</v>
      </c>
      <c r="S301">
        <v>1219</v>
      </c>
      <c r="T301">
        <v>1500</v>
      </c>
      <c r="U301" t="s">
        <v>8500</v>
      </c>
      <c r="V301" t="s">
        <v>7040</v>
      </c>
      <c r="X301">
        <v>1</v>
      </c>
      <c r="Z301" s="42">
        <v>0.01</v>
      </c>
      <c r="AA301" s="42">
        <v>0.34</v>
      </c>
      <c r="AB301">
        <v>0</v>
      </c>
    </row>
    <row r="302">
      <c r="A302" t="s">
        <v>8587</v>
      </c>
      <c r="B302" t="s">
        <v>8573</v>
      </c>
      <c r="C302" t="s">
        <v>8573</v>
      </c>
      <c r="D302" t="s">
        <v>7362</v>
      </c>
      <c r="E302" t="s">
        <v>8588</v>
      </c>
      <c r="F302" t="s">
        <v>6966</v>
      </c>
      <c r="G302" t="s">
        <v>8575</v>
      </c>
      <c r="H302" t="s">
        <v>8576</v>
      </c>
      <c r="I302" t="s">
        <v>8577</v>
      </c>
      <c r="J302" t="s">
        <v>8578</v>
      </c>
      <c r="K302" t="s">
        <v>8579</v>
      </c>
      <c r="L302" t="s">
        <v>8568</v>
      </c>
      <c r="M302" s="42">
        <v>1</v>
      </c>
      <c r="N302" s="42">
        <v>0.2</v>
      </c>
      <c r="O302">
        <v>1</v>
      </c>
      <c r="P302" s="42">
        <v>0.99</v>
      </c>
      <c r="Q302">
        <v>0.79</v>
      </c>
      <c r="R302">
        <v>1188</v>
      </c>
      <c r="S302">
        <v>1188</v>
      </c>
      <c r="T302">
        <v>1500</v>
      </c>
      <c r="U302" t="s">
        <v>8500</v>
      </c>
      <c r="V302" t="s">
        <v>7040</v>
      </c>
      <c r="X302">
        <v>1</v>
      </c>
      <c r="Z302" s="42">
        <v>0.01</v>
      </c>
      <c r="AA302" s="42">
        <v>0.34</v>
      </c>
      <c r="AB302">
        <v>0</v>
      </c>
    </row>
    <row r="303">
      <c r="A303" t="s">
        <v>8589</v>
      </c>
      <c r="B303" t="s">
        <v>7010</v>
      </c>
      <c r="C303" t="s">
        <v>7010</v>
      </c>
      <c r="D303" t="s">
        <v>8590</v>
      </c>
      <c r="E303" t="s">
        <v>8591</v>
      </c>
      <c r="F303" t="s">
        <v>6966</v>
      </c>
      <c r="G303" t="s">
        <v>8592</v>
      </c>
      <c r="H303" t="s">
        <v>8593</v>
      </c>
      <c r="I303" t="s">
        <v>8594</v>
      </c>
      <c r="J303" s="42">
        <v>0.0857</v>
      </c>
      <c r="K303" s="42">
        <v>0.0916</v>
      </c>
      <c r="L303" t="s">
        <v>8595</v>
      </c>
      <c r="M303" s="42">
        <v>0.9311</v>
      </c>
      <c r="N303" s="42">
        <v>0.5</v>
      </c>
      <c r="O303">
        <v>0.7485</v>
      </c>
      <c r="P303" s="42">
        <v>0.96555</v>
      </c>
      <c r="Q303">
        <v>0.87</v>
      </c>
      <c r="R303">
        <v>3414.31</v>
      </c>
      <c r="S303">
        <v>3414.31</v>
      </c>
      <c r="T303">
        <v>4000</v>
      </c>
      <c r="U303" t="s">
        <v>8500</v>
      </c>
      <c r="V303" t="s">
        <v>7040</v>
      </c>
      <c r="X303">
        <v>1</v>
      </c>
      <c r="Z303" s="42">
        <v>0.01</v>
      </c>
      <c r="AA303" s="42">
        <v>0.34</v>
      </c>
      <c r="AB303">
        <v>0</v>
      </c>
    </row>
    <row r="304">
      <c r="A304" t="s">
        <v>8596</v>
      </c>
      <c r="B304" t="s">
        <v>8267</v>
      </c>
      <c r="C304" t="s">
        <v>8267</v>
      </c>
      <c r="D304" t="s">
        <v>8597</v>
      </c>
      <c r="E304" t="s">
        <v>8598</v>
      </c>
      <c r="F304" t="s">
        <v>6966</v>
      </c>
      <c r="G304" t="s">
        <v>8592</v>
      </c>
      <c r="H304" t="s">
        <v>8593</v>
      </c>
      <c r="I304" s="42">
        <v>0.0857</v>
      </c>
      <c r="J304">
        <v>8.57</v>
      </c>
      <c r="K304" s="42">
        <v>0.0916</v>
      </c>
      <c r="L304" t="s">
        <v>8599</v>
      </c>
      <c r="M304" s="42">
        <v>0.93559</v>
      </c>
      <c r="N304" s="42">
        <v>0.4</v>
      </c>
      <c r="O304">
        <v>0.7485</v>
      </c>
      <c r="P304" s="42">
        <v>0.938887</v>
      </c>
      <c r="Q304">
        <v>0.96</v>
      </c>
      <c r="R304">
        <v>4742.1</v>
      </c>
      <c r="S304">
        <v>4742.1</v>
      </c>
      <c r="T304">
        <v>5000</v>
      </c>
      <c r="U304" t="s">
        <v>8500</v>
      </c>
      <c r="V304" t="s">
        <v>7040</v>
      </c>
      <c r="X304">
        <v>1</v>
      </c>
      <c r="Z304" s="42">
        <v>0.01</v>
      </c>
      <c r="AA304" s="42">
        <v>0.34</v>
      </c>
      <c r="AB304">
        <v>0</v>
      </c>
    </row>
    <row r="305">
      <c r="A305" t="s">
        <v>8600</v>
      </c>
      <c r="B305" t="s">
        <v>7565</v>
      </c>
      <c r="C305" t="s">
        <v>7565</v>
      </c>
      <c r="D305" t="s">
        <v>8601</v>
      </c>
      <c r="E305" t="s">
        <v>8602</v>
      </c>
      <c r="F305" t="s">
        <v>6966</v>
      </c>
      <c r="G305" t="s">
        <v>8592</v>
      </c>
      <c r="H305" t="s">
        <v>8603</v>
      </c>
      <c r="I305" t="s">
        <v>8604</v>
      </c>
      <c r="J305" s="43">
        <v>0.8</v>
      </c>
      <c r="K305" t="s">
        <v>8605</v>
      </c>
      <c r="L305" t="s">
        <v>8606</v>
      </c>
      <c r="M305" s="42">
        <v>1.333375</v>
      </c>
      <c r="N305" s="42">
        <v>0.6</v>
      </c>
      <c r="O305">
        <v>1.2</v>
      </c>
      <c r="P305" s="42">
        <v>1.200025</v>
      </c>
      <c r="Q305">
        <v>1.12</v>
      </c>
      <c r="R305">
        <v>6164.73</v>
      </c>
      <c r="S305">
        <v>6164.73</v>
      </c>
      <c r="T305">
        <v>5000</v>
      </c>
      <c r="U305" t="s">
        <v>8500</v>
      </c>
      <c r="V305" t="s">
        <v>7040</v>
      </c>
      <c r="X305">
        <v>1</v>
      </c>
      <c r="Z305" s="42">
        <v>0.01</v>
      </c>
      <c r="AA305" s="42">
        <v>0.34</v>
      </c>
      <c r="AB305">
        <v>0</v>
      </c>
    </row>
    <row r="306">
      <c r="A306" t="s">
        <v>8607</v>
      </c>
      <c r="B306" t="s">
        <v>7938</v>
      </c>
      <c r="C306" t="s">
        <v>7938</v>
      </c>
      <c r="D306" t="s">
        <v>8608</v>
      </c>
      <c r="E306" t="s">
        <v>8609</v>
      </c>
      <c r="F306" t="s">
        <v>6966</v>
      </c>
      <c r="G306" t="s">
        <v>8592</v>
      </c>
      <c r="H306" t="s">
        <v>8610</v>
      </c>
      <c r="I306" t="s">
        <v>8611</v>
      </c>
      <c r="J306" s="43">
        <v>1</v>
      </c>
      <c r="K306" s="43">
        <v>1</v>
      </c>
      <c r="L306" t="s">
        <v>8612</v>
      </c>
      <c r="M306" s="42">
        <v>1</v>
      </c>
      <c r="N306" s="42">
        <v>0.35</v>
      </c>
      <c r="O306">
        <v>1</v>
      </c>
      <c r="P306" s="42">
        <v>0.9825</v>
      </c>
      <c r="Q306">
        <v>0.98</v>
      </c>
      <c r="R306">
        <v>4694.68</v>
      </c>
      <c r="S306">
        <v>4694.68</v>
      </c>
      <c r="T306">
        <v>4500</v>
      </c>
      <c r="U306" t="s">
        <v>8500</v>
      </c>
      <c r="V306" t="s">
        <v>7040</v>
      </c>
      <c r="X306">
        <v>1</v>
      </c>
      <c r="Z306" s="42">
        <v>0.01</v>
      </c>
      <c r="AA306" s="42">
        <v>0.34</v>
      </c>
      <c r="AB306">
        <v>0</v>
      </c>
    </row>
    <row r="307">
      <c r="A307" t="s">
        <v>8613</v>
      </c>
      <c r="B307" t="s">
        <v>8614</v>
      </c>
      <c r="C307" t="s">
        <v>8614</v>
      </c>
      <c r="D307" t="s">
        <v>8615</v>
      </c>
      <c r="E307" t="s">
        <v>8616</v>
      </c>
      <c r="F307" t="s">
        <v>6966</v>
      </c>
      <c r="G307" t="s">
        <v>8592</v>
      </c>
      <c r="H307" t="s">
        <v>8603</v>
      </c>
      <c r="I307" t="s">
        <v>8617</v>
      </c>
      <c r="J307" t="s">
        <v>7618</v>
      </c>
      <c r="K307" t="s">
        <v>8618</v>
      </c>
      <c r="L307" t="s">
        <v>8619</v>
      </c>
      <c r="M307" s="42">
        <v>0.33</v>
      </c>
      <c r="N307" s="42">
        <v>0.4</v>
      </c>
      <c r="O307">
        <v>0.264</v>
      </c>
      <c r="P307" s="42">
        <v>0.732</v>
      </c>
      <c r="Q307">
        <v>0.71</v>
      </c>
      <c r="R307">
        <v>3793.68</v>
      </c>
      <c r="S307">
        <v>3793.68</v>
      </c>
      <c r="T307">
        <v>5000</v>
      </c>
      <c r="U307" t="s">
        <v>8500</v>
      </c>
      <c r="V307" t="s">
        <v>7040</v>
      </c>
      <c r="X307">
        <v>1</v>
      </c>
      <c r="Z307" s="42">
        <v>0.01</v>
      </c>
      <c r="AA307" s="42">
        <v>0.34</v>
      </c>
      <c r="AB307">
        <v>0</v>
      </c>
    </row>
    <row r="308">
      <c r="A308" t="s">
        <v>8620</v>
      </c>
      <c r="B308" t="s">
        <v>8621</v>
      </c>
      <c r="C308" t="s">
        <v>8621</v>
      </c>
      <c r="D308" t="s">
        <v>8622</v>
      </c>
      <c r="E308" t="s">
        <v>8623</v>
      </c>
      <c r="F308" t="s">
        <v>6966</v>
      </c>
      <c r="G308" t="s">
        <v>8592</v>
      </c>
      <c r="H308" t="s">
        <v>8603</v>
      </c>
      <c r="I308" t="s">
        <v>8624</v>
      </c>
      <c r="J308" t="s">
        <v>8618</v>
      </c>
      <c r="K308" t="s">
        <v>8618</v>
      </c>
      <c r="L308" t="s">
        <v>8625</v>
      </c>
      <c r="M308" s="42">
        <v>1</v>
      </c>
      <c r="N308" s="42">
        <v>0.4</v>
      </c>
      <c r="O308">
        <v>1</v>
      </c>
      <c r="P308" s="42">
        <v>1.105</v>
      </c>
      <c r="Q308">
        <v>1.03</v>
      </c>
      <c r="R308">
        <v>5690.52</v>
      </c>
      <c r="S308">
        <v>5690.52</v>
      </c>
      <c r="T308">
        <v>5000</v>
      </c>
      <c r="U308" t="s">
        <v>8500</v>
      </c>
      <c r="V308" t="s">
        <v>7040</v>
      </c>
      <c r="X308">
        <v>1</v>
      </c>
      <c r="Z308" s="42">
        <v>0.01</v>
      </c>
      <c r="AA308" s="42">
        <v>0.34</v>
      </c>
      <c r="AB308">
        <v>0</v>
      </c>
    </row>
    <row r="309">
      <c r="A309" t="s">
        <v>8626</v>
      </c>
      <c r="B309" t="s">
        <v>7126</v>
      </c>
      <c r="C309" t="s">
        <v>7126</v>
      </c>
      <c r="D309" t="s">
        <v>8627</v>
      </c>
      <c r="E309" t="s">
        <v>8628</v>
      </c>
      <c r="F309" t="s">
        <v>6966</v>
      </c>
      <c r="G309" t="s">
        <v>8592</v>
      </c>
      <c r="H309" t="s">
        <v>8603</v>
      </c>
      <c r="I309" t="s">
        <v>8629</v>
      </c>
      <c r="J309" t="s">
        <v>8618</v>
      </c>
      <c r="K309" t="s">
        <v>8618</v>
      </c>
      <c r="L309" t="s">
        <v>8630</v>
      </c>
      <c r="M309" s="42">
        <v>1</v>
      </c>
      <c r="N309" s="42">
        <v>1</v>
      </c>
      <c r="O309">
        <v>1</v>
      </c>
      <c r="P309" s="42">
        <v>1</v>
      </c>
      <c r="Q309">
        <v>1</v>
      </c>
      <c r="R309">
        <v>5000</v>
      </c>
      <c r="S309">
        <v>5000</v>
      </c>
      <c r="T309">
        <v>5000</v>
      </c>
      <c r="U309" t="s">
        <v>8500</v>
      </c>
      <c r="V309" t="s">
        <v>7040</v>
      </c>
      <c r="X309">
        <v>1</v>
      </c>
      <c r="Z309" s="42">
        <v>0.01</v>
      </c>
      <c r="AA309" s="42">
        <v>0.34</v>
      </c>
      <c r="AB309">
        <v>0</v>
      </c>
    </row>
    <row r="310">
      <c r="A310" t="s">
        <v>8631</v>
      </c>
      <c r="B310" t="s">
        <v>7186</v>
      </c>
      <c r="C310" t="s">
        <v>7186</v>
      </c>
      <c r="D310" t="s">
        <v>8632</v>
      </c>
      <c r="E310" t="s">
        <v>8633</v>
      </c>
      <c r="F310" t="s">
        <v>6966</v>
      </c>
      <c r="G310" t="s">
        <v>8634</v>
      </c>
      <c r="H310" t="s">
        <v>8635</v>
      </c>
      <c r="I310" t="s">
        <v>8636</v>
      </c>
      <c r="J310">
        <v>70000</v>
      </c>
      <c r="K310">
        <v>99960</v>
      </c>
      <c r="L310" t="s">
        <v>8630</v>
      </c>
      <c r="M310" s="42">
        <v>0</v>
      </c>
      <c r="N310" s="42">
        <v>0.2</v>
      </c>
      <c r="O310">
        <v>0</v>
      </c>
      <c r="P310" s="42">
        <v>0.107</v>
      </c>
      <c r="Q310">
        <v>0.8</v>
      </c>
      <c r="R310">
        <v>4000</v>
      </c>
      <c r="S310">
        <v>4000</v>
      </c>
      <c r="T310">
        <v>5000</v>
      </c>
      <c r="U310" t="s">
        <v>8500</v>
      </c>
      <c r="V310" t="s">
        <v>7040</v>
      </c>
      <c r="X310">
        <v>1</v>
      </c>
      <c r="Z310" s="42">
        <v>0.01</v>
      </c>
      <c r="AA310" s="42">
        <v>0.34</v>
      </c>
      <c r="AB310">
        <v>0</v>
      </c>
    </row>
    <row r="311">
      <c r="A311" t="s">
        <v>8637</v>
      </c>
      <c r="B311" t="s">
        <v>8638</v>
      </c>
      <c r="C311" t="s">
        <v>8638</v>
      </c>
      <c r="D311" t="s">
        <v>8639</v>
      </c>
      <c r="E311" t="s">
        <v>8640</v>
      </c>
      <c r="F311" t="s">
        <v>6966</v>
      </c>
      <c r="G311" t="s">
        <v>8641</v>
      </c>
      <c r="H311" t="s">
        <v>8642</v>
      </c>
      <c r="I311" t="s">
        <v>8643</v>
      </c>
      <c r="J311">
        <v>1</v>
      </c>
      <c r="L311" t="s">
        <v>8644</v>
      </c>
      <c r="M311" s="42">
        <v>1</v>
      </c>
      <c r="N311" s="42">
        <v>0.1</v>
      </c>
      <c r="O311">
        <v>1</v>
      </c>
      <c r="P311" s="42">
        <v>1.18696</v>
      </c>
      <c r="Q311">
        <v>1.19</v>
      </c>
      <c r="R311">
        <v>5200</v>
      </c>
      <c r="S311">
        <v>5200</v>
      </c>
      <c r="T311">
        <v>5000</v>
      </c>
      <c r="U311" t="s">
        <v>8500</v>
      </c>
      <c r="V311" t="s">
        <v>7040</v>
      </c>
      <c r="X311">
        <v>1</v>
      </c>
      <c r="Z311" s="42">
        <v>0.01</v>
      </c>
      <c r="AA311" s="42">
        <v>0.34</v>
      </c>
      <c r="AB311">
        <v>0</v>
      </c>
    </row>
    <row r="312">
      <c r="A312" t="s">
        <v>8645</v>
      </c>
      <c r="B312" t="s">
        <v>8646</v>
      </c>
      <c r="C312" t="s">
        <v>8646</v>
      </c>
      <c r="D312" t="s">
        <v>7362</v>
      </c>
      <c r="E312" t="s">
        <v>8647</v>
      </c>
      <c r="F312" t="s">
        <v>6966</v>
      </c>
      <c r="G312" t="s">
        <v>8648</v>
      </c>
      <c r="H312" t="s">
        <v>8649</v>
      </c>
      <c r="I312" t="s">
        <v>8650</v>
      </c>
      <c r="J312" t="s">
        <v>8242</v>
      </c>
      <c r="K312" t="s">
        <v>8651</v>
      </c>
      <c r="L312" t="s">
        <v>8652</v>
      </c>
      <c r="M312" s="42">
        <v>1.32</v>
      </c>
      <c r="N312" s="42">
        <v>0.18</v>
      </c>
      <c r="O312">
        <v>1.2</v>
      </c>
      <c r="P312" s="42">
        <v>1.2776</v>
      </c>
      <c r="Q312">
        <v>1.26</v>
      </c>
      <c r="R312">
        <v>5386.5</v>
      </c>
      <c r="S312">
        <v>5386.5</v>
      </c>
      <c r="T312">
        <v>1500</v>
      </c>
      <c r="U312" t="s">
        <v>8653</v>
      </c>
      <c r="Z312" s="42">
        <v>0.01</v>
      </c>
      <c r="AA312" s="42">
        <v>0.35</v>
      </c>
      <c r="AB312">
        <v>0</v>
      </c>
    </row>
    <row r="313">
      <c r="A313" t="s">
        <v>8654</v>
      </c>
      <c r="B313" t="s">
        <v>8646</v>
      </c>
      <c r="C313" t="s">
        <v>8646</v>
      </c>
      <c r="D313" t="s">
        <v>7362</v>
      </c>
      <c r="E313" t="s">
        <v>8655</v>
      </c>
      <c r="F313" t="s">
        <v>6966</v>
      </c>
      <c r="G313" t="s">
        <v>8648</v>
      </c>
      <c r="H313" t="s">
        <v>8649</v>
      </c>
      <c r="I313" t="s">
        <v>8650</v>
      </c>
      <c r="J313" t="s">
        <v>8242</v>
      </c>
      <c r="K313" t="s">
        <v>8656</v>
      </c>
      <c r="L313" t="s">
        <v>8652</v>
      </c>
      <c r="M313" s="42">
        <v>0.7026</v>
      </c>
      <c r="N313" s="42">
        <v>0.18</v>
      </c>
      <c r="O313">
        <v>0.5621</v>
      </c>
      <c r="P313" s="42">
        <v>0.889468</v>
      </c>
      <c r="Q313">
        <v>0.86</v>
      </c>
      <c r="R313">
        <v>2902.5</v>
      </c>
      <c r="S313">
        <v>2902.5</v>
      </c>
      <c r="T313">
        <v>1500</v>
      </c>
      <c r="U313" t="s">
        <v>8653</v>
      </c>
      <c r="Z313" s="42">
        <v>0.01</v>
      </c>
      <c r="AA313" s="42">
        <v>0.35</v>
      </c>
      <c r="AB313">
        <v>0</v>
      </c>
    </row>
    <row r="314">
      <c r="A314" t="s">
        <v>8657</v>
      </c>
      <c r="B314" t="s">
        <v>8646</v>
      </c>
      <c r="C314" t="s">
        <v>8646</v>
      </c>
      <c r="D314" t="s">
        <v>7362</v>
      </c>
      <c r="E314" t="s">
        <v>8658</v>
      </c>
      <c r="F314" t="s">
        <v>6966</v>
      </c>
      <c r="G314" t="s">
        <v>8648</v>
      </c>
      <c r="H314" t="s">
        <v>8649</v>
      </c>
      <c r="I314" t="s">
        <v>8650</v>
      </c>
      <c r="J314" t="s">
        <v>8242</v>
      </c>
      <c r="K314" t="s">
        <v>8659</v>
      </c>
      <c r="L314" t="s">
        <v>8652</v>
      </c>
      <c r="M314" s="42">
        <v>0.4217</v>
      </c>
      <c r="N314" s="42">
        <v>0.18</v>
      </c>
      <c r="O314">
        <v>0.3374</v>
      </c>
      <c r="P314" s="42">
        <v>0.569826</v>
      </c>
      <c r="Q314">
        <v>0.55</v>
      </c>
      <c r="R314">
        <v>1627</v>
      </c>
      <c r="S314">
        <v>1627</v>
      </c>
      <c r="T314">
        <v>1500</v>
      </c>
      <c r="U314" t="s">
        <v>8653</v>
      </c>
      <c r="Z314" s="42">
        <v>0.01</v>
      </c>
      <c r="AA314" s="42">
        <v>0.35</v>
      </c>
      <c r="AB314">
        <v>0</v>
      </c>
    </row>
    <row r="315">
      <c r="A315" t="s">
        <v>8660</v>
      </c>
      <c r="B315" t="s">
        <v>8646</v>
      </c>
      <c r="C315" t="s">
        <v>8646</v>
      </c>
      <c r="D315" t="s">
        <v>8661</v>
      </c>
      <c r="E315" t="s">
        <v>8662</v>
      </c>
      <c r="F315" t="s">
        <v>6966</v>
      </c>
      <c r="G315" t="s">
        <v>8648</v>
      </c>
      <c r="H315" t="s">
        <v>8649</v>
      </c>
      <c r="I315" t="s">
        <v>8650</v>
      </c>
      <c r="J315" t="s">
        <v>8242</v>
      </c>
      <c r="K315" t="s">
        <v>8663</v>
      </c>
      <c r="L315" t="s">
        <v>8652</v>
      </c>
      <c r="M315" s="42">
        <v>0.6194</v>
      </c>
      <c r="N315" s="42">
        <v>0.18</v>
      </c>
      <c r="O315">
        <v>0.4955</v>
      </c>
      <c r="P315" s="42">
        <v>1.286492</v>
      </c>
      <c r="Q315">
        <v>1.26</v>
      </c>
      <c r="R315">
        <v>0</v>
      </c>
      <c r="S315">
        <v>0</v>
      </c>
      <c r="T315">
        <v>0</v>
      </c>
      <c r="U315" t="s">
        <v>8653</v>
      </c>
      <c r="Z315" s="42">
        <v>0.01</v>
      </c>
      <c r="AA315" s="42">
        <v>0.35</v>
      </c>
      <c r="AB315">
        <v>0</v>
      </c>
    </row>
    <row r="316">
      <c r="A316" t="s">
        <v>8664</v>
      </c>
      <c r="B316" t="s">
        <v>8646</v>
      </c>
      <c r="C316" t="s">
        <v>8646</v>
      </c>
      <c r="D316" t="s">
        <v>7362</v>
      </c>
      <c r="E316" t="s">
        <v>8665</v>
      </c>
      <c r="F316" t="s">
        <v>6966</v>
      </c>
      <c r="G316" t="s">
        <v>8648</v>
      </c>
      <c r="H316" t="s">
        <v>8666</v>
      </c>
      <c r="I316" t="s">
        <v>8650</v>
      </c>
      <c r="J316" s="43">
        <v>1</v>
      </c>
      <c r="K316" s="42">
        <v>0.7026</v>
      </c>
      <c r="L316" t="s">
        <v>8652</v>
      </c>
      <c r="M316" s="42">
        <v>0.7026</v>
      </c>
      <c r="N316" s="42">
        <v>0.18</v>
      </c>
      <c r="O316">
        <v>0.5621</v>
      </c>
      <c r="P316" s="42">
        <v>1.298468</v>
      </c>
      <c r="Q316">
        <v>1.14</v>
      </c>
      <c r="R316">
        <v>1400.5</v>
      </c>
      <c r="S316">
        <v>1400.5</v>
      </c>
      <c r="T316">
        <v>1500</v>
      </c>
      <c r="U316" t="s">
        <v>8653</v>
      </c>
      <c r="Z316" s="42">
        <v>0.01</v>
      </c>
      <c r="AA316" s="42">
        <v>0.35</v>
      </c>
      <c r="AB316">
        <v>0</v>
      </c>
    </row>
    <row r="317">
      <c r="A317" t="s">
        <v>8667</v>
      </c>
      <c r="B317" t="s">
        <v>8646</v>
      </c>
      <c r="C317" t="s">
        <v>8646</v>
      </c>
      <c r="D317" t="s">
        <v>7362</v>
      </c>
      <c r="E317" t="s">
        <v>8668</v>
      </c>
      <c r="F317" t="s">
        <v>6966</v>
      </c>
      <c r="G317" t="s">
        <v>8648</v>
      </c>
      <c r="H317" t="s">
        <v>8649</v>
      </c>
      <c r="I317" t="s">
        <v>8650</v>
      </c>
      <c r="J317" t="s">
        <v>8242</v>
      </c>
      <c r="K317" t="s">
        <v>8669</v>
      </c>
      <c r="L317" t="s">
        <v>8652</v>
      </c>
      <c r="M317" s="42">
        <v>0.7026</v>
      </c>
      <c r="N317" s="42">
        <v>0.18</v>
      </c>
      <c r="O317">
        <v>0.5621</v>
      </c>
      <c r="P317" s="42">
        <v>1.161468</v>
      </c>
      <c r="Q317">
        <v>1.14</v>
      </c>
      <c r="R317">
        <v>1103.5</v>
      </c>
      <c r="S317">
        <v>1103.5</v>
      </c>
      <c r="T317">
        <v>1500</v>
      </c>
      <c r="U317" t="s">
        <v>8653</v>
      </c>
      <c r="Z317" s="42">
        <v>0.01</v>
      </c>
      <c r="AA317" s="42">
        <v>0.35</v>
      </c>
      <c r="AB317">
        <v>0</v>
      </c>
    </row>
    <row r="318">
      <c r="A318" t="s">
        <v>8670</v>
      </c>
      <c r="B318" t="s">
        <v>8671</v>
      </c>
      <c r="C318" t="s">
        <v>8671</v>
      </c>
      <c r="D318" t="s">
        <v>8672</v>
      </c>
      <c r="E318" t="s">
        <v>8673</v>
      </c>
      <c r="F318" t="s">
        <v>6966</v>
      </c>
      <c r="G318" t="s">
        <v>8674</v>
      </c>
      <c r="H318" t="s">
        <v>7265</v>
      </c>
      <c r="I318" t="s">
        <v>8675</v>
      </c>
      <c r="J318">
        <v>1</v>
      </c>
      <c r="M318" s="42">
        <v>1</v>
      </c>
      <c r="N318" s="42">
        <v>0.4</v>
      </c>
      <c r="O318">
        <v>1</v>
      </c>
      <c r="P318" s="42">
        <v>1</v>
      </c>
      <c r="Q318">
        <v>1</v>
      </c>
      <c r="R318">
        <v>3962</v>
      </c>
      <c r="S318">
        <v>3962</v>
      </c>
      <c r="T318">
        <v>3400</v>
      </c>
      <c r="U318" t="s">
        <v>8653</v>
      </c>
      <c r="Z318" s="42">
        <v>0.01</v>
      </c>
      <c r="AA318" s="42">
        <v>0.35</v>
      </c>
      <c r="AB318">
        <v>0</v>
      </c>
    </row>
    <row r="319">
      <c r="A319" t="s">
        <v>8676</v>
      </c>
      <c r="B319" t="s">
        <v>8671</v>
      </c>
      <c r="C319" t="s">
        <v>8671</v>
      </c>
      <c r="D319" t="s">
        <v>7139</v>
      </c>
      <c r="E319" t="s">
        <v>8677</v>
      </c>
      <c r="F319" t="s">
        <v>6966</v>
      </c>
      <c r="G319" t="s">
        <v>8674</v>
      </c>
      <c r="H319" t="s">
        <v>7265</v>
      </c>
      <c r="I319" t="s">
        <v>8678</v>
      </c>
      <c r="J319" s="43">
        <v>1</v>
      </c>
      <c r="M319" s="42">
        <v>0.9</v>
      </c>
      <c r="N319" s="42">
        <v>0.1</v>
      </c>
      <c r="O319">
        <v>0.9</v>
      </c>
      <c r="P319" s="42">
        <v>0.945</v>
      </c>
      <c r="Q319">
        <v>0.95</v>
      </c>
      <c r="R319">
        <v>4559</v>
      </c>
      <c r="S319">
        <v>4559</v>
      </c>
      <c r="T319">
        <v>5000</v>
      </c>
      <c r="U319" t="s">
        <v>8653</v>
      </c>
      <c r="Z319" s="42">
        <v>0.01</v>
      </c>
      <c r="AA319" s="42">
        <v>0.35</v>
      </c>
      <c r="AB319">
        <v>0</v>
      </c>
    </row>
    <row r="320">
      <c r="A320" t="s">
        <v>8679</v>
      </c>
      <c r="B320" t="s">
        <v>8671</v>
      </c>
      <c r="C320" t="s">
        <v>8671</v>
      </c>
      <c r="D320" t="s">
        <v>7139</v>
      </c>
      <c r="E320" t="s">
        <v>8680</v>
      </c>
      <c r="F320" t="s">
        <v>6966</v>
      </c>
      <c r="G320" t="s">
        <v>8674</v>
      </c>
      <c r="H320" t="s">
        <v>7265</v>
      </c>
      <c r="I320" t="s">
        <v>8681</v>
      </c>
      <c r="J320" s="43">
        <v>1</v>
      </c>
      <c r="M320" s="42">
        <v>0.89</v>
      </c>
      <c r="N320" s="42">
        <v>0.5</v>
      </c>
      <c r="O320">
        <v>0.89</v>
      </c>
      <c r="P320" s="42">
        <v>0.9</v>
      </c>
      <c r="Q320">
        <v>0.9</v>
      </c>
      <c r="R320">
        <v>4053</v>
      </c>
      <c r="S320">
        <v>4053</v>
      </c>
      <c r="T320">
        <v>5000</v>
      </c>
      <c r="U320" t="s">
        <v>8653</v>
      </c>
      <c r="Z320" s="42">
        <v>0.01</v>
      </c>
      <c r="AA320" s="42">
        <v>0.35</v>
      </c>
      <c r="AB320">
        <v>0</v>
      </c>
    </row>
    <row r="321">
      <c r="A321" t="s">
        <v>8682</v>
      </c>
      <c r="B321" t="s">
        <v>8671</v>
      </c>
      <c r="C321" t="s">
        <v>8671</v>
      </c>
      <c r="D321" t="s">
        <v>7000</v>
      </c>
      <c r="E321" t="s">
        <v>8683</v>
      </c>
      <c r="F321" t="s">
        <v>6966</v>
      </c>
      <c r="G321" t="s">
        <v>8674</v>
      </c>
      <c r="H321" t="s">
        <v>7265</v>
      </c>
      <c r="I321" t="s">
        <v>8684</v>
      </c>
      <c r="J321">
        <v>1</v>
      </c>
      <c r="K321" t="s">
        <v>8685</v>
      </c>
      <c r="M321" s="42">
        <v>1</v>
      </c>
      <c r="N321" s="42">
        <v>0.1</v>
      </c>
      <c r="O321">
        <v>1</v>
      </c>
      <c r="P321" s="42">
        <v>1</v>
      </c>
      <c r="Q321">
        <v>1</v>
      </c>
      <c r="R321">
        <v>5826</v>
      </c>
      <c r="S321">
        <v>5826</v>
      </c>
      <c r="T321">
        <v>5000</v>
      </c>
      <c r="U321" t="s">
        <v>8653</v>
      </c>
      <c r="Z321" s="42">
        <v>0.01</v>
      </c>
      <c r="AA321" s="42">
        <v>0.35</v>
      </c>
      <c r="AB321">
        <v>0</v>
      </c>
    </row>
    <row r="322">
      <c r="A322" t="s">
        <v>8686</v>
      </c>
      <c r="B322" t="s">
        <v>8671</v>
      </c>
      <c r="C322" t="s">
        <v>8671</v>
      </c>
      <c r="D322" t="s">
        <v>8687</v>
      </c>
      <c r="E322" t="s">
        <v>8688</v>
      </c>
      <c r="F322" t="s">
        <v>6966</v>
      </c>
      <c r="G322" t="s">
        <v>8674</v>
      </c>
      <c r="H322" t="s">
        <v>7142</v>
      </c>
      <c r="I322" t="s">
        <v>8689</v>
      </c>
      <c r="J322" s="43">
        <v>1</v>
      </c>
      <c r="K322" t="s">
        <v>7944</v>
      </c>
      <c r="L322" t="s">
        <v>7030</v>
      </c>
      <c r="M322" s="42">
        <v>1</v>
      </c>
      <c r="N322" s="42">
        <v>0.5</v>
      </c>
      <c r="O322">
        <v>1</v>
      </c>
      <c r="P322" s="42">
        <v>1</v>
      </c>
      <c r="Q322">
        <v>1</v>
      </c>
      <c r="R322">
        <v>0</v>
      </c>
      <c r="S322">
        <v>0</v>
      </c>
      <c r="T322">
        <v>2000</v>
      </c>
      <c r="U322" t="s">
        <v>8653</v>
      </c>
      <c r="Z322" s="42">
        <v>0.01</v>
      </c>
      <c r="AA322" s="42">
        <v>0.35</v>
      </c>
      <c r="AB322">
        <v>0</v>
      </c>
    </row>
    <row r="323">
      <c r="A323" t="s">
        <v>8690</v>
      </c>
      <c r="B323" t="s">
        <v>8671</v>
      </c>
      <c r="C323" t="s">
        <v>8671</v>
      </c>
      <c r="D323" t="s">
        <v>8672</v>
      </c>
      <c r="E323" t="s">
        <v>8691</v>
      </c>
      <c r="F323" t="s">
        <v>6966</v>
      </c>
      <c r="G323" t="s">
        <v>8674</v>
      </c>
      <c r="H323" t="s">
        <v>8692</v>
      </c>
      <c r="I323" t="s">
        <v>8693</v>
      </c>
      <c r="J323">
        <v>1</v>
      </c>
      <c r="K323" t="s">
        <v>7087</v>
      </c>
      <c r="L323" t="s">
        <v>8694</v>
      </c>
      <c r="M323" s="42">
        <v>0.9</v>
      </c>
      <c r="N323" s="42">
        <v>0.2</v>
      </c>
      <c r="O323">
        <v>0.9</v>
      </c>
      <c r="P323" s="42">
        <v>0.9</v>
      </c>
      <c r="Q323">
        <v>0.9</v>
      </c>
      <c r="R323">
        <v>0</v>
      </c>
      <c r="S323">
        <v>0</v>
      </c>
      <c r="T323">
        <v>3400</v>
      </c>
      <c r="U323" t="s">
        <v>8653</v>
      </c>
      <c r="Z323" s="42">
        <v>0.01</v>
      </c>
      <c r="AA323" s="42">
        <v>0.35</v>
      </c>
      <c r="AB323">
        <v>0</v>
      </c>
    </row>
    <row r="324">
      <c r="A324" t="s">
        <v>8695</v>
      </c>
      <c r="B324" t="s">
        <v>8696</v>
      </c>
      <c r="C324" t="s">
        <v>8696</v>
      </c>
      <c r="D324" t="s">
        <v>7477</v>
      </c>
      <c r="E324" t="s">
        <v>8697</v>
      </c>
      <c r="F324" t="s">
        <v>6966</v>
      </c>
      <c r="G324" t="s">
        <v>8698</v>
      </c>
      <c r="H324" t="s">
        <v>8699</v>
      </c>
      <c r="I324" t="s">
        <v>8700</v>
      </c>
      <c r="J324" t="s">
        <v>8701</v>
      </c>
      <c r="K324" t="s">
        <v>8702</v>
      </c>
      <c r="L324" t="s">
        <v>8703</v>
      </c>
      <c r="M324" s="42">
        <v>1.4233</v>
      </c>
      <c r="N324" s="42">
        <v>0.25</v>
      </c>
      <c r="O324">
        <v>1.4233</v>
      </c>
      <c r="P324" s="42">
        <v>1.12134</v>
      </c>
      <c r="Q324">
        <v>1.12</v>
      </c>
      <c r="R324">
        <v>2000</v>
      </c>
      <c r="S324">
        <v>2000</v>
      </c>
      <c r="T324">
        <v>2000</v>
      </c>
      <c r="U324" t="s">
        <v>8653</v>
      </c>
      <c r="Z324" s="42">
        <v>0.01</v>
      </c>
      <c r="AA324" s="42">
        <v>0.35</v>
      </c>
      <c r="AB324">
        <v>0</v>
      </c>
    </row>
    <row r="325">
      <c r="A325" t="s">
        <v>8704</v>
      </c>
      <c r="B325" t="s">
        <v>8696</v>
      </c>
      <c r="C325" t="s">
        <v>8696</v>
      </c>
      <c r="D325" t="s">
        <v>8705</v>
      </c>
      <c r="E325" t="s">
        <v>8706</v>
      </c>
      <c r="F325" t="s">
        <v>6966</v>
      </c>
      <c r="G325" t="s">
        <v>8707</v>
      </c>
      <c r="H325" t="s">
        <v>8708</v>
      </c>
      <c r="I325" t="s">
        <v>8709</v>
      </c>
      <c r="L325" t="s">
        <v>8710</v>
      </c>
      <c r="M325" s="42">
        <v>1</v>
      </c>
      <c r="N325" s="42">
        <v>0.25</v>
      </c>
      <c r="O325">
        <v>1</v>
      </c>
      <c r="P325" s="42">
        <v>0.9988</v>
      </c>
      <c r="Q325">
        <v>1</v>
      </c>
      <c r="R325">
        <v>500</v>
      </c>
      <c r="S325">
        <v>500</v>
      </c>
      <c r="T325">
        <v>500</v>
      </c>
      <c r="U325" t="s">
        <v>8653</v>
      </c>
      <c r="Z325" s="42">
        <v>0.01</v>
      </c>
      <c r="AA325" s="42">
        <v>0.35</v>
      </c>
      <c r="AB325">
        <v>0</v>
      </c>
    </row>
    <row r="326">
      <c r="A326" t="s">
        <v>8711</v>
      </c>
      <c r="B326" t="s">
        <v>8712</v>
      </c>
      <c r="C326" t="s">
        <v>8712</v>
      </c>
      <c r="D326" t="s">
        <v>8309</v>
      </c>
      <c r="E326" t="s">
        <v>8713</v>
      </c>
      <c r="F326" t="s">
        <v>6966</v>
      </c>
      <c r="G326" t="s">
        <v>8714</v>
      </c>
      <c r="H326" t="s">
        <v>8715</v>
      </c>
      <c r="I326" t="s">
        <v>8716</v>
      </c>
      <c r="J326" t="s">
        <v>8717</v>
      </c>
      <c r="K326" t="s">
        <v>8718</v>
      </c>
      <c r="L326" t="s">
        <v>8719</v>
      </c>
      <c r="M326" s="42">
        <v>1.11</v>
      </c>
      <c r="N326" s="42">
        <v>0.3</v>
      </c>
      <c r="O326">
        <v>1.1</v>
      </c>
      <c r="P326" s="42">
        <v>0.833</v>
      </c>
      <c r="Q326">
        <v>0.83</v>
      </c>
      <c r="R326">
        <v>3969.6</v>
      </c>
      <c r="S326">
        <v>3969.6</v>
      </c>
      <c r="T326">
        <v>3000</v>
      </c>
      <c r="U326" t="s">
        <v>8653</v>
      </c>
      <c r="Z326" s="42">
        <v>0.01</v>
      </c>
      <c r="AA326" s="42">
        <v>0.35</v>
      </c>
      <c r="AB326">
        <v>0</v>
      </c>
    </row>
    <row r="327">
      <c r="A327" t="s">
        <v>8720</v>
      </c>
      <c r="B327" t="s">
        <v>8712</v>
      </c>
      <c r="C327" t="s">
        <v>8712</v>
      </c>
      <c r="D327" t="s">
        <v>8309</v>
      </c>
      <c r="E327" t="s">
        <v>8721</v>
      </c>
      <c r="F327" t="s">
        <v>6966</v>
      </c>
      <c r="G327" t="s">
        <v>8714</v>
      </c>
      <c r="H327" t="s">
        <v>8715</v>
      </c>
      <c r="J327" t="s">
        <v>8722</v>
      </c>
      <c r="K327" t="s">
        <v>8723</v>
      </c>
      <c r="L327" t="s">
        <v>8724</v>
      </c>
      <c r="M327" s="42">
        <v>0.481</v>
      </c>
      <c r="N327" s="42">
        <v>0.3</v>
      </c>
      <c r="O327">
        <v>0.48</v>
      </c>
      <c r="P327" s="42">
        <v>0.8063</v>
      </c>
      <c r="Q327">
        <v>0.64</v>
      </c>
      <c r="R327">
        <v>2178.6</v>
      </c>
      <c r="S327">
        <v>2178.6</v>
      </c>
      <c r="T327">
        <v>3000</v>
      </c>
      <c r="U327" t="s">
        <v>8653</v>
      </c>
      <c r="Z327" s="42">
        <v>0.01</v>
      </c>
      <c r="AA327" s="42">
        <v>0.35</v>
      </c>
      <c r="AB327">
        <v>0</v>
      </c>
    </row>
    <row r="328">
      <c r="A328" t="s">
        <v>8725</v>
      </c>
      <c r="B328" t="s">
        <v>8712</v>
      </c>
      <c r="C328" t="s">
        <v>8712</v>
      </c>
      <c r="D328" t="s">
        <v>8309</v>
      </c>
      <c r="E328" t="s">
        <v>8726</v>
      </c>
      <c r="F328" t="s">
        <v>6966</v>
      </c>
      <c r="G328" t="s">
        <v>8714</v>
      </c>
      <c r="H328" t="s">
        <v>8715</v>
      </c>
      <c r="I328" t="s">
        <v>8727</v>
      </c>
      <c r="J328" t="s">
        <v>8728</v>
      </c>
      <c r="K328" t="s">
        <v>8729</v>
      </c>
      <c r="L328" t="s">
        <v>8730</v>
      </c>
      <c r="M328" s="42">
        <v>0.6832</v>
      </c>
      <c r="N328" s="42">
        <v>0.3</v>
      </c>
      <c r="O328">
        <v>0.68</v>
      </c>
      <c r="P328" s="42">
        <v>0.70496</v>
      </c>
      <c r="Q328">
        <v>0.7</v>
      </c>
      <c r="R328">
        <v>2851.8</v>
      </c>
      <c r="S328">
        <v>2851.8</v>
      </c>
      <c r="T328">
        <v>3000</v>
      </c>
      <c r="U328" t="s">
        <v>8653</v>
      </c>
      <c r="Z328" s="42">
        <v>0.01</v>
      </c>
      <c r="AA328" s="42">
        <v>0.35</v>
      </c>
      <c r="AB328">
        <v>0</v>
      </c>
    </row>
    <row r="329">
      <c r="A329" t="s">
        <v>8731</v>
      </c>
      <c r="B329" t="s">
        <v>8712</v>
      </c>
      <c r="C329" t="s">
        <v>8712</v>
      </c>
      <c r="D329" t="s">
        <v>8343</v>
      </c>
      <c r="E329" t="s">
        <v>8732</v>
      </c>
      <c r="F329" t="s">
        <v>6966</v>
      </c>
      <c r="G329" t="s">
        <v>8343</v>
      </c>
      <c r="H329" t="s">
        <v>8733</v>
      </c>
      <c r="I329" t="s">
        <v>8734</v>
      </c>
      <c r="K329">
        <v>100</v>
      </c>
      <c r="L329" t="s">
        <v>8734</v>
      </c>
      <c r="M329" s="42">
        <v>1</v>
      </c>
      <c r="N329" s="42">
        <v>0.3</v>
      </c>
      <c r="O329">
        <v>1</v>
      </c>
      <c r="P329" s="42">
        <v>1</v>
      </c>
      <c r="Q329">
        <v>1</v>
      </c>
      <c r="R329">
        <v>2000</v>
      </c>
      <c r="S329">
        <v>2000</v>
      </c>
      <c r="T329">
        <v>2000</v>
      </c>
      <c r="U329" t="s">
        <v>8653</v>
      </c>
      <c r="Z329" s="42">
        <v>0.01</v>
      </c>
      <c r="AA329" s="42">
        <v>0.35</v>
      </c>
      <c r="AB329">
        <v>0</v>
      </c>
    </row>
    <row r="330">
      <c r="A330" t="s">
        <v>8735</v>
      </c>
      <c r="B330" t="s">
        <v>8736</v>
      </c>
      <c r="C330" t="s">
        <v>8736</v>
      </c>
      <c r="D330" t="s">
        <v>8213</v>
      </c>
      <c r="E330" t="s">
        <v>8737</v>
      </c>
      <c r="F330" t="s">
        <v>6966</v>
      </c>
      <c r="G330" t="s">
        <v>8738</v>
      </c>
      <c r="H330" t="s">
        <v>8739</v>
      </c>
      <c r="I330" t="s">
        <v>8740</v>
      </c>
      <c r="J330" t="s">
        <v>8741</v>
      </c>
      <c r="K330" t="s">
        <v>8742</v>
      </c>
      <c r="L330" t="s">
        <v>8743</v>
      </c>
      <c r="M330" s="42">
        <v>0.929655</v>
      </c>
      <c r="N330" s="42">
        <v>0.2</v>
      </c>
      <c r="O330">
        <v>0.9297</v>
      </c>
      <c r="P330" s="42">
        <v>1.100201</v>
      </c>
      <c r="Q330">
        <v>0.98</v>
      </c>
      <c r="R330">
        <v>7000</v>
      </c>
      <c r="S330">
        <v>7000</v>
      </c>
      <c r="T330">
        <v>5000</v>
      </c>
      <c r="U330" t="s">
        <v>8653</v>
      </c>
      <c r="Z330" s="42">
        <v>0.01</v>
      </c>
      <c r="AA330" s="42">
        <v>0.35</v>
      </c>
      <c r="AB330">
        <v>0</v>
      </c>
    </row>
    <row r="331">
      <c r="A331" t="s">
        <v>8744</v>
      </c>
      <c r="B331" t="s">
        <v>8736</v>
      </c>
      <c r="C331" t="s">
        <v>8736</v>
      </c>
      <c r="D331" t="s">
        <v>7000</v>
      </c>
      <c r="E331" t="s">
        <v>8745</v>
      </c>
      <c r="F331" t="s">
        <v>6966</v>
      </c>
      <c r="G331" t="s">
        <v>8738</v>
      </c>
      <c r="H331" t="s">
        <v>8739</v>
      </c>
      <c r="I331" t="s">
        <v>8746</v>
      </c>
      <c r="J331" t="s">
        <v>8747</v>
      </c>
      <c r="K331" t="s">
        <v>8748</v>
      </c>
      <c r="L331" t="s">
        <v>8749</v>
      </c>
      <c r="M331" s="42">
        <v>0.9992</v>
      </c>
      <c r="N331" s="42">
        <v>0.3</v>
      </c>
      <c r="O331">
        <v>0.9992</v>
      </c>
      <c r="P331" s="42">
        <v>0.84986</v>
      </c>
      <c r="Q331">
        <v>0.8</v>
      </c>
      <c r="R331">
        <v>5000</v>
      </c>
      <c r="S331">
        <v>5000</v>
      </c>
      <c r="T331">
        <v>5000</v>
      </c>
      <c r="U331" t="s">
        <v>8653</v>
      </c>
      <c r="Z331" s="42">
        <v>0.01</v>
      </c>
      <c r="AA331" s="42">
        <v>0.35</v>
      </c>
      <c r="AB331">
        <v>0</v>
      </c>
    </row>
    <row r="332">
      <c r="A332" t="s">
        <v>8750</v>
      </c>
      <c r="B332" t="s">
        <v>8736</v>
      </c>
      <c r="C332" t="s">
        <v>8736</v>
      </c>
      <c r="D332" t="s">
        <v>8213</v>
      </c>
      <c r="E332" t="s">
        <v>8751</v>
      </c>
      <c r="F332" t="s">
        <v>6966</v>
      </c>
      <c r="G332" t="s">
        <v>8738</v>
      </c>
      <c r="H332" t="s">
        <v>8739</v>
      </c>
      <c r="I332" t="s">
        <v>8752</v>
      </c>
      <c r="J332" t="s">
        <v>8753</v>
      </c>
      <c r="K332" t="s">
        <v>8754</v>
      </c>
      <c r="L332" t="s">
        <v>8755</v>
      </c>
      <c r="M332" s="42">
        <v>1.120286</v>
      </c>
      <c r="N332" s="42">
        <v>0.3</v>
      </c>
      <c r="O332">
        <v>1.2</v>
      </c>
      <c r="P332" s="42">
        <v>0.895086</v>
      </c>
      <c r="Q332">
        <v>0.79</v>
      </c>
      <c r="R332">
        <v>3000</v>
      </c>
      <c r="S332">
        <v>3000</v>
      </c>
      <c r="T332">
        <v>5000</v>
      </c>
      <c r="U332" t="s">
        <v>8653</v>
      </c>
      <c r="Z332" s="42">
        <v>0.01</v>
      </c>
      <c r="AA332" s="42">
        <v>0.35</v>
      </c>
      <c r="AB332">
        <v>0</v>
      </c>
    </row>
    <row r="333">
      <c r="A333" t="s">
        <v>8756</v>
      </c>
      <c r="B333" t="s">
        <v>8736</v>
      </c>
      <c r="C333" t="s">
        <v>8736</v>
      </c>
      <c r="D333" t="s">
        <v>7000</v>
      </c>
      <c r="E333" t="s">
        <v>8757</v>
      </c>
      <c r="F333" t="s">
        <v>6966</v>
      </c>
      <c r="G333" t="s">
        <v>8738</v>
      </c>
      <c r="H333" t="s">
        <v>8739</v>
      </c>
      <c r="I333" t="s">
        <v>8758</v>
      </c>
      <c r="J333" t="s">
        <v>8753</v>
      </c>
      <c r="K333" t="s">
        <v>8759</v>
      </c>
      <c r="L333" t="s">
        <v>8760</v>
      </c>
      <c r="M333" s="42">
        <v>1.12</v>
      </c>
      <c r="N333" s="42">
        <v>0.3</v>
      </c>
      <c r="O333">
        <v>1.2</v>
      </c>
      <c r="P333" s="42">
        <v>0.4955</v>
      </c>
      <c r="Q333">
        <v>0.38</v>
      </c>
      <c r="R333">
        <v>0</v>
      </c>
      <c r="S333">
        <v>0</v>
      </c>
      <c r="T333">
        <v>5000</v>
      </c>
      <c r="U333" t="s">
        <v>8653</v>
      </c>
      <c r="Z333" s="42">
        <v>0.01</v>
      </c>
      <c r="AA333" s="42">
        <v>0.35</v>
      </c>
      <c r="AB333">
        <v>0</v>
      </c>
    </row>
    <row r="334">
      <c r="A334" t="s">
        <v>8761</v>
      </c>
      <c r="B334" t="s">
        <v>8736</v>
      </c>
      <c r="C334" t="s">
        <v>8736</v>
      </c>
      <c r="D334" t="s">
        <v>8213</v>
      </c>
      <c r="E334" t="s">
        <v>8762</v>
      </c>
      <c r="F334" t="s">
        <v>6966</v>
      </c>
      <c r="G334" t="s">
        <v>8738</v>
      </c>
      <c r="H334" t="s">
        <v>8739</v>
      </c>
      <c r="I334" t="s">
        <v>8763</v>
      </c>
      <c r="J334" t="s">
        <v>8741</v>
      </c>
      <c r="K334" t="s">
        <v>8764</v>
      </c>
      <c r="L334" t="s">
        <v>8765</v>
      </c>
      <c r="M334" s="42">
        <v>0.947</v>
      </c>
      <c r="N334" s="42">
        <v>0.2</v>
      </c>
      <c r="O334">
        <v>0.947</v>
      </c>
      <c r="P334" s="42">
        <v>0.9144</v>
      </c>
      <c r="Q334">
        <v>0.87</v>
      </c>
      <c r="R334">
        <v>0</v>
      </c>
      <c r="S334">
        <v>0</v>
      </c>
      <c r="T334">
        <v>5000</v>
      </c>
      <c r="U334" t="s">
        <v>8653</v>
      </c>
      <c r="Z334" s="42">
        <v>0.01</v>
      </c>
      <c r="AA334" s="42">
        <v>0.35</v>
      </c>
      <c r="AB334">
        <v>0</v>
      </c>
    </row>
    <row r="335">
      <c r="A335" t="s">
        <v>8766</v>
      </c>
      <c r="B335" t="s">
        <v>8712</v>
      </c>
      <c r="C335" t="s">
        <v>8712</v>
      </c>
      <c r="D335" t="s">
        <v>8767</v>
      </c>
      <c r="E335" t="s">
        <v>8768</v>
      </c>
      <c r="F335" t="s">
        <v>6966</v>
      </c>
      <c r="G335" t="s">
        <v>8767</v>
      </c>
      <c r="H335" t="s">
        <v>8769</v>
      </c>
      <c r="I335" t="s">
        <v>8770</v>
      </c>
      <c r="K335">
        <v>1</v>
      </c>
      <c r="L335" t="s">
        <v>8771</v>
      </c>
      <c r="M335" s="42">
        <v>1</v>
      </c>
      <c r="N335" s="42">
        <v>0.2</v>
      </c>
      <c r="O335">
        <v>1</v>
      </c>
      <c r="P335" s="42">
        <v>0.9</v>
      </c>
      <c r="Q335">
        <v>0.9</v>
      </c>
      <c r="R335">
        <v>1367.04</v>
      </c>
      <c r="S335">
        <v>1367.04</v>
      </c>
      <c r="T335">
        <v>1000</v>
      </c>
      <c r="U335" t="s">
        <v>8653</v>
      </c>
      <c r="Z335" s="42">
        <v>0.01</v>
      </c>
      <c r="AA335" s="42">
        <v>0.35</v>
      </c>
      <c r="AB335">
        <v>0</v>
      </c>
    </row>
    <row r="336">
      <c r="A336" t="s">
        <v>8772</v>
      </c>
      <c r="B336" t="s">
        <v>8712</v>
      </c>
      <c r="C336" t="s">
        <v>8712</v>
      </c>
      <c r="D336" t="s">
        <v>8767</v>
      </c>
      <c r="E336" t="s">
        <v>8773</v>
      </c>
      <c r="F336" t="s">
        <v>6966</v>
      </c>
      <c r="G336" t="s">
        <v>8767</v>
      </c>
      <c r="H336" t="s">
        <v>8769</v>
      </c>
      <c r="I336" t="s">
        <v>8770</v>
      </c>
      <c r="K336">
        <v>0.9</v>
      </c>
      <c r="L336">
        <v>0</v>
      </c>
      <c r="M336" s="42">
        <v>0.009</v>
      </c>
      <c r="N336" s="42">
        <v>0.2</v>
      </c>
      <c r="O336">
        <v>0.9</v>
      </c>
      <c r="P336" s="42">
        <v>0.0067</v>
      </c>
      <c r="Q336">
        <v>0.67</v>
      </c>
      <c r="R336">
        <v>2340.68</v>
      </c>
      <c r="S336">
        <v>2340.68</v>
      </c>
      <c r="T336">
        <v>2300</v>
      </c>
      <c r="U336" t="s">
        <v>8653</v>
      </c>
      <c r="Z336" s="42">
        <v>0.01</v>
      </c>
      <c r="AA336" s="42">
        <v>0.35</v>
      </c>
      <c r="AB336">
        <v>0</v>
      </c>
    </row>
    <row r="337">
      <c r="A337" t="s">
        <v>8774</v>
      </c>
      <c r="B337" t="s">
        <v>8712</v>
      </c>
      <c r="C337" t="s">
        <v>8712</v>
      </c>
      <c r="D337" t="s">
        <v>8767</v>
      </c>
      <c r="E337" t="s">
        <v>8775</v>
      </c>
      <c r="F337" t="s">
        <v>6966</v>
      </c>
      <c r="G337" t="s">
        <v>8767</v>
      </c>
      <c r="H337" t="s">
        <v>8769</v>
      </c>
      <c r="I337" t="s">
        <v>8770</v>
      </c>
      <c r="K337">
        <v>0.7</v>
      </c>
      <c r="L337">
        <v>0</v>
      </c>
      <c r="M337" s="42">
        <v>0.007</v>
      </c>
      <c r="N337" s="42">
        <v>0.2</v>
      </c>
      <c r="O337">
        <v>0.7</v>
      </c>
      <c r="P337" s="42">
        <v>0.0077</v>
      </c>
      <c r="Q337">
        <v>0.77</v>
      </c>
      <c r="R337">
        <v>2690.04</v>
      </c>
      <c r="S337">
        <v>2690.04</v>
      </c>
      <c r="T337">
        <v>2300</v>
      </c>
      <c r="U337" t="s">
        <v>8653</v>
      </c>
      <c r="Z337" s="42">
        <v>0.01</v>
      </c>
      <c r="AA337" s="42">
        <v>0.35</v>
      </c>
      <c r="AB337">
        <v>0</v>
      </c>
    </row>
    <row r="338">
      <c r="A338" t="s">
        <v>8776</v>
      </c>
      <c r="B338" t="s">
        <v>8736</v>
      </c>
      <c r="C338" t="s">
        <v>8736</v>
      </c>
      <c r="D338" t="s">
        <v>8239</v>
      </c>
      <c r="E338" t="s">
        <v>8777</v>
      </c>
      <c r="F338" t="s">
        <v>6966</v>
      </c>
      <c r="G338" t="s">
        <v>8778</v>
      </c>
      <c r="H338" t="s">
        <v>8779</v>
      </c>
      <c r="I338" t="s">
        <v>8780</v>
      </c>
      <c r="J338" t="s">
        <v>7348</v>
      </c>
      <c r="K338" t="s">
        <v>8781</v>
      </c>
      <c r="L338" t="s">
        <v>8782</v>
      </c>
      <c r="M338" s="42">
        <v>1.029</v>
      </c>
      <c r="N338" s="42">
        <v>0.5</v>
      </c>
      <c r="O338">
        <v>1.2</v>
      </c>
      <c r="P338" s="42">
        <v>1.231546</v>
      </c>
      <c r="Q338">
        <v>1.3</v>
      </c>
      <c r="R338">
        <v>1950</v>
      </c>
      <c r="S338">
        <v>1950</v>
      </c>
      <c r="T338">
        <v>1500</v>
      </c>
      <c r="U338" t="s">
        <v>8653</v>
      </c>
      <c r="Z338" s="42">
        <v>0.01</v>
      </c>
      <c r="AA338" s="42">
        <v>0.35</v>
      </c>
      <c r="AB338">
        <v>0</v>
      </c>
    </row>
    <row r="339">
      <c r="A339" t="s">
        <v>8783</v>
      </c>
      <c r="B339" t="s">
        <v>8736</v>
      </c>
      <c r="C339" t="s">
        <v>8736</v>
      </c>
      <c r="D339" t="s">
        <v>7362</v>
      </c>
      <c r="E339" t="s">
        <v>8784</v>
      </c>
      <c r="F339" t="s">
        <v>6966</v>
      </c>
      <c r="G339" t="s">
        <v>8778</v>
      </c>
      <c r="H339" t="s">
        <v>8779</v>
      </c>
      <c r="I339" t="s">
        <v>8785</v>
      </c>
      <c r="J339" t="s">
        <v>7387</v>
      </c>
      <c r="K339" t="s">
        <v>8786</v>
      </c>
      <c r="L339" t="s">
        <v>8787</v>
      </c>
      <c r="M339" s="42">
        <v>3.29</v>
      </c>
      <c r="N339" s="42">
        <v>0.5</v>
      </c>
      <c r="O339">
        <v>1.5</v>
      </c>
      <c r="P339" s="42">
        <v>1.885</v>
      </c>
      <c r="Q339">
        <v>0.89</v>
      </c>
      <c r="R339">
        <v>1335</v>
      </c>
      <c r="S339">
        <v>1335</v>
      </c>
      <c r="T339">
        <v>1500</v>
      </c>
      <c r="U339" t="s">
        <v>8653</v>
      </c>
      <c r="Z339" s="42">
        <v>0.01</v>
      </c>
      <c r="AA339" s="42">
        <v>0.35</v>
      </c>
      <c r="AB339">
        <v>0</v>
      </c>
    </row>
    <row r="340">
      <c r="A340" t="s">
        <v>8788</v>
      </c>
      <c r="B340" t="s">
        <v>8789</v>
      </c>
      <c r="C340" t="s">
        <v>8789</v>
      </c>
      <c r="D340" t="s">
        <v>8790</v>
      </c>
      <c r="E340" t="s">
        <v>8791</v>
      </c>
      <c r="F340" t="s">
        <v>6966</v>
      </c>
      <c r="G340" t="s">
        <v>8792</v>
      </c>
      <c r="H340" t="s">
        <v>8793</v>
      </c>
      <c r="I340" t="s">
        <v>8794</v>
      </c>
      <c r="J340" t="s">
        <v>8795</v>
      </c>
      <c r="K340" t="s">
        <v>8796</v>
      </c>
      <c r="L340" t="s">
        <v>8797</v>
      </c>
      <c r="M340" s="42">
        <v>1.19</v>
      </c>
      <c r="N340" s="42">
        <v>0.6</v>
      </c>
      <c r="O340">
        <v>1.2</v>
      </c>
      <c r="P340" s="42">
        <v>1.258</v>
      </c>
      <c r="Q340">
        <v>1.14</v>
      </c>
      <c r="R340">
        <v>5000</v>
      </c>
      <c r="S340">
        <v>5000</v>
      </c>
      <c r="T340">
        <v>5000</v>
      </c>
      <c r="U340" t="s">
        <v>8653</v>
      </c>
      <c r="Z340" s="42">
        <v>0.01</v>
      </c>
      <c r="AA340" s="42">
        <v>0.35</v>
      </c>
      <c r="AB340">
        <v>0</v>
      </c>
    </row>
    <row r="341">
      <c r="A341" s="44" t="s">
        <v>8798</v>
      </c>
      <c r="B341" s="44" t="s">
        <v>8799</v>
      </c>
      <c r="C341" s="44" t="s">
        <v>8799</v>
      </c>
      <c r="D341" s="44" t="s">
        <v>8790</v>
      </c>
      <c r="E341" s="44" t="s">
        <v>8800</v>
      </c>
      <c r="F341" s="44" t="s">
        <v>6966</v>
      </c>
      <c r="G341" s="44" t="s">
        <v>8792</v>
      </c>
      <c r="H341" s="44" t="s">
        <v>8793</v>
      </c>
      <c r="I341" s="44" t="s">
        <v>8801</v>
      </c>
      <c r="J341" s="44" t="s">
        <v>8802</v>
      </c>
      <c r="K341" s="44" t="s">
        <v>8803</v>
      </c>
      <c r="L341" s="44" t="s">
        <v>8797</v>
      </c>
      <c r="M341" s="45">
        <v>0.563</v>
      </c>
      <c r="N341" s="45">
        <v>0.6</v>
      </c>
      <c r="O341" s="44">
        <v>0</v>
      </c>
      <c r="P341" s="45">
        <v>0.403395</v>
      </c>
      <c r="Q341" s="44">
        <v>0</v>
      </c>
      <c r="R341" s="44">
        <v>2000</v>
      </c>
      <c r="S341" s="44">
        <v>2000</v>
      </c>
      <c r="T341" s="44">
        <v>5000</v>
      </c>
      <c r="U341" s="44" t="s">
        <v>8653</v>
      </c>
      <c r="V341" s="44"/>
      <c r="W341" s="44"/>
      <c r="X341" s="44"/>
      <c r="Y341" s="44"/>
      <c r="Z341" s="45">
        <v>0.01</v>
      </c>
      <c r="AA341" s="45">
        <v>0.35</v>
      </c>
      <c r="AB341" s="44">
        <v>0</v>
      </c>
    </row>
    <row r="342">
      <c r="A342" t="s">
        <v>8804</v>
      </c>
      <c r="B342" t="s">
        <v>8805</v>
      </c>
      <c r="C342" t="s">
        <v>8805</v>
      </c>
      <c r="D342" t="s">
        <v>8806</v>
      </c>
      <c r="E342" t="s">
        <v>8807</v>
      </c>
      <c r="F342" t="s">
        <v>6966</v>
      </c>
      <c r="G342" t="s">
        <v>8792</v>
      </c>
      <c r="H342" t="s">
        <v>8808</v>
      </c>
      <c r="I342" t="s">
        <v>8809</v>
      </c>
      <c r="K342" t="s">
        <v>8810</v>
      </c>
      <c r="L342">
        <v>40</v>
      </c>
      <c r="M342" s="42">
        <v>1</v>
      </c>
      <c r="N342" s="42">
        <v>0.3</v>
      </c>
      <c r="O342">
        <v>1.5</v>
      </c>
      <c r="P342" s="42">
        <v>1.0772</v>
      </c>
      <c r="Q342">
        <v>1.24</v>
      </c>
      <c r="R342">
        <v>8000</v>
      </c>
      <c r="S342">
        <v>8000</v>
      </c>
      <c r="T342">
        <v>5000</v>
      </c>
      <c r="U342" t="s">
        <v>8653</v>
      </c>
      <c r="Z342" s="42">
        <v>0.01</v>
      </c>
      <c r="AA342" s="42">
        <v>0.35</v>
      </c>
      <c r="AB342">
        <v>0</v>
      </c>
    </row>
    <row r="343">
      <c r="A343" t="s">
        <v>8811</v>
      </c>
      <c r="B343" t="s">
        <v>8544</v>
      </c>
      <c r="C343" t="s">
        <v>8544</v>
      </c>
      <c r="D343" t="s">
        <v>7355</v>
      </c>
      <c r="E343" t="s">
        <v>8812</v>
      </c>
      <c r="F343" t="s">
        <v>6966</v>
      </c>
      <c r="G343" t="s">
        <v>8792</v>
      </c>
      <c r="H343" t="s">
        <v>8793</v>
      </c>
      <c r="I343" t="s">
        <v>8813</v>
      </c>
      <c r="J343" t="s">
        <v>8549</v>
      </c>
      <c r="K343" t="s">
        <v>8550</v>
      </c>
      <c r="L343">
        <v>40</v>
      </c>
      <c r="M343" s="42">
        <v>1.019833</v>
      </c>
      <c r="N343" s="42">
        <v>0.6</v>
      </c>
      <c r="O343">
        <v>1.2</v>
      </c>
      <c r="P343" s="42">
        <v>1.237275</v>
      </c>
      <c r="Q343">
        <v>1.14</v>
      </c>
      <c r="R343">
        <v>5000</v>
      </c>
      <c r="S343">
        <v>5000</v>
      </c>
      <c r="T343">
        <v>5000</v>
      </c>
      <c r="U343" t="s">
        <v>8653</v>
      </c>
      <c r="Z343" s="42">
        <v>0.01</v>
      </c>
      <c r="AA343" s="42">
        <v>0.35</v>
      </c>
      <c r="AB343">
        <v>0</v>
      </c>
    </row>
    <row r="344">
      <c r="A344" t="s">
        <v>8814</v>
      </c>
      <c r="B344" t="s">
        <v>8815</v>
      </c>
      <c r="C344" t="s">
        <v>8815</v>
      </c>
      <c r="D344" t="s">
        <v>8239</v>
      </c>
      <c r="E344" t="s">
        <v>8816</v>
      </c>
      <c r="F344" t="s">
        <v>6966</v>
      </c>
      <c r="G344" t="s">
        <v>8817</v>
      </c>
      <c r="H344" t="s">
        <v>8818</v>
      </c>
      <c r="I344" t="s">
        <v>8818</v>
      </c>
      <c r="J344" t="s">
        <v>8819</v>
      </c>
      <c r="K344" t="s">
        <v>8820</v>
      </c>
      <c r="L344">
        <v>40</v>
      </c>
      <c r="M344" s="42">
        <v>1.5</v>
      </c>
      <c r="N344" s="42">
        <v>0.7</v>
      </c>
      <c r="O344">
        <v>1.5</v>
      </c>
      <c r="P344" s="42">
        <v>1.449</v>
      </c>
      <c r="Q344">
        <v>1.17</v>
      </c>
      <c r="R344">
        <v>6080</v>
      </c>
      <c r="S344">
        <v>5520</v>
      </c>
      <c r="T344">
        <v>2000</v>
      </c>
      <c r="U344" t="s">
        <v>8653</v>
      </c>
      <c r="Z344" s="42">
        <v>0.01</v>
      </c>
      <c r="AA344" s="42">
        <v>0.35</v>
      </c>
      <c r="AB344">
        <v>0</v>
      </c>
    </row>
    <row r="345">
      <c r="A345" t="s">
        <v>8821</v>
      </c>
      <c r="B345" t="s">
        <v>8815</v>
      </c>
      <c r="C345" t="s">
        <v>8815</v>
      </c>
      <c r="D345" t="s">
        <v>7355</v>
      </c>
      <c r="E345" t="s">
        <v>8822</v>
      </c>
      <c r="F345" t="s">
        <v>6966</v>
      </c>
      <c r="G345" t="s">
        <v>8817</v>
      </c>
      <c r="H345" t="s">
        <v>8818</v>
      </c>
      <c r="I345" t="s">
        <v>8823</v>
      </c>
      <c r="J345" s="43">
        <v>3.3</v>
      </c>
      <c r="K345" s="42">
        <v>125842.7837</v>
      </c>
      <c r="L345">
        <v>40</v>
      </c>
      <c r="M345" s="42">
        <v>1.5</v>
      </c>
      <c r="N345" s="42">
        <v>0.63</v>
      </c>
      <c r="O345">
        <v>1.5</v>
      </c>
      <c r="P345" s="42">
        <v>1.045</v>
      </c>
      <c r="Q345">
        <v>1.05</v>
      </c>
      <c r="R345">
        <v>4862.5</v>
      </c>
      <c r="S345">
        <v>3262.5</v>
      </c>
      <c r="T345">
        <v>5000</v>
      </c>
      <c r="U345" t="s">
        <v>8653</v>
      </c>
      <c r="Z345" s="42">
        <v>0.01</v>
      </c>
      <c r="AA345" s="42">
        <v>0.35</v>
      </c>
      <c r="AB345">
        <v>0</v>
      </c>
    </row>
    <row r="346">
      <c r="A346" t="s">
        <v>8824</v>
      </c>
      <c r="B346" t="s">
        <v>8815</v>
      </c>
      <c r="C346" t="s">
        <v>8815</v>
      </c>
      <c r="D346" t="s">
        <v>7362</v>
      </c>
      <c r="E346" t="s">
        <v>8825</v>
      </c>
      <c r="F346" t="s">
        <v>6966</v>
      </c>
      <c r="G346" t="s">
        <v>8817</v>
      </c>
      <c r="H346" t="s">
        <v>8818</v>
      </c>
      <c r="I346" t="s">
        <v>8823</v>
      </c>
      <c r="J346" t="s">
        <v>8819</v>
      </c>
      <c r="K346" t="s">
        <v>8826</v>
      </c>
      <c r="L346">
        <v>40</v>
      </c>
      <c r="M346" s="42">
        <v>2.3414</v>
      </c>
      <c r="N346" s="42">
        <v>0.63</v>
      </c>
      <c r="O346">
        <v>1.5</v>
      </c>
      <c r="P346" s="42">
        <v>1.575082</v>
      </c>
      <c r="Q346">
        <v>1.05</v>
      </c>
      <c r="R346">
        <v>2470</v>
      </c>
      <c r="S346">
        <v>2190</v>
      </c>
      <c r="T346">
        <v>1500</v>
      </c>
      <c r="U346" t="s">
        <v>8653</v>
      </c>
      <c r="Z346" s="42">
        <v>0.01</v>
      </c>
      <c r="AA346" s="42">
        <v>0.35</v>
      </c>
      <c r="AB346">
        <v>0</v>
      </c>
    </row>
    <row r="347">
      <c r="A347" t="s">
        <v>8827</v>
      </c>
      <c r="B347" t="s">
        <v>8815</v>
      </c>
      <c r="C347" t="s">
        <v>8815</v>
      </c>
      <c r="D347" t="s">
        <v>7362</v>
      </c>
      <c r="E347" t="s">
        <v>8828</v>
      </c>
      <c r="F347" t="s">
        <v>6966</v>
      </c>
      <c r="G347" t="s">
        <v>8817</v>
      </c>
      <c r="H347" t="s">
        <v>8818</v>
      </c>
      <c r="I347" t="s">
        <v>8829</v>
      </c>
      <c r="J347" t="s">
        <v>8830</v>
      </c>
      <c r="K347" t="s">
        <v>8831</v>
      </c>
      <c r="L347">
        <v>40</v>
      </c>
      <c r="M347" s="42">
        <v>3.133545</v>
      </c>
      <c r="N347" s="42">
        <v>0.63</v>
      </c>
      <c r="O347">
        <v>1.5</v>
      </c>
      <c r="P347" s="42">
        <v>2.074133</v>
      </c>
      <c r="Q347">
        <v>0.96</v>
      </c>
      <c r="R347">
        <v>950</v>
      </c>
      <c r="S347">
        <v>950</v>
      </c>
      <c r="T347">
        <v>1500</v>
      </c>
      <c r="U347" t="s">
        <v>8653</v>
      </c>
      <c r="Z347" s="42">
        <v>0.01</v>
      </c>
      <c r="AA347" s="42">
        <v>0.35</v>
      </c>
      <c r="AB347">
        <v>0</v>
      </c>
    </row>
    <row r="348">
      <c r="A348" t="s">
        <v>8832</v>
      </c>
      <c r="B348" t="s">
        <v>8815</v>
      </c>
      <c r="C348" t="s">
        <v>8815</v>
      </c>
      <c r="D348" t="s">
        <v>7000</v>
      </c>
      <c r="E348" t="s">
        <v>8833</v>
      </c>
      <c r="F348" t="s">
        <v>6966</v>
      </c>
      <c r="G348" t="s">
        <v>8817</v>
      </c>
      <c r="H348" t="s">
        <v>8818</v>
      </c>
      <c r="I348" t="s">
        <v>8834</v>
      </c>
      <c r="J348" s="43">
        <v>1</v>
      </c>
      <c r="K348" t="s">
        <v>8835</v>
      </c>
      <c r="L348">
        <v>40</v>
      </c>
      <c r="M348" s="42">
        <v>9.8405</v>
      </c>
      <c r="N348" s="42">
        <v>0.63</v>
      </c>
      <c r="O348">
        <v>1.5</v>
      </c>
      <c r="P348" s="42">
        <v>6.389425</v>
      </c>
      <c r="Q348">
        <v>1.14</v>
      </c>
      <c r="R348">
        <v>2280</v>
      </c>
      <c r="S348">
        <v>2280</v>
      </c>
      <c r="T348">
        <v>6000</v>
      </c>
      <c r="U348" t="s">
        <v>8653</v>
      </c>
      <c r="Z348" s="42">
        <v>0.01</v>
      </c>
      <c r="AA348" s="42">
        <v>0.35</v>
      </c>
      <c r="AB348">
        <v>0</v>
      </c>
    </row>
    <row r="349">
      <c r="A349" t="s">
        <v>8836</v>
      </c>
      <c r="B349" t="s">
        <v>8815</v>
      </c>
      <c r="C349" t="s">
        <v>8815</v>
      </c>
      <c r="D349" t="s">
        <v>7362</v>
      </c>
      <c r="E349" t="s">
        <v>8837</v>
      </c>
      <c r="F349" t="s">
        <v>6966</v>
      </c>
      <c r="G349" t="s">
        <v>8817</v>
      </c>
      <c r="H349" t="s">
        <v>8818</v>
      </c>
      <c r="I349" t="s">
        <v>8838</v>
      </c>
      <c r="J349" t="s">
        <v>8839</v>
      </c>
      <c r="K349" t="s">
        <v>8840</v>
      </c>
      <c r="L349" t="s">
        <v>8841</v>
      </c>
      <c r="M349" s="42">
        <v>1</v>
      </c>
      <c r="N349" s="42">
        <v>0.7</v>
      </c>
      <c r="O349">
        <v>1</v>
      </c>
      <c r="P349" s="42">
        <v>0.7</v>
      </c>
      <c r="Q349">
        <v>70</v>
      </c>
      <c r="R349">
        <v>1050</v>
      </c>
      <c r="S349">
        <v>1050</v>
      </c>
      <c r="T349">
        <v>1500</v>
      </c>
      <c r="U349" t="s">
        <v>8653</v>
      </c>
      <c r="Z349" s="42">
        <v>0.01</v>
      </c>
      <c r="AA349" s="42">
        <v>0.35</v>
      </c>
      <c r="AB349">
        <v>0</v>
      </c>
    </row>
    <row r="350">
      <c r="A350" t="s">
        <v>8842</v>
      </c>
      <c r="B350" t="s">
        <v>8815</v>
      </c>
      <c r="C350" t="s">
        <v>8815</v>
      </c>
      <c r="D350" t="s">
        <v>7362</v>
      </c>
      <c r="E350" t="s">
        <v>8843</v>
      </c>
      <c r="F350" t="s">
        <v>6966</v>
      </c>
      <c r="G350" t="s">
        <v>8817</v>
      </c>
      <c r="H350" t="s">
        <v>8818</v>
      </c>
      <c r="I350" t="s">
        <v>8844</v>
      </c>
      <c r="J350" s="43">
        <v>1</v>
      </c>
      <c r="K350" t="s">
        <v>8845</v>
      </c>
      <c r="L350" t="s">
        <v>8841</v>
      </c>
      <c r="M350" s="42">
        <v>0.57</v>
      </c>
      <c r="N350" s="42">
        <v>0.63</v>
      </c>
      <c r="O350">
        <v>0.456</v>
      </c>
      <c r="P350" s="42">
        <v>0.4591</v>
      </c>
      <c r="Q350">
        <v>0.39</v>
      </c>
      <c r="R350">
        <v>380</v>
      </c>
      <c r="S350">
        <v>20</v>
      </c>
      <c r="T350">
        <v>1500</v>
      </c>
      <c r="U350" t="s">
        <v>8653</v>
      </c>
      <c r="Z350" s="42">
        <v>0.01</v>
      </c>
      <c r="AA350" s="42">
        <v>0.35</v>
      </c>
      <c r="AB350">
        <v>0</v>
      </c>
    </row>
    <row r="351">
      <c r="A351" t="s">
        <v>8846</v>
      </c>
      <c r="B351" t="s">
        <v>8815</v>
      </c>
      <c r="C351" t="s">
        <v>8815</v>
      </c>
      <c r="D351" t="s">
        <v>7355</v>
      </c>
      <c r="E351" t="s">
        <v>8847</v>
      </c>
      <c r="F351" t="s">
        <v>6966</v>
      </c>
      <c r="G351" t="s">
        <v>8817</v>
      </c>
      <c r="H351" t="s">
        <v>8848</v>
      </c>
      <c r="I351" t="s">
        <v>8849</v>
      </c>
      <c r="J351" t="s">
        <v>8850</v>
      </c>
      <c r="K351" t="s">
        <v>8851</v>
      </c>
      <c r="L351" t="s">
        <v>8841</v>
      </c>
      <c r="M351" s="42">
        <v>0.66</v>
      </c>
      <c r="N351" s="42">
        <v>0.27</v>
      </c>
      <c r="O351">
        <v>0.66</v>
      </c>
      <c r="P351" s="42">
        <v>1.2232</v>
      </c>
      <c r="Q351">
        <v>1.13</v>
      </c>
      <c r="R351">
        <v>0</v>
      </c>
      <c r="S351">
        <v>0</v>
      </c>
      <c r="T351">
        <v>5000</v>
      </c>
      <c r="U351" t="s">
        <v>8653</v>
      </c>
      <c r="Z351" s="42">
        <v>0.01</v>
      </c>
      <c r="AA351" s="42">
        <v>0.35</v>
      </c>
      <c r="AB351">
        <v>0</v>
      </c>
    </row>
    <row r="352">
      <c r="A352" t="s">
        <v>8852</v>
      </c>
      <c r="B352" t="s">
        <v>8815</v>
      </c>
      <c r="C352" t="s">
        <v>8815</v>
      </c>
      <c r="D352" t="s">
        <v>7362</v>
      </c>
      <c r="E352" t="s">
        <v>8853</v>
      </c>
      <c r="F352" t="s">
        <v>6966</v>
      </c>
      <c r="G352" t="s">
        <v>8817</v>
      </c>
      <c r="H352" t="s">
        <v>8818</v>
      </c>
      <c r="I352" t="s">
        <v>8818</v>
      </c>
      <c r="J352" t="s">
        <v>8830</v>
      </c>
      <c r="K352" t="s">
        <v>8854</v>
      </c>
      <c r="L352" t="s">
        <v>8841</v>
      </c>
      <c r="M352" s="42">
        <v>0.48</v>
      </c>
      <c r="N352" s="42">
        <v>0.7</v>
      </c>
      <c r="O352">
        <v>0.3855</v>
      </c>
      <c r="P352" s="42">
        <v>0.336</v>
      </c>
      <c r="Q352">
        <v>0.27</v>
      </c>
      <c r="R352">
        <v>0</v>
      </c>
      <c r="S352">
        <v>0</v>
      </c>
      <c r="T352">
        <v>1500</v>
      </c>
      <c r="U352" t="s">
        <v>8653</v>
      </c>
      <c r="Z352" s="42">
        <v>0.01</v>
      </c>
      <c r="AA352" s="42">
        <v>0.35</v>
      </c>
      <c r="AB352">
        <v>0</v>
      </c>
    </row>
    <row r="353">
      <c r="A353" t="s">
        <v>8855</v>
      </c>
      <c r="B353" t="s">
        <v>8815</v>
      </c>
      <c r="C353" t="s">
        <v>8815</v>
      </c>
      <c r="D353" t="s">
        <v>7355</v>
      </c>
      <c r="E353" t="s">
        <v>8856</v>
      </c>
      <c r="F353" t="s">
        <v>6966</v>
      </c>
      <c r="G353" t="s">
        <v>8817</v>
      </c>
      <c r="H353" t="s">
        <v>8818</v>
      </c>
      <c r="I353" t="s">
        <v>8857</v>
      </c>
      <c r="J353" t="s">
        <v>8830</v>
      </c>
      <c r="K353" t="s">
        <v>8858</v>
      </c>
      <c r="L353" t="s">
        <v>8841</v>
      </c>
      <c r="M353" s="42">
        <v>0.853</v>
      </c>
      <c r="N353" s="42">
        <v>0.7</v>
      </c>
      <c r="O353">
        <v>0.853</v>
      </c>
      <c r="P353" s="42">
        <v>0.5971</v>
      </c>
      <c r="Q353">
        <v>0.6</v>
      </c>
      <c r="R353">
        <v>0</v>
      </c>
      <c r="S353">
        <v>0</v>
      </c>
      <c r="T353">
        <v>5000</v>
      </c>
      <c r="U353" t="s">
        <v>8653</v>
      </c>
      <c r="Z353" s="42">
        <v>0.01</v>
      </c>
      <c r="AA353" s="42">
        <v>0.35</v>
      </c>
      <c r="AB353">
        <v>0</v>
      </c>
    </row>
    <row r="354">
      <c r="A354" t="s">
        <v>8859</v>
      </c>
      <c r="B354" t="s">
        <v>8815</v>
      </c>
      <c r="C354" t="s">
        <v>8815</v>
      </c>
      <c r="D354" t="s">
        <v>7362</v>
      </c>
      <c r="E354" t="s">
        <v>8860</v>
      </c>
      <c r="F354" t="s">
        <v>6966</v>
      </c>
      <c r="G354" t="s">
        <v>8861</v>
      </c>
      <c r="H354" t="s">
        <v>8862</v>
      </c>
      <c r="I354" t="s">
        <v>8863</v>
      </c>
      <c r="J354" t="s">
        <v>8864</v>
      </c>
      <c r="K354" t="s">
        <v>8865</v>
      </c>
      <c r="L354" t="s">
        <v>8866</v>
      </c>
      <c r="M354" s="42">
        <v>0.167513</v>
      </c>
      <c r="N354" s="42">
        <v>0.3</v>
      </c>
      <c r="O354">
        <v>0.134</v>
      </c>
      <c r="P354" s="42">
        <v>0.490204</v>
      </c>
      <c r="Q354">
        <v>0.42</v>
      </c>
      <c r="R354">
        <v>816</v>
      </c>
      <c r="S354">
        <v>816</v>
      </c>
      <c r="T354">
        <v>1500</v>
      </c>
      <c r="U354" t="s">
        <v>8653</v>
      </c>
      <c r="Z354" s="42">
        <v>0.01</v>
      </c>
      <c r="AA354" s="42">
        <v>0.35</v>
      </c>
      <c r="AB354">
        <v>0</v>
      </c>
    </row>
    <row r="355">
      <c r="A355" t="s">
        <v>8867</v>
      </c>
      <c r="B355" t="s">
        <v>8815</v>
      </c>
      <c r="C355" t="s">
        <v>8815</v>
      </c>
      <c r="D355" t="s">
        <v>8661</v>
      </c>
      <c r="E355" t="s">
        <v>8868</v>
      </c>
      <c r="F355" t="s">
        <v>6966</v>
      </c>
      <c r="G355" t="s">
        <v>8861</v>
      </c>
      <c r="H355" t="s">
        <v>8862</v>
      </c>
      <c r="I355" t="s">
        <v>8863</v>
      </c>
      <c r="J355" t="s">
        <v>8864</v>
      </c>
      <c r="K355" t="s">
        <v>8869</v>
      </c>
      <c r="L355" t="s">
        <v>8870</v>
      </c>
      <c r="M355" s="42">
        <v>0.047</v>
      </c>
      <c r="N355" s="42">
        <v>0.3</v>
      </c>
      <c r="O355">
        <v>0.0038</v>
      </c>
      <c r="P355" s="42">
        <v>0.56422</v>
      </c>
      <c r="Q355">
        <v>0.54</v>
      </c>
      <c r="R355">
        <v>0</v>
      </c>
      <c r="S355">
        <v>0</v>
      </c>
      <c r="T355">
        <v>0</v>
      </c>
      <c r="U355" t="s">
        <v>8653</v>
      </c>
      <c r="Z355" s="42">
        <v>0.01</v>
      </c>
      <c r="AA355" s="42">
        <v>0.35</v>
      </c>
      <c r="AB355">
        <v>0</v>
      </c>
    </row>
    <row r="356">
      <c r="A356" t="s">
        <v>8871</v>
      </c>
      <c r="B356" t="s">
        <v>8815</v>
      </c>
      <c r="C356" t="s">
        <v>8815</v>
      </c>
      <c r="D356" t="s">
        <v>7362</v>
      </c>
      <c r="E356" t="s">
        <v>8872</v>
      </c>
      <c r="F356" t="s">
        <v>6966</v>
      </c>
      <c r="G356" t="s">
        <v>8861</v>
      </c>
      <c r="H356" t="s">
        <v>8862</v>
      </c>
      <c r="I356" t="s">
        <v>8873</v>
      </c>
      <c r="J356" t="s">
        <v>8864</v>
      </c>
      <c r="K356" t="s">
        <v>8874</v>
      </c>
      <c r="L356" t="s">
        <v>8875</v>
      </c>
      <c r="M356" s="42">
        <v>0</v>
      </c>
      <c r="N356" s="42">
        <v>0.3</v>
      </c>
      <c r="O356">
        <v>0</v>
      </c>
      <c r="P356" s="42">
        <v>0.5158</v>
      </c>
      <c r="Q356">
        <v>0.5</v>
      </c>
      <c r="R356">
        <v>1184</v>
      </c>
      <c r="S356">
        <v>1184</v>
      </c>
      <c r="T356">
        <v>1500</v>
      </c>
      <c r="U356" t="s">
        <v>8653</v>
      </c>
      <c r="Z356" s="42">
        <v>0.01</v>
      </c>
      <c r="AA356" s="42">
        <v>0.35</v>
      </c>
      <c r="AB356">
        <v>0</v>
      </c>
    </row>
    <row r="357">
      <c r="A357" t="s">
        <v>8876</v>
      </c>
      <c r="B357" t="s">
        <v>8877</v>
      </c>
      <c r="C357" t="s">
        <v>8877</v>
      </c>
      <c r="D357" t="s">
        <v>7000</v>
      </c>
      <c r="E357" t="s">
        <v>8878</v>
      </c>
      <c r="F357" t="s">
        <v>6966</v>
      </c>
      <c r="G357" t="s">
        <v>8738</v>
      </c>
      <c r="H357" t="s">
        <v>8739</v>
      </c>
      <c r="J357" t="s">
        <v>8879</v>
      </c>
      <c r="K357" t="s">
        <v>8880</v>
      </c>
      <c r="L357" t="s">
        <v>8875</v>
      </c>
      <c r="M357" s="42">
        <v>0.8844</v>
      </c>
      <c r="N357" s="42">
        <v>0.15</v>
      </c>
      <c r="O357">
        <v>0.8844</v>
      </c>
      <c r="P357" s="42">
        <v>0.78466</v>
      </c>
      <c r="Q357">
        <v>0.66</v>
      </c>
      <c r="R357">
        <v>6000</v>
      </c>
      <c r="S357">
        <v>6000</v>
      </c>
      <c r="T357">
        <v>5000</v>
      </c>
      <c r="U357" t="s">
        <v>8653</v>
      </c>
      <c r="Z357" s="42">
        <v>0.01</v>
      </c>
      <c r="AA357" s="42">
        <v>0.35</v>
      </c>
      <c r="AB357">
        <v>0</v>
      </c>
    </row>
    <row r="358">
      <c r="A358" t="s">
        <v>8881</v>
      </c>
      <c r="B358" t="s">
        <v>8877</v>
      </c>
      <c r="C358" t="s">
        <v>8877</v>
      </c>
      <c r="D358" t="s">
        <v>7000</v>
      </c>
      <c r="E358" t="s">
        <v>8882</v>
      </c>
      <c r="F358" t="s">
        <v>6966</v>
      </c>
      <c r="G358" t="s">
        <v>8738</v>
      </c>
      <c r="H358" t="s">
        <v>8739</v>
      </c>
      <c r="I358" t="s">
        <v>8883</v>
      </c>
      <c r="J358" t="s">
        <v>7682</v>
      </c>
      <c r="K358" t="s">
        <v>8884</v>
      </c>
      <c r="L358" t="s">
        <v>8885</v>
      </c>
      <c r="M358" s="42">
        <v>1.130429</v>
      </c>
      <c r="N358" s="42">
        <v>0.075</v>
      </c>
      <c r="O358">
        <v>1.2</v>
      </c>
      <c r="P358" s="42">
        <v>0.951444</v>
      </c>
      <c r="Q358">
        <v>0.87</v>
      </c>
      <c r="R358">
        <v>8000</v>
      </c>
      <c r="S358">
        <v>8000</v>
      </c>
      <c r="T358">
        <v>5000</v>
      </c>
      <c r="U358" t="s">
        <v>8653</v>
      </c>
      <c r="Z358" s="42">
        <v>0.01</v>
      </c>
      <c r="AA358" s="42">
        <v>0.35</v>
      </c>
      <c r="AB358">
        <v>0</v>
      </c>
    </row>
    <row r="359">
      <c r="A359" t="s">
        <v>8886</v>
      </c>
      <c r="B359" t="s">
        <v>8877</v>
      </c>
      <c r="C359" t="s">
        <v>8877</v>
      </c>
      <c r="D359" t="s">
        <v>7000</v>
      </c>
      <c r="E359" t="s">
        <v>8887</v>
      </c>
      <c r="F359" t="s">
        <v>6966</v>
      </c>
      <c r="G359" t="s">
        <v>8738</v>
      </c>
      <c r="H359" t="s">
        <v>8739</v>
      </c>
      <c r="I359" t="s">
        <v>8888</v>
      </c>
      <c r="J359" t="s">
        <v>7348</v>
      </c>
      <c r="K359" t="s">
        <v>8889</v>
      </c>
      <c r="L359" t="s">
        <v>8890</v>
      </c>
      <c r="M359" s="42">
        <v>0.4815</v>
      </c>
      <c r="N359" s="42">
        <v>0.3</v>
      </c>
      <c r="O359">
        <v>0.3852</v>
      </c>
      <c r="P359" s="42">
        <v>0.590544</v>
      </c>
      <c r="Q359">
        <v>0.49</v>
      </c>
      <c r="R359">
        <v>4000</v>
      </c>
      <c r="S359">
        <v>4000</v>
      </c>
      <c r="T359">
        <v>5000</v>
      </c>
      <c r="U359" t="s">
        <v>8653</v>
      </c>
      <c r="Z359" s="42">
        <v>0.01</v>
      </c>
      <c r="AA359" s="42">
        <v>0.35</v>
      </c>
      <c r="AB359">
        <v>0</v>
      </c>
    </row>
    <row r="360">
      <c r="A360" t="s">
        <v>8891</v>
      </c>
      <c r="B360" t="s">
        <v>8877</v>
      </c>
      <c r="C360" t="s">
        <v>8877</v>
      </c>
      <c r="D360" t="s">
        <v>8213</v>
      </c>
      <c r="E360" t="s">
        <v>8892</v>
      </c>
      <c r="F360" t="s">
        <v>6966</v>
      </c>
      <c r="G360" t="s">
        <v>8738</v>
      </c>
      <c r="H360" t="s">
        <v>8739</v>
      </c>
      <c r="I360" t="s">
        <v>8893</v>
      </c>
      <c r="J360" t="s">
        <v>8879</v>
      </c>
      <c r="K360" t="s">
        <v>8880</v>
      </c>
      <c r="L360" t="s">
        <v>8894</v>
      </c>
      <c r="M360" s="42">
        <v>0.88436</v>
      </c>
      <c r="N360" s="42">
        <v>0.15</v>
      </c>
      <c r="O360">
        <v>0.8844</v>
      </c>
      <c r="P360" s="42">
        <v>0.587133</v>
      </c>
      <c r="Q360">
        <v>0.42</v>
      </c>
      <c r="R360">
        <v>2000</v>
      </c>
      <c r="S360">
        <v>2000</v>
      </c>
      <c r="T360">
        <v>5000</v>
      </c>
      <c r="U360" t="s">
        <v>8653</v>
      </c>
      <c r="Z360" s="42">
        <v>0.01</v>
      </c>
      <c r="AA360" s="42">
        <v>0.35</v>
      </c>
      <c r="AB360">
        <v>0</v>
      </c>
    </row>
    <row r="361">
      <c r="A361" t="s">
        <v>8895</v>
      </c>
      <c r="B361" t="s">
        <v>7060</v>
      </c>
      <c r="C361" t="s">
        <v>7060</v>
      </c>
      <c r="D361" t="s">
        <v>8438</v>
      </c>
      <c r="E361" t="s">
        <v>8896</v>
      </c>
      <c r="F361" t="s">
        <v>6966</v>
      </c>
      <c r="G361" t="s">
        <v>8897</v>
      </c>
      <c r="H361" t="s">
        <v>8898</v>
      </c>
      <c r="I361" t="s">
        <v>8899</v>
      </c>
      <c r="J361" s="43">
        <v>1</v>
      </c>
      <c r="K361" t="s">
        <v>8900</v>
      </c>
      <c r="L361" t="s">
        <v>8894</v>
      </c>
      <c r="M361" s="42">
        <v>1.2</v>
      </c>
      <c r="N361" s="42">
        <v>0.4</v>
      </c>
      <c r="O361">
        <v>1.2</v>
      </c>
      <c r="P361" s="42">
        <v>1.2</v>
      </c>
      <c r="Q361">
        <v>1.2</v>
      </c>
      <c r="R361">
        <v>6000</v>
      </c>
      <c r="S361">
        <v>6000</v>
      </c>
      <c r="T361">
        <v>5000</v>
      </c>
      <c r="U361" t="s">
        <v>8653</v>
      </c>
      <c r="Z361" s="42">
        <v>0.01</v>
      </c>
      <c r="AA361" s="42">
        <v>0.35</v>
      </c>
      <c r="AB361">
        <v>0</v>
      </c>
    </row>
    <row r="362">
      <c r="A362" t="s">
        <v>8901</v>
      </c>
      <c r="B362" t="s">
        <v>8902</v>
      </c>
      <c r="C362" t="s">
        <v>8902</v>
      </c>
      <c r="D362" t="s">
        <v>7288</v>
      </c>
      <c r="E362" t="s">
        <v>8903</v>
      </c>
      <c r="F362" t="s">
        <v>6966</v>
      </c>
      <c r="G362" t="s">
        <v>8904</v>
      </c>
      <c r="H362" t="s">
        <v>8905</v>
      </c>
      <c r="I362" t="s">
        <v>8906</v>
      </c>
      <c r="J362" s="43">
        <v>1</v>
      </c>
      <c r="L362" t="s">
        <v>8907</v>
      </c>
      <c r="M362" s="42">
        <v>1</v>
      </c>
      <c r="N362" s="42">
        <v>0.2</v>
      </c>
      <c r="O362">
        <v>1</v>
      </c>
      <c r="P362" s="42">
        <v>1</v>
      </c>
      <c r="Q362">
        <v>1</v>
      </c>
      <c r="R362">
        <v>1000</v>
      </c>
      <c r="S362">
        <v>1000</v>
      </c>
      <c r="T362">
        <v>1000</v>
      </c>
      <c r="U362" t="s">
        <v>8653</v>
      </c>
      <c r="Z362" s="42">
        <v>0.01</v>
      </c>
      <c r="AA362" s="42">
        <v>0.35</v>
      </c>
      <c r="AB362">
        <v>0</v>
      </c>
    </row>
    <row r="363">
      <c r="A363" t="s">
        <v>8908</v>
      </c>
      <c r="B363" t="s">
        <v>8525</v>
      </c>
      <c r="C363" t="s">
        <v>8525</v>
      </c>
      <c r="D363" t="s">
        <v>7477</v>
      </c>
      <c r="E363" t="s">
        <v>8909</v>
      </c>
      <c r="F363" t="s">
        <v>6966</v>
      </c>
      <c r="G363" t="s">
        <v>8910</v>
      </c>
      <c r="H363" t="s">
        <v>8911</v>
      </c>
      <c r="I363" t="s">
        <v>8912</v>
      </c>
      <c r="J363" t="s">
        <v>7811</v>
      </c>
      <c r="K363" t="s">
        <v>8913</v>
      </c>
      <c r="L363" t="s">
        <v>8914</v>
      </c>
      <c r="M363" s="42">
        <v>0.7978</v>
      </c>
      <c r="N363" s="42">
        <v>0.4</v>
      </c>
      <c r="O363">
        <v>0.8377</v>
      </c>
      <c r="P363" s="42">
        <v>0.71912</v>
      </c>
      <c r="Q363">
        <v>0.8</v>
      </c>
      <c r="R363">
        <v>2280</v>
      </c>
      <c r="S363">
        <v>2480</v>
      </c>
      <c r="T363">
        <v>3000</v>
      </c>
      <c r="U363" t="s">
        <v>8653</v>
      </c>
      <c r="Z363" s="42">
        <v>0.01</v>
      </c>
      <c r="AA363" s="42">
        <v>0.35</v>
      </c>
      <c r="AB363">
        <v>0</v>
      </c>
    </row>
    <row r="364">
      <c r="A364" t="s">
        <v>8915</v>
      </c>
      <c r="B364" t="s">
        <v>8805</v>
      </c>
      <c r="C364" t="s">
        <v>8805</v>
      </c>
      <c r="D364" t="s">
        <v>7000</v>
      </c>
      <c r="E364" t="s">
        <v>8916</v>
      </c>
      <c r="F364" t="s">
        <v>6966</v>
      </c>
      <c r="G364" t="s">
        <v>8917</v>
      </c>
      <c r="H364" t="s">
        <v>8918</v>
      </c>
      <c r="I364" t="s">
        <v>8919</v>
      </c>
      <c r="L364" t="s">
        <v>8920</v>
      </c>
      <c r="M364" s="42">
        <v>1</v>
      </c>
      <c r="N364" s="42">
        <v>0.6</v>
      </c>
      <c r="O364">
        <v>1</v>
      </c>
      <c r="P364" s="42">
        <v>1</v>
      </c>
      <c r="Q364">
        <v>1</v>
      </c>
      <c r="R364">
        <v>6000</v>
      </c>
      <c r="S364">
        <v>6000</v>
      </c>
      <c r="T364">
        <v>6000</v>
      </c>
      <c r="U364" t="s">
        <v>8653</v>
      </c>
      <c r="Z364" s="42">
        <v>0.01</v>
      </c>
      <c r="AA364" s="42">
        <v>0.35</v>
      </c>
      <c r="AB364">
        <v>0</v>
      </c>
    </row>
    <row r="365">
      <c r="A365" t="s">
        <v>8921</v>
      </c>
      <c r="B365" t="s">
        <v>8805</v>
      </c>
      <c r="C365" t="s">
        <v>8805</v>
      </c>
      <c r="D365" t="s">
        <v>7000</v>
      </c>
      <c r="E365" t="s">
        <v>8922</v>
      </c>
      <c r="F365" t="s">
        <v>6966</v>
      </c>
      <c r="G365" t="s">
        <v>8917</v>
      </c>
      <c r="H365" t="s">
        <v>8923</v>
      </c>
      <c r="I365" t="s">
        <v>8924</v>
      </c>
      <c r="J365" t="s">
        <v>7391</v>
      </c>
      <c r="K365" t="s">
        <v>8925</v>
      </c>
      <c r="L365" t="s">
        <v>8926</v>
      </c>
      <c r="M365" s="42">
        <v>1.5</v>
      </c>
      <c r="N365" s="42">
        <v>0.5</v>
      </c>
      <c r="O365">
        <v>1.5</v>
      </c>
      <c r="P365" s="42">
        <v>0.91012</v>
      </c>
      <c r="Q365">
        <v>0.91</v>
      </c>
      <c r="R365">
        <v>5460</v>
      </c>
      <c r="S365">
        <v>5460</v>
      </c>
      <c r="T365">
        <v>6000</v>
      </c>
      <c r="U365" t="s">
        <v>8653</v>
      </c>
      <c r="Z365" s="42">
        <v>0.01</v>
      </c>
      <c r="AA365" s="42">
        <v>0.35</v>
      </c>
      <c r="AB365">
        <v>0</v>
      </c>
    </row>
    <row r="366">
      <c r="A366" t="s">
        <v>8927</v>
      </c>
      <c r="B366" t="s">
        <v>8805</v>
      </c>
      <c r="C366" t="s">
        <v>8805</v>
      </c>
      <c r="D366" t="s">
        <v>7000</v>
      </c>
      <c r="E366" t="s">
        <v>8928</v>
      </c>
      <c r="F366" t="s">
        <v>6966</v>
      </c>
      <c r="G366" t="s">
        <v>8917</v>
      </c>
      <c r="H366" t="s">
        <v>8929</v>
      </c>
      <c r="I366" t="s">
        <v>8930</v>
      </c>
      <c r="L366" t="s">
        <v>8931</v>
      </c>
      <c r="M366" s="42">
        <v>1</v>
      </c>
      <c r="N366" s="42">
        <v>0.1</v>
      </c>
      <c r="O366">
        <v>1</v>
      </c>
      <c r="P366" s="42">
        <v>0.493</v>
      </c>
      <c r="Q366">
        <v>0.49</v>
      </c>
      <c r="R366">
        <v>0</v>
      </c>
      <c r="S366">
        <v>0</v>
      </c>
      <c r="T366">
        <v>6000</v>
      </c>
      <c r="U366" t="s">
        <v>8653</v>
      </c>
      <c r="Z366" s="42">
        <v>0.01</v>
      </c>
      <c r="AA366" s="42">
        <v>0.35</v>
      </c>
      <c r="AB366">
        <v>0</v>
      </c>
    </row>
    <row r="367">
      <c r="A367" t="s">
        <v>8932</v>
      </c>
      <c r="B367" t="s">
        <v>8805</v>
      </c>
      <c r="C367" t="s">
        <v>8805</v>
      </c>
      <c r="D367" t="s">
        <v>8309</v>
      </c>
      <c r="E367" t="s">
        <v>8933</v>
      </c>
      <c r="F367" t="s">
        <v>6966</v>
      </c>
      <c r="G367" t="s">
        <v>8917</v>
      </c>
      <c r="H367" t="s">
        <v>8934</v>
      </c>
      <c r="I367" t="s">
        <v>8935</v>
      </c>
      <c r="J367" t="s">
        <v>8936</v>
      </c>
      <c r="K367" t="s">
        <v>8937</v>
      </c>
      <c r="M367" s="42">
        <v>1.8045</v>
      </c>
      <c r="N367" s="42">
        <v>0.4</v>
      </c>
      <c r="O367">
        <v>1.5</v>
      </c>
      <c r="P367" s="42">
        <v>1.39165</v>
      </c>
      <c r="Q367">
        <v>1.27</v>
      </c>
      <c r="R367">
        <v>3810</v>
      </c>
      <c r="S367">
        <v>3810</v>
      </c>
      <c r="T367">
        <v>3000</v>
      </c>
      <c r="U367" t="s">
        <v>8653</v>
      </c>
      <c r="Z367" s="42">
        <v>0.01</v>
      </c>
      <c r="AA367" s="42">
        <v>0.35</v>
      </c>
      <c r="AB367">
        <v>0</v>
      </c>
    </row>
    <row r="368">
      <c r="A368" t="s">
        <v>8938</v>
      </c>
      <c r="B368" t="s">
        <v>8805</v>
      </c>
      <c r="C368" t="s">
        <v>8805</v>
      </c>
      <c r="D368" t="s">
        <v>8939</v>
      </c>
      <c r="E368" t="s">
        <v>8940</v>
      </c>
      <c r="F368" t="s">
        <v>6966</v>
      </c>
      <c r="G368" t="s">
        <v>8941</v>
      </c>
      <c r="H368" t="s">
        <v>8942</v>
      </c>
      <c r="I368" t="s">
        <v>8943</v>
      </c>
      <c r="L368" t="s">
        <v>8944</v>
      </c>
      <c r="M368" s="42">
        <v>0.3</v>
      </c>
      <c r="N368" s="42">
        <v>0.3</v>
      </c>
      <c r="O368">
        <v>1</v>
      </c>
      <c r="P368" s="42">
        <v>0.28</v>
      </c>
      <c r="Q368">
        <v>1</v>
      </c>
      <c r="R368">
        <v>2000</v>
      </c>
      <c r="S368">
        <v>2000</v>
      </c>
      <c r="T368">
        <v>2000</v>
      </c>
      <c r="U368" t="s">
        <v>8653</v>
      </c>
      <c r="Z368" s="42">
        <v>0.01</v>
      </c>
      <c r="AA368" s="42">
        <v>0.35</v>
      </c>
      <c r="AB368">
        <v>0</v>
      </c>
    </row>
    <row r="369">
      <c r="A369" t="s">
        <v>8945</v>
      </c>
      <c r="B369" t="s">
        <v>8638</v>
      </c>
      <c r="C369" t="s">
        <v>8638</v>
      </c>
      <c r="D369" t="s">
        <v>7000</v>
      </c>
      <c r="E369" t="s">
        <v>8946</v>
      </c>
      <c r="F369" t="s">
        <v>6966</v>
      </c>
      <c r="G369" t="s">
        <v>8947</v>
      </c>
      <c r="H369" t="s">
        <v>8948</v>
      </c>
      <c r="I369" t="s">
        <v>8949</v>
      </c>
      <c r="K369">
        <v>1</v>
      </c>
      <c r="L369" t="s">
        <v>8950</v>
      </c>
      <c r="M369" s="42">
        <v>1</v>
      </c>
      <c r="N369" s="42">
        <v>0.1</v>
      </c>
      <c r="O369">
        <v>1</v>
      </c>
      <c r="P369" s="42">
        <v>0.93</v>
      </c>
      <c r="Q369">
        <v>0.93</v>
      </c>
      <c r="R369">
        <v>4130.43</v>
      </c>
      <c r="S369">
        <v>4130.43</v>
      </c>
      <c r="T369">
        <v>5000</v>
      </c>
      <c r="U369" t="s">
        <v>8653</v>
      </c>
      <c r="Z369" s="42">
        <v>0.01</v>
      </c>
      <c r="AA369" s="42">
        <v>0.35</v>
      </c>
      <c r="AB369">
        <v>0</v>
      </c>
    </row>
    <row r="370">
      <c r="A370" t="s">
        <v>8951</v>
      </c>
      <c r="B370" t="s">
        <v>8638</v>
      </c>
      <c r="C370" t="s">
        <v>8638</v>
      </c>
      <c r="D370" t="s">
        <v>8952</v>
      </c>
      <c r="E370" t="s">
        <v>8953</v>
      </c>
      <c r="F370" t="s">
        <v>6966</v>
      </c>
      <c r="G370" t="s">
        <v>8947</v>
      </c>
      <c r="H370" t="s">
        <v>8948</v>
      </c>
      <c r="I370" t="s">
        <v>8949</v>
      </c>
      <c r="K370">
        <v>1</v>
      </c>
      <c r="M370" s="42">
        <v>1</v>
      </c>
      <c r="N370" s="42">
        <v>0.1</v>
      </c>
      <c r="O370">
        <v>1</v>
      </c>
      <c r="P370" s="42">
        <v>0.98</v>
      </c>
      <c r="Q370">
        <v>0.98</v>
      </c>
      <c r="R370">
        <v>3717.39</v>
      </c>
      <c r="S370">
        <v>3717.39</v>
      </c>
      <c r="T370">
        <v>3000</v>
      </c>
      <c r="U370" t="s">
        <v>8653</v>
      </c>
      <c r="Z370" s="42">
        <v>0.01</v>
      </c>
      <c r="AA370" s="42">
        <v>0.35</v>
      </c>
      <c r="AB370">
        <v>0</v>
      </c>
    </row>
    <row r="371">
      <c r="A371" t="s">
        <v>8954</v>
      </c>
      <c r="B371" t="s">
        <v>8638</v>
      </c>
      <c r="C371" t="s">
        <v>8638</v>
      </c>
      <c r="D371" t="s">
        <v>8952</v>
      </c>
      <c r="E371" t="s">
        <v>8955</v>
      </c>
      <c r="F371" t="s">
        <v>6966</v>
      </c>
      <c r="G371" t="s">
        <v>8947</v>
      </c>
      <c r="H371" t="s">
        <v>8948</v>
      </c>
      <c r="I371" t="s">
        <v>8948</v>
      </c>
      <c r="K371">
        <v>0.1</v>
      </c>
      <c r="L371" t="s">
        <v>8956</v>
      </c>
      <c r="M371" s="42">
        <v>1</v>
      </c>
      <c r="N371" s="42">
        <v>0.1</v>
      </c>
      <c r="O371">
        <v>1</v>
      </c>
      <c r="P371" s="42">
        <v>0.955</v>
      </c>
      <c r="Q371">
        <v>0.96</v>
      </c>
      <c r="R371">
        <v>3407.61</v>
      </c>
      <c r="S371">
        <v>3407.61</v>
      </c>
      <c r="T371">
        <v>3000</v>
      </c>
      <c r="U371" t="s">
        <v>8653</v>
      </c>
      <c r="Z371" s="42">
        <v>0.01</v>
      </c>
      <c r="AA371" s="42">
        <v>0.35</v>
      </c>
      <c r="AB371">
        <v>0</v>
      </c>
    </row>
    <row r="372">
      <c r="A372" t="s">
        <v>8957</v>
      </c>
      <c r="B372" t="s">
        <v>8638</v>
      </c>
      <c r="C372" t="s">
        <v>8638</v>
      </c>
      <c r="D372" t="s">
        <v>8952</v>
      </c>
      <c r="E372" t="s">
        <v>8958</v>
      </c>
      <c r="F372" t="s">
        <v>6966</v>
      </c>
      <c r="G372" t="s">
        <v>8947</v>
      </c>
      <c r="H372" t="s">
        <v>8948</v>
      </c>
      <c r="I372" t="s">
        <v>8949</v>
      </c>
      <c r="K372">
        <v>1</v>
      </c>
      <c r="L372" t="s">
        <v>8956</v>
      </c>
      <c r="M372" s="42">
        <v>1</v>
      </c>
      <c r="N372" s="42">
        <v>0.1</v>
      </c>
      <c r="O372">
        <v>1</v>
      </c>
      <c r="P372" s="42">
        <v>0.9525</v>
      </c>
      <c r="Q372">
        <v>0.95</v>
      </c>
      <c r="R372">
        <v>3097.83</v>
      </c>
      <c r="S372">
        <v>3097.83</v>
      </c>
      <c r="T372">
        <v>3000</v>
      </c>
      <c r="U372" t="s">
        <v>8653</v>
      </c>
      <c r="Z372" s="42">
        <v>0.01</v>
      </c>
      <c r="AA372" s="42">
        <v>0.35</v>
      </c>
      <c r="AB372">
        <v>0</v>
      </c>
    </row>
    <row r="373">
      <c r="A373" t="s">
        <v>8959</v>
      </c>
      <c r="B373" t="s">
        <v>8638</v>
      </c>
      <c r="C373" t="s">
        <v>8638</v>
      </c>
      <c r="D373" t="s">
        <v>7000</v>
      </c>
      <c r="E373" t="s">
        <v>8960</v>
      </c>
      <c r="F373" t="s">
        <v>6966</v>
      </c>
      <c r="G373" t="s">
        <v>8947</v>
      </c>
      <c r="H373" t="s">
        <v>8948</v>
      </c>
      <c r="I373" t="s">
        <v>8949</v>
      </c>
      <c r="K373" s="43">
        <v>1</v>
      </c>
      <c r="L373" t="s">
        <v>8961</v>
      </c>
      <c r="M373" s="42">
        <v>1</v>
      </c>
      <c r="N373" s="42">
        <v>0.2</v>
      </c>
      <c r="O373">
        <v>100</v>
      </c>
      <c r="P373" s="42">
        <v>0.95</v>
      </c>
      <c r="Q373">
        <v>0.95</v>
      </c>
      <c r="R373">
        <v>4646.74</v>
      </c>
      <c r="S373">
        <v>4646.74</v>
      </c>
      <c r="T373">
        <v>5000</v>
      </c>
      <c r="U373" t="s">
        <v>8653</v>
      </c>
      <c r="Z373" s="42">
        <v>0.01</v>
      </c>
      <c r="AA373" s="42">
        <v>0.35</v>
      </c>
      <c r="AB373">
        <v>0</v>
      </c>
    </row>
    <row r="374">
      <c r="A374" t="s">
        <v>8962</v>
      </c>
      <c r="B374" t="s">
        <v>8638</v>
      </c>
      <c r="C374" t="s">
        <v>8638</v>
      </c>
      <c r="D374" t="s">
        <v>7000</v>
      </c>
      <c r="E374" t="s">
        <v>8963</v>
      </c>
      <c r="F374" t="s">
        <v>6966</v>
      </c>
      <c r="G374" t="s">
        <v>8947</v>
      </c>
      <c r="H374" t="s">
        <v>8948</v>
      </c>
      <c r="I374" t="s">
        <v>8949</v>
      </c>
      <c r="K374" s="43">
        <v>1</v>
      </c>
      <c r="L374" t="s">
        <v>8964</v>
      </c>
      <c r="M374" s="42">
        <v>1</v>
      </c>
      <c r="N374" s="42">
        <v>0.2</v>
      </c>
      <c r="O374">
        <v>1</v>
      </c>
      <c r="P374" s="42">
        <v>0.91</v>
      </c>
      <c r="Q374">
        <v>0.91</v>
      </c>
      <c r="R374">
        <v>0</v>
      </c>
      <c r="S374">
        <v>0</v>
      </c>
      <c r="T374">
        <v>5000</v>
      </c>
      <c r="U374" t="s">
        <v>8653</v>
      </c>
      <c r="Z374" s="42">
        <v>0.01</v>
      </c>
      <c r="AA374" s="42">
        <v>0.35</v>
      </c>
      <c r="AB374">
        <v>0</v>
      </c>
    </row>
    <row r="375">
      <c r="A375" t="s">
        <v>8965</v>
      </c>
      <c r="B375" t="s">
        <v>8638</v>
      </c>
      <c r="C375" t="s">
        <v>8638</v>
      </c>
      <c r="D375" t="s">
        <v>8952</v>
      </c>
      <c r="E375" t="s">
        <v>8966</v>
      </c>
      <c r="F375" t="s">
        <v>6966</v>
      </c>
      <c r="G375" t="s">
        <v>8947</v>
      </c>
      <c r="H375" t="s">
        <v>8948</v>
      </c>
      <c r="I375" t="s">
        <v>8949</v>
      </c>
      <c r="K375">
        <v>1</v>
      </c>
      <c r="L375" t="s">
        <v>8967</v>
      </c>
      <c r="M375" s="42">
        <v>1</v>
      </c>
      <c r="N375" s="42">
        <v>0.2</v>
      </c>
      <c r="O375">
        <v>1</v>
      </c>
      <c r="P375" s="42">
        <v>0.99</v>
      </c>
      <c r="Q375">
        <v>0.99</v>
      </c>
      <c r="R375">
        <v>0</v>
      </c>
      <c r="S375">
        <v>0</v>
      </c>
      <c r="T375">
        <v>3000</v>
      </c>
      <c r="U375" t="s">
        <v>8653</v>
      </c>
      <c r="Z375" s="42">
        <v>0.01</v>
      </c>
      <c r="AA375" s="42">
        <v>0.35</v>
      </c>
      <c r="AB375">
        <v>0</v>
      </c>
    </row>
    <row r="376">
      <c r="A376" t="s">
        <v>8968</v>
      </c>
      <c r="B376" t="s">
        <v>8638</v>
      </c>
      <c r="C376" t="s">
        <v>8638</v>
      </c>
      <c r="D376" t="s">
        <v>8969</v>
      </c>
      <c r="E376" t="s">
        <v>8970</v>
      </c>
      <c r="F376" t="s">
        <v>6966</v>
      </c>
      <c r="G376" t="s">
        <v>8971</v>
      </c>
      <c r="H376" t="s">
        <v>8948</v>
      </c>
      <c r="I376" t="s">
        <v>8949</v>
      </c>
      <c r="K376">
        <v>1</v>
      </c>
      <c r="L376" t="s">
        <v>8972</v>
      </c>
      <c r="M376" s="42">
        <v>1</v>
      </c>
      <c r="N376" s="42">
        <v>0.1</v>
      </c>
      <c r="O376">
        <v>1</v>
      </c>
      <c r="P376" s="42">
        <v>0.87</v>
      </c>
      <c r="Q376">
        <v>0.87</v>
      </c>
      <c r="R376">
        <v>1200</v>
      </c>
      <c r="S376">
        <v>1200</v>
      </c>
      <c r="T376">
        <v>1200</v>
      </c>
      <c r="U376" t="s">
        <v>8653</v>
      </c>
      <c r="Z376" s="42">
        <v>0.01</v>
      </c>
      <c r="AA376" s="42">
        <v>0.35</v>
      </c>
      <c r="AB376">
        <v>0</v>
      </c>
    </row>
    <row r="377">
      <c r="A377" t="s">
        <v>8973</v>
      </c>
      <c r="B377" t="s">
        <v>8638</v>
      </c>
      <c r="C377" t="s">
        <v>8638</v>
      </c>
      <c r="D377" t="s">
        <v>8969</v>
      </c>
      <c r="E377" t="s">
        <v>8974</v>
      </c>
      <c r="F377" t="s">
        <v>6966</v>
      </c>
      <c r="G377" t="s">
        <v>8971</v>
      </c>
      <c r="H377" t="s">
        <v>8948</v>
      </c>
      <c r="I377" t="s">
        <v>8949</v>
      </c>
      <c r="K377">
        <v>100</v>
      </c>
      <c r="L377" t="s">
        <v>8975</v>
      </c>
      <c r="M377" s="42">
        <v>1</v>
      </c>
      <c r="N377" s="42">
        <v>0.1</v>
      </c>
      <c r="O377">
        <v>100</v>
      </c>
      <c r="P377" s="42">
        <v>0.9</v>
      </c>
      <c r="Q377">
        <v>0.9</v>
      </c>
      <c r="R377">
        <v>1440</v>
      </c>
      <c r="S377">
        <v>1440</v>
      </c>
      <c r="T377">
        <v>1200</v>
      </c>
      <c r="U377" t="s">
        <v>8653</v>
      </c>
      <c r="Z377" s="42">
        <v>0.01</v>
      </c>
      <c r="AA377" s="42">
        <v>0.35</v>
      </c>
      <c r="AB377">
        <v>0</v>
      </c>
    </row>
    <row r="378">
      <c r="A378" t="s">
        <v>8976</v>
      </c>
      <c r="B378" t="s">
        <v>8638</v>
      </c>
      <c r="C378" t="s">
        <v>8638</v>
      </c>
      <c r="D378" t="s">
        <v>8969</v>
      </c>
      <c r="E378" t="s">
        <v>8977</v>
      </c>
      <c r="F378" t="s">
        <v>6966</v>
      </c>
      <c r="G378" t="s">
        <v>8971</v>
      </c>
      <c r="H378" t="s">
        <v>8948</v>
      </c>
      <c r="I378" t="s">
        <v>8978</v>
      </c>
      <c r="K378">
        <v>1</v>
      </c>
      <c r="L378" t="s">
        <v>8979</v>
      </c>
      <c r="M378" s="42">
        <v>1</v>
      </c>
      <c r="N378" s="42">
        <v>0.1</v>
      </c>
      <c r="O378">
        <v>0.1</v>
      </c>
      <c r="P378" s="42">
        <v>0.85</v>
      </c>
      <c r="Q378">
        <v>0.17</v>
      </c>
      <c r="R378">
        <v>960</v>
      </c>
      <c r="S378">
        <v>960</v>
      </c>
      <c r="T378">
        <v>1200</v>
      </c>
      <c r="U378" t="s">
        <v>8653</v>
      </c>
      <c r="Z378" s="42">
        <v>0.01</v>
      </c>
      <c r="AA378" s="42">
        <v>0.35</v>
      </c>
      <c r="AB378">
        <v>0</v>
      </c>
    </row>
    <row r="379">
      <c r="A379" t="s">
        <v>8980</v>
      </c>
      <c r="B379" t="s">
        <v>8638</v>
      </c>
      <c r="C379" t="s">
        <v>8638</v>
      </c>
      <c r="D379" t="s">
        <v>8969</v>
      </c>
      <c r="E379" t="s">
        <v>8981</v>
      </c>
      <c r="F379" t="s">
        <v>6966</v>
      </c>
      <c r="G379" t="s">
        <v>8971</v>
      </c>
      <c r="H379" t="s">
        <v>8948</v>
      </c>
      <c r="I379" t="s">
        <v>8949</v>
      </c>
      <c r="K379">
        <v>1.2</v>
      </c>
      <c r="L379" t="s">
        <v>8982</v>
      </c>
      <c r="M379" s="42">
        <v>1.2</v>
      </c>
      <c r="N379" s="42">
        <v>0.2</v>
      </c>
      <c r="O379">
        <v>0.24</v>
      </c>
      <c r="P379" s="42">
        <v>0.9</v>
      </c>
      <c r="Q379">
        <v>0.17</v>
      </c>
      <c r="R379">
        <v>0</v>
      </c>
      <c r="S379">
        <v>0</v>
      </c>
      <c r="T379">
        <v>1200</v>
      </c>
      <c r="U379" t="s">
        <v>8653</v>
      </c>
      <c r="Z379" s="42">
        <v>0.01</v>
      </c>
      <c r="AA379" s="42">
        <v>0.35</v>
      </c>
      <c r="AB379">
        <v>0</v>
      </c>
    </row>
    <row r="380">
      <c r="A380" t="s">
        <v>8983</v>
      </c>
      <c r="B380" t="s">
        <v>7692</v>
      </c>
      <c r="C380" t="s">
        <v>7692</v>
      </c>
      <c r="D380" t="s">
        <v>7686</v>
      </c>
      <c r="E380" t="s">
        <v>8984</v>
      </c>
      <c r="F380" t="s">
        <v>6966</v>
      </c>
      <c r="G380" t="s">
        <v>8985</v>
      </c>
      <c r="H380" t="s">
        <v>7645</v>
      </c>
      <c r="I380" t="s">
        <v>7702</v>
      </c>
      <c r="J380" t="s">
        <v>7358</v>
      </c>
      <c r="K380" t="s">
        <v>8986</v>
      </c>
      <c r="L380" t="s">
        <v>8982</v>
      </c>
      <c r="M380" s="42">
        <v>0.24</v>
      </c>
      <c r="N380" s="42">
        <v>0.45</v>
      </c>
      <c r="O380">
        <v>0.1947</v>
      </c>
      <c r="P380" s="42">
        <v>0.7245</v>
      </c>
      <c r="Q380">
        <v>0.7</v>
      </c>
      <c r="R380">
        <v>7188</v>
      </c>
      <c r="S380">
        <v>8776.85</v>
      </c>
      <c r="T380">
        <v>6000</v>
      </c>
      <c r="U380" t="s">
        <v>8653</v>
      </c>
      <c r="Z380" s="42">
        <v>0.01</v>
      </c>
      <c r="AA380" s="42">
        <v>0.35</v>
      </c>
      <c r="AB380">
        <v>0</v>
      </c>
    </row>
    <row r="381">
      <c r="A381" t="s">
        <v>8987</v>
      </c>
      <c r="B381" t="s">
        <v>8988</v>
      </c>
      <c r="C381" t="s">
        <v>8988</v>
      </c>
      <c r="D381" t="s">
        <v>7686</v>
      </c>
      <c r="E381" t="s">
        <v>8989</v>
      </c>
      <c r="F381" t="s">
        <v>6966</v>
      </c>
      <c r="G381" t="s">
        <v>8985</v>
      </c>
      <c r="H381" t="s">
        <v>7645</v>
      </c>
      <c r="I381" t="s">
        <v>8990</v>
      </c>
      <c r="J381" t="s">
        <v>7343</v>
      </c>
      <c r="K381" t="s">
        <v>8991</v>
      </c>
      <c r="L381" t="s">
        <v>8982</v>
      </c>
      <c r="M381" s="42">
        <v>0.79</v>
      </c>
      <c r="N381" s="42">
        <v>0.45</v>
      </c>
      <c r="O381">
        <v>0.632</v>
      </c>
      <c r="P381" s="42">
        <v>1.007</v>
      </c>
      <c r="Q381">
        <v>0.9</v>
      </c>
      <c r="R381">
        <v>8256</v>
      </c>
      <c r="S381">
        <v>9200.05</v>
      </c>
      <c r="T381">
        <v>6000</v>
      </c>
      <c r="U381" t="s">
        <v>8653</v>
      </c>
      <c r="Z381" s="42">
        <v>0.01</v>
      </c>
      <c r="AA381" s="42">
        <v>0.35</v>
      </c>
      <c r="AB381">
        <v>0</v>
      </c>
    </row>
    <row r="382">
      <c r="A382" t="s">
        <v>8992</v>
      </c>
      <c r="B382" t="s">
        <v>8799</v>
      </c>
      <c r="C382" t="s">
        <v>8799</v>
      </c>
      <c r="D382" t="s">
        <v>7355</v>
      </c>
      <c r="E382" t="s">
        <v>8993</v>
      </c>
      <c r="F382" t="s">
        <v>6966</v>
      </c>
      <c r="G382" t="s">
        <v>8994</v>
      </c>
      <c r="H382" t="s">
        <v>8995</v>
      </c>
      <c r="I382" t="s">
        <v>8996</v>
      </c>
      <c r="J382" t="s">
        <v>7366</v>
      </c>
      <c r="K382" t="s">
        <v>8997</v>
      </c>
      <c r="M382" s="42">
        <v>1.182</v>
      </c>
      <c r="N382" s="42">
        <v>0.2</v>
      </c>
      <c r="O382">
        <v>1.182</v>
      </c>
      <c r="P382" s="42">
        <v>0.6508</v>
      </c>
      <c r="Q382">
        <v>0.61</v>
      </c>
      <c r="R382">
        <v>4626.4</v>
      </c>
      <c r="S382">
        <v>4626.4</v>
      </c>
      <c r="T382">
        <v>5000</v>
      </c>
      <c r="U382" t="s">
        <v>8653</v>
      </c>
      <c r="Z382" s="42">
        <v>0.01</v>
      </c>
      <c r="AA382" s="42">
        <v>0.35</v>
      </c>
      <c r="AB382">
        <v>0</v>
      </c>
    </row>
    <row r="383">
      <c r="A383" t="s">
        <v>8998</v>
      </c>
      <c r="B383" t="s">
        <v>8799</v>
      </c>
      <c r="C383" t="s">
        <v>8799</v>
      </c>
      <c r="D383" t="s">
        <v>7355</v>
      </c>
      <c r="E383" t="s">
        <v>8999</v>
      </c>
      <c r="F383" t="s">
        <v>6966</v>
      </c>
      <c r="G383" t="s">
        <v>8994</v>
      </c>
      <c r="H383" t="s">
        <v>9000</v>
      </c>
      <c r="I383" t="s">
        <v>9001</v>
      </c>
      <c r="J383">
        <v>1</v>
      </c>
      <c r="K383">
        <v>0.606888</v>
      </c>
      <c r="L383" t="s">
        <v>9002</v>
      </c>
      <c r="M383" s="42">
        <v>0.606888</v>
      </c>
      <c r="N383" s="42">
        <v>0.7</v>
      </c>
      <c r="O383">
        <v>0.6069</v>
      </c>
      <c r="P383" s="42">
        <v>0.949524</v>
      </c>
      <c r="Q383">
        <v>0.8</v>
      </c>
      <c r="R383">
        <v>6067.42</v>
      </c>
      <c r="S383">
        <v>6067.42</v>
      </c>
      <c r="T383">
        <v>5000</v>
      </c>
      <c r="U383" t="s">
        <v>8653</v>
      </c>
      <c r="Z383" s="42">
        <v>0.01</v>
      </c>
      <c r="AA383" s="42">
        <v>0.35</v>
      </c>
      <c r="AB383">
        <v>0</v>
      </c>
    </row>
    <row r="384">
      <c r="A384" t="s">
        <v>9003</v>
      </c>
      <c r="B384" t="s">
        <v>8799</v>
      </c>
      <c r="C384" t="s">
        <v>8799</v>
      </c>
      <c r="D384" t="s">
        <v>7000</v>
      </c>
      <c r="E384" t="s">
        <v>9004</v>
      </c>
      <c r="F384" t="s">
        <v>6966</v>
      </c>
      <c r="G384" t="s">
        <v>8994</v>
      </c>
      <c r="H384" t="s">
        <v>9000</v>
      </c>
      <c r="I384" t="s">
        <v>9005</v>
      </c>
      <c r="J384" t="s">
        <v>8578</v>
      </c>
      <c r="K384" t="s">
        <v>9006</v>
      </c>
      <c r="M384" s="42">
        <v>0.774</v>
      </c>
      <c r="N384" s="42">
        <v>0.2</v>
      </c>
      <c r="O384">
        <v>0.77</v>
      </c>
      <c r="P384" s="42">
        <v>0.70436</v>
      </c>
      <c r="Q384">
        <v>0.75</v>
      </c>
      <c r="R384">
        <v>6438.2</v>
      </c>
      <c r="S384">
        <v>6438.2</v>
      </c>
      <c r="T384">
        <v>6000</v>
      </c>
      <c r="U384" t="s">
        <v>8653</v>
      </c>
      <c r="Z384" s="42">
        <v>0.01</v>
      </c>
      <c r="AA384" s="42">
        <v>0.35</v>
      </c>
      <c r="AB384">
        <v>0</v>
      </c>
    </row>
    <row r="385">
      <c r="A385" t="s">
        <v>9007</v>
      </c>
      <c r="B385" t="s">
        <v>8799</v>
      </c>
      <c r="C385" t="s">
        <v>8799</v>
      </c>
      <c r="D385" t="s">
        <v>7355</v>
      </c>
      <c r="E385" t="s">
        <v>9008</v>
      </c>
      <c r="F385" t="s">
        <v>6966</v>
      </c>
      <c r="G385" t="s">
        <v>8994</v>
      </c>
      <c r="H385" t="s">
        <v>9000</v>
      </c>
      <c r="I385" t="s">
        <v>9009</v>
      </c>
      <c r="J385" t="s">
        <v>9010</v>
      </c>
      <c r="K385" t="s">
        <v>9011</v>
      </c>
      <c r="L385" t="s">
        <v>9012</v>
      </c>
      <c r="M385" s="42">
        <v>0.81</v>
      </c>
      <c r="N385" s="42">
        <v>0.25</v>
      </c>
      <c r="O385">
        <v>0.81</v>
      </c>
      <c r="P385" s="42">
        <v>0.7282</v>
      </c>
      <c r="Q385">
        <v>0.51</v>
      </c>
      <c r="R385">
        <v>3867.98</v>
      </c>
      <c r="S385">
        <v>3867.98</v>
      </c>
      <c r="T385">
        <v>5000</v>
      </c>
      <c r="U385" t="s">
        <v>8653</v>
      </c>
      <c r="Z385" s="42">
        <v>0.01</v>
      </c>
      <c r="AA385" s="42">
        <v>0.35</v>
      </c>
      <c r="AB385">
        <v>0</v>
      </c>
    </row>
    <row r="386">
      <c r="A386" t="s">
        <v>9013</v>
      </c>
      <c r="B386" t="s">
        <v>8799</v>
      </c>
      <c r="C386" t="s">
        <v>8799</v>
      </c>
      <c r="D386" t="s">
        <v>7355</v>
      </c>
      <c r="E386" t="s">
        <v>9014</v>
      </c>
      <c r="F386" t="s">
        <v>6966</v>
      </c>
      <c r="G386" t="s">
        <v>8994</v>
      </c>
      <c r="H386" t="s">
        <v>9000</v>
      </c>
      <c r="I386" t="s">
        <v>9015</v>
      </c>
      <c r="J386" t="s">
        <v>7689</v>
      </c>
      <c r="K386" t="s">
        <v>9016</v>
      </c>
      <c r="L386" t="s">
        <v>9017</v>
      </c>
      <c r="M386" s="42">
        <v>0.29</v>
      </c>
      <c r="N386" s="42">
        <v>0.5</v>
      </c>
      <c r="O386">
        <v>0.29</v>
      </c>
      <c r="P386" s="42">
        <v>0.5492</v>
      </c>
      <c r="Q386">
        <v>0.58</v>
      </c>
      <c r="R386">
        <v>0</v>
      </c>
      <c r="S386">
        <v>0</v>
      </c>
      <c r="T386">
        <v>5000</v>
      </c>
      <c r="U386" t="s">
        <v>8653</v>
      </c>
      <c r="Z386" s="42">
        <v>0.01</v>
      </c>
      <c r="AA386" s="42">
        <v>0.35</v>
      </c>
      <c r="AB386">
        <v>0</v>
      </c>
    </row>
    <row r="387">
      <c r="A387" t="s">
        <v>9018</v>
      </c>
      <c r="B387" t="s">
        <v>8799</v>
      </c>
      <c r="C387" t="s">
        <v>8799</v>
      </c>
      <c r="D387" t="s">
        <v>7355</v>
      </c>
      <c r="E387" t="s">
        <v>9019</v>
      </c>
      <c r="F387" t="s">
        <v>6966</v>
      </c>
      <c r="G387" t="s">
        <v>8994</v>
      </c>
      <c r="H387" t="s">
        <v>9000</v>
      </c>
      <c r="I387" t="s">
        <v>9020</v>
      </c>
      <c r="J387" t="s">
        <v>9021</v>
      </c>
      <c r="K387" t="s">
        <v>9022</v>
      </c>
      <c r="L387" t="s">
        <v>9023</v>
      </c>
      <c r="M387" s="42">
        <v>0.7124</v>
      </c>
      <c r="N387" s="42">
        <v>0.5</v>
      </c>
      <c r="O387">
        <v>0.9</v>
      </c>
      <c r="P387" s="42">
        <v>0.66617</v>
      </c>
      <c r="Q387">
        <v>0.84</v>
      </c>
      <c r="R387">
        <v>0</v>
      </c>
      <c r="S387">
        <v>0</v>
      </c>
      <c r="T387">
        <v>5000</v>
      </c>
      <c r="U387" t="s">
        <v>8653</v>
      </c>
      <c r="Z387" s="42">
        <v>0.01</v>
      </c>
      <c r="AA387" s="42">
        <v>0.35</v>
      </c>
      <c r="AB387">
        <v>0</v>
      </c>
    </row>
    <row r="388">
      <c r="A388" t="s">
        <v>9024</v>
      </c>
      <c r="B388" t="s">
        <v>8614</v>
      </c>
      <c r="C388" t="s">
        <v>8614</v>
      </c>
      <c r="D388" t="s">
        <v>9025</v>
      </c>
      <c r="E388" t="s">
        <v>9026</v>
      </c>
      <c r="F388" t="s">
        <v>6966</v>
      </c>
      <c r="G388" t="s">
        <v>9027</v>
      </c>
      <c r="H388" t="s">
        <v>9028</v>
      </c>
      <c r="I388" t="s">
        <v>9029</v>
      </c>
      <c r="J388" s="43">
        <v>1</v>
      </c>
      <c r="L388" t="s">
        <v>9030</v>
      </c>
      <c r="M388" s="42">
        <v>0.2</v>
      </c>
      <c r="N388" s="42">
        <v>0.2</v>
      </c>
      <c r="O388">
        <v>1</v>
      </c>
      <c r="P388" s="42">
        <v>0.798</v>
      </c>
      <c r="Q388">
        <v>1.1</v>
      </c>
      <c r="R388">
        <v>880</v>
      </c>
      <c r="S388">
        <v>880</v>
      </c>
      <c r="T388">
        <v>800</v>
      </c>
      <c r="U388" t="s">
        <v>8653</v>
      </c>
      <c r="Z388" s="42">
        <v>0.01</v>
      </c>
      <c r="AA388" s="42">
        <v>0.35</v>
      </c>
      <c r="AB388">
        <v>0</v>
      </c>
    </row>
    <row r="389">
      <c r="A389" t="s">
        <v>9031</v>
      </c>
      <c r="B389" t="s">
        <v>8614</v>
      </c>
      <c r="C389" t="s">
        <v>8614</v>
      </c>
      <c r="D389" t="s">
        <v>9025</v>
      </c>
      <c r="E389" t="s">
        <v>9032</v>
      </c>
      <c r="F389" t="s">
        <v>6966</v>
      </c>
      <c r="G389" t="s">
        <v>9027</v>
      </c>
      <c r="H389" t="s">
        <v>9028</v>
      </c>
      <c r="I389" t="s">
        <v>9029</v>
      </c>
      <c r="J389" s="43">
        <v>0.3</v>
      </c>
      <c r="L389" t="s">
        <v>9030</v>
      </c>
      <c r="M389" s="42">
        <v>1</v>
      </c>
      <c r="N389" s="42">
        <v>0.3</v>
      </c>
      <c r="O389">
        <v>1</v>
      </c>
      <c r="P389" s="42">
        <v>0.9665</v>
      </c>
      <c r="Q389">
        <v>1.08</v>
      </c>
      <c r="R389">
        <v>864</v>
      </c>
      <c r="S389">
        <v>864</v>
      </c>
      <c r="T389">
        <v>800</v>
      </c>
      <c r="U389" t="s">
        <v>8653</v>
      </c>
      <c r="Z389" s="42">
        <v>0.01</v>
      </c>
      <c r="AA389" s="42">
        <v>0.35</v>
      </c>
      <c r="AB389">
        <v>0</v>
      </c>
    </row>
    <row r="390">
      <c r="A390" t="s">
        <v>9033</v>
      </c>
      <c r="B390" t="s">
        <v>8614</v>
      </c>
      <c r="C390" t="s">
        <v>8614</v>
      </c>
      <c r="D390" t="s">
        <v>9034</v>
      </c>
      <c r="E390" t="s">
        <v>9035</v>
      </c>
      <c r="F390" t="s">
        <v>6966</v>
      </c>
      <c r="G390" t="s">
        <v>9036</v>
      </c>
      <c r="H390" t="s">
        <v>9037</v>
      </c>
      <c r="I390" t="s">
        <v>9037</v>
      </c>
      <c r="J390" s="43">
        <v>0.2</v>
      </c>
      <c r="K390">
        <v>1</v>
      </c>
      <c r="L390" t="s">
        <v>9030</v>
      </c>
      <c r="M390" s="42">
        <v>1</v>
      </c>
      <c r="N390" s="42">
        <v>0.25</v>
      </c>
      <c r="O390">
        <v>1</v>
      </c>
      <c r="P390" s="42">
        <v>0.75</v>
      </c>
      <c r="Q390">
        <v>0.75</v>
      </c>
      <c r="R390">
        <v>900</v>
      </c>
      <c r="S390">
        <v>900</v>
      </c>
      <c r="T390">
        <v>1200</v>
      </c>
      <c r="U390" t="s">
        <v>8653</v>
      </c>
      <c r="Z390" s="42">
        <v>0.01</v>
      </c>
      <c r="AA390" s="42">
        <v>0.35</v>
      </c>
      <c r="AB390">
        <v>0</v>
      </c>
    </row>
    <row r="391">
      <c r="A391" t="s">
        <v>9038</v>
      </c>
      <c r="B391" t="s">
        <v>8614</v>
      </c>
      <c r="C391" t="s">
        <v>8614</v>
      </c>
      <c r="D391" t="s">
        <v>9034</v>
      </c>
      <c r="E391" t="s">
        <v>9039</v>
      </c>
      <c r="F391" t="s">
        <v>6966</v>
      </c>
      <c r="G391" t="s">
        <v>9036</v>
      </c>
      <c r="H391" t="s">
        <v>9037</v>
      </c>
      <c r="I391" t="s">
        <v>9040</v>
      </c>
      <c r="K391">
        <v>100</v>
      </c>
      <c r="L391" t="s">
        <v>9041</v>
      </c>
      <c r="M391" s="42">
        <v>1</v>
      </c>
      <c r="N391" s="42">
        <v>1</v>
      </c>
      <c r="O391">
        <v>100</v>
      </c>
      <c r="P391" s="42">
        <v>1</v>
      </c>
      <c r="Q391">
        <v>1</v>
      </c>
      <c r="R391">
        <v>0</v>
      </c>
      <c r="S391">
        <v>0</v>
      </c>
      <c r="T391">
        <v>1200</v>
      </c>
      <c r="U391" t="s">
        <v>8653</v>
      </c>
      <c r="Z391" s="42">
        <v>0.01</v>
      </c>
      <c r="AA391" s="42">
        <v>0.35</v>
      </c>
      <c r="AB391">
        <v>0</v>
      </c>
    </row>
    <row r="392">
      <c r="A392" t="s">
        <v>9042</v>
      </c>
      <c r="B392" t="s">
        <v>8799</v>
      </c>
      <c r="C392" t="s">
        <v>8799</v>
      </c>
      <c r="D392" t="s">
        <v>9043</v>
      </c>
      <c r="E392" t="s">
        <v>9044</v>
      </c>
      <c r="F392" t="s">
        <v>6966</v>
      </c>
      <c r="G392" t="s">
        <v>9045</v>
      </c>
      <c r="H392" t="s">
        <v>8995</v>
      </c>
      <c r="I392" t="s">
        <v>9046</v>
      </c>
      <c r="J392" t="s">
        <v>9047</v>
      </c>
      <c r="K392" t="s">
        <v>9048</v>
      </c>
      <c r="L392" t="s">
        <v>9049</v>
      </c>
      <c r="M392" s="42">
        <v>1.025</v>
      </c>
      <c r="N392" s="42">
        <v>0.5</v>
      </c>
      <c r="O392">
        <v>1.08</v>
      </c>
      <c r="P392" s="42">
        <v>0.8178</v>
      </c>
      <c r="Q392">
        <v>0.82</v>
      </c>
      <c r="R392">
        <v>2395.83</v>
      </c>
      <c r="S392">
        <v>2395.83</v>
      </c>
      <c r="T392">
        <v>1200</v>
      </c>
      <c r="U392" t="s">
        <v>8653</v>
      </c>
      <c r="Z392" s="42">
        <v>0.01</v>
      </c>
      <c r="AA392" s="42">
        <v>0.35</v>
      </c>
      <c r="AB392">
        <v>0</v>
      </c>
    </row>
    <row r="393">
      <c r="A393" t="s">
        <v>9050</v>
      </c>
      <c r="B393" t="s">
        <v>8799</v>
      </c>
      <c r="C393" t="s">
        <v>8799</v>
      </c>
      <c r="D393" t="s">
        <v>9043</v>
      </c>
      <c r="E393" t="s">
        <v>9051</v>
      </c>
      <c r="F393" t="s">
        <v>6966</v>
      </c>
      <c r="G393" t="s">
        <v>9045</v>
      </c>
      <c r="H393" t="s">
        <v>9052</v>
      </c>
      <c r="I393" t="s">
        <v>9053</v>
      </c>
      <c r="J393" t="s">
        <v>9054</v>
      </c>
      <c r="K393" t="s">
        <v>9055</v>
      </c>
      <c r="L393" t="s">
        <v>9056</v>
      </c>
      <c r="M393" s="42">
        <v>1.2</v>
      </c>
      <c r="N393" s="42">
        <v>0.3</v>
      </c>
      <c r="O393">
        <v>1.2</v>
      </c>
      <c r="P393" s="42">
        <v>0.983</v>
      </c>
      <c r="Q393">
        <v>0.99</v>
      </c>
      <c r="R393">
        <v>2339.13</v>
      </c>
      <c r="S393">
        <v>2339.13</v>
      </c>
      <c r="T393">
        <v>1200</v>
      </c>
      <c r="U393" t="s">
        <v>8653</v>
      </c>
      <c r="Z393" s="42">
        <v>0.01</v>
      </c>
      <c r="AA393" s="42">
        <v>0.35</v>
      </c>
      <c r="AB393">
        <v>0</v>
      </c>
    </row>
    <row r="394">
      <c r="A394" t="s">
        <v>9057</v>
      </c>
      <c r="B394" t="s">
        <v>8799</v>
      </c>
      <c r="C394" t="s">
        <v>8799</v>
      </c>
      <c r="D394" t="s">
        <v>7362</v>
      </c>
      <c r="E394" t="s">
        <v>9058</v>
      </c>
      <c r="F394" t="s">
        <v>6966</v>
      </c>
      <c r="G394" t="s">
        <v>9045</v>
      </c>
      <c r="H394" t="s">
        <v>8995</v>
      </c>
      <c r="I394" t="s">
        <v>9059</v>
      </c>
      <c r="J394" t="s">
        <v>8819</v>
      </c>
      <c r="K394" t="s">
        <v>9060</v>
      </c>
      <c r="L394" t="s">
        <v>9061</v>
      </c>
      <c r="M394" s="42">
        <v>0.603608</v>
      </c>
      <c r="N394" s="42">
        <v>0.75</v>
      </c>
      <c r="O394">
        <v>0.6036</v>
      </c>
      <c r="P394" s="42">
        <v>0.508444</v>
      </c>
      <c r="Q394">
        <v>0.49</v>
      </c>
      <c r="R394">
        <v>1638.8</v>
      </c>
      <c r="S394">
        <v>1638.8</v>
      </c>
      <c r="T394">
        <v>1500</v>
      </c>
      <c r="U394" t="s">
        <v>8653</v>
      </c>
      <c r="Z394" s="42">
        <v>0.01</v>
      </c>
      <c r="AA394" s="42">
        <v>0.35</v>
      </c>
      <c r="AB394">
        <v>0</v>
      </c>
    </row>
    <row r="395">
      <c r="A395" t="s">
        <v>9062</v>
      </c>
      <c r="B395" t="s">
        <v>8799</v>
      </c>
      <c r="C395" t="s">
        <v>8799</v>
      </c>
      <c r="D395" t="s">
        <v>7362</v>
      </c>
      <c r="E395" t="s">
        <v>9063</v>
      </c>
      <c r="F395" t="s">
        <v>6966</v>
      </c>
      <c r="G395" t="s">
        <v>9045</v>
      </c>
      <c r="H395" t="s">
        <v>8995</v>
      </c>
      <c r="I395" t="s">
        <v>9064</v>
      </c>
      <c r="J395" t="s">
        <v>9065</v>
      </c>
      <c r="K395" t="s">
        <v>9066</v>
      </c>
      <c r="M395" s="42">
        <v>0.5443</v>
      </c>
      <c r="N395" s="42">
        <v>0.25</v>
      </c>
      <c r="O395">
        <v>0.5443</v>
      </c>
      <c r="P395" s="42">
        <v>0.562465</v>
      </c>
      <c r="Q395">
        <v>0.61</v>
      </c>
      <c r="R395">
        <v>1198.5</v>
      </c>
      <c r="S395">
        <v>1198.5</v>
      </c>
      <c r="T395">
        <v>1500</v>
      </c>
      <c r="U395" t="s">
        <v>8653</v>
      </c>
      <c r="Z395" s="42">
        <v>0.01</v>
      </c>
      <c r="AA395" s="42">
        <v>0.35</v>
      </c>
      <c r="AB395">
        <v>0</v>
      </c>
    </row>
    <row r="396">
      <c r="A396" t="s">
        <v>9067</v>
      </c>
      <c r="B396" t="s">
        <v>8799</v>
      </c>
      <c r="C396" t="s">
        <v>8799</v>
      </c>
      <c r="D396" t="s">
        <v>7362</v>
      </c>
      <c r="E396" t="s">
        <v>9068</v>
      </c>
      <c r="F396" t="s">
        <v>6966</v>
      </c>
      <c r="G396" t="s">
        <v>9045</v>
      </c>
      <c r="H396" t="s">
        <v>9052</v>
      </c>
      <c r="I396" t="s">
        <v>9069</v>
      </c>
      <c r="J396" t="s">
        <v>9070</v>
      </c>
      <c r="K396" t="s">
        <v>9071</v>
      </c>
      <c r="L396" t="s">
        <v>9072</v>
      </c>
      <c r="M396" s="42">
        <v>0.942857</v>
      </c>
      <c r="N396" s="42">
        <v>0.3</v>
      </c>
      <c r="O396">
        <v>0.9429</v>
      </c>
      <c r="P396" s="42">
        <v>1.094857</v>
      </c>
      <c r="Q396">
        <v>1.15</v>
      </c>
      <c r="R396">
        <v>2837.17</v>
      </c>
      <c r="S396">
        <v>2837.17</v>
      </c>
      <c r="T396">
        <v>1500</v>
      </c>
      <c r="U396" t="s">
        <v>8653</v>
      </c>
      <c r="Z396" s="42">
        <v>0.01</v>
      </c>
      <c r="AA396" s="42">
        <v>0.35</v>
      </c>
      <c r="AB396">
        <v>0</v>
      </c>
    </row>
    <row r="397">
      <c r="A397" t="s">
        <v>9073</v>
      </c>
      <c r="B397" t="s">
        <v>8799</v>
      </c>
      <c r="C397" t="s">
        <v>8799</v>
      </c>
      <c r="D397" t="s">
        <v>7362</v>
      </c>
      <c r="E397" t="s">
        <v>9074</v>
      </c>
      <c r="F397" t="s">
        <v>6966</v>
      </c>
      <c r="G397" t="s">
        <v>9045</v>
      </c>
      <c r="H397" t="s">
        <v>9052</v>
      </c>
      <c r="I397" t="s">
        <v>9075</v>
      </c>
      <c r="J397">
        <v>1</v>
      </c>
      <c r="K397" s="43">
        <v>1</v>
      </c>
      <c r="L397" t="s">
        <v>9072</v>
      </c>
      <c r="M397" s="42">
        <v>1</v>
      </c>
      <c r="N397" s="42">
        <v>0.3</v>
      </c>
      <c r="O397">
        <v>1</v>
      </c>
      <c r="P397" s="42">
        <v>0.771</v>
      </c>
      <c r="Q397">
        <v>0.77</v>
      </c>
      <c r="R397">
        <v>1155</v>
      </c>
      <c r="S397">
        <v>1155</v>
      </c>
      <c r="T397">
        <v>1500</v>
      </c>
      <c r="U397" t="s">
        <v>8653</v>
      </c>
      <c r="Z397" s="42">
        <v>0.01</v>
      </c>
      <c r="AA397" s="42">
        <v>0.35</v>
      </c>
      <c r="AB397">
        <v>0</v>
      </c>
    </row>
    <row r="398">
      <c r="A398" t="s">
        <v>9076</v>
      </c>
      <c r="B398" t="s">
        <v>8799</v>
      </c>
      <c r="C398" t="s">
        <v>8799</v>
      </c>
      <c r="D398" t="s">
        <v>7362</v>
      </c>
      <c r="E398" t="s">
        <v>9077</v>
      </c>
      <c r="F398" t="s">
        <v>6966</v>
      </c>
      <c r="G398" t="s">
        <v>9045</v>
      </c>
      <c r="H398" t="s">
        <v>8995</v>
      </c>
      <c r="I398" t="s">
        <v>9078</v>
      </c>
      <c r="J398" t="s">
        <v>8578</v>
      </c>
      <c r="K398" t="s">
        <v>9079</v>
      </c>
      <c r="L398" t="s">
        <v>9072</v>
      </c>
      <c r="M398" s="42">
        <v>0.366</v>
      </c>
      <c r="N398" s="42">
        <v>0.25</v>
      </c>
      <c r="O398">
        <v>0.366</v>
      </c>
      <c r="P398" s="42">
        <v>0.24308</v>
      </c>
      <c r="Q398">
        <v>0.24</v>
      </c>
      <c r="R398">
        <v>2779.21</v>
      </c>
      <c r="S398">
        <v>2779.21</v>
      </c>
      <c r="T398">
        <v>1500</v>
      </c>
      <c r="U398" t="s">
        <v>8653</v>
      </c>
      <c r="Z398" s="42">
        <v>0.01</v>
      </c>
      <c r="AA398" s="42">
        <v>0.35</v>
      </c>
      <c r="AB398">
        <v>0</v>
      </c>
    </row>
    <row r="399">
      <c r="A399" t="s">
        <v>9080</v>
      </c>
      <c r="B399" t="s">
        <v>8799</v>
      </c>
      <c r="C399" t="s">
        <v>8799</v>
      </c>
      <c r="D399" t="s">
        <v>7362</v>
      </c>
      <c r="E399" t="s">
        <v>9081</v>
      </c>
      <c r="F399" t="s">
        <v>6966</v>
      </c>
      <c r="G399" t="s">
        <v>9045</v>
      </c>
      <c r="H399" t="s">
        <v>8995</v>
      </c>
      <c r="I399" t="s">
        <v>9064</v>
      </c>
      <c r="J399" t="s">
        <v>9065</v>
      </c>
      <c r="K399" t="s">
        <v>9082</v>
      </c>
      <c r="L399" t="s">
        <v>9072</v>
      </c>
      <c r="M399" s="42">
        <v>0.4582</v>
      </c>
      <c r="N399" s="42">
        <v>0.25</v>
      </c>
      <c r="O399">
        <v>0.4582</v>
      </c>
      <c r="P399" s="42">
        <v>0.71293</v>
      </c>
      <c r="Q399">
        <v>0.76</v>
      </c>
      <c r="R399">
        <v>1801.5</v>
      </c>
      <c r="S399">
        <v>1801.5</v>
      </c>
      <c r="T399">
        <v>1500</v>
      </c>
      <c r="U399" t="s">
        <v>8653</v>
      </c>
      <c r="Z399" s="42">
        <v>0.01</v>
      </c>
      <c r="AA399" s="42">
        <v>0.35</v>
      </c>
      <c r="AB399">
        <v>0</v>
      </c>
    </row>
    <row r="400">
      <c r="A400" t="s">
        <v>9083</v>
      </c>
      <c r="B400" t="s">
        <v>8799</v>
      </c>
      <c r="C400" t="s">
        <v>8799</v>
      </c>
      <c r="D400" t="s">
        <v>7362</v>
      </c>
      <c r="E400" t="s">
        <v>9084</v>
      </c>
      <c r="F400" t="s">
        <v>6966</v>
      </c>
      <c r="G400" t="s">
        <v>9045</v>
      </c>
      <c r="H400" t="s">
        <v>9052</v>
      </c>
      <c r="I400" t="s">
        <v>9085</v>
      </c>
      <c r="J400" t="s">
        <v>9070</v>
      </c>
      <c r="K400" t="s">
        <v>9086</v>
      </c>
      <c r="L400" t="s">
        <v>9087</v>
      </c>
      <c r="M400" s="42">
        <v>0.817143</v>
      </c>
      <c r="N400" s="42">
        <v>0.3</v>
      </c>
      <c r="O400">
        <v>0.8171</v>
      </c>
      <c r="P400" s="42">
        <v>0.452517</v>
      </c>
      <c r="Q400">
        <v>0.41</v>
      </c>
      <c r="R400">
        <v>1091.73</v>
      </c>
      <c r="S400">
        <v>1091.73</v>
      </c>
      <c r="T400">
        <v>1500</v>
      </c>
      <c r="U400" t="s">
        <v>8653</v>
      </c>
      <c r="Z400" s="42">
        <v>0.01</v>
      </c>
      <c r="AA400" s="42">
        <v>0.35</v>
      </c>
      <c r="AB400">
        <v>0</v>
      </c>
    </row>
    <row r="401">
      <c r="A401" t="s">
        <v>9088</v>
      </c>
      <c r="B401" t="s">
        <v>8799</v>
      </c>
      <c r="C401" t="s">
        <v>8799</v>
      </c>
      <c r="D401" t="s">
        <v>7362</v>
      </c>
      <c r="E401" t="s">
        <v>9089</v>
      </c>
      <c r="F401" t="s">
        <v>6966</v>
      </c>
      <c r="G401" t="s">
        <v>9045</v>
      </c>
      <c r="H401" t="s">
        <v>8995</v>
      </c>
      <c r="I401" t="s">
        <v>9090</v>
      </c>
      <c r="J401" t="s">
        <v>7358</v>
      </c>
      <c r="K401" t="s">
        <v>9091</v>
      </c>
      <c r="L401" t="s">
        <v>9087</v>
      </c>
      <c r="M401" s="42">
        <v>0.4312</v>
      </c>
      <c r="N401" s="42">
        <v>0.5</v>
      </c>
      <c r="O401">
        <v>0.416</v>
      </c>
      <c r="P401" s="42">
        <v>0.39322</v>
      </c>
      <c r="Q401">
        <v>0.33</v>
      </c>
      <c r="R401">
        <v>1063.17</v>
      </c>
      <c r="S401">
        <v>1063.17</v>
      </c>
      <c r="T401">
        <v>1500</v>
      </c>
      <c r="U401" t="s">
        <v>8653</v>
      </c>
      <c r="Z401" s="42">
        <v>0.01</v>
      </c>
      <c r="AA401" s="42">
        <v>0.35</v>
      </c>
      <c r="AB401">
        <v>0</v>
      </c>
    </row>
    <row r="402">
      <c r="A402" t="s">
        <v>9092</v>
      </c>
      <c r="B402" t="s">
        <v>8799</v>
      </c>
      <c r="C402" t="s">
        <v>8799</v>
      </c>
      <c r="D402" t="s">
        <v>7362</v>
      </c>
      <c r="E402" t="s">
        <v>9093</v>
      </c>
      <c r="F402" t="s">
        <v>6966</v>
      </c>
      <c r="G402" t="s">
        <v>9045</v>
      </c>
      <c r="H402" t="s">
        <v>9094</v>
      </c>
      <c r="I402" t="s">
        <v>9095</v>
      </c>
      <c r="J402" t="s">
        <v>7689</v>
      </c>
      <c r="K402" t="s">
        <v>9096</v>
      </c>
      <c r="L402" t="s">
        <v>9087</v>
      </c>
      <c r="M402" s="42">
        <v>0.67475</v>
      </c>
      <c r="N402" s="42">
        <v>0.1</v>
      </c>
      <c r="O402">
        <v>0.6748</v>
      </c>
      <c r="P402" s="42">
        <v>0.408035</v>
      </c>
      <c r="Q402">
        <v>0.41</v>
      </c>
      <c r="R402">
        <v>1361.2</v>
      </c>
      <c r="S402">
        <v>1361.2</v>
      </c>
      <c r="T402">
        <v>1500</v>
      </c>
      <c r="U402" t="s">
        <v>8653</v>
      </c>
      <c r="Z402" s="42">
        <v>0.01</v>
      </c>
      <c r="AA402" s="42">
        <v>0.35</v>
      </c>
      <c r="AB402">
        <v>0</v>
      </c>
    </row>
    <row r="403">
      <c r="A403" t="s">
        <v>9097</v>
      </c>
      <c r="B403" t="s">
        <v>8799</v>
      </c>
      <c r="C403" t="s">
        <v>8799</v>
      </c>
      <c r="D403" t="s">
        <v>7362</v>
      </c>
      <c r="E403" t="s">
        <v>9098</v>
      </c>
      <c r="F403" t="s">
        <v>6966</v>
      </c>
      <c r="G403" t="s">
        <v>9045</v>
      </c>
      <c r="H403" t="s">
        <v>9052</v>
      </c>
      <c r="I403" t="s">
        <v>9099</v>
      </c>
      <c r="J403" t="s">
        <v>9100</v>
      </c>
      <c r="K403" t="s">
        <v>9101</v>
      </c>
      <c r="L403" t="s">
        <v>9087</v>
      </c>
      <c r="M403" s="42">
        <v>0.54</v>
      </c>
      <c r="N403" s="42">
        <v>0.3</v>
      </c>
      <c r="O403">
        <v>0.432</v>
      </c>
      <c r="P403" s="42">
        <v>0.2558</v>
      </c>
      <c r="Q403">
        <v>0.2</v>
      </c>
      <c r="R403">
        <v>532.55</v>
      </c>
      <c r="S403">
        <v>532.55</v>
      </c>
      <c r="T403">
        <v>1500</v>
      </c>
      <c r="U403" t="s">
        <v>8653</v>
      </c>
      <c r="Z403" s="42">
        <v>0.01</v>
      </c>
      <c r="AA403" s="42">
        <v>0.35</v>
      </c>
      <c r="AB403">
        <v>0</v>
      </c>
    </row>
    <row r="404">
      <c r="A404" t="s">
        <v>9102</v>
      </c>
      <c r="B404" t="s">
        <v>8799</v>
      </c>
      <c r="C404" t="s">
        <v>8799</v>
      </c>
      <c r="D404" t="s">
        <v>7362</v>
      </c>
      <c r="E404" t="s">
        <v>9103</v>
      </c>
      <c r="F404" t="s">
        <v>6966</v>
      </c>
      <c r="G404" t="s">
        <v>9045</v>
      </c>
      <c r="H404" t="s">
        <v>9052</v>
      </c>
      <c r="I404" t="s">
        <v>9104</v>
      </c>
      <c r="J404" t="s">
        <v>9100</v>
      </c>
      <c r="K404" t="s">
        <v>9105</v>
      </c>
      <c r="L404" t="s">
        <v>9087</v>
      </c>
      <c r="M404" s="42">
        <v>0.5</v>
      </c>
      <c r="N404" s="42">
        <v>0.3</v>
      </c>
      <c r="O404">
        <v>0.5</v>
      </c>
      <c r="P404" s="42">
        <v>0.15</v>
      </c>
      <c r="Q404">
        <v>0.15</v>
      </c>
      <c r="R404">
        <v>399.41</v>
      </c>
      <c r="S404">
        <v>399.41</v>
      </c>
      <c r="T404">
        <v>1500</v>
      </c>
      <c r="U404" t="s">
        <v>8653</v>
      </c>
      <c r="Z404" s="42">
        <v>0.01</v>
      </c>
      <c r="AA404" s="42">
        <v>0.35</v>
      </c>
      <c r="AB404">
        <v>0</v>
      </c>
    </row>
    <row r="405">
      <c r="A405" t="s">
        <v>9106</v>
      </c>
      <c r="B405" t="s">
        <v>8799</v>
      </c>
      <c r="C405" t="s">
        <v>8799</v>
      </c>
      <c r="D405" t="s">
        <v>7362</v>
      </c>
      <c r="E405" t="s">
        <v>9107</v>
      </c>
      <c r="F405" t="s">
        <v>6966</v>
      </c>
      <c r="G405" t="s">
        <v>9045</v>
      </c>
      <c r="H405" t="s">
        <v>8995</v>
      </c>
      <c r="I405" t="s">
        <v>9108</v>
      </c>
      <c r="J405" t="s">
        <v>8242</v>
      </c>
      <c r="K405" t="s">
        <v>8417</v>
      </c>
      <c r="L405" t="s">
        <v>9109</v>
      </c>
      <c r="M405" s="42">
        <v>0.5</v>
      </c>
      <c r="N405" s="42">
        <v>0.5</v>
      </c>
      <c r="O405">
        <v>0.45</v>
      </c>
      <c r="P405" s="42">
        <v>0.276</v>
      </c>
      <c r="Q405">
        <v>0.23</v>
      </c>
      <c r="R405">
        <v>741</v>
      </c>
      <c r="S405">
        <v>741</v>
      </c>
      <c r="T405">
        <v>1500</v>
      </c>
      <c r="U405" t="s">
        <v>8653</v>
      </c>
      <c r="Z405" s="42">
        <v>0.01</v>
      </c>
      <c r="AA405" s="42">
        <v>0.35</v>
      </c>
      <c r="AB405">
        <v>0</v>
      </c>
    </row>
    <row r="406">
      <c r="A406" t="s">
        <v>9110</v>
      </c>
      <c r="B406" t="s">
        <v>8799</v>
      </c>
      <c r="C406" t="s">
        <v>8799</v>
      </c>
      <c r="D406" t="s">
        <v>7362</v>
      </c>
      <c r="E406" t="s">
        <v>9111</v>
      </c>
      <c r="F406" t="s">
        <v>6966</v>
      </c>
      <c r="G406" t="s">
        <v>9045</v>
      </c>
      <c r="H406" t="s">
        <v>8995</v>
      </c>
      <c r="I406" t="s">
        <v>9112</v>
      </c>
      <c r="J406" t="s">
        <v>8236</v>
      </c>
      <c r="K406" t="s">
        <v>9079</v>
      </c>
      <c r="L406" t="s">
        <v>9113</v>
      </c>
      <c r="M406" s="42">
        <v>0.2745</v>
      </c>
      <c r="N406" s="42">
        <v>0.25</v>
      </c>
      <c r="O406">
        <v>0.2745</v>
      </c>
      <c r="P406" s="42">
        <v>0.151175</v>
      </c>
      <c r="Q406">
        <v>0.08</v>
      </c>
      <c r="R406">
        <v>926.4</v>
      </c>
      <c r="S406">
        <v>926.4</v>
      </c>
      <c r="T406">
        <v>1500</v>
      </c>
      <c r="U406" t="s">
        <v>8653</v>
      </c>
      <c r="Z406" s="42">
        <v>0.01</v>
      </c>
      <c r="AA406" s="42">
        <v>0.35</v>
      </c>
      <c r="AB406">
        <v>0</v>
      </c>
    </row>
    <row r="407">
      <c r="A407" t="s">
        <v>9114</v>
      </c>
      <c r="B407" t="s">
        <v>8799</v>
      </c>
      <c r="C407" t="s">
        <v>8799</v>
      </c>
      <c r="D407" t="s">
        <v>7362</v>
      </c>
      <c r="E407" t="s">
        <v>9115</v>
      </c>
      <c r="F407" t="s">
        <v>6966</v>
      </c>
      <c r="G407" t="s">
        <v>9045</v>
      </c>
      <c r="H407" t="s">
        <v>9094</v>
      </c>
      <c r="I407" t="s">
        <v>9116</v>
      </c>
      <c r="J407" t="s">
        <v>9117</v>
      </c>
      <c r="K407" t="s">
        <v>9118</v>
      </c>
      <c r="L407" t="s">
        <v>9113</v>
      </c>
      <c r="M407" s="42">
        <v>0.52</v>
      </c>
      <c r="N407" s="42">
        <v>1</v>
      </c>
      <c r="O407">
        <v>0.52</v>
      </c>
      <c r="P407" s="42">
        <v>0.52</v>
      </c>
      <c r="Q407">
        <v>0.52</v>
      </c>
      <c r="R407">
        <v>780</v>
      </c>
      <c r="S407">
        <v>780</v>
      </c>
      <c r="T407">
        <v>1500</v>
      </c>
      <c r="U407" t="s">
        <v>8653</v>
      </c>
      <c r="Z407" s="42">
        <v>0.01</v>
      </c>
      <c r="AA407" s="42">
        <v>0.35</v>
      </c>
      <c r="AB407">
        <v>0</v>
      </c>
    </row>
    <row r="408">
      <c r="A408" t="s">
        <v>9119</v>
      </c>
      <c r="B408" t="s">
        <v>7450</v>
      </c>
      <c r="C408" t="s">
        <v>7450</v>
      </c>
      <c r="D408" t="s">
        <v>9120</v>
      </c>
      <c r="E408" t="s">
        <v>9121</v>
      </c>
      <c r="F408" t="s">
        <v>6966</v>
      </c>
      <c r="G408" t="s">
        <v>7453</v>
      </c>
      <c r="H408" t="s">
        <v>9122</v>
      </c>
      <c r="I408" t="s">
        <v>9116</v>
      </c>
      <c r="J408" t="s">
        <v>9117</v>
      </c>
      <c r="K408">
        <v>0</v>
      </c>
      <c r="L408" t="s">
        <v>9123</v>
      </c>
      <c r="M408" s="42">
        <v>0.75</v>
      </c>
      <c r="N408" s="42">
        <v>0.3</v>
      </c>
      <c r="O408">
        <v>0.75</v>
      </c>
      <c r="P408" s="42">
        <v>0.85608</v>
      </c>
      <c r="Q408">
        <v>0.91</v>
      </c>
      <c r="R408">
        <v>2769</v>
      </c>
      <c r="S408">
        <v>2769</v>
      </c>
      <c r="T408">
        <v>3000</v>
      </c>
      <c r="U408" t="s">
        <v>8653</v>
      </c>
      <c r="Z408" s="42">
        <v>0.01</v>
      </c>
      <c r="AA408" s="42">
        <v>0.35</v>
      </c>
      <c r="AB408">
        <v>0</v>
      </c>
    </row>
    <row r="409">
      <c r="A409" t="s">
        <v>9124</v>
      </c>
      <c r="B409" t="s">
        <v>7450</v>
      </c>
      <c r="C409" t="s">
        <v>7450</v>
      </c>
      <c r="D409" t="s">
        <v>9120</v>
      </c>
      <c r="E409" t="s">
        <v>9125</v>
      </c>
      <c r="F409" t="s">
        <v>6966</v>
      </c>
      <c r="G409" t="s">
        <v>7453</v>
      </c>
      <c r="H409" t="s">
        <v>9122</v>
      </c>
      <c r="I409" t="s">
        <v>9126</v>
      </c>
      <c r="L409" t="s">
        <v>9127</v>
      </c>
      <c r="M409" s="42">
        <v>0.875</v>
      </c>
      <c r="N409" s="42">
        <v>0.3</v>
      </c>
      <c r="O409">
        <v>0.875</v>
      </c>
      <c r="P409" s="42">
        <v>0.80377</v>
      </c>
      <c r="Q409">
        <v>0.78</v>
      </c>
      <c r="R409">
        <v>2769.23</v>
      </c>
      <c r="S409">
        <v>2769.23</v>
      </c>
      <c r="T409">
        <v>3000</v>
      </c>
      <c r="U409" t="s">
        <v>8653</v>
      </c>
      <c r="Z409" s="42">
        <v>0.01</v>
      </c>
      <c r="AA409" s="42">
        <v>0.35</v>
      </c>
      <c r="AB409">
        <v>0</v>
      </c>
    </row>
    <row r="410">
      <c r="A410" t="s">
        <v>9128</v>
      </c>
      <c r="B410" t="s">
        <v>7450</v>
      </c>
      <c r="C410" t="s">
        <v>7450</v>
      </c>
      <c r="D410" t="s">
        <v>9120</v>
      </c>
      <c r="E410" t="s">
        <v>9129</v>
      </c>
      <c r="F410" t="s">
        <v>6966</v>
      </c>
      <c r="G410" t="s">
        <v>7453</v>
      </c>
      <c r="H410" t="s">
        <v>9122</v>
      </c>
      <c r="I410" t="s">
        <v>9130</v>
      </c>
      <c r="K410">
        <v>0</v>
      </c>
      <c r="L410" t="s">
        <v>9127</v>
      </c>
      <c r="M410" s="42">
        <v>0.975</v>
      </c>
      <c r="N410" s="42">
        <v>0.4</v>
      </c>
      <c r="O410">
        <v>0.975</v>
      </c>
      <c r="P410" s="42">
        <v>0.9825</v>
      </c>
      <c r="Q410">
        <v>1.06</v>
      </c>
      <c r="R410">
        <v>3384.62</v>
      </c>
      <c r="S410">
        <v>3384.62</v>
      </c>
      <c r="T410">
        <v>3000</v>
      </c>
      <c r="U410" t="s">
        <v>8653</v>
      </c>
      <c r="Z410" s="42">
        <v>0.01</v>
      </c>
      <c r="AA410" s="42">
        <v>0.35</v>
      </c>
      <c r="AB410">
        <v>0</v>
      </c>
    </row>
    <row r="411">
      <c r="A411" t="s">
        <v>9131</v>
      </c>
      <c r="B411" t="s">
        <v>7450</v>
      </c>
      <c r="C411" t="s">
        <v>7450</v>
      </c>
      <c r="D411" t="s">
        <v>9120</v>
      </c>
      <c r="E411" t="s">
        <v>9132</v>
      </c>
      <c r="F411" t="s">
        <v>6966</v>
      </c>
      <c r="G411" t="s">
        <v>7453</v>
      </c>
      <c r="H411" t="s">
        <v>9122</v>
      </c>
      <c r="I411" t="s">
        <v>9133</v>
      </c>
      <c r="L411" t="s">
        <v>9127</v>
      </c>
      <c r="M411" s="42">
        <v>0.95</v>
      </c>
      <c r="N411" s="42">
        <v>0.3</v>
      </c>
      <c r="O411">
        <v>0.95</v>
      </c>
      <c r="P411" s="42">
        <v>0.81354</v>
      </c>
      <c r="Q411">
        <v>0.81</v>
      </c>
      <c r="R411">
        <v>2769.23</v>
      </c>
      <c r="S411">
        <v>2769.23</v>
      </c>
      <c r="T411">
        <v>3000</v>
      </c>
      <c r="U411" t="s">
        <v>8653</v>
      </c>
      <c r="Z411" s="42">
        <v>0.01</v>
      </c>
      <c r="AA411" s="42">
        <v>0.35</v>
      </c>
      <c r="AB411">
        <v>0</v>
      </c>
    </row>
    <row r="412">
      <c r="A412" t="s">
        <v>9134</v>
      </c>
      <c r="B412" t="s">
        <v>7450</v>
      </c>
      <c r="C412" t="s">
        <v>7450</v>
      </c>
      <c r="D412" t="s">
        <v>9120</v>
      </c>
      <c r="E412" t="s">
        <v>9135</v>
      </c>
      <c r="F412" t="s">
        <v>6966</v>
      </c>
      <c r="G412" t="s">
        <v>7453</v>
      </c>
      <c r="H412" t="s">
        <v>9122</v>
      </c>
      <c r="I412" t="s">
        <v>9136</v>
      </c>
      <c r="L412" t="s">
        <v>9127</v>
      </c>
      <c r="M412" s="42">
        <v>1</v>
      </c>
      <c r="N412" s="42">
        <v>0.3</v>
      </c>
      <c r="O412">
        <v>100</v>
      </c>
      <c r="P412" s="42">
        <v>1</v>
      </c>
      <c r="Q412">
        <v>0.91</v>
      </c>
      <c r="R412">
        <v>2769.23</v>
      </c>
      <c r="S412">
        <v>2769.23</v>
      </c>
      <c r="T412">
        <v>3000</v>
      </c>
      <c r="U412" t="s">
        <v>8653</v>
      </c>
      <c r="Z412" s="42">
        <v>0.01</v>
      </c>
      <c r="AA412" s="42">
        <v>0.35</v>
      </c>
      <c r="AB412">
        <v>0</v>
      </c>
    </row>
    <row r="413">
      <c r="A413" t="s">
        <v>9137</v>
      </c>
      <c r="B413" t="s">
        <v>7450</v>
      </c>
      <c r="C413" t="s">
        <v>7450</v>
      </c>
      <c r="D413" t="s">
        <v>9120</v>
      </c>
      <c r="E413" t="s">
        <v>9138</v>
      </c>
      <c r="F413" t="s">
        <v>6966</v>
      </c>
      <c r="G413" t="s">
        <v>7453</v>
      </c>
      <c r="H413" t="s">
        <v>9122</v>
      </c>
      <c r="I413" t="s">
        <v>9139</v>
      </c>
      <c r="L413" t="s">
        <v>9127</v>
      </c>
      <c r="M413" s="42">
        <v>1</v>
      </c>
      <c r="N413" s="42">
        <v>0.3</v>
      </c>
      <c r="O413">
        <v>30</v>
      </c>
      <c r="P413" s="42">
        <v>0.91546</v>
      </c>
      <c r="Q413">
        <v>0.92</v>
      </c>
      <c r="R413">
        <v>3384.62</v>
      </c>
      <c r="S413">
        <v>3384.62</v>
      </c>
      <c r="T413">
        <v>3000</v>
      </c>
      <c r="U413" t="s">
        <v>8653</v>
      </c>
      <c r="Z413" s="42">
        <v>0.01</v>
      </c>
      <c r="AA413" s="42">
        <v>0.35</v>
      </c>
      <c r="AB413">
        <v>0</v>
      </c>
    </row>
    <row r="414">
      <c r="A414" t="s">
        <v>9140</v>
      </c>
      <c r="B414" t="s">
        <v>7450</v>
      </c>
      <c r="C414" t="s">
        <v>7450</v>
      </c>
      <c r="D414" t="s">
        <v>9120</v>
      </c>
      <c r="E414" t="s">
        <v>9141</v>
      </c>
      <c r="F414" t="s">
        <v>6966</v>
      </c>
      <c r="G414" t="s">
        <v>7453</v>
      </c>
      <c r="H414" t="s">
        <v>9122</v>
      </c>
      <c r="I414" t="s">
        <v>9142</v>
      </c>
      <c r="M414" s="42">
        <v>1</v>
      </c>
      <c r="N414" s="42">
        <v>0.3</v>
      </c>
      <c r="O414">
        <v>0.95</v>
      </c>
      <c r="P414" s="42">
        <v>0.6</v>
      </c>
      <c r="Q414">
        <v>0.45</v>
      </c>
      <c r="R414">
        <v>2461.54</v>
      </c>
      <c r="S414">
        <v>2461.54</v>
      </c>
      <c r="T414">
        <v>3000</v>
      </c>
      <c r="U414" t="s">
        <v>8653</v>
      </c>
      <c r="Z414" s="42">
        <v>0.01</v>
      </c>
      <c r="AA414" s="42">
        <v>0.35</v>
      </c>
      <c r="AB414">
        <v>0</v>
      </c>
    </row>
    <row r="415">
      <c r="A415" t="s">
        <v>9143</v>
      </c>
      <c r="B415" t="s">
        <v>7450</v>
      </c>
      <c r="C415" t="s">
        <v>7450</v>
      </c>
      <c r="D415" t="s">
        <v>9120</v>
      </c>
      <c r="E415" t="s">
        <v>9144</v>
      </c>
      <c r="F415" t="s">
        <v>6966</v>
      </c>
      <c r="G415" t="s">
        <v>7453</v>
      </c>
      <c r="H415" t="s">
        <v>9122</v>
      </c>
      <c r="I415" t="s">
        <v>9145</v>
      </c>
      <c r="M415" s="42">
        <v>1</v>
      </c>
      <c r="N415" s="42">
        <v>0.3</v>
      </c>
      <c r="O415">
        <v>100</v>
      </c>
      <c r="P415" s="42">
        <v>0.97435</v>
      </c>
      <c r="Q415">
        <v>0.97</v>
      </c>
      <c r="R415">
        <v>3384.62</v>
      </c>
      <c r="S415">
        <v>3384.62</v>
      </c>
      <c r="T415">
        <v>3000</v>
      </c>
      <c r="U415" t="s">
        <v>8653</v>
      </c>
      <c r="Z415" s="42">
        <v>0.01</v>
      </c>
      <c r="AA415" s="42">
        <v>0.35</v>
      </c>
      <c r="AB415">
        <v>0</v>
      </c>
    </row>
    <row r="416">
      <c r="A416" t="s">
        <v>9146</v>
      </c>
      <c r="B416" t="s">
        <v>7450</v>
      </c>
      <c r="C416" t="s">
        <v>7450</v>
      </c>
      <c r="D416" t="s">
        <v>9120</v>
      </c>
      <c r="E416" t="s">
        <v>9147</v>
      </c>
      <c r="F416" t="s">
        <v>6966</v>
      </c>
      <c r="G416" t="s">
        <v>7453</v>
      </c>
      <c r="H416" t="s">
        <v>9122</v>
      </c>
      <c r="I416" t="s">
        <v>9142</v>
      </c>
      <c r="M416" s="42">
        <v>1</v>
      </c>
      <c r="N416" s="42">
        <v>0.3</v>
      </c>
      <c r="O416">
        <v>100</v>
      </c>
      <c r="P416" s="42">
        <v>0.81581</v>
      </c>
      <c r="Q416">
        <v>0.82</v>
      </c>
      <c r="R416">
        <v>2769.23</v>
      </c>
      <c r="S416">
        <v>2769.23</v>
      </c>
      <c r="T416">
        <v>3000</v>
      </c>
      <c r="U416" t="s">
        <v>8653</v>
      </c>
      <c r="Z416" s="42">
        <v>0.01</v>
      </c>
      <c r="AA416" s="42">
        <v>0.35</v>
      </c>
      <c r="AB416">
        <v>0</v>
      </c>
    </row>
    <row r="417">
      <c r="A417" t="s">
        <v>9148</v>
      </c>
      <c r="B417" t="s">
        <v>7450</v>
      </c>
      <c r="C417" t="s">
        <v>7450</v>
      </c>
      <c r="D417" t="s">
        <v>9120</v>
      </c>
      <c r="E417" t="s">
        <v>9149</v>
      </c>
      <c r="F417" t="s">
        <v>6966</v>
      </c>
      <c r="G417" t="s">
        <v>7453</v>
      </c>
      <c r="H417" t="s">
        <v>9122</v>
      </c>
      <c r="I417" t="s">
        <v>9150</v>
      </c>
      <c r="M417" s="42">
        <v>1</v>
      </c>
      <c r="N417" s="42">
        <v>0.3</v>
      </c>
      <c r="O417">
        <v>1</v>
      </c>
      <c r="P417" s="42">
        <v>0.93073</v>
      </c>
      <c r="Q417">
        <v>1.08</v>
      </c>
      <c r="R417">
        <v>3692.31</v>
      </c>
      <c r="S417">
        <v>3692.31</v>
      </c>
      <c r="T417">
        <v>3000</v>
      </c>
      <c r="U417" t="s">
        <v>8653</v>
      </c>
      <c r="Z417" s="42">
        <v>0.01</v>
      </c>
      <c r="AA417" s="42">
        <v>0.35</v>
      </c>
      <c r="AB417">
        <v>0</v>
      </c>
    </row>
    <row r="418">
      <c r="A418" t="s">
        <v>9151</v>
      </c>
      <c r="B418" t="s">
        <v>7450</v>
      </c>
      <c r="C418" t="s">
        <v>7450</v>
      </c>
      <c r="D418" t="s">
        <v>9120</v>
      </c>
      <c r="E418" t="s">
        <v>9152</v>
      </c>
      <c r="F418" t="s">
        <v>6966</v>
      </c>
      <c r="G418" t="s">
        <v>7453</v>
      </c>
      <c r="H418" t="s">
        <v>9122</v>
      </c>
      <c r="I418" t="s">
        <v>9153</v>
      </c>
      <c r="M418" s="42">
        <v>1</v>
      </c>
      <c r="N418" s="42">
        <v>0.3</v>
      </c>
      <c r="O418">
        <v>1</v>
      </c>
      <c r="P418" s="42">
        <v>1</v>
      </c>
      <c r="Q418">
        <v>0.91</v>
      </c>
      <c r="R418">
        <v>3384.62</v>
      </c>
      <c r="S418">
        <v>3384.62</v>
      </c>
      <c r="T418">
        <v>3000</v>
      </c>
      <c r="U418" t="s">
        <v>8653</v>
      </c>
      <c r="Z418" s="42">
        <v>0.01</v>
      </c>
      <c r="AA418" s="42">
        <v>0.35</v>
      </c>
      <c r="AB418">
        <v>0</v>
      </c>
    </row>
    <row r="419">
      <c r="A419" t="s">
        <v>9154</v>
      </c>
      <c r="B419" t="s">
        <v>7450</v>
      </c>
      <c r="C419" t="s">
        <v>7450</v>
      </c>
      <c r="D419" t="s">
        <v>9120</v>
      </c>
      <c r="E419" t="s">
        <v>9155</v>
      </c>
      <c r="F419" t="s">
        <v>6966</v>
      </c>
      <c r="G419" t="s">
        <v>7453</v>
      </c>
      <c r="H419" t="s">
        <v>9122</v>
      </c>
      <c r="I419" t="s">
        <v>9156</v>
      </c>
      <c r="M419" s="42">
        <v>0.75</v>
      </c>
      <c r="N419" s="42">
        <v>0.3</v>
      </c>
      <c r="O419">
        <v>0.75</v>
      </c>
      <c r="P419" s="42">
        <v>0.545</v>
      </c>
      <c r="Q419">
        <v>0.55</v>
      </c>
      <c r="R419">
        <v>2461.54</v>
      </c>
      <c r="S419">
        <v>2461.54</v>
      </c>
      <c r="T419">
        <v>3000</v>
      </c>
      <c r="U419" t="s">
        <v>8653</v>
      </c>
      <c r="Z419" s="42">
        <v>0.01</v>
      </c>
      <c r="AA419" s="42">
        <v>0.35</v>
      </c>
      <c r="AB419">
        <v>0</v>
      </c>
    </row>
    <row r="420">
      <c r="A420" t="s">
        <v>9157</v>
      </c>
      <c r="B420" t="s">
        <v>7450</v>
      </c>
      <c r="C420" t="s">
        <v>7450</v>
      </c>
      <c r="D420" t="s">
        <v>9120</v>
      </c>
      <c r="E420" t="s">
        <v>9158</v>
      </c>
      <c r="F420" t="s">
        <v>6966</v>
      </c>
      <c r="G420" t="s">
        <v>7453</v>
      </c>
      <c r="H420" t="s">
        <v>7454</v>
      </c>
      <c r="I420" t="s">
        <v>9159</v>
      </c>
      <c r="M420" s="42">
        <v>1</v>
      </c>
      <c r="N420" s="42">
        <v>0.1</v>
      </c>
      <c r="O420">
        <v>1</v>
      </c>
      <c r="P420" s="42">
        <v>0.975</v>
      </c>
      <c r="Q420">
        <v>0.98</v>
      </c>
      <c r="R420">
        <v>0</v>
      </c>
      <c r="S420">
        <v>0</v>
      </c>
      <c r="T420">
        <v>3000</v>
      </c>
      <c r="U420" t="s">
        <v>8653</v>
      </c>
      <c r="Z420" s="42">
        <v>0.01</v>
      </c>
      <c r="AA420" s="42">
        <v>0.35</v>
      </c>
      <c r="AB420">
        <v>0</v>
      </c>
    </row>
    <row r="421">
      <c r="A421" t="s">
        <v>9160</v>
      </c>
      <c r="B421" t="s">
        <v>8525</v>
      </c>
      <c r="C421" t="s">
        <v>8525</v>
      </c>
      <c r="D421" t="s">
        <v>8705</v>
      </c>
      <c r="E421" t="s">
        <v>9161</v>
      </c>
      <c r="F421" t="s">
        <v>6966</v>
      </c>
      <c r="G421" t="s">
        <v>9162</v>
      </c>
      <c r="H421" t="s">
        <v>9163</v>
      </c>
      <c r="I421" t="s">
        <v>9164</v>
      </c>
      <c r="J421" t="s">
        <v>9165</v>
      </c>
      <c r="K421" t="s">
        <v>9166</v>
      </c>
      <c r="L421" t="s">
        <v>9167</v>
      </c>
      <c r="M421" s="42">
        <v>0.684</v>
      </c>
      <c r="N421" s="42">
        <v>0.5</v>
      </c>
      <c r="O421">
        <v>0.7524</v>
      </c>
      <c r="P421" s="42">
        <v>0.842</v>
      </c>
      <c r="Q421">
        <v>0.88</v>
      </c>
      <c r="R421">
        <v>264</v>
      </c>
      <c r="S421">
        <v>464</v>
      </c>
      <c r="T421">
        <v>500</v>
      </c>
      <c r="U421" t="s">
        <v>8653</v>
      </c>
      <c r="Z421" s="42">
        <v>0.01</v>
      </c>
      <c r="AA421" s="42">
        <v>0.35</v>
      </c>
      <c r="AB421">
        <v>0</v>
      </c>
    </row>
    <row r="422">
      <c r="A422" t="s">
        <v>9168</v>
      </c>
      <c r="B422" t="s">
        <v>8544</v>
      </c>
      <c r="C422" t="s">
        <v>8544</v>
      </c>
      <c r="D422" t="s">
        <v>7362</v>
      </c>
      <c r="E422" t="s">
        <v>9169</v>
      </c>
      <c r="F422" t="s">
        <v>6966</v>
      </c>
      <c r="G422" t="s">
        <v>9170</v>
      </c>
      <c r="H422" t="s">
        <v>8565</v>
      </c>
      <c r="J422" t="s">
        <v>7225</v>
      </c>
      <c r="K422" t="s">
        <v>9171</v>
      </c>
      <c r="L422" t="s">
        <v>9167</v>
      </c>
      <c r="M422" s="42">
        <v>0.38</v>
      </c>
      <c r="N422" s="42">
        <v>0.8</v>
      </c>
      <c r="O422">
        <v>0.38</v>
      </c>
      <c r="P422" s="42">
        <v>0.504</v>
      </c>
      <c r="Q422">
        <v>0.5</v>
      </c>
      <c r="R422">
        <v>3000</v>
      </c>
      <c r="S422">
        <v>3000</v>
      </c>
      <c r="T422">
        <v>1500</v>
      </c>
      <c r="U422" t="s">
        <v>8653</v>
      </c>
      <c r="Z422" s="42">
        <v>0.01</v>
      </c>
      <c r="AA422" s="42">
        <v>0.35</v>
      </c>
      <c r="AB422">
        <v>0</v>
      </c>
    </row>
    <row r="423">
      <c r="A423" t="s">
        <v>9172</v>
      </c>
      <c r="B423" t="s">
        <v>8544</v>
      </c>
      <c r="C423" t="s">
        <v>8544</v>
      </c>
      <c r="D423" t="s">
        <v>7362</v>
      </c>
      <c r="E423" t="s">
        <v>9173</v>
      </c>
      <c r="F423" t="s">
        <v>6966</v>
      </c>
      <c r="G423" t="s">
        <v>9170</v>
      </c>
      <c r="H423" t="s">
        <v>9174</v>
      </c>
      <c r="I423" t="s">
        <v>9175</v>
      </c>
      <c r="J423" t="s">
        <v>9175</v>
      </c>
      <c r="K423" t="s">
        <v>9176</v>
      </c>
      <c r="L423" t="s">
        <v>9167</v>
      </c>
      <c r="M423" s="42">
        <v>0.63</v>
      </c>
      <c r="N423" s="42">
        <v>0.2</v>
      </c>
      <c r="O423">
        <v>0.38</v>
      </c>
      <c r="P423" s="42">
        <v>0.198</v>
      </c>
      <c r="Q423">
        <v>0.13</v>
      </c>
      <c r="R423">
        <v>1500</v>
      </c>
      <c r="S423">
        <v>1500</v>
      </c>
      <c r="T423">
        <v>1500</v>
      </c>
      <c r="U423" t="s">
        <v>8653</v>
      </c>
      <c r="Z423" s="42">
        <v>0.01</v>
      </c>
      <c r="AA423" s="42">
        <v>0.35</v>
      </c>
      <c r="AB423">
        <v>0</v>
      </c>
    </row>
    <row r="424">
      <c r="A424" t="s">
        <v>9177</v>
      </c>
      <c r="B424" t="s">
        <v>8544</v>
      </c>
      <c r="C424" t="s">
        <v>8544</v>
      </c>
      <c r="D424" t="s">
        <v>7362</v>
      </c>
      <c r="E424" t="s">
        <v>9178</v>
      </c>
      <c r="F424" t="s">
        <v>6966</v>
      </c>
      <c r="G424" t="s">
        <v>9170</v>
      </c>
      <c r="H424" t="s">
        <v>9174</v>
      </c>
      <c r="I424" t="s">
        <v>9179</v>
      </c>
      <c r="J424" t="s">
        <v>9180</v>
      </c>
      <c r="K424" t="s">
        <v>9181</v>
      </c>
      <c r="L424" t="s">
        <v>9167</v>
      </c>
      <c r="M424" s="42">
        <v>0.66</v>
      </c>
      <c r="N424" s="42">
        <v>0.2</v>
      </c>
      <c r="O424">
        <v>0</v>
      </c>
      <c r="P424" s="42">
        <v>0.2148</v>
      </c>
      <c r="Q424">
        <v>0.07</v>
      </c>
      <c r="R424">
        <v>0</v>
      </c>
      <c r="S424">
        <v>0</v>
      </c>
      <c r="T424">
        <v>1500</v>
      </c>
      <c r="U424" t="s">
        <v>8653</v>
      </c>
      <c r="Z424" s="42">
        <v>0.01</v>
      </c>
      <c r="AA424" s="42">
        <v>0.35</v>
      </c>
      <c r="AB424">
        <v>0</v>
      </c>
    </row>
    <row r="425">
      <c r="A425" t="s">
        <v>9182</v>
      </c>
      <c r="B425" t="s">
        <v>8544</v>
      </c>
      <c r="C425" t="s">
        <v>8544</v>
      </c>
      <c r="D425" t="s">
        <v>7362</v>
      </c>
      <c r="E425" t="s">
        <v>9183</v>
      </c>
      <c r="F425" t="s">
        <v>6966</v>
      </c>
      <c r="G425" t="s">
        <v>9170</v>
      </c>
      <c r="H425" t="s">
        <v>8554</v>
      </c>
      <c r="I425" t="s">
        <v>9184</v>
      </c>
      <c r="J425" t="s">
        <v>7694</v>
      </c>
      <c r="K425" t="s">
        <v>9185</v>
      </c>
      <c r="L425" t="s">
        <v>9167</v>
      </c>
      <c r="M425" s="42">
        <v>0.83</v>
      </c>
      <c r="N425" s="42">
        <v>0.2</v>
      </c>
      <c r="O425">
        <v>0.83</v>
      </c>
      <c r="P425" s="42">
        <v>1.434547</v>
      </c>
      <c r="Q425">
        <v>0.66</v>
      </c>
      <c r="R425">
        <v>990</v>
      </c>
      <c r="S425">
        <v>990</v>
      </c>
      <c r="T425">
        <v>1500</v>
      </c>
      <c r="U425" t="s">
        <v>8653</v>
      </c>
      <c r="Z425" s="42">
        <v>0.01</v>
      </c>
      <c r="AA425" s="42">
        <v>0.35</v>
      </c>
      <c r="AB425">
        <v>0</v>
      </c>
    </row>
    <row r="426">
      <c r="A426" t="s">
        <v>9186</v>
      </c>
      <c r="B426" t="s">
        <v>9187</v>
      </c>
      <c r="C426" t="s">
        <v>9187</v>
      </c>
      <c r="D426" t="s">
        <v>7362</v>
      </c>
      <c r="E426" t="s">
        <v>9188</v>
      </c>
      <c r="F426" t="s">
        <v>6966</v>
      </c>
      <c r="G426" t="s">
        <v>9189</v>
      </c>
      <c r="H426" t="s">
        <v>9190</v>
      </c>
      <c r="I426" t="s">
        <v>9191</v>
      </c>
      <c r="J426" t="s">
        <v>9192</v>
      </c>
      <c r="K426">
        <v>0</v>
      </c>
      <c r="L426" t="s">
        <v>9193</v>
      </c>
      <c r="M426" s="42">
        <v>0.03</v>
      </c>
      <c r="N426" s="42">
        <v>1</v>
      </c>
      <c r="O426">
        <v>3</v>
      </c>
      <c r="P426" s="42">
        <v>0.03</v>
      </c>
      <c r="Q426">
        <v>3</v>
      </c>
      <c r="R426">
        <v>3360</v>
      </c>
      <c r="S426">
        <v>3360</v>
      </c>
      <c r="T426">
        <v>1200</v>
      </c>
      <c r="U426" t="s">
        <v>8653</v>
      </c>
      <c r="Z426" s="42">
        <v>0.01</v>
      </c>
      <c r="AA426" s="42">
        <v>0.35</v>
      </c>
      <c r="AB426">
        <v>0</v>
      </c>
    </row>
    <row r="427">
      <c r="A427" t="s">
        <v>9194</v>
      </c>
      <c r="B427" t="s">
        <v>9187</v>
      </c>
      <c r="C427" t="s">
        <v>9187</v>
      </c>
      <c r="D427" t="s">
        <v>7362</v>
      </c>
      <c r="E427" t="s">
        <v>9195</v>
      </c>
      <c r="F427" t="s">
        <v>6966</v>
      </c>
      <c r="G427" t="s">
        <v>9189</v>
      </c>
      <c r="H427" t="s">
        <v>9190</v>
      </c>
      <c r="I427" t="s">
        <v>9191</v>
      </c>
      <c r="J427" t="s">
        <v>9192</v>
      </c>
      <c r="K427">
        <v>0</v>
      </c>
      <c r="L427" t="s">
        <v>9196</v>
      </c>
      <c r="M427" s="42">
        <v>0.02</v>
      </c>
      <c r="N427" s="42">
        <v>1</v>
      </c>
      <c r="O427">
        <v>2</v>
      </c>
      <c r="P427" s="42">
        <v>0.02</v>
      </c>
      <c r="Q427">
        <v>2</v>
      </c>
      <c r="R427">
        <v>900</v>
      </c>
      <c r="S427">
        <v>900</v>
      </c>
      <c r="T427">
        <v>1500</v>
      </c>
      <c r="U427" t="s">
        <v>8653</v>
      </c>
      <c r="Z427" s="42">
        <v>0.01</v>
      </c>
      <c r="AA427" s="42">
        <v>0.35</v>
      </c>
      <c r="AB427">
        <v>0</v>
      </c>
    </row>
    <row r="428">
      <c r="A428" t="s">
        <v>9197</v>
      </c>
      <c r="B428" t="s">
        <v>9187</v>
      </c>
      <c r="C428" t="s">
        <v>9187</v>
      </c>
      <c r="D428" t="s">
        <v>7362</v>
      </c>
      <c r="E428" t="s">
        <v>9198</v>
      </c>
      <c r="F428" t="s">
        <v>6966</v>
      </c>
      <c r="G428" t="s">
        <v>9189</v>
      </c>
      <c r="H428" t="s">
        <v>9190</v>
      </c>
      <c r="I428" t="s">
        <v>9199</v>
      </c>
      <c r="K428">
        <v>0</v>
      </c>
      <c r="L428" t="s">
        <v>9200</v>
      </c>
      <c r="M428" s="42">
        <v>0.035</v>
      </c>
      <c r="N428" s="42">
        <v>0.5</v>
      </c>
      <c r="O428">
        <v>0.035</v>
      </c>
      <c r="P428" s="42">
        <v>0.6175</v>
      </c>
      <c r="Q428">
        <v>0.64</v>
      </c>
      <c r="R428">
        <v>960</v>
      </c>
      <c r="S428">
        <v>960</v>
      </c>
      <c r="T428">
        <v>1500</v>
      </c>
      <c r="U428" t="s">
        <v>8653</v>
      </c>
      <c r="Z428" s="42">
        <v>0.01</v>
      </c>
      <c r="AA428" s="42">
        <v>0.35</v>
      </c>
      <c r="AB428">
        <v>0</v>
      </c>
    </row>
    <row r="429">
      <c r="A429" t="s">
        <v>9201</v>
      </c>
      <c r="B429" t="s">
        <v>9187</v>
      </c>
      <c r="C429" t="s">
        <v>9187</v>
      </c>
      <c r="D429" t="s">
        <v>7362</v>
      </c>
      <c r="E429" t="s">
        <v>9202</v>
      </c>
      <c r="F429" t="s">
        <v>6966</v>
      </c>
      <c r="G429" t="s">
        <v>9189</v>
      </c>
      <c r="H429" t="s">
        <v>9190</v>
      </c>
      <c r="I429" t="s">
        <v>9191</v>
      </c>
      <c r="K429">
        <v>0</v>
      </c>
      <c r="L429" t="s">
        <v>9203</v>
      </c>
      <c r="M429" s="42">
        <v>0.03</v>
      </c>
      <c r="N429" s="42">
        <v>1</v>
      </c>
      <c r="O429">
        <v>3</v>
      </c>
      <c r="P429" s="42">
        <v>0.03</v>
      </c>
      <c r="Q429">
        <v>3</v>
      </c>
      <c r="R429">
        <v>3600</v>
      </c>
      <c r="S429">
        <v>3600</v>
      </c>
      <c r="T429">
        <v>1500</v>
      </c>
      <c r="U429" t="s">
        <v>8653</v>
      </c>
      <c r="Z429" s="42">
        <v>0.01</v>
      </c>
      <c r="AA429" s="42">
        <v>0.35</v>
      </c>
      <c r="AB429">
        <v>0</v>
      </c>
    </row>
    <row r="430">
      <c r="A430" t="s">
        <v>9204</v>
      </c>
      <c r="B430" t="s">
        <v>9187</v>
      </c>
      <c r="C430" t="s">
        <v>9187</v>
      </c>
      <c r="D430" t="s">
        <v>7362</v>
      </c>
      <c r="E430" t="s">
        <v>9205</v>
      </c>
      <c r="F430" t="s">
        <v>6966</v>
      </c>
      <c r="G430" t="s">
        <v>9189</v>
      </c>
      <c r="H430" t="s">
        <v>9190</v>
      </c>
      <c r="I430" t="s">
        <v>9191</v>
      </c>
      <c r="K430">
        <v>0</v>
      </c>
      <c r="L430" t="s">
        <v>9206</v>
      </c>
      <c r="M430" s="42">
        <v>0.02</v>
      </c>
      <c r="N430" s="42">
        <v>1</v>
      </c>
      <c r="O430">
        <v>2</v>
      </c>
      <c r="P430" s="42">
        <v>0.02</v>
      </c>
      <c r="Q430">
        <v>2</v>
      </c>
      <c r="R430">
        <v>840</v>
      </c>
      <c r="S430">
        <v>840</v>
      </c>
      <c r="T430">
        <v>1500</v>
      </c>
      <c r="U430" t="s">
        <v>8653</v>
      </c>
      <c r="Z430" s="42">
        <v>0.01</v>
      </c>
      <c r="AA430" s="42">
        <v>0.35</v>
      </c>
      <c r="AB430">
        <v>0</v>
      </c>
    </row>
    <row r="431">
      <c r="A431" t="s">
        <v>9207</v>
      </c>
      <c r="B431" t="s">
        <v>9187</v>
      </c>
      <c r="C431" t="s">
        <v>9187</v>
      </c>
      <c r="D431" t="s">
        <v>7362</v>
      </c>
      <c r="E431" t="s">
        <v>9208</v>
      </c>
      <c r="F431" t="s">
        <v>6966</v>
      </c>
      <c r="G431" t="s">
        <v>9189</v>
      </c>
      <c r="H431" t="s">
        <v>9190</v>
      </c>
      <c r="I431" t="s">
        <v>9191</v>
      </c>
      <c r="K431">
        <v>0</v>
      </c>
      <c r="L431" t="s">
        <v>9209</v>
      </c>
      <c r="M431" s="42">
        <v>0.01</v>
      </c>
      <c r="N431" s="42">
        <v>1</v>
      </c>
      <c r="O431">
        <v>1</v>
      </c>
      <c r="P431" s="42">
        <v>0.01</v>
      </c>
      <c r="Q431">
        <v>1</v>
      </c>
      <c r="R431">
        <v>0</v>
      </c>
      <c r="S431">
        <v>0</v>
      </c>
      <c r="T431">
        <v>1500</v>
      </c>
      <c r="U431" t="s">
        <v>8653</v>
      </c>
      <c r="Z431" s="42">
        <v>0.01</v>
      </c>
      <c r="AA431" s="42">
        <v>0.35</v>
      </c>
      <c r="AB431">
        <v>0</v>
      </c>
    </row>
    <row r="432">
      <c r="A432" t="s">
        <v>9210</v>
      </c>
      <c r="B432" t="s">
        <v>9187</v>
      </c>
      <c r="C432" t="s">
        <v>9187</v>
      </c>
      <c r="D432" t="s">
        <v>7362</v>
      </c>
      <c r="E432" t="s">
        <v>9211</v>
      </c>
      <c r="F432" t="s">
        <v>6966</v>
      </c>
      <c r="G432" t="s">
        <v>9189</v>
      </c>
      <c r="H432" t="s">
        <v>9190</v>
      </c>
      <c r="I432" t="s">
        <v>9191</v>
      </c>
      <c r="K432">
        <v>0</v>
      </c>
      <c r="L432" t="s">
        <v>9212</v>
      </c>
      <c r="M432" s="42">
        <v>0.01</v>
      </c>
      <c r="N432" s="42">
        <v>1</v>
      </c>
      <c r="O432">
        <v>1</v>
      </c>
      <c r="P432" s="42">
        <v>0.01</v>
      </c>
      <c r="Q432">
        <v>1</v>
      </c>
      <c r="R432">
        <v>0</v>
      </c>
      <c r="S432">
        <v>0</v>
      </c>
      <c r="T432">
        <v>1500</v>
      </c>
      <c r="U432" t="s">
        <v>8653</v>
      </c>
      <c r="Z432" s="42">
        <v>0.01</v>
      </c>
      <c r="AA432" s="42">
        <v>0.35</v>
      </c>
      <c r="AB432">
        <v>0</v>
      </c>
    </row>
    <row r="433">
      <c r="A433" t="s">
        <v>9213</v>
      </c>
      <c r="B433" t="s">
        <v>8525</v>
      </c>
      <c r="C433" t="s">
        <v>8525</v>
      </c>
      <c r="D433" t="s">
        <v>7477</v>
      </c>
      <c r="E433" t="s">
        <v>9214</v>
      </c>
      <c r="F433" t="s">
        <v>6966</v>
      </c>
      <c r="G433" t="s">
        <v>8527</v>
      </c>
      <c r="H433" t="s">
        <v>9215</v>
      </c>
      <c r="I433" t="s">
        <v>9216</v>
      </c>
      <c r="J433" t="s">
        <v>9217</v>
      </c>
      <c r="K433" t="s">
        <v>9218</v>
      </c>
      <c r="L433" t="s">
        <v>7040</v>
      </c>
      <c r="M433" s="42">
        <v>1.4575</v>
      </c>
      <c r="N433" s="42">
        <v>0.3</v>
      </c>
      <c r="O433">
        <v>1.5</v>
      </c>
      <c r="P433" s="42">
        <v>1.08697</v>
      </c>
      <c r="Q433">
        <v>1.08</v>
      </c>
      <c r="R433">
        <v>0</v>
      </c>
      <c r="S433">
        <v>0</v>
      </c>
      <c r="T433">
        <v>2000</v>
      </c>
      <c r="U433" t="s">
        <v>8653</v>
      </c>
      <c r="Z433" s="42">
        <v>0.01</v>
      </c>
      <c r="AA433" s="42">
        <v>0.35</v>
      </c>
      <c r="AB433">
        <v>0</v>
      </c>
    </row>
    <row r="434">
      <c r="A434" t="s">
        <v>9219</v>
      </c>
      <c r="B434" t="s">
        <v>8525</v>
      </c>
      <c r="C434" t="s">
        <v>8525</v>
      </c>
      <c r="D434" t="s">
        <v>7477</v>
      </c>
      <c r="E434" t="s">
        <v>9220</v>
      </c>
      <c r="F434" t="s">
        <v>6966</v>
      </c>
      <c r="G434" t="s">
        <v>8527</v>
      </c>
      <c r="H434" t="s">
        <v>9221</v>
      </c>
      <c r="I434" t="s">
        <v>9222</v>
      </c>
      <c r="J434" t="s">
        <v>7225</v>
      </c>
      <c r="K434" t="s">
        <v>9223</v>
      </c>
      <c r="L434" t="s">
        <v>7040</v>
      </c>
      <c r="M434" s="42">
        <v>1.0211</v>
      </c>
      <c r="N434" s="42">
        <v>0.3</v>
      </c>
      <c r="O434">
        <v>1.3274</v>
      </c>
      <c r="P434" s="42">
        <v>0.81183</v>
      </c>
      <c r="Q434">
        <v>0.89</v>
      </c>
      <c r="R434">
        <v>0</v>
      </c>
      <c r="S434">
        <v>0</v>
      </c>
      <c r="T434">
        <v>2000</v>
      </c>
      <c r="U434" t="s">
        <v>8653</v>
      </c>
      <c r="Z434" s="42">
        <v>0.01</v>
      </c>
      <c r="AA434" s="42">
        <v>0.35</v>
      </c>
      <c r="AB434">
        <v>0</v>
      </c>
    </row>
    <row r="435">
      <c r="A435" t="s">
        <v>9224</v>
      </c>
      <c r="B435" t="s">
        <v>8525</v>
      </c>
      <c r="C435" t="s">
        <v>8525</v>
      </c>
      <c r="D435" t="s">
        <v>7477</v>
      </c>
      <c r="E435" t="s">
        <v>9225</v>
      </c>
      <c r="F435" t="s">
        <v>6966</v>
      </c>
      <c r="G435" t="s">
        <v>8527</v>
      </c>
      <c r="H435" t="s">
        <v>8534</v>
      </c>
      <c r="I435" t="s">
        <v>9226</v>
      </c>
      <c r="J435" t="s">
        <v>8536</v>
      </c>
      <c r="K435" t="s">
        <v>9227</v>
      </c>
      <c r="L435" t="s">
        <v>7040</v>
      </c>
      <c r="M435" s="42">
        <v>0.7</v>
      </c>
      <c r="N435" s="42">
        <v>0.2</v>
      </c>
      <c r="O435">
        <v>0.7</v>
      </c>
      <c r="P435" s="42">
        <v>0.63797</v>
      </c>
      <c r="Q435">
        <v>0.66</v>
      </c>
      <c r="R435">
        <v>0</v>
      </c>
      <c r="S435">
        <v>0</v>
      </c>
      <c r="T435">
        <v>2000</v>
      </c>
      <c r="U435" t="s">
        <v>8653</v>
      </c>
      <c r="Z435" s="42">
        <v>0.01</v>
      </c>
      <c r="AA435" s="42">
        <v>0.35</v>
      </c>
      <c r="AB435">
        <v>0</v>
      </c>
    </row>
    <row r="436">
      <c r="A436" t="s">
        <v>9228</v>
      </c>
      <c r="B436" t="s">
        <v>9229</v>
      </c>
      <c r="C436" t="s">
        <v>9229</v>
      </c>
      <c r="D436" t="s">
        <v>7139</v>
      </c>
      <c r="E436" t="s">
        <v>9230</v>
      </c>
      <c r="F436" t="s">
        <v>6966</v>
      </c>
      <c r="G436" t="s">
        <v>9231</v>
      </c>
      <c r="H436" t="s">
        <v>7265</v>
      </c>
      <c r="I436" t="s">
        <v>9232</v>
      </c>
      <c r="J436" s="43">
        <v>1</v>
      </c>
      <c r="L436" t="s">
        <v>9233</v>
      </c>
      <c r="M436" s="42">
        <v>1</v>
      </c>
      <c r="N436" s="42">
        <v>0.4</v>
      </c>
      <c r="O436">
        <v>1</v>
      </c>
      <c r="P436" s="42">
        <v>0.98</v>
      </c>
      <c r="Q436">
        <v>0.98</v>
      </c>
      <c r="R436">
        <v>3800</v>
      </c>
      <c r="S436">
        <v>3800</v>
      </c>
      <c r="T436">
        <v>3800</v>
      </c>
      <c r="U436" t="s">
        <v>8653</v>
      </c>
      <c r="Z436" s="42">
        <v>0.01</v>
      </c>
      <c r="AA436" s="42">
        <v>0.35</v>
      </c>
      <c r="AB436">
        <v>0</v>
      </c>
    </row>
    <row r="437">
      <c r="A437" t="s">
        <v>9234</v>
      </c>
      <c r="B437" t="s">
        <v>9229</v>
      </c>
      <c r="C437" t="s">
        <v>9229</v>
      </c>
      <c r="D437" t="s">
        <v>7139</v>
      </c>
      <c r="E437" t="s">
        <v>9235</v>
      </c>
      <c r="F437" t="s">
        <v>6966</v>
      </c>
      <c r="G437" t="s">
        <v>9231</v>
      </c>
      <c r="H437" t="s">
        <v>7265</v>
      </c>
      <c r="I437" t="s">
        <v>9236</v>
      </c>
      <c r="J437" s="43">
        <v>1</v>
      </c>
      <c r="L437" t="s">
        <v>9237</v>
      </c>
      <c r="M437" s="42">
        <v>1</v>
      </c>
      <c r="N437" s="42">
        <v>0.4</v>
      </c>
      <c r="O437">
        <v>1</v>
      </c>
      <c r="P437" s="42">
        <v>0.98</v>
      </c>
      <c r="Q437">
        <v>0.98</v>
      </c>
      <c r="R437">
        <v>5000</v>
      </c>
      <c r="S437">
        <v>5000</v>
      </c>
      <c r="T437">
        <v>5000</v>
      </c>
      <c r="U437" t="s">
        <v>8653</v>
      </c>
      <c r="Z437" s="42">
        <v>0.01</v>
      </c>
      <c r="AA437" s="42">
        <v>0.35</v>
      </c>
      <c r="AB437">
        <v>0</v>
      </c>
    </row>
    <row r="438">
      <c r="A438" t="s">
        <v>9238</v>
      </c>
      <c r="B438" t="s">
        <v>9229</v>
      </c>
      <c r="C438" t="s">
        <v>9229</v>
      </c>
      <c r="D438" t="s">
        <v>7139</v>
      </c>
      <c r="E438" t="s">
        <v>9239</v>
      </c>
      <c r="F438" t="s">
        <v>6966</v>
      </c>
      <c r="G438" t="s">
        <v>9231</v>
      </c>
      <c r="H438" t="s">
        <v>7265</v>
      </c>
      <c r="I438" t="s">
        <v>9236</v>
      </c>
      <c r="J438" s="43">
        <v>1</v>
      </c>
      <c r="L438" t="s">
        <v>9237</v>
      </c>
      <c r="M438" s="42">
        <v>1</v>
      </c>
      <c r="N438" s="42">
        <v>0.4</v>
      </c>
      <c r="O438">
        <v>1</v>
      </c>
      <c r="P438" s="42">
        <v>0.98</v>
      </c>
      <c r="Q438">
        <v>0.98</v>
      </c>
      <c r="R438">
        <v>5000</v>
      </c>
      <c r="S438">
        <v>5000</v>
      </c>
      <c r="T438">
        <v>5000</v>
      </c>
      <c r="U438" t="s">
        <v>8653</v>
      </c>
      <c r="Z438" s="42">
        <v>0.01</v>
      </c>
      <c r="AA438" s="42">
        <v>0.35</v>
      </c>
      <c r="AB438">
        <v>0</v>
      </c>
    </row>
    <row r="439">
      <c r="A439" t="s">
        <v>9240</v>
      </c>
      <c r="B439" t="s">
        <v>9229</v>
      </c>
      <c r="C439" t="s">
        <v>9229</v>
      </c>
      <c r="D439" t="s">
        <v>7000</v>
      </c>
      <c r="E439" t="s">
        <v>9241</v>
      </c>
      <c r="F439" t="s">
        <v>6966</v>
      </c>
      <c r="G439" t="s">
        <v>9231</v>
      </c>
      <c r="H439" t="s">
        <v>9242</v>
      </c>
      <c r="I439" t="s">
        <v>9243</v>
      </c>
      <c r="J439" s="43">
        <v>1</v>
      </c>
      <c r="K439" s="43">
        <v>1</v>
      </c>
      <c r="L439" t="s">
        <v>9237</v>
      </c>
      <c r="M439" s="42">
        <v>1</v>
      </c>
      <c r="N439" s="42">
        <v>0.4</v>
      </c>
      <c r="O439">
        <v>1</v>
      </c>
      <c r="P439" s="42">
        <v>0.98</v>
      </c>
      <c r="Q439">
        <v>0.98</v>
      </c>
      <c r="R439">
        <v>5000</v>
      </c>
      <c r="S439">
        <v>5000</v>
      </c>
      <c r="T439">
        <v>5000</v>
      </c>
      <c r="U439" t="s">
        <v>8653</v>
      </c>
      <c r="Z439" s="42">
        <v>0.01</v>
      </c>
      <c r="AA439" s="42">
        <v>0.35</v>
      </c>
      <c r="AB439">
        <v>0</v>
      </c>
    </row>
    <row r="440">
      <c r="A440" t="s">
        <v>9244</v>
      </c>
      <c r="B440" t="s">
        <v>9229</v>
      </c>
      <c r="C440" t="s">
        <v>9229</v>
      </c>
      <c r="D440" t="s">
        <v>7139</v>
      </c>
      <c r="E440" t="s">
        <v>9245</v>
      </c>
      <c r="F440" t="s">
        <v>6966</v>
      </c>
      <c r="G440" t="s">
        <v>9231</v>
      </c>
      <c r="H440" t="s">
        <v>7265</v>
      </c>
      <c r="I440" t="s">
        <v>9233</v>
      </c>
      <c r="J440" s="43">
        <v>1</v>
      </c>
      <c r="L440" t="s">
        <v>9246</v>
      </c>
      <c r="M440" s="42">
        <v>1</v>
      </c>
      <c r="N440" s="42">
        <v>0.4</v>
      </c>
      <c r="O440">
        <v>1</v>
      </c>
      <c r="P440" s="42">
        <v>0.98</v>
      </c>
      <c r="Q440">
        <v>0.98</v>
      </c>
      <c r="R440">
        <v>5000</v>
      </c>
      <c r="S440">
        <v>5000</v>
      </c>
      <c r="T440">
        <v>5000</v>
      </c>
      <c r="U440" t="s">
        <v>8653</v>
      </c>
      <c r="Z440" s="42">
        <v>0.01</v>
      </c>
      <c r="AA440" s="42">
        <v>0.35</v>
      </c>
      <c r="AB440">
        <v>0</v>
      </c>
    </row>
    <row r="441">
      <c r="A441" t="s">
        <v>9247</v>
      </c>
      <c r="B441" t="s">
        <v>9229</v>
      </c>
      <c r="C441" t="s">
        <v>9229</v>
      </c>
      <c r="D441" t="s">
        <v>8672</v>
      </c>
      <c r="E441" t="s">
        <v>9248</v>
      </c>
      <c r="F441" t="s">
        <v>6966</v>
      </c>
      <c r="G441" t="s">
        <v>9231</v>
      </c>
      <c r="H441" t="s">
        <v>7265</v>
      </c>
      <c r="I441" t="s">
        <v>9249</v>
      </c>
      <c r="J441" s="43">
        <v>1</v>
      </c>
      <c r="L441" t="s">
        <v>9246</v>
      </c>
      <c r="M441" s="42">
        <v>1</v>
      </c>
      <c r="N441" s="42">
        <v>0.25</v>
      </c>
      <c r="O441">
        <v>1.5</v>
      </c>
      <c r="P441" s="42">
        <v>0.7738</v>
      </c>
      <c r="Q441">
        <v>0.99</v>
      </c>
      <c r="R441">
        <v>0</v>
      </c>
      <c r="S441">
        <v>0</v>
      </c>
      <c r="T441">
        <v>3400</v>
      </c>
      <c r="U441" t="s">
        <v>8653</v>
      </c>
      <c r="Z441" s="42">
        <v>0.01</v>
      </c>
      <c r="AA441" s="42">
        <v>0.35</v>
      </c>
      <c r="AB441">
        <v>0</v>
      </c>
    </row>
    <row r="442">
      <c r="A442" t="s">
        <v>9250</v>
      </c>
      <c r="B442" t="s">
        <v>9229</v>
      </c>
      <c r="C442" t="s">
        <v>9229</v>
      </c>
      <c r="D442" t="s">
        <v>7000</v>
      </c>
      <c r="E442" t="s">
        <v>9251</v>
      </c>
      <c r="F442" t="s">
        <v>6966</v>
      </c>
      <c r="G442" t="s">
        <v>9231</v>
      </c>
      <c r="H442" t="s">
        <v>9242</v>
      </c>
      <c r="I442" t="s">
        <v>9233</v>
      </c>
      <c r="J442" s="43">
        <v>1</v>
      </c>
      <c r="K442" s="43">
        <v>1</v>
      </c>
      <c r="L442" t="s">
        <v>9246</v>
      </c>
      <c r="M442" s="42">
        <v>1</v>
      </c>
      <c r="N442" s="42">
        <v>0.4</v>
      </c>
      <c r="O442">
        <v>1</v>
      </c>
      <c r="P442" s="42">
        <v>0.94</v>
      </c>
      <c r="Q442">
        <v>0.98</v>
      </c>
      <c r="R442">
        <v>0</v>
      </c>
      <c r="S442">
        <v>0</v>
      </c>
      <c r="T442">
        <v>5000</v>
      </c>
      <c r="U442" t="s">
        <v>8653</v>
      </c>
      <c r="Z442" s="42">
        <v>0.01</v>
      </c>
      <c r="AA442" s="42">
        <v>0.35</v>
      </c>
      <c r="AB442">
        <v>0</v>
      </c>
    </row>
    <row r="443">
      <c r="A443" t="s">
        <v>9252</v>
      </c>
      <c r="B443" t="s">
        <v>9229</v>
      </c>
      <c r="C443" t="s">
        <v>9229</v>
      </c>
      <c r="D443" t="s">
        <v>9253</v>
      </c>
      <c r="E443" t="s">
        <v>9254</v>
      </c>
      <c r="F443" t="s">
        <v>6966</v>
      </c>
      <c r="G443" t="s">
        <v>9231</v>
      </c>
      <c r="H443" t="s">
        <v>9242</v>
      </c>
      <c r="I443" t="s">
        <v>9232</v>
      </c>
      <c r="J443" t="s">
        <v>9255</v>
      </c>
      <c r="K443" t="s">
        <v>9256</v>
      </c>
      <c r="L443" t="s">
        <v>7957</v>
      </c>
      <c r="M443" s="42">
        <v>0.85</v>
      </c>
      <c r="N443" s="42">
        <v>0.4</v>
      </c>
      <c r="O443">
        <v>85</v>
      </c>
      <c r="P443" s="42">
        <v>0.85</v>
      </c>
      <c r="Q443">
        <v>85</v>
      </c>
      <c r="R443">
        <v>0</v>
      </c>
      <c r="S443">
        <v>0</v>
      </c>
      <c r="T443">
        <v>0</v>
      </c>
      <c r="U443" t="s">
        <v>8653</v>
      </c>
      <c r="Z443" s="42">
        <v>0.01</v>
      </c>
      <c r="AA443" s="42">
        <v>0.35</v>
      </c>
      <c r="AB443">
        <v>0</v>
      </c>
    </row>
    <row r="444">
      <c r="A444" t="s">
        <v>9257</v>
      </c>
      <c r="B444" t="s">
        <v>9258</v>
      </c>
      <c r="C444" t="s">
        <v>9258</v>
      </c>
      <c r="D444" t="s">
        <v>8790</v>
      </c>
      <c r="E444" t="s">
        <v>9259</v>
      </c>
      <c r="F444" t="s">
        <v>6966</v>
      </c>
      <c r="G444" t="s">
        <v>9260</v>
      </c>
      <c r="H444" t="s">
        <v>9261</v>
      </c>
      <c r="I444" t="s">
        <v>9262</v>
      </c>
      <c r="J444" s="43">
        <v>0.08</v>
      </c>
      <c r="K444" s="42">
        <v>0.083</v>
      </c>
      <c r="L444" t="s">
        <v>7957</v>
      </c>
      <c r="M444" s="42">
        <v>0.99</v>
      </c>
      <c r="N444" s="42">
        <v>0.3</v>
      </c>
      <c r="O444">
        <v>99</v>
      </c>
      <c r="P444" s="42">
        <v>0.651</v>
      </c>
      <c r="Q444">
        <v>0.65</v>
      </c>
      <c r="R444">
        <v>1800</v>
      </c>
      <c r="S444">
        <v>1800</v>
      </c>
      <c r="T444">
        <v>5000</v>
      </c>
      <c r="U444" t="s">
        <v>8653</v>
      </c>
      <c r="Z444" s="42">
        <v>0.01</v>
      </c>
      <c r="AA444" s="42">
        <v>0.35</v>
      </c>
      <c r="AB444">
        <v>0</v>
      </c>
    </row>
    <row r="445">
      <c r="A445" t="s">
        <v>9263</v>
      </c>
      <c r="B445" t="s">
        <v>9264</v>
      </c>
      <c r="C445" t="s">
        <v>9264</v>
      </c>
      <c r="D445" t="s">
        <v>8790</v>
      </c>
      <c r="E445" t="s">
        <v>9265</v>
      </c>
      <c r="F445" t="s">
        <v>6966</v>
      </c>
      <c r="G445" t="s">
        <v>9260</v>
      </c>
      <c r="H445" t="s">
        <v>9266</v>
      </c>
      <c r="I445" t="s">
        <v>9267</v>
      </c>
      <c r="J445" t="s">
        <v>9268</v>
      </c>
      <c r="K445" t="s">
        <v>9269</v>
      </c>
      <c r="L445" t="s">
        <v>9270</v>
      </c>
      <c r="M445" s="42">
        <v>1.28</v>
      </c>
      <c r="N445" s="42">
        <v>0.3</v>
      </c>
      <c r="O445">
        <v>1.28</v>
      </c>
      <c r="P445" s="42">
        <v>0.384</v>
      </c>
      <c r="Q445">
        <v>0.38</v>
      </c>
      <c r="R445">
        <v>0</v>
      </c>
      <c r="S445">
        <v>0</v>
      </c>
      <c r="T445">
        <v>5000</v>
      </c>
      <c r="U445" t="s">
        <v>8653</v>
      </c>
      <c r="Z445" s="42">
        <v>0.01</v>
      </c>
      <c r="AA445" s="42">
        <v>0.35</v>
      </c>
      <c r="AB445">
        <v>0</v>
      </c>
    </row>
    <row r="446">
      <c r="A446" t="s">
        <v>9271</v>
      </c>
      <c r="B446" t="s">
        <v>7331</v>
      </c>
      <c r="C446" t="s">
        <v>7331</v>
      </c>
      <c r="D446" t="s">
        <v>8790</v>
      </c>
      <c r="E446" t="s">
        <v>9272</v>
      </c>
      <c r="F446" t="s">
        <v>6966</v>
      </c>
      <c r="G446" t="s">
        <v>9260</v>
      </c>
      <c r="H446" t="s">
        <v>9266</v>
      </c>
      <c r="I446" t="s">
        <v>9273</v>
      </c>
      <c r="J446" t="s">
        <v>9274</v>
      </c>
      <c r="K446" t="s">
        <v>9275</v>
      </c>
      <c r="L446" t="s">
        <v>9270</v>
      </c>
      <c r="M446" s="42">
        <v>1.05282</v>
      </c>
      <c r="N446" s="42">
        <v>0.3</v>
      </c>
      <c r="O446">
        <v>1.053</v>
      </c>
      <c r="P446" s="42">
        <v>1.028846</v>
      </c>
      <c r="Q446">
        <v>1.03</v>
      </c>
      <c r="R446">
        <v>4200</v>
      </c>
      <c r="S446">
        <v>4200</v>
      </c>
      <c r="T446">
        <v>5000</v>
      </c>
      <c r="U446" t="s">
        <v>8653</v>
      </c>
      <c r="Z446" s="42">
        <v>0.01</v>
      </c>
      <c r="AA446" s="42">
        <v>0.35</v>
      </c>
      <c r="AB446">
        <v>0</v>
      </c>
    </row>
    <row r="447">
      <c r="A447" t="s">
        <v>9276</v>
      </c>
      <c r="B447" t="s">
        <v>9187</v>
      </c>
      <c r="C447" t="s">
        <v>9187</v>
      </c>
      <c r="D447" t="s">
        <v>8790</v>
      </c>
      <c r="E447" t="s">
        <v>9277</v>
      </c>
      <c r="F447" t="s">
        <v>6966</v>
      </c>
      <c r="G447" t="s">
        <v>9260</v>
      </c>
      <c r="H447" t="s">
        <v>9266</v>
      </c>
      <c r="I447" t="s">
        <v>9278</v>
      </c>
      <c r="J447" t="s">
        <v>9279</v>
      </c>
      <c r="K447" t="s">
        <v>9280</v>
      </c>
      <c r="M447" s="42">
        <v>1.5</v>
      </c>
      <c r="N447" s="42">
        <v>0.3</v>
      </c>
      <c r="O447">
        <v>1.5</v>
      </c>
      <c r="P447" s="42">
        <v>1.191</v>
      </c>
      <c r="Q447">
        <v>1.19</v>
      </c>
      <c r="R447">
        <v>5400</v>
      </c>
      <c r="S447">
        <v>5400</v>
      </c>
      <c r="T447">
        <v>5000</v>
      </c>
      <c r="U447" t="s">
        <v>8653</v>
      </c>
      <c r="Z447" s="42">
        <v>0.01</v>
      </c>
      <c r="AA447" s="42">
        <v>0.35</v>
      </c>
      <c r="AB447">
        <v>0</v>
      </c>
    </row>
    <row r="448">
      <c r="A448" t="s">
        <v>9281</v>
      </c>
      <c r="B448" t="s">
        <v>8712</v>
      </c>
      <c r="C448" t="s">
        <v>8712</v>
      </c>
      <c r="D448" t="s">
        <v>8806</v>
      </c>
      <c r="E448" t="s">
        <v>9282</v>
      </c>
      <c r="F448" t="s">
        <v>6966</v>
      </c>
      <c r="G448" t="s">
        <v>9260</v>
      </c>
      <c r="H448" t="s">
        <v>9266</v>
      </c>
      <c r="I448" t="s">
        <v>9283</v>
      </c>
      <c r="J448" t="s">
        <v>9284</v>
      </c>
      <c r="K448" t="s">
        <v>9285</v>
      </c>
      <c r="L448" t="s">
        <v>9286</v>
      </c>
      <c r="M448" s="42">
        <v>0.7685</v>
      </c>
      <c r="N448" s="42">
        <v>0.3</v>
      </c>
      <c r="O448">
        <v>0.7685</v>
      </c>
      <c r="P448" s="42">
        <v>0.95575</v>
      </c>
      <c r="Q448">
        <v>0.7</v>
      </c>
      <c r="R448">
        <v>0</v>
      </c>
      <c r="S448">
        <v>0</v>
      </c>
      <c r="T448">
        <v>5000</v>
      </c>
      <c r="U448" t="s">
        <v>8653</v>
      </c>
      <c r="Z448" s="42">
        <v>0.01</v>
      </c>
      <c r="AA448" s="42">
        <v>0.35</v>
      </c>
      <c r="AB448">
        <v>0</v>
      </c>
    </row>
    <row r="449">
      <c r="A449" t="s">
        <v>9287</v>
      </c>
      <c r="B449" t="s">
        <v>9288</v>
      </c>
      <c r="C449" t="s">
        <v>9288</v>
      </c>
      <c r="D449" t="s">
        <v>8790</v>
      </c>
      <c r="E449" t="s">
        <v>9289</v>
      </c>
      <c r="F449" t="s">
        <v>6966</v>
      </c>
      <c r="G449" t="s">
        <v>9260</v>
      </c>
      <c r="H449" t="s">
        <v>9266</v>
      </c>
      <c r="I449" t="s">
        <v>9290</v>
      </c>
      <c r="J449" t="s">
        <v>9291</v>
      </c>
      <c r="K449" t="s">
        <v>9292</v>
      </c>
      <c r="L449" t="s">
        <v>9293</v>
      </c>
      <c r="M449" s="42">
        <v>0.234</v>
      </c>
      <c r="N449" s="42">
        <v>0.3</v>
      </c>
      <c r="O449">
        <v>0.23</v>
      </c>
      <c r="P449" s="42">
        <v>0.1702</v>
      </c>
      <c r="Q449">
        <v>0.17</v>
      </c>
      <c r="R449">
        <v>0</v>
      </c>
      <c r="S449">
        <v>0</v>
      </c>
      <c r="T449">
        <v>5000</v>
      </c>
      <c r="U449" t="s">
        <v>8653</v>
      </c>
      <c r="Z449" s="42">
        <v>0.01</v>
      </c>
      <c r="AA449" s="42">
        <v>0.35</v>
      </c>
      <c r="AB449">
        <v>0</v>
      </c>
    </row>
    <row r="450">
      <c r="A450" t="s">
        <v>9294</v>
      </c>
      <c r="B450" t="s">
        <v>8525</v>
      </c>
      <c r="C450" t="s">
        <v>8525</v>
      </c>
      <c r="D450" t="s">
        <v>8705</v>
      </c>
      <c r="E450" t="s">
        <v>9295</v>
      </c>
      <c r="F450" t="s">
        <v>6966</v>
      </c>
      <c r="G450" t="s">
        <v>9296</v>
      </c>
      <c r="H450" t="s">
        <v>9297</v>
      </c>
      <c r="I450" t="s">
        <v>9298</v>
      </c>
      <c r="J450" t="s">
        <v>8142</v>
      </c>
      <c r="K450" t="s">
        <v>9299</v>
      </c>
      <c r="L450" t="s">
        <v>9300</v>
      </c>
      <c r="M450" s="42">
        <v>1.09</v>
      </c>
      <c r="N450" s="42">
        <v>0.4</v>
      </c>
      <c r="O450">
        <v>1.09</v>
      </c>
      <c r="P450" s="42">
        <v>0.836</v>
      </c>
      <c r="Q450">
        <v>0.84</v>
      </c>
      <c r="R450">
        <v>419</v>
      </c>
      <c r="S450">
        <v>419</v>
      </c>
      <c r="T450">
        <v>500</v>
      </c>
      <c r="U450" t="s">
        <v>9298</v>
      </c>
      <c r="X450">
        <v>54.8</v>
      </c>
      <c r="Z450" s="42">
        <v>1.09</v>
      </c>
      <c r="AA450" s="42">
        <v>0.4</v>
      </c>
      <c r="AB450">
        <v>0</v>
      </c>
    </row>
    <row r="451">
      <c r="A451" t="s">
        <v>9301</v>
      </c>
      <c r="B451" t="s">
        <v>8525</v>
      </c>
      <c r="C451" t="s">
        <v>8525</v>
      </c>
      <c r="D451" t="s">
        <v>8705</v>
      </c>
      <c r="E451" t="s">
        <v>9302</v>
      </c>
      <c r="F451" t="s">
        <v>6966</v>
      </c>
      <c r="G451" t="s">
        <v>9296</v>
      </c>
      <c r="H451" t="s">
        <v>9297</v>
      </c>
      <c r="I451" t="s">
        <v>9303</v>
      </c>
      <c r="J451" t="s">
        <v>7571</v>
      </c>
      <c r="K451" t="s">
        <v>7618</v>
      </c>
      <c r="L451" t="s">
        <v>9304</v>
      </c>
      <c r="M451" s="42">
        <v>0.6</v>
      </c>
      <c r="N451" s="42">
        <v>0.4</v>
      </c>
      <c r="O451">
        <v>0.6</v>
      </c>
      <c r="P451" s="42">
        <v>0.84</v>
      </c>
      <c r="Q451">
        <v>0.84</v>
      </c>
      <c r="R451">
        <v>420</v>
      </c>
      <c r="S451">
        <v>420</v>
      </c>
      <c r="T451">
        <v>500</v>
      </c>
      <c r="U451" t="s">
        <v>9303</v>
      </c>
      <c r="V451" t="s">
        <v>9305</v>
      </c>
      <c r="W451" t="s">
        <v>7571</v>
      </c>
      <c r="X451" t="s">
        <v>7618</v>
      </c>
      <c r="Z451" s="42">
        <v>0.6</v>
      </c>
      <c r="AA451" s="42">
        <v>0.4</v>
      </c>
      <c r="AB451">
        <v>0</v>
      </c>
    </row>
    <row r="452">
      <c r="A452" t="s">
        <v>9306</v>
      </c>
      <c r="B452" t="s">
        <v>8525</v>
      </c>
      <c r="C452" t="s">
        <v>8525</v>
      </c>
      <c r="D452" t="s">
        <v>8705</v>
      </c>
      <c r="E452" t="s">
        <v>9307</v>
      </c>
      <c r="F452" t="s">
        <v>6966</v>
      </c>
      <c r="G452" t="s">
        <v>9296</v>
      </c>
      <c r="H452" t="s">
        <v>9297</v>
      </c>
      <c r="I452" t="s">
        <v>9308</v>
      </c>
      <c r="J452" t="s">
        <v>8536</v>
      </c>
      <c r="K452" t="s">
        <v>9309</v>
      </c>
      <c r="L452" t="s">
        <v>9310</v>
      </c>
      <c r="M452" s="42">
        <v>0.45</v>
      </c>
      <c r="N452" s="42">
        <v>0.4</v>
      </c>
      <c r="O452">
        <v>0.45</v>
      </c>
      <c r="P452" s="42">
        <v>0.5272</v>
      </c>
      <c r="Q452">
        <v>0.53</v>
      </c>
      <c r="R452">
        <v>263.5</v>
      </c>
      <c r="S452">
        <v>263.5</v>
      </c>
      <c r="T452">
        <v>500</v>
      </c>
      <c r="U452" t="s">
        <v>9308</v>
      </c>
      <c r="W452" t="s">
        <v>8536</v>
      </c>
      <c r="X452" t="s">
        <v>9309</v>
      </c>
      <c r="Z452" s="42">
        <v>0.45</v>
      </c>
      <c r="AA452" s="42">
        <v>0.4</v>
      </c>
      <c r="AB452">
        <v>18</v>
      </c>
    </row>
    <row r="453">
      <c r="A453" t="s">
        <v>9311</v>
      </c>
      <c r="B453" t="s">
        <v>8696</v>
      </c>
      <c r="C453" t="s">
        <v>8696</v>
      </c>
      <c r="D453" t="s">
        <v>7271</v>
      </c>
      <c r="E453" t="s">
        <v>9312</v>
      </c>
      <c r="F453" t="s">
        <v>6966</v>
      </c>
      <c r="G453" t="s">
        <v>9313</v>
      </c>
      <c r="H453" t="s">
        <v>9314</v>
      </c>
      <c r="I453" t="s">
        <v>9315</v>
      </c>
      <c r="J453">
        <v>1</v>
      </c>
      <c r="K453">
        <v>1.82</v>
      </c>
      <c r="L453" t="s">
        <v>9316</v>
      </c>
      <c r="M453" s="42">
        <v>1.82</v>
      </c>
      <c r="N453" s="42">
        <v>0.3</v>
      </c>
      <c r="O453">
        <v>1.5</v>
      </c>
      <c r="P453" s="42">
        <v>1.346</v>
      </c>
      <c r="Q453">
        <v>1.35</v>
      </c>
      <c r="R453">
        <v>6000</v>
      </c>
      <c r="S453">
        <v>6000</v>
      </c>
      <c r="T453">
        <v>5000</v>
      </c>
      <c r="U453" t="s">
        <v>9317</v>
      </c>
      <c r="W453" t="s">
        <v>9318</v>
      </c>
      <c r="X453" t="s">
        <v>7267</v>
      </c>
      <c r="Z453" s="42">
        <v>0</v>
      </c>
      <c r="AA453" s="42">
        <v>0.2</v>
      </c>
      <c r="AB453">
        <v>0</v>
      </c>
    </row>
    <row r="454">
      <c r="A454" t="s">
        <v>9319</v>
      </c>
      <c r="B454" t="s">
        <v>8696</v>
      </c>
      <c r="C454" t="s">
        <v>8696</v>
      </c>
      <c r="D454" t="s">
        <v>7000</v>
      </c>
      <c r="E454" t="s">
        <v>9320</v>
      </c>
      <c r="F454" t="s">
        <v>6966</v>
      </c>
      <c r="G454" t="s">
        <v>9313</v>
      </c>
      <c r="H454" t="s">
        <v>9314</v>
      </c>
      <c r="I454" t="s">
        <v>9321</v>
      </c>
      <c r="J454">
        <v>1</v>
      </c>
      <c r="K454">
        <v>1.8</v>
      </c>
      <c r="L454" t="s">
        <v>9322</v>
      </c>
      <c r="M454" s="42">
        <v>1.8</v>
      </c>
      <c r="N454" s="42">
        <v>0.3</v>
      </c>
      <c r="O454">
        <v>1.5</v>
      </c>
      <c r="P454" s="42">
        <v>1.21286</v>
      </c>
      <c r="Q454">
        <v>1.17</v>
      </c>
      <c r="R454">
        <v>4000</v>
      </c>
      <c r="S454">
        <v>4000</v>
      </c>
      <c r="T454">
        <v>5000</v>
      </c>
      <c r="U454" t="s">
        <v>9317</v>
      </c>
      <c r="W454" t="s">
        <v>9318</v>
      </c>
      <c r="X454" t="s">
        <v>7267</v>
      </c>
      <c r="Z454" s="42">
        <v>0</v>
      </c>
      <c r="AA454" s="42">
        <v>0.2</v>
      </c>
      <c r="AB454">
        <v>0</v>
      </c>
    </row>
    <row r="455">
      <c r="A455" t="s">
        <v>9323</v>
      </c>
      <c r="B455" t="s">
        <v>9324</v>
      </c>
      <c r="C455" t="s">
        <v>9324</v>
      </c>
      <c r="D455" t="s">
        <v>7000</v>
      </c>
      <c r="E455" t="s">
        <v>9325</v>
      </c>
      <c r="F455" t="s">
        <v>6966</v>
      </c>
      <c r="G455" t="s">
        <v>9326</v>
      </c>
      <c r="H455" t="s">
        <v>9327</v>
      </c>
      <c r="I455" t="s">
        <v>9328</v>
      </c>
      <c r="J455">
        <v>100</v>
      </c>
      <c r="K455">
        <v>1</v>
      </c>
      <c r="L455" t="s">
        <v>9329</v>
      </c>
      <c r="M455" s="42">
        <v>1</v>
      </c>
      <c r="N455" s="42">
        <v>0.15</v>
      </c>
      <c r="O455">
        <v>1</v>
      </c>
      <c r="P455" s="42">
        <v>1.02215</v>
      </c>
      <c r="Q455">
        <v>1.02</v>
      </c>
      <c r="R455">
        <v>6120</v>
      </c>
      <c r="S455">
        <v>6120</v>
      </c>
      <c r="T455">
        <v>6000</v>
      </c>
      <c r="U455" t="s">
        <v>9317</v>
      </c>
      <c r="W455" t="s">
        <v>9318</v>
      </c>
      <c r="X455" t="s">
        <v>7267</v>
      </c>
      <c r="Z455" s="42">
        <v>0</v>
      </c>
      <c r="AA455" s="42">
        <v>0.2</v>
      </c>
      <c r="AB455">
        <v>0</v>
      </c>
    </row>
    <row r="456">
      <c r="A456" t="s">
        <v>9330</v>
      </c>
      <c r="B456" t="s">
        <v>9324</v>
      </c>
      <c r="C456" t="s">
        <v>9324</v>
      </c>
      <c r="D456" t="s">
        <v>7000</v>
      </c>
      <c r="E456" t="s">
        <v>9331</v>
      </c>
      <c r="F456" t="s">
        <v>6966</v>
      </c>
      <c r="G456" t="s">
        <v>9326</v>
      </c>
      <c r="H456" t="s">
        <v>9327</v>
      </c>
      <c r="I456" t="s">
        <v>9332</v>
      </c>
      <c r="J456" t="s">
        <v>9333</v>
      </c>
      <c r="K456">
        <v>1</v>
      </c>
      <c r="L456" t="s">
        <v>9334</v>
      </c>
      <c r="M456" s="42">
        <v>1</v>
      </c>
      <c r="N456" s="42">
        <v>0.15</v>
      </c>
      <c r="O456">
        <v>1</v>
      </c>
      <c r="P456" s="42">
        <v>0.86215</v>
      </c>
      <c r="Q456">
        <v>0.86</v>
      </c>
      <c r="R456">
        <v>5160</v>
      </c>
      <c r="S456">
        <v>5160</v>
      </c>
      <c r="T456">
        <v>6000</v>
      </c>
      <c r="U456" t="s">
        <v>9317</v>
      </c>
      <c r="W456" t="s">
        <v>9318</v>
      </c>
      <c r="X456" t="s">
        <v>7267</v>
      </c>
      <c r="Z456" s="42">
        <v>0</v>
      </c>
      <c r="AA456" s="42">
        <v>0.2</v>
      </c>
      <c r="AB456">
        <v>0</v>
      </c>
    </row>
    <row r="457">
      <c r="A457" t="s">
        <v>9335</v>
      </c>
      <c r="B457" t="s">
        <v>8789</v>
      </c>
      <c r="C457" t="s">
        <v>8789</v>
      </c>
      <c r="D457" t="s">
        <v>7355</v>
      </c>
      <c r="E457" t="s">
        <v>9336</v>
      </c>
      <c r="F457" t="s">
        <v>6966</v>
      </c>
      <c r="G457" t="s">
        <v>9337</v>
      </c>
      <c r="H457" t="s">
        <v>9338</v>
      </c>
      <c r="I457" t="s">
        <v>9339</v>
      </c>
      <c r="J457" t="s">
        <v>9340</v>
      </c>
      <c r="K457" t="s">
        <v>9341</v>
      </c>
      <c r="L457" t="s">
        <v>9334</v>
      </c>
      <c r="M457" s="42">
        <v>2.20152</v>
      </c>
      <c r="N457" s="42">
        <v>0.6</v>
      </c>
      <c r="O457">
        <v>1.5</v>
      </c>
      <c r="P457" s="42">
        <v>1.58961</v>
      </c>
      <c r="Q457">
        <v>1.17</v>
      </c>
      <c r="R457">
        <v>5758.6</v>
      </c>
      <c r="S457">
        <v>5758.6</v>
      </c>
      <c r="T457">
        <v>5000</v>
      </c>
      <c r="U457" t="s">
        <v>9317</v>
      </c>
      <c r="W457" t="s">
        <v>9318</v>
      </c>
      <c r="X457" t="s">
        <v>7267</v>
      </c>
      <c r="Z457" s="42">
        <v>0</v>
      </c>
      <c r="AA457" s="42">
        <v>0.2</v>
      </c>
      <c r="AB457">
        <v>0</v>
      </c>
    </row>
    <row r="458">
      <c r="A458" t="s">
        <v>9342</v>
      </c>
      <c r="B458" t="s">
        <v>8789</v>
      </c>
      <c r="C458" t="s">
        <v>8789</v>
      </c>
      <c r="D458" t="s">
        <v>7355</v>
      </c>
      <c r="E458" t="s">
        <v>9343</v>
      </c>
      <c r="F458" t="s">
        <v>6966</v>
      </c>
      <c r="G458" t="s">
        <v>9337</v>
      </c>
      <c r="H458" t="s">
        <v>9338</v>
      </c>
      <c r="I458" t="s">
        <v>9344</v>
      </c>
      <c r="J458" t="s">
        <v>7343</v>
      </c>
      <c r="K458" t="s">
        <v>9345</v>
      </c>
      <c r="L458" t="s">
        <v>9346</v>
      </c>
      <c r="M458" s="42">
        <v>1.6</v>
      </c>
      <c r="N458" s="42">
        <v>0.6</v>
      </c>
      <c r="O458">
        <v>1.5</v>
      </c>
      <c r="P458" s="42">
        <v>1.304</v>
      </c>
      <c r="Q458">
        <v>1.24</v>
      </c>
      <c r="R458">
        <v>5803.99</v>
      </c>
      <c r="S458">
        <v>5803.99</v>
      </c>
      <c r="T458">
        <v>5000</v>
      </c>
      <c r="U458" t="s">
        <v>9317</v>
      </c>
      <c r="W458" t="s">
        <v>9318</v>
      </c>
      <c r="X458" t="s">
        <v>7267</v>
      </c>
      <c r="Z458" s="42">
        <v>0</v>
      </c>
      <c r="AA458" s="42">
        <v>0.2</v>
      </c>
      <c r="AB458">
        <v>0</v>
      </c>
    </row>
    <row r="459">
      <c r="A459" t="s">
        <v>9347</v>
      </c>
      <c r="B459" t="s">
        <v>8789</v>
      </c>
      <c r="C459" t="s">
        <v>8789</v>
      </c>
      <c r="D459" t="s">
        <v>7000</v>
      </c>
      <c r="E459" t="s">
        <v>9348</v>
      </c>
      <c r="F459" t="s">
        <v>6966</v>
      </c>
      <c r="G459" t="s">
        <v>9337</v>
      </c>
      <c r="H459" t="s">
        <v>9338</v>
      </c>
      <c r="I459" t="s">
        <v>9349</v>
      </c>
      <c r="J459" t="s">
        <v>9340</v>
      </c>
      <c r="K459" t="s">
        <v>9350</v>
      </c>
      <c r="L459" t="s">
        <v>9346</v>
      </c>
      <c r="M459" s="42">
        <v>2.224957</v>
      </c>
      <c r="N459" s="42">
        <v>0.6</v>
      </c>
      <c r="O459">
        <v>1.5</v>
      </c>
      <c r="P459" s="42">
        <v>1.453671</v>
      </c>
      <c r="Q459">
        <v>1.12</v>
      </c>
      <c r="R459">
        <v>6726.18</v>
      </c>
      <c r="S459">
        <v>6726.18</v>
      </c>
      <c r="T459">
        <v>6000</v>
      </c>
      <c r="U459" t="s">
        <v>9317</v>
      </c>
      <c r="W459" t="s">
        <v>9318</v>
      </c>
      <c r="X459" t="s">
        <v>7267</v>
      </c>
      <c r="Z459" s="42">
        <v>0</v>
      </c>
      <c r="AA459" s="42">
        <v>0.2</v>
      </c>
      <c r="AB459">
        <v>0</v>
      </c>
    </row>
    <row r="460">
      <c r="A460" t="s">
        <v>9351</v>
      </c>
      <c r="B460" t="s">
        <v>8789</v>
      </c>
      <c r="C460" t="s">
        <v>8789</v>
      </c>
      <c r="D460" t="s">
        <v>7355</v>
      </c>
      <c r="E460" t="s">
        <v>9352</v>
      </c>
      <c r="F460" t="s">
        <v>6966</v>
      </c>
      <c r="G460" t="s">
        <v>9337</v>
      </c>
      <c r="H460" t="s">
        <v>9338</v>
      </c>
      <c r="I460" t="s">
        <v>9353</v>
      </c>
      <c r="J460">
        <v>4</v>
      </c>
      <c r="K460">
        <v>2</v>
      </c>
      <c r="L460" t="s">
        <v>9346</v>
      </c>
      <c r="M460" s="42">
        <v>0.5</v>
      </c>
      <c r="N460" s="42">
        <v>0.3</v>
      </c>
      <c r="O460">
        <v>0.5</v>
      </c>
      <c r="P460" s="42">
        <v>0.47865</v>
      </c>
      <c r="Q460">
        <v>0.48</v>
      </c>
      <c r="R460">
        <v>2711.22</v>
      </c>
      <c r="S460">
        <v>2711.22</v>
      </c>
      <c r="T460">
        <v>5000</v>
      </c>
      <c r="U460" t="s">
        <v>9317</v>
      </c>
      <c r="W460" t="s">
        <v>9318</v>
      </c>
      <c r="X460" t="s">
        <v>7267</v>
      </c>
      <c r="Z460" s="42">
        <v>0</v>
      </c>
      <c r="AA460" s="42">
        <v>0.2</v>
      </c>
      <c r="AB460">
        <v>0</v>
      </c>
    </row>
    <row r="461">
      <c r="A461" t="s">
        <v>9354</v>
      </c>
      <c r="B461" t="s">
        <v>8789</v>
      </c>
      <c r="C461" t="s">
        <v>8789</v>
      </c>
      <c r="D461" t="s">
        <v>7362</v>
      </c>
      <c r="E461" t="s">
        <v>9355</v>
      </c>
      <c r="F461" t="s">
        <v>6966</v>
      </c>
      <c r="G461" t="s">
        <v>9356</v>
      </c>
      <c r="H461" t="s">
        <v>9357</v>
      </c>
      <c r="I461" t="s">
        <v>9358</v>
      </c>
      <c r="J461" t="s">
        <v>9340</v>
      </c>
      <c r="K461" t="s">
        <v>9359</v>
      </c>
      <c r="L461" t="s">
        <v>9346</v>
      </c>
      <c r="M461" s="42">
        <v>0.703</v>
      </c>
      <c r="N461" s="42">
        <v>1</v>
      </c>
      <c r="O461">
        <v>0.7</v>
      </c>
      <c r="P461" s="42">
        <v>0.703</v>
      </c>
      <c r="Q461">
        <v>0.7</v>
      </c>
      <c r="R461">
        <v>3000</v>
      </c>
      <c r="S461">
        <v>3000</v>
      </c>
      <c r="T461">
        <v>1500</v>
      </c>
      <c r="U461" t="s">
        <v>9317</v>
      </c>
      <c r="W461" t="s">
        <v>9318</v>
      </c>
      <c r="X461" t="s">
        <v>7267</v>
      </c>
      <c r="Z461" s="42">
        <v>0</v>
      </c>
      <c r="AA461" s="42">
        <v>0.2</v>
      </c>
      <c r="AB461">
        <v>0</v>
      </c>
    </row>
    <row r="462">
      <c r="A462" t="s">
        <v>9360</v>
      </c>
      <c r="B462" t="s">
        <v>8789</v>
      </c>
      <c r="C462" t="s">
        <v>8789</v>
      </c>
      <c r="D462" t="s">
        <v>8239</v>
      </c>
      <c r="E462" t="s">
        <v>9361</v>
      </c>
      <c r="F462" t="s">
        <v>6966</v>
      </c>
      <c r="G462" t="s">
        <v>9356</v>
      </c>
      <c r="H462" t="s">
        <v>9357</v>
      </c>
      <c r="I462" t="s">
        <v>9362</v>
      </c>
      <c r="J462" s="43">
        <v>1</v>
      </c>
      <c r="K462" s="43">
        <v>1.5</v>
      </c>
      <c r="L462" t="s">
        <v>9363</v>
      </c>
      <c r="M462" s="42">
        <v>1.5</v>
      </c>
      <c r="N462" s="42">
        <v>1</v>
      </c>
      <c r="O462">
        <v>1.5</v>
      </c>
      <c r="P462" s="42">
        <v>1.5</v>
      </c>
      <c r="Q462">
        <v>1.5</v>
      </c>
      <c r="R462">
        <v>5000</v>
      </c>
      <c r="S462">
        <v>5000</v>
      </c>
      <c r="T462">
        <v>2000</v>
      </c>
      <c r="U462" t="s">
        <v>9317</v>
      </c>
      <c r="W462" t="s">
        <v>9318</v>
      </c>
      <c r="X462" t="s">
        <v>7267</v>
      </c>
      <c r="Z462" s="42">
        <v>0</v>
      </c>
      <c r="AA462" s="42">
        <v>0.2</v>
      </c>
      <c r="AB462">
        <v>0</v>
      </c>
    </row>
    <row r="463">
      <c r="A463" t="s">
        <v>9364</v>
      </c>
      <c r="B463" t="s">
        <v>8789</v>
      </c>
      <c r="C463" t="s">
        <v>8789</v>
      </c>
      <c r="D463" t="s">
        <v>7362</v>
      </c>
      <c r="E463" t="s">
        <v>9365</v>
      </c>
      <c r="F463" t="s">
        <v>6966</v>
      </c>
      <c r="G463" t="s">
        <v>9356</v>
      </c>
      <c r="H463" t="s">
        <v>9357</v>
      </c>
      <c r="I463" t="s">
        <v>9339</v>
      </c>
      <c r="J463" t="s">
        <v>9366</v>
      </c>
      <c r="K463" t="s">
        <v>9367</v>
      </c>
      <c r="L463" t="s">
        <v>9363</v>
      </c>
      <c r="M463" s="42">
        <v>0.1</v>
      </c>
      <c r="N463" s="42">
        <v>1</v>
      </c>
      <c r="O463">
        <v>0.1</v>
      </c>
      <c r="P463" s="42">
        <v>0.1</v>
      </c>
      <c r="Q463">
        <v>0.1</v>
      </c>
      <c r="R463">
        <v>500</v>
      </c>
      <c r="S463">
        <v>500</v>
      </c>
      <c r="T463">
        <v>1500</v>
      </c>
      <c r="U463" t="s">
        <v>9317</v>
      </c>
      <c r="W463" t="s">
        <v>9318</v>
      </c>
      <c r="X463" t="s">
        <v>7267</v>
      </c>
      <c r="Z463" s="42">
        <v>0</v>
      </c>
      <c r="AA463" s="42">
        <v>0.2</v>
      </c>
      <c r="AB463">
        <v>0</v>
      </c>
    </row>
    <row r="464">
      <c r="A464" t="s">
        <v>9368</v>
      </c>
      <c r="B464" t="s">
        <v>8789</v>
      </c>
      <c r="C464" t="s">
        <v>8789</v>
      </c>
      <c r="D464" t="s">
        <v>7362</v>
      </c>
      <c r="E464" t="s">
        <v>9369</v>
      </c>
      <c r="F464" t="s">
        <v>6966</v>
      </c>
      <c r="G464" t="s">
        <v>9356</v>
      </c>
      <c r="H464" t="s">
        <v>9357</v>
      </c>
      <c r="I464" t="s">
        <v>9370</v>
      </c>
      <c r="J464" s="43">
        <v>1</v>
      </c>
      <c r="K464" s="42">
        <v>0.8023</v>
      </c>
      <c r="L464" t="s">
        <v>9363</v>
      </c>
      <c r="M464" s="42">
        <v>0.4457</v>
      </c>
      <c r="N464" s="42">
        <v>1</v>
      </c>
      <c r="O464">
        <v>0.445</v>
      </c>
      <c r="P464" s="42">
        <v>0.4457</v>
      </c>
      <c r="Q464">
        <v>0.45</v>
      </c>
      <c r="R464">
        <v>800</v>
      </c>
      <c r="S464">
        <v>800</v>
      </c>
      <c r="T464">
        <v>1500</v>
      </c>
      <c r="U464" t="s">
        <v>9317</v>
      </c>
      <c r="W464" t="s">
        <v>9318</v>
      </c>
      <c r="X464" t="s">
        <v>7267</v>
      </c>
      <c r="Z464" s="42">
        <v>0</v>
      </c>
      <c r="AA464" s="42">
        <v>0.2</v>
      </c>
      <c r="AB464">
        <v>0</v>
      </c>
    </row>
    <row r="465">
      <c r="A465" t="s">
        <v>9371</v>
      </c>
      <c r="B465" t="s">
        <v>8789</v>
      </c>
      <c r="C465" t="s">
        <v>8789</v>
      </c>
      <c r="D465" t="s">
        <v>7362</v>
      </c>
      <c r="E465" t="s">
        <v>9372</v>
      </c>
      <c r="F465" t="s">
        <v>6966</v>
      </c>
      <c r="G465" t="s">
        <v>9356</v>
      </c>
      <c r="H465" t="s">
        <v>9357</v>
      </c>
      <c r="I465" t="s">
        <v>9370</v>
      </c>
      <c r="J465" s="43">
        <v>1</v>
      </c>
      <c r="K465" s="42">
        <v>0.8179</v>
      </c>
      <c r="L465" t="s">
        <v>9363</v>
      </c>
      <c r="M465" s="42">
        <v>0.4543</v>
      </c>
      <c r="N465" s="42">
        <v>1</v>
      </c>
      <c r="O465">
        <v>0.453</v>
      </c>
      <c r="P465" s="42">
        <v>0.4543</v>
      </c>
      <c r="Q465">
        <v>0.45</v>
      </c>
      <c r="R465">
        <v>1700</v>
      </c>
      <c r="S465">
        <v>1700</v>
      </c>
      <c r="T465">
        <v>1500</v>
      </c>
      <c r="U465" t="s">
        <v>9317</v>
      </c>
      <c r="W465" t="s">
        <v>9318</v>
      </c>
      <c r="X465" t="s">
        <v>7267</v>
      </c>
      <c r="Z465" s="42">
        <v>0</v>
      </c>
      <c r="AA465" s="42">
        <v>0.2</v>
      </c>
      <c r="AB465">
        <v>0</v>
      </c>
    </row>
    <row r="466">
      <c r="A466" t="s">
        <v>9373</v>
      </c>
      <c r="B466" t="s">
        <v>8789</v>
      </c>
      <c r="C466" t="s">
        <v>8789</v>
      </c>
      <c r="D466" t="s">
        <v>7362</v>
      </c>
      <c r="E466" t="s">
        <v>9374</v>
      </c>
      <c r="F466" t="s">
        <v>6966</v>
      </c>
      <c r="G466" t="s">
        <v>9356</v>
      </c>
      <c r="H466" t="s">
        <v>9357</v>
      </c>
      <c r="I466" t="s">
        <v>9375</v>
      </c>
      <c r="J466" s="43">
        <v>1</v>
      </c>
      <c r="K466" s="42">
        <v>0.0151</v>
      </c>
      <c r="L466" t="s">
        <v>9363</v>
      </c>
      <c r="M466" s="42">
        <v>0.0151</v>
      </c>
      <c r="N466" s="42">
        <v>1</v>
      </c>
      <c r="O466">
        <v>0.0151</v>
      </c>
      <c r="P466" s="42">
        <v>0.0151</v>
      </c>
      <c r="Q466">
        <v>0.02</v>
      </c>
      <c r="R466">
        <v>30</v>
      </c>
      <c r="S466">
        <v>30</v>
      </c>
      <c r="T466">
        <v>1500</v>
      </c>
      <c r="U466" t="s">
        <v>9317</v>
      </c>
      <c r="W466" t="s">
        <v>9318</v>
      </c>
      <c r="X466" t="s">
        <v>7267</v>
      </c>
      <c r="Z466" s="42">
        <v>0</v>
      </c>
      <c r="AA466" s="42">
        <v>0.2</v>
      </c>
      <c r="AB466">
        <v>0</v>
      </c>
    </row>
    <row r="467">
      <c r="A467" t="s">
        <v>9376</v>
      </c>
      <c r="B467" t="s">
        <v>9377</v>
      </c>
      <c r="C467" t="s">
        <v>9377</v>
      </c>
      <c r="D467" t="s">
        <v>7362</v>
      </c>
      <c r="E467" t="s">
        <v>9378</v>
      </c>
      <c r="F467" t="s">
        <v>6966</v>
      </c>
      <c r="G467" t="s">
        <v>9379</v>
      </c>
      <c r="H467" t="s">
        <v>9380</v>
      </c>
      <c r="I467" t="s">
        <v>9381</v>
      </c>
      <c r="J467" t="s">
        <v>7811</v>
      </c>
      <c r="K467" t="s">
        <v>9382</v>
      </c>
      <c r="L467" t="s">
        <v>9383</v>
      </c>
      <c r="M467" s="42">
        <v>0.7419</v>
      </c>
      <c r="N467" s="42">
        <v>0.2</v>
      </c>
      <c r="O467">
        <v>0.7419</v>
      </c>
      <c r="P467" s="42">
        <v>1.184278</v>
      </c>
      <c r="Q467">
        <v>1.15</v>
      </c>
      <c r="R467">
        <v>1549.52</v>
      </c>
      <c r="S467">
        <v>1549.52</v>
      </c>
      <c r="T467">
        <v>1500</v>
      </c>
      <c r="U467" t="s">
        <v>9317</v>
      </c>
      <c r="W467" t="s">
        <v>9318</v>
      </c>
      <c r="X467" t="s">
        <v>7267</v>
      </c>
      <c r="Z467" s="42">
        <v>0</v>
      </c>
      <c r="AA467" s="42">
        <v>0.2</v>
      </c>
      <c r="AB467">
        <v>0</v>
      </c>
    </row>
    <row r="468">
      <c r="A468" t="s">
        <v>9384</v>
      </c>
      <c r="B468" t="s">
        <v>9377</v>
      </c>
      <c r="C468" t="s">
        <v>9377</v>
      </c>
      <c r="D468" t="s">
        <v>7362</v>
      </c>
      <c r="E468" t="s">
        <v>9385</v>
      </c>
      <c r="F468" t="s">
        <v>6966</v>
      </c>
      <c r="G468" t="s">
        <v>9379</v>
      </c>
      <c r="H468" t="s">
        <v>9380</v>
      </c>
      <c r="I468" t="s">
        <v>9386</v>
      </c>
      <c r="J468" t="s">
        <v>9387</v>
      </c>
      <c r="K468" t="s">
        <v>9388</v>
      </c>
      <c r="L468" t="s">
        <v>9389</v>
      </c>
      <c r="M468" s="42">
        <v>1.065823</v>
      </c>
      <c r="N468" s="42">
        <v>0.5</v>
      </c>
      <c r="O468">
        <v>1.07</v>
      </c>
      <c r="P468" s="42">
        <v>0.93476</v>
      </c>
      <c r="Q468">
        <v>0.94</v>
      </c>
      <c r="R468">
        <v>1450.48</v>
      </c>
      <c r="S468">
        <v>1450.48</v>
      </c>
      <c r="T468">
        <v>1500</v>
      </c>
      <c r="U468" t="s">
        <v>9317</v>
      </c>
      <c r="W468" t="s">
        <v>9318</v>
      </c>
      <c r="X468" t="s">
        <v>7267</v>
      </c>
      <c r="Z468" s="42">
        <v>0</v>
      </c>
      <c r="AA468" s="42">
        <v>0.2</v>
      </c>
      <c r="AB468">
        <v>0</v>
      </c>
    </row>
    <row r="469">
      <c r="A469" t="s">
        <v>9390</v>
      </c>
      <c r="B469" t="s">
        <v>9377</v>
      </c>
      <c r="C469" t="s">
        <v>9377</v>
      </c>
      <c r="D469" t="s">
        <v>7362</v>
      </c>
      <c r="E469" t="s">
        <v>9391</v>
      </c>
      <c r="F469" t="s">
        <v>6966</v>
      </c>
      <c r="G469" t="s">
        <v>9379</v>
      </c>
      <c r="H469" t="s">
        <v>9380</v>
      </c>
      <c r="I469" t="s">
        <v>9392</v>
      </c>
      <c r="J469" t="s">
        <v>7225</v>
      </c>
      <c r="K469" t="s">
        <v>9393</v>
      </c>
      <c r="L469" t="s">
        <v>9389</v>
      </c>
      <c r="M469" s="42">
        <v>0.1517</v>
      </c>
      <c r="N469" s="42">
        <v>1</v>
      </c>
      <c r="O469">
        <v>0.1517</v>
      </c>
      <c r="P469" s="42">
        <v>0.1517</v>
      </c>
      <c r="Q469">
        <v>0.15</v>
      </c>
      <c r="R469">
        <v>225</v>
      </c>
      <c r="S469">
        <v>225</v>
      </c>
      <c r="T469">
        <v>1500</v>
      </c>
      <c r="U469" t="s">
        <v>9317</v>
      </c>
      <c r="W469" t="s">
        <v>9318</v>
      </c>
      <c r="X469" t="s">
        <v>7267</v>
      </c>
      <c r="Z469" s="42">
        <v>0</v>
      </c>
      <c r="AA469" s="42">
        <v>0.2</v>
      </c>
      <c r="AB469">
        <v>0</v>
      </c>
    </row>
    <row r="470">
      <c r="A470" t="s">
        <v>9394</v>
      </c>
      <c r="B470" t="s">
        <v>9377</v>
      </c>
      <c r="C470" t="s">
        <v>9377</v>
      </c>
      <c r="D470" t="s">
        <v>7000</v>
      </c>
      <c r="E470" t="s">
        <v>9395</v>
      </c>
      <c r="F470" t="s">
        <v>6966</v>
      </c>
      <c r="G470" t="s">
        <v>9396</v>
      </c>
      <c r="H470" t="s">
        <v>9397</v>
      </c>
      <c r="I470" t="s">
        <v>8561</v>
      </c>
      <c r="J470" s="43">
        <v>1</v>
      </c>
      <c r="K470" s="43">
        <v>0</v>
      </c>
      <c r="L470" t="s">
        <v>9398</v>
      </c>
      <c r="M470" s="42">
        <v>0</v>
      </c>
      <c r="N470" s="42">
        <v>0.1</v>
      </c>
      <c r="O470">
        <v>0</v>
      </c>
      <c r="P470" s="42">
        <v>0.87476</v>
      </c>
      <c r="Q470">
        <v>0.86</v>
      </c>
      <c r="R470">
        <v>6276.4</v>
      </c>
      <c r="S470">
        <v>6276.4</v>
      </c>
      <c r="T470">
        <v>6000</v>
      </c>
      <c r="U470" t="s">
        <v>9317</v>
      </c>
      <c r="W470" t="s">
        <v>9318</v>
      </c>
      <c r="X470" t="s">
        <v>7267</v>
      </c>
      <c r="Z470" s="42">
        <v>0</v>
      </c>
      <c r="AA470" s="42">
        <v>0.2</v>
      </c>
      <c r="AB470">
        <v>0</v>
      </c>
    </row>
    <row r="471">
      <c r="A471" t="s">
        <v>9399</v>
      </c>
      <c r="B471" t="s">
        <v>9377</v>
      </c>
      <c r="C471" t="s">
        <v>9377</v>
      </c>
      <c r="D471" t="s">
        <v>7355</v>
      </c>
      <c r="E471" t="s">
        <v>9400</v>
      </c>
      <c r="F471" t="s">
        <v>6966</v>
      </c>
      <c r="G471" t="s">
        <v>9396</v>
      </c>
      <c r="H471" t="s">
        <v>9397</v>
      </c>
      <c r="I471" t="s">
        <v>9401</v>
      </c>
      <c r="J471" t="s">
        <v>7694</v>
      </c>
      <c r="K471" t="s">
        <v>9402</v>
      </c>
      <c r="L471">
        <v>0</v>
      </c>
      <c r="M471" s="42">
        <v>0</v>
      </c>
      <c r="N471" s="42">
        <v>0.1</v>
      </c>
      <c r="O471">
        <v>0</v>
      </c>
      <c r="P471" s="42">
        <v>0.65292</v>
      </c>
      <c r="Q471">
        <v>0.75</v>
      </c>
      <c r="R471">
        <v>4723.6</v>
      </c>
      <c r="S471">
        <v>4723.6</v>
      </c>
      <c r="T471">
        <v>5000</v>
      </c>
      <c r="U471" t="s">
        <v>9317</v>
      </c>
      <c r="W471" t="s">
        <v>9318</v>
      </c>
      <c r="X471" t="s">
        <v>7267</v>
      </c>
      <c r="Z471" s="42">
        <v>0</v>
      </c>
      <c r="AA471" s="42">
        <v>0.2</v>
      </c>
      <c r="AB471">
        <v>0</v>
      </c>
    </row>
    <row r="472">
      <c r="A472" t="s">
        <v>9403</v>
      </c>
      <c r="B472" t="s">
        <v>8712</v>
      </c>
      <c r="C472" t="s">
        <v>8712</v>
      </c>
      <c r="D472" t="s">
        <v>9404</v>
      </c>
      <c r="E472" t="s">
        <v>9405</v>
      </c>
      <c r="F472" t="s">
        <v>6966</v>
      </c>
      <c r="G472" t="s">
        <v>9406</v>
      </c>
      <c r="H472" t="s">
        <v>9407</v>
      </c>
      <c r="I472" t="s">
        <v>9408</v>
      </c>
      <c r="J472" s="43">
        <v>0.2</v>
      </c>
      <c r="K472">
        <v>0</v>
      </c>
      <c r="L472" t="s">
        <v>9409</v>
      </c>
      <c r="M472" s="42">
        <v>0.966</v>
      </c>
      <c r="N472" s="42">
        <v>0.3</v>
      </c>
      <c r="O472">
        <v>96.6</v>
      </c>
      <c r="P472" s="42">
        <v>0.9698</v>
      </c>
      <c r="Q472">
        <v>96.98</v>
      </c>
      <c r="R472">
        <v>500</v>
      </c>
      <c r="S472">
        <v>1000</v>
      </c>
      <c r="T472">
        <v>1000</v>
      </c>
      <c r="U472" t="s">
        <v>9317</v>
      </c>
      <c r="W472" t="s">
        <v>9318</v>
      </c>
      <c r="X472" t="s">
        <v>7267</v>
      </c>
      <c r="Z472" s="42">
        <v>0</v>
      </c>
      <c r="AA472" s="42">
        <v>0.2</v>
      </c>
      <c r="AB472">
        <v>0</v>
      </c>
    </row>
    <row r="473">
      <c r="A473" t="s">
        <v>9410</v>
      </c>
      <c r="B473" t="s">
        <v>8712</v>
      </c>
      <c r="C473" t="s">
        <v>8712</v>
      </c>
      <c r="D473" t="s">
        <v>9404</v>
      </c>
      <c r="E473" t="s">
        <v>9411</v>
      </c>
      <c r="F473" t="s">
        <v>6966</v>
      </c>
      <c r="G473" t="s">
        <v>9406</v>
      </c>
      <c r="H473" t="s">
        <v>9407</v>
      </c>
      <c r="I473" t="s">
        <v>9408</v>
      </c>
      <c r="J473" s="43">
        <v>0.2</v>
      </c>
      <c r="K473">
        <v>0</v>
      </c>
      <c r="L473" t="s">
        <v>9409</v>
      </c>
      <c r="M473" s="42">
        <v>0.984</v>
      </c>
      <c r="N473" s="42">
        <v>0.3</v>
      </c>
      <c r="O473">
        <v>98.4</v>
      </c>
      <c r="P473" s="42">
        <v>0.9702</v>
      </c>
      <c r="Q473">
        <v>97.02</v>
      </c>
      <c r="R473">
        <v>800</v>
      </c>
      <c r="S473">
        <v>1500</v>
      </c>
      <c r="T473">
        <v>1000</v>
      </c>
      <c r="U473" t="s">
        <v>9317</v>
      </c>
      <c r="W473" t="s">
        <v>9318</v>
      </c>
      <c r="X473" t="s">
        <v>7267</v>
      </c>
      <c r="Z473" s="42">
        <v>0</v>
      </c>
      <c r="AA473" s="42">
        <v>0.2</v>
      </c>
      <c r="AB473">
        <v>0</v>
      </c>
    </row>
    <row r="474">
      <c r="A474" t="s">
        <v>9412</v>
      </c>
      <c r="B474" t="s">
        <v>8712</v>
      </c>
      <c r="C474" t="s">
        <v>8712</v>
      </c>
      <c r="D474" t="s">
        <v>9404</v>
      </c>
      <c r="E474" t="s">
        <v>9413</v>
      </c>
      <c r="F474" t="s">
        <v>6966</v>
      </c>
      <c r="G474" t="s">
        <v>9406</v>
      </c>
      <c r="H474" t="s">
        <v>9407</v>
      </c>
      <c r="I474" t="s">
        <v>9408</v>
      </c>
      <c r="J474" s="43">
        <v>0.2</v>
      </c>
      <c r="K474">
        <v>0</v>
      </c>
      <c r="L474" t="s">
        <v>9409</v>
      </c>
      <c r="M474" s="42">
        <v>0.992</v>
      </c>
      <c r="N474" s="42">
        <v>0.3</v>
      </c>
      <c r="O474">
        <v>99.2</v>
      </c>
      <c r="P474" s="42">
        <v>0.9776</v>
      </c>
      <c r="Q474">
        <v>97.76</v>
      </c>
      <c r="R474">
        <v>1500</v>
      </c>
      <c r="S474">
        <v>2100</v>
      </c>
      <c r="T474">
        <v>1000</v>
      </c>
      <c r="U474" t="s">
        <v>9317</v>
      </c>
      <c r="W474" t="s">
        <v>9318</v>
      </c>
      <c r="X474" t="s">
        <v>7267</v>
      </c>
      <c r="Z474" s="42">
        <v>0</v>
      </c>
      <c r="AA474" s="42">
        <v>0.2</v>
      </c>
      <c r="AB474">
        <v>0</v>
      </c>
    </row>
    <row r="475">
      <c r="A475" t="s">
        <v>9414</v>
      </c>
      <c r="B475" t="s">
        <v>8712</v>
      </c>
      <c r="C475" t="s">
        <v>8712</v>
      </c>
      <c r="D475" t="s">
        <v>9404</v>
      </c>
      <c r="E475" t="s">
        <v>9415</v>
      </c>
      <c r="F475" t="s">
        <v>6966</v>
      </c>
      <c r="G475" t="s">
        <v>9406</v>
      </c>
      <c r="H475" t="s">
        <v>9407</v>
      </c>
      <c r="I475" t="s">
        <v>9416</v>
      </c>
      <c r="J475" s="43">
        <v>0.2</v>
      </c>
      <c r="K475">
        <v>0</v>
      </c>
      <c r="L475" t="s">
        <v>9409</v>
      </c>
      <c r="M475" s="42">
        <v>0.993</v>
      </c>
      <c r="N475" s="42">
        <v>0.3</v>
      </c>
      <c r="O475">
        <v>99.3</v>
      </c>
      <c r="P475" s="42">
        <v>0.9779</v>
      </c>
      <c r="Q475">
        <v>98.04</v>
      </c>
      <c r="R475">
        <v>1000</v>
      </c>
      <c r="S475">
        <v>1600</v>
      </c>
      <c r="T475">
        <v>1000</v>
      </c>
      <c r="U475" t="s">
        <v>9317</v>
      </c>
      <c r="W475" t="s">
        <v>9318</v>
      </c>
      <c r="X475" t="s">
        <v>7267</v>
      </c>
      <c r="Z475" s="42">
        <v>0</v>
      </c>
      <c r="AA475" s="42">
        <v>0.2</v>
      </c>
      <c r="AB475">
        <v>0</v>
      </c>
    </row>
    <row r="476">
      <c r="A476" t="s">
        <v>9417</v>
      </c>
      <c r="B476" t="s">
        <v>8712</v>
      </c>
      <c r="C476" t="s">
        <v>8712</v>
      </c>
      <c r="D476" t="s">
        <v>9404</v>
      </c>
      <c r="E476" t="s">
        <v>9418</v>
      </c>
      <c r="F476" t="s">
        <v>6966</v>
      </c>
      <c r="G476" t="s">
        <v>9406</v>
      </c>
      <c r="H476" t="s">
        <v>9407</v>
      </c>
      <c r="I476" t="s">
        <v>9408</v>
      </c>
      <c r="J476" s="43">
        <v>0.2</v>
      </c>
      <c r="K476">
        <v>0</v>
      </c>
      <c r="L476" t="s">
        <v>9409</v>
      </c>
      <c r="M476" s="42">
        <v>0.966</v>
      </c>
      <c r="N476" s="42">
        <v>0.3</v>
      </c>
      <c r="O476">
        <v>96.6</v>
      </c>
      <c r="P476" s="42">
        <v>0.9648</v>
      </c>
      <c r="Q476">
        <v>96.48</v>
      </c>
      <c r="R476">
        <v>300</v>
      </c>
      <c r="S476">
        <v>700</v>
      </c>
      <c r="T476">
        <v>1000</v>
      </c>
      <c r="U476" t="s">
        <v>9317</v>
      </c>
      <c r="W476" t="s">
        <v>9318</v>
      </c>
      <c r="X476" t="s">
        <v>7267</v>
      </c>
      <c r="Z476" s="42">
        <v>0</v>
      </c>
      <c r="AA476" s="42">
        <v>0.2</v>
      </c>
      <c r="AB476">
        <v>0</v>
      </c>
    </row>
    <row r="477">
      <c r="A477" t="s">
        <v>9419</v>
      </c>
      <c r="B477" t="s">
        <v>8712</v>
      </c>
      <c r="C477" t="s">
        <v>8712</v>
      </c>
      <c r="D477" t="s">
        <v>9404</v>
      </c>
      <c r="E477" t="s">
        <v>9420</v>
      </c>
      <c r="F477" t="s">
        <v>6966</v>
      </c>
      <c r="G477" t="s">
        <v>9406</v>
      </c>
      <c r="H477" t="s">
        <v>9407</v>
      </c>
      <c r="I477" t="s">
        <v>9408</v>
      </c>
      <c r="J477" s="43">
        <v>0.2</v>
      </c>
      <c r="K477">
        <v>0</v>
      </c>
      <c r="L477" t="s">
        <v>9409</v>
      </c>
      <c r="M477" s="42">
        <v>0.996</v>
      </c>
      <c r="N477" s="42">
        <v>0.3</v>
      </c>
      <c r="O477">
        <v>99.6</v>
      </c>
      <c r="P477" s="42">
        <v>0.9738</v>
      </c>
      <c r="Q477">
        <v>97.38</v>
      </c>
      <c r="R477">
        <v>700</v>
      </c>
      <c r="S477">
        <v>1300</v>
      </c>
      <c r="T477">
        <v>1000</v>
      </c>
      <c r="U477" t="s">
        <v>9317</v>
      </c>
      <c r="W477" t="s">
        <v>9318</v>
      </c>
      <c r="X477" t="s">
        <v>7267</v>
      </c>
      <c r="Z477" s="42">
        <v>0</v>
      </c>
      <c r="AA477" s="42">
        <v>0.2</v>
      </c>
      <c r="AB477">
        <v>0</v>
      </c>
    </row>
    <row r="478">
      <c r="A478" t="s">
        <v>9421</v>
      </c>
      <c r="B478" t="s">
        <v>8712</v>
      </c>
      <c r="C478" t="s">
        <v>8712</v>
      </c>
      <c r="D478" t="s">
        <v>9404</v>
      </c>
      <c r="E478" t="s">
        <v>9422</v>
      </c>
      <c r="F478" t="s">
        <v>6966</v>
      </c>
      <c r="G478" t="s">
        <v>9406</v>
      </c>
      <c r="H478" t="s">
        <v>9407</v>
      </c>
      <c r="I478" t="s">
        <v>9408</v>
      </c>
      <c r="J478" s="43">
        <v>0.2</v>
      </c>
      <c r="K478">
        <v>0</v>
      </c>
      <c r="L478" t="s">
        <v>9409</v>
      </c>
      <c r="M478" s="42">
        <v>1</v>
      </c>
      <c r="N478" s="42">
        <v>0.3</v>
      </c>
      <c r="O478">
        <v>100</v>
      </c>
      <c r="P478" s="42">
        <v>0.98</v>
      </c>
      <c r="Q478">
        <v>98.5</v>
      </c>
      <c r="R478">
        <v>1300</v>
      </c>
      <c r="S478">
        <v>1900</v>
      </c>
      <c r="T478">
        <v>1000</v>
      </c>
      <c r="U478" t="s">
        <v>9317</v>
      </c>
      <c r="W478" t="s">
        <v>9318</v>
      </c>
      <c r="X478" t="s">
        <v>7267</v>
      </c>
      <c r="Z478" s="42">
        <v>0</v>
      </c>
      <c r="AA478" s="42">
        <v>0.2</v>
      </c>
      <c r="AB478">
        <v>0</v>
      </c>
    </row>
    <row r="479">
      <c r="A479" t="s">
        <v>9423</v>
      </c>
      <c r="B479" t="s">
        <v>8712</v>
      </c>
      <c r="C479" t="s">
        <v>8712</v>
      </c>
      <c r="D479" t="s">
        <v>9404</v>
      </c>
      <c r="E479" t="s">
        <v>9424</v>
      </c>
      <c r="F479" t="s">
        <v>6966</v>
      </c>
      <c r="G479" t="s">
        <v>9406</v>
      </c>
      <c r="H479" t="s">
        <v>9407</v>
      </c>
      <c r="I479" t="s">
        <v>9408</v>
      </c>
      <c r="J479" s="43">
        <v>0.2</v>
      </c>
      <c r="K479">
        <v>0</v>
      </c>
      <c r="L479" t="s">
        <v>9409</v>
      </c>
      <c r="M479" s="42">
        <v>0.992</v>
      </c>
      <c r="N479" s="42">
        <v>0.3</v>
      </c>
      <c r="O479">
        <v>99.2</v>
      </c>
      <c r="P479" s="42">
        <v>0.9726</v>
      </c>
      <c r="Q479">
        <v>97.26</v>
      </c>
      <c r="R479">
        <v>1100</v>
      </c>
      <c r="S479">
        <v>1400</v>
      </c>
      <c r="T479">
        <v>1000</v>
      </c>
      <c r="U479" t="s">
        <v>9317</v>
      </c>
      <c r="W479" t="s">
        <v>9318</v>
      </c>
      <c r="X479" t="s">
        <v>7267</v>
      </c>
      <c r="Z479" s="42">
        <v>0</v>
      </c>
      <c r="AA479" s="42">
        <v>0.2</v>
      </c>
      <c r="AB479">
        <v>0</v>
      </c>
    </row>
    <row r="480">
      <c r="A480" t="s">
        <v>9425</v>
      </c>
      <c r="B480" t="s">
        <v>8712</v>
      </c>
      <c r="C480" t="s">
        <v>8712</v>
      </c>
      <c r="D480" t="s">
        <v>9404</v>
      </c>
      <c r="E480" t="s">
        <v>9426</v>
      </c>
      <c r="F480" t="s">
        <v>6966</v>
      </c>
      <c r="G480" t="s">
        <v>9406</v>
      </c>
      <c r="H480" t="s">
        <v>9407</v>
      </c>
      <c r="I480" t="s">
        <v>9408</v>
      </c>
      <c r="J480" s="43">
        <v>0.2</v>
      </c>
      <c r="K480">
        <v>0</v>
      </c>
      <c r="L480" t="s">
        <v>9409</v>
      </c>
      <c r="M480" s="42">
        <v>0.994</v>
      </c>
      <c r="N480" s="42">
        <v>0.3</v>
      </c>
      <c r="O480">
        <v>99.4</v>
      </c>
      <c r="P480" s="42">
        <v>0.9782</v>
      </c>
      <c r="Q480">
        <v>97.82</v>
      </c>
      <c r="R480">
        <v>1800</v>
      </c>
      <c r="S480">
        <v>2400</v>
      </c>
      <c r="T480">
        <v>1000</v>
      </c>
      <c r="U480" t="s">
        <v>9317</v>
      </c>
      <c r="W480" t="s">
        <v>9318</v>
      </c>
      <c r="X480" t="s">
        <v>7267</v>
      </c>
      <c r="Z480" s="42">
        <v>0</v>
      </c>
      <c r="AA480" s="42">
        <v>0.2</v>
      </c>
      <c r="AB480">
        <v>0</v>
      </c>
    </row>
    <row r="481">
      <c r="A481" t="s">
        <v>9427</v>
      </c>
      <c r="B481" t="s">
        <v>8712</v>
      </c>
      <c r="C481" t="s">
        <v>8712</v>
      </c>
      <c r="D481" t="s">
        <v>9404</v>
      </c>
      <c r="E481" t="s">
        <v>9428</v>
      </c>
      <c r="F481" t="s">
        <v>6966</v>
      </c>
      <c r="G481" t="s">
        <v>9406</v>
      </c>
      <c r="H481" t="s">
        <v>9407</v>
      </c>
      <c r="I481" t="s">
        <v>9408</v>
      </c>
      <c r="J481" s="43">
        <v>0.2</v>
      </c>
      <c r="K481">
        <v>0</v>
      </c>
      <c r="L481" t="s">
        <v>9409</v>
      </c>
      <c r="M481" s="42">
        <v>0.994</v>
      </c>
      <c r="N481" s="42">
        <v>0.3</v>
      </c>
      <c r="O481">
        <v>99.4</v>
      </c>
      <c r="P481" s="42">
        <v>0.9782</v>
      </c>
      <c r="Q481">
        <v>98.32</v>
      </c>
      <c r="R481">
        <v>1300</v>
      </c>
      <c r="S481">
        <v>1300</v>
      </c>
      <c r="T481">
        <v>1000</v>
      </c>
      <c r="U481" t="s">
        <v>9317</v>
      </c>
      <c r="W481" t="s">
        <v>9318</v>
      </c>
      <c r="X481" t="s">
        <v>7267</v>
      </c>
      <c r="Z481" s="42">
        <v>0</v>
      </c>
      <c r="AA481" s="42">
        <v>0.2</v>
      </c>
      <c r="AB481">
        <v>0</v>
      </c>
    </row>
    <row r="482">
      <c r="A482" t="s">
        <v>9429</v>
      </c>
      <c r="B482" t="s">
        <v>8712</v>
      </c>
      <c r="C482" t="s">
        <v>8712</v>
      </c>
      <c r="D482" t="s">
        <v>9404</v>
      </c>
      <c r="E482" t="s">
        <v>9430</v>
      </c>
      <c r="F482" t="s">
        <v>6966</v>
      </c>
      <c r="G482" t="s">
        <v>9406</v>
      </c>
      <c r="H482" t="s">
        <v>9407</v>
      </c>
      <c r="I482" t="s">
        <v>9408</v>
      </c>
      <c r="J482" s="43">
        <v>0.2</v>
      </c>
      <c r="K482">
        <v>0</v>
      </c>
      <c r="L482" t="s">
        <v>9409</v>
      </c>
      <c r="M482" s="42">
        <v>0.996</v>
      </c>
      <c r="N482" s="42">
        <v>0.3</v>
      </c>
      <c r="O482">
        <v>99.6</v>
      </c>
      <c r="P482" s="42">
        <v>0.9788</v>
      </c>
      <c r="Q482">
        <v>98.88</v>
      </c>
      <c r="R482">
        <v>1500</v>
      </c>
      <c r="S482">
        <v>1900</v>
      </c>
      <c r="T482">
        <v>1000</v>
      </c>
      <c r="U482" t="s">
        <v>9317</v>
      </c>
      <c r="W482" t="s">
        <v>9318</v>
      </c>
      <c r="X482" t="s">
        <v>7267</v>
      </c>
      <c r="Z482" s="42">
        <v>0</v>
      </c>
      <c r="AA482" s="42">
        <v>0.2</v>
      </c>
      <c r="AB482">
        <v>0</v>
      </c>
    </row>
    <row r="483">
      <c r="A483" t="s">
        <v>9431</v>
      </c>
      <c r="B483" t="s">
        <v>8712</v>
      </c>
      <c r="C483" t="s">
        <v>8712</v>
      </c>
      <c r="D483" t="s">
        <v>9404</v>
      </c>
      <c r="E483" t="s">
        <v>9432</v>
      </c>
      <c r="F483" t="s">
        <v>6966</v>
      </c>
      <c r="G483" t="s">
        <v>9406</v>
      </c>
      <c r="H483" t="s">
        <v>9407</v>
      </c>
      <c r="I483" t="s">
        <v>9408</v>
      </c>
      <c r="J483" s="43">
        <v>0.2</v>
      </c>
      <c r="K483">
        <v>0</v>
      </c>
      <c r="L483" t="s">
        <v>9409</v>
      </c>
      <c r="M483" s="42">
        <v>0.996</v>
      </c>
      <c r="N483" s="42">
        <v>0.3</v>
      </c>
      <c r="O483">
        <v>99.6</v>
      </c>
      <c r="P483" s="42">
        <v>0.9788</v>
      </c>
      <c r="Q483">
        <v>97.88</v>
      </c>
      <c r="R483">
        <v>1000</v>
      </c>
      <c r="S483">
        <v>1000</v>
      </c>
      <c r="T483">
        <v>1000</v>
      </c>
      <c r="U483" t="s">
        <v>9317</v>
      </c>
      <c r="W483" t="s">
        <v>9318</v>
      </c>
      <c r="X483" t="s">
        <v>7267</v>
      </c>
      <c r="Z483" s="42">
        <v>0</v>
      </c>
      <c r="AA483" s="42">
        <v>0.2</v>
      </c>
      <c r="AB483">
        <v>0</v>
      </c>
    </row>
    <row r="484">
      <c r="A484" t="s">
        <v>9433</v>
      </c>
      <c r="B484" t="s">
        <v>8712</v>
      </c>
      <c r="C484" t="s">
        <v>8712</v>
      </c>
      <c r="D484" t="s">
        <v>9404</v>
      </c>
      <c r="E484" t="s">
        <v>9434</v>
      </c>
      <c r="F484" t="s">
        <v>6966</v>
      </c>
      <c r="G484" t="s">
        <v>9406</v>
      </c>
      <c r="H484" t="s">
        <v>9407</v>
      </c>
      <c r="I484" t="s">
        <v>9416</v>
      </c>
      <c r="J484" s="43">
        <v>0.2</v>
      </c>
      <c r="K484">
        <v>0</v>
      </c>
      <c r="L484">
        <v>98.7</v>
      </c>
      <c r="M484" s="42">
        <v>0.987</v>
      </c>
      <c r="N484" s="42">
        <v>0.3</v>
      </c>
      <c r="O484">
        <v>98.7</v>
      </c>
      <c r="P484" s="42">
        <v>0.9711</v>
      </c>
      <c r="Q484">
        <v>97.11</v>
      </c>
      <c r="R484">
        <v>500</v>
      </c>
      <c r="S484">
        <v>1100</v>
      </c>
      <c r="T484">
        <v>1000</v>
      </c>
      <c r="U484" t="s">
        <v>9317</v>
      </c>
      <c r="W484" t="s">
        <v>9318</v>
      </c>
      <c r="X484" t="s">
        <v>7267</v>
      </c>
      <c r="Z484" s="42">
        <v>0</v>
      </c>
      <c r="AA484" s="42">
        <v>0.2</v>
      </c>
      <c r="AB484">
        <v>0</v>
      </c>
    </row>
    <row r="485">
      <c r="A485" t="s">
        <v>9435</v>
      </c>
      <c r="B485" t="s">
        <v>8712</v>
      </c>
      <c r="C485" t="s">
        <v>8712</v>
      </c>
      <c r="D485" t="s">
        <v>9404</v>
      </c>
      <c r="E485" t="s">
        <v>9436</v>
      </c>
      <c r="F485" t="s">
        <v>6966</v>
      </c>
      <c r="G485" t="s">
        <v>9406</v>
      </c>
      <c r="H485" t="s">
        <v>9407</v>
      </c>
      <c r="I485" t="s">
        <v>9437</v>
      </c>
      <c r="J485" s="43">
        <v>0.2</v>
      </c>
      <c r="K485">
        <v>0</v>
      </c>
      <c r="L485" t="s">
        <v>9437</v>
      </c>
      <c r="M485" s="42">
        <v>0</v>
      </c>
      <c r="N485" s="42">
        <v>0.3</v>
      </c>
      <c r="O485">
        <v>0</v>
      </c>
      <c r="P485" s="42">
        <v>0</v>
      </c>
      <c r="Q485">
        <v>0</v>
      </c>
      <c r="R485">
        <v>0</v>
      </c>
      <c r="S485">
        <v>0</v>
      </c>
      <c r="T485">
        <v>1000</v>
      </c>
      <c r="U485" t="s">
        <v>9317</v>
      </c>
      <c r="W485" t="s">
        <v>9318</v>
      </c>
      <c r="X485" t="s">
        <v>7267</v>
      </c>
      <c r="Z485" s="42">
        <v>0</v>
      </c>
      <c r="AA485" s="42">
        <v>0.2</v>
      </c>
      <c r="AB485">
        <v>0</v>
      </c>
    </row>
    <row r="486">
      <c r="A486" t="s">
        <v>9438</v>
      </c>
      <c r="B486" t="s">
        <v>8712</v>
      </c>
      <c r="C486" t="s">
        <v>8712</v>
      </c>
      <c r="D486" t="s">
        <v>9404</v>
      </c>
      <c r="E486" t="s">
        <v>9439</v>
      </c>
      <c r="F486" t="s">
        <v>6966</v>
      </c>
      <c r="G486" t="s">
        <v>9406</v>
      </c>
      <c r="H486" t="s">
        <v>9407</v>
      </c>
      <c r="I486" t="s">
        <v>9437</v>
      </c>
      <c r="J486" s="43">
        <v>0.2</v>
      </c>
      <c r="K486">
        <v>0</v>
      </c>
      <c r="L486" t="s">
        <v>9437</v>
      </c>
      <c r="M486" s="42">
        <v>0</v>
      </c>
      <c r="N486" s="42">
        <v>0.3</v>
      </c>
      <c r="O486">
        <v>0</v>
      </c>
      <c r="P486" s="42">
        <v>0</v>
      </c>
      <c r="Q486">
        <v>0</v>
      </c>
      <c r="R486">
        <v>0</v>
      </c>
      <c r="S486">
        <v>200</v>
      </c>
      <c r="T486">
        <v>1000</v>
      </c>
      <c r="U486" t="s">
        <v>9317</v>
      </c>
      <c r="W486" t="s">
        <v>9318</v>
      </c>
      <c r="X486" t="s">
        <v>7267</v>
      </c>
      <c r="Z486" s="42">
        <v>0</v>
      </c>
      <c r="AA486" s="42">
        <v>0.2</v>
      </c>
      <c r="AB486">
        <v>0</v>
      </c>
    </row>
    <row r="487">
      <c r="A487" t="s">
        <v>9440</v>
      </c>
      <c r="B487" t="s">
        <v>8712</v>
      </c>
      <c r="C487" t="s">
        <v>8712</v>
      </c>
      <c r="D487" t="s">
        <v>9404</v>
      </c>
      <c r="E487" t="s">
        <v>9441</v>
      </c>
      <c r="F487" t="s">
        <v>6966</v>
      </c>
      <c r="G487" t="s">
        <v>9406</v>
      </c>
      <c r="H487" t="s">
        <v>9407</v>
      </c>
      <c r="I487" t="s">
        <v>9437</v>
      </c>
      <c r="J487" s="43">
        <v>0.2</v>
      </c>
      <c r="K487">
        <v>0</v>
      </c>
      <c r="L487" t="s">
        <v>9437</v>
      </c>
      <c r="M487" s="42">
        <v>0</v>
      </c>
      <c r="N487" s="42">
        <v>0.3</v>
      </c>
      <c r="O487">
        <v>0</v>
      </c>
      <c r="P487" s="42">
        <v>0</v>
      </c>
      <c r="Q487">
        <v>0</v>
      </c>
      <c r="R487">
        <v>0</v>
      </c>
      <c r="S487">
        <v>0</v>
      </c>
      <c r="T487">
        <v>1000</v>
      </c>
      <c r="U487" t="s">
        <v>9317</v>
      </c>
      <c r="W487" t="s">
        <v>9318</v>
      </c>
      <c r="X487" t="s">
        <v>7267</v>
      </c>
      <c r="Z487" s="42">
        <v>0</v>
      </c>
      <c r="AA487" s="42">
        <v>0.2</v>
      </c>
      <c r="AB487">
        <v>0</v>
      </c>
    </row>
    <row r="488">
      <c r="A488" t="s">
        <v>9442</v>
      </c>
      <c r="B488" t="s">
        <v>8712</v>
      </c>
      <c r="C488" t="s">
        <v>8712</v>
      </c>
      <c r="D488" t="s">
        <v>7000</v>
      </c>
      <c r="E488" t="s">
        <v>9443</v>
      </c>
      <c r="F488" t="s">
        <v>6966</v>
      </c>
      <c r="G488" t="s">
        <v>8714</v>
      </c>
      <c r="H488" t="s">
        <v>9444</v>
      </c>
      <c r="I488" t="s">
        <v>9445</v>
      </c>
      <c r="J488" t="s">
        <v>8618</v>
      </c>
      <c r="K488" t="s">
        <v>9446</v>
      </c>
      <c r="L488" t="s">
        <v>9437</v>
      </c>
      <c r="M488" s="42">
        <v>0</v>
      </c>
      <c r="N488" s="42">
        <v>0.3</v>
      </c>
      <c r="O488">
        <v>0</v>
      </c>
      <c r="P488" s="42">
        <v>0.5175</v>
      </c>
      <c r="Q488">
        <v>0.52</v>
      </c>
      <c r="R488">
        <v>0</v>
      </c>
      <c r="S488">
        <v>0</v>
      </c>
      <c r="T488">
        <v>5000</v>
      </c>
      <c r="U488" t="s">
        <v>9317</v>
      </c>
      <c r="W488" t="s">
        <v>9318</v>
      </c>
      <c r="X488" t="s">
        <v>7267</v>
      </c>
      <c r="Z488" s="42">
        <v>0</v>
      </c>
      <c r="AA488" s="42">
        <v>0.2</v>
      </c>
      <c r="AB488">
        <v>0</v>
      </c>
    </row>
    <row r="489">
      <c r="A489" t="s">
        <v>9447</v>
      </c>
      <c r="B489" t="s">
        <v>9324</v>
      </c>
      <c r="C489" t="s">
        <v>9324</v>
      </c>
      <c r="D489" t="s">
        <v>8790</v>
      </c>
      <c r="E489" t="s">
        <v>9448</v>
      </c>
      <c r="F489" t="s">
        <v>6966</v>
      </c>
      <c r="G489" t="s">
        <v>9449</v>
      </c>
      <c r="H489" t="s">
        <v>9450</v>
      </c>
      <c r="I489" t="s">
        <v>9451</v>
      </c>
      <c r="J489" t="s">
        <v>9452</v>
      </c>
      <c r="K489" t="s">
        <v>9453</v>
      </c>
      <c r="L489" t="s">
        <v>9454</v>
      </c>
      <c r="M489" s="42">
        <v>0.965844</v>
      </c>
      <c r="N489" s="42">
        <v>0.5</v>
      </c>
      <c r="O489">
        <v>0.97</v>
      </c>
      <c r="P489" s="42">
        <v>0.993839</v>
      </c>
      <c r="Q489">
        <v>0.99</v>
      </c>
      <c r="R489">
        <v>4925</v>
      </c>
      <c r="S489">
        <v>4925</v>
      </c>
      <c r="T489">
        <v>5000</v>
      </c>
      <c r="U489" t="s">
        <v>9317</v>
      </c>
      <c r="W489" t="s">
        <v>9318</v>
      </c>
      <c r="X489" t="s">
        <v>7267</v>
      </c>
      <c r="Z489" s="42">
        <v>0</v>
      </c>
      <c r="AA489" s="42">
        <v>0.2</v>
      </c>
      <c r="AB489">
        <v>0</v>
      </c>
    </row>
    <row r="490">
      <c r="A490" t="s">
        <v>9455</v>
      </c>
      <c r="B490" t="s">
        <v>9456</v>
      </c>
      <c r="C490" t="s">
        <v>9456</v>
      </c>
      <c r="D490" t="s">
        <v>9457</v>
      </c>
      <c r="E490" t="s">
        <v>9458</v>
      </c>
      <c r="F490" t="s">
        <v>6966</v>
      </c>
      <c r="G490" t="s">
        <v>9459</v>
      </c>
      <c r="H490" t="s">
        <v>9460</v>
      </c>
      <c r="I490">
        <v>312.420543</v>
      </c>
      <c r="J490" t="s">
        <v>9461</v>
      </c>
      <c r="K490" t="s">
        <v>9462</v>
      </c>
      <c r="L490" t="s">
        <v>9463</v>
      </c>
      <c r="M490" s="42">
        <v>0.8078</v>
      </c>
      <c r="N490" s="42">
        <v>0.3</v>
      </c>
      <c r="O490">
        <v>0.8078</v>
      </c>
      <c r="P490" s="42">
        <v>1.766065</v>
      </c>
      <c r="Q490">
        <v>0.94</v>
      </c>
      <c r="R490">
        <v>4700</v>
      </c>
      <c r="S490">
        <v>4700</v>
      </c>
      <c r="T490">
        <v>5000</v>
      </c>
      <c r="U490" t="s">
        <v>9317</v>
      </c>
      <c r="W490" t="s">
        <v>9318</v>
      </c>
      <c r="X490" t="s">
        <v>7267</v>
      </c>
      <c r="Z490" s="42">
        <v>0</v>
      </c>
      <c r="AA490" s="42">
        <v>0.2</v>
      </c>
      <c r="AB490">
        <v>0</v>
      </c>
    </row>
    <row r="491">
      <c r="A491" t="s">
        <v>9464</v>
      </c>
      <c r="B491" t="s">
        <v>7270</v>
      </c>
      <c r="C491" t="s">
        <v>7270</v>
      </c>
      <c r="D491" t="s">
        <v>9457</v>
      </c>
      <c r="E491" t="s">
        <v>9465</v>
      </c>
      <c r="F491" t="s">
        <v>6966</v>
      </c>
      <c r="G491" t="s">
        <v>9459</v>
      </c>
      <c r="H491" t="s">
        <v>9466</v>
      </c>
      <c r="I491" t="s">
        <v>9467</v>
      </c>
      <c r="L491">
        <v>7</v>
      </c>
      <c r="M491" s="42">
        <v>0.7546</v>
      </c>
      <c r="N491" s="42">
        <v>0.3</v>
      </c>
      <c r="O491">
        <v>0.7546</v>
      </c>
      <c r="P491" s="42">
        <v>0.92638</v>
      </c>
      <c r="Q491">
        <v>0.93</v>
      </c>
      <c r="R491">
        <v>4650</v>
      </c>
      <c r="S491">
        <v>4650</v>
      </c>
      <c r="T491">
        <v>5000</v>
      </c>
      <c r="U491" t="s">
        <v>9468</v>
      </c>
      <c r="W491" t="s">
        <v>7348</v>
      </c>
      <c r="X491" t="s">
        <v>9469</v>
      </c>
      <c r="Z491" s="42">
        <v>0.735</v>
      </c>
      <c r="AA491" s="42">
        <v>0.5</v>
      </c>
      <c r="AB491">
        <v>0</v>
      </c>
    </row>
    <row r="492">
      <c r="A492" t="s">
        <v>9470</v>
      </c>
      <c r="B492" t="s">
        <v>8525</v>
      </c>
      <c r="C492" t="s">
        <v>8525</v>
      </c>
      <c r="D492" t="s">
        <v>7000</v>
      </c>
      <c r="E492" t="s">
        <v>9471</v>
      </c>
      <c r="F492" t="s">
        <v>6966</v>
      </c>
      <c r="G492" t="s">
        <v>9459</v>
      </c>
      <c r="H492" t="s">
        <v>9472</v>
      </c>
      <c r="I492" t="s">
        <v>9473</v>
      </c>
      <c r="J492" t="s">
        <v>9047</v>
      </c>
      <c r="K492" t="s">
        <v>9474</v>
      </c>
      <c r="L492">
        <v>7</v>
      </c>
      <c r="M492" s="42">
        <v>0.513</v>
      </c>
      <c r="N492" s="42">
        <v>0.7</v>
      </c>
      <c r="O492">
        <v>0.513</v>
      </c>
      <c r="P492" s="42">
        <v>0.36249</v>
      </c>
      <c r="Q492">
        <v>0.7</v>
      </c>
      <c r="R492">
        <v>3500</v>
      </c>
      <c r="S492">
        <v>3500</v>
      </c>
      <c r="T492">
        <v>5000</v>
      </c>
      <c r="U492" t="s">
        <v>9475</v>
      </c>
      <c r="W492" s="42">
        <v>-0.0883</v>
      </c>
      <c r="X492" t="s">
        <v>9476</v>
      </c>
      <c r="Y492" t="s">
        <v>9477</v>
      </c>
      <c r="Z492" s="42">
        <v>0.7742</v>
      </c>
      <c r="AA492" s="42">
        <v>0.5</v>
      </c>
      <c r="AB492">
        <v>0</v>
      </c>
    </row>
    <row r="493">
      <c r="A493" t="s">
        <v>9478</v>
      </c>
      <c r="B493" t="s">
        <v>8525</v>
      </c>
      <c r="C493" t="s">
        <v>8525</v>
      </c>
      <c r="D493" t="s">
        <v>9457</v>
      </c>
      <c r="E493" t="s">
        <v>9479</v>
      </c>
      <c r="F493" t="s">
        <v>6966</v>
      </c>
      <c r="G493" t="s">
        <v>9459</v>
      </c>
      <c r="H493" t="s">
        <v>9460</v>
      </c>
      <c r="I493" t="s">
        <v>9480</v>
      </c>
      <c r="J493" t="s">
        <v>9481</v>
      </c>
      <c r="K493" t="s">
        <v>9482</v>
      </c>
      <c r="L493">
        <v>7</v>
      </c>
      <c r="M493" s="42">
        <v>0.98</v>
      </c>
      <c r="N493" s="42">
        <v>0.3</v>
      </c>
      <c r="O493">
        <v>0.9798</v>
      </c>
      <c r="P493" s="42">
        <v>2.44875</v>
      </c>
      <c r="Q493">
        <v>1.19</v>
      </c>
      <c r="R493">
        <v>5950</v>
      </c>
      <c r="S493">
        <v>6160</v>
      </c>
      <c r="T493">
        <v>5000</v>
      </c>
      <c r="U493" t="s">
        <v>9475</v>
      </c>
      <c r="W493" s="42">
        <v>-0.0883</v>
      </c>
      <c r="X493" t="s">
        <v>9476</v>
      </c>
      <c r="Y493" t="s">
        <v>9477</v>
      </c>
      <c r="Z493" s="42">
        <v>0.7742</v>
      </c>
      <c r="AA493" s="42">
        <v>0.5</v>
      </c>
      <c r="AB493">
        <v>0</v>
      </c>
    </row>
    <row r="494">
      <c r="A494" t="s">
        <v>9483</v>
      </c>
      <c r="B494" t="s">
        <v>8696</v>
      </c>
      <c r="C494" t="s">
        <v>8696</v>
      </c>
      <c r="D494" t="s">
        <v>9457</v>
      </c>
      <c r="E494" t="s">
        <v>9484</v>
      </c>
      <c r="F494" t="s">
        <v>6966</v>
      </c>
      <c r="G494" t="s">
        <v>9459</v>
      </c>
      <c r="H494" t="s">
        <v>9485</v>
      </c>
      <c r="I494" t="s">
        <v>9486</v>
      </c>
      <c r="L494" t="s">
        <v>9487</v>
      </c>
      <c r="M494" s="42">
        <v>1</v>
      </c>
      <c r="N494" s="42">
        <v>0.2</v>
      </c>
      <c r="O494">
        <v>1</v>
      </c>
      <c r="P494" s="42">
        <v>1.199</v>
      </c>
      <c r="Q494">
        <v>1.06</v>
      </c>
      <c r="R494">
        <v>5300</v>
      </c>
      <c r="S494">
        <v>5300</v>
      </c>
      <c r="T494">
        <v>5000</v>
      </c>
      <c r="U494" t="s">
        <v>9475</v>
      </c>
      <c r="W494" s="42">
        <v>-0.0883</v>
      </c>
      <c r="X494" t="s">
        <v>9476</v>
      </c>
      <c r="Y494" t="s">
        <v>9477</v>
      </c>
      <c r="Z494" s="42">
        <v>0.7742</v>
      </c>
      <c r="AA494" s="42">
        <v>0.5</v>
      </c>
      <c r="AB494">
        <v>0</v>
      </c>
    </row>
    <row r="495">
      <c r="A495" t="s">
        <v>9488</v>
      </c>
      <c r="B495" t="s">
        <v>9489</v>
      </c>
      <c r="C495" t="s">
        <v>9489</v>
      </c>
      <c r="D495" t="s">
        <v>9490</v>
      </c>
      <c r="E495" t="s">
        <v>9491</v>
      </c>
      <c r="F495" t="s">
        <v>6966</v>
      </c>
      <c r="G495" t="s">
        <v>9492</v>
      </c>
      <c r="H495" t="s">
        <v>9493</v>
      </c>
      <c r="I495" t="s">
        <v>9494</v>
      </c>
      <c r="J495" t="s">
        <v>9495</v>
      </c>
      <c r="K495" t="s">
        <v>9496</v>
      </c>
      <c r="L495" t="s">
        <v>9497</v>
      </c>
      <c r="M495" s="42">
        <v>1.02</v>
      </c>
      <c r="N495" s="42">
        <v>0.2</v>
      </c>
      <c r="O495">
        <v>1.02</v>
      </c>
      <c r="P495" s="42">
        <v>1.172</v>
      </c>
      <c r="Q495">
        <v>1.17</v>
      </c>
      <c r="R495">
        <v>5860</v>
      </c>
      <c r="S495">
        <v>6460</v>
      </c>
      <c r="T495">
        <v>3000</v>
      </c>
      <c r="U495" t="s">
        <v>9475</v>
      </c>
      <c r="W495" s="42">
        <v>-0.0883</v>
      </c>
      <c r="X495" t="s">
        <v>9476</v>
      </c>
      <c r="Y495" t="s">
        <v>9477</v>
      </c>
      <c r="Z495" s="42">
        <v>0.7742</v>
      </c>
      <c r="AA495" s="42">
        <v>0.5</v>
      </c>
      <c r="AB495">
        <v>0</v>
      </c>
    </row>
    <row r="496">
      <c r="A496" t="s">
        <v>9498</v>
      </c>
      <c r="B496" t="s">
        <v>9264</v>
      </c>
      <c r="C496" t="s">
        <v>9264</v>
      </c>
      <c r="D496" t="s">
        <v>7362</v>
      </c>
      <c r="E496" t="s">
        <v>9499</v>
      </c>
      <c r="F496" t="s">
        <v>6966</v>
      </c>
      <c r="G496" t="s">
        <v>9500</v>
      </c>
      <c r="H496" t="s">
        <v>9501</v>
      </c>
      <c r="I496" t="s">
        <v>9502</v>
      </c>
      <c r="L496" t="s">
        <v>9503</v>
      </c>
      <c r="M496" s="42">
        <v>0.01</v>
      </c>
      <c r="N496" s="42">
        <v>0.5</v>
      </c>
      <c r="O496">
        <v>0</v>
      </c>
      <c r="P496" s="42">
        <v>0.255</v>
      </c>
      <c r="Q496">
        <v>0.28</v>
      </c>
      <c r="R496">
        <v>2230</v>
      </c>
      <c r="S496">
        <v>2230</v>
      </c>
      <c r="T496">
        <v>3000</v>
      </c>
      <c r="U496" t="s">
        <v>9475</v>
      </c>
      <c r="W496" s="42">
        <v>-0.0883</v>
      </c>
      <c r="X496" t="s">
        <v>9476</v>
      </c>
      <c r="Y496" t="s">
        <v>9477</v>
      </c>
      <c r="Z496" s="42">
        <v>0.7742</v>
      </c>
      <c r="AA496" s="42">
        <v>0.5</v>
      </c>
      <c r="AB496">
        <v>0</v>
      </c>
    </row>
    <row r="497">
      <c r="A497" t="s">
        <v>9504</v>
      </c>
      <c r="B497" t="s">
        <v>9264</v>
      </c>
      <c r="C497" t="s">
        <v>9264</v>
      </c>
      <c r="D497" t="s">
        <v>7362</v>
      </c>
      <c r="E497" t="s">
        <v>9505</v>
      </c>
      <c r="F497" t="s">
        <v>6966</v>
      </c>
      <c r="G497" t="s">
        <v>9500</v>
      </c>
      <c r="H497" t="s">
        <v>9501</v>
      </c>
      <c r="I497" t="s">
        <v>9506</v>
      </c>
      <c r="L497" t="s">
        <v>9503</v>
      </c>
      <c r="M497" s="42">
        <v>1</v>
      </c>
      <c r="N497" s="42">
        <v>1</v>
      </c>
      <c r="O497">
        <v>1</v>
      </c>
      <c r="P497" s="42">
        <v>1</v>
      </c>
      <c r="Q497">
        <v>1</v>
      </c>
      <c r="R497">
        <v>3398</v>
      </c>
      <c r="S497">
        <v>3398</v>
      </c>
      <c r="T497">
        <v>2500</v>
      </c>
      <c r="U497" t="s">
        <v>9475</v>
      </c>
      <c r="W497" s="42">
        <v>-0.0883</v>
      </c>
      <c r="X497" t="s">
        <v>9476</v>
      </c>
      <c r="Y497" t="s">
        <v>9477</v>
      </c>
      <c r="Z497" s="42">
        <v>0.7742</v>
      </c>
      <c r="AA497" s="42">
        <v>0.5</v>
      </c>
      <c r="AB497">
        <v>0</v>
      </c>
    </row>
    <row r="498">
      <c r="A498" t="s">
        <v>9507</v>
      </c>
      <c r="B498" t="s">
        <v>9264</v>
      </c>
      <c r="C498" t="s">
        <v>9264</v>
      </c>
      <c r="D498" t="s">
        <v>7362</v>
      </c>
      <c r="E498" t="s">
        <v>9508</v>
      </c>
      <c r="F498" t="s">
        <v>6966</v>
      </c>
      <c r="G498" t="s">
        <v>9500</v>
      </c>
      <c r="H498" t="s">
        <v>9509</v>
      </c>
      <c r="I498" t="s">
        <v>9510</v>
      </c>
      <c r="J498" t="s">
        <v>7366</v>
      </c>
      <c r="K498" t="s">
        <v>9511</v>
      </c>
      <c r="L498" t="s">
        <v>9503</v>
      </c>
      <c r="M498" s="42">
        <v>1</v>
      </c>
      <c r="N498" s="42">
        <v>1</v>
      </c>
      <c r="O498">
        <v>1</v>
      </c>
      <c r="P498" s="42">
        <v>1</v>
      </c>
      <c r="Q498">
        <v>1</v>
      </c>
      <c r="R498">
        <v>1474</v>
      </c>
      <c r="S498">
        <v>1474</v>
      </c>
      <c r="T498">
        <v>1500</v>
      </c>
      <c r="U498" t="s">
        <v>9475</v>
      </c>
      <c r="W498" s="42">
        <v>-0.0883</v>
      </c>
      <c r="X498" t="s">
        <v>9476</v>
      </c>
      <c r="Y498" t="s">
        <v>9477</v>
      </c>
      <c r="Z498" s="42">
        <v>0.7742</v>
      </c>
      <c r="AA498" s="42">
        <v>0.5</v>
      </c>
      <c r="AB498">
        <v>0</v>
      </c>
    </row>
    <row r="499">
      <c r="A499" t="s">
        <v>9512</v>
      </c>
      <c r="B499" t="s">
        <v>9264</v>
      </c>
      <c r="C499" t="s">
        <v>9264</v>
      </c>
      <c r="D499" t="s">
        <v>7362</v>
      </c>
      <c r="E499" t="s">
        <v>9513</v>
      </c>
      <c r="F499" t="s">
        <v>6966</v>
      </c>
      <c r="G499" t="s">
        <v>9500</v>
      </c>
      <c r="H499" t="s">
        <v>9509</v>
      </c>
      <c r="I499" t="s">
        <v>9510</v>
      </c>
      <c r="J499" t="s">
        <v>7366</v>
      </c>
      <c r="K499" t="s">
        <v>9514</v>
      </c>
      <c r="L499" t="s">
        <v>9503</v>
      </c>
      <c r="M499" s="42">
        <v>1</v>
      </c>
      <c r="N499" s="42">
        <v>1</v>
      </c>
      <c r="O499">
        <v>1</v>
      </c>
      <c r="P499" s="42">
        <v>1</v>
      </c>
      <c r="Q499">
        <v>1</v>
      </c>
      <c r="R499">
        <v>1683</v>
      </c>
      <c r="S499">
        <v>1683</v>
      </c>
      <c r="T499">
        <v>1500</v>
      </c>
      <c r="U499" t="s">
        <v>9475</v>
      </c>
      <c r="W499" s="42">
        <v>-0.0883</v>
      </c>
      <c r="X499" t="s">
        <v>9476</v>
      </c>
      <c r="Y499" t="s">
        <v>9477</v>
      </c>
      <c r="Z499" s="42">
        <v>0.7742</v>
      </c>
      <c r="AA499" s="42">
        <v>0.5</v>
      </c>
      <c r="AB499">
        <v>0</v>
      </c>
    </row>
    <row r="500">
      <c r="A500" t="s">
        <v>9515</v>
      </c>
      <c r="B500" t="s">
        <v>9264</v>
      </c>
      <c r="C500" t="s">
        <v>9264</v>
      </c>
      <c r="D500" t="s">
        <v>7362</v>
      </c>
      <c r="E500" t="s">
        <v>9516</v>
      </c>
      <c r="F500" t="s">
        <v>6966</v>
      </c>
      <c r="G500" t="s">
        <v>9500</v>
      </c>
      <c r="H500" t="s">
        <v>9501</v>
      </c>
      <c r="I500" t="s">
        <v>9517</v>
      </c>
      <c r="J500" t="s">
        <v>7366</v>
      </c>
      <c r="L500" t="s">
        <v>9503</v>
      </c>
      <c r="M500" s="42">
        <v>1.07</v>
      </c>
      <c r="N500" s="42">
        <v>1</v>
      </c>
      <c r="O500">
        <v>1.07</v>
      </c>
      <c r="P500" s="42">
        <v>1.07</v>
      </c>
      <c r="Q500">
        <v>1.07</v>
      </c>
      <c r="R500">
        <v>2765</v>
      </c>
      <c r="S500">
        <v>2765</v>
      </c>
      <c r="T500">
        <v>1500</v>
      </c>
      <c r="U500" t="s">
        <v>9475</v>
      </c>
      <c r="W500" s="42">
        <v>-0.0883</v>
      </c>
      <c r="X500" t="s">
        <v>9476</v>
      </c>
      <c r="Y500" t="s">
        <v>9477</v>
      </c>
      <c r="Z500" s="42">
        <v>0.7742</v>
      </c>
      <c r="AA500" s="42">
        <v>0.5</v>
      </c>
      <c r="AB500">
        <v>0</v>
      </c>
    </row>
    <row r="501">
      <c r="A501" t="s">
        <v>9518</v>
      </c>
      <c r="B501" t="s">
        <v>9264</v>
      </c>
      <c r="C501" t="s">
        <v>9264</v>
      </c>
      <c r="D501" t="s">
        <v>7362</v>
      </c>
      <c r="E501" t="s">
        <v>9519</v>
      </c>
      <c r="F501" t="s">
        <v>6966</v>
      </c>
      <c r="G501" t="s">
        <v>9500</v>
      </c>
      <c r="H501" t="s">
        <v>9509</v>
      </c>
      <c r="I501" t="s">
        <v>9520</v>
      </c>
      <c r="J501" t="s">
        <v>7387</v>
      </c>
      <c r="K501" t="s">
        <v>9521</v>
      </c>
      <c r="L501" t="s">
        <v>9503</v>
      </c>
      <c r="M501" s="42">
        <v>0.922</v>
      </c>
      <c r="N501" s="42">
        <v>1</v>
      </c>
      <c r="O501">
        <v>0.922</v>
      </c>
      <c r="P501" s="42">
        <v>0.922</v>
      </c>
      <c r="Q501">
        <v>0.92</v>
      </c>
      <c r="R501">
        <v>2378</v>
      </c>
      <c r="S501">
        <v>2378</v>
      </c>
      <c r="T501">
        <v>1500</v>
      </c>
      <c r="U501" t="s">
        <v>9475</v>
      </c>
      <c r="W501" s="42">
        <v>-0.0883</v>
      </c>
      <c r="X501" t="s">
        <v>9476</v>
      </c>
      <c r="Y501" t="s">
        <v>9477</v>
      </c>
      <c r="Z501" s="42">
        <v>0.7742</v>
      </c>
      <c r="AA501" s="42">
        <v>0.5</v>
      </c>
      <c r="AB501">
        <v>0</v>
      </c>
    </row>
    <row r="502">
      <c r="A502" t="s">
        <v>9522</v>
      </c>
      <c r="B502" t="s">
        <v>9264</v>
      </c>
      <c r="C502" t="s">
        <v>9264</v>
      </c>
      <c r="D502" t="s">
        <v>7362</v>
      </c>
      <c r="E502" t="s">
        <v>9523</v>
      </c>
      <c r="F502" t="s">
        <v>6966</v>
      </c>
      <c r="G502" t="s">
        <v>9500</v>
      </c>
      <c r="H502" t="s">
        <v>9509</v>
      </c>
      <c r="I502" t="s">
        <v>9524</v>
      </c>
      <c r="J502" t="s">
        <v>7387</v>
      </c>
      <c r="K502" t="s">
        <v>9525</v>
      </c>
      <c r="L502" t="s">
        <v>9503</v>
      </c>
      <c r="M502" s="42">
        <v>0.0456</v>
      </c>
      <c r="N502" s="42">
        <v>1</v>
      </c>
      <c r="O502">
        <v>0.0456</v>
      </c>
      <c r="P502" s="42">
        <v>0.0456</v>
      </c>
      <c r="Q502">
        <v>0.05</v>
      </c>
      <c r="R502">
        <v>118</v>
      </c>
      <c r="S502">
        <v>118</v>
      </c>
      <c r="T502">
        <v>1500</v>
      </c>
      <c r="U502" t="s">
        <v>9475</v>
      </c>
      <c r="W502" s="42">
        <v>-0.0883</v>
      </c>
      <c r="X502" t="s">
        <v>9476</v>
      </c>
      <c r="Y502" t="s">
        <v>9477</v>
      </c>
      <c r="Z502" s="42">
        <v>0.7742</v>
      </c>
      <c r="AA502" s="42">
        <v>0.5</v>
      </c>
      <c r="AB502">
        <v>0</v>
      </c>
    </row>
    <row r="503">
      <c r="A503" t="s">
        <v>9526</v>
      </c>
      <c r="B503" t="s">
        <v>9264</v>
      </c>
      <c r="C503" t="s">
        <v>9264</v>
      </c>
      <c r="D503" t="s">
        <v>7362</v>
      </c>
      <c r="E503" t="s">
        <v>9527</v>
      </c>
      <c r="F503" t="s">
        <v>6966</v>
      </c>
      <c r="G503" t="s">
        <v>9500</v>
      </c>
      <c r="H503" t="s">
        <v>9509</v>
      </c>
      <c r="I503" t="s">
        <v>9528</v>
      </c>
      <c r="J503" t="s">
        <v>8205</v>
      </c>
      <c r="K503" t="s">
        <v>9529</v>
      </c>
      <c r="L503" t="s">
        <v>9503</v>
      </c>
      <c r="M503" s="42">
        <v>0.585</v>
      </c>
      <c r="N503" s="42">
        <v>1</v>
      </c>
      <c r="O503">
        <v>0.585</v>
      </c>
      <c r="P503" s="42">
        <v>0.585</v>
      </c>
      <c r="Q503">
        <v>0.59</v>
      </c>
      <c r="R503">
        <v>1509</v>
      </c>
      <c r="S503">
        <v>1509</v>
      </c>
      <c r="T503">
        <v>1500</v>
      </c>
      <c r="U503" t="s">
        <v>9475</v>
      </c>
      <c r="W503" s="42">
        <v>-0.0883</v>
      </c>
      <c r="X503" t="s">
        <v>9476</v>
      </c>
      <c r="Y503" t="s">
        <v>9477</v>
      </c>
      <c r="Z503" s="42">
        <v>0.7742</v>
      </c>
      <c r="AA503" s="42">
        <v>0.5</v>
      </c>
      <c r="AB503">
        <v>0</v>
      </c>
    </row>
    <row r="504">
      <c r="A504" t="s">
        <v>9530</v>
      </c>
      <c r="B504" t="s">
        <v>9324</v>
      </c>
      <c r="C504" t="s">
        <v>9324</v>
      </c>
      <c r="D504" t="s">
        <v>7402</v>
      </c>
      <c r="E504" t="s">
        <v>9531</v>
      </c>
      <c r="F504" t="s">
        <v>6966</v>
      </c>
      <c r="G504" t="s">
        <v>9532</v>
      </c>
      <c r="H504" t="s">
        <v>9533</v>
      </c>
      <c r="I504" t="s">
        <v>9534</v>
      </c>
      <c r="J504" t="s">
        <v>8205</v>
      </c>
      <c r="L504" t="s">
        <v>9535</v>
      </c>
      <c r="M504" s="42">
        <v>0.83</v>
      </c>
      <c r="N504" s="42">
        <v>0.3</v>
      </c>
      <c r="O504">
        <v>0.83</v>
      </c>
      <c r="P504" s="42">
        <v>0.949</v>
      </c>
      <c r="Q504">
        <v>0.95</v>
      </c>
      <c r="R504">
        <v>0</v>
      </c>
      <c r="S504">
        <v>0</v>
      </c>
      <c r="T504">
        <v>5000</v>
      </c>
      <c r="U504" t="s">
        <v>9475</v>
      </c>
      <c r="W504" s="42">
        <v>-0.0883</v>
      </c>
      <c r="X504" t="s">
        <v>9476</v>
      </c>
      <c r="Y504" t="s">
        <v>9477</v>
      </c>
      <c r="Z504" s="42">
        <v>0.7742</v>
      </c>
      <c r="AA504" s="42">
        <v>0.5</v>
      </c>
      <c r="AB504">
        <v>0</v>
      </c>
    </row>
    <row r="505">
      <c r="A505" t="s">
        <v>9536</v>
      </c>
      <c r="B505" t="s">
        <v>9324</v>
      </c>
      <c r="C505" t="s">
        <v>9324</v>
      </c>
      <c r="D505" t="s">
        <v>9537</v>
      </c>
      <c r="E505" t="s">
        <v>9538</v>
      </c>
      <c r="F505" t="s">
        <v>6966</v>
      </c>
      <c r="G505" t="s">
        <v>9539</v>
      </c>
      <c r="H505" t="s">
        <v>9540</v>
      </c>
      <c r="I505" t="s">
        <v>9541</v>
      </c>
      <c r="J505" t="s">
        <v>7122</v>
      </c>
      <c r="K505">
        <v>0</v>
      </c>
      <c r="L505" t="s">
        <v>9542</v>
      </c>
      <c r="M505" s="42">
        <v>1</v>
      </c>
      <c r="N505" s="42">
        <v>0.1</v>
      </c>
      <c r="O505">
        <v>1</v>
      </c>
      <c r="P505" s="42">
        <v>1</v>
      </c>
      <c r="Q505">
        <v>1</v>
      </c>
      <c r="R505">
        <v>0</v>
      </c>
      <c r="S505">
        <v>0</v>
      </c>
      <c r="T505">
        <v>5000</v>
      </c>
      <c r="U505" t="s">
        <v>9475</v>
      </c>
      <c r="W505" s="42">
        <v>-0.0883</v>
      </c>
      <c r="X505" t="s">
        <v>9476</v>
      </c>
      <c r="Y505" t="s">
        <v>9477</v>
      </c>
      <c r="Z505" s="42">
        <v>0.7742</v>
      </c>
      <c r="AA505" s="42">
        <v>0.5</v>
      </c>
      <c r="AB505">
        <v>0</v>
      </c>
    </row>
    <row r="506">
      <c r="A506" t="s">
        <v>9543</v>
      </c>
      <c r="B506" t="s">
        <v>9544</v>
      </c>
      <c r="C506" t="s">
        <v>9544</v>
      </c>
      <c r="D506" t="s">
        <v>9545</v>
      </c>
      <c r="E506" t="s">
        <v>9546</v>
      </c>
      <c r="F506" t="s">
        <v>6966</v>
      </c>
      <c r="G506" t="s">
        <v>9547</v>
      </c>
      <c r="H506" t="s">
        <v>9548</v>
      </c>
      <c r="I506" t="s">
        <v>9549</v>
      </c>
      <c r="J506" s="43">
        <v>1</v>
      </c>
      <c r="K506" t="s">
        <v>9550</v>
      </c>
      <c r="L506" t="s">
        <v>8577</v>
      </c>
      <c r="M506" s="42">
        <v>0.5396</v>
      </c>
      <c r="N506" s="42">
        <v>0.6</v>
      </c>
      <c r="O506">
        <v>0.54</v>
      </c>
      <c r="P506" s="42">
        <v>0.72376</v>
      </c>
      <c r="Q506">
        <v>0.72</v>
      </c>
      <c r="R506">
        <v>2886</v>
      </c>
      <c r="S506">
        <v>2886</v>
      </c>
      <c r="T506">
        <v>1500</v>
      </c>
      <c r="U506" t="s">
        <v>9475</v>
      </c>
      <c r="W506" s="42">
        <v>-0.0883</v>
      </c>
      <c r="X506" t="s">
        <v>9476</v>
      </c>
      <c r="Y506" t="s">
        <v>9477</v>
      </c>
      <c r="Z506" s="42">
        <v>0.7742</v>
      </c>
      <c r="AA506" s="42">
        <v>0.5</v>
      </c>
      <c r="AB506">
        <v>0</v>
      </c>
    </row>
    <row r="507">
      <c r="A507" t="s">
        <v>9551</v>
      </c>
      <c r="B507" t="s">
        <v>9544</v>
      </c>
      <c r="C507" t="s">
        <v>9544</v>
      </c>
      <c r="D507" t="s">
        <v>9545</v>
      </c>
      <c r="E507" t="s">
        <v>9552</v>
      </c>
      <c r="F507" t="s">
        <v>6966</v>
      </c>
      <c r="G507" t="s">
        <v>9547</v>
      </c>
      <c r="H507" t="s">
        <v>9548</v>
      </c>
      <c r="I507" t="s">
        <v>9553</v>
      </c>
      <c r="J507" s="43">
        <v>1</v>
      </c>
      <c r="K507" s="42">
        <v>0.8532</v>
      </c>
      <c r="L507" t="s">
        <v>9554</v>
      </c>
      <c r="M507" s="42">
        <v>0.8632</v>
      </c>
      <c r="N507" s="42">
        <v>0.6</v>
      </c>
      <c r="O507">
        <v>0.8532</v>
      </c>
      <c r="P507" s="42">
        <v>0.51792</v>
      </c>
      <c r="Q507">
        <v>0.51</v>
      </c>
      <c r="R507">
        <v>2550</v>
      </c>
      <c r="S507">
        <v>2550</v>
      </c>
      <c r="T507">
        <v>5000</v>
      </c>
      <c r="U507" t="s">
        <v>9475</v>
      </c>
      <c r="W507" s="42">
        <v>-0.0883</v>
      </c>
      <c r="X507" t="s">
        <v>9476</v>
      </c>
      <c r="Y507" t="s">
        <v>9477</v>
      </c>
      <c r="Z507" s="42">
        <v>0.7742</v>
      </c>
      <c r="AA507" s="42">
        <v>0.5</v>
      </c>
      <c r="AB507">
        <v>0</v>
      </c>
    </row>
    <row r="508">
      <c r="A508" t="s">
        <v>9555</v>
      </c>
      <c r="B508" t="s">
        <v>9544</v>
      </c>
      <c r="C508" t="s">
        <v>9544</v>
      </c>
      <c r="D508" t="s">
        <v>9545</v>
      </c>
      <c r="E508" t="s">
        <v>9556</v>
      </c>
      <c r="F508" t="s">
        <v>6966</v>
      </c>
      <c r="G508" t="s">
        <v>9547</v>
      </c>
      <c r="H508" t="s">
        <v>9548</v>
      </c>
      <c r="I508" t="s">
        <v>9557</v>
      </c>
      <c r="J508" s="43">
        <v>1</v>
      </c>
      <c r="K508" t="s">
        <v>9558</v>
      </c>
      <c r="M508" s="42">
        <v>0.7844</v>
      </c>
      <c r="N508" s="42">
        <v>0.6</v>
      </c>
      <c r="O508">
        <v>0.78</v>
      </c>
      <c r="P508" s="42">
        <v>0.67064</v>
      </c>
      <c r="Q508">
        <v>0.63</v>
      </c>
      <c r="R508">
        <v>4354</v>
      </c>
      <c r="S508">
        <v>4354</v>
      </c>
      <c r="T508">
        <v>5000</v>
      </c>
      <c r="U508" t="s">
        <v>9475</v>
      </c>
      <c r="W508" s="42">
        <v>-0.0883</v>
      </c>
      <c r="X508" t="s">
        <v>9476</v>
      </c>
      <c r="Y508" t="s">
        <v>9477</v>
      </c>
      <c r="Z508" s="42">
        <v>0.7742</v>
      </c>
      <c r="AA508" s="42">
        <v>0.5</v>
      </c>
      <c r="AB508">
        <v>0</v>
      </c>
    </row>
    <row r="509">
      <c r="A509" t="s">
        <v>9559</v>
      </c>
      <c r="B509" t="s">
        <v>9544</v>
      </c>
      <c r="C509" t="s">
        <v>9544</v>
      </c>
      <c r="D509" t="s">
        <v>9545</v>
      </c>
      <c r="E509" t="s">
        <v>9560</v>
      </c>
      <c r="F509" t="s">
        <v>6966</v>
      </c>
      <c r="G509" t="s">
        <v>9547</v>
      </c>
      <c r="H509" t="s">
        <v>9548</v>
      </c>
      <c r="I509" t="s">
        <v>9561</v>
      </c>
      <c r="J509" s="43">
        <v>1</v>
      </c>
      <c r="L509" t="s">
        <v>9562</v>
      </c>
      <c r="M509" s="42">
        <v>0.5722</v>
      </c>
      <c r="N509" s="42">
        <v>0.6</v>
      </c>
      <c r="O509">
        <v>0.57</v>
      </c>
      <c r="P509" s="42">
        <v>0.74332</v>
      </c>
      <c r="Q509">
        <v>0.74</v>
      </c>
      <c r="R509">
        <v>6710</v>
      </c>
      <c r="S509">
        <v>6710</v>
      </c>
      <c r="T509">
        <v>5000</v>
      </c>
      <c r="U509" t="s">
        <v>9475</v>
      </c>
      <c r="W509" s="42">
        <v>-0.0883</v>
      </c>
      <c r="X509" t="s">
        <v>9476</v>
      </c>
      <c r="Y509" t="s">
        <v>9477</v>
      </c>
      <c r="Z509" s="42">
        <v>0.7742</v>
      </c>
      <c r="AA509" s="42">
        <v>0.5</v>
      </c>
      <c r="AB509">
        <v>0</v>
      </c>
    </row>
    <row r="510">
      <c r="A510" t="s">
        <v>9563</v>
      </c>
      <c r="B510" t="s">
        <v>9564</v>
      </c>
      <c r="C510" t="s">
        <v>9564</v>
      </c>
      <c r="D510" t="s">
        <v>8790</v>
      </c>
      <c r="E510" t="s">
        <v>9565</v>
      </c>
      <c r="F510" t="s">
        <v>6966</v>
      </c>
      <c r="G510" t="s">
        <v>9566</v>
      </c>
      <c r="H510" t="s">
        <v>9567</v>
      </c>
      <c r="I510" t="s">
        <v>9568</v>
      </c>
      <c r="J510" s="43">
        <v>1</v>
      </c>
      <c r="K510" s="42">
        <v>1.0586</v>
      </c>
      <c r="L510" t="s">
        <v>9569</v>
      </c>
      <c r="M510" s="42">
        <v>1.0586</v>
      </c>
      <c r="N510" s="42">
        <v>0.5</v>
      </c>
      <c r="O510">
        <v>1.0586</v>
      </c>
      <c r="P510" s="42">
        <v>1.0576</v>
      </c>
      <c r="Q510">
        <v>1.06</v>
      </c>
      <c r="R510">
        <v>4558</v>
      </c>
      <c r="S510">
        <v>4558</v>
      </c>
      <c r="T510">
        <v>4300</v>
      </c>
      <c r="U510" t="s">
        <v>9475</v>
      </c>
      <c r="W510" s="42">
        <v>-0.0883</v>
      </c>
      <c r="X510" t="s">
        <v>9476</v>
      </c>
      <c r="Y510" t="s">
        <v>9477</v>
      </c>
      <c r="Z510" s="42">
        <v>0.7742</v>
      </c>
      <c r="AA510" s="42">
        <v>0.5</v>
      </c>
      <c r="AB510">
        <v>0</v>
      </c>
    </row>
    <row r="511">
      <c r="A511" t="s">
        <v>9570</v>
      </c>
      <c r="B511" t="s">
        <v>9571</v>
      </c>
      <c r="C511" t="s">
        <v>9571</v>
      </c>
      <c r="D511" t="s">
        <v>9572</v>
      </c>
      <c r="E511" t="s">
        <v>9573</v>
      </c>
      <c r="F511" t="s">
        <v>6966</v>
      </c>
      <c r="G511" t="s">
        <v>9574</v>
      </c>
      <c r="H511" t="s">
        <v>9575</v>
      </c>
      <c r="I511" t="s">
        <v>9576</v>
      </c>
      <c r="J511" s="43">
        <v>1</v>
      </c>
      <c r="K511" s="43">
        <v>1</v>
      </c>
      <c r="L511" t="s">
        <v>9577</v>
      </c>
      <c r="M511" s="42">
        <v>1</v>
      </c>
      <c r="N511" s="42">
        <v>0.5</v>
      </c>
      <c r="O511">
        <v>1</v>
      </c>
      <c r="P511" s="42">
        <v>0.906</v>
      </c>
      <c r="Q511">
        <v>0.91</v>
      </c>
      <c r="R511">
        <v>3763.52</v>
      </c>
      <c r="S511">
        <v>3763.52</v>
      </c>
      <c r="T511">
        <v>4500</v>
      </c>
      <c r="U511" t="s">
        <v>9475</v>
      </c>
      <c r="W511" s="42">
        <v>-0.0883</v>
      </c>
      <c r="X511" t="s">
        <v>9476</v>
      </c>
      <c r="Y511" t="s">
        <v>9477</v>
      </c>
      <c r="Z511" s="42">
        <v>0.7742</v>
      </c>
      <c r="AA511" s="42">
        <v>0.5</v>
      </c>
      <c r="AB511">
        <v>0</v>
      </c>
    </row>
    <row r="512">
      <c r="A512" t="s">
        <v>9578</v>
      </c>
      <c r="B512" t="s">
        <v>7116</v>
      </c>
      <c r="C512" t="s">
        <v>7116</v>
      </c>
      <c r="D512" t="s">
        <v>9572</v>
      </c>
      <c r="E512" t="s">
        <v>9579</v>
      </c>
      <c r="F512" t="s">
        <v>6966</v>
      </c>
      <c r="G512" t="s">
        <v>9574</v>
      </c>
      <c r="H512" t="s">
        <v>9580</v>
      </c>
      <c r="I512" t="s">
        <v>9581</v>
      </c>
      <c r="J512" s="43">
        <v>0.9</v>
      </c>
      <c r="K512" s="42">
        <v>0.515</v>
      </c>
      <c r="L512" t="s">
        <v>9582</v>
      </c>
      <c r="M512" s="42">
        <v>1.74</v>
      </c>
      <c r="N512" s="42">
        <v>0.3</v>
      </c>
      <c r="O512">
        <v>1.5</v>
      </c>
      <c r="P512" s="42">
        <v>1.661867</v>
      </c>
      <c r="Q512">
        <v>1.36</v>
      </c>
      <c r="R512">
        <v>6040.22</v>
      </c>
      <c r="S512">
        <v>6040.22</v>
      </c>
      <c r="T512">
        <v>5000</v>
      </c>
      <c r="U512" t="s">
        <v>9475</v>
      </c>
      <c r="W512" s="42">
        <v>-0.0883</v>
      </c>
      <c r="X512" t="s">
        <v>9476</v>
      </c>
      <c r="Y512" t="s">
        <v>9477</v>
      </c>
      <c r="Z512" s="42">
        <v>0.7742</v>
      </c>
      <c r="AA512" s="42">
        <v>0.5</v>
      </c>
      <c r="AB512">
        <v>0</v>
      </c>
    </row>
    <row r="513">
      <c r="A513" t="s">
        <v>9583</v>
      </c>
      <c r="B513" t="s">
        <v>8671</v>
      </c>
      <c r="C513" t="s">
        <v>8671</v>
      </c>
      <c r="D513" t="s">
        <v>7139</v>
      </c>
      <c r="E513" t="s">
        <v>9584</v>
      </c>
      <c r="F513" t="s">
        <v>6966</v>
      </c>
      <c r="G513" t="s">
        <v>9574</v>
      </c>
      <c r="H513" t="s">
        <v>9580</v>
      </c>
      <c r="I513" t="s">
        <v>9585</v>
      </c>
      <c r="J513">
        <v>1</v>
      </c>
      <c r="K513">
        <v>0.95</v>
      </c>
      <c r="L513" t="s">
        <v>9586</v>
      </c>
      <c r="M513" s="42">
        <v>0.95</v>
      </c>
      <c r="N513" s="42">
        <v>0.9</v>
      </c>
      <c r="O513">
        <v>0.95</v>
      </c>
      <c r="P513" s="42">
        <v>0.955</v>
      </c>
      <c r="Q513">
        <v>0.96</v>
      </c>
      <c r="R513">
        <v>3717.06</v>
      </c>
      <c r="S513">
        <v>3717.06</v>
      </c>
      <c r="T513">
        <v>4000</v>
      </c>
      <c r="U513" t="s">
        <v>9475</v>
      </c>
      <c r="W513" s="42">
        <v>-0.0883</v>
      </c>
      <c r="X513" t="s">
        <v>9476</v>
      </c>
      <c r="Y513" t="s">
        <v>9477</v>
      </c>
      <c r="Z513" s="42">
        <v>0.7742</v>
      </c>
      <c r="AA513" s="42">
        <v>0.5</v>
      </c>
      <c r="AB513">
        <v>0</v>
      </c>
    </row>
    <row r="514">
      <c r="A514" t="s">
        <v>9587</v>
      </c>
      <c r="B514" t="s">
        <v>9588</v>
      </c>
      <c r="C514" t="s">
        <v>9588</v>
      </c>
      <c r="D514" t="s">
        <v>9572</v>
      </c>
      <c r="E514" t="s">
        <v>9589</v>
      </c>
      <c r="F514" t="s">
        <v>6966</v>
      </c>
      <c r="G514" t="s">
        <v>9574</v>
      </c>
      <c r="H514" t="s">
        <v>9575</v>
      </c>
      <c r="I514" t="s">
        <v>9590</v>
      </c>
      <c r="J514" t="s">
        <v>9591</v>
      </c>
      <c r="K514" t="s">
        <v>9591</v>
      </c>
      <c r="L514" t="s">
        <v>9592</v>
      </c>
      <c r="M514" s="42">
        <v>1</v>
      </c>
      <c r="N514" s="42">
        <v>0.6</v>
      </c>
      <c r="O514">
        <v>1</v>
      </c>
      <c r="P514" s="42">
        <v>0.995</v>
      </c>
      <c r="Q514">
        <v>1</v>
      </c>
      <c r="R514">
        <v>5110.96</v>
      </c>
      <c r="S514">
        <v>5110.96</v>
      </c>
      <c r="T514">
        <v>5000</v>
      </c>
      <c r="U514" t="s">
        <v>9475</v>
      </c>
      <c r="W514" s="42">
        <v>-0.0883</v>
      </c>
      <c r="X514" t="s">
        <v>9476</v>
      </c>
      <c r="Y514" t="s">
        <v>9477</v>
      </c>
      <c r="Z514" s="42">
        <v>0.7742</v>
      </c>
      <c r="AA514" s="42">
        <v>0.5</v>
      </c>
      <c r="AB514">
        <v>0</v>
      </c>
    </row>
    <row r="515">
      <c r="A515" t="s">
        <v>9593</v>
      </c>
      <c r="B515" t="s">
        <v>7212</v>
      </c>
      <c r="C515" t="s">
        <v>7212</v>
      </c>
      <c r="D515" t="s">
        <v>9572</v>
      </c>
      <c r="E515" t="s">
        <v>9594</v>
      </c>
      <c r="F515" t="s">
        <v>6966</v>
      </c>
      <c r="G515" t="s">
        <v>9574</v>
      </c>
      <c r="H515" t="s">
        <v>9595</v>
      </c>
      <c r="I515" t="s">
        <v>9596</v>
      </c>
      <c r="J515" t="s">
        <v>9529</v>
      </c>
      <c r="K515" t="s">
        <v>7391</v>
      </c>
      <c r="L515" t="s">
        <v>9597</v>
      </c>
      <c r="M515" s="42">
        <v>0.5</v>
      </c>
      <c r="N515" s="42">
        <v>0.2</v>
      </c>
      <c r="O515">
        <v>0.4</v>
      </c>
      <c r="P515" s="42">
        <v>0.4992</v>
      </c>
      <c r="Q515">
        <v>0.91</v>
      </c>
      <c r="R515">
        <v>4181.69</v>
      </c>
      <c r="S515">
        <v>4181.69</v>
      </c>
      <c r="T515">
        <v>5000</v>
      </c>
      <c r="U515" t="s">
        <v>9475</v>
      </c>
      <c r="W515" s="42">
        <v>-0.0883</v>
      </c>
      <c r="X515" t="s">
        <v>9476</v>
      </c>
      <c r="Y515" t="s">
        <v>9477</v>
      </c>
      <c r="Z515" s="42">
        <v>0.7742</v>
      </c>
      <c r="AA515" s="42">
        <v>0.5</v>
      </c>
      <c r="AB515">
        <v>0</v>
      </c>
    </row>
    <row r="516">
      <c r="A516" t="s">
        <v>9598</v>
      </c>
      <c r="B516" t="s">
        <v>9229</v>
      </c>
      <c r="C516" t="s">
        <v>9229</v>
      </c>
      <c r="D516" t="s">
        <v>7000</v>
      </c>
      <c r="E516" t="s">
        <v>9599</v>
      </c>
      <c r="F516" t="s">
        <v>6966</v>
      </c>
      <c r="G516" t="s">
        <v>9574</v>
      </c>
      <c r="H516" t="s">
        <v>9595</v>
      </c>
      <c r="I516" t="s">
        <v>9233</v>
      </c>
      <c r="J516" t="s">
        <v>9600</v>
      </c>
      <c r="K516" t="s">
        <v>9601</v>
      </c>
      <c r="L516" t="s">
        <v>9597</v>
      </c>
      <c r="M516" s="42">
        <v>2</v>
      </c>
      <c r="N516" s="42">
        <v>0.4</v>
      </c>
      <c r="O516">
        <v>1.5</v>
      </c>
      <c r="P516" s="42">
        <v>1.366</v>
      </c>
      <c r="Q516">
        <v>1.15</v>
      </c>
      <c r="R516">
        <v>5575.59</v>
      </c>
      <c r="S516">
        <v>5575.59</v>
      </c>
      <c r="T516">
        <v>5000</v>
      </c>
      <c r="U516" t="s">
        <v>9475</v>
      </c>
      <c r="W516" s="42">
        <v>-0.0883</v>
      </c>
      <c r="X516" t="s">
        <v>9476</v>
      </c>
      <c r="Y516" t="s">
        <v>9477</v>
      </c>
      <c r="Z516" s="42">
        <v>0.7742</v>
      </c>
      <c r="AA516" s="42">
        <v>0.5</v>
      </c>
      <c r="AB516">
        <v>0</v>
      </c>
    </row>
    <row r="517">
      <c r="A517" t="s">
        <v>9602</v>
      </c>
      <c r="B517" t="s">
        <v>9564</v>
      </c>
      <c r="C517" t="s">
        <v>9564</v>
      </c>
      <c r="D517" t="s">
        <v>7000</v>
      </c>
      <c r="E517" t="s">
        <v>9603</v>
      </c>
      <c r="F517" t="s">
        <v>6966</v>
      </c>
      <c r="G517" t="s">
        <v>9604</v>
      </c>
      <c r="H517" t="s">
        <v>9567</v>
      </c>
      <c r="I517" t="s">
        <v>9568</v>
      </c>
      <c r="J517" s="43">
        <v>1</v>
      </c>
      <c r="K517" s="42">
        <v>1.0586</v>
      </c>
      <c r="L517" t="s">
        <v>9605</v>
      </c>
      <c r="M517" s="42">
        <v>1.0586</v>
      </c>
      <c r="N517" s="42">
        <v>0.05</v>
      </c>
      <c r="O517">
        <v>1.0586</v>
      </c>
      <c r="P517" s="42">
        <v>0.78909</v>
      </c>
      <c r="Q517">
        <v>0.78</v>
      </c>
      <c r="R517">
        <v>4680</v>
      </c>
      <c r="S517">
        <v>4680</v>
      </c>
      <c r="T517">
        <v>6000</v>
      </c>
      <c r="U517" t="s">
        <v>9475</v>
      </c>
      <c r="W517" s="42">
        <v>-0.0883</v>
      </c>
      <c r="X517" t="s">
        <v>9476</v>
      </c>
      <c r="Y517" t="s">
        <v>9477</v>
      </c>
      <c r="Z517" s="42">
        <v>0.7742</v>
      </c>
      <c r="AA517" s="42">
        <v>0.5</v>
      </c>
      <c r="AB517">
        <v>0</v>
      </c>
    </row>
    <row r="518">
      <c r="A518" t="s">
        <v>9606</v>
      </c>
      <c r="B518" t="s">
        <v>9564</v>
      </c>
      <c r="C518" t="s">
        <v>9564</v>
      </c>
      <c r="D518" t="s">
        <v>7402</v>
      </c>
      <c r="E518" t="s">
        <v>9607</v>
      </c>
      <c r="F518" t="s">
        <v>6966</v>
      </c>
      <c r="G518" t="s">
        <v>9604</v>
      </c>
      <c r="H518" t="s">
        <v>9567</v>
      </c>
      <c r="I518" t="s">
        <v>9568</v>
      </c>
      <c r="J518" s="42">
        <v>0.0768</v>
      </c>
      <c r="K518">
        <v>8.13</v>
      </c>
      <c r="L518" t="s">
        <v>9608</v>
      </c>
      <c r="M518" s="42">
        <v>1.0586</v>
      </c>
      <c r="N518" s="42">
        <v>0.05</v>
      </c>
      <c r="O518">
        <v>1.0586</v>
      </c>
      <c r="P518" s="42">
        <v>0.97676</v>
      </c>
      <c r="Q518">
        <v>0.98</v>
      </c>
      <c r="R518">
        <v>4877</v>
      </c>
      <c r="S518">
        <v>4877</v>
      </c>
      <c r="T518">
        <v>5000</v>
      </c>
      <c r="U518" t="s">
        <v>9475</v>
      </c>
      <c r="W518" s="42">
        <v>-0.0883</v>
      </c>
      <c r="X518" t="s">
        <v>9476</v>
      </c>
      <c r="Y518" t="s">
        <v>9477</v>
      </c>
      <c r="Z518" s="42">
        <v>0.7742</v>
      </c>
      <c r="AA518" s="42">
        <v>0.5</v>
      </c>
      <c r="AB518">
        <v>0</v>
      </c>
    </row>
    <row r="519">
      <c r="A519" t="s">
        <v>9609</v>
      </c>
      <c r="B519" t="s">
        <v>9610</v>
      </c>
      <c r="C519" t="s">
        <v>9610</v>
      </c>
      <c r="D519" t="s">
        <v>7355</v>
      </c>
      <c r="E519" t="s">
        <v>9611</v>
      </c>
      <c r="F519" t="s">
        <v>6966</v>
      </c>
      <c r="G519" t="s">
        <v>9612</v>
      </c>
      <c r="H519" t="s">
        <v>9613</v>
      </c>
      <c r="I519" t="s">
        <v>9614</v>
      </c>
      <c r="J519" t="s">
        <v>9615</v>
      </c>
      <c r="K519" t="s">
        <v>9616</v>
      </c>
      <c r="L519" t="s">
        <v>9608</v>
      </c>
      <c r="M519" s="42">
        <v>0.7</v>
      </c>
      <c r="N519" s="42">
        <v>0.7</v>
      </c>
      <c r="O519">
        <v>1.0067</v>
      </c>
      <c r="P519" s="42">
        <v>0.58</v>
      </c>
      <c r="Q519">
        <v>0.9</v>
      </c>
      <c r="R519">
        <v>5580</v>
      </c>
      <c r="S519">
        <v>5580</v>
      </c>
      <c r="T519">
        <v>5000</v>
      </c>
      <c r="U519" t="s">
        <v>9475</v>
      </c>
      <c r="W519" s="42">
        <v>-0.0883</v>
      </c>
      <c r="X519" t="s">
        <v>9476</v>
      </c>
      <c r="Y519" t="s">
        <v>9477</v>
      </c>
      <c r="Z519" s="42">
        <v>0.7742</v>
      </c>
      <c r="AA519" s="42">
        <v>0.5</v>
      </c>
      <c r="AB519">
        <v>0</v>
      </c>
    </row>
    <row r="520">
      <c r="A520" t="s">
        <v>9617</v>
      </c>
      <c r="B520" t="s">
        <v>9610</v>
      </c>
      <c r="C520" t="s">
        <v>9610</v>
      </c>
      <c r="D520" t="s">
        <v>7362</v>
      </c>
      <c r="E520" t="s">
        <v>9618</v>
      </c>
      <c r="F520" t="s">
        <v>6966</v>
      </c>
      <c r="G520" t="s">
        <v>9612</v>
      </c>
      <c r="H520" t="s">
        <v>9613</v>
      </c>
      <c r="I520" t="s">
        <v>9619</v>
      </c>
      <c r="J520" t="s">
        <v>9620</v>
      </c>
      <c r="K520" t="s">
        <v>9621</v>
      </c>
      <c r="L520" t="s">
        <v>9608</v>
      </c>
      <c r="M520" s="42">
        <v>1</v>
      </c>
      <c r="N520" s="42">
        <v>0.7</v>
      </c>
      <c r="O520">
        <v>1</v>
      </c>
      <c r="P520" s="42">
        <v>0.7</v>
      </c>
      <c r="Q520">
        <v>0.7</v>
      </c>
      <c r="R520">
        <v>1395</v>
      </c>
      <c r="S520">
        <v>1395</v>
      </c>
      <c r="T520">
        <v>1500</v>
      </c>
      <c r="U520" t="s">
        <v>9475</v>
      </c>
      <c r="W520" s="42">
        <v>-0.0883</v>
      </c>
      <c r="X520" t="s">
        <v>9476</v>
      </c>
      <c r="Y520" t="s">
        <v>9477</v>
      </c>
      <c r="Z520" s="42">
        <v>0.7742</v>
      </c>
      <c r="AA520" s="42">
        <v>0.5</v>
      </c>
      <c r="AB520">
        <v>0</v>
      </c>
    </row>
    <row r="521">
      <c r="A521" t="s">
        <v>9622</v>
      </c>
      <c r="B521" t="s">
        <v>9610</v>
      </c>
      <c r="C521" t="s">
        <v>9610</v>
      </c>
      <c r="D521" t="s">
        <v>8239</v>
      </c>
      <c r="E521" t="s">
        <v>9623</v>
      </c>
      <c r="F521" t="s">
        <v>6966</v>
      </c>
      <c r="G521" t="s">
        <v>9612</v>
      </c>
      <c r="H521" t="s">
        <v>9613</v>
      </c>
      <c r="I521" t="s">
        <v>9624</v>
      </c>
      <c r="J521" t="s">
        <v>9615</v>
      </c>
      <c r="K521" t="s">
        <v>9625</v>
      </c>
      <c r="M521" s="42">
        <v>0.71</v>
      </c>
      <c r="N521" s="42">
        <v>0.7</v>
      </c>
      <c r="O521">
        <v>0.568</v>
      </c>
      <c r="P521" s="42">
        <v>0.69701</v>
      </c>
      <c r="Q521">
        <v>0.56</v>
      </c>
      <c r="R521">
        <v>3410</v>
      </c>
      <c r="S521">
        <v>3410</v>
      </c>
      <c r="T521">
        <v>2000</v>
      </c>
      <c r="U521" t="s">
        <v>9475</v>
      </c>
      <c r="W521" s="42">
        <v>-0.0883</v>
      </c>
      <c r="X521" t="s">
        <v>9476</v>
      </c>
      <c r="Y521" t="s">
        <v>9477</v>
      </c>
      <c r="Z521" s="42">
        <v>0.7742</v>
      </c>
      <c r="AA521" s="42">
        <v>0.5</v>
      </c>
      <c r="AB521">
        <v>0</v>
      </c>
    </row>
    <row r="522">
      <c r="A522" t="s">
        <v>9626</v>
      </c>
      <c r="B522" t="s">
        <v>9610</v>
      </c>
      <c r="C522" t="s">
        <v>9610</v>
      </c>
      <c r="D522" t="s">
        <v>8661</v>
      </c>
      <c r="E522" t="s">
        <v>9627</v>
      </c>
      <c r="F522" t="s">
        <v>6966</v>
      </c>
      <c r="G522" t="s">
        <v>9612</v>
      </c>
      <c r="H522" t="s">
        <v>9613</v>
      </c>
      <c r="I522" t="s">
        <v>9628</v>
      </c>
      <c r="J522">
        <v>1000000</v>
      </c>
      <c r="K522">
        <v>105713.68</v>
      </c>
      <c r="M522" s="42">
        <v>0.1057</v>
      </c>
      <c r="N522" s="42">
        <v>0.7</v>
      </c>
      <c r="O522">
        <v>0.0846</v>
      </c>
      <c r="P522" s="42">
        <v>0.07399</v>
      </c>
      <c r="Q522">
        <v>0.06</v>
      </c>
      <c r="R522">
        <v>1240</v>
      </c>
      <c r="S522">
        <v>1240</v>
      </c>
      <c r="T522">
        <v>500</v>
      </c>
      <c r="U522" t="s">
        <v>9475</v>
      </c>
      <c r="W522" s="42">
        <v>-0.0883</v>
      </c>
      <c r="X522" t="s">
        <v>9476</v>
      </c>
      <c r="Y522" t="s">
        <v>9477</v>
      </c>
      <c r="Z522" s="42">
        <v>0.7742</v>
      </c>
      <c r="AA522" s="42">
        <v>0.5</v>
      </c>
      <c r="AB522">
        <v>0</v>
      </c>
    </row>
    <row r="523">
      <c r="A523" t="s">
        <v>9629</v>
      </c>
      <c r="B523" t="s">
        <v>9610</v>
      </c>
      <c r="C523" t="s">
        <v>9610</v>
      </c>
      <c r="D523" t="s">
        <v>7355</v>
      </c>
      <c r="E523" t="s">
        <v>9630</v>
      </c>
      <c r="F523" t="s">
        <v>6966</v>
      </c>
      <c r="G523" t="s">
        <v>9612</v>
      </c>
      <c r="H523" t="s">
        <v>9613</v>
      </c>
      <c r="I523" t="s">
        <v>9631</v>
      </c>
      <c r="J523" t="s">
        <v>9615</v>
      </c>
      <c r="K523" t="s">
        <v>9632</v>
      </c>
      <c r="M523" s="42">
        <v>0.8118</v>
      </c>
      <c r="N523" s="42">
        <v>0.7</v>
      </c>
      <c r="O523">
        <v>0.65</v>
      </c>
      <c r="P523" s="42">
        <v>0.66816</v>
      </c>
      <c r="Q523">
        <v>0.54</v>
      </c>
      <c r="R523">
        <v>2015</v>
      </c>
      <c r="S523">
        <v>2015</v>
      </c>
      <c r="T523">
        <v>5000</v>
      </c>
      <c r="U523" t="s">
        <v>9475</v>
      </c>
      <c r="W523" s="42">
        <v>-0.0883</v>
      </c>
      <c r="X523" t="s">
        <v>9476</v>
      </c>
      <c r="Y523" t="s">
        <v>9477</v>
      </c>
      <c r="Z523" s="42">
        <v>0.7742</v>
      </c>
      <c r="AA523" s="42">
        <v>0.5</v>
      </c>
      <c r="AB523">
        <v>0</v>
      </c>
    </row>
    <row r="524">
      <c r="A524" t="s">
        <v>9633</v>
      </c>
      <c r="B524" t="s">
        <v>9610</v>
      </c>
      <c r="C524" t="s">
        <v>9610</v>
      </c>
      <c r="D524" t="s">
        <v>7362</v>
      </c>
      <c r="E524" t="s">
        <v>9634</v>
      </c>
      <c r="F524" t="s">
        <v>6966</v>
      </c>
      <c r="G524" t="s">
        <v>9612</v>
      </c>
      <c r="H524" t="s">
        <v>9635</v>
      </c>
      <c r="I524" t="s">
        <v>9636</v>
      </c>
      <c r="J524" t="s">
        <v>8850</v>
      </c>
      <c r="K524" t="s">
        <v>9637</v>
      </c>
      <c r="L524" t="s">
        <v>9638</v>
      </c>
      <c r="M524" s="42">
        <v>1.666667</v>
      </c>
      <c r="N524" s="42">
        <v>0.3</v>
      </c>
      <c r="O524">
        <v>1.5</v>
      </c>
      <c r="P524" s="42">
        <v>1.872</v>
      </c>
      <c r="Q524">
        <v>1.5</v>
      </c>
      <c r="R524">
        <v>1860</v>
      </c>
      <c r="S524">
        <v>1860</v>
      </c>
      <c r="T524">
        <v>1500</v>
      </c>
      <c r="U524" t="s">
        <v>9475</v>
      </c>
      <c r="W524" s="42">
        <v>-0.0883</v>
      </c>
      <c r="X524" t="s">
        <v>9476</v>
      </c>
      <c r="Y524" t="s">
        <v>9477</v>
      </c>
      <c r="Z524" s="42">
        <v>0.7742</v>
      </c>
      <c r="AA524" s="42">
        <v>0.5</v>
      </c>
      <c r="AB524">
        <v>0</v>
      </c>
    </row>
    <row r="525">
      <c r="A525" t="s">
        <v>9639</v>
      </c>
      <c r="B525" t="s">
        <v>9610</v>
      </c>
      <c r="C525" t="s">
        <v>9610</v>
      </c>
      <c r="D525" t="s">
        <v>7355</v>
      </c>
      <c r="E525" t="s">
        <v>9640</v>
      </c>
      <c r="F525" t="s">
        <v>6966</v>
      </c>
      <c r="G525" t="s">
        <v>9612</v>
      </c>
      <c r="H525" t="s">
        <v>9613</v>
      </c>
      <c r="I525">
        <v>1</v>
      </c>
      <c r="J525" t="s">
        <v>9620</v>
      </c>
      <c r="K525" t="s">
        <v>9641</v>
      </c>
      <c r="L525" t="s">
        <v>9638</v>
      </c>
      <c r="M525" s="42">
        <v>0.47</v>
      </c>
      <c r="N525" s="42">
        <v>0.7</v>
      </c>
      <c r="O525">
        <v>0.37</v>
      </c>
      <c r="P525" s="42">
        <v>0.329</v>
      </c>
      <c r="Q525">
        <v>0.26</v>
      </c>
      <c r="R525">
        <v>0</v>
      </c>
      <c r="S525">
        <v>0</v>
      </c>
      <c r="T525">
        <v>5000</v>
      </c>
      <c r="U525" t="s">
        <v>9475</v>
      </c>
      <c r="W525" s="42">
        <v>-0.0883</v>
      </c>
      <c r="X525" t="s">
        <v>9476</v>
      </c>
      <c r="Y525" t="s">
        <v>9477</v>
      </c>
      <c r="Z525" s="42">
        <v>0.7742</v>
      </c>
      <c r="AA525" s="42">
        <v>0.5</v>
      </c>
      <c r="AB525">
        <v>0</v>
      </c>
    </row>
    <row r="526">
      <c r="A526" t="s">
        <v>9642</v>
      </c>
      <c r="B526" t="s">
        <v>9643</v>
      </c>
      <c r="C526" t="s">
        <v>9643</v>
      </c>
      <c r="D526" t="s">
        <v>9644</v>
      </c>
      <c r="E526" t="s">
        <v>9645</v>
      </c>
      <c r="F526" t="s">
        <v>6966</v>
      </c>
      <c r="G526" t="s">
        <v>9646</v>
      </c>
      <c r="H526" t="s">
        <v>9647</v>
      </c>
      <c r="I526" t="s">
        <v>9648</v>
      </c>
      <c r="J526" t="s">
        <v>9192</v>
      </c>
      <c r="K526" t="s">
        <v>9649</v>
      </c>
      <c r="L526" t="s">
        <v>9650</v>
      </c>
      <c r="M526" s="42">
        <v>1.5666</v>
      </c>
      <c r="N526" s="42">
        <v>0.6</v>
      </c>
      <c r="O526">
        <v>1</v>
      </c>
      <c r="P526" s="42">
        <v>1.17996</v>
      </c>
      <c r="Q526">
        <v>0.77</v>
      </c>
      <c r="R526">
        <v>3850</v>
      </c>
      <c r="S526">
        <v>4850</v>
      </c>
      <c r="T526">
        <v>5000</v>
      </c>
      <c r="U526" t="s">
        <v>9475</v>
      </c>
      <c r="W526" s="42">
        <v>-0.0883</v>
      </c>
      <c r="X526" t="s">
        <v>9476</v>
      </c>
      <c r="Y526" t="s">
        <v>9477</v>
      </c>
      <c r="Z526" s="42">
        <v>0.7742</v>
      </c>
      <c r="AA526" s="42">
        <v>0.5</v>
      </c>
      <c r="AB526">
        <v>0</v>
      </c>
    </row>
    <row r="527">
      <c r="A527" t="s">
        <v>9651</v>
      </c>
      <c r="B527" t="s">
        <v>9652</v>
      </c>
      <c r="C527" t="s">
        <v>9652</v>
      </c>
      <c r="D527" t="s">
        <v>9644</v>
      </c>
      <c r="E527" t="s">
        <v>9653</v>
      </c>
      <c r="F527" t="s">
        <v>6966</v>
      </c>
      <c r="G527" t="s">
        <v>9646</v>
      </c>
      <c r="H527" t="s">
        <v>9654</v>
      </c>
      <c r="I527" t="s">
        <v>9655</v>
      </c>
      <c r="J527" t="s">
        <v>9656</v>
      </c>
      <c r="K527" t="s">
        <v>9657</v>
      </c>
      <c r="L527" t="s">
        <v>9650</v>
      </c>
      <c r="M527" s="42">
        <v>1.05</v>
      </c>
      <c r="N527" s="42">
        <v>0.25</v>
      </c>
      <c r="O527">
        <v>1</v>
      </c>
      <c r="P527" s="42">
        <v>1.2125</v>
      </c>
      <c r="Q527">
        <v>0.95</v>
      </c>
      <c r="R527">
        <v>4750</v>
      </c>
      <c r="S527">
        <v>4750</v>
      </c>
      <c r="T527">
        <v>5000</v>
      </c>
      <c r="U527" t="s">
        <v>9475</v>
      </c>
      <c r="W527" s="42">
        <v>-0.0883</v>
      </c>
      <c r="X527" t="s">
        <v>9476</v>
      </c>
      <c r="Y527" t="s">
        <v>9477</v>
      </c>
      <c r="Z527" s="42">
        <v>0.7742</v>
      </c>
      <c r="AA527" s="42">
        <v>0.5</v>
      </c>
      <c r="AB527">
        <v>0</v>
      </c>
    </row>
    <row r="528">
      <c r="A528" t="s">
        <v>9658</v>
      </c>
      <c r="B528" t="s">
        <v>9652</v>
      </c>
      <c r="C528" t="s">
        <v>9652</v>
      </c>
      <c r="D528" t="s">
        <v>7362</v>
      </c>
      <c r="E528" t="s">
        <v>9659</v>
      </c>
      <c r="F528" t="s">
        <v>6966</v>
      </c>
      <c r="G528" t="s">
        <v>9646</v>
      </c>
      <c r="H528" t="s">
        <v>9654</v>
      </c>
      <c r="I528" t="s">
        <v>9660</v>
      </c>
      <c r="J528" t="s">
        <v>9656</v>
      </c>
      <c r="K528" t="s">
        <v>9656</v>
      </c>
      <c r="M528" s="42">
        <v>1</v>
      </c>
      <c r="N528" s="42">
        <v>0.25</v>
      </c>
      <c r="O528">
        <v>1</v>
      </c>
      <c r="P528" s="42">
        <v>1.035</v>
      </c>
      <c r="Q528">
        <v>0.92</v>
      </c>
      <c r="R528">
        <v>1376</v>
      </c>
      <c r="S528">
        <v>1376</v>
      </c>
      <c r="T528">
        <v>1500</v>
      </c>
      <c r="U528" t="s">
        <v>9475</v>
      </c>
      <c r="W528" s="42">
        <v>-0.0883</v>
      </c>
      <c r="X528" t="s">
        <v>9476</v>
      </c>
      <c r="Y528" t="s">
        <v>9477</v>
      </c>
      <c r="Z528" s="42">
        <v>0.7742</v>
      </c>
      <c r="AA528" s="42">
        <v>0.5</v>
      </c>
      <c r="AB528">
        <v>0</v>
      </c>
    </row>
    <row r="529">
      <c r="A529" t="s">
        <v>9661</v>
      </c>
      <c r="B529" t="s">
        <v>9652</v>
      </c>
      <c r="C529" t="s">
        <v>9652</v>
      </c>
      <c r="D529" t="s">
        <v>9644</v>
      </c>
      <c r="E529" t="s">
        <v>9662</v>
      </c>
      <c r="F529" t="s">
        <v>6966</v>
      </c>
      <c r="G529" t="s">
        <v>9646</v>
      </c>
      <c r="H529" t="s">
        <v>9663</v>
      </c>
      <c r="I529" t="s">
        <v>9664</v>
      </c>
      <c r="J529" t="s">
        <v>9637</v>
      </c>
      <c r="K529" t="s">
        <v>9637</v>
      </c>
      <c r="L529" t="s">
        <v>9665</v>
      </c>
      <c r="M529" s="42">
        <v>1</v>
      </c>
      <c r="N529" s="42">
        <v>0.6</v>
      </c>
      <c r="O529">
        <v>1</v>
      </c>
      <c r="P529" s="42">
        <v>1</v>
      </c>
      <c r="Q529">
        <v>1</v>
      </c>
      <c r="R529">
        <v>0</v>
      </c>
      <c r="S529">
        <v>0</v>
      </c>
      <c r="T529">
        <v>5000</v>
      </c>
      <c r="U529" t="s">
        <v>9475</v>
      </c>
      <c r="W529" s="42">
        <v>-0.0883</v>
      </c>
      <c r="X529" t="s">
        <v>9476</v>
      </c>
      <c r="Y529" t="s">
        <v>9477</v>
      </c>
      <c r="Z529" s="42">
        <v>0.7742</v>
      </c>
      <c r="AA529" s="42">
        <v>0.5</v>
      </c>
      <c r="AB529">
        <v>0</v>
      </c>
    </row>
    <row r="530">
      <c r="A530" t="s">
        <v>9666</v>
      </c>
      <c r="B530" t="s">
        <v>9643</v>
      </c>
      <c r="C530" t="s">
        <v>9643</v>
      </c>
      <c r="D530" t="s">
        <v>9644</v>
      </c>
      <c r="E530" t="s">
        <v>9667</v>
      </c>
      <c r="F530" t="s">
        <v>6966</v>
      </c>
      <c r="G530" t="s">
        <v>9646</v>
      </c>
      <c r="H530" t="s">
        <v>9654</v>
      </c>
      <c r="I530" t="s">
        <v>9655</v>
      </c>
      <c r="J530" t="s">
        <v>9656</v>
      </c>
      <c r="K530" t="s">
        <v>9668</v>
      </c>
      <c r="L530" t="s">
        <v>9669</v>
      </c>
      <c r="M530" s="42">
        <v>1</v>
      </c>
      <c r="N530" s="42">
        <v>0.25</v>
      </c>
      <c r="O530">
        <v>1</v>
      </c>
      <c r="P530" s="42">
        <v>0.87</v>
      </c>
      <c r="Q530">
        <v>0.83</v>
      </c>
      <c r="R530">
        <v>0</v>
      </c>
      <c r="S530">
        <v>0</v>
      </c>
      <c r="T530">
        <v>5000</v>
      </c>
      <c r="U530" t="s">
        <v>9475</v>
      </c>
      <c r="W530" s="42">
        <v>-0.0883</v>
      </c>
      <c r="X530" t="s">
        <v>9476</v>
      </c>
      <c r="Y530" t="s">
        <v>9477</v>
      </c>
      <c r="Z530" s="42">
        <v>0.7742</v>
      </c>
      <c r="AA530" s="42">
        <v>0.5</v>
      </c>
      <c r="AB530">
        <v>0</v>
      </c>
    </row>
    <row r="531">
      <c r="A531" t="s">
        <v>9670</v>
      </c>
      <c r="B531" t="s">
        <v>8712</v>
      </c>
      <c r="C531" t="s">
        <v>8712</v>
      </c>
      <c r="D531" t="s">
        <v>9671</v>
      </c>
      <c r="E531" t="s">
        <v>9672</v>
      </c>
      <c r="F531" t="s">
        <v>6966</v>
      </c>
      <c r="G531" t="s">
        <v>9673</v>
      </c>
      <c r="H531" t="s">
        <v>9674</v>
      </c>
      <c r="I531" t="s">
        <v>9675</v>
      </c>
      <c r="J531" t="s">
        <v>9637</v>
      </c>
      <c r="L531" t="s">
        <v>9676</v>
      </c>
      <c r="M531" s="42">
        <v>1</v>
      </c>
      <c r="N531" s="42">
        <v>1</v>
      </c>
      <c r="O531">
        <v>1</v>
      </c>
      <c r="P531" s="42">
        <v>1</v>
      </c>
      <c r="Q531">
        <v>100</v>
      </c>
      <c r="R531">
        <v>6800</v>
      </c>
      <c r="S531">
        <v>6800</v>
      </c>
      <c r="T531">
        <v>10000</v>
      </c>
      <c r="U531" t="s">
        <v>9475</v>
      </c>
      <c r="W531" s="42">
        <v>-0.0883</v>
      </c>
      <c r="X531" t="s">
        <v>9476</v>
      </c>
      <c r="Y531" t="s">
        <v>9477</v>
      </c>
      <c r="Z531" s="42">
        <v>0.7742</v>
      </c>
      <c r="AA531" s="42">
        <v>0.5</v>
      </c>
      <c r="AB531">
        <v>0</v>
      </c>
    </row>
    <row r="532">
      <c r="A532" t="s">
        <v>9677</v>
      </c>
      <c r="B532" t="s">
        <v>8712</v>
      </c>
      <c r="C532" t="s">
        <v>8712</v>
      </c>
      <c r="D532" t="s">
        <v>9678</v>
      </c>
      <c r="E532" t="s">
        <v>9679</v>
      </c>
      <c r="F532" t="s">
        <v>6966</v>
      </c>
      <c r="G532" t="s">
        <v>9673</v>
      </c>
      <c r="H532" t="s">
        <v>9674</v>
      </c>
      <c r="I532" t="s">
        <v>9675</v>
      </c>
      <c r="J532" t="s">
        <v>9637</v>
      </c>
      <c r="L532" t="s">
        <v>9680</v>
      </c>
      <c r="M532" s="42">
        <v>1</v>
      </c>
      <c r="N532" s="42">
        <v>1</v>
      </c>
      <c r="O532">
        <v>1</v>
      </c>
      <c r="P532" s="42">
        <v>1</v>
      </c>
      <c r="Q532">
        <v>100</v>
      </c>
      <c r="R532">
        <v>21250</v>
      </c>
      <c r="S532">
        <v>21250</v>
      </c>
      <c r="T532">
        <v>10000</v>
      </c>
      <c r="U532" t="s">
        <v>9475</v>
      </c>
      <c r="W532" s="42">
        <v>-0.0883</v>
      </c>
      <c r="X532" t="s">
        <v>9476</v>
      </c>
      <c r="Y532" t="s">
        <v>9477</v>
      </c>
      <c r="Z532" s="42">
        <v>0.7742</v>
      </c>
      <c r="AA532" s="42">
        <v>0.5</v>
      </c>
      <c r="AB532">
        <v>0</v>
      </c>
    </row>
    <row r="533">
      <c r="A533" t="s">
        <v>9681</v>
      </c>
      <c r="B533" t="s">
        <v>8712</v>
      </c>
      <c r="C533" t="s">
        <v>8712</v>
      </c>
      <c r="D533" t="s">
        <v>9678</v>
      </c>
      <c r="E533" t="s">
        <v>9682</v>
      </c>
      <c r="F533" t="s">
        <v>6966</v>
      </c>
      <c r="G533" t="s">
        <v>9673</v>
      </c>
      <c r="H533" t="s">
        <v>9674</v>
      </c>
      <c r="I533" t="s">
        <v>9675</v>
      </c>
      <c r="J533" t="s">
        <v>9637</v>
      </c>
      <c r="L533" t="s">
        <v>9683</v>
      </c>
      <c r="M533" s="42">
        <v>1</v>
      </c>
      <c r="N533" s="42">
        <v>1</v>
      </c>
      <c r="O533">
        <v>1</v>
      </c>
      <c r="P533" s="42">
        <v>1</v>
      </c>
      <c r="Q533">
        <v>100</v>
      </c>
      <c r="R533">
        <v>2550</v>
      </c>
      <c r="S533">
        <v>2550</v>
      </c>
      <c r="T533">
        <v>10000</v>
      </c>
      <c r="U533" t="s">
        <v>9475</v>
      </c>
      <c r="W533" s="42">
        <v>-0.0883</v>
      </c>
      <c r="X533" t="s">
        <v>9476</v>
      </c>
      <c r="Y533" t="s">
        <v>9477</v>
      </c>
      <c r="Z533" s="42">
        <v>0.7742</v>
      </c>
      <c r="AA533" s="42">
        <v>0.5</v>
      </c>
      <c r="AB533">
        <v>0</v>
      </c>
    </row>
    <row r="534">
      <c r="A534" t="s">
        <v>9684</v>
      </c>
      <c r="B534" t="s">
        <v>8712</v>
      </c>
      <c r="C534" t="s">
        <v>8712</v>
      </c>
      <c r="D534" t="s">
        <v>9678</v>
      </c>
      <c r="E534" t="s">
        <v>9685</v>
      </c>
      <c r="F534" t="s">
        <v>6966</v>
      </c>
      <c r="G534" t="s">
        <v>9673</v>
      </c>
      <c r="H534" t="s">
        <v>9674</v>
      </c>
      <c r="I534" t="s">
        <v>9675</v>
      </c>
      <c r="J534" t="s">
        <v>9637</v>
      </c>
      <c r="L534" t="s">
        <v>9686</v>
      </c>
      <c r="M534" s="42">
        <v>1</v>
      </c>
      <c r="N534" s="42">
        <v>1</v>
      </c>
      <c r="O534">
        <v>1</v>
      </c>
      <c r="P534" s="42">
        <v>1</v>
      </c>
      <c r="Q534">
        <v>100</v>
      </c>
      <c r="R534">
        <v>3400</v>
      </c>
      <c r="S534">
        <v>3400</v>
      </c>
      <c r="T534">
        <v>10000</v>
      </c>
      <c r="U534" t="s">
        <v>9475</v>
      </c>
      <c r="W534" s="42">
        <v>-0.0883</v>
      </c>
      <c r="X534" t="s">
        <v>9476</v>
      </c>
      <c r="Y534" t="s">
        <v>9477</v>
      </c>
      <c r="Z534" s="42">
        <v>0.7742</v>
      </c>
      <c r="AA534" s="42">
        <v>0.5</v>
      </c>
      <c r="AB534">
        <v>0</v>
      </c>
    </row>
    <row r="535">
      <c r="A535" t="s">
        <v>9687</v>
      </c>
      <c r="B535" t="s">
        <v>8712</v>
      </c>
      <c r="C535" t="s">
        <v>8712</v>
      </c>
      <c r="D535" t="s">
        <v>9678</v>
      </c>
      <c r="E535" t="s">
        <v>9688</v>
      </c>
      <c r="F535" t="s">
        <v>6966</v>
      </c>
      <c r="G535" t="s">
        <v>9673</v>
      </c>
      <c r="H535" t="s">
        <v>9674</v>
      </c>
      <c r="I535" t="s">
        <v>9675</v>
      </c>
      <c r="J535" t="s">
        <v>9637</v>
      </c>
      <c r="L535" t="s">
        <v>9689</v>
      </c>
      <c r="M535" s="42">
        <v>1</v>
      </c>
      <c r="N535" s="42">
        <v>1</v>
      </c>
      <c r="O535">
        <v>1</v>
      </c>
      <c r="P535" s="42">
        <v>1</v>
      </c>
      <c r="Q535">
        <v>100</v>
      </c>
      <c r="R535">
        <v>2125</v>
      </c>
      <c r="S535">
        <v>2125</v>
      </c>
      <c r="T535">
        <v>10000</v>
      </c>
      <c r="U535" t="s">
        <v>9475</v>
      </c>
      <c r="W535" s="42">
        <v>-0.0883</v>
      </c>
      <c r="X535" t="s">
        <v>9476</v>
      </c>
      <c r="Y535" t="s">
        <v>9477</v>
      </c>
      <c r="Z535" s="42">
        <v>0.7742</v>
      </c>
      <c r="AA535" s="42">
        <v>0.5</v>
      </c>
      <c r="AB535">
        <v>0</v>
      </c>
    </row>
    <row r="536">
      <c r="A536" t="s">
        <v>9690</v>
      </c>
      <c r="B536" t="s">
        <v>8712</v>
      </c>
      <c r="C536" t="s">
        <v>8712</v>
      </c>
      <c r="D536" t="s">
        <v>9678</v>
      </c>
      <c r="E536" t="s">
        <v>9691</v>
      </c>
      <c r="F536" t="s">
        <v>6966</v>
      </c>
      <c r="G536" t="s">
        <v>9673</v>
      </c>
      <c r="H536" t="s">
        <v>9674</v>
      </c>
      <c r="I536" t="s">
        <v>9675</v>
      </c>
      <c r="J536" t="s">
        <v>9637</v>
      </c>
      <c r="L536" t="s">
        <v>9692</v>
      </c>
      <c r="M536" s="42">
        <v>1</v>
      </c>
      <c r="N536" s="42">
        <v>1</v>
      </c>
      <c r="O536">
        <v>1</v>
      </c>
      <c r="P536" s="42">
        <v>1</v>
      </c>
      <c r="Q536">
        <v>100</v>
      </c>
      <c r="R536">
        <v>4250</v>
      </c>
      <c r="S536">
        <v>4250</v>
      </c>
      <c r="T536">
        <v>10000</v>
      </c>
      <c r="U536" t="s">
        <v>9475</v>
      </c>
      <c r="W536" s="42">
        <v>-0.0883</v>
      </c>
      <c r="X536" t="s">
        <v>9476</v>
      </c>
      <c r="Y536" t="s">
        <v>9477</v>
      </c>
      <c r="Z536" s="42">
        <v>0.7742</v>
      </c>
      <c r="AA536" s="42">
        <v>0.5</v>
      </c>
      <c r="AB536">
        <v>0</v>
      </c>
    </row>
    <row r="537">
      <c r="A537" t="s">
        <v>9693</v>
      </c>
      <c r="B537" t="s">
        <v>8712</v>
      </c>
      <c r="C537" t="s">
        <v>8712</v>
      </c>
      <c r="D537" t="s">
        <v>9678</v>
      </c>
      <c r="E537" t="s">
        <v>9694</v>
      </c>
      <c r="F537" t="s">
        <v>6966</v>
      </c>
      <c r="G537" t="s">
        <v>9673</v>
      </c>
      <c r="H537" t="s">
        <v>9674</v>
      </c>
      <c r="I537" t="s">
        <v>9675</v>
      </c>
      <c r="J537" t="s">
        <v>9637</v>
      </c>
      <c r="L537" t="s">
        <v>9695</v>
      </c>
      <c r="M537" s="42">
        <v>1</v>
      </c>
      <c r="N537" s="42">
        <v>1</v>
      </c>
      <c r="O537">
        <v>1</v>
      </c>
      <c r="P537" s="42">
        <v>1</v>
      </c>
      <c r="Q537">
        <v>100</v>
      </c>
      <c r="R537">
        <v>1700</v>
      </c>
      <c r="S537">
        <v>1700</v>
      </c>
      <c r="T537">
        <v>10000</v>
      </c>
      <c r="U537" t="s">
        <v>9475</v>
      </c>
      <c r="W537" s="42">
        <v>-0.0883</v>
      </c>
      <c r="X537" t="s">
        <v>9476</v>
      </c>
      <c r="Y537" t="s">
        <v>9477</v>
      </c>
      <c r="Z537" s="42">
        <v>0.7742</v>
      </c>
      <c r="AA537" s="42">
        <v>0.5</v>
      </c>
      <c r="AB537">
        <v>0</v>
      </c>
    </row>
    <row r="538">
      <c r="A538" t="s">
        <v>9696</v>
      </c>
      <c r="B538" t="s">
        <v>8712</v>
      </c>
      <c r="C538" t="s">
        <v>8712</v>
      </c>
      <c r="D538" t="s">
        <v>9678</v>
      </c>
      <c r="E538" t="s">
        <v>9697</v>
      </c>
      <c r="F538" t="s">
        <v>6966</v>
      </c>
      <c r="G538" t="s">
        <v>9673</v>
      </c>
      <c r="H538" t="s">
        <v>9674</v>
      </c>
      <c r="I538" t="s">
        <v>9675</v>
      </c>
      <c r="J538" t="s">
        <v>9637</v>
      </c>
      <c r="L538" t="s">
        <v>9698</v>
      </c>
      <c r="M538" s="42">
        <v>1</v>
      </c>
      <c r="N538" s="42">
        <v>1</v>
      </c>
      <c r="O538">
        <v>1</v>
      </c>
      <c r="P538" s="42">
        <v>1</v>
      </c>
      <c r="Q538">
        <v>100</v>
      </c>
      <c r="R538">
        <v>1275</v>
      </c>
      <c r="S538">
        <v>1275</v>
      </c>
      <c r="T538">
        <v>10000</v>
      </c>
      <c r="U538" t="s">
        <v>9475</v>
      </c>
      <c r="W538" s="42">
        <v>-0.0883</v>
      </c>
      <c r="X538" t="s">
        <v>9476</v>
      </c>
      <c r="Y538" t="s">
        <v>9477</v>
      </c>
      <c r="Z538" s="42">
        <v>0.7742</v>
      </c>
      <c r="AA538" s="42">
        <v>0.5</v>
      </c>
      <c r="AB538">
        <v>0</v>
      </c>
    </row>
    <row r="539">
      <c r="A539" t="s">
        <v>9699</v>
      </c>
      <c r="B539" t="s">
        <v>8712</v>
      </c>
      <c r="C539" t="s">
        <v>8712</v>
      </c>
      <c r="D539" t="s">
        <v>9678</v>
      </c>
      <c r="E539" t="s">
        <v>9700</v>
      </c>
      <c r="F539" t="s">
        <v>6966</v>
      </c>
      <c r="G539" t="s">
        <v>9673</v>
      </c>
      <c r="H539" t="s">
        <v>9674</v>
      </c>
      <c r="I539" t="s">
        <v>9675</v>
      </c>
      <c r="J539" t="s">
        <v>9637</v>
      </c>
      <c r="L539" t="s">
        <v>9701</v>
      </c>
      <c r="M539" s="42">
        <v>1</v>
      </c>
      <c r="N539" s="42">
        <v>1</v>
      </c>
      <c r="O539">
        <v>1</v>
      </c>
      <c r="P539" s="42">
        <v>1</v>
      </c>
      <c r="Q539">
        <v>100</v>
      </c>
      <c r="R539">
        <v>15300</v>
      </c>
      <c r="S539">
        <v>15300</v>
      </c>
      <c r="T539">
        <v>10000</v>
      </c>
      <c r="U539" t="s">
        <v>9475</v>
      </c>
      <c r="W539" s="42">
        <v>-0.0883</v>
      </c>
      <c r="X539" t="s">
        <v>9476</v>
      </c>
      <c r="Y539" t="s">
        <v>9477</v>
      </c>
      <c r="Z539" s="42">
        <v>0.7742</v>
      </c>
      <c r="AA539" s="42">
        <v>0.5</v>
      </c>
      <c r="AB539">
        <v>0</v>
      </c>
    </row>
    <row r="540">
      <c r="A540" t="s">
        <v>9702</v>
      </c>
      <c r="B540" t="s">
        <v>8712</v>
      </c>
      <c r="C540" t="s">
        <v>8712</v>
      </c>
      <c r="D540" t="s">
        <v>9678</v>
      </c>
      <c r="E540" t="s">
        <v>9703</v>
      </c>
      <c r="F540" t="s">
        <v>6966</v>
      </c>
      <c r="G540" t="s">
        <v>9673</v>
      </c>
      <c r="H540" t="s">
        <v>9674</v>
      </c>
      <c r="I540" t="s">
        <v>9675</v>
      </c>
      <c r="J540" t="s">
        <v>9637</v>
      </c>
      <c r="L540" t="s">
        <v>9704</v>
      </c>
      <c r="M540" s="42">
        <v>1</v>
      </c>
      <c r="N540" s="42">
        <v>1</v>
      </c>
      <c r="O540">
        <v>1</v>
      </c>
      <c r="P540" s="42">
        <v>1</v>
      </c>
      <c r="Q540">
        <v>100</v>
      </c>
      <c r="R540">
        <v>5100</v>
      </c>
      <c r="S540">
        <v>5100</v>
      </c>
      <c r="T540">
        <v>10000</v>
      </c>
      <c r="U540" t="s">
        <v>9475</v>
      </c>
      <c r="W540" s="42">
        <v>-0.0883</v>
      </c>
      <c r="X540" t="s">
        <v>9476</v>
      </c>
      <c r="Y540" t="s">
        <v>9477</v>
      </c>
      <c r="Z540" s="42">
        <v>0.7742</v>
      </c>
      <c r="AA540" s="42">
        <v>0.5</v>
      </c>
      <c r="AB540">
        <v>0</v>
      </c>
    </row>
    <row r="541">
      <c r="A541" t="s">
        <v>9705</v>
      </c>
      <c r="B541" t="s">
        <v>8712</v>
      </c>
      <c r="C541" t="s">
        <v>8712</v>
      </c>
      <c r="D541" t="s">
        <v>9678</v>
      </c>
      <c r="E541" t="s">
        <v>9706</v>
      </c>
      <c r="F541" t="s">
        <v>6966</v>
      </c>
      <c r="G541" t="s">
        <v>9673</v>
      </c>
      <c r="H541" t="s">
        <v>9674</v>
      </c>
      <c r="I541" t="s">
        <v>9675</v>
      </c>
      <c r="J541" t="s">
        <v>9637</v>
      </c>
      <c r="L541" t="s">
        <v>9707</v>
      </c>
      <c r="M541" s="42">
        <v>1</v>
      </c>
      <c r="N541" s="42">
        <v>1</v>
      </c>
      <c r="O541">
        <v>1</v>
      </c>
      <c r="P541" s="42">
        <v>1</v>
      </c>
      <c r="Q541">
        <v>100</v>
      </c>
      <c r="R541">
        <v>8500</v>
      </c>
      <c r="S541">
        <v>8500</v>
      </c>
      <c r="T541">
        <v>10000</v>
      </c>
      <c r="U541" t="s">
        <v>9475</v>
      </c>
      <c r="W541" s="42">
        <v>-0.0883</v>
      </c>
      <c r="X541" t="s">
        <v>9476</v>
      </c>
      <c r="Y541" t="s">
        <v>9477</v>
      </c>
      <c r="Z541" s="42">
        <v>0.7742</v>
      </c>
      <c r="AA541" s="42">
        <v>0.5</v>
      </c>
      <c r="AB541">
        <v>0</v>
      </c>
    </row>
    <row r="542">
      <c r="A542" t="s">
        <v>9708</v>
      </c>
      <c r="B542" t="s">
        <v>8712</v>
      </c>
      <c r="C542" t="s">
        <v>8712</v>
      </c>
      <c r="D542" t="s">
        <v>9678</v>
      </c>
      <c r="E542" t="s">
        <v>9709</v>
      </c>
      <c r="F542" t="s">
        <v>6966</v>
      </c>
      <c r="G542" t="s">
        <v>9673</v>
      </c>
      <c r="H542" t="s">
        <v>9674</v>
      </c>
      <c r="I542" t="s">
        <v>9675</v>
      </c>
      <c r="J542" t="s">
        <v>9637</v>
      </c>
      <c r="L542" t="s">
        <v>9710</v>
      </c>
      <c r="M542" s="42">
        <v>1</v>
      </c>
      <c r="N542" s="42">
        <v>1</v>
      </c>
      <c r="O542">
        <v>1</v>
      </c>
      <c r="P542" s="42">
        <v>1</v>
      </c>
      <c r="Q542">
        <v>100</v>
      </c>
      <c r="R542">
        <v>11050</v>
      </c>
      <c r="S542">
        <v>11050</v>
      </c>
      <c r="T542">
        <v>10000</v>
      </c>
      <c r="U542" t="s">
        <v>9475</v>
      </c>
      <c r="W542" s="42">
        <v>-0.0883</v>
      </c>
      <c r="X542" t="s">
        <v>9476</v>
      </c>
      <c r="Y542" t="s">
        <v>9477</v>
      </c>
      <c r="Z542" s="42">
        <v>0.7742</v>
      </c>
      <c r="AA542" s="42">
        <v>0.5</v>
      </c>
      <c r="AB542">
        <v>0</v>
      </c>
    </row>
    <row r="543">
      <c r="A543" t="s">
        <v>9711</v>
      </c>
      <c r="B543" t="s">
        <v>8712</v>
      </c>
      <c r="C543" t="s">
        <v>8712</v>
      </c>
      <c r="D543" t="s">
        <v>9678</v>
      </c>
      <c r="E543" t="s">
        <v>9712</v>
      </c>
      <c r="F543" t="s">
        <v>6966</v>
      </c>
      <c r="G543" t="s">
        <v>9673</v>
      </c>
      <c r="H543" t="s">
        <v>9674</v>
      </c>
      <c r="I543" t="s">
        <v>9675</v>
      </c>
      <c r="J543" t="s">
        <v>9637</v>
      </c>
      <c r="L543" t="s">
        <v>9713</v>
      </c>
      <c r="M543" s="42">
        <v>0</v>
      </c>
      <c r="N543" s="42">
        <v>1</v>
      </c>
      <c r="O543">
        <v>0</v>
      </c>
      <c r="P543" s="42">
        <v>0</v>
      </c>
      <c r="Q543">
        <v>0</v>
      </c>
      <c r="R543">
        <v>0</v>
      </c>
      <c r="S543">
        <v>0</v>
      </c>
      <c r="T543">
        <v>10000</v>
      </c>
      <c r="U543" t="s">
        <v>9475</v>
      </c>
      <c r="W543" s="42">
        <v>-0.0883</v>
      </c>
      <c r="X543" t="s">
        <v>9476</v>
      </c>
      <c r="Y543" t="s">
        <v>9477</v>
      </c>
      <c r="Z543" s="42">
        <v>0.7742</v>
      </c>
      <c r="AA543" s="42">
        <v>0.5</v>
      </c>
      <c r="AB543">
        <v>0</v>
      </c>
    </row>
    <row r="544">
      <c r="A544" t="s">
        <v>9714</v>
      </c>
      <c r="B544" t="s">
        <v>8712</v>
      </c>
      <c r="C544" t="s">
        <v>8712</v>
      </c>
      <c r="D544" t="s">
        <v>9678</v>
      </c>
      <c r="E544" t="s">
        <v>9715</v>
      </c>
      <c r="F544" t="s">
        <v>6966</v>
      </c>
      <c r="G544" t="s">
        <v>9673</v>
      </c>
      <c r="H544" t="s">
        <v>9674</v>
      </c>
      <c r="I544" t="s">
        <v>9675</v>
      </c>
      <c r="J544" t="s">
        <v>9637</v>
      </c>
      <c r="L544" t="s">
        <v>9716</v>
      </c>
      <c r="M544" s="42">
        <v>1</v>
      </c>
      <c r="N544" s="42">
        <v>1</v>
      </c>
      <c r="O544">
        <v>1</v>
      </c>
      <c r="P544" s="42">
        <v>1</v>
      </c>
      <c r="Q544">
        <v>100</v>
      </c>
      <c r="R544">
        <v>340</v>
      </c>
      <c r="S544">
        <v>340</v>
      </c>
      <c r="T544">
        <v>10000</v>
      </c>
      <c r="U544" t="s">
        <v>9475</v>
      </c>
      <c r="W544" s="42">
        <v>-0.0883</v>
      </c>
      <c r="X544" t="s">
        <v>9476</v>
      </c>
      <c r="Y544" t="s">
        <v>9477</v>
      </c>
      <c r="Z544" s="42">
        <v>0.7742</v>
      </c>
      <c r="AA544" s="42">
        <v>0.5</v>
      </c>
      <c r="AB544">
        <v>0</v>
      </c>
    </row>
    <row r="545">
      <c r="A545" t="s">
        <v>9717</v>
      </c>
      <c r="B545" t="s">
        <v>8712</v>
      </c>
      <c r="C545" t="s">
        <v>8712</v>
      </c>
      <c r="D545" t="s">
        <v>9678</v>
      </c>
      <c r="E545" t="s">
        <v>9718</v>
      </c>
      <c r="F545" t="s">
        <v>6966</v>
      </c>
      <c r="G545" t="s">
        <v>9673</v>
      </c>
      <c r="H545" t="s">
        <v>9674</v>
      </c>
      <c r="I545" t="s">
        <v>9675</v>
      </c>
      <c r="J545" t="s">
        <v>9637</v>
      </c>
      <c r="L545" t="s">
        <v>9719</v>
      </c>
      <c r="M545" s="42">
        <v>1</v>
      </c>
      <c r="N545" s="42">
        <v>1</v>
      </c>
      <c r="O545">
        <v>1</v>
      </c>
      <c r="P545" s="42">
        <v>1</v>
      </c>
      <c r="Q545">
        <v>100</v>
      </c>
      <c r="R545">
        <v>850</v>
      </c>
      <c r="S545">
        <v>850</v>
      </c>
      <c r="T545">
        <v>10000</v>
      </c>
      <c r="U545" t="s">
        <v>9475</v>
      </c>
      <c r="W545" s="42">
        <v>-0.0883</v>
      </c>
      <c r="X545" t="s">
        <v>9476</v>
      </c>
      <c r="Y545" t="s">
        <v>9477</v>
      </c>
      <c r="Z545" s="42">
        <v>0.7742</v>
      </c>
      <c r="AA545" s="42">
        <v>0.5</v>
      </c>
      <c r="AB545">
        <v>0</v>
      </c>
    </row>
    <row r="546">
      <c r="A546" t="s">
        <v>9720</v>
      </c>
      <c r="B546" t="s">
        <v>8712</v>
      </c>
      <c r="C546" t="s">
        <v>8712</v>
      </c>
      <c r="D546" t="s">
        <v>9678</v>
      </c>
      <c r="E546" t="s">
        <v>9721</v>
      </c>
      <c r="F546" t="s">
        <v>6966</v>
      </c>
      <c r="G546" t="s">
        <v>9673</v>
      </c>
      <c r="H546" t="s">
        <v>9674</v>
      </c>
      <c r="I546" t="s">
        <v>9675</v>
      </c>
      <c r="J546" t="s">
        <v>9637</v>
      </c>
      <c r="L546" t="s">
        <v>9722</v>
      </c>
      <c r="M546" s="42">
        <v>1</v>
      </c>
      <c r="N546" s="42">
        <v>1</v>
      </c>
      <c r="O546">
        <v>1</v>
      </c>
      <c r="P546" s="42">
        <v>1</v>
      </c>
      <c r="Q546">
        <v>100</v>
      </c>
      <c r="R546">
        <v>0</v>
      </c>
      <c r="S546">
        <v>0</v>
      </c>
      <c r="T546">
        <v>10000</v>
      </c>
      <c r="U546" t="s">
        <v>9475</v>
      </c>
      <c r="W546" s="42">
        <v>-0.0883</v>
      </c>
      <c r="X546" t="s">
        <v>9476</v>
      </c>
      <c r="Y546" t="s">
        <v>9477</v>
      </c>
      <c r="Z546" s="42">
        <v>0.7742</v>
      </c>
      <c r="AA546" s="42">
        <v>0.5</v>
      </c>
      <c r="AB546">
        <v>0</v>
      </c>
    </row>
    <row r="547">
      <c r="A547" t="s">
        <v>9723</v>
      </c>
      <c r="B547" t="s">
        <v>8712</v>
      </c>
      <c r="C547" t="s">
        <v>8712</v>
      </c>
      <c r="D547" t="s">
        <v>9678</v>
      </c>
      <c r="E547" t="s">
        <v>9724</v>
      </c>
      <c r="F547" t="s">
        <v>6966</v>
      </c>
      <c r="G547" t="s">
        <v>9673</v>
      </c>
      <c r="H547" t="s">
        <v>9674</v>
      </c>
      <c r="I547" t="s">
        <v>9675</v>
      </c>
      <c r="J547" t="s">
        <v>9637</v>
      </c>
      <c r="L547" t="s">
        <v>9722</v>
      </c>
      <c r="M547" s="42">
        <v>1</v>
      </c>
      <c r="N547" s="42">
        <v>1</v>
      </c>
      <c r="O547">
        <v>1</v>
      </c>
      <c r="P547" s="42">
        <v>1</v>
      </c>
      <c r="Q547">
        <v>100</v>
      </c>
      <c r="R547">
        <v>0</v>
      </c>
      <c r="S547">
        <v>0</v>
      </c>
      <c r="T547">
        <v>10000</v>
      </c>
      <c r="U547" t="s">
        <v>9475</v>
      </c>
      <c r="W547" s="42">
        <v>-0.0883</v>
      </c>
      <c r="X547" t="s">
        <v>9476</v>
      </c>
      <c r="Y547" t="s">
        <v>9477</v>
      </c>
      <c r="Z547" s="42">
        <v>0.7742</v>
      </c>
      <c r="AA547" s="42">
        <v>0.5</v>
      </c>
      <c r="AB547">
        <v>0</v>
      </c>
    </row>
    <row r="548">
      <c r="A548" t="s">
        <v>9725</v>
      </c>
      <c r="B548" t="s">
        <v>8712</v>
      </c>
      <c r="C548" t="s">
        <v>8712</v>
      </c>
      <c r="D548" t="s">
        <v>9404</v>
      </c>
      <c r="E548" t="s">
        <v>9726</v>
      </c>
      <c r="F548" t="s">
        <v>6966</v>
      </c>
      <c r="G548" t="s">
        <v>9406</v>
      </c>
      <c r="H548" t="s">
        <v>9727</v>
      </c>
      <c r="I548" t="s">
        <v>9675</v>
      </c>
      <c r="J548">
        <v>100</v>
      </c>
      <c r="K548" t="s">
        <v>7625</v>
      </c>
      <c r="L548" t="s">
        <v>9722</v>
      </c>
      <c r="M548" s="42">
        <v>0.7</v>
      </c>
      <c r="N548" s="42">
        <v>0.1</v>
      </c>
      <c r="O548">
        <v>70</v>
      </c>
      <c r="P548" s="42">
        <v>0.9589</v>
      </c>
      <c r="Q548">
        <v>96.3</v>
      </c>
      <c r="R548">
        <v>700</v>
      </c>
      <c r="S548">
        <v>1400</v>
      </c>
      <c r="T548">
        <v>1000</v>
      </c>
      <c r="U548" t="s">
        <v>9475</v>
      </c>
      <c r="W548" s="42">
        <v>-0.0883</v>
      </c>
      <c r="X548" t="s">
        <v>9476</v>
      </c>
      <c r="Y548" t="s">
        <v>9477</v>
      </c>
      <c r="Z548" s="42">
        <v>0.7742</v>
      </c>
      <c r="AA548" s="42">
        <v>0.5</v>
      </c>
      <c r="AB548">
        <v>0</v>
      </c>
    </row>
    <row r="549">
      <c r="A549" t="s">
        <v>9728</v>
      </c>
      <c r="B549" t="s">
        <v>8712</v>
      </c>
      <c r="C549" t="s">
        <v>8712</v>
      </c>
      <c r="D549" t="s">
        <v>9404</v>
      </c>
      <c r="E549" t="s">
        <v>9729</v>
      </c>
      <c r="F549" t="s">
        <v>6966</v>
      </c>
      <c r="G549" t="s">
        <v>9406</v>
      </c>
      <c r="H549" t="s">
        <v>9727</v>
      </c>
      <c r="I549" t="s">
        <v>9675</v>
      </c>
      <c r="J549">
        <v>100</v>
      </c>
      <c r="K549" t="s">
        <v>7625</v>
      </c>
      <c r="L549" t="s">
        <v>9722</v>
      </c>
      <c r="M549" s="42">
        <v>0</v>
      </c>
      <c r="N549" s="42">
        <v>0.1</v>
      </c>
      <c r="O549">
        <v>0</v>
      </c>
      <c r="P549" s="42">
        <v>0</v>
      </c>
      <c r="Q549">
        <v>0</v>
      </c>
      <c r="R549">
        <v>100</v>
      </c>
      <c r="S549">
        <v>100</v>
      </c>
      <c r="T549">
        <v>1000</v>
      </c>
      <c r="U549" t="s">
        <v>9475</v>
      </c>
      <c r="W549" s="42">
        <v>-0.0883</v>
      </c>
      <c r="X549" t="s">
        <v>9476</v>
      </c>
      <c r="Y549" t="s">
        <v>9477</v>
      </c>
      <c r="Z549" s="42">
        <v>0.7742</v>
      </c>
      <c r="AA549" s="42">
        <v>0.5</v>
      </c>
      <c r="AB549">
        <v>0</v>
      </c>
    </row>
    <row r="550">
      <c r="A550" t="s">
        <v>9730</v>
      </c>
      <c r="B550" t="s">
        <v>8712</v>
      </c>
      <c r="C550" t="s">
        <v>8712</v>
      </c>
      <c r="D550" t="s">
        <v>8767</v>
      </c>
      <c r="E550" t="s">
        <v>9731</v>
      </c>
      <c r="F550" t="s">
        <v>6966</v>
      </c>
      <c r="G550" t="s">
        <v>8767</v>
      </c>
      <c r="H550" t="s">
        <v>8769</v>
      </c>
      <c r="I550" t="s">
        <v>9675</v>
      </c>
      <c r="J550">
        <v>100</v>
      </c>
      <c r="K550" t="s">
        <v>7625</v>
      </c>
      <c r="L550" t="s">
        <v>9722</v>
      </c>
      <c r="M550" s="42">
        <v>0.5</v>
      </c>
      <c r="N550" s="42">
        <v>0.2</v>
      </c>
      <c r="O550">
        <v>50</v>
      </c>
      <c r="P550" s="42">
        <v>0.43</v>
      </c>
      <c r="Q550">
        <v>0.43</v>
      </c>
      <c r="R550">
        <v>1502.23</v>
      </c>
      <c r="S550">
        <v>1502.23</v>
      </c>
      <c r="T550">
        <v>2300</v>
      </c>
      <c r="U550" t="s">
        <v>9475</v>
      </c>
      <c r="W550" s="42">
        <v>-0.0883</v>
      </c>
      <c r="X550" t="s">
        <v>9476</v>
      </c>
      <c r="Y550" t="s">
        <v>9477</v>
      </c>
      <c r="Z550" s="42">
        <v>0.7742</v>
      </c>
      <c r="AA550" s="42">
        <v>0.5</v>
      </c>
      <c r="AB550">
        <v>0</v>
      </c>
    </row>
    <row r="551">
      <c r="A551" t="s">
        <v>9732</v>
      </c>
      <c r="B551" t="s">
        <v>8525</v>
      </c>
      <c r="C551" t="s">
        <v>8525</v>
      </c>
      <c r="D551" t="s">
        <v>7477</v>
      </c>
      <c r="E551" t="s">
        <v>9733</v>
      </c>
      <c r="F551" t="s">
        <v>6966</v>
      </c>
      <c r="G551" t="s">
        <v>8910</v>
      </c>
      <c r="H551" t="s">
        <v>9734</v>
      </c>
      <c r="I551" t="s">
        <v>9735</v>
      </c>
      <c r="J551">
        <v>30</v>
      </c>
      <c r="K551">
        <v>20.53</v>
      </c>
      <c r="L551" t="s">
        <v>9722</v>
      </c>
      <c r="M551" s="42">
        <v>0.006843</v>
      </c>
      <c r="N551" s="42">
        <v>0.4</v>
      </c>
      <c r="O551">
        <v>0.272</v>
      </c>
      <c r="P551" s="42">
        <v>0.00548</v>
      </c>
      <c r="Q551">
        <v>0.51</v>
      </c>
      <c r="R551">
        <v>1024</v>
      </c>
      <c r="S551">
        <v>1174</v>
      </c>
      <c r="T551">
        <v>2000</v>
      </c>
      <c r="U551" t="s">
        <v>9475</v>
      </c>
      <c r="W551" s="42">
        <v>-0.0883</v>
      </c>
      <c r="X551" t="s">
        <v>9476</v>
      </c>
      <c r="Y551" t="s">
        <v>9477</v>
      </c>
      <c r="Z551" s="42">
        <v>0.7742</v>
      </c>
      <c r="AA551" s="42">
        <v>0.5</v>
      </c>
      <c r="AB551">
        <v>0</v>
      </c>
    </row>
    <row r="552">
      <c r="A552" t="s">
        <v>9736</v>
      </c>
      <c r="B552" t="s">
        <v>7212</v>
      </c>
      <c r="C552" t="s">
        <v>7212</v>
      </c>
      <c r="D552" t="s">
        <v>7000</v>
      </c>
      <c r="E552" t="s">
        <v>9737</v>
      </c>
      <c r="F552" t="s">
        <v>6966</v>
      </c>
      <c r="G552" t="s">
        <v>7264</v>
      </c>
      <c r="H552" t="s">
        <v>7265</v>
      </c>
      <c r="I552" t="s">
        <v>9738</v>
      </c>
      <c r="J552">
        <v>1</v>
      </c>
      <c r="K552">
        <v>32</v>
      </c>
      <c r="L552" t="s">
        <v>9739</v>
      </c>
      <c r="M552" s="42">
        <v>0.9</v>
      </c>
      <c r="N552" s="42">
        <v>0.5</v>
      </c>
      <c r="O552">
        <v>0.9</v>
      </c>
      <c r="P552" s="42">
        <v>0.915</v>
      </c>
      <c r="Q552">
        <v>0.92</v>
      </c>
      <c r="R552">
        <v>0</v>
      </c>
      <c r="S552">
        <v>0</v>
      </c>
      <c r="T552">
        <v>5000</v>
      </c>
      <c r="U552" t="s">
        <v>9475</v>
      </c>
      <c r="W552" s="42">
        <v>-0.0883</v>
      </c>
      <c r="X552" t="s">
        <v>9476</v>
      </c>
      <c r="Y552" t="s">
        <v>9477</v>
      </c>
      <c r="Z552" s="42">
        <v>0.7742</v>
      </c>
      <c r="AA552" s="42">
        <v>0.5</v>
      </c>
      <c r="AB552">
        <v>0</v>
      </c>
    </row>
    <row r="553">
      <c r="A553" t="s">
        <v>9740</v>
      </c>
      <c r="B553" t="s">
        <v>7938</v>
      </c>
      <c r="C553" t="s">
        <v>7938</v>
      </c>
      <c r="D553" t="s">
        <v>9741</v>
      </c>
      <c r="E553" t="s">
        <v>9742</v>
      </c>
      <c r="F553" t="s">
        <v>6966</v>
      </c>
      <c r="G553" t="s">
        <v>7980</v>
      </c>
      <c r="H553" t="s">
        <v>7981</v>
      </c>
      <c r="I553" t="s">
        <v>9743</v>
      </c>
      <c r="L553" t="s">
        <v>9744</v>
      </c>
      <c r="M553" s="42">
        <v>0.85</v>
      </c>
      <c r="N553" s="42">
        <v>0.4</v>
      </c>
      <c r="O553">
        <v>0.85</v>
      </c>
      <c r="P553" s="42">
        <v>0.94</v>
      </c>
      <c r="Q553">
        <v>0.94</v>
      </c>
      <c r="R553">
        <v>2045.6</v>
      </c>
      <c r="S553">
        <v>2045.6</v>
      </c>
      <c r="T553">
        <v>2000</v>
      </c>
      <c r="U553" t="s">
        <v>9475</v>
      </c>
      <c r="W553" s="42">
        <v>-0.0883</v>
      </c>
      <c r="X553" t="s">
        <v>9476</v>
      </c>
      <c r="Y553" t="s">
        <v>9477</v>
      </c>
      <c r="Z553" s="42">
        <v>0.7742</v>
      </c>
      <c r="AA553" s="42">
        <v>0.5</v>
      </c>
      <c r="AB553">
        <v>0</v>
      </c>
    </row>
    <row r="554">
      <c r="A554" t="s">
        <v>9745</v>
      </c>
      <c r="B554" t="s">
        <v>9746</v>
      </c>
      <c r="C554" t="s">
        <v>9746</v>
      </c>
      <c r="D554" t="s">
        <v>7078</v>
      </c>
      <c r="E554" t="s">
        <v>9747</v>
      </c>
      <c r="F554" t="s">
        <v>6966</v>
      </c>
      <c r="G554" t="s">
        <v>9748</v>
      </c>
      <c r="H554" t="s">
        <v>9749</v>
      </c>
      <c r="I554" t="s">
        <v>9750</v>
      </c>
      <c r="J554" t="s">
        <v>9751</v>
      </c>
      <c r="K554" t="s">
        <v>9752</v>
      </c>
      <c r="L554" t="s">
        <v>9753</v>
      </c>
      <c r="M554" s="42">
        <v>1.1325</v>
      </c>
      <c r="N554" s="42">
        <v>0.7</v>
      </c>
      <c r="O554">
        <v>1.133</v>
      </c>
      <c r="P554" s="42">
        <v>0.79275</v>
      </c>
      <c r="Q554">
        <v>1.14</v>
      </c>
      <c r="R554">
        <v>2200</v>
      </c>
      <c r="S554">
        <v>2200</v>
      </c>
      <c r="T554">
        <v>2000</v>
      </c>
      <c r="U554" t="s">
        <v>9475</v>
      </c>
      <c r="W554" s="42">
        <v>-0.0883</v>
      </c>
      <c r="X554" t="s">
        <v>9476</v>
      </c>
      <c r="Y554" t="s">
        <v>9477</v>
      </c>
      <c r="Z554" s="42">
        <v>0.7742</v>
      </c>
      <c r="AA554" s="42">
        <v>0.5</v>
      </c>
      <c r="AB554">
        <v>0</v>
      </c>
    </row>
    <row r="555">
      <c r="A555" t="s">
        <v>9754</v>
      </c>
      <c r="B555" t="s">
        <v>9746</v>
      </c>
      <c r="C555" t="s">
        <v>9746</v>
      </c>
      <c r="D555" t="s">
        <v>7078</v>
      </c>
      <c r="E555" t="s">
        <v>9755</v>
      </c>
      <c r="F555" t="s">
        <v>6966</v>
      </c>
      <c r="G555" t="s">
        <v>9748</v>
      </c>
      <c r="H555" t="s">
        <v>9749</v>
      </c>
      <c r="I555" t="s">
        <v>9756</v>
      </c>
      <c r="J555" t="s">
        <v>9751</v>
      </c>
      <c r="K555" t="s">
        <v>9757</v>
      </c>
      <c r="L555" t="s">
        <v>9753</v>
      </c>
      <c r="M555" s="42">
        <v>0.95</v>
      </c>
      <c r="N555" s="42">
        <v>0.7</v>
      </c>
      <c r="O555">
        <v>0.95</v>
      </c>
      <c r="P555" s="42">
        <v>0.665</v>
      </c>
      <c r="Q555">
        <v>1.03</v>
      </c>
      <c r="R555">
        <v>2400</v>
      </c>
      <c r="S555">
        <v>2400</v>
      </c>
      <c r="T555">
        <v>4000</v>
      </c>
      <c r="U555" t="s">
        <v>9475</v>
      </c>
      <c r="W555" s="42">
        <v>-0.0883</v>
      </c>
      <c r="X555" t="s">
        <v>9476</v>
      </c>
      <c r="Y555" t="s">
        <v>9477</v>
      </c>
      <c r="Z555" s="42">
        <v>0.7742</v>
      </c>
      <c r="AA555" s="42">
        <v>0.5</v>
      </c>
      <c r="AB555">
        <v>0</v>
      </c>
    </row>
    <row r="556">
      <c r="A556" t="s">
        <v>9758</v>
      </c>
      <c r="B556" t="s">
        <v>9746</v>
      </c>
      <c r="C556" t="s">
        <v>9746</v>
      </c>
      <c r="D556" t="s">
        <v>7072</v>
      </c>
      <c r="E556" t="s">
        <v>9759</v>
      </c>
      <c r="F556" t="s">
        <v>6966</v>
      </c>
      <c r="G556" t="s">
        <v>9748</v>
      </c>
      <c r="H556" t="s">
        <v>9749</v>
      </c>
      <c r="I556" t="s">
        <v>9760</v>
      </c>
      <c r="J556" t="s">
        <v>9751</v>
      </c>
      <c r="K556" t="s">
        <v>9761</v>
      </c>
      <c r="L556" t="s">
        <v>9753</v>
      </c>
      <c r="M556" s="42">
        <v>1.025</v>
      </c>
      <c r="N556" s="42">
        <v>0.7</v>
      </c>
      <c r="O556">
        <v>1.025</v>
      </c>
      <c r="P556" s="42">
        <v>0.7175</v>
      </c>
      <c r="Q556">
        <v>1.17</v>
      </c>
      <c r="R556">
        <v>6400</v>
      </c>
      <c r="S556">
        <v>6400</v>
      </c>
      <c r="T556">
        <v>4000</v>
      </c>
      <c r="U556" t="s">
        <v>9475</v>
      </c>
      <c r="W556" s="42">
        <v>-0.0883</v>
      </c>
      <c r="X556" t="s">
        <v>9476</v>
      </c>
      <c r="Y556" t="s">
        <v>9477</v>
      </c>
      <c r="Z556" s="42">
        <v>0.7742</v>
      </c>
      <c r="AA556" s="42">
        <v>0.5</v>
      </c>
      <c r="AB556">
        <v>0</v>
      </c>
    </row>
    <row r="557">
      <c r="A557" t="s">
        <v>9762</v>
      </c>
      <c r="B557" t="s">
        <v>9746</v>
      </c>
      <c r="C557" t="s">
        <v>9746</v>
      </c>
      <c r="D557" t="s">
        <v>7078</v>
      </c>
      <c r="E557" t="s">
        <v>9763</v>
      </c>
      <c r="F557" t="s">
        <v>6966</v>
      </c>
      <c r="G557" t="s">
        <v>9748</v>
      </c>
      <c r="H557" t="s">
        <v>9749</v>
      </c>
      <c r="I557" t="s">
        <v>9764</v>
      </c>
      <c r="J557" t="s">
        <v>9751</v>
      </c>
      <c r="K557" t="s">
        <v>9751</v>
      </c>
      <c r="L557" t="s">
        <v>9753</v>
      </c>
      <c r="M557" s="42">
        <v>1</v>
      </c>
      <c r="N557" s="42">
        <v>0.7</v>
      </c>
      <c r="O557">
        <v>1</v>
      </c>
      <c r="P557" s="42">
        <v>0.7</v>
      </c>
      <c r="Q557">
        <v>1.06</v>
      </c>
      <c r="R557">
        <v>2400</v>
      </c>
      <c r="S557">
        <v>2400</v>
      </c>
      <c r="T557">
        <v>3000</v>
      </c>
      <c r="U557" t="s">
        <v>9475</v>
      </c>
      <c r="W557" s="42">
        <v>-0.0883</v>
      </c>
      <c r="X557" t="s">
        <v>9476</v>
      </c>
      <c r="Y557" t="s">
        <v>9477</v>
      </c>
      <c r="Z557" s="42">
        <v>0.7742</v>
      </c>
      <c r="AA557" s="42">
        <v>0.5</v>
      </c>
      <c r="AB557">
        <v>0</v>
      </c>
    </row>
    <row r="558">
      <c r="A558" t="s">
        <v>9765</v>
      </c>
      <c r="B558" t="s">
        <v>9746</v>
      </c>
      <c r="C558" t="s">
        <v>9746</v>
      </c>
      <c r="D558" t="s">
        <v>7078</v>
      </c>
      <c r="E558" t="s">
        <v>9766</v>
      </c>
      <c r="F558" t="s">
        <v>6966</v>
      </c>
      <c r="G558" t="s">
        <v>9748</v>
      </c>
      <c r="H558" t="s">
        <v>9749</v>
      </c>
      <c r="I558" t="s">
        <v>9767</v>
      </c>
      <c r="J558" t="s">
        <v>9751</v>
      </c>
      <c r="K558" t="s">
        <v>9768</v>
      </c>
      <c r="L558" t="s">
        <v>9753</v>
      </c>
      <c r="M558" s="42">
        <v>1.05</v>
      </c>
      <c r="N558" s="42">
        <v>0.7</v>
      </c>
      <c r="O558">
        <v>1.05</v>
      </c>
      <c r="P558" s="42">
        <v>0.735</v>
      </c>
      <c r="Q558">
        <v>1.11</v>
      </c>
      <c r="R558">
        <v>3000</v>
      </c>
      <c r="S558">
        <v>3000</v>
      </c>
      <c r="T558">
        <v>3000</v>
      </c>
      <c r="U558" t="s">
        <v>9475</v>
      </c>
      <c r="W558" s="42">
        <v>-0.0883</v>
      </c>
      <c r="X558" t="s">
        <v>9476</v>
      </c>
      <c r="Y558" t="s">
        <v>9477</v>
      </c>
      <c r="Z558" s="42">
        <v>0.7742</v>
      </c>
      <c r="AA558" s="42">
        <v>0.5</v>
      </c>
      <c r="AB558">
        <v>0</v>
      </c>
    </row>
    <row r="559">
      <c r="A559" t="s">
        <v>9769</v>
      </c>
      <c r="B559" t="s">
        <v>9746</v>
      </c>
      <c r="C559" t="s">
        <v>9746</v>
      </c>
      <c r="D559" t="s">
        <v>7078</v>
      </c>
      <c r="E559" t="s">
        <v>9770</v>
      </c>
      <c r="F559" t="s">
        <v>6966</v>
      </c>
      <c r="G559" t="s">
        <v>9748</v>
      </c>
      <c r="H559" t="s">
        <v>9749</v>
      </c>
      <c r="I559" t="s">
        <v>9771</v>
      </c>
      <c r="J559" t="s">
        <v>9751</v>
      </c>
      <c r="K559" t="s">
        <v>9772</v>
      </c>
      <c r="L559" t="s">
        <v>9753</v>
      </c>
      <c r="M559" s="42">
        <v>1.0325</v>
      </c>
      <c r="N559" s="42">
        <v>0.7</v>
      </c>
      <c r="O559">
        <v>1.033</v>
      </c>
      <c r="P559" s="42">
        <v>0.72275</v>
      </c>
      <c r="Q559">
        <v>1.08</v>
      </c>
      <c r="R559">
        <v>3600</v>
      </c>
      <c r="S559">
        <v>3600</v>
      </c>
      <c r="T559">
        <v>4000</v>
      </c>
      <c r="U559" t="s">
        <v>9475</v>
      </c>
      <c r="W559" s="42">
        <v>-0.0883</v>
      </c>
      <c r="X559" t="s">
        <v>9476</v>
      </c>
      <c r="Y559" t="s">
        <v>9477</v>
      </c>
      <c r="Z559" s="42">
        <v>0.7742</v>
      </c>
      <c r="AA559" s="42">
        <v>0.5</v>
      </c>
      <c r="AB559">
        <v>0</v>
      </c>
    </row>
    <row r="560">
      <c r="A560" t="s">
        <v>9773</v>
      </c>
      <c r="B560" t="s">
        <v>9746</v>
      </c>
      <c r="C560" t="s">
        <v>9746</v>
      </c>
      <c r="D560" t="s">
        <v>7078</v>
      </c>
      <c r="E560" t="s">
        <v>9774</v>
      </c>
      <c r="F560" t="s">
        <v>6966</v>
      </c>
      <c r="G560" t="s">
        <v>9748</v>
      </c>
      <c r="H560" t="s">
        <v>9749</v>
      </c>
      <c r="J560" t="s">
        <v>9751</v>
      </c>
      <c r="K560" t="s">
        <v>9775</v>
      </c>
      <c r="M560" s="42">
        <v>0.995</v>
      </c>
      <c r="N560" s="42">
        <v>0.7</v>
      </c>
      <c r="O560">
        <v>0.995</v>
      </c>
      <c r="P560" s="42">
        <v>0.6965</v>
      </c>
      <c r="Q560">
        <v>1.15</v>
      </c>
      <c r="R560">
        <v>4800</v>
      </c>
      <c r="S560">
        <v>4800</v>
      </c>
      <c r="T560">
        <v>4000</v>
      </c>
      <c r="U560" t="s">
        <v>9475</v>
      </c>
      <c r="W560" s="42">
        <v>-0.0883</v>
      </c>
      <c r="X560" t="s">
        <v>9476</v>
      </c>
      <c r="Y560" t="s">
        <v>9477</v>
      </c>
      <c r="Z560" s="42">
        <v>0.7742</v>
      </c>
      <c r="AA560" s="42">
        <v>0.5</v>
      </c>
      <c r="AB560">
        <v>0</v>
      </c>
    </row>
    <row r="561">
      <c r="A561" t="s">
        <v>9776</v>
      </c>
      <c r="B561" t="s">
        <v>9746</v>
      </c>
      <c r="C561" t="s">
        <v>9746</v>
      </c>
      <c r="D561" t="s">
        <v>7078</v>
      </c>
      <c r="E561" t="s">
        <v>9777</v>
      </c>
      <c r="F561" t="s">
        <v>6966</v>
      </c>
      <c r="G561" t="s">
        <v>9748</v>
      </c>
      <c r="H561" t="s">
        <v>9749</v>
      </c>
      <c r="I561" t="s">
        <v>9778</v>
      </c>
      <c r="J561" t="s">
        <v>9751</v>
      </c>
      <c r="K561" t="s">
        <v>9779</v>
      </c>
      <c r="M561" s="42">
        <v>0.7</v>
      </c>
      <c r="N561" s="42">
        <v>0.7</v>
      </c>
      <c r="O561">
        <v>0.56</v>
      </c>
      <c r="P561" s="42">
        <v>0.49</v>
      </c>
      <c r="Q561">
        <v>0.75</v>
      </c>
      <c r="R561">
        <v>1600</v>
      </c>
      <c r="S561">
        <v>1600</v>
      </c>
      <c r="T561">
        <v>4000</v>
      </c>
      <c r="U561" t="s">
        <v>9475</v>
      </c>
      <c r="W561" s="42">
        <v>-0.0883</v>
      </c>
      <c r="X561" t="s">
        <v>9476</v>
      </c>
      <c r="Y561" t="s">
        <v>9477</v>
      </c>
      <c r="Z561" s="42">
        <v>0.7742</v>
      </c>
      <c r="AA561" s="42">
        <v>0.5</v>
      </c>
      <c r="AB561">
        <v>0</v>
      </c>
    </row>
    <row r="562">
      <c r="A562" t="s">
        <v>9780</v>
      </c>
      <c r="B562" t="s">
        <v>9746</v>
      </c>
      <c r="C562" t="s">
        <v>9746</v>
      </c>
      <c r="D562" t="s">
        <v>7078</v>
      </c>
      <c r="E562" t="s">
        <v>9781</v>
      </c>
      <c r="F562" t="s">
        <v>6966</v>
      </c>
      <c r="G562" t="s">
        <v>9748</v>
      </c>
      <c r="H562" t="s">
        <v>9749</v>
      </c>
      <c r="J562" t="s">
        <v>9751</v>
      </c>
      <c r="K562" t="s">
        <v>9782</v>
      </c>
      <c r="M562" s="42">
        <v>1.15</v>
      </c>
      <c r="N562" s="42">
        <v>0.7</v>
      </c>
      <c r="O562">
        <v>1.15</v>
      </c>
      <c r="P562" s="42">
        <v>0.805</v>
      </c>
      <c r="Q562">
        <v>1.15</v>
      </c>
      <c r="R562">
        <v>5600</v>
      </c>
      <c r="S562">
        <v>5600</v>
      </c>
      <c r="T562">
        <v>4000</v>
      </c>
      <c r="U562" t="s">
        <v>9475</v>
      </c>
      <c r="W562" s="42">
        <v>-0.0883</v>
      </c>
      <c r="X562" t="s">
        <v>9476</v>
      </c>
      <c r="Y562" t="s">
        <v>9477</v>
      </c>
      <c r="Z562" s="42">
        <v>0.7742</v>
      </c>
      <c r="AA562" s="42">
        <v>0.5</v>
      </c>
      <c r="AB562">
        <v>0</v>
      </c>
    </row>
    <row r="563">
      <c r="A563" t="s">
        <v>9783</v>
      </c>
      <c r="B563" t="s">
        <v>9746</v>
      </c>
      <c r="C563" t="s">
        <v>9746</v>
      </c>
      <c r="D563" t="s">
        <v>9784</v>
      </c>
      <c r="E563" t="s">
        <v>9785</v>
      </c>
      <c r="F563" t="s">
        <v>6966</v>
      </c>
      <c r="G563" t="s">
        <v>9786</v>
      </c>
      <c r="H563" t="s">
        <v>9787</v>
      </c>
      <c r="I563" t="s">
        <v>9788</v>
      </c>
      <c r="J563" t="s">
        <v>9789</v>
      </c>
      <c r="K563" t="s">
        <v>9790</v>
      </c>
      <c r="M563" s="42">
        <v>1.24</v>
      </c>
      <c r="N563" s="42">
        <v>1</v>
      </c>
      <c r="O563">
        <v>1.5</v>
      </c>
      <c r="P563" s="42">
        <v>1.24</v>
      </c>
      <c r="Q563">
        <v>1.5</v>
      </c>
      <c r="R563">
        <v>2000</v>
      </c>
      <c r="S563">
        <v>2000</v>
      </c>
      <c r="T563">
        <v>2000</v>
      </c>
      <c r="U563" t="s">
        <v>9475</v>
      </c>
      <c r="W563" s="42">
        <v>-0.0883</v>
      </c>
      <c r="X563" t="s">
        <v>9476</v>
      </c>
      <c r="Y563" t="s">
        <v>9477</v>
      </c>
      <c r="Z563" s="42">
        <v>0.7742</v>
      </c>
      <c r="AA563" s="42">
        <v>0.5</v>
      </c>
      <c r="AB563">
        <v>0</v>
      </c>
    </row>
    <row r="564">
      <c r="A564" t="s">
        <v>9791</v>
      </c>
      <c r="B564" t="s">
        <v>9746</v>
      </c>
      <c r="C564" t="s">
        <v>9746</v>
      </c>
      <c r="D564" t="s">
        <v>9792</v>
      </c>
      <c r="E564" t="s">
        <v>9793</v>
      </c>
      <c r="F564" t="s">
        <v>6966</v>
      </c>
      <c r="G564" t="s">
        <v>9794</v>
      </c>
      <c r="H564" t="s">
        <v>9795</v>
      </c>
      <c r="I564" t="s">
        <v>9796</v>
      </c>
      <c r="J564" t="s">
        <v>9797</v>
      </c>
      <c r="K564" t="s">
        <v>9798</v>
      </c>
      <c r="M564" s="42">
        <v>0.9049</v>
      </c>
      <c r="N564" s="42">
        <v>0.7</v>
      </c>
      <c r="O564">
        <v>0.905</v>
      </c>
      <c r="P564" s="42">
        <v>0.93343</v>
      </c>
      <c r="Q564">
        <v>0.98</v>
      </c>
      <c r="R564">
        <v>983</v>
      </c>
      <c r="S564">
        <v>983</v>
      </c>
      <c r="T564">
        <v>1000</v>
      </c>
      <c r="U564" t="s">
        <v>9475</v>
      </c>
      <c r="W564" s="42">
        <v>-0.0883</v>
      </c>
      <c r="X564" t="s">
        <v>9476</v>
      </c>
      <c r="Y564" t="s">
        <v>9477</v>
      </c>
      <c r="Z564" s="42">
        <v>0.7742</v>
      </c>
      <c r="AA564" s="42">
        <v>0.5</v>
      </c>
      <c r="AB564">
        <v>0</v>
      </c>
    </row>
    <row r="565">
      <c r="A565" t="s">
        <v>9799</v>
      </c>
      <c r="B565" t="s">
        <v>9746</v>
      </c>
      <c r="C565" t="s">
        <v>9746</v>
      </c>
      <c r="D565" t="s">
        <v>9792</v>
      </c>
      <c r="E565" t="s">
        <v>9800</v>
      </c>
      <c r="F565" t="s">
        <v>6966</v>
      </c>
      <c r="G565" t="s">
        <v>9794</v>
      </c>
      <c r="H565" t="s">
        <v>9795</v>
      </c>
      <c r="I565" t="s">
        <v>9801</v>
      </c>
      <c r="J565" t="s">
        <v>9797</v>
      </c>
      <c r="K565" t="s">
        <v>9802</v>
      </c>
      <c r="M565" s="42">
        <v>0.7125</v>
      </c>
      <c r="N565" s="42">
        <v>0.7</v>
      </c>
      <c r="O565">
        <v>0.57</v>
      </c>
      <c r="P565" s="42">
        <v>0.80827</v>
      </c>
      <c r="Q565">
        <v>0.82</v>
      </c>
      <c r="R565">
        <v>821</v>
      </c>
      <c r="S565">
        <v>821</v>
      </c>
      <c r="T565">
        <v>1000</v>
      </c>
      <c r="U565" t="s">
        <v>9475</v>
      </c>
      <c r="W565" s="42">
        <v>-0.0883</v>
      </c>
      <c r="X565" t="s">
        <v>9476</v>
      </c>
      <c r="Y565" t="s">
        <v>9477</v>
      </c>
      <c r="Z565" s="42">
        <v>0.7742</v>
      </c>
      <c r="AA565" s="42">
        <v>0.5</v>
      </c>
      <c r="AB565">
        <v>0</v>
      </c>
    </row>
    <row r="566">
      <c r="A566" t="s">
        <v>9803</v>
      </c>
      <c r="B566" t="s">
        <v>9746</v>
      </c>
      <c r="C566" t="s">
        <v>9746</v>
      </c>
      <c r="D566" t="s">
        <v>9792</v>
      </c>
      <c r="E566" t="s">
        <v>9804</v>
      </c>
      <c r="F566" t="s">
        <v>6966</v>
      </c>
      <c r="G566" t="s">
        <v>9794</v>
      </c>
      <c r="H566" t="s">
        <v>9795</v>
      </c>
      <c r="I566" t="s">
        <v>9805</v>
      </c>
      <c r="J566" t="s">
        <v>9797</v>
      </c>
      <c r="K566" t="s">
        <v>9806</v>
      </c>
      <c r="M566" s="42">
        <v>0.9306</v>
      </c>
      <c r="N566" s="42">
        <v>0.9</v>
      </c>
      <c r="O566">
        <v>0.931</v>
      </c>
      <c r="P566" s="42">
        <v>0.93094</v>
      </c>
      <c r="Q566">
        <v>0.99</v>
      </c>
      <c r="R566">
        <v>988</v>
      </c>
      <c r="S566">
        <v>988</v>
      </c>
      <c r="T566">
        <v>1000</v>
      </c>
      <c r="U566" t="s">
        <v>9475</v>
      </c>
      <c r="W566" s="42">
        <v>-0.0883</v>
      </c>
      <c r="X566" t="s">
        <v>9476</v>
      </c>
      <c r="Y566" t="s">
        <v>9477</v>
      </c>
      <c r="Z566" s="42">
        <v>0.7742</v>
      </c>
      <c r="AA566" s="42">
        <v>0.5</v>
      </c>
      <c r="AB566">
        <v>0</v>
      </c>
    </row>
    <row r="567">
      <c r="A567" t="s">
        <v>9807</v>
      </c>
      <c r="B567" t="s">
        <v>8525</v>
      </c>
      <c r="C567" t="s">
        <v>8525</v>
      </c>
      <c r="D567" t="s">
        <v>7000</v>
      </c>
      <c r="E567" t="s">
        <v>9808</v>
      </c>
      <c r="F567" t="s">
        <v>6966</v>
      </c>
      <c r="G567" t="s">
        <v>9809</v>
      </c>
      <c r="H567" t="s">
        <v>9810</v>
      </c>
      <c r="I567" t="s">
        <v>9811</v>
      </c>
      <c r="J567" t="s">
        <v>9812</v>
      </c>
      <c r="K567" t="s">
        <v>9813</v>
      </c>
      <c r="M567" s="42">
        <v>1.06</v>
      </c>
      <c r="N567" s="42">
        <v>0.4</v>
      </c>
      <c r="O567">
        <v>1.06</v>
      </c>
      <c r="P567" s="42">
        <v>0.924</v>
      </c>
      <c r="Q567">
        <v>0.92</v>
      </c>
      <c r="R567">
        <v>5000</v>
      </c>
      <c r="S567">
        <v>5000</v>
      </c>
      <c r="T567">
        <v>5000</v>
      </c>
      <c r="U567" t="s">
        <v>9475</v>
      </c>
      <c r="W567" s="42">
        <v>-0.0883</v>
      </c>
      <c r="X567" t="s">
        <v>9476</v>
      </c>
      <c r="Y567" t="s">
        <v>9477</v>
      </c>
      <c r="Z567" s="42">
        <v>0.7742</v>
      </c>
      <c r="AA567" s="42">
        <v>0.5</v>
      </c>
      <c r="AB567">
        <v>0</v>
      </c>
    </row>
    <row r="568">
      <c r="A568" t="s">
        <v>9814</v>
      </c>
      <c r="B568" t="s">
        <v>8525</v>
      </c>
      <c r="C568" t="s">
        <v>8525</v>
      </c>
      <c r="D568" t="s">
        <v>7000</v>
      </c>
      <c r="E568" t="s">
        <v>9815</v>
      </c>
      <c r="F568" t="s">
        <v>6966</v>
      </c>
      <c r="G568" t="s">
        <v>9809</v>
      </c>
      <c r="H568" t="s">
        <v>9297</v>
      </c>
      <c r="I568" t="s">
        <v>9816</v>
      </c>
      <c r="J568" t="s">
        <v>9817</v>
      </c>
      <c r="K568" t="s">
        <v>9818</v>
      </c>
      <c r="M568" s="42">
        <v>1.2</v>
      </c>
      <c r="N568" s="42">
        <v>0.35</v>
      </c>
      <c r="O568">
        <v>1.2</v>
      </c>
      <c r="P568" s="42">
        <v>0.76</v>
      </c>
      <c r="Q568">
        <v>0.8</v>
      </c>
      <c r="R568">
        <v>0</v>
      </c>
      <c r="S568">
        <v>0</v>
      </c>
      <c r="T568">
        <v>5000</v>
      </c>
      <c r="U568" t="s">
        <v>9819</v>
      </c>
      <c r="W568" t="s">
        <v>9817</v>
      </c>
      <c r="X568" t="s">
        <v>9818</v>
      </c>
      <c r="Y568" t="s">
        <v>9477</v>
      </c>
      <c r="Z568" s="42">
        <v>0.012</v>
      </c>
      <c r="AA568" s="42">
        <v>1</v>
      </c>
      <c r="AB568">
        <v>0</v>
      </c>
    </row>
    <row r="569">
      <c r="A569" t="s">
        <v>9820</v>
      </c>
      <c r="B569" t="s">
        <v>8525</v>
      </c>
      <c r="C569" t="s">
        <v>8525</v>
      </c>
      <c r="D569" t="s">
        <v>7000</v>
      </c>
      <c r="E569" t="s">
        <v>9821</v>
      </c>
      <c r="F569" t="s">
        <v>6966</v>
      </c>
      <c r="G569" t="s">
        <v>9809</v>
      </c>
      <c r="H569" t="s">
        <v>9822</v>
      </c>
      <c r="I569" t="s">
        <v>9823</v>
      </c>
      <c r="J569" t="s">
        <v>9824</v>
      </c>
      <c r="K569" t="s">
        <v>7122</v>
      </c>
      <c r="M569" s="42">
        <v>0.266</v>
      </c>
      <c r="N569" s="42">
        <v>0.1</v>
      </c>
      <c r="O569">
        <v>0.1862</v>
      </c>
      <c r="P569" s="42">
        <v>0.6556</v>
      </c>
      <c r="Q569">
        <v>0.66</v>
      </c>
      <c r="R569">
        <v>0</v>
      </c>
      <c r="S569">
        <v>0</v>
      </c>
      <c r="T569">
        <v>5000</v>
      </c>
      <c r="U569" t="s">
        <v>9819</v>
      </c>
      <c r="W569" t="s">
        <v>9817</v>
      </c>
      <c r="X569" t="s">
        <v>9818</v>
      </c>
      <c r="Y569" t="s">
        <v>9477</v>
      </c>
      <c r="Z569" s="42">
        <v>0.012</v>
      </c>
      <c r="AA569" s="42">
        <v>1</v>
      </c>
      <c r="AB569">
        <v>0</v>
      </c>
    </row>
    <row r="570">
      <c r="A570" t="s">
        <v>9825</v>
      </c>
      <c r="B570" t="s">
        <v>9826</v>
      </c>
      <c r="C570" t="s">
        <v>9826</v>
      </c>
      <c r="D570" t="s">
        <v>9827</v>
      </c>
      <c r="E570" t="s">
        <v>9828</v>
      </c>
      <c r="F570" t="s">
        <v>6966</v>
      </c>
      <c r="G570" t="s">
        <v>9829</v>
      </c>
      <c r="H570" t="s">
        <v>7265</v>
      </c>
      <c r="I570" t="s">
        <v>9830</v>
      </c>
      <c r="J570">
        <v>1</v>
      </c>
      <c r="L570" t="s">
        <v>7040</v>
      </c>
      <c r="M570" s="42">
        <v>1</v>
      </c>
      <c r="N570" s="42">
        <v>0.2</v>
      </c>
      <c r="O570">
        <v>1</v>
      </c>
      <c r="P570" s="42">
        <v>1</v>
      </c>
      <c r="Q570">
        <v>1.1</v>
      </c>
      <c r="R570">
        <v>2531.25</v>
      </c>
      <c r="S570">
        <v>2531.25</v>
      </c>
      <c r="T570">
        <v>2000</v>
      </c>
      <c r="U570" t="s">
        <v>9819</v>
      </c>
      <c r="W570" t="s">
        <v>9817</v>
      </c>
      <c r="X570" t="s">
        <v>9818</v>
      </c>
      <c r="Y570" t="s">
        <v>9477</v>
      </c>
      <c r="Z570" s="42">
        <v>0.012</v>
      </c>
      <c r="AA570" s="42">
        <v>1</v>
      </c>
      <c r="AB570">
        <v>0</v>
      </c>
    </row>
    <row r="571">
      <c r="A571" t="s">
        <v>9831</v>
      </c>
      <c r="B571" t="s">
        <v>9826</v>
      </c>
      <c r="C571" t="s">
        <v>9826</v>
      </c>
      <c r="D571" t="s">
        <v>8672</v>
      </c>
      <c r="E571" t="s">
        <v>9832</v>
      </c>
      <c r="F571" t="s">
        <v>6966</v>
      </c>
      <c r="G571" t="s">
        <v>9829</v>
      </c>
      <c r="H571" t="s">
        <v>7265</v>
      </c>
      <c r="I571" t="s">
        <v>9833</v>
      </c>
      <c r="J571">
        <v>1</v>
      </c>
      <c r="L571" t="s">
        <v>9834</v>
      </c>
      <c r="M571" s="42">
        <v>0.95</v>
      </c>
      <c r="N571" s="42">
        <v>0.4</v>
      </c>
      <c r="O571">
        <v>0.95</v>
      </c>
      <c r="P571" s="42">
        <v>0.98</v>
      </c>
      <c r="Q571">
        <v>0.98</v>
      </c>
      <c r="R571">
        <v>2868.75</v>
      </c>
      <c r="S571">
        <v>2868.75</v>
      </c>
      <c r="T571">
        <v>3400</v>
      </c>
      <c r="U571" t="s">
        <v>9819</v>
      </c>
      <c r="W571" t="s">
        <v>9817</v>
      </c>
      <c r="X571" t="s">
        <v>9818</v>
      </c>
      <c r="Y571" t="s">
        <v>9477</v>
      </c>
      <c r="Z571" s="42">
        <v>0.012</v>
      </c>
      <c r="AA571" s="42">
        <v>1</v>
      </c>
      <c r="AB571">
        <v>0</v>
      </c>
    </row>
    <row r="572">
      <c r="A572" t="s">
        <v>9835</v>
      </c>
      <c r="B572" t="s">
        <v>9826</v>
      </c>
      <c r="C572" t="s">
        <v>9826</v>
      </c>
      <c r="D572" t="s">
        <v>8672</v>
      </c>
      <c r="E572" t="s">
        <v>9836</v>
      </c>
      <c r="F572" t="s">
        <v>6966</v>
      </c>
      <c r="G572" t="s">
        <v>9829</v>
      </c>
      <c r="H572" t="s">
        <v>7265</v>
      </c>
      <c r="I572" t="s">
        <v>9837</v>
      </c>
      <c r="J572">
        <v>1</v>
      </c>
      <c r="L572" t="s">
        <v>9838</v>
      </c>
      <c r="M572" s="42">
        <v>1</v>
      </c>
      <c r="N572" s="42">
        <v>0.3</v>
      </c>
      <c r="O572">
        <v>1</v>
      </c>
      <c r="P572" s="42">
        <v>0.95</v>
      </c>
      <c r="Q572">
        <v>0.95</v>
      </c>
      <c r="R572">
        <v>0</v>
      </c>
      <c r="S572">
        <v>0</v>
      </c>
      <c r="T572">
        <v>3400</v>
      </c>
      <c r="U572" t="s">
        <v>9819</v>
      </c>
      <c r="W572" t="s">
        <v>9817</v>
      </c>
      <c r="X572" t="s">
        <v>9818</v>
      </c>
      <c r="Y572" t="s">
        <v>9477</v>
      </c>
      <c r="Z572" s="42">
        <v>0.012</v>
      </c>
      <c r="AA572" s="42">
        <v>1</v>
      </c>
      <c r="AB572">
        <v>0</v>
      </c>
    </row>
    <row r="573">
      <c r="A573" t="s">
        <v>9839</v>
      </c>
      <c r="B573" t="s">
        <v>9826</v>
      </c>
      <c r="C573" t="s">
        <v>9826</v>
      </c>
      <c r="D573" t="s">
        <v>7139</v>
      </c>
      <c r="E573" t="s">
        <v>8963</v>
      </c>
      <c r="F573" t="s">
        <v>6966</v>
      </c>
      <c r="G573" t="s">
        <v>9829</v>
      </c>
      <c r="H573" t="s">
        <v>9242</v>
      </c>
      <c r="I573" t="s">
        <v>9840</v>
      </c>
      <c r="J573">
        <v>1</v>
      </c>
      <c r="K573">
        <v>1</v>
      </c>
      <c r="L573" t="s">
        <v>9841</v>
      </c>
      <c r="M573" s="42">
        <v>1</v>
      </c>
      <c r="N573" s="42">
        <v>0.39</v>
      </c>
      <c r="O573">
        <v>1</v>
      </c>
      <c r="P573" s="42">
        <v>1</v>
      </c>
      <c r="Q573">
        <v>1</v>
      </c>
      <c r="R573">
        <v>0</v>
      </c>
      <c r="S573">
        <v>0</v>
      </c>
      <c r="T573">
        <v>5000</v>
      </c>
      <c r="U573" t="s">
        <v>9819</v>
      </c>
      <c r="W573" t="s">
        <v>9817</v>
      </c>
      <c r="X573" t="s">
        <v>9818</v>
      </c>
      <c r="Y573" t="s">
        <v>9477</v>
      </c>
      <c r="Z573" s="42">
        <v>0.012</v>
      </c>
      <c r="AA573" s="42">
        <v>1</v>
      </c>
      <c r="AB573">
        <v>0</v>
      </c>
    </row>
    <row r="574">
      <c r="A574" t="s">
        <v>9842</v>
      </c>
      <c r="B574" t="s">
        <v>9264</v>
      </c>
      <c r="C574" t="s">
        <v>9264</v>
      </c>
      <c r="D574" t="s">
        <v>7355</v>
      </c>
      <c r="E574" t="s">
        <v>9843</v>
      </c>
      <c r="F574" t="s">
        <v>6966</v>
      </c>
      <c r="G574" t="s">
        <v>9844</v>
      </c>
      <c r="H574" t="s">
        <v>9845</v>
      </c>
      <c r="I574" t="s">
        <v>9846</v>
      </c>
      <c r="J574" t="s">
        <v>7811</v>
      </c>
      <c r="K574" t="s">
        <v>9847</v>
      </c>
      <c r="L574" t="s">
        <v>9841</v>
      </c>
      <c r="M574" s="42">
        <v>0.364</v>
      </c>
      <c r="N574" s="42">
        <v>1</v>
      </c>
      <c r="O574">
        <v>0.364</v>
      </c>
      <c r="P574" s="42">
        <v>0.364</v>
      </c>
      <c r="Q574">
        <v>0.36</v>
      </c>
      <c r="R574">
        <v>1820</v>
      </c>
      <c r="S574">
        <v>1820</v>
      </c>
      <c r="T574">
        <v>5000</v>
      </c>
      <c r="U574" t="s">
        <v>9819</v>
      </c>
      <c r="W574" t="s">
        <v>9817</v>
      </c>
      <c r="X574" t="s">
        <v>9818</v>
      </c>
      <c r="Y574" t="s">
        <v>9477</v>
      </c>
      <c r="Z574" s="42">
        <v>0.012</v>
      </c>
      <c r="AA574" s="42">
        <v>1</v>
      </c>
      <c r="AB574">
        <v>0</v>
      </c>
    </row>
    <row r="575">
      <c r="A575" t="s">
        <v>9848</v>
      </c>
      <c r="B575" t="s">
        <v>9264</v>
      </c>
      <c r="C575" t="s">
        <v>9264</v>
      </c>
      <c r="D575" t="s">
        <v>7000</v>
      </c>
      <c r="E575" t="s">
        <v>9849</v>
      </c>
      <c r="F575" t="s">
        <v>6966</v>
      </c>
      <c r="G575" t="s">
        <v>9844</v>
      </c>
      <c r="H575" t="s">
        <v>9845</v>
      </c>
      <c r="I575" t="s">
        <v>9850</v>
      </c>
      <c r="J575" t="s">
        <v>7366</v>
      </c>
      <c r="K575" t="s">
        <v>9851</v>
      </c>
      <c r="L575" t="s">
        <v>9841</v>
      </c>
      <c r="M575" s="42">
        <v>0.821</v>
      </c>
      <c r="N575" s="42">
        <v>1</v>
      </c>
      <c r="O575">
        <v>0.821</v>
      </c>
      <c r="P575" s="42">
        <v>0.821</v>
      </c>
      <c r="Q575">
        <v>0.82</v>
      </c>
      <c r="R575">
        <v>4926</v>
      </c>
      <c r="S575">
        <v>4926</v>
      </c>
      <c r="T575">
        <v>6000</v>
      </c>
      <c r="U575" t="s">
        <v>9819</v>
      </c>
      <c r="W575" t="s">
        <v>9817</v>
      </c>
      <c r="X575" t="s">
        <v>9818</v>
      </c>
      <c r="Y575" t="s">
        <v>9477</v>
      </c>
      <c r="Z575" s="42">
        <v>0.012</v>
      </c>
      <c r="AA575" s="42">
        <v>1</v>
      </c>
      <c r="AB575">
        <v>0</v>
      </c>
    </row>
    <row r="576">
      <c r="A576" t="s">
        <v>9852</v>
      </c>
      <c r="B576" t="s">
        <v>9264</v>
      </c>
      <c r="C576" t="s">
        <v>9264</v>
      </c>
      <c r="D576" t="s">
        <v>7355</v>
      </c>
      <c r="E576" t="s">
        <v>9853</v>
      </c>
      <c r="F576" t="s">
        <v>6966</v>
      </c>
      <c r="G576" t="s">
        <v>9844</v>
      </c>
      <c r="H576" t="s">
        <v>9854</v>
      </c>
      <c r="I576" t="s">
        <v>9855</v>
      </c>
      <c r="J576" t="s">
        <v>9856</v>
      </c>
      <c r="K576" t="s">
        <v>9857</v>
      </c>
      <c r="L576" t="s">
        <v>9841</v>
      </c>
      <c r="M576" s="42">
        <v>0.54</v>
      </c>
      <c r="N576" s="42">
        <v>0.5</v>
      </c>
      <c r="O576">
        <v>0.54</v>
      </c>
      <c r="P576" s="42">
        <v>0.54</v>
      </c>
      <c r="Q576">
        <v>0.52</v>
      </c>
      <c r="R576">
        <v>600</v>
      </c>
      <c r="S576">
        <v>600</v>
      </c>
      <c r="T576">
        <v>5000</v>
      </c>
      <c r="U576" t="s">
        <v>9819</v>
      </c>
      <c r="W576" t="s">
        <v>9817</v>
      </c>
      <c r="X576" t="s">
        <v>9818</v>
      </c>
      <c r="Y576" t="s">
        <v>9477</v>
      </c>
      <c r="Z576" s="42">
        <v>0.012</v>
      </c>
      <c r="AA576" s="42">
        <v>1</v>
      </c>
      <c r="AB576">
        <v>0</v>
      </c>
    </row>
    <row r="577">
      <c r="A577" t="s">
        <v>9858</v>
      </c>
      <c r="B577" t="s">
        <v>9264</v>
      </c>
      <c r="C577" t="s">
        <v>9264</v>
      </c>
      <c r="D577" t="s">
        <v>7362</v>
      </c>
      <c r="E577" t="s">
        <v>9859</v>
      </c>
      <c r="F577" t="s">
        <v>6966</v>
      </c>
      <c r="G577" t="s">
        <v>9500</v>
      </c>
      <c r="H577" t="s">
        <v>9509</v>
      </c>
      <c r="I577" t="s">
        <v>9860</v>
      </c>
      <c r="J577" t="s">
        <v>9010</v>
      </c>
      <c r="K577" t="s">
        <v>9861</v>
      </c>
      <c r="L577" t="s">
        <v>9841</v>
      </c>
      <c r="M577" s="42">
        <v>1</v>
      </c>
      <c r="N577" s="42">
        <v>1</v>
      </c>
      <c r="O577">
        <v>1</v>
      </c>
      <c r="P577" s="42">
        <v>1</v>
      </c>
      <c r="Q577">
        <v>1</v>
      </c>
      <c r="R577">
        <v>444</v>
      </c>
      <c r="S577">
        <v>444</v>
      </c>
      <c r="T577">
        <v>1500</v>
      </c>
      <c r="U577" t="s">
        <v>9819</v>
      </c>
      <c r="W577" t="s">
        <v>9817</v>
      </c>
      <c r="X577" t="s">
        <v>9818</v>
      </c>
      <c r="Y577" t="s">
        <v>9477</v>
      </c>
      <c r="Z577" s="42">
        <v>0.012</v>
      </c>
      <c r="AA577" s="42">
        <v>1</v>
      </c>
      <c r="AB577">
        <v>0</v>
      </c>
    </row>
    <row r="578">
      <c r="A578" t="s">
        <v>9862</v>
      </c>
      <c r="B578" t="s">
        <v>9863</v>
      </c>
      <c r="C578" t="s">
        <v>9863</v>
      </c>
      <c r="D578" t="s">
        <v>9864</v>
      </c>
      <c r="E578" t="s">
        <v>9865</v>
      </c>
      <c r="F578" t="s">
        <v>6966</v>
      </c>
      <c r="G578" t="s">
        <v>9866</v>
      </c>
      <c r="H578" t="s">
        <v>9867</v>
      </c>
      <c r="I578" t="s">
        <v>9860</v>
      </c>
      <c r="J578">
        <v>0</v>
      </c>
      <c r="K578">
        <v>0</v>
      </c>
      <c r="L578" t="s">
        <v>9841</v>
      </c>
      <c r="M578" s="42">
        <v>0</v>
      </c>
      <c r="N578" s="42">
        <v>1</v>
      </c>
      <c r="O578">
        <v>0</v>
      </c>
      <c r="P578" s="42">
        <v>0</v>
      </c>
      <c r="Q578">
        <v>0</v>
      </c>
      <c r="R578">
        <v>0</v>
      </c>
      <c r="S578">
        <v>0</v>
      </c>
      <c r="T578">
        <v>3000</v>
      </c>
      <c r="U578" t="s">
        <v>9819</v>
      </c>
      <c r="W578" t="s">
        <v>9817</v>
      </c>
      <c r="X578" t="s">
        <v>9818</v>
      </c>
      <c r="Y578" t="s">
        <v>9477</v>
      </c>
      <c r="Z578" s="42">
        <v>0.012</v>
      </c>
      <c r="AA578" s="42">
        <v>1</v>
      </c>
      <c r="AB578">
        <v>0</v>
      </c>
    </row>
    <row r="579">
      <c r="A579" t="s">
        <v>9868</v>
      </c>
      <c r="B579" t="s">
        <v>9863</v>
      </c>
      <c r="C579" t="s">
        <v>9863</v>
      </c>
      <c r="D579" t="s">
        <v>9869</v>
      </c>
      <c r="E579" t="s">
        <v>9870</v>
      </c>
      <c r="F579" t="s">
        <v>6966</v>
      </c>
      <c r="G579" t="s">
        <v>9866</v>
      </c>
      <c r="H579" t="s">
        <v>9871</v>
      </c>
      <c r="I579" t="s">
        <v>9860</v>
      </c>
      <c r="J579">
        <v>85</v>
      </c>
      <c r="K579">
        <v>72.7</v>
      </c>
      <c r="L579" t="s">
        <v>9841</v>
      </c>
      <c r="M579" s="42">
        <v>0.008553</v>
      </c>
      <c r="N579" s="42">
        <v>0.5</v>
      </c>
      <c r="O579">
        <v>0.8553</v>
      </c>
      <c r="P579" s="42">
        <v>0.010527</v>
      </c>
      <c r="Q579">
        <v>1.05</v>
      </c>
      <c r="R579">
        <v>3300</v>
      </c>
      <c r="S579">
        <v>3300</v>
      </c>
      <c r="T579">
        <v>3300</v>
      </c>
      <c r="U579" t="s">
        <v>9819</v>
      </c>
      <c r="W579" t="s">
        <v>9817</v>
      </c>
      <c r="X579" t="s">
        <v>9818</v>
      </c>
      <c r="Y579" t="s">
        <v>9477</v>
      </c>
      <c r="Z579" s="42">
        <v>0.012</v>
      </c>
      <c r="AA579" s="42">
        <v>1</v>
      </c>
      <c r="AB579">
        <v>0</v>
      </c>
    </row>
    <row r="580">
      <c r="A580" t="s">
        <v>9872</v>
      </c>
      <c r="B580" t="s">
        <v>9863</v>
      </c>
      <c r="C580" t="s">
        <v>9863</v>
      </c>
      <c r="D580" t="s">
        <v>9873</v>
      </c>
      <c r="E580" t="s">
        <v>9874</v>
      </c>
      <c r="F580" t="s">
        <v>6966</v>
      </c>
      <c r="G580" t="s">
        <v>9866</v>
      </c>
      <c r="H580" t="s">
        <v>9875</v>
      </c>
      <c r="I580" t="s">
        <v>9860</v>
      </c>
      <c r="J580">
        <v>700000</v>
      </c>
      <c r="K580">
        <v>1540066</v>
      </c>
      <c r="L580" t="s">
        <v>9841</v>
      </c>
      <c r="M580" s="42">
        <v>0.022</v>
      </c>
      <c r="N580" s="42">
        <v>0.5</v>
      </c>
      <c r="O580">
        <v>1.5</v>
      </c>
      <c r="P580" s="42">
        <v>0.016</v>
      </c>
      <c r="Q580">
        <v>1.25</v>
      </c>
      <c r="R580">
        <v>5000</v>
      </c>
      <c r="S580">
        <v>5000</v>
      </c>
      <c r="T580">
        <v>5000</v>
      </c>
      <c r="U580" t="s">
        <v>9819</v>
      </c>
      <c r="W580" t="s">
        <v>9817</v>
      </c>
      <c r="X580" t="s">
        <v>9818</v>
      </c>
      <c r="Y580" t="s">
        <v>9477</v>
      </c>
      <c r="Z580" s="42">
        <v>0.012</v>
      </c>
      <c r="AA580" s="42">
        <v>1</v>
      </c>
      <c r="AB580">
        <v>0</v>
      </c>
    </row>
    <row r="581">
      <c r="A581" t="s">
        <v>9876</v>
      </c>
      <c r="B581" t="s">
        <v>9863</v>
      </c>
      <c r="C581" t="s">
        <v>9863</v>
      </c>
      <c r="D581" t="s">
        <v>9877</v>
      </c>
      <c r="E581" t="s">
        <v>9878</v>
      </c>
      <c r="F581" t="s">
        <v>6966</v>
      </c>
      <c r="G581" t="s">
        <v>9866</v>
      </c>
      <c r="H581" t="s">
        <v>9875</v>
      </c>
      <c r="I581" t="s">
        <v>9860</v>
      </c>
      <c r="J581">
        <v>700000</v>
      </c>
      <c r="K581">
        <v>1540066</v>
      </c>
      <c r="L581" t="s">
        <v>9841</v>
      </c>
      <c r="M581" s="42">
        <v>0.022</v>
      </c>
      <c r="N581" s="42">
        <v>0.5</v>
      </c>
      <c r="O581">
        <v>1.5</v>
      </c>
      <c r="P581" s="42">
        <v>0.012875</v>
      </c>
      <c r="Q581">
        <v>0.94</v>
      </c>
      <c r="R581">
        <v>2250</v>
      </c>
      <c r="S581">
        <v>2250</v>
      </c>
      <c r="T581">
        <v>3000</v>
      </c>
      <c r="U581" t="s">
        <v>9819</v>
      </c>
      <c r="W581" t="s">
        <v>9817</v>
      </c>
      <c r="X581" t="s">
        <v>9818</v>
      </c>
      <c r="Y581" t="s">
        <v>9477</v>
      </c>
      <c r="Z581" s="42">
        <v>0.012</v>
      </c>
      <c r="AA581" s="42">
        <v>1</v>
      </c>
      <c r="AB581">
        <v>0</v>
      </c>
    </row>
    <row r="582">
      <c r="A582" t="s">
        <v>9879</v>
      </c>
      <c r="B582" t="s">
        <v>9863</v>
      </c>
      <c r="C582" t="s">
        <v>9863</v>
      </c>
      <c r="D582" t="s">
        <v>9880</v>
      </c>
      <c r="E582" t="s">
        <v>9881</v>
      </c>
      <c r="F582" t="s">
        <v>6966</v>
      </c>
      <c r="G582" t="s">
        <v>9866</v>
      </c>
      <c r="H582" t="s">
        <v>9875</v>
      </c>
      <c r="I582" t="s">
        <v>9860</v>
      </c>
      <c r="J582">
        <v>700000</v>
      </c>
      <c r="K582">
        <v>1540066</v>
      </c>
      <c r="L582" t="s">
        <v>9841</v>
      </c>
      <c r="M582" s="42">
        <v>0.022</v>
      </c>
      <c r="N582" s="42">
        <v>0.5</v>
      </c>
      <c r="O582">
        <v>1.5</v>
      </c>
      <c r="P582" s="42">
        <v>0.011</v>
      </c>
      <c r="Q582">
        <v>0.75</v>
      </c>
      <c r="R582">
        <v>1725</v>
      </c>
      <c r="S582">
        <v>1725</v>
      </c>
      <c r="T582">
        <v>3000</v>
      </c>
      <c r="U582" t="s">
        <v>9819</v>
      </c>
      <c r="W582" t="s">
        <v>9817</v>
      </c>
      <c r="X582" t="s">
        <v>9818</v>
      </c>
      <c r="Y582" t="s">
        <v>9477</v>
      </c>
      <c r="Z582" s="42">
        <v>0.012</v>
      </c>
      <c r="AA582" s="42">
        <v>1</v>
      </c>
      <c r="AB582">
        <v>0</v>
      </c>
    </row>
    <row r="583">
      <c r="A583" t="s">
        <v>9882</v>
      </c>
      <c r="B583" t="s">
        <v>9863</v>
      </c>
      <c r="C583" t="s">
        <v>9863</v>
      </c>
      <c r="D583" t="s">
        <v>9883</v>
      </c>
      <c r="E583" t="s">
        <v>9884</v>
      </c>
      <c r="F583" t="s">
        <v>6966</v>
      </c>
      <c r="G583" t="s">
        <v>9866</v>
      </c>
      <c r="H583" t="s">
        <v>9875</v>
      </c>
      <c r="I583" t="s">
        <v>9860</v>
      </c>
      <c r="J583">
        <v>700000</v>
      </c>
      <c r="K583">
        <v>1540066</v>
      </c>
      <c r="L583" t="s">
        <v>9841</v>
      </c>
      <c r="M583" s="42">
        <v>0.022</v>
      </c>
      <c r="N583" s="42">
        <v>0.5</v>
      </c>
      <c r="O583">
        <v>1.5</v>
      </c>
      <c r="P583" s="42">
        <v>0.012875</v>
      </c>
      <c r="Q583">
        <v>0.94</v>
      </c>
      <c r="R583">
        <v>0</v>
      </c>
      <c r="S583">
        <v>0</v>
      </c>
      <c r="T583">
        <v>1500</v>
      </c>
      <c r="U583" t="s">
        <v>9819</v>
      </c>
      <c r="W583" t="s">
        <v>9817</v>
      </c>
      <c r="X583" t="s">
        <v>9818</v>
      </c>
      <c r="Y583" t="s">
        <v>9477</v>
      </c>
      <c r="Z583" s="42">
        <v>0.012</v>
      </c>
      <c r="AA583" s="42">
        <v>1</v>
      </c>
      <c r="AB583">
        <v>0</v>
      </c>
    </row>
    <row r="584">
      <c r="A584" t="s">
        <v>9885</v>
      </c>
      <c r="B584" t="s">
        <v>9863</v>
      </c>
      <c r="C584" t="s">
        <v>9863</v>
      </c>
      <c r="D584" t="s">
        <v>9886</v>
      </c>
      <c r="E584" t="s">
        <v>9887</v>
      </c>
      <c r="F584" t="s">
        <v>6966</v>
      </c>
      <c r="G584" t="s">
        <v>9866</v>
      </c>
      <c r="H584" t="s">
        <v>9871</v>
      </c>
      <c r="I584" t="s">
        <v>9860</v>
      </c>
      <c r="J584">
        <v>85</v>
      </c>
      <c r="K584">
        <v>72.7</v>
      </c>
      <c r="L584" t="s">
        <v>9841</v>
      </c>
      <c r="M584" s="42">
        <v>0.008553</v>
      </c>
      <c r="N584" s="42">
        <v>0.5</v>
      </c>
      <c r="O584">
        <v>0.8553</v>
      </c>
      <c r="P584" s="42">
        <v>0.009902</v>
      </c>
      <c r="Q584">
        <v>0.99</v>
      </c>
      <c r="R584">
        <v>0</v>
      </c>
      <c r="S584">
        <v>0</v>
      </c>
      <c r="T584">
        <v>3000</v>
      </c>
      <c r="U584" t="s">
        <v>9819</v>
      </c>
      <c r="W584" t="s">
        <v>9817</v>
      </c>
      <c r="X584" t="s">
        <v>9818</v>
      </c>
      <c r="Y584" t="s">
        <v>9477</v>
      </c>
      <c r="Z584" s="42">
        <v>0.012</v>
      </c>
      <c r="AA584" s="42">
        <v>1</v>
      </c>
      <c r="AB584">
        <v>0</v>
      </c>
    </row>
    <row r="585">
      <c r="A585" t="s">
        <v>9888</v>
      </c>
      <c r="B585" t="s">
        <v>9863</v>
      </c>
      <c r="C585" t="s">
        <v>9863</v>
      </c>
      <c r="D585" t="s">
        <v>9864</v>
      </c>
      <c r="E585" t="s">
        <v>9889</v>
      </c>
      <c r="F585" t="s">
        <v>6966</v>
      </c>
      <c r="G585" t="s">
        <v>9866</v>
      </c>
      <c r="H585" t="s">
        <v>9867</v>
      </c>
      <c r="I585" t="s">
        <v>9860</v>
      </c>
      <c r="J585">
        <v>0</v>
      </c>
      <c r="K585">
        <v>0.75</v>
      </c>
      <c r="L585" t="s">
        <v>9841</v>
      </c>
      <c r="M585" s="42">
        <v>0.0075</v>
      </c>
      <c r="N585" s="42">
        <v>1</v>
      </c>
      <c r="O585">
        <v>0.75</v>
      </c>
      <c r="P585" s="42">
        <v>0.0075</v>
      </c>
      <c r="Q585">
        <v>0.75</v>
      </c>
      <c r="R585">
        <v>0</v>
      </c>
      <c r="S585">
        <v>0</v>
      </c>
      <c r="T585">
        <v>3000</v>
      </c>
      <c r="U585" t="s">
        <v>9819</v>
      </c>
      <c r="W585" t="s">
        <v>9817</v>
      </c>
      <c r="X585" t="s">
        <v>9818</v>
      </c>
      <c r="Y585" t="s">
        <v>9477</v>
      </c>
      <c r="Z585" s="42">
        <v>0.012</v>
      </c>
      <c r="AA585" s="42">
        <v>1</v>
      </c>
      <c r="AB585">
        <v>0</v>
      </c>
    </row>
    <row r="586">
      <c r="A586" t="s">
        <v>9890</v>
      </c>
      <c r="B586" t="s">
        <v>9863</v>
      </c>
      <c r="C586" t="s">
        <v>9863</v>
      </c>
      <c r="D586" t="s">
        <v>9891</v>
      </c>
      <c r="E586" t="s">
        <v>9892</v>
      </c>
      <c r="F586" t="s">
        <v>6966</v>
      </c>
      <c r="G586" t="s">
        <v>9893</v>
      </c>
      <c r="H586" t="s">
        <v>9894</v>
      </c>
      <c r="I586" t="s">
        <v>9860</v>
      </c>
      <c r="J586">
        <v>0</v>
      </c>
      <c r="K586">
        <v>1</v>
      </c>
      <c r="L586" t="s">
        <v>9841</v>
      </c>
      <c r="M586" s="42">
        <v>0.01</v>
      </c>
      <c r="N586" s="42">
        <v>1</v>
      </c>
      <c r="O586">
        <v>1</v>
      </c>
      <c r="P586" s="42">
        <v>0.01</v>
      </c>
      <c r="Q586">
        <v>1</v>
      </c>
      <c r="R586">
        <v>312.5</v>
      </c>
      <c r="S586">
        <v>312.5</v>
      </c>
      <c r="T586">
        <v>0</v>
      </c>
      <c r="U586" t="s">
        <v>9819</v>
      </c>
      <c r="W586" t="s">
        <v>9817</v>
      </c>
      <c r="X586" t="s">
        <v>9818</v>
      </c>
      <c r="Y586" t="s">
        <v>9477</v>
      </c>
      <c r="Z586" s="42">
        <v>0.012</v>
      </c>
      <c r="AA586" s="42">
        <v>1</v>
      </c>
      <c r="AB586">
        <v>0</v>
      </c>
    </row>
    <row r="587">
      <c r="A587" t="s">
        <v>9895</v>
      </c>
      <c r="B587" t="s">
        <v>9863</v>
      </c>
      <c r="C587" t="s">
        <v>9863</v>
      </c>
      <c r="D587" t="s">
        <v>9896</v>
      </c>
      <c r="E587" t="s">
        <v>9897</v>
      </c>
      <c r="F587" t="s">
        <v>6966</v>
      </c>
      <c r="G587" t="s">
        <v>9893</v>
      </c>
      <c r="H587" t="s">
        <v>9894</v>
      </c>
      <c r="I587" t="s">
        <v>9860</v>
      </c>
      <c r="J587">
        <v>0</v>
      </c>
      <c r="K587">
        <v>0.75</v>
      </c>
      <c r="L587" t="s">
        <v>9841</v>
      </c>
      <c r="M587" s="42">
        <v>0.0075</v>
      </c>
      <c r="N587" s="42">
        <v>1</v>
      </c>
      <c r="O587">
        <v>0.75</v>
      </c>
      <c r="P587" s="42">
        <v>0.0075</v>
      </c>
      <c r="Q587">
        <v>0.75</v>
      </c>
      <c r="R587">
        <v>250</v>
      </c>
      <c r="S587">
        <v>250</v>
      </c>
      <c r="T587">
        <v>0</v>
      </c>
      <c r="U587" t="s">
        <v>9819</v>
      </c>
      <c r="W587" t="s">
        <v>9817</v>
      </c>
      <c r="X587" t="s">
        <v>9818</v>
      </c>
      <c r="Y587" t="s">
        <v>9477</v>
      </c>
      <c r="Z587" s="42">
        <v>0.012</v>
      </c>
      <c r="AA587" s="42">
        <v>1</v>
      </c>
      <c r="AB587">
        <v>0</v>
      </c>
    </row>
    <row r="588">
      <c r="A588" t="s">
        <v>9898</v>
      </c>
      <c r="B588" t="s">
        <v>9863</v>
      </c>
      <c r="C588" t="s">
        <v>9863</v>
      </c>
      <c r="D588" t="s">
        <v>9899</v>
      </c>
      <c r="E588" t="s">
        <v>9900</v>
      </c>
      <c r="F588" t="s">
        <v>6966</v>
      </c>
      <c r="G588" t="s">
        <v>9893</v>
      </c>
      <c r="H588" t="s">
        <v>9894</v>
      </c>
      <c r="I588" t="s">
        <v>9860</v>
      </c>
      <c r="J588">
        <v>0</v>
      </c>
      <c r="K588">
        <v>1</v>
      </c>
      <c r="L588" t="s">
        <v>9841</v>
      </c>
      <c r="M588" s="42">
        <v>0.01</v>
      </c>
      <c r="N588" s="42">
        <v>1</v>
      </c>
      <c r="O588">
        <v>1</v>
      </c>
      <c r="P588" s="42">
        <v>0.01</v>
      </c>
      <c r="Q588">
        <v>1</v>
      </c>
      <c r="R588">
        <v>312.5</v>
      </c>
      <c r="S588">
        <v>312.5</v>
      </c>
      <c r="T588">
        <v>0</v>
      </c>
      <c r="U588" t="s">
        <v>9819</v>
      </c>
      <c r="W588" t="s">
        <v>9817</v>
      </c>
      <c r="X588" t="s">
        <v>9818</v>
      </c>
      <c r="Y588" t="s">
        <v>9477</v>
      </c>
      <c r="Z588" s="42">
        <v>0.012</v>
      </c>
      <c r="AA588" s="42">
        <v>1</v>
      </c>
      <c r="AB588">
        <v>0</v>
      </c>
    </row>
    <row r="589">
      <c r="A589" t="s">
        <v>9901</v>
      </c>
      <c r="B589" t="s">
        <v>9863</v>
      </c>
      <c r="C589" t="s">
        <v>9863</v>
      </c>
      <c r="D589" t="s">
        <v>9902</v>
      </c>
      <c r="E589" t="s">
        <v>9903</v>
      </c>
      <c r="F589" t="s">
        <v>6966</v>
      </c>
      <c r="G589" t="s">
        <v>9893</v>
      </c>
      <c r="H589" t="s">
        <v>9894</v>
      </c>
      <c r="I589" t="s">
        <v>9860</v>
      </c>
      <c r="J589">
        <v>0</v>
      </c>
      <c r="K589">
        <v>0.75</v>
      </c>
      <c r="L589" t="s">
        <v>9841</v>
      </c>
      <c r="M589" s="42">
        <v>0.0075</v>
      </c>
      <c r="N589" s="42">
        <v>1</v>
      </c>
      <c r="O589">
        <v>0.75</v>
      </c>
      <c r="P589" s="42">
        <v>0.0075</v>
      </c>
      <c r="Q589">
        <v>0.75</v>
      </c>
      <c r="R589">
        <v>250</v>
      </c>
      <c r="S589">
        <v>250</v>
      </c>
      <c r="T589">
        <v>0</v>
      </c>
      <c r="U589" t="s">
        <v>9819</v>
      </c>
      <c r="W589" t="s">
        <v>9817</v>
      </c>
      <c r="X589" t="s">
        <v>9818</v>
      </c>
      <c r="Y589" t="s">
        <v>9477</v>
      </c>
      <c r="Z589" s="42">
        <v>0.012</v>
      </c>
      <c r="AA589" s="42">
        <v>1</v>
      </c>
      <c r="AB589">
        <v>0</v>
      </c>
    </row>
    <row r="590">
      <c r="A590" t="s">
        <v>9904</v>
      </c>
      <c r="B590" t="s">
        <v>9863</v>
      </c>
      <c r="C590" t="s">
        <v>9863</v>
      </c>
      <c r="D590" t="s">
        <v>9905</v>
      </c>
      <c r="E590" t="s">
        <v>9906</v>
      </c>
      <c r="F590" t="s">
        <v>6966</v>
      </c>
      <c r="G590" t="s">
        <v>9893</v>
      </c>
      <c r="H590" t="s">
        <v>9894</v>
      </c>
      <c r="I590" t="s">
        <v>9860</v>
      </c>
      <c r="J590">
        <v>0</v>
      </c>
      <c r="K590">
        <v>0</v>
      </c>
      <c r="L590" t="s">
        <v>9841</v>
      </c>
      <c r="M590" s="42">
        <v>0</v>
      </c>
      <c r="N590" s="42">
        <v>1</v>
      </c>
      <c r="O590">
        <v>0</v>
      </c>
      <c r="P590" s="42">
        <v>0</v>
      </c>
      <c r="Q590">
        <v>0</v>
      </c>
      <c r="R590">
        <v>0</v>
      </c>
      <c r="S590">
        <v>0</v>
      </c>
      <c r="T590">
        <v>0</v>
      </c>
      <c r="U590" t="s">
        <v>9819</v>
      </c>
      <c r="W590" t="s">
        <v>9817</v>
      </c>
      <c r="X590" t="s">
        <v>9818</v>
      </c>
      <c r="Y590" t="s">
        <v>9477</v>
      </c>
      <c r="Z590" s="42">
        <v>0.012</v>
      </c>
      <c r="AA590" s="42">
        <v>1</v>
      </c>
      <c r="AB590">
        <v>0</v>
      </c>
    </row>
    <row r="591">
      <c r="A591" t="s">
        <v>9907</v>
      </c>
      <c r="B591" t="s">
        <v>9908</v>
      </c>
      <c r="C591" t="s">
        <v>9908</v>
      </c>
      <c r="D591" t="s">
        <v>8213</v>
      </c>
      <c r="E591" t="s">
        <v>9909</v>
      </c>
      <c r="F591" t="s">
        <v>6966</v>
      </c>
      <c r="G591" t="s">
        <v>8738</v>
      </c>
      <c r="H591" t="s">
        <v>8739</v>
      </c>
      <c r="I591" t="s">
        <v>9910</v>
      </c>
      <c r="J591" t="s">
        <v>9021</v>
      </c>
      <c r="K591" t="s">
        <v>9911</v>
      </c>
      <c r="L591" t="s">
        <v>9841</v>
      </c>
      <c r="M591" s="42">
        <v>0.928</v>
      </c>
      <c r="N591" s="42">
        <v>0.5</v>
      </c>
      <c r="O591">
        <v>0.928</v>
      </c>
      <c r="P591" s="42">
        <v>0.76175</v>
      </c>
      <c r="Q591">
        <v>0.76</v>
      </c>
      <c r="R591">
        <v>4000</v>
      </c>
      <c r="S591">
        <v>4000</v>
      </c>
      <c r="T591">
        <v>5000</v>
      </c>
      <c r="U591" t="s">
        <v>9819</v>
      </c>
      <c r="W591" t="s">
        <v>9817</v>
      </c>
      <c r="X591" t="s">
        <v>9818</v>
      </c>
      <c r="Y591" t="s">
        <v>9477</v>
      </c>
      <c r="Z591" s="42">
        <v>0.012</v>
      </c>
      <c r="AA591" s="42">
        <v>1</v>
      </c>
      <c r="AB591">
        <v>0</v>
      </c>
    </row>
    <row r="592">
      <c r="A592" t="s">
        <v>9912</v>
      </c>
      <c r="B592" t="s">
        <v>9908</v>
      </c>
      <c r="C592" t="s">
        <v>9908</v>
      </c>
      <c r="D592" t="s">
        <v>8213</v>
      </c>
      <c r="E592" t="s">
        <v>9913</v>
      </c>
      <c r="F592" t="s">
        <v>6966</v>
      </c>
      <c r="G592" t="s">
        <v>8738</v>
      </c>
      <c r="H592" t="s">
        <v>8739</v>
      </c>
      <c r="I592" t="s">
        <v>9914</v>
      </c>
      <c r="J592" t="s">
        <v>9915</v>
      </c>
      <c r="K592" t="s">
        <v>9916</v>
      </c>
      <c r="L592" t="s">
        <v>9841</v>
      </c>
      <c r="M592" s="42">
        <v>0.951667</v>
      </c>
      <c r="N592" s="42">
        <v>0.5</v>
      </c>
      <c r="O592">
        <v>0.9517</v>
      </c>
      <c r="P592" s="42">
        <v>0.870834</v>
      </c>
      <c r="Q592">
        <v>0.85</v>
      </c>
      <c r="R592">
        <v>8000</v>
      </c>
      <c r="S592">
        <v>8000</v>
      </c>
      <c r="T592">
        <v>5000</v>
      </c>
      <c r="U592" t="s">
        <v>9819</v>
      </c>
      <c r="W592" t="s">
        <v>9817</v>
      </c>
      <c r="X592" t="s">
        <v>9818</v>
      </c>
      <c r="Y592" t="s">
        <v>9477</v>
      </c>
      <c r="Z592" s="42">
        <v>0.012</v>
      </c>
      <c r="AA592" s="42">
        <v>1</v>
      </c>
      <c r="AB592">
        <v>0</v>
      </c>
    </row>
    <row r="593">
      <c r="A593" t="s">
        <v>9917</v>
      </c>
      <c r="B593" t="s">
        <v>9908</v>
      </c>
      <c r="C593" t="s">
        <v>9908</v>
      </c>
      <c r="D593" t="s">
        <v>7000</v>
      </c>
      <c r="E593" t="s">
        <v>9918</v>
      </c>
      <c r="F593" t="s">
        <v>6966</v>
      </c>
      <c r="G593" t="s">
        <v>8738</v>
      </c>
      <c r="H593" t="s">
        <v>8739</v>
      </c>
      <c r="I593" t="s">
        <v>9919</v>
      </c>
      <c r="J593" t="s">
        <v>9291</v>
      </c>
      <c r="K593" t="s">
        <v>9920</v>
      </c>
      <c r="L593" t="s">
        <v>9921</v>
      </c>
      <c r="M593" s="42">
        <v>0.9</v>
      </c>
      <c r="N593" s="42">
        <v>0.5</v>
      </c>
      <c r="O593">
        <v>0.9</v>
      </c>
      <c r="P593" s="42">
        <v>0.77</v>
      </c>
      <c r="Q593">
        <v>0.76</v>
      </c>
      <c r="R593">
        <v>2000</v>
      </c>
      <c r="S593">
        <v>2000</v>
      </c>
      <c r="T593">
        <v>5000</v>
      </c>
      <c r="U593" t="s">
        <v>9819</v>
      </c>
      <c r="W593" t="s">
        <v>9817</v>
      </c>
      <c r="X593" t="s">
        <v>9818</v>
      </c>
      <c r="Y593" t="s">
        <v>9477</v>
      </c>
      <c r="Z593" s="42">
        <v>0.012</v>
      </c>
      <c r="AA593" s="42">
        <v>1</v>
      </c>
      <c r="AB593">
        <v>0</v>
      </c>
    </row>
    <row r="594">
      <c r="A594" t="s">
        <v>9922</v>
      </c>
      <c r="B594" t="s">
        <v>9908</v>
      </c>
      <c r="C594" t="s">
        <v>9908</v>
      </c>
      <c r="D594" t="s">
        <v>7000</v>
      </c>
      <c r="E594" t="s">
        <v>9923</v>
      </c>
      <c r="F594" t="s">
        <v>6966</v>
      </c>
      <c r="G594" t="s">
        <v>8738</v>
      </c>
      <c r="H594" t="s">
        <v>9924</v>
      </c>
      <c r="I594" t="s">
        <v>9925</v>
      </c>
      <c r="L594" t="s">
        <v>9926</v>
      </c>
      <c r="M594" s="42">
        <v>0.925</v>
      </c>
      <c r="N594" s="42">
        <v>0.5</v>
      </c>
      <c r="O594">
        <v>0.925</v>
      </c>
      <c r="P594" s="42">
        <v>0.7877</v>
      </c>
      <c r="Q594">
        <v>0.79</v>
      </c>
      <c r="R594">
        <v>6000</v>
      </c>
      <c r="S594">
        <v>6000</v>
      </c>
      <c r="T594">
        <v>5000</v>
      </c>
      <c r="U594" t="s">
        <v>9819</v>
      </c>
      <c r="W594" t="s">
        <v>9817</v>
      </c>
      <c r="X594" t="s">
        <v>9818</v>
      </c>
      <c r="Y594" t="s">
        <v>9477</v>
      </c>
      <c r="Z594" s="42">
        <v>0.012</v>
      </c>
      <c r="AA594" s="42">
        <v>1</v>
      </c>
      <c r="AB594">
        <v>0</v>
      </c>
    </row>
    <row r="595">
      <c r="A595" t="s">
        <v>9927</v>
      </c>
      <c r="B595" t="s">
        <v>9928</v>
      </c>
      <c r="C595" t="s">
        <v>9928</v>
      </c>
      <c r="D595" t="s">
        <v>8213</v>
      </c>
      <c r="E595" t="s">
        <v>9929</v>
      </c>
      <c r="F595" t="s">
        <v>6966</v>
      </c>
      <c r="G595" t="s">
        <v>8738</v>
      </c>
      <c r="H595" t="s">
        <v>8739</v>
      </c>
      <c r="I595" t="s">
        <v>9930</v>
      </c>
      <c r="J595" t="s">
        <v>9931</v>
      </c>
      <c r="K595" t="s">
        <v>9932</v>
      </c>
      <c r="L595" t="s">
        <v>9926</v>
      </c>
      <c r="M595" s="42">
        <v>0.895</v>
      </c>
      <c r="N595" s="42">
        <v>0.15</v>
      </c>
      <c r="O595">
        <v>0.895</v>
      </c>
      <c r="P595" s="42">
        <v>1.0124</v>
      </c>
      <c r="Q595">
        <v>1</v>
      </c>
      <c r="R595">
        <v>3000</v>
      </c>
      <c r="S595">
        <v>3000</v>
      </c>
      <c r="T595">
        <v>5000</v>
      </c>
      <c r="U595" t="s">
        <v>9819</v>
      </c>
      <c r="W595" t="s">
        <v>9817</v>
      </c>
      <c r="X595" t="s">
        <v>9818</v>
      </c>
      <c r="Y595" t="s">
        <v>9477</v>
      </c>
      <c r="Z595" s="42">
        <v>0.012</v>
      </c>
      <c r="AA595" s="42">
        <v>1</v>
      </c>
      <c r="AB595">
        <v>0</v>
      </c>
    </row>
    <row r="596">
      <c r="A596" t="s">
        <v>9933</v>
      </c>
      <c r="B596" t="s">
        <v>9928</v>
      </c>
      <c r="C596" t="s">
        <v>9928</v>
      </c>
      <c r="D596" t="s">
        <v>8213</v>
      </c>
      <c r="E596" t="s">
        <v>9934</v>
      </c>
      <c r="F596" t="s">
        <v>6966</v>
      </c>
      <c r="G596" t="s">
        <v>8738</v>
      </c>
      <c r="H596" t="s">
        <v>8739</v>
      </c>
      <c r="I596" t="s">
        <v>9935</v>
      </c>
      <c r="J596" t="s">
        <v>9936</v>
      </c>
      <c r="K596" t="s">
        <v>9937</v>
      </c>
      <c r="L596" t="s">
        <v>9926</v>
      </c>
      <c r="M596" s="42">
        <v>0.952</v>
      </c>
      <c r="N596" s="42">
        <v>0.4</v>
      </c>
      <c r="O596">
        <v>0.952</v>
      </c>
      <c r="P596" s="42">
        <v>1.1054</v>
      </c>
      <c r="Q596">
        <v>0.92</v>
      </c>
      <c r="R596">
        <v>4604</v>
      </c>
      <c r="S596">
        <v>4604</v>
      </c>
      <c r="T596">
        <v>5000</v>
      </c>
      <c r="U596" t="s">
        <v>9819</v>
      </c>
      <c r="W596" t="s">
        <v>9817</v>
      </c>
      <c r="X596" t="s">
        <v>9818</v>
      </c>
      <c r="Y596" t="s">
        <v>9477</v>
      </c>
      <c r="Z596" s="42">
        <v>0.012</v>
      </c>
      <c r="AA596" s="42">
        <v>1</v>
      </c>
      <c r="AB596">
        <v>0</v>
      </c>
    </row>
    <row r="597">
      <c r="A597" t="s">
        <v>9938</v>
      </c>
      <c r="B597" t="s">
        <v>9928</v>
      </c>
      <c r="C597" t="s">
        <v>9928</v>
      </c>
      <c r="D597" t="s">
        <v>7000</v>
      </c>
      <c r="E597" t="s">
        <v>9939</v>
      </c>
      <c r="F597" t="s">
        <v>6966</v>
      </c>
      <c r="G597" t="s">
        <v>8738</v>
      </c>
      <c r="H597" t="s">
        <v>8739</v>
      </c>
      <c r="I597" t="s">
        <v>9930</v>
      </c>
      <c r="J597" t="s">
        <v>9931</v>
      </c>
      <c r="K597" t="s">
        <v>9932</v>
      </c>
      <c r="L597" t="s">
        <v>9926</v>
      </c>
      <c r="M597" s="42">
        <v>0.895</v>
      </c>
      <c r="N597" s="42">
        <v>0.15</v>
      </c>
      <c r="O597">
        <v>0.895</v>
      </c>
      <c r="P597" s="42">
        <v>1.0436</v>
      </c>
      <c r="Q597">
        <v>1</v>
      </c>
      <c r="R597">
        <v>5000</v>
      </c>
      <c r="S597">
        <v>5000</v>
      </c>
      <c r="T597">
        <v>5000</v>
      </c>
      <c r="U597" t="s">
        <v>9819</v>
      </c>
      <c r="W597" t="s">
        <v>9817</v>
      </c>
      <c r="X597" t="s">
        <v>9818</v>
      </c>
      <c r="Y597" t="s">
        <v>9477</v>
      </c>
      <c r="Z597" s="42">
        <v>0.012</v>
      </c>
      <c r="AA597" s="42">
        <v>1</v>
      </c>
      <c r="AB597">
        <v>0</v>
      </c>
    </row>
    <row r="598">
      <c r="A598" t="s">
        <v>9940</v>
      </c>
      <c r="B598" t="s">
        <v>9928</v>
      </c>
      <c r="C598" t="s">
        <v>9928</v>
      </c>
      <c r="D598" t="s">
        <v>8213</v>
      </c>
      <c r="E598" t="s">
        <v>9941</v>
      </c>
      <c r="F598" t="s">
        <v>6966</v>
      </c>
      <c r="G598" t="s">
        <v>8738</v>
      </c>
      <c r="H598" t="s">
        <v>8739</v>
      </c>
      <c r="I598" t="s">
        <v>9942</v>
      </c>
      <c r="J598" t="s">
        <v>9943</v>
      </c>
      <c r="K598" t="s">
        <v>9944</v>
      </c>
      <c r="L598" t="s">
        <v>9926</v>
      </c>
      <c r="M598" s="42">
        <v>0.832</v>
      </c>
      <c r="N598" s="42">
        <v>0.15</v>
      </c>
      <c r="O598">
        <v>0.832</v>
      </c>
      <c r="P598" s="42">
        <v>1.8932</v>
      </c>
      <c r="Q598">
        <v>1.14</v>
      </c>
      <c r="R598">
        <v>7000</v>
      </c>
      <c r="S598">
        <v>7000</v>
      </c>
      <c r="T598">
        <v>5000</v>
      </c>
      <c r="U598" t="s">
        <v>9819</v>
      </c>
      <c r="W598" t="s">
        <v>9817</v>
      </c>
      <c r="X598" t="s">
        <v>9818</v>
      </c>
      <c r="Y598" t="s">
        <v>9477</v>
      </c>
      <c r="Z598" s="42">
        <v>0.012</v>
      </c>
      <c r="AA598" s="42">
        <v>1</v>
      </c>
      <c r="AB598">
        <v>0</v>
      </c>
    </row>
    <row r="599">
      <c r="A599" t="s">
        <v>9945</v>
      </c>
      <c r="B599" t="s">
        <v>9928</v>
      </c>
      <c r="C599" t="s">
        <v>9928</v>
      </c>
      <c r="D599" t="s">
        <v>8213</v>
      </c>
      <c r="E599" t="s">
        <v>9946</v>
      </c>
      <c r="F599" t="s">
        <v>6966</v>
      </c>
      <c r="G599" t="s">
        <v>8738</v>
      </c>
      <c r="H599" t="s">
        <v>8739</v>
      </c>
      <c r="I599" t="s">
        <v>9947</v>
      </c>
      <c r="J599" t="s">
        <v>9948</v>
      </c>
      <c r="K599" t="s">
        <v>9949</v>
      </c>
      <c r="L599" t="s">
        <v>9926</v>
      </c>
      <c r="M599" s="42">
        <v>0.986</v>
      </c>
      <c r="N599" s="42">
        <v>0.3</v>
      </c>
      <c r="O599">
        <v>0.986</v>
      </c>
      <c r="P599" s="42">
        <v>1.17765</v>
      </c>
      <c r="Q599">
        <v>1.05</v>
      </c>
      <c r="R599">
        <v>0</v>
      </c>
      <c r="S599">
        <v>0</v>
      </c>
      <c r="T599">
        <v>5000</v>
      </c>
      <c r="U599" t="s">
        <v>9819</v>
      </c>
      <c r="W599" t="s">
        <v>9817</v>
      </c>
      <c r="X599" t="s">
        <v>9818</v>
      </c>
      <c r="Y599" t="s">
        <v>9477</v>
      </c>
      <c r="Z599" s="42">
        <v>0.012</v>
      </c>
      <c r="AA599" s="42">
        <v>1</v>
      </c>
      <c r="AB599">
        <v>0</v>
      </c>
    </row>
    <row r="600">
      <c r="A600" t="s">
        <v>9950</v>
      </c>
      <c r="B600" t="s">
        <v>9928</v>
      </c>
      <c r="C600" t="s">
        <v>9928</v>
      </c>
      <c r="D600" t="s">
        <v>8213</v>
      </c>
      <c r="E600" t="s">
        <v>9951</v>
      </c>
      <c r="F600" t="s">
        <v>6966</v>
      </c>
      <c r="G600" t="s">
        <v>8738</v>
      </c>
      <c r="H600" t="s">
        <v>8739</v>
      </c>
      <c r="I600" t="s">
        <v>9952</v>
      </c>
      <c r="J600" t="s">
        <v>9953</v>
      </c>
      <c r="K600" t="s">
        <v>9954</v>
      </c>
      <c r="L600" t="s">
        <v>9926</v>
      </c>
      <c r="M600" s="42">
        <v>0.902</v>
      </c>
      <c r="N600" s="42">
        <v>0.5</v>
      </c>
      <c r="O600">
        <v>0.902</v>
      </c>
      <c r="P600" s="42">
        <v>0.851</v>
      </c>
      <c r="Q600">
        <v>0.85</v>
      </c>
      <c r="R600">
        <v>0</v>
      </c>
      <c r="S600">
        <v>0</v>
      </c>
      <c r="T600">
        <v>5000</v>
      </c>
      <c r="U600" t="s">
        <v>9819</v>
      </c>
      <c r="W600" t="s">
        <v>9817</v>
      </c>
      <c r="X600" t="s">
        <v>9818</v>
      </c>
      <c r="Y600" t="s">
        <v>9477</v>
      </c>
      <c r="Z600" s="42">
        <v>0.012</v>
      </c>
      <c r="AA600" s="42">
        <v>1</v>
      </c>
      <c r="AB600">
        <v>0</v>
      </c>
    </row>
    <row r="601">
      <c r="A601" t="s">
        <v>9955</v>
      </c>
      <c r="B601" t="s">
        <v>7186</v>
      </c>
      <c r="C601" t="s">
        <v>7186</v>
      </c>
      <c r="D601" t="s">
        <v>9956</v>
      </c>
      <c r="E601" t="s">
        <v>9957</v>
      </c>
      <c r="F601" t="s">
        <v>6966</v>
      </c>
      <c r="G601" t="s">
        <v>9956</v>
      </c>
      <c r="H601" t="s">
        <v>9958</v>
      </c>
      <c r="I601" t="s">
        <v>9959</v>
      </c>
      <c r="J601" s="43">
        <v>1</v>
      </c>
      <c r="K601" s="43">
        <v>1</v>
      </c>
      <c r="L601" t="s">
        <v>9926</v>
      </c>
      <c r="M601" s="42">
        <v>1.1</v>
      </c>
      <c r="N601" s="42">
        <v>0.7</v>
      </c>
      <c r="O601">
        <v>0.77</v>
      </c>
      <c r="P601" s="42">
        <v>0.815</v>
      </c>
      <c r="Q601">
        <v>1.07</v>
      </c>
      <c r="R601">
        <v>1200</v>
      </c>
      <c r="S601">
        <v>1200</v>
      </c>
      <c r="T601">
        <v>1200</v>
      </c>
      <c r="U601" t="s">
        <v>9819</v>
      </c>
      <c r="W601" t="s">
        <v>9817</v>
      </c>
      <c r="X601" t="s">
        <v>9818</v>
      </c>
      <c r="Y601" t="s">
        <v>9477</v>
      </c>
      <c r="Z601" s="42">
        <v>0.012</v>
      </c>
      <c r="AA601" s="42">
        <v>1</v>
      </c>
      <c r="AB601">
        <v>0</v>
      </c>
    </row>
    <row r="602">
      <c r="A602" t="s">
        <v>9960</v>
      </c>
      <c r="B602" t="s">
        <v>9928</v>
      </c>
      <c r="C602" t="s">
        <v>9928</v>
      </c>
      <c r="D602" t="s">
        <v>9961</v>
      </c>
      <c r="E602" t="s">
        <v>9962</v>
      </c>
      <c r="F602" t="s">
        <v>6966</v>
      </c>
      <c r="G602" t="s">
        <v>9963</v>
      </c>
      <c r="H602" t="s">
        <v>9964</v>
      </c>
      <c r="I602" t="s">
        <v>9965</v>
      </c>
      <c r="J602" t="s">
        <v>9966</v>
      </c>
      <c r="K602">
        <v>100337.52</v>
      </c>
      <c r="L602" t="s">
        <v>9926</v>
      </c>
      <c r="M602" s="42">
        <v>0.94658</v>
      </c>
      <c r="N602" s="42">
        <v>0.3</v>
      </c>
      <c r="O602">
        <v>0.9466</v>
      </c>
      <c r="P602" s="42">
        <v>1.212424</v>
      </c>
      <c r="Q602">
        <v>1.21</v>
      </c>
      <c r="R602">
        <v>4000</v>
      </c>
      <c r="S602">
        <v>4000</v>
      </c>
      <c r="T602">
        <v>3000</v>
      </c>
      <c r="U602" t="s">
        <v>9819</v>
      </c>
      <c r="W602" t="s">
        <v>9817</v>
      </c>
      <c r="X602" t="s">
        <v>9818</v>
      </c>
      <c r="Y602" t="s">
        <v>9477</v>
      </c>
      <c r="Z602" s="42">
        <v>0.012</v>
      </c>
      <c r="AA602" s="42">
        <v>1</v>
      </c>
      <c r="AB602">
        <v>0</v>
      </c>
    </row>
    <row r="603">
      <c r="A603" t="s">
        <v>9967</v>
      </c>
      <c r="B603" t="s">
        <v>9928</v>
      </c>
      <c r="C603" t="s">
        <v>9928</v>
      </c>
      <c r="D603" t="s">
        <v>9961</v>
      </c>
      <c r="E603" t="s">
        <v>9968</v>
      </c>
      <c r="F603" t="s">
        <v>6966</v>
      </c>
      <c r="G603" t="s">
        <v>9963</v>
      </c>
      <c r="H603" t="s">
        <v>9964</v>
      </c>
      <c r="I603" t="s">
        <v>9965</v>
      </c>
      <c r="J603" t="s">
        <v>9966</v>
      </c>
      <c r="K603">
        <v>99659.86</v>
      </c>
      <c r="L603" t="s">
        <v>9926</v>
      </c>
      <c r="M603" s="42">
        <v>0.940187</v>
      </c>
      <c r="N603" s="42">
        <v>0.3</v>
      </c>
      <c r="O603">
        <v>0.9402</v>
      </c>
      <c r="P603" s="42">
        <v>1.060506</v>
      </c>
      <c r="Q603">
        <v>1.06</v>
      </c>
      <c r="R603">
        <v>2000</v>
      </c>
      <c r="S603">
        <v>2000</v>
      </c>
      <c r="T603">
        <v>3000</v>
      </c>
      <c r="U603" t="s">
        <v>9819</v>
      </c>
      <c r="W603" t="s">
        <v>9817</v>
      </c>
      <c r="X603" t="s">
        <v>9818</v>
      </c>
      <c r="Y603" t="s">
        <v>9477</v>
      </c>
      <c r="Z603" s="42">
        <v>0.012</v>
      </c>
      <c r="AA603" s="42">
        <v>1</v>
      </c>
      <c r="AB603">
        <v>0</v>
      </c>
    </row>
    <row r="604">
      <c r="A604" t="s">
        <v>9969</v>
      </c>
      <c r="B604" t="s">
        <v>7678</v>
      </c>
      <c r="C604" t="s">
        <v>7678</v>
      </c>
      <c r="D604" t="s">
        <v>7706</v>
      </c>
      <c r="E604" t="s">
        <v>9970</v>
      </c>
      <c r="F604" t="s">
        <v>6966</v>
      </c>
      <c r="G604" t="s">
        <v>9971</v>
      </c>
      <c r="H604" t="s">
        <v>7680</v>
      </c>
      <c r="I604" t="s">
        <v>9972</v>
      </c>
      <c r="J604" t="s">
        <v>7548</v>
      </c>
      <c r="K604" t="s">
        <v>7548</v>
      </c>
      <c r="L604" t="s">
        <v>9926</v>
      </c>
      <c r="M604" s="42">
        <v>1</v>
      </c>
      <c r="N604" s="42">
        <v>0.05</v>
      </c>
      <c r="O604">
        <v>1</v>
      </c>
      <c r="P604" s="42">
        <v>0.8985</v>
      </c>
      <c r="Q604">
        <v>0.82</v>
      </c>
      <c r="R604">
        <v>6720</v>
      </c>
      <c r="S604">
        <v>3360</v>
      </c>
      <c r="T604">
        <v>5000</v>
      </c>
      <c r="U604" t="s">
        <v>9819</v>
      </c>
      <c r="W604" t="s">
        <v>9817</v>
      </c>
      <c r="X604" t="s">
        <v>9818</v>
      </c>
      <c r="Y604" t="s">
        <v>9477</v>
      </c>
      <c r="Z604" s="42">
        <v>0.012</v>
      </c>
      <c r="AA604" s="42">
        <v>1</v>
      </c>
      <c r="AB604">
        <v>0</v>
      </c>
    </row>
    <row r="605">
      <c r="A605" t="s">
        <v>9973</v>
      </c>
      <c r="B605" t="s">
        <v>7678</v>
      </c>
      <c r="C605" t="s">
        <v>7678</v>
      </c>
      <c r="D605" t="s">
        <v>7706</v>
      </c>
      <c r="E605" t="s">
        <v>9974</v>
      </c>
      <c r="F605" t="s">
        <v>6966</v>
      </c>
      <c r="G605" t="s">
        <v>9971</v>
      </c>
      <c r="H605" t="s">
        <v>7645</v>
      </c>
      <c r="I605" t="s">
        <v>9975</v>
      </c>
      <c r="J605" t="s">
        <v>9976</v>
      </c>
      <c r="K605" t="s">
        <v>9402</v>
      </c>
      <c r="L605" t="s">
        <v>9977</v>
      </c>
      <c r="M605" s="42">
        <v>0</v>
      </c>
      <c r="N605" s="42">
        <v>0.25</v>
      </c>
      <c r="O605">
        <v>0</v>
      </c>
      <c r="P605" s="42">
        <v>0.5465</v>
      </c>
      <c r="Q605">
        <v>0.53</v>
      </c>
      <c r="R605">
        <v>1680</v>
      </c>
      <c r="S605">
        <v>1680</v>
      </c>
      <c r="T605">
        <v>5000</v>
      </c>
      <c r="U605" t="s">
        <v>9819</v>
      </c>
      <c r="W605" t="s">
        <v>9817</v>
      </c>
      <c r="X605" t="s">
        <v>9818</v>
      </c>
      <c r="Y605" t="s">
        <v>9477</v>
      </c>
      <c r="Z605" s="42">
        <v>0.012</v>
      </c>
      <c r="AA605" s="42">
        <v>1</v>
      </c>
      <c r="AB605">
        <v>0</v>
      </c>
    </row>
    <row r="606">
      <c r="A606" t="s">
        <v>9978</v>
      </c>
      <c r="B606" t="s">
        <v>7678</v>
      </c>
      <c r="C606" t="s">
        <v>7678</v>
      </c>
      <c r="D606" t="s">
        <v>7706</v>
      </c>
      <c r="E606" t="s">
        <v>9979</v>
      </c>
      <c r="F606" t="s">
        <v>6966</v>
      </c>
      <c r="G606" t="s">
        <v>9971</v>
      </c>
      <c r="H606" t="s">
        <v>7708</v>
      </c>
      <c r="I606" t="s">
        <v>9980</v>
      </c>
      <c r="J606" t="s">
        <v>9981</v>
      </c>
      <c r="K606" t="s">
        <v>9982</v>
      </c>
      <c r="L606" t="s">
        <v>9977</v>
      </c>
      <c r="M606" s="42">
        <v>0.2</v>
      </c>
      <c r="N606" s="42">
        <v>0.05</v>
      </c>
      <c r="O606">
        <v>0.16</v>
      </c>
      <c r="P606" s="42">
        <v>0.7675</v>
      </c>
      <c r="Q606">
        <v>0.73</v>
      </c>
      <c r="R606">
        <v>0</v>
      </c>
      <c r="S606">
        <v>0</v>
      </c>
      <c r="T606">
        <v>4000</v>
      </c>
      <c r="U606" t="s">
        <v>9819</v>
      </c>
      <c r="W606" t="s">
        <v>9817</v>
      </c>
      <c r="X606" t="s">
        <v>9818</v>
      </c>
      <c r="Y606" t="s">
        <v>9477</v>
      </c>
      <c r="Z606" s="42">
        <v>0.012</v>
      </c>
      <c r="AA606" s="42">
        <v>1</v>
      </c>
      <c r="AB606">
        <v>0</v>
      </c>
    </row>
    <row r="607">
      <c r="A607" t="s">
        <v>9983</v>
      </c>
      <c r="B607" t="s">
        <v>9588</v>
      </c>
      <c r="C607" t="s">
        <v>9588</v>
      </c>
      <c r="D607" t="s">
        <v>7139</v>
      </c>
      <c r="E607" t="s">
        <v>9984</v>
      </c>
      <c r="F607" t="s">
        <v>6966</v>
      </c>
      <c r="G607" t="s">
        <v>9985</v>
      </c>
      <c r="H607" t="s">
        <v>7265</v>
      </c>
      <c r="I607" t="s">
        <v>9986</v>
      </c>
      <c r="J607" t="s">
        <v>9987</v>
      </c>
      <c r="L607" t="s">
        <v>9988</v>
      </c>
      <c r="M607" s="42">
        <v>1.15</v>
      </c>
      <c r="N607" s="42">
        <v>0.3</v>
      </c>
      <c r="O607">
        <v>1.15</v>
      </c>
      <c r="P607" s="42">
        <v>0.95</v>
      </c>
      <c r="Q607">
        <v>0.95</v>
      </c>
      <c r="R607">
        <v>1970</v>
      </c>
      <c r="S607">
        <v>1970</v>
      </c>
      <c r="T607">
        <v>2000</v>
      </c>
      <c r="U607" t="s">
        <v>9819</v>
      </c>
      <c r="W607" t="s">
        <v>9817</v>
      </c>
      <c r="X607" t="s">
        <v>9818</v>
      </c>
      <c r="Y607" t="s">
        <v>9477</v>
      </c>
      <c r="Z607" s="42">
        <v>0.012</v>
      </c>
      <c r="AA607" s="42">
        <v>1</v>
      </c>
      <c r="AB607">
        <v>0</v>
      </c>
    </row>
    <row r="608">
      <c r="A608" t="s">
        <v>9989</v>
      </c>
      <c r="B608" t="s">
        <v>9588</v>
      </c>
      <c r="C608" t="s">
        <v>9588</v>
      </c>
      <c r="D608" t="s">
        <v>9827</v>
      </c>
      <c r="E608" t="s">
        <v>9990</v>
      </c>
      <c r="F608" t="s">
        <v>6966</v>
      </c>
      <c r="G608" t="s">
        <v>9985</v>
      </c>
      <c r="H608" t="s">
        <v>9991</v>
      </c>
      <c r="I608" t="s">
        <v>9986</v>
      </c>
      <c r="J608" t="s">
        <v>9987</v>
      </c>
      <c r="L608" t="s">
        <v>9988</v>
      </c>
      <c r="M608" s="42">
        <v>1.15</v>
      </c>
      <c r="N608" s="42">
        <v>0.3</v>
      </c>
      <c r="O608">
        <v>1.15</v>
      </c>
      <c r="P608" s="42">
        <v>0.96</v>
      </c>
      <c r="Q608">
        <v>0.96</v>
      </c>
      <c r="R608">
        <v>2925</v>
      </c>
      <c r="S608">
        <v>2925</v>
      </c>
      <c r="T608">
        <v>2700</v>
      </c>
      <c r="U608" t="s">
        <v>9819</v>
      </c>
      <c r="W608" t="s">
        <v>9817</v>
      </c>
      <c r="X608" t="s">
        <v>9818</v>
      </c>
      <c r="Y608" t="s">
        <v>9477</v>
      </c>
      <c r="Z608" s="42">
        <v>0.012</v>
      </c>
      <c r="AA608" s="42">
        <v>1</v>
      </c>
      <c r="AB608">
        <v>0</v>
      </c>
    </row>
    <row r="609">
      <c r="A609" t="s">
        <v>9992</v>
      </c>
      <c r="B609" t="s">
        <v>9588</v>
      </c>
      <c r="C609" t="s">
        <v>9588</v>
      </c>
      <c r="D609" t="s">
        <v>8672</v>
      </c>
      <c r="E609" t="s">
        <v>9993</v>
      </c>
      <c r="F609" t="s">
        <v>6966</v>
      </c>
      <c r="G609" t="s">
        <v>9985</v>
      </c>
      <c r="H609" t="s">
        <v>9991</v>
      </c>
      <c r="I609" t="s">
        <v>9986</v>
      </c>
      <c r="J609" t="s">
        <v>9987</v>
      </c>
      <c r="L609" t="s">
        <v>9988</v>
      </c>
      <c r="M609" s="42">
        <v>1.15</v>
      </c>
      <c r="N609" s="42">
        <v>0.3</v>
      </c>
      <c r="O609">
        <v>1.15</v>
      </c>
      <c r="P609" s="42">
        <v>0.94</v>
      </c>
      <c r="Q609">
        <v>0.94</v>
      </c>
      <c r="R609">
        <v>3015</v>
      </c>
      <c r="S609">
        <v>3015</v>
      </c>
      <c r="T609">
        <v>3400</v>
      </c>
      <c r="U609" t="s">
        <v>9819</v>
      </c>
      <c r="W609" t="s">
        <v>9817</v>
      </c>
      <c r="X609" t="s">
        <v>9818</v>
      </c>
      <c r="Y609" t="s">
        <v>9477</v>
      </c>
      <c r="Z609" s="42">
        <v>0.012</v>
      </c>
      <c r="AA609" s="42">
        <v>1</v>
      </c>
      <c r="AB609">
        <v>0</v>
      </c>
    </row>
    <row r="610">
      <c r="A610" t="s">
        <v>9994</v>
      </c>
      <c r="B610" t="s">
        <v>9588</v>
      </c>
      <c r="C610" t="s">
        <v>9588</v>
      </c>
      <c r="D610" t="s">
        <v>7117</v>
      </c>
      <c r="E610" t="s">
        <v>9995</v>
      </c>
      <c r="F610" t="s">
        <v>6966</v>
      </c>
      <c r="G610" t="s">
        <v>9985</v>
      </c>
      <c r="H610" t="s">
        <v>9991</v>
      </c>
      <c r="I610" t="s">
        <v>9986</v>
      </c>
      <c r="J610" t="s">
        <v>9987</v>
      </c>
      <c r="L610" t="s">
        <v>9988</v>
      </c>
      <c r="M610" s="42">
        <v>1.15</v>
      </c>
      <c r="N610" s="42">
        <v>0.3</v>
      </c>
      <c r="O610">
        <v>1.15</v>
      </c>
      <c r="P610" s="42">
        <v>0.935</v>
      </c>
      <c r="Q610">
        <v>0.94</v>
      </c>
      <c r="R610">
        <v>2680</v>
      </c>
      <c r="S610">
        <v>2680</v>
      </c>
      <c r="T610">
        <v>3400</v>
      </c>
      <c r="U610" t="s">
        <v>9819</v>
      </c>
      <c r="W610" t="s">
        <v>9817</v>
      </c>
      <c r="X610" t="s">
        <v>9818</v>
      </c>
      <c r="Y610" t="s">
        <v>9477</v>
      </c>
      <c r="Z610" s="42">
        <v>0.012</v>
      </c>
      <c r="AA610" s="42">
        <v>1</v>
      </c>
      <c r="AB610">
        <v>0</v>
      </c>
    </row>
    <row r="611">
      <c r="A611" t="s">
        <v>9996</v>
      </c>
      <c r="B611" t="s">
        <v>9588</v>
      </c>
      <c r="C611" t="s">
        <v>9588</v>
      </c>
      <c r="D611" t="s">
        <v>7139</v>
      </c>
      <c r="E611" t="s">
        <v>9997</v>
      </c>
      <c r="F611" t="s">
        <v>6966</v>
      </c>
      <c r="G611" t="s">
        <v>9985</v>
      </c>
      <c r="H611" t="s">
        <v>7265</v>
      </c>
      <c r="I611" t="s">
        <v>9998</v>
      </c>
      <c r="J611">
        <v>1</v>
      </c>
      <c r="L611" t="s">
        <v>9999</v>
      </c>
      <c r="M611" s="42">
        <v>0.95</v>
      </c>
      <c r="N611" s="42">
        <v>0.5</v>
      </c>
      <c r="O611">
        <v>0.95</v>
      </c>
      <c r="P611" s="42">
        <v>1.01</v>
      </c>
      <c r="Q611">
        <v>1.01</v>
      </c>
      <c r="R611">
        <v>5910</v>
      </c>
      <c r="S611">
        <v>5910</v>
      </c>
      <c r="T611">
        <v>5000</v>
      </c>
      <c r="U611" t="s">
        <v>9819</v>
      </c>
      <c r="W611" t="s">
        <v>9817</v>
      </c>
      <c r="X611" t="s">
        <v>9818</v>
      </c>
      <c r="Y611" t="s">
        <v>9477</v>
      </c>
      <c r="Z611" s="42">
        <v>0.012</v>
      </c>
      <c r="AA611" s="42">
        <v>1</v>
      </c>
      <c r="AB611">
        <v>0</v>
      </c>
    </row>
    <row r="612">
      <c r="A612" t="s">
        <v>10000</v>
      </c>
      <c r="B612" t="s">
        <v>9588</v>
      </c>
      <c r="C612" t="s">
        <v>9588</v>
      </c>
      <c r="D612" t="s">
        <v>7139</v>
      </c>
      <c r="E612" t="s">
        <v>10001</v>
      </c>
      <c r="F612" t="s">
        <v>6966</v>
      </c>
      <c r="G612" t="s">
        <v>9985</v>
      </c>
      <c r="H612" t="s">
        <v>9991</v>
      </c>
      <c r="I612" t="s">
        <v>9986</v>
      </c>
      <c r="J612" t="s">
        <v>9987</v>
      </c>
      <c r="L612" t="s">
        <v>9988</v>
      </c>
      <c r="M612" s="42">
        <v>1.15</v>
      </c>
      <c r="N612" s="42">
        <v>0.3</v>
      </c>
      <c r="O612">
        <v>1.15</v>
      </c>
      <c r="P612" s="42">
        <v>0.985</v>
      </c>
      <c r="Q612">
        <v>0.99</v>
      </c>
      <c r="R612">
        <v>0</v>
      </c>
      <c r="S612">
        <v>0</v>
      </c>
      <c r="T612">
        <v>5000</v>
      </c>
      <c r="U612" t="s">
        <v>9819</v>
      </c>
      <c r="W612" t="s">
        <v>9817</v>
      </c>
      <c r="X612" t="s">
        <v>9818</v>
      </c>
      <c r="Y612" t="s">
        <v>9477</v>
      </c>
      <c r="Z612" s="42">
        <v>0.012</v>
      </c>
      <c r="AA612" s="42">
        <v>1</v>
      </c>
      <c r="AB612">
        <v>0</v>
      </c>
    </row>
    <row r="613">
      <c r="A613" t="s">
        <v>10002</v>
      </c>
      <c r="B613" t="s">
        <v>9588</v>
      </c>
      <c r="C613" t="s">
        <v>9588</v>
      </c>
      <c r="D613" t="s">
        <v>7000</v>
      </c>
      <c r="E613" t="s">
        <v>10003</v>
      </c>
      <c r="F613" t="s">
        <v>6966</v>
      </c>
      <c r="G613" t="s">
        <v>9985</v>
      </c>
      <c r="H613" t="s">
        <v>9991</v>
      </c>
      <c r="I613" t="s">
        <v>9986</v>
      </c>
      <c r="J613" t="s">
        <v>9987</v>
      </c>
      <c r="L613" t="s">
        <v>9988</v>
      </c>
      <c r="M613" s="42">
        <v>1.15</v>
      </c>
      <c r="N613" s="42">
        <v>0.3</v>
      </c>
      <c r="O613">
        <v>1.15</v>
      </c>
      <c r="P613" s="42">
        <v>0.945</v>
      </c>
      <c r="Q613">
        <v>0.95</v>
      </c>
      <c r="R613">
        <v>0</v>
      </c>
      <c r="S613">
        <v>0</v>
      </c>
      <c r="T613">
        <v>5000</v>
      </c>
      <c r="U613" t="s">
        <v>9819</v>
      </c>
      <c r="W613" t="s">
        <v>9817</v>
      </c>
      <c r="X613" t="s">
        <v>9818</v>
      </c>
      <c r="Y613" t="s">
        <v>9477</v>
      </c>
      <c r="Z613" s="42">
        <v>0.012</v>
      </c>
      <c r="AA613" s="42">
        <v>1</v>
      </c>
      <c r="AB613">
        <v>0</v>
      </c>
    </row>
    <row r="614">
      <c r="A614" t="s">
        <v>10004</v>
      </c>
      <c r="B614" t="s">
        <v>10005</v>
      </c>
      <c r="C614" t="s">
        <v>10005</v>
      </c>
      <c r="D614" t="s">
        <v>7000</v>
      </c>
      <c r="E614" t="s">
        <v>10006</v>
      </c>
      <c r="F614" t="s">
        <v>6966</v>
      </c>
      <c r="G614" t="s">
        <v>8738</v>
      </c>
      <c r="H614" t="s">
        <v>10007</v>
      </c>
      <c r="I614" t="s">
        <v>10008</v>
      </c>
      <c r="J614" t="s">
        <v>10009</v>
      </c>
      <c r="K614" t="s">
        <v>10010</v>
      </c>
      <c r="L614" t="s">
        <v>10011</v>
      </c>
      <c r="M614" s="42">
        <v>0.426</v>
      </c>
      <c r="N614" s="42">
        <v>0.5</v>
      </c>
      <c r="O614">
        <v>0.511</v>
      </c>
      <c r="P614" s="42">
        <v>0.9145</v>
      </c>
      <c r="Q614">
        <v>0.78</v>
      </c>
      <c r="R614">
        <v>3889</v>
      </c>
      <c r="S614">
        <v>3889</v>
      </c>
      <c r="T614">
        <v>5000</v>
      </c>
      <c r="U614" t="s">
        <v>9819</v>
      </c>
      <c r="W614" t="s">
        <v>9817</v>
      </c>
      <c r="X614" t="s">
        <v>9818</v>
      </c>
      <c r="Y614" t="s">
        <v>9477</v>
      </c>
      <c r="Z614" s="42">
        <v>0.012</v>
      </c>
      <c r="AA614" s="42">
        <v>1</v>
      </c>
      <c r="AB614">
        <v>0</v>
      </c>
    </row>
    <row r="615">
      <c r="A615" t="s">
        <v>10012</v>
      </c>
      <c r="B615" t="s">
        <v>10005</v>
      </c>
      <c r="C615" t="s">
        <v>10005</v>
      </c>
      <c r="D615" t="s">
        <v>7000</v>
      </c>
      <c r="E615" t="s">
        <v>10013</v>
      </c>
      <c r="F615" t="s">
        <v>6966</v>
      </c>
      <c r="G615" t="s">
        <v>8738</v>
      </c>
      <c r="H615" t="s">
        <v>10007</v>
      </c>
      <c r="I615" t="s">
        <v>10014</v>
      </c>
      <c r="J615" t="s">
        <v>10015</v>
      </c>
      <c r="K615" t="s">
        <v>10016</v>
      </c>
      <c r="L615" t="s">
        <v>10011</v>
      </c>
      <c r="M615" s="42">
        <v>0.91</v>
      </c>
      <c r="N615" s="42">
        <v>0.4</v>
      </c>
      <c r="O615">
        <v>1.092</v>
      </c>
      <c r="P615" s="42">
        <v>0.9004</v>
      </c>
      <c r="Q615">
        <v>0.9</v>
      </c>
      <c r="R615">
        <v>0</v>
      </c>
      <c r="S615">
        <v>0</v>
      </c>
      <c r="T615">
        <v>5000</v>
      </c>
      <c r="U615" t="s">
        <v>9819</v>
      </c>
      <c r="W615" t="s">
        <v>9817</v>
      </c>
      <c r="X615" t="s">
        <v>9818</v>
      </c>
      <c r="Y615" t="s">
        <v>9477</v>
      </c>
      <c r="Z615" s="42">
        <v>0.012</v>
      </c>
      <c r="AA615" s="42">
        <v>1</v>
      </c>
      <c r="AB615">
        <v>0</v>
      </c>
    </row>
    <row r="616">
      <c r="A616" t="s">
        <v>10017</v>
      </c>
      <c r="B616" t="s">
        <v>10005</v>
      </c>
      <c r="C616" t="s">
        <v>10005</v>
      </c>
      <c r="D616" t="s">
        <v>8213</v>
      </c>
      <c r="E616" t="s">
        <v>10018</v>
      </c>
      <c r="F616" t="s">
        <v>6966</v>
      </c>
      <c r="G616" t="s">
        <v>8738</v>
      </c>
      <c r="H616" t="s">
        <v>10007</v>
      </c>
      <c r="I616" t="s">
        <v>10019</v>
      </c>
      <c r="J616" t="s">
        <v>10020</v>
      </c>
      <c r="K616" t="s">
        <v>10021</v>
      </c>
      <c r="L616" t="s">
        <v>10011</v>
      </c>
      <c r="M616" s="42">
        <v>0.904</v>
      </c>
      <c r="N616" s="42">
        <v>0.5</v>
      </c>
      <c r="O616">
        <v>0.904</v>
      </c>
      <c r="P616" s="42">
        <v>0.89675</v>
      </c>
      <c r="Q616">
        <v>0.9</v>
      </c>
      <c r="R616">
        <v>0</v>
      </c>
      <c r="S616">
        <v>0</v>
      </c>
      <c r="T616">
        <v>5000</v>
      </c>
      <c r="U616" t="s">
        <v>9819</v>
      </c>
      <c r="W616" t="s">
        <v>9817</v>
      </c>
      <c r="X616" t="s">
        <v>9818</v>
      </c>
      <c r="Y616" t="s">
        <v>9477</v>
      </c>
      <c r="Z616" s="42">
        <v>0.012</v>
      </c>
      <c r="AA616" s="42">
        <v>1</v>
      </c>
      <c r="AB616">
        <v>0</v>
      </c>
    </row>
    <row r="617">
      <c r="A617" t="s">
        <v>10022</v>
      </c>
      <c r="B617" t="s">
        <v>10005</v>
      </c>
      <c r="C617" t="s">
        <v>10005</v>
      </c>
      <c r="D617" t="s">
        <v>7362</v>
      </c>
      <c r="E617" t="s">
        <v>10023</v>
      </c>
      <c r="F617" t="s">
        <v>6966</v>
      </c>
      <c r="G617" t="s">
        <v>10024</v>
      </c>
      <c r="H617" t="s">
        <v>8739</v>
      </c>
      <c r="I617" t="s">
        <v>10025</v>
      </c>
      <c r="J617" t="s">
        <v>10026</v>
      </c>
      <c r="K617">
        <v>244283.9612</v>
      </c>
      <c r="L617" t="s">
        <v>10011</v>
      </c>
      <c r="M617" s="42">
        <v>0.939554</v>
      </c>
      <c r="N617" s="42">
        <v>0.4</v>
      </c>
      <c r="O617">
        <v>0.9396</v>
      </c>
      <c r="P617" s="42">
        <v>0.769155</v>
      </c>
      <c r="Q617">
        <v>0.77</v>
      </c>
      <c r="R617">
        <v>1153.73</v>
      </c>
      <c r="S617">
        <v>1153.73</v>
      </c>
      <c r="T617">
        <v>1500</v>
      </c>
      <c r="U617" t="s">
        <v>9819</v>
      </c>
      <c r="W617" t="s">
        <v>9817</v>
      </c>
      <c r="X617" t="s">
        <v>9818</v>
      </c>
      <c r="Y617" t="s">
        <v>9477</v>
      </c>
      <c r="Z617" s="42">
        <v>0.012</v>
      </c>
      <c r="AA617" s="42">
        <v>1</v>
      </c>
      <c r="AB617">
        <v>0</v>
      </c>
    </row>
    <row r="618">
      <c r="A618" t="s">
        <v>10027</v>
      </c>
      <c r="B618" t="s">
        <v>10005</v>
      </c>
      <c r="C618" t="s">
        <v>10005</v>
      </c>
      <c r="D618" t="s">
        <v>7362</v>
      </c>
      <c r="E618" t="s">
        <v>10028</v>
      </c>
      <c r="F618" t="s">
        <v>6966</v>
      </c>
      <c r="G618" t="s">
        <v>10024</v>
      </c>
      <c r="H618" t="s">
        <v>10029</v>
      </c>
      <c r="I618" t="s">
        <v>10030</v>
      </c>
      <c r="J618" t="s">
        <v>10031</v>
      </c>
      <c r="K618">
        <v>7476.47</v>
      </c>
      <c r="L618" t="s">
        <v>10011</v>
      </c>
      <c r="M618" s="42">
        <v>0.249216</v>
      </c>
      <c r="N618" s="42">
        <v>0.5</v>
      </c>
      <c r="O618">
        <v>0.1595</v>
      </c>
      <c r="P618" s="42">
        <v>0.424608</v>
      </c>
      <c r="Q618">
        <v>0.38</v>
      </c>
      <c r="R618">
        <v>0</v>
      </c>
      <c r="S618">
        <v>0</v>
      </c>
      <c r="T618">
        <v>1500</v>
      </c>
      <c r="U618" t="s">
        <v>9819</v>
      </c>
      <c r="W618" t="s">
        <v>9817</v>
      </c>
      <c r="X618" t="s">
        <v>9818</v>
      </c>
      <c r="Y618" t="s">
        <v>9477</v>
      </c>
      <c r="Z618" s="42">
        <v>0.012</v>
      </c>
      <c r="AA618" s="42">
        <v>1</v>
      </c>
      <c r="AB618">
        <v>0</v>
      </c>
    </row>
    <row r="619">
      <c r="A619" t="s">
        <v>10032</v>
      </c>
      <c r="B619" t="s">
        <v>10033</v>
      </c>
      <c r="C619" t="s">
        <v>10033</v>
      </c>
      <c r="D619" t="s">
        <v>10034</v>
      </c>
      <c r="E619" t="s">
        <v>10035</v>
      </c>
      <c r="F619" t="s">
        <v>6966</v>
      </c>
      <c r="G619" t="s">
        <v>10036</v>
      </c>
      <c r="H619" t="s">
        <v>10037</v>
      </c>
      <c r="I619" t="s">
        <v>10038</v>
      </c>
      <c r="K619">
        <v>100</v>
      </c>
      <c r="L619" t="s">
        <v>10039</v>
      </c>
      <c r="M619" s="42">
        <v>1</v>
      </c>
      <c r="N619" s="42">
        <v>0.3</v>
      </c>
      <c r="O619">
        <v>1</v>
      </c>
      <c r="P619" s="42">
        <v>1.07</v>
      </c>
      <c r="Q619">
        <v>1.07</v>
      </c>
      <c r="R619">
        <v>2940</v>
      </c>
      <c r="S619">
        <v>2940</v>
      </c>
      <c r="T619">
        <v>3000</v>
      </c>
      <c r="U619" t="s">
        <v>10040</v>
      </c>
      <c r="V619" t="s">
        <v>10041</v>
      </c>
      <c r="W619">
        <v>1</v>
      </c>
      <c r="X619">
        <v>100</v>
      </c>
      <c r="Y619" t="s">
        <v>9477</v>
      </c>
      <c r="Z619" s="42">
        <v>1</v>
      </c>
      <c r="AA619" s="42">
        <v>0.6</v>
      </c>
      <c r="AB619">
        <v>0</v>
      </c>
    </row>
    <row r="620">
      <c r="A620" t="s">
        <v>10042</v>
      </c>
      <c r="B620" t="s">
        <v>7323</v>
      </c>
      <c r="C620" t="s">
        <v>7323</v>
      </c>
      <c r="D620" t="s">
        <v>10034</v>
      </c>
      <c r="E620" t="s">
        <v>10043</v>
      </c>
      <c r="F620" t="s">
        <v>6966</v>
      </c>
      <c r="G620" t="s">
        <v>10036</v>
      </c>
      <c r="H620" t="s">
        <v>10044</v>
      </c>
      <c r="I620" t="s">
        <v>10045</v>
      </c>
      <c r="K620" t="s">
        <v>10046</v>
      </c>
      <c r="L620" t="s">
        <v>10047</v>
      </c>
      <c r="M620" s="42">
        <v>1.36</v>
      </c>
      <c r="N620" s="42">
        <v>0.4</v>
      </c>
      <c r="O620">
        <v>1.2</v>
      </c>
      <c r="P620" s="42">
        <v>1.084</v>
      </c>
      <c r="Q620">
        <v>1.08</v>
      </c>
      <c r="R620">
        <v>3360</v>
      </c>
      <c r="S620">
        <v>3360</v>
      </c>
      <c r="T620">
        <v>3000</v>
      </c>
      <c r="U620" t="s">
        <v>10048</v>
      </c>
      <c r="V620" t="s">
        <v>10049</v>
      </c>
      <c r="X620">
        <v>100</v>
      </c>
      <c r="Y620" t="s">
        <v>10050</v>
      </c>
      <c r="Z620" s="42">
        <v>1</v>
      </c>
      <c r="AA620" s="42">
        <v>0.1</v>
      </c>
      <c r="AB620">
        <v>0</v>
      </c>
    </row>
    <row r="621">
      <c r="A621" t="s">
        <v>10051</v>
      </c>
      <c r="B621" t="s">
        <v>10052</v>
      </c>
      <c r="C621" t="s">
        <v>10052</v>
      </c>
      <c r="D621" t="s">
        <v>10034</v>
      </c>
      <c r="E621" t="s">
        <v>10053</v>
      </c>
      <c r="F621" t="s">
        <v>6966</v>
      </c>
      <c r="G621" t="s">
        <v>10036</v>
      </c>
      <c r="H621" t="s">
        <v>10054</v>
      </c>
      <c r="I621" t="s">
        <v>10055</v>
      </c>
      <c r="L621" t="s">
        <v>10047</v>
      </c>
      <c r="M621" s="42">
        <v>0.8</v>
      </c>
      <c r="N621" s="42">
        <v>1</v>
      </c>
      <c r="O621">
        <v>0.8</v>
      </c>
      <c r="P621" s="42">
        <v>0.8</v>
      </c>
      <c r="Q621">
        <v>0.8</v>
      </c>
      <c r="R621">
        <v>2000</v>
      </c>
      <c r="S621">
        <v>2000</v>
      </c>
      <c r="T621">
        <v>3000</v>
      </c>
      <c r="U621" t="s">
        <v>10056</v>
      </c>
      <c r="Y621" t="s">
        <v>10050</v>
      </c>
      <c r="Z621" s="42">
        <v>1</v>
      </c>
      <c r="AA621" s="42">
        <v>0.2</v>
      </c>
      <c r="AB621">
        <v>0</v>
      </c>
    </row>
    <row r="622">
      <c r="A622" t="s">
        <v>10057</v>
      </c>
      <c r="B622" t="s">
        <v>10058</v>
      </c>
      <c r="C622" t="s">
        <v>10058</v>
      </c>
      <c r="D622" t="s">
        <v>10034</v>
      </c>
      <c r="E622" t="s">
        <v>10059</v>
      </c>
      <c r="F622" t="s">
        <v>6966</v>
      </c>
      <c r="G622" t="s">
        <v>10036</v>
      </c>
      <c r="H622" t="s">
        <v>10060</v>
      </c>
      <c r="I622" t="s">
        <v>10061</v>
      </c>
      <c r="J622" s="43">
        <v>1</v>
      </c>
      <c r="K622" s="43">
        <v>1</v>
      </c>
      <c r="L622" t="s">
        <v>10047</v>
      </c>
      <c r="M622" s="42">
        <v>1</v>
      </c>
      <c r="N622" s="42">
        <v>0.3</v>
      </c>
      <c r="O622">
        <v>1.2</v>
      </c>
      <c r="P622" s="42">
        <v>1.009</v>
      </c>
      <c r="Q622">
        <v>1.2</v>
      </c>
      <c r="R622">
        <v>4000</v>
      </c>
      <c r="S622">
        <v>4000</v>
      </c>
      <c r="T622">
        <v>3000</v>
      </c>
      <c r="U622" t="s">
        <v>10062</v>
      </c>
      <c r="Y622" t="s">
        <v>10050</v>
      </c>
      <c r="Z622" s="42">
        <v>1</v>
      </c>
      <c r="AA622" s="42">
        <v>0.2</v>
      </c>
      <c r="AB622">
        <v>0</v>
      </c>
    </row>
    <row r="623">
      <c r="A623" t="s">
        <v>10063</v>
      </c>
      <c r="B623" t="s">
        <v>9324</v>
      </c>
      <c r="C623" t="s">
        <v>9324</v>
      </c>
      <c r="D623" t="s">
        <v>10034</v>
      </c>
      <c r="E623" t="s">
        <v>10064</v>
      </c>
      <c r="F623" t="s">
        <v>6966</v>
      </c>
      <c r="G623" t="s">
        <v>10036</v>
      </c>
      <c r="H623" t="s">
        <v>10054</v>
      </c>
      <c r="I623" t="s">
        <v>10065</v>
      </c>
      <c r="K623" s="43">
        <v>1</v>
      </c>
      <c r="L623" t="s">
        <v>10047</v>
      </c>
      <c r="M623" s="42">
        <v>1</v>
      </c>
      <c r="N623" s="42">
        <v>0.5</v>
      </c>
      <c r="O623">
        <v>1.2</v>
      </c>
      <c r="P623" s="42">
        <v>0.888</v>
      </c>
      <c r="Q623">
        <v>0.97</v>
      </c>
      <c r="R623">
        <v>2780</v>
      </c>
      <c r="S623">
        <v>2780</v>
      </c>
      <c r="T623">
        <v>3000</v>
      </c>
      <c r="U623" t="s">
        <v>10066</v>
      </c>
      <c r="X623">
        <v>100</v>
      </c>
      <c r="Y623" t="s">
        <v>10050</v>
      </c>
      <c r="Z623" s="42">
        <v>1</v>
      </c>
      <c r="AA623" s="42">
        <v>0.5</v>
      </c>
      <c r="AB623">
        <v>0</v>
      </c>
    </row>
    <row r="624">
      <c r="A624" t="s">
        <v>10067</v>
      </c>
      <c r="B624" t="s">
        <v>8902</v>
      </c>
      <c r="C624" t="s">
        <v>8902</v>
      </c>
      <c r="D624" t="s">
        <v>10034</v>
      </c>
      <c r="E624" t="s">
        <v>10068</v>
      </c>
      <c r="F624" t="s">
        <v>6966</v>
      </c>
      <c r="G624" t="s">
        <v>10036</v>
      </c>
      <c r="H624" t="s">
        <v>10054</v>
      </c>
      <c r="I624" t="s">
        <v>10069</v>
      </c>
      <c r="L624" t="s">
        <v>10070</v>
      </c>
      <c r="M624" s="42">
        <v>1.0288</v>
      </c>
      <c r="N624" s="42">
        <v>0.5</v>
      </c>
      <c r="O624">
        <v>1.2</v>
      </c>
      <c r="P624" s="42">
        <v>1.0894</v>
      </c>
      <c r="Q624">
        <v>1.2</v>
      </c>
      <c r="R624">
        <v>4000</v>
      </c>
      <c r="S624">
        <v>4000</v>
      </c>
      <c r="T624">
        <v>3000</v>
      </c>
      <c r="U624" t="s">
        <v>10071</v>
      </c>
      <c r="V624">
        <v>1</v>
      </c>
      <c r="W624" s="43">
        <v>1</v>
      </c>
      <c r="X624" s="43">
        <v>1.1</v>
      </c>
      <c r="Y624" t="s">
        <v>10050</v>
      </c>
      <c r="Z624" s="42">
        <v>1.1</v>
      </c>
      <c r="AA624" s="42">
        <v>0.125</v>
      </c>
      <c r="AB624">
        <v>0</v>
      </c>
    </row>
    <row r="625">
      <c r="A625" t="s">
        <v>10072</v>
      </c>
      <c r="B625" t="s">
        <v>7760</v>
      </c>
      <c r="C625" t="s">
        <v>7760</v>
      </c>
      <c r="D625" t="s">
        <v>10034</v>
      </c>
      <c r="E625" t="s">
        <v>10073</v>
      </c>
      <c r="F625" t="s">
        <v>6966</v>
      </c>
      <c r="G625" t="s">
        <v>10036</v>
      </c>
      <c r="H625" t="s">
        <v>10060</v>
      </c>
      <c r="I625" t="s">
        <v>10074</v>
      </c>
      <c r="J625" s="43">
        <v>1</v>
      </c>
      <c r="K625" s="43">
        <v>0.9</v>
      </c>
      <c r="L625" t="s">
        <v>10070</v>
      </c>
      <c r="M625" s="42">
        <v>0.9</v>
      </c>
      <c r="N625" s="42">
        <v>0.35</v>
      </c>
      <c r="O625">
        <v>0.9</v>
      </c>
      <c r="P625" s="42">
        <v>0.9125</v>
      </c>
      <c r="Q625">
        <v>0.91</v>
      </c>
      <c r="R625">
        <v>2220</v>
      </c>
      <c r="S625">
        <v>2220</v>
      </c>
      <c r="T625">
        <v>3000</v>
      </c>
      <c r="U625" t="s">
        <v>10075</v>
      </c>
      <c r="W625">
        <v>100</v>
      </c>
      <c r="X625">
        <v>94</v>
      </c>
      <c r="Y625" t="s">
        <v>10050</v>
      </c>
      <c r="Z625" s="42">
        <v>0.94</v>
      </c>
      <c r="AA625" s="42">
        <v>0.125</v>
      </c>
      <c r="AB625">
        <v>0</v>
      </c>
    </row>
    <row r="626">
      <c r="A626" t="s">
        <v>10076</v>
      </c>
      <c r="B626" t="s">
        <v>9564</v>
      </c>
      <c r="C626" t="s">
        <v>9564</v>
      </c>
      <c r="D626" t="s">
        <v>10034</v>
      </c>
      <c r="E626" t="s">
        <v>10077</v>
      </c>
      <c r="F626" t="s">
        <v>6966</v>
      </c>
      <c r="G626" t="s">
        <v>10036</v>
      </c>
      <c r="H626" t="s">
        <v>10054</v>
      </c>
      <c r="I626" t="s">
        <v>10078</v>
      </c>
      <c r="K626" s="43">
        <v>1</v>
      </c>
      <c r="L626" t="s">
        <v>10079</v>
      </c>
      <c r="M626" s="42">
        <v>1</v>
      </c>
      <c r="N626" s="42">
        <v>0.5</v>
      </c>
      <c r="O626">
        <v>1.2</v>
      </c>
      <c r="P626" s="42">
        <v>1.01152</v>
      </c>
      <c r="Q626">
        <v>1.34</v>
      </c>
      <c r="R626">
        <v>4400</v>
      </c>
      <c r="S626">
        <v>4400</v>
      </c>
      <c r="T626">
        <v>3000</v>
      </c>
      <c r="U626" t="s">
        <v>10080</v>
      </c>
      <c r="V626" t="s">
        <v>10081</v>
      </c>
      <c r="W626" s="43">
        <v>1</v>
      </c>
      <c r="X626" s="43">
        <v>1</v>
      </c>
      <c r="Y626" t="s">
        <v>10082</v>
      </c>
      <c r="Z626" s="42">
        <v>1</v>
      </c>
      <c r="AA626" s="42">
        <v>0.25</v>
      </c>
      <c r="AB626">
        <v>0</v>
      </c>
    </row>
    <row r="627">
      <c r="A627" t="s">
        <v>10083</v>
      </c>
      <c r="B627" t="s">
        <v>10084</v>
      </c>
      <c r="C627" t="s">
        <v>10084</v>
      </c>
      <c r="D627" t="s">
        <v>10034</v>
      </c>
      <c r="E627" t="s">
        <v>10085</v>
      </c>
      <c r="F627" t="s">
        <v>6966</v>
      </c>
      <c r="G627" t="s">
        <v>10036</v>
      </c>
      <c r="H627" t="s">
        <v>10060</v>
      </c>
      <c r="I627" t="s">
        <v>10086</v>
      </c>
      <c r="J627" s="43">
        <v>1</v>
      </c>
      <c r="K627" s="43">
        <v>0.8</v>
      </c>
      <c r="L627" t="s">
        <v>10087</v>
      </c>
      <c r="M627" s="42">
        <v>0.8</v>
      </c>
      <c r="N627" s="42">
        <v>0.3</v>
      </c>
      <c r="O627">
        <v>0.8</v>
      </c>
      <c r="P627" s="42">
        <v>0.8843</v>
      </c>
      <c r="Q627">
        <v>0.64</v>
      </c>
      <c r="R627">
        <v>1280</v>
      </c>
      <c r="S627">
        <v>1280</v>
      </c>
      <c r="T627">
        <v>3000</v>
      </c>
      <c r="U627" t="s">
        <v>10088</v>
      </c>
      <c r="V627" t="s">
        <v>10089</v>
      </c>
      <c r="W627" s="43">
        <v>1</v>
      </c>
      <c r="X627" s="43">
        <v>1</v>
      </c>
      <c r="Y627" t="s">
        <v>10090</v>
      </c>
      <c r="Z627" s="42">
        <v>1</v>
      </c>
      <c r="AA627" s="42">
        <v>0.4</v>
      </c>
      <c r="AB627">
        <v>0</v>
      </c>
    </row>
    <row r="628">
      <c r="A628" t="s">
        <v>10091</v>
      </c>
      <c r="B628" t="s">
        <v>10092</v>
      </c>
      <c r="C628" t="s">
        <v>10092</v>
      </c>
      <c r="D628" t="s">
        <v>10034</v>
      </c>
      <c r="E628" t="s">
        <v>10093</v>
      </c>
      <c r="F628" t="s">
        <v>6966</v>
      </c>
      <c r="G628" t="s">
        <v>10036</v>
      </c>
      <c r="H628" t="s">
        <v>10060</v>
      </c>
      <c r="I628" t="s">
        <v>10094</v>
      </c>
      <c r="J628" s="43">
        <v>1</v>
      </c>
      <c r="K628" s="43">
        <v>0.5</v>
      </c>
      <c r="L628" t="s">
        <v>10087</v>
      </c>
      <c r="M628" s="42">
        <v>0.5</v>
      </c>
      <c r="N628" s="42">
        <v>0.3</v>
      </c>
      <c r="O628">
        <v>0.3</v>
      </c>
      <c r="P628" s="42">
        <v>0.744</v>
      </c>
      <c r="Q628">
        <v>0.77</v>
      </c>
      <c r="R628">
        <v>0</v>
      </c>
      <c r="S628">
        <v>0</v>
      </c>
      <c r="T628">
        <v>3000</v>
      </c>
      <c r="U628" t="s">
        <v>10040</v>
      </c>
      <c r="V628" t="s">
        <v>10041</v>
      </c>
      <c r="W628" s="43">
        <v>1</v>
      </c>
      <c r="X628" s="43">
        <v>1</v>
      </c>
      <c r="Y628" t="s">
        <v>10090</v>
      </c>
      <c r="Z628" s="42">
        <v>1</v>
      </c>
      <c r="AA628" s="42">
        <v>1</v>
      </c>
      <c r="AB628">
        <v>1</v>
      </c>
    </row>
    <row r="629">
      <c r="A629" t="s">
        <v>10095</v>
      </c>
      <c r="B629" t="s">
        <v>10096</v>
      </c>
      <c r="C629" t="s">
        <v>10096</v>
      </c>
      <c r="D629" t="s">
        <v>10034</v>
      </c>
      <c r="E629" t="s">
        <v>10097</v>
      </c>
      <c r="F629" t="s">
        <v>6966</v>
      </c>
      <c r="G629" t="s">
        <v>10036</v>
      </c>
      <c r="H629" t="s">
        <v>10060</v>
      </c>
      <c r="I629" t="s">
        <v>10098</v>
      </c>
      <c r="J629" t="s">
        <v>10099</v>
      </c>
      <c r="K629" t="s">
        <v>10100</v>
      </c>
      <c r="L629" t="s">
        <v>10087</v>
      </c>
      <c r="M629" s="42">
        <v>1.4</v>
      </c>
      <c r="N629" s="42">
        <v>0.3</v>
      </c>
      <c r="O629">
        <v>1.2</v>
      </c>
      <c r="P629" s="42">
        <v>1.1036</v>
      </c>
      <c r="Q629">
        <v>1.1</v>
      </c>
      <c r="R629">
        <v>0</v>
      </c>
      <c r="S629">
        <v>0</v>
      </c>
      <c r="T629">
        <v>3000</v>
      </c>
      <c r="U629" t="s">
        <v>10101</v>
      </c>
      <c r="V629" t="s">
        <v>10102</v>
      </c>
      <c r="W629" s="43">
        <v>1</v>
      </c>
      <c r="X629" s="43">
        <v>1</v>
      </c>
      <c r="Y629" t="s">
        <v>10090</v>
      </c>
      <c r="Z629" s="42">
        <v>1</v>
      </c>
      <c r="AA629" s="42">
        <v>0.5</v>
      </c>
      <c r="AB629">
        <v>1</v>
      </c>
    </row>
    <row r="630">
      <c r="A630" t="s">
        <v>10103</v>
      </c>
      <c r="B630" t="s">
        <v>10104</v>
      </c>
      <c r="C630" t="s">
        <v>10104</v>
      </c>
      <c r="D630" t="s">
        <v>10034</v>
      </c>
      <c r="E630" t="s">
        <v>10105</v>
      </c>
      <c r="F630" t="s">
        <v>6966</v>
      </c>
      <c r="G630" t="s">
        <v>10036</v>
      </c>
      <c r="H630" t="s">
        <v>10060</v>
      </c>
      <c r="I630" t="s">
        <v>10106</v>
      </c>
      <c r="J630">
        <v>1</v>
      </c>
      <c r="K630">
        <v>1</v>
      </c>
      <c r="L630" t="s">
        <v>10087</v>
      </c>
      <c r="M630" s="42">
        <v>1</v>
      </c>
      <c r="N630" s="42">
        <v>0.1</v>
      </c>
      <c r="O630">
        <v>1.2</v>
      </c>
      <c r="P630" s="42">
        <v>0.807</v>
      </c>
      <c r="Q630">
        <v>0.55</v>
      </c>
      <c r="R630">
        <v>0</v>
      </c>
      <c r="S630">
        <v>0</v>
      </c>
      <c r="T630">
        <v>3000</v>
      </c>
      <c r="U630" t="s">
        <v>10107</v>
      </c>
      <c r="X630">
        <v>100</v>
      </c>
      <c r="Y630" t="s">
        <v>10090</v>
      </c>
      <c r="Z630" s="42">
        <v>1</v>
      </c>
      <c r="AA630" s="42">
        <v>0.5</v>
      </c>
      <c r="AB630">
        <v>1</v>
      </c>
    </row>
    <row r="631">
      <c r="A631" t="s">
        <v>10108</v>
      </c>
      <c r="B631" t="s">
        <v>8437</v>
      </c>
      <c r="C631" t="s">
        <v>8437</v>
      </c>
      <c r="D631" t="s">
        <v>10109</v>
      </c>
      <c r="E631" t="s">
        <v>10110</v>
      </c>
      <c r="F631" t="s">
        <v>6966</v>
      </c>
      <c r="G631" t="s">
        <v>10111</v>
      </c>
      <c r="H631" t="s">
        <v>9029</v>
      </c>
      <c r="I631" t="s">
        <v>10112</v>
      </c>
      <c r="L631" t="s">
        <v>10087</v>
      </c>
      <c r="M631" s="42">
        <v>0.9</v>
      </c>
      <c r="N631" s="42">
        <v>0.1</v>
      </c>
      <c r="O631">
        <v>0.9</v>
      </c>
      <c r="P631" s="42">
        <v>0.908</v>
      </c>
      <c r="Q631">
        <v>0.91</v>
      </c>
      <c r="R631">
        <v>1911</v>
      </c>
      <c r="S631">
        <v>1911</v>
      </c>
      <c r="T631">
        <v>3000</v>
      </c>
      <c r="U631" t="s">
        <v>10088</v>
      </c>
      <c r="V631" t="s">
        <v>10089</v>
      </c>
      <c r="W631">
        <v>1</v>
      </c>
      <c r="X631">
        <v>1</v>
      </c>
      <c r="Z631" s="42">
        <v>1</v>
      </c>
      <c r="AA631" s="42">
        <v>0.4</v>
      </c>
      <c r="AB631">
        <v>0</v>
      </c>
    </row>
    <row r="632">
      <c r="A632" t="s">
        <v>10113</v>
      </c>
      <c r="B632" t="s">
        <v>8437</v>
      </c>
      <c r="C632" t="s">
        <v>8437</v>
      </c>
      <c r="D632" t="s">
        <v>10109</v>
      </c>
      <c r="E632" t="s">
        <v>10114</v>
      </c>
      <c r="F632" t="s">
        <v>6966</v>
      </c>
      <c r="G632" t="s">
        <v>10111</v>
      </c>
      <c r="H632" t="s">
        <v>9029</v>
      </c>
      <c r="I632" t="s">
        <v>10112</v>
      </c>
      <c r="L632" t="s">
        <v>10087</v>
      </c>
      <c r="M632" s="42">
        <v>0.9</v>
      </c>
      <c r="N632" s="42">
        <v>0.1</v>
      </c>
      <c r="O632">
        <v>0.9</v>
      </c>
      <c r="P632" s="42">
        <v>0.8721</v>
      </c>
      <c r="Q632">
        <v>0.88</v>
      </c>
      <c r="R632">
        <v>2450</v>
      </c>
      <c r="S632">
        <v>2450</v>
      </c>
      <c r="T632">
        <v>4000</v>
      </c>
      <c r="U632" t="s">
        <v>10088</v>
      </c>
      <c r="V632" t="s">
        <v>10089</v>
      </c>
      <c r="W632">
        <v>1</v>
      </c>
      <c r="X632">
        <v>1</v>
      </c>
      <c r="Z632" s="42">
        <v>1</v>
      </c>
      <c r="AA632" s="42">
        <v>0.4</v>
      </c>
      <c r="AB632">
        <v>0</v>
      </c>
    </row>
    <row r="633">
      <c r="A633" t="s">
        <v>10115</v>
      </c>
      <c r="B633" t="s">
        <v>8437</v>
      </c>
      <c r="C633" t="s">
        <v>8437</v>
      </c>
      <c r="D633" t="s">
        <v>7061</v>
      </c>
      <c r="E633" t="s">
        <v>10116</v>
      </c>
      <c r="F633" t="s">
        <v>6966</v>
      </c>
      <c r="G633" t="s">
        <v>10111</v>
      </c>
      <c r="H633" t="s">
        <v>9029</v>
      </c>
      <c r="I633" t="s">
        <v>9029</v>
      </c>
      <c r="L633" t="s">
        <v>10087</v>
      </c>
      <c r="M633" s="42">
        <v>0.9</v>
      </c>
      <c r="N633" s="42">
        <v>0.1</v>
      </c>
      <c r="O633">
        <v>0.09</v>
      </c>
      <c r="P633" s="42">
        <v>0.958</v>
      </c>
      <c r="Q633">
        <v>1.01</v>
      </c>
      <c r="R633">
        <v>1960</v>
      </c>
      <c r="S633">
        <v>1960</v>
      </c>
      <c r="T633">
        <v>2800</v>
      </c>
      <c r="U633" t="s">
        <v>10088</v>
      </c>
      <c r="V633" t="s">
        <v>10089</v>
      </c>
      <c r="W633">
        <v>1</v>
      </c>
      <c r="X633">
        <v>1</v>
      </c>
      <c r="Z633" s="42">
        <v>1</v>
      </c>
      <c r="AA633" s="42">
        <v>0.4</v>
      </c>
      <c r="AB633">
        <v>0</v>
      </c>
    </row>
    <row r="634">
      <c r="A634" t="s">
        <v>10117</v>
      </c>
      <c r="B634" t="s">
        <v>8437</v>
      </c>
      <c r="C634" t="s">
        <v>8437</v>
      </c>
      <c r="D634" t="s">
        <v>7061</v>
      </c>
      <c r="E634" t="s">
        <v>10118</v>
      </c>
      <c r="F634" t="s">
        <v>6966</v>
      </c>
      <c r="G634" t="s">
        <v>10111</v>
      </c>
      <c r="H634" t="s">
        <v>9029</v>
      </c>
      <c r="I634" t="s">
        <v>10112</v>
      </c>
      <c r="L634" t="s">
        <v>10087</v>
      </c>
      <c r="M634" s="42">
        <v>0.85</v>
      </c>
      <c r="N634" s="42">
        <v>0.1</v>
      </c>
      <c r="O634">
        <v>0.85</v>
      </c>
      <c r="P634" s="42">
        <v>1.001</v>
      </c>
      <c r="Q634">
        <v>0.92</v>
      </c>
      <c r="R634">
        <v>1797</v>
      </c>
      <c r="S634">
        <v>1797</v>
      </c>
      <c r="T634">
        <v>2800</v>
      </c>
      <c r="U634" t="s">
        <v>10088</v>
      </c>
      <c r="V634" t="s">
        <v>10089</v>
      </c>
      <c r="W634">
        <v>1</v>
      </c>
      <c r="X634">
        <v>1</v>
      </c>
      <c r="Z634" s="42">
        <v>1</v>
      </c>
      <c r="AA634" s="42">
        <v>0.4</v>
      </c>
      <c r="AB634">
        <v>0</v>
      </c>
    </row>
    <row r="635">
      <c r="A635" t="s">
        <v>10119</v>
      </c>
      <c r="B635" t="s">
        <v>8437</v>
      </c>
      <c r="C635" t="s">
        <v>8437</v>
      </c>
      <c r="D635" t="s">
        <v>7061</v>
      </c>
      <c r="E635" t="s">
        <v>10120</v>
      </c>
      <c r="F635" t="s">
        <v>6966</v>
      </c>
      <c r="G635" t="s">
        <v>10111</v>
      </c>
      <c r="H635" t="s">
        <v>9029</v>
      </c>
      <c r="I635" t="s">
        <v>9029</v>
      </c>
      <c r="L635" t="s">
        <v>7040</v>
      </c>
      <c r="M635" s="42">
        <v>0.95</v>
      </c>
      <c r="N635" s="42">
        <v>0.1</v>
      </c>
      <c r="O635">
        <v>0.095</v>
      </c>
      <c r="P635" s="42">
        <v>0.96485</v>
      </c>
      <c r="Q635">
        <v>0.97</v>
      </c>
      <c r="R635">
        <v>1891.4</v>
      </c>
      <c r="S635">
        <v>1891.4</v>
      </c>
      <c r="T635">
        <v>2800</v>
      </c>
      <c r="U635" t="s">
        <v>10088</v>
      </c>
      <c r="V635" t="s">
        <v>10089</v>
      </c>
      <c r="W635">
        <v>1</v>
      </c>
      <c r="X635">
        <v>1</v>
      </c>
      <c r="Z635" s="42">
        <v>1</v>
      </c>
      <c r="AA635" s="42">
        <v>0.4</v>
      </c>
      <c r="AB635">
        <v>0</v>
      </c>
    </row>
    <row r="636">
      <c r="A636" t="s">
        <v>10121</v>
      </c>
      <c r="B636" t="s">
        <v>8437</v>
      </c>
      <c r="C636" t="s">
        <v>8437</v>
      </c>
      <c r="D636" t="s">
        <v>7000</v>
      </c>
      <c r="E636" t="s">
        <v>10122</v>
      </c>
      <c r="F636" t="s">
        <v>6966</v>
      </c>
      <c r="G636" t="s">
        <v>10111</v>
      </c>
      <c r="H636" t="s">
        <v>9029</v>
      </c>
      <c r="I636" t="s">
        <v>9029</v>
      </c>
      <c r="L636" t="s">
        <v>7040</v>
      </c>
      <c r="M636" s="42">
        <v>0.85</v>
      </c>
      <c r="N636" s="42">
        <v>0.1</v>
      </c>
      <c r="O636">
        <v>0.85</v>
      </c>
      <c r="P636" s="42">
        <v>0.7897</v>
      </c>
      <c r="Q636">
        <v>0.79</v>
      </c>
      <c r="R636">
        <v>0</v>
      </c>
      <c r="S636">
        <v>0</v>
      </c>
      <c r="T636">
        <v>5000</v>
      </c>
      <c r="U636" t="s">
        <v>10088</v>
      </c>
      <c r="V636" t="s">
        <v>10089</v>
      </c>
      <c r="W636">
        <v>1</v>
      </c>
      <c r="X636">
        <v>1</v>
      </c>
      <c r="Z636" s="42">
        <v>1</v>
      </c>
      <c r="AA636" s="42">
        <v>0.4</v>
      </c>
      <c r="AB636">
        <v>0</v>
      </c>
    </row>
    <row r="637">
      <c r="A637" t="s">
        <v>10123</v>
      </c>
      <c r="B637" t="s">
        <v>9746</v>
      </c>
      <c r="C637" t="s">
        <v>9746</v>
      </c>
      <c r="D637" t="s">
        <v>7000</v>
      </c>
      <c r="E637" t="s">
        <v>10124</v>
      </c>
      <c r="F637" t="s">
        <v>6966</v>
      </c>
      <c r="G637" t="s">
        <v>9748</v>
      </c>
      <c r="H637" t="s">
        <v>9749</v>
      </c>
      <c r="I637" t="s">
        <v>10125</v>
      </c>
      <c r="J637" s="43">
        <v>1</v>
      </c>
      <c r="K637" s="43">
        <v>0.88</v>
      </c>
      <c r="L637" t="s">
        <v>7040</v>
      </c>
      <c r="M637" s="42">
        <v>0.88</v>
      </c>
      <c r="N637" s="42">
        <v>1</v>
      </c>
      <c r="O637">
        <v>0.88</v>
      </c>
      <c r="P637" s="42">
        <v>0.88</v>
      </c>
      <c r="Q637">
        <v>0.88</v>
      </c>
      <c r="R637">
        <v>4397</v>
      </c>
      <c r="S637">
        <v>4397</v>
      </c>
      <c r="T637">
        <v>5000</v>
      </c>
      <c r="U637" t="s">
        <v>10088</v>
      </c>
      <c r="V637" t="s">
        <v>10089</v>
      </c>
      <c r="W637">
        <v>1</v>
      </c>
      <c r="X637">
        <v>1</v>
      </c>
      <c r="Z637" s="42">
        <v>1</v>
      </c>
      <c r="AA637" s="42">
        <v>0.4</v>
      </c>
      <c r="AB637">
        <v>0</v>
      </c>
    </row>
    <row r="638">
      <c r="A638" t="s">
        <v>10126</v>
      </c>
      <c r="B638" t="s">
        <v>9746</v>
      </c>
      <c r="C638" t="s">
        <v>9746</v>
      </c>
      <c r="D638" t="s">
        <v>7000</v>
      </c>
      <c r="E638" t="s">
        <v>10127</v>
      </c>
      <c r="F638" t="s">
        <v>6966</v>
      </c>
      <c r="G638" t="s">
        <v>9748</v>
      </c>
      <c r="H638" t="s">
        <v>9749</v>
      </c>
      <c r="I638" t="s">
        <v>10128</v>
      </c>
      <c r="J638" s="43">
        <v>1</v>
      </c>
      <c r="K638" s="43">
        <v>0.79</v>
      </c>
      <c r="L638" t="s">
        <v>7040</v>
      </c>
      <c r="M638" s="42">
        <v>0.79</v>
      </c>
      <c r="N638" s="42">
        <v>1</v>
      </c>
      <c r="O638">
        <v>0.79</v>
      </c>
      <c r="P638" s="42">
        <v>0.79</v>
      </c>
      <c r="Q638">
        <v>0.79</v>
      </c>
      <c r="R638">
        <v>3950</v>
      </c>
      <c r="S638">
        <v>3950</v>
      </c>
      <c r="T638">
        <v>5000</v>
      </c>
      <c r="U638" t="s">
        <v>10088</v>
      </c>
      <c r="V638" t="s">
        <v>10089</v>
      </c>
      <c r="W638">
        <v>1</v>
      </c>
      <c r="X638">
        <v>1</v>
      </c>
      <c r="Z638" s="42">
        <v>1</v>
      </c>
      <c r="AA638" s="42">
        <v>0.4</v>
      </c>
      <c r="AB638">
        <v>0</v>
      </c>
    </row>
    <row r="639">
      <c r="A639" t="s">
        <v>10129</v>
      </c>
      <c r="B639" t="s">
        <v>10130</v>
      </c>
      <c r="C639" t="s">
        <v>10130</v>
      </c>
      <c r="D639" t="s">
        <v>9537</v>
      </c>
      <c r="E639" t="s">
        <v>10131</v>
      </c>
      <c r="F639" t="s">
        <v>6966</v>
      </c>
      <c r="G639" t="s">
        <v>10132</v>
      </c>
      <c r="H639" t="s">
        <v>10133</v>
      </c>
      <c r="I639" t="s">
        <v>10134</v>
      </c>
      <c r="J639" t="s">
        <v>10135</v>
      </c>
      <c r="K639" t="s">
        <v>10136</v>
      </c>
      <c r="L639" t="s">
        <v>7040</v>
      </c>
      <c r="M639" s="42">
        <v>1.037</v>
      </c>
      <c r="N639" s="42">
        <v>0.1</v>
      </c>
      <c r="O639">
        <v>1.03</v>
      </c>
      <c r="P639" s="42">
        <v>0.8658</v>
      </c>
      <c r="Q639">
        <v>0.86</v>
      </c>
      <c r="R639">
        <v>4300</v>
      </c>
      <c r="S639">
        <v>4300</v>
      </c>
      <c r="T639">
        <v>5000</v>
      </c>
      <c r="U639" t="s">
        <v>10088</v>
      </c>
      <c r="V639" t="s">
        <v>10089</v>
      </c>
      <c r="W639">
        <v>1</v>
      </c>
      <c r="X639">
        <v>1</v>
      </c>
      <c r="Z639" s="42">
        <v>1</v>
      </c>
      <c r="AA639" s="42">
        <v>0.4</v>
      </c>
      <c r="AB639">
        <v>0</v>
      </c>
    </row>
    <row r="640">
      <c r="A640" t="s">
        <v>10137</v>
      </c>
      <c r="B640" t="s">
        <v>8437</v>
      </c>
      <c r="C640" t="s">
        <v>8437</v>
      </c>
      <c r="D640" t="s">
        <v>10138</v>
      </c>
      <c r="E640" t="s">
        <v>10139</v>
      </c>
      <c r="F640" t="s">
        <v>6966</v>
      </c>
      <c r="G640" t="s">
        <v>10140</v>
      </c>
      <c r="H640" t="s">
        <v>9029</v>
      </c>
      <c r="I640" t="s">
        <v>10112</v>
      </c>
      <c r="L640" t="s">
        <v>7040</v>
      </c>
      <c r="M640" s="42">
        <v>1</v>
      </c>
      <c r="N640" s="42">
        <v>0.1</v>
      </c>
      <c r="O640">
        <v>0.1</v>
      </c>
      <c r="P640" s="42">
        <v>1</v>
      </c>
      <c r="Q640">
        <v>1</v>
      </c>
      <c r="R640">
        <v>1200</v>
      </c>
      <c r="S640">
        <v>2400</v>
      </c>
      <c r="T640">
        <v>1200</v>
      </c>
      <c r="U640" t="s">
        <v>10088</v>
      </c>
      <c r="V640" t="s">
        <v>10089</v>
      </c>
      <c r="W640">
        <v>1</v>
      </c>
      <c r="X640">
        <v>1</v>
      </c>
      <c r="Z640" s="42">
        <v>1</v>
      </c>
      <c r="AA640" s="42">
        <v>0.4</v>
      </c>
      <c r="AB640">
        <v>0</v>
      </c>
    </row>
    <row r="641">
      <c r="A641" t="s">
        <v>10141</v>
      </c>
      <c r="B641" t="s">
        <v>8437</v>
      </c>
      <c r="C641" t="s">
        <v>8437</v>
      </c>
      <c r="D641" t="s">
        <v>10138</v>
      </c>
      <c r="E641" t="s">
        <v>10142</v>
      </c>
      <c r="F641" t="s">
        <v>6966</v>
      </c>
      <c r="G641" t="s">
        <v>10140</v>
      </c>
      <c r="H641" t="s">
        <v>9029</v>
      </c>
      <c r="I641" t="s">
        <v>9029</v>
      </c>
      <c r="L641" t="s">
        <v>7040</v>
      </c>
      <c r="M641" s="42">
        <v>1</v>
      </c>
      <c r="N641" s="42">
        <v>0.1</v>
      </c>
      <c r="O641">
        <v>0.1</v>
      </c>
      <c r="P641" s="42">
        <v>1</v>
      </c>
      <c r="Q641">
        <v>1</v>
      </c>
      <c r="R641">
        <v>1200</v>
      </c>
      <c r="S641">
        <v>2400</v>
      </c>
      <c r="T641">
        <v>1200</v>
      </c>
      <c r="U641" t="s">
        <v>10088</v>
      </c>
      <c r="V641" t="s">
        <v>10089</v>
      </c>
      <c r="W641">
        <v>1</v>
      </c>
      <c r="X641">
        <v>1</v>
      </c>
      <c r="Z641" s="42">
        <v>1</v>
      </c>
      <c r="AA641" s="42">
        <v>0.4</v>
      </c>
      <c r="AB641">
        <v>0</v>
      </c>
    </row>
    <row r="642">
      <c r="A642" t="s">
        <v>10143</v>
      </c>
      <c r="B642" t="s">
        <v>8308</v>
      </c>
      <c r="C642" t="s">
        <v>8308</v>
      </c>
      <c r="D642" t="s">
        <v>8767</v>
      </c>
      <c r="E642" t="s">
        <v>10144</v>
      </c>
      <c r="F642" t="s">
        <v>6966</v>
      </c>
      <c r="G642" t="s">
        <v>10145</v>
      </c>
      <c r="H642" t="s">
        <v>10146</v>
      </c>
      <c r="I642" t="s">
        <v>10147</v>
      </c>
      <c r="J642" t="s">
        <v>8577</v>
      </c>
      <c r="K642">
        <v>100</v>
      </c>
      <c r="L642" t="s">
        <v>7040</v>
      </c>
      <c r="M642" s="42">
        <v>1</v>
      </c>
      <c r="N642" s="42">
        <v>0.5</v>
      </c>
      <c r="O642">
        <v>100</v>
      </c>
      <c r="P642" s="42">
        <v>0.958125</v>
      </c>
      <c r="Q642">
        <v>95.75</v>
      </c>
      <c r="R642">
        <v>1806</v>
      </c>
      <c r="S642">
        <v>1806</v>
      </c>
      <c r="T642">
        <v>1000</v>
      </c>
      <c r="U642" t="s">
        <v>10088</v>
      </c>
      <c r="V642" t="s">
        <v>10089</v>
      </c>
      <c r="W642">
        <v>1</v>
      </c>
      <c r="X642">
        <v>1</v>
      </c>
      <c r="Z642" s="42">
        <v>1</v>
      </c>
      <c r="AA642" s="42">
        <v>0.4</v>
      </c>
      <c r="AB642">
        <v>0</v>
      </c>
    </row>
    <row r="643">
      <c r="A643" t="s">
        <v>10148</v>
      </c>
      <c r="B643" t="s">
        <v>8308</v>
      </c>
      <c r="C643" t="s">
        <v>8308</v>
      </c>
      <c r="D643" t="s">
        <v>8767</v>
      </c>
      <c r="E643" t="s">
        <v>10149</v>
      </c>
      <c r="F643" t="s">
        <v>6966</v>
      </c>
      <c r="G643" t="s">
        <v>10145</v>
      </c>
      <c r="H643" t="s">
        <v>10146</v>
      </c>
      <c r="I643" t="s">
        <v>10147</v>
      </c>
      <c r="J643" t="s">
        <v>8577</v>
      </c>
      <c r="K643">
        <v>100</v>
      </c>
      <c r="L643" t="s">
        <v>7040</v>
      </c>
      <c r="M643" s="42">
        <v>1</v>
      </c>
      <c r="N643" s="42">
        <v>0.5</v>
      </c>
      <c r="O643">
        <v>100</v>
      </c>
      <c r="P643" s="42">
        <v>0.947875</v>
      </c>
      <c r="Q643">
        <v>94.82</v>
      </c>
      <c r="R643">
        <v>1462</v>
      </c>
      <c r="S643">
        <v>1462</v>
      </c>
      <c r="T643">
        <v>1000</v>
      </c>
      <c r="U643" t="s">
        <v>10088</v>
      </c>
      <c r="V643" t="s">
        <v>10089</v>
      </c>
      <c r="W643">
        <v>1</v>
      </c>
      <c r="X643">
        <v>1</v>
      </c>
      <c r="Z643" s="42">
        <v>1</v>
      </c>
      <c r="AA643" s="42">
        <v>0.4</v>
      </c>
      <c r="AB643">
        <v>0</v>
      </c>
    </row>
    <row r="644">
      <c r="A644" t="s">
        <v>10150</v>
      </c>
      <c r="B644" t="s">
        <v>8308</v>
      </c>
      <c r="C644" t="s">
        <v>8308</v>
      </c>
      <c r="D644" t="s">
        <v>8767</v>
      </c>
      <c r="E644" t="s">
        <v>10151</v>
      </c>
      <c r="F644" t="s">
        <v>6966</v>
      </c>
      <c r="G644" t="s">
        <v>10145</v>
      </c>
      <c r="H644" t="s">
        <v>10146</v>
      </c>
      <c r="I644" t="s">
        <v>10147</v>
      </c>
      <c r="J644" t="s">
        <v>8577</v>
      </c>
      <c r="K644">
        <v>100</v>
      </c>
      <c r="L644" t="s">
        <v>7040</v>
      </c>
      <c r="M644" s="42">
        <v>1</v>
      </c>
      <c r="N644" s="42">
        <v>0.5</v>
      </c>
      <c r="O644">
        <v>100</v>
      </c>
      <c r="P644" s="42">
        <v>0.933375</v>
      </c>
      <c r="Q644">
        <v>93.27</v>
      </c>
      <c r="R644">
        <v>1032</v>
      </c>
      <c r="S644">
        <v>1032</v>
      </c>
      <c r="T644">
        <v>2300</v>
      </c>
      <c r="U644" t="s">
        <v>10088</v>
      </c>
      <c r="V644" t="s">
        <v>10089</v>
      </c>
      <c r="W644">
        <v>1</v>
      </c>
      <c r="X644">
        <v>1</v>
      </c>
      <c r="Z644" s="42">
        <v>1</v>
      </c>
      <c r="AA644" s="42">
        <v>0.4</v>
      </c>
      <c r="AB644">
        <v>0</v>
      </c>
    </row>
    <row r="645">
      <c r="A645" t="s">
        <v>10152</v>
      </c>
      <c r="B645" t="s">
        <v>8805</v>
      </c>
      <c r="C645" t="s">
        <v>8805</v>
      </c>
      <c r="D645" t="s">
        <v>10153</v>
      </c>
      <c r="E645" t="s">
        <v>10154</v>
      </c>
      <c r="F645" t="s">
        <v>6966</v>
      </c>
      <c r="G645" t="s">
        <v>10155</v>
      </c>
      <c r="H645" t="s">
        <v>10156</v>
      </c>
      <c r="I645" t="s">
        <v>10147</v>
      </c>
      <c r="J645" t="s">
        <v>8577</v>
      </c>
      <c r="K645">
        <v>100</v>
      </c>
      <c r="L645" t="s">
        <v>7040</v>
      </c>
      <c r="M645" s="42">
        <v>1</v>
      </c>
      <c r="N645" s="42">
        <v>1</v>
      </c>
      <c r="O645">
        <v>254</v>
      </c>
      <c r="P645" s="42">
        <v>1</v>
      </c>
      <c r="Q645">
        <v>254</v>
      </c>
      <c r="R645">
        <v>14000</v>
      </c>
      <c r="S645">
        <v>14000</v>
      </c>
      <c r="T645">
        <v>55000</v>
      </c>
      <c r="U645" t="s">
        <v>10088</v>
      </c>
      <c r="V645" t="s">
        <v>10089</v>
      </c>
      <c r="W645">
        <v>1</v>
      </c>
      <c r="X645">
        <v>1</v>
      </c>
      <c r="Z645" s="42">
        <v>1</v>
      </c>
      <c r="AA645" s="42">
        <v>0.4</v>
      </c>
      <c r="AB645">
        <v>0</v>
      </c>
    </row>
    <row r="646">
      <c r="A646" t="s">
        <v>10157</v>
      </c>
      <c r="B646" t="s">
        <v>8805</v>
      </c>
      <c r="C646" t="s">
        <v>8805</v>
      </c>
      <c r="D646" t="s">
        <v>10153</v>
      </c>
      <c r="E646" t="s">
        <v>10158</v>
      </c>
      <c r="F646" t="s">
        <v>6966</v>
      </c>
      <c r="G646" t="s">
        <v>10155</v>
      </c>
      <c r="H646" t="s">
        <v>10156</v>
      </c>
      <c r="I646" t="s">
        <v>10147</v>
      </c>
      <c r="J646" t="s">
        <v>8577</v>
      </c>
      <c r="K646">
        <v>100</v>
      </c>
      <c r="L646" t="s">
        <v>7040</v>
      </c>
      <c r="M646" s="42">
        <v>1</v>
      </c>
      <c r="N646" s="42">
        <v>1</v>
      </c>
      <c r="O646">
        <v>343</v>
      </c>
      <c r="P646" s="42">
        <v>1</v>
      </c>
      <c r="Q646">
        <v>343</v>
      </c>
      <c r="R646">
        <v>60000</v>
      </c>
      <c r="S646">
        <v>60000</v>
      </c>
      <c r="T646">
        <v>55000</v>
      </c>
      <c r="U646" t="s">
        <v>10088</v>
      </c>
      <c r="V646" t="s">
        <v>10089</v>
      </c>
      <c r="W646">
        <v>1</v>
      </c>
      <c r="X646">
        <v>1</v>
      </c>
      <c r="Z646" s="42">
        <v>1</v>
      </c>
      <c r="AA646" s="42">
        <v>0.4</v>
      </c>
      <c r="AB646">
        <v>0</v>
      </c>
    </row>
    <row r="647">
      <c r="A647" t="s">
        <v>10159</v>
      </c>
      <c r="B647" t="s">
        <v>8805</v>
      </c>
      <c r="C647" t="s">
        <v>8805</v>
      </c>
      <c r="D647" t="s">
        <v>10153</v>
      </c>
      <c r="E647" t="s">
        <v>10160</v>
      </c>
      <c r="F647" t="s">
        <v>6966</v>
      </c>
      <c r="G647" t="s">
        <v>10155</v>
      </c>
      <c r="H647" t="s">
        <v>10156</v>
      </c>
      <c r="I647" t="s">
        <v>10147</v>
      </c>
      <c r="J647" t="s">
        <v>8577</v>
      </c>
      <c r="K647">
        <v>100</v>
      </c>
      <c r="L647" t="s">
        <v>7040</v>
      </c>
      <c r="M647" s="42">
        <v>1</v>
      </c>
      <c r="N647" s="42">
        <v>1</v>
      </c>
      <c r="O647">
        <v>313.5</v>
      </c>
      <c r="P647" s="42">
        <v>1</v>
      </c>
      <c r="Q647">
        <v>313.5</v>
      </c>
      <c r="R647">
        <v>20000</v>
      </c>
      <c r="S647">
        <v>20500</v>
      </c>
      <c r="T647">
        <v>55000</v>
      </c>
      <c r="U647" t="s">
        <v>10088</v>
      </c>
      <c r="V647" t="s">
        <v>10089</v>
      </c>
      <c r="W647">
        <v>1</v>
      </c>
      <c r="X647">
        <v>1</v>
      </c>
      <c r="Z647" s="42">
        <v>1</v>
      </c>
      <c r="AA647" s="42">
        <v>0.4</v>
      </c>
      <c r="AB647">
        <v>0</v>
      </c>
    </row>
    <row r="648">
      <c r="A648" t="s">
        <v>10161</v>
      </c>
      <c r="B648" t="s">
        <v>8805</v>
      </c>
      <c r="C648" t="s">
        <v>8805</v>
      </c>
      <c r="D648" t="s">
        <v>9678</v>
      </c>
      <c r="E648" t="s">
        <v>10162</v>
      </c>
      <c r="F648" t="s">
        <v>6966</v>
      </c>
      <c r="G648" t="s">
        <v>10155</v>
      </c>
      <c r="H648" t="s">
        <v>10156</v>
      </c>
      <c r="I648" t="s">
        <v>10147</v>
      </c>
      <c r="J648" t="s">
        <v>8577</v>
      </c>
      <c r="K648">
        <v>100</v>
      </c>
      <c r="L648" t="s">
        <v>7040</v>
      </c>
      <c r="M648" s="42">
        <v>1</v>
      </c>
      <c r="N648" s="42">
        <v>1</v>
      </c>
      <c r="O648">
        <v>321.5</v>
      </c>
      <c r="P648" s="42">
        <v>1</v>
      </c>
      <c r="Q648">
        <v>321.5</v>
      </c>
      <c r="R648">
        <v>40000</v>
      </c>
      <c r="S648">
        <v>40500</v>
      </c>
      <c r="T648">
        <v>10000</v>
      </c>
      <c r="U648" t="s">
        <v>10088</v>
      </c>
      <c r="V648" t="s">
        <v>10089</v>
      </c>
      <c r="W648">
        <v>1</v>
      </c>
      <c r="X648">
        <v>1</v>
      </c>
      <c r="Z648" s="42">
        <v>1</v>
      </c>
      <c r="AA648" s="42">
        <v>0.4</v>
      </c>
      <c r="AB648">
        <v>0</v>
      </c>
    </row>
    <row r="649">
      <c r="A649" t="s">
        <v>10163</v>
      </c>
      <c r="B649" t="s">
        <v>8805</v>
      </c>
      <c r="C649" t="s">
        <v>8805</v>
      </c>
      <c r="D649" t="s">
        <v>9678</v>
      </c>
      <c r="E649" t="s">
        <v>10164</v>
      </c>
      <c r="F649" t="s">
        <v>6966</v>
      </c>
      <c r="G649" t="s">
        <v>10155</v>
      </c>
      <c r="H649" t="s">
        <v>10156</v>
      </c>
      <c r="I649" t="s">
        <v>10147</v>
      </c>
      <c r="J649" t="s">
        <v>8577</v>
      </c>
      <c r="K649">
        <v>100</v>
      </c>
      <c r="L649" t="s">
        <v>7040</v>
      </c>
      <c r="M649" s="42">
        <v>1</v>
      </c>
      <c r="N649" s="42">
        <v>1</v>
      </c>
      <c r="O649">
        <v>288</v>
      </c>
      <c r="P649" s="42">
        <v>1</v>
      </c>
      <c r="Q649">
        <v>288</v>
      </c>
      <c r="R649">
        <v>500</v>
      </c>
      <c r="S649">
        <v>200</v>
      </c>
      <c r="T649">
        <v>10000</v>
      </c>
      <c r="U649" t="s">
        <v>10088</v>
      </c>
      <c r="V649" t="s">
        <v>10089</v>
      </c>
      <c r="W649">
        <v>1</v>
      </c>
      <c r="X649">
        <v>1</v>
      </c>
      <c r="Z649" s="42">
        <v>1</v>
      </c>
      <c r="AA649" s="42">
        <v>0.4</v>
      </c>
      <c r="AB649">
        <v>0</v>
      </c>
    </row>
    <row r="650">
      <c r="A650" t="s">
        <v>10165</v>
      </c>
      <c r="B650" t="s">
        <v>8805</v>
      </c>
      <c r="C650" t="s">
        <v>8805</v>
      </c>
      <c r="D650" t="s">
        <v>9678</v>
      </c>
      <c r="E650" t="s">
        <v>10166</v>
      </c>
      <c r="F650" t="s">
        <v>6966</v>
      </c>
      <c r="G650" t="s">
        <v>10155</v>
      </c>
      <c r="H650" t="s">
        <v>10156</v>
      </c>
      <c r="I650" t="s">
        <v>10147</v>
      </c>
      <c r="J650" t="s">
        <v>8577</v>
      </c>
      <c r="K650">
        <v>100</v>
      </c>
      <c r="L650" t="s">
        <v>7040</v>
      </c>
      <c r="M650" s="42">
        <v>1</v>
      </c>
      <c r="N650" s="42">
        <v>1</v>
      </c>
      <c r="O650">
        <v>280</v>
      </c>
      <c r="P650" s="42">
        <v>1</v>
      </c>
      <c r="Q650">
        <v>280</v>
      </c>
      <c r="R650">
        <v>6000</v>
      </c>
      <c r="S650">
        <v>6000</v>
      </c>
      <c r="T650">
        <v>10000</v>
      </c>
      <c r="U650" t="s">
        <v>10088</v>
      </c>
      <c r="V650" t="s">
        <v>10089</v>
      </c>
      <c r="W650">
        <v>1</v>
      </c>
      <c r="X650">
        <v>1</v>
      </c>
      <c r="Z650" s="42">
        <v>1</v>
      </c>
      <c r="AA650" s="42">
        <v>0.4</v>
      </c>
      <c r="AB650">
        <v>0</v>
      </c>
    </row>
    <row r="651">
      <c r="A651" t="s">
        <v>10167</v>
      </c>
      <c r="B651" t="s">
        <v>8805</v>
      </c>
      <c r="C651" t="s">
        <v>8805</v>
      </c>
      <c r="D651" t="s">
        <v>9678</v>
      </c>
      <c r="E651" t="s">
        <v>10168</v>
      </c>
      <c r="F651" t="s">
        <v>6966</v>
      </c>
      <c r="G651" t="s">
        <v>10155</v>
      </c>
      <c r="H651" t="s">
        <v>10156</v>
      </c>
      <c r="I651" t="s">
        <v>10147</v>
      </c>
      <c r="J651" t="s">
        <v>8577</v>
      </c>
      <c r="K651">
        <v>100</v>
      </c>
      <c r="L651" t="s">
        <v>7040</v>
      </c>
      <c r="M651" s="42">
        <v>1</v>
      </c>
      <c r="N651" s="42">
        <v>1</v>
      </c>
      <c r="O651">
        <v>249</v>
      </c>
      <c r="P651" s="42">
        <v>1</v>
      </c>
      <c r="Q651">
        <v>249</v>
      </c>
      <c r="R651">
        <v>16000</v>
      </c>
      <c r="S651">
        <v>16000</v>
      </c>
      <c r="T651">
        <v>10000</v>
      </c>
      <c r="U651" t="s">
        <v>10088</v>
      </c>
      <c r="V651" t="s">
        <v>10089</v>
      </c>
      <c r="W651">
        <v>1</v>
      </c>
      <c r="X651">
        <v>1</v>
      </c>
      <c r="Z651" s="42">
        <v>1</v>
      </c>
      <c r="AA651" s="42">
        <v>0.4</v>
      </c>
      <c r="AB651">
        <v>0</v>
      </c>
    </row>
    <row r="652">
      <c r="A652" t="s">
        <v>10169</v>
      </c>
      <c r="B652" t="s">
        <v>8805</v>
      </c>
      <c r="C652" t="s">
        <v>8805</v>
      </c>
      <c r="D652" t="s">
        <v>9678</v>
      </c>
      <c r="E652" t="s">
        <v>10170</v>
      </c>
      <c r="F652" t="s">
        <v>6966</v>
      </c>
      <c r="G652" t="s">
        <v>10155</v>
      </c>
      <c r="H652" t="s">
        <v>10156</v>
      </c>
      <c r="I652" t="s">
        <v>10147</v>
      </c>
      <c r="J652" t="s">
        <v>8577</v>
      </c>
      <c r="K652">
        <v>100</v>
      </c>
      <c r="L652" t="s">
        <v>7040</v>
      </c>
      <c r="M652" s="42">
        <v>1</v>
      </c>
      <c r="N652" s="42">
        <v>1</v>
      </c>
      <c r="O652">
        <v>265.5</v>
      </c>
      <c r="P652" s="42">
        <v>1</v>
      </c>
      <c r="Q652">
        <v>265.5</v>
      </c>
      <c r="R652">
        <v>2000</v>
      </c>
      <c r="S652">
        <v>2500</v>
      </c>
      <c r="T652">
        <v>10000</v>
      </c>
      <c r="U652" t="s">
        <v>10088</v>
      </c>
      <c r="V652" t="s">
        <v>10089</v>
      </c>
      <c r="W652">
        <v>1</v>
      </c>
      <c r="X652">
        <v>1</v>
      </c>
      <c r="Z652" s="42">
        <v>1</v>
      </c>
      <c r="AA652" s="42">
        <v>0.4</v>
      </c>
      <c r="AB652">
        <v>0</v>
      </c>
    </row>
    <row r="653">
      <c r="A653" t="s">
        <v>10171</v>
      </c>
      <c r="B653" t="s">
        <v>8805</v>
      </c>
      <c r="C653" t="s">
        <v>8805</v>
      </c>
      <c r="D653" t="s">
        <v>9678</v>
      </c>
      <c r="E653" t="s">
        <v>10172</v>
      </c>
      <c r="F653" t="s">
        <v>6966</v>
      </c>
      <c r="G653" t="s">
        <v>10155</v>
      </c>
      <c r="H653" t="s">
        <v>10156</v>
      </c>
      <c r="I653" t="s">
        <v>10147</v>
      </c>
      <c r="J653" t="s">
        <v>8577</v>
      </c>
      <c r="K653">
        <v>100</v>
      </c>
      <c r="L653" t="s">
        <v>7040</v>
      </c>
      <c r="M653" s="42">
        <v>1</v>
      </c>
      <c r="N653" s="42">
        <v>1</v>
      </c>
      <c r="O653">
        <v>373</v>
      </c>
      <c r="P653" s="42">
        <v>1</v>
      </c>
      <c r="Q653">
        <v>373</v>
      </c>
      <c r="R653">
        <v>13000</v>
      </c>
      <c r="S653">
        <v>13000</v>
      </c>
      <c r="T653">
        <v>10000</v>
      </c>
      <c r="U653" t="s">
        <v>10088</v>
      </c>
      <c r="V653" t="s">
        <v>10089</v>
      </c>
      <c r="W653">
        <v>1</v>
      </c>
      <c r="X653">
        <v>1</v>
      </c>
      <c r="Z653" s="42">
        <v>1</v>
      </c>
      <c r="AA653" s="42">
        <v>0.4</v>
      </c>
      <c r="AB653">
        <v>0</v>
      </c>
    </row>
    <row r="654">
      <c r="A654" t="s">
        <v>10173</v>
      </c>
      <c r="B654" t="s">
        <v>8805</v>
      </c>
      <c r="C654" t="s">
        <v>8805</v>
      </c>
      <c r="D654" t="s">
        <v>10153</v>
      </c>
      <c r="E654" t="s">
        <v>10174</v>
      </c>
      <c r="F654" t="s">
        <v>6966</v>
      </c>
      <c r="G654" t="s">
        <v>10155</v>
      </c>
      <c r="H654" t="s">
        <v>10156</v>
      </c>
      <c r="I654" t="s">
        <v>10147</v>
      </c>
      <c r="J654" t="s">
        <v>8577</v>
      </c>
      <c r="K654">
        <v>100</v>
      </c>
      <c r="L654" t="s">
        <v>7040</v>
      </c>
      <c r="M654" s="42">
        <v>1</v>
      </c>
      <c r="N654" s="42">
        <v>1</v>
      </c>
      <c r="O654">
        <v>319</v>
      </c>
      <c r="P654" s="42">
        <v>1</v>
      </c>
      <c r="Q654">
        <v>319</v>
      </c>
      <c r="R654">
        <v>30000</v>
      </c>
      <c r="S654">
        <v>30000</v>
      </c>
      <c r="T654">
        <v>100000</v>
      </c>
      <c r="U654" t="s">
        <v>10088</v>
      </c>
      <c r="V654" t="s">
        <v>10089</v>
      </c>
      <c r="W654">
        <v>1</v>
      </c>
      <c r="X654">
        <v>1</v>
      </c>
      <c r="Z654" s="42">
        <v>1</v>
      </c>
      <c r="AA654" s="42">
        <v>0.4</v>
      </c>
      <c r="AB654">
        <v>0</v>
      </c>
    </row>
    <row r="655">
      <c r="A655" t="s">
        <v>10175</v>
      </c>
      <c r="B655" t="s">
        <v>8805</v>
      </c>
      <c r="C655" t="s">
        <v>8805</v>
      </c>
      <c r="D655" t="s">
        <v>9678</v>
      </c>
      <c r="E655" t="s">
        <v>10176</v>
      </c>
      <c r="F655" t="s">
        <v>6966</v>
      </c>
      <c r="G655" t="s">
        <v>10155</v>
      </c>
      <c r="H655" t="s">
        <v>10156</v>
      </c>
      <c r="I655" t="s">
        <v>10147</v>
      </c>
      <c r="J655" t="s">
        <v>8577</v>
      </c>
      <c r="K655">
        <v>100</v>
      </c>
      <c r="L655" t="s">
        <v>7040</v>
      </c>
      <c r="M655" s="42">
        <v>1</v>
      </c>
      <c r="N655" s="42">
        <v>1</v>
      </c>
      <c r="O655">
        <v>254</v>
      </c>
      <c r="P655" s="42">
        <v>1</v>
      </c>
      <c r="Q655">
        <v>254</v>
      </c>
      <c r="R655">
        <v>0</v>
      </c>
      <c r="S655">
        <v>0</v>
      </c>
      <c r="T655">
        <v>10000</v>
      </c>
      <c r="U655" t="s">
        <v>10088</v>
      </c>
      <c r="V655" t="s">
        <v>10089</v>
      </c>
      <c r="W655">
        <v>1</v>
      </c>
      <c r="X655">
        <v>1</v>
      </c>
      <c r="Z655" s="42">
        <v>1</v>
      </c>
      <c r="AA655" s="42">
        <v>0.4</v>
      </c>
      <c r="AB655">
        <v>0</v>
      </c>
    </row>
    <row r="656">
      <c r="A656" t="s">
        <v>10177</v>
      </c>
      <c r="B656" t="s">
        <v>8805</v>
      </c>
      <c r="C656" t="s">
        <v>8805</v>
      </c>
      <c r="D656" t="s">
        <v>9678</v>
      </c>
      <c r="E656" t="s">
        <v>10178</v>
      </c>
      <c r="F656" t="s">
        <v>6966</v>
      </c>
      <c r="G656" t="s">
        <v>10155</v>
      </c>
      <c r="H656" t="s">
        <v>10156</v>
      </c>
      <c r="I656" t="s">
        <v>10147</v>
      </c>
      <c r="J656" t="s">
        <v>8577</v>
      </c>
      <c r="K656">
        <v>100</v>
      </c>
      <c r="L656" t="s">
        <v>7040</v>
      </c>
      <c r="M656" s="42">
        <v>1</v>
      </c>
      <c r="N656" s="42">
        <v>1</v>
      </c>
      <c r="O656">
        <v>293</v>
      </c>
      <c r="P656" s="42">
        <v>1</v>
      </c>
      <c r="Q656">
        <v>293</v>
      </c>
      <c r="R656">
        <v>8000</v>
      </c>
      <c r="S656">
        <v>8200</v>
      </c>
      <c r="T656">
        <v>10000</v>
      </c>
      <c r="U656" t="s">
        <v>10088</v>
      </c>
      <c r="V656" t="s">
        <v>10089</v>
      </c>
      <c r="W656">
        <v>1</v>
      </c>
      <c r="X656">
        <v>1</v>
      </c>
      <c r="Z656" s="42">
        <v>1</v>
      </c>
      <c r="AA656" s="42">
        <v>0.4</v>
      </c>
      <c r="AB656">
        <v>0</v>
      </c>
    </row>
    <row r="657">
      <c r="A657" t="s">
        <v>10179</v>
      </c>
      <c r="B657" t="s">
        <v>8805</v>
      </c>
      <c r="C657" t="s">
        <v>8805</v>
      </c>
      <c r="D657" t="s">
        <v>9678</v>
      </c>
      <c r="E657" t="s">
        <v>10180</v>
      </c>
      <c r="F657" t="s">
        <v>6966</v>
      </c>
      <c r="G657" t="s">
        <v>10155</v>
      </c>
      <c r="H657" t="s">
        <v>10156</v>
      </c>
      <c r="I657" t="s">
        <v>10147</v>
      </c>
      <c r="J657" t="s">
        <v>8577</v>
      </c>
      <c r="K657">
        <v>100</v>
      </c>
      <c r="L657" t="s">
        <v>7040</v>
      </c>
      <c r="M657" s="42">
        <v>1</v>
      </c>
      <c r="N657" s="42">
        <v>1</v>
      </c>
      <c r="O657">
        <v>238</v>
      </c>
      <c r="P657" s="42">
        <v>1</v>
      </c>
      <c r="Q657">
        <v>238</v>
      </c>
      <c r="R657">
        <v>300</v>
      </c>
      <c r="S657">
        <v>0</v>
      </c>
      <c r="T657">
        <v>10000</v>
      </c>
      <c r="U657" t="s">
        <v>10088</v>
      </c>
      <c r="V657" t="s">
        <v>10089</v>
      </c>
      <c r="W657">
        <v>1</v>
      </c>
      <c r="X657">
        <v>1</v>
      </c>
      <c r="Z657" s="42">
        <v>1</v>
      </c>
      <c r="AA657" s="42">
        <v>0.4</v>
      </c>
      <c r="AB657">
        <v>0</v>
      </c>
    </row>
    <row r="658">
      <c r="A658" t="s">
        <v>10181</v>
      </c>
      <c r="B658" t="s">
        <v>8805</v>
      </c>
      <c r="C658" t="s">
        <v>8805</v>
      </c>
      <c r="D658" t="s">
        <v>9678</v>
      </c>
      <c r="E658" t="s">
        <v>10182</v>
      </c>
      <c r="F658" t="s">
        <v>6966</v>
      </c>
      <c r="G658" t="s">
        <v>10155</v>
      </c>
      <c r="H658" t="s">
        <v>10156</v>
      </c>
      <c r="I658" t="s">
        <v>10147</v>
      </c>
      <c r="J658" t="s">
        <v>8577</v>
      </c>
      <c r="K658">
        <v>100</v>
      </c>
      <c r="L658" t="s">
        <v>7040</v>
      </c>
      <c r="M658" s="42">
        <v>1</v>
      </c>
      <c r="N658" s="42">
        <v>1</v>
      </c>
      <c r="O658">
        <v>0</v>
      </c>
      <c r="P658" s="42">
        <v>1</v>
      </c>
      <c r="Q658">
        <v>0</v>
      </c>
      <c r="R658">
        <v>0</v>
      </c>
      <c r="S658">
        <v>0</v>
      </c>
      <c r="T658">
        <v>10000</v>
      </c>
      <c r="U658" t="s">
        <v>10088</v>
      </c>
      <c r="V658" t="s">
        <v>10089</v>
      </c>
      <c r="W658">
        <v>1</v>
      </c>
      <c r="X658">
        <v>1</v>
      </c>
      <c r="Z658" s="42">
        <v>1</v>
      </c>
      <c r="AA658" s="42">
        <v>0.4</v>
      </c>
      <c r="AB658">
        <v>0</v>
      </c>
    </row>
    <row r="659">
      <c r="A659" t="s">
        <v>10183</v>
      </c>
      <c r="B659" t="s">
        <v>8805</v>
      </c>
      <c r="C659" t="s">
        <v>8805</v>
      </c>
      <c r="D659" t="s">
        <v>9678</v>
      </c>
      <c r="E659" t="s">
        <v>10184</v>
      </c>
      <c r="F659" t="s">
        <v>6966</v>
      </c>
      <c r="G659" t="s">
        <v>10155</v>
      </c>
      <c r="H659" t="s">
        <v>10156</v>
      </c>
      <c r="I659" t="s">
        <v>10147</v>
      </c>
      <c r="J659" t="s">
        <v>8577</v>
      </c>
      <c r="K659">
        <v>100</v>
      </c>
      <c r="L659" t="s">
        <v>7040</v>
      </c>
      <c r="M659" s="42">
        <v>1</v>
      </c>
      <c r="N659" s="42">
        <v>1</v>
      </c>
      <c r="O659">
        <v>0</v>
      </c>
      <c r="P659" s="42">
        <v>1</v>
      </c>
      <c r="Q659">
        <v>0</v>
      </c>
      <c r="R659">
        <v>0</v>
      </c>
      <c r="S659">
        <v>0</v>
      </c>
      <c r="T659">
        <v>10000</v>
      </c>
      <c r="U659" t="s">
        <v>10088</v>
      </c>
      <c r="V659" t="s">
        <v>10089</v>
      </c>
      <c r="W659">
        <v>1</v>
      </c>
      <c r="X659">
        <v>1</v>
      </c>
      <c r="Z659" s="42">
        <v>1</v>
      </c>
      <c r="AA659" s="42">
        <v>0.4</v>
      </c>
      <c r="AB659">
        <v>0</v>
      </c>
    </row>
    <row r="660">
      <c r="A660" t="s">
        <v>10185</v>
      </c>
      <c r="B660" t="s">
        <v>8805</v>
      </c>
      <c r="C660" t="s">
        <v>8805</v>
      </c>
      <c r="D660" t="s">
        <v>9678</v>
      </c>
      <c r="E660" t="s">
        <v>10186</v>
      </c>
      <c r="F660" t="s">
        <v>6966</v>
      </c>
      <c r="G660" t="s">
        <v>10155</v>
      </c>
      <c r="H660" t="s">
        <v>10156</v>
      </c>
      <c r="I660" t="s">
        <v>10147</v>
      </c>
      <c r="J660" t="s">
        <v>8577</v>
      </c>
      <c r="K660">
        <v>100</v>
      </c>
      <c r="L660" t="s">
        <v>7040</v>
      </c>
      <c r="M660" s="42">
        <v>1</v>
      </c>
      <c r="N660" s="42">
        <v>1</v>
      </c>
      <c r="O660">
        <v>190</v>
      </c>
      <c r="P660" s="42">
        <v>1</v>
      </c>
      <c r="Q660">
        <v>190</v>
      </c>
      <c r="R660">
        <v>0</v>
      </c>
      <c r="S660">
        <v>0</v>
      </c>
      <c r="T660">
        <v>10000</v>
      </c>
      <c r="U660" t="s">
        <v>10088</v>
      </c>
      <c r="V660" t="s">
        <v>10089</v>
      </c>
      <c r="W660">
        <v>1</v>
      </c>
      <c r="X660">
        <v>1</v>
      </c>
      <c r="Z660" s="42">
        <v>1</v>
      </c>
      <c r="AA660" s="42">
        <v>0.4</v>
      </c>
      <c r="AB660">
        <v>0</v>
      </c>
    </row>
    <row r="661">
      <c r="A661" t="s">
        <v>10187</v>
      </c>
      <c r="B661" t="s">
        <v>8805</v>
      </c>
      <c r="C661" t="s">
        <v>8805</v>
      </c>
      <c r="D661" t="s">
        <v>9678</v>
      </c>
      <c r="E661" t="s">
        <v>10188</v>
      </c>
      <c r="F661" t="s">
        <v>6966</v>
      </c>
      <c r="G661" t="s">
        <v>10155</v>
      </c>
      <c r="H661" t="s">
        <v>10156</v>
      </c>
      <c r="I661" t="s">
        <v>10147</v>
      </c>
      <c r="J661" t="s">
        <v>8577</v>
      </c>
      <c r="K661">
        <v>100</v>
      </c>
      <c r="L661" t="s">
        <v>7040</v>
      </c>
      <c r="M661" s="42">
        <v>1</v>
      </c>
      <c r="N661" s="42">
        <v>1</v>
      </c>
      <c r="O661">
        <v>0</v>
      </c>
      <c r="P661" s="42">
        <v>1</v>
      </c>
      <c r="Q661">
        <v>0</v>
      </c>
      <c r="R661">
        <v>0</v>
      </c>
      <c r="S661">
        <v>0</v>
      </c>
      <c r="T661">
        <v>10000</v>
      </c>
      <c r="U661" t="s">
        <v>10088</v>
      </c>
      <c r="V661" t="s">
        <v>10089</v>
      </c>
      <c r="W661">
        <v>1</v>
      </c>
      <c r="X661">
        <v>1</v>
      </c>
      <c r="Z661" s="42">
        <v>1</v>
      </c>
      <c r="AA661" s="42">
        <v>0.4</v>
      </c>
      <c r="AB661">
        <v>0</v>
      </c>
    </row>
    <row r="662">
      <c r="A662" t="s">
        <v>10189</v>
      </c>
      <c r="B662" t="s">
        <v>8805</v>
      </c>
      <c r="C662" t="s">
        <v>8805</v>
      </c>
      <c r="D662" t="s">
        <v>9678</v>
      </c>
      <c r="E662" t="s">
        <v>10190</v>
      </c>
      <c r="F662" t="s">
        <v>6966</v>
      </c>
      <c r="G662" t="s">
        <v>10155</v>
      </c>
      <c r="H662" t="s">
        <v>10156</v>
      </c>
      <c r="I662" t="s">
        <v>10147</v>
      </c>
      <c r="J662" t="s">
        <v>8577</v>
      </c>
      <c r="K662">
        <v>100</v>
      </c>
      <c r="L662" t="s">
        <v>7040</v>
      </c>
      <c r="M662" s="42">
        <v>1</v>
      </c>
      <c r="N662" s="42">
        <v>1</v>
      </c>
      <c r="O662">
        <v>0</v>
      </c>
      <c r="P662" s="42">
        <v>1</v>
      </c>
      <c r="Q662">
        <v>0</v>
      </c>
      <c r="R662">
        <v>0</v>
      </c>
      <c r="S662">
        <v>0</v>
      </c>
      <c r="T662">
        <v>10000</v>
      </c>
      <c r="U662" t="s">
        <v>10088</v>
      </c>
      <c r="V662" t="s">
        <v>10089</v>
      </c>
      <c r="W662">
        <v>1</v>
      </c>
      <c r="X662">
        <v>1</v>
      </c>
      <c r="Z662" s="42">
        <v>1</v>
      </c>
      <c r="AA662" s="42">
        <v>0.4</v>
      </c>
      <c r="AB662">
        <v>0</v>
      </c>
    </row>
    <row r="663">
      <c r="A663" t="s">
        <v>10191</v>
      </c>
      <c r="B663" t="s">
        <v>8805</v>
      </c>
      <c r="C663" t="s">
        <v>8805</v>
      </c>
      <c r="D663" t="s">
        <v>9404</v>
      </c>
      <c r="E663" t="s">
        <v>10192</v>
      </c>
      <c r="F663" t="s">
        <v>6966</v>
      </c>
      <c r="G663" t="s">
        <v>10193</v>
      </c>
      <c r="H663" t="s">
        <v>10194</v>
      </c>
      <c r="I663" t="s">
        <v>10147</v>
      </c>
      <c r="J663" t="s">
        <v>10195</v>
      </c>
      <c r="K663" t="s">
        <v>8577</v>
      </c>
      <c r="L663" t="s">
        <v>7040</v>
      </c>
      <c r="M663" s="42">
        <v>0.925</v>
      </c>
      <c r="N663" s="42">
        <v>0.1</v>
      </c>
      <c r="O663">
        <v>9.25</v>
      </c>
      <c r="P663" s="42">
        <v>0.9844</v>
      </c>
      <c r="Q663">
        <v>98.44</v>
      </c>
      <c r="R663">
        <v>1000</v>
      </c>
      <c r="S663">
        <v>1225</v>
      </c>
      <c r="T663">
        <v>1000</v>
      </c>
      <c r="U663" t="s">
        <v>10088</v>
      </c>
      <c r="V663" t="s">
        <v>10089</v>
      </c>
      <c r="W663">
        <v>1</v>
      </c>
      <c r="X663">
        <v>1</v>
      </c>
      <c r="Z663" s="42">
        <v>1</v>
      </c>
      <c r="AA663" s="42">
        <v>0.4</v>
      </c>
      <c r="AB663">
        <v>0</v>
      </c>
    </row>
    <row r="664">
      <c r="A664" t="s">
        <v>10196</v>
      </c>
      <c r="B664" t="s">
        <v>8805</v>
      </c>
      <c r="C664" t="s">
        <v>8805</v>
      </c>
      <c r="D664" t="s">
        <v>9404</v>
      </c>
      <c r="E664" t="s">
        <v>10197</v>
      </c>
      <c r="F664" t="s">
        <v>6966</v>
      </c>
      <c r="G664" t="s">
        <v>10193</v>
      </c>
      <c r="H664" t="s">
        <v>10194</v>
      </c>
      <c r="I664" t="s">
        <v>10147</v>
      </c>
      <c r="J664" t="s">
        <v>10195</v>
      </c>
      <c r="K664" t="s">
        <v>8577</v>
      </c>
      <c r="L664" t="s">
        <v>7040</v>
      </c>
      <c r="M664" s="42">
        <v>0.9375</v>
      </c>
      <c r="N664" s="42">
        <v>0.1</v>
      </c>
      <c r="O664">
        <v>9.375</v>
      </c>
      <c r="P664" s="42">
        <v>0.98565</v>
      </c>
      <c r="Q664">
        <v>98.57</v>
      </c>
      <c r="R664">
        <v>1200</v>
      </c>
      <c r="S664">
        <v>1650</v>
      </c>
      <c r="T664">
        <v>1000</v>
      </c>
      <c r="U664" t="s">
        <v>10088</v>
      </c>
      <c r="V664" t="s">
        <v>10089</v>
      </c>
      <c r="W664">
        <v>1</v>
      </c>
      <c r="X664">
        <v>1</v>
      </c>
      <c r="Z664" s="42">
        <v>1</v>
      </c>
      <c r="AA664" s="42">
        <v>0.4</v>
      </c>
      <c r="AB664">
        <v>0</v>
      </c>
    </row>
    <row r="665">
      <c r="A665" t="s">
        <v>10198</v>
      </c>
      <c r="B665" t="s">
        <v>8805</v>
      </c>
      <c r="C665" t="s">
        <v>8805</v>
      </c>
      <c r="D665" t="s">
        <v>9404</v>
      </c>
      <c r="E665" t="s">
        <v>10199</v>
      </c>
      <c r="F665" t="s">
        <v>6966</v>
      </c>
      <c r="G665" t="s">
        <v>10193</v>
      </c>
      <c r="H665" t="s">
        <v>10194</v>
      </c>
      <c r="I665" t="s">
        <v>10147</v>
      </c>
      <c r="J665" t="s">
        <v>10195</v>
      </c>
      <c r="K665" t="s">
        <v>8577</v>
      </c>
      <c r="L665" t="s">
        <v>7040</v>
      </c>
      <c r="M665" s="42">
        <v>0.95</v>
      </c>
      <c r="N665" s="42">
        <v>0.1</v>
      </c>
      <c r="O665">
        <v>9.5</v>
      </c>
      <c r="P665" s="42">
        <v>0.9929</v>
      </c>
      <c r="Q665">
        <v>99.29</v>
      </c>
      <c r="R665">
        <v>1600</v>
      </c>
      <c r="S665">
        <v>1750</v>
      </c>
      <c r="T665">
        <v>1000</v>
      </c>
      <c r="U665" t="s">
        <v>10088</v>
      </c>
      <c r="V665" t="s">
        <v>10089</v>
      </c>
      <c r="W665">
        <v>1</v>
      </c>
      <c r="X665">
        <v>1</v>
      </c>
      <c r="Z665" s="42">
        <v>1</v>
      </c>
      <c r="AA665" s="42">
        <v>0.4</v>
      </c>
      <c r="AB665">
        <v>0</v>
      </c>
    </row>
    <row r="666">
      <c r="A666" t="s">
        <v>10200</v>
      </c>
      <c r="B666" t="s">
        <v>8805</v>
      </c>
      <c r="C666" t="s">
        <v>8805</v>
      </c>
      <c r="D666" t="s">
        <v>9404</v>
      </c>
      <c r="E666" t="s">
        <v>10201</v>
      </c>
      <c r="F666" t="s">
        <v>6966</v>
      </c>
      <c r="G666" t="s">
        <v>10193</v>
      </c>
      <c r="H666" t="s">
        <v>10194</v>
      </c>
      <c r="I666" t="s">
        <v>10147</v>
      </c>
      <c r="J666" t="s">
        <v>10195</v>
      </c>
      <c r="K666" t="s">
        <v>8577</v>
      </c>
      <c r="L666" t="s">
        <v>7040</v>
      </c>
      <c r="M666" s="42">
        <v>0.925</v>
      </c>
      <c r="N666" s="42">
        <v>0.1</v>
      </c>
      <c r="O666">
        <v>9.25</v>
      </c>
      <c r="P666" s="42">
        <v>0.9775</v>
      </c>
      <c r="Q666">
        <v>97.75</v>
      </c>
      <c r="R666">
        <v>300</v>
      </c>
      <c r="S666">
        <v>300</v>
      </c>
      <c r="T666">
        <v>1000</v>
      </c>
      <c r="U666" t="s">
        <v>10088</v>
      </c>
      <c r="V666" t="s">
        <v>10089</v>
      </c>
      <c r="W666">
        <v>1</v>
      </c>
      <c r="X666">
        <v>1</v>
      </c>
      <c r="Z666" s="42">
        <v>1</v>
      </c>
      <c r="AA666" s="42">
        <v>0.4</v>
      </c>
      <c r="AB666">
        <v>0</v>
      </c>
    </row>
    <row r="667">
      <c r="A667" t="s">
        <v>10202</v>
      </c>
      <c r="B667" t="s">
        <v>8805</v>
      </c>
      <c r="C667" t="s">
        <v>8805</v>
      </c>
      <c r="D667" t="s">
        <v>9404</v>
      </c>
      <c r="E667" t="s">
        <v>10203</v>
      </c>
      <c r="F667" t="s">
        <v>6966</v>
      </c>
      <c r="G667" t="s">
        <v>10193</v>
      </c>
      <c r="H667" t="s">
        <v>10194</v>
      </c>
      <c r="I667" t="s">
        <v>10147</v>
      </c>
      <c r="J667" t="s">
        <v>10195</v>
      </c>
      <c r="K667" t="s">
        <v>8577</v>
      </c>
      <c r="L667" t="s">
        <v>7040</v>
      </c>
      <c r="M667" s="42">
        <v>0.9375</v>
      </c>
      <c r="N667" s="42">
        <v>0.1</v>
      </c>
      <c r="O667">
        <v>9.375</v>
      </c>
      <c r="P667" s="42">
        <v>0.99315</v>
      </c>
      <c r="Q667">
        <v>99.32</v>
      </c>
      <c r="R667">
        <v>2050</v>
      </c>
      <c r="S667">
        <v>2200</v>
      </c>
      <c r="T667">
        <v>1000</v>
      </c>
      <c r="U667" t="s">
        <v>10088</v>
      </c>
      <c r="V667" t="s">
        <v>10089</v>
      </c>
      <c r="W667">
        <v>1</v>
      </c>
      <c r="X667">
        <v>1</v>
      </c>
      <c r="Z667" s="42">
        <v>1</v>
      </c>
      <c r="AA667" s="42">
        <v>0.4</v>
      </c>
      <c r="AB667">
        <v>0</v>
      </c>
    </row>
    <row r="668">
      <c r="A668" t="s">
        <v>10204</v>
      </c>
      <c r="B668" t="s">
        <v>8805</v>
      </c>
      <c r="C668" t="s">
        <v>8805</v>
      </c>
      <c r="D668" t="s">
        <v>9404</v>
      </c>
      <c r="E668" t="s">
        <v>10205</v>
      </c>
      <c r="F668" t="s">
        <v>6966</v>
      </c>
      <c r="G668" t="s">
        <v>10193</v>
      </c>
      <c r="H668" t="s">
        <v>10194</v>
      </c>
      <c r="I668" t="s">
        <v>10147</v>
      </c>
      <c r="J668" t="s">
        <v>10195</v>
      </c>
      <c r="K668" t="s">
        <v>8577</v>
      </c>
      <c r="L668" t="s">
        <v>7040</v>
      </c>
      <c r="M668" s="42">
        <v>0.925</v>
      </c>
      <c r="N668" s="42">
        <v>0.1</v>
      </c>
      <c r="O668">
        <v>9.25</v>
      </c>
      <c r="P668" s="42">
        <v>0.9853</v>
      </c>
      <c r="Q668">
        <v>98.53</v>
      </c>
      <c r="R668">
        <v>1200</v>
      </c>
      <c r="S668">
        <v>1425</v>
      </c>
      <c r="T668">
        <v>1000</v>
      </c>
      <c r="U668" t="s">
        <v>10088</v>
      </c>
      <c r="V668" t="s">
        <v>10089</v>
      </c>
      <c r="W668">
        <v>1</v>
      </c>
      <c r="X668">
        <v>1</v>
      </c>
      <c r="Z668" s="42">
        <v>1</v>
      </c>
      <c r="AA668" s="42">
        <v>0.4</v>
      </c>
      <c r="AB668">
        <v>0</v>
      </c>
    </row>
    <row r="669">
      <c r="A669" t="s">
        <v>10206</v>
      </c>
      <c r="B669" t="s">
        <v>8805</v>
      </c>
      <c r="C669" t="s">
        <v>8805</v>
      </c>
      <c r="D669" t="s">
        <v>9404</v>
      </c>
      <c r="E669" t="s">
        <v>10207</v>
      </c>
      <c r="F669" t="s">
        <v>6966</v>
      </c>
      <c r="G669" t="s">
        <v>10193</v>
      </c>
      <c r="H669" t="s">
        <v>10194</v>
      </c>
      <c r="I669" t="s">
        <v>10147</v>
      </c>
      <c r="J669" t="s">
        <v>10195</v>
      </c>
      <c r="K669" t="s">
        <v>8577</v>
      </c>
      <c r="L669" t="s">
        <v>7040</v>
      </c>
      <c r="M669" s="42">
        <v>0.925</v>
      </c>
      <c r="N669" s="42">
        <v>0.1</v>
      </c>
      <c r="O669">
        <v>9.25</v>
      </c>
      <c r="P669" s="42">
        <v>0.9811</v>
      </c>
      <c r="Q669">
        <v>98.11</v>
      </c>
      <c r="R669">
        <v>950</v>
      </c>
      <c r="S669">
        <v>1100</v>
      </c>
      <c r="T669">
        <v>1000</v>
      </c>
      <c r="U669" t="s">
        <v>10088</v>
      </c>
      <c r="V669" t="s">
        <v>10089</v>
      </c>
      <c r="W669">
        <v>1</v>
      </c>
      <c r="X669">
        <v>1</v>
      </c>
      <c r="Z669" s="42">
        <v>1</v>
      </c>
      <c r="AA669" s="42">
        <v>0.4</v>
      </c>
      <c r="AB669">
        <v>0</v>
      </c>
    </row>
    <row r="670">
      <c r="A670" t="s">
        <v>10208</v>
      </c>
      <c r="B670" t="s">
        <v>8805</v>
      </c>
      <c r="C670" t="s">
        <v>8805</v>
      </c>
      <c r="D670" t="s">
        <v>9404</v>
      </c>
      <c r="E670" t="s">
        <v>10209</v>
      </c>
      <c r="F670" t="s">
        <v>6966</v>
      </c>
      <c r="G670" t="s">
        <v>10193</v>
      </c>
      <c r="H670" t="s">
        <v>10194</v>
      </c>
      <c r="I670" t="s">
        <v>10147</v>
      </c>
      <c r="J670" t="s">
        <v>10195</v>
      </c>
      <c r="K670" t="s">
        <v>8577</v>
      </c>
      <c r="L670" t="s">
        <v>7040</v>
      </c>
      <c r="M670" s="42">
        <v>0.9125</v>
      </c>
      <c r="N670" s="42">
        <v>0.1</v>
      </c>
      <c r="O670">
        <v>9.125</v>
      </c>
      <c r="P670" s="42">
        <v>0.98615</v>
      </c>
      <c r="Q670">
        <v>98.62</v>
      </c>
      <c r="R670">
        <v>1500</v>
      </c>
      <c r="S670">
        <v>1500</v>
      </c>
      <c r="T670">
        <v>1000</v>
      </c>
      <c r="U670" t="s">
        <v>10088</v>
      </c>
      <c r="V670" t="s">
        <v>10089</v>
      </c>
      <c r="W670">
        <v>1</v>
      </c>
      <c r="X670">
        <v>1</v>
      </c>
      <c r="Z670" s="42">
        <v>1</v>
      </c>
      <c r="AA670" s="42">
        <v>0.4</v>
      </c>
      <c r="AB670">
        <v>0</v>
      </c>
    </row>
    <row r="671">
      <c r="A671" t="s">
        <v>10210</v>
      </c>
      <c r="B671" t="s">
        <v>8805</v>
      </c>
      <c r="C671" t="s">
        <v>8805</v>
      </c>
      <c r="D671" t="s">
        <v>9404</v>
      </c>
      <c r="E671" t="s">
        <v>10211</v>
      </c>
      <c r="F671" t="s">
        <v>6966</v>
      </c>
      <c r="G671" t="s">
        <v>10193</v>
      </c>
      <c r="H671" t="s">
        <v>10194</v>
      </c>
      <c r="I671" t="s">
        <v>10147</v>
      </c>
      <c r="J671" t="s">
        <v>10195</v>
      </c>
      <c r="K671" t="s">
        <v>8577</v>
      </c>
      <c r="L671" t="s">
        <v>7040</v>
      </c>
      <c r="M671" s="42">
        <v>0.925</v>
      </c>
      <c r="N671" s="42">
        <v>0.1</v>
      </c>
      <c r="O671">
        <v>9.25</v>
      </c>
      <c r="P671" s="42">
        <v>0.9778</v>
      </c>
      <c r="Q671">
        <v>97.78</v>
      </c>
      <c r="R671">
        <v>400</v>
      </c>
      <c r="S671">
        <v>700</v>
      </c>
      <c r="T671">
        <v>1000</v>
      </c>
      <c r="U671" t="s">
        <v>10088</v>
      </c>
      <c r="V671" t="s">
        <v>10089</v>
      </c>
      <c r="W671">
        <v>1</v>
      </c>
      <c r="X671">
        <v>1</v>
      </c>
      <c r="Z671" s="42">
        <v>1</v>
      </c>
      <c r="AA671" s="42">
        <v>0.4</v>
      </c>
      <c r="AB671">
        <v>0</v>
      </c>
    </row>
    <row r="672">
      <c r="A672" t="s">
        <v>10212</v>
      </c>
      <c r="B672" t="s">
        <v>8805</v>
      </c>
      <c r="C672" t="s">
        <v>8805</v>
      </c>
      <c r="D672" t="s">
        <v>9404</v>
      </c>
      <c r="E672" t="s">
        <v>10213</v>
      </c>
      <c r="F672" t="s">
        <v>6966</v>
      </c>
      <c r="G672" t="s">
        <v>10193</v>
      </c>
      <c r="H672" t="s">
        <v>10194</v>
      </c>
      <c r="I672" t="s">
        <v>10147</v>
      </c>
      <c r="J672" t="s">
        <v>10195</v>
      </c>
      <c r="K672" t="s">
        <v>8577</v>
      </c>
      <c r="L672" t="s">
        <v>7040</v>
      </c>
      <c r="M672" s="42">
        <v>0.9</v>
      </c>
      <c r="N672" s="42">
        <v>0.1</v>
      </c>
      <c r="O672">
        <v>9</v>
      </c>
      <c r="P672" s="42">
        <v>0.9615</v>
      </c>
      <c r="Q672">
        <v>96.15</v>
      </c>
      <c r="R672">
        <v>400</v>
      </c>
      <c r="S672">
        <v>625</v>
      </c>
      <c r="T672">
        <v>1000</v>
      </c>
      <c r="U672" t="s">
        <v>10088</v>
      </c>
      <c r="V672" t="s">
        <v>10089</v>
      </c>
      <c r="W672">
        <v>1</v>
      </c>
      <c r="X672">
        <v>1</v>
      </c>
      <c r="Z672" s="42">
        <v>1</v>
      </c>
      <c r="AA672" s="42">
        <v>0.4</v>
      </c>
      <c r="AB672">
        <v>0</v>
      </c>
    </row>
    <row r="673">
      <c r="A673" t="s">
        <v>10214</v>
      </c>
      <c r="B673" t="s">
        <v>8805</v>
      </c>
      <c r="C673" t="s">
        <v>8805</v>
      </c>
      <c r="D673" t="s">
        <v>9404</v>
      </c>
      <c r="E673" t="s">
        <v>10215</v>
      </c>
      <c r="F673" t="s">
        <v>6966</v>
      </c>
      <c r="G673" t="s">
        <v>10193</v>
      </c>
      <c r="H673" t="s">
        <v>10194</v>
      </c>
      <c r="I673" t="s">
        <v>10147</v>
      </c>
      <c r="J673" t="s">
        <v>10195</v>
      </c>
      <c r="K673" t="s">
        <v>8577</v>
      </c>
      <c r="L673" t="s">
        <v>7040</v>
      </c>
      <c r="M673" s="42">
        <v>0.925</v>
      </c>
      <c r="N673" s="42">
        <v>0.1</v>
      </c>
      <c r="O673">
        <v>9.25</v>
      </c>
      <c r="P673" s="42">
        <v>0.9802</v>
      </c>
      <c r="Q673">
        <v>98.02</v>
      </c>
      <c r="R673">
        <v>700</v>
      </c>
      <c r="S673">
        <v>700</v>
      </c>
      <c r="T673">
        <v>1000</v>
      </c>
      <c r="U673" t="s">
        <v>10088</v>
      </c>
      <c r="V673" t="s">
        <v>10089</v>
      </c>
      <c r="W673">
        <v>1</v>
      </c>
      <c r="X673">
        <v>1</v>
      </c>
      <c r="Z673" s="42">
        <v>1</v>
      </c>
      <c r="AA673" s="42">
        <v>0.4</v>
      </c>
      <c r="AB673">
        <v>0</v>
      </c>
    </row>
    <row r="674">
      <c r="A674" t="s">
        <v>10216</v>
      </c>
      <c r="B674" t="s">
        <v>8805</v>
      </c>
      <c r="C674" t="s">
        <v>8805</v>
      </c>
      <c r="D674" t="s">
        <v>9404</v>
      </c>
      <c r="E674" t="s">
        <v>10217</v>
      </c>
      <c r="F674" t="s">
        <v>6966</v>
      </c>
      <c r="G674" t="s">
        <v>10193</v>
      </c>
      <c r="H674" t="s">
        <v>10194</v>
      </c>
      <c r="I674" t="s">
        <v>10147</v>
      </c>
      <c r="J674" t="s">
        <v>10195</v>
      </c>
      <c r="K674" t="s">
        <v>8577</v>
      </c>
      <c r="L674" t="s">
        <v>7040</v>
      </c>
      <c r="M674" s="42">
        <v>0.9</v>
      </c>
      <c r="N674" s="42">
        <v>0.1</v>
      </c>
      <c r="O674">
        <v>9</v>
      </c>
      <c r="P674" s="42">
        <v>0.9768</v>
      </c>
      <c r="Q674">
        <v>97.68</v>
      </c>
      <c r="R674">
        <v>700</v>
      </c>
      <c r="S674">
        <v>1000</v>
      </c>
      <c r="T674">
        <v>1000</v>
      </c>
      <c r="U674" t="s">
        <v>10088</v>
      </c>
      <c r="V674" t="s">
        <v>10089</v>
      </c>
      <c r="W674">
        <v>1</v>
      </c>
      <c r="X674">
        <v>1</v>
      </c>
      <c r="Z674" s="42">
        <v>1</v>
      </c>
      <c r="AA674" s="42">
        <v>0.4</v>
      </c>
      <c r="AB674">
        <v>0</v>
      </c>
    </row>
    <row r="675">
      <c r="A675" t="s">
        <v>10218</v>
      </c>
      <c r="B675" t="s">
        <v>8805</v>
      </c>
      <c r="C675" t="s">
        <v>8805</v>
      </c>
      <c r="D675" t="s">
        <v>8767</v>
      </c>
      <c r="E675" t="s">
        <v>10219</v>
      </c>
      <c r="F675" t="s">
        <v>6966</v>
      </c>
      <c r="G675" t="s">
        <v>10220</v>
      </c>
      <c r="H675" t="s">
        <v>10221</v>
      </c>
      <c r="I675" t="s">
        <v>10147</v>
      </c>
      <c r="J675" t="s">
        <v>10195</v>
      </c>
      <c r="K675" t="s">
        <v>8577</v>
      </c>
      <c r="L675" t="s">
        <v>7040</v>
      </c>
      <c r="M675" s="42">
        <v>0</v>
      </c>
      <c r="N675" s="42">
        <v>0.1</v>
      </c>
      <c r="O675">
        <v>0</v>
      </c>
      <c r="P675" s="42">
        <v>0</v>
      </c>
      <c r="Q675">
        <v>0</v>
      </c>
      <c r="R675">
        <v>0</v>
      </c>
      <c r="S675">
        <v>0</v>
      </c>
      <c r="T675">
        <v>1000</v>
      </c>
      <c r="U675" t="s">
        <v>10088</v>
      </c>
      <c r="V675" t="s">
        <v>10089</v>
      </c>
      <c r="W675">
        <v>1</v>
      </c>
      <c r="X675">
        <v>1</v>
      </c>
      <c r="Z675" s="42">
        <v>1</v>
      </c>
      <c r="AA675" s="42">
        <v>0.4</v>
      </c>
      <c r="AB675">
        <v>0</v>
      </c>
    </row>
    <row r="676">
      <c r="A676" t="s">
        <v>10222</v>
      </c>
      <c r="B676" t="s">
        <v>8805</v>
      </c>
      <c r="C676" t="s">
        <v>8805</v>
      </c>
      <c r="D676" t="s">
        <v>8767</v>
      </c>
      <c r="E676" t="s">
        <v>10223</v>
      </c>
      <c r="F676" t="s">
        <v>6966</v>
      </c>
      <c r="G676" t="s">
        <v>10220</v>
      </c>
      <c r="H676" t="s">
        <v>10221</v>
      </c>
      <c r="I676" t="s">
        <v>10147</v>
      </c>
      <c r="J676" t="s">
        <v>10195</v>
      </c>
      <c r="K676" t="s">
        <v>8577</v>
      </c>
      <c r="L676" t="s">
        <v>7040</v>
      </c>
      <c r="M676" s="42">
        <v>1</v>
      </c>
      <c r="N676" s="42">
        <v>0.1</v>
      </c>
      <c r="O676">
        <v>10</v>
      </c>
      <c r="P676" s="42">
        <v>0.94</v>
      </c>
      <c r="Q676">
        <v>0.94</v>
      </c>
      <c r="R676">
        <v>940</v>
      </c>
      <c r="S676">
        <v>940</v>
      </c>
      <c r="T676">
        <v>1000</v>
      </c>
      <c r="U676" t="s">
        <v>10088</v>
      </c>
      <c r="V676" t="s">
        <v>10089</v>
      </c>
      <c r="W676">
        <v>1</v>
      </c>
      <c r="X676">
        <v>1</v>
      </c>
      <c r="Z676" s="42">
        <v>1</v>
      </c>
      <c r="AA676" s="42">
        <v>0.4</v>
      </c>
      <c r="AB676">
        <v>0</v>
      </c>
    </row>
    <row r="677">
      <c r="A677" t="s">
        <v>10224</v>
      </c>
      <c r="B677" t="s">
        <v>8805</v>
      </c>
      <c r="C677" t="s">
        <v>8805</v>
      </c>
      <c r="D677" t="s">
        <v>8767</v>
      </c>
      <c r="E677" t="s">
        <v>10225</v>
      </c>
      <c r="F677" t="s">
        <v>6966</v>
      </c>
      <c r="G677" t="s">
        <v>10220</v>
      </c>
      <c r="H677" t="s">
        <v>10221</v>
      </c>
      <c r="I677" t="s">
        <v>10147</v>
      </c>
      <c r="J677" t="s">
        <v>10195</v>
      </c>
      <c r="K677" t="s">
        <v>8577</v>
      </c>
      <c r="L677" t="s">
        <v>7040</v>
      </c>
      <c r="M677" s="42">
        <v>1</v>
      </c>
      <c r="N677" s="42">
        <v>0.1</v>
      </c>
      <c r="O677">
        <v>10</v>
      </c>
      <c r="P677" s="42">
        <v>0.968</v>
      </c>
      <c r="Q677">
        <v>0.97</v>
      </c>
      <c r="R677">
        <v>2425</v>
      </c>
      <c r="S677">
        <v>2425</v>
      </c>
      <c r="T677">
        <v>2500</v>
      </c>
      <c r="U677" t="s">
        <v>10088</v>
      </c>
      <c r="V677" t="s">
        <v>10089</v>
      </c>
      <c r="W677">
        <v>1</v>
      </c>
      <c r="X677">
        <v>1</v>
      </c>
      <c r="Z677" s="42">
        <v>1</v>
      </c>
      <c r="AA677" s="42">
        <v>0.4</v>
      </c>
      <c r="AB677">
        <v>0</v>
      </c>
    </row>
    <row r="678">
      <c r="A678" t="s">
        <v>10226</v>
      </c>
      <c r="B678" t="s">
        <v>9377</v>
      </c>
      <c r="C678" t="s">
        <v>9377</v>
      </c>
      <c r="D678" t="s">
        <v>7355</v>
      </c>
      <c r="E678" t="s">
        <v>10227</v>
      </c>
      <c r="F678" t="s">
        <v>6966</v>
      </c>
      <c r="G678" t="s">
        <v>9396</v>
      </c>
      <c r="H678" t="s">
        <v>9338</v>
      </c>
      <c r="I678" t="s">
        <v>10228</v>
      </c>
      <c r="J678" t="s">
        <v>10229</v>
      </c>
      <c r="K678">
        <v>225637.61</v>
      </c>
      <c r="L678" t="s">
        <v>7040</v>
      </c>
      <c r="M678" s="42">
        <v>0.005415</v>
      </c>
      <c r="N678" s="42">
        <v>0.6</v>
      </c>
      <c r="O678">
        <v>0.32</v>
      </c>
      <c r="P678" s="42">
        <v>0.008257</v>
      </c>
      <c r="Q678">
        <v>0.82</v>
      </c>
      <c r="R678">
        <v>4100</v>
      </c>
      <c r="S678">
        <v>4100</v>
      </c>
      <c r="T678">
        <v>5000</v>
      </c>
      <c r="U678" t="s">
        <v>10088</v>
      </c>
      <c r="V678" t="s">
        <v>10089</v>
      </c>
      <c r="W678">
        <v>1</v>
      </c>
      <c r="X678">
        <v>1</v>
      </c>
      <c r="Z678" s="42">
        <v>1</v>
      </c>
      <c r="AA678" s="42">
        <v>0.4</v>
      </c>
      <c r="AB678">
        <v>0</v>
      </c>
    </row>
    <row r="679">
      <c r="A679" t="s">
        <v>10230</v>
      </c>
      <c r="B679" t="s">
        <v>8789</v>
      </c>
      <c r="C679" t="s">
        <v>8789</v>
      </c>
      <c r="D679" t="s">
        <v>7362</v>
      </c>
      <c r="E679" t="s">
        <v>10231</v>
      </c>
      <c r="F679" t="s">
        <v>6966</v>
      </c>
      <c r="G679" t="s">
        <v>9356</v>
      </c>
      <c r="H679" t="s">
        <v>9357</v>
      </c>
      <c r="I679" t="s">
        <v>10232</v>
      </c>
      <c r="J679" t="s">
        <v>10233</v>
      </c>
      <c r="K679">
        <v>17.86</v>
      </c>
      <c r="L679" t="s">
        <v>7040</v>
      </c>
      <c r="M679" s="42">
        <v>0.000992</v>
      </c>
      <c r="N679" s="42">
        <v>1</v>
      </c>
      <c r="O679">
        <v>0.0992</v>
      </c>
      <c r="P679" s="42">
        <v>0.000992</v>
      </c>
      <c r="Q679">
        <v>0.1</v>
      </c>
      <c r="R679">
        <v>0</v>
      </c>
      <c r="S679">
        <v>0</v>
      </c>
      <c r="T679">
        <v>1500</v>
      </c>
      <c r="U679" t="s">
        <v>10088</v>
      </c>
      <c r="V679" t="s">
        <v>10089</v>
      </c>
      <c r="W679">
        <v>1</v>
      </c>
      <c r="X679">
        <v>1</v>
      </c>
      <c r="Z679" s="42">
        <v>1</v>
      </c>
      <c r="AA679" s="42">
        <v>0.4</v>
      </c>
      <c r="AB679">
        <v>0</v>
      </c>
    </row>
    <row r="680">
      <c r="A680" t="s">
        <v>10234</v>
      </c>
      <c r="B680" t="s">
        <v>8789</v>
      </c>
      <c r="C680" t="s">
        <v>8789</v>
      </c>
      <c r="D680" t="s">
        <v>7362</v>
      </c>
      <c r="E680" t="s">
        <v>10235</v>
      </c>
      <c r="F680" t="s">
        <v>6966</v>
      </c>
      <c r="G680" t="s">
        <v>9356</v>
      </c>
      <c r="H680" t="s">
        <v>9357</v>
      </c>
      <c r="I680" t="s">
        <v>10232</v>
      </c>
      <c r="J680" t="s">
        <v>10233</v>
      </c>
      <c r="K680">
        <v>2.87</v>
      </c>
      <c r="L680" t="s">
        <v>7040</v>
      </c>
      <c r="M680" s="42">
        <v>0.000159</v>
      </c>
      <c r="N680" s="42">
        <v>1</v>
      </c>
      <c r="O680">
        <v>0.0159</v>
      </c>
      <c r="P680" s="42">
        <v>0.000159</v>
      </c>
      <c r="Q680">
        <v>0.02</v>
      </c>
      <c r="R680">
        <v>23.91</v>
      </c>
      <c r="S680">
        <v>23.91</v>
      </c>
      <c r="T680">
        <v>1500</v>
      </c>
      <c r="U680" t="s">
        <v>10088</v>
      </c>
      <c r="V680" t="s">
        <v>10089</v>
      </c>
      <c r="W680">
        <v>1</v>
      </c>
      <c r="X680">
        <v>1</v>
      </c>
      <c r="Z680" s="42">
        <v>1</v>
      </c>
      <c r="AA680" s="42">
        <v>0.4</v>
      </c>
      <c r="AB680">
        <v>0</v>
      </c>
    </row>
    <row r="681">
      <c r="A681" t="s">
        <v>10236</v>
      </c>
      <c r="B681" t="s">
        <v>8789</v>
      </c>
      <c r="C681" t="s">
        <v>8789</v>
      </c>
      <c r="D681" t="s">
        <v>7355</v>
      </c>
      <c r="E681" t="s">
        <v>10237</v>
      </c>
      <c r="F681" t="s">
        <v>6966</v>
      </c>
      <c r="G681" t="s">
        <v>9337</v>
      </c>
      <c r="H681" t="s">
        <v>10238</v>
      </c>
      <c r="I681" t="s">
        <v>10239</v>
      </c>
      <c r="J681" t="s">
        <v>10240</v>
      </c>
      <c r="K681">
        <v>1987884</v>
      </c>
      <c r="L681" t="s">
        <v>7040</v>
      </c>
      <c r="M681" s="42">
        <v>0.049697</v>
      </c>
      <c r="N681" s="42">
        <v>0.6</v>
      </c>
      <c r="O681">
        <v>0.9</v>
      </c>
      <c r="P681" s="42">
        <v>0.033818</v>
      </c>
      <c r="Q681">
        <v>1.3</v>
      </c>
      <c r="R681">
        <v>4800</v>
      </c>
      <c r="S681">
        <v>4800</v>
      </c>
      <c r="T681">
        <v>2000</v>
      </c>
      <c r="U681" t="s">
        <v>10088</v>
      </c>
      <c r="V681" t="s">
        <v>10089</v>
      </c>
      <c r="W681">
        <v>1</v>
      </c>
      <c r="X681">
        <v>1</v>
      </c>
      <c r="Z681" s="42">
        <v>1</v>
      </c>
      <c r="AA681" s="42">
        <v>0.4</v>
      </c>
      <c r="AB681">
        <v>0</v>
      </c>
    </row>
    <row r="682">
      <c r="A682" t="s">
        <v>10241</v>
      </c>
      <c r="B682" t="s">
        <v>10242</v>
      </c>
      <c r="C682" t="s">
        <v>10242</v>
      </c>
      <c r="D682" t="s">
        <v>7355</v>
      </c>
      <c r="E682" t="s">
        <v>10243</v>
      </c>
      <c r="F682" t="s">
        <v>6966</v>
      </c>
      <c r="G682" t="s">
        <v>10244</v>
      </c>
      <c r="H682" t="s">
        <v>10245</v>
      </c>
      <c r="I682" t="s">
        <v>10246</v>
      </c>
      <c r="J682" t="s">
        <v>7225</v>
      </c>
      <c r="K682" t="s">
        <v>10247</v>
      </c>
      <c r="L682" t="s">
        <v>7040</v>
      </c>
      <c r="M682" s="42">
        <v>0.8216</v>
      </c>
      <c r="N682" s="42">
        <v>0.55</v>
      </c>
      <c r="O682">
        <v>0.82</v>
      </c>
      <c r="P682" s="42">
        <v>1.19963</v>
      </c>
      <c r="Q682">
        <v>1.13</v>
      </c>
      <c r="R682">
        <v>7000</v>
      </c>
      <c r="S682">
        <v>7000</v>
      </c>
      <c r="T682">
        <v>5000</v>
      </c>
      <c r="U682" t="s">
        <v>10088</v>
      </c>
      <c r="V682" t="s">
        <v>10089</v>
      </c>
      <c r="W682">
        <v>1</v>
      </c>
      <c r="X682">
        <v>1</v>
      </c>
      <c r="Z682" s="42">
        <v>1</v>
      </c>
      <c r="AA682" s="42">
        <v>0.4</v>
      </c>
      <c r="AB682">
        <v>0</v>
      </c>
    </row>
    <row r="683">
      <c r="A683" t="s">
        <v>10248</v>
      </c>
      <c r="B683" t="s">
        <v>10242</v>
      </c>
      <c r="C683" t="s">
        <v>10242</v>
      </c>
      <c r="D683" t="s">
        <v>7355</v>
      </c>
      <c r="E683" t="s">
        <v>7657</v>
      </c>
      <c r="F683" t="s">
        <v>6966</v>
      </c>
      <c r="G683" t="s">
        <v>10244</v>
      </c>
      <c r="H683" t="s">
        <v>10245</v>
      </c>
      <c r="I683" t="s">
        <v>10249</v>
      </c>
      <c r="J683" t="s">
        <v>8205</v>
      </c>
      <c r="K683" t="s">
        <v>10250</v>
      </c>
      <c r="L683" t="s">
        <v>7040</v>
      </c>
      <c r="M683" s="42">
        <v>0.44</v>
      </c>
      <c r="N683" s="42">
        <v>0.5</v>
      </c>
      <c r="O683">
        <v>0.44</v>
      </c>
      <c r="P683" s="42">
        <v>0.52</v>
      </c>
      <c r="Q683">
        <v>0.52</v>
      </c>
      <c r="R683">
        <v>3000</v>
      </c>
      <c r="S683">
        <v>3000</v>
      </c>
      <c r="T683">
        <v>5000</v>
      </c>
      <c r="U683" t="s">
        <v>10088</v>
      </c>
      <c r="V683" t="s">
        <v>10089</v>
      </c>
      <c r="W683">
        <v>1</v>
      </c>
      <c r="X683">
        <v>1</v>
      </c>
      <c r="Z683" s="42">
        <v>1</v>
      </c>
      <c r="AA683" s="42">
        <v>0.4</v>
      </c>
      <c r="AB683">
        <v>0</v>
      </c>
    </row>
    <row r="684">
      <c r="A684" t="s">
        <v>10251</v>
      </c>
      <c r="B684" t="s">
        <v>10242</v>
      </c>
      <c r="C684" t="s">
        <v>10242</v>
      </c>
      <c r="D684" t="s">
        <v>7362</v>
      </c>
      <c r="E684" t="s">
        <v>10252</v>
      </c>
      <c r="F684" t="s">
        <v>6966</v>
      </c>
      <c r="G684" t="s">
        <v>10253</v>
      </c>
      <c r="H684" t="s">
        <v>10254</v>
      </c>
      <c r="I684" t="s">
        <v>10255</v>
      </c>
      <c r="J684" t="s">
        <v>8205</v>
      </c>
      <c r="K684" t="s">
        <v>10256</v>
      </c>
      <c r="L684" t="s">
        <v>10257</v>
      </c>
      <c r="M684" s="42">
        <v>0.7999</v>
      </c>
      <c r="N684" s="42">
        <v>0.9</v>
      </c>
      <c r="O684">
        <v>0.7999</v>
      </c>
      <c r="P684" s="42">
        <v>0.81991</v>
      </c>
      <c r="Q684">
        <v>0.82</v>
      </c>
      <c r="R684">
        <v>2700</v>
      </c>
      <c r="S684">
        <v>4700</v>
      </c>
      <c r="T684">
        <v>1500</v>
      </c>
      <c r="U684" t="s">
        <v>10088</v>
      </c>
      <c r="V684" t="s">
        <v>10089</v>
      </c>
      <c r="W684">
        <v>1</v>
      </c>
      <c r="X684">
        <v>1</v>
      </c>
      <c r="Z684" s="42">
        <v>1</v>
      </c>
      <c r="AA684" s="42">
        <v>0.4</v>
      </c>
      <c r="AB684">
        <v>0</v>
      </c>
    </row>
    <row r="685">
      <c r="A685" t="s">
        <v>10258</v>
      </c>
      <c r="B685" t="s">
        <v>10242</v>
      </c>
      <c r="C685" t="s">
        <v>10242</v>
      </c>
      <c r="D685" t="s">
        <v>7362</v>
      </c>
      <c r="E685" t="s">
        <v>10259</v>
      </c>
      <c r="F685" t="s">
        <v>6966</v>
      </c>
      <c r="G685" t="s">
        <v>10253</v>
      </c>
      <c r="H685" t="s">
        <v>10254</v>
      </c>
      <c r="I685" t="s">
        <v>10255</v>
      </c>
      <c r="J685" t="s">
        <v>8205</v>
      </c>
      <c r="K685" t="s">
        <v>10260</v>
      </c>
      <c r="L685" t="s">
        <v>10261</v>
      </c>
      <c r="M685" s="42">
        <v>0.57125</v>
      </c>
      <c r="N685" s="42">
        <v>0.9</v>
      </c>
      <c r="O685">
        <v>0.457</v>
      </c>
      <c r="P685" s="42">
        <v>0.614125</v>
      </c>
      <c r="Q685">
        <v>0.51</v>
      </c>
      <c r="R685">
        <v>900</v>
      </c>
      <c r="S685">
        <v>900</v>
      </c>
      <c r="T685">
        <v>1500</v>
      </c>
      <c r="U685" t="s">
        <v>10088</v>
      </c>
      <c r="V685" t="s">
        <v>10089</v>
      </c>
      <c r="W685">
        <v>1</v>
      </c>
      <c r="X685">
        <v>1</v>
      </c>
      <c r="Z685" s="42">
        <v>1</v>
      </c>
      <c r="AA685" s="42">
        <v>0.4</v>
      </c>
      <c r="AB685">
        <v>0</v>
      </c>
    </row>
    <row r="686">
      <c r="A686" t="s">
        <v>10262</v>
      </c>
      <c r="B686" t="s">
        <v>10242</v>
      </c>
      <c r="C686" t="s">
        <v>10242</v>
      </c>
      <c r="D686" t="s">
        <v>7362</v>
      </c>
      <c r="E686" t="s">
        <v>10263</v>
      </c>
      <c r="F686" t="s">
        <v>6966</v>
      </c>
      <c r="G686" t="s">
        <v>10253</v>
      </c>
      <c r="H686" t="s">
        <v>10254</v>
      </c>
      <c r="I686" t="s">
        <v>10264</v>
      </c>
      <c r="J686">
        <v>20000</v>
      </c>
      <c r="K686" s="46">
        <v>33524.66</v>
      </c>
      <c r="L686" t="s">
        <v>10261</v>
      </c>
      <c r="M686" s="42">
        <v>1.676233</v>
      </c>
      <c r="N686" s="42">
        <v>0.2</v>
      </c>
      <c r="O686">
        <v>1.5</v>
      </c>
      <c r="P686" s="42">
        <v>1.445613</v>
      </c>
      <c r="Q686">
        <v>1.35</v>
      </c>
      <c r="R686">
        <v>4500</v>
      </c>
      <c r="S686">
        <v>6500</v>
      </c>
      <c r="T686">
        <v>1500</v>
      </c>
      <c r="U686" t="s">
        <v>10088</v>
      </c>
      <c r="V686" t="s">
        <v>10089</v>
      </c>
      <c r="W686">
        <v>1</v>
      </c>
      <c r="X686">
        <v>1</v>
      </c>
      <c r="Z686" s="42">
        <v>1</v>
      </c>
      <c r="AA686" s="42">
        <v>0.4</v>
      </c>
      <c r="AB686">
        <v>0</v>
      </c>
    </row>
    <row r="687">
      <c r="A687" t="s">
        <v>10265</v>
      </c>
      <c r="B687" t="s">
        <v>10242</v>
      </c>
      <c r="C687" t="s">
        <v>10242</v>
      </c>
      <c r="D687" t="s">
        <v>7362</v>
      </c>
      <c r="E687" t="s">
        <v>10266</v>
      </c>
      <c r="F687" t="s">
        <v>6966</v>
      </c>
      <c r="G687" t="s">
        <v>10253</v>
      </c>
      <c r="H687" t="s">
        <v>10254</v>
      </c>
      <c r="I687" t="s">
        <v>10267</v>
      </c>
      <c r="J687">
        <v>80000</v>
      </c>
      <c r="K687">
        <v>15104</v>
      </c>
      <c r="L687" t="s">
        <v>10261</v>
      </c>
      <c r="M687" s="42">
        <v>0.151</v>
      </c>
      <c r="N687" s="42">
        <v>0.9</v>
      </c>
      <c r="O687">
        <v>0.151</v>
      </c>
      <c r="P687" s="42">
        <v>0.2359</v>
      </c>
      <c r="Q687">
        <v>0.24</v>
      </c>
      <c r="R687">
        <v>0</v>
      </c>
      <c r="S687">
        <v>0</v>
      </c>
      <c r="T687">
        <v>1500</v>
      </c>
      <c r="U687" t="s">
        <v>10088</v>
      </c>
      <c r="V687" t="s">
        <v>10089</v>
      </c>
      <c r="W687">
        <v>1</v>
      </c>
      <c r="X687">
        <v>1</v>
      </c>
      <c r="Z687" s="42">
        <v>1</v>
      </c>
      <c r="AA687" s="42">
        <v>0.4</v>
      </c>
      <c r="AB687">
        <v>0</v>
      </c>
    </row>
    <row r="688">
      <c r="A688" t="s">
        <v>10268</v>
      </c>
      <c r="B688" t="s">
        <v>10242</v>
      </c>
      <c r="C688" t="s">
        <v>10242</v>
      </c>
      <c r="D688" t="s">
        <v>7362</v>
      </c>
      <c r="E688" t="s">
        <v>10269</v>
      </c>
      <c r="F688" t="s">
        <v>6966</v>
      </c>
      <c r="G688" t="s">
        <v>10253</v>
      </c>
      <c r="H688" t="s">
        <v>10254</v>
      </c>
      <c r="I688" t="s">
        <v>10255</v>
      </c>
      <c r="J688" t="s">
        <v>8205</v>
      </c>
      <c r="K688" t="s">
        <v>10270</v>
      </c>
      <c r="L688" t="s">
        <v>10271</v>
      </c>
      <c r="M688" s="42">
        <v>0.1968</v>
      </c>
      <c r="N688" s="42">
        <v>0.9</v>
      </c>
      <c r="O688">
        <v>0.1968</v>
      </c>
      <c r="P688" s="42">
        <v>0.27712</v>
      </c>
      <c r="Q688">
        <v>0.3</v>
      </c>
      <c r="R688">
        <v>900</v>
      </c>
      <c r="S688">
        <v>900</v>
      </c>
      <c r="T688">
        <v>1500</v>
      </c>
      <c r="U688" t="s">
        <v>10088</v>
      </c>
      <c r="V688" t="s">
        <v>10089</v>
      </c>
      <c r="W688">
        <v>1</v>
      </c>
      <c r="X688">
        <v>1</v>
      </c>
      <c r="Z688" s="42">
        <v>1</v>
      </c>
      <c r="AA688" s="42">
        <v>0.4</v>
      </c>
      <c r="AB688">
        <v>0</v>
      </c>
    </row>
    <row r="689">
      <c r="A689" t="s">
        <v>10272</v>
      </c>
      <c r="B689" t="s">
        <v>10242</v>
      </c>
      <c r="C689" t="s">
        <v>10242</v>
      </c>
      <c r="D689" t="s">
        <v>7362</v>
      </c>
      <c r="E689" t="s">
        <v>10273</v>
      </c>
      <c r="F689" t="s">
        <v>6966</v>
      </c>
      <c r="G689" t="s">
        <v>10253</v>
      </c>
      <c r="H689" t="s">
        <v>10254</v>
      </c>
      <c r="I689" t="s">
        <v>10274</v>
      </c>
      <c r="J689" t="s">
        <v>8205</v>
      </c>
      <c r="K689" t="s">
        <v>10275</v>
      </c>
      <c r="L689">
        <v>1</v>
      </c>
      <c r="M689" s="42">
        <v>0.1595</v>
      </c>
      <c r="N689" s="42">
        <v>0.9</v>
      </c>
      <c r="O689">
        <v>0.16</v>
      </c>
      <c r="P689" s="42">
        <v>0.24355</v>
      </c>
      <c r="Q689">
        <v>0.24</v>
      </c>
      <c r="R689">
        <v>0</v>
      </c>
      <c r="S689">
        <v>0</v>
      </c>
      <c r="T689">
        <v>1500</v>
      </c>
      <c r="U689" t="s">
        <v>10088</v>
      </c>
      <c r="V689" t="s">
        <v>10089</v>
      </c>
      <c r="W689">
        <v>1</v>
      </c>
      <c r="X689">
        <v>1</v>
      </c>
      <c r="Z689" s="42">
        <v>1</v>
      </c>
      <c r="AA689" s="42">
        <v>0.4</v>
      </c>
      <c r="AB689">
        <v>0</v>
      </c>
    </row>
    <row r="690">
      <c r="A690" t="s">
        <v>10276</v>
      </c>
      <c r="B690" t="s">
        <v>8122</v>
      </c>
      <c r="C690" t="s">
        <v>8122</v>
      </c>
      <c r="D690" t="s">
        <v>8213</v>
      </c>
      <c r="E690" t="s">
        <v>10277</v>
      </c>
      <c r="F690" t="s">
        <v>6966</v>
      </c>
      <c r="G690" t="s">
        <v>10278</v>
      </c>
      <c r="H690" t="s">
        <v>10279</v>
      </c>
      <c r="I690" t="s">
        <v>10280</v>
      </c>
      <c r="J690">
        <v>350</v>
      </c>
      <c r="K690">
        <v>249.7</v>
      </c>
      <c r="L690">
        <v>1</v>
      </c>
      <c r="M690" s="42">
        <v>0.71</v>
      </c>
      <c r="N690" s="42">
        <v>0.15</v>
      </c>
      <c r="O690">
        <v>0.71</v>
      </c>
      <c r="P690" s="42">
        <v>0.889</v>
      </c>
      <c r="Q690">
        <v>0.99</v>
      </c>
      <c r="R690">
        <v>4950</v>
      </c>
      <c r="S690">
        <v>4950</v>
      </c>
      <c r="T690">
        <v>5000</v>
      </c>
      <c r="U690" t="s">
        <v>10088</v>
      </c>
      <c r="V690" t="s">
        <v>10089</v>
      </c>
      <c r="W690">
        <v>1</v>
      </c>
      <c r="X690">
        <v>1</v>
      </c>
      <c r="Z690" s="42">
        <v>1</v>
      </c>
      <c r="AA690" s="42">
        <v>0.4</v>
      </c>
      <c r="AB690">
        <v>0</v>
      </c>
    </row>
    <row r="691">
      <c r="A691" t="s">
        <v>10281</v>
      </c>
      <c r="B691" t="s">
        <v>8122</v>
      </c>
      <c r="C691" t="s">
        <v>8122</v>
      </c>
      <c r="D691" t="s">
        <v>8213</v>
      </c>
      <c r="E691" t="s">
        <v>10282</v>
      </c>
      <c r="F691" t="s">
        <v>6966</v>
      </c>
      <c r="G691" t="s">
        <v>10278</v>
      </c>
      <c r="H691" t="s">
        <v>10279</v>
      </c>
      <c r="I691" t="s">
        <v>10283</v>
      </c>
      <c r="J691" s="43">
        <v>1</v>
      </c>
      <c r="K691" s="42">
        <v>0.778</v>
      </c>
      <c r="L691" t="s">
        <v>10284</v>
      </c>
      <c r="M691" s="42">
        <v>0.778</v>
      </c>
      <c r="N691" s="42">
        <v>0.4</v>
      </c>
      <c r="O691">
        <v>0.778</v>
      </c>
      <c r="P691" s="42">
        <v>0.8802</v>
      </c>
      <c r="Q691">
        <v>0.88</v>
      </c>
      <c r="R691">
        <v>4400</v>
      </c>
      <c r="S691">
        <v>4400</v>
      </c>
      <c r="T691">
        <v>5000</v>
      </c>
      <c r="U691" t="s">
        <v>10088</v>
      </c>
      <c r="V691" t="s">
        <v>10089</v>
      </c>
      <c r="W691">
        <v>1</v>
      </c>
      <c r="X691">
        <v>1</v>
      </c>
      <c r="Z691" s="42">
        <v>1</v>
      </c>
      <c r="AA691" s="42">
        <v>0.4</v>
      </c>
      <c r="AB691">
        <v>0</v>
      </c>
    </row>
    <row r="692">
      <c r="A692" t="s">
        <v>10285</v>
      </c>
      <c r="B692" t="s">
        <v>9746</v>
      </c>
      <c r="C692" t="s">
        <v>9746</v>
      </c>
      <c r="D692" t="s">
        <v>8438</v>
      </c>
      <c r="E692" t="s">
        <v>10286</v>
      </c>
      <c r="F692" t="s">
        <v>6966</v>
      </c>
      <c r="G692" t="s">
        <v>10287</v>
      </c>
      <c r="H692" t="s">
        <v>10279</v>
      </c>
      <c r="I692" t="s">
        <v>10288</v>
      </c>
      <c r="J692" s="43">
        <v>1</v>
      </c>
      <c r="K692" s="43">
        <v>1</v>
      </c>
      <c r="L692" t="s">
        <v>10289</v>
      </c>
      <c r="M692" s="42">
        <v>1</v>
      </c>
      <c r="N692" s="42">
        <v>0.65</v>
      </c>
      <c r="O692">
        <v>1</v>
      </c>
      <c r="P692" s="42">
        <v>0.93</v>
      </c>
      <c r="Q692">
        <v>0.93</v>
      </c>
      <c r="R692">
        <v>4630</v>
      </c>
      <c r="S692">
        <v>4630</v>
      </c>
      <c r="T692">
        <v>5000</v>
      </c>
      <c r="U692" t="s">
        <v>10088</v>
      </c>
      <c r="V692" t="s">
        <v>10089</v>
      </c>
      <c r="W692">
        <v>1</v>
      </c>
      <c r="X692">
        <v>1</v>
      </c>
      <c r="Z692" s="42">
        <v>1</v>
      </c>
      <c r="AA692" s="42">
        <v>0.4</v>
      </c>
      <c r="AB692">
        <v>0</v>
      </c>
    </row>
    <row r="693">
      <c r="A693" t="s">
        <v>10290</v>
      </c>
      <c r="B693" t="s">
        <v>7459</v>
      </c>
      <c r="C693" t="s">
        <v>7459</v>
      </c>
      <c r="D693" t="s">
        <v>9457</v>
      </c>
      <c r="E693" t="s">
        <v>10291</v>
      </c>
      <c r="F693" t="s">
        <v>6966</v>
      </c>
      <c r="G693" t="s">
        <v>10292</v>
      </c>
      <c r="H693" t="s">
        <v>10293</v>
      </c>
      <c r="I693" t="s">
        <v>10294</v>
      </c>
      <c r="K693">
        <v>2060101</v>
      </c>
      <c r="L693" t="s">
        <v>10295</v>
      </c>
      <c r="M693" s="42">
        <v>0.4548</v>
      </c>
      <c r="N693" s="42">
        <v>0.2</v>
      </c>
      <c r="O693">
        <v>0.4548</v>
      </c>
      <c r="P693" s="42">
        <v>0.82416</v>
      </c>
      <c r="Q693">
        <v>0.82</v>
      </c>
      <c r="R693">
        <v>4100</v>
      </c>
      <c r="S693">
        <v>4100</v>
      </c>
      <c r="T693">
        <v>5000</v>
      </c>
      <c r="U693" t="s">
        <v>10088</v>
      </c>
      <c r="V693" t="s">
        <v>10089</v>
      </c>
      <c r="W693">
        <v>1</v>
      </c>
      <c r="X693">
        <v>1</v>
      </c>
      <c r="Z693" s="42">
        <v>1</v>
      </c>
      <c r="AA693" s="42">
        <v>0.4</v>
      </c>
      <c r="AB693">
        <v>0</v>
      </c>
    </row>
    <row r="694">
      <c r="A694" t="s">
        <v>10296</v>
      </c>
      <c r="B694" t="s">
        <v>9928</v>
      </c>
      <c r="C694" t="s">
        <v>9928</v>
      </c>
      <c r="D694" t="s">
        <v>10297</v>
      </c>
      <c r="E694" t="s">
        <v>10298</v>
      </c>
      <c r="F694" t="s">
        <v>6966</v>
      </c>
      <c r="G694" t="s">
        <v>10299</v>
      </c>
      <c r="H694" t="s">
        <v>10300</v>
      </c>
      <c r="I694" t="s">
        <v>10301</v>
      </c>
      <c r="J694" t="s">
        <v>10302</v>
      </c>
      <c r="K694" t="s">
        <v>10303</v>
      </c>
      <c r="L694" t="s">
        <v>10295</v>
      </c>
      <c r="M694" s="42">
        <v>0.775171</v>
      </c>
      <c r="N694" s="42">
        <v>0.5</v>
      </c>
      <c r="O694">
        <v>0.7752</v>
      </c>
      <c r="P694" s="42">
        <v>0.907502</v>
      </c>
      <c r="Q694">
        <v>0.89</v>
      </c>
      <c r="R694">
        <v>2000</v>
      </c>
      <c r="S694">
        <v>2000</v>
      </c>
      <c r="T694">
        <v>5000</v>
      </c>
      <c r="U694" t="s">
        <v>10088</v>
      </c>
      <c r="V694" t="s">
        <v>10089</v>
      </c>
      <c r="W694">
        <v>1</v>
      </c>
      <c r="X694">
        <v>1</v>
      </c>
      <c r="Z694" s="42">
        <v>1</v>
      </c>
      <c r="AA694" s="42">
        <v>0.4</v>
      </c>
      <c r="AB694">
        <v>0</v>
      </c>
    </row>
    <row r="695">
      <c r="A695" t="s">
        <v>10304</v>
      </c>
      <c r="B695" t="s">
        <v>8877</v>
      </c>
      <c r="C695" t="s">
        <v>8877</v>
      </c>
      <c r="D695" t="s">
        <v>10297</v>
      </c>
      <c r="E695" t="s">
        <v>10305</v>
      </c>
      <c r="F695" t="s">
        <v>6966</v>
      </c>
      <c r="G695" t="s">
        <v>10299</v>
      </c>
      <c r="H695" t="s">
        <v>10300</v>
      </c>
      <c r="I695" t="s">
        <v>10306</v>
      </c>
      <c r="J695" t="s">
        <v>10307</v>
      </c>
      <c r="K695" t="s">
        <v>10308</v>
      </c>
      <c r="L695" s="46">
        <v>5435338.23</v>
      </c>
      <c r="M695" s="42">
        <v>0.933</v>
      </c>
      <c r="N695" s="42">
        <v>0.5</v>
      </c>
      <c r="O695">
        <v>0.9331</v>
      </c>
      <c r="P695" s="42">
        <v>1.0427</v>
      </c>
      <c r="Q695">
        <v>1.12</v>
      </c>
      <c r="R695">
        <v>4000</v>
      </c>
      <c r="S695">
        <v>4000</v>
      </c>
      <c r="T695">
        <v>5000</v>
      </c>
      <c r="U695" t="s">
        <v>10088</v>
      </c>
      <c r="V695" t="s">
        <v>10089</v>
      </c>
      <c r="W695">
        <v>1</v>
      </c>
      <c r="X695">
        <v>1</v>
      </c>
      <c r="Z695" s="42">
        <v>1</v>
      </c>
      <c r="AA695" s="42">
        <v>0.4</v>
      </c>
      <c r="AB695">
        <v>0</v>
      </c>
    </row>
    <row r="696">
      <c r="A696" t="s">
        <v>10309</v>
      </c>
      <c r="B696" t="s">
        <v>9908</v>
      </c>
      <c r="C696" t="s">
        <v>9908</v>
      </c>
      <c r="D696" t="s">
        <v>10297</v>
      </c>
      <c r="E696" t="s">
        <v>10310</v>
      </c>
      <c r="F696" t="s">
        <v>6966</v>
      </c>
      <c r="G696" t="s">
        <v>10299</v>
      </c>
      <c r="H696" t="s">
        <v>10300</v>
      </c>
      <c r="I696" t="s">
        <v>10311</v>
      </c>
      <c r="J696" t="s">
        <v>10312</v>
      </c>
      <c r="K696" t="s">
        <v>10313</v>
      </c>
      <c r="L696" t="s">
        <v>10314</v>
      </c>
      <c r="M696" s="42">
        <v>0.97</v>
      </c>
      <c r="N696" s="42">
        <v>0.5</v>
      </c>
      <c r="O696">
        <v>0.97</v>
      </c>
      <c r="P696" s="42">
        <v>1.06</v>
      </c>
      <c r="Q696">
        <v>1.14</v>
      </c>
      <c r="R696">
        <v>6000</v>
      </c>
      <c r="S696">
        <v>6000</v>
      </c>
      <c r="T696">
        <v>5000</v>
      </c>
      <c r="U696" t="s">
        <v>10088</v>
      </c>
      <c r="V696" t="s">
        <v>10089</v>
      </c>
      <c r="W696">
        <v>1</v>
      </c>
      <c r="X696">
        <v>1</v>
      </c>
      <c r="Z696" s="42">
        <v>1</v>
      </c>
      <c r="AA696" s="42">
        <v>0.4</v>
      </c>
      <c r="AB696">
        <v>0</v>
      </c>
    </row>
    <row r="697">
      <c r="A697" t="s">
        <v>10315</v>
      </c>
      <c r="B697" t="s">
        <v>8736</v>
      </c>
      <c r="C697" t="s">
        <v>8736</v>
      </c>
      <c r="D697" t="s">
        <v>10297</v>
      </c>
      <c r="E697" t="s">
        <v>10316</v>
      </c>
      <c r="F697" t="s">
        <v>6966</v>
      </c>
      <c r="G697" t="s">
        <v>10299</v>
      </c>
      <c r="H697" t="s">
        <v>10300</v>
      </c>
      <c r="I697" t="s">
        <v>10317</v>
      </c>
      <c r="J697" t="s">
        <v>10318</v>
      </c>
      <c r="K697" t="s">
        <v>10319</v>
      </c>
      <c r="L697" t="s">
        <v>10320</v>
      </c>
      <c r="M697" s="42">
        <v>1.061526</v>
      </c>
      <c r="N697" s="42">
        <v>0.5</v>
      </c>
      <c r="O697">
        <v>1.0615</v>
      </c>
      <c r="P697" s="42">
        <v>1.120302</v>
      </c>
      <c r="Q697">
        <v>1.18</v>
      </c>
      <c r="R697">
        <v>8000</v>
      </c>
      <c r="S697">
        <v>8000</v>
      </c>
      <c r="T697">
        <v>5000</v>
      </c>
      <c r="U697" t="s">
        <v>10088</v>
      </c>
      <c r="V697" t="s">
        <v>10089</v>
      </c>
      <c r="W697">
        <v>1</v>
      </c>
      <c r="X697">
        <v>1</v>
      </c>
      <c r="Z697" s="42">
        <v>1</v>
      </c>
      <c r="AA697" s="42">
        <v>0.4</v>
      </c>
      <c r="AB697">
        <v>0</v>
      </c>
    </row>
    <row r="698">
      <c r="A698" t="s">
        <v>10321</v>
      </c>
      <c r="B698" t="s">
        <v>8877</v>
      </c>
      <c r="C698" t="s">
        <v>8877</v>
      </c>
      <c r="D698" t="s">
        <v>7000</v>
      </c>
      <c r="E698" t="s">
        <v>10322</v>
      </c>
      <c r="F698" t="s">
        <v>6966</v>
      </c>
      <c r="G698" t="s">
        <v>8738</v>
      </c>
      <c r="H698" t="s">
        <v>8739</v>
      </c>
      <c r="I698" t="s">
        <v>10323</v>
      </c>
      <c r="J698" t="s">
        <v>10324</v>
      </c>
      <c r="K698" t="s">
        <v>10325</v>
      </c>
      <c r="L698" t="s">
        <v>10326</v>
      </c>
      <c r="M698" s="42">
        <v>0.82</v>
      </c>
      <c r="N698" s="42">
        <v>0.15</v>
      </c>
      <c r="O698">
        <v>0.82</v>
      </c>
      <c r="P698" s="42">
        <v>0.664</v>
      </c>
      <c r="Q698">
        <v>0.6</v>
      </c>
      <c r="R698">
        <v>0</v>
      </c>
      <c r="S698">
        <v>0</v>
      </c>
      <c r="T698">
        <v>5000</v>
      </c>
      <c r="U698" t="s">
        <v>10088</v>
      </c>
      <c r="V698" t="s">
        <v>10089</v>
      </c>
      <c r="W698">
        <v>1</v>
      </c>
      <c r="X698">
        <v>1</v>
      </c>
      <c r="Z698" s="42">
        <v>1</v>
      </c>
      <c r="AA698" s="42">
        <v>0.4</v>
      </c>
      <c r="AB698">
        <v>0</v>
      </c>
    </row>
    <row r="699">
      <c r="A699" t="s">
        <v>10327</v>
      </c>
      <c r="B699" t="s">
        <v>9571</v>
      </c>
      <c r="C699" t="s">
        <v>9571</v>
      </c>
      <c r="D699" t="s">
        <v>9827</v>
      </c>
      <c r="E699" t="s">
        <v>10328</v>
      </c>
      <c r="F699" t="s">
        <v>6966</v>
      </c>
      <c r="G699" t="s">
        <v>10329</v>
      </c>
      <c r="H699" t="s">
        <v>7265</v>
      </c>
      <c r="I699" t="s">
        <v>10330</v>
      </c>
      <c r="J699" s="43">
        <v>1</v>
      </c>
      <c r="L699" t="s">
        <v>10331</v>
      </c>
      <c r="M699" s="42">
        <v>1</v>
      </c>
      <c r="N699" s="42">
        <v>0.5</v>
      </c>
      <c r="O699">
        <v>1</v>
      </c>
      <c r="P699" s="42">
        <v>1</v>
      </c>
      <c r="Q699">
        <v>1</v>
      </c>
      <c r="R699">
        <v>4457</v>
      </c>
      <c r="S699">
        <v>4457</v>
      </c>
      <c r="T699">
        <v>3500</v>
      </c>
      <c r="U699" t="s">
        <v>10088</v>
      </c>
      <c r="V699" t="s">
        <v>10089</v>
      </c>
      <c r="W699">
        <v>1</v>
      </c>
      <c r="X699">
        <v>1</v>
      </c>
      <c r="Z699" s="42">
        <v>1</v>
      </c>
      <c r="AA699" s="42">
        <v>0.4</v>
      </c>
      <c r="AB699">
        <v>0</v>
      </c>
    </row>
    <row r="700">
      <c r="A700" t="s">
        <v>10332</v>
      </c>
      <c r="B700" t="s">
        <v>9571</v>
      </c>
      <c r="C700" t="s">
        <v>9571</v>
      </c>
      <c r="D700" t="s">
        <v>7000</v>
      </c>
      <c r="E700" t="s">
        <v>10333</v>
      </c>
      <c r="F700" t="s">
        <v>6966</v>
      </c>
      <c r="G700" t="s">
        <v>10329</v>
      </c>
      <c r="H700" t="s">
        <v>7265</v>
      </c>
      <c r="I700" t="s">
        <v>10334</v>
      </c>
      <c r="J700" s="43">
        <v>0.8</v>
      </c>
      <c r="L700" t="s">
        <v>10335</v>
      </c>
      <c r="M700" s="42">
        <v>0.91</v>
      </c>
      <c r="N700" s="42">
        <v>0.3</v>
      </c>
      <c r="O700">
        <v>0.91</v>
      </c>
      <c r="P700" s="42">
        <v>0.973</v>
      </c>
      <c r="Q700">
        <v>0.97</v>
      </c>
      <c r="R700">
        <v>0</v>
      </c>
      <c r="S700">
        <v>0</v>
      </c>
      <c r="T700">
        <v>5000</v>
      </c>
      <c r="U700" t="s">
        <v>10088</v>
      </c>
      <c r="V700" t="s">
        <v>10089</v>
      </c>
      <c r="W700">
        <v>1</v>
      </c>
      <c r="X700">
        <v>1</v>
      </c>
      <c r="Z700" s="42">
        <v>1</v>
      </c>
      <c r="AA700" s="42">
        <v>0.4</v>
      </c>
      <c r="AB700">
        <v>0</v>
      </c>
    </row>
    <row r="701">
      <c r="A701" t="s">
        <v>10336</v>
      </c>
      <c r="B701" t="s">
        <v>9571</v>
      </c>
      <c r="C701" t="s">
        <v>9571</v>
      </c>
      <c r="D701" t="s">
        <v>8672</v>
      </c>
      <c r="E701" t="s">
        <v>10337</v>
      </c>
      <c r="F701" t="s">
        <v>6966</v>
      </c>
      <c r="G701" t="s">
        <v>10329</v>
      </c>
      <c r="H701" t="s">
        <v>9991</v>
      </c>
      <c r="I701" t="s">
        <v>10338</v>
      </c>
      <c r="J701" s="43">
        <v>0.8</v>
      </c>
      <c r="L701" t="s">
        <v>10335</v>
      </c>
      <c r="M701" s="42">
        <v>0.0091</v>
      </c>
      <c r="N701" s="42">
        <v>0.3</v>
      </c>
      <c r="O701">
        <v>0.91</v>
      </c>
      <c r="P701" s="42">
        <v>0.65373</v>
      </c>
      <c r="Q701">
        <v>0.92</v>
      </c>
      <c r="R701">
        <v>2998</v>
      </c>
      <c r="S701">
        <v>2998</v>
      </c>
      <c r="T701">
        <v>3400</v>
      </c>
      <c r="U701" t="s">
        <v>10088</v>
      </c>
      <c r="V701" t="s">
        <v>10089</v>
      </c>
      <c r="W701">
        <v>1</v>
      </c>
      <c r="X701">
        <v>1</v>
      </c>
      <c r="Z701" s="42">
        <v>1</v>
      </c>
      <c r="AA701" s="42">
        <v>0.4</v>
      </c>
      <c r="AB701">
        <v>0</v>
      </c>
    </row>
    <row r="702">
      <c r="A702" t="s">
        <v>10339</v>
      </c>
      <c r="B702" t="s">
        <v>9571</v>
      </c>
      <c r="C702" t="s">
        <v>9571</v>
      </c>
      <c r="D702" t="s">
        <v>7139</v>
      </c>
      <c r="E702" t="s">
        <v>10340</v>
      </c>
      <c r="F702" t="s">
        <v>6966</v>
      </c>
      <c r="G702" t="s">
        <v>10329</v>
      </c>
      <c r="H702" t="s">
        <v>7265</v>
      </c>
      <c r="I702" t="s">
        <v>10341</v>
      </c>
      <c r="J702" s="43">
        <v>1</v>
      </c>
      <c r="L702" t="s">
        <v>10342</v>
      </c>
      <c r="M702" s="42">
        <v>0.95</v>
      </c>
      <c r="N702" s="42">
        <v>0.5</v>
      </c>
      <c r="O702">
        <v>0.95</v>
      </c>
      <c r="P702" s="42">
        <v>0.975</v>
      </c>
      <c r="Q702">
        <v>0.98</v>
      </c>
      <c r="R702">
        <v>5388</v>
      </c>
      <c r="S702">
        <v>5388</v>
      </c>
      <c r="T702">
        <v>5000</v>
      </c>
      <c r="U702" t="s">
        <v>10088</v>
      </c>
      <c r="V702" t="s">
        <v>10089</v>
      </c>
      <c r="W702">
        <v>1</v>
      </c>
      <c r="X702">
        <v>1</v>
      </c>
      <c r="Z702" s="42">
        <v>1</v>
      </c>
      <c r="AA702" s="42">
        <v>0.4</v>
      </c>
      <c r="AB702">
        <v>0</v>
      </c>
    </row>
    <row r="703">
      <c r="A703" t="s">
        <v>10343</v>
      </c>
      <c r="B703" t="s">
        <v>10130</v>
      </c>
      <c r="C703" t="s">
        <v>10130</v>
      </c>
      <c r="D703" t="s">
        <v>8790</v>
      </c>
      <c r="E703" t="s">
        <v>10344</v>
      </c>
      <c r="F703" t="s">
        <v>6966</v>
      </c>
      <c r="G703" t="s">
        <v>10345</v>
      </c>
      <c r="H703" t="s">
        <v>10133</v>
      </c>
      <c r="I703" t="s">
        <v>10134</v>
      </c>
      <c r="J703" t="s">
        <v>10135</v>
      </c>
      <c r="K703" t="s">
        <v>10136</v>
      </c>
      <c r="L703" t="s">
        <v>10346</v>
      </c>
      <c r="M703" s="42">
        <v>1.037</v>
      </c>
      <c r="N703" s="42">
        <v>0.1</v>
      </c>
      <c r="O703">
        <v>1.04</v>
      </c>
      <c r="P703" s="42">
        <v>0.9022</v>
      </c>
      <c r="Q703">
        <v>0.9</v>
      </c>
      <c r="R703">
        <v>4500</v>
      </c>
      <c r="S703">
        <v>4600</v>
      </c>
      <c r="T703">
        <v>5000</v>
      </c>
      <c r="U703" t="s">
        <v>10088</v>
      </c>
      <c r="V703" t="s">
        <v>10089</v>
      </c>
      <c r="W703">
        <v>1</v>
      </c>
      <c r="X703">
        <v>1</v>
      </c>
      <c r="Z703" s="42">
        <v>1</v>
      </c>
      <c r="AA703" s="42">
        <v>0.4</v>
      </c>
      <c r="AB703">
        <v>0</v>
      </c>
    </row>
    <row r="704">
      <c r="A704" t="s">
        <v>10347</v>
      </c>
      <c r="B704" t="s">
        <v>8799</v>
      </c>
      <c r="C704" t="s">
        <v>8799</v>
      </c>
      <c r="D704" t="s">
        <v>7362</v>
      </c>
      <c r="E704" t="s">
        <v>10348</v>
      </c>
      <c r="F704" t="s">
        <v>6966</v>
      </c>
      <c r="G704" t="s">
        <v>9045</v>
      </c>
      <c r="H704" t="s">
        <v>8995</v>
      </c>
      <c r="I704" t="s">
        <v>10349</v>
      </c>
      <c r="J704">
        <v>200</v>
      </c>
      <c r="K704">
        <v>54.9</v>
      </c>
      <c r="L704" t="s">
        <v>10346</v>
      </c>
      <c r="M704" s="42">
        <v>0.002745</v>
      </c>
      <c r="N704" s="42">
        <v>0.25</v>
      </c>
      <c r="O704">
        <v>0.2745</v>
      </c>
      <c r="P704" s="42">
        <v>0.000686</v>
      </c>
      <c r="Q704">
        <v>0.07</v>
      </c>
      <c r="R704">
        <v>794.39</v>
      </c>
      <c r="S704">
        <v>794.39</v>
      </c>
      <c r="T704">
        <v>1500</v>
      </c>
      <c r="U704" t="s">
        <v>10088</v>
      </c>
      <c r="V704" t="s">
        <v>10089</v>
      </c>
      <c r="W704">
        <v>1</v>
      </c>
      <c r="X704">
        <v>1</v>
      </c>
      <c r="Z704" s="42">
        <v>1</v>
      </c>
      <c r="AA704" s="42">
        <v>0.4</v>
      </c>
      <c r="AB704">
        <v>0</v>
      </c>
    </row>
    <row r="705">
      <c r="A705" t="s">
        <v>10350</v>
      </c>
      <c r="B705" t="s">
        <v>8621</v>
      </c>
      <c r="C705" t="s">
        <v>8621</v>
      </c>
      <c r="D705" t="s">
        <v>10351</v>
      </c>
      <c r="E705" t="s">
        <v>10352</v>
      </c>
      <c r="F705" t="s">
        <v>6966</v>
      </c>
      <c r="G705" t="s">
        <v>10353</v>
      </c>
      <c r="H705" t="s">
        <v>10354</v>
      </c>
      <c r="I705" t="s">
        <v>10355</v>
      </c>
      <c r="J705" t="s">
        <v>7132</v>
      </c>
      <c r="K705" t="s">
        <v>9446</v>
      </c>
      <c r="L705" t="s">
        <v>10346</v>
      </c>
      <c r="M705" s="42">
        <v>0</v>
      </c>
      <c r="N705" s="42">
        <v>0.25</v>
      </c>
      <c r="O705">
        <v>0</v>
      </c>
      <c r="P705" s="42">
        <v>0.448</v>
      </c>
      <c r="Q705">
        <v>0.5</v>
      </c>
      <c r="R705">
        <v>4500</v>
      </c>
      <c r="S705">
        <v>4500</v>
      </c>
      <c r="T705">
        <v>3000</v>
      </c>
      <c r="U705" t="s">
        <v>10088</v>
      </c>
      <c r="V705" t="s">
        <v>10089</v>
      </c>
      <c r="W705">
        <v>1</v>
      </c>
      <c r="X705">
        <v>1</v>
      </c>
      <c r="Z705" s="42">
        <v>1</v>
      </c>
      <c r="AA705" s="42">
        <v>0.4</v>
      </c>
      <c r="AB705">
        <v>0</v>
      </c>
    </row>
    <row r="706">
      <c r="A706" t="s">
        <v>10356</v>
      </c>
      <c r="B706" t="s">
        <v>8621</v>
      </c>
      <c r="C706" t="s">
        <v>8621</v>
      </c>
      <c r="D706" t="s">
        <v>7566</v>
      </c>
      <c r="E706" t="s">
        <v>10357</v>
      </c>
      <c r="F706" t="s">
        <v>6966</v>
      </c>
      <c r="G706" t="s">
        <v>10353</v>
      </c>
      <c r="H706" t="s">
        <v>10354</v>
      </c>
      <c r="I706" t="s">
        <v>10358</v>
      </c>
      <c r="J706" t="s">
        <v>8618</v>
      </c>
      <c r="K706" t="s">
        <v>9446</v>
      </c>
      <c r="M706" s="42">
        <v>0</v>
      </c>
      <c r="N706" s="42">
        <v>0.3</v>
      </c>
      <c r="O706">
        <v>0</v>
      </c>
      <c r="P706" s="42">
        <v>0.27</v>
      </c>
      <c r="Q706">
        <v>0.23</v>
      </c>
      <c r="R706">
        <v>1500</v>
      </c>
      <c r="S706">
        <v>1500</v>
      </c>
      <c r="T706">
        <v>3000</v>
      </c>
      <c r="U706" t="s">
        <v>10088</v>
      </c>
      <c r="V706" t="s">
        <v>10089</v>
      </c>
      <c r="W706">
        <v>1</v>
      </c>
      <c r="X706">
        <v>1</v>
      </c>
      <c r="Z706" s="42">
        <v>1</v>
      </c>
      <c r="AA706" s="42">
        <v>0.4</v>
      </c>
      <c r="AB706">
        <v>0</v>
      </c>
    </row>
    <row r="707">
      <c r="A707" t="s">
        <v>10359</v>
      </c>
      <c r="B707" t="s">
        <v>8621</v>
      </c>
      <c r="C707" t="s">
        <v>8621</v>
      </c>
      <c r="D707" t="s">
        <v>10351</v>
      </c>
      <c r="E707" t="s">
        <v>10360</v>
      </c>
      <c r="F707" t="s">
        <v>6966</v>
      </c>
      <c r="G707" t="s">
        <v>10353</v>
      </c>
      <c r="H707" t="s">
        <v>10354</v>
      </c>
      <c r="I707" t="s">
        <v>10361</v>
      </c>
      <c r="J707" t="s">
        <v>7132</v>
      </c>
      <c r="K707" t="s">
        <v>9446</v>
      </c>
      <c r="M707" s="42">
        <v>0</v>
      </c>
      <c r="N707" s="42">
        <v>0.3</v>
      </c>
      <c r="O707">
        <v>0</v>
      </c>
      <c r="P707" s="42">
        <v>0.373333</v>
      </c>
      <c r="Q707">
        <v>0.48</v>
      </c>
      <c r="R707">
        <v>3000</v>
      </c>
      <c r="S707">
        <v>3000</v>
      </c>
      <c r="T707">
        <v>3000</v>
      </c>
      <c r="U707" t="s">
        <v>10088</v>
      </c>
      <c r="V707" t="s">
        <v>10089</v>
      </c>
      <c r="W707">
        <v>1</v>
      </c>
      <c r="X707">
        <v>1</v>
      </c>
      <c r="Z707" s="42">
        <v>1</v>
      </c>
      <c r="AA707" s="42">
        <v>0.4</v>
      </c>
      <c r="AB707">
        <v>0</v>
      </c>
    </row>
    <row r="708">
      <c r="A708" t="s">
        <v>10362</v>
      </c>
      <c r="B708" t="s">
        <v>8621</v>
      </c>
      <c r="C708" t="s">
        <v>8621</v>
      </c>
      <c r="D708" t="s">
        <v>7000</v>
      </c>
      <c r="E708" t="s">
        <v>10363</v>
      </c>
      <c r="F708" t="s">
        <v>6966</v>
      </c>
      <c r="G708" t="s">
        <v>10353</v>
      </c>
      <c r="H708" t="s">
        <v>10354</v>
      </c>
      <c r="I708" t="s">
        <v>10358</v>
      </c>
      <c r="J708" t="s">
        <v>8618</v>
      </c>
      <c r="K708" t="s">
        <v>9446</v>
      </c>
      <c r="M708" s="42">
        <v>0</v>
      </c>
      <c r="N708" s="42">
        <v>0.3</v>
      </c>
      <c r="O708">
        <v>0</v>
      </c>
      <c r="P708" s="42">
        <v>0.477</v>
      </c>
      <c r="Q708">
        <v>0.54</v>
      </c>
      <c r="R708">
        <v>0</v>
      </c>
      <c r="S708">
        <v>0</v>
      </c>
      <c r="T708">
        <v>5000</v>
      </c>
      <c r="U708" t="s">
        <v>10364</v>
      </c>
      <c r="X708">
        <v>0</v>
      </c>
      <c r="Z708" s="42">
        <v>0</v>
      </c>
      <c r="AA708" s="42">
        <v>1</v>
      </c>
      <c r="AB708">
        <v>0</v>
      </c>
    </row>
    <row r="709">
      <c r="A709" t="s">
        <v>10365</v>
      </c>
      <c r="B709" t="s">
        <v>8621</v>
      </c>
      <c r="C709" t="s">
        <v>8621</v>
      </c>
      <c r="D709" t="s">
        <v>7000</v>
      </c>
      <c r="E709" t="s">
        <v>10366</v>
      </c>
      <c r="F709" t="s">
        <v>6966</v>
      </c>
      <c r="G709" t="s">
        <v>10353</v>
      </c>
      <c r="H709" t="s">
        <v>10354</v>
      </c>
      <c r="I709" t="s">
        <v>10367</v>
      </c>
      <c r="J709" t="s">
        <v>8618</v>
      </c>
      <c r="K709" t="s">
        <v>9446</v>
      </c>
      <c r="M709" s="42">
        <v>0</v>
      </c>
      <c r="N709" s="42">
        <v>0.3</v>
      </c>
      <c r="O709">
        <v>0</v>
      </c>
      <c r="P709" s="42">
        <v>0.458</v>
      </c>
      <c r="Q709">
        <v>0.46</v>
      </c>
      <c r="R709">
        <v>0</v>
      </c>
      <c r="S709">
        <v>0</v>
      </c>
      <c r="T709">
        <v>5000</v>
      </c>
      <c r="U709" t="s">
        <v>10364</v>
      </c>
      <c r="X709">
        <v>0</v>
      </c>
      <c r="Z709" s="42">
        <v>0</v>
      </c>
      <c r="AA709" s="42">
        <v>1</v>
      </c>
      <c r="AB709">
        <v>0</v>
      </c>
    </row>
    <row r="710">
      <c r="A710" t="s">
        <v>10368</v>
      </c>
      <c r="B710" t="s">
        <v>7938</v>
      </c>
      <c r="C710" t="s">
        <v>7938</v>
      </c>
      <c r="D710" t="s">
        <v>10369</v>
      </c>
      <c r="E710" t="s">
        <v>10370</v>
      </c>
      <c r="F710" t="s">
        <v>6966</v>
      </c>
      <c r="G710" t="s">
        <v>7980</v>
      </c>
      <c r="H710" t="s">
        <v>7981</v>
      </c>
      <c r="I710" t="s">
        <v>10371</v>
      </c>
      <c r="J710" t="s">
        <v>10372</v>
      </c>
      <c r="K710">
        <v>100</v>
      </c>
      <c r="M710" s="42">
        <v>1</v>
      </c>
      <c r="N710" s="42">
        <v>0.4</v>
      </c>
      <c r="O710">
        <v>1</v>
      </c>
      <c r="P710" s="42">
        <v>0.4</v>
      </c>
      <c r="Q710">
        <v>0.4</v>
      </c>
      <c r="R710">
        <v>1000</v>
      </c>
      <c r="S710">
        <v>1000</v>
      </c>
      <c r="T710">
        <v>1000</v>
      </c>
      <c r="U710" t="s">
        <v>10373</v>
      </c>
      <c r="X710">
        <v>1</v>
      </c>
      <c r="Z710" s="42">
        <v>1</v>
      </c>
      <c r="AA710" s="42">
        <v>1</v>
      </c>
      <c r="AB710">
        <v>0</v>
      </c>
    </row>
    <row r="711">
      <c r="A711" t="s">
        <v>10374</v>
      </c>
      <c r="B711" t="s">
        <v>10130</v>
      </c>
      <c r="C711" t="s">
        <v>10130</v>
      </c>
      <c r="D711" t="s">
        <v>7402</v>
      </c>
      <c r="E711" t="s">
        <v>10375</v>
      </c>
      <c r="F711" t="s">
        <v>6966</v>
      </c>
      <c r="G711" t="s">
        <v>10376</v>
      </c>
      <c r="H711" t="s">
        <v>10133</v>
      </c>
      <c r="I711" t="s">
        <v>10377</v>
      </c>
      <c r="J711" s="43">
        <v>1</v>
      </c>
      <c r="K711" s="43">
        <v>0.67</v>
      </c>
      <c r="M711" s="42">
        <v>0.67</v>
      </c>
      <c r="N711" s="42">
        <v>0.3</v>
      </c>
      <c r="O711">
        <v>0.67</v>
      </c>
      <c r="P711" s="42">
        <v>0.8235</v>
      </c>
      <c r="Q711">
        <v>0.82</v>
      </c>
      <c r="R711">
        <v>4100</v>
      </c>
      <c r="S711">
        <v>4100</v>
      </c>
      <c r="T711">
        <v>5000</v>
      </c>
      <c r="U711" t="s">
        <v>10373</v>
      </c>
      <c r="X711">
        <v>1</v>
      </c>
      <c r="Z711" s="42">
        <v>1</v>
      </c>
      <c r="AA711" s="42">
        <v>1</v>
      </c>
      <c r="AB711">
        <v>0</v>
      </c>
    </row>
    <row r="712">
      <c r="A712" t="s">
        <v>10378</v>
      </c>
      <c r="B712" t="s">
        <v>8646</v>
      </c>
      <c r="C712" t="s">
        <v>8646</v>
      </c>
      <c r="D712" t="s">
        <v>7362</v>
      </c>
      <c r="E712" t="s">
        <v>10379</v>
      </c>
      <c r="F712" t="s">
        <v>6966</v>
      </c>
      <c r="G712" t="s">
        <v>8648</v>
      </c>
      <c r="H712" t="s">
        <v>8649</v>
      </c>
      <c r="I712" t="s">
        <v>8650</v>
      </c>
      <c r="J712" t="s">
        <v>10380</v>
      </c>
      <c r="K712" s="46">
        <v>619433.64</v>
      </c>
      <c r="M712" s="42">
        <v>0.6194</v>
      </c>
      <c r="N712" s="42">
        <v>0.09</v>
      </c>
      <c r="O712">
        <v>0.4955</v>
      </c>
      <c r="P712" s="42">
        <v>0.463886</v>
      </c>
      <c r="Q712">
        <v>0.47</v>
      </c>
      <c r="R712">
        <v>675</v>
      </c>
      <c r="S712">
        <v>675</v>
      </c>
      <c r="T712">
        <v>1500</v>
      </c>
      <c r="U712" t="s">
        <v>10373</v>
      </c>
      <c r="X712">
        <v>1</v>
      </c>
      <c r="Z712" s="42">
        <v>1</v>
      </c>
      <c r="AA712" s="42">
        <v>1</v>
      </c>
      <c r="AB712">
        <v>0</v>
      </c>
    </row>
    <row r="713">
      <c r="A713" t="s">
        <v>10381</v>
      </c>
      <c r="B713" t="s">
        <v>8646</v>
      </c>
      <c r="C713" t="s">
        <v>8646</v>
      </c>
      <c r="D713" t="s">
        <v>7362</v>
      </c>
      <c r="E713" t="s">
        <v>10382</v>
      </c>
      <c r="F713" t="s">
        <v>6966</v>
      </c>
      <c r="G713" t="s">
        <v>8648</v>
      </c>
      <c r="H713" t="s">
        <v>8649</v>
      </c>
      <c r="I713" t="s">
        <v>8650</v>
      </c>
      <c r="J713" t="s">
        <v>10380</v>
      </c>
      <c r="K713" s="46">
        <v>321960.16</v>
      </c>
      <c r="M713" s="42">
        <v>0.322</v>
      </c>
      <c r="N713" s="42">
        <v>0.18</v>
      </c>
      <c r="O713">
        <v>0.2576</v>
      </c>
      <c r="P713" s="42">
        <v>0.180035</v>
      </c>
      <c r="Q713">
        <v>0.16</v>
      </c>
      <c r="R713">
        <v>405</v>
      </c>
      <c r="S713">
        <v>405</v>
      </c>
      <c r="T713">
        <v>1500</v>
      </c>
      <c r="U713" t="s">
        <v>10373</v>
      </c>
      <c r="X713">
        <v>1</v>
      </c>
      <c r="Z713" s="42">
        <v>1</v>
      </c>
      <c r="AA713" s="42">
        <v>1</v>
      </c>
      <c r="AB713">
        <v>0</v>
      </c>
    </row>
    <row r="714">
      <c r="A714" t="s">
        <v>10383</v>
      </c>
      <c r="B714" t="s">
        <v>8646</v>
      </c>
      <c r="C714" t="s">
        <v>8646</v>
      </c>
      <c r="D714" t="s">
        <v>7362</v>
      </c>
      <c r="E714" t="s">
        <v>10384</v>
      </c>
      <c r="F714" t="s">
        <v>6966</v>
      </c>
      <c r="G714" t="s">
        <v>8648</v>
      </c>
      <c r="H714" t="s">
        <v>8649</v>
      </c>
      <c r="I714" t="s">
        <v>8650</v>
      </c>
      <c r="J714" t="s">
        <v>10380</v>
      </c>
      <c r="K714" s="46">
        <v>267233.62</v>
      </c>
      <c r="M714" s="42">
        <v>0.267</v>
      </c>
      <c r="N714" s="42">
        <v>0.18</v>
      </c>
      <c r="O714">
        <v>0.2136</v>
      </c>
      <c r="P714" s="42">
        <v>0.14461</v>
      </c>
      <c r="Q714">
        <v>0.15</v>
      </c>
      <c r="R714">
        <v>0</v>
      </c>
      <c r="S714">
        <v>0</v>
      </c>
      <c r="T714">
        <v>1500</v>
      </c>
      <c r="U714" t="s">
        <v>10373</v>
      </c>
      <c r="X714">
        <v>1</v>
      </c>
      <c r="Z714" s="42">
        <v>1</v>
      </c>
      <c r="AA714" s="42">
        <v>1</v>
      </c>
      <c r="AB714">
        <v>0</v>
      </c>
    </row>
    <row r="715">
      <c r="A715" t="s">
        <v>10385</v>
      </c>
      <c r="B715" t="s">
        <v>10130</v>
      </c>
      <c r="C715" t="s">
        <v>10130</v>
      </c>
      <c r="D715" t="s">
        <v>7000</v>
      </c>
      <c r="E715" t="s">
        <v>10386</v>
      </c>
      <c r="F715" t="s">
        <v>6966</v>
      </c>
      <c r="G715" t="s">
        <v>10376</v>
      </c>
      <c r="H715" t="s">
        <v>10133</v>
      </c>
      <c r="I715" t="s">
        <v>10387</v>
      </c>
      <c r="J715" t="s">
        <v>10135</v>
      </c>
      <c r="K715" t="s">
        <v>10136</v>
      </c>
      <c r="M715" s="42">
        <v>1.037</v>
      </c>
      <c r="N715" s="42">
        <v>0.1</v>
      </c>
      <c r="O715">
        <v>1.03</v>
      </c>
      <c r="P715" s="42">
        <v>0.7934</v>
      </c>
      <c r="Q715">
        <v>0.79</v>
      </c>
      <c r="R715">
        <v>4740</v>
      </c>
      <c r="S715">
        <v>4740</v>
      </c>
      <c r="T715">
        <v>6000</v>
      </c>
      <c r="U715" t="s">
        <v>10373</v>
      </c>
      <c r="X715">
        <v>1</v>
      </c>
      <c r="Z715" s="42">
        <v>1</v>
      </c>
      <c r="AA715" s="42">
        <v>1</v>
      </c>
      <c r="AB715">
        <v>0</v>
      </c>
    </row>
    <row r="716">
      <c r="A716" t="s">
        <v>10388</v>
      </c>
      <c r="B716" t="s">
        <v>9826</v>
      </c>
      <c r="C716" t="s">
        <v>9826</v>
      </c>
      <c r="D716" t="s">
        <v>9572</v>
      </c>
      <c r="E716" t="s">
        <v>10389</v>
      </c>
      <c r="F716" t="s">
        <v>6966</v>
      </c>
      <c r="G716" t="s">
        <v>9574</v>
      </c>
      <c r="H716" t="s">
        <v>9575</v>
      </c>
      <c r="I716">
        <v>1</v>
      </c>
      <c r="J716" t="s">
        <v>10390</v>
      </c>
      <c r="K716" s="43">
        <v>1</v>
      </c>
      <c r="L716" t="s">
        <v>10391</v>
      </c>
      <c r="M716" s="42">
        <v>0.01</v>
      </c>
      <c r="N716" s="42">
        <v>0.4</v>
      </c>
      <c r="O716">
        <v>0.4</v>
      </c>
      <c r="P716" s="42">
        <v>0.01</v>
      </c>
      <c r="Q716">
        <v>1</v>
      </c>
      <c r="R716">
        <v>5182.84</v>
      </c>
      <c r="S716">
        <v>5182.84</v>
      </c>
      <c r="T716">
        <v>5000</v>
      </c>
      <c r="U716" t="s">
        <v>10373</v>
      </c>
      <c r="X716">
        <v>1</v>
      </c>
      <c r="Z716" s="42">
        <v>1</v>
      </c>
      <c r="AA716" s="42">
        <v>1</v>
      </c>
      <c r="AB716">
        <v>0</v>
      </c>
    </row>
    <row r="717">
      <c r="A717" t="s">
        <v>10392</v>
      </c>
      <c r="B717" t="s">
        <v>10393</v>
      </c>
      <c r="C717" t="s">
        <v>10393</v>
      </c>
      <c r="D717" t="s">
        <v>9404</v>
      </c>
      <c r="E717" t="s">
        <v>10394</v>
      </c>
      <c r="F717" t="s">
        <v>6966</v>
      </c>
      <c r="G717" t="s">
        <v>10395</v>
      </c>
      <c r="H717" t="s">
        <v>10396</v>
      </c>
      <c r="I717">
        <v>1</v>
      </c>
      <c r="J717" t="s">
        <v>8577</v>
      </c>
      <c r="K717">
        <v>94.8</v>
      </c>
      <c r="L717" t="s">
        <v>10397</v>
      </c>
      <c r="M717" s="42">
        <v>0.948</v>
      </c>
      <c r="N717" s="42">
        <v>0.7</v>
      </c>
      <c r="O717">
        <v>94.8</v>
      </c>
      <c r="P717" s="42">
        <v>0.9377</v>
      </c>
      <c r="Q717">
        <v>93.77</v>
      </c>
      <c r="R717">
        <v>600</v>
      </c>
      <c r="S717">
        <v>600</v>
      </c>
      <c r="T717">
        <v>1000</v>
      </c>
      <c r="U717" t="s">
        <v>10373</v>
      </c>
      <c r="X717">
        <v>1</v>
      </c>
      <c r="Z717" s="42">
        <v>1</v>
      </c>
      <c r="AA717" s="42">
        <v>1</v>
      </c>
      <c r="AB717">
        <v>0</v>
      </c>
    </row>
    <row r="718">
      <c r="A718" t="s">
        <v>10398</v>
      </c>
      <c r="B718" t="s">
        <v>10399</v>
      </c>
      <c r="C718" t="s">
        <v>10399</v>
      </c>
      <c r="D718" t="s">
        <v>9404</v>
      </c>
      <c r="E718" t="s">
        <v>10400</v>
      </c>
      <c r="F718" t="s">
        <v>6966</v>
      </c>
      <c r="G718" t="s">
        <v>10395</v>
      </c>
      <c r="H718" t="s">
        <v>10396</v>
      </c>
      <c r="I718">
        <v>1</v>
      </c>
      <c r="J718" t="s">
        <v>8577</v>
      </c>
      <c r="K718">
        <v>95.875</v>
      </c>
      <c r="L718" t="s">
        <v>10397</v>
      </c>
      <c r="M718" s="42">
        <v>0.95875</v>
      </c>
      <c r="N718" s="42">
        <v>0.7</v>
      </c>
      <c r="O718">
        <v>95.875</v>
      </c>
      <c r="P718" s="42">
        <v>0.908725</v>
      </c>
      <c r="Q718">
        <v>95.87</v>
      </c>
      <c r="R718">
        <v>1300</v>
      </c>
      <c r="S718">
        <v>1300</v>
      </c>
      <c r="T718">
        <v>1000</v>
      </c>
      <c r="U718" t="s">
        <v>10373</v>
      </c>
      <c r="X718">
        <v>1</v>
      </c>
      <c r="Z718" s="42">
        <v>1</v>
      </c>
      <c r="AA718" s="42">
        <v>1</v>
      </c>
      <c r="AB718">
        <v>0</v>
      </c>
    </row>
    <row r="719">
      <c r="A719" t="s">
        <v>10401</v>
      </c>
      <c r="B719" t="s">
        <v>10402</v>
      </c>
      <c r="C719" t="s">
        <v>10402</v>
      </c>
      <c r="D719" t="s">
        <v>9404</v>
      </c>
      <c r="E719" t="s">
        <v>10403</v>
      </c>
      <c r="F719" t="s">
        <v>6966</v>
      </c>
      <c r="G719" t="s">
        <v>10395</v>
      </c>
      <c r="H719" t="s">
        <v>10396</v>
      </c>
      <c r="I719">
        <v>1</v>
      </c>
      <c r="J719" t="s">
        <v>8577</v>
      </c>
      <c r="K719">
        <v>95.1785</v>
      </c>
      <c r="L719" t="s">
        <v>10397</v>
      </c>
      <c r="M719" s="42">
        <v>0.951785</v>
      </c>
      <c r="N719" s="42">
        <v>0.7</v>
      </c>
      <c r="O719">
        <v>95.1785</v>
      </c>
      <c r="P719" s="42">
        <v>0.94317</v>
      </c>
      <c r="Q719">
        <v>94.31</v>
      </c>
      <c r="R719">
        <v>1000</v>
      </c>
      <c r="S719">
        <v>2050</v>
      </c>
      <c r="T719">
        <v>1000</v>
      </c>
      <c r="U719" t="s">
        <v>10373</v>
      </c>
      <c r="X719">
        <v>1</v>
      </c>
      <c r="Z719" s="42">
        <v>1</v>
      </c>
      <c r="AA719" s="42">
        <v>1</v>
      </c>
      <c r="AB719">
        <v>0</v>
      </c>
    </row>
    <row r="720">
      <c r="A720" t="s">
        <v>10404</v>
      </c>
      <c r="B720" t="s">
        <v>10399</v>
      </c>
      <c r="C720" t="s">
        <v>10399</v>
      </c>
      <c r="D720" t="s">
        <v>9404</v>
      </c>
      <c r="E720" t="s">
        <v>10405</v>
      </c>
      <c r="F720" t="s">
        <v>6966</v>
      </c>
      <c r="G720" t="s">
        <v>10395</v>
      </c>
      <c r="H720" t="s">
        <v>10396</v>
      </c>
      <c r="I720">
        <v>1</v>
      </c>
      <c r="J720" t="s">
        <v>8577</v>
      </c>
      <c r="K720">
        <v>95.875</v>
      </c>
      <c r="L720" t="s">
        <v>10397</v>
      </c>
      <c r="M720" s="42">
        <v>0.95875</v>
      </c>
      <c r="N720" s="42">
        <v>0.7</v>
      </c>
      <c r="O720">
        <v>95.875</v>
      </c>
      <c r="P720" s="42">
        <v>0.908725</v>
      </c>
      <c r="Q720">
        <v>95.87</v>
      </c>
      <c r="R720">
        <v>1300</v>
      </c>
      <c r="S720">
        <v>1300</v>
      </c>
      <c r="T720">
        <v>1000</v>
      </c>
      <c r="U720" t="s">
        <v>10373</v>
      </c>
      <c r="X720">
        <v>1</v>
      </c>
      <c r="Z720" s="42">
        <v>1</v>
      </c>
      <c r="AA720" s="42">
        <v>1</v>
      </c>
      <c r="AB720">
        <v>0</v>
      </c>
    </row>
    <row r="721">
      <c r="A721" t="s">
        <v>10406</v>
      </c>
      <c r="B721" t="s">
        <v>10393</v>
      </c>
      <c r="C721" t="s">
        <v>10393</v>
      </c>
      <c r="D721" t="s">
        <v>9404</v>
      </c>
      <c r="E721" t="s">
        <v>10407</v>
      </c>
      <c r="F721" t="s">
        <v>6966</v>
      </c>
      <c r="G721" t="s">
        <v>10395</v>
      </c>
      <c r="H721" t="s">
        <v>10396</v>
      </c>
      <c r="I721">
        <v>1</v>
      </c>
      <c r="J721" t="s">
        <v>8577</v>
      </c>
      <c r="K721">
        <v>83.125</v>
      </c>
      <c r="L721" t="s">
        <v>10397</v>
      </c>
      <c r="M721" s="42">
        <v>0.83125</v>
      </c>
      <c r="N721" s="42">
        <v>0.7</v>
      </c>
      <c r="O721">
        <v>83.125</v>
      </c>
      <c r="P721" s="42">
        <v>0.819475</v>
      </c>
      <c r="Q721">
        <v>83.12</v>
      </c>
      <c r="R721">
        <v>250</v>
      </c>
      <c r="S721">
        <v>250</v>
      </c>
      <c r="T721">
        <v>1000</v>
      </c>
      <c r="U721" t="s">
        <v>10373</v>
      </c>
      <c r="X721">
        <v>1</v>
      </c>
      <c r="Z721" s="42">
        <v>1</v>
      </c>
      <c r="AA721" s="42">
        <v>1</v>
      </c>
      <c r="AB721">
        <v>0</v>
      </c>
    </row>
    <row r="722">
      <c r="A722" t="s">
        <v>10408</v>
      </c>
      <c r="B722" t="s">
        <v>10409</v>
      </c>
      <c r="C722" t="s">
        <v>10409</v>
      </c>
      <c r="D722" t="s">
        <v>9404</v>
      </c>
      <c r="E722" t="s">
        <v>10144</v>
      </c>
      <c r="F722" t="s">
        <v>6966</v>
      </c>
      <c r="G722" t="s">
        <v>10395</v>
      </c>
      <c r="H722" t="s">
        <v>10396</v>
      </c>
      <c r="I722">
        <v>1</v>
      </c>
      <c r="J722" t="s">
        <v>8577</v>
      </c>
      <c r="K722">
        <v>85.5468</v>
      </c>
      <c r="L722" t="s">
        <v>10397</v>
      </c>
      <c r="M722" s="42">
        <v>0.855468</v>
      </c>
      <c r="N722" s="42">
        <v>0.7</v>
      </c>
      <c r="O722">
        <v>85.5468</v>
      </c>
      <c r="P722" s="42">
        <v>0.875748</v>
      </c>
      <c r="Q722">
        <v>87.57</v>
      </c>
      <c r="R722">
        <v>200</v>
      </c>
      <c r="S722">
        <v>425</v>
      </c>
      <c r="T722">
        <v>1000</v>
      </c>
      <c r="U722" t="s">
        <v>10373</v>
      </c>
      <c r="X722">
        <v>1</v>
      </c>
      <c r="Z722" s="42">
        <v>1</v>
      </c>
      <c r="AA722" s="42">
        <v>1</v>
      </c>
      <c r="AB722">
        <v>0</v>
      </c>
    </row>
    <row r="723">
      <c r="A723" t="s">
        <v>10410</v>
      </c>
      <c r="B723" t="s">
        <v>10402</v>
      </c>
      <c r="C723" t="s">
        <v>10402</v>
      </c>
      <c r="D723" t="s">
        <v>9404</v>
      </c>
      <c r="E723" t="s">
        <v>10411</v>
      </c>
      <c r="F723" t="s">
        <v>6966</v>
      </c>
      <c r="G723" t="s">
        <v>10395</v>
      </c>
      <c r="H723" t="s">
        <v>10396</v>
      </c>
      <c r="I723">
        <v>1</v>
      </c>
      <c r="J723" t="s">
        <v>8577</v>
      </c>
      <c r="K723">
        <v>98.125</v>
      </c>
      <c r="L723" t="s">
        <v>10397</v>
      </c>
      <c r="M723" s="42">
        <v>0.98125</v>
      </c>
      <c r="N723" s="42">
        <v>0.7</v>
      </c>
      <c r="O723">
        <v>98.125</v>
      </c>
      <c r="P723" s="42">
        <v>0.963795</v>
      </c>
      <c r="Q723">
        <v>96.38</v>
      </c>
      <c r="R723">
        <v>2100</v>
      </c>
      <c r="S723">
        <v>3350</v>
      </c>
      <c r="T723">
        <v>1000</v>
      </c>
      <c r="U723" t="s">
        <v>10373</v>
      </c>
      <c r="X723">
        <v>1</v>
      </c>
      <c r="Z723" s="42">
        <v>1</v>
      </c>
      <c r="AA723" s="42">
        <v>1</v>
      </c>
      <c r="AB723">
        <v>0</v>
      </c>
    </row>
    <row r="724">
      <c r="A724" t="s">
        <v>10412</v>
      </c>
      <c r="B724" t="s">
        <v>10393</v>
      </c>
      <c r="C724" t="s">
        <v>10393</v>
      </c>
      <c r="D724" t="s">
        <v>9404</v>
      </c>
      <c r="E724" t="s">
        <v>10413</v>
      </c>
      <c r="F724" t="s">
        <v>6966</v>
      </c>
      <c r="G724" t="s">
        <v>10395</v>
      </c>
      <c r="H724" t="s">
        <v>10396</v>
      </c>
      <c r="I724">
        <v>1</v>
      </c>
      <c r="J724" t="s">
        <v>8577</v>
      </c>
      <c r="K724">
        <v>99.8</v>
      </c>
      <c r="L724" t="s">
        <v>10397</v>
      </c>
      <c r="M724" s="42">
        <v>0.998</v>
      </c>
      <c r="N724" s="42">
        <v>0.7</v>
      </c>
      <c r="O724">
        <v>99.8</v>
      </c>
      <c r="P724" s="42">
        <v>0.9727</v>
      </c>
      <c r="Q724">
        <v>97.27</v>
      </c>
      <c r="R724">
        <v>1550</v>
      </c>
      <c r="S724">
        <v>1550</v>
      </c>
      <c r="T724">
        <v>1000</v>
      </c>
      <c r="U724" t="s">
        <v>10373</v>
      </c>
      <c r="X724">
        <v>1</v>
      </c>
      <c r="Z724" s="42">
        <v>1</v>
      </c>
      <c r="AA724" s="42">
        <v>1</v>
      </c>
      <c r="AB724">
        <v>0</v>
      </c>
    </row>
    <row r="725">
      <c r="A725" t="s">
        <v>10414</v>
      </c>
      <c r="B725" t="s">
        <v>10409</v>
      </c>
      <c r="C725" t="s">
        <v>10409</v>
      </c>
      <c r="D725" t="s">
        <v>9404</v>
      </c>
      <c r="E725" t="s">
        <v>10415</v>
      </c>
      <c r="F725" t="s">
        <v>6966</v>
      </c>
      <c r="G725" t="s">
        <v>10395</v>
      </c>
      <c r="H725" t="s">
        <v>10396</v>
      </c>
      <c r="I725">
        <v>1</v>
      </c>
      <c r="J725" t="s">
        <v>8577</v>
      </c>
      <c r="K725">
        <v>91.83</v>
      </c>
      <c r="L725" t="s">
        <v>10397</v>
      </c>
      <c r="M725" s="42">
        <v>0.9183</v>
      </c>
      <c r="N725" s="42">
        <v>0.7</v>
      </c>
      <c r="O725">
        <v>91.83</v>
      </c>
      <c r="P725" s="42">
        <v>0.91973</v>
      </c>
      <c r="Q725">
        <v>91.83</v>
      </c>
      <c r="R725">
        <v>933.33</v>
      </c>
      <c r="S725">
        <v>1433.33</v>
      </c>
      <c r="T725">
        <v>1000</v>
      </c>
      <c r="U725" t="s">
        <v>10373</v>
      </c>
      <c r="X725">
        <v>1</v>
      </c>
      <c r="Z725" s="42">
        <v>1</v>
      </c>
      <c r="AA725" s="42">
        <v>1</v>
      </c>
      <c r="AB725">
        <v>0</v>
      </c>
    </row>
    <row r="726">
      <c r="A726" t="s">
        <v>10416</v>
      </c>
      <c r="B726" t="s">
        <v>10402</v>
      </c>
      <c r="C726" t="s">
        <v>10402</v>
      </c>
      <c r="D726" t="s">
        <v>9404</v>
      </c>
      <c r="E726" t="s">
        <v>10417</v>
      </c>
      <c r="F726" t="s">
        <v>6966</v>
      </c>
      <c r="G726" t="s">
        <v>10395</v>
      </c>
      <c r="H726" t="s">
        <v>10396</v>
      </c>
      <c r="I726">
        <v>1</v>
      </c>
      <c r="J726" t="s">
        <v>8577</v>
      </c>
      <c r="K726">
        <v>95.7142</v>
      </c>
      <c r="L726" t="s">
        <v>10397</v>
      </c>
      <c r="M726" s="42">
        <v>0.957142</v>
      </c>
      <c r="N726" s="42">
        <v>0.7</v>
      </c>
      <c r="O726">
        <v>95.7142</v>
      </c>
      <c r="P726" s="42">
        <v>0.946919</v>
      </c>
      <c r="Q726">
        <v>94.69</v>
      </c>
      <c r="R726">
        <v>1400</v>
      </c>
      <c r="S726">
        <v>2500</v>
      </c>
      <c r="T726">
        <v>1000</v>
      </c>
      <c r="U726" t="s">
        <v>10373</v>
      </c>
      <c r="X726">
        <v>1</v>
      </c>
      <c r="Z726" s="42">
        <v>1</v>
      </c>
      <c r="AA726" s="42">
        <v>1</v>
      </c>
      <c r="AB726">
        <v>0</v>
      </c>
    </row>
    <row r="727">
      <c r="A727" t="s">
        <v>10418</v>
      </c>
      <c r="B727" t="s">
        <v>10402</v>
      </c>
      <c r="C727" t="s">
        <v>10402</v>
      </c>
      <c r="D727" t="s">
        <v>9404</v>
      </c>
      <c r="E727" t="s">
        <v>10419</v>
      </c>
      <c r="F727" t="s">
        <v>6966</v>
      </c>
      <c r="G727" t="s">
        <v>10395</v>
      </c>
      <c r="H727" t="s">
        <v>10396</v>
      </c>
      <c r="I727">
        <v>1</v>
      </c>
      <c r="J727" t="s">
        <v>8577</v>
      </c>
      <c r="K727">
        <v>98.3928</v>
      </c>
      <c r="L727" t="s">
        <v>10397</v>
      </c>
      <c r="M727" s="42">
        <v>0.983928</v>
      </c>
      <c r="N727" s="42">
        <v>0.7</v>
      </c>
      <c r="O727">
        <v>98.3928</v>
      </c>
      <c r="P727" s="42">
        <v>0.96567</v>
      </c>
      <c r="Q727">
        <v>96.56</v>
      </c>
      <c r="R727">
        <v>2800</v>
      </c>
      <c r="S727">
        <v>2800</v>
      </c>
      <c r="T727">
        <v>1000</v>
      </c>
      <c r="U727" t="s">
        <v>10373</v>
      </c>
      <c r="X727">
        <v>1</v>
      </c>
      <c r="Z727" s="42">
        <v>1</v>
      </c>
      <c r="AA727" s="42">
        <v>1</v>
      </c>
      <c r="AB727">
        <v>0</v>
      </c>
    </row>
    <row r="728">
      <c r="A728" t="s">
        <v>10420</v>
      </c>
      <c r="B728" t="s">
        <v>10409</v>
      </c>
      <c r="C728" t="s">
        <v>10409</v>
      </c>
      <c r="D728" t="s">
        <v>9404</v>
      </c>
      <c r="E728" t="s">
        <v>10421</v>
      </c>
      <c r="F728" t="s">
        <v>6966</v>
      </c>
      <c r="G728" t="s">
        <v>10395</v>
      </c>
      <c r="H728" t="s">
        <v>10396</v>
      </c>
      <c r="I728">
        <v>1</v>
      </c>
      <c r="J728" t="s">
        <v>8577</v>
      </c>
      <c r="K728">
        <v>93.25</v>
      </c>
      <c r="L728" t="s">
        <v>10397</v>
      </c>
      <c r="M728" s="42">
        <v>0.9325</v>
      </c>
      <c r="N728" s="42">
        <v>0.7</v>
      </c>
      <c r="O728">
        <v>93.25</v>
      </c>
      <c r="P728" s="42">
        <v>0.89035</v>
      </c>
      <c r="Q728">
        <v>93.25</v>
      </c>
      <c r="R728">
        <v>400</v>
      </c>
      <c r="S728">
        <v>400</v>
      </c>
      <c r="T728">
        <v>1000</v>
      </c>
      <c r="U728" t="s">
        <v>10373</v>
      </c>
      <c r="X728">
        <v>1</v>
      </c>
      <c r="Z728" s="42">
        <v>1</v>
      </c>
      <c r="AA728" s="42">
        <v>1</v>
      </c>
      <c r="AB728">
        <v>0</v>
      </c>
    </row>
    <row r="729">
      <c r="A729" t="s">
        <v>10422</v>
      </c>
      <c r="B729" t="s">
        <v>10399</v>
      </c>
      <c r="C729" t="s">
        <v>10399</v>
      </c>
      <c r="D729" t="s">
        <v>9404</v>
      </c>
      <c r="E729" t="s">
        <v>10423</v>
      </c>
      <c r="F729" t="s">
        <v>6966</v>
      </c>
      <c r="G729" t="s">
        <v>10395</v>
      </c>
      <c r="H729" t="s">
        <v>10396</v>
      </c>
      <c r="I729">
        <v>1</v>
      </c>
      <c r="J729" t="s">
        <v>8577</v>
      </c>
      <c r="K729">
        <v>99.8</v>
      </c>
      <c r="L729" t="s">
        <v>10397</v>
      </c>
      <c r="M729" s="42">
        <v>0.998</v>
      </c>
      <c r="N729" s="42">
        <v>0.7</v>
      </c>
      <c r="O729">
        <v>99.8</v>
      </c>
      <c r="P729" s="42">
        <v>0.9727</v>
      </c>
      <c r="Q729">
        <v>97.27</v>
      </c>
      <c r="R729">
        <v>1550</v>
      </c>
      <c r="S729">
        <v>1550</v>
      </c>
      <c r="T729">
        <v>1000</v>
      </c>
      <c r="U729" t="s">
        <v>10373</v>
      </c>
      <c r="X729">
        <v>1</v>
      </c>
      <c r="Z729" s="42">
        <v>1</v>
      </c>
      <c r="AA729" s="42">
        <v>1</v>
      </c>
      <c r="AB729">
        <v>0</v>
      </c>
    </row>
    <row r="730">
      <c r="A730" t="s">
        <v>10424</v>
      </c>
      <c r="B730" t="s">
        <v>10393</v>
      </c>
      <c r="C730" t="s">
        <v>10393</v>
      </c>
      <c r="D730" t="s">
        <v>9404</v>
      </c>
      <c r="E730" t="s">
        <v>10425</v>
      </c>
      <c r="F730" t="s">
        <v>6966</v>
      </c>
      <c r="G730" t="s">
        <v>10395</v>
      </c>
      <c r="H730" t="s">
        <v>10396</v>
      </c>
      <c r="I730">
        <v>1</v>
      </c>
      <c r="J730" t="s">
        <v>8577</v>
      </c>
      <c r="K730">
        <v>99.4</v>
      </c>
      <c r="L730" t="s">
        <v>10397</v>
      </c>
      <c r="M730" s="42">
        <v>0.994</v>
      </c>
      <c r="N730" s="42">
        <v>0.7</v>
      </c>
      <c r="O730">
        <v>99.4</v>
      </c>
      <c r="P730" s="42">
        <v>0.9699</v>
      </c>
      <c r="Q730">
        <v>96.99</v>
      </c>
      <c r="R730">
        <v>800</v>
      </c>
      <c r="S730">
        <v>800</v>
      </c>
      <c r="T730">
        <v>1000</v>
      </c>
      <c r="U730" t="s">
        <v>10373</v>
      </c>
      <c r="X730">
        <v>1</v>
      </c>
      <c r="Z730" s="42">
        <v>1</v>
      </c>
      <c r="AA730" s="42">
        <v>1</v>
      </c>
      <c r="AB730">
        <v>0</v>
      </c>
    </row>
    <row r="731">
      <c r="A731" t="s">
        <v>10426</v>
      </c>
      <c r="B731" t="s">
        <v>10409</v>
      </c>
      <c r="C731" t="s">
        <v>10409</v>
      </c>
      <c r="D731" t="s">
        <v>9404</v>
      </c>
      <c r="E731" t="s">
        <v>10427</v>
      </c>
      <c r="F731" t="s">
        <v>6966</v>
      </c>
      <c r="G731" t="s">
        <v>10395</v>
      </c>
      <c r="H731" t="s">
        <v>10396</v>
      </c>
      <c r="I731">
        <v>1</v>
      </c>
      <c r="J731" t="s">
        <v>8577</v>
      </c>
      <c r="K731">
        <v>95.8</v>
      </c>
      <c r="L731" t="s">
        <v>10397</v>
      </c>
      <c r="M731" s="42">
        <v>0.958</v>
      </c>
      <c r="N731" s="42">
        <v>0.7</v>
      </c>
      <c r="O731">
        <v>95.8</v>
      </c>
      <c r="P731" s="42">
        <v>0.9247</v>
      </c>
      <c r="Q731">
        <v>92.47</v>
      </c>
      <c r="R731">
        <v>200</v>
      </c>
      <c r="S731">
        <v>0</v>
      </c>
      <c r="T731">
        <v>1000</v>
      </c>
      <c r="U731" t="s">
        <v>10373</v>
      </c>
      <c r="X731">
        <v>1</v>
      </c>
      <c r="Z731" s="42">
        <v>1</v>
      </c>
      <c r="AA731" s="42">
        <v>1</v>
      </c>
      <c r="AB731">
        <v>0</v>
      </c>
    </row>
    <row r="732">
      <c r="A732" t="s">
        <v>10428</v>
      </c>
      <c r="B732" t="s">
        <v>10399</v>
      </c>
      <c r="C732" t="s">
        <v>10399</v>
      </c>
      <c r="D732" t="s">
        <v>9404</v>
      </c>
      <c r="E732" t="s">
        <v>10429</v>
      </c>
      <c r="F732" t="s">
        <v>6966</v>
      </c>
      <c r="G732" t="s">
        <v>10395</v>
      </c>
      <c r="H732" t="s">
        <v>10396</v>
      </c>
      <c r="I732">
        <v>1</v>
      </c>
      <c r="J732" t="s">
        <v>8577</v>
      </c>
      <c r="K732">
        <v>95.125</v>
      </c>
      <c r="L732" t="s">
        <v>10397</v>
      </c>
      <c r="M732" s="42">
        <v>0.95125</v>
      </c>
      <c r="N732" s="42">
        <v>0.7</v>
      </c>
      <c r="O732">
        <v>95.125</v>
      </c>
      <c r="P732" s="42">
        <v>0.903475</v>
      </c>
      <c r="Q732">
        <v>95.12</v>
      </c>
      <c r="R732">
        <v>700</v>
      </c>
      <c r="S732">
        <v>700</v>
      </c>
      <c r="T732">
        <v>1000</v>
      </c>
      <c r="U732" t="s">
        <v>10373</v>
      </c>
      <c r="X732">
        <v>1</v>
      </c>
      <c r="Z732" s="42">
        <v>1</v>
      </c>
      <c r="AA732" s="42">
        <v>1</v>
      </c>
      <c r="AB732">
        <v>0</v>
      </c>
    </row>
    <row r="733">
      <c r="A733" t="s">
        <v>10430</v>
      </c>
      <c r="B733" t="s">
        <v>10399</v>
      </c>
      <c r="C733" t="s">
        <v>10399</v>
      </c>
      <c r="D733" t="s">
        <v>9404</v>
      </c>
      <c r="E733" t="s">
        <v>10431</v>
      </c>
      <c r="F733" t="s">
        <v>6966</v>
      </c>
      <c r="G733" t="s">
        <v>10395</v>
      </c>
      <c r="H733" t="s">
        <v>10396</v>
      </c>
      <c r="I733">
        <v>1</v>
      </c>
      <c r="J733" t="s">
        <v>8577</v>
      </c>
      <c r="K733">
        <v>94.375</v>
      </c>
      <c r="L733" t="s">
        <v>10397</v>
      </c>
      <c r="M733" s="42">
        <v>0.94375</v>
      </c>
      <c r="N733" s="42">
        <v>0.7</v>
      </c>
      <c r="O733">
        <v>94.375</v>
      </c>
      <c r="P733" s="42">
        <v>0.898225</v>
      </c>
      <c r="Q733">
        <v>94.37</v>
      </c>
      <c r="R733">
        <v>550</v>
      </c>
      <c r="S733">
        <v>550</v>
      </c>
      <c r="T733">
        <v>1000</v>
      </c>
      <c r="U733" t="s">
        <v>10373</v>
      </c>
      <c r="X733">
        <v>1</v>
      </c>
      <c r="Z733" s="42">
        <v>1</v>
      </c>
      <c r="AA733" s="42">
        <v>1</v>
      </c>
      <c r="AB733">
        <v>0</v>
      </c>
    </row>
    <row r="734">
      <c r="A734" t="s">
        <v>10432</v>
      </c>
      <c r="B734" t="s">
        <v>10393</v>
      </c>
      <c r="C734" t="s">
        <v>10393</v>
      </c>
      <c r="D734" t="s">
        <v>9404</v>
      </c>
      <c r="E734" t="s">
        <v>10433</v>
      </c>
      <c r="F734" t="s">
        <v>6966</v>
      </c>
      <c r="G734" t="s">
        <v>10395</v>
      </c>
      <c r="H734" t="s">
        <v>10396</v>
      </c>
      <c r="I734">
        <v>1</v>
      </c>
      <c r="J734" t="s">
        <v>8577</v>
      </c>
      <c r="K734">
        <v>82.14</v>
      </c>
      <c r="L734" t="s">
        <v>10397</v>
      </c>
      <c r="M734" s="42">
        <v>0.8214</v>
      </c>
      <c r="N734" s="42">
        <v>0.7</v>
      </c>
      <c r="O734">
        <v>82.14</v>
      </c>
      <c r="P734" s="42">
        <v>0.8519</v>
      </c>
      <c r="Q734">
        <v>82.14</v>
      </c>
      <c r="R734">
        <v>300</v>
      </c>
      <c r="S734">
        <v>850</v>
      </c>
      <c r="T734">
        <v>1000</v>
      </c>
      <c r="U734" t="s">
        <v>10373</v>
      </c>
      <c r="X734">
        <v>1</v>
      </c>
      <c r="Z734" s="42">
        <v>1</v>
      </c>
      <c r="AA734" s="42">
        <v>1</v>
      </c>
      <c r="AB734">
        <v>0</v>
      </c>
    </row>
    <row r="735">
      <c r="A735" t="s">
        <v>10434</v>
      </c>
      <c r="B735" t="s">
        <v>10435</v>
      </c>
      <c r="C735" t="s">
        <v>10435</v>
      </c>
      <c r="D735" t="s">
        <v>9404</v>
      </c>
      <c r="E735" t="s">
        <v>10436</v>
      </c>
      <c r="F735" t="s">
        <v>6966</v>
      </c>
      <c r="G735" t="s">
        <v>10395</v>
      </c>
      <c r="H735" t="s">
        <v>10396</v>
      </c>
      <c r="I735">
        <v>1</v>
      </c>
      <c r="J735" t="s">
        <v>8577</v>
      </c>
      <c r="K735">
        <v>97.5</v>
      </c>
      <c r="L735" t="s">
        <v>10397</v>
      </c>
      <c r="M735" s="42">
        <v>0.975</v>
      </c>
      <c r="N735" s="42">
        <v>0.7</v>
      </c>
      <c r="O735">
        <v>97.5</v>
      </c>
      <c r="P735" s="42">
        <v>0.95942</v>
      </c>
      <c r="Q735">
        <v>97.5</v>
      </c>
      <c r="R735">
        <v>2600</v>
      </c>
      <c r="S735">
        <v>3100</v>
      </c>
      <c r="T735">
        <v>1000</v>
      </c>
      <c r="U735" t="s">
        <v>10373</v>
      </c>
      <c r="X735">
        <v>1</v>
      </c>
      <c r="Z735" s="42">
        <v>1</v>
      </c>
      <c r="AA735" s="42">
        <v>1</v>
      </c>
      <c r="AB735">
        <v>0</v>
      </c>
    </row>
    <row r="736">
      <c r="A736" t="s">
        <v>10437</v>
      </c>
      <c r="B736" t="s">
        <v>10435</v>
      </c>
      <c r="C736" t="s">
        <v>10435</v>
      </c>
      <c r="D736" t="s">
        <v>9404</v>
      </c>
      <c r="E736" t="s">
        <v>10438</v>
      </c>
      <c r="F736" t="s">
        <v>6966</v>
      </c>
      <c r="G736" t="s">
        <v>10395</v>
      </c>
      <c r="H736" t="s">
        <v>10396</v>
      </c>
      <c r="I736">
        <v>1</v>
      </c>
      <c r="J736" t="s">
        <v>8577</v>
      </c>
      <c r="K736">
        <v>90.33</v>
      </c>
      <c r="L736" t="s">
        <v>10397</v>
      </c>
      <c r="M736" s="42">
        <v>0.9033</v>
      </c>
      <c r="N736" s="42">
        <v>0.7</v>
      </c>
      <c r="O736">
        <v>90.33</v>
      </c>
      <c r="P736" s="42">
        <v>0.90923</v>
      </c>
      <c r="Q736">
        <v>90.33</v>
      </c>
      <c r="R736">
        <v>500</v>
      </c>
      <c r="S736">
        <v>1000</v>
      </c>
      <c r="T736">
        <v>1000</v>
      </c>
      <c r="U736" t="s">
        <v>10373</v>
      </c>
      <c r="X736">
        <v>1</v>
      </c>
      <c r="Z736" s="42">
        <v>1</v>
      </c>
      <c r="AA736" s="42">
        <v>1</v>
      </c>
      <c r="AB736">
        <v>0</v>
      </c>
    </row>
    <row r="737">
      <c r="A737" t="s">
        <v>10439</v>
      </c>
      <c r="B737" t="s">
        <v>8308</v>
      </c>
      <c r="C737" t="s">
        <v>8308</v>
      </c>
      <c r="D737" t="s">
        <v>9404</v>
      </c>
      <c r="E737" t="s">
        <v>10440</v>
      </c>
      <c r="F737" t="s">
        <v>6966</v>
      </c>
      <c r="G737" t="s">
        <v>10395</v>
      </c>
      <c r="H737" t="s">
        <v>10396</v>
      </c>
      <c r="I737">
        <v>1</v>
      </c>
      <c r="J737" t="s">
        <v>8577</v>
      </c>
      <c r="K737">
        <v>90.8928</v>
      </c>
      <c r="L737" t="s">
        <v>10397</v>
      </c>
      <c r="M737" s="42">
        <v>0.908928</v>
      </c>
      <c r="N737" s="42">
        <v>0.7</v>
      </c>
      <c r="O737">
        <v>90.8928</v>
      </c>
      <c r="P737" s="42">
        <v>0.91317</v>
      </c>
      <c r="Q737">
        <v>91.31</v>
      </c>
      <c r="R737">
        <v>600</v>
      </c>
      <c r="S737">
        <v>600</v>
      </c>
      <c r="T737">
        <v>1000</v>
      </c>
      <c r="U737" t="s">
        <v>10373</v>
      </c>
      <c r="X737">
        <v>1</v>
      </c>
      <c r="Z737" s="42">
        <v>1</v>
      </c>
      <c r="AA737" s="42">
        <v>1</v>
      </c>
      <c r="AB737">
        <v>0</v>
      </c>
    </row>
    <row r="738">
      <c r="A738" t="s">
        <v>10441</v>
      </c>
      <c r="B738" t="s">
        <v>8308</v>
      </c>
      <c r="C738" t="s">
        <v>8308</v>
      </c>
      <c r="D738" t="s">
        <v>9404</v>
      </c>
      <c r="E738" t="s">
        <v>10442</v>
      </c>
      <c r="F738" t="s">
        <v>6966</v>
      </c>
      <c r="G738" t="s">
        <v>10395</v>
      </c>
      <c r="H738" t="s">
        <v>10396</v>
      </c>
      <c r="I738">
        <v>1</v>
      </c>
      <c r="J738" t="s">
        <v>8577</v>
      </c>
      <c r="K738">
        <v>95.33</v>
      </c>
      <c r="L738" t="s">
        <v>10397</v>
      </c>
      <c r="M738" s="42">
        <v>0.9533</v>
      </c>
      <c r="N738" s="42">
        <v>0.7</v>
      </c>
      <c r="O738">
        <v>95.33</v>
      </c>
      <c r="P738" s="42">
        <v>0.94423</v>
      </c>
      <c r="Q738">
        <v>95.33</v>
      </c>
      <c r="R738">
        <v>1900</v>
      </c>
      <c r="S738">
        <v>1900</v>
      </c>
      <c r="T738">
        <v>1000</v>
      </c>
      <c r="U738" t="s">
        <v>10373</v>
      </c>
      <c r="X738">
        <v>1</v>
      </c>
      <c r="Z738" s="42">
        <v>1</v>
      </c>
      <c r="AA738" s="42">
        <v>1</v>
      </c>
      <c r="AB738">
        <v>0</v>
      </c>
    </row>
    <row r="739">
      <c r="A739" t="s">
        <v>10443</v>
      </c>
      <c r="B739" t="s">
        <v>10435</v>
      </c>
      <c r="C739" t="s">
        <v>10435</v>
      </c>
      <c r="D739" t="s">
        <v>9404</v>
      </c>
      <c r="E739" t="s">
        <v>10444</v>
      </c>
      <c r="F739" t="s">
        <v>6966</v>
      </c>
      <c r="G739" t="s">
        <v>10395</v>
      </c>
      <c r="H739" t="s">
        <v>10396</v>
      </c>
      <c r="I739">
        <v>1</v>
      </c>
      <c r="J739" t="s">
        <v>8577</v>
      </c>
      <c r="K739">
        <v>93.83</v>
      </c>
      <c r="L739" t="s">
        <v>10397</v>
      </c>
      <c r="M739" s="42">
        <v>0.9383</v>
      </c>
      <c r="N739" s="42">
        <v>0.7</v>
      </c>
      <c r="O739">
        <v>93.83</v>
      </c>
      <c r="P739" s="42">
        <v>0.93373</v>
      </c>
      <c r="Q739">
        <v>93.83</v>
      </c>
      <c r="R739">
        <v>933.33</v>
      </c>
      <c r="S739">
        <v>1433.33</v>
      </c>
      <c r="T739">
        <v>1000</v>
      </c>
      <c r="U739" t="s">
        <v>10373</v>
      </c>
      <c r="X739">
        <v>1</v>
      </c>
      <c r="Z739" s="42">
        <v>1</v>
      </c>
      <c r="AA739" s="42">
        <v>1</v>
      </c>
      <c r="AB739">
        <v>0</v>
      </c>
    </row>
    <row r="740">
      <c r="A740" t="s">
        <v>10445</v>
      </c>
      <c r="B740" t="s">
        <v>8308</v>
      </c>
      <c r="C740" t="s">
        <v>8308</v>
      </c>
      <c r="D740" t="s">
        <v>9404</v>
      </c>
      <c r="E740" t="s">
        <v>10446</v>
      </c>
      <c r="F740" t="s">
        <v>6966</v>
      </c>
      <c r="G740" t="s">
        <v>10395</v>
      </c>
      <c r="H740" t="s">
        <v>10396</v>
      </c>
      <c r="I740">
        <v>1</v>
      </c>
      <c r="J740" t="s">
        <v>8577</v>
      </c>
      <c r="K740">
        <v>93.83</v>
      </c>
      <c r="L740" t="s">
        <v>10397</v>
      </c>
      <c r="M740" s="42">
        <v>0.9383</v>
      </c>
      <c r="N740" s="42">
        <v>0.7</v>
      </c>
      <c r="O740">
        <v>93.83</v>
      </c>
      <c r="P740" s="42">
        <v>0.93373</v>
      </c>
      <c r="Q740">
        <v>93.83</v>
      </c>
      <c r="R740">
        <v>933.33</v>
      </c>
      <c r="S740">
        <v>1533.33</v>
      </c>
      <c r="T740">
        <v>1000</v>
      </c>
      <c r="U740" t="s">
        <v>10373</v>
      </c>
      <c r="X740">
        <v>1</v>
      </c>
      <c r="Z740" s="42">
        <v>1</v>
      </c>
      <c r="AA740" s="42">
        <v>1</v>
      </c>
      <c r="AB740">
        <v>0</v>
      </c>
    </row>
    <row r="741">
      <c r="A741" t="s">
        <v>10447</v>
      </c>
      <c r="B741" t="s">
        <v>10402</v>
      </c>
      <c r="C741" t="s">
        <v>10402</v>
      </c>
      <c r="D741" t="s">
        <v>9404</v>
      </c>
      <c r="E741" t="s">
        <v>10448</v>
      </c>
      <c r="F741" t="s">
        <v>6966</v>
      </c>
      <c r="G741" t="s">
        <v>10395</v>
      </c>
      <c r="H741" t="s">
        <v>10396</v>
      </c>
      <c r="I741">
        <v>1</v>
      </c>
      <c r="J741" t="s">
        <v>8577</v>
      </c>
      <c r="K741">
        <v>94</v>
      </c>
      <c r="L741" t="s">
        <v>10397</v>
      </c>
      <c r="M741" s="42">
        <v>0.94</v>
      </c>
      <c r="N741" s="42">
        <v>0.7</v>
      </c>
      <c r="O741">
        <v>94</v>
      </c>
      <c r="P741" s="42">
        <v>0.9321</v>
      </c>
      <c r="Q741">
        <v>93.21</v>
      </c>
      <c r="R741">
        <v>400</v>
      </c>
      <c r="S741">
        <v>400</v>
      </c>
      <c r="T741">
        <v>1000</v>
      </c>
      <c r="U741" t="s">
        <v>10373</v>
      </c>
      <c r="X741">
        <v>1</v>
      </c>
      <c r="Z741" s="42">
        <v>1</v>
      </c>
      <c r="AA741" s="42">
        <v>1</v>
      </c>
      <c r="AB741">
        <v>0</v>
      </c>
    </row>
    <row r="742">
      <c r="A742" t="s">
        <v>10449</v>
      </c>
      <c r="B742" t="s">
        <v>8308</v>
      </c>
      <c r="C742" t="s">
        <v>8308</v>
      </c>
      <c r="D742" t="s">
        <v>9404</v>
      </c>
      <c r="E742" t="s">
        <v>10450</v>
      </c>
      <c r="F742" t="s">
        <v>6966</v>
      </c>
      <c r="G742" t="s">
        <v>10395</v>
      </c>
      <c r="H742" t="s">
        <v>10396</v>
      </c>
      <c r="I742">
        <v>1</v>
      </c>
      <c r="J742" t="s">
        <v>8577</v>
      </c>
      <c r="K742">
        <v>91.9642</v>
      </c>
      <c r="L742" t="s">
        <v>10397</v>
      </c>
      <c r="M742" s="42">
        <v>0.919642</v>
      </c>
      <c r="N742" s="42">
        <v>0.7</v>
      </c>
      <c r="O742">
        <v>91.9642</v>
      </c>
      <c r="P742" s="42">
        <v>0.920669</v>
      </c>
      <c r="Q742">
        <v>92.06</v>
      </c>
      <c r="R742">
        <v>800</v>
      </c>
      <c r="S742">
        <v>800</v>
      </c>
      <c r="T742">
        <v>1000</v>
      </c>
      <c r="U742" t="s">
        <v>10373</v>
      </c>
      <c r="X742">
        <v>1</v>
      </c>
      <c r="Z742" s="42">
        <v>1</v>
      </c>
      <c r="AA742" s="42">
        <v>1</v>
      </c>
      <c r="AB742">
        <v>0</v>
      </c>
    </row>
    <row r="743">
      <c r="A743" t="s">
        <v>10451</v>
      </c>
      <c r="B743" t="s">
        <v>10402</v>
      </c>
      <c r="C743" t="s">
        <v>10402</v>
      </c>
      <c r="D743" t="s">
        <v>9404</v>
      </c>
      <c r="E743" t="s">
        <v>10452</v>
      </c>
      <c r="F743" t="s">
        <v>6966</v>
      </c>
      <c r="G743" t="s">
        <v>10395</v>
      </c>
      <c r="H743" t="s">
        <v>10396</v>
      </c>
      <c r="I743">
        <v>1</v>
      </c>
      <c r="J743" t="s">
        <v>8577</v>
      </c>
      <c r="K743">
        <v>86.6071</v>
      </c>
      <c r="L743" t="s">
        <v>10397</v>
      </c>
      <c r="M743" s="42">
        <v>0.866071</v>
      </c>
      <c r="N743" s="42">
        <v>0.7</v>
      </c>
      <c r="O743">
        <v>86.6071</v>
      </c>
      <c r="P743" s="42">
        <v>0.88317</v>
      </c>
      <c r="Q743">
        <v>88.31</v>
      </c>
      <c r="R743">
        <v>400</v>
      </c>
      <c r="S743">
        <v>400</v>
      </c>
      <c r="T743">
        <v>1000</v>
      </c>
      <c r="U743" t="s">
        <v>10373</v>
      </c>
      <c r="X743">
        <v>1</v>
      </c>
      <c r="Z743" s="42">
        <v>1</v>
      </c>
      <c r="AA743" s="42">
        <v>1</v>
      </c>
      <c r="AB743">
        <v>0</v>
      </c>
    </row>
    <row r="744">
      <c r="A744" t="s">
        <v>10453</v>
      </c>
      <c r="B744" t="s">
        <v>8308</v>
      </c>
      <c r="C744" t="s">
        <v>8308</v>
      </c>
      <c r="D744" t="s">
        <v>9678</v>
      </c>
      <c r="E744" t="s">
        <v>10454</v>
      </c>
      <c r="F744" t="s">
        <v>6966</v>
      </c>
      <c r="G744" t="s">
        <v>10455</v>
      </c>
      <c r="H744" t="s">
        <v>10456</v>
      </c>
      <c r="I744">
        <v>1</v>
      </c>
      <c r="J744" t="s">
        <v>8577</v>
      </c>
      <c r="K744">
        <v>0</v>
      </c>
      <c r="L744" t="s">
        <v>10397</v>
      </c>
      <c r="M744" s="42">
        <v>1</v>
      </c>
      <c r="N744" s="42">
        <v>1</v>
      </c>
      <c r="O744">
        <v>1</v>
      </c>
      <c r="P744" s="42">
        <v>1</v>
      </c>
      <c r="Q744">
        <v>0</v>
      </c>
      <c r="R744">
        <v>1700</v>
      </c>
      <c r="S744">
        <v>1700</v>
      </c>
      <c r="T744">
        <v>10000</v>
      </c>
      <c r="U744" t="s">
        <v>10373</v>
      </c>
      <c r="X744">
        <v>1</v>
      </c>
      <c r="Z744" s="42">
        <v>1</v>
      </c>
      <c r="AA744" s="42">
        <v>1</v>
      </c>
      <c r="AB744">
        <v>0</v>
      </c>
    </row>
    <row r="745">
      <c r="A745" t="s">
        <v>10457</v>
      </c>
      <c r="B745" t="s">
        <v>8308</v>
      </c>
      <c r="C745" t="s">
        <v>8308</v>
      </c>
      <c r="D745" t="s">
        <v>9678</v>
      </c>
      <c r="E745" t="s">
        <v>10458</v>
      </c>
      <c r="F745" t="s">
        <v>6966</v>
      </c>
      <c r="G745" t="s">
        <v>10455</v>
      </c>
      <c r="H745" t="s">
        <v>10456</v>
      </c>
      <c r="I745">
        <v>1</v>
      </c>
      <c r="J745" t="s">
        <v>8577</v>
      </c>
      <c r="K745">
        <v>0</v>
      </c>
      <c r="L745" t="s">
        <v>10397</v>
      </c>
      <c r="M745" s="42">
        <v>1</v>
      </c>
      <c r="N745" s="42">
        <v>1</v>
      </c>
      <c r="O745">
        <v>1</v>
      </c>
      <c r="P745" s="42">
        <v>1</v>
      </c>
      <c r="Q745">
        <v>0</v>
      </c>
      <c r="R745">
        <v>1000</v>
      </c>
      <c r="S745">
        <v>1000</v>
      </c>
      <c r="T745">
        <v>10000</v>
      </c>
      <c r="U745" t="s">
        <v>10373</v>
      </c>
      <c r="X745">
        <v>1</v>
      </c>
      <c r="Z745" s="42">
        <v>1</v>
      </c>
      <c r="AA745" s="42">
        <v>1</v>
      </c>
      <c r="AB745">
        <v>0</v>
      </c>
    </row>
    <row r="746">
      <c r="A746" t="s">
        <v>10459</v>
      </c>
      <c r="B746" t="s">
        <v>8308</v>
      </c>
      <c r="C746" t="s">
        <v>8308</v>
      </c>
      <c r="D746" t="s">
        <v>9678</v>
      </c>
      <c r="E746" t="s">
        <v>10460</v>
      </c>
      <c r="F746" t="s">
        <v>6966</v>
      </c>
      <c r="G746" t="s">
        <v>10455</v>
      </c>
      <c r="H746" t="s">
        <v>10456</v>
      </c>
      <c r="I746">
        <v>1</v>
      </c>
      <c r="J746" t="s">
        <v>8577</v>
      </c>
      <c r="K746">
        <v>0</v>
      </c>
      <c r="L746" t="s">
        <v>10397</v>
      </c>
      <c r="M746" s="42">
        <v>1</v>
      </c>
      <c r="N746" s="42">
        <v>1</v>
      </c>
      <c r="O746">
        <v>1</v>
      </c>
      <c r="P746" s="42">
        <v>1</v>
      </c>
      <c r="Q746">
        <v>0</v>
      </c>
      <c r="R746">
        <v>700</v>
      </c>
      <c r="S746">
        <v>700</v>
      </c>
      <c r="T746">
        <v>10000</v>
      </c>
      <c r="U746" t="s">
        <v>10373</v>
      </c>
      <c r="X746">
        <v>1</v>
      </c>
      <c r="Z746" s="42">
        <v>1</v>
      </c>
      <c r="AA746" s="42">
        <v>1</v>
      </c>
      <c r="AB746">
        <v>0</v>
      </c>
    </row>
    <row r="747">
      <c r="A747" t="s">
        <v>10461</v>
      </c>
      <c r="B747" t="s">
        <v>8308</v>
      </c>
      <c r="C747" t="s">
        <v>8308</v>
      </c>
      <c r="D747" t="s">
        <v>9678</v>
      </c>
      <c r="E747" t="s">
        <v>10462</v>
      </c>
      <c r="F747" t="s">
        <v>6966</v>
      </c>
      <c r="G747" t="s">
        <v>10455</v>
      </c>
      <c r="H747" t="s">
        <v>10456</v>
      </c>
      <c r="I747">
        <v>1</v>
      </c>
      <c r="J747" t="s">
        <v>8577</v>
      </c>
      <c r="K747">
        <v>0</v>
      </c>
      <c r="L747" t="s">
        <v>10397</v>
      </c>
      <c r="M747" s="42">
        <v>1</v>
      </c>
      <c r="N747" s="42">
        <v>1</v>
      </c>
      <c r="O747">
        <v>1</v>
      </c>
      <c r="P747" s="42">
        <v>1</v>
      </c>
      <c r="Q747">
        <v>0</v>
      </c>
      <c r="R747">
        <v>500</v>
      </c>
      <c r="S747">
        <v>500</v>
      </c>
      <c r="T747">
        <v>10000</v>
      </c>
      <c r="U747" t="s">
        <v>10373</v>
      </c>
      <c r="X747">
        <v>1</v>
      </c>
      <c r="Z747" s="42">
        <v>1</v>
      </c>
      <c r="AA747" s="42">
        <v>1</v>
      </c>
      <c r="AB747">
        <v>0</v>
      </c>
    </row>
    <row r="748">
      <c r="A748" t="s">
        <v>10463</v>
      </c>
      <c r="B748" t="s">
        <v>8736</v>
      </c>
      <c r="C748" t="s">
        <v>8736</v>
      </c>
      <c r="D748" t="s">
        <v>7362</v>
      </c>
      <c r="E748" t="s">
        <v>10464</v>
      </c>
      <c r="F748" t="s">
        <v>6966</v>
      </c>
      <c r="G748" t="s">
        <v>8778</v>
      </c>
      <c r="H748" t="s">
        <v>8779</v>
      </c>
      <c r="I748" t="s">
        <v>8785</v>
      </c>
      <c r="J748" t="s">
        <v>7387</v>
      </c>
      <c r="K748" t="s">
        <v>10465</v>
      </c>
      <c r="L748" t="s">
        <v>10397</v>
      </c>
      <c r="M748" s="42">
        <v>0.19</v>
      </c>
      <c r="N748" s="42">
        <v>0.5</v>
      </c>
      <c r="O748">
        <v>0.19</v>
      </c>
      <c r="P748" s="42">
        <v>0.365</v>
      </c>
      <c r="Q748">
        <v>0.26</v>
      </c>
      <c r="R748">
        <v>385.5</v>
      </c>
      <c r="S748">
        <v>385.5</v>
      </c>
      <c r="T748">
        <v>1500</v>
      </c>
      <c r="U748" t="s">
        <v>10373</v>
      </c>
      <c r="X748">
        <v>1</v>
      </c>
      <c r="Z748" s="42">
        <v>1</v>
      </c>
      <c r="AA748" s="42">
        <v>1</v>
      </c>
      <c r="AB748">
        <v>0</v>
      </c>
    </row>
    <row r="749">
      <c r="A749" t="s">
        <v>10466</v>
      </c>
      <c r="B749" t="s">
        <v>10409</v>
      </c>
      <c r="C749" t="s">
        <v>10409</v>
      </c>
      <c r="D749" t="s">
        <v>10153</v>
      </c>
      <c r="E749" t="s">
        <v>10467</v>
      </c>
      <c r="F749" t="s">
        <v>6966</v>
      </c>
      <c r="G749" t="s">
        <v>10455</v>
      </c>
      <c r="H749" t="s">
        <v>10456</v>
      </c>
      <c r="I749" t="s">
        <v>10468</v>
      </c>
      <c r="J749" t="s">
        <v>8577</v>
      </c>
      <c r="K749">
        <v>1857465</v>
      </c>
      <c r="L749" t="s">
        <v>10469</v>
      </c>
      <c r="M749" s="42">
        <v>1</v>
      </c>
      <c r="N749" s="42">
        <v>1</v>
      </c>
      <c r="O749">
        <v>1</v>
      </c>
      <c r="P749" s="42">
        <v>1</v>
      </c>
      <c r="Q749">
        <v>0</v>
      </c>
      <c r="R749">
        <v>68000</v>
      </c>
      <c r="S749">
        <v>68000</v>
      </c>
      <c r="T749">
        <v>55000</v>
      </c>
      <c r="U749" t="s">
        <v>10373</v>
      </c>
      <c r="X749">
        <v>1</v>
      </c>
      <c r="Z749" s="42">
        <v>1</v>
      </c>
      <c r="AA749" s="42">
        <v>1</v>
      </c>
      <c r="AB749">
        <v>0</v>
      </c>
    </row>
    <row r="750">
      <c r="A750" t="s">
        <v>10470</v>
      </c>
      <c r="B750" t="s">
        <v>10402</v>
      </c>
      <c r="C750" t="s">
        <v>10402</v>
      </c>
      <c r="D750" t="s">
        <v>9671</v>
      </c>
      <c r="E750" t="s">
        <v>10471</v>
      </c>
      <c r="F750" t="s">
        <v>6966</v>
      </c>
      <c r="G750" t="s">
        <v>10455</v>
      </c>
      <c r="H750" t="s">
        <v>10456</v>
      </c>
      <c r="I750" t="s">
        <v>10468</v>
      </c>
      <c r="J750" t="s">
        <v>8577</v>
      </c>
      <c r="K750">
        <v>1595798</v>
      </c>
      <c r="L750" t="s">
        <v>10469</v>
      </c>
      <c r="M750" s="42">
        <v>1</v>
      </c>
      <c r="N750" s="42">
        <v>1</v>
      </c>
      <c r="O750">
        <v>1</v>
      </c>
      <c r="P750" s="42">
        <v>1</v>
      </c>
      <c r="Q750">
        <v>0</v>
      </c>
      <c r="R750">
        <v>44600</v>
      </c>
      <c r="S750">
        <v>44600</v>
      </c>
      <c r="T750">
        <v>10000</v>
      </c>
      <c r="U750" t="s">
        <v>10373</v>
      </c>
      <c r="X750">
        <v>1</v>
      </c>
      <c r="Z750" s="42">
        <v>1</v>
      </c>
      <c r="AA750" s="42">
        <v>1</v>
      </c>
      <c r="AB750">
        <v>0</v>
      </c>
    </row>
    <row r="751">
      <c r="A751" t="s">
        <v>10472</v>
      </c>
      <c r="B751" t="s">
        <v>10402</v>
      </c>
      <c r="C751" t="s">
        <v>10402</v>
      </c>
      <c r="D751" t="s">
        <v>9678</v>
      </c>
      <c r="E751" t="s">
        <v>10473</v>
      </c>
      <c r="F751" t="s">
        <v>6966</v>
      </c>
      <c r="G751" t="s">
        <v>10455</v>
      </c>
      <c r="H751" t="s">
        <v>10456</v>
      </c>
      <c r="I751" t="s">
        <v>10468</v>
      </c>
      <c r="J751" t="s">
        <v>8577</v>
      </c>
      <c r="K751">
        <v>1533937</v>
      </c>
      <c r="L751" t="s">
        <v>10469</v>
      </c>
      <c r="M751" s="42">
        <v>1</v>
      </c>
      <c r="N751" s="42">
        <v>1</v>
      </c>
      <c r="O751">
        <v>1</v>
      </c>
      <c r="P751" s="42">
        <v>1</v>
      </c>
      <c r="Q751">
        <v>0</v>
      </c>
      <c r="R751">
        <v>30200</v>
      </c>
      <c r="S751">
        <v>30200</v>
      </c>
      <c r="T751">
        <v>10000</v>
      </c>
      <c r="U751" t="s">
        <v>10373</v>
      </c>
      <c r="X751">
        <v>1</v>
      </c>
      <c r="Z751" s="42">
        <v>1</v>
      </c>
      <c r="AA751" s="42">
        <v>1</v>
      </c>
      <c r="AB751">
        <v>0</v>
      </c>
    </row>
    <row r="752">
      <c r="A752" t="s">
        <v>10474</v>
      </c>
      <c r="B752" t="s">
        <v>10435</v>
      </c>
      <c r="C752" t="s">
        <v>10435</v>
      </c>
      <c r="D752" t="s">
        <v>9678</v>
      </c>
      <c r="E752" t="s">
        <v>10475</v>
      </c>
      <c r="F752" t="s">
        <v>6966</v>
      </c>
      <c r="G752" t="s">
        <v>10455</v>
      </c>
      <c r="H752" t="s">
        <v>10456</v>
      </c>
      <c r="I752" t="s">
        <v>10468</v>
      </c>
      <c r="J752" t="s">
        <v>8577</v>
      </c>
      <c r="K752">
        <v>1209173</v>
      </c>
      <c r="L752" t="s">
        <v>10469</v>
      </c>
      <c r="M752" s="42">
        <v>1</v>
      </c>
      <c r="N752" s="42">
        <v>1</v>
      </c>
      <c r="O752">
        <v>1</v>
      </c>
      <c r="P752" s="42">
        <v>1</v>
      </c>
      <c r="Q752">
        <v>0</v>
      </c>
      <c r="R752">
        <v>23200</v>
      </c>
      <c r="S752">
        <v>23600</v>
      </c>
      <c r="T752">
        <v>10000</v>
      </c>
      <c r="U752" t="s">
        <v>10373</v>
      </c>
      <c r="X752">
        <v>1</v>
      </c>
      <c r="Z752" s="42">
        <v>1</v>
      </c>
      <c r="AA752" s="42">
        <v>1</v>
      </c>
      <c r="AB752">
        <v>0</v>
      </c>
    </row>
    <row r="753">
      <c r="A753" t="s">
        <v>10476</v>
      </c>
      <c r="B753" t="s">
        <v>10402</v>
      </c>
      <c r="C753" t="s">
        <v>10402</v>
      </c>
      <c r="D753" t="s">
        <v>10153</v>
      </c>
      <c r="E753" t="s">
        <v>10477</v>
      </c>
      <c r="F753" t="s">
        <v>6966</v>
      </c>
      <c r="G753" t="s">
        <v>10455</v>
      </c>
      <c r="H753" t="s">
        <v>10456</v>
      </c>
      <c r="I753" t="s">
        <v>10468</v>
      </c>
      <c r="J753" t="s">
        <v>8577</v>
      </c>
      <c r="K753">
        <v>1147138</v>
      </c>
      <c r="L753" t="s">
        <v>10469</v>
      </c>
      <c r="M753" s="42">
        <v>1</v>
      </c>
      <c r="N753" s="42">
        <v>1</v>
      </c>
      <c r="O753">
        <v>1</v>
      </c>
      <c r="P753" s="42">
        <v>1</v>
      </c>
      <c r="Q753">
        <v>0</v>
      </c>
      <c r="R753">
        <v>19200</v>
      </c>
      <c r="S753">
        <v>19200</v>
      </c>
      <c r="T753">
        <v>55000</v>
      </c>
      <c r="U753" t="s">
        <v>10373</v>
      </c>
      <c r="X753">
        <v>1</v>
      </c>
      <c r="Z753" s="42">
        <v>1</v>
      </c>
      <c r="AA753" s="42">
        <v>1</v>
      </c>
      <c r="AB753">
        <v>0</v>
      </c>
    </row>
    <row r="754">
      <c r="A754" t="s">
        <v>10478</v>
      </c>
      <c r="B754" t="s">
        <v>10435</v>
      </c>
      <c r="C754" t="s">
        <v>10435</v>
      </c>
      <c r="D754" t="s">
        <v>10153</v>
      </c>
      <c r="E754" t="s">
        <v>8442</v>
      </c>
      <c r="F754" t="s">
        <v>6966</v>
      </c>
      <c r="G754" t="s">
        <v>10455</v>
      </c>
      <c r="H754" t="s">
        <v>10456</v>
      </c>
      <c r="I754" t="s">
        <v>10468</v>
      </c>
      <c r="J754" t="s">
        <v>8577</v>
      </c>
      <c r="K754">
        <v>1100826</v>
      </c>
      <c r="L754" t="s">
        <v>10469</v>
      </c>
      <c r="M754" s="42">
        <v>1</v>
      </c>
      <c r="N754" s="42">
        <v>1</v>
      </c>
      <c r="O754">
        <v>1</v>
      </c>
      <c r="P754" s="42">
        <v>1</v>
      </c>
      <c r="Q754">
        <v>0</v>
      </c>
      <c r="R754">
        <v>16200</v>
      </c>
      <c r="S754">
        <v>16400</v>
      </c>
      <c r="T754">
        <v>55000</v>
      </c>
      <c r="U754" t="s">
        <v>10373</v>
      </c>
      <c r="X754">
        <v>1</v>
      </c>
      <c r="Z754" s="42">
        <v>1</v>
      </c>
      <c r="AA754" s="42">
        <v>1</v>
      </c>
      <c r="AB754">
        <v>0</v>
      </c>
    </row>
    <row r="755">
      <c r="A755" t="s">
        <v>10479</v>
      </c>
      <c r="B755" t="s">
        <v>10402</v>
      </c>
      <c r="C755" t="s">
        <v>10402</v>
      </c>
      <c r="D755" t="s">
        <v>9678</v>
      </c>
      <c r="E755" t="s">
        <v>10480</v>
      </c>
      <c r="F755" t="s">
        <v>6966</v>
      </c>
      <c r="G755" t="s">
        <v>10455</v>
      </c>
      <c r="H755" t="s">
        <v>10456</v>
      </c>
      <c r="I755" t="s">
        <v>10468</v>
      </c>
      <c r="J755" t="s">
        <v>8577</v>
      </c>
      <c r="K755">
        <v>1089909</v>
      </c>
      <c r="L755" t="s">
        <v>10469</v>
      </c>
      <c r="M755" s="42">
        <v>1</v>
      </c>
      <c r="N755" s="42">
        <v>1</v>
      </c>
      <c r="O755">
        <v>1</v>
      </c>
      <c r="P755" s="42">
        <v>1</v>
      </c>
      <c r="Q755">
        <v>0</v>
      </c>
      <c r="R755">
        <v>14200</v>
      </c>
      <c r="S755">
        <v>11200</v>
      </c>
      <c r="T755">
        <v>10000</v>
      </c>
      <c r="U755" t="s">
        <v>10373</v>
      </c>
      <c r="X755">
        <v>1</v>
      </c>
      <c r="Z755" s="42">
        <v>1</v>
      </c>
      <c r="AA755" s="42">
        <v>1</v>
      </c>
      <c r="AB755">
        <v>0</v>
      </c>
    </row>
    <row r="756">
      <c r="A756" t="s">
        <v>10481</v>
      </c>
      <c r="B756" t="s">
        <v>10435</v>
      </c>
      <c r="C756" t="s">
        <v>10435</v>
      </c>
      <c r="D756" t="s">
        <v>10153</v>
      </c>
      <c r="E756" t="s">
        <v>10482</v>
      </c>
      <c r="F756" t="s">
        <v>6966</v>
      </c>
      <c r="G756" t="s">
        <v>10455</v>
      </c>
      <c r="H756" t="s">
        <v>10456</v>
      </c>
      <c r="I756" t="s">
        <v>10468</v>
      </c>
      <c r="J756" t="s">
        <v>8577</v>
      </c>
      <c r="K756">
        <v>985303</v>
      </c>
      <c r="L756" t="s">
        <v>10469</v>
      </c>
      <c r="M756" s="42">
        <v>1</v>
      </c>
      <c r="N756" s="42">
        <v>1</v>
      </c>
      <c r="O756">
        <v>1</v>
      </c>
      <c r="P756" s="42">
        <v>1</v>
      </c>
      <c r="Q756">
        <v>0</v>
      </c>
      <c r="R756">
        <v>12700</v>
      </c>
      <c r="S756">
        <v>12700</v>
      </c>
      <c r="T756">
        <v>55000</v>
      </c>
      <c r="U756" t="s">
        <v>10373</v>
      </c>
      <c r="X756">
        <v>1</v>
      </c>
      <c r="Z756" s="42">
        <v>1</v>
      </c>
      <c r="AA756" s="42">
        <v>1</v>
      </c>
      <c r="AB756">
        <v>0</v>
      </c>
    </row>
    <row r="757">
      <c r="A757" t="s">
        <v>10483</v>
      </c>
      <c r="B757" t="s">
        <v>10484</v>
      </c>
      <c r="C757" t="s">
        <v>10484</v>
      </c>
      <c r="D757" t="s">
        <v>9678</v>
      </c>
      <c r="E757" t="s">
        <v>10485</v>
      </c>
      <c r="F757" t="s">
        <v>6966</v>
      </c>
      <c r="G757" t="s">
        <v>10455</v>
      </c>
      <c r="H757" t="s">
        <v>10456</v>
      </c>
      <c r="I757" t="s">
        <v>10468</v>
      </c>
      <c r="J757" t="s">
        <v>8577</v>
      </c>
      <c r="K757">
        <v>917242</v>
      </c>
      <c r="L757" t="s">
        <v>10469</v>
      </c>
      <c r="M757" s="42">
        <v>1</v>
      </c>
      <c r="N757" s="42">
        <v>1</v>
      </c>
      <c r="O757">
        <v>1</v>
      </c>
      <c r="P757" s="42">
        <v>1</v>
      </c>
      <c r="Q757">
        <v>0</v>
      </c>
      <c r="R757">
        <v>11400</v>
      </c>
      <c r="S757">
        <v>11900</v>
      </c>
      <c r="T757">
        <v>10000</v>
      </c>
      <c r="U757" t="s">
        <v>10373</v>
      </c>
      <c r="X757">
        <v>1</v>
      </c>
      <c r="Z757" s="42">
        <v>1</v>
      </c>
      <c r="AA757" s="42">
        <v>1</v>
      </c>
      <c r="AB757">
        <v>0</v>
      </c>
    </row>
    <row r="758">
      <c r="A758" t="s">
        <v>10486</v>
      </c>
      <c r="B758" t="s">
        <v>10409</v>
      </c>
      <c r="C758" t="s">
        <v>10409</v>
      </c>
      <c r="D758" t="s">
        <v>9678</v>
      </c>
      <c r="E758" t="s">
        <v>10487</v>
      </c>
      <c r="F758" t="s">
        <v>6966</v>
      </c>
      <c r="G758" t="s">
        <v>10455</v>
      </c>
      <c r="H758" t="s">
        <v>10456</v>
      </c>
      <c r="I758" t="s">
        <v>10468</v>
      </c>
      <c r="J758" t="s">
        <v>8577</v>
      </c>
      <c r="K758">
        <v>721936</v>
      </c>
      <c r="L758" t="s">
        <v>10469</v>
      </c>
      <c r="M758" s="42">
        <v>1</v>
      </c>
      <c r="N758" s="42">
        <v>1</v>
      </c>
      <c r="O758">
        <v>1</v>
      </c>
      <c r="P758" s="42">
        <v>1</v>
      </c>
      <c r="Q758">
        <v>0</v>
      </c>
      <c r="R758">
        <v>10100</v>
      </c>
      <c r="S758">
        <v>10100</v>
      </c>
      <c r="T758">
        <v>10000</v>
      </c>
      <c r="U758" t="s">
        <v>10373</v>
      </c>
      <c r="X758">
        <v>1</v>
      </c>
      <c r="Z758" s="42">
        <v>1</v>
      </c>
      <c r="AA758" s="42">
        <v>1</v>
      </c>
      <c r="AB758">
        <v>0</v>
      </c>
    </row>
    <row r="759">
      <c r="A759" t="s">
        <v>10488</v>
      </c>
      <c r="B759" t="s">
        <v>10399</v>
      </c>
      <c r="C759" t="s">
        <v>10399</v>
      </c>
      <c r="D759" t="s">
        <v>9678</v>
      </c>
      <c r="E759" t="s">
        <v>10489</v>
      </c>
      <c r="F759" t="s">
        <v>6966</v>
      </c>
      <c r="G759" t="s">
        <v>10455</v>
      </c>
      <c r="H759" t="s">
        <v>10456</v>
      </c>
      <c r="I759" t="s">
        <v>10468</v>
      </c>
      <c r="J759" t="s">
        <v>8577</v>
      </c>
      <c r="K759">
        <v>315525</v>
      </c>
      <c r="L759" t="s">
        <v>10469</v>
      </c>
      <c r="M759" s="42">
        <v>1</v>
      </c>
      <c r="N759" s="42">
        <v>1</v>
      </c>
      <c r="O759">
        <v>1</v>
      </c>
      <c r="P759" s="42">
        <v>1</v>
      </c>
      <c r="Q759">
        <v>0</v>
      </c>
      <c r="R759">
        <v>8800</v>
      </c>
      <c r="S759">
        <v>8800</v>
      </c>
      <c r="T759">
        <v>10000</v>
      </c>
      <c r="U759" t="s">
        <v>10373</v>
      </c>
      <c r="X759">
        <v>1</v>
      </c>
      <c r="Z759" s="42">
        <v>1</v>
      </c>
      <c r="AA759" s="42">
        <v>1</v>
      </c>
      <c r="AB759">
        <v>0</v>
      </c>
    </row>
    <row r="760">
      <c r="A760" t="s">
        <v>10490</v>
      </c>
      <c r="B760" t="s">
        <v>8308</v>
      </c>
      <c r="C760" t="s">
        <v>8308</v>
      </c>
      <c r="D760" t="s">
        <v>9678</v>
      </c>
      <c r="E760" t="s">
        <v>10491</v>
      </c>
      <c r="F760" t="s">
        <v>6966</v>
      </c>
      <c r="G760" t="s">
        <v>10455</v>
      </c>
      <c r="H760" t="s">
        <v>10456</v>
      </c>
      <c r="I760" t="s">
        <v>10468</v>
      </c>
      <c r="J760" t="s">
        <v>8577</v>
      </c>
      <c r="K760">
        <v>198019</v>
      </c>
      <c r="L760" t="s">
        <v>10469</v>
      </c>
      <c r="M760" s="42">
        <v>1</v>
      </c>
      <c r="N760" s="42">
        <v>1</v>
      </c>
      <c r="O760">
        <v>1</v>
      </c>
      <c r="P760" s="42">
        <v>1</v>
      </c>
      <c r="Q760">
        <v>0</v>
      </c>
      <c r="R760">
        <v>7800</v>
      </c>
      <c r="S760">
        <v>7800</v>
      </c>
      <c r="T760">
        <v>10000</v>
      </c>
      <c r="U760" t="s">
        <v>10373</v>
      </c>
      <c r="X760">
        <v>1</v>
      </c>
      <c r="Z760" s="42">
        <v>1</v>
      </c>
      <c r="AA760" s="42">
        <v>1</v>
      </c>
      <c r="AB760">
        <v>0</v>
      </c>
    </row>
    <row r="761">
      <c r="A761" t="s">
        <v>10492</v>
      </c>
      <c r="B761" t="s">
        <v>10393</v>
      </c>
      <c r="C761" t="s">
        <v>10393</v>
      </c>
      <c r="D761" t="s">
        <v>9678</v>
      </c>
      <c r="E761" t="s">
        <v>10493</v>
      </c>
      <c r="F761" t="s">
        <v>6966</v>
      </c>
      <c r="G761" t="s">
        <v>10455</v>
      </c>
      <c r="H761" t="s">
        <v>10456</v>
      </c>
      <c r="I761" t="s">
        <v>10468</v>
      </c>
      <c r="J761" t="s">
        <v>8577</v>
      </c>
      <c r="K761">
        <v>196100</v>
      </c>
      <c r="L761" t="s">
        <v>10469</v>
      </c>
      <c r="M761" s="42">
        <v>1</v>
      </c>
      <c r="N761" s="42">
        <v>1</v>
      </c>
      <c r="O761">
        <v>1</v>
      </c>
      <c r="P761" s="42">
        <v>1</v>
      </c>
      <c r="Q761">
        <v>0</v>
      </c>
      <c r="R761">
        <v>6800</v>
      </c>
      <c r="S761">
        <v>6800</v>
      </c>
      <c r="T761">
        <v>10000</v>
      </c>
      <c r="U761" t="s">
        <v>10373</v>
      </c>
      <c r="X761">
        <v>1</v>
      </c>
      <c r="Z761" s="42">
        <v>1</v>
      </c>
      <c r="AA761" s="42">
        <v>1</v>
      </c>
      <c r="AB761">
        <v>0</v>
      </c>
    </row>
    <row r="762">
      <c r="A762" t="s">
        <v>10494</v>
      </c>
      <c r="B762" t="s">
        <v>10399</v>
      </c>
      <c r="C762" t="s">
        <v>10399</v>
      </c>
      <c r="D762" t="s">
        <v>9678</v>
      </c>
      <c r="E762" t="s">
        <v>10495</v>
      </c>
      <c r="F762" t="s">
        <v>6966</v>
      </c>
      <c r="G762" t="s">
        <v>10455</v>
      </c>
      <c r="H762" t="s">
        <v>10456</v>
      </c>
      <c r="I762" t="s">
        <v>10468</v>
      </c>
      <c r="J762" t="s">
        <v>8577</v>
      </c>
      <c r="K762">
        <v>191374</v>
      </c>
      <c r="L762" t="s">
        <v>10469</v>
      </c>
      <c r="M762" s="42">
        <v>1</v>
      </c>
      <c r="N762" s="42">
        <v>1</v>
      </c>
      <c r="O762">
        <v>1</v>
      </c>
      <c r="P762" s="42">
        <v>1</v>
      </c>
      <c r="Q762">
        <v>0</v>
      </c>
      <c r="R762">
        <v>6100</v>
      </c>
      <c r="S762">
        <v>6100</v>
      </c>
      <c r="T762">
        <v>10000</v>
      </c>
      <c r="U762" t="s">
        <v>10373</v>
      </c>
      <c r="X762">
        <v>1</v>
      </c>
      <c r="Z762" s="42">
        <v>1</v>
      </c>
      <c r="AA762" s="42">
        <v>1</v>
      </c>
      <c r="AB762">
        <v>0</v>
      </c>
    </row>
    <row r="763">
      <c r="A763" t="s">
        <v>10496</v>
      </c>
      <c r="B763" t="s">
        <v>10399</v>
      </c>
      <c r="C763" t="s">
        <v>10399</v>
      </c>
      <c r="D763" t="s">
        <v>9678</v>
      </c>
      <c r="E763" t="s">
        <v>10497</v>
      </c>
      <c r="F763" t="s">
        <v>6966</v>
      </c>
      <c r="G763" t="s">
        <v>10455</v>
      </c>
      <c r="H763" t="s">
        <v>10456</v>
      </c>
      <c r="I763" t="s">
        <v>10468</v>
      </c>
      <c r="J763" t="s">
        <v>8577</v>
      </c>
      <c r="K763">
        <v>162877</v>
      </c>
      <c r="L763" t="s">
        <v>10469</v>
      </c>
      <c r="M763" s="42">
        <v>1</v>
      </c>
      <c r="N763" s="42">
        <v>1</v>
      </c>
      <c r="O763">
        <v>1</v>
      </c>
      <c r="P763" s="42">
        <v>1</v>
      </c>
      <c r="Q763">
        <v>0</v>
      </c>
      <c r="R763">
        <v>5400</v>
      </c>
      <c r="S763">
        <v>2400</v>
      </c>
      <c r="T763">
        <v>10000</v>
      </c>
      <c r="U763" t="s">
        <v>10373</v>
      </c>
      <c r="X763">
        <v>1</v>
      </c>
      <c r="Z763" s="42">
        <v>1</v>
      </c>
      <c r="AA763" s="42">
        <v>1</v>
      </c>
      <c r="AB763">
        <v>0</v>
      </c>
    </row>
    <row r="764">
      <c r="A764" t="s">
        <v>10498</v>
      </c>
      <c r="B764" t="s">
        <v>8308</v>
      </c>
      <c r="C764" t="s">
        <v>8308</v>
      </c>
      <c r="D764" t="s">
        <v>9678</v>
      </c>
      <c r="E764" t="s">
        <v>10499</v>
      </c>
      <c r="F764" t="s">
        <v>6966</v>
      </c>
      <c r="G764" t="s">
        <v>10455</v>
      </c>
      <c r="H764" t="s">
        <v>10456</v>
      </c>
      <c r="I764" t="s">
        <v>10468</v>
      </c>
      <c r="J764" t="s">
        <v>8577</v>
      </c>
      <c r="K764">
        <v>147977</v>
      </c>
      <c r="L764" t="s">
        <v>10469</v>
      </c>
      <c r="M764" s="42">
        <v>1</v>
      </c>
      <c r="N764" s="42">
        <v>1</v>
      </c>
      <c r="O764">
        <v>1</v>
      </c>
      <c r="P764" s="42">
        <v>1</v>
      </c>
      <c r="Q764">
        <v>0</v>
      </c>
      <c r="R764">
        <v>4700</v>
      </c>
      <c r="S764">
        <v>4700</v>
      </c>
      <c r="T764">
        <v>10000</v>
      </c>
      <c r="U764" t="s">
        <v>10373</v>
      </c>
      <c r="X764">
        <v>1</v>
      </c>
      <c r="Z764" s="42">
        <v>1</v>
      </c>
      <c r="AA764" s="42">
        <v>1</v>
      </c>
      <c r="AB764">
        <v>0</v>
      </c>
    </row>
    <row r="765">
      <c r="A765" t="s">
        <v>10500</v>
      </c>
      <c r="B765" t="s">
        <v>8308</v>
      </c>
      <c r="C765" t="s">
        <v>8308</v>
      </c>
      <c r="D765" t="s">
        <v>9678</v>
      </c>
      <c r="E765" t="s">
        <v>10501</v>
      </c>
      <c r="F765" t="s">
        <v>6966</v>
      </c>
      <c r="G765" t="s">
        <v>10455</v>
      </c>
      <c r="H765" t="s">
        <v>10456</v>
      </c>
      <c r="I765" t="s">
        <v>10468</v>
      </c>
      <c r="J765" t="s">
        <v>8577</v>
      </c>
      <c r="K765">
        <v>125079</v>
      </c>
      <c r="L765" t="s">
        <v>10469</v>
      </c>
      <c r="M765" s="42">
        <v>1</v>
      </c>
      <c r="N765" s="42">
        <v>1</v>
      </c>
      <c r="O765">
        <v>1</v>
      </c>
      <c r="P765" s="42">
        <v>1</v>
      </c>
      <c r="Q765">
        <v>0</v>
      </c>
      <c r="R765">
        <v>4100</v>
      </c>
      <c r="S765">
        <v>4100</v>
      </c>
      <c r="T765">
        <v>10000</v>
      </c>
      <c r="U765" t="s">
        <v>10373</v>
      </c>
      <c r="X765">
        <v>1</v>
      </c>
      <c r="Z765" s="42">
        <v>1</v>
      </c>
      <c r="AA765" s="42">
        <v>1</v>
      </c>
      <c r="AB765">
        <v>0</v>
      </c>
    </row>
    <row r="766">
      <c r="A766" t="s">
        <v>10502</v>
      </c>
      <c r="B766" t="s">
        <v>8308</v>
      </c>
      <c r="C766" t="s">
        <v>8308</v>
      </c>
      <c r="D766" t="s">
        <v>9678</v>
      </c>
      <c r="E766" t="s">
        <v>10503</v>
      </c>
      <c r="F766" t="s">
        <v>6966</v>
      </c>
      <c r="G766" t="s">
        <v>10455</v>
      </c>
      <c r="H766" t="s">
        <v>10456</v>
      </c>
      <c r="I766" t="s">
        <v>10468</v>
      </c>
      <c r="J766" t="s">
        <v>8577</v>
      </c>
      <c r="K766">
        <v>113515</v>
      </c>
      <c r="L766" t="s">
        <v>10469</v>
      </c>
      <c r="M766" s="42">
        <v>1</v>
      </c>
      <c r="N766" s="42">
        <v>1</v>
      </c>
      <c r="O766">
        <v>1</v>
      </c>
      <c r="P766" s="42">
        <v>1</v>
      </c>
      <c r="Q766">
        <v>0</v>
      </c>
      <c r="R766">
        <v>3500</v>
      </c>
      <c r="S766">
        <v>3500</v>
      </c>
      <c r="T766">
        <v>10000</v>
      </c>
      <c r="U766" t="s">
        <v>10373</v>
      </c>
      <c r="X766">
        <v>1</v>
      </c>
      <c r="Z766" s="42">
        <v>1</v>
      </c>
      <c r="AA766" s="42">
        <v>1</v>
      </c>
      <c r="AB766">
        <v>0</v>
      </c>
    </row>
    <row r="767">
      <c r="A767" t="s">
        <v>10504</v>
      </c>
      <c r="B767" t="s">
        <v>8308</v>
      </c>
      <c r="C767" t="s">
        <v>8308</v>
      </c>
      <c r="D767" t="s">
        <v>9678</v>
      </c>
      <c r="E767" t="s">
        <v>10505</v>
      </c>
      <c r="F767" t="s">
        <v>6966</v>
      </c>
      <c r="G767" t="s">
        <v>10455</v>
      </c>
      <c r="H767" t="s">
        <v>10456</v>
      </c>
      <c r="I767" t="s">
        <v>10468</v>
      </c>
      <c r="J767" t="s">
        <v>8577</v>
      </c>
      <c r="K767">
        <v>108297</v>
      </c>
      <c r="L767" t="s">
        <v>10469</v>
      </c>
      <c r="M767" s="42">
        <v>1</v>
      </c>
      <c r="N767" s="42">
        <v>1</v>
      </c>
      <c r="O767">
        <v>1</v>
      </c>
      <c r="P767" s="42">
        <v>1</v>
      </c>
      <c r="Q767">
        <v>0</v>
      </c>
      <c r="R767">
        <v>3000</v>
      </c>
      <c r="S767">
        <v>3000</v>
      </c>
      <c r="T767">
        <v>10000</v>
      </c>
      <c r="U767" t="s">
        <v>10373</v>
      </c>
      <c r="X767">
        <v>1</v>
      </c>
      <c r="Z767" s="42">
        <v>1</v>
      </c>
      <c r="AA767" s="42">
        <v>1</v>
      </c>
      <c r="AB767">
        <v>0</v>
      </c>
    </row>
    <row r="768">
      <c r="A768" t="s">
        <v>10506</v>
      </c>
      <c r="B768" t="s">
        <v>10409</v>
      </c>
      <c r="C768" t="s">
        <v>10409</v>
      </c>
      <c r="D768" t="s">
        <v>9678</v>
      </c>
      <c r="E768" t="s">
        <v>10507</v>
      </c>
      <c r="F768" t="s">
        <v>6966</v>
      </c>
      <c r="G768" t="s">
        <v>10455</v>
      </c>
      <c r="H768" t="s">
        <v>10456</v>
      </c>
      <c r="I768" t="s">
        <v>10468</v>
      </c>
      <c r="J768" t="s">
        <v>8577</v>
      </c>
      <c r="K768">
        <v>104754</v>
      </c>
      <c r="L768" t="s">
        <v>10469</v>
      </c>
      <c r="M768" s="42">
        <v>1</v>
      </c>
      <c r="N768" s="42">
        <v>1</v>
      </c>
      <c r="O768">
        <v>1</v>
      </c>
      <c r="P768" s="42">
        <v>1</v>
      </c>
      <c r="Q768">
        <v>0</v>
      </c>
      <c r="R768">
        <v>2500</v>
      </c>
      <c r="S768">
        <v>2500</v>
      </c>
      <c r="T768">
        <v>10000</v>
      </c>
      <c r="U768" t="s">
        <v>10373</v>
      </c>
      <c r="X768">
        <v>1</v>
      </c>
      <c r="Z768" s="42">
        <v>1</v>
      </c>
      <c r="AA768" s="42">
        <v>1</v>
      </c>
      <c r="AB768">
        <v>0</v>
      </c>
    </row>
    <row r="769">
      <c r="A769" t="s">
        <v>10508</v>
      </c>
      <c r="B769" t="s">
        <v>8308</v>
      </c>
      <c r="C769" t="s">
        <v>8308</v>
      </c>
      <c r="D769" t="s">
        <v>9678</v>
      </c>
      <c r="E769" t="s">
        <v>10509</v>
      </c>
      <c r="F769" t="s">
        <v>6966</v>
      </c>
      <c r="G769" t="s">
        <v>10455</v>
      </c>
      <c r="H769" t="s">
        <v>10456</v>
      </c>
      <c r="I769" t="s">
        <v>10468</v>
      </c>
      <c r="J769" t="s">
        <v>8577</v>
      </c>
      <c r="K769">
        <v>85226</v>
      </c>
      <c r="L769" t="s">
        <v>10469</v>
      </c>
      <c r="M769" s="42">
        <v>1</v>
      </c>
      <c r="N769" s="42">
        <v>1</v>
      </c>
      <c r="O769">
        <v>1</v>
      </c>
      <c r="P769" s="42">
        <v>1</v>
      </c>
      <c r="Q769">
        <v>0</v>
      </c>
      <c r="R769">
        <v>2100</v>
      </c>
      <c r="S769">
        <v>1900</v>
      </c>
      <c r="T769">
        <v>10000</v>
      </c>
      <c r="U769" t="s">
        <v>10373</v>
      </c>
      <c r="X769">
        <v>1</v>
      </c>
      <c r="Z769" s="42">
        <v>1</v>
      </c>
      <c r="AA769" s="42">
        <v>1</v>
      </c>
      <c r="AB769">
        <v>0</v>
      </c>
    </row>
    <row r="770">
      <c r="A770" t="s">
        <v>10510</v>
      </c>
      <c r="B770" t="s">
        <v>8308</v>
      </c>
      <c r="C770" t="s">
        <v>8308</v>
      </c>
      <c r="D770" t="s">
        <v>9678</v>
      </c>
      <c r="E770" t="s">
        <v>10511</v>
      </c>
      <c r="F770" t="s">
        <v>6966</v>
      </c>
      <c r="G770" t="s">
        <v>10455</v>
      </c>
      <c r="H770" t="s">
        <v>10456</v>
      </c>
      <c r="I770" t="s">
        <v>10468</v>
      </c>
      <c r="J770" t="s">
        <v>8577</v>
      </c>
      <c r="K770">
        <v>41741</v>
      </c>
      <c r="L770" t="s">
        <v>10469</v>
      </c>
      <c r="M770" s="42">
        <v>1</v>
      </c>
      <c r="N770" s="42">
        <v>1</v>
      </c>
      <c r="O770">
        <v>1</v>
      </c>
      <c r="P770" s="42">
        <v>1</v>
      </c>
      <c r="Q770">
        <v>0</v>
      </c>
      <c r="R770">
        <v>200</v>
      </c>
      <c r="S770">
        <v>200</v>
      </c>
      <c r="T770">
        <v>10000</v>
      </c>
      <c r="U770" t="s">
        <v>10373</v>
      </c>
      <c r="X770">
        <v>1</v>
      </c>
      <c r="Z770" s="42">
        <v>1</v>
      </c>
      <c r="AA770" s="42">
        <v>1</v>
      </c>
      <c r="AB770">
        <v>0</v>
      </c>
    </row>
    <row r="771">
      <c r="A771" t="s">
        <v>10512</v>
      </c>
      <c r="B771" t="s">
        <v>8308</v>
      </c>
      <c r="C771" t="s">
        <v>8308</v>
      </c>
      <c r="D771" t="s">
        <v>9678</v>
      </c>
      <c r="E771" t="s">
        <v>10513</v>
      </c>
      <c r="F771" t="s">
        <v>6966</v>
      </c>
      <c r="G771" t="s">
        <v>10455</v>
      </c>
      <c r="H771" t="s">
        <v>10456</v>
      </c>
      <c r="I771" t="s">
        <v>10468</v>
      </c>
      <c r="J771" t="s">
        <v>8577</v>
      </c>
      <c r="K771">
        <v>32732</v>
      </c>
      <c r="L771" t="s">
        <v>10469</v>
      </c>
      <c r="M771" s="42">
        <v>1</v>
      </c>
      <c r="N771" s="42">
        <v>1</v>
      </c>
      <c r="O771">
        <v>1</v>
      </c>
      <c r="P771" s="42">
        <v>1</v>
      </c>
      <c r="Q771">
        <v>0</v>
      </c>
      <c r="R771">
        <v>0</v>
      </c>
      <c r="S771">
        <v>0</v>
      </c>
      <c r="T771">
        <v>10000</v>
      </c>
      <c r="U771" t="s">
        <v>10373</v>
      </c>
      <c r="X771">
        <v>1</v>
      </c>
      <c r="Z771" s="42">
        <v>1</v>
      </c>
      <c r="AA771" s="42">
        <v>1</v>
      </c>
      <c r="AB771">
        <v>0</v>
      </c>
    </row>
    <row r="772">
      <c r="A772" t="s">
        <v>10514</v>
      </c>
      <c r="B772" t="s">
        <v>8308</v>
      </c>
      <c r="C772" t="s">
        <v>8308</v>
      </c>
      <c r="D772" t="s">
        <v>9678</v>
      </c>
      <c r="E772" t="s">
        <v>10515</v>
      </c>
      <c r="F772" t="s">
        <v>6966</v>
      </c>
      <c r="G772" t="s">
        <v>10455</v>
      </c>
      <c r="H772" t="s">
        <v>10456</v>
      </c>
      <c r="I772" t="s">
        <v>10468</v>
      </c>
      <c r="J772" t="s">
        <v>8577</v>
      </c>
      <c r="K772">
        <v>19402</v>
      </c>
      <c r="L772" t="s">
        <v>10469</v>
      </c>
      <c r="M772" s="42">
        <v>1</v>
      </c>
      <c r="N772" s="42">
        <v>1</v>
      </c>
      <c r="O772">
        <v>1</v>
      </c>
      <c r="P772" s="42">
        <v>1</v>
      </c>
      <c r="Q772">
        <v>0</v>
      </c>
      <c r="R772">
        <v>0</v>
      </c>
      <c r="S772">
        <v>0</v>
      </c>
      <c r="T772">
        <v>10000</v>
      </c>
      <c r="U772" t="s">
        <v>10373</v>
      </c>
      <c r="X772">
        <v>1</v>
      </c>
      <c r="Z772" s="42">
        <v>1</v>
      </c>
      <c r="AA772" s="42">
        <v>1</v>
      </c>
      <c r="AB772">
        <v>0</v>
      </c>
    </row>
    <row r="773">
      <c r="A773" t="s">
        <v>10516</v>
      </c>
      <c r="B773" t="s">
        <v>8308</v>
      </c>
      <c r="C773" t="s">
        <v>8308</v>
      </c>
      <c r="D773" t="s">
        <v>9678</v>
      </c>
      <c r="E773" t="s">
        <v>10517</v>
      </c>
      <c r="F773" t="s">
        <v>6966</v>
      </c>
      <c r="G773" t="s">
        <v>10455</v>
      </c>
      <c r="H773" t="s">
        <v>10456</v>
      </c>
      <c r="I773" t="s">
        <v>10468</v>
      </c>
      <c r="J773" t="s">
        <v>8577</v>
      </c>
      <c r="K773">
        <v>72237</v>
      </c>
      <c r="L773" t="s">
        <v>10469</v>
      </c>
      <c r="M773" s="42">
        <v>1</v>
      </c>
      <c r="N773" s="42">
        <v>1</v>
      </c>
      <c r="O773">
        <v>1</v>
      </c>
      <c r="P773" s="42">
        <v>1</v>
      </c>
      <c r="Q773">
        <v>0</v>
      </c>
      <c r="R773">
        <v>1300</v>
      </c>
      <c r="S773">
        <v>1100</v>
      </c>
      <c r="T773">
        <v>10000</v>
      </c>
      <c r="U773" t="s">
        <v>10373</v>
      </c>
      <c r="X773">
        <v>1</v>
      </c>
      <c r="Z773" s="42">
        <v>1</v>
      </c>
      <c r="AA773" s="42">
        <v>1</v>
      </c>
      <c r="AB773">
        <v>0</v>
      </c>
    </row>
    <row r="774">
      <c r="A774" t="s">
        <v>10518</v>
      </c>
      <c r="B774" t="s">
        <v>9571</v>
      </c>
      <c r="C774" t="s">
        <v>9571</v>
      </c>
      <c r="D774" t="s">
        <v>9827</v>
      </c>
      <c r="E774" t="s">
        <v>10519</v>
      </c>
      <c r="F774" t="s">
        <v>6966</v>
      </c>
      <c r="G774" t="s">
        <v>10329</v>
      </c>
      <c r="H774" t="s">
        <v>7265</v>
      </c>
      <c r="I774" t="s">
        <v>10520</v>
      </c>
      <c r="J774" s="43">
        <v>1</v>
      </c>
      <c r="K774">
        <v>100</v>
      </c>
      <c r="L774" t="s">
        <v>10469</v>
      </c>
      <c r="M774" s="42">
        <v>1</v>
      </c>
      <c r="N774" s="42">
        <v>0.5</v>
      </c>
      <c r="O774">
        <v>1</v>
      </c>
      <c r="P774" s="42">
        <v>0.85</v>
      </c>
      <c r="Q774">
        <v>0.85</v>
      </c>
      <c r="R774">
        <v>2057</v>
      </c>
      <c r="S774">
        <v>2057</v>
      </c>
      <c r="T774">
        <v>3000</v>
      </c>
      <c r="U774" t="s">
        <v>10373</v>
      </c>
      <c r="X774">
        <v>1</v>
      </c>
      <c r="Z774" s="42">
        <v>1</v>
      </c>
      <c r="AA774" s="42">
        <v>1</v>
      </c>
      <c r="AB774">
        <v>0</v>
      </c>
    </row>
    <row r="775">
      <c r="A775" t="s">
        <v>10521</v>
      </c>
      <c r="B775" t="s">
        <v>10522</v>
      </c>
      <c r="C775" t="s">
        <v>10522</v>
      </c>
      <c r="D775" t="s">
        <v>10523</v>
      </c>
      <c r="E775" t="s">
        <v>10524</v>
      </c>
      <c r="F775" t="s">
        <v>6966</v>
      </c>
      <c r="G775" t="s">
        <v>10525</v>
      </c>
      <c r="H775" t="s">
        <v>10526</v>
      </c>
      <c r="I775" t="s">
        <v>10527</v>
      </c>
      <c r="J775" t="s">
        <v>10528</v>
      </c>
      <c r="K775" t="s">
        <v>10529</v>
      </c>
      <c r="L775" t="s">
        <v>10469</v>
      </c>
      <c r="M775" s="42">
        <v>0.01</v>
      </c>
      <c r="N775" s="42">
        <v>0.2</v>
      </c>
      <c r="O775">
        <v>1</v>
      </c>
      <c r="P775" s="42">
        <v>0.009743</v>
      </c>
      <c r="Q775">
        <v>0.97</v>
      </c>
      <c r="R775">
        <v>2520</v>
      </c>
      <c r="S775">
        <v>2520</v>
      </c>
      <c r="T775">
        <v>2100</v>
      </c>
      <c r="U775" t="s">
        <v>10373</v>
      </c>
      <c r="X775">
        <v>1</v>
      </c>
      <c r="Z775" s="42">
        <v>1</v>
      </c>
      <c r="AA775" s="42">
        <v>1</v>
      </c>
      <c r="AB775">
        <v>0</v>
      </c>
    </row>
    <row r="776">
      <c r="A776" t="s">
        <v>10530</v>
      </c>
      <c r="B776" t="s">
        <v>10522</v>
      </c>
      <c r="C776" t="s">
        <v>10522</v>
      </c>
      <c r="D776" t="s">
        <v>10523</v>
      </c>
      <c r="E776" t="s">
        <v>10531</v>
      </c>
      <c r="F776" t="s">
        <v>6966</v>
      </c>
      <c r="G776" t="s">
        <v>10525</v>
      </c>
      <c r="H776" t="s">
        <v>10526</v>
      </c>
      <c r="I776" t="s">
        <v>10527</v>
      </c>
      <c r="J776" t="s">
        <v>10532</v>
      </c>
      <c r="K776" t="s">
        <v>10533</v>
      </c>
      <c r="L776" t="s">
        <v>10469</v>
      </c>
      <c r="M776" s="42">
        <v>0.01</v>
      </c>
      <c r="N776" s="42">
        <v>0.2</v>
      </c>
      <c r="O776">
        <v>1</v>
      </c>
      <c r="P776" s="42">
        <v>0.009244</v>
      </c>
      <c r="Q776">
        <v>0.92</v>
      </c>
      <c r="R776">
        <v>1890</v>
      </c>
      <c r="S776">
        <v>1890</v>
      </c>
      <c r="T776">
        <v>2100</v>
      </c>
      <c r="U776" t="s">
        <v>10373</v>
      </c>
      <c r="X776">
        <v>1</v>
      </c>
      <c r="Z776" s="42">
        <v>1</v>
      </c>
      <c r="AA776" s="42">
        <v>1</v>
      </c>
      <c r="AB776">
        <v>0</v>
      </c>
    </row>
    <row r="777">
      <c r="A777" t="s">
        <v>10534</v>
      </c>
      <c r="B777" t="s">
        <v>10522</v>
      </c>
      <c r="C777" t="s">
        <v>10522</v>
      </c>
      <c r="D777" t="s">
        <v>10523</v>
      </c>
      <c r="E777" t="s">
        <v>10535</v>
      </c>
      <c r="F777" t="s">
        <v>6966</v>
      </c>
      <c r="G777" t="s">
        <v>10525</v>
      </c>
      <c r="H777" t="s">
        <v>10526</v>
      </c>
      <c r="I777" t="s">
        <v>10527</v>
      </c>
      <c r="J777" t="s">
        <v>10532</v>
      </c>
      <c r="K777" t="s">
        <v>10536</v>
      </c>
      <c r="L777" t="s">
        <v>10469</v>
      </c>
      <c r="M777" s="42">
        <v>0.0092</v>
      </c>
      <c r="N777" s="42">
        <v>0.25</v>
      </c>
      <c r="O777">
        <v>0.92</v>
      </c>
      <c r="P777" s="42">
        <v>0.009343</v>
      </c>
      <c r="Q777">
        <v>0.93</v>
      </c>
      <c r="R777">
        <v>2100</v>
      </c>
      <c r="S777">
        <v>2100</v>
      </c>
      <c r="T777">
        <v>2100</v>
      </c>
      <c r="U777" t="s">
        <v>10373</v>
      </c>
      <c r="X777">
        <v>1</v>
      </c>
      <c r="Z777" s="42">
        <v>1</v>
      </c>
      <c r="AA777" s="42">
        <v>1</v>
      </c>
      <c r="AB777">
        <v>0</v>
      </c>
    </row>
    <row r="778">
      <c r="A778" t="s">
        <v>10537</v>
      </c>
      <c r="B778" t="s">
        <v>10522</v>
      </c>
      <c r="C778" t="s">
        <v>10522</v>
      </c>
      <c r="D778" t="s">
        <v>10523</v>
      </c>
      <c r="E778" t="s">
        <v>10538</v>
      </c>
      <c r="F778" t="s">
        <v>6966</v>
      </c>
      <c r="G778" t="s">
        <v>10525</v>
      </c>
      <c r="H778" t="s">
        <v>10526</v>
      </c>
      <c r="I778" t="s">
        <v>10527</v>
      </c>
      <c r="J778" t="s">
        <v>10539</v>
      </c>
      <c r="K778" t="s">
        <v>10540</v>
      </c>
      <c r="L778" t="s">
        <v>10469</v>
      </c>
      <c r="M778" s="42">
        <v>0.0088</v>
      </c>
      <c r="N778" s="42">
        <v>0.25</v>
      </c>
      <c r="O778">
        <v>0.88</v>
      </c>
      <c r="P778" s="42">
        <v>0.0095</v>
      </c>
      <c r="Q778">
        <v>0.95</v>
      </c>
      <c r="R778">
        <v>2310</v>
      </c>
      <c r="S778">
        <v>2310</v>
      </c>
      <c r="T778">
        <v>2100</v>
      </c>
      <c r="U778" t="s">
        <v>10373</v>
      </c>
      <c r="X778">
        <v>1</v>
      </c>
      <c r="Z778" s="42">
        <v>1</v>
      </c>
      <c r="AA778" s="42">
        <v>1</v>
      </c>
      <c r="AB778">
        <v>0</v>
      </c>
    </row>
    <row r="779">
      <c r="A779" t="s">
        <v>10541</v>
      </c>
      <c r="B779" t="s">
        <v>10522</v>
      </c>
      <c r="C779" t="s">
        <v>10522</v>
      </c>
      <c r="D779" t="s">
        <v>10523</v>
      </c>
      <c r="E779" t="s">
        <v>10542</v>
      </c>
      <c r="F779" t="s">
        <v>6966</v>
      </c>
      <c r="G779" t="s">
        <v>10525</v>
      </c>
      <c r="H779" t="s">
        <v>10526</v>
      </c>
      <c r="I779" t="s">
        <v>10527</v>
      </c>
      <c r="J779" t="s">
        <v>10543</v>
      </c>
      <c r="K779" t="s">
        <v>10544</v>
      </c>
      <c r="L779" t="s">
        <v>10469</v>
      </c>
      <c r="M779" s="42">
        <v>0.0094</v>
      </c>
      <c r="N779" s="42">
        <v>0.2</v>
      </c>
      <c r="O779">
        <v>0.94</v>
      </c>
      <c r="P779" s="42">
        <v>0.008819</v>
      </c>
      <c r="Q779">
        <v>0.87</v>
      </c>
      <c r="R779">
        <v>1680</v>
      </c>
      <c r="S779">
        <v>1680</v>
      </c>
      <c r="T779">
        <v>2100</v>
      </c>
      <c r="U779" t="s">
        <v>10373</v>
      </c>
      <c r="X779">
        <v>1</v>
      </c>
      <c r="Z779" s="42">
        <v>1</v>
      </c>
      <c r="AA779" s="42">
        <v>1</v>
      </c>
      <c r="AB779">
        <v>0</v>
      </c>
    </row>
    <row r="780">
      <c r="A780" t="s">
        <v>10545</v>
      </c>
      <c r="B780" t="s">
        <v>10522</v>
      </c>
      <c r="C780" t="s">
        <v>10522</v>
      </c>
      <c r="D780" t="s">
        <v>10546</v>
      </c>
      <c r="E780" t="s">
        <v>10547</v>
      </c>
      <c r="F780" t="s">
        <v>6966</v>
      </c>
      <c r="G780" t="s">
        <v>10548</v>
      </c>
      <c r="H780" t="s">
        <v>10549</v>
      </c>
      <c r="I780" t="s">
        <v>10527</v>
      </c>
      <c r="J780" t="s">
        <v>10550</v>
      </c>
      <c r="K780" t="s">
        <v>10551</v>
      </c>
      <c r="L780" t="s">
        <v>10469</v>
      </c>
      <c r="M780" s="42">
        <v>0.009358</v>
      </c>
      <c r="N780" s="42">
        <v>0.4</v>
      </c>
      <c r="O780">
        <v>0.9358</v>
      </c>
      <c r="P780" s="42">
        <v>0.009643</v>
      </c>
      <c r="Q780">
        <v>0.96</v>
      </c>
      <c r="R780">
        <v>3521.12</v>
      </c>
      <c r="S780">
        <v>3521.12</v>
      </c>
      <c r="T780">
        <v>3000</v>
      </c>
      <c r="U780" t="s">
        <v>10373</v>
      </c>
      <c r="X780">
        <v>1</v>
      </c>
      <c r="Z780" s="42">
        <v>1</v>
      </c>
      <c r="AA780" s="42">
        <v>1</v>
      </c>
      <c r="AB780">
        <v>0</v>
      </c>
    </row>
    <row r="781">
      <c r="A781" t="s">
        <v>10552</v>
      </c>
      <c r="B781" t="s">
        <v>10522</v>
      </c>
      <c r="C781" t="s">
        <v>10522</v>
      </c>
      <c r="D781" t="s">
        <v>10553</v>
      </c>
      <c r="E781" t="s">
        <v>10554</v>
      </c>
      <c r="F781" t="s">
        <v>6966</v>
      </c>
      <c r="G781" t="s">
        <v>10548</v>
      </c>
      <c r="H781" t="s">
        <v>10549</v>
      </c>
      <c r="I781" t="s">
        <v>10527</v>
      </c>
      <c r="J781" t="s">
        <v>10555</v>
      </c>
      <c r="K781" t="s">
        <v>10556</v>
      </c>
      <c r="L781" t="s">
        <v>10469</v>
      </c>
      <c r="M781" s="42">
        <v>0.0093</v>
      </c>
      <c r="N781" s="42">
        <v>0.5</v>
      </c>
      <c r="O781">
        <v>0.93</v>
      </c>
      <c r="P781" s="42">
        <v>0.009002</v>
      </c>
      <c r="Q781">
        <v>0.9</v>
      </c>
      <c r="R781">
        <v>1706.39</v>
      </c>
      <c r="S781">
        <v>1706.39</v>
      </c>
      <c r="T781">
        <v>2100</v>
      </c>
      <c r="U781" t="s">
        <v>10373</v>
      </c>
      <c r="X781">
        <v>1</v>
      </c>
      <c r="Z781" s="42">
        <v>1</v>
      </c>
      <c r="AA781" s="42">
        <v>1</v>
      </c>
      <c r="AB781">
        <v>0</v>
      </c>
    </row>
    <row r="782">
      <c r="A782" t="s">
        <v>10557</v>
      </c>
      <c r="B782" t="s">
        <v>10522</v>
      </c>
      <c r="C782" t="s">
        <v>10522</v>
      </c>
      <c r="D782" t="s">
        <v>10553</v>
      </c>
      <c r="E782" t="s">
        <v>10558</v>
      </c>
      <c r="F782" t="s">
        <v>6966</v>
      </c>
      <c r="G782" t="s">
        <v>10548</v>
      </c>
      <c r="H782" t="s">
        <v>10549</v>
      </c>
      <c r="I782" t="s">
        <v>10527</v>
      </c>
      <c r="J782" t="s">
        <v>10559</v>
      </c>
      <c r="K782" t="s">
        <v>7040</v>
      </c>
      <c r="L782" t="s">
        <v>10469</v>
      </c>
      <c r="M782" s="42">
        <v>0.01</v>
      </c>
      <c r="N782" s="42">
        <v>0.3</v>
      </c>
      <c r="O782">
        <v>1</v>
      </c>
      <c r="P782" s="42">
        <v>0.009625</v>
      </c>
      <c r="Q782">
        <v>0.96</v>
      </c>
      <c r="R782">
        <v>2166.84</v>
      </c>
      <c r="S782">
        <v>2166.84</v>
      </c>
      <c r="T782">
        <v>2000</v>
      </c>
      <c r="U782" t="s">
        <v>10373</v>
      </c>
      <c r="X782">
        <v>1</v>
      </c>
      <c r="Z782" s="42">
        <v>1</v>
      </c>
      <c r="AA782" s="42">
        <v>1</v>
      </c>
      <c r="AB782">
        <v>0</v>
      </c>
    </row>
    <row r="783">
      <c r="A783" t="s">
        <v>10560</v>
      </c>
      <c r="B783" t="s">
        <v>10522</v>
      </c>
      <c r="C783" t="s">
        <v>10522</v>
      </c>
      <c r="D783" t="s">
        <v>10553</v>
      </c>
      <c r="E783" t="s">
        <v>10561</v>
      </c>
      <c r="F783" t="s">
        <v>6966</v>
      </c>
      <c r="G783" t="s">
        <v>10548</v>
      </c>
      <c r="H783" t="s">
        <v>10549</v>
      </c>
      <c r="I783" t="s">
        <v>10527</v>
      </c>
      <c r="J783" t="s">
        <v>10562</v>
      </c>
      <c r="K783" t="s">
        <v>10563</v>
      </c>
      <c r="L783" t="s">
        <v>10469</v>
      </c>
      <c r="M783" s="42">
        <v>0.0095</v>
      </c>
      <c r="N783" s="42">
        <v>0.45</v>
      </c>
      <c r="O783">
        <v>0.95</v>
      </c>
      <c r="P783" s="42">
        <v>0.00955</v>
      </c>
      <c r="Q783">
        <v>0.96</v>
      </c>
      <c r="R783">
        <v>2482.84</v>
      </c>
      <c r="S783">
        <v>2482.84</v>
      </c>
      <c r="T783">
        <v>2500</v>
      </c>
      <c r="U783" t="s">
        <v>10373</v>
      </c>
      <c r="X783">
        <v>1</v>
      </c>
      <c r="Z783" s="42">
        <v>1</v>
      </c>
      <c r="AA783" s="42">
        <v>1</v>
      </c>
      <c r="AB783">
        <v>0</v>
      </c>
    </row>
    <row r="784">
      <c r="A784" t="s">
        <v>10564</v>
      </c>
      <c r="B784" t="s">
        <v>10522</v>
      </c>
      <c r="C784" t="s">
        <v>10522</v>
      </c>
      <c r="D784" t="s">
        <v>10553</v>
      </c>
      <c r="E784" t="s">
        <v>10565</v>
      </c>
      <c r="F784" t="s">
        <v>6966</v>
      </c>
      <c r="G784" t="s">
        <v>10548</v>
      </c>
      <c r="H784" t="s">
        <v>10549</v>
      </c>
      <c r="I784" t="s">
        <v>10527</v>
      </c>
      <c r="J784" t="s">
        <v>10566</v>
      </c>
      <c r="K784" t="s">
        <v>10567</v>
      </c>
      <c r="L784" t="s">
        <v>10469</v>
      </c>
      <c r="M784" s="42">
        <v>0.009</v>
      </c>
      <c r="N784" s="42">
        <v>0.2</v>
      </c>
      <c r="O784">
        <v>0.9</v>
      </c>
      <c r="P784" s="42">
        <v>0.008909</v>
      </c>
      <c r="Q784">
        <v>0.89</v>
      </c>
      <c r="R784">
        <v>1805.7</v>
      </c>
      <c r="S784">
        <v>1805.7</v>
      </c>
      <c r="T784">
        <v>2500</v>
      </c>
      <c r="U784" t="s">
        <v>10373</v>
      </c>
      <c r="X784">
        <v>1</v>
      </c>
      <c r="Z784" s="42">
        <v>1</v>
      </c>
      <c r="AA784" s="42">
        <v>1</v>
      </c>
      <c r="AB784">
        <v>0</v>
      </c>
    </row>
    <row r="785">
      <c r="A785" t="s">
        <v>10568</v>
      </c>
      <c r="B785" t="s">
        <v>10522</v>
      </c>
      <c r="C785" t="s">
        <v>10522</v>
      </c>
      <c r="D785" t="s">
        <v>10553</v>
      </c>
      <c r="E785" t="s">
        <v>10569</v>
      </c>
      <c r="F785" t="s">
        <v>6966</v>
      </c>
      <c r="G785" t="s">
        <v>10548</v>
      </c>
      <c r="H785" t="s">
        <v>10549</v>
      </c>
      <c r="I785" t="s">
        <v>10527</v>
      </c>
      <c r="J785" t="s">
        <v>10570</v>
      </c>
      <c r="K785" t="s">
        <v>10571</v>
      </c>
      <c r="L785" t="s">
        <v>10469</v>
      </c>
      <c r="M785" s="42">
        <v>0.00844</v>
      </c>
      <c r="N785" s="42">
        <v>0.25</v>
      </c>
      <c r="O785">
        <v>0.844</v>
      </c>
      <c r="P785" s="42">
        <v>0.009265</v>
      </c>
      <c r="Q785">
        <v>0.93</v>
      </c>
      <c r="R785">
        <v>2257.13</v>
      </c>
      <c r="S785">
        <v>2257.13</v>
      </c>
      <c r="T785">
        <v>2500</v>
      </c>
      <c r="U785" t="s">
        <v>10373</v>
      </c>
      <c r="X785">
        <v>1</v>
      </c>
      <c r="Z785" s="42">
        <v>1</v>
      </c>
      <c r="AA785" s="42">
        <v>1</v>
      </c>
      <c r="AB785">
        <v>0</v>
      </c>
    </row>
    <row r="786">
      <c r="A786" t="s">
        <v>10572</v>
      </c>
      <c r="B786" t="s">
        <v>10522</v>
      </c>
      <c r="C786" t="s">
        <v>10522</v>
      </c>
      <c r="D786" t="s">
        <v>10553</v>
      </c>
      <c r="E786" t="s">
        <v>10573</v>
      </c>
      <c r="F786" t="s">
        <v>6966</v>
      </c>
      <c r="G786" t="s">
        <v>10548</v>
      </c>
      <c r="H786" t="s">
        <v>10549</v>
      </c>
      <c r="I786" t="s">
        <v>10527</v>
      </c>
      <c r="J786" t="s">
        <v>10574</v>
      </c>
      <c r="K786" t="s">
        <v>10575</v>
      </c>
      <c r="L786" t="s">
        <v>10469</v>
      </c>
      <c r="M786" s="42">
        <v>0.01</v>
      </c>
      <c r="N786" s="42">
        <v>0.05</v>
      </c>
      <c r="O786">
        <v>1</v>
      </c>
      <c r="P786" s="42">
        <v>0.0098</v>
      </c>
      <c r="Q786">
        <v>0.98</v>
      </c>
      <c r="R786">
        <v>3159.98</v>
      </c>
      <c r="S786">
        <v>3159.98</v>
      </c>
      <c r="T786">
        <v>2500</v>
      </c>
      <c r="U786" t="s">
        <v>10373</v>
      </c>
      <c r="X786">
        <v>1</v>
      </c>
      <c r="Z786" s="42">
        <v>1</v>
      </c>
      <c r="AA786" s="42">
        <v>1</v>
      </c>
      <c r="AB786">
        <v>0</v>
      </c>
    </row>
    <row r="787">
      <c r="A787" t="s">
        <v>10576</v>
      </c>
      <c r="B787" t="s">
        <v>10130</v>
      </c>
      <c r="C787" t="s">
        <v>10130</v>
      </c>
      <c r="D787" t="s">
        <v>10577</v>
      </c>
      <c r="E787" t="s">
        <v>10578</v>
      </c>
      <c r="F787" t="s">
        <v>6966</v>
      </c>
      <c r="G787" t="s">
        <v>10579</v>
      </c>
      <c r="H787" t="s">
        <v>10133</v>
      </c>
      <c r="I787" t="s">
        <v>10580</v>
      </c>
      <c r="J787">
        <v>7205</v>
      </c>
      <c r="K787">
        <v>7475</v>
      </c>
      <c r="L787" t="s">
        <v>10469</v>
      </c>
      <c r="M787" s="42">
        <v>1.037</v>
      </c>
      <c r="N787" s="42">
        <v>0.125</v>
      </c>
      <c r="O787">
        <v>1.037</v>
      </c>
      <c r="P787" s="42">
        <v>0.76925</v>
      </c>
      <c r="Q787">
        <v>0.96</v>
      </c>
      <c r="R787">
        <v>4800</v>
      </c>
      <c r="S787">
        <v>4800</v>
      </c>
      <c r="T787">
        <v>5000</v>
      </c>
      <c r="U787" t="s">
        <v>10373</v>
      </c>
      <c r="X787">
        <v>1</v>
      </c>
      <c r="Z787" s="42">
        <v>1</v>
      </c>
      <c r="AA787" s="42">
        <v>1</v>
      </c>
      <c r="AB787">
        <v>0</v>
      </c>
    </row>
    <row r="788">
      <c r="A788" t="s">
        <v>10581</v>
      </c>
      <c r="B788" t="s">
        <v>9643</v>
      </c>
      <c r="C788" t="s">
        <v>9643</v>
      </c>
      <c r="D788" t="s">
        <v>8790</v>
      </c>
      <c r="E788" t="s">
        <v>10582</v>
      </c>
      <c r="F788" t="s">
        <v>6966</v>
      </c>
      <c r="G788" t="s">
        <v>10583</v>
      </c>
      <c r="H788" t="s">
        <v>10584</v>
      </c>
      <c r="I788" t="s">
        <v>10585</v>
      </c>
      <c r="J788" t="s">
        <v>10586</v>
      </c>
      <c r="K788" t="s">
        <v>10587</v>
      </c>
      <c r="L788" t="s">
        <v>10469</v>
      </c>
      <c r="M788" s="42">
        <v>0.8</v>
      </c>
      <c r="N788" s="42">
        <v>0.25</v>
      </c>
      <c r="O788">
        <v>0.8</v>
      </c>
      <c r="P788" s="42">
        <v>0.866675</v>
      </c>
      <c r="Q788">
        <v>0.87</v>
      </c>
      <c r="R788">
        <v>4686</v>
      </c>
      <c r="S788">
        <v>4686</v>
      </c>
      <c r="T788">
        <v>5000</v>
      </c>
      <c r="U788" t="s">
        <v>10373</v>
      </c>
      <c r="X788">
        <v>1</v>
      </c>
      <c r="Z788" s="42">
        <v>1</v>
      </c>
      <c r="AA788" s="42">
        <v>1</v>
      </c>
      <c r="AB788">
        <v>0</v>
      </c>
    </row>
    <row r="789">
      <c r="A789" t="s">
        <v>10588</v>
      </c>
      <c r="B789" t="s">
        <v>8646</v>
      </c>
      <c r="C789" t="s">
        <v>8646</v>
      </c>
      <c r="D789" t="s">
        <v>8790</v>
      </c>
      <c r="E789" t="s">
        <v>10589</v>
      </c>
      <c r="F789" t="s">
        <v>6966</v>
      </c>
      <c r="G789" t="s">
        <v>10583</v>
      </c>
      <c r="H789" t="s">
        <v>10584</v>
      </c>
      <c r="I789" t="s">
        <v>10590</v>
      </c>
      <c r="J789" t="s">
        <v>8242</v>
      </c>
      <c r="K789" t="s">
        <v>10591</v>
      </c>
      <c r="L789" t="s">
        <v>10592</v>
      </c>
      <c r="M789" s="42">
        <v>2.09</v>
      </c>
      <c r="N789" s="42">
        <v>0.7</v>
      </c>
      <c r="O789">
        <v>1.5</v>
      </c>
      <c r="P789" s="42">
        <v>5.663</v>
      </c>
      <c r="Q789">
        <v>1.5</v>
      </c>
      <c r="R789">
        <v>5756</v>
      </c>
      <c r="S789">
        <v>5756</v>
      </c>
      <c r="T789">
        <v>5000</v>
      </c>
      <c r="U789" t="s">
        <v>10373</v>
      </c>
      <c r="X789">
        <v>1</v>
      </c>
      <c r="Z789" s="42">
        <v>1</v>
      </c>
      <c r="AA789" s="42">
        <v>1</v>
      </c>
      <c r="AB789">
        <v>0</v>
      </c>
    </row>
    <row r="790">
      <c r="A790" t="s">
        <v>10593</v>
      </c>
      <c r="B790" t="s">
        <v>8230</v>
      </c>
      <c r="C790" t="s">
        <v>8230</v>
      </c>
      <c r="D790" t="s">
        <v>10594</v>
      </c>
      <c r="E790" t="s">
        <v>10595</v>
      </c>
      <c r="F790" t="s">
        <v>6966</v>
      </c>
      <c r="G790" t="s">
        <v>10583</v>
      </c>
      <c r="H790" t="s">
        <v>10596</v>
      </c>
      <c r="I790" t="s">
        <v>10597</v>
      </c>
      <c r="J790" t="s">
        <v>10598</v>
      </c>
      <c r="K790" t="s">
        <v>10599</v>
      </c>
      <c r="L790" t="s">
        <v>10592</v>
      </c>
      <c r="M790" s="42">
        <v>1.18</v>
      </c>
      <c r="N790" s="42">
        <v>0.5</v>
      </c>
      <c r="O790">
        <v>1.18</v>
      </c>
      <c r="P790" s="42">
        <v>1.39</v>
      </c>
      <c r="Q790">
        <v>1.24</v>
      </c>
      <c r="R790">
        <v>3504</v>
      </c>
      <c r="S790">
        <v>3504</v>
      </c>
      <c r="T790">
        <v>3000</v>
      </c>
      <c r="U790" t="s">
        <v>10373</v>
      </c>
      <c r="X790">
        <v>1</v>
      </c>
      <c r="Z790" s="42">
        <v>1</v>
      </c>
      <c r="AA790" s="42">
        <v>1</v>
      </c>
      <c r="AB790">
        <v>0</v>
      </c>
    </row>
    <row r="791">
      <c r="A791" t="s">
        <v>10600</v>
      </c>
      <c r="B791" t="s">
        <v>8308</v>
      </c>
      <c r="C791" t="s">
        <v>8308</v>
      </c>
      <c r="D791" t="s">
        <v>8806</v>
      </c>
      <c r="E791" t="s">
        <v>10601</v>
      </c>
      <c r="F791" t="s">
        <v>6966</v>
      </c>
      <c r="G791" t="s">
        <v>10583</v>
      </c>
      <c r="H791" t="s">
        <v>10602</v>
      </c>
      <c r="I791" t="s">
        <v>10603</v>
      </c>
      <c r="J791" t="s">
        <v>10604</v>
      </c>
      <c r="K791" t="s">
        <v>10605</v>
      </c>
      <c r="L791" t="s">
        <v>10606</v>
      </c>
      <c r="M791" s="42">
        <v>0.58</v>
      </c>
      <c r="N791" s="42">
        <v>0.4</v>
      </c>
      <c r="O791">
        <v>0.47</v>
      </c>
      <c r="P791" s="42">
        <v>1.132</v>
      </c>
      <c r="Q791">
        <v>0.74</v>
      </c>
      <c r="R791">
        <v>3952</v>
      </c>
      <c r="S791">
        <v>3952</v>
      </c>
      <c r="T791">
        <v>5000</v>
      </c>
      <c r="U791" t="s">
        <v>10373</v>
      </c>
      <c r="X791">
        <v>1</v>
      </c>
      <c r="Z791" s="42">
        <v>1</v>
      </c>
      <c r="AA791" s="42">
        <v>1</v>
      </c>
      <c r="AB791">
        <v>0</v>
      </c>
    </row>
    <row r="792">
      <c r="A792" t="s">
        <v>10607</v>
      </c>
      <c r="B792" t="s">
        <v>8646</v>
      </c>
      <c r="C792" t="s">
        <v>8646</v>
      </c>
      <c r="D792" t="s">
        <v>7000</v>
      </c>
      <c r="E792" t="s">
        <v>10608</v>
      </c>
      <c r="F792" t="s">
        <v>6966</v>
      </c>
      <c r="G792" t="s">
        <v>10583</v>
      </c>
      <c r="H792" t="s">
        <v>10584</v>
      </c>
      <c r="I792" t="s">
        <v>10609</v>
      </c>
      <c r="J792" t="s">
        <v>9615</v>
      </c>
      <c r="K792" t="s">
        <v>10610</v>
      </c>
      <c r="L792" t="s">
        <v>10611</v>
      </c>
      <c r="M792" s="42">
        <v>1.83</v>
      </c>
      <c r="N792" s="42">
        <v>0.6</v>
      </c>
      <c r="O792">
        <v>1.5</v>
      </c>
      <c r="P792" s="42">
        <v>1.898</v>
      </c>
      <c r="Q792">
        <v>1.5</v>
      </c>
      <c r="R792">
        <v>6630</v>
      </c>
      <c r="S792">
        <v>6630</v>
      </c>
      <c r="T792">
        <v>6000</v>
      </c>
      <c r="U792" t="s">
        <v>10373</v>
      </c>
      <c r="X792">
        <v>1</v>
      </c>
      <c r="Z792" s="42">
        <v>1</v>
      </c>
      <c r="AA792" s="42">
        <v>1</v>
      </c>
      <c r="AB792">
        <v>0</v>
      </c>
    </row>
    <row r="793">
      <c r="A793" t="s">
        <v>10612</v>
      </c>
      <c r="B793" t="s">
        <v>9456</v>
      </c>
      <c r="C793" t="s">
        <v>9456</v>
      </c>
      <c r="D793" t="s">
        <v>7000</v>
      </c>
      <c r="E793" t="s">
        <v>10613</v>
      </c>
      <c r="F793" t="s">
        <v>6966</v>
      </c>
      <c r="G793" t="s">
        <v>10614</v>
      </c>
      <c r="H793" t="s">
        <v>10615</v>
      </c>
      <c r="I793" t="s">
        <v>10616</v>
      </c>
      <c r="J793">
        <v>120</v>
      </c>
      <c r="K793">
        <v>112</v>
      </c>
      <c r="L793" t="s">
        <v>10617</v>
      </c>
      <c r="M793" s="42">
        <v>0.933333</v>
      </c>
      <c r="N793" s="42">
        <v>0.09</v>
      </c>
      <c r="O793">
        <v>1.0267</v>
      </c>
      <c r="P793" s="42">
        <v>0.880912</v>
      </c>
      <c r="Q793">
        <v>1.19</v>
      </c>
      <c r="R793">
        <v>3653.62</v>
      </c>
      <c r="S793">
        <v>3653.62</v>
      </c>
      <c r="T793">
        <v>5000</v>
      </c>
      <c r="U793" t="s">
        <v>10373</v>
      </c>
      <c r="X793">
        <v>1</v>
      </c>
      <c r="Z793" s="42">
        <v>1</v>
      </c>
      <c r="AA793" s="42">
        <v>1</v>
      </c>
      <c r="AB793">
        <v>0</v>
      </c>
    </row>
    <row r="794">
      <c r="A794" t="s">
        <v>10618</v>
      </c>
      <c r="B794" t="s">
        <v>9456</v>
      </c>
      <c r="C794" t="s">
        <v>9456</v>
      </c>
      <c r="D794" t="s">
        <v>10619</v>
      </c>
      <c r="E794" t="s">
        <v>10620</v>
      </c>
      <c r="F794" t="s">
        <v>6966</v>
      </c>
      <c r="G794" t="s">
        <v>10621</v>
      </c>
      <c r="H794" t="s">
        <v>10622</v>
      </c>
      <c r="I794" t="s">
        <v>10623</v>
      </c>
      <c r="J794">
        <v>232.2</v>
      </c>
      <c r="K794">
        <v>0.8</v>
      </c>
      <c r="L794" t="s">
        <v>10624</v>
      </c>
      <c r="M794" s="42">
        <v>0.6</v>
      </c>
      <c r="N794" s="42">
        <v>0.3</v>
      </c>
      <c r="O794">
        <v>0.8</v>
      </c>
      <c r="P794" s="42">
        <v>0.88</v>
      </c>
      <c r="Q794">
        <v>1.29</v>
      </c>
      <c r="R794">
        <v>2000</v>
      </c>
      <c r="S794">
        <v>2000</v>
      </c>
      <c r="T794">
        <v>2000</v>
      </c>
      <c r="U794" t="s">
        <v>10373</v>
      </c>
      <c r="X794">
        <v>1</v>
      </c>
      <c r="Z794" s="42">
        <v>1</v>
      </c>
      <c r="AA794" s="42">
        <v>1</v>
      </c>
      <c r="AB794">
        <v>0</v>
      </c>
    </row>
    <row r="795">
      <c r="A795" t="s">
        <v>10625</v>
      </c>
      <c r="B795" t="s">
        <v>8805</v>
      </c>
      <c r="C795" t="s">
        <v>8805</v>
      </c>
      <c r="D795" t="s">
        <v>9404</v>
      </c>
      <c r="E795" t="s">
        <v>10626</v>
      </c>
      <c r="F795" t="s">
        <v>6966</v>
      </c>
      <c r="G795" t="s">
        <v>10627</v>
      </c>
      <c r="H795" t="s">
        <v>10628</v>
      </c>
      <c r="I795" t="s">
        <v>10629</v>
      </c>
      <c r="J795" t="s">
        <v>10195</v>
      </c>
      <c r="K795" t="s">
        <v>8577</v>
      </c>
      <c r="L795" t="s">
        <v>10630</v>
      </c>
      <c r="M795" s="42">
        <v>1</v>
      </c>
      <c r="N795" s="42">
        <v>0.2</v>
      </c>
      <c r="O795">
        <v>20</v>
      </c>
      <c r="P795" s="42">
        <v>1</v>
      </c>
      <c r="Q795">
        <v>100</v>
      </c>
      <c r="R795">
        <v>1000</v>
      </c>
      <c r="S795">
        <v>1000</v>
      </c>
      <c r="T795">
        <v>1000</v>
      </c>
      <c r="U795" t="s">
        <v>10373</v>
      </c>
      <c r="X795">
        <v>1</v>
      </c>
      <c r="Z795" s="42">
        <v>1</v>
      </c>
      <c r="AA795" s="42">
        <v>1</v>
      </c>
      <c r="AB795">
        <v>0</v>
      </c>
    </row>
    <row r="796">
      <c r="A796" t="s">
        <v>10631</v>
      </c>
      <c r="B796" t="s">
        <v>7673</v>
      </c>
      <c r="C796" t="s">
        <v>7673</v>
      </c>
      <c r="D796" t="s">
        <v>7686</v>
      </c>
      <c r="E796" t="s">
        <v>10632</v>
      </c>
      <c r="F796" t="s">
        <v>6966</v>
      </c>
      <c r="G796" t="s">
        <v>10633</v>
      </c>
      <c r="H796" t="s">
        <v>7645</v>
      </c>
      <c r="I796" t="s">
        <v>10634</v>
      </c>
      <c r="J796" t="s">
        <v>10635</v>
      </c>
      <c r="K796" t="s">
        <v>10636</v>
      </c>
      <c r="L796" t="s">
        <v>10630</v>
      </c>
      <c r="M796" s="42">
        <v>0.16</v>
      </c>
      <c r="N796" s="42">
        <v>0.45</v>
      </c>
      <c r="O796">
        <v>0.127</v>
      </c>
      <c r="P796" s="42">
        <v>0.372</v>
      </c>
      <c r="Q796">
        <v>0.36</v>
      </c>
      <c r="R796">
        <v>3188</v>
      </c>
      <c r="S796">
        <v>2624.14</v>
      </c>
      <c r="T796">
        <v>6000</v>
      </c>
      <c r="U796" t="s">
        <v>10373</v>
      </c>
      <c r="X796">
        <v>1</v>
      </c>
      <c r="Z796" s="42">
        <v>1</v>
      </c>
      <c r="AA796" s="42">
        <v>1</v>
      </c>
      <c r="AB796">
        <v>0</v>
      </c>
    </row>
    <row r="797">
      <c r="A797" t="s">
        <v>10637</v>
      </c>
      <c r="B797" t="s">
        <v>7673</v>
      </c>
      <c r="C797" t="s">
        <v>7673</v>
      </c>
      <c r="D797" t="s">
        <v>7686</v>
      </c>
      <c r="E797" t="s">
        <v>10638</v>
      </c>
      <c r="F797" t="s">
        <v>6966</v>
      </c>
      <c r="G797" t="s">
        <v>10633</v>
      </c>
      <c r="H797" t="s">
        <v>7645</v>
      </c>
      <c r="I797" t="s">
        <v>7645</v>
      </c>
      <c r="J797" t="s">
        <v>10639</v>
      </c>
      <c r="K797" t="s">
        <v>10640</v>
      </c>
      <c r="L797" t="s">
        <v>10630</v>
      </c>
      <c r="M797" s="42">
        <v>0.74</v>
      </c>
      <c r="N797" s="42">
        <v>0.45</v>
      </c>
      <c r="O797">
        <v>0.592</v>
      </c>
      <c r="P797" s="42">
        <v>0.779</v>
      </c>
      <c r="Q797">
        <v>0.68</v>
      </c>
      <c r="R797">
        <v>5188</v>
      </c>
      <c r="S797">
        <v>2900.34</v>
      </c>
      <c r="T797">
        <v>6000</v>
      </c>
      <c r="U797" t="s">
        <v>10373</v>
      </c>
      <c r="X797">
        <v>1</v>
      </c>
      <c r="Z797" s="42">
        <v>1</v>
      </c>
      <c r="AA797" s="42">
        <v>1</v>
      </c>
      <c r="AB797">
        <v>0</v>
      </c>
    </row>
    <row r="798">
      <c r="A798" t="s">
        <v>10641</v>
      </c>
      <c r="B798" t="s">
        <v>7673</v>
      </c>
      <c r="C798" t="s">
        <v>7673</v>
      </c>
      <c r="D798" t="s">
        <v>7000</v>
      </c>
      <c r="E798" t="s">
        <v>10642</v>
      </c>
      <c r="F798" t="s">
        <v>6966</v>
      </c>
      <c r="G798" t="s">
        <v>10633</v>
      </c>
      <c r="H798" t="s">
        <v>7645</v>
      </c>
      <c r="J798" t="s">
        <v>10643</v>
      </c>
      <c r="K798" t="s">
        <v>10644</v>
      </c>
      <c r="L798">
        <v>0</v>
      </c>
      <c r="M798" s="42">
        <v>0.93</v>
      </c>
      <c r="N798" s="42">
        <v>0.45</v>
      </c>
      <c r="O798">
        <v>0.935</v>
      </c>
      <c r="P798" s="42">
        <v>4.7385</v>
      </c>
      <c r="Q798">
        <v>0.97</v>
      </c>
      <c r="R798">
        <v>10296</v>
      </c>
      <c r="S798">
        <v>8606.31</v>
      </c>
      <c r="T798">
        <v>5000</v>
      </c>
      <c r="U798" t="s">
        <v>10373</v>
      </c>
      <c r="X798">
        <v>1</v>
      </c>
      <c r="Z798" s="42">
        <v>1</v>
      </c>
      <c r="AA798" s="42">
        <v>1</v>
      </c>
      <c r="AB798">
        <v>0</v>
      </c>
    </row>
    <row r="799">
      <c r="A799" t="s">
        <v>10645</v>
      </c>
      <c r="B799" t="s">
        <v>7673</v>
      </c>
      <c r="C799" t="s">
        <v>7673</v>
      </c>
      <c r="D799" t="s">
        <v>7000</v>
      </c>
      <c r="E799" t="s">
        <v>10646</v>
      </c>
      <c r="F799" t="s">
        <v>6966</v>
      </c>
      <c r="G799" t="s">
        <v>10633</v>
      </c>
      <c r="H799" t="s">
        <v>7645</v>
      </c>
      <c r="J799" t="s">
        <v>10647</v>
      </c>
      <c r="K799" t="s">
        <v>10648</v>
      </c>
      <c r="L799">
        <v>0</v>
      </c>
      <c r="M799" s="42">
        <v>0.458824</v>
      </c>
      <c r="N799" s="42">
        <v>0.45</v>
      </c>
      <c r="O799">
        <v>0.3671</v>
      </c>
      <c r="P799" s="42">
        <v>1.342471</v>
      </c>
      <c r="Q799">
        <v>0.53</v>
      </c>
      <c r="R799">
        <v>0</v>
      </c>
      <c r="S799">
        <v>102.25</v>
      </c>
      <c r="T799">
        <v>5000</v>
      </c>
      <c r="U799" t="s">
        <v>10373</v>
      </c>
      <c r="X799">
        <v>1</v>
      </c>
      <c r="Z799" s="42">
        <v>1</v>
      </c>
      <c r="AA799" s="42">
        <v>1</v>
      </c>
      <c r="AB799">
        <v>0</v>
      </c>
    </row>
    <row r="800">
      <c r="A800" t="s">
        <v>10649</v>
      </c>
      <c r="B800" t="s">
        <v>7651</v>
      </c>
      <c r="C800" t="s">
        <v>7651</v>
      </c>
      <c r="D800" t="s">
        <v>7686</v>
      </c>
      <c r="E800" t="s">
        <v>10650</v>
      </c>
      <c r="F800" t="s">
        <v>6966</v>
      </c>
      <c r="G800" t="s">
        <v>10633</v>
      </c>
      <c r="H800" t="s">
        <v>7645</v>
      </c>
      <c r="I800" t="s">
        <v>10651</v>
      </c>
      <c r="J800" t="s">
        <v>9291</v>
      </c>
      <c r="K800" t="s">
        <v>10652</v>
      </c>
      <c r="L800">
        <v>0</v>
      </c>
      <c r="M800" s="42">
        <v>0.45</v>
      </c>
      <c r="N800" s="42">
        <v>0.45</v>
      </c>
      <c r="O800">
        <v>0.389</v>
      </c>
      <c r="P800" s="42">
        <v>0.3925</v>
      </c>
      <c r="Q800">
        <v>0.4</v>
      </c>
      <c r="R800">
        <v>4481.44</v>
      </c>
      <c r="S800">
        <v>4481.44</v>
      </c>
      <c r="T800">
        <v>6000</v>
      </c>
      <c r="U800" t="s">
        <v>10373</v>
      </c>
      <c r="X800">
        <v>1</v>
      </c>
      <c r="Z800" s="42">
        <v>1</v>
      </c>
      <c r="AA800" s="42">
        <v>1</v>
      </c>
      <c r="AB800">
        <v>0</v>
      </c>
    </row>
    <row r="801">
      <c r="A801" t="s">
        <v>10653</v>
      </c>
      <c r="B801" t="s">
        <v>7651</v>
      </c>
      <c r="C801" t="s">
        <v>7651</v>
      </c>
      <c r="D801" t="s">
        <v>7000</v>
      </c>
      <c r="E801" t="s">
        <v>10654</v>
      </c>
      <c r="F801" t="s">
        <v>6966</v>
      </c>
      <c r="G801" t="s">
        <v>10633</v>
      </c>
      <c r="H801" t="s">
        <v>7645</v>
      </c>
      <c r="J801" t="s">
        <v>10655</v>
      </c>
      <c r="K801" t="s">
        <v>10656</v>
      </c>
      <c r="L801">
        <v>0</v>
      </c>
      <c r="M801" s="42">
        <v>0.36</v>
      </c>
      <c r="N801" s="42">
        <v>0.45</v>
      </c>
      <c r="O801">
        <v>0.2852</v>
      </c>
      <c r="P801" s="42">
        <v>0.376</v>
      </c>
      <c r="Q801">
        <v>0.29</v>
      </c>
      <c r="R801">
        <v>4026.65</v>
      </c>
      <c r="S801">
        <v>4026.65</v>
      </c>
      <c r="T801">
        <v>5000</v>
      </c>
      <c r="U801" t="s">
        <v>10373</v>
      </c>
      <c r="X801">
        <v>1</v>
      </c>
      <c r="Z801" s="42">
        <v>1</v>
      </c>
      <c r="AA801" s="42">
        <v>1</v>
      </c>
      <c r="AB801">
        <v>0</v>
      </c>
    </row>
    <row r="802">
      <c r="A802" t="s">
        <v>10657</v>
      </c>
      <c r="B802" t="s">
        <v>9456</v>
      </c>
      <c r="C802" t="s">
        <v>9456</v>
      </c>
      <c r="D802" t="s">
        <v>7271</v>
      </c>
      <c r="E802" t="s">
        <v>10658</v>
      </c>
      <c r="F802" t="s">
        <v>6966</v>
      </c>
      <c r="G802" t="s">
        <v>10614</v>
      </c>
      <c r="H802" t="s">
        <v>10659</v>
      </c>
      <c r="I802" t="s">
        <v>10660</v>
      </c>
      <c r="J802">
        <v>186</v>
      </c>
      <c r="K802">
        <v>146</v>
      </c>
      <c r="L802" t="s">
        <v>10661</v>
      </c>
      <c r="M802" s="42">
        <v>0.784946</v>
      </c>
      <c r="N802" s="42">
        <v>0.09</v>
      </c>
      <c r="O802">
        <v>0.8242</v>
      </c>
      <c r="P802" s="42">
        <v>0.916098</v>
      </c>
      <c r="Q802">
        <v>1.21</v>
      </c>
      <c r="R802">
        <v>5952.89</v>
      </c>
      <c r="S802">
        <v>5952.89</v>
      </c>
      <c r="T802">
        <v>5000</v>
      </c>
      <c r="U802" t="s">
        <v>10373</v>
      </c>
      <c r="X802">
        <v>1</v>
      </c>
      <c r="Z802" s="42">
        <v>1</v>
      </c>
      <c r="AA802" s="42">
        <v>1</v>
      </c>
      <c r="AB802">
        <v>0</v>
      </c>
    </row>
    <row r="803">
      <c r="A803" t="s">
        <v>10662</v>
      </c>
      <c r="B803" t="s">
        <v>9456</v>
      </c>
      <c r="C803" t="s">
        <v>9456</v>
      </c>
      <c r="D803" t="s">
        <v>7477</v>
      </c>
      <c r="E803" t="s">
        <v>10663</v>
      </c>
      <c r="F803" t="s">
        <v>6966</v>
      </c>
      <c r="G803" t="s">
        <v>10664</v>
      </c>
      <c r="H803" t="s">
        <v>10665</v>
      </c>
      <c r="I803" t="s">
        <v>10666</v>
      </c>
      <c r="J803">
        <v>18</v>
      </c>
      <c r="K803">
        <v>3</v>
      </c>
      <c r="L803" t="s">
        <v>10667</v>
      </c>
      <c r="M803" s="42">
        <v>0.166667</v>
      </c>
      <c r="N803" s="42">
        <v>0.15</v>
      </c>
      <c r="O803">
        <v>0.1333</v>
      </c>
      <c r="P803" s="42">
        <v>0.416386</v>
      </c>
      <c r="Q803">
        <v>0.6</v>
      </c>
      <c r="R803">
        <v>792.77</v>
      </c>
      <c r="S803">
        <v>792.77</v>
      </c>
      <c r="T803">
        <v>2000</v>
      </c>
      <c r="U803" t="s">
        <v>10373</v>
      </c>
      <c r="X803">
        <v>1</v>
      </c>
      <c r="Z803" s="42">
        <v>1</v>
      </c>
      <c r="AA803" s="42">
        <v>1</v>
      </c>
      <c r="AB803">
        <v>0</v>
      </c>
    </row>
    <row r="804">
      <c r="A804" t="s">
        <v>10668</v>
      </c>
      <c r="B804" t="s">
        <v>9456</v>
      </c>
      <c r="C804" t="s">
        <v>9456</v>
      </c>
      <c r="D804" t="s">
        <v>7477</v>
      </c>
      <c r="E804" t="s">
        <v>10669</v>
      </c>
      <c r="F804" t="s">
        <v>6966</v>
      </c>
      <c r="G804" t="s">
        <v>10664</v>
      </c>
      <c r="H804" t="s">
        <v>10670</v>
      </c>
      <c r="I804" t="s">
        <v>10671</v>
      </c>
      <c r="J804">
        <v>65</v>
      </c>
      <c r="K804">
        <v>69.8</v>
      </c>
      <c r="L804" t="s">
        <v>10672</v>
      </c>
      <c r="M804" s="42">
        <v>1.073846</v>
      </c>
      <c r="N804" s="42">
        <v>0.3</v>
      </c>
      <c r="O804">
        <v>1.1812</v>
      </c>
      <c r="P804" s="42">
        <v>1.036154</v>
      </c>
      <c r="Q804">
        <v>1.41</v>
      </c>
      <c r="R804">
        <v>2219.54</v>
      </c>
      <c r="S804">
        <v>2219.54</v>
      </c>
      <c r="T804">
        <v>2000</v>
      </c>
      <c r="U804" t="s">
        <v>10373</v>
      </c>
      <c r="X804">
        <v>1</v>
      </c>
      <c r="Z804" s="42">
        <v>1</v>
      </c>
      <c r="AA804" s="42">
        <v>1</v>
      </c>
      <c r="AB804">
        <v>0</v>
      </c>
    </row>
    <row r="805">
      <c r="A805" t="s">
        <v>10673</v>
      </c>
      <c r="B805" t="s">
        <v>9456</v>
      </c>
      <c r="C805" t="s">
        <v>9456</v>
      </c>
      <c r="D805" t="s">
        <v>7477</v>
      </c>
      <c r="E805" t="s">
        <v>10674</v>
      </c>
      <c r="F805" t="s">
        <v>6966</v>
      </c>
      <c r="G805" t="s">
        <v>10664</v>
      </c>
      <c r="H805" t="s">
        <v>10665</v>
      </c>
      <c r="I805" t="s">
        <v>10675</v>
      </c>
      <c r="J805" t="s">
        <v>10676</v>
      </c>
      <c r="K805">
        <v>19.2</v>
      </c>
      <c r="L805" t="s">
        <v>10677</v>
      </c>
      <c r="M805" s="42">
        <v>1.28</v>
      </c>
      <c r="N805" s="42">
        <v>0.09</v>
      </c>
      <c r="O805">
        <v>1.344</v>
      </c>
      <c r="P805" s="42">
        <v>0.87908</v>
      </c>
      <c r="Q805">
        <v>1.19</v>
      </c>
      <c r="R805">
        <v>2316.82</v>
      </c>
      <c r="S805">
        <v>2316.82</v>
      </c>
      <c r="T805">
        <v>2000</v>
      </c>
      <c r="U805" t="s">
        <v>10373</v>
      </c>
      <c r="X805">
        <v>1</v>
      </c>
      <c r="Z805" s="42">
        <v>1</v>
      </c>
      <c r="AA805" s="42">
        <v>1</v>
      </c>
      <c r="AB805">
        <v>0</v>
      </c>
    </row>
    <row r="806">
      <c r="A806" t="s">
        <v>10678</v>
      </c>
      <c r="B806" t="s">
        <v>9456</v>
      </c>
      <c r="C806" t="s">
        <v>9456</v>
      </c>
      <c r="D806" t="s">
        <v>7477</v>
      </c>
      <c r="E806" t="s">
        <v>10679</v>
      </c>
      <c r="F806" t="s">
        <v>6966</v>
      </c>
      <c r="G806" t="s">
        <v>10664</v>
      </c>
      <c r="H806" t="s">
        <v>10680</v>
      </c>
      <c r="I806" t="s">
        <v>10681</v>
      </c>
      <c r="J806">
        <v>60</v>
      </c>
      <c r="K806">
        <v>61</v>
      </c>
      <c r="L806" t="s">
        <v>10682</v>
      </c>
      <c r="M806" s="42">
        <v>1.016667</v>
      </c>
      <c r="N806" s="42">
        <v>0.12</v>
      </c>
      <c r="O806">
        <v>1.1183</v>
      </c>
      <c r="P806" s="42">
        <v>0.7381</v>
      </c>
      <c r="Q806">
        <v>1.06</v>
      </c>
      <c r="R806">
        <v>2238.8</v>
      </c>
      <c r="S806">
        <v>2238.8</v>
      </c>
      <c r="T806">
        <v>3000</v>
      </c>
      <c r="U806" t="s">
        <v>10373</v>
      </c>
      <c r="X806">
        <v>1</v>
      </c>
      <c r="Z806" s="42">
        <v>1</v>
      </c>
      <c r="AA806" s="42">
        <v>1</v>
      </c>
      <c r="AB806">
        <v>0</v>
      </c>
    </row>
    <row r="807">
      <c r="A807" t="s">
        <v>10683</v>
      </c>
      <c r="B807" t="s">
        <v>9456</v>
      </c>
      <c r="C807" t="s">
        <v>9456</v>
      </c>
      <c r="D807" t="s">
        <v>7477</v>
      </c>
      <c r="E807" t="s">
        <v>10684</v>
      </c>
      <c r="F807" t="s">
        <v>6966</v>
      </c>
      <c r="G807" t="s">
        <v>10664</v>
      </c>
      <c r="H807" t="s">
        <v>10680</v>
      </c>
      <c r="I807" t="s">
        <v>10685</v>
      </c>
      <c r="J807">
        <v>60</v>
      </c>
      <c r="K807">
        <v>58</v>
      </c>
      <c r="L807" t="s">
        <v>10686</v>
      </c>
      <c r="M807" s="42">
        <v>0.966667</v>
      </c>
      <c r="N807" s="42">
        <v>0.12</v>
      </c>
      <c r="O807">
        <v>1.015</v>
      </c>
      <c r="P807" s="42">
        <v>0.724728</v>
      </c>
      <c r="Q807">
        <v>1.03</v>
      </c>
      <c r="R807">
        <v>1837.97</v>
      </c>
      <c r="S807">
        <v>1837.97</v>
      </c>
      <c r="T807">
        <v>2000</v>
      </c>
      <c r="U807" t="s">
        <v>10373</v>
      </c>
      <c r="X807">
        <v>1</v>
      </c>
      <c r="Z807" s="42">
        <v>1</v>
      </c>
      <c r="AA807" s="42">
        <v>1</v>
      </c>
      <c r="AB807">
        <v>0</v>
      </c>
    </row>
    <row r="808">
      <c r="A808" t="s">
        <v>10687</v>
      </c>
      <c r="B808" t="s">
        <v>9456</v>
      </c>
      <c r="C808" t="s">
        <v>9456</v>
      </c>
      <c r="D808" t="s">
        <v>7477</v>
      </c>
      <c r="E808" t="s">
        <v>10688</v>
      </c>
      <c r="F808" t="s">
        <v>6966</v>
      </c>
      <c r="G808" t="s">
        <v>10664</v>
      </c>
      <c r="H808" t="s">
        <v>10665</v>
      </c>
      <c r="I808" t="s">
        <v>10689</v>
      </c>
      <c r="J808">
        <v>15</v>
      </c>
      <c r="K808">
        <v>10</v>
      </c>
      <c r="L808" t="s">
        <v>10690</v>
      </c>
      <c r="M808" s="42">
        <v>0.666667</v>
      </c>
      <c r="N808" s="42">
        <v>0.09</v>
      </c>
      <c r="O808">
        <v>0.6</v>
      </c>
      <c r="P808" s="42">
        <v>0.70567</v>
      </c>
      <c r="Q808">
        <v>0.99</v>
      </c>
      <c r="R808">
        <v>960.32</v>
      </c>
      <c r="S808">
        <v>960.32</v>
      </c>
      <c r="T808">
        <v>2000</v>
      </c>
      <c r="U808" t="s">
        <v>10373</v>
      </c>
      <c r="X808">
        <v>1</v>
      </c>
      <c r="Z808" s="42">
        <v>1</v>
      </c>
      <c r="AA808" s="42">
        <v>1</v>
      </c>
      <c r="AB808">
        <v>0</v>
      </c>
    </row>
    <row r="809">
      <c r="A809" t="s">
        <v>10691</v>
      </c>
      <c r="B809" t="s">
        <v>9456</v>
      </c>
      <c r="C809" t="s">
        <v>9456</v>
      </c>
      <c r="D809" t="s">
        <v>7477</v>
      </c>
      <c r="E809" t="s">
        <v>10692</v>
      </c>
      <c r="F809" t="s">
        <v>6966</v>
      </c>
      <c r="G809" t="s">
        <v>10664</v>
      </c>
      <c r="H809" t="s">
        <v>10665</v>
      </c>
      <c r="I809" t="s">
        <v>10693</v>
      </c>
      <c r="J809" t="s">
        <v>10676</v>
      </c>
      <c r="K809">
        <v>15</v>
      </c>
      <c r="L809" t="s">
        <v>10694</v>
      </c>
      <c r="M809" s="42">
        <v>1</v>
      </c>
      <c r="N809" s="42">
        <v>0.075</v>
      </c>
      <c r="O809">
        <v>1.05</v>
      </c>
      <c r="P809" s="42">
        <v>0.913322</v>
      </c>
      <c r="Q809">
        <v>1</v>
      </c>
      <c r="R809">
        <v>1401.52</v>
      </c>
      <c r="S809">
        <v>1401.52</v>
      </c>
      <c r="T809">
        <v>2000</v>
      </c>
      <c r="U809" t="s">
        <v>10373</v>
      </c>
      <c r="X809">
        <v>1</v>
      </c>
      <c r="Z809" s="42">
        <v>1</v>
      </c>
      <c r="AA809" s="42">
        <v>1</v>
      </c>
      <c r="AB809">
        <v>0</v>
      </c>
    </row>
    <row r="810">
      <c r="A810" t="s">
        <v>10695</v>
      </c>
      <c r="B810" t="s">
        <v>9456</v>
      </c>
      <c r="C810" t="s">
        <v>9456</v>
      </c>
      <c r="D810" t="s">
        <v>7000</v>
      </c>
      <c r="E810" t="s">
        <v>10696</v>
      </c>
      <c r="F810" t="s">
        <v>6966</v>
      </c>
      <c r="G810" t="s">
        <v>10664</v>
      </c>
      <c r="H810" t="s">
        <v>10665</v>
      </c>
      <c r="I810" t="s">
        <v>10675</v>
      </c>
      <c r="J810">
        <v>15</v>
      </c>
      <c r="K810">
        <v>12.4</v>
      </c>
      <c r="L810" t="s">
        <v>10697</v>
      </c>
      <c r="M810" s="42">
        <v>0.826667</v>
      </c>
      <c r="N810" s="42">
        <v>0.09</v>
      </c>
      <c r="O810">
        <v>0.744</v>
      </c>
      <c r="P810" s="42">
        <v>0.809148</v>
      </c>
      <c r="Q810">
        <v>0</v>
      </c>
      <c r="R810">
        <v>0</v>
      </c>
      <c r="S810">
        <v>0</v>
      </c>
      <c r="T810">
        <v>5000</v>
      </c>
      <c r="U810" t="s">
        <v>10373</v>
      </c>
      <c r="X810">
        <v>1</v>
      </c>
      <c r="Z810" s="42">
        <v>1</v>
      </c>
      <c r="AA810" s="42">
        <v>1</v>
      </c>
      <c r="AB810">
        <v>0</v>
      </c>
    </row>
    <row r="811">
      <c r="A811" t="s">
        <v>10698</v>
      </c>
      <c r="B811" t="s">
        <v>10699</v>
      </c>
      <c r="C811" t="s">
        <v>10699</v>
      </c>
      <c r="D811" t="s">
        <v>7807</v>
      </c>
      <c r="E811" t="s">
        <v>10700</v>
      </c>
      <c r="F811" t="s">
        <v>6966</v>
      </c>
      <c r="G811" t="s">
        <v>7809</v>
      </c>
      <c r="H811" t="s">
        <v>7645</v>
      </c>
      <c r="I811" t="s">
        <v>10701</v>
      </c>
      <c r="J811" t="s">
        <v>8417</v>
      </c>
      <c r="K811" t="s">
        <v>10702</v>
      </c>
      <c r="L811" t="s">
        <v>10703</v>
      </c>
      <c r="M811" s="42">
        <v>0.92</v>
      </c>
      <c r="N811" s="42">
        <v>0.5</v>
      </c>
      <c r="O811">
        <v>0.918</v>
      </c>
      <c r="P811" s="42">
        <v>1.183</v>
      </c>
      <c r="Q811">
        <v>1.16</v>
      </c>
      <c r="R811">
        <v>8552.64</v>
      </c>
      <c r="S811">
        <v>8638.35</v>
      </c>
      <c r="T811">
        <v>6000</v>
      </c>
      <c r="U811" t="s">
        <v>10373</v>
      </c>
      <c r="X811">
        <v>1</v>
      </c>
      <c r="Z811" s="42">
        <v>1</v>
      </c>
      <c r="AA811" s="42">
        <v>1</v>
      </c>
      <c r="AB811">
        <v>0</v>
      </c>
    </row>
    <row r="812">
      <c r="A812" t="s">
        <v>10704</v>
      </c>
      <c r="B812" t="s">
        <v>8544</v>
      </c>
      <c r="C812" t="s">
        <v>8544</v>
      </c>
      <c r="D812" t="s">
        <v>7355</v>
      </c>
      <c r="E812" t="s">
        <v>10705</v>
      </c>
      <c r="F812" t="s">
        <v>6966</v>
      </c>
      <c r="G812" t="s">
        <v>8546</v>
      </c>
      <c r="H812" t="s">
        <v>8547</v>
      </c>
      <c r="I812" t="s">
        <v>10706</v>
      </c>
      <c r="J812" t="s">
        <v>8549</v>
      </c>
      <c r="K812">
        <v>1223.8</v>
      </c>
      <c r="L812" t="s">
        <v>10703</v>
      </c>
      <c r="M812" s="42">
        <v>0.0102</v>
      </c>
      <c r="N812" s="42">
        <v>0.1</v>
      </c>
      <c r="O812">
        <v>1.02</v>
      </c>
      <c r="P812" s="42">
        <v>0.00567</v>
      </c>
      <c r="Q812">
        <v>0.47</v>
      </c>
      <c r="R812">
        <v>4000</v>
      </c>
      <c r="S812">
        <v>4000</v>
      </c>
      <c r="T812">
        <v>5000</v>
      </c>
      <c r="U812" t="s">
        <v>10373</v>
      </c>
      <c r="X812">
        <v>1</v>
      </c>
      <c r="Z812" s="42">
        <v>1</v>
      </c>
      <c r="AA812" s="42">
        <v>1</v>
      </c>
      <c r="AB812">
        <v>0</v>
      </c>
    </row>
    <row r="813">
      <c r="A813" t="s">
        <v>10707</v>
      </c>
      <c r="B813" t="s">
        <v>10005</v>
      </c>
      <c r="C813" t="s">
        <v>10005</v>
      </c>
      <c r="D813" t="s">
        <v>10297</v>
      </c>
      <c r="E813" t="s">
        <v>10708</v>
      </c>
      <c r="F813" t="s">
        <v>6966</v>
      </c>
      <c r="G813" t="s">
        <v>10299</v>
      </c>
      <c r="H813" t="s">
        <v>10300</v>
      </c>
      <c r="I813" t="s">
        <v>10709</v>
      </c>
      <c r="J813">
        <v>660</v>
      </c>
      <c r="K813">
        <v>537</v>
      </c>
      <c r="L813" t="s">
        <v>10703</v>
      </c>
      <c r="M813" s="42">
        <v>0.813636</v>
      </c>
      <c r="N813" s="42">
        <v>1</v>
      </c>
      <c r="O813">
        <v>1</v>
      </c>
      <c r="P813" s="42">
        <v>0.813636</v>
      </c>
      <c r="Q813">
        <v>0.71</v>
      </c>
      <c r="R813">
        <v>3550</v>
      </c>
      <c r="S813">
        <v>3550</v>
      </c>
      <c r="T813">
        <v>5000</v>
      </c>
      <c r="U813" t="s">
        <v>10373</v>
      </c>
      <c r="X813">
        <v>1</v>
      </c>
      <c r="Z813" s="42">
        <v>1</v>
      </c>
      <c r="AA813" s="42">
        <v>1</v>
      </c>
      <c r="AB813">
        <v>0</v>
      </c>
    </row>
    <row r="814">
      <c r="A814" t="s">
        <v>10710</v>
      </c>
      <c r="B814" t="s">
        <v>8805</v>
      </c>
      <c r="C814" t="s">
        <v>8805</v>
      </c>
      <c r="D814" t="s">
        <v>9678</v>
      </c>
      <c r="E814" t="s">
        <v>10711</v>
      </c>
      <c r="F814" t="s">
        <v>6966</v>
      </c>
      <c r="G814" t="s">
        <v>10155</v>
      </c>
      <c r="H814" t="s">
        <v>10156</v>
      </c>
      <c r="I814" t="s">
        <v>10709</v>
      </c>
      <c r="J814" t="s">
        <v>8577</v>
      </c>
      <c r="K814">
        <v>100</v>
      </c>
      <c r="L814" t="s">
        <v>10703</v>
      </c>
      <c r="M814" s="42">
        <v>1</v>
      </c>
      <c r="N814" s="42">
        <v>1</v>
      </c>
      <c r="O814">
        <v>310</v>
      </c>
      <c r="P814" s="42">
        <v>1</v>
      </c>
      <c r="Q814">
        <v>310</v>
      </c>
      <c r="R814">
        <v>10000</v>
      </c>
      <c r="S814">
        <v>10000</v>
      </c>
      <c r="T814">
        <v>10000</v>
      </c>
      <c r="U814" t="s">
        <v>10373</v>
      </c>
      <c r="X814">
        <v>1</v>
      </c>
      <c r="Z814" s="42">
        <v>1</v>
      </c>
      <c r="AA814" s="42">
        <v>1</v>
      </c>
      <c r="AB814">
        <v>0</v>
      </c>
    </row>
    <row r="815">
      <c r="A815" t="s">
        <v>10712</v>
      </c>
      <c r="B815" t="s">
        <v>8646</v>
      </c>
      <c r="C815" t="s">
        <v>8646</v>
      </c>
      <c r="D815" t="s">
        <v>7362</v>
      </c>
      <c r="E815" t="s">
        <v>10713</v>
      </c>
      <c r="F815" t="s">
        <v>6966</v>
      </c>
      <c r="G815" t="s">
        <v>10714</v>
      </c>
      <c r="H815" t="s">
        <v>8576</v>
      </c>
      <c r="I815" t="s">
        <v>10715</v>
      </c>
      <c r="J815" t="s">
        <v>8242</v>
      </c>
      <c r="K815" t="s">
        <v>10716</v>
      </c>
      <c r="L815" t="s">
        <v>10703</v>
      </c>
      <c r="M815" s="42">
        <v>2.06</v>
      </c>
      <c r="N815" s="42">
        <v>0.05</v>
      </c>
      <c r="O815">
        <v>1.5</v>
      </c>
      <c r="P815" s="42">
        <v>3.2355</v>
      </c>
      <c r="Q815">
        <v>1.31</v>
      </c>
      <c r="R815">
        <v>2250</v>
      </c>
      <c r="S815">
        <v>2250</v>
      </c>
      <c r="T815">
        <v>1500</v>
      </c>
      <c r="U815" t="s">
        <v>10373</v>
      </c>
      <c r="X815">
        <v>1</v>
      </c>
      <c r="Z815" s="42">
        <v>1</v>
      </c>
      <c r="AA815" s="42">
        <v>1</v>
      </c>
      <c r="AB815">
        <v>0</v>
      </c>
    </row>
    <row r="816">
      <c r="A816" t="s">
        <v>10717</v>
      </c>
      <c r="B816" t="s">
        <v>8646</v>
      </c>
      <c r="C816" t="s">
        <v>8646</v>
      </c>
      <c r="D816" t="s">
        <v>7362</v>
      </c>
      <c r="E816" t="s">
        <v>10718</v>
      </c>
      <c r="F816" t="s">
        <v>6966</v>
      </c>
      <c r="G816" t="s">
        <v>10714</v>
      </c>
      <c r="H816" t="s">
        <v>8576</v>
      </c>
      <c r="I816" t="s">
        <v>10719</v>
      </c>
      <c r="J816" t="s">
        <v>8242</v>
      </c>
      <c r="K816" t="s">
        <v>10720</v>
      </c>
      <c r="L816" t="s">
        <v>10703</v>
      </c>
      <c r="M816" s="42">
        <v>2.06</v>
      </c>
      <c r="N816" s="42">
        <v>0.05</v>
      </c>
      <c r="O816">
        <v>0.075</v>
      </c>
      <c r="P816" s="42">
        <v>0.2905</v>
      </c>
      <c r="Q816">
        <v>0.25</v>
      </c>
      <c r="R816">
        <v>750</v>
      </c>
      <c r="S816">
        <v>750</v>
      </c>
      <c r="T816">
        <v>1500</v>
      </c>
      <c r="U816" t="s">
        <v>10373</v>
      </c>
      <c r="X816">
        <v>1</v>
      </c>
      <c r="Z816" s="42">
        <v>1</v>
      </c>
      <c r="AA816" s="42">
        <v>1</v>
      </c>
      <c r="AB816">
        <v>0</v>
      </c>
    </row>
    <row r="817">
      <c r="A817" t="s">
        <v>10721</v>
      </c>
      <c r="B817" t="s">
        <v>8646</v>
      </c>
      <c r="C817" t="s">
        <v>8646</v>
      </c>
      <c r="D817" t="s">
        <v>7362</v>
      </c>
      <c r="E817" t="s">
        <v>10722</v>
      </c>
      <c r="F817" t="s">
        <v>6966</v>
      </c>
      <c r="G817" t="s">
        <v>10714</v>
      </c>
      <c r="H817" t="s">
        <v>8576</v>
      </c>
      <c r="I817" t="s">
        <v>10715</v>
      </c>
      <c r="J817" t="s">
        <v>8242</v>
      </c>
      <c r="K817" t="s">
        <v>10723</v>
      </c>
      <c r="L817" t="s">
        <v>10703</v>
      </c>
      <c r="M817" s="42">
        <v>2.06</v>
      </c>
      <c r="N817" s="42">
        <v>0.05</v>
      </c>
      <c r="O817">
        <v>1.5</v>
      </c>
      <c r="P817" s="42">
        <v>2.222</v>
      </c>
      <c r="Q817">
        <v>1.13</v>
      </c>
      <c r="R817">
        <v>1500</v>
      </c>
      <c r="S817">
        <v>1500</v>
      </c>
      <c r="T817">
        <v>1500</v>
      </c>
      <c r="U817" t="s">
        <v>10373</v>
      </c>
      <c r="X817">
        <v>1</v>
      </c>
      <c r="Z817" s="42">
        <v>1</v>
      </c>
      <c r="AA817" s="42">
        <v>1</v>
      </c>
      <c r="AB817">
        <v>0</v>
      </c>
    </row>
    <row r="818">
      <c r="A818" t="s">
        <v>10724</v>
      </c>
      <c r="B818" t="s">
        <v>8646</v>
      </c>
      <c r="C818" t="s">
        <v>8646</v>
      </c>
      <c r="D818" t="s">
        <v>8661</v>
      </c>
      <c r="E818" t="s">
        <v>10725</v>
      </c>
      <c r="F818" t="s">
        <v>6966</v>
      </c>
      <c r="G818" t="s">
        <v>10714</v>
      </c>
      <c r="H818" t="s">
        <v>8576</v>
      </c>
      <c r="I818" t="s">
        <v>10726</v>
      </c>
      <c r="J818" t="s">
        <v>8242</v>
      </c>
      <c r="K818" t="s">
        <v>10716</v>
      </c>
      <c r="L818" t="s">
        <v>10703</v>
      </c>
      <c r="M818" s="42">
        <v>2.06</v>
      </c>
      <c r="N818" s="42">
        <v>0.05</v>
      </c>
      <c r="O818">
        <v>0.075</v>
      </c>
      <c r="P818" s="42">
        <v>1.177</v>
      </c>
      <c r="Q818">
        <v>1.06</v>
      </c>
      <c r="R818">
        <v>500</v>
      </c>
      <c r="S818">
        <v>500</v>
      </c>
      <c r="T818">
        <v>500</v>
      </c>
      <c r="U818" t="s">
        <v>10373</v>
      </c>
      <c r="X818">
        <v>1</v>
      </c>
      <c r="Z818" s="42">
        <v>1</v>
      </c>
      <c r="AA818" s="42">
        <v>1</v>
      </c>
      <c r="AB818">
        <v>0</v>
      </c>
    </row>
    <row r="819">
      <c r="A819" t="s">
        <v>10727</v>
      </c>
      <c r="B819" t="s">
        <v>7565</v>
      </c>
      <c r="C819" t="s">
        <v>7565</v>
      </c>
      <c r="D819" t="s">
        <v>8462</v>
      </c>
      <c r="E819" t="s">
        <v>10728</v>
      </c>
      <c r="F819" t="s">
        <v>6966</v>
      </c>
      <c r="G819" t="s">
        <v>10729</v>
      </c>
      <c r="H819" t="s">
        <v>10730</v>
      </c>
      <c r="I819" t="s">
        <v>10731</v>
      </c>
      <c r="J819" t="s">
        <v>10732</v>
      </c>
      <c r="K819">
        <v>4</v>
      </c>
      <c r="L819" t="s">
        <v>10733</v>
      </c>
      <c r="M819" s="42">
        <v>0.16</v>
      </c>
      <c r="N819" s="42">
        <v>1</v>
      </c>
      <c r="O819">
        <v>0.16</v>
      </c>
      <c r="P819" s="42">
        <v>0.16</v>
      </c>
      <c r="Q819">
        <v>0.16</v>
      </c>
      <c r="R819">
        <v>80</v>
      </c>
      <c r="S819">
        <v>80</v>
      </c>
      <c r="T819">
        <v>500</v>
      </c>
      <c r="U819" t="s">
        <v>10373</v>
      </c>
      <c r="X819">
        <v>1</v>
      </c>
      <c r="Z819" s="42">
        <v>1</v>
      </c>
      <c r="AA819" s="42">
        <v>1</v>
      </c>
      <c r="AB819">
        <v>0</v>
      </c>
    </row>
    <row r="820">
      <c r="A820" t="s">
        <v>10734</v>
      </c>
      <c r="B820" t="s">
        <v>7565</v>
      </c>
      <c r="C820" t="s">
        <v>7565</v>
      </c>
      <c r="D820" t="s">
        <v>8462</v>
      </c>
      <c r="E820" t="s">
        <v>10735</v>
      </c>
      <c r="F820" t="s">
        <v>6966</v>
      </c>
      <c r="G820" t="s">
        <v>10729</v>
      </c>
      <c r="H820" t="s">
        <v>10730</v>
      </c>
      <c r="I820" t="s">
        <v>10731</v>
      </c>
      <c r="J820" t="s">
        <v>10732</v>
      </c>
      <c r="K820">
        <v>12</v>
      </c>
      <c r="L820" t="s">
        <v>10736</v>
      </c>
      <c r="M820" s="42">
        <v>0.64</v>
      </c>
      <c r="N820" s="42">
        <v>1</v>
      </c>
      <c r="O820">
        <v>0.64</v>
      </c>
      <c r="P820" s="42">
        <v>0.64</v>
      </c>
      <c r="Q820">
        <v>0.64</v>
      </c>
      <c r="R820">
        <v>320</v>
      </c>
      <c r="S820">
        <v>320</v>
      </c>
      <c r="T820">
        <v>500</v>
      </c>
      <c r="U820" t="s">
        <v>10373</v>
      </c>
      <c r="X820">
        <v>1</v>
      </c>
      <c r="Z820" s="42">
        <v>1</v>
      </c>
      <c r="AA820" s="42">
        <v>1</v>
      </c>
      <c r="AB820">
        <v>0</v>
      </c>
    </row>
    <row r="821">
      <c r="A821" t="s">
        <v>10737</v>
      </c>
      <c r="B821" t="s">
        <v>7565</v>
      </c>
      <c r="C821" t="s">
        <v>7565</v>
      </c>
      <c r="D821" t="s">
        <v>8462</v>
      </c>
      <c r="E821" t="s">
        <v>10738</v>
      </c>
      <c r="F821" t="s">
        <v>6966</v>
      </c>
      <c r="G821" t="s">
        <v>10729</v>
      </c>
      <c r="H821" t="s">
        <v>10730</v>
      </c>
      <c r="I821" t="s">
        <v>10731</v>
      </c>
      <c r="J821" t="s">
        <v>10732</v>
      </c>
      <c r="K821">
        <v>7</v>
      </c>
      <c r="L821" t="s">
        <v>10739</v>
      </c>
      <c r="M821" s="42">
        <v>0.28</v>
      </c>
      <c r="N821" s="42">
        <v>1</v>
      </c>
      <c r="O821">
        <v>0.28</v>
      </c>
      <c r="P821" s="42">
        <v>0.28</v>
      </c>
      <c r="Q821">
        <v>0.28</v>
      </c>
      <c r="R821">
        <v>140</v>
      </c>
      <c r="S821">
        <v>140</v>
      </c>
      <c r="T821">
        <v>500</v>
      </c>
      <c r="U821" t="s">
        <v>10373</v>
      </c>
      <c r="X821">
        <v>1</v>
      </c>
      <c r="Z821" s="42">
        <v>1</v>
      </c>
      <c r="AA821" s="42">
        <v>1</v>
      </c>
      <c r="AB821">
        <v>0</v>
      </c>
    </row>
    <row r="822">
      <c r="A822" t="s">
        <v>10740</v>
      </c>
      <c r="B822" t="s">
        <v>7565</v>
      </c>
      <c r="C822" t="s">
        <v>7565</v>
      </c>
      <c r="D822" t="s">
        <v>8462</v>
      </c>
      <c r="E822" t="s">
        <v>10741</v>
      </c>
      <c r="F822" t="s">
        <v>6966</v>
      </c>
      <c r="G822" t="s">
        <v>10729</v>
      </c>
      <c r="H822" t="s">
        <v>10730</v>
      </c>
      <c r="I822" t="s">
        <v>10731</v>
      </c>
      <c r="J822" t="s">
        <v>10732</v>
      </c>
      <c r="K822">
        <v>17</v>
      </c>
      <c r="L822" t="s">
        <v>10742</v>
      </c>
      <c r="M822" s="42">
        <v>0.42</v>
      </c>
      <c r="N822" s="42">
        <v>1</v>
      </c>
      <c r="O822">
        <v>0.42</v>
      </c>
      <c r="P822" s="42">
        <v>0.42</v>
      </c>
      <c r="Q822">
        <v>0.42</v>
      </c>
      <c r="R822">
        <v>210</v>
      </c>
      <c r="S822">
        <v>210</v>
      </c>
      <c r="T822">
        <v>500</v>
      </c>
      <c r="U822" t="s">
        <v>10373</v>
      </c>
      <c r="X822">
        <v>1</v>
      </c>
      <c r="Z822" s="42">
        <v>1</v>
      </c>
      <c r="AA822" s="42">
        <v>1</v>
      </c>
      <c r="AB822">
        <v>0</v>
      </c>
    </row>
    <row r="823">
      <c r="A823" t="s">
        <v>10743</v>
      </c>
      <c r="B823" t="s">
        <v>7565</v>
      </c>
      <c r="C823" t="s">
        <v>7565</v>
      </c>
      <c r="D823" t="s">
        <v>8462</v>
      </c>
      <c r="E823" t="s">
        <v>10744</v>
      </c>
      <c r="F823" t="s">
        <v>6966</v>
      </c>
      <c r="G823" t="s">
        <v>10729</v>
      </c>
      <c r="H823" t="s">
        <v>10730</v>
      </c>
      <c r="I823" t="s">
        <v>10731</v>
      </c>
      <c r="J823" t="s">
        <v>10732</v>
      </c>
      <c r="K823">
        <v>15</v>
      </c>
      <c r="L823" t="s">
        <v>10745</v>
      </c>
      <c r="M823" s="42">
        <v>0.54</v>
      </c>
      <c r="N823" s="42">
        <v>1</v>
      </c>
      <c r="O823">
        <v>0.54</v>
      </c>
      <c r="P823" s="42">
        <v>0.54</v>
      </c>
      <c r="Q823">
        <v>0.54</v>
      </c>
      <c r="R823">
        <v>270</v>
      </c>
      <c r="S823">
        <v>270</v>
      </c>
      <c r="T823">
        <v>500</v>
      </c>
      <c r="U823" t="s">
        <v>10373</v>
      </c>
      <c r="X823">
        <v>1</v>
      </c>
      <c r="Z823" s="42">
        <v>1</v>
      </c>
      <c r="AA823" s="42">
        <v>1</v>
      </c>
      <c r="AB823">
        <v>0</v>
      </c>
    </row>
    <row r="824">
      <c r="A824" t="s">
        <v>10746</v>
      </c>
      <c r="B824" t="s">
        <v>8267</v>
      </c>
      <c r="C824" t="s">
        <v>8267</v>
      </c>
      <c r="D824" t="s">
        <v>8268</v>
      </c>
      <c r="E824" t="s">
        <v>10747</v>
      </c>
      <c r="F824" t="s">
        <v>6966</v>
      </c>
      <c r="G824" t="s">
        <v>8270</v>
      </c>
      <c r="H824" t="s">
        <v>10748</v>
      </c>
      <c r="I824" t="s">
        <v>10749</v>
      </c>
      <c r="J824" t="s">
        <v>7957</v>
      </c>
      <c r="K824" t="s">
        <v>7040</v>
      </c>
      <c r="L824" t="s">
        <v>10745</v>
      </c>
      <c r="M824" s="42">
        <v>1</v>
      </c>
      <c r="N824" s="42">
        <v>0.4</v>
      </c>
      <c r="O824">
        <v>1</v>
      </c>
      <c r="P824" s="42">
        <v>0.85</v>
      </c>
      <c r="Q824">
        <v>0.85</v>
      </c>
      <c r="R824">
        <v>850</v>
      </c>
      <c r="S824">
        <v>850</v>
      </c>
      <c r="T824">
        <v>1000</v>
      </c>
      <c r="U824" t="s">
        <v>10373</v>
      </c>
      <c r="X824">
        <v>1</v>
      </c>
      <c r="Z824" s="42">
        <v>1</v>
      </c>
      <c r="AA824" s="42">
        <v>1</v>
      </c>
      <c r="AB824">
        <v>0</v>
      </c>
    </row>
    <row r="825">
      <c r="A825" t="s">
        <v>10750</v>
      </c>
      <c r="B825" t="s">
        <v>8230</v>
      </c>
      <c r="C825" t="s">
        <v>8230</v>
      </c>
      <c r="D825" t="s">
        <v>8245</v>
      </c>
      <c r="E825" t="s">
        <v>10751</v>
      </c>
      <c r="F825" t="s">
        <v>6966</v>
      </c>
      <c r="G825" t="s">
        <v>8233</v>
      </c>
      <c r="H825" t="s">
        <v>10752</v>
      </c>
      <c r="I825" t="s">
        <v>10753</v>
      </c>
      <c r="J825" t="s">
        <v>9637</v>
      </c>
      <c r="K825">
        <v>2</v>
      </c>
      <c r="L825" t="s">
        <v>10745</v>
      </c>
      <c r="M825" s="42">
        <v>0.4</v>
      </c>
      <c r="N825" s="42">
        <v>0.4</v>
      </c>
      <c r="O825">
        <v>0.4</v>
      </c>
      <c r="P825" s="42">
        <v>0.85</v>
      </c>
      <c r="Q825">
        <v>0.8</v>
      </c>
      <c r="R825">
        <v>1600</v>
      </c>
      <c r="S825">
        <v>1600</v>
      </c>
      <c r="T825">
        <v>2000</v>
      </c>
      <c r="U825" t="s">
        <v>10373</v>
      </c>
      <c r="X825">
        <v>1</v>
      </c>
      <c r="Z825" s="42">
        <v>1</v>
      </c>
      <c r="AA825" s="42">
        <v>1</v>
      </c>
      <c r="AB825">
        <v>0</v>
      </c>
    </row>
    <row r="826">
      <c r="A826" t="s">
        <v>10754</v>
      </c>
      <c r="B826" t="s">
        <v>9928</v>
      </c>
      <c r="C826" t="s">
        <v>9928</v>
      </c>
      <c r="D826" t="s">
        <v>8213</v>
      </c>
      <c r="E826" t="s">
        <v>10755</v>
      </c>
      <c r="F826" t="s">
        <v>6966</v>
      </c>
      <c r="G826" t="s">
        <v>9928</v>
      </c>
      <c r="H826" t="s">
        <v>10756</v>
      </c>
      <c r="I826" t="s">
        <v>10757</v>
      </c>
      <c r="J826" t="s">
        <v>10758</v>
      </c>
      <c r="K826">
        <v>3</v>
      </c>
      <c r="L826" t="s">
        <v>10745</v>
      </c>
      <c r="M826" s="42">
        <v>0.000968</v>
      </c>
      <c r="N826" s="42">
        <v>1</v>
      </c>
      <c r="O826">
        <v>0.0968</v>
      </c>
      <c r="P826" s="42">
        <v>0.000968</v>
      </c>
      <c r="Q826">
        <v>0.1</v>
      </c>
      <c r="R826">
        <v>483.87</v>
      </c>
      <c r="S826">
        <v>483.87</v>
      </c>
      <c r="T826">
        <v>5000</v>
      </c>
      <c r="U826" t="s">
        <v>10373</v>
      </c>
      <c r="X826">
        <v>1</v>
      </c>
      <c r="Z826" s="42">
        <v>1</v>
      </c>
      <c r="AA826" s="42">
        <v>1</v>
      </c>
      <c r="AB826">
        <v>0</v>
      </c>
    </row>
    <row r="827">
      <c r="A827" t="s">
        <v>10759</v>
      </c>
      <c r="B827" t="s">
        <v>7565</v>
      </c>
      <c r="C827" t="s">
        <v>7565</v>
      </c>
      <c r="D827" t="s">
        <v>7127</v>
      </c>
      <c r="E827" t="s">
        <v>10760</v>
      </c>
      <c r="F827" t="s">
        <v>6966</v>
      </c>
      <c r="G827" t="s">
        <v>10761</v>
      </c>
      <c r="H827" t="s">
        <v>10762</v>
      </c>
      <c r="I827" t="s">
        <v>10757</v>
      </c>
      <c r="J827">
        <v>0.76</v>
      </c>
      <c r="K827">
        <v>0.47</v>
      </c>
      <c r="L827" t="s">
        <v>10745</v>
      </c>
      <c r="M827" s="42">
        <v>0.62</v>
      </c>
      <c r="N827" s="42">
        <v>1</v>
      </c>
      <c r="O827">
        <v>0.62</v>
      </c>
      <c r="P827" s="42">
        <v>0.62</v>
      </c>
      <c r="Q827">
        <v>0.62</v>
      </c>
      <c r="R827">
        <v>1113.16</v>
      </c>
      <c r="S827">
        <v>1113.16</v>
      </c>
      <c r="T827">
        <v>3000</v>
      </c>
      <c r="U827" t="s">
        <v>10373</v>
      </c>
      <c r="X827">
        <v>1</v>
      </c>
      <c r="Z827" s="42">
        <v>1</v>
      </c>
      <c r="AA827" s="42">
        <v>1</v>
      </c>
      <c r="AB827">
        <v>0</v>
      </c>
    </row>
    <row r="828">
      <c r="A828" t="s">
        <v>10763</v>
      </c>
      <c r="B828" t="s">
        <v>7565</v>
      </c>
      <c r="C828" t="s">
        <v>7565</v>
      </c>
      <c r="D828" t="s">
        <v>7127</v>
      </c>
      <c r="E828" t="s">
        <v>10764</v>
      </c>
      <c r="F828" t="s">
        <v>6966</v>
      </c>
      <c r="G828" t="s">
        <v>10761</v>
      </c>
      <c r="H828" t="s">
        <v>10762</v>
      </c>
      <c r="I828" t="s">
        <v>10757</v>
      </c>
      <c r="J828">
        <v>0.76</v>
      </c>
      <c r="K828">
        <v>0.58</v>
      </c>
      <c r="L828" t="s">
        <v>10745</v>
      </c>
      <c r="M828" s="42">
        <v>0.76</v>
      </c>
      <c r="N828" s="42">
        <v>1</v>
      </c>
      <c r="O828">
        <v>0.76</v>
      </c>
      <c r="P828" s="42">
        <v>0.76</v>
      </c>
      <c r="Q828">
        <v>0.76</v>
      </c>
      <c r="R828">
        <v>915.79</v>
      </c>
      <c r="S828">
        <v>915.79</v>
      </c>
      <c r="T828">
        <v>2000</v>
      </c>
      <c r="U828" t="s">
        <v>10373</v>
      </c>
      <c r="X828">
        <v>1</v>
      </c>
      <c r="Z828" s="42">
        <v>1</v>
      </c>
      <c r="AA828" s="42">
        <v>1</v>
      </c>
      <c r="AB828">
        <v>0</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6"/>
  </cols>
  <sheetData>
    <row r="1">
      <c r="A1" s="47" t="s">
        <v>10765</v>
      </c>
      <c r="B1" s="48" t="s">
        <v>10766</v>
      </c>
      <c r="C1" s="48" t="s">
        <v>10767</v>
      </c>
      <c r="D1" s="48" t="s">
        <v>10768</v>
      </c>
      <c r="E1" s="48" t="s">
        <v>10769</v>
      </c>
      <c r="F1" s="48" t="s">
        <v>10770</v>
      </c>
      <c r="G1" s="49" t="s">
        <v>10771</v>
      </c>
      <c r="H1" s="50" t="s">
        <v>10772</v>
      </c>
      <c r="I1" s="51" t="s">
        <v>10773</v>
      </c>
      <c r="J1" s="50" t="s">
        <v>10774</v>
      </c>
      <c r="K1" s="52" t="s">
        <v>10775</v>
      </c>
      <c r="L1" s="52" t="s">
        <v>10776</v>
      </c>
      <c r="M1" s="52" t="s">
        <v>10777</v>
      </c>
      <c r="N1" s="52" t="s">
        <v>10776</v>
      </c>
      <c r="O1" s="52" t="s">
        <v>10768</v>
      </c>
      <c r="P1" s="52" t="s">
        <v>10776</v>
      </c>
      <c r="Q1" s="52" t="s">
        <v>10769</v>
      </c>
      <c r="R1" s="52" t="s">
        <v>10776</v>
      </c>
      <c r="S1" s="52" t="s">
        <v>10765</v>
      </c>
      <c r="T1" s="52" t="s">
        <v>10776</v>
      </c>
    </row>
    <row r="2">
      <c r="A2" s="53"/>
      <c r="B2" s="53" t="s">
        <v>10778</v>
      </c>
      <c r="C2" s="53" t="s">
        <v>10779</v>
      </c>
      <c r="D2" s="53" t="s">
        <v>10779</v>
      </c>
      <c r="E2" s="53" t="s">
        <v>10780</v>
      </c>
      <c r="F2" s="53" t="s">
        <v>10781</v>
      </c>
      <c r="G2" s="54">
        <v>1</v>
      </c>
      <c r="H2" s="53">
        <v>373</v>
      </c>
      <c r="I2" s="53">
        <v>13000</v>
      </c>
      <c r="J2" s="53">
        <v>10000</v>
      </c>
      <c r="K2" s="53"/>
      <c r="L2" s="53"/>
      <c r="M2" s="53"/>
      <c r="N2" s="53"/>
      <c r="O2" s="53"/>
      <c r="P2" s="53"/>
      <c r="Q2" s="53"/>
      <c r="R2" s="53"/>
      <c r="S2" s="53"/>
      <c r="T2" s="53"/>
    </row>
    <row r="3">
      <c r="A3" s="53"/>
      <c r="B3" s="53" t="s">
        <v>10782</v>
      </c>
      <c r="C3" s="53" t="s">
        <v>10779</v>
      </c>
      <c r="D3" s="53" t="s">
        <v>10779</v>
      </c>
      <c r="E3" s="53" t="s">
        <v>10783</v>
      </c>
      <c r="F3" s="53" t="s">
        <v>10784</v>
      </c>
      <c r="G3" s="54">
        <v>1</v>
      </c>
      <c r="H3" s="53">
        <v>343</v>
      </c>
      <c r="I3" s="53">
        <v>60000</v>
      </c>
      <c r="J3" s="53">
        <v>55000</v>
      </c>
      <c r="K3" s="53"/>
      <c r="L3" s="53"/>
      <c r="M3" s="53"/>
      <c r="N3" s="53"/>
      <c r="O3" s="53"/>
      <c r="P3" s="53"/>
      <c r="Q3" s="53"/>
      <c r="R3" s="53"/>
      <c r="S3" s="53"/>
      <c r="T3" s="53"/>
    </row>
    <row r="4">
      <c r="A4" s="53"/>
      <c r="B4" s="53" t="s">
        <v>10785</v>
      </c>
      <c r="C4" s="53" t="s">
        <v>10779</v>
      </c>
      <c r="D4" s="53" t="s">
        <v>10779</v>
      </c>
      <c r="E4" s="53" t="s">
        <v>10780</v>
      </c>
      <c r="F4" s="53" t="s">
        <v>10786</v>
      </c>
      <c r="G4" s="54">
        <v>1</v>
      </c>
      <c r="H4" s="53">
        <v>321.5</v>
      </c>
      <c r="I4" s="53">
        <v>40500</v>
      </c>
      <c r="J4" s="53">
        <v>10000</v>
      </c>
      <c r="K4" s="53"/>
      <c r="L4" s="53"/>
      <c r="M4" s="53"/>
      <c r="N4" s="53"/>
      <c r="O4" s="53"/>
      <c r="P4" s="53"/>
      <c r="Q4" s="53"/>
      <c r="R4" s="53"/>
      <c r="S4" s="53"/>
      <c r="T4" s="53"/>
    </row>
    <row r="5">
      <c r="A5" s="53"/>
      <c r="B5" s="53" t="s">
        <v>10787</v>
      </c>
      <c r="C5" s="53" t="s">
        <v>10779</v>
      </c>
      <c r="D5" s="53" t="s">
        <v>10779</v>
      </c>
      <c r="E5" s="53" t="s">
        <v>10783</v>
      </c>
      <c r="F5" s="53" t="s">
        <v>10788</v>
      </c>
      <c r="G5" s="54">
        <v>1</v>
      </c>
      <c r="H5" s="53">
        <v>319</v>
      </c>
      <c r="I5" s="53">
        <v>30000</v>
      </c>
      <c r="J5" s="53">
        <v>100000</v>
      </c>
      <c r="K5" s="53"/>
      <c r="L5" s="53"/>
      <c r="M5" s="53"/>
      <c r="N5" s="53"/>
      <c r="O5" s="53"/>
      <c r="P5" s="53"/>
      <c r="Q5" s="53"/>
      <c r="R5" s="53"/>
      <c r="S5" s="53"/>
      <c r="T5" s="53"/>
    </row>
    <row r="6">
      <c r="A6" s="53"/>
      <c r="B6" s="53" t="s">
        <v>10789</v>
      </c>
      <c r="C6" s="53" t="s">
        <v>10779</v>
      </c>
      <c r="D6" s="53" t="s">
        <v>10779</v>
      </c>
      <c r="E6" s="53" t="s">
        <v>10783</v>
      </c>
      <c r="F6" s="53" t="s">
        <v>10790</v>
      </c>
      <c r="G6" s="54">
        <v>1</v>
      </c>
      <c r="H6" s="53">
        <v>313.5</v>
      </c>
      <c r="I6" s="53">
        <v>20500</v>
      </c>
      <c r="J6" s="53">
        <v>55000</v>
      </c>
      <c r="K6" s="53"/>
      <c r="L6" s="53"/>
      <c r="M6" s="53"/>
      <c r="N6" s="53"/>
      <c r="O6" s="53"/>
      <c r="P6" s="53"/>
      <c r="Q6" s="53"/>
      <c r="R6" s="53"/>
      <c r="S6" s="53"/>
      <c r="T6" s="53"/>
    </row>
    <row r="7">
      <c r="A7" s="53"/>
      <c r="B7" s="53" t="s">
        <v>10791</v>
      </c>
      <c r="C7" s="53" t="s">
        <v>10779</v>
      </c>
      <c r="D7" s="53" t="s">
        <v>10779</v>
      </c>
      <c r="E7" s="53" t="s">
        <v>10780</v>
      </c>
      <c r="F7" s="53" t="s">
        <v>10792</v>
      </c>
      <c r="G7" s="54">
        <v>1</v>
      </c>
      <c r="H7" s="53">
        <v>310</v>
      </c>
      <c r="I7" s="53">
        <v>10000</v>
      </c>
      <c r="J7" s="53">
        <v>10000</v>
      </c>
      <c r="K7" s="53"/>
      <c r="L7" s="53"/>
      <c r="M7" s="53"/>
      <c r="N7" s="53"/>
      <c r="O7" s="53"/>
      <c r="P7" s="53"/>
      <c r="Q7" s="53"/>
      <c r="R7" s="53"/>
      <c r="S7" s="53"/>
      <c r="T7" s="53"/>
    </row>
    <row r="8">
      <c r="A8" s="53"/>
      <c r="B8" s="53" t="s">
        <v>10793</v>
      </c>
      <c r="C8" s="53" t="s">
        <v>10779</v>
      </c>
      <c r="D8" s="53" t="s">
        <v>10779</v>
      </c>
      <c r="E8" s="53" t="s">
        <v>10780</v>
      </c>
      <c r="F8" s="53" t="s">
        <v>10794</v>
      </c>
      <c r="G8" s="54">
        <v>1</v>
      </c>
      <c r="H8" s="53">
        <v>293</v>
      </c>
      <c r="I8" s="53">
        <v>8200</v>
      </c>
      <c r="J8" s="53">
        <v>10000</v>
      </c>
      <c r="K8" s="53"/>
      <c r="L8" s="53"/>
      <c r="M8" s="53"/>
      <c r="N8" s="53"/>
      <c r="O8" s="53"/>
      <c r="P8" s="53"/>
      <c r="Q8" s="53"/>
      <c r="R8" s="53"/>
      <c r="S8" s="53"/>
      <c r="T8" s="53"/>
    </row>
    <row r="9">
      <c r="A9" s="53"/>
      <c r="B9" s="53" t="s">
        <v>10795</v>
      </c>
      <c r="C9" s="53" t="s">
        <v>10779</v>
      </c>
      <c r="D9" s="53" t="s">
        <v>10779</v>
      </c>
      <c r="E9" s="53" t="s">
        <v>10780</v>
      </c>
      <c r="F9" s="53" t="s">
        <v>10796</v>
      </c>
      <c r="G9" s="54">
        <v>1</v>
      </c>
      <c r="H9" s="53">
        <v>288</v>
      </c>
      <c r="I9" s="53">
        <v>200</v>
      </c>
      <c r="J9" s="53">
        <v>10000</v>
      </c>
      <c r="K9" s="53"/>
      <c r="L9" s="53"/>
      <c r="M9" s="53"/>
      <c r="N9" s="53"/>
      <c r="O9" s="53"/>
      <c r="P9" s="53"/>
      <c r="Q9" s="53"/>
      <c r="R9" s="53"/>
      <c r="S9" s="53"/>
      <c r="T9" s="53"/>
    </row>
    <row r="10">
      <c r="A10" s="53"/>
      <c r="B10" s="53" t="s">
        <v>10797</v>
      </c>
      <c r="C10" s="53" t="s">
        <v>10779</v>
      </c>
      <c r="D10" s="53" t="s">
        <v>10779</v>
      </c>
      <c r="E10" s="53" t="s">
        <v>10780</v>
      </c>
      <c r="F10" s="53" t="s">
        <v>10798</v>
      </c>
      <c r="G10" s="54">
        <v>1</v>
      </c>
      <c r="H10" s="53">
        <v>280</v>
      </c>
      <c r="I10" s="53">
        <v>6000</v>
      </c>
      <c r="J10" s="53">
        <v>10000</v>
      </c>
      <c r="K10" s="53"/>
      <c r="L10" s="53"/>
      <c r="M10" s="53"/>
      <c r="N10" s="53"/>
      <c r="O10" s="53"/>
      <c r="P10" s="53"/>
      <c r="Q10" s="53"/>
      <c r="R10" s="53"/>
      <c r="S10" s="53"/>
      <c r="T10" s="53"/>
    </row>
    <row r="11">
      <c r="A11" s="53"/>
      <c r="B11" s="53" t="s">
        <v>10799</v>
      </c>
      <c r="C11" s="53" t="s">
        <v>10779</v>
      </c>
      <c r="D11" s="53" t="s">
        <v>10779</v>
      </c>
      <c r="E11" s="53" t="s">
        <v>10780</v>
      </c>
      <c r="F11" s="53" t="s">
        <v>10800</v>
      </c>
      <c r="G11" s="54">
        <v>1</v>
      </c>
      <c r="H11" s="53">
        <v>265.5</v>
      </c>
      <c r="I11" s="53">
        <v>2500</v>
      </c>
      <c r="J11" s="53">
        <v>10000</v>
      </c>
      <c r="K11" s="53"/>
      <c r="L11" s="53"/>
      <c r="M11" s="53"/>
      <c r="N11" s="53"/>
      <c r="O11" s="53"/>
      <c r="P11" s="53"/>
      <c r="Q11" s="53"/>
      <c r="R11" s="53"/>
      <c r="S11" s="53"/>
      <c r="T11" s="53"/>
    </row>
    <row r="12">
      <c r="A12" s="53"/>
      <c r="B12" s="53" t="s">
        <v>10801</v>
      </c>
      <c r="C12" s="53" t="s">
        <v>10779</v>
      </c>
      <c r="D12" s="53" t="s">
        <v>10779</v>
      </c>
      <c r="E12" s="53" t="s">
        <v>10783</v>
      </c>
      <c r="F12" s="53" t="s">
        <v>10802</v>
      </c>
      <c r="G12" s="54">
        <v>1</v>
      </c>
      <c r="H12" s="53">
        <v>254</v>
      </c>
      <c r="I12" s="53">
        <v>14000</v>
      </c>
      <c r="J12" s="53">
        <v>55000</v>
      </c>
      <c r="K12" s="53"/>
      <c r="L12" s="53"/>
      <c r="M12" s="53"/>
      <c r="N12" s="53"/>
      <c r="O12" s="53"/>
      <c r="P12" s="53"/>
      <c r="Q12" s="53"/>
      <c r="R12" s="53"/>
      <c r="S12" s="53"/>
      <c r="T12" s="53"/>
    </row>
    <row r="13">
      <c r="A13" s="53"/>
      <c r="B13" s="53" t="s">
        <v>10803</v>
      </c>
      <c r="C13" s="53" t="s">
        <v>10779</v>
      </c>
      <c r="D13" s="53" t="s">
        <v>10779</v>
      </c>
      <c r="E13" s="53" t="s">
        <v>10780</v>
      </c>
      <c r="F13" s="53" t="s">
        <v>10804</v>
      </c>
      <c r="G13" s="54">
        <v>1</v>
      </c>
      <c r="H13" s="53">
        <v>254</v>
      </c>
      <c r="I13" s="53">
        <v>0</v>
      </c>
      <c r="J13" s="53">
        <v>10000</v>
      </c>
      <c r="K13" s="53"/>
      <c r="L13" s="53"/>
      <c r="M13" s="53"/>
      <c r="N13" s="53"/>
      <c r="O13" s="53"/>
      <c r="P13" s="53"/>
      <c r="Q13" s="53"/>
      <c r="R13" s="53"/>
      <c r="S13" s="53"/>
      <c r="T13" s="53"/>
    </row>
    <row r="14">
      <c r="A14" s="53"/>
      <c r="B14" s="53" t="s">
        <v>10805</v>
      </c>
      <c r="C14" s="53" t="s">
        <v>10779</v>
      </c>
      <c r="D14" s="53" t="s">
        <v>10779</v>
      </c>
      <c r="E14" s="53" t="s">
        <v>10780</v>
      </c>
      <c r="F14" s="53" t="s">
        <v>10806</v>
      </c>
      <c r="G14" s="54">
        <v>1</v>
      </c>
      <c r="H14" s="53">
        <v>249</v>
      </c>
      <c r="I14" s="53">
        <v>16000</v>
      </c>
      <c r="J14" s="53">
        <v>10000</v>
      </c>
      <c r="K14" s="53"/>
      <c r="L14" s="53"/>
      <c r="M14" s="53"/>
      <c r="N14" s="53"/>
      <c r="O14" s="53"/>
      <c r="P14" s="53"/>
      <c r="Q14" s="53"/>
      <c r="R14" s="53"/>
      <c r="S14" s="53"/>
      <c r="T14" s="53"/>
    </row>
    <row r="15">
      <c r="A15" s="53"/>
      <c r="B15" s="53" t="s">
        <v>10807</v>
      </c>
      <c r="C15" s="53" t="s">
        <v>10779</v>
      </c>
      <c r="D15" s="53" t="s">
        <v>10779</v>
      </c>
      <c r="E15" s="53" t="s">
        <v>10780</v>
      </c>
      <c r="F15" s="53" t="s">
        <v>10808</v>
      </c>
      <c r="G15" s="54">
        <v>1</v>
      </c>
      <c r="H15" s="53">
        <v>238</v>
      </c>
      <c r="I15" s="53">
        <v>0</v>
      </c>
      <c r="J15" s="53">
        <v>10000</v>
      </c>
      <c r="K15" s="53"/>
      <c r="L15" s="53"/>
      <c r="M15" s="53"/>
      <c r="N15" s="53"/>
      <c r="O15" s="53"/>
      <c r="P15" s="53"/>
      <c r="Q15" s="53"/>
      <c r="R15" s="53"/>
      <c r="S15" s="53"/>
      <c r="T15" s="53"/>
    </row>
    <row r="16">
      <c r="A16" s="53"/>
      <c r="B16" s="53" t="s">
        <v>10809</v>
      </c>
      <c r="C16" s="53" t="s">
        <v>10779</v>
      </c>
      <c r="D16" s="53" t="s">
        <v>10779</v>
      </c>
      <c r="E16" s="53" t="s">
        <v>10780</v>
      </c>
      <c r="F16" s="53" t="s">
        <v>10810</v>
      </c>
      <c r="G16" s="54">
        <v>1</v>
      </c>
      <c r="H16" s="53">
        <v>190</v>
      </c>
      <c r="I16" s="53">
        <v>0</v>
      </c>
      <c r="J16" s="53">
        <v>10000</v>
      </c>
      <c r="K16" s="53"/>
      <c r="L16" s="53"/>
      <c r="M16" s="53"/>
      <c r="N16" s="53"/>
      <c r="O16" s="53"/>
      <c r="P16" s="53"/>
      <c r="Q16" s="53"/>
      <c r="R16" s="53"/>
      <c r="S16" s="53"/>
      <c r="T16" s="53"/>
    </row>
    <row r="17">
      <c r="A17" s="53"/>
      <c r="B17" s="53" t="s">
        <v>10811</v>
      </c>
      <c r="C17" s="53" t="s">
        <v>10812</v>
      </c>
      <c r="D17" s="53" t="s">
        <v>10812</v>
      </c>
      <c r="E17" s="53" t="s">
        <v>10813</v>
      </c>
      <c r="F17" s="53" t="s">
        <v>10814</v>
      </c>
      <c r="G17" s="54">
        <v>1.06</v>
      </c>
      <c r="H17" s="53">
        <v>106</v>
      </c>
      <c r="I17" s="53">
        <v>5463</v>
      </c>
      <c r="J17" s="53">
        <v>5000</v>
      </c>
      <c r="K17" s="53"/>
      <c r="L17" s="53"/>
      <c r="M17" s="53"/>
      <c r="N17" s="53"/>
      <c r="O17" s="53"/>
      <c r="P17" s="53"/>
      <c r="Q17" s="53"/>
      <c r="R17" s="53"/>
      <c r="S17" s="53"/>
      <c r="T17" s="53"/>
    </row>
    <row r="18">
      <c r="A18" s="53"/>
      <c r="B18" s="53" t="s">
        <v>10815</v>
      </c>
      <c r="C18" s="53" t="s">
        <v>10812</v>
      </c>
      <c r="D18" s="53" t="s">
        <v>10812</v>
      </c>
      <c r="E18" s="53" t="s">
        <v>10816</v>
      </c>
      <c r="F18" s="53" t="s">
        <v>10817</v>
      </c>
      <c r="G18" s="54">
        <v>1.05</v>
      </c>
      <c r="H18" s="53">
        <v>105</v>
      </c>
      <c r="I18" s="53">
        <v>3135</v>
      </c>
      <c r="J18" s="53">
        <v>3000</v>
      </c>
      <c r="K18" s="53"/>
      <c r="L18" s="53"/>
      <c r="M18" s="53"/>
      <c r="N18" s="53"/>
      <c r="O18" s="53"/>
      <c r="P18" s="53"/>
      <c r="Q18" s="53"/>
      <c r="R18" s="53"/>
      <c r="S18" s="53"/>
      <c r="T18" s="53"/>
    </row>
    <row r="19">
      <c r="A19" s="53"/>
      <c r="B19" s="53" t="s">
        <v>10818</v>
      </c>
      <c r="C19" s="53" t="s">
        <v>10812</v>
      </c>
      <c r="D19" s="53" t="s">
        <v>10812</v>
      </c>
      <c r="E19" s="53" t="s">
        <v>10813</v>
      </c>
      <c r="F19" s="53" t="s">
        <v>10819</v>
      </c>
      <c r="G19" s="54">
        <v>1.044</v>
      </c>
      <c r="H19" s="53">
        <v>104.4</v>
      </c>
      <c r="I19" s="53">
        <v>4988</v>
      </c>
      <c r="J19" s="53">
        <v>5000</v>
      </c>
      <c r="K19" s="53"/>
      <c r="L19" s="53"/>
      <c r="M19" s="53"/>
      <c r="N19" s="53"/>
      <c r="O19" s="53"/>
      <c r="P19" s="53"/>
      <c r="Q19" s="53"/>
      <c r="R19" s="53"/>
      <c r="S19" s="53"/>
      <c r="T19" s="53"/>
    </row>
    <row r="20">
      <c r="A20" s="53"/>
      <c r="B20" s="53" t="s">
        <v>10820</v>
      </c>
      <c r="C20" s="53" t="s">
        <v>10812</v>
      </c>
      <c r="D20" s="53" t="s">
        <v>10812</v>
      </c>
      <c r="E20" s="53" t="s">
        <v>10816</v>
      </c>
      <c r="F20" s="53" t="s">
        <v>10821</v>
      </c>
      <c r="G20" s="54">
        <v>1.04</v>
      </c>
      <c r="H20" s="53">
        <v>104</v>
      </c>
      <c r="I20" s="53">
        <v>2708</v>
      </c>
      <c r="J20" s="53">
        <v>3000</v>
      </c>
      <c r="K20" s="53"/>
      <c r="L20" s="53"/>
      <c r="M20" s="53"/>
      <c r="N20" s="53"/>
      <c r="O20" s="53"/>
      <c r="P20" s="53"/>
      <c r="Q20" s="53"/>
      <c r="R20" s="53"/>
      <c r="S20" s="53"/>
      <c r="T20" s="53"/>
    </row>
    <row r="21">
      <c r="A21" s="53"/>
      <c r="B21" s="53" t="s">
        <v>10822</v>
      </c>
      <c r="C21" s="53" t="s">
        <v>10812</v>
      </c>
      <c r="D21" s="53" t="s">
        <v>10812</v>
      </c>
      <c r="E21" s="53" t="s">
        <v>10816</v>
      </c>
      <c r="F21" s="53" t="s">
        <v>10823</v>
      </c>
      <c r="G21" s="54">
        <v>1.04</v>
      </c>
      <c r="H21" s="53">
        <v>104</v>
      </c>
      <c r="I21" s="53">
        <v>2708</v>
      </c>
      <c r="J21" s="53">
        <v>3000</v>
      </c>
      <c r="K21" s="53"/>
      <c r="L21" s="53"/>
      <c r="M21" s="53"/>
      <c r="N21" s="53"/>
      <c r="O21" s="53"/>
      <c r="P21" s="53"/>
      <c r="Q21" s="53"/>
      <c r="R21" s="53"/>
      <c r="S21" s="53"/>
      <c r="T21" s="53"/>
    </row>
    <row r="22">
      <c r="A22" s="53"/>
      <c r="B22" s="53" t="s">
        <v>10824</v>
      </c>
      <c r="C22" s="53" t="s">
        <v>10825</v>
      </c>
      <c r="D22" s="53" t="s">
        <v>10825</v>
      </c>
      <c r="E22" s="53" t="s">
        <v>10826</v>
      </c>
      <c r="F22" s="53" t="s">
        <v>10827</v>
      </c>
      <c r="G22" s="54">
        <v>1</v>
      </c>
      <c r="H22" s="53">
        <v>100</v>
      </c>
      <c r="I22" s="53">
        <v>1000</v>
      </c>
      <c r="J22" s="53">
        <v>1000</v>
      </c>
      <c r="K22" s="53"/>
      <c r="L22" s="53"/>
      <c r="M22" s="53"/>
      <c r="N22" s="53"/>
      <c r="O22" s="53"/>
      <c r="P22" s="53"/>
      <c r="Q22" s="53"/>
      <c r="R22" s="53"/>
      <c r="S22" s="53"/>
      <c r="T22" s="53"/>
    </row>
    <row r="23">
      <c r="A23" s="53"/>
      <c r="B23" s="53" t="s">
        <v>10828</v>
      </c>
      <c r="C23" s="53" t="s">
        <v>10829</v>
      </c>
      <c r="D23" s="53" t="s">
        <v>10829</v>
      </c>
      <c r="E23" s="53" t="s">
        <v>10830</v>
      </c>
      <c r="F23" s="53" t="s">
        <v>10831</v>
      </c>
      <c r="G23" s="54">
        <v>1</v>
      </c>
      <c r="H23" s="53">
        <v>100</v>
      </c>
      <c r="I23" s="53">
        <v>1500</v>
      </c>
      <c r="J23" s="53">
        <v>1200</v>
      </c>
      <c r="K23" s="53"/>
      <c r="L23" s="53"/>
      <c r="M23" s="53"/>
      <c r="N23" s="53"/>
      <c r="O23" s="53"/>
      <c r="P23" s="53"/>
      <c r="Q23" s="53"/>
      <c r="R23" s="53"/>
      <c r="S23" s="53"/>
      <c r="T23" s="53"/>
    </row>
    <row r="24">
      <c r="A24" s="53"/>
      <c r="B24" s="53" t="s">
        <v>10832</v>
      </c>
      <c r="C24" s="53" t="s">
        <v>10829</v>
      </c>
      <c r="D24" s="53" t="s">
        <v>10829</v>
      </c>
      <c r="E24" s="53" t="s">
        <v>10830</v>
      </c>
      <c r="F24" s="53" t="s">
        <v>10833</v>
      </c>
      <c r="G24" s="54">
        <v>0.365</v>
      </c>
      <c r="H24" s="53">
        <v>100</v>
      </c>
      <c r="I24" s="53">
        <v>1380</v>
      </c>
      <c r="J24" s="53">
        <v>1200</v>
      </c>
      <c r="K24" s="53"/>
      <c r="L24" s="53"/>
      <c r="M24" s="53"/>
      <c r="N24" s="53"/>
      <c r="O24" s="53"/>
      <c r="P24" s="53"/>
      <c r="Q24" s="53"/>
      <c r="R24" s="53"/>
      <c r="S24" s="53"/>
      <c r="T24" s="53"/>
    </row>
    <row r="25">
      <c r="A25" s="53"/>
      <c r="B25" s="53" t="s">
        <v>10834</v>
      </c>
      <c r="C25" s="53" t="s">
        <v>10829</v>
      </c>
      <c r="D25" s="53" t="s">
        <v>10829</v>
      </c>
      <c r="E25" s="53" t="s">
        <v>10830</v>
      </c>
      <c r="F25" s="53" t="s">
        <v>10835</v>
      </c>
      <c r="G25" s="54">
        <v>1</v>
      </c>
      <c r="H25" s="53">
        <v>100</v>
      </c>
      <c r="I25" s="53">
        <v>1304</v>
      </c>
      <c r="J25" s="53">
        <v>1200</v>
      </c>
      <c r="K25" s="53"/>
      <c r="L25" s="53"/>
      <c r="M25" s="53"/>
      <c r="N25" s="53"/>
      <c r="O25" s="53"/>
      <c r="P25" s="53"/>
      <c r="Q25" s="53"/>
      <c r="R25" s="53"/>
      <c r="S25" s="53"/>
      <c r="T25" s="53"/>
    </row>
    <row r="26">
      <c r="A26" s="53"/>
      <c r="B26" s="53" t="s">
        <v>10836</v>
      </c>
      <c r="C26" s="53" t="s">
        <v>10837</v>
      </c>
      <c r="D26" s="53" t="s">
        <v>10837</v>
      </c>
      <c r="E26" s="53" t="s">
        <v>10838</v>
      </c>
      <c r="F26" s="53" t="s">
        <v>10839</v>
      </c>
      <c r="G26" s="54">
        <v>1</v>
      </c>
      <c r="H26" s="53">
        <v>100</v>
      </c>
      <c r="I26" s="53">
        <v>2000</v>
      </c>
      <c r="J26" s="53">
        <v>2000</v>
      </c>
      <c r="K26" s="53"/>
      <c r="L26" s="53"/>
      <c r="M26" s="53"/>
      <c r="N26" s="53"/>
      <c r="O26" s="53"/>
      <c r="P26" s="53"/>
      <c r="Q26" s="53"/>
      <c r="R26" s="53"/>
      <c r="S26" s="53"/>
      <c r="T26" s="53"/>
    </row>
    <row r="27">
      <c r="A27" s="53"/>
      <c r="B27" s="53" t="s">
        <v>10840</v>
      </c>
      <c r="C27" s="53" t="s">
        <v>10812</v>
      </c>
      <c r="D27" s="53" t="s">
        <v>10812</v>
      </c>
      <c r="E27" s="53" t="s">
        <v>10813</v>
      </c>
      <c r="F27" s="53" t="s">
        <v>10841</v>
      </c>
      <c r="G27" s="54">
        <v>1</v>
      </c>
      <c r="H27" s="53">
        <v>100</v>
      </c>
      <c r="I27" s="53">
        <v>0</v>
      </c>
      <c r="J27" s="53">
        <v>5000</v>
      </c>
      <c r="K27" s="53"/>
      <c r="L27" s="53"/>
      <c r="M27" s="53"/>
      <c r="N27" s="53"/>
      <c r="O27" s="53"/>
      <c r="P27" s="53"/>
      <c r="Q27" s="53"/>
      <c r="R27" s="53"/>
      <c r="S27" s="53"/>
      <c r="T27" s="53"/>
    </row>
    <row r="28">
      <c r="A28" s="53"/>
      <c r="B28" s="53" t="s">
        <v>10842</v>
      </c>
      <c r="C28" s="53" t="s">
        <v>10843</v>
      </c>
      <c r="D28" s="53" t="s">
        <v>10843</v>
      </c>
      <c r="E28" s="53" t="s">
        <v>10844</v>
      </c>
      <c r="F28" s="53" t="s">
        <v>10845</v>
      </c>
      <c r="G28" s="54">
        <v>1</v>
      </c>
      <c r="H28" s="53">
        <v>100</v>
      </c>
      <c r="I28" s="53">
        <v>6800</v>
      </c>
      <c r="J28" s="53">
        <v>10000</v>
      </c>
      <c r="K28" s="53"/>
      <c r="L28" s="53"/>
      <c r="M28" s="53"/>
      <c r="N28" s="53"/>
      <c r="O28" s="53"/>
      <c r="P28" s="53"/>
      <c r="Q28" s="53"/>
      <c r="R28" s="53"/>
      <c r="S28" s="53"/>
      <c r="T28" s="53"/>
    </row>
    <row r="29">
      <c r="A29" s="53"/>
      <c r="B29" s="53" t="s">
        <v>10846</v>
      </c>
      <c r="C29" s="53" t="s">
        <v>10843</v>
      </c>
      <c r="D29" s="53" t="s">
        <v>10843</v>
      </c>
      <c r="E29" s="53" t="s">
        <v>10780</v>
      </c>
      <c r="F29" s="53" t="s">
        <v>10847</v>
      </c>
      <c r="G29" s="54">
        <v>1</v>
      </c>
      <c r="H29" s="53">
        <v>100</v>
      </c>
      <c r="I29" s="53">
        <v>21250</v>
      </c>
      <c r="J29" s="53">
        <v>10000</v>
      </c>
      <c r="K29" s="53"/>
      <c r="L29" s="53"/>
      <c r="M29" s="53"/>
      <c r="N29" s="53"/>
      <c r="O29" s="53"/>
      <c r="P29" s="53"/>
      <c r="Q29" s="53"/>
      <c r="R29" s="53"/>
      <c r="S29" s="53"/>
      <c r="T29" s="53"/>
    </row>
    <row r="30">
      <c r="A30" s="53"/>
      <c r="B30" s="53" t="s">
        <v>10848</v>
      </c>
      <c r="C30" s="53" t="s">
        <v>10843</v>
      </c>
      <c r="D30" s="53" t="s">
        <v>10843</v>
      </c>
      <c r="E30" s="53" t="s">
        <v>10780</v>
      </c>
      <c r="F30" s="53" t="s">
        <v>10849</v>
      </c>
      <c r="G30" s="54">
        <v>1</v>
      </c>
      <c r="H30" s="53">
        <v>100</v>
      </c>
      <c r="I30" s="53">
        <v>2550</v>
      </c>
      <c r="J30" s="53">
        <v>10000</v>
      </c>
      <c r="K30" s="53"/>
      <c r="L30" s="53"/>
      <c r="M30" s="53"/>
      <c r="N30" s="53"/>
      <c r="O30" s="53"/>
      <c r="P30" s="53"/>
      <c r="Q30" s="53"/>
      <c r="R30" s="53"/>
      <c r="S30" s="53"/>
      <c r="T30" s="53"/>
    </row>
    <row r="31">
      <c r="A31" s="53"/>
      <c r="B31" s="53" t="s">
        <v>10850</v>
      </c>
      <c r="C31" s="53" t="s">
        <v>10843</v>
      </c>
      <c r="D31" s="53" t="s">
        <v>10843</v>
      </c>
      <c r="E31" s="53" t="s">
        <v>10780</v>
      </c>
      <c r="F31" s="53" t="s">
        <v>10851</v>
      </c>
      <c r="G31" s="54">
        <v>1</v>
      </c>
      <c r="H31" s="53">
        <v>100</v>
      </c>
      <c r="I31" s="53">
        <v>3400</v>
      </c>
      <c r="J31" s="53">
        <v>10000</v>
      </c>
      <c r="K31" s="53"/>
      <c r="L31" s="53"/>
      <c r="M31" s="53"/>
      <c r="N31" s="53"/>
      <c r="O31" s="53"/>
      <c r="P31" s="53"/>
      <c r="Q31" s="53"/>
      <c r="R31" s="53"/>
      <c r="S31" s="53"/>
      <c r="T31" s="53"/>
    </row>
    <row r="32">
      <c r="A32" s="53"/>
      <c r="B32" s="53" t="s">
        <v>10852</v>
      </c>
      <c r="C32" s="53" t="s">
        <v>10843</v>
      </c>
      <c r="D32" s="53" t="s">
        <v>10843</v>
      </c>
      <c r="E32" s="53" t="s">
        <v>10780</v>
      </c>
      <c r="F32" s="53" t="s">
        <v>10853</v>
      </c>
      <c r="G32" s="54">
        <v>1</v>
      </c>
      <c r="H32" s="53">
        <v>100</v>
      </c>
      <c r="I32" s="53">
        <v>2125</v>
      </c>
      <c r="J32" s="53">
        <v>10000</v>
      </c>
      <c r="K32" s="53"/>
      <c r="L32" s="53"/>
      <c r="M32" s="53"/>
      <c r="N32" s="53"/>
      <c r="O32" s="53"/>
      <c r="P32" s="53"/>
      <c r="Q32" s="53"/>
      <c r="R32" s="53"/>
      <c r="S32" s="53"/>
      <c r="T32" s="53"/>
    </row>
    <row r="33">
      <c r="A33" s="53"/>
      <c r="B33" s="53" t="s">
        <v>10854</v>
      </c>
      <c r="C33" s="53" t="s">
        <v>10843</v>
      </c>
      <c r="D33" s="53" t="s">
        <v>10843</v>
      </c>
      <c r="E33" s="53" t="s">
        <v>10780</v>
      </c>
      <c r="F33" s="53" t="s">
        <v>10855</v>
      </c>
      <c r="G33" s="54">
        <v>1</v>
      </c>
      <c r="H33" s="53">
        <v>100</v>
      </c>
      <c r="I33" s="53">
        <v>4250</v>
      </c>
      <c r="J33" s="53">
        <v>10000</v>
      </c>
      <c r="K33" s="53"/>
      <c r="L33" s="53"/>
      <c r="M33" s="53"/>
      <c r="N33" s="53"/>
      <c r="O33" s="53"/>
      <c r="P33" s="53"/>
      <c r="Q33" s="53"/>
      <c r="R33" s="53"/>
      <c r="S33" s="53"/>
      <c r="T33" s="53"/>
    </row>
    <row r="34">
      <c r="A34" s="53"/>
      <c r="B34" s="53" t="s">
        <v>10856</v>
      </c>
      <c r="C34" s="53" t="s">
        <v>10843</v>
      </c>
      <c r="D34" s="53" t="s">
        <v>10843</v>
      </c>
      <c r="E34" s="53" t="s">
        <v>10780</v>
      </c>
      <c r="F34" s="53" t="s">
        <v>10857</v>
      </c>
      <c r="G34" s="54">
        <v>1</v>
      </c>
      <c r="H34" s="53">
        <v>100</v>
      </c>
      <c r="I34" s="53">
        <v>1700</v>
      </c>
      <c r="J34" s="53">
        <v>10000</v>
      </c>
      <c r="K34" s="53"/>
      <c r="L34" s="53"/>
      <c r="M34" s="53"/>
      <c r="N34" s="53"/>
      <c r="O34" s="53"/>
      <c r="P34" s="53"/>
      <c r="Q34" s="53"/>
      <c r="R34" s="53"/>
      <c r="S34" s="53"/>
      <c r="T34" s="53"/>
    </row>
    <row r="35">
      <c r="A35" s="53"/>
      <c r="B35" s="53" t="s">
        <v>10858</v>
      </c>
      <c r="C35" s="53" t="s">
        <v>10843</v>
      </c>
      <c r="D35" s="53" t="s">
        <v>10843</v>
      </c>
      <c r="E35" s="53" t="s">
        <v>10780</v>
      </c>
      <c r="F35" s="53" t="s">
        <v>10859</v>
      </c>
      <c r="G35" s="54">
        <v>1</v>
      </c>
      <c r="H35" s="53">
        <v>100</v>
      </c>
      <c r="I35" s="53">
        <v>1275</v>
      </c>
      <c r="J35" s="53">
        <v>10000</v>
      </c>
      <c r="K35" s="53"/>
      <c r="L35" s="53"/>
      <c r="M35" s="53"/>
      <c r="N35" s="53"/>
      <c r="O35" s="53"/>
      <c r="P35" s="53"/>
      <c r="Q35" s="53"/>
      <c r="R35" s="53"/>
      <c r="S35" s="53"/>
      <c r="T35" s="53"/>
    </row>
    <row r="36">
      <c r="A36" s="53"/>
      <c r="B36" s="53" t="s">
        <v>10860</v>
      </c>
      <c r="C36" s="53" t="s">
        <v>10843</v>
      </c>
      <c r="D36" s="53" t="s">
        <v>10843</v>
      </c>
      <c r="E36" s="53" t="s">
        <v>10780</v>
      </c>
      <c r="F36" s="53" t="s">
        <v>10861</v>
      </c>
      <c r="G36" s="54">
        <v>1</v>
      </c>
      <c r="H36" s="53">
        <v>100</v>
      </c>
      <c r="I36" s="53">
        <v>15300</v>
      </c>
      <c r="J36" s="53">
        <v>10000</v>
      </c>
      <c r="K36" s="53"/>
      <c r="L36" s="53"/>
      <c r="M36" s="53"/>
      <c r="N36" s="53"/>
      <c r="O36" s="53"/>
      <c r="P36" s="53"/>
      <c r="Q36" s="53"/>
      <c r="R36" s="53"/>
      <c r="S36" s="53"/>
      <c r="T36" s="53"/>
    </row>
    <row r="37">
      <c r="A37" s="53"/>
      <c r="B37" s="53" t="s">
        <v>10862</v>
      </c>
      <c r="C37" s="53" t="s">
        <v>10843</v>
      </c>
      <c r="D37" s="53" t="s">
        <v>10843</v>
      </c>
      <c r="E37" s="53" t="s">
        <v>10780</v>
      </c>
      <c r="F37" s="53" t="s">
        <v>10863</v>
      </c>
      <c r="G37" s="54">
        <v>1</v>
      </c>
      <c r="H37" s="53">
        <v>100</v>
      </c>
      <c r="I37" s="53">
        <v>5100</v>
      </c>
      <c r="J37" s="53">
        <v>10000</v>
      </c>
      <c r="K37" s="53"/>
      <c r="L37" s="53"/>
      <c r="M37" s="53"/>
      <c r="N37" s="53"/>
      <c r="O37" s="53"/>
      <c r="P37" s="53"/>
      <c r="Q37" s="53"/>
      <c r="R37" s="53"/>
      <c r="S37" s="53"/>
      <c r="T37" s="53"/>
    </row>
    <row r="38">
      <c r="A38" s="53"/>
      <c r="B38" s="53" t="s">
        <v>10864</v>
      </c>
      <c r="C38" s="53" t="s">
        <v>10843</v>
      </c>
      <c r="D38" s="53" t="s">
        <v>10843</v>
      </c>
      <c r="E38" s="53" t="s">
        <v>10780</v>
      </c>
      <c r="F38" s="53" t="s">
        <v>10865</v>
      </c>
      <c r="G38" s="54">
        <v>1</v>
      </c>
      <c r="H38" s="53">
        <v>100</v>
      </c>
      <c r="I38" s="53">
        <v>8500</v>
      </c>
      <c r="J38" s="53">
        <v>10000</v>
      </c>
      <c r="K38" s="53"/>
      <c r="L38" s="53"/>
      <c r="M38" s="53"/>
      <c r="N38" s="53"/>
      <c r="O38" s="53"/>
      <c r="P38" s="53"/>
      <c r="Q38" s="53"/>
      <c r="R38" s="53"/>
      <c r="S38" s="53"/>
      <c r="T38" s="53"/>
    </row>
    <row r="39">
      <c r="A39" s="53"/>
      <c r="B39" s="53" t="s">
        <v>10866</v>
      </c>
      <c r="C39" s="53" t="s">
        <v>10843</v>
      </c>
      <c r="D39" s="53" t="s">
        <v>10843</v>
      </c>
      <c r="E39" s="53" t="s">
        <v>10780</v>
      </c>
      <c r="F39" s="53" t="s">
        <v>10867</v>
      </c>
      <c r="G39" s="54">
        <v>1</v>
      </c>
      <c r="H39" s="53">
        <v>100</v>
      </c>
      <c r="I39" s="53">
        <v>11050</v>
      </c>
      <c r="J39" s="53">
        <v>10000</v>
      </c>
      <c r="K39" s="53"/>
      <c r="L39" s="53"/>
      <c r="M39" s="53"/>
      <c r="N39" s="53"/>
      <c r="O39" s="53"/>
      <c r="P39" s="53"/>
      <c r="Q39" s="53"/>
      <c r="R39" s="53"/>
      <c r="S39" s="53"/>
      <c r="T39" s="53"/>
    </row>
    <row r="40">
      <c r="A40" s="53"/>
      <c r="B40" s="53" t="s">
        <v>10868</v>
      </c>
      <c r="C40" s="53" t="s">
        <v>10843</v>
      </c>
      <c r="D40" s="53" t="s">
        <v>10843</v>
      </c>
      <c r="E40" s="53" t="s">
        <v>10780</v>
      </c>
      <c r="F40" s="53" t="s">
        <v>10869</v>
      </c>
      <c r="G40" s="54">
        <v>1</v>
      </c>
      <c r="H40" s="53">
        <v>100</v>
      </c>
      <c r="I40" s="53">
        <v>340</v>
      </c>
      <c r="J40" s="53">
        <v>10000</v>
      </c>
      <c r="K40" s="53"/>
      <c r="L40" s="53"/>
      <c r="M40" s="53"/>
      <c r="N40" s="53"/>
      <c r="O40" s="53"/>
      <c r="P40" s="53"/>
      <c r="Q40" s="53"/>
      <c r="R40" s="53"/>
      <c r="S40" s="53"/>
      <c r="T40" s="53"/>
    </row>
    <row r="41">
      <c r="A41" s="53"/>
      <c r="B41" s="53" t="s">
        <v>10870</v>
      </c>
      <c r="C41" s="53" t="s">
        <v>10843</v>
      </c>
      <c r="D41" s="53" t="s">
        <v>10843</v>
      </c>
      <c r="E41" s="53" t="s">
        <v>10780</v>
      </c>
      <c r="F41" s="53" t="s">
        <v>10871</v>
      </c>
      <c r="G41" s="54">
        <v>1</v>
      </c>
      <c r="H41" s="53">
        <v>100</v>
      </c>
      <c r="I41" s="53">
        <v>850</v>
      </c>
      <c r="J41" s="53">
        <v>10000</v>
      </c>
      <c r="K41" s="53"/>
      <c r="L41" s="53"/>
      <c r="M41" s="53"/>
      <c r="N41" s="53"/>
      <c r="O41" s="53"/>
      <c r="P41" s="53"/>
      <c r="Q41" s="53"/>
      <c r="R41" s="53"/>
      <c r="S41" s="53"/>
      <c r="T41" s="53"/>
    </row>
    <row r="42">
      <c r="A42" s="53"/>
      <c r="B42" s="53" t="s">
        <v>10872</v>
      </c>
      <c r="C42" s="53" t="s">
        <v>10843</v>
      </c>
      <c r="D42" s="53" t="s">
        <v>10843</v>
      </c>
      <c r="E42" s="53" t="s">
        <v>10780</v>
      </c>
      <c r="F42" s="53" t="s">
        <v>10873</v>
      </c>
      <c r="G42" s="54">
        <v>1</v>
      </c>
      <c r="H42" s="53">
        <v>100</v>
      </c>
      <c r="I42" s="53">
        <v>0</v>
      </c>
      <c r="J42" s="53">
        <v>10000</v>
      </c>
      <c r="K42" s="53"/>
      <c r="L42" s="53"/>
      <c r="M42" s="53"/>
      <c r="N42" s="53"/>
      <c r="O42" s="53"/>
      <c r="P42" s="53"/>
      <c r="Q42" s="53"/>
      <c r="R42" s="53"/>
      <c r="S42" s="53"/>
      <c r="T42" s="53"/>
    </row>
    <row r="43">
      <c r="A43" s="53"/>
      <c r="B43" s="53" t="s">
        <v>10874</v>
      </c>
      <c r="C43" s="53" t="s">
        <v>10843</v>
      </c>
      <c r="D43" s="53" t="s">
        <v>10843</v>
      </c>
      <c r="E43" s="53" t="s">
        <v>10780</v>
      </c>
      <c r="F43" s="53" t="s">
        <v>10875</v>
      </c>
      <c r="G43" s="54">
        <v>1</v>
      </c>
      <c r="H43" s="53">
        <v>100</v>
      </c>
      <c r="I43" s="53">
        <v>0</v>
      </c>
      <c r="J43" s="53">
        <v>10000</v>
      </c>
      <c r="K43" s="53"/>
      <c r="L43" s="53"/>
      <c r="M43" s="53"/>
      <c r="N43" s="53"/>
      <c r="O43" s="53"/>
      <c r="P43" s="53"/>
      <c r="Q43" s="53"/>
      <c r="R43" s="53"/>
      <c r="S43" s="53"/>
      <c r="T43" s="53"/>
    </row>
    <row r="44">
      <c r="A44" s="53"/>
      <c r="B44" s="53" t="s">
        <v>10876</v>
      </c>
      <c r="C44" s="53" t="s">
        <v>10779</v>
      </c>
      <c r="D44" s="53" t="s">
        <v>10779</v>
      </c>
      <c r="E44" s="53" t="s">
        <v>10877</v>
      </c>
      <c r="F44" s="53" t="s">
        <v>10878</v>
      </c>
      <c r="G44" s="54">
        <v>1</v>
      </c>
      <c r="H44" s="53">
        <v>100</v>
      </c>
      <c r="I44" s="53">
        <v>1000</v>
      </c>
      <c r="J44" s="53">
        <v>1000</v>
      </c>
      <c r="K44" s="53"/>
      <c r="L44" s="53"/>
      <c r="M44" s="53"/>
      <c r="N44" s="53"/>
      <c r="O44" s="53"/>
      <c r="P44" s="53"/>
      <c r="Q44" s="53"/>
      <c r="R44" s="53"/>
      <c r="S44" s="53"/>
      <c r="T44" s="53"/>
    </row>
    <row r="45">
      <c r="A45" s="53"/>
      <c r="B45" s="53" t="s">
        <v>10879</v>
      </c>
      <c r="C45" s="53" t="s">
        <v>10779</v>
      </c>
      <c r="D45" s="53" t="s">
        <v>10779</v>
      </c>
      <c r="E45" s="53" t="s">
        <v>10877</v>
      </c>
      <c r="F45" s="53" t="s">
        <v>10880</v>
      </c>
      <c r="G45" s="54">
        <v>0.99315</v>
      </c>
      <c r="H45" s="53">
        <v>99.32</v>
      </c>
      <c r="I45" s="53">
        <v>2200</v>
      </c>
      <c r="J45" s="53">
        <v>1000</v>
      </c>
      <c r="K45" s="53"/>
      <c r="L45" s="53"/>
      <c r="M45" s="53"/>
      <c r="N45" s="53"/>
      <c r="O45" s="53"/>
      <c r="P45" s="53"/>
      <c r="Q45" s="53"/>
      <c r="R45" s="53"/>
      <c r="S45" s="53"/>
      <c r="T45" s="53"/>
    </row>
    <row r="46">
      <c r="A46" s="53"/>
      <c r="B46" s="53" t="s">
        <v>10881</v>
      </c>
      <c r="C46" s="53" t="s">
        <v>10779</v>
      </c>
      <c r="D46" s="53" t="s">
        <v>10779</v>
      </c>
      <c r="E46" s="53" t="s">
        <v>10877</v>
      </c>
      <c r="F46" s="53" t="s">
        <v>10882</v>
      </c>
      <c r="G46" s="54">
        <v>0.9929</v>
      </c>
      <c r="H46" s="53">
        <v>99.29</v>
      </c>
      <c r="I46" s="53">
        <v>1750</v>
      </c>
      <c r="J46" s="53">
        <v>1000</v>
      </c>
      <c r="K46" s="53"/>
      <c r="L46" s="53"/>
      <c r="M46" s="53"/>
      <c r="N46" s="53"/>
      <c r="O46" s="53"/>
      <c r="P46" s="53"/>
      <c r="Q46" s="53"/>
      <c r="R46" s="53"/>
      <c r="S46" s="53"/>
      <c r="T46" s="53"/>
    </row>
    <row r="47">
      <c r="A47" s="53"/>
      <c r="B47" s="53" t="s">
        <v>10883</v>
      </c>
      <c r="C47" s="53" t="s">
        <v>10843</v>
      </c>
      <c r="D47" s="53" t="s">
        <v>10843</v>
      </c>
      <c r="E47" s="53" t="s">
        <v>10877</v>
      </c>
      <c r="F47" s="53" t="s">
        <v>10884</v>
      </c>
      <c r="G47" s="54">
        <v>0.9788</v>
      </c>
      <c r="H47" s="53">
        <v>98.88</v>
      </c>
      <c r="I47" s="53">
        <v>1900</v>
      </c>
      <c r="J47" s="53">
        <v>1000</v>
      </c>
      <c r="K47" s="53"/>
      <c r="L47" s="53"/>
      <c r="M47" s="53"/>
      <c r="N47" s="53"/>
      <c r="O47" s="53"/>
      <c r="P47" s="53"/>
      <c r="Q47" s="53"/>
      <c r="R47" s="53"/>
      <c r="S47" s="53"/>
      <c r="T47" s="53"/>
    </row>
    <row r="48">
      <c r="A48" s="53"/>
      <c r="B48" s="53" t="s">
        <v>10885</v>
      </c>
      <c r="C48" s="53" t="s">
        <v>10779</v>
      </c>
      <c r="D48" s="53" t="s">
        <v>10779</v>
      </c>
      <c r="E48" s="53" t="s">
        <v>10877</v>
      </c>
      <c r="F48" s="53" t="s">
        <v>10886</v>
      </c>
      <c r="G48" s="54">
        <v>0.98615</v>
      </c>
      <c r="H48" s="53">
        <v>98.62</v>
      </c>
      <c r="I48" s="53">
        <v>1500</v>
      </c>
      <c r="J48" s="53">
        <v>1000</v>
      </c>
      <c r="K48" s="53"/>
      <c r="L48" s="53"/>
      <c r="M48" s="53"/>
      <c r="N48" s="53"/>
      <c r="O48" s="53"/>
      <c r="P48" s="53"/>
      <c r="Q48" s="53"/>
      <c r="R48" s="53"/>
      <c r="S48" s="53"/>
      <c r="T48" s="53"/>
    </row>
    <row r="49">
      <c r="A49" s="53"/>
      <c r="B49" s="53" t="s">
        <v>10887</v>
      </c>
      <c r="C49" s="53" t="s">
        <v>10779</v>
      </c>
      <c r="D49" s="53" t="s">
        <v>10779</v>
      </c>
      <c r="E49" s="53" t="s">
        <v>10877</v>
      </c>
      <c r="F49" s="53" t="s">
        <v>10888</v>
      </c>
      <c r="G49" s="54">
        <v>0.98565</v>
      </c>
      <c r="H49" s="53">
        <v>98.57</v>
      </c>
      <c r="I49" s="53">
        <v>1650</v>
      </c>
      <c r="J49" s="53">
        <v>1000</v>
      </c>
      <c r="K49" s="53"/>
      <c r="L49" s="53"/>
      <c r="M49" s="53"/>
      <c r="N49" s="53"/>
      <c r="O49" s="53"/>
      <c r="P49" s="53"/>
      <c r="Q49" s="53"/>
      <c r="R49" s="53"/>
      <c r="S49" s="53"/>
      <c r="T49" s="53"/>
    </row>
    <row r="50">
      <c r="A50" s="53"/>
      <c r="B50" s="53" t="s">
        <v>10889</v>
      </c>
      <c r="C50" s="53" t="s">
        <v>10779</v>
      </c>
      <c r="D50" s="53" t="s">
        <v>10779</v>
      </c>
      <c r="E50" s="53" t="s">
        <v>10877</v>
      </c>
      <c r="F50" s="53" t="s">
        <v>10890</v>
      </c>
      <c r="G50" s="54">
        <v>0.9853</v>
      </c>
      <c r="H50" s="53">
        <v>98.53</v>
      </c>
      <c r="I50" s="53">
        <v>1425</v>
      </c>
      <c r="J50" s="53">
        <v>1000</v>
      </c>
      <c r="K50" s="53"/>
      <c r="L50" s="53"/>
      <c r="M50" s="53"/>
      <c r="N50" s="53"/>
      <c r="O50" s="53"/>
      <c r="P50" s="53"/>
      <c r="Q50" s="53"/>
      <c r="R50" s="53"/>
      <c r="S50" s="53"/>
      <c r="T50" s="53"/>
    </row>
    <row r="51">
      <c r="A51" s="53"/>
      <c r="B51" s="53" t="s">
        <v>10891</v>
      </c>
      <c r="C51" s="53" t="s">
        <v>10843</v>
      </c>
      <c r="D51" s="53" t="s">
        <v>10843</v>
      </c>
      <c r="E51" s="53" t="s">
        <v>10877</v>
      </c>
      <c r="F51" s="53" t="s">
        <v>10892</v>
      </c>
      <c r="G51" s="54">
        <v>0.98</v>
      </c>
      <c r="H51" s="53">
        <v>98.5</v>
      </c>
      <c r="I51" s="53">
        <v>1900</v>
      </c>
      <c r="J51" s="53">
        <v>1000</v>
      </c>
      <c r="K51" s="53"/>
      <c r="L51" s="53"/>
      <c r="M51" s="53"/>
      <c r="N51" s="53"/>
      <c r="O51" s="53"/>
      <c r="P51" s="53"/>
      <c r="Q51" s="53"/>
      <c r="R51" s="53"/>
      <c r="S51" s="53"/>
      <c r="T51" s="53"/>
    </row>
    <row r="52">
      <c r="A52" s="53"/>
      <c r="B52" s="53" t="s">
        <v>10893</v>
      </c>
      <c r="C52" s="53" t="s">
        <v>10779</v>
      </c>
      <c r="D52" s="53" t="s">
        <v>10779</v>
      </c>
      <c r="E52" s="53" t="s">
        <v>10877</v>
      </c>
      <c r="F52" s="53" t="s">
        <v>10894</v>
      </c>
      <c r="G52" s="54">
        <v>0.9844</v>
      </c>
      <c r="H52" s="53">
        <v>98.44</v>
      </c>
      <c r="I52" s="53">
        <v>1225</v>
      </c>
      <c r="J52" s="53">
        <v>1000</v>
      </c>
      <c r="K52" s="53"/>
      <c r="L52" s="53"/>
      <c r="M52" s="53"/>
      <c r="N52" s="53"/>
      <c r="O52" s="53"/>
      <c r="P52" s="53"/>
      <c r="Q52" s="53"/>
      <c r="R52" s="53"/>
      <c r="S52" s="53"/>
      <c r="T52" s="53"/>
    </row>
    <row r="53">
      <c r="A53" s="53"/>
      <c r="B53" s="53" t="s">
        <v>10895</v>
      </c>
      <c r="C53" s="53" t="s">
        <v>10843</v>
      </c>
      <c r="D53" s="53" t="s">
        <v>10843</v>
      </c>
      <c r="E53" s="53" t="s">
        <v>10877</v>
      </c>
      <c r="F53" s="53" t="s">
        <v>10896</v>
      </c>
      <c r="G53" s="54">
        <v>0.9782</v>
      </c>
      <c r="H53" s="53">
        <v>98.32</v>
      </c>
      <c r="I53" s="53">
        <v>1300</v>
      </c>
      <c r="J53" s="53">
        <v>1000</v>
      </c>
      <c r="K53" s="53"/>
      <c r="L53" s="53"/>
      <c r="M53" s="53"/>
      <c r="N53" s="53"/>
      <c r="O53" s="53"/>
      <c r="P53" s="53"/>
      <c r="Q53" s="53"/>
      <c r="R53" s="53"/>
      <c r="S53" s="53"/>
      <c r="T53" s="53"/>
    </row>
    <row r="54">
      <c r="A54" s="53"/>
      <c r="B54" s="53" t="s">
        <v>10897</v>
      </c>
      <c r="C54" s="53" t="s">
        <v>10779</v>
      </c>
      <c r="D54" s="53" t="s">
        <v>10779</v>
      </c>
      <c r="E54" s="53" t="s">
        <v>10877</v>
      </c>
      <c r="F54" s="53" t="s">
        <v>10898</v>
      </c>
      <c r="G54" s="54">
        <v>0.9811</v>
      </c>
      <c r="H54" s="53">
        <v>98.11</v>
      </c>
      <c r="I54" s="53">
        <v>1100</v>
      </c>
      <c r="J54" s="53">
        <v>1000</v>
      </c>
      <c r="K54" s="53"/>
      <c r="L54" s="53"/>
      <c r="M54" s="53"/>
      <c r="N54" s="53"/>
      <c r="O54" s="53"/>
      <c r="P54" s="53"/>
      <c r="Q54" s="53"/>
      <c r="R54" s="53"/>
      <c r="S54" s="53"/>
      <c r="T54" s="53"/>
    </row>
    <row r="55">
      <c r="A55" s="53"/>
      <c r="B55" s="53" t="s">
        <v>10899</v>
      </c>
      <c r="C55" s="53" t="s">
        <v>10843</v>
      </c>
      <c r="D55" s="53" t="s">
        <v>10843</v>
      </c>
      <c r="E55" s="53" t="s">
        <v>10877</v>
      </c>
      <c r="F55" s="53" t="s">
        <v>10900</v>
      </c>
      <c r="G55" s="54">
        <v>0.9779</v>
      </c>
      <c r="H55" s="53">
        <v>98.04</v>
      </c>
      <c r="I55" s="53">
        <v>1600</v>
      </c>
      <c r="J55" s="53">
        <v>1000</v>
      </c>
      <c r="K55" s="53"/>
      <c r="L55" s="53"/>
      <c r="M55" s="53"/>
      <c r="N55" s="53"/>
      <c r="O55" s="53"/>
      <c r="P55" s="53"/>
      <c r="Q55" s="53"/>
      <c r="R55" s="53"/>
      <c r="S55" s="53"/>
      <c r="T55" s="53"/>
    </row>
    <row r="56">
      <c r="A56" s="53"/>
      <c r="B56" s="53" t="s">
        <v>10901</v>
      </c>
      <c r="C56" s="53" t="s">
        <v>10779</v>
      </c>
      <c r="D56" s="53" t="s">
        <v>10779</v>
      </c>
      <c r="E56" s="53" t="s">
        <v>10877</v>
      </c>
      <c r="F56" s="53" t="s">
        <v>10902</v>
      </c>
      <c r="G56" s="54">
        <v>0.9802</v>
      </c>
      <c r="H56" s="53">
        <v>98.02</v>
      </c>
      <c r="I56" s="53">
        <v>700</v>
      </c>
      <c r="J56" s="53">
        <v>1000</v>
      </c>
      <c r="K56" s="53"/>
      <c r="L56" s="53"/>
      <c r="M56" s="53"/>
      <c r="N56" s="53"/>
      <c r="O56" s="53"/>
      <c r="P56" s="53"/>
      <c r="Q56" s="53"/>
      <c r="R56" s="53"/>
      <c r="S56" s="53"/>
      <c r="T56" s="53"/>
    </row>
    <row r="57">
      <c r="A57" s="53"/>
      <c r="B57" s="53" t="s">
        <v>10903</v>
      </c>
      <c r="C57" s="53" t="s">
        <v>10843</v>
      </c>
      <c r="D57" s="53" t="s">
        <v>10843</v>
      </c>
      <c r="E57" s="53" t="s">
        <v>10877</v>
      </c>
      <c r="F57" s="53" t="s">
        <v>10904</v>
      </c>
      <c r="G57" s="54">
        <v>0.9788</v>
      </c>
      <c r="H57" s="53">
        <v>97.88</v>
      </c>
      <c r="I57" s="53">
        <v>1000</v>
      </c>
      <c r="J57" s="53">
        <v>1000</v>
      </c>
      <c r="K57" s="53"/>
      <c r="L57" s="53"/>
      <c r="M57" s="53"/>
      <c r="N57" s="53"/>
      <c r="O57" s="53"/>
      <c r="P57" s="53"/>
      <c r="Q57" s="53"/>
      <c r="R57" s="53"/>
      <c r="S57" s="53"/>
      <c r="T57" s="53"/>
    </row>
    <row r="58">
      <c r="A58" s="53"/>
      <c r="B58" s="53" t="s">
        <v>10905</v>
      </c>
      <c r="C58" s="53" t="s">
        <v>10843</v>
      </c>
      <c r="D58" s="53" t="s">
        <v>10843</v>
      </c>
      <c r="E58" s="53" t="s">
        <v>10877</v>
      </c>
      <c r="F58" s="53" t="s">
        <v>10906</v>
      </c>
      <c r="G58" s="54">
        <v>0.9782</v>
      </c>
      <c r="H58" s="53">
        <v>97.82</v>
      </c>
      <c r="I58" s="53">
        <v>2400</v>
      </c>
      <c r="J58" s="53">
        <v>1000</v>
      </c>
      <c r="K58" s="53"/>
      <c r="L58" s="53"/>
      <c r="M58" s="53"/>
      <c r="N58" s="53"/>
      <c r="O58" s="53"/>
      <c r="P58" s="53"/>
      <c r="Q58" s="53"/>
      <c r="R58" s="53"/>
      <c r="S58" s="53"/>
      <c r="T58" s="53"/>
    </row>
    <row r="59">
      <c r="A59" s="53"/>
      <c r="B59" s="53" t="s">
        <v>10907</v>
      </c>
      <c r="C59" s="53" t="s">
        <v>10779</v>
      </c>
      <c r="D59" s="53" t="s">
        <v>10779</v>
      </c>
      <c r="E59" s="53" t="s">
        <v>10877</v>
      </c>
      <c r="F59" s="53" t="s">
        <v>10908</v>
      </c>
      <c r="G59" s="54">
        <v>0.9778</v>
      </c>
      <c r="H59" s="53">
        <v>97.78</v>
      </c>
      <c r="I59" s="53">
        <v>700</v>
      </c>
      <c r="J59" s="53">
        <v>1000</v>
      </c>
      <c r="K59" s="53"/>
      <c r="L59" s="53"/>
      <c r="M59" s="53"/>
      <c r="N59" s="53"/>
      <c r="O59" s="53"/>
      <c r="P59" s="53"/>
      <c r="Q59" s="53"/>
      <c r="R59" s="53"/>
      <c r="S59" s="53"/>
      <c r="T59" s="53"/>
    </row>
    <row r="60">
      <c r="A60" s="53"/>
      <c r="B60" s="53" t="s">
        <v>10909</v>
      </c>
      <c r="C60" s="53" t="s">
        <v>10843</v>
      </c>
      <c r="D60" s="53" t="s">
        <v>10843</v>
      </c>
      <c r="E60" s="53" t="s">
        <v>10877</v>
      </c>
      <c r="F60" s="53" t="s">
        <v>10910</v>
      </c>
      <c r="G60" s="54">
        <v>0.9776</v>
      </c>
      <c r="H60" s="53">
        <v>97.76</v>
      </c>
      <c r="I60" s="53">
        <v>2100</v>
      </c>
      <c r="J60" s="53">
        <v>1000</v>
      </c>
      <c r="K60" s="53"/>
      <c r="L60" s="53"/>
      <c r="M60" s="53"/>
      <c r="N60" s="53"/>
      <c r="O60" s="53"/>
      <c r="P60" s="53"/>
      <c r="Q60" s="53"/>
      <c r="R60" s="53"/>
      <c r="S60" s="53"/>
      <c r="T60" s="53"/>
    </row>
    <row r="61">
      <c r="A61" s="53"/>
      <c r="B61" s="53" t="s">
        <v>10911</v>
      </c>
      <c r="C61" s="53" t="s">
        <v>10779</v>
      </c>
      <c r="D61" s="53" t="s">
        <v>10779</v>
      </c>
      <c r="E61" s="53" t="s">
        <v>10877</v>
      </c>
      <c r="F61" s="53" t="s">
        <v>10912</v>
      </c>
      <c r="G61" s="54">
        <v>0.9775</v>
      </c>
      <c r="H61" s="53">
        <v>97.75</v>
      </c>
      <c r="I61" s="53">
        <v>300</v>
      </c>
      <c r="J61" s="53">
        <v>1000</v>
      </c>
      <c r="K61" s="53"/>
      <c r="L61" s="53"/>
      <c r="M61" s="53"/>
      <c r="N61" s="53"/>
      <c r="O61" s="53"/>
      <c r="P61" s="53"/>
      <c r="Q61" s="53"/>
      <c r="R61" s="53"/>
      <c r="S61" s="53"/>
      <c r="T61" s="53"/>
    </row>
    <row r="62">
      <c r="A62" s="53"/>
      <c r="B62" s="53" t="s">
        <v>10913</v>
      </c>
      <c r="C62" s="53" t="s">
        <v>10779</v>
      </c>
      <c r="D62" s="53" t="s">
        <v>10779</v>
      </c>
      <c r="E62" s="53" t="s">
        <v>10877</v>
      </c>
      <c r="F62" s="53" t="s">
        <v>10914</v>
      </c>
      <c r="G62" s="54">
        <v>0.9768</v>
      </c>
      <c r="H62" s="53">
        <v>97.68</v>
      </c>
      <c r="I62" s="53">
        <v>1000</v>
      </c>
      <c r="J62" s="53">
        <v>1000</v>
      </c>
      <c r="K62" s="53"/>
      <c r="L62" s="53"/>
      <c r="M62" s="53"/>
      <c r="N62" s="53"/>
      <c r="O62" s="53"/>
      <c r="P62" s="53"/>
      <c r="Q62" s="53"/>
      <c r="R62" s="53"/>
      <c r="S62" s="53"/>
      <c r="T62" s="53"/>
    </row>
    <row r="63">
      <c r="A63" s="53"/>
      <c r="B63" s="53" t="s">
        <v>10915</v>
      </c>
      <c r="C63" s="53" t="s">
        <v>10916</v>
      </c>
      <c r="D63" s="53" t="s">
        <v>10916</v>
      </c>
      <c r="E63" s="53" t="s">
        <v>10877</v>
      </c>
      <c r="F63" s="53" t="s">
        <v>10917</v>
      </c>
      <c r="G63" s="54">
        <v>0.95942</v>
      </c>
      <c r="H63" s="53">
        <v>97.5</v>
      </c>
      <c r="I63" s="53">
        <v>3100</v>
      </c>
      <c r="J63" s="53">
        <v>1000</v>
      </c>
      <c r="K63" s="53"/>
      <c r="L63" s="53"/>
      <c r="M63" s="53"/>
      <c r="N63" s="53"/>
      <c r="O63" s="53"/>
      <c r="P63" s="53"/>
      <c r="Q63" s="53"/>
      <c r="R63" s="53"/>
      <c r="S63" s="53"/>
      <c r="T63" s="53"/>
    </row>
    <row r="64">
      <c r="A64" s="53"/>
      <c r="B64" s="53" t="s">
        <v>10918</v>
      </c>
      <c r="C64" s="53" t="s">
        <v>10843</v>
      </c>
      <c r="D64" s="53" t="s">
        <v>10843</v>
      </c>
      <c r="E64" s="53" t="s">
        <v>10877</v>
      </c>
      <c r="F64" s="53" t="s">
        <v>10919</v>
      </c>
      <c r="G64" s="54">
        <v>0.9738</v>
      </c>
      <c r="H64" s="53">
        <v>97.38</v>
      </c>
      <c r="I64" s="53">
        <v>1300</v>
      </c>
      <c r="J64" s="53">
        <v>1000</v>
      </c>
      <c r="K64" s="53"/>
      <c r="L64" s="53"/>
      <c r="M64" s="53"/>
      <c r="N64" s="53"/>
      <c r="O64" s="53"/>
      <c r="P64" s="53"/>
      <c r="Q64" s="53"/>
      <c r="R64" s="53"/>
      <c r="S64" s="53"/>
      <c r="T64" s="53"/>
    </row>
    <row r="65">
      <c r="A65" s="53"/>
      <c r="B65" s="53" t="s">
        <v>10920</v>
      </c>
      <c r="C65" s="53" t="s">
        <v>10921</v>
      </c>
      <c r="D65" s="53" t="s">
        <v>10921</v>
      </c>
      <c r="E65" s="53" t="s">
        <v>10877</v>
      </c>
      <c r="F65" s="53" t="s">
        <v>10922</v>
      </c>
      <c r="G65" s="54">
        <v>0.9727</v>
      </c>
      <c r="H65" s="53">
        <v>97.27</v>
      </c>
      <c r="I65" s="53">
        <v>1550</v>
      </c>
      <c r="J65" s="53">
        <v>1000</v>
      </c>
      <c r="K65" s="53"/>
      <c r="L65" s="53"/>
      <c r="M65" s="53"/>
      <c r="N65" s="53"/>
      <c r="O65" s="53"/>
      <c r="P65" s="53"/>
      <c r="Q65" s="53"/>
      <c r="R65" s="53"/>
      <c r="S65" s="53"/>
      <c r="T65" s="53"/>
    </row>
    <row r="66">
      <c r="A66" s="53"/>
      <c r="B66" s="53" t="s">
        <v>10923</v>
      </c>
      <c r="C66" s="53" t="s">
        <v>10924</v>
      </c>
      <c r="D66" s="53" t="s">
        <v>10924</v>
      </c>
      <c r="E66" s="53" t="s">
        <v>10877</v>
      </c>
      <c r="F66" s="53" t="s">
        <v>10925</v>
      </c>
      <c r="G66" s="54">
        <v>0.9727</v>
      </c>
      <c r="H66" s="53">
        <v>97.27</v>
      </c>
      <c r="I66" s="53">
        <v>1550</v>
      </c>
      <c r="J66" s="53">
        <v>1000</v>
      </c>
      <c r="K66" s="53"/>
      <c r="L66" s="53"/>
      <c r="M66" s="53"/>
      <c r="N66" s="53"/>
      <c r="O66" s="53"/>
      <c r="P66" s="53"/>
      <c r="Q66" s="53"/>
      <c r="R66" s="53"/>
      <c r="S66" s="53"/>
      <c r="T66" s="53"/>
    </row>
    <row r="67">
      <c r="A67" s="53"/>
      <c r="B67" s="53" t="s">
        <v>10926</v>
      </c>
      <c r="C67" s="53" t="s">
        <v>10843</v>
      </c>
      <c r="D67" s="53" t="s">
        <v>10843</v>
      </c>
      <c r="E67" s="53" t="s">
        <v>10877</v>
      </c>
      <c r="F67" s="53" t="s">
        <v>10927</v>
      </c>
      <c r="G67" s="54">
        <v>0.9726</v>
      </c>
      <c r="H67" s="53">
        <v>97.26</v>
      </c>
      <c r="I67" s="53">
        <v>1400</v>
      </c>
      <c r="J67" s="53">
        <v>1000</v>
      </c>
      <c r="K67" s="53"/>
      <c r="L67" s="53"/>
      <c r="M67" s="53"/>
      <c r="N67" s="53"/>
      <c r="O67" s="53"/>
      <c r="P67" s="53"/>
      <c r="Q67" s="53"/>
      <c r="R67" s="53"/>
      <c r="S67" s="53"/>
      <c r="T67" s="53"/>
    </row>
    <row r="68">
      <c r="A68" s="53"/>
      <c r="B68" s="53" t="s">
        <v>10928</v>
      </c>
      <c r="C68" s="53" t="s">
        <v>10843</v>
      </c>
      <c r="D68" s="53" t="s">
        <v>10843</v>
      </c>
      <c r="E68" s="53" t="s">
        <v>10877</v>
      </c>
      <c r="F68" s="53" t="s">
        <v>10929</v>
      </c>
      <c r="G68" s="54">
        <v>0.9711</v>
      </c>
      <c r="H68" s="53">
        <v>97.11</v>
      </c>
      <c r="I68" s="53">
        <v>1100</v>
      </c>
      <c r="J68" s="53">
        <v>1000</v>
      </c>
      <c r="K68" s="53"/>
      <c r="L68" s="53"/>
      <c r="M68" s="53"/>
      <c r="N68" s="53"/>
      <c r="O68" s="53"/>
      <c r="P68" s="53"/>
      <c r="Q68" s="53"/>
      <c r="R68" s="53"/>
      <c r="S68" s="53"/>
      <c r="T68" s="53"/>
    </row>
    <row r="69">
      <c r="A69" s="53"/>
      <c r="B69" s="53" t="s">
        <v>10930</v>
      </c>
      <c r="C69" s="53" t="s">
        <v>10843</v>
      </c>
      <c r="D69" s="53" t="s">
        <v>10843</v>
      </c>
      <c r="E69" s="53" t="s">
        <v>10877</v>
      </c>
      <c r="F69" s="53" t="s">
        <v>10931</v>
      </c>
      <c r="G69" s="54">
        <v>0.9702</v>
      </c>
      <c r="H69" s="53">
        <v>97.02</v>
      </c>
      <c r="I69" s="53">
        <v>1500</v>
      </c>
      <c r="J69" s="53">
        <v>1000</v>
      </c>
      <c r="K69" s="53"/>
      <c r="L69" s="53"/>
      <c r="M69" s="53"/>
      <c r="N69" s="53"/>
      <c r="O69" s="53"/>
      <c r="P69" s="53"/>
      <c r="Q69" s="53"/>
      <c r="R69" s="53"/>
      <c r="S69" s="53"/>
      <c r="T69" s="53"/>
    </row>
    <row r="70">
      <c r="A70" s="53"/>
      <c r="B70" s="53" t="s">
        <v>10932</v>
      </c>
      <c r="C70" s="53" t="s">
        <v>10921</v>
      </c>
      <c r="D70" s="53" t="s">
        <v>10921</v>
      </c>
      <c r="E70" s="53" t="s">
        <v>10877</v>
      </c>
      <c r="F70" s="53" t="s">
        <v>10933</v>
      </c>
      <c r="G70" s="54">
        <v>0.9699</v>
      </c>
      <c r="H70" s="53">
        <v>96.99</v>
      </c>
      <c r="I70" s="53">
        <v>800</v>
      </c>
      <c r="J70" s="53">
        <v>1000</v>
      </c>
      <c r="K70" s="53"/>
      <c r="L70" s="53"/>
      <c r="M70" s="53"/>
      <c r="N70" s="53"/>
      <c r="O70" s="53"/>
      <c r="P70" s="53"/>
      <c r="Q70" s="53"/>
      <c r="R70" s="53"/>
      <c r="S70" s="53"/>
      <c r="T70" s="53"/>
    </row>
    <row r="71">
      <c r="A71" s="53"/>
      <c r="B71" s="53" t="s">
        <v>10934</v>
      </c>
      <c r="C71" s="53" t="s">
        <v>10843</v>
      </c>
      <c r="D71" s="53" t="s">
        <v>10843</v>
      </c>
      <c r="E71" s="53" t="s">
        <v>10877</v>
      </c>
      <c r="F71" s="53" t="s">
        <v>10935</v>
      </c>
      <c r="G71" s="54">
        <v>0.9698</v>
      </c>
      <c r="H71" s="53">
        <v>96.98</v>
      </c>
      <c r="I71" s="53">
        <v>1000</v>
      </c>
      <c r="J71" s="53">
        <v>1000</v>
      </c>
      <c r="K71" s="53"/>
      <c r="L71" s="53"/>
      <c r="M71" s="53"/>
      <c r="N71" s="53"/>
      <c r="O71" s="53"/>
      <c r="P71" s="53"/>
      <c r="Q71" s="53"/>
      <c r="R71" s="53"/>
      <c r="S71" s="53"/>
      <c r="T71" s="53"/>
    </row>
    <row r="72">
      <c r="A72" s="53"/>
      <c r="B72" s="53" t="s">
        <v>10936</v>
      </c>
      <c r="C72" s="53" t="s">
        <v>10937</v>
      </c>
      <c r="D72" s="53" t="s">
        <v>10937</v>
      </c>
      <c r="E72" s="53" t="s">
        <v>10877</v>
      </c>
      <c r="F72" s="53" t="s">
        <v>10938</v>
      </c>
      <c r="G72" s="54">
        <v>0.96567</v>
      </c>
      <c r="H72" s="53">
        <v>96.56</v>
      </c>
      <c r="I72" s="53">
        <v>2800</v>
      </c>
      <c r="J72" s="53">
        <v>1000</v>
      </c>
      <c r="K72" s="53"/>
      <c r="L72" s="53"/>
      <c r="M72" s="53"/>
      <c r="N72" s="53"/>
      <c r="O72" s="53"/>
      <c r="P72" s="53"/>
      <c r="Q72" s="53"/>
      <c r="R72" s="53"/>
      <c r="S72" s="53"/>
      <c r="T72" s="53"/>
    </row>
    <row r="73">
      <c r="A73" s="53"/>
      <c r="B73" s="53" t="s">
        <v>10939</v>
      </c>
      <c r="C73" s="53" t="s">
        <v>10843</v>
      </c>
      <c r="D73" s="53" t="s">
        <v>10843</v>
      </c>
      <c r="E73" s="53" t="s">
        <v>10877</v>
      </c>
      <c r="F73" s="53" t="s">
        <v>10940</v>
      </c>
      <c r="G73" s="54">
        <v>0.9648</v>
      </c>
      <c r="H73" s="53">
        <v>96.48</v>
      </c>
      <c r="I73" s="53">
        <v>700</v>
      </c>
      <c r="J73" s="53">
        <v>1000</v>
      </c>
      <c r="K73" s="53"/>
      <c r="L73" s="53"/>
      <c r="M73" s="53"/>
      <c r="N73" s="53"/>
      <c r="O73" s="53"/>
      <c r="P73" s="53"/>
      <c r="Q73" s="53"/>
      <c r="R73" s="53"/>
      <c r="S73" s="53"/>
      <c r="T73" s="53"/>
    </row>
    <row r="74">
      <c r="A74" s="53"/>
      <c r="B74" s="53" t="s">
        <v>10941</v>
      </c>
      <c r="C74" s="53" t="s">
        <v>10937</v>
      </c>
      <c r="D74" s="53" t="s">
        <v>10937</v>
      </c>
      <c r="E74" s="53" t="s">
        <v>10877</v>
      </c>
      <c r="F74" s="53" t="s">
        <v>10942</v>
      </c>
      <c r="G74" s="54">
        <v>0.963795</v>
      </c>
      <c r="H74" s="53">
        <v>96.38</v>
      </c>
      <c r="I74" s="53">
        <v>3350</v>
      </c>
      <c r="J74" s="53">
        <v>1000</v>
      </c>
      <c r="K74" s="53"/>
      <c r="L74" s="53"/>
      <c r="M74" s="53"/>
      <c r="N74" s="53"/>
      <c r="O74" s="53"/>
      <c r="P74" s="53"/>
      <c r="Q74" s="53"/>
      <c r="R74" s="53"/>
      <c r="S74" s="53"/>
      <c r="T74" s="53"/>
    </row>
    <row r="75">
      <c r="A75" s="53"/>
      <c r="B75" s="53" t="s">
        <v>10943</v>
      </c>
      <c r="C75" s="53" t="s">
        <v>10843</v>
      </c>
      <c r="D75" s="53" t="s">
        <v>10843</v>
      </c>
      <c r="E75" s="53" t="s">
        <v>10877</v>
      </c>
      <c r="F75" s="53" t="s">
        <v>10944</v>
      </c>
      <c r="G75" s="54">
        <v>0.9589</v>
      </c>
      <c r="H75" s="53">
        <v>96.3</v>
      </c>
      <c r="I75" s="53">
        <v>1400</v>
      </c>
      <c r="J75" s="53">
        <v>1000</v>
      </c>
      <c r="K75" s="53"/>
      <c r="L75" s="53"/>
      <c r="M75" s="53"/>
      <c r="N75" s="53"/>
      <c r="O75" s="53"/>
      <c r="P75" s="53"/>
      <c r="Q75" s="53"/>
      <c r="R75" s="53"/>
      <c r="S75" s="53"/>
      <c r="T75" s="53"/>
    </row>
    <row r="76">
      <c r="A76" s="53"/>
      <c r="B76" s="53" t="s">
        <v>10945</v>
      </c>
      <c r="C76" s="53" t="s">
        <v>10779</v>
      </c>
      <c r="D76" s="53" t="s">
        <v>10779</v>
      </c>
      <c r="E76" s="53" t="s">
        <v>10877</v>
      </c>
      <c r="F76" s="53" t="s">
        <v>10946</v>
      </c>
      <c r="G76" s="54">
        <v>0.9615</v>
      </c>
      <c r="H76" s="53">
        <v>96.15</v>
      </c>
      <c r="I76" s="53">
        <v>625</v>
      </c>
      <c r="J76" s="53">
        <v>1000</v>
      </c>
      <c r="K76" s="53"/>
      <c r="L76" s="53"/>
      <c r="M76" s="53"/>
      <c r="N76" s="53"/>
      <c r="O76" s="53"/>
      <c r="P76" s="53"/>
      <c r="Q76" s="53"/>
      <c r="R76" s="53"/>
      <c r="S76" s="53"/>
      <c r="T76" s="53"/>
    </row>
    <row r="77">
      <c r="A77" s="53"/>
      <c r="B77" s="53" t="s">
        <v>10947</v>
      </c>
      <c r="C77" s="53" t="s">
        <v>10924</v>
      </c>
      <c r="D77" s="53" t="s">
        <v>10924</v>
      </c>
      <c r="E77" s="53" t="s">
        <v>10877</v>
      </c>
      <c r="F77" s="53" t="s">
        <v>10948</v>
      </c>
      <c r="G77" s="54">
        <v>0.908725</v>
      </c>
      <c r="H77" s="53">
        <v>95.87</v>
      </c>
      <c r="I77" s="53">
        <v>1300</v>
      </c>
      <c r="J77" s="53">
        <v>1000</v>
      </c>
      <c r="K77" s="53"/>
      <c r="L77" s="53"/>
      <c r="M77" s="53"/>
      <c r="N77" s="53"/>
      <c r="O77" s="53"/>
      <c r="P77" s="53"/>
      <c r="Q77" s="53"/>
      <c r="R77" s="53"/>
      <c r="S77" s="53"/>
      <c r="T77" s="53"/>
    </row>
    <row r="78">
      <c r="A78" s="53"/>
      <c r="B78" s="53" t="s">
        <v>10949</v>
      </c>
      <c r="C78" s="53" t="s">
        <v>10924</v>
      </c>
      <c r="D78" s="53" t="s">
        <v>10924</v>
      </c>
      <c r="E78" s="53" t="s">
        <v>10877</v>
      </c>
      <c r="F78" s="53" t="s">
        <v>10950</v>
      </c>
      <c r="G78" s="54">
        <v>0.908725</v>
      </c>
      <c r="H78" s="53">
        <v>95.87</v>
      </c>
      <c r="I78" s="53">
        <v>1300</v>
      </c>
      <c r="J78" s="53">
        <v>1000</v>
      </c>
      <c r="K78" s="53"/>
      <c r="L78" s="53"/>
      <c r="M78" s="53"/>
      <c r="N78" s="53"/>
      <c r="O78" s="53"/>
      <c r="P78" s="53"/>
      <c r="Q78" s="53"/>
      <c r="R78" s="53"/>
      <c r="S78" s="53"/>
      <c r="T78" s="53"/>
    </row>
    <row r="79">
      <c r="A79" s="53"/>
      <c r="B79" s="53" t="s">
        <v>10951</v>
      </c>
      <c r="C79" s="53" t="s">
        <v>10837</v>
      </c>
      <c r="D79" s="53" t="s">
        <v>10837</v>
      </c>
      <c r="E79" s="53" t="s">
        <v>10952</v>
      </c>
      <c r="F79" s="53" t="s">
        <v>10953</v>
      </c>
      <c r="G79" s="54">
        <v>0.958125</v>
      </c>
      <c r="H79" s="53">
        <v>95.75</v>
      </c>
      <c r="I79" s="53">
        <v>1806</v>
      </c>
      <c r="J79" s="53">
        <v>1000</v>
      </c>
      <c r="K79" s="53"/>
      <c r="L79" s="53"/>
      <c r="M79" s="53"/>
      <c r="N79" s="53"/>
      <c r="O79" s="53"/>
      <c r="P79" s="53"/>
      <c r="Q79" s="53"/>
      <c r="R79" s="53"/>
      <c r="S79" s="53"/>
      <c r="T79" s="53"/>
    </row>
    <row r="80">
      <c r="A80" s="53"/>
      <c r="B80" s="53" t="s">
        <v>10954</v>
      </c>
      <c r="C80" s="53" t="s">
        <v>10837</v>
      </c>
      <c r="D80" s="53" t="s">
        <v>10837</v>
      </c>
      <c r="E80" s="53" t="s">
        <v>10877</v>
      </c>
      <c r="F80" s="53" t="s">
        <v>10955</v>
      </c>
      <c r="G80" s="54">
        <v>0.94423</v>
      </c>
      <c r="H80" s="53">
        <v>95.33</v>
      </c>
      <c r="I80" s="53">
        <v>1900</v>
      </c>
      <c r="J80" s="53">
        <v>1000</v>
      </c>
      <c r="K80" s="53"/>
      <c r="L80" s="53"/>
      <c r="M80" s="53"/>
      <c r="N80" s="53"/>
      <c r="O80" s="53"/>
      <c r="P80" s="53"/>
      <c r="Q80" s="53"/>
      <c r="R80" s="53"/>
      <c r="S80" s="53"/>
      <c r="T80" s="53"/>
    </row>
    <row r="81">
      <c r="A81" s="53"/>
      <c r="B81" s="53" t="s">
        <v>10956</v>
      </c>
      <c r="C81" s="53" t="s">
        <v>10924</v>
      </c>
      <c r="D81" s="53" t="s">
        <v>10924</v>
      </c>
      <c r="E81" s="53" t="s">
        <v>10877</v>
      </c>
      <c r="F81" s="53" t="s">
        <v>10957</v>
      </c>
      <c r="G81" s="54">
        <v>0.903475</v>
      </c>
      <c r="H81" s="53">
        <v>95.12</v>
      </c>
      <c r="I81" s="53">
        <v>700</v>
      </c>
      <c r="J81" s="53">
        <v>1000</v>
      </c>
      <c r="K81" s="53"/>
      <c r="L81" s="53"/>
      <c r="M81" s="53"/>
      <c r="N81" s="53"/>
      <c r="O81" s="53"/>
      <c r="P81" s="53"/>
      <c r="Q81" s="53"/>
      <c r="R81" s="53"/>
      <c r="S81" s="53"/>
      <c r="T81" s="53"/>
    </row>
    <row r="82">
      <c r="A82" s="53"/>
      <c r="B82" s="53" t="s">
        <v>10958</v>
      </c>
      <c r="C82" s="53" t="s">
        <v>10837</v>
      </c>
      <c r="D82" s="53" t="s">
        <v>10837</v>
      </c>
      <c r="E82" s="53" t="s">
        <v>10952</v>
      </c>
      <c r="F82" s="53" t="s">
        <v>10959</v>
      </c>
      <c r="G82" s="54">
        <v>0.947875</v>
      </c>
      <c r="H82" s="53">
        <v>94.82</v>
      </c>
      <c r="I82" s="53">
        <v>1462</v>
      </c>
      <c r="J82" s="53">
        <v>1000</v>
      </c>
      <c r="K82" s="53"/>
      <c r="L82" s="53"/>
      <c r="M82" s="53"/>
      <c r="N82" s="53"/>
      <c r="O82" s="53"/>
      <c r="P82" s="53"/>
      <c r="Q82" s="53"/>
      <c r="R82" s="53"/>
      <c r="S82" s="53"/>
      <c r="T82" s="53"/>
    </row>
    <row r="83">
      <c r="A83" s="53"/>
      <c r="B83" s="53" t="s">
        <v>10960</v>
      </c>
      <c r="C83" s="53" t="s">
        <v>10937</v>
      </c>
      <c r="D83" s="53" t="s">
        <v>10937</v>
      </c>
      <c r="E83" s="53" t="s">
        <v>10877</v>
      </c>
      <c r="F83" s="53" t="s">
        <v>10961</v>
      </c>
      <c r="G83" s="54">
        <v>0.946919</v>
      </c>
      <c r="H83" s="53">
        <v>94.69</v>
      </c>
      <c r="I83" s="53">
        <v>2500</v>
      </c>
      <c r="J83" s="53">
        <v>1000</v>
      </c>
      <c r="K83" s="53"/>
      <c r="L83" s="53"/>
      <c r="M83" s="53"/>
      <c r="N83" s="53"/>
      <c r="O83" s="53"/>
      <c r="P83" s="53"/>
      <c r="Q83" s="53"/>
      <c r="R83" s="53"/>
      <c r="S83" s="53"/>
      <c r="T83" s="53"/>
    </row>
    <row r="84">
      <c r="A84" s="53"/>
      <c r="B84" s="53" t="s">
        <v>10962</v>
      </c>
      <c r="C84" s="53" t="s">
        <v>10924</v>
      </c>
      <c r="D84" s="53" t="s">
        <v>10924</v>
      </c>
      <c r="E84" s="53" t="s">
        <v>10877</v>
      </c>
      <c r="F84" s="53" t="s">
        <v>10963</v>
      </c>
      <c r="G84" s="54">
        <v>0.898225</v>
      </c>
      <c r="H84" s="53">
        <v>94.37</v>
      </c>
      <c r="I84" s="53">
        <v>550</v>
      </c>
      <c r="J84" s="53">
        <v>1000</v>
      </c>
      <c r="K84" s="53"/>
      <c r="L84" s="53"/>
      <c r="M84" s="53"/>
      <c r="N84" s="53"/>
      <c r="O84" s="53"/>
      <c r="P84" s="53"/>
      <c r="Q84" s="53"/>
      <c r="R84" s="53"/>
      <c r="S84" s="53"/>
      <c r="T84" s="53"/>
    </row>
    <row r="85">
      <c r="A85" s="53"/>
      <c r="B85" s="53" t="s">
        <v>10964</v>
      </c>
      <c r="C85" s="53" t="s">
        <v>10937</v>
      </c>
      <c r="D85" s="53" t="s">
        <v>10937</v>
      </c>
      <c r="E85" s="53" t="s">
        <v>10877</v>
      </c>
      <c r="F85" s="53" t="s">
        <v>10965</v>
      </c>
      <c r="G85" s="54">
        <v>0.94317</v>
      </c>
      <c r="H85" s="53">
        <v>94.31</v>
      </c>
      <c r="I85" s="53">
        <v>2050</v>
      </c>
      <c r="J85" s="53">
        <v>1000</v>
      </c>
      <c r="K85" s="53"/>
      <c r="L85" s="53"/>
      <c r="M85" s="53"/>
      <c r="N85" s="53"/>
      <c r="O85" s="53"/>
      <c r="P85" s="53"/>
      <c r="Q85" s="53"/>
      <c r="R85" s="53"/>
      <c r="S85" s="53"/>
      <c r="T85" s="53"/>
    </row>
    <row r="86">
      <c r="A86" s="53"/>
      <c r="B86" s="53" t="s">
        <v>10966</v>
      </c>
      <c r="C86" s="53" t="s">
        <v>10829</v>
      </c>
      <c r="D86" s="53" t="s">
        <v>10829</v>
      </c>
      <c r="E86" s="53" t="s">
        <v>10967</v>
      </c>
      <c r="F86" s="53" t="s">
        <v>10968</v>
      </c>
      <c r="G86" s="54">
        <v>0.943</v>
      </c>
      <c r="H86" s="53">
        <v>94.2</v>
      </c>
      <c r="I86" s="53">
        <v>2364</v>
      </c>
      <c r="J86" s="53">
        <v>2000</v>
      </c>
      <c r="K86" s="53"/>
      <c r="L86" s="53"/>
      <c r="M86" s="53"/>
      <c r="N86" s="53"/>
      <c r="O86" s="53"/>
      <c r="P86" s="53"/>
      <c r="Q86" s="53"/>
      <c r="R86" s="53"/>
      <c r="S86" s="53"/>
      <c r="T86" s="53"/>
    </row>
    <row r="87">
      <c r="A87" s="53"/>
      <c r="B87" s="53" t="s">
        <v>10969</v>
      </c>
      <c r="C87" s="53" t="s">
        <v>10829</v>
      </c>
      <c r="D87" s="53" t="s">
        <v>10829</v>
      </c>
      <c r="E87" s="53" t="s">
        <v>10830</v>
      </c>
      <c r="F87" s="53" t="s">
        <v>10970</v>
      </c>
      <c r="G87" s="54">
        <v>0.94</v>
      </c>
      <c r="H87" s="53">
        <v>94</v>
      </c>
      <c r="I87" s="53">
        <v>1551</v>
      </c>
      <c r="J87" s="53">
        <v>1200</v>
      </c>
      <c r="K87" s="53"/>
      <c r="L87" s="53"/>
      <c r="M87" s="53"/>
      <c r="N87" s="53"/>
      <c r="O87" s="53"/>
      <c r="P87" s="53"/>
      <c r="Q87" s="53"/>
      <c r="R87" s="53"/>
      <c r="S87" s="53"/>
      <c r="T87" s="53"/>
    </row>
    <row r="88">
      <c r="A88" s="53"/>
      <c r="B88" s="53" t="s">
        <v>10971</v>
      </c>
      <c r="C88" s="53" t="s">
        <v>10829</v>
      </c>
      <c r="D88" s="53" t="s">
        <v>10829</v>
      </c>
      <c r="E88" s="53" t="s">
        <v>10830</v>
      </c>
      <c r="F88" s="53" t="s">
        <v>10972</v>
      </c>
      <c r="G88" s="54">
        <v>0.94</v>
      </c>
      <c r="H88" s="53">
        <v>94</v>
      </c>
      <c r="I88" s="53">
        <v>1646</v>
      </c>
      <c r="J88" s="53">
        <v>1200</v>
      </c>
      <c r="K88" s="53"/>
      <c r="L88" s="53"/>
      <c r="M88" s="53"/>
      <c r="N88" s="53"/>
      <c r="O88" s="53"/>
      <c r="P88" s="53"/>
      <c r="Q88" s="53"/>
      <c r="R88" s="53"/>
      <c r="S88" s="53"/>
      <c r="T88" s="53"/>
    </row>
    <row r="89">
      <c r="A89" s="53"/>
      <c r="B89" s="53" t="s">
        <v>10973</v>
      </c>
      <c r="C89" s="53" t="s">
        <v>10829</v>
      </c>
      <c r="D89" s="53" t="s">
        <v>10829</v>
      </c>
      <c r="E89" s="53" t="s">
        <v>10830</v>
      </c>
      <c r="F89" s="53" t="s">
        <v>10974</v>
      </c>
      <c r="G89" s="54">
        <v>0.425</v>
      </c>
      <c r="H89" s="53">
        <v>94</v>
      </c>
      <c r="I89" s="53">
        <v>1479</v>
      </c>
      <c r="J89" s="53">
        <v>1200</v>
      </c>
      <c r="K89" s="53"/>
      <c r="L89" s="53"/>
      <c r="M89" s="53"/>
      <c r="N89" s="53"/>
      <c r="O89" s="53"/>
      <c r="P89" s="53"/>
      <c r="Q89" s="53"/>
      <c r="R89" s="53"/>
      <c r="S89" s="53"/>
      <c r="T89" s="53"/>
    </row>
    <row r="90">
      <c r="A90" s="53"/>
      <c r="B90" s="53" t="s">
        <v>10975</v>
      </c>
      <c r="C90" s="53" t="s">
        <v>10916</v>
      </c>
      <c r="D90" s="53" t="s">
        <v>10916</v>
      </c>
      <c r="E90" s="53" t="s">
        <v>10877</v>
      </c>
      <c r="F90" s="53" t="s">
        <v>10976</v>
      </c>
      <c r="G90" s="54">
        <v>0.93373</v>
      </c>
      <c r="H90" s="53">
        <v>93.83</v>
      </c>
      <c r="I90" s="53">
        <v>1433.33</v>
      </c>
      <c r="J90" s="53">
        <v>1000</v>
      </c>
      <c r="K90" s="53"/>
      <c r="L90" s="53"/>
      <c r="M90" s="53"/>
      <c r="N90" s="53"/>
      <c r="O90" s="53"/>
      <c r="P90" s="53"/>
      <c r="Q90" s="53"/>
      <c r="R90" s="53"/>
      <c r="S90" s="53"/>
      <c r="T90" s="53"/>
    </row>
    <row r="91">
      <c r="A91" s="53"/>
      <c r="B91" s="53" t="s">
        <v>10977</v>
      </c>
      <c r="C91" s="53" t="s">
        <v>10837</v>
      </c>
      <c r="D91" s="53" t="s">
        <v>10837</v>
      </c>
      <c r="E91" s="53" t="s">
        <v>10877</v>
      </c>
      <c r="F91" s="53" t="s">
        <v>10978</v>
      </c>
      <c r="G91" s="54">
        <v>0.93373</v>
      </c>
      <c r="H91" s="53">
        <v>93.83</v>
      </c>
      <c r="I91" s="53">
        <v>1533.33</v>
      </c>
      <c r="J91" s="53">
        <v>1000</v>
      </c>
      <c r="K91" s="53"/>
      <c r="L91" s="53"/>
      <c r="M91" s="53"/>
      <c r="N91" s="53"/>
      <c r="O91" s="53"/>
      <c r="P91" s="53"/>
      <c r="Q91" s="53"/>
      <c r="R91" s="53"/>
      <c r="S91" s="53"/>
      <c r="T91" s="53"/>
    </row>
    <row r="92">
      <c r="A92" s="53"/>
      <c r="B92" s="53" t="s">
        <v>10979</v>
      </c>
      <c r="C92" s="53" t="s">
        <v>10921</v>
      </c>
      <c r="D92" s="53" t="s">
        <v>10921</v>
      </c>
      <c r="E92" s="53" t="s">
        <v>10877</v>
      </c>
      <c r="F92" s="53" t="s">
        <v>10980</v>
      </c>
      <c r="G92" s="54">
        <v>0.9377</v>
      </c>
      <c r="H92" s="53">
        <v>93.77</v>
      </c>
      <c r="I92" s="53">
        <v>600</v>
      </c>
      <c r="J92" s="53">
        <v>1000</v>
      </c>
      <c r="K92" s="53"/>
      <c r="L92" s="53"/>
      <c r="M92" s="53"/>
      <c r="N92" s="53"/>
      <c r="O92" s="53"/>
      <c r="P92" s="53"/>
      <c r="Q92" s="53"/>
      <c r="R92" s="53"/>
      <c r="S92" s="53"/>
      <c r="T92" s="53"/>
    </row>
    <row r="93">
      <c r="A93" s="53"/>
      <c r="B93" s="53" t="s">
        <v>10981</v>
      </c>
      <c r="C93" s="53" t="s">
        <v>10837</v>
      </c>
      <c r="D93" s="53" t="s">
        <v>10837</v>
      </c>
      <c r="E93" s="53" t="s">
        <v>10952</v>
      </c>
      <c r="F93" s="53" t="s">
        <v>10982</v>
      </c>
      <c r="G93" s="54">
        <v>0.933375</v>
      </c>
      <c r="H93" s="53">
        <v>93.27</v>
      </c>
      <c r="I93" s="53">
        <v>1032</v>
      </c>
      <c r="J93" s="53">
        <v>2300</v>
      </c>
      <c r="K93" s="53"/>
      <c r="L93" s="53"/>
      <c r="M93" s="53"/>
      <c r="N93" s="53"/>
      <c r="O93" s="53"/>
      <c r="P93" s="53"/>
      <c r="Q93" s="53"/>
      <c r="R93" s="53"/>
      <c r="S93" s="53"/>
      <c r="T93" s="53"/>
    </row>
    <row r="94">
      <c r="A94" s="53"/>
      <c r="B94" s="53" t="s">
        <v>10983</v>
      </c>
      <c r="C94" s="53" t="s">
        <v>10984</v>
      </c>
      <c r="D94" s="53" t="s">
        <v>10984</v>
      </c>
      <c r="E94" s="53" t="s">
        <v>10877</v>
      </c>
      <c r="F94" s="53" t="s">
        <v>10985</v>
      </c>
      <c r="G94" s="54">
        <v>0.89035</v>
      </c>
      <c r="H94" s="53">
        <v>93.25</v>
      </c>
      <c r="I94" s="53">
        <v>400</v>
      </c>
      <c r="J94" s="53">
        <v>1000</v>
      </c>
      <c r="K94" s="53"/>
      <c r="L94" s="53"/>
      <c r="M94" s="53"/>
      <c r="N94" s="53"/>
      <c r="O94" s="53"/>
      <c r="P94" s="53"/>
      <c r="Q94" s="53"/>
      <c r="R94" s="53"/>
      <c r="S94" s="53"/>
      <c r="T94" s="53"/>
    </row>
    <row r="95">
      <c r="A95" s="53"/>
      <c r="B95" s="53" t="s">
        <v>10986</v>
      </c>
      <c r="C95" s="53" t="s">
        <v>10937</v>
      </c>
      <c r="D95" s="53" t="s">
        <v>10937</v>
      </c>
      <c r="E95" s="53" t="s">
        <v>10877</v>
      </c>
      <c r="F95" s="53" t="s">
        <v>10987</v>
      </c>
      <c r="G95" s="54">
        <v>0.9321</v>
      </c>
      <c r="H95" s="53">
        <v>93.21</v>
      </c>
      <c r="I95" s="53">
        <v>400</v>
      </c>
      <c r="J95" s="53">
        <v>1000</v>
      </c>
      <c r="K95" s="53"/>
      <c r="L95" s="53"/>
      <c r="M95" s="53"/>
      <c r="N95" s="53"/>
      <c r="O95" s="53"/>
      <c r="P95" s="53"/>
      <c r="Q95" s="53"/>
      <c r="R95" s="53"/>
      <c r="S95" s="53"/>
      <c r="T95" s="53"/>
    </row>
    <row r="96">
      <c r="A96" s="53"/>
      <c r="B96" s="53" t="s">
        <v>10988</v>
      </c>
      <c r="C96" s="53" t="s">
        <v>10984</v>
      </c>
      <c r="D96" s="53" t="s">
        <v>10984</v>
      </c>
      <c r="E96" s="53" t="s">
        <v>10877</v>
      </c>
      <c r="F96" s="53" t="s">
        <v>10989</v>
      </c>
      <c r="G96" s="54">
        <v>0.9247</v>
      </c>
      <c r="H96" s="53">
        <v>92.47</v>
      </c>
      <c r="I96" s="53">
        <v>0</v>
      </c>
      <c r="J96" s="53">
        <v>1000</v>
      </c>
      <c r="K96" s="53"/>
      <c r="L96" s="53"/>
      <c r="M96" s="53"/>
      <c r="N96" s="53"/>
      <c r="O96" s="53"/>
      <c r="P96" s="53"/>
      <c r="Q96" s="53"/>
      <c r="R96" s="53"/>
      <c r="S96" s="53"/>
      <c r="T96" s="53"/>
    </row>
    <row r="97">
      <c r="A97" s="53"/>
      <c r="B97" s="53" t="s">
        <v>10990</v>
      </c>
      <c r="C97" s="53" t="s">
        <v>10837</v>
      </c>
      <c r="D97" s="53" t="s">
        <v>10837</v>
      </c>
      <c r="E97" s="53" t="s">
        <v>10877</v>
      </c>
      <c r="F97" s="53" t="s">
        <v>10991</v>
      </c>
      <c r="G97" s="54">
        <v>0.920669</v>
      </c>
      <c r="H97" s="53">
        <v>92.06</v>
      </c>
      <c r="I97" s="53">
        <v>800</v>
      </c>
      <c r="J97" s="53">
        <v>1000</v>
      </c>
      <c r="K97" s="53"/>
      <c r="L97" s="53"/>
      <c r="M97" s="53"/>
      <c r="N97" s="53"/>
      <c r="O97" s="53"/>
      <c r="P97" s="53"/>
      <c r="Q97" s="53"/>
      <c r="R97" s="53"/>
      <c r="S97" s="53"/>
      <c r="T97" s="53"/>
    </row>
    <row r="98">
      <c r="A98" s="53"/>
      <c r="B98" s="53" t="s">
        <v>10992</v>
      </c>
      <c r="C98" s="53" t="s">
        <v>10984</v>
      </c>
      <c r="D98" s="53" t="s">
        <v>10984</v>
      </c>
      <c r="E98" s="53" t="s">
        <v>10877</v>
      </c>
      <c r="F98" s="53" t="s">
        <v>10993</v>
      </c>
      <c r="G98" s="54">
        <v>0.91973</v>
      </c>
      <c r="H98" s="53">
        <v>91.83</v>
      </c>
      <c r="I98" s="53">
        <v>1433.33</v>
      </c>
      <c r="J98" s="53">
        <v>1000</v>
      </c>
      <c r="K98" s="53"/>
      <c r="L98" s="53"/>
      <c r="M98" s="53"/>
      <c r="N98" s="53"/>
      <c r="O98" s="53"/>
      <c r="P98" s="53"/>
      <c r="Q98" s="53"/>
      <c r="R98" s="53"/>
      <c r="S98" s="53"/>
      <c r="T98" s="53"/>
    </row>
    <row r="99">
      <c r="A99" s="53"/>
      <c r="B99" s="53" t="s">
        <v>10994</v>
      </c>
      <c r="C99" s="53" t="s">
        <v>10829</v>
      </c>
      <c r="D99" s="53" t="s">
        <v>10829</v>
      </c>
      <c r="E99" s="53" t="s">
        <v>10830</v>
      </c>
      <c r="F99" s="53" t="s">
        <v>10995</v>
      </c>
      <c r="G99" s="54">
        <v>0.9135</v>
      </c>
      <c r="H99" s="53">
        <v>91.4</v>
      </c>
      <c r="I99" s="53">
        <v>2479</v>
      </c>
      <c r="J99" s="53">
        <v>2500</v>
      </c>
      <c r="K99" s="53"/>
      <c r="L99" s="53"/>
      <c r="M99" s="53"/>
      <c r="N99" s="53"/>
      <c r="O99" s="53"/>
      <c r="P99" s="53"/>
      <c r="Q99" s="53"/>
      <c r="R99" s="53"/>
      <c r="S99" s="53"/>
      <c r="T99" s="53"/>
    </row>
    <row r="100">
      <c r="A100" s="53"/>
      <c r="B100" s="53" t="s">
        <v>10996</v>
      </c>
      <c r="C100" s="53" t="s">
        <v>10837</v>
      </c>
      <c r="D100" s="53" t="s">
        <v>10837</v>
      </c>
      <c r="E100" s="53" t="s">
        <v>10877</v>
      </c>
      <c r="F100" s="53" t="s">
        <v>10997</v>
      </c>
      <c r="G100" s="54">
        <v>0.91317</v>
      </c>
      <c r="H100" s="53">
        <v>91.31</v>
      </c>
      <c r="I100" s="53">
        <v>600</v>
      </c>
      <c r="J100" s="53">
        <v>1000</v>
      </c>
      <c r="K100" s="53"/>
      <c r="L100" s="53"/>
      <c r="M100" s="53"/>
      <c r="N100" s="53"/>
      <c r="O100" s="53"/>
      <c r="P100" s="53"/>
      <c r="Q100" s="53"/>
      <c r="R100" s="53"/>
      <c r="S100" s="53"/>
      <c r="T100" s="53"/>
    </row>
    <row r="101">
      <c r="A101" s="53"/>
      <c r="B101" s="53" t="s">
        <v>10998</v>
      </c>
      <c r="C101" s="53" t="s">
        <v>10916</v>
      </c>
      <c r="D101" s="53" t="s">
        <v>10916</v>
      </c>
      <c r="E101" s="53" t="s">
        <v>10877</v>
      </c>
      <c r="F101" s="53" t="s">
        <v>10999</v>
      </c>
      <c r="G101" s="54">
        <v>0.90923</v>
      </c>
      <c r="H101" s="53">
        <v>90.33</v>
      </c>
      <c r="I101" s="53">
        <v>1000</v>
      </c>
      <c r="J101" s="53">
        <v>1000</v>
      </c>
      <c r="K101" s="53"/>
      <c r="L101" s="53"/>
      <c r="M101" s="53"/>
      <c r="N101" s="53"/>
      <c r="O101" s="53"/>
      <c r="P101" s="53"/>
      <c r="Q101" s="53"/>
      <c r="R101" s="53"/>
      <c r="S101" s="53"/>
      <c r="T101" s="53"/>
    </row>
    <row r="102">
      <c r="A102" s="53"/>
      <c r="B102" s="53" t="s">
        <v>11000</v>
      </c>
      <c r="C102" s="53" t="s">
        <v>11001</v>
      </c>
      <c r="D102" s="53" t="s">
        <v>11001</v>
      </c>
      <c r="E102" s="53" t="s">
        <v>11002</v>
      </c>
      <c r="F102" s="53" t="s">
        <v>11003</v>
      </c>
      <c r="G102" s="54">
        <v>0.888</v>
      </c>
      <c r="H102" s="53">
        <v>88.8</v>
      </c>
      <c r="I102" s="53">
        <v>852.5</v>
      </c>
      <c r="J102" s="53">
        <v>1200</v>
      </c>
      <c r="K102" s="53"/>
      <c r="L102" s="53"/>
      <c r="M102" s="53"/>
      <c r="N102" s="53"/>
      <c r="O102" s="53"/>
      <c r="P102" s="53"/>
      <c r="Q102" s="53"/>
      <c r="R102" s="53"/>
      <c r="S102" s="53"/>
      <c r="T102" s="53"/>
    </row>
    <row r="103">
      <c r="A103" s="53"/>
      <c r="B103" s="53" t="s">
        <v>11004</v>
      </c>
      <c r="C103" s="53" t="s">
        <v>10937</v>
      </c>
      <c r="D103" s="53" t="s">
        <v>10937</v>
      </c>
      <c r="E103" s="53" t="s">
        <v>10877</v>
      </c>
      <c r="F103" s="53" t="s">
        <v>11005</v>
      </c>
      <c r="G103" s="54">
        <v>0.88317</v>
      </c>
      <c r="H103" s="53">
        <v>88.31</v>
      </c>
      <c r="I103" s="53">
        <v>400</v>
      </c>
      <c r="J103" s="53">
        <v>1000</v>
      </c>
      <c r="K103" s="53"/>
      <c r="L103" s="53"/>
      <c r="M103" s="53"/>
      <c r="N103" s="53"/>
      <c r="O103" s="53"/>
      <c r="P103" s="53"/>
      <c r="Q103" s="53"/>
      <c r="R103" s="53"/>
      <c r="S103" s="53"/>
      <c r="T103" s="53"/>
    </row>
    <row r="104">
      <c r="A104" s="53"/>
      <c r="B104" s="53" t="s">
        <v>11006</v>
      </c>
      <c r="C104" s="53" t="s">
        <v>10829</v>
      </c>
      <c r="D104" s="53" t="s">
        <v>10829</v>
      </c>
      <c r="E104" s="53" t="s">
        <v>10830</v>
      </c>
      <c r="F104" s="53" t="s">
        <v>11007</v>
      </c>
      <c r="G104" s="54">
        <v>0.88</v>
      </c>
      <c r="H104" s="53">
        <v>88</v>
      </c>
      <c r="I104" s="53">
        <v>0</v>
      </c>
      <c r="J104" s="53">
        <v>1200</v>
      </c>
      <c r="K104" s="53"/>
      <c r="L104" s="53"/>
      <c r="M104" s="53"/>
      <c r="N104" s="53"/>
      <c r="O104" s="53"/>
      <c r="P104" s="53"/>
      <c r="Q104" s="53"/>
      <c r="R104" s="53"/>
      <c r="S104" s="53"/>
      <c r="T104" s="53"/>
    </row>
    <row r="105">
      <c r="A105" s="53"/>
      <c r="B105" s="53" t="s">
        <v>11008</v>
      </c>
      <c r="C105" s="53" t="s">
        <v>10984</v>
      </c>
      <c r="D105" s="53" t="s">
        <v>10984</v>
      </c>
      <c r="E105" s="53" t="s">
        <v>10877</v>
      </c>
      <c r="F105" s="53" t="s">
        <v>10953</v>
      </c>
      <c r="G105" s="54">
        <v>0.875748</v>
      </c>
      <c r="H105" s="53">
        <v>87.57</v>
      </c>
      <c r="I105" s="53">
        <v>425</v>
      </c>
      <c r="J105" s="53">
        <v>1000</v>
      </c>
      <c r="K105" s="53"/>
      <c r="L105" s="53"/>
      <c r="M105" s="53"/>
      <c r="N105" s="53"/>
      <c r="O105" s="53"/>
      <c r="P105" s="53"/>
      <c r="Q105" s="53"/>
      <c r="R105" s="53"/>
      <c r="S105" s="53"/>
      <c r="T105" s="53"/>
    </row>
    <row r="106">
      <c r="A106" s="53"/>
      <c r="B106" s="53" t="s">
        <v>11009</v>
      </c>
      <c r="C106" s="53" t="s">
        <v>10829</v>
      </c>
      <c r="D106" s="53" t="s">
        <v>10829</v>
      </c>
      <c r="E106" s="53" t="s">
        <v>10830</v>
      </c>
      <c r="F106" s="53" t="s">
        <v>11010</v>
      </c>
      <c r="G106" s="54">
        <v>0.865</v>
      </c>
      <c r="H106" s="53">
        <v>87</v>
      </c>
      <c r="I106" s="53">
        <v>2250</v>
      </c>
      <c r="J106" s="53">
        <v>1500</v>
      </c>
      <c r="K106" s="53"/>
      <c r="L106" s="53"/>
      <c r="M106" s="53"/>
      <c r="N106" s="53"/>
      <c r="O106" s="53"/>
      <c r="P106" s="53"/>
      <c r="Q106" s="53"/>
      <c r="R106" s="53"/>
      <c r="S106" s="53"/>
      <c r="T106" s="53"/>
    </row>
    <row r="107">
      <c r="A107" s="53"/>
      <c r="B107" s="53" t="s">
        <v>11011</v>
      </c>
      <c r="C107" s="53" t="s">
        <v>10829</v>
      </c>
      <c r="D107" s="53" t="s">
        <v>10829</v>
      </c>
      <c r="E107" s="53" t="s">
        <v>10830</v>
      </c>
      <c r="F107" s="53" t="s">
        <v>11012</v>
      </c>
      <c r="G107" s="54">
        <v>0.851</v>
      </c>
      <c r="H107" s="53">
        <v>86</v>
      </c>
      <c r="I107" s="53">
        <v>2137</v>
      </c>
      <c r="J107" s="53">
        <v>2000</v>
      </c>
      <c r="K107" s="53"/>
      <c r="L107" s="53"/>
      <c r="M107" s="53"/>
      <c r="N107" s="53"/>
      <c r="O107" s="53"/>
      <c r="P107" s="53"/>
      <c r="Q107" s="53"/>
      <c r="R107" s="53"/>
      <c r="S107" s="53"/>
      <c r="T107" s="53"/>
    </row>
    <row r="108">
      <c r="A108" s="53"/>
      <c r="B108" s="53" t="s">
        <v>11013</v>
      </c>
      <c r="C108" s="53" t="s">
        <v>10829</v>
      </c>
      <c r="D108" s="53" t="s">
        <v>10829</v>
      </c>
      <c r="E108" s="53" t="s">
        <v>10830</v>
      </c>
      <c r="F108" s="53" t="s">
        <v>11014</v>
      </c>
      <c r="G108" s="54">
        <v>0.86</v>
      </c>
      <c r="H108" s="53">
        <v>86</v>
      </c>
      <c r="I108" s="53">
        <v>1056</v>
      </c>
      <c r="J108" s="53">
        <v>1200</v>
      </c>
      <c r="K108" s="53"/>
      <c r="L108" s="53"/>
      <c r="M108" s="53"/>
      <c r="N108" s="53"/>
      <c r="O108" s="53"/>
      <c r="P108" s="53"/>
      <c r="Q108" s="53"/>
      <c r="R108" s="53"/>
      <c r="S108" s="53"/>
      <c r="T108" s="53"/>
    </row>
    <row r="109">
      <c r="A109" s="53"/>
      <c r="B109" s="53" t="s">
        <v>11015</v>
      </c>
      <c r="C109" s="53" t="s">
        <v>10829</v>
      </c>
      <c r="D109" s="53" t="s">
        <v>10829</v>
      </c>
      <c r="E109" s="53" t="s">
        <v>10830</v>
      </c>
      <c r="F109" s="53" t="s">
        <v>11016</v>
      </c>
      <c r="G109" s="54">
        <v>0.855</v>
      </c>
      <c r="H109" s="53">
        <v>85.5</v>
      </c>
      <c r="I109" s="53">
        <v>2176</v>
      </c>
      <c r="J109" s="53">
        <v>2000</v>
      </c>
      <c r="K109" s="53"/>
      <c r="L109" s="53"/>
      <c r="M109" s="53"/>
      <c r="N109" s="53"/>
      <c r="O109" s="53"/>
      <c r="P109" s="53"/>
      <c r="Q109" s="53"/>
      <c r="R109" s="53"/>
      <c r="S109" s="53"/>
      <c r="T109" s="53"/>
    </row>
    <row r="110">
      <c r="A110" s="53"/>
      <c r="B110" s="53" t="s">
        <v>11017</v>
      </c>
      <c r="C110" s="53" t="s">
        <v>10837</v>
      </c>
      <c r="D110" s="53" t="s">
        <v>10837</v>
      </c>
      <c r="E110" s="53" t="s">
        <v>10838</v>
      </c>
      <c r="F110" s="53" t="s">
        <v>11018</v>
      </c>
      <c r="G110" s="54">
        <v>0.85</v>
      </c>
      <c r="H110" s="53">
        <v>85</v>
      </c>
      <c r="I110" s="53">
        <v>1700</v>
      </c>
      <c r="J110" s="53">
        <v>2000</v>
      </c>
      <c r="K110" s="53"/>
      <c r="L110" s="53"/>
      <c r="M110" s="53"/>
      <c r="N110" s="53"/>
      <c r="O110" s="53"/>
      <c r="P110" s="53"/>
      <c r="Q110" s="53"/>
      <c r="R110" s="53"/>
      <c r="S110" s="53"/>
      <c r="T110" s="53"/>
    </row>
    <row r="111">
      <c r="A111" s="53"/>
      <c r="B111" s="53" t="s">
        <v>11019</v>
      </c>
      <c r="C111" s="53" t="s">
        <v>11020</v>
      </c>
      <c r="D111" s="53" t="s">
        <v>11020</v>
      </c>
      <c r="E111" s="53" t="s">
        <v>11021</v>
      </c>
      <c r="F111" s="53" t="s">
        <v>11022</v>
      </c>
      <c r="G111" s="54">
        <v>0.85</v>
      </c>
      <c r="H111" s="53">
        <v>85</v>
      </c>
      <c r="I111" s="53">
        <v>0</v>
      </c>
      <c r="J111" s="53">
        <v>0</v>
      </c>
      <c r="K111" s="53"/>
      <c r="L111" s="53"/>
      <c r="M111" s="53"/>
      <c r="N111" s="53"/>
      <c r="O111" s="53"/>
      <c r="P111" s="53"/>
      <c r="Q111" s="53"/>
      <c r="R111" s="53"/>
      <c r="S111" s="53"/>
      <c r="T111" s="53"/>
    </row>
    <row r="112">
      <c r="A112" s="53"/>
      <c r="B112" s="53" t="s">
        <v>11023</v>
      </c>
      <c r="C112" s="53" t="s">
        <v>10921</v>
      </c>
      <c r="D112" s="53" t="s">
        <v>10921</v>
      </c>
      <c r="E112" s="53" t="s">
        <v>10877</v>
      </c>
      <c r="F112" s="53" t="s">
        <v>11024</v>
      </c>
      <c r="G112" s="54">
        <v>0.819475</v>
      </c>
      <c r="H112" s="53">
        <v>83.12</v>
      </c>
      <c r="I112" s="53">
        <v>250</v>
      </c>
      <c r="J112" s="53">
        <v>1000</v>
      </c>
      <c r="K112" s="53"/>
      <c r="L112" s="53"/>
      <c r="M112" s="53"/>
      <c r="N112" s="53"/>
      <c r="O112" s="53"/>
      <c r="P112" s="53"/>
      <c r="Q112" s="53"/>
      <c r="R112" s="53"/>
      <c r="S112" s="53"/>
      <c r="T112" s="53"/>
    </row>
    <row r="113">
      <c r="A113" s="53"/>
      <c r="B113" s="53" t="s">
        <v>11025</v>
      </c>
      <c r="C113" s="53" t="s">
        <v>10829</v>
      </c>
      <c r="D113" s="53" t="s">
        <v>10829</v>
      </c>
      <c r="E113" s="53" t="s">
        <v>10830</v>
      </c>
      <c r="F113" s="53" t="s">
        <v>11026</v>
      </c>
      <c r="G113" s="54">
        <v>0.832</v>
      </c>
      <c r="H113" s="53">
        <v>83</v>
      </c>
      <c r="I113" s="53">
        <v>1248</v>
      </c>
      <c r="J113" s="53">
        <v>1500</v>
      </c>
      <c r="K113" s="53"/>
      <c r="L113" s="53"/>
      <c r="M113" s="53"/>
      <c r="N113" s="53"/>
      <c r="O113" s="53"/>
      <c r="P113" s="53"/>
      <c r="Q113" s="53"/>
      <c r="R113" s="53"/>
      <c r="S113" s="53"/>
      <c r="T113" s="53"/>
    </row>
    <row r="114">
      <c r="A114" s="53"/>
      <c r="B114" s="53" t="s">
        <v>11027</v>
      </c>
      <c r="C114" s="53" t="s">
        <v>10921</v>
      </c>
      <c r="D114" s="53" t="s">
        <v>10921</v>
      </c>
      <c r="E114" s="53" t="s">
        <v>10877</v>
      </c>
      <c r="F114" s="53" t="s">
        <v>11028</v>
      </c>
      <c r="G114" s="54">
        <v>0.8519</v>
      </c>
      <c r="H114" s="53">
        <v>82.14</v>
      </c>
      <c r="I114" s="53">
        <v>850</v>
      </c>
      <c r="J114" s="53">
        <v>1000</v>
      </c>
      <c r="K114" s="53"/>
      <c r="L114" s="53"/>
      <c r="M114" s="53"/>
      <c r="N114" s="53"/>
      <c r="O114" s="53"/>
      <c r="P114" s="53"/>
      <c r="Q114" s="53"/>
      <c r="R114" s="53"/>
      <c r="S114" s="53"/>
      <c r="T114" s="53"/>
    </row>
    <row r="115">
      <c r="A115" s="53"/>
      <c r="B115" s="53" t="s">
        <v>11029</v>
      </c>
      <c r="C115" s="53" t="s">
        <v>10829</v>
      </c>
      <c r="D115" s="53" t="s">
        <v>10829</v>
      </c>
      <c r="E115" s="53" t="s">
        <v>10830</v>
      </c>
      <c r="F115" s="53" t="s">
        <v>11030</v>
      </c>
      <c r="G115" s="54">
        <v>0.815</v>
      </c>
      <c r="H115" s="53">
        <v>82</v>
      </c>
      <c r="I115" s="53">
        <v>1846</v>
      </c>
      <c r="J115" s="53">
        <v>1500</v>
      </c>
      <c r="K115" s="53"/>
      <c r="L115" s="53"/>
      <c r="M115" s="53"/>
      <c r="N115" s="53"/>
      <c r="O115" s="53"/>
      <c r="P115" s="53"/>
      <c r="Q115" s="53"/>
      <c r="R115" s="53"/>
      <c r="S115" s="53"/>
      <c r="T115" s="53"/>
    </row>
    <row r="116">
      <c r="A116" s="53"/>
      <c r="B116" s="53" t="s">
        <v>11031</v>
      </c>
      <c r="C116" s="53" t="s">
        <v>10829</v>
      </c>
      <c r="D116" s="53" t="s">
        <v>10829</v>
      </c>
      <c r="E116" s="53" t="s">
        <v>10830</v>
      </c>
      <c r="F116" s="53" t="s">
        <v>11032</v>
      </c>
      <c r="G116" s="54">
        <v>0.82</v>
      </c>
      <c r="H116" s="53">
        <v>82</v>
      </c>
      <c r="I116" s="53">
        <v>1230</v>
      </c>
      <c r="J116" s="53">
        <v>1500</v>
      </c>
      <c r="K116" s="53"/>
      <c r="L116" s="53"/>
      <c r="M116" s="53"/>
      <c r="N116" s="53"/>
      <c r="O116" s="53"/>
      <c r="P116" s="53"/>
      <c r="Q116" s="53"/>
      <c r="R116" s="53"/>
      <c r="S116" s="53"/>
      <c r="T116" s="53"/>
    </row>
    <row r="117">
      <c r="A117" s="53"/>
      <c r="B117" s="53" t="s">
        <v>11033</v>
      </c>
      <c r="C117" s="53" t="s">
        <v>10829</v>
      </c>
      <c r="D117" s="53" t="s">
        <v>10829</v>
      </c>
      <c r="E117" s="53" t="s">
        <v>10830</v>
      </c>
      <c r="F117" s="53" t="s">
        <v>11034</v>
      </c>
      <c r="G117" s="54">
        <v>0.82</v>
      </c>
      <c r="H117" s="53">
        <v>82</v>
      </c>
      <c r="I117" s="53">
        <v>1361</v>
      </c>
      <c r="J117" s="53">
        <v>1500</v>
      </c>
      <c r="K117" s="53"/>
      <c r="L117" s="53"/>
      <c r="M117" s="53"/>
      <c r="N117" s="53"/>
      <c r="O117" s="53"/>
      <c r="P117" s="53"/>
      <c r="Q117" s="53"/>
      <c r="R117" s="53"/>
      <c r="S117" s="53"/>
      <c r="T117" s="53"/>
    </row>
    <row r="118">
      <c r="A118" s="53"/>
      <c r="B118" s="53" t="s">
        <v>11035</v>
      </c>
      <c r="C118" s="53" t="s">
        <v>10829</v>
      </c>
      <c r="D118" s="53" t="s">
        <v>10829</v>
      </c>
      <c r="E118" s="53" t="s">
        <v>10830</v>
      </c>
      <c r="F118" s="53" t="s">
        <v>11036</v>
      </c>
      <c r="G118" s="54">
        <v>0.886</v>
      </c>
      <c r="H118" s="53">
        <v>77</v>
      </c>
      <c r="I118" s="53">
        <v>1350</v>
      </c>
      <c r="J118" s="53">
        <v>1500</v>
      </c>
      <c r="K118" s="53"/>
      <c r="L118" s="53"/>
      <c r="M118" s="53"/>
      <c r="N118" s="53"/>
      <c r="O118" s="53"/>
      <c r="P118" s="53"/>
      <c r="Q118" s="53"/>
      <c r="R118" s="53"/>
      <c r="S118" s="53"/>
      <c r="T118" s="53"/>
    </row>
    <row r="119">
      <c r="A119" s="53"/>
      <c r="B119" s="53" t="s">
        <v>11037</v>
      </c>
      <c r="C119" s="53" t="s">
        <v>10829</v>
      </c>
      <c r="D119" s="53" t="s">
        <v>10829</v>
      </c>
      <c r="E119" s="53" t="s">
        <v>10830</v>
      </c>
      <c r="F119" s="53" t="s">
        <v>11038</v>
      </c>
      <c r="G119" s="54">
        <v>0.715</v>
      </c>
      <c r="H119" s="53">
        <v>72</v>
      </c>
      <c r="I119" s="53">
        <v>1125</v>
      </c>
      <c r="J119" s="53">
        <v>1500</v>
      </c>
      <c r="K119" s="53"/>
      <c r="L119" s="53"/>
      <c r="M119" s="53"/>
      <c r="N119" s="53"/>
      <c r="O119" s="53"/>
      <c r="P119" s="53"/>
      <c r="Q119" s="53"/>
      <c r="R119" s="53"/>
      <c r="S119" s="53"/>
      <c r="T119" s="53"/>
    </row>
    <row r="120">
      <c r="A120" s="53"/>
      <c r="B120" s="53" t="s">
        <v>11039</v>
      </c>
      <c r="C120" s="53" t="s">
        <v>10829</v>
      </c>
      <c r="D120" s="53" t="s">
        <v>10829</v>
      </c>
      <c r="E120" s="53" t="s">
        <v>10830</v>
      </c>
      <c r="F120" s="53" t="s">
        <v>11040</v>
      </c>
      <c r="G120" s="54">
        <v>0.7</v>
      </c>
      <c r="H120" s="53">
        <v>70</v>
      </c>
      <c r="I120" s="53">
        <v>1050</v>
      </c>
      <c r="J120" s="53">
        <v>1200</v>
      </c>
      <c r="K120" s="53"/>
      <c r="L120" s="53"/>
      <c r="M120" s="53"/>
      <c r="N120" s="53"/>
      <c r="O120" s="53"/>
      <c r="P120" s="53"/>
      <c r="Q120" s="53"/>
      <c r="R120" s="53"/>
      <c r="S120" s="53"/>
      <c r="T120" s="53"/>
    </row>
    <row r="121">
      <c r="A121" s="53"/>
      <c r="B121" s="53" t="s">
        <v>11041</v>
      </c>
      <c r="C121" s="53" t="s">
        <v>10829</v>
      </c>
      <c r="D121" s="53" t="s">
        <v>10829</v>
      </c>
      <c r="E121" s="53" t="s">
        <v>10830</v>
      </c>
      <c r="F121" s="53" t="s">
        <v>11042</v>
      </c>
      <c r="G121" s="54">
        <v>0.7</v>
      </c>
      <c r="H121" s="53">
        <v>70</v>
      </c>
      <c r="I121" s="53">
        <v>1284</v>
      </c>
      <c r="J121" s="53">
        <v>1500</v>
      </c>
      <c r="K121" s="53"/>
      <c r="L121" s="53"/>
      <c r="M121" s="53"/>
      <c r="N121" s="53"/>
      <c r="O121" s="53"/>
      <c r="P121" s="53"/>
      <c r="Q121" s="53"/>
      <c r="R121" s="53"/>
      <c r="S121" s="53"/>
      <c r="T121" s="53"/>
    </row>
    <row r="122">
      <c r="A122" s="53"/>
      <c r="B122" s="53" t="s">
        <v>11043</v>
      </c>
      <c r="C122" s="53" t="s">
        <v>11044</v>
      </c>
      <c r="D122" s="53" t="s">
        <v>11044</v>
      </c>
      <c r="E122" s="53" t="s">
        <v>11045</v>
      </c>
      <c r="F122" s="53" t="s">
        <v>11046</v>
      </c>
      <c r="G122" s="54">
        <v>0.7</v>
      </c>
      <c r="H122" s="53">
        <v>70</v>
      </c>
      <c r="I122" s="53">
        <v>1050</v>
      </c>
      <c r="J122" s="53">
        <v>1500</v>
      </c>
      <c r="K122" s="53"/>
      <c r="L122" s="53"/>
      <c r="M122" s="53"/>
      <c r="N122" s="53"/>
      <c r="O122" s="53"/>
      <c r="P122" s="53"/>
      <c r="Q122" s="53"/>
      <c r="R122" s="53"/>
      <c r="S122" s="53"/>
      <c r="T122" s="53"/>
    </row>
    <row r="123">
      <c r="A123" s="53"/>
      <c r="B123" s="53" t="s">
        <v>11047</v>
      </c>
      <c r="C123" s="53" t="s">
        <v>10829</v>
      </c>
      <c r="D123" s="53" t="s">
        <v>10829</v>
      </c>
      <c r="E123" s="53" t="s">
        <v>10830</v>
      </c>
      <c r="F123" s="53" t="s">
        <v>11048</v>
      </c>
      <c r="G123" s="54">
        <v>1</v>
      </c>
      <c r="H123" s="53">
        <v>67</v>
      </c>
      <c r="I123" s="53">
        <v>900</v>
      </c>
      <c r="J123" s="53">
        <v>1500</v>
      </c>
      <c r="K123" s="53"/>
      <c r="L123" s="53"/>
      <c r="M123" s="53"/>
      <c r="N123" s="53"/>
      <c r="O123" s="53"/>
      <c r="P123" s="53"/>
      <c r="Q123" s="53"/>
      <c r="R123" s="53"/>
      <c r="S123" s="53"/>
      <c r="T123" s="53"/>
    </row>
    <row r="124">
      <c r="A124" s="53"/>
      <c r="B124" s="53" t="s">
        <v>11049</v>
      </c>
      <c r="C124" s="53" t="s">
        <v>10829</v>
      </c>
      <c r="D124" s="53" t="s">
        <v>10829</v>
      </c>
      <c r="E124" s="53" t="s">
        <v>10830</v>
      </c>
      <c r="F124" s="53" t="s">
        <v>11050</v>
      </c>
      <c r="G124" s="54">
        <v>0.58</v>
      </c>
      <c r="H124" s="53">
        <v>58</v>
      </c>
      <c r="I124" s="53">
        <v>680</v>
      </c>
      <c r="J124" s="53">
        <v>1200</v>
      </c>
      <c r="K124" s="53"/>
      <c r="L124" s="53"/>
      <c r="M124" s="53"/>
      <c r="N124" s="53"/>
      <c r="O124" s="53"/>
      <c r="P124" s="53"/>
      <c r="Q124" s="53"/>
      <c r="R124" s="53"/>
      <c r="S124" s="53"/>
      <c r="T124" s="53"/>
    </row>
    <row r="125">
      <c r="A125" s="53"/>
      <c r="B125" s="53" t="s">
        <v>11051</v>
      </c>
      <c r="C125" s="53" t="s">
        <v>10829</v>
      </c>
      <c r="D125" s="53" t="s">
        <v>10829</v>
      </c>
      <c r="E125" s="53" t="s">
        <v>10830</v>
      </c>
      <c r="F125" s="53" t="s">
        <v>11052</v>
      </c>
      <c r="G125" s="54">
        <v>0.515</v>
      </c>
      <c r="H125" s="53">
        <v>52</v>
      </c>
      <c r="I125" s="53">
        <v>714</v>
      </c>
      <c r="J125" s="53">
        <v>1200</v>
      </c>
      <c r="K125" s="53"/>
      <c r="L125" s="53"/>
      <c r="M125" s="53"/>
      <c r="N125" s="53"/>
      <c r="O125" s="53"/>
      <c r="P125" s="53"/>
      <c r="Q125" s="53"/>
      <c r="R125" s="53"/>
      <c r="S125" s="53"/>
      <c r="T125" s="53"/>
    </row>
    <row r="126">
      <c r="A126" s="53"/>
      <c r="B126" s="53" t="s">
        <v>11053</v>
      </c>
      <c r="C126" s="53" t="s">
        <v>10829</v>
      </c>
      <c r="D126" s="53" t="s">
        <v>10829</v>
      </c>
      <c r="E126" s="53" t="s">
        <v>10830</v>
      </c>
      <c r="F126" s="53" t="s">
        <v>11054</v>
      </c>
      <c r="G126" s="54">
        <v>0.46</v>
      </c>
      <c r="H126" s="53">
        <v>46</v>
      </c>
      <c r="I126" s="53">
        <v>690</v>
      </c>
      <c r="J126" s="53">
        <v>1200</v>
      </c>
      <c r="K126" s="53"/>
      <c r="L126" s="53"/>
      <c r="M126" s="53"/>
      <c r="N126" s="53"/>
      <c r="O126" s="53"/>
      <c r="P126" s="53"/>
      <c r="Q126" s="53"/>
      <c r="R126" s="53"/>
      <c r="S126" s="53"/>
      <c r="T126" s="53"/>
    </row>
    <row r="127">
      <c r="A127" s="53"/>
      <c r="B127" s="53" t="s">
        <v>11055</v>
      </c>
      <c r="C127" s="53" t="s">
        <v>10829</v>
      </c>
      <c r="D127" s="53" t="s">
        <v>10829</v>
      </c>
      <c r="E127" s="53" t="s">
        <v>10830</v>
      </c>
      <c r="F127" s="53" t="s">
        <v>11056</v>
      </c>
      <c r="G127" s="54">
        <v>0.425</v>
      </c>
      <c r="H127" s="53">
        <v>42.5</v>
      </c>
      <c r="I127" s="53">
        <v>630</v>
      </c>
      <c r="J127" s="53">
        <v>1200</v>
      </c>
      <c r="K127" s="53"/>
      <c r="L127" s="53"/>
      <c r="M127" s="53"/>
      <c r="N127" s="53"/>
      <c r="O127" s="53"/>
      <c r="P127" s="53"/>
      <c r="Q127" s="53"/>
      <c r="R127" s="53"/>
      <c r="S127" s="53"/>
      <c r="T127" s="53"/>
    </row>
    <row r="128">
      <c r="A128" s="53"/>
      <c r="B128" s="53" t="s">
        <v>11057</v>
      </c>
      <c r="C128" s="53" t="s">
        <v>10829</v>
      </c>
      <c r="D128" s="53" t="s">
        <v>10829</v>
      </c>
      <c r="E128" s="53" t="s">
        <v>10830</v>
      </c>
      <c r="F128" s="53" t="s">
        <v>11058</v>
      </c>
      <c r="G128" s="54">
        <v>0.682</v>
      </c>
      <c r="H128" s="53">
        <v>23.2</v>
      </c>
      <c r="I128" s="53">
        <v>768</v>
      </c>
      <c r="J128" s="53">
        <v>1200</v>
      </c>
      <c r="K128" s="53"/>
      <c r="L128" s="53"/>
      <c r="M128" s="53"/>
      <c r="N128" s="53"/>
      <c r="O128" s="53"/>
      <c r="P128" s="53"/>
      <c r="Q128" s="53"/>
      <c r="R128" s="53"/>
      <c r="S128" s="53"/>
      <c r="T128" s="53"/>
    </row>
    <row r="129">
      <c r="A129" s="53"/>
      <c r="B129" s="53" t="s">
        <v>11059</v>
      </c>
      <c r="C129" s="53" t="s">
        <v>11060</v>
      </c>
      <c r="D129" s="53" t="s">
        <v>11060</v>
      </c>
      <c r="E129" s="53" t="s">
        <v>11045</v>
      </c>
      <c r="F129" s="53" t="s">
        <v>11061</v>
      </c>
      <c r="G129" s="54">
        <v>3.821</v>
      </c>
      <c r="H129" s="53">
        <v>3.82</v>
      </c>
      <c r="I129" s="53">
        <v>3155.17</v>
      </c>
      <c r="J129" s="53">
        <v>1200</v>
      </c>
      <c r="K129" s="53"/>
      <c r="L129" s="53"/>
      <c r="M129" s="53"/>
      <c r="N129" s="53"/>
      <c r="O129" s="53"/>
      <c r="P129" s="53"/>
      <c r="Q129" s="53"/>
      <c r="R129" s="53"/>
      <c r="S129" s="53"/>
      <c r="T129" s="53"/>
    </row>
    <row r="130">
      <c r="A130" s="53"/>
      <c r="B130" s="53" t="s">
        <v>11062</v>
      </c>
      <c r="C130" s="53" t="s">
        <v>11060</v>
      </c>
      <c r="D130" s="53" t="s">
        <v>11060</v>
      </c>
      <c r="E130" s="53" t="s">
        <v>11045</v>
      </c>
      <c r="F130" s="53" t="s">
        <v>11063</v>
      </c>
      <c r="G130" s="54">
        <v>3.358</v>
      </c>
      <c r="H130" s="53">
        <v>3.36</v>
      </c>
      <c r="I130" s="53">
        <v>3537.93</v>
      </c>
      <c r="J130" s="53">
        <v>1500</v>
      </c>
      <c r="K130" s="53"/>
      <c r="L130" s="53"/>
      <c r="M130" s="53"/>
      <c r="N130" s="53"/>
      <c r="O130" s="53"/>
      <c r="P130" s="53"/>
      <c r="Q130" s="53"/>
      <c r="R130" s="53"/>
      <c r="S130" s="53"/>
      <c r="T130" s="53"/>
    </row>
    <row r="131">
      <c r="A131" s="53"/>
      <c r="B131" s="53" t="s">
        <v>11064</v>
      </c>
      <c r="C131" s="53" t="s">
        <v>11065</v>
      </c>
      <c r="D131" s="53" t="s">
        <v>11065</v>
      </c>
      <c r="E131" s="53" t="s">
        <v>11045</v>
      </c>
      <c r="F131" s="53" t="s">
        <v>11066</v>
      </c>
      <c r="G131" s="54">
        <v>0.03</v>
      </c>
      <c r="H131" s="53">
        <v>3</v>
      </c>
      <c r="I131" s="53">
        <v>3360</v>
      </c>
      <c r="J131" s="53">
        <v>1200</v>
      </c>
      <c r="K131" s="53"/>
      <c r="L131" s="53"/>
      <c r="M131" s="53"/>
      <c r="N131" s="53"/>
      <c r="O131" s="53"/>
      <c r="P131" s="53"/>
      <c r="Q131" s="53"/>
      <c r="R131" s="53"/>
      <c r="S131" s="53"/>
      <c r="T131" s="53"/>
    </row>
    <row r="132">
      <c r="A132" s="53"/>
      <c r="B132" s="53" t="s">
        <v>11067</v>
      </c>
      <c r="C132" s="53" t="s">
        <v>11065</v>
      </c>
      <c r="D132" s="53" t="s">
        <v>11065</v>
      </c>
      <c r="E132" s="53" t="s">
        <v>11045</v>
      </c>
      <c r="F132" s="53" t="s">
        <v>11068</v>
      </c>
      <c r="G132" s="54">
        <v>0.03</v>
      </c>
      <c r="H132" s="53">
        <v>3</v>
      </c>
      <c r="I132" s="53">
        <v>3600</v>
      </c>
      <c r="J132" s="53">
        <v>1500</v>
      </c>
      <c r="K132" s="53"/>
      <c r="L132" s="53"/>
      <c r="M132" s="53"/>
      <c r="N132" s="53"/>
      <c r="O132" s="53"/>
      <c r="P132" s="53"/>
      <c r="Q132" s="53"/>
      <c r="R132" s="53"/>
      <c r="S132" s="53"/>
      <c r="T132" s="53"/>
    </row>
    <row r="133">
      <c r="A133" s="53"/>
      <c r="B133" s="53" t="s">
        <v>11069</v>
      </c>
      <c r="C133" s="53" t="s">
        <v>11065</v>
      </c>
      <c r="D133" s="53" t="s">
        <v>11065</v>
      </c>
      <c r="E133" s="53" t="s">
        <v>11045</v>
      </c>
      <c r="F133" s="53" t="s">
        <v>11070</v>
      </c>
      <c r="G133" s="54">
        <v>0.02</v>
      </c>
      <c r="H133" s="53">
        <v>2</v>
      </c>
      <c r="I133" s="53">
        <v>900</v>
      </c>
      <c r="J133" s="53">
        <v>1500</v>
      </c>
      <c r="K133" s="53"/>
      <c r="L133" s="53"/>
      <c r="M133" s="53"/>
      <c r="N133" s="53"/>
      <c r="O133" s="53"/>
      <c r="P133" s="53"/>
      <c r="Q133" s="53"/>
      <c r="R133" s="53"/>
      <c r="S133" s="53"/>
      <c r="T133" s="53"/>
    </row>
    <row r="134">
      <c r="A134" s="53"/>
      <c r="B134" s="53" t="s">
        <v>11071</v>
      </c>
      <c r="C134" s="53" t="s">
        <v>11065</v>
      </c>
      <c r="D134" s="53" t="s">
        <v>11065</v>
      </c>
      <c r="E134" s="53" t="s">
        <v>11045</v>
      </c>
      <c r="F134" s="53" t="s">
        <v>11072</v>
      </c>
      <c r="G134" s="54">
        <v>0.02</v>
      </c>
      <c r="H134" s="53">
        <v>2</v>
      </c>
      <c r="I134" s="53">
        <v>840</v>
      </c>
      <c r="J134" s="53">
        <v>1500</v>
      </c>
      <c r="K134" s="53"/>
      <c r="L134" s="53"/>
      <c r="M134" s="53"/>
      <c r="N134" s="53"/>
      <c r="O134" s="53"/>
      <c r="P134" s="53"/>
      <c r="Q134" s="53"/>
      <c r="R134" s="53"/>
      <c r="S134" s="53"/>
      <c r="T134" s="53"/>
    </row>
    <row r="135">
      <c r="A135" s="53"/>
      <c r="B135" s="53" t="s">
        <v>11073</v>
      </c>
      <c r="C135" s="53" t="s">
        <v>11074</v>
      </c>
      <c r="D135" s="53" t="s">
        <v>11074</v>
      </c>
      <c r="E135" s="53" t="s">
        <v>11075</v>
      </c>
      <c r="F135" s="53" t="s">
        <v>11076</v>
      </c>
      <c r="G135" s="54">
        <v>0.4935</v>
      </c>
      <c r="H135" s="53">
        <v>1.5</v>
      </c>
      <c r="I135" s="53">
        <v>1800</v>
      </c>
      <c r="J135" s="53">
        <v>1200</v>
      </c>
      <c r="K135" s="53"/>
      <c r="L135" s="53"/>
      <c r="M135" s="53"/>
      <c r="N135" s="53"/>
      <c r="O135" s="53"/>
      <c r="P135" s="53"/>
      <c r="Q135" s="53"/>
      <c r="R135" s="53"/>
      <c r="S135" s="53"/>
      <c r="T135" s="53"/>
    </row>
    <row r="136">
      <c r="A136" s="53"/>
      <c r="B136" s="53" t="s">
        <v>11077</v>
      </c>
      <c r="C136" s="53" t="s">
        <v>11078</v>
      </c>
      <c r="D136" s="53" t="s">
        <v>11078</v>
      </c>
      <c r="E136" s="53" t="s">
        <v>11079</v>
      </c>
      <c r="F136" s="53" t="s">
        <v>11080</v>
      </c>
      <c r="G136" s="54">
        <v>1</v>
      </c>
      <c r="H136" s="53">
        <v>1.5</v>
      </c>
      <c r="I136" s="53">
        <v>3600</v>
      </c>
      <c r="J136" s="53">
        <v>3000</v>
      </c>
      <c r="K136" s="53"/>
      <c r="L136" s="53"/>
      <c r="M136" s="53"/>
      <c r="N136" s="53"/>
      <c r="O136" s="53"/>
      <c r="P136" s="53"/>
      <c r="Q136" s="53"/>
      <c r="R136" s="53"/>
      <c r="S136" s="53"/>
      <c r="T136" s="53"/>
    </row>
    <row r="137">
      <c r="A137" s="53"/>
      <c r="B137" s="53" t="s">
        <v>11081</v>
      </c>
      <c r="C137" s="53" t="s">
        <v>11082</v>
      </c>
      <c r="D137" s="53" t="s">
        <v>11082</v>
      </c>
      <c r="E137" s="53" t="s">
        <v>11083</v>
      </c>
      <c r="F137" s="53" t="s">
        <v>11084</v>
      </c>
      <c r="G137" s="54">
        <v>1.5</v>
      </c>
      <c r="H137" s="53">
        <v>1.5</v>
      </c>
      <c r="I137" s="53">
        <v>5000</v>
      </c>
      <c r="J137" s="53">
        <v>2000</v>
      </c>
      <c r="K137" s="53"/>
      <c r="L137" s="53"/>
      <c r="M137" s="53"/>
      <c r="N137" s="53"/>
      <c r="O137" s="53"/>
      <c r="P137" s="53"/>
      <c r="Q137" s="53"/>
      <c r="R137" s="53"/>
      <c r="S137" s="53"/>
      <c r="T137" s="53"/>
    </row>
    <row r="138">
      <c r="A138" s="53"/>
      <c r="B138" s="53" t="s">
        <v>11085</v>
      </c>
      <c r="C138" s="53" t="s">
        <v>11086</v>
      </c>
      <c r="D138" s="53" t="s">
        <v>11086</v>
      </c>
      <c r="E138" s="53" t="s">
        <v>11045</v>
      </c>
      <c r="F138" s="53" t="s">
        <v>11087</v>
      </c>
      <c r="G138" s="54">
        <v>1.872</v>
      </c>
      <c r="H138" s="53">
        <v>1.5</v>
      </c>
      <c r="I138" s="53">
        <v>1860</v>
      </c>
      <c r="J138" s="53">
        <v>1500</v>
      </c>
      <c r="K138" s="53"/>
      <c r="L138" s="53"/>
      <c r="M138" s="53"/>
      <c r="N138" s="53"/>
      <c r="O138" s="53"/>
      <c r="P138" s="53"/>
      <c r="Q138" s="53"/>
      <c r="R138" s="53"/>
      <c r="S138" s="53"/>
      <c r="T138" s="53"/>
    </row>
    <row r="139">
      <c r="A139" s="53"/>
      <c r="B139" s="53" t="s">
        <v>11088</v>
      </c>
      <c r="C139" s="53" t="s">
        <v>11089</v>
      </c>
      <c r="D139" s="53" t="s">
        <v>11089</v>
      </c>
      <c r="E139" s="53" t="s">
        <v>11090</v>
      </c>
      <c r="F139" s="53" t="s">
        <v>11091</v>
      </c>
      <c r="G139" s="54">
        <v>1.24</v>
      </c>
      <c r="H139" s="53">
        <v>1.5</v>
      </c>
      <c r="I139" s="53">
        <v>2000</v>
      </c>
      <c r="J139" s="53">
        <v>2000</v>
      </c>
      <c r="K139" s="53"/>
      <c r="L139" s="53"/>
      <c r="M139" s="53"/>
      <c r="N139" s="53"/>
      <c r="O139" s="53"/>
      <c r="P139" s="53"/>
      <c r="Q139" s="53"/>
      <c r="R139" s="53"/>
      <c r="S139" s="53"/>
      <c r="T139" s="53"/>
    </row>
    <row r="140">
      <c r="A140" s="53"/>
      <c r="B140" s="53" t="s">
        <v>11092</v>
      </c>
      <c r="C140" s="53" t="s">
        <v>11093</v>
      </c>
      <c r="D140" s="53" t="s">
        <v>11093</v>
      </c>
      <c r="E140" s="53" t="s">
        <v>11094</v>
      </c>
      <c r="F140" s="53" t="s">
        <v>11095</v>
      </c>
      <c r="G140" s="54">
        <v>5.663</v>
      </c>
      <c r="H140" s="53">
        <v>1.5</v>
      </c>
      <c r="I140" s="53">
        <v>5756</v>
      </c>
      <c r="J140" s="53">
        <v>5000</v>
      </c>
      <c r="K140" s="53"/>
      <c r="L140" s="53"/>
      <c r="M140" s="53"/>
      <c r="N140" s="53"/>
      <c r="O140" s="53"/>
      <c r="P140" s="53"/>
      <c r="Q140" s="53"/>
      <c r="R140" s="53"/>
      <c r="S140" s="53"/>
      <c r="T140" s="53"/>
    </row>
    <row r="141">
      <c r="A141" s="53"/>
      <c r="B141" s="53" t="s">
        <v>11096</v>
      </c>
      <c r="C141" s="53" t="s">
        <v>11093</v>
      </c>
      <c r="D141" s="53" t="s">
        <v>11093</v>
      </c>
      <c r="E141" s="53" t="s">
        <v>10813</v>
      </c>
      <c r="F141" s="53" t="s">
        <v>11097</v>
      </c>
      <c r="G141" s="54">
        <v>1.898</v>
      </c>
      <c r="H141" s="53">
        <v>1.5</v>
      </c>
      <c r="I141" s="53">
        <v>6630</v>
      </c>
      <c r="J141" s="53">
        <v>6000</v>
      </c>
      <c r="K141" s="53"/>
      <c r="L141" s="53"/>
      <c r="M141" s="53"/>
      <c r="N141" s="53"/>
      <c r="O141" s="53"/>
      <c r="P141" s="53"/>
      <c r="Q141" s="53"/>
      <c r="R141" s="53"/>
      <c r="S141" s="53"/>
      <c r="T141" s="53"/>
    </row>
    <row r="142">
      <c r="A142" s="53"/>
      <c r="B142" s="53" t="s">
        <v>11098</v>
      </c>
      <c r="C142" s="53" t="s">
        <v>11099</v>
      </c>
      <c r="D142" s="53" t="s">
        <v>11099</v>
      </c>
      <c r="E142" s="53" t="s">
        <v>11100</v>
      </c>
      <c r="F142" s="53" t="s">
        <v>11101</v>
      </c>
      <c r="G142" s="54">
        <v>1</v>
      </c>
      <c r="H142" s="53">
        <v>1.41</v>
      </c>
      <c r="I142" s="53">
        <v>0</v>
      </c>
      <c r="J142" s="53">
        <v>3000</v>
      </c>
      <c r="K142" s="53"/>
      <c r="L142" s="53"/>
      <c r="M142" s="53"/>
      <c r="N142" s="53"/>
      <c r="O142" s="53"/>
      <c r="P142" s="53"/>
      <c r="Q142" s="53"/>
      <c r="R142" s="53"/>
      <c r="S142" s="53"/>
      <c r="T142" s="53"/>
    </row>
    <row r="143">
      <c r="A143" s="53"/>
      <c r="B143" s="53" t="s">
        <v>11102</v>
      </c>
      <c r="C143" s="53" t="s">
        <v>11103</v>
      </c>
      <c r="D143" s="53" t="s">
        <v>11103</v>
      </c>
      <c r="E143" s="53" t="s">
        <v>11104</v>
      </c>
      <c r="F143" s="53" t="s">
        <v>11105</v>
      </c>
      <c r="G143" s="54">
        <v>1.036154</v>
      </c>
      <c r="H143" s="53">
        <v>1.41</v>
      </c>
      <c r="I143" s="53">
        <v>2219.54</v>
      </c>
      <c r="J143" s="53">
        <v>2000</v>
      </c>
      <c r="K143" s="53"/>
      <c r="L143" s="53"/>
      <c r="M143" s="53"/>
      <c r="N143" s="53"/>
      <c r="O143" s="53"/>
      <c r="P143" s="53"/>
      <c r="Q143" s="53"/>
      <c r="R143" s="53"/>
      <c r="S143" s="53"/>
      <c r="T143" s="53"/>
    </row>
    <row r="144">
      <c r="A144" s="53"/>
      <c r="B144" s="53" t="s">
        <v>11106</v>
      </c>
      <c r="C144" s="53" t="s">
        <v>11107</v>
      </c>
      <c r="D144" s="53" t="s">
        <v>11107</v>
      </c>
      <c r="E144" s="53" t="s">
        <v>11108</v>
      </c>
      <c r="F144" s="53" t="s">
        <v>11109</v>
      </c>
      <c r="G144" s="54">
        <v>1.6352</v>
      </c>
      <c r="H144" s="53">
        <v>1.4</v>
      </c>
      <c r="I144" s="53">
        <v>2520</v>
      </c>
      <c r="J144" s="53">
        <v>3000</v>
      </c>
      <c r="K144" s="53"/>
      <c r="L144" s="53"/>
      <c r="M144" s="53"/>
      <c r="N144" s="53"/>
      <c r="O144" s="53"/>
      <c r="P144" s="53"/>
      <c r="Q144" s="53"/>
      <c r="R144" s="53"/>
      <c r="S144" s="53"/>
      <c r="T144" s="53"/>
    </row>
    <row r="145">
      <c r="A145" s="53"/>
      <c r="B145" s="53" t="s">
        <v>11110</v>
      </c>
      <c r="C145" s="53" t="s">
        <v>11111</v>
      </c>
      <c r="D145" s="53" t="s">
        <v>11111</v>
      </c>
      <c r="E145" s="53" t="s">
        <v>11112</v>
      </c>
      <c r="F145" s="53" t="s">
        <v>11113</v>
      </c>
      <c r="G145" s="54">
        <v>1.669283</v>
      </c>
      <c r="H145" s="53">
        <v>1.38</v>
      </c>
      <c r="I145" s="53">
        <v>4080</v>
      </c>
      <c r="J145" s="53">
        <v>3400</v>
      </c>
      <c r="K145" s="53"/>
      <c r="L145" s="53"/>
      <c r="M145" s="53"/>
      <c r="N145" s="53"/>
      <c r="O145" s="53"/>
      <c r="P145" s="53"/>
      <c r="Q145" s="53"/>
      <c r="R145" s="53"/>
      <c r="S145" s="53"/>
      <c r="T145" s="53"/>
    </row>
    <row r="146">
      <c r="A146" s="53"/>
      <c r="B146" s="53" t="s">
        <v>11114</v>
      </c>
      <c r="C146" s="53" t="s">
        <v>11115</v>
      </c>
      <c r="D146" s="53" t="s">
        <v>11115</v>
      </c>
      <c r="E146" s="53" t="s">
        <v>11104</v>
      </c>
      <c r="F146" s="53" t="s">
        <v>11116</v>
      </c>
      <c r="G146" s="54">
        <v>1.282671</v>
      </c>
      <c r="H146" s="53">
        <v>1.38</v>
      </c>
      <c r="I146" s="53">
        <v>2400</v>
      </c>
      <c r="J146" s="53">
        <v>2000</v>
      </c>
      <c r="K146" s="53"/>
      <c r="L146" s="53"/>
      <c r="M146" s="53"/>
      <c r="N146" s="53"/>
      <c r="O146" s="53"/>
      <c r="P146" s="53"/>
      <c r="Q146" s="53"/>
      <c r="R146" s="53"/>
      <c r="S146" s="53"/>
      <c r="T146" s="53"/>
    </row>
    <row r="147">
      <c r="A147" s="53"/>
      <c r="B147" s="53" t="s">
        <v>11117</v>
      </c>
      <c r="C147" s="53" t="s">
        <v>11111</v>
      </c>
      <c r="D147" s="53" t="s">
        <v>11111</v>
      </c>
      <c r="E147" s="53" t="s">
        <v>11118</v>
      </c>
      <c r="F147" s="53" t="s">
        <v>11119</v>
      </c>
      <c r="G147" s="54">
        <v>1.661867</v>
      </c>
      <c r="H147" s="53">
        <v>1.36</v>
      </c>
      <c r="I147" s="53">
        <v>6040.22</v>
      </c>
      <c r="J147" s="53">
        <v>5000</v>
      </c>
      <c r="K147" s="53"/>
      <c r="L147" s="53"/>
      <c r="M147" s="53"/>
      <c r="N147" s="53"/>
      <c r="O147" s="53"/>
      <c r="P147" s="53"/>
      <c r="Q147" s="53"/>
      <c r="R147" s="53"/>
      <c r="S147" s="53"/>
      <c r="T147" s="53"/>
    </row>
    <row r="148">
      <c r="A148" s="53"/>
      <c r="B148" s="53" t="s">
        <v>11120</v>
      </c>
      <c r="C148" s="53" t="s">
        <v>11121</v>
      </c>
      <c r="D148" s="53" t="s">
        <v>11121</v>
      </c>
      <c r="E148" s="53" t="s">
        <v>11122</v>
      </c>
      <c r="F148" s="53" t="s">
        <v>11123</v>
      </c>
      <c r="G148" s="54">
        <v>1.346</v>
      </c>
      <c r="H148" s="53">
        <v>1.35</v>
      </c>
      <c r="I148" s="53">
        <v>6000</v>
      </c>
      <c r="J148" s="53">
        <v>5000</v>
      </c>
      <c r="K148" s="53"/>
      <c r="L148" s="53"/>
      <c r="M148" s="53"/>
      <c r="N148" s="53"/>
      <c r="O148" s="53"/>
      <c r="P148" s="53"/>
      <c r="Q148" s="53"/>
      <c r="R148" s="53"/>
      <c r="S148" s="53"/>
      <c r="T148" s="53"/>
    </row>
    <row r="149">
      <c r="A149" s="53"/>
      <c r="B149" s="53" t="s">
        <v>11124</v>
      </c>
      <c r="C149" s="53" t="s">
        <v>11125</v>
      </c>
      <c r="D149" s="53" t="s">
        <v>11125</v>
      </c>
      <c r="E149" s="53" t="s">
        <v>11045</v>
      </c>
      <c r="F149" s="53" t="s">
        <v>11126</v>
      </c>
      <c r="G149" s="54">
        <v>1.445613</v>
      </c>
      <c r="H149" s="53">
        <v>1.35</v>
      </c>
      <c r="I149" s="53">
        <v>6500</v>
      </c>
      <c r="J149" s="53">
        <v>1500</v>
      </c>
      <c r="K149" s="53"/>
      <c r="L149" s="53"/>
      <c r="M149" s="53"/>
      <c r="N149" s="53"/>
      <c r="O149" s="53"/>
      <c r="P149" s="53"/>
      <c r="Q149" s="53"/>
      <c r="R149" s="53"/>
      <c r="S149" s="53"/>
      <c r="T149" s="53"/>
    </row>
    <row r="150">
      <c r="A150" s="53"/>
      <c r="B150" s="53" t="s">
        <v>11127</v>
      </c>
      <c r="C150" s="53" t="s">
        <v>11128</v>
      </c>
      <c r="D150" s="53" t="s">
        <v>11128</v>
      </c>
      <c r="E150" s="53" t="s">
        <v>11129</v>
      </c>
      <c r="F150" s="53" t="s">
        <v>11130</v>
      </c>
      <c r="G150" s="54">
        <v>1.01152</v>
      </c>
      <c r="H150" s="53">
        <v>1.34</v>
      </c>
      <c r="I150" s="53">
        <v>4400</v>
      </c>
      <c r="J150" s="53">
        <v>3000</v>
      </c>
      <c r="K150" s="53"/>
      <c r="L150" s="53"/>
      <c r="M150" s="53"/>
      <c r="N150" s="53"/>
      <c r="O150" s="53"/>
      <c r="P150" s="53"/>
      <c r="Q150" s="53"/>
      <c r="R150" s="53"/>
      <c r="S150" s="53"/>
      <c r="T150" s="53"/>
    </row>
    <row r="151">
      <c r="A151" s="53"/>
      <c r="B151" s="53" t="s">
        <v>11131</v>
      </c>
      <c r="C151" s="53" t="s">
        <v>11093</v>
      </c>
      <c r="D151" s="53" t="s">
        <v>11093</v>
      </c>
      <c r="E151" s="53" t="s">
        <v>11045</v>
      </c>
      <c r="F151" s="53" t="s">
        <v>11132</v>
      </c>
      <c r="G151" s="54">
        <v>3.2355</v>
      </c>
      <c r="H151" s="53">
        <v>1.31</v>
      </c>
      <c r="I151" s="53">
        <v>2250</v>
      </c>
      <c r="J151" s="53">
        <v>1500</v>
      </c>
      <c r="K151" s="53"/>
      <c r="L151" s="53"/>
      <c r="M151" s="53"/>
      <c r="N151" s="53"/>
      <c r="O151" s="53"/>
      <c r="P151" s="53"/>
      <c r="Q151" s="53"/>
      <c r="R151" s="53"/>
      <c r="S151" s="53"/>
      <c r="T151" s="53"/>
    </row>
    <row r="152">
      <c r="A152" s="53"/>
      <c r="B152" s="53" t="s">
        <v>11133</v>
      </c>
      <c r="C152" s="53" t="s">
        <v>11134</v>
      </c>
      <c r="D152" s="53" t="s">
        <v>11134</v>
      </c>
      <c r="E152" s="53" t="s">
        <v>11135</v>
      </c>
      <c r="F152" s="53" t="s">
        <v>11136</v>
      </c>
      <c r="G152" s="54">
        <v>1.164</v>
      </c>
      <c r="H152" s="53">
        <v>1.3</v>
      </c>
      <c r="I152" s="53">
        <v>3900</v>
      </c>
      <c r="J152" s="53">
        <v>3000</v>
      </c>
      <c r="K152" s="53"/>
      <c r="L152" s="53"/>
      <c r="M152" s="53"/>
      <c r="N152" s="53"/>
      <c r="O152" s="53"/>
      <c r="P152" s="53"/>
      <c r="Q152" s="53"/>
      <c r="R152" s="53"/>
      <c r="S152" s="53"/>
      <c r="T152" s="53"/>
    </row>
    <row r="153">
      <c r="A153" s="53"/>
      <c r="B153" s="53" t="s">
        <v>11137</v>
      </c>
      <c r="C153" s="53" t="s">
        <v>11138</v>
      </c>
      <c r="D153" s="53" t="s">
        <v>11138</v>
      </c>
      <c r="E153" s="53" t="s">
        <v>11083</v>
      </c>
      <c r="F153" s="53" t="s">
        <v>11139</v>
      </c>
      <c r="G153" s="54">
        <v>1.231546</v>
      </c>
      <c r="H153" s="53">
        <v>1.3</v>
      </c>
      <c r="I153" s="53">
        <v>1950</v>
      </c>
      <c r="J153" s="53">
        <v>1500</v>
      </c>
      <c r="K153" s="53"/>
      <c r="L153" s="53"/>
      <c r="M153" s="53"/>
      <c r="N153" s="53"/>
      <c r="O153" s="53"/>
      <c r="P153" s="53"/>
      <c r="Q153" s="53"/>
      <c r="R153" s="53"/>
      <c r="S153" s="53"/>
      <c r="T153" s="53"/>
    </row>
    <row r="154">
      <c r="A154" s="53"/>
      <c r="B154" s="53" t="s">
        <v>11140</v>
      </c>
      <c r="C154" s="53" t="s">
        <v>11082</v>
      </c>
      <c r="D154" s="53" t="s">
        <v>11082</v>
      </c>
      <c r="E154" s="53" t="s">
        <v>11141</v>
      </c>
      <c r="F154" s="53" t="s">
        <v>11142</v>
      </c>
      <c r="G154" s="54">
        <v>0.033818</v>
      </c>
      <c r="H154" s="53">
        <v>1.3</v>
      </c>
      <c r="I154" s="53">
        <v>4800</v>
      </c>
      <c r="J154" s="53">
        <v>2000</v>
      </c>
      <c r="K154" s="53"/>
      <c r="L154" s="53"/>
      <c r="M154" s="53"/>
      <c r="N154" s="53"/>
      <c r="O154" s="53"/>
      <c r="P154" s="53"/>
      <c r="Q154" s="53"/>
      <c r="R154" s="53"/>
      <c r="S154" s="53"/>
      <c r="T154" s="53"/>
    </row>
    <row r="155">
      <c r="A155" s="53"/>
      <c r="B155" s="53" t="s">
        <v>11143</v>
      </c>
      <c r="C155" s="53" t="s">
        <v>11103</v>
      </c>
      <c r="D155" s="53" t="s">
        <v>11103</v>
      </c>
      <c r="E155" s="53" t="s">
        <v>11144</v>
      </c>
      <c r="F155" s="53" t="s">
        <v>11145</v>
      </c>
      <c r="G155" s="54">
        <v>0.88</v>
      </c>
      <c r="H155" s="53">
        <v>1.29</v>
      </c>
      <c r="I155" s="53">
        <v>2000</v>
      </c>
      <c r="J155" s="53">
        <v>2000</v>
      </c>
      <c r="K155" s="53"/>
      <c r="L155" s="53"/>
      <c r="M155" s="53"/>
      <c r="N155" s="53"/>
      <c r="O155" s="53"/>
      <c r="P155" s="53"/>
      <c r="Q155" s="53"/>
      <c r="R155" s="53"/>
      <c r="S155" s="53"/>
      <c r="T155" s="53"/>
    </row>
    <row r="156">
      <c r="A156" s="53"/>
      <c r="B156" s="53" t="s">
        <v>11146</v>
      </c>
      <c r="C156" s="53" t="s">
        <v>11111</v>
      </c>
      <c r="D156" s="53" t="s">
        <v>11111</v>
      </c>
      <c r="E156" s="53" t="s">
        <v>11112</v>
      </c>
      <c r="F156" s="53" t="s">
        <v>11147</v>
      </c>
      <c r="G156" s="54">
        <v>1.233183</v>
      </c>
      <c r="H156" s="53">
        <v>1.28</v>
      </c>
      <c r="I156" s="53">
        <v>2720</v>
      </c>
      <c r="J156" s="53">
        <v>3400</v>
      </c>
      <c r="K156" s="53"/>
      <c r="L156" s="53"/>
      <c r="M156" s="53"/>
      <c r="N156" s="53"/>
      <c r="O156" s="53"/>
      <c r="P156" s="53"/>
      <c r="Q156" s="53"/>
      <c r="R156" s="53"/>
      <c r="S156" s="53"/>
      <c r="T156" s="53"/>
    </row>
    <row r="157">
      <c r="A157" s="53"/>
      <c r="B157" s="53" t="s">
        <v>11148</v>
      </c>
      <c r="C157" s="53" t="s">
        <v>11134</v>
      </c>
      <c r="D157" s="53" t="s">
        <v>11134</v>
      </c>
      <c r="E157" s="53" t="s">
        <v>11135</v>
      </c>
      <c r="F157" s="53" t="s">
        <v>11149</v>
      </c>
      <c r="G157" s="54">
        <v>1.326</v>
      </c>
      <c r="H157" s="53">
        <v>1.28</v>
      </c>
      <c r="I157" s="53">
        <v>2100</v>
      </c>
      <c r="J157" s="53">
        <v>3000</v>
      </c>
      <c r="K157" s="53"/>
      <c r="L157" s="53"/>
      <c r="M157" s="53"/>
      <c r="N157" s="53"/>
      <c r="O157" s="53"/>
      <c r="P157" s="53"/>
      <c r="Q157" s="53"/>
      <c r="R157" s="53"/>
      <c r="S157" s="53"/>
      <c r="T157" s="53"/>
    </row>
    <row r="158">
      <c r="A158" s="53"/>
      <c r="B158" s="53" t="s">
        <v>11150</v>
      </c>
      <c r="C158" s="53" t="s">
        <v>10779</v>
      </c>
      <c r="D158" s="53" t="s">
        <v>10779</v>
      </c>
      <c r="E158" s="53" t="s">
        <v>11151</v>
      </c>
      <c r="F158" s="53" t="s">
        <v>11152</v>
      </c>
      <c r="G158" s="54">
        <v>1.39165</v>
      </c>
      <c r="H158" s="53">
        <v>1.27</v>
      </c>
      <c r="I158" s="53">
        <v>3810</v>
      </c>
      <c r="J158" s="53">
        <v>3000</v>
      </c>
      <c r="K158" s="53"/>
      <c r="L158" s="53"/>
      <c r="M158" s="53"/>
      <c r="N158" s="53"/>
      <c r="O158" s="53"/>
      <c r="P158" s="53"/>
      <c r="Q158" s="53"/>
      <c r="R158" s="53"/>
      <c r="S158" s="53"/>
      <c r="T158" s="53"/>
    </row>
    <row r="159">
      <c r="A159" s="53"/>
      <c r="B159" s="53" t="s">
        <v>11153</v>
      </c>
      <c r="C159" s="53" t="s">
        <v>11093</v>
      </c>
      <c r="D159" s="53" t="s">
        <v>11093</v>
      </c>
      <c r="E159" s="53" t="s">
        <v>11045</v>
      </c>
      <c r="F159" s="53" t="s">
        <v>11154</v>
      </c>
      <c r="G159" s="54">
        <v>1.2776</v>
      </c>
      <c r="H159" s="53">
        <v>1.26</v>
      </c>
      <c r="I159" s="53">
        <v>5386.5</v>
      </c>
      <c r="J159" s="53">
        <v>1500</v>
      </c>
      <c r="K159" s="53"/>
      <c r="L159" s="53"/>
      <c r="M159" s="53"/>
      <c r="N159" s="53"/>
      <c r="O159" s="53"/>
      <c r="P159" s="53"/>
      <c r="Q159" s="53"/>
      <c r="R159" s="53"/>
      <c r="S159" s="53"/>
      <c r="T159" s="53"/>
    </row>
    <row r="160">
      <c r="A160" s="53"/>
      <c r="B160" s="53" t="s">
        <v>11155</v>
      </c>
      <c r="C160" s="53" t="s">
        <v>11093</v>
      </c>
      <c r="D160" s="53" t="s">
        <v>11093</v>
      </c>
      <c r="E160" s="53" t="s">
        <v>11156</v>
      </c>
      <c r="F160" s="53" t="s">
        <v>11157</v>
      </c>
      <c r="G160" s="54">
        <v>1.286492</v>
      </c>
      <c r="H160" s="53">
        <v>1.26</v>
      </c>
      <c r="I160" s="53">
        <v>0</v>
      </c>
      <c r="J160" s="53">
        <v>0</v>
      </c>
      <c r="K160" s="53"/>
      <c r="L160" s="53"/>
      <c r="M160" s="53"/>
      <c r="N160" s="53"/>
      <c r="O160" s="53"/>
      <c r="P160" s="53"/>
      <c r="Q160" s="53"/>
      <c r="R160" s="53"/>
      <c r="S160" s="53"/>
      <c r="T160" s="53"/>
    </row>
    <row r="161">
      <c r="A161" s="53"/>
      <c r="B161" s="53" t="s">
        <v>11158</v>
      </c>
      <c r="C161" s="53" t="s">
        <v>11159</v>
      </c>
      <c r="D161" s="53" t="s">
        <v>11159</v>
      </c>
      <c r="E161" s="53" t="s">
        <v>11160</v>
      </c>
      <c r="F161" s="53" t="s">
        <v>11161</v>
      </c>
      <c r="G161" s="54">
        <v>0.016</v>
      </c>
      <c r="H161" s="53">
        <v>1.25</v>
      </c>
      <c r="I161" s="53">
        <v>5000</v>
      </c>
      <c r="J161" s="53">
        <v>5000</v>
      </c>
      <c r="K161" s="53"/>
      <c r="L161" s="53"/>
      <c r="M161" s="53"/>
      <c r="N161" s="53"/>
      <c r="O161" s="53"/>
      <c r="P161" s="53"/>
      <c r="Q161" s="53"/>
      <c r="R161" s="53"/>
      <c r="S161" s="53"/>
      <c r="T161" s="53"/>
    </row>
    <row r="162">
      <c r="A162" s="53"/>
      <c r="B162" s="53" t="s">
        <v>11162</v>
      </c>
      <c r="C162" s="53" t="s">
        <v>10779</v>
      </c>
      <c r="D162" s="53" t="s">
        <v>10779</v>
      </c>
      <c r="E162" s="53" t="s">
        <v>11163</v>
      </c>
      <c r="F162" s="53" t="s">
        <v>11164</v>
      </c>
      <c r="G162" s="54">
        <v>1.0772</v>
      </c>
      <c r="H162" s="53">
        <v>1.24</v>
      </c>
      <c r="I162" s="53">
        <v>8000</v>
      </c>
      <c r="J162" s="53">
        <v>5000</v>
      </c>
      <c r="K162" s="53"/>
      <c r="L162" s="53"/>
      <c r="M162" s="53"/>
      <c r="N162" s="53"/>
      <c r="O162" s="53"/>
      <c r="P162" s="53"/>
      <c r="Q162" s="53"/>
      <c r="R162" s="53"/>
      <c r="S162" s="53"/>
      <c r="T162" s="53"/>
    </row>
    <row r="163">
      <c r="A163" s="53"/>
      <c r="B163" s="53" t="s">
        <v>11165</v>
      </c>
      <c r="C163" s="53" t="s">
        <v>11082</v>
      </c>
      <c r="D163" s="53" t="s">
        <v>11082</v>
      </c>
      <c r="E163" s="53" t="s">
        <v>11141</v>
      </c>
      <c r="F163" s="53" t="s">
        <v>11166</v>
      </c>
      <c r="G163" s="54">
        <v>1.304</v>
      </c>
      <c r="H163" s="53">
        <v>1.24</v>
      </c>
      <c r="I163" s="53">
        <v>5803.99</v>
      </c>
      <c r="J163" s="53">
        <v>5000</v>
      </c>
      <c r="K163" s="53"/>
      <c r="L163" s="53"/>
      <c r="M163" s="53"/>
      <c r="N163" s="53"/>
      <c r="O163" s="53"/>
      <c r="P163" s="53"/>
      <c r="Q163" s="53"/>
      <c r="R163" s="53"/>
      <c r="S163" s="53"/>
      <c r="T163" s="53"/>
    </row>
    <row r="164">
      <c r="A164" s="53"/>
      <c r="B164" s="53" t="s">
        <v>11167</v>
      </c>
      <c r="C164" s="53" t="s">
        <v>11099</v>
      </c>
      <c r="D164" s="53" t="s">
        <v>11099</v>
      </c>
      <c r="E164" s="53" t="s">
        <v>11168</v>
      </c>
      <c r="F164" s="53" t="s">
        <v>11169</v>
      </c>
      <c r="G164" s="54">
        <v>1.39</v>
      </c>
      <c r="H164" s="53">
        <v>1.24</v>
      </c>
      <c r="I164" s="53">
        <v>3504</v>
      </c>
      <c r="J164" s="53">
        <v>3000</v>
      </c>
      <c r="K164" s="53"/>
      <c r="L164" s="53"/>
      <c r="M164" s="53"/>
      <c r="N164" s="53"/>
      <c r="O164" s="53"/>
      <c r="P164" s="53"/>
      <c r="Q164" s="53"/>
      <c r="R164" s="53"/>
      <c r="S164" s="53"/>
      <c r="T164" s="53"/>
    </row>
    <row r="165">
      <c r="A165" s="53"/>
      <c r="B165" s="53" t="s">
        <v>11170</v>
      </c>
      <c r="C165" s="53" t="s">
        <v>11171</v>
      </c>
      <c r="D165" s="53" t="s">
        <v>11171</v>
      </c>
      <c r="E165" s="53" t="s">
        <v>11172</v>
      </c>
      <c r="F165" s="53" t="s">
        <v>11173</v>
      </c>
      <c r="G165" s="54">
        <v>1.212424</v>
      </c>
      <c r="H165" s="53">
        <v>1.21</v>
      </c>
      <c r="I165" s="53">
        <v>4000</v>
      </c>
      <c r="J165" s="53">
        <v>3000</v>
      </c>
      <c r="K165" s="53"/>
      <c r="L165" s="53"/>
      <c r="M165" s="53"/>
      <c r="N165" s="53"/>
      <c r="O165" s="53"/>
      <c r="P165" s="53"/>
      <c r="Q165" s="53"/>
      <c r="R165" s="53"/>
      <c r="S165" s="53"/>
      <c r="T165" s="53"/>
    </row>
    <row r="166">
      <c r="A166" s="53"/>
      <c r="B166" s="53" t="s">
        <v>11174</v>
      </c>
      <c r="C166" s="53" t="s">
        <v>11103</v>
      </c>
      <c r="D166" s="53" t="s">
        <v>11103</v>
      </c>
      <c r="E166" s="53" t="s">
        <v>11122</v>
      </c>
      <c r="F166" s="53" t="s">
        <v>11175</v>
      </c>
      <c r="G166" s="54">
        <v>0.916098</v>
      </c>
      <c r="H166" s="53">
        <v>1.21</v>
      </c>
      <c r="I166" s="53">
        <v>5952.89</v>
      </c>
      <c r="J166" s="53">
        <v>5000</v>
      </c>
      <c r="K166" s="53"/>
      <c r="L166" s="53"/>
      <c r="M166" s="53"/>
      <c r="N166" s="53"/>
      <c r="O166" s="53"/>
      <c r="P166" s="53"/>
      <c r="Q166" s="53"/>
      <c r="R166" s="53"/>
      <c r="S166" s="53"/>
      <c r="T166" s="53"/>
    </row>
    <row r="167">
      <c r="A167" s="53"/>
      <c r="B167" s="53" t="s">
        <v>11176</v>
      </c>
      <c r="C167" s="53" t="s">
        <v>11177</v>
      </c>
      <c r="D167" s="53" t="s">
        <v>11177</v>
      </c>
      <c r="E167" s="53" t="s">
        <v>11178</v>
      </c>
      <c r="F167" s="53" t="s">
        <v>11179</v>
      </c>
      <c r="G167" s="54">
        <v>1.101</v>
      </c>
      <c r="H167" s="53">
        <v>1.2</v>
      </c>
      <c r="I167" s="53">
        <v>5400</v>
      </c>
      <c r="J167" s="53">
        <v>5000</v>
      </c>
      <c r="K167" s="53"/>
      <c r="L167" s="53"/>
      <c r="M167" s="53"/>
      <c r="N167" s="53"/>
      <c r="O167" s="53"/>
      <c r="P167" s="53"/>
      <c r="Q167" s="53"/>
      <c r="R167" s="53"/>
      <c r="S167" s="53"/>
      <c r="T167" s="53"/>
    </row>
    <row r="168">
      <c r="A168" s="53"/>
      <c r="B168" s="53" t="s">
        <v>11180</v>
      </c>
      <c r="C168" s="53" t="s">
        <v>11181</v>
      </c>
      <c r="D168" s="53" t="s">
        <v>11181</v>
      </c>
      <c r="E168" s="53" t="s">
        <v>11182</v>
      </c>
      <c r="F168" s="53" t="s">
        <v>11183</v>
      </c>
      <c r="G168" s="54">
        <v>1.808762</v>
      </c>
      <c r="H168" s="53">
        <v>1.2</v>
      </c>
      <c r="I168" s="53">
        <v>5400</v>
      </c>
      <c r="J168" s="53">
        <v>5000</v>
      </c>
      <c r="K168" s="53"/>
      <c r="L168" s="53"/>
      <c r="M168" s="53"/>
      <c r="N168" s="53"/>
      <c r="O168" s="53"/>
      <c r="P168" s="53"/>
      <c r="Q168" s="53"/>
      <c r="R168" s="53"/>
      <c r="S168" s="53"/>
      <c r="T168" s="53"/>
    </row>
    <row r="169">
      <c r="A169" s="53"/>
      <c r="B169" s="53" t="s">
        <v>11184</v>
      </c>
      <c r="C169" s="53" t="s">
        <v>11185</v>
      </c>
      <c r="D169" s="53" t="s">
        <v>11185</v>
      </c>
      <c r="E169" s="53" t="s">
        <v>11186</v>
      </c>
      <c r="F169" s="53" t="s">
        <v>11187</v>
      </c>
      <c r="G169" s="54">
        <v>1.2</v>
      </c>
      <c r="H169" s="53">
        <v>1.2</v>
      </c>
      <c r="I169" s="53">
        <v>6000</v>
      </c>
      <c r="J169" s="53">
        <v>5000</v>
      </c>
      <c r="K169" s="53"/>
      <c r="L169" s="53"/>
      <c r="M169" s="53"/>
      <c r="N169" s="53"/>
      <c r="O169" s="53"/>
      <c r="P169" s="53"/>
      <c r="Q169" s="53"/>
      <c r="R169" s="53"/>
      <c r="S169" s="53"/>
      <c r="T169" s="53"/>
    </row>
    <row r="170">
      <c r="A170" s="53"/>
      <c r="B170" s="53" t="s">
        <v>11188</v>
      </c>
      <c r="C170" s="53" t="s">
        <v>11189</v>
      </c>
      <c r="D170" s="53" t="s">
        <v>11189</v>
      </c>
      <c r="E170" s="53" t="s">
        <v>11129</v>
      </c>
      <c r="F170" s="53" t="s">
        <v>11190</v>
      </c>
      <c r="G170" s="54">
        <v>1.009</v>
      </c>
      <c r="H170" s="53">
        <v>1.2</v>
      </c>
      <c r="I170" s="53">
        <v>4000</v>
      </c>
      <c r="J170" s="53">
        <v>3000</v>
      </c>
      <c r="K170" s="53"/>
      <c r="L170" s="53"/>
      <c r="M170" s="53"/>
      <c r="N170" s="53"/>
      <c r="O170" s="53"/>
      <c r="P170" s="53"/>
      <c r="Q170" s="53"/>
      <c r="R170" s="53"/>
      <c r="S170" s="53"/>
      <c r="T170" s="53"/>
    </row>
    <row r="171">
      <c r="A171" s="53"/>
      <c r="B171" s="53" t="s">
        <v>11191</v>
      </c>
      <c r="C171" s="53" t="s">
        <v>11192</v>
      </c>
      <c r="D171" s="53" t="s">
        <v>11192</v>
      </c>
      <c r="E171" s="53" t="s">
        <v>11129</v>
      </c>
      <c r="F171" s="53" t="s">
        <v>11193</v>
      </c>
      <c r="G171" s="54">
        <v>1.0894</v>
      </c>
      <c r="H171" s="53">
        <v>1.2</v>
      </c>
      <c r="I171" s="53">
        <v>4000</v>
      </c>
      <c r="J171" s="53">
        <v>3000</v>
      </c>
      <c r="K171" s="53"/>
      <c r="L171" s="53"/>
      <c r="M171" s="53"/>
      <c r="N171" s="53"/>
      <c r="O171" s="53"/>
      <c r="P171" s="53"/>
      <c r="Q171" s="53"/>
      <c r="R171" s="53"/>
      <c r="S171" s="53"/>
      <c r="T171" s="53"/>
    </row>
    <row r="172">
      <c r="A172" s="53"/>
      <c r="B172" s="53"/>
      <c r="C172" s="53"/>
      <c r="D172" s="53"/>
      <c r="E172" s="53"/>
      <c r="F172" s="53" t="s">
        <v>11183</v>
      </c>
      <c r="G172" s="55">
        <v>1.2</v>
      </c>
      <c r="H172" s="53">
        <v>1.2</v>
      </c>
      <c r="I172" s="53">
        <v>5400</v>
      </c>
      <c r="J172" s="53">
        <v>5000</v>
      </c>
      <c r="K172" s="53"/>
      <c r="L172" s="53"/>
      <c r="M172" s="53"/>
      <c r="N172" s="53"/>
      <c r="O172" s="53"/>
      <c r="P172" s="53"/>
      <c r="Q172" s="53"/>
      <c r="R172" s="53"/>
      <c r="S172" s="53"/>
      <c r="T172" s="53"/>
    </row>
    <row r="173">
      <c r="A173" s="53"/>
      <c r="B173" s="53" t="s">
        <v>11194</v>
      </c>
      <c r="C173" s="53" t="s">
        <v>11195</v>
      </c>
      <c r="D173" s="53" t="s">
        <v>11195</v>
      </c>
      <c r="E173" s="53" t="s">
        <v>11196</v>
      </c>
      <c r="F173" s="53" t="s">
        <v>11197</v>
      </c>
      <c r="G173" s="54">
        <v>1.18696</v>
      </c>
      <c r="H173" s="53">
        <v>1.19</v>
      </c>
      <c r="I173" s="53">
        <v>5200</v>
      </c>
      <c r="J173" s="53">
        <v>5000</v>
      </c>
      <c r="K173" s="53"/>
      <c r="L173" s="53"/>
      <c r="M173" s="53"/>
      <c r="N173" s="53"/>
      <c r="O173" s="53"/>
      <c r="P173" s="53"/>
      <c r="Q173" s="53"/>
      <c r="R173" s="53"/>
      <c r="S173" s="53"/>
      <c r="T173" s="53"/>
    </row>
    <row r="174">
      <c r="A174" s="53"/>
      <c r="B174" s="53" t="s">
        <v>11198</v>
      </c>
      <c r="C174" s="53" t="s">
        <v>11065</v>
      </c>
      <c r="D174" s="53" t="s">
        <v>11065</v>
      </c>
      <c r="E174" s="53" t="s">
        <v>11094</v>
      </c>
      <c r="F174" s="53" t="s">
        <v>11199</v>
      </c>
      <c r="G174" s="54">
        <v>1.191</v>
      </c>
      <c r="H174" s="53">
        <v>1.19</v>
      </c>
      <c r="I174" s="53">
        <v>5400</v>
      </c>
      <c r="J174" s="53">
        <v>5000</v>
      </c>
      <c r="K174" s="53"/>
      <c r="L174" s="53"/>
      <c r="M174" s="53"/>
      <c r="N174" s="53"/>
      <c r="O174" s="53"/>
      <c r="P174" s="53"/>
      <c r="Q174" s="53"/>
      <c r="R174" s="53"/>
      <c r="S174" s="53"/>
      <c r="T174" s="53"/>
    </row>
    <row r="175">
      <c r="A175" s="53"/>
      <c r="B175" s="53" t="s">
        <v>11200</v>
      </c>
      <c r="C175" s="53" t="s">
        <v>11201</v>
      </c>
      <c r="D175" s="53" t="s">
        <v>11201</v>
      </c>
      <c r="E175" s="53" t="s">
        <v>11202</v>
      </c>
      <c r="F175" s="53" t="s">
        <v>11203</v>
      </c>
      <c r="G175" s="54">
        <v>2.44875</v>
      </c>
      <c r="H175" s="53">
        <v>1.19</v>
      </c>
      <c r="I175" s="53">
        <v>6160</v>
      </c>
      <c r="J175" s="53">
        <v>5000</v>
      </c>
      <c r="K175" s="53"/>
      <c r="L175" s="53"/>
      <c r="M175" s="53"/>
      <c r="N175" s="53"/>
      <c r="O175" s="53"/>
      <c r="P175" s="53"/>
      <c r="Q175" s="53"/>
      <c r="R175" s="53"/>
      <c r="S175" s="53"/>
      <c r="T175" s="53"/>
    </row>
    <row r="176">
      <c r="A176" s="53"/>
      <c r="B176" s="53" t="s">
        <v>11204</v>
      </c>
      <c r="C176" s="53" t="s">
        <v>11103</v>
      </c>
      <c r="D176" s="53" t="s">
        <v>11103</v>
      </c>
      <c r="E176" s="53" t="s">
        <v>10813</v>
      </c>
      <c r="F176" s="53" t="s">
        <v>11205</v>
      </c>
      <c r="G176" s="54">
        <v>0.880912</v>
      </c>
      <c r="H176" s="53">
        <v>1.19</v>
      </c>
      <c r="I176" s="53">
        <v>3653.62</v>
      </c>
      <c r="J176" s="53">
        <v>5000</v>
      </c>
      <c r="K176" s="53"/>
      <c r="L176" s="53"/>
      <c r="M176" s="53"/>
      <c r="N176" s="53"/>
      <c r="O176" s="53"/>
      <c r="P176" s="53"/>
      <c r="Q176" s="53"/>
      <c r="R176" s="53"/>
      <c r="S176" s="53"/>
      <c r="T176" s="53"/>
    </row>
    <row r="177">
      <c r="A177" s="53"/>
      <c r="B177" s="53" t="s">
        <v>11206</v>
      </c>
      <c r="C177" s="53" t="s">
        <v>11103</v>
      </c>
      <c r="D177" s="53" t="s">
        <v>11103</v>
      </c>
      <c r="E177" s="53" t="s">
        <v>11104</v>
      </c>
      <c r="F177" s="53" t="s">
        <v>11207</v>
      </c>
      <c r="G177" s="54">
        <v>0.87908</v>
      </c>
      <c r="H177" s="53">
        <v>1.19</v>
      </c>
      <c r="I177" s="53">
        <v>2316.82</v>
      </c>
      <c r="J177" s="53">
        <v>2000</v>
      </c>
      <c r="K177" s="53"/>
      <c r="L177" s="53"/>
      <c r="M177" s="53"/>
      <c r="N177" s="53"/>
      <c r="O177" s="53"/>
      <c r="P177" s="53"/>
      <c r="Q177" s="53"/>
      <c r="R177" s="53"/>
      <c r="S177" s="53"/>
      <c r="T177" s="53"/>
    </row>
    <row r="178">
      <c r="A178" s="53"/>
      <c r="B178" s="53"/>
      <c r="C178" s="53"/>
      <c r="D178" s="53"/>
      <c r="E178" s="53"/>
      <c r="F178" s="53" t="s">
        <v>11197</v>
      </c>
      <c r="G178" s="55">
        <v>1.187</v>
      </c>
      <c r="H178" s="53">
        <v>1.19</v>
      </c>
      <c r="I178" s="53">
        <v>5200</v>
      </c>
      <c r="J178" s="53">
        <v>5000</v>
      </c>
      <c r="K178" s="53"/>
      <c r="L178" s="53"/>
      <c r="M178" s="53"/>
      <c r="N178" s="53"/>
      <c r="O178" s="53"/>
      <c r="P178" s="53"/>
      <c r="Q178" s="53"/>
      <c r="R178" s="53"/>
      <c r="S178" s="53"/>
      <c r="T178" s="53"/>
    </row>
    <row r="179">
      <c r="A179" s="53"/>
      <c r="B179" s="53" t="s">
        <v>11208</v>
      </c>
      <c r="C179" s="53" t="s">
        <v>11209</v>
      </c>
      <c r="D179" s="53" t="s">
        <v>11209</v>
      </c>
      <c r="E179" s="53" t="s">
        <v>11210</v>
      </c>
      <c r="F179" s="53" t="s">
        <v>11211</v>
      </c>
      <c r="G179" s="54">
        <v>1.175</v>
      </c>
      <c r="H179" s="53">
        <v>1.18</v>
      </c>
      <c r="I179" s="53">
        <v>4454.55</v>
      </c>
      <c r="J179" s="53">
        <v>3000</v>
      </c>
      <c r="K179" s="53"/>
      <c r="L179" s="53"/>
      <c r="M179" s="53"/>
      <c r="N179" s="53"/>
      <c r="O179" s="53"/>
      <c r="P179" s="53"/>
      <c r="Q179" s="53"/>
      <c r="R179" s="53"/>
      <c r="S179" s="53"/>
      <c r="T179" s="53"/>
    </row>
    <row r="180">
      <c r="A180" s="53"/>
      <c r="B180" s="53" t="s">
        <v>11212</v>
      </c>
      <c r="C180" s="53" t="s">
        <v>11177</v>
      </c>
      <c r="D180" s="53" t="s">
        <v>11177</v>
      </c>
      <c r="E180" s="53" t="s">
        <v>11213</v>
      </c>
      <c r="F180" s="53" t="s">
        <v>11214</v>
      </c>
      <c r="G180" s="54">
        <v>1.222222</v>
      </c>
      <c r="H180" s="53">
        <v>1.18</v>
      </c>
      <c r="I180" s="53">
        <v>3461.54</v>
      </c>
      <c r="J180" s="53">
        <v>3000</v>
      </c>
      <c r="K180" s="53"/>
      <c r="L180" s="53"/>
      <c r="M180" s="53"/>
      <c r="N180" s="53"/>
      <c r="O180" s="53"/>
      <c r="P180" s="53"/>
      <c r="Q180" s="53"/>
      <c r="R180" s="53"/>
      <c r="S180" s="53"/>
      <c r="T180" s="53"/>
    </row>
    <row r="181">
      <c r="A181" s="53"/>
      <c r="B181" s="53" t="s">
        <v>11215</v>
      </c>
      <c r="C181" s="53" t="s">
        <v>11138</v>
      </c>
      <c r="D181" s="53" t="s">
        <v>11138</v>
      </c>
      <c r="E181" s="53" t="s">
        <v>11216</v>
      </c>
      <c r="F181" s="53" t="s">
        <v>11217</v>
      </c>
      <c r="G181" s="54">
        <v>1.120302</v>
      </c>
      <c r="H181" s="53">
        <v>1.18</v>
      </c>
      <c r="I181" s="53">
        <v>8000</v>
      </c>
      <c r="J181" s="53">
        <v>5000</v>
      </c>
      <c r="K181" s="53"/>
      <c r="L181" s="53"/>
      <c r="M181" s="53"/>
      <c r="N181" s="53"/>
      <c r="O181" s="53"/>
      <c r="P181" s="53"/>
      <c r="Q181" s="53"/>
      <c r="R181" s="53"/>
      <c r="S181" s="53"/>
      <c r="T181" s="53"/>
    </row>
    <row r="182">
      <c r="A182" s="53"/>
      <c r="B182" s="53" t="s">
        <v>11218</v>
      </c>
      <c r="C182" s="53" t="s">
        <v>11219</v>
      </c>
      <c r="D182" s="53" t="s">
        <v>11219</v>
      </c>
      <c r="E182" s="53" t="s">
        <v>11220</v>
      </c>
      <c r="F182" s="53" t="s">
        <v>11221</v>
      </c>
      <c r="G182" s="54">
        <v>0.97492</v>
      </c>
      <c r="H182" s="53">
        <v>1.17</v>
      </c>
      <c r="I182" s="53">
        <v>3627.91</v>
      </c>
      <c r="J182" s="53">
        <v>3000</v>
      </c>
      <c r="K182" s="53"/>
      <c r="L182" s="53"/>
      <c r="M182" s="53"/>
      <c r="N182" s="53"/>
      <c r="O182" s="53"/>
      <c r="P182" s="53"/>
      <c r="Q182" s="53"/>
      <c r="R182" s="53"/>
      <c r="S182" s="53"/>
      <c r="T182" s="53"/>
    </row>
    <row r="183">
      <c r="A183" s="53"/>
      <c r="B183" s="53" t="s">
        <v>11222</v>
      </c>
      <c r="C183" s="53" t="s">
        <v>11107</v>
      </c>
      <c r="D183" s="53" t="s">
        <v>11107</v>
      </c>
      <c r="E183" s="53" t="s">
        <v>11223</v>
      </c>
      <c r="F183" s="53" t="s">
        <v>11224</v>
      </c>
      <c r="G183" s="54">
        <v>1</v>
      </c>
      <c r="H183" s="53">
        <v>1.17</v>
      </c>
      <c r="I183" s="53">
        <v>2457</v>
      </c>
      <c r="J183" s="53">
        <v>3000</v>
      </c>
      <c r="K183" s="53"/>
      <c r="L183" s="53"/>
      <c r="M183" s="53"/>
      <c r="N183" s="53"/>
      <c r="O183" s="53"/>
      <c r="P183" s="53"/>
      <c r="Q183" s="53"/>
      <c r="R183" s="53"/>
      <c r="S183" s="53"/>
      <c r="T183" s="53"/>
    </row>
    <row r="184">
      <c r="A184" s="53"/>
      <c r="B184" s="53" t="s">
        <v>11225</v>
      </c>
      <c r="C184" s="53" t="s">
        <v>11044</v>
      </c>
      <c r="D184" s="53" t="s">
        <v>11044</v>
      </c>
      <c r="E184" s="53" t="s">
        <v>11083</v>
      </c>
      <c r="F184" s="53" t="s">
        <v>11226</v>
      </c>
      <c r="G184" s="54">
        <v>1.449</v>
      </c>
      <c r="H184" s="53">
        <v>1.17</v>
      </c>
      <c r="I184" s="53">
        <v>5520</v>
      </c>
      <c r="J184" s="53">
        <v>2000</v>
      </c>
      <c r="K184" s="53"/>
      <c r="L184" s="53"/>
      <c r="M184" s="53"/>
      <c r="N184" s="53"/>
      <c r="O184" s="53"/>
      <c r="P184" s="53"/>
      <c r="Q184" s="53"/>
      <c r="R184" s="53"/>
      <c r="S184" s="53"/>
      <c r="T184" s="53"/>
    </row>
    <row r="185">
      <c r="A185" s="53"/>
      <c r="B185" s="53" t="s">
        <v>11227</v>
      </c>
      <c r="C185" s="53" t="s">
        <v>11121</v>
      </c>
      <c r="D185" s="53" t="s">
        <v>11121</v>
      </c>
      <c r="E185" s="53" t="s">
        <v>10813</v>
      </c>
      <c r="F185" s="53" t="s">
        <v>11228</v>
      </c>
      <c r="G185" s="54">
        <v>1.21286</v>
      </c>
      <c r="H185" s="53">
        <v>1.17</v>
      </c>
      <c r="I185" s="53">
        <v>4000</v>
      </c>
      <c r="J185" s="53">
        <v>5000</v>
      </c>
      <c r="K185" s="53"/>
      <c r="L185" s="53"/>
      <c r="M185" s="53"/>
      <c r="N185" s="53"/>
      <c r="O185" s="53"/>
      <c r="P185" s="53"/>
      <c r="Q185" s="53"/>
      <c r="R185" s="53"/>
      <c r="S185" s="53"/>
      <c r="T185" s="53"/>
    </row>
    <row r="186">
      <c r="A186" s="53"/>
      <c r="B186" s="53" t="s">
        <v>11229</v>
      </c>
      <c r="C186" s="53" t="s">
        <v>11082</v>
      </c>
      <c r="D186" s="53" t="s">
        <v>11082</v>
      </c>
      <c r="E186" s="53" t="s">
        <v>11141</v>
      </c>
      <c r="F186" s="53" t="s">
        <v>11230</v>
      </c>
      <c r="G186" s="54">
        <v>1.58961</v>
      </c>
      <c r="H186" s="53">
        <v>1.17</v>
      </c>
      <c r="I186" s="53">
        <v>5758.6</v>
      </c>
      <c r="J186" s="53">
        <v>5000</v>
      </c>
      <c r="K186" s="53"/>
      <c r="L186" s="53"/>
      <c r="M186" s="53"/>
      <c r="N186" s="53"/>
      <c r="O186" s="53"/>
      <c r="P186" s="53"/>
      <c r="Q186" s="53"/>
      <c r="R186" s="53"/>
      <c r="S186" s="53"/>
      <c r="T186" s="53"/>
    </row>
    <row r="187">
      <c r="A187" s="53"/>
      <c r="B187" s="53" t="s">
        <v>11231</v>
      </c>
      <c r="C187" s="53" t="s">
        <v>11232</v>
      </c>
      <c r="D187" s="53" t="s">
        <v>11232</v>
      </c>
      <c r="E187" s="53" t="s">
        <v>11233</v>
      </c>
      <c r="F187" s="53" t="s">
        <v>11234</v>
      </c>
      <c r="G187" s="54">
        <v>1.172</v>
      </c>
      <c r="H187" s="53">
        <v>1.17</v>
      </c>
      <c r="I187" s="53">
        <v>6460</v>
      </c>
      <c r="J187" s="53">
        <v>3000</v>
      </c>
      <c r="K187" s="53"/>
      <c r="L187" s="53"/>
      <c r="M187" s="53"/>
      <c r="N187" s="53"/>
      <c r="O187" s="53"/>
      <c r="P187" s="53"/>
      <c r="Q187" s="53"/>
      <c r="R187" s="53"/>
      <c r="S187" s="53"/>
      <c r="T187" s="53"/>
    </row>
    <row r="188">
      <c r="A188" s="53"/>
      <c r="B188" s="53" t="s">
        <v>11235</v>
      </c>
      <c r="C188" s="53" t="s">
        <v>11089</v>
      </c>
      <c r="D188" s="53" t="s">
        <v>11089</v>
      </c>
      <c r="E188" s="53" t="s">
        <v>11236</v>
      </c>
      <c r="F188" s="53" t="s">
        <v>11237</v>
      </c>
      <c r="G188" s="54">
        <v>0.7175</v>
      </c>
      <c r="H188" s="53">
        <v>1.17</v>
      </c>
      <c r="I188" s="53">
        <v>6400</v>
      </c>
      <c r="J188" s="53">
        <v>4000</v>
      </c>
      <c r="K188" s="53"/>
      <c r="L188" s="53"/>
      <c r="M188" s="53"/>
      <c r="N188" s="53"/>
      <c r="O188" s="53"/>
      <c r="P188" s="53"/>
      <c r="Q188" s="53"/>
      <c r="R188" s="53"/>
      <c r="S188" s="53"/>
      <c r="T188" s="53"/>
    </row>
    <row r="189">
      <c r="A189" s="53"/>
      <c r="B189" s="53" t="s">
        <v>11238</v>
      </c>
      <c r="C189" s="53" t="s">
        <v>11239</v>
      </c>
      <c r="D189" s="53" t="s">
        <v>11239</v>
      </c>
      <c r="E189" s="53" t="s">
        <v>11240</v>
      </c>
      <c r="F189" s="53" t="s">
        <v>11241</v>
      </c>
      <c r="G189" s="54">
        <v>1.183</v>
      </c>
      <c r="H189" s="53">
        <v>1.16</v>
      </c>
      <c r="I189" s="53">
        <v>8638.35</v>
      </c>
      <c r="J189" s="53">
        <v>6000</v>
      </c>
      <c r="K189" s="53"/>
      <c r="L189" s="53"/>
      <c r="M189" s="53"/>
      <c r="N189" s="53"/>
      <c r="O189" s="53"/>
      <c r="P189" s="53"/>
      <c r="Q189" s="53"/>
      <c r="R189" s="53"/>
      <c r="S189" s="53"/>
      <c r="T189" s="53"/>
    </row>
    <row r="190">
      <c r="A190" s="53"/>
      <c r="B190" s="53" t="s">
        <v>11242</v>
      </c>
      <c r="C190" s="53" t="s">
        <v>11243</v>
      </c>
      <c r="D190" s="53" t="s">
        <v>11243</v>
      </c>
      <c r="E190" s="53" t="s">
        <v>11244</v>
      </c>
      <c r="F190" s="53" t="s">
        <v>11245</v>
      </c>
      <c r="G190" s="54">
        <v>2.05047</v>
      </c>
      <c r="H190" s="53">
        <v>1.15</v>
      </c>
      <c r="I190" s="53">
        <v>9291.67</v>
      </c>
      <c r="J190" s="53">
        <v>5000</v>
      </c>
      <c r="K190" s="53"/>
      <c r="L190" s="53"/>
      <c r="M190" s="53"/>
      <c r="N190" s="53"/>
      <c r="O190" s="53"/>
      <c r="P190" s="53"/>
      <c r="Q190" s="53"/>
      <c r="R190" s="53"/>
      <c r="S190" s="53"/>
      <c r="T190" s="53"/>
    </row>
    <row r="191">
      <c r="A191" s="53"/>
      <c r="B191" s="53" t="s">
        <v>11246</v>
      </c>
      <c r="C191" s="53" t="s">
        <v>11247</v>
      </c>
      <c r="D191" s="53" t="s">
        <v>11247</v>
      </c>
      <c r="E191" s="53" t="s">
        <v>11045</v>
      </c>
      <c r="F191" s="53" t="s">
        <v>11248</v>
      </c>
      <c r="G191" s="54">
        <v>1.094857</v>
      </c>
      <c r="H191" s="53">
        <v>1.15</v>
      </c>
      <c r="I191" s="53">
        <v>2837.17</v>
      </c>
      <c r="J191" s="53">
        <v>1500</v>
      </c>
      <c r="K191" s="53"/>
      <c r="L191" s="53"/>
      <c r="M191" s="53"/>
      <c r="N191" s="53"/>
      <c r="O191" s="53"/>
      <c r="P191" s="53"/>
      <c r="Q191" s="53"/>
      <c r="R191" s="53"/>
      <c r="S191" s="53"/>
      <c r="T191" s="53"/>
    </row>
    <row r="192">
      <c r="A192" s="53"/>
      <c r="B192" s="53" t="s">
        <v>11249</v>
      </c>
      <c r="C192" s="53" t="s">
        <v>11250</v>
      </c>
      <c r="D192" s="53" t="s">
        <v>11250</v>
      </c>
      <c r="E192" s="53" t="s">
        <v>11045</v>
      </c>
      <c r="F192" s="53" t="s">
        <v>11251</v>
      </c>
      <c r="G192" s="54">
        <v>1.184278</v>
      </c>
      <c r="H192" s="53">
        <v>1.15</v>
      </c>
      <c r="I192" s="53">
        <v>1549.52</v>
      </c>
      <c r="J192" s="53">
        <v>1500</v>
      </c>
      <c r="K192" s="53"/>
      <c r="L192" s="53"/>
      <c r="M192" s="53"/>
      <c r="N192" s="53"/>
      <c r="O192" s="53"/>
      <c r="P192" s="53"/>
      <c r="Q192" s="53"/>
      <c r="R192" s="53"/>
      <c r="S192" s="53"/>
      <c r="T192" s="53"/>
    </row>
    <row r="193">
      <c r="A193" s="53"/>
      <c r="B193" s="53" t="s">
        <v>11252</v>
      </c>
      <c r="C193" s="53" t="s">
        <v>11020</v>
      </c>
      <c r="D193" s="53" t="s">
        <v>11020</v>
      </c>
      <c r="E193" s="53" t="s">
        <v>10813</v>
      </c>
      <c r="F193" s="53" t="s">
        <v>11253</v>
      </c>
      <c r="G193" s="54">
        <v>1.366</v>
      </c>
      <c r="H193" s="53">
        <v>1.15</v>
      </c>
      <c r="I193" s="53">
        <v>5575.59</v>
      </c>
      <c r="J193" s="53">
        <v>5000</v>
      </c>
      <c r="K193" s="53"/>
      <c r="L193" s="53"/>
      <c r="M193" s="53"/>
      <c r="N193" s="53"/>
      <c r="O193" s="53"/>
      <c r="P193" s="53"/>
      <c r="Q193" s="53"/>
      <c r="R193" s="53"/>
      <c r="S193" s="53"/>
      <c r="T193" s="53"/>
    </row>
    <row r="194">
      <c r="A194" s="53"/>
      <c r="B194" s="53" t="s">
        <v>11254</v>
      </c>
      <c r="C194" s="53" t="s">
        <v>11089</v>
      </c>
      <c r="D194" s="53" t="s">
        <v>11089</v>
      </c>
      <c r="E194" s="53" t="s">
        <v>11255</v>
      </c>
      <c r="F194" s="53" t="s">
        <v>11256</v>
      </c>
      <c r="G194" s="54">
        <v>0.6965</v>
      </c>
      <c r="H194" s="53">
        <v>1.15</v>
      </c>
      <c r="I194" s="53">
        <v>4800</v>
      </c>
      <c r="J194" s="53">
        <v>4000</v>
      </c>
      <c r="K194" s="53"/>
      <c r="L194" s="53"/>
      <c r="M194" s="53"/>
      <c r="N194" s="53"/>
      <c r="O194" s="53"/>
      <c r="P194" s="53"/>
      <c r="Q194" s="53"/>
      <c r="R194" s="53"/>
      <c r="S194" s="53"/>
      <c r="T194" s="53"/>
    </row>
    <row r="195">
      <c r="A195" s="53"/>
      <c r="B195" s="53" t="s">
        <v>11257</v>
      </c>
      <c r="C195" s="53" t="s">
        <v>11089</v>
      </c>
      <c r="D195" s="53" t="s">
        <v>11089</v>
      </c>
      <c r="E195" s="53" t="s">
        <v>11255</v>
      </c>
      <c r="F195" s="53" t="s">
        <v>11258</v>
      </c>
      <c r="G195" s="54">
        <v>0.805</v>
      </c>
      <c r="H195" s="53">
        <v>1.15</v>
      </c>
      <c r="I195" s="53">
        <v>5600</v>
      </c>
      <c r="J195" s="53">
        <v>4000</v>
      </c>
      <c r="K195" s="53"/>
      <c r="L195" s="53"/>
      <c r="M195" s="53"/>
      <c r="N195" s="53"/>
      <c r="O195" s="53"/>
      <c r="P195" s="53"/>
      <c r="Q195" s="53"/>
      <c r="R195" s="53"/>
      <c r="S195" s="53"/>
      <c r="T195" s="53"/>
    </row>
    <row r="196">
      <c r="A196" s="53"/>
      <c r="B196" s="53" t="s">
        <v>11259</v>
      </c>
      <c r="C196" s="53" t="s">
        <v>11219</v>
      </c>
      <c r="D196" s="53" t="s">
        <v>11219</v>
      </c>
      <c r="E196" s="53" t="s">
        <v>11220</v>
      </c>
      <c r="F196" s="53" t="s">
        <v>11260</v>
      </c>
      <c r="G196" s="54">
        <v>0.9953</v>
      </c>
      <c r="H196" s="53">
        <v>1.14</v>
      </c>
      <c r="I196" s="53">
        <v>3348.84</v>
      </c>
      <c r="J196" s="53">
        <v>3000</v>
      </c>
      <c r="K196" s="53"/>
      <c r="L196" s="53"/>
      <c r="M196" s="53"/>
      <c r="N196" s="53"/>
      <c r="O196" s="53"/>
      <c r="P196" s="53"/>
      <c r="Q196" s="53"/>
      <c r="R196" s="53"/>
      <c r="S196" s="53"/>
      <c r="T196" s="53"/>
    </row>
    <row r="197">
      <c r="A197" s="53"/>
      <c r="B197" s="53" t="s">
        <v>11261</v>
      </c>
      <c r="C197" s="53" t="s">
        <v>11219</v>
      </c>
      <c r="D197" s="53" t="s">
        <v>11219</v>
      </c>
      <c r="E197" s="53" t="s">
        <v>11220</v>
      </c>
      <c r="F197" s="53" t="s">
        <v>11262</v>
      </c>
      <c r="G197" s="54">
        <v>0.98314</v>
      </c>
      <c r="H197" s="53">
        <v>1.14</v>
      </c>
      <c r="I197" s="53">
        <v>3069.77</v>
      </c>
      <c r="J197" s="53">
        <v>3000</v>
      </c>
      <c r="K197" s="53"/>
      <c r="L197" s="53"/>
      <c r="M197" s="53"/>
      <c r="N197" s="53"/>
      <c r="O197" s="53"/>
      <c r="P197" s="53"/>
      <c r="Q197" s="53"/>
      <c r="R197" s="53"/>
      <c r="S197" s="53"/>
      <c r="T197" s="53"/>
    </row>
    <row r="198">
      <c r="A198" s="53"/>
      <c r="B198" s="53" t="s">
        <v>11263</v>
      </c>
      <c r="C198" s="53" t="s">
        <v>11264</v>
      </c>
      <c r="D198" s="53" t="s">
        <v>11264</v>
      </c>
      <c r="E198" s="53" t="s">
        <v>11265</v>
      </c>
      <c r="F198" s="53" t="s">
        <v>11266</v>
      </c>
      <c r="G198" s="54">
        <v>1.035966</v>
      </c>
      <c r="H198" s="53">
        <v>1.14</v>
      </c>
      <c r="I198" s="53">
        <v>3931.45</v>
      </c>
      <c r="J198" s="53">
        <v>3000</v>
      </c>
      <c r="K198" s="53"/>
      <c r="L198" s="53"/>
      <c r="M198" s="53"/>
      <c r="N198" s="53"/>
      <c r="O198" s="53"/>
      <c r="P198" s="53"/>
      <c r="Q198" s="53"/>
      <c r="R198" s="53"/>
      <c r="S198" s="53"/>
      <c r="T198" s="53"/>
    </row>
    <row r="199">
      <c r="A199" s="53"/>
      <c r="B199" s="53" t="s">
        <v>11267</v>
      </c>
      <c r="C199" s="53" t="s">
        <v>11093</v>
      </c>
      <c r="D199" s="53" t="s">
        <v>11093</v>
      </c>
      <c r="E199" s="53" t="s">
        <v>11045</v>
      </c>
      <c r="F199" s="53" t="s">
        <v>11268</v>
      </c>
      <c r="G199" s="54">
        <v>1.298468</v>
      </c>
      <c r="H199" s="53">
        <v>1.14</v>
      </c>
      <c r="I199" s="53">
        <v>1400.5</v>
      </c>
      <c r="J199" s="53">
        <v>1500</v>
      </c>
      <c r="K199" s="53"/>
      <c r="L199" s="53"/>
      <c r="M199" s="53"/>
      <c r="N199" s="53"/>
      <c r="O199" s="53"/>
      <c r="P199" s="53"/>
      <c r="Q199" s="53"/>
      <c r="R199" s="53"/>
      <c r="S199" s="53"/>
      <c r="T199" s="53"/>
    </row>
    <row r="200">
      <c r="A200" s="53"/>
      <c r="B200" s="53" t="s">
        <v>11269</v>
      </c>
      <c r="C200" s="53" t="s">
        <v>11093</v>
      </c>
      <c r="D200" s="53" t="s">
        <v>11093</v>
      </c>
      <c r="E200" s="53" t="s">
        <v>11045</v>
      </c>
      <c r="F200" s="53" t="s">
        <v>11270</v>
      </c>
      <c r="G200" s="54">
        <v>1.161468</v>
      </c>
      <c r="H200" s="53">
        <v>1.14</v>
      </c>
      <c r="I200" s="53">
        <v>1103.5</v>
      </c>
      <c r="J200" s="53">
        <v>1500</v>
      </c>
      <c r="K200" s="53"/>
      <c r="L200" s="53"/>
      <c r="M200" s="53"/>
      <c r="N200" s="53"/>
      <c r="O200" s="53"/>
      <c r="P200" s="53"/>
      <c r="Q200" s="53"/>
      <c r="R200" s="53"/>
      <c r="S200" s="53"/>
      <c r="T200" s="53"/>
    </row>
    <row r="201">
      <c r="A201" s="53"/>
      <c r="B201" s="53" t="s">
        <v>11271</v>
      </c>
      <c r="C201" s="53" t="s">
        <v>11082</v>
      </c>
      <c r="D201" s="53" t="s">
        <v>11082</v>
      </c>
      <c r="E201" s="53" t="s">
        <v>11094</v>
      </c>
      <c r="F201" s="53" t="s">
        <v>11272</v>
      </c>
      <c r="G201" s="54">
        <v>1.258</v>
      </c>
      <c r="H201" s="53">
        <v>1.14</v>
      </c>
      <c r="I201" s="53">
        <v>5000</v>
      </c>
      <c r="J201" s="53">
        <v>5000</v>
      </c>
      <c r="K201" s="53"/>
      <c r="L201" s="53"/>
      <c r="M201" s="53"/>
      <c r="N201" s="53"/>
      <c r="O201" s="53"/>
      <c r="P201" s="53"/>
      <c r="Q201" s="53"/>
      <c r="R201" s="53"/>
      <c r="S201" s="53"/>
      <c r="T201" s="53"/>
    </row>
    <row r="202">
      <c r="A202" s="53"/>
      <c r="B202" s="53" t="s">
        <v>11273</v>
      </c>
      <c r="C202" s="53" t="s">
        <v>11274</v>
      </c>
      <c r="D202" s="53" t="s">
        <v>11274</v>
      </c>
      <c r="E202" s="53" t="s">
        <v>11141</v>
      </c>
      <c r="F202" s="53" t="s">
        <v>11275</v>
      </c>
      <c r="G202" s="54">
        <v>1.237275</v>
      </c>
      <c r="H202" s="53">
        <v>1.14</v>
      </c>
      <c r="I202" s="53">
        <v>5000</v>
      </c>
      <c r="J202" s="53">
        <v>5000</v>
      </c>
      <c r="K202" s="53"/>
      <c r="L202" s="53"/>
      <c r="M202" s="53"/>
      <c r="N202" s="53"/>
      <c r="O202" s="53"/>
      <c r="P202" s="53"/>
      <c r="Q202" s="53"/>
      <c r="R202" s="53"/>
      <c r="S202" s="53"/>
      <c r="T202" s="53"/>
    </row>
    <row r="203">
      <c r="A203" s="53"/>
      <c r="B203" s="53" t="s">
        <v>11276</v>
      </c>
      <c r="C203" s="53" t="s">
        <v>11044</v>
      </c>
      <c r="D203" s="53" t="s">
        <v>11044</v>
      </c>
      <c r="E203" s="53" t="s">
        <v>10813</v>
      </c>
      <c r="F203" s="53" t="s">
        <v>11277</v>
      </c>
      <c r="G203" s="54">
        <v>6.389425</v>
      </c>
      <c r="H203" s="53">
        <v>1.14</v>
      </c>
      <c r="I203" s="53">
        <v>2280</v>
      </c>
      <c r="J203" s="53">
        <v>6000</v>
      </c>
      <c r="K203" s="53"/>
      <c r="L203" s="53"/>
      <c r="M203" s="53"/>
      <c r="N203" s="53"/>
      <c r="O203" s="53"/>
      <c r="P203" s="53"/>
      <c r="Q203" s="53"/>
      <c r="R203" s="53"/>
      <c r="S203" s="53"/>
      <c r="T203" s="53"/>
    </row>
    <row r="204">
      <c r="A204" s="53"/>
      <c r="B204" s="53" t="s">
        <v>11278</v>
      </c>
      <c r="C204" s="53" t="s">
        <v>11089</v>
      </c>
      <c r="D204" s="53" t="s">
        <v>11089</v>
      </c>
      <c r="E204" s="53" t="s">
        <v>11255</v>
      </c>
      <c r="F204" s="53" t="s">
        <v>11279</v>
      </c>
      <c r="G204" s="54">
        <v>0.79275</v>
      </c>
      <c r="H204" s="53">
        <v>1.14</v>
      </c>
      <c r="I204" s="53">
        <v>2200</v>
      </c>
      <c r="J204" s="53">
        <v>2000</v>
      </c>
      <c r="K204" s="53"/>
      <c r="L204" s="53"/>
      <c r="M204" s="53"/>
      <c r="N204" s="53"/>
      <c r="O204" s="53"/>
      <c r="P204" s="53"/>
      <c r="Q204" s="53"/>
      <c r="R204" s="53"/>
      <c r="S204" s="53"/>
      <c r="T204" s="53"/>
    </row>
    <row r="205">
      <c r="A205" s="53"/>
      <c r="B205" s="53" t="s">
        <v>11280</v>
      </c>
      <c r="C205" s="53" t="s">
        <v>11171</v>
      </c>
      <c r="D205" s="53" t="s">
        <v>11171</v>
      </c>
      <c r="E205" s="53" t="s">
        <v>11281</v>
      </c>
      <c r="F205" s="53" t="s">
        <v>11282</v>
      </c>
      <c r="G205" s="54">
        <v>1.8932</v>
      </c>
      <c r="H205" s="53">
        <v>1.14</v>
      </c>
      <c r="I205" s="53">
        <v>7000</v>
      </c>
      <c r="J205" s="53">
        <v>5000</v>
      </c>
      <c r="K205" s="53"/>
      <c r="L205" s="53"/>
      <c r="M205" s="53"/>
      <c r="N205" s="53"/>
      <c r="O205" s="53"/>
      <c r="P205" s="53"/>
      <c r="Q205" s="53"/>
      <c r="R205" s="53"/>
      <c r="S205" s="53"/>
      <c r="T205" s="53"/>
    </row>
    <row r="206">
      <c r="A206" s="53"/>
      <c r="B206" s="53" t="s">
        <v>11283</v>
      </c>
      <c r="C206" s="53" t="s">
        <v>11284</v>
      </c>
      <c r="D206" s="53" t="s">
        <v>11284</v>
      </c>
      <c r="E206" s="53" t="s">
        <v>11216</v>
      </c>
      <c r="F206" s="53" t="s">
        <v>11285</v>
      </c>
      <c r="G206" s="54">
        <v>1.06</v>
      </c>
      <c r="H206" s="53">
        <v>1.14</v>
      </c>
      <c r="I206" s="53">
        <v>6000</v>
      </c>
      <c r="J206" s="53">
        <v>5000</v>
      </c>
      <c r="K206" s="53"/>
      <c r="L206" s="53"/>
      <c r="M206" s="53"/>
      <c r="N206" s="53"/>
      <c r="O206" s="53"/>
      <c r="P206" s="53"/>
      <c r="Q206" s="53"/>
      <c r="R206" s="53"/>
      <c r="S206" s="53"/>
      <c r="T206" s="53"/>
    </row>
    <row r="207">
      <c r="A207" s="53"/>
      <c r="B207" s="53" t="s">
        <v>11286</v>
      </c>
      <c r="C207" s="53" t="s">
        <v>11044</v>
      </c>
      <c r="D207" s="53" t="s">
        <v>11044</v>
      </c>
      <c r="E207" s="53" t="s">
        <v>11141</v>
      </c>
      <c r="F207" s="53" t="s">
        <v>11287</v>
      </c>
      <c r="G207" s="54">
        <v>1.2232</v>
      </c>
      <c r="H207" s="53">
        <v>1.13</v>
      </c>
      <c r="I207" s="53">
        <v>0</v>
      </c>
      <c r="J207" s="53">
        <v>5000</v>
      </c>
      <c r="K207" s="53"/>
      <c r="L207" s="53"/>
      <c r="M207" s="53"/>
      <c r="N207" s="53"/>
      <c r="O207" s="53"/>
      <c r="P207" s="53"/>
      <c r="Q207" s="53"/>
      <c r="R207" s="53"/>
      <c r="S207" s="53"/>
      <c r="T207" s="53"/>
    </row>
    <row r="208">
      <c r="A208" s="53"/>
      <c r="B208" s="53" t="s">
        <v>11288</v>
      </c>
      <c r="C208" s="53" t="s">
        <v>11125</v>
      </c>
      <c r="D208" s="53" t="s">
        <v>11125</v>
      </c>
      <c r="E208" s="53" t="s">
        <v>11141</v>
      </c>
      <c r="F208" s="53" t="s">
        <v>11289</v>
      </c>
      <c r="G208" s="54">
        <v>1.19963</v>
      </c>
      <c r="H208" s="53">
        <v>1.13</v>
      </c>
      <c r="I208" s="53">
        <v>7000</v>
      </c>
      <c r="J208" s="53">
        <v>5000</v>
      </c>
      <c r="K208" s="53"/>
      <c r="L208" s="53"/>
      <c r="M208" s="53"/>
      <c r="N208" s="53"/>
      <c r="O208" s="53"/>
      <c r="P208" s="53"/>
      <c r="Q208" s="53"/>
      <c r="R208" s="53"/>
      <c r="S208" s="53"/>
      <c r="T208" s="53"/>
    </row>
    <row r="209">
      <c r="A209" s="53"/>
      <c r="B209" s="53" t="s">
        <v>11290</v>
      </c>
      <c r="C209" s="53" t="s">
        <v>11093</v>
      </c>
      <c r="D209" s="53" t="s">
        <v>11093</v>
      </c>
      <c r="E209" s="53" t="s">
        <v>11045</v>
      </c>
      <c r="F209" s="53" t="s">
        <v>11291</v>
      </c>
      <c r="G209" s="54">
        <v>2.222</v>
      </c>
      <c r="H209" s="53">
        <v>1.13</v>
      </c>
      <c r="I209" s="53">
        <v>1500</v>
      </c>
      <c r="J209" s="53">
        <v>1500</v>
      </c>
      <c r="K209" s="53"/>
      <c r="L209" s="53"/>
      <c r="M209" s="53"/>
      <c r="N209" s="53"/>
      <c r="O209" s="53"/>
      <c r="P209" s="53"/>
      <c r="Q209" s="53"/>
      <c r="R209" s="53"/>
      <c r="S209" s="53"/>
      <c r="T209" s="53"/>
    </row>
    <row r="210">
      <c r="A210" s="53"/>
      <c r="B210" s="53" t="s">
        <v>11292</v>
      </c>
      <c r="C210" s="53" t="s">
        <v>11209</v>
      </c>
      <c r="D210" s="53" t="s">
        <v>11209</v>
      </c>
      <c r="E210" s="53" t="s">
        <v>11293</v>
      </c>
      <c r="F210" s="53" t="s">
        <v>11294</v>
      </c>
      <c r="G210" s="54">
        <v>1.200025</v>
      </c>
      <c r="H210" s="53">
        <v>1.12</v>
      </c>
      <c r="I210" s="53">
        <v>6164.73</v>
      </c>
      <c r="J210" s="53">
        <v>5000</v>
      </c>
      <c r="K210" s="53"/>
      <c r="L210" s="53"/>
      <c r="M210" s="53"/>
      <c r="N210" s="53"/>
      <c r="O210" s="53"/>
      <c r="P210" s="53"/>
      <c r="Q210" s="53"/>
      <c r="R210" s="53"/>
      <c r="S210" s="53"/>
      <c r="T210" s="53"/>
    </row>
    <row r="211">
      <c r="A211" s="53"/>
      <c r="B211" s="53" t="s">
        <v>11295</v>
      </c>
      <c r="C211" s="53" t="s">
        <v>11121</v>
      </c>
      <c r="D211" s="53" t="s">
        <v>11121</v>
      </c>
      <c r="E211" s="53" t="s">
        <v>11104</v>
      </c>
      <c r="F211" s="53" t="s">
        <v>11296</v>
      </c>
      <c r="G211" s="54">
        <v>1.12134</v>
      </c>
      <c r="H211" s="53">
        <v>1.12</v>
      </c>
      <c r="I211" s="53">
        <v>2000</v>
      </c>
      <c r="J211" s="53">
        <v>2000</v>
      </c>
      <c r="K211" s="53"/>
      <c r="L211" s="53"/>
      <c r="M211" s="53"/>
      <c r="N211" s="53"/>
      <c r="O211" s="53"/>
      <c r="P211" s="53"/>
      <c r="Q211" s="53"/>
      <c r="R211" s="53"/>
      <c r="S211" s="53"/>
      <c r="T211" s="53"/>
    </row>
    <row r="212">
      <c r="A212" s="53"/>
      <c r="B212" s="53" t="s">
        <v>11297</v>
      </c>
      <c r="C212" s="53" t="s">
        <v>11082</v>
      </c>
      <c r="D212" s="53" t="s">
        <v>11082</v>
      </c>
      <c r="E212" s="53" t="s">
        <v>10813</v>
      </c>
      <c r="F212" s="53" t="s">
        <v>11298</v>
      </c>
      <c r="G212" s="54">
        <v>1.453671</v>
      </c>
      <c r="H212" s="53">
        <v>1.12</v>
      </c>
      <c r="I212" s="53">
        <v>6726.18</v>
      </c>
      <c r="J212" s="53">
        <v>6000</v>
      </c>
      <c r="K212" s="53"/>
      <c r="L212" s="53"/>
      <c r="M212" s="53"/>
      <c r="N212" s="53"/>
      <c r="O212" s="53"/>
      <c r="P212" s="53"/>
      <c r="Q212" s="53"/>
      <c r="R212" s="53"/>
      <c r="S212" s="53"/>
      <c r="T212" s="53"/>
    </row>
    <row r="213">
      <c r="A213" s="53"/>
      <c r="B213" s="53" t="s">
        <v>11299</v>
      </c>
      <c r="C213" s="53" t="s">
        <v>11300</v>
      </c>
      <c r="D213" s="53" t="s">
        <v>11300</v>
      </c>
      <c r="E213" s="53" t="s">
        <v>11216</v>
      </c>
      <c r="F213" s="53" t="s">
        <v>11301</v>
      </c>
      <c r="G213" s="54">
        <v>1.0427</v>
      </c>
      <c r="H213" s="53">
        <v>1.12</v>
      </c>
      <c r="I213" s="53">
        <v>4000</v>
      </c>
      <c r="J213" s="53">
        <v>5000</v>
      </c>
      <c r="K213" s="53"/>
      <c r="L213" s="53"/>
      <c r="M213" s="53"/>
      <c r="N213" s="53"/>
      <c r="O213" s="53"/>
      <c r="P213" s="53"/>
      <c r="Q213" s="53"/>
      <c r="R213" s="53"/>
      <c r="S213" s="53"/>
      <c r="T213" s="53"/>
    </row>
    <row r="214">
      <c r="A214" s="53"/>
      <c r="B214" s="53" t="s">
        <v>11302</v>
      </c>
      <c r="C214" s="53" t="s">
        <v>11089</v>
      </c>
      <c r="D214" s="53" t="s">
        <v>11089</v>
      </c>
      <c r="E214" s="53" t="s">
        <v>11255</v>
      </c>
      <c r="F214" s="53" t="s">
        <v>11303</v>
      </c>
      <c r="G214" s="54">
        <v>0.735</v>
      </c>
      <c r="H214" s="53">
        <v>1.11</v>
      </c>
      <c r="I214" s="53">
        <v>3000</v>
      </c>
      <c r="J214" s="53">
        <v>3000</v>
      </c>
      <c r="K214" s="53"/>
      <c r="L214" s="53"/>
      <c r="M214" s="53"/>
      <c r="N214" s="53"/>
      <c r="O214" s="53"/>
      <c r="P214" s="53"/>
      <c r="Q214" s="53"/>
      <c r="R214" s="53"/>
      <c r="S214" s="53"/>
      <c r="T214" s="53"/>
    </row>
    <row r="215">
      <c r="A215" s="53"/>
      <c r="B215" s="53" t="s">
        <v>11304</v>
      </c>
      <c r="C215" s="53" t="s">
        <v>11074</v>
      </c>
      <c r="D215" s="53" t="s">
        <v>11074</v>
      </c>
      <c r="E215" s="53" t="s">
        <v>11305</v>
      </c>
      <c r="F215" s="53" t="s">
        <v>11306</v>
      </c>
      <c r="G215" s="54">
        <v>1</v>
      </c>
      <c r="H215" s="53">
        <v>1.1</v>
      </c>
      <c r="I215" s="53">
        <v>0</v>
      </c>
      <c r="J215" s="53">
        <v>1200</v>
      </c>
      <c r="K215" s="53"/>
      <c r="L215" s="53"/>
      <c r="M215" s="53"/>
      <c r="N215" s="53"/>
      <c r="O215" s="53"/>
      <c r="P215" s="53"/>
      <c r="Q215" s="53"/>
      <c r="R215" s="53"/>
      <c r="S215" s="53"/>
      <c r="T215" s="53"/>
    </row>
    <row r="216">
      <c r="A216" s="53"/>
      <c r="B216" s="53" t="s">
        <v>11307</v>
      </c>
      <c r="C216" s="53" t="s">
        <v>11134</v>
      </c>
      <c r="D216" s="53" t="s">
        <v>11134</v>
      </c>
      <c r="E216" s="53" t="s">
        <v>11308</v>
      </c>
      <c r="F216" s="53" t="s">
        <v>11309</v>
      </c>
      <c r="G216" s="54">
        <v>1.16975</v>
      </c>
      <c r="H216" s="53">
        <v>1.1</v>
      </c>
      <c r="I216" s="53">
        <v>3600</v>
      </c>
      <c r="J216" s="53">
        <v>3000</v>
      </c>
      <c r="K216" s="53"/>
      <c r="L216" s="53"/>
      <c r="M216" s="53"/>
      <c r="N216" s="53"/>
      <c r="O216" s="53"/>
      <c r="P216" s="53"/>
      <c r="Q216" s="53"/>
      <c r="R216" s="53"/>
      <c r="S216" s="53"/>
      <c r="T216" s="53"/>
    </row>
    <row r="217">
      <c r="A217" s="53"/>
      <c r="B217" s="53" t="s">
        <v>11310</v>
      </c>
      <c r="C217" s="53" t="s">
        <v>11177</v>
      </c>
      <c r="D217" s="53" t="s">
        <v>11177</v>
      </c>
      <c r="E217" s="53" t="s">
        <v>11213</v>
      </c>
      <c r="F217" s="53" t="s">
        <v>11311</v>
      </c>
      <c r="G217" s="54">
        <v>1.1</v>
      </c>
      <c r="H217" s="53">
        <v>1.1</v>
      </c>
      <c r="I217" s="53">
        <v>3173.08</v>
      </c>
      <c r="J217" s="53">
        <v>3000</v>
      </c>
      <c r="K217" s="53"/>
      <c r="L217" s="53"/>
      <c r="M217" s="53"/>
      <c r="N217" s="53"/>
      <c r="O217" s="53"/>
      <c r="P217" s="53"/>
      <c r="Q217" s="53"/>
      <c r="R217" s="53"/>
      <c r="S217" s="53"/>
      <c r="T217" s="53"/>
    </row>
    <row r="218">
      <c r="A218" s="53"/>
      <c r="B218" s="53" t="s">
        <v>11312</v>
      </c>
      <c r="C218" s="53" t="s">
        <v>11177</v>
      </c>
      <c r="D218" s="53" t="s">
        <v>11177</v>
      </c>
      <c r="E218" s="53" t="s">
        <v>10813</v>
      </c>
      <c r="F218" s="53" t="s">
        <v>11313</v>
      </c>
      <c r="G218" s="54">
        <v>1.1</v>
      </c>
      <c r="H218" s="53">
        <v>1.1</v>
      </c>
      <c r="I218" s="53">
        <v>5288.46</v>
      </c>
      <c r="J218" s="53">
        <v>5000</v>
      </c>
      <c r="K218" s="53"/>
      <c r="L218" s="53"/>
      <c r="M218" s="53"/>
      <c r="N218" s="53"/>
      <c r="O218" s="53"/>
      <c r="P218" s="53"/>
      <c r="Q218" s="53"/>
      <c r="R218" s="53"/>
      <c r="S218" s="53"/>
      <c r="T218" s="53"/>
    </row>
    <row r="219">
      <c r="A219" s="53"/>
      <c r="B219" s="53" t="s">
        <v>11314</v>
      </c>
      <c r="C219" s="53" t="s">
        <v>11177</v>
      </c>
      <c r="D219" s="53" t="s">
        <v>11177</v>
      </c>
      <c r="E219" s="53" t="s">
        <v>11213</v>
      </c>
      <c r="F219" s="53" t="s">
        <v>11315</v>
      </c>
      <c r="G219" s="54">
        <v>0.011</v>
      </c>
      <c r="H219" s="53">
        <v>1.1</v>
      </c>
      <c r="I219" s="53">
        <v>3173.08</v>
      </c>
      <c r="J219" s="53">
        <v>3000</v>
      </c>
      <c r="K219" s="53"/>
      <c r="L219" s="53"/>
      <c r="M219" s="53"/>
      <c r="N219" s="53"/>
      <c r="O219" s="53"/>
      <c r="P219" s="53"/>
      <c r="Q219" s="53"/>
      <c r="R219" s="53"/>
      <c r="S219" s="53"/>
      <c r="T219" s="53"/>
    </row>
    <row r="220">
      <c r="A220" s="53"/>
      <c r="B220" s="53" t="s">
        <v>11316</v>
      </c>
      <c r="C220" s="53" t="s">
        <v>10829</v>
      </c>
      <c r="D220" s="53" t="s">
        <v>10829</v>
      </c>
      <c r="E220" s="53" t="s">
        <v>11317</v>
      </c>
      <c r="F220" s="53" t="s">
        <v>11318</v>
      </c>
      <c r="G220" s="54">
        <v>1.099</v>
      </c>
      <c r="H220" s="53">
        <v>1.1</v>
      </c>
      <c r="I220" s="53">
        <v>2200</v>
      </c>
      <c r="J220" s="53">
        <v>2000</v>
      </c>
      <c r="K220" s="53"/>
      <c r="L220" s="53"/>
      <c r="M220" s="53"/>
      <c r="N220" s="53"/>
      <c r="O220" s="53"/>
      <c r="P220" s="53"/>
      <c r="Q220" s="53"/>
      <c r="R220" s="53"/>
      <c r="S220" s="53"/>
      <c r="T220" s="53"/>
    </row>
    <row r="221">
      <c r="A221" s="53"/>
      <c r="B221" s="53" t="s">
        <v>11319</v>
      </c>
      <c r="C221" s="53" t="s">
        <v>11320</v>
      </c>
      <c r="D221" s="53" t="s">
        <v>11320</v>
      </c>
      <c r="E221" s="53" t="s">
        <v>11321</v>
      </c>
      <c r="F221" s="53" t="s">
        <v>11322</v>
      </c>
      <c r="G221" s="54">
        <v>0.798</v>
      </c>
      <c r="H221" s="53">
        <v>1.1</v>
      </c>
      <c r="I221" s="53">
        <v>880</v>
      </c>
      <c r="J221" s="53">
        <v>800</v>
      </c>
      <c r="K221" s="53"/>
      <c r="L221" s="53"/>
      <c r="M221" s="53"/>
      <c r="N221" s="53"/>
      <c r="O221" s="53"/>
      <c r="P221" s="53"/>
      <c r="Q221" s="53"/>
      <c r="R221" s="53"/>
      <c r="S221" s="53"/>
      <c r="T221" s="53"/>
    </row>
    <row r="222">
      <c r="A222" s="53"/>
      <c r="B222" s="53" t="s">
        <v>11323</v>
      </c>
      <c r="C222" s="53" t="s">
        <v>11324</v>
      </c>
      <c r="D222" s="53" t="s">
        <v>11324</v>
      </c>
      <c r="E222" s="53" t="s">
        <v>11325</v>
      </c>
      <c r="F222" s="53" t="s">
        <v>11326</v>
      </c>
      <c r="G222" s="54">
        <v>1</v>
      </c>
      <c r="H222" s="53">
        <v>1.1</v>
      </c>
      <c r="I222" s="53">
        <v>2531.25</v>
      </c>
      <c r="J222" s="53">
        <v>2000</v>
      </c>
      <c r="K222" s="53"/>
      <c r="L222" s="53"/>
      <c r="M222" s="53"/>
      <c r="N222" s="53"/>
      <c r="O222" s="53"/>
      <c r="P222" s="53"/>
      <c r="Q222" s="53"/>
      <c r="R222" s="53"/>
      <c r="S222" s="53"/>
      <c r="T222" s="53"/>
    </row>
    <row r="223">
      <c r="A223" s="53"/>
      <c r="B223" s="53" t="s">
        <v>11327</v>
      </c>
      <c r="C223" s="53" t="s">
        <v>11328</v>
      </c>
      <c r="D223" s="53" t="s">
        <v>11328</v>
      </c>
      <c r="E223" s="53" t="s">
        <v>11129</v>
      </c>
      <c r="F223" s="53" t="s">
        <v>11329</v>
      </c>
      <c r="G223" s="54">
        <v>1.1036</v>
      </c>
      <c r="H223" s="53">
        <v>1.1</v>
      </c>
      <c r="I223" s="53">
        <v>0</v>
      </c>
      <c r="J223" s="53">
        <v>3000</v>
      </c>
      <c r="K223" s="53"/>
      <c r="L223" s="53"/>
      <c r="M223" s="53"/>
      <c r="N223" s="53"/>
      <c r="O223" s="53"/>
      <c r="P223" s="53"/>
      <c r="Q223" s="53"/>
      <c r="R223" s="53"/>
      <c r="S223" s="53"/>
      <c r="T223" s="53"/>
    </row>
    <row r="224">
      <c r="A224" s="53"/>
      <c r="B224" s="53"/>
      <c r="C224" s="53"/>
      <c r="D224" s="53"/>
      <c r="E224" s="53"/>
      <c r="F224" s="53" t="s">
        <v>11318</v>
      </c>
      <c r="G224" s="55">
        <v>1.099</v>
      </c>
      <c r="H224" s="53">
        <v>1.1</v>
      </c>
      <c r="I224" s="53">
        <v>2200</v>
      </c>
      <c r="J224" s="53">
        <v>2000</v>
      </c>
      <c r="K224" s="53"/>
      <c r="L224" s="53"/>
      <c r="M224" s="53"/>
      <c r="N224" s="53"/>
      <c r="O224" s="53"/>
      <c r="P224" s="53"/>
      <c r="Q224" s="53"/>
      <c r="R224" s="53"/>
      <c r="S224" s="53"/>
      <c r="T224" s="53"/>
    </row>
    <row r="225">
      <c r="A225" s="53"/>
      <c r="B225" s="53"/>
      <c r="C225" s="53"/>
      <c r="D225" s="53"/>
      <c r="E225" s="53"/>
      <c r="F225" s="53" t="s">
        <v>11330</v>
      </c>
      <c r="G225" s="55">
        <v>1.1</v>
      </c>
      <c r="H225" s="53">
        <v>1.1</v>
      </c>
      <c r="I225" s="53">
        <v>5200</v>
      </c>
      <c r="J225" s="53">
        <v>5000</v>
      </c>
      <c r="K225" s="53"/>
      <c r="L225" s="53"/>
      <c r="M225" s="53"/>
      <c r="N225" s="53"/>
      <c r="O225" s="53"/>
      <c r="P225" s="53"/>
      <c r="Q225" s="53"/>
      <c r="R225" s="53"/>
      <c r="S225" s="53"/>
      <c r="T225" s="53"/>
    </row>
    <row r="226">
      <c r="A226" s="53"/>
      <c r="B226" s="53" t="s">
        <v>11331</v>
      </c>
      <c r="C226" s="53" t="s">
        <v>11134</v>
      </c>
      <c r="D226" s="53" t="s">
        <v>11134</v>
      </c>
      <c r="E226" s="53" t="s">
        <v>11308</v>
      </c>
      <c r="F226" s="53" t="s">
        <v>11332</v>
      </c>
      <c r="G226" s="54">
        <v>1.105</v>
      </c>
      <c r="H226" s="53">
        <v>1.09</v>
      </c>
      <c r="I226" s="53">
        <v>2400</v>
      </c>
      <c r="J226" s="53">
        <v>3000</v>
      </c>
      <c r="K226" s="53"/>
      <c r="L226" s="53"/>
      <c r="M226" s="53"/>
      <c r="N226" s="53"/>
      <c r="O226" s="53"/>
      <c r="P226" s="53"/>
      <c r="Q226" s="53"/>
      <c r="R226" s="53"/>
      <c r="S226" s="53"/>
      <c r="T226" s="53"/>
    </row>
    <row r="227">
      <c r="A227" s="53"/>
      <c r="B227" s="53" t="s">
        <v>11333</v>
      </c>
      <c r="C227" s="53" t="s">
        <v>11264</v>
      </c>
      <c r="D227" s="53" t="s">
        <v>11264</v>
      </c>
      <c r="E227" s="53" t="s">
        <v>11265</v>
      </c>
      <c r="F227" s="53" t="s">
        <v>11334</v>
      </c>
      <c r="G227" s="54">
        <v>0.98708</v>
      </c>
      <c r="H227" s="53">
        <v>1.09</v>
      </c>
      <c r="I227" s="53">
        <v>3629.03</v>
      </c>
      <c r="J227" s="53">
        <v>3000</v>
      </c>
      <c r="K227" s="53"/>
      <c r="L227" s="53"/>
      <c r="M227" s="53"/>
      <c r="N227" s="53"/>
      <c r="O227" s="53"/>
      <c r="P227" s="53"/>
      <c r="Q227" s="53"/>
      <c r="R227" s="53"/>
      <c r="S227" s="53"/>
      <c r="T227" s="53"/>
    </row>
    <row r="228">
      <c r="A228" s="53"/>
      <c r="B228" s="53" t="s">
        <v>11335</v>
      </c>
      <c r="C228" s="53" t="s">
        <v>11320</v>
      </c>
      <c r="D228" s="53" t="s">
        <v>11320</v>
      </c>
      <c r="E228" s="53" t="s">
        <v>11321</v>
      </c>
      <c r="F228" s="53" t="s">
        <v>11336</v>
      </c>
      <c r="G228" s="54">
        <v>0.9665</v>
      </c>
      <c r="H228" s="53">
        <v>1.08</v>
      </c>
      <c r="I228" s="53">
        <v>864</v>
      </c>
      <c r="J228" s="53">
        <v>800</v>
      </c>
      <c r="K228" s="53"/>
      <c r="L228" s="53"/>
      <c r="M228" s="53"/>
      <c r="N228" s="53"/>
      <c r="O228" s="53"/>
      <c r="P228" s="53"/>
      <c r="Q228" s="53"/>
      <c r="R228" s="53"/>
      <c r="S228" s="53"/>
      <c r="T228" s="53"/>
    </row>
    <row r="229">
      <c r="A229" s="53"/>
      <c r="B229" s="53" t="s">
        <v>11337</v>
      </c>
      <c r="C229" s="53" t="s">
        <v>11338</v>
      </c>
      <c r="D229" s="53" t="s">
        <v>11338</v>
      </c>
      <c r="E229" s="53" t="s">
        <v>11339</v>
      </c>
      <c r="F229" s="53" t="s">
        <v>11340</v>
      </c>
      <c r="G229" s="54">
        <v>0.93073</v>
      </c>
      <c r="H229" s="53">
        <v>1.08</v>
      </c>
      <c r="I229" s="53">
        <v>3692.31</v>
      </c>
      <c r="J229" s="53">
        <v>3000</v>
      </c>
      <c r="K229" s="53"/>
      <c r="L229" s="53"/>
      <c r="M229" s="53"/>
      <c r="N229" s="53"/>
      <c r="O229" s="53"/>
      <c r="P229" s="53"/>
      <c r="Q229" s="53"/>
      <c r="R229" s="53"/>
      <c r="S229" s="53"/>
      <c r="T229" s="53"/>
    </row>
    <row r="230">
      <c r="A230" s="53"/>
      <c r="B230" s="53" t="s">
        <v>11341</v>
      </c>
      <c r="C230" s="53" t="s">
        <v>11201</v>
      </c>
      <c r="D230" s="53" t="s">
        <v>11201</v>
      </c>
      <c r="E230" s="53" t="s">
        <v>11104</v>
      </c>
      <c r="F230" s="53" t="s">
        <v>11342</v>
      </c>
      <c r="G230" s="54">
        <v>1.08697</v>
      </c>
      <c r="H230" s="53">
        <v>1.08</v>
      </c>
      <c r="I230" s="53">
        <v>0</v>
      </c>
      <c r="J230" s="53">
        <v>2000</v>
      </c>
      <c r="K230" s="53"/>
      <c r="L230" s="53"/>
      <c r="M230" s="53"/>
      <c r="N230" s="53"/>
      <c r="O230" s="53"/>
      <c r="P230" s="53"/>
      <c r="Q230" s="53"/>
      <c r="R230" s="53"/>
      <c r="S230" s="53"/>
      <c r="T230" s="53"/>
    </row>
    <row r="231">
      <c r="A231" s="53"/>
      <c r="B231" s="53" t="s">
        <v>11343</v>
      </c>
      <c r="C231" s="53" t="s">
        <v>11089</v>
      </c>
      <c r="D231" s="53" t="s">
        <v>11089</v>
      </c>
      <c r="E231" s="53" t="s">
        <v>11255</v>
      </c>
      <c r="F231" s="53" t="s">
        <v>11344</v>
      </c>
      <c r="G231" s="54">
        <v>0.72275</v>
      </c>
      <c r="H231" s="53">
        <v>1.08</v>
      </c>
      <c r="I231" s="53">
        <v>3600</v>
      </c>
      <c r="J231" s="53">
        <v>4000</v>
      </c>
      <c r="K231" s="53"/>
      <c r="L231" s="53"/>
      <c r="M231" s="53"/>
      <c r="N231" s="53"/>
      <c r="O231" s="53"/>
      <c r="P231" s="53"/>
      <c r="Q231" s="53"/>
      <c r="R231" s="53"/>
      <c r="S231" s="53"/>
      <c r="T231" s="53"/>
    </row>
    <row r="232">
      <c r="A232" s="53"/>
      <c r="B232" s="53" t="s">
        <v>11345</v>
      </c>
      <c r="C232" s="53" t="s">
        <v>11078</v>
      </c>
      <c r="D232" s="53" t="s">
        <v>11078</v>
      </c>
      <c r="E232" s="53" t="s">
        <v>11129</v>
      </c>
      <c r="F232" s="53" t="s">
        <v>11346</v>
      </c>
      <c r="G232" s="54">
        <v>1.084</v>
      </c>
      <c r="H232" s="53">
        <v>1.08</v>
      </c>
      <c r="I232" s="53">
        <v>3360</v>
      </c>
      <c r="J232" s="53">
        <v>3000</v>
      </c>
      <c r="K232" s="53"/>
      <c r="L232" s="53"/>
      <c r="M232" s="53"/>
      <c r="N232" s="53"/>
      <c r="O232" s="53"/>
      <c r="P232" s="53"/>
      <c r="Q232" s="53"/>
      <c r="R232" s="53"/>
      <c r="S232" s="53"/>
      <c r="T232" s="53"/>
    </row>
    <row r="233">
      <c r="A233" s="53"/>
      <c r="B233" s="53" t="s">
        <v>11347</v>
      </c>
      <c r="C233" s="53" t="s">
        <v>11185</v>
      </c>
      <c r="D233" s="53" t="s">
        <v>11185</v>
      </c>
      <c r="E233" s="53" t="s">
        <v>11348</v>
      </c>
      <c r="F233" s="53" t="s">
        <v>11349</v>
      </c>
      <c r="G233" s="54">
        <v>0.67</v>
      </c>
      <c r="H233" s="53">
        <v>1.07</v>
      </c>
      <c r="I233" s="53">
        <v>3200</v>
      </c>
      <c r="J233" s="53">
        <v>2800</v>
      </c>
      <c r="K233" s="53"/>
      <c r="L233" s="53"/>
      <c r="M233" s="53"/>
      <c r="N233" s="53"/>
      <c r="O233" s="53"/>
      <c r="P233" s="53"/>
      <c r="Q233" s="53"/>
      <c r="R233" s="53"/>
      <c r="S233" s="53"/>
      <c r="T233" s="53"/>
    </row>
    <row r="234">
      <c r="A234" s="53"/>
      <c r="B234" s="53" t="s">
        <v>11350</v>
      </c>
      <c r="C234" s="53" t="s">
        <v>11209</v>
      </c>
      <c r="D234" s="53" t="s">
        <v>11209</v>
      </c>
      <c r="E234" s="53" t="s">
        <v>11351</v>
      </c>
      <c r="F234" s="53" t="s">
        <v>11352</v>
      </c>
      <c r="G234" s="54">
        <v>0.973389</v>
      </c>
      <c r="H234" s="53">
        <v>1.07</v>
      </c>
      <c r="I234" s="53">
        <v>4140.85</v>
      </c>
      <c r="J234" s="53">
        <v>3000</v>
      </c>
      <c r="K234" s="53"/>
      <c r="L234" s="53"/>
      <c r="M234" s="53"/>
      <c r="N234" s="53"/>
      <c r="O234" s="53"/>
      <c r="P234" s="53"/>
      <c r="Q234" s="53"/>
      <c r="R234" s="53"/>
      <c r="S234" s="53"/>
      <c r="T234" s="53"/>
    </row>
    <row r="235">
      <c r="A235" s="53"/>
      <c r="B235" s="53" t="s">
        <v>11353</v>
      </c>
      <c r="C235" s="53" t="s">
        <v>11264</v>
      </c>
      <c r="D235" s="53" t="s">
        <v>11264</v>
      </c>
      <c r="E235" s="53" t="s">
        <v>11354</v>
      </c>
      <c r="F235" s="53" t="s">
        <v>11355</v>
      </c>
      <c r="G235" s="54">
        <v>1.028</v>
      </c>
      <c r="H235" s="53">
        <v>1.07</v>
      </c>
      <c r="I235" s="53">
        <v>2000</v>
      </c>
      <c r="J235" s="53">
        <v>2000</v>
      </c>
      <c r="K235" s="53"/>
      <c r="L235" s="53"/>
      <c r="M235" s="53"/>
      <c r="N235" s="53"/>
      <c r="O235" s="53"/>
      <c r="P235" s="53"/>
      <c r="Q235" s="53"/>
      <c r="R235" s="53"/>
      <c r="S235" s="53"/>
      <c r="T235" s="53"/>
    </row>
    <row r="236">
      <c r="A236" s="53"/>
      <c r="B236" s="53" t="s">
        <v>11356</v>
      </c>
      <c r="C236" s="53" t="s">
        <v>11357</v>
      </c>
      <c r="D236" s="53" t="s">
        <v>11357</v>
      </c>
      <c r="E236" s="53" t="s">
        <v>11045</v>
      </c>
      <c r="F236" s="53" t="s">
        <v>11358</v>
      </c>
      <c r="G236" s="54">
        <v>1.07</v>
      </c>
      <c r="H236" s="53">
        <v>1.07</v>
      </c>
      <c r="I236" s="53">
        <v>2765</v>
      </c>
      <c r="J236" s="53">
        <v>1500</v>
      </c>
      <c r="K236" s="53"/>
      <c r="L236" s="53"/>
      <c r="M236" s="53"/>
      <c r="N236" s="53"/>
      <c r="O236" s="53"/>
      <c r="P236" s="53"/>
      <c r="Q236" s="53"/>
      <c r="R236" s="53"/>
      <c r="S236" s="53"/>
      <c r="T236" s="53"/>
    </row>
    <row r="237">
      <c r="A237" s="53"/>
      <c r="B237" s="53" t="s">
        <v>11359</v>
      </c>
      <c r="C237" s="53" t="s">
        <v>11219</v>
      </c>
      <c r="D237" s="53" t="s">
        <v>11219</v>
      </c>
      <c r="E237" s="53" t="s">
        <v>11360</v>
      </c>
      <c r="F237" s="53" t="s">
        <v>11361</v>
      </c>
      <c r="G237" s="54">
        <v>0.815</v>
      </c>
      <c r="H237" s="53">
        <v>1.07</v>
      </c>
      <c r="I237" s="53">
        <v>1200</v>
      </c>
      <c r="J237" s="53">
        <v>1200</v>
      </c>
      <c r="K237" s="53"/>
      <c r="L237" s="53"/>
      <c r="M237" s="53"/>
      <c r="N237" s="53"/>
      <c r="O237" s="53"/>
      <c r="P237" s="53"/>
      <c r="Q237" s="53"/>
      <c r="R237" s="53"/>
      <c r="S237" s="53"/>
      <c r="T237" s="53"/>
    </row>
    <row r="238">
      <c r="A238" s="53"/>
      <c r="B238" s="53" t="s">
        <v>11362</v>
      </c>
      <c r="C238" s="53" t="s">
        <v>11363</v>
      </c>
      <c r="D238" s="53" t="s">
        <v>11363</v>
      </c>
      <c r="E238" s="53" t="s">
        <v>11129</v>
      </c>
      <c r="F238" s="53" t="s">
        <v>11364</v>
      </c>
      <c r="G238" s="54">
        <v>1.07</v>
      </c>
      <c r="H238" s="53">
        <v>1.07</v>
      </c>
      <c r="I238" s="53">
        <v>2940</v>
      </c>
      <c r="J238" s="53">
        <v>3000</v>
      </c>
      <c r="K238" s="53"/>
      <c r="L238" s="53"/>
      <c r="M238" s="53"/>
      <c r="N238" s="53"/>
      <c r="O238" s="53"/>
      <c r="P238" s="53"/>
      <c r="Q238" s="53"/>
      <c r="R238" s="53"/>
      <c r="S238" s="53"/>
      <c r="T238" s="53"/>
    </row>
    <row r="239">
      <c r="A239" s="53"/>
      <c r="B239" s="53" t="s">
        <v>11365</v>
      </c>
      <c r="C239" s="53" t="s">
        <v>11115</v>
      </c>
      <c r="D239" s="53" t="s">
        <v>11115</v>
      </c>
      <c r="E239" s="53" t="s">
        <v>11104</v>
      </c>
      <c r="F239" s="53" t="s">
        <v>11366</v>
      </c>
      <c r="G239" s="54">
        <v>1.08337</v>
      </c>
      <c r="H239" s="53">
        <v>1.06</v>
      </c>
      <c r="I239" s="53">
        <v>3887.55</v>
      </c>
      <c r="J239" s="53">
        <v>2000</v>
      </c>
      <c r="K239" s="53"/>
      <c r="L239" s="53"/>
      <c r="M239" s="53"/>
      <c r="N239" s="53"/>
      <c r="O239" s="53"/>
      <c r="P239" s="53"/>
      <c r="Q239" s="53"/>
      <c r="R239" s="53"/>
      <c r="S239" s="53"/>
      <c r="T239" s="53"/>
    </row>
    <row r="240">
      <c r="A240" s="53"/>
      <c r="B240" s="53" t="s">
        <v>11367</v>
      </c>
      <c r="C240" s="53" t="s">
        <v>11368</v>
      </c>
      <c r="D240" s="53" t="s">
        <v>11368</v>
      </c>
      <c r="E240" s="53" t="s">
        <v>11240</v>
      </c>
      <c r="F240" s="53" t="s">
        <v>11369</v>
      </c>
      <c r="G240" s="54">
        <v>1.785</v>
      </c>
      <c r="H240" s="53">
        <v>1.06</v>
      </c>
      <c r="I240" s="53">
        <v>7172.33</v>
      </c>
      <c r="J240" s="53">
        <v>6000</v>
      </c>
      <c r="K240" s="53"/>
      <c r="L240" s="53"/>
      <c r="M240" s="53"/>
      <c r="N240" s="53"/>
      <c r="O240" s="53"/>
      <c r="P240" s="53"/>
      <c r="Q240" s="53"/>
      <c r="R240" s="53"/>
      <c r="S240" s="53"/>
      <c r="T240" s="53"/>
    </row>
    <row r="241">
      <c r="A241" s="53"/>
      <c r="B241" s="53" t="s">
        <v>11370</v>
      </c>
      <c r="C241" s="53" t="s">
        <v>11099</v>
      </c>
      <c r="D241" s="53" t="s">
        <v>11099</v>
      </c>
      <c r="E241" s="53" t="s">
        <v>11100</v>
      </c>
      <c r="F241" s="53" t="s">
        <v>11371</v>
      </c>
      <c r="G241" s="54">
        <v>1.063</v>
      </c>
      <c r="H241" s="53">
        <v>1.06</v>
      </c>
      <c r="I241" s="53">
        <v>3180</v>
      </c>
      <c r="J241" s="53">
        <v>3000</v>
      </c>
      <c r="K241" s="53"/>
      <c r="L241" s="53"/>
      <c r="M241" s="53"/>
      <c r="N241" s="53"/>
      <c r="O241" s="53"/>
      <c r="P241" s="53"/>
      <c r="Q241" s="53"/>
      <c r="R241" s="53"/>
      <c r="S241" s="53"/>
      <c r="T241" s="53"/>
    </row>
    <row r="242">
      <c r="A242" s="53"/>
      <c r="B242" s="53" t="s">
        <v>11372</v>
      </c>
      <c r="C242" s="53" t="s">
        <v>11264</v>
      </c>
      <c r="D242" s="53" t="s">
        <v>11264</v>
      </c>
      <c r="E242" s="53" t="s">
        <v>10813</v>
      </c>
      <c r="F242" s="53" t="s">
        <v>11373</v>
      </c>
      <c r="G242" s="54">
        <v>0.988355</v>
      </c>
      <c r="H242" s="53">
        <v>1.06</v>
      </c>
      <c r="I242" s="53">
        <v>5544.35</v>
      </c>
      <c r="J242" s="53">
        <v>5000</v>
      </c>
      <c r="K242" s="53"/>
      <c r="L242" s="53"/>
      <c r="M242" s="53"/>
      <c r="N242" s="53"/>
      <c r="O242" s="53"/>
      <c r="P242" s="53"/>
      <c r="Q242" s="53"/>
      <c r="R242" s="53"/>
      <c r="S242" s="53"/>
      <c r="T242" s="53"/>
    </row>
    <row r="243">
      <c r="A243" s="53"/>
      <c r="B243" s="53" t="s">
        <v>11374</v>
      </c>
      <c r="C243" s="53" t="s">
        <v>11338</v>
      </c>
      <c r="D243" s="53" t="s">
        <v>11338</v>
      </c>
      <c r="E243" s="53" t="s">
        <v>11339</v>
      </c>
      <c r="F243" s="53" t="s">
        <v>11375</v>
      </c>
      <c r="G243" s="54">
        <v>0.9825</v>
      </c>
      <c r="H243" s="53">
        <v>1.06</v>
      </c>
      <c r="I243" s="53">
        <v>3384.62</v>
      </c>
      <c r="J243" s="53">
        <v>3000</v>
      </c>
      <c r="K243" s="53"/>
      <c r="L243" s="53"/>
      <c r="M243" s="53"/>
      <c r="N243" s="53"/>
      <c r="O243" s="53"/>
      <c r="P243" s="53"/>
      <c r="Q243" s="53"/>
      <c r="R243" s="53"/>
      <c r="S243" s="53"/>
      <c r="T243" s="53"/>
    </row>
    <row r="244">
      <c r="A244" s="53"/>
      <c r="B244" s="53" t="s">
        <v>11376</v>
      </c>
      <c r="C244" s="53" t="s">
        <v>11121</v>
      </c>
      <c r="D244" s="53" t="s">
        <v>11121</v>
      </c>
      <c r="E244" s="53" t="s">
        <v>11202</v>
      </c>
      <c r="F244" s="53" t="s">
        <v>11377</v>
      </c>
      <c r="G244" s="54">
        <v>1.199</v>
      </c>
      <c r="H244" s="53">
        <v>1.06</v>
      </c>
      <c r="I244" s="53">
        <v>5300</v>
      </c>
      <c r="J244" s="53">
        <v>5000</v>
      </c>
      <c r="K244" s="53"/>
      <c r="L244" s="53"/>
      <c r="M244" s="53"/>
      <c r="N244" s="53"/>
      <c r="O244" s="53"/>
      <c r="P244" s="53"/>
      <c r="Q244" s="53"/>
      <c r="R244" s="53"/>
      <c r="S244" s="53"/>
      <c r="T244" s="53"/>
    </row>
    <row r="245">
      <c r="A245" s="53"/>
      <c r="B245" s="53" t="s">
        <v>11378</v>
      </c>
      <c r="C245" s="53" t="s">
        <v>11128</v>
      </c>
      <c r="D245" s="53" t="s">
        <v>11128</v>
      </c>
      <c r="E245" s="53" t="s">
        <v>11094</v>
      </c>
      <c r="F245" s="53" t="s">
        <v>11379</v>
      </c>
      <c r="G245" s="54">
        <v>1.0576</v>
      </c>
      <c r="H245" s="53">
        <v>1.06</v>
      </c>
      <c r="I245" s="53">
        <v>4558</v>
      </c>
      <c r="J245" s="53">
        <v>4300</v>
      </c>
      <c r="K245" s="53"/>
      <c r="L245" s="53"/>
      <c r="M245" s="53"/>
      <c r="N245" s="53"/>
      <c r="O245" s="53"/>
      <c r="P245" s="53"/>
      <c r="Q245" s="53"/>
      <c r="R245" s="53"/>
      <c r="S245" s="53"/>
      <c r="T245" s="53"/>
    </row>
    <row r="246">
      <c r="A246" s="53"/>
      <c r="B246" s="53" t="s">
        <v>11380</v>
      </c>
      <c r="C246" s="53" t="s">
        <v>11089</v>
      </c>
      <c r="D246" s="53" t="s">
        <v>11089</v>
      </c>
      <c r="E246" s="53" t="s">
        <v>11255</v>
      </c>
      <c r="F246" s="53" t="s">
        <v>11381</v>
      </c>
      <c r="G246" s="54">
        <v>0.7</v>
      </c>
      <c r="H246" s="53">
        <v>1.06</v>
      </c>
      <c r="I246" s="53">
        <v>2400</v>
      </c>
      <c r="J246" s="53">
        <v>3000</v>
      </c>
      <c r="K246" s="53"/>
      <c r="L246" s="53"/>
      <c r="M246" s="53"/>
      <c r="N246" s="53"/>
      <c r="O246" s="53"/>
      <c r="P246" s="53"/>
      <c r="Q246" s="53"/>
      <c r="R246" s="53"/>
      <c r="S246" s="53"/>
      <c r="T246" s="53"/>
    </row>
    <row r="247">
      <c r="A247" s="53"/>
      <c r="B247" s="53" t="s">
        <v>11382</v>
      </c>
      <c r="C247" s="53" t="s">
        <v>11171</v>
      </c>
      <c r="D247" s="53" t="s">
        <v>11171</v>
      </c>
      <c r="E247" s="53" t="s">
        <v>11172</v>
      </c>
      <c r="F247" s="53" t="s">
        <v>11383</v>
      </c>
      <c r="G247" s="54">
        <v>1.060506</v>
      </c>
      <c r="H247" s="53">
        <v>1.06</v>
      </c>
      <c r="I247" s="53">
        <v>2000</v>
      </c>
      <c r="J247" s="53">
        <v>3000</v>
      </c>
      <c r="K247" s="53"/>
      <c r="L247" s="53"/>
      <c r="M247" s="53"/>
      <c r="N247" s="53"/>
      <c r="O247" s="53"/>
      <c r="P247" s="53"/>
      <c r="Q247" s="53"/>
      <c r="R247" s="53"/>
      <c r="S247" s="53"/>
      <c r="T247" s="53"/>
    </row>
    <row r="248">
      <c r="A248" s="53"/>
      <c r="B248" s="53" t="s">
        <v>11384</v>
      </c>
      <c r="C248" s="53" t="s">
        <v>11103</v>
      </c>
      <c r="D248" s="53" t="s">
        <v>11103</v>
      </c>
      <c r="E248" s="53" t="s">
        <v>11104</v>
      </c>
      <c r="F248" s="53" t="s">
        <v>11385</v>
      </c>
      <c r="G248" s="54">
        <v>0.7381</v>
      </c>
      <c r="H248" s="53">
        <v>1.06</v>
      </c>
      <c r="I248" s="53">
        <v>2238.8</v>
      </c>
      <c r="J248" s="53">
        <v>3000</v>
      </c>
      <c r="K248" s="53"/>
      <c r="L248" s="53"/>
      <c r="M248" s="53"/>
      <c r="N248" s="53"/>
      <c r="O248" s="53"/>
      <c r="P248" s="53"/>
      <c r="Q248" s="53"/>
      <c r="R248" s="53"/>
      <c r="S248" s="53"/>
      <c r="T248" s="53"/>
    </row>
    <row r="249">
      <c r="A249" s="53"/>
      <c r="B249" s="53" t="s">
        <v>11386</v>
      </c>
      <c r="C249" s="53" t="s">
        <v>11093</v>
      </c>
      <c r="D249" s="53" t="s">
        <v>11093</v>
      </c>
      <c r="E249" s="53" t="s">
        <v>11156</v>
      </c>
      <c r="F249" s="53" t="s">
        <v>11387</v>
      </c>
      <c r="G249" s="54">
        <v>1.177</v>
      </c>
      <c r="H249" s="53">
        <v>1.06</v>
      </c>
      <c r="I249" s="53">
        <v>500</v>
      </c>
      <c r="J249" s="53">
        <v>500</v>
      </c>
      <c r="K249" s="53"/>
      <c r="L249" s="53"/>
      <c r="M249" s="53"/>
      <c r="N249" s="53"/>
      <c r="O249" s="53"/>
      <c r="P249" s="53"/>
      <c r="Q249" s="53"/>
      <c r="R249" s="53"/>
      <c r="S249" s="53"/>
      <c r="T249" s="53"/>
    </row>
    <row r="250">
      <c r="A250" s="53"/>
      <c r="B250" s="53"/>
      <c r="C250" s="53"/>
      <c r="D250" s="53"/>
      <c r="E250" s="53"/>
      <c r="F250" s="53" t="s">
        <v>11388</v>
      </c>
      <c r="G250" s="55">
        <v>1.0581</v>
      </c>
      <c r="H250" s="53">
        <v>1.06</v>
      </c>
      <c r="I250" s="53">
        <v>2570.61</v>
      </c>
      <c r="J250" s="53">
        <v>0.51412298</v>
      </c>
      <c r="K250" s="53"/>
      <c r="L250" s="53"/>
      <c r="M250" s="53"/>
      <c r="N250" s="53"/>
      <c r="O250" s="53"/>
      <c r="P250" s="53"/>
      <c r="Q250" s="53"/>
      <c r="R250" s="53"/>
      <c r="S250" s="53"/>
      <c r="T250" s="53"/>
    </row>
    <row r="251">
      <c r="A251" s="53"/>
      <c r="B251" s="53" t="s">
        <v>11389</v>
      </c>
      <c r="C251" s="53" t="s">
        <v>11060</v>
      </c>
      <c r="D251" s="53" t="s">
        <v>11060</v>
      </c>
      <c r="E251" s="53" t="s">
        <v>11045</v>
      </c>
      <c r="F251" s="53" t="s">
        <v>11390</v>
      </c>
      <c r="G251" s="54">
        <v>1.148</v>
      </c>
      <c r="H251" s="53">
        <v>1.05</v>
      </c>
      <c r="I251" s="53">
        <v>2172.41</v>
      </c>
      <c r="J251" s="53">
        <v>1500</v>
      </c>
      <c r="K251" s="53"/>
      <c r="L251" s="53"/>
      <c r="M251" s="53"/>
      <c r="N251" s="53"/>
      <c r="O251" s="53"/>
      <c r="P251" s="53"/>
      <c r="Q251" s="53"/>
      <c r="R251" s="53"/>
      <c r="S251" s="53"/>
      <c r="T251" s="53"/>
    </row>
    <row r="252">
      <c r="A252" s="53"/>
      <c r="B252" s="53" t="s">
        <v>11391</v>
      </c>
      <c r="C252" s="53" t="s">
        <v>11099</v>
      </c>
      <c r="D252" s="53" t="s">
        <v>11099</v>
      </c>
      <c r="E252" s="53" t="s">
        <v>11083</v>
      </c>
      <c r="F252" s="53" t="s">
        <v>11392</v>
      </c>
      <c r="G252" s="54">
        <v>1.3</v>
      </c>
      <c r="H252" s="53">
        <v>1.05</v>
      </c>
      <c r="I252" s="53">
        <v>0</v>
      </c>
      <c r="J252" s="53">
        <v>2000</v>
      </c>
      <c r="K252" s="53"/>
      <c r="L252" s="53"/>
      <c r="M252" s="53"/>
      <c r="N252" s="53"/>
      <c r="O252" s="53"/>
      <c r="P252" s="53"/>
      <c r="Q252" s="53"/>
      <c r="R252" s="53"/>
      <c r="S252" s="53"/>
      <c r="T252" s="53"/>
    </row>
    <row r="253">
      <c r="A253" s="53"/>
      <c r="B253" s="53" t="s">
        <v>11393</v>
      </c>
      <c r="C253" s="53" t="s">
        <v>11394</v>
      </c>
      <c r="D253" s="53" t="s">
        <v>11394</v>
      </c>
      <c r="E253" s="53" t="s">
        <v>11395</v>
      </c>
      <c r="F253" s="53" t="s">
        <v>11396</v>
      </c>
      <c r="G253" s="54">
        <v>1.1</v>
      </c>
      <c r="H253" s="53">
        <v>1.05</v>
      </c>
      <c r="I253" s="53">
        <v>2100</v>
      </c>
      <c r="J253" s="53">
        <v>2000</v>
      </c>
      <c r="K253" s="53"/>
      <c r="L253" s="53"/>
      <c r="M253" s="53"/>
      <c r="N253" s="53"/>
      <c r="O253" s="53"/>
      <c r="P253" s="53"/>
      <c r="Q253" s="53"/>
      <c r="R253" s="53"/>
      <c r="S253" s="53"/>
      <c r="T253" s="53"/>
    </row>
    <row r="254">
      <c r="A254" s="53"/>
      <c r="B254" s="53" t="s">
        <v>11397</v>
      </c>
      <c r="C254" s="53" t="s">
        <v>11044</v>
      </c>
      <c r="D254" s="53" t="s">
        <v>11044</v>
      </c>
      <c r="E254" s="53" t="s">
        <v>11141</v>
      </c>
      <c r="F254" s="53" t="s">
        <v>11398</v>
      </c>
      <c r="G254" s="54">
        <v>1.045</v>
      </c>
      <c r="H254" s="53">
        <v>1.05</v>
      </c>
      <c r="I254" s="53">
        <v>3262.5</v>
      </c>
      <c r="J254" s="53">
        <v>5000</v>
      </c>
      <c r="K254" s="53"/>
      <c r="L254" s="53"/>
      <c r="M254" s="53"/>
      <c r="N254" s="53"/>
      <c r="O254" s="53"/>
      <c r="P254" s="53"/>
      <c r="Q254" s="53"/>
      <c r="R254" s="53"/>
      <c r="S254" s="53"/>
      <c r="T254" s="53"/>
    </row>
    <row r="255">
      <c r="A255" s="53"/>
      <c r="B255" s="53" t="s">
        <v>11399</v>
      </c>
      <c r="C255" s="53" t="s">
        <v>11044</v>
      </c>
      <c r="D255" s="53" t="s">
        <v>11044</v>
      </c>
      <c r="E255" s="53" t="s">
        <v>11045</v>
      </c>
      <c r="F255" s="53" t="s">
        <v>11400</v>
      </c>
      <c r="G255" s="54">
        <v>1.575082</v>
      </c>
      <c r="H255" s="53">
        <v>1.05</v>
      </c>
      <c r="I255" s="53">
        <v>2190</v>
      </c>
      <c r="J255" s="53">
        <v>1500</v>
      </c>
      <c r="K255" s="53"/>
      <c r="L255" s="53"/>
      <c r="M255" s="53"/>
      <c r="N255" s="53"/>
      <c r="O255" s="53"/>
      <c r="P255" s="53"/>
      <c r="Q255" s="53"/>
      <c r="R255" s="53"/>
      <c r="S255" s="53"/>
      <c r="T255" s="53"/>
    </row>
    <row r="256">
      <c r="A256" s="53"/>
      <c r="B256" s="53" t="s">
        <v>11401</v>
      </c>
      <c r="C256" s="53" t="s">
        <v>11159</v>
      </c>
      <c r="D256" s="53" t="s">
        <v>11159</v>
      </c>
      <c r="E256" s="53" t="s">
        <v>11402</v>
      </c>
      <c r="F256" s="53" t="s">
        <v>11403</v>
      </c>
      <c r="G256" s="54">
        <v>0.010527</v>
      </c>
      <c r="H256" s="53">
        <v>1.05</v>
      </c>
      <c r="I256" s="53">
        <v>3300</v>
      </c>
      <c r="J256" s="53">
        <v>3300</v>
      </c>
      <c r="K256" s="53"/>
      <c r="L256" s="53"/>
      <c r="M256" s="53"/>
      <c r="N256" s="53"/>
      <c r="O256" s="53"/>
      <c r="P256" s="53"/>
      <c r="Q256" s="53"/>
      <c r="R256" s="53"/>
      <c r="S256" s="53"/>
      <c r="T256" s="53"/>
    </row>
    <row r="257">
      <c r="A257" s="53"/>
      <c r="B257" s="53" t="s">
        <v>11404</v>
      </c>
      <c r="C257" s="53" t="s">
        <v>11171</v>
      </c>
      <c r="D257" s="53" t="s">
        <v>11171</v>
      </c>
      <c r="E257" s="53" t="s">
        <v>11281</v>
      </c>
      <c r="F257" s="53" t="s">
        <v>11405</v>
      </c>
      <c r="G257" s="54">
        <v>1.17765</v>
      </c>
      <c r="H257" s="53">
        <v>1.05</v>
      </c>
      <c r="I257" s="53">
        <v>0</v>
      </c>
      <c r="J257" s="53">
        <v>5000</v>
      </c>
      <c r="K257" s="53"/>
      <c r="L257" s="53"/>
      <c r="M257" s="53"/>
      <c r="N257" s="53"/>
      <c r="O257" s="53"/>
      <c r="P257" s="53"/>
      <c r="Q257" s="53"/>
      <c r="R257" s="53"/>
      <c r="S257" s="53"/>
      <c r="T257" s="53"/>
    </row>
    <row r="258">
      <c r="A258" s="53"/>
      <c r="B258" s="53"/>
      <c r="C258" s="53"/>
      <c r="D258" s="53"/>
      <c r="E258" s="53"/>
      <c r="F258" s="53" t="s">
        <v>11396</v>
      </c>
      <c r="G258" s="55">
        <v>1.05</v>
      </c>
      <c r="H258" s="53">
        <v>1.05</v>
      </c>
      <c r="I258" s="53">
        <v>2100</v>
      </c>
      <c r="J258" s="53">
        <v>2000</v>
      </c>
      <c r="K258" s="53"/>
      <c r="L258" s="53"/>
      <c r="M258" s="53"/>
      <c r="N258" s="53"/>
      <c r="O258" s="53"/>
      <c r="P258" s="53"/>
      <c r="Q258" s="53"/>
      <c r="R258" s="53"/>
      <c r="S258" s="53"/>
      <c r="T258" s="53"/>
    </row>
    <row r="259">
      <c r="A259" s="53"/>
      <c r="B259" s="53" t="s">
        <v>11406</v>
      </c>
      <c r="C259" s="53" t="s">
        <v>11407</v>
      </c>
      <c r="D259" s="53" t="s">
        <v>11407</v>
      </c>
      <c r="E259" s="53" t="s">
        <v>11408</v>
      </c>
      <c r="F259" s="53" t="s">
        <v>11409</v>
      </c>
      <c r="G259" s="54">
        <v>1.0285</v>
      </c>
      <c r="H259" s="53">
        <v>1.03</v>
      </c>
      <c r="I259" s="53">
        <v>2060</v>
      </c>
      <c r="J259" s="53">
        <v>2000</v>
      </c>
      <c r="K259" s="53"/>
      <c r="L259" s="53"/>
      <c r="M259" s="53"/>
      <c r="N259" s="53"/>
      <c r="O259" s="53"/>
      <c r="P259" s="53"/>
      <c r="Q259" s="53"/>
      <c r="R259" s="53"/>
      <c r="S259" s="53"/>
      <c r="T259" s="53"/>
    </row>
    <row r="260">
      <c r="A260" s="53"/>
      <c r="B260" s="53" t="s">
        <v>11410</v>
      </c>
      <c r="C260" s="53" t="s">
        <v>11411</v>
      </c>
      <c r="D260" s="53" t="s">
        <v>11411</v>
      </c>
      <c r="E260" s="53" t="s">
        <v>11412</v>
      </c>
      <c r="F260" s="53" t="s">
        <v>11413</v>
      </c>
      <c r="G260" s="54">
        <v>1.0252</v>
      </c>
      <c r="H260" s="53">
        <v>1.03</v>
      </c>
      <c r="I260" s="53">
        <v>3000</v>
      </c>
      <c r="J260" s="53">
        <v>3000</v>
      </c>
      <c r="K260" s="53"/>
      <c r="L260" s="53"/>
      <c r="M260" s="53"/>
      <c r="N260" s="53"/>
      <c r="O260" s="53"/>
      <c r="P260" s="53"/>
      <c r="Q260" s="53"/>
      <c r="R260" s="53"/>
      <c r="S260" s="53"/>
      <c r="T260" s="53"/>
    </row>
    <row r="261">
      <c r="A261" s="53"/>
      <c r="B261" s="53" t="s">
        <v>11414</v>
      </c>
      <c r="C261" s="53" t="s">
        <v>11177</v>
      </c>
      <c r="D261" s="53" t="s">
        <v>11177</v>
      </c>
      <c r="E261" s="53" t="s">
        <v>11213</v>
      </c>
      <c r="F261" s="53" t="s">
        <v>11415</v>
      </c>
      <c r="G261" s="54">
        <v>1.025</v>
      </c>
      <c r="H261" s="53">
        <v>1.03</v>
      </c>
      <c r="I261" s="53">
        <v>2596.15</v>
      </c>
      <c r="J261" s="53">
        <v>3000</v>
      </c>
      <c r="K261" s="53"/>
      <c r="L261" s="53"/>
      <c r="M261" s="53"/>
      <c r="N261" s="53"/>
      <c r="O261" s="53"/>
      <c r="P261" s="53"/>
      <c r="Q261" s="53"/>
      <c r="R261" s="53"/>
      <c r="S261" s="53"/>
      <c r="T261" s="53"/>
    </row>
    <row r="262">
      <c r="A262" s="53"/>
      <c r="B262" s="53" t="s">
        <v>11416</v>
      </c>
      <c r="C262" s="53" t="s">
        <v>10837</v>
      </c>
      <c r="D262" s="53" t="s">
        <v>10837</v>
      </c>
      <c r="E262" s="53" t="s">
        <v>11151</v>
      </c>
      <c r="F262" s="53" t="s">
        <v>11417</v>
      </c>
      <c r="G262" s="54">
        <v>1.07461</v>
      </c>
      <c r="H262" s="53">
        <v>1.03</v>
      </c>
      <c r="I262" s="53">
        <v>3210</v>
      </c>
      <c r="J262" s="53">
        <v>3000</v>
      </c>
      <c r="K262" s="53"/>
      <c r="L262" s="53"/>
      <c r="M262" s="53"/>
      <c r="N262" s="53"/>
      <c r="O262" s="53"/>
      <c r="P262" s="53"/>
      <c r="Q262" s="53"/>
      <c r="R262" s="53"/>
      <c r="S262" s="53"/>
      <c r="T262" s="53"/>
    </row>
    <row r="263">
      <c r="A263" s="53"/>
      <c r="B263" s="53" t="s">
        <v>11418</v>
      </c>
      <c r="C263" s="53" t="s">
        <v>11181</v>
      </c>
      <c r="D263" s="53" t="s">
        <v>11181</v>
      </c>
      <c r="E263" s="53" t="s">
        <v>11419</v>
      </c>
      <c r="F263" s="53" t="s">
        <v>11420</v>
      </c>
      <c r="G263" s="54">
        <v>0.866</v>
      </c>
      <c r="H263" s="53">
        <v>1.03</v>
      </c>
      <c r="I263" s="53">
        <v>3361.11</v>
      </c>
      <c r="J263" s="53">
        <v>3000</v>
      </c>
      <c r="K263" s="53"/>
      <c r="L263" s="53"/>
      <c r="M263" s="53"/>
      <c r="N263" s="53"/>
      <c r="O263" s="53"/>
      <c r="P263" s="53"/>
      <c r="Q263" s="53"/>
      <c r="R263" s="53"/>
      <c r="S263" s="53"/>
      <c r="T263" s="53"/>
    </row>
    <row r="264">
      <c r="A264" s="53"/>
      <c r="B264" s="53" t="s">
        <v>11421</v>
      </c>
      <c r="C264" s="53" t="s">
        <v>11422</v>
      </c>
      <c r="D264" s="53" t="s">
        <v>11422</v>
      </c>
      <c r="E264" s="53" t="s">
        <v>11423</v>
      </c>
      <c r="F264" s="53" t="s">
        <v>11424</v>
      </c>
      <c r="G264" s="54">
        <v>1.105</v>
      </c>
      <c r="H264" s="53">
        <v>1.03</v>
      </c>
      <c r="I264" s="53">
        <v>5690.52</v>
      </c>
      <c r="J264" s="53">
        <v>5000</v>
      </c>
      <c r="K264" s="53"/>
      <c r="L264" s="53"/>
      <c r="M264" s="53"/>
      <c r="N264" s="53"/>
      <c r="O264" s="53"/>
      <c r="P264" s="53"/>
      <c r="Q264" s="53"/>
      <c r="R264" s="53"/>
      <c r="S264" s="53"/>
      <c r="T264" s="53"/>
    </row>
    <row r="265">
      <c r="A265" s="53"/>
      <c r="B265" s="53" t="s">
        <v>11425</v>
      </c>
      <c r="C265" s="53" t="s">
        <v>11060</v>
      </c>
      <c r="D265" s="53" t="s">
        <v>11060</v>
      </c>
      <c r="E265" s="53" t="s">
        <v>11094</v>
      </c>
      <c r="F265" s="53" t="s">
        <v>11426</v>
      </c>
      <c r="G265" s="54">
        <v>1.028846</v>
      </c>
      <c r="H265" s="53">
        <v>1.03</v>
      </c>
      <c r="I265" s="53">
        <v>4200</v>
      </c>
      <c r="J265" s="53">
        <v>5000</v>
      </c>
      <c r="K265" s="53"/>
      <c r="L265" s="53"/>
      <c r="M265" s="53"/>
      <c r="N265" s="53"/>
      <c r="O265" s="53"/>
      <c r="P265" s="53"/>
      <c r="Q265" s="53"/>
      <c r="R265" s="53"/>
      <c r="S265" s="53"/>
      <c r="T265" s="53"/>
    </row>
    <row r="266">
      <c r="A266" s="53"/>
      <c r="B266" s="53" t="s">
        <v>11427</v>
      </c>
      <c r="C266" s="53" t="s">
        <v>11089</v>
      </c>
      <c r="D266" s="53" t="s">
        <v>11089</v>
      </c>
      <c r="E266" s="53" t="s">
        <v>11255</v>
      </c>
      <c r="F266" s="53" t="s">
        <v>11428</v>
      </c>
      <c r="G266" s="54">
        <v>0.665</v>
      </c>
      <c r="H266" s="53">
        <v>1.03</v>
      </c>
      <c r="I266" s="53">
        <v>2400</v>
      </c>
      <c r="J266" s="53">
        <v>4000</v>
      </c>
      <c r="K266" s="53"/>
      <c r="L266" s="53"/>
      <c r="M266" s="53"/>
      <c r="N266" s="53"/>
      <c r="O266" s="53"/>
      <c r="P266" s="53"/>
      <c r="Q266" s="53"/>
      <c r="R266" s="53"/>
      <c r="S266" s="53"/>
      <c r="T266" s="53"/>
    </row>
    <row r="267">
      <c r="A267" s="53"/>
      <c r="B267" s="53" t="s">
        <v>11429</v>
      </c>
      <c r="C267" s="53" t="s">
        <v>11103</v>
      </c>
      <c r="D267" s="53" t="s">
        <v>11103</v>
      </c>
      <c r="E267" s="53" t="s">
        <v>11104</v>
      </c>
      <c r="F267" s="53" t="s">
        <v>11430</v>
      </c>
      <c r="G267" s="54">
        <v>0.724728</v>
      </c>
      <c r="H267" s="53">
        <v>1.03</v>
      </c>
      <c r="I267" s="53">
        <v>1837.97</v>
      </c>
      <c r="J267" s="53">
        <v>2000</v>
      </c>
      <c r="K267" s="53"/>
      <c r="L267" s="53"/>
      <c r="M267" s="53"/>
      <c r="N267" s="53"/>
      <c r="O267" s="53"/>
      <c r="P267" s="53"/>
      <c r="Q267" s="53"/>
      <c r="R267" s="53"/>
      <c r="S267" s="53"/>
      <c r="T267" s="53"/>
    </row>
    <row r="268">
      <c r="A268" s="53"/>
      <c r="B268" s="53" t="s">
        <v>11431</v>
      </c>
      <c r="C268" s="53" t="s">
        <v>11432</v>
      </c>
      <c r="D268" s="53" t="s">
        <v>11432</v>
      </c>
      <c r="E268" s="53" t="s">
        <v>11433</v>
      </c>
      <c r="F268" s="53" t="s">
        <v>11434</v>
      </c>
      <c r="G268" s="54">
        <v>1.024</v>
      </c>
      <c r="H268" s="53">
        <v>1.02</v>
      </c>
      <c r="I268" s="53">
        <v>2040</v>
      </c>
      <c r="J268" s="53">
        <v>2000</v>
      </c>
      <c r="K268" s="53"/>
      <c r="L268" s="53"/>
      <c r="M268" s="53"/>
      <c r="N268" s="53"/>
      <c r="O268" s="53"/>
      <c r="P268" s="53"/>
      <c r="Q268" s="53"/>
      <c r="R268" s="53"/>
      <c r="S268" s="53"/>
      <c r="T268" s="53"/>
    </row>
    <row r="269">
      <c r="A269" s="53"/>
      <c r="B269" s="53" t="s">
        <v>11435</v>
      </c>
      <c r="C269" s="53" t="s">
        <v>11436</v>
      </c>
      <c r="D269" s="53" t="s">
        <v>11436</v>
      </c>
      <c r="E269" s="53" t="s">
        <v>11437</v>
      </c>
      <c r="F269" s="53" t="s">
        <v>11438</v>
      </c>
      <c r="G269" s="54">
        <v>0.9584</v>
      </c>
      <c r="H269" s="53">
        <v>1.02</v>
      </c>
      <c r="I269" s="53">
        <v>5020</v>
      </c>
      <c r="J269" s="53">
        <v>5000</v>
      </c>
      <c r="K269" s="53"/>
      <c r="L269" s="53"/>
      <c r="M269" s="53"/>
      <c r="N269" s="53"/>
      <c r="O269" s="53"/>
      <c r="P269" s="53"/>
      <c r="Q269" s="53"/>
      <c r="R269" s="53"/>
      <c r="S269" s="53"/>
      <c r="T269" s="53"/>
    </row>
    <row r="270">
      <c r="A270" s="53"/>
      <c r="B270" s="53" t="s">
        <v>11439</v>
      </c>
      <c r="C270" s="53" t="s">
        <v>11440</v>
      </c>
      <c r="D270" s="53" t="s">
        <v>11440</v>
      </c>
      <c r="E270" s="53" t="s">
        <v>11441</v>
      </c>
      <c r="F270" s="53" t="s">
        <v>11442</v>
      </c>
      <c r="G270" s="54">
        <v>1.17</v>
      </c>
      <c r="H270" s="53">
        <v>1.02</v>
      </c>
      <c r="I270" s="53">
        <v>5100</v>
      </c>
      <c r="J270" s="53">
        <v>5000</v>
      </c>
      <c r="K270" s="53"/>
      <c r="L270" s="53"/>
      <c r="M270" s="53"/>
      <c r="N270" s="53"/>
      <c r="O270" s="53"/>
      <c r="P270" s="53"/>
      <c r="Q270" s="53"/>
      <c r="R270" s="53"/>
      <c r="S270" s="53"/>
      <c r="T270" s="53"/>
    </row>
    <row r="271">
      <c r="A271" s="53"/>
      <c r="B271" s="53" t="s">
        <v>11443</v>
      </c>
      <c r="C271" s="53" t="s">
        <v>11444</v>
      </c>
      <c r="D271" s="53" t="s">
        <v>11444</v>
      </c>
      <c r="E271" s="53" t="s">
        <v>10813</v>
      </c>
      <c r="F271" s="53" t="s">
        <v>11445</v>
      </c>
      <c r="G271" s="54">
        <v>1.02215</v>
      </c>
      <c r="H271" s="53">
        <v>1.02</v>
      </c>
      <c r="I271" s="53">
        <v>6120</v>
      </c>
      <c r="J271" s="53">
        <v>6000</v>
      </c>
      <c r="K271" s="53"/>
      <c r="L271" s="53"/>
      <c r="M271" s="53"/>
      <c r="N271" s="53"/>
      <c r="O271" s="53"/>
      <c r="P271" s="53"/>
      <c r="Q271" s="53"/>
      <c r="R271" s="53"/>
      <c r="S271" s="53"/>
      <c r="T271" s="53"/>
    </row>
    <row r="272">
      <c r="A272" s="53"/>
      <c r="B272" s="53"/>
      <c r="C272" s="53"/>
      <c r="D272" s="53"/>
      <c r="E272" s="53"/>
      <c r="F272" s="53" t="s">
        <v>11442</v>
      </c>
      <c r="G272" s="55">
        <v>1.0206</v>
      </c>
      <c r="H272" s="53">
        <v>1.02</v>
      </c>
      <c r="I272" s="53">
        <v>5100</v>
      </c>
      <c r="J272" s="53">
        <v>5000</v>
      </c>
      <c r="K272" s="53"/>
      <c r="L272" s="53"/>
      <c r="M272" s="53"/>
      <c r="N272" s="53"/>
      <c r="O272" s="53"/>
      <c r="P272" s="53"/>
      <c r="Q272" s="53"/>
      <c r="R272" s="53"/>
      <c r="S272" s="53"/>
      <c r="T272" s="53"/>
    </row>
    <row r="273">
      <c r="A273" s="53"/>
      <c r="B273" s="53" t="s">
        <v>11446</v>
      </c>
      <c r="C273" s="53" t="s">
        <v>11440</v>
      </c>
      <c r="D273" s="53" t="s">
        <v>11440</v>
      </c>
      <c r="E273" s="53" t="s">
        <v>10813</v>
      </c>
      <c r="F273" s="53" t="s">
        <v>11447</v>
      </c>
      <c r="G273" s="54">
        <v>1.00971</v>
      </c>
      <c r="H273" s="53">
        <v>1.01</v>
      </c>
      <c r="I273" s="53">
        <v>5525.6</v>
      </c>
      <c r="J273" s="53">
        <v>5000</v>
      </c>
      <c r="K273" s="53"/>
      <c r="L273" s="53"/>
      <c r="M273" s="53"/>
      <c r="N273" s="53"/>
      <c r="O273" s="53"/>
      <c r="P273" s="53"/>
      <c r="Q273" s="53"/>
      <c r="R273" s="53"/>
      <c r="S273" s="53"/>
      <c r="T273" s="53"/>
    </row>
    <row r="274">
      <c r="A274" s="53"/>
      <c r="B274" s="53" t="s">
        <v>11448</v>
      </c>
      <c r="C274" s="53" t="s">
        <v>11219</v>
      </c>
      <c r="D274" s="53" t="s">
        <v>11219</v>
      </c>
      <c r="E274" s="53" t="s">
        <v>10813</v>
      </c>
      <c r="F274" s="53" t="s">
        <v>11449</v>
      </c>
      <c r="G274" s="54">
        <v>0.98</v>
      </c>
      <c r="H274" s="53">
        <v>1.01</v>
      </c>
      <c r="I274" s="53">
        <v>4651.16</v>
      </c>
      <c r="J274" s="53">
        <v>5000</v>
      </c>
      <c r="K274" s="53"/>
      <c r="L274" s="53"/>
      <c r="M274" s="53"/>
      <c r="N274" s="53"/>
      <c r="O274" s="53"/>
      <c r="P274" s="53"/>
      <c r="Q274" s="53"/>
      <c r="R274" s="53"/>
      <c r="S274" s="53"/>
      <c r="T274" s="53"/>
    </row>
    <row r="275">
      <c r="A275" s="53"/>
      <c r="B275" s="53" t="s">
        <v>11450</v>
      </c>
      <c r="C275" s="53" t="s">
        <v>11243</v>
      </c>
      <c r="D275" s="53" t="s">
        <v>11243</v>
      </c>
      <c r="E275" s="53" t="s">
        <v>10813</v>
      </c>
      <c r="F275" s="53" t="s">
        <v>11451</v>
      </c>
      <c r="G275" s="54">
        <v>2.127</v>
      </c>
      <c r="H275" s="53">
        <v>1.01</v>
      </c>
      <c r="I275" s="53">
        <v>6424.73</v>
      </c>
      <c r="J275" s="53">
        <v>5000</v>
      </c>
      <c r="K275" s="53"/>
      <c r="L275" s="53"/>
      <c r="M275" s="53"/>
      <c r="N275" s="53"/>
      <c r="O275" s="53"/>
      <c r="P275" s="53"/>
      <c r="Q275" s="53"/>
      <c r="R275" s="53"/>
      <c r="S275" s="53"/>
      <c r="T275" s="53"/>
    </row>
    <row r="276">
      <c r="A276" s="53"/>
      <c r="B276" s="53" t="s">
        <v>11452</v>
      </c>
      <c r="C276" s="53" t="s">
        <v>11453</v>
      </c>
      <c r="D276" s="53" t="s">
        <v>11453</v>
      </c>
      <c r="E276" s="53" t="s">
        <v>11354</v>
      </c>
      <c r="F276" s="53" t="s">
        <v>11454</v>
      </c>
      <c r="G276" s="54">
        <v>1.0375</v>
      </c>
      <c r="H276" s="53">
        <v>1.01</v>
      </c>
      <c r="I276" s="53">
        <v>2000</v>
      </c>
      <c r="J276" s="53">
        <v>2000</v>
      </c>
      <c r="K276" s="53"/>
      <c r="L276" s="53"/>
      <c r="M276" s="53"/>
      <c r="N276" s="53"/>
      <c r="O276" s="53"/>
      <c r="P276" s="53"/>
      <c r="Q276" s="53"/>
      <c r="R276" s="53"/>
      <c r="S276" s="53"/>
      <c r="T276" s="53"/>
    </row>
    <row r="277">
      <c r="A277" s="53"/>
      <c r="B277" s="53" t="s">
        <v>11455</v>
      </c>
      <c r="C277" s="53" t="s">
        <v>10812</v>
      </c>
      <c r="D277" s="53" t="s">
        <v>10812</v>
      </c>
      <c r="E277" s="53" t="s">
        <v>11456</v>
      </c>
      <c r="F277" s="53" t="s">
        <v>11457</v>
      </c>
      <c r="G277" s="54">
        <v>1.013</v>
      </c>
      <c r="H277" s="53">
        <v>1.01</v>
      </c>
      <c r="I277" s="53">
        <v>5000</v>
      </c>
      <c r="J277" s="53">
        <v>5000</v>
      </c>
      <c r="K277" s="53"/>
      <c r="L277" s="53"/>
      <c r="M277" s="53"/>
      <c r="N277" s="53"/>
      <c r="O277" s="53"/>
      <c r="P277" s="53"/>
      <c r="Q277" s="53"/>
      <c r="R277" s="53"/>
      <c r="S277" s="53"/>
      <c r="T277" s="53"/>
    </row>
    <row r="278">
      <c r="A278" s="53"/>
      <c r="B278" s="53" t="s">
        <v>11458</v>
      </c>
      <c r="C278" s="53" t="s">
        <v>11459</v>
      </c>
      <c r="D278" s="53" t="s">
        <v>11459</v>
      </c>
      <c r="E278" s="53" t="s">
        <v>11460</v>
      </c>
      <c r="F278" s="53" t="s">
        <v>11461</v>
      </c>
      <c r="G278" s="54">
        <v>1.01</v>
      </c>
      <c r="H278" s="53">
        <v>1.01</v>
      </c>
      <c r="I278" s="53">
        <v>5910</v>
      </c>
      <c r="J278" s="53">
        <v>5000</v>
      </c>
      <c r="K278" s="53"/>
      <c r="L278" s="53"/>
      <c r="M278" s="53"/>
      <c r="N278" s="53"/>
      <c r="O278" s="53"/>
      <c r="P278" s="53"/>
      <c r="Q278" s="53"/>
      <c r="R278" s="53"/>
      <c r="S278" s="53"/>
      <c r="T278" s="53"/>
    </row>
    <row r="279">
      <c r="A279" s="53"/>
      <c r="B279" s="53" t="s">
        <v>11462</v>
      </c>
      <c r="C279" s="53" t="s">
        <v>11463</v>
      </c>
      <c r="D279" s="53" t="s">
        <v>11463</v>
      </c>
      <c r="E279" s="53" t="s">
        <v>11348</v>
      </c>
      <c r="F279" s="53" t="s">
        <v>11464</v>
      </c>
      <c r="G279" s="54">
        <v>0.958</v>
      </c>
      <c r="H279" s="53">
        <v>1.01</v>
      </c>
      <c r="I279" s="53">
        <v>1960</v>
      </c>
      <c r="J279" s="53">
        <v>2800</v>
      </c>
      <c r="K279" s="53"/>
      <c r="L279" s="53"/>
      <c r="M279" s="53"/>
      <c r="N279" s="53"/>
      <c r="O279" s="53"/>
      <c r="P279" s="53"/>
      <c r="Q279" s="53"/>
      <c r="R279" s="53"/>
      <c r="S279" s="53"/>
      <c r="T279" s="53"/>
    </row>
    <row r="280">
      <c r="A280" s="53"/>
      <c r="B280" s="53" t="s">
        <v>11465</v>
      </c>
      <c r="C280" s="53" t="s">
        <v>11209</v>
      </c>
      <c r="D280" s="53" t="s">
        <v>11209</v>
      </c>
      <c r="E280" s="53" t="s">
        <v>11354</v>
      </c>
      <c r="F280" s="53" t="s">
        <v>11457</v>
      </c>
      <c r="G280" s="55">
        <v>1.013</v>
      </c>
      <c r="H280" s="53">
        <v>1.01</v>
      </c>
      <c r="I280" s="53">
        <v>5000</v>
      </c>
      <c r="J280" s="53">
        <v>5000</v>
      </c>
      <c r="K280" s="53"/>
      <c r="L280" s="53"/>
      <c r="M280" s="53"/>
      <c r="N280" s="53"/>
      <c r="O280" s="53"/>
      <c r="P280" s="53"/>
      <c r="Q280" s="53"/>
      <c r="R280" s="53"/>
      <c r="S280" s="53"/>
      <c r="T280" s="53"/>
    </row>
    <row r="281">
      <c r="A281" s="53"/>
      <c r="B281" s="53" t="s">
        <v>11466</v>
      </c>
      <c r="C281" s="53" t="s">
        <v>11407</v>
      </c>
      <c r="D281" s="53" t="s">
        <v>11407</v>
      </c>
      <c r="E281" s="53" t="s">
        <v>11408</v>
      </c>
      <c r="F281" s="53" t="s">
        <v>11467</v>
      </c>
      <c r="G281" s="54">
        <v>1</v>
      </c>
      <c r="H281" s="53">
        <v>1</v>
      </c>
      <c r="I281" s="53">
        <v>1500</v>
      </c>
      <c r="J281" s="53">
        <v>1500</v>
      </c>
      <c r="K281" s="53"/>
      <c r="L281" s="53"/>
      <c r="M281" s="53"/>
      <c r="N281" s="53"/>
      <c r="O281" s="53"/>
      <c r="P281" s="53"/>
      <c r="Q281" s="53"/>
      <c r="R281" s="53"/>
      <c r="S281" s="53"/>
      <c r="T281" s="53"/>
    </row>
    <row r="282">
      <c r="A282" s="53"/>
      <c r="B282" s="53" t="s">
        <v>11468</v>
      </c>
      <c r="C282" s="53" t="s">
        <v>11407</v>
      </c>
      <c r="D282" s="53" t="s">
        <v>11407</v>
      </c>
      <c r="E282" s="53" t="s">
        <v>11469</v>
      </c>
      <c r="F282" s="53" t="s">
        <v>11470</v>
      </c>
      <c r="G282" s="54">
        <v>1</v>
      </c>
      <c r="H282" s="53">
        <v>1</v>
      </c>
      <c r="I282" s="53">
        <v>3386</v>
      </c>
      <c r="J282" s="53">
        <v>3000</v>
      </c>
      <c r="K282" s="53"/>
      <c r="L282" s="53"/>
      <c r="M282" s="53"/>
      <c r="N282" s="53"/>
      <c r="O282" s="53"/>
      <c r="P282" s="53"/>
      <c r="Q282" s="53"/>
      <c r="R282" s="53"/>
      <c r="S282" s="53"/>
      <c r="T282" s="53"/>
    </row>
    <row r="283">
      <c r="A283" s="53"/>
      <c r="B283" s="53" t="s">
        <v>11471</v>
      </c>
      <c r="C283" s="53" t="s">
        <v>11407</v>
      </c>
      <c r="D283" s="53" t="s">
        <v>11407</v>
      </c>
      <c r="E283" s="53" t="s">
        <v>11469</v>
      </c>
      <c r="F283" s="53" t="s">
        <v>11472</v>
      </c>
      <c r="G283" s="54">
        <v>1</v>
      </c>
      <c r="H283" s="53">
        <v>1</v>
      </c>
      <c r="I283" s="53">
        <v>3386</v>
      </c>
      <c r="J283" s="53">
        <v>3000</v>
      </c>
      <c r="K283" s="53"/>
      <c r="L283" s="53"/>
      <c r="M283" s="53"/>
      <c r="N283" s="53"/>
      <c r="O283" s="53"/>
      <c r="P283" s="53"/>
      <c r="Q283" s="53"/>
      <c r="R283" s="53"/>
      <c r="S283" s="53"/>
      <c r="T283" s="53"/>
    </row>
    <row r="284">
      <c r="A284" s="53"/>
      <c r="B284" s="53" t="s">
        <v>11473</v>
      </c>
      <c r="C284" s="53" t="s">
        <v>11185</v>
      </c>
      <c r="D284" s="53" t="s">
        <v>11185</v>
      </c>
      <c r="E284" s="53" t="s">
        <v>11255</v>
      </c>
      <c r="F284" s="53" t="s">
        <v>11474</v>
      </c>
      <c r="G284" s="54">
        <v>1</v>
      </c>
      <c r="H284" s="53">
        <v>1</v>
      </c>
      <c r="I284" s="53">
        <v>3400</v>
      </c>
      <c r="J284" s="53">
        <v>3000</v>
      </c>
      <c r="K284" s="53"/>
      <c r="L284" s="53"/>
      <c r="M284" s="53"/>
      <c r="N284" s="53"/>
      <c r="O284" s="53"/>
      <c r="P284" s="53"/>
      <c r="Q284" s="53"/>
      <c r="R284" s="53"/>
      <c r="S284" s="53"/>
      <c r="T284" s="53"/>
    </row>
    <row r="285">
      <c r="A285" s="53"/>
      <c r="B285" s="53" t="s">
        <v>11475</v>
      </c>
      <c r="C285" s="53" t="s">
        <v>11432</v>
      </c>
      <c r="D285" s="53" t="s">
        <v>11432</v>
      </c>
      <c r="E285" s="53" t="s">
        <v>11476</v>
      </c>
      <c r="F285" s="53" t="s">
        <v>11477</v>
      </c>
      <c r="G285" s="54">
        <v>1</v>
      </c>
      <c r="H285" s="53">
        <v>1</v>
      </c>
      <c r="I285" s="53">
        <v>2000</v>
      </c>
      <c r="J285" s="53">
        <v>2000</v>
      </c>
      <c r="K285" s="53"/>
      <c r="L285" s="53"/>
      <c r="M285" s="53"/>
      <c r="N285" s="53"/>
      <c r="O285" s="53"/>
      <c r="P285" s="53"/>
      <c r="Q285" s="53"/>
      <c r="R285" s="53"/>
      <c r="S285" s="53"/>
      <c r="T285" s="53"/>
    </row>
    <row r="286">
      <c r="A286" s="53"/>
      <c r="B286" s="53" t="s">
        <v>11478</v>
      </c>
      <c r="C286" s="53" t="s">
        <v>11479</v>
      </c>
      <c r="D286" s="53" t="s">
        <v>11479</v>
      </c>
      <c r="E286" s="53" t="s">
        <v>11480</v>
      </c>
      <c r="F286" s="53" t="s">
        <v>11481</v>
      </c>
      <c r="G286" s="54">
        <v>1</v>
      </c>
      <c r="H286" s="53">
        <v>1</v>
      </c>
      <c r="I286" s="53">
        <v>5000</v>
      </c>
      <c r="J286" s="53">
        <v>5000</v>
      </c>
      <c r="K286" s="53"/>
      <c r="L286" s="53"/>
      <c r="M286" s="53"/>
      <c r="N286" s="53"/>
      <c r="O286" s="53"/>
      <c r="P286" s="53"/>
      <c r="Q286" s="53"/>
      <c r="R286" s="53"/>
      <c r="S286" s="53"/>
      <c r="T286" s="53"/>
    </row>
    <row r="287">
      <c r="A287" s="53"/>
      <c r="B287" s="53" t="s">
        <v>11482</v>
      </c>
      <c r="C287" s="53" t="s">
        <v>11479</v>
      </c>
      <c r="D287" s="53" t="s">
        <v>11479</v>
      </c>
      <c r="E287" s="53" t="s">
        <v>11480</v>
      </c>
      <c r="F287" s="53" t="s">
        <v>11483</v>
      </c>
      <c r="G287" s="54">
        <v>1</v>
      </c>
      <c r="H287" s="53">
        <v>1</v>
      </c>
      <c r="I287" s="53">
        <v>0</v>
      </c>
      <c r="J287" s="53">
        <v>3000</v>
      </c>
      <c r="K287" s="53"/>
      <c r="L287" s="53"/>
      <c r="M287" s="53"/>
      <c r="N287" s="53"/>
      <c r="O287" s="53"/>
      <c r="P287" s="53"/>
      <c r="Q287" s="53"/>
      <c r="R287" s="53"/>
      <c r="S287" s="53"/>
      <c r="T287" s="53"/>
    </row>
    <row r="288">
      <c r="A288" s="53"/>
      <c r="B288" s="53" t="s">
        <v>11484</v>
      </c>
      <c r="C288" s="53" t="s">
        <v>11479</v>
      </c>
      <c r="D288" s="53" t="s">
        <v>11479</v>
      </c>
      <c r="E288" s="53" t="s">
        <v>11485</v>
      </c>
      <c r="F288" s="53" t="s">
        <v>11486</v>
      </c>
      <c r="G288" s="54">
        <v>1</v>
      </c>
      <c r="H288" s="53">
        <v>1</v>
      </c>
      <c r="I288" s="53">
        <v>2000</v>
      </c>
      <c r="J288" s="53">
        <v>2000</v>
      </c>
      <c r="K288" s="53"/>
      <c r="L288" s="53"/>
      <c r="M288" s="53"/>
      <c r="N288" s="53"/>
      <c r="O288" s="53"/>
      <c r="P288" s="53"/>
      <c r="Q288" s="53"/>
      <c r="R288" s="53"/>
      <c r="S288" s="53"/>
      <c r="T288" s="53"/>
    </row>
    <row r="289">
      <c r="A289" s="53"/>
      <c r="B289" s="53" t="s">
        <v>11487</v>
      </c>
      <c r="C289" s="53" t="s">
        <v>11479</v>
      </c>
      <c r="D289" s="53" t="s">
        <v>11479</v>
      </c>
      <c r="E289" s="53" t="s">
        <v>11488</v>
      </c>
      <c r="F289" s="53" t="s">
        <v>11489</v>
      </c>
      <c r="G289" s="54">
        <v>1</v>
      </c>
      <c r="H289" s="53">
        <v>1</v>
      </c>
      <c r="I289" s="53">
        <v>5000</v>
      </c>
      <c r="J289" s="53">
        <v>5000</v>
      </c>
      <c r="K289" s="53"/>
      <c r="L289" s="53"/>
      <c r="M289" s="53"/>
      <c r="N289" s="53"/>
      <c r="O289" s="53"/>
      <c r="P289" s="53"/>
      <c r="Q289" s="53"/>
      <c r="R289" s="53"/>
      <c r="S289" s="53"/>
      <c r="T289" s="53"/>
    </row>
    <row r="290">
      <c r="A290" s="53"/>
      <c r="B290" s="53" t="s">
        <v>11490</v>
      </c>
      <c r="C290" s="53" t="s">
        <v>11219</v>
      </c>
      <c r="D290" s="53" t="s">
        <v>11219</v>
      </c>
      <c r="E290" s="53" t="s">
        <v>11220</v>
      </c>
      <c r="F290" s="53" t="s">
        <v>11491</v>
      </c>
      <c r="G290" s="54">
        <v>0.967</v>
      </c>
      <c r="H290" s="53">
        <v>1</v>
      </c>
      <c r="I290" s="53">
        <v>2790.7</v>
      </c>
      <c r="J290" s="53">
        <v>3000</v>
      </c>
      <c r="K290" s="53"/>
      <c r="L290" s="53"/>
      <c r="M290" s="53"/>
      <c r="N290" s="53"/>
      <c r="O290" s="53"/>
      <c r="P290" s="53"/>
      <c r="Q290" s="53"/>
      <c r="R290" s="53"/>
      <c r="S290" s="53"/>
      <c r="T290" s="53"/>
    </row>
    <row r="291">
      <c r="A291" s="53"/>
      <c r="B291" s="53" t="s">
        <v>11492</v>
      </c>
      <c r="C291" s="53" t="s">
        <v>11219</v>
      </c>
      <c r="D291" s="53" t="s">
        <v>11219</v>
      </c>
      <c r="E291" s="53" t="s">
        <v>11220</v>
      </c>
      <c r="F291" s="53" t="s">
        <v>11493</v>
      </c>
      <c r="G291" s="54">
        <v>1</v>
      </c>
      <c r="H291" s="53">
        <v>1</v>
      </c>
      <c r="I291" s="53">
        <v>0</v>
      </c>
      <c r="J291" s="53">
        <v>3000</v>
      </c>
      <c r="K291" s="53"/>
      <c r="L291" s="53"/>
      <c r="M291" s="53"/>
      <c r="N291" s="53"/>
      <c r="O291" s="53"/>
      <c r="P291" s="53"/>
      <c r="Q291" s="53"/>
      <c r="R291" s="53"/>
      <c r="S291" s="53"/>
      <c r="T291" s="53"/>
    </row>
    <row r="292">
      <c r="A292" s="53"/>
      <c r="B292" s="53" t="s">
        <v>11494</v>
      </c>
      <c r="C292" s="53" t="s">
        <v>11495</v>
      </c>
      <c r="D292" s="53" t="s">
        <v>11495</v>
      </c>
      <c r="E292" s="53" t="s">
        <v>11496</v>
      </c>
      <c r="F292" s="53" t="s">
        <v>11497</v>
      </c>
      <c r="G292" s="54">
        <v>1</v>
      </c>
      <c r="H292" s="53">
        <v>1</v>
      </c>
      <c r="I292" s="53">
        <v>2800</v>
      </c>
      <c r="J292" s="53">
        <v>3500</v>
      </c>
      <c r="K292" s="53"/>
      <c r="L292" s="53"/>
      <c r="M292" s="53"/>
      <c r="N292" s="53"/>
      <c r="O292" s="53"/>
      <c r="P292" s="53"/>
      <c r="Q292" s="53"/>
      <c r="R292" s="53"/>
      <c r="S292" s="53"/>
      <c r="T292" s="53"/>
    </row>
    <row r="293">
      <c r="A293" s="53"/>
      <c r="B293" s="53" t="s">
        <v>11498</v>
      </c>
      <c r="C293" s="53" t="s">
        <v>11078</v>
      </c>
      <c r="D293" s="53" t="s">
        <v>11078</v>
      </c>
      <c r="E293" s="53" t="s">
        <v>11499</v>
      </c>
      <c r="F293" s="53" t="s">
        <v>11500</v>
      </c>
      <c r="G293" s="54">
        <v>1</v>
      </c>
      <c r="H293" s="53">
        <v>1</v>
      </c>
      <c r="I293" s="53">
        <v>3000</v>
      </c>
      <c r="J293" s="53">
        <v>3000</v>
      </c>
      <c r="K293" s="53"/>
      <c r="L293" s="53"/>
      <c r="M293" s="53"/>
      <c r="N293" s="53"/>
      <c r="O293" s="53"/>
      <c r="P293" s="53"/>
      <c r="Q293" s="53"/>
      <c r="R293" s="53"/>
      <c r="S293" s="53"/>
      <c r="T293" s="53"/>
    </row>
    <row r="294">
      <c r="A294" s="53"/>
      <c r="B294" s="53" t="s">
        <v>11501</v>
      </c>
      <c r="C294" s="53" t="s">
        <v>11436</v>
      </c>
      <c r="D294" s="53" t="s">
        <v>11436</v>
      </c>
      <c r="E294" s="53" t="s">
        <v>11502</v>
      </c>
      <c r="F294" s="53" t="s">
        <v>11503</v>
      </c>
      <c r="G294" s="54">
        <v>1</v>
      </c>
      <c r="H294" s="53">
        <v>1</v>
      </c>
      <c r="I294" s="53">
        <v>5000</v>
      </c>
      <c r="J294" s="53">
        <v>5000</v>
      </c>
      <c r="K294" s="53"/>
      <c r="L294" s="53"/>
      <c r="M294" s="53"/>
      <c r="N294" s="53"/>
      <c r="O294" s="53"/>
      <c r="P294" s="53"/>
      <c r="Q294" s="53"/>
      <c r="R294" s="53"/>
      <c r="S294" s="53"/>
      <c r="T294" s="53"/>
    </row>
    <row r="295">
      <c r="A295" s="53"/>
      <c r="B295" s="53" t="s">
        <v>11504</v>
      </c>
      <c r="C295" s="53" t="s">
        <v>11436</v>
      </c>
      <c r="D295" s="53" t="s">
        <v>11436</v>
      </c>
      <c r="E295" s="53" t="s">
        <v>11505</v>
      </c>
      <c r="F295" s="53" t="s">
        <v>11506</v>
      </c>
      <c r="G295" s="54">
        <v>0.9292</v>
      </c>
      <c r="H295" s="53">
        <v>1</v>
      </c>
      <c r="I295" s="53">
        <v>20000</v>
      </c>
      <c r="J295" s="53">
        <v>20000</v>
      </c>
      <c r="K295" s="53"/>
      <c r="L295" s="53"/>
      <c r="M295" s="53"/>
      <c r="N295" s="53"/>
      <c r="O295" s="53"/>
      <c r="P295" s="53"/>
      <c r="Q295" s="53"/>
      <c r="R295" s="53"/>
      <c r="S295" s="53"/>
      <c r="T295" s="53"/>
    </row>
    <row r="296">
      <c r="A296" s="53"/>
      <c r="B296" s="53" t="s">
        <v>11507</v>
      </c>
      <c r="C296" s="53" t="s">
        <v>11209</v>
      </c>
      <c r="D296" s="53" t="s">
        <v>11209</v>
      </c>
      <c r="E296" s="53" t="s">
        <v>11210</v>
      </c>
      <c r="F296" s="53" t="s">
        <v>11508</v>
      </c>
      <c r="G296" s="54">
        <v>1</v>
      </c>
      <c r="H296" s="53">
        <v>1</v>
      </c>
      <c r="I296" s="53">
        <v>3818.18</v>
      </c>
      <c r="J296" s="53">
        <v>3000</v>
      </c>
      <c r="K296" s="53"/>
      <c r="L296" s="53"/>
      <c r="M296" s="53"/>
      <c r="N296" s="53"/>
      <c r="O296" s="53"/>
      <c r="P296" s="53"/>
      <c r="Q296" s="53"/>
      <c r="R296" s="53"/>
      <c r="S296" s="53"/>
      <c r="T296" s="53"/>
    </row>
    <row r="297">
      <c r="A297" s="53"/>
      <c r="B297" s="53" t="s">
        <v>11509</v>
      </c>
      <c r="C297" s="53" t="s">
        <v>11394</v>
      </c>
      <c r="D297" s="53" t="s">
        <v>11394</v>
      </c>
      <c r="E297" s="53" t="s">
        <v>11510</v>
      </c>
      <c r="F297" s="53" t="s">
        <v>11511</v>
      </c>
      <c r="G297" s="54">
        <v>0.84</v>
      </c>
      <c r="H297" s="53">
        <v>1</v>
      </c>
      <c r="I297" s="53">
        <v>1200</v>
      </c>
      <c r="J297" s="53">
        <v>1200</v>
      </c>
      <c r="K297" s="53"/>
      <c r="L297" s="53"/>
      <c r="M297" s="53"/>
      <c r="N297" s="53"/>
      <c r="O297" s="53"/>
      <c r="P297" s="53"/>
      <c r="Q297" s="53"/>
      <c r="R297" s="53"/>
      <c r="S297" s="53"/>
      <c r="T297" s="53"/>
    </row>
    <row r="298">
      <c r="A298" s="53"/>
      <c r="B298" s="53" t="s">
        <v>11512</v>
      </c>
      <c r="C298" s="53" t="s">
        <v>10825</v>
      </c>
      <c r="D298" s="53" t="s">
        <v>10825</v>
      </c>
      <c r="E298" s="53" t="s">
        <v>11513</v>
      </c>
      <c r="F298" s="53" t="s">
        <v>11514</v>
      </c>
      <c r="G298" s="54">
        <v>1</v>
      </c>
      <c r="H298" s="53">
        <v>1</v>
      </c>
      <c r="I298" s="53">
        <v>2000</v>
      </c>
      <c r="J298" s="53">
        <v>2000</v>
      </c>
      <c r="K298" s="53"/>
      <c r="L298" s="53"/>
      <c r="M298" s="53"/>
      <c r="N298" s="53"/>
      <c r="O298" s="53"/>
      <c r="P298" s="53"/>
      <c r="Q298" s="53"/>
      <c r="R298" s="53"/>
      <c r="S298" s="53"/>
      <c r="T298" s="53"/>
    </row>
    <row r="299">
      <c r="A299" s="53"/>
      <c r="B299" s="53" t="s">
        <v>11515</v>
      </c>
      <c r="C299" s="53" t="s">
        <v>10825</v>
      </c>
      <c r="D299" s="53" t="s">
        <v>10825</v>
      </c>
      <c r="E299" s="53" t="s">
        <v>11516</v>
      </c>
      <c r="F299" s="53" t="s">
        <v>11517</v>
      </c>
      <c r="G299" s="54">
        <v>1</v>
      </c>
      <c r="H299" s="53">
        <v>1</v>
      </c>
      <c r="I299" s="53">
        <v>1000</v>
      </c>
      <c r="J299" s="53">
        <v>1000</v>
      </c>
      <c r="K299" s="53"/>
      <c r="L299" s="53"/>
      <c r="M299" s="53"/>
      <c r="N299" s="53"/>
      <c r="O299" s="53"/>
      <c r="P299" s="53"/>
      <c r="Q299" s="53"/>
      <c r="R299" s="53"/>
      <c r="S299" s="53"/>
      <c r="T299" s="53"/>
    </row>
    <row r="300">
      <c r="A300" s="53"/>
      <c r="B300" s="53" t="s">
        <v>11518</v>
      </c>
      <c r="C300" s="53" t="s">
        <v>11177</v>
      </c>
      <c r="D300" s="53" t="s">
        <v>11177</v>
      </c>
      <c r="E300" s="53" t="s">
        <v>11519</v>
      </c>
      <c r="F300" s="53" t="s">
        <v>11520</v>
      </c>
      <c r="G300" s="54">
        <v>1</v>
      </c>
      <c r="H300" s="53">
        <v>1</v>
      </c>
      <c r="I300" s="53">
        <v>1200</v>
      </c>
      <c r="J300" s="53">
        <v>1200</v>
      </c>
      <c r="K300" s="53"/>
      <c r="L300" s="53"/>
      <c r="M300" s="53"/>
      <c r="N300" s="53"/>
      <c r="O300" s="53"/>
      <c r="P300" s="53"/>
      <c r="Q300" s="53"/>
      <c r="R300" s="53"/>
      <c r="S300" s="53"/>
      <c r="T300" s="53"/>
    </row>
    <row r="301">
      <c r="A301" s="53"/>
      <c r="B301" s="53" t="s">
        <v>11521</v>
      </c>
      <c r="C301" s="53" t="s">
        <v>11107</v>
      </c>
      <c r="D301" s="53" t="s">
        <v>11107</v>
      </c>
      <c r="E301" s="53" t="s">
        <v>11522</v>
      </c>
      <c r="F301" s="53" t="s">
        <v>11523</v>
      </c>
      <c r="G301" s="54">
        <v>1</v>
      </c>
      <c r="H301" s="53">
        <v>1</v>
      </c>
      <c r="I301" s="53">
        <v>3500</v>
      </c>
      <c r="J301" s="53">
        <v>5000</v>
      </c>
      <c r="K301" s="53"/>
      <c r="L301" s="53"/>
      <c r="M301" s="53"/>
      <c r="N301" s="53"/>
      <c r="O301" s="53"/>
      <c r="P301" s="53"/>
      <c r="Q301" s="53"/>
      <c r="R301" s="53"/>
      <c r="S301" s="53"/>
      <c r="T301" s="53"/>
    </row>
    <row r="302">
      <c r="A302" s="53"/>
      <c r="B302" s="53" t="s">
        <v>11524</v>
      </c>
      <c r="C302" s="53" t="s">
        <v>11107</v>
      </c>
      <c r="D302" s="53" t="s">
        <v>11107</v>
      </c>
      <c r="E302" s="53" t="s">
        <v>11223</v>
      </c>
      <c r="F302" s="53" t="s">
        <v>11525</v>
      </c>
      <c r="G302" s="54">
        <v>1.2</v>
      </c>
      <c r="H302" s="53">
        <v>1</v>
      </c>
      <c r="I302" s="53">
        <v>2380</v>
      </c>
      <c r="J302" s="53">
        <v>3400</v>
      </c>
      <c r="K302" s="53"/>
      <c r="L302" s="53"/>
      <c r="M302" s="53"/>
      <c r="N302" s="53"/>
      <c r="O302" s="53"/>
      <c r="P302" s="53"/>
      <c r="Q302" s="53"/>
      <c r="R302" s="53"/>
      <c r="S302" s="53"/>
      <c r="T302" s="53"/>
    </row>
    <row r="303">
      <c r="A303" s="53"/>
      <c r="B303" s="53" t="s">
        <v>11526</v>
      </c>
      <c r="C303" s="53" t="s">
        <v>11107</v>
      </c>
      <c r="D303" s="53" t="s">
        <v>11107</v>
      </c>
      <c r="E303" s="53" t="s">
        <v>11223</v>
      </c>
      <c r="F303" s="53" t="s">
        <v>11527</v>
      </c>
      <c r="G303" s="54">
        <v>1</v>
      </c>
      <c r="H303" s="53">
        <v>1</v>
      </c>
      <c r="I303" s="53">
        <v>2380</v>
      </c>
      <c r="J303" s="53">
        <v>3400</v>
      </c>
      <c r="K303" s="53"/>
      <c r="L303" s="53"/>
      <c r="M303" s="53"/>
      <c r="N303" s="53"/>
      <c r="O303" s="53"/>
      <c r="P303" s="53"/>
      <c r="Q303" s="53"/>
      <c r="R303" s="53"/>
      <c r="S303" s="53"/>
      <c r="T303" s="53"/>
    </row>
    <row r="304">
      <c r="A304" s="53"/>
      <c r="B304" s="53" t="s">
        <v>11528</v>
      </c>
      <c r="C304" s="53" t="s">
        <v>11107</v>
      </c>
      <c r="D304" s="53" t="s">
        <v>11107</v>
      </c>
      <c r="E304" s="53" t="s">
        <v>11529</v>
      </c>
      <c r="F304" s="53" t="s">
        <v>11530</v>
      </c>
      <c r="G304" s="54">
        <v>1</v>
      </c>
      <c r="H304" s="53">
        <v>1</v>
      </c>
      <c r="I304" s="53">
        <v>5600</v>
      </c>
      <c r="J304" s="53">
        <v>8000</v>
      </c>
      <c r="K304" s="53"/>
      <c r="L304" s="53"/>
      <c r="M304" s="53"/>
      <c r="N304" s="53"/>
      <c r="O304" s="53"/>
      <c r="P304" s="53"/>
      <c r="Q304" s="53"/>
      <c r="R304" s="53"/>
      <c r="S304" s="53"/>
      <c r="T304" s="53"/>
    </row>
    <row r="305">
      <c r="A305" s="53"/>
      <c r="B305" s="53" t="s">
        <v>11531</v>
      </c>
      <c r="C305" s="53" t="s">
        <v>11107</v>
      </c>
      <c r="D305" s="53" t="s">
        <v>11107</v>
      </c>
      <c r="E305" s="53" t="s">
        <v>11223</v>
      </c>
      <c r="F305" s="53" t="s">
        <v>11532</v>
      </c>
      <c r="G305" s="54">
        <v>1</v>
      </c>
      <c r="H305" s="53">
        <v>1</v>
      </c>
      <c r="I305" s="53">
        <v>2380</v>
      </c>
      <c r="J305" s="53">
        <v>3400</v>
      </c>
      <c r="K305" s="53"/>
      <c r="L305" s="53"/>
      <c r="M305" s="53"/>
      <c r="N305" s="53"/>
      <c r="O305" s="53"/>
      <c r="P305" s="53"/>
      <c r="Q305" s="53"/>
      <c r="R305" s="53"/>
      <c r="S305" s="53"/>
      <c r="T305" s="53"/>
    </row>
    <row r="306">
      <c r="A306" s="53"/>
      <c r="B306" s="53" t="s">
        <v>11533</v>
      </c>
      <c r="C306" s="53" t="s">
        <v>11078</v>
      </c>
      <c r="D306" s="53" t="s">
        <v>11078</v>
      </c>
      <c r="E306" s="53" t="s">
        <v>11079</v>
      </c>
      <c r="F306" s="53" t="s">
        <v>11534</v>
      </c>
      <c r="G306" s="54">
        <v>1</v>
      </c>
      <c r="H306" s="53">
        <v>1</v>
      </c>
      <c r="I306" s="53">
        <v>3000</v>
      </c>
      <c r="J306" s="53">
        <v>3000</v>
      </c>
      <c r="K306" s="53"/>
      <c r="L306" s="53"/>
      <c r="M306" s="53"/>
      <c r="N306" s="53"/>
      <c r="O306" s="53"/>
      <c r="P306" s="53"/>
      <c r="Q306" s="53"/>
      <c r="R306" s="53"/>
      <c r="S306" s="53"/>
      <c r="T306" s="53"/>
    </row>
    <row r="307">
      <c r="A307" s="53"/>
      <c r="B307" s="53" t="s">
        <v>11535</v>
      </c>
      <c r="C307" s="53" t="s">
        <v>11078</v>
      </c>
      <c r="D307" s="53" t="s">
        <v>11078</v>
      </c>
      <c r="E307" s="53" t="s">
        <v>11536</v>
      </c>
      <c r="F307" s="53" t="s">
        <v>11537</v>
      </c>
      <c r="G307" s="54">
        <v>1</v>
      </c>
      <c r="H307" s="53">
        <v>1</v>
      </c>
      <c r="I307" s="53">
        <v>500</v>
      </c>
      <c r="J307" s="53">
        <v>0</v>
      </c>
      <c r="K307" s="53"/>
      <c r="L307" s="53"/>
      <c r="M307" s="53"/>
      <c r="N307" s="53"/>
      <c r="O307" s="53"/>
      <c r="P307" s="53"/>
      <c r="Q307" s="53"/>
      <c r="R307" s="53"/>
      <c r="S307" s="53"/>
      <c r="T307" s="53"/>
    </row>
    <row r="308">
      <c r="A308" s="53"/>
      <c r="B308" s="53" t="s">
        <v>11538</v>
      </c>
      <c r="C308" s="53" t="s">
        <v>11107</v>
      </c>
      <c r="D308" s="53" t="s">
        <v>11107</v>
      </c>
      <c r="E308" s="53" t="s">
        <v>10813</v>
      </c>
      <c r="F308" s="53" t="s">
        <v>11539</v>
      </c>
      <c r="G308" s="54">
        <v>1</v>
      </c>
      <c r="H308" s="53">
        <v>1</v>
      </c>
      <c r="I308" s="53">
        <v>0</v>
      </c>
      <c r="J308" s="53">
        <v>5000</v>
      </c>
      <c r="K308" s="53"/>
      <c r="L308" s="53"/>
      <c r="M308" s="53"/>
      <c r="N308" s="53"/>
      <c r="O308" s="53"/>
      <c r="P308" s="53"/>
      <c r="Q308" s="53"/>
      <c r="R308" s="53"/>
      <c r="S308" s="53"/>
      <c r="T308" s="53"/>
    </row>
    <row r="309">
      <c r="A309" s="53"/>
      <c r="B309" s="53" t="s">
        <v>11540</v>
      </c>
      <c r="C309" s="53" t="s">
        <v>11107</v>
      </c>
      <c r="D309" s="53" t="s">
        <v>11107</v>
      </c>
      <c r="E309" s="53" t="s">
        <v>10813</v>
      </c>
      <c r="F309" s="53" t="s">
        <v>11541</v>
      </c>
      <c r="G309" s="54">
        <v>1</v>
      </c>
      <c r="H309" s="53">
        <v>1</v>
      </c>
      <c r="I309" s="53">
        <v>0</v>
      </c>
      <c r="J309" s="53">
        <v>5000</v>
      </c>
      <c r="K309" s="53"/>
      <c r="L309" s="53"/>
      <c r="M309" s="53"/>
      <c r="N309" s="53"/>
      <c r="O309" s="53"/>
      <c r="P309" s="53"/>
      <c r="Q309" s="53"/>
      <c r="R309" s="53"/>
      <c r="S309" s="53"/>
      <c r="T309" s="53"/>
    </row>
    <row r="310">
      <c r="A310" s="53"/>
      <c r="B310" s="53" t="s">
        <v>11542</v>
      </c>
      <c r="C310" s="53" t="s">
        <v>11543</v>
      </c>
      <c r="D310" s="53" t="s">
        <v>11543</v>
      </c>
      <c r="E310" s="53" t="s">
        <v>11544</v>
      </c>
      <c r="F310" s="53" t="s">
        <v>11545</v>
      </c>
      <c r="G310" s="54">
        <v>1</v>
      </c>
      <c r="H310" s="53">
        <v>1</v>
      </c>
      <c r="I310" s="53">
        <v>1300</v>
      </c>
      <c r="J310" s="53">
        <v>1300</v>
      </c>
      <c r="K310" s="53"/>
      <c r="L310" s="53"/>
      <c r="M310" s="53"/>
      <c r="N310" s="53"/>
      <c r="O310" s="53"/>
      <c r="P310" s="53"/>
      <c r="Q310" s="53"/>
      <c r="R310" s="53"/>
      <c r="S310" s="53"/>
      <c r="T310" s="53"/>
    </row>
    <row r="311">
      <c r="A311" s="53"/>
      <c r="B311" s="53" t="s">
        <v>11546</v>
      </c>
      <c r="C311" s="53" t="s">
        <v>11543</v>
      </c>
      <c r="D311" s="53" t="s">
        <v>11543</v>
      </c>
      <c r="E311" s="53" t="s">
        <v>11547</v>
      </c>
      <c r="F311" s="53" t="s">
        <v>11548</v>
      </c>
      <c r="G311" s="54">
        <v>1</v>
      </c>
      <c r="H311" s="53">
        <v>1</v>
      </c>
      <c r="I311" s="53">
        <v>300</v>
      </c>
      <c r="J311" s="53">
        <v>300</v>
      </c>
      <c r="K311" s="53"/>
      <c r="L311" s="53"/>
      <c r="M311" s="53"/>
      <c r="N311" s="53"/>
      <c r="O311" s="53"/>
      <c r="P311" s="53"/>
      <c r="Q311" s="53"/>
      <c r="R311" s="53"/>
      <c r="S311" s="53"/>
      <c r="T311" s="53"/>
    </row>
    <row r="312">
      <c r="A312" s="53"/>
      <c r="B312" s="53" t="s">
        <v>11549</v>
      </c>
      <c r="C312" s="53" t="s">
        <v>11543</v>
      </c>
      <c r="D312" s="53" t="s">
        <v>11543</v>
      </c>
      <c r="E312" s="53" t="s">
        <v>11550</v>
      </c>
      <c r="F312" s="53" t="s">
        <v>11551</v>
      </c>
      <c r="G312" s="54">
        <v>1</v>
      </c>
      <c r="H312" s="53">
        <v>1</v>
      </c>
      <c r="I312" s="53">
        <v>300</v>
      </c>
      <c r="J312" s="53">
        <v>300</v>
      </c>
      <c r="K312" s="53"/>
      <c r="L312" s="53"/>
      <c r="M312" s="53"/>
      <c r="N312" s="53"/>
      <c r="O312" s="53"/>
      <c r="P312" s="53"/>
      <c r="Q312" s="53"/>
      <c r="R312" s="53"/>
      <c r="S312" s="53"/>
      <c r="T312" s="53"/>
    </row>
    <row r="313">
      <c r="A313" s="53"/>
      <c r="B313" s="53" t="s">
        <v>11552</v>
      </c>
      <c r="C313" s="53" t="s">
        <v>11543</v>
      </c>
      <c r="D313" s="53" t="s">
        <v>11543</v>
      </c>
      <c r="E313" s="53" t="s">
        <v>11553</v>
      </c>
      <c r="F313" s="53" t="s">
        <v>11554</v>
      </c>
      <c r="G313" s="54">
        <v>1</v>
      </c>
      <c r="H313" s="53">
        <v>1</v>
      </c>
      <c r="I313" s="53">
        <v>300</v>
      </c>
      <c r="J313" s="53">
        <v>300</v>
      </c>
      <c r="K313" s="53"/>
      <c r="L313" s="53"/>
      <c r="M313" s="53"/>
      <c r="N313" s="53"/>
      <c r="O313" s="53"/>
      <c r="P313" s="53"/>
      <c r="Q313" s="53"/>
      <c r="R313" s="53"/>
      <c r="S313" s="53"/>
      <c r="T313" s="53"/>
    </row>
    <row r="314">
      <c r="A314" s="53"/>
      <c r="B314" s="53" t="s">
        <v>11555</v>
      </c>
      <c r="C314" s="53" t="s">
        <v>11543</v>
      </c>
      <c r="D314" s="53" t="s">
        <v>11543</v>
      </c>
      <c r="E314" s="53" t="s">
        <v>11553</v>
      </c>
      <c r="F314" s="53" t="s">
        <v>11556</v>
      </c>
      <c r="G314" s="54">
        <v>1</v>
      </c>
      <c r="H314" s="53">
        <v>1</v>
      </c>
      <c r="I314" s="53">
        <v>300</v>
      </c>
      <c r="J314" s="53">
        <v>300</v>
      </c>
      <c r="K314" s="53"/>
      <c r="L314" s="53"/>
      <c r="M314" s="53"/>
      <c r="N314" s="53"/>
      <c r="O314" s="53"/>
      <c r="P314" s="53"/>
      <c r="Q314" s="53"/>
      <c r="R314" s="53"/>
      <c r="S314" s="53"/>
      <c r="T314" s="53"/>
    </row>
    <row r="315">
      <c r="A315" s="53"/>
      <c r="B315" s="53" t="s">
        <v>11557</v>
      </c>
      <c r="C315" s="53" t="s">
        <v>11543</v>
      </c>
      <c r="D315" s="53" t="s">
        <v>11543</v>
      </c>
      <c r="E315" s="53" t="s">
        <v>11553</v>
      </c>
      <c r="F315" s="53" t="s">
        <v>11558</v>
      </c>
      <c r="G315" s="54">
        <v>1</v>
      </c>
      <c r="H315" s="53">
        <v>1</v>
      </c>
      <c r="I315" s="53">
        <v>300</v>
      </c>
      <c r="J315" s="53">
        <v>300</v>
      </c>
      <c r="K315" s="53"/>
      <c r="L315" s="53"/>
      <c r="M315" s="53"/>
      <c r="N315" s="53"/>
      <c r="O315" s="53"/>
      <c r="P315" s="53"/>
      <c r="Q315" s="53"/>
      <c r="R315" s="53"/>
      <c r="S315" s="53"/>
      <c r="T315" s="53"/>
    </row>
    <row r="316">
      <c r="A316" s="53"/>
      <c r="B316" s="53" t="s">
        <v>11559</v>
      </c>
      <c r="C316" s="53" t="s">
        <v>11543</v>
      </c>
      <c r="D316" s="53" t="s">
        <v>11543</v>
      </c>
      <c r="E316" s="53" t="s">
        <v>11553</v>
      </c>
      <c r="F316" s="53" t="s">
        <v>11560</v>
      </c>
      <c r="G316" s="54">
        <v>1</v>
      </c>
      <c r="H316" s="53">
        <v>1</v>
      </c>
      <c r="I316" s="53">
        <v>0</v>
      </c>
      <c r="J316" s="53">
        <v>300</v>
      </c>
      <c r="K316" s="53"/>
      <c r="L316" s="53"/>
      <c r="M316" s="53"/>
      <c r="N316" s="53"/>
      <c r="O316" s="53"/>
      <c r="P316" s="53"/>
      <c r="Q316" s="53"/>
      <c r="R316" s="53"/>
      <c r="S316" s="53"/>
      <c r="T316" s="53"/>
    </row>
    <row r="317">
      <c r="A317" s="53"/>
      <c r="B317" s="53" t="s">
        <v>11561</v>
      </c>
      <c r="C317" s="53" t="s">
        <v>11543</v>
      </c>
      <c r="D317" s="53" t="s">
        <v>11543</v>
      </c>
      <c r="E317" s="53" t="s">
        <v>11553</v>
      </c>
      <c r="F317" s="53" t="s">
        <v>11562</v>
      </c>
      <c r="G317" s="54">
        <v>1</v>
      </c>
      <c r="H317" s="53">
        <v>1</v>
      </c>
      <c r="I317" s="53">
        <v>0</v>
      </c>
      <c r="J317" s="53">
        <v>300</v>
      </c>
      <c r="K317" s="53"/>
      <c r="L317" s="53"/>
      <c r="M317" s="53"/>
      <c r="N317" s="53"/>
      <c r="O317" s="53"/>
      <c r="P317" s="53"/>
      <c r="Q317" s="53"/>
      <c r="R317" s="53"/>
      <c r="S317" s="53"/>
      <c r="T317" s="53"/>
    </row>
    <row r="318">
      <c r="A318" s="53"/>
      <c r="B318" s="53" t="s">
        <v>11563</v>
      </c>
      <c r="C318" s="53" t="s">
        <v>11543</v>
      </c>
      <c r="D318" s="53" t="s">
        <v>11543</v>
      </c>
      <c r="E318" s="53" t="s">
        <v>11564</v>
      </c>
      <c r="F318" s="53" t="s">
        <v>11565</v>
      </c>
      <c r="G318" s="54">
        <v>1</v>
      </c>
      <c r="H318" s="53">
        <v>1</v>
      </c>
      <c r="I318" s="53">
        <v>0</v>
      </c>
      <c r="J318" s="53">
        <v>3000</v>
      </c>
      <c r="K318" s="53"/>
      <c r="L318" s="53"/>
      <c r="M318" s="53"/>
      <c r="N318" s="53"/>
      <c r="O318" s="53"/>
      <c r="P318" s="53"/>
      <c r="Q318" s="53"/>
      <c r="R318" s="53"/>
      <c r="S318" s="53"/>
      <c r="T318" s="53"/>
    </row>
    <row r="319">
      <c r="A319" s="53"/>
      <c r="B319" s="53" t="s">
        <v>11566</v>
      </c>
      <c r="C319" s="53" t="s">
        <v>11543</v>
      </c>
      <c r="D319" s="53" t="s">
        <v>11543</v>
      </c>
      <c r="E319" s="53" t="s">
        <v>11567</v>
      </c>
      <c r="F319" s="53" t="s">
        <v>11568</v>
      </c>
      <c r="G319" s="54">
        <v>1</v>
      </c>
      <c r="H319" s="53">
        <v>1</v>
      </c>
      <c r="I319" s="53">
        <v>3000</v>
      </c>
      <c r="J319" s="53">
        <v>3000</v>
      </c>
      <c r="K319" s="53"/>
      <c r="L319" s="53"/>
      <c r="M319" s="53"/>
      <c r="N319" s="53"/>
      <c r="O319" s="53"/>
      <c r="P319" s="53"/>
      <c r="Q319" s="53"/>
      <c r="R319" s="53"/>
      <c r="S319" s="53"/>
      <c r="T319" s="53"/>
    </row>
    <row r="320">
      <c r="A320" s="53"/>
      <c r="B320" s="53" t="s">
        <v>11569</v>
      </c>
      <c r="C320" s="53" t="s">
        <v>11570</v>
      </c>
      <c r="D320" s="53" t="s">
        <v>11570</v>
      </c>
      <c r="E320" s="53" t="s">
        <v>11571</v>
      </c>
      <c r="F320" s="53" t="s">
        <v>11572</v>
      </c>
      <c r="G320" s="54">
        <v>1</v>
      </c>
      <c r="H320" s="53">
        <v>1</v>
      </c>
      <c r="I320" s="53">
        <v>1429</v>
      </c>
      <c r="J320" s="53">
        <v>1300</v>
      </c>
      <c r="K320" s="53"/>
      <c r="L320" s="53"/>
      <c r="M320" s="53"/>
      <c r="N320" s="53"/>
      <c r="O320" s="53"/>
      <c r="P320" s="53"/>
      <c r="Q320" s="53"/>
      <c r="R320" s="53"/>
      <c r="S320" s="53"/>
      <c r="T320" s="53"/>
    </row>
    <row r="321">
      <c r="A321" s="53"/>
      <c r="B321" s="53" t="s">
        <v>11573</v>
      </c>
      <c r="C321" s="53" t="s">
        <v>11570</v>
      </c>
      <c r="D321" s="53" t="s">
        <v>11570</v>
      </c>
      <c r="E321" s="53" t="s">
        <v>11571</v>
      </c>
      <c r="F321" s="53" t="s">
        <v>11574</v>
      </c>
      <c r="G321" s="54">
        <v>1</v>
      </c>
      <c r="H321" s="53">
        <v>1</v>
      </c>
      <c r="I321" s="53">
        <v>1329</v>
      </c>
      <c r="J321" s="53">
        <v>1200</v>
      </c>
      <c r="K321" s="53"/>
      <c r="L321" s="53"/>
      <c r="M321" s="53"/>
      <c r="N321" s="53"/>
      <c r="O321" s="53"/>
      <c r="P321" s="53"/>
      <c r="Q321" s="53"/>
      <c r="R321" s="53"/>
      <c r="S321" s="53"/>
      <c r="T321" s="53"/>
    </row>
    <row r="322">
      <c r="A322" s="53"/>
      <c r="B322" s="53" t="s">
        <v>11575</v>
      </c>
      <c r="C322" s="53" t="s">
        <v>11570</v>
      </c>
      <c r="D322" s="53" t="s">
        <v>11570</v>
      </c>
      <c r="E322" s="53" t="s">
        <v>11571</v>
      </c>
      <c r="F322" s="53" t="s">
        <v>11576</v>
      </c>
      <c r="G322" s="54">
        <v>1</v>
      </c>
      <c r="H322" s="53">
        <v>1</v>
      </c>
      <c r="I322" s="53">
        <v>1329</v>
      </c>
      <c r="J322" s="53">
        <v>1200</v>
      </c>
      <c r="K322" s="53"/>
      <c r="L322" s="53"/>
      <c r="M322" s="53"/>
      <c r="N322" s="53"/>
      <c r="O322" s="53"/>
      <c r="P322" s="53"/>
      <c r="Q322" s="53"/>
      <c r="R322" s="53"/>
      <c r="S322" s="53"/>
      <c r="T322" s="53"/>
    </row>
    <row r="323">
      <c r="A323" s="53"/>
      <c r="B323" s="53" t="s">
        <v>11577</v>
      </c>
      <c r="C323" s="53" t="s">
        <v>11570</v>
      </c>
      <c r="D323" s="53" t="s">
        <v>11570</v>
      </c>
      <c r="E323" s="53" t="s">
        <v>11571</v>
      </c>
      <c r="F323" s="53" t="s">
        <v>11578</v>
      </c>
      <c r="G323" s="54">
        <v>1</v>
      </c>
      <c r="H323" s="53">
        <v>1</v>
      </c>
      <c r="I323" s="53">
        <v>1329</v>
      </c>
      <c r="J323" s="53">
        <v>1200</v>
      </c>
      <c r="K323" s="53"/>
      <c r="L323" s="53"/>
      <c r="M323" s="53"/>
      <c r="N323" s="53"/>
      <c r="O323" s="53"/>
      <c r="P323" s="53"/>
      <c r="Q323" s="53"/>
      <c r="R323" s="53"/>
      <c r="S323" s="53"/>
      <c r="T323" s="53"/>
    </row>
    <row r="324">
      <c r="A324" s="53"/>
      <c r="B324" s="53" t="s">
        <v>11579</v>
      </c>
      <c r="C324" s="53" t="s">
        <v>11099</v>
      </c>
      <c r="D324" s="53" t="s">
        <v>11099</v>
      </c>
      <c r="E324" s="53" t="s">
        <v>11100</v>
      </c>
      <c r="F324" s="53" t="s">
        <v>11580</v>
      </c>
      <c r="G324" s="54">
        <v>1</v>
      </c>
      <c r="H324" s="53">
        <v>1</v>
      </c>
      <c r="I324" s="53">
        <v>0</v>
      </c>
      <c r="J324" s="53">
        <v>3000</v>
      </c>
      <c r="K324" s="53"/>
      <c r="L324" s="53"/>
      <c r="M324" s="53"/>
      <c r="N324" s="53"/>
      <c r="O324" s="53"/>
      <c r="P324" s="53"/>
      <c r="Q324" s="53"/>
      <c r="R324" s="53"/>
      <c r="S324" s="53"/>
      <c r="T324" s="53"/>
    </row>
    <row r="325">
      <c r="A325" s="53"/>
      <c r="B325" s="53" t="s">
        <v>11581</v>
      </c>
      <c r="C325" s="53" t="s">
        <v>11264</v>
      </c>
      <c r="D325" s="53" t="s">
        <v>11264</v>
      </c>
      <c r="E325" s="53" t="s">
        <v>11265</v>
      </c>
      <c r="F325" s="53" t="s">
        <v>11582</v>
      </c>
      <c r="G325" s="54">
        <v>0.94955</v>
      </c>
      <c r="H325" s="53">
        <v>1</v>
      </c>
      <c r="I325" s="53">
        <v>3024.19</v>
      </c>
      <c r="J325" s="53">
        <v>3000</v>
      </c>
      <c r="K325" s="53"/>
      <c r="L325" s="53"/>
      <c r="M325" s="53"/>
      <c r="N325" s="53"/>
      <c r="O325" s="53"/>
      <c r="P325" s="53"/>
      <c r="Q325" s="53"/>
      <c r="R325" s="53"/>
      <c r="S325" s="53"/>
      <c r="T325" s="53"/>
    </row>
    <row r="326">
      <c r="A326" s="53"/>
      <c r="B326" s="53" t="s">
        <v>11583</v>
      </c>
      <c r="C326" s="53" t="s">
        <v>10837</v>
      </c>
      <c r="D326" s="53" t="s">
        <v>10837</v>
      </c>
      <c r="E326" s="53" t="s">
        <v>11584</v>
      </c>
      <c r="F326" s="53" t="s">
        <v>11585</v>
      </c>
      <c r="G326" s="54">
        <v>1</v>
      </c>
      <c r="H326" s="53">
        <v>1</v>
      </c>
      <c r="I326" s="53">
        <v>2200</v>
      </c>
      <c r="J326" s="53">
        <v>2200</v>
      </c>
      <c r="K326" s="53"/>
      <c r="L326" s="53"/>
      <c r="M326" s="53"/>
      <c r="N326" s="53"/>
      <c r="O326" s="53"/>
      <c r="P326" s="53"/>
      <c r="Q326" s="53"/>
      <c r="R326" s="53"/>
      <c r="S326" s="53"/>
      <c r="T326" s="53"/>
    </row>
    <row r="327">
      <c r="A327" s="53"/>
      <c r="B327" s="53" t="s">
        <v>11586</v>
      </c>
      <c r="C327" s="53" t="s">
        <v>11495</v>
      </c>
      <c r="D327" s="53" t="s">
        <v>11495</v>
      </c>
      <c r="E327" s="53" t="s">
        <v>11108</v>
      </c>
      <c r="F327" s="53" t="s">
        <v>11587</v>
      </c>
      <c r="G327" s="54">
        <v>1</v>
      </c>
      <c r="H327" s="53">
        <v>1</v>
      </c>
      <c r="I327" s="53">
        <v>3000</v>
      </c>
      <c r="J327" s="53">
        <v>5000</v>
      </c>
      <c r="K327" s="53"/>
      <c r="L327" s="53"/>
      <c r="M327" s="53"/>
      <c r="N327" s="53"/>
      <c r="O327" s="53"/>
      <c r="P327" s="53"/>
      <c r="Q327" s="53"/>
      <c r="R327" s="53"/>
      <c r="S327" s="53"/>
      <c r="T327" s="53"/>
    </row>
    <row r="328">
      <c r="A328" s="53"/>
      <c r="B328" s="53" t="s">
        <v>11588</v>
      </c>
      <c r="C328" s="53" t="s">
        <v>11264</v>
      </c>
      <c r="D328" s="53" t="s">
        <v>11264</v>
      </c>
      <c r="E328" s="53" t="s">
        <v>11589</v>
      </c>
      <c r="F328" s="53" t="s">
        <v>11590</v>
      </c>
      <c r="G328" s="54">
        <v>1</v>
      </c>
      <c r="H328" s="53">
        <v>1</v>
      </c>
      <c r="I328" s="53">
        <v>500</v>
      </c>
      <c r="J328" s="53">
        <v>500</v>
      </c>
      <c r="K328" s="53"/>
      <c r="L328" s="53"/>
      <c r="M328" s="53"/>
      <c r="N328" s="53"/>
      <c r="O328" s="53"/>
      <c r="P328" s="53"/>
      <c r="Q328" s="53"/>
      <c r="R328" s="53"/>
      <c r="S328" s="53"/>
      <c r="T328" s="53"/>
    </row>
    <row r="329">
      <c r="A329" s="53"/>
      <c r="B329" s="53" t="s">
        <v>11591</v>
      </c>
      <c r="C329" s="53" t="s">
        <v>11453</v>
      </c>
      <c r="D329" s="53" t="s">
        <v>11453</v>
      </c>
      <c r="E329" s="53" t="s">
        <v>11592</v>
      </c>
      <c r="F329" s="53" t="s">
        <v>11593</v>
      </c>
      <c r="G329" s="54">
        <v>1</v>
      </c>
      <c r="H329" s="53">
        <v>1</v>
      </c>
      <c r="I329" s="53">
        <v>5000</v>
      </c>
      <c r="J329" s="53">
        <v>5000</v>
      </c>
      <c r="K329" s="53"/>
      <c r="L329" s="53"/>
      <c r="M329" s="53"/>
      <c r="N329" s="53"/>
      <c r="O329" s="53"/>
      <c r="P329" s="53"/>
      <c r="Q329" s="53"/>
      <c r="R329" s="53"/>
      <c r="S329" s="53"/>
      <c r="T329" s="53"/>
    </row>
    <row r="330">
      <c r="A330" s="53"/>
      <c r="B330" s="53" t="s">
        <v>11594</v>
      </c>
      <c r="C330" s="53" t="s">
        <v>11595</v>
      </c>
      <c r="D330" s="53" t="s">
        <v>11595</v>
      </c>
      <c r="E330" s="53" t="s">
        <v>11596</v>
      </c>
      <c r="F330" s="53" t="s">
        <v>11597</v>
      </c>
      <c r="G330" s="54">
        <v>1</v>
      </c>
      <c r="H330" s="53">
        <v>1</v>
      </c>
      <c r="I330" s="53">
        <v>3962</v>
      </c>
      <c r="J330" s="53">
        <v>3400</v>
      </c>
      <c r="K330" s="53"/>
      <c r="L330" s="53"/>
      <c r="M330" s="53"/>
      <c r="N330" s="53"/>
      <c r="O330" s="53"/>
      <c r="P330" s="53"/>
      <c r="Q330" s="53"/>
      <c r="R330" s="53"/>
      <c r="S330" s="53"/>
      <c r="T330" s="53"/>
    </row>
    <row r="331">
      <c r="A331" s="53"/>
      <c r="B331" s="53" t="s">
        <v>11598</v>
      </c>
      <c r="C331" s="53" t="s">
        <v>11595</v>
      </c>
      <c r="D331" s="53" t="s">
        <v>11595</v>
      </c>
      <c r="E331" s="53" t="s">
        <v>10813</v>
      </c>
      <c r="F331" s="53" t="s">
        <v>11599</v>
      </c>
      <c r="G331" s="54">
        <v>1</v>
      </c>
      <c r="H331" s="53">
        <v>1</v>
      </c>
      <c r="I331" s="53">
        <v>5826</v>
      </c>
      <c r="J331" s="53">
        <v>5000</v>
      </c>
      <c r="K331" s="53"/>
      <c r="L331" s="53"/>
      <c r="M331" s="53"/>
      <c r="N331" s="53"/>
      <c r="O331" s="53"/>
      <c r="P331" s="53"/>
      <c r="Q331" s="53"/>
      <c r="R331" s="53"/>
      <c r="S331" s="53"/>
      <c r="T331" s="53"/>
    </row>
    <row r="332">
      <c r="A332" s="53"/>
      <c r="B332" s="53" t="s">
        <v>11600</v>
      </c>
      <c r="C332" s="53" t="s">
        <v>11595</v>
      </c>
      <c r="D332" s="53" t="s">
        <v>11595</v>
      </c>
      <c r="E332" s="53" t="s">
        <v>11601</v>
      </c>
      <c r="F332" s="53" t="s">
        <v>11602</v>
      </c>
      <c r="G332" s="54">
        <v>1</v>
      </c>
      <c r="H332" s="53">
        <v>1</v>
      </c>
      <c r="I332" s="53">
        <v>0</v>
      </c>
      <c r="J332" s="53">
        <v>2000</v>
      </c>
      <c r="K332" s="53"/>
      <c r="L332" s="53"/>
      <c r="M332" s="53"/>
      <c r="N332" s="53"/>
      <c r="O332" s="53"/>
      <c r="P332" s="53"/>
      <c r="Q332" s="53"/>
      <c r="R332" s="53"/>
      <c r="S332" s="53"/>
      <c r="T332" s="53"/>
    </row>
    <row r="333">
      <c r="A333" s="53"/>
      <c r="B333" s="53" t="s">
        <v>11603</v>
      </c>
      <c r="C333" s="53" t="s">
        <v>11121</v>
      </c>
      <c r="D333" s="53" t="s">
        <v>11121</v>
      </c>
      <c r="E333" s="53" t="s">
        <v>11604</v>
      </c>
      <c r="F333" s="53" t="s">
        <v>11605</v>
      </c>
      <c r="G333" s="54">
        <v>0.9988</v>
      </c>
      <c r="H333" s="53">
        <v>1</v>
      </c>
      <c r="I333" s="53">
        <v>500</v>
      </c>
      <c r="J333" s="53">
        <v>500</v>
      </c>
      <c r="K333" s="53"/>
      <c r="L333" s="53"/>
      <c r="M333" s="53"/>
      <c r="N333" s="53"/>
      <c r="O333" s="53"/>
      <c r="P333" s="53"/>
      <c r="Q333" s="53"/>
      <c r="R333" s="53"/>
      <c r="S333" s="53"/>
      <c r="T333" s="53"/>
    </row>
    <row r="334">
      <c r="A334" s="53"/>
      <c r="B334" s="53" t="s">
        <v>11606</v>
      </c>
      <c r="C334" s="53" t="s">
        <v>10843</v>
      </c>
      <c r="D334" s="53" t="s">
        <v>10843</v>
      </c>
      <c r="E334" s="53" t="s">
        <v>10838</v>
      </c>
      <c r="F334" s="53" t="s">
        <v>11607</v>
      </c>
      <c r="G334" s="54">
        <v>1</v>
      </c>
      <c r="H334" s="53">
        <v>1</v>
      </c>
      <c r="I334" s="53">
        <v>2000</v>
      </c>
      <c r="J334" s="53">
        <v>2000</v>
      </c>
      <c r="K334" s="53"/>
      <c r="L334" s="53"/>
      <c r="M334" s="53"/>
      <c r="N334" s="53"/>
      <c r="O334" s="53"/>
      <c r="P334" s="53"/>
      <c r="Q334" s="53"/>
      <c r="R334" s="53"/>
      <c r="S334" s="53"/>
      <c r="T334" s="53"/>
    </row>
    <row r="335">
      <c r="A335" s="53"/>
      <c r="B335" s="53" t="s">
        <v>11608</v>
      </c>
      <c r="C335" s="53" t="s">
        <v>11192</v>
      </c>
      <c r="D335" s="53" t="s">
        <v>11192</v>
      </c>
      <c r="E335" s="53" t="s">
        <v>11075</v>
      </c>
      <c r="F335" s="53" t="s">
        <v>11609</v>
      </c>
      <c r="G335" s="54">
        <v>1</v>
      </c>
      <c r="H335" s="53">
        <v>1</v>
      </c>
      <c r="I335" s="53">
        <v>1000</v>
      </c>
      <c r="J335" s="53">
        <v>1000</v>
      </c>
      <c r="K335" s="53"/>
      <c r="L335" s="53"/>
      <c r="M335" s="53"/>
      <c r="N335" s="53"/>
      <c r="O335" s="53"/>
      <c r="P335" s="53"/>
      <c r="Q335" s="53"/>
      <c r="R335" s="53"/>
      <c r="S335" s="53"/>
      <c r="T335" s="53"/>
    </row>
    <row r="336">
      <c r="A336" s="53"/>
      <c r="B336" s="53" t="s">
        <v>11610</v>
      </c>
      <c r="C336" s="53" t="s">
        <v>10779</v>
      </c>
      <c r="D336" s="53" t="s">
        <v>10779</v>
      </c>
      <c r="E336" s="53" t="s">
        <v>10813</v>
      </c>
      <c r="F336" s="53" t="s">
        <v>11611</v>
      </c>
      <c r="G336" s="54">
        <v>1</v>
      </c>
      <c r="H336" s="53">
        <v>1</v>
      </c>
      <c r="I336" s="53">
        <v>6000</v>
      </c>
      <c r="J336" s="53">
        <v>6000</v>
      </c>
      <c r="K336" s="53"/>
      <c r="L336" s="53"/>
      <c r="M336" s="53"/>
      <c r="N336" s="53"/>
      <c r="O336" s="53"/>
      <c r="P336" s="53"/>
      <c r="Q336" s="53"/>
      <c r="R336" s="53"/>
      <c r="S336" s="53"/>
      <c r="T336" s="53"/>
    </row>
    <row r="337">
      <c r="A337" s="53"/>
      <c r="B337" s="53" t="s">
        <v>11612</v>
      </c>
      <c r="C337" s="53" t="s">
        <v>10779</v>
      </c>
      <c r="D337" s="53" t="s">
        <v>10779</v>
      </c>
      <c r="E337" s="53" t="s">
        <v>11613</v>
      </c>
      <c r="F337" s="53" t="s">
        <v>11614</v>
      </c>
      <c r="G337" s="54">
        <v>0.28</v>
      </c>
      <c r="H337" s="53">
        <v>1</v>
      </c>
      <c r="I337" s="53">
        <v>2000</v>
      </c>
      <c r="J337" s="53">
        <v>2000</v>
      </c>
      <c r="K337" s="53"/>
      <c r="L337" s="53"/>
      <c r="M337" s="53"/>
      <c r="N337" s="53"/>
      <c r="O337" s="53"/>
      <c r="P337" s="53"/>
      <c r="Q337" s="53"/>
      <c r="R337" s="53"/>
      <c r="S337" s="53"/>
      <c r="T337" s="53"/>
    </row>
    <row r="338">
      <c r="A338" s="53"/>
      <c r="B338" s="53" t="s">
        <v>11615</v>
      </c>
      <c r="C338" s="53" t="s">
        <v>11320</v>
      </c>
      <c r="D338" s="53" t="s">
        <v>11320</v>
      </c>
      <c r="E338" s="53" t="s">
        <v>11616</v>
      </c>
      <c r="F338" s="53" t="s">
        <v>11617</v>
      </c>
      <c r="G338" s="54">
        <v>1</v>
      </c>
      <c r="H338" s="53">
        <v>1</v>
      </c>
      <c r="I338" s="53">
        <v>0</v>
      </c>
      <c r="J338" s="53">
        <v>1200</v>
      </c>
      <c r="K338" s="53"/>
      <c r="L338" s="53"/>
      <c r="M338" s="53"/>
      <c r="N338" s="53"/>
      <c r="O338" s="53"/>
      <c r="P338" s="53"/>
      <c r="Q338" s="53"/>
      <c r="R338" s="53"/>
      <c r="S338" s="53"/>
      <c r="T338" s="53"/>
    </row>
    <row r="339">
      <c r="A339" s="53"/>
      <c r="B339" s="53" t="s">
        <v>11618</v>
      </c>
      <c r="C339" s="53" t="s">
        <v>11065</v>
      </c>
      <c r="D339" s="53" t="s">
        <v>11065</v>
      </c>
      <c r="E339" s="53" t="s">
        <v>11045</v>
      </c>
      <c r="F339" s="53" t="s">
        <v>11619</v>
      </c>
      <c r="G339" s="54">
        <v>0.01</v>
      </c>
      <c r="H339" s="53">
        <v>1</v>
      </c>
      <c r="I339" s="53">
        <v>0</v>
      </c>
      <c r="J339" s="53">
        <v>1500</v>
      </c>
      <c r="K339" s="53"/>
      <c r="L339" s="53"/>
      <c r="M339" s="53"/>
      <c r="N339" s="53"/>
      <c r="O339" s="53"/>
      <c r="P339" s="53"/>
      <c r="Q339" s="53"/>
      <c r="R339" s="53"/>
      <c r="S339" s="53"/>
      <c r="T339" s="53"/>
    </row>
    <row r="340">
      <c r="A340" s="53"/>
      <c r="B340" s="53" t="s">
        <v>11620</v>
      </c>
      <c r="C340" s="53" t="s">
        <v>11065</v>
      </c>
      <c r="D340" s="53" t="s">
        <v>11065</v>
      </c>
      <c r="E340" s="53" t="s">
        <v>11045</v>
      </c>
      <c r="F340" s="53" t="s">
        <v>11621</v>
      </c>
      <c r="G340" s="54">
        <v>0.01</v>
      </c>
      <c r="H340" s="53">
        <v>1</v>
      </c>
      <c r="I340" s="53">
        <v>0</v>
      </c>
      <c r="J340" s="53">
        <v>1500</v>
      </c>
      <c r="K340" s="53"/>
      <c r="L340" s="53"/>
      <c r="M340" s="53"/>
      <c r="N340" s="53"/>
      <c r="O340" s="53"/>
      <c r="P340" s="53"/>
      <c r="Q340" s="53"/>
      <c r="R340" s="53"/>
      <c r="S340" s="53"/>
      <c r="T340" s="53"/>
    </row>
    <row r="341">
      <c r="A341" s="53"/>
      <c r="B341" s="53" t="s">
        <v>11622</v>
      </c>
      <c r="C341" s="53" t="s">
        <v>11357</v>
      </c>
      <c r="D341" s="53" t="s">
        <v>11357</v>
      </c>
      <c r="E341" s="53" t="s">
        <v>11045</v>
      </c>
      <c r="F341" s="53" t="s">
        <v>11623</v>
      </c>
      <c r="G341" s="54">
        <v>1</v>
      </c>
      <c r="H341" s="53">
        <v>1</v>
      </c>
      <c r="I341" s="53">
        <v>3398</v>
      </c>
      <c r="J341" s="53">
        <v>2500</v>
      </c>
      <c r="K341" s="53"/>
      <c r="L341" s="53"/>
      <c r="M341" s="53"/>
      <c r="N341" s="53"/>
      <c r="O341" s="53"/>
      <c r="P341" s="53"/>
      <c r="Q341" s="53"/>
      <c r="R341" s="53"/>
      <c r="S341" s="53"/>
      <c r="T341" s="53"/>
    </row>
    <row r="342">
      <c r="A342" s="53"/>
      <c r="B342" s="53" t="s">
        <v>11624</v>
      </c>
      <c r="C342" s="53" t="s">
        <v>11357</v>
      </c>
      <c r="D342" s="53" t="s">
        <v>11357</v>
      </c>
      <c r="E342" s="53" t="s">
        <v>11045</v>
      </c>
      <c r="F342" s="53" t="s">
        <v>11625</v>
      </c>
      <c r="G342" s="54">
        <v>1</v>
      </c>
      <c r="H342" s="53">
        <v>1</v>
      </c>
      <c r="I342" s="53">
        <v>1474</v>
      </c>
      <c r="J342" s="53">
        <v>1500</v>
      </c>
      <c r="K342" s="53"/>
      <c r="L342" s="53"/>
      <c r="M342" s="53"/>
      <c r="N342" s="53"/>
      <c r="O342" s="53"/>
      <c r="P342" s="53"/>
      <c r="Q342" s="53"/>
      <c r="R342" s="53"/>
      <c r="S342" s="53"/>
      <c r="T342" s="53"/>
    </row>
    <row r="343">
      <c r="A343" s="53"/>
      <c r="B343" s="53" t="s">
        <v>11626</v>
      </c>
      <c r="C343" s="53" t="s">
        <v>11357</v>
      </c>
      <c r="D343" s="53" t="s">
        <v>11357</v>
      </c>
      <c r="E343" s="53" t="s">
        <v>11045</v>
      </c>
      <c r="F343" s="53" t="s">
        <v>11627</v>
      </c>
      <c r="G343" s="54">
        <v>1</v>
      </c>
      <c r="H343" s="53">
        <v>1</v>
      </c>
      <c r="I343" s="53">
        <v>1683</v>
      </c>
      <c r="J343" s="53">
        <v>1500</v>
      </c>
      <c r="K343" s="53"/>
      <c r="L343" s="53"/>
      <c r="M343" s="53"/>
      <c r="N343" s="53"/>
      <c r="O343" s="53"/>
      <c r="P343" s="53"/>
      <c r="Q343" s="53"/>
      <c r="R343" s="53"/>
      <c r="S343" s="53"/>
      <c r="T343" s="53"/>
    </row>
    <row r="344">
      <c r="A344" s="53"/>
      <c r="B344" s="53" t="s">
        <v>11628</v>
      </c>
      <c r="C344" s="53" t="s">
        <v>11444</v>
      </c>
      <c r="D344" s="53" t="s">
        <v>11444</v>
      </c>
      <c r="E344" s="53" t="s">
        <v>11629</v>
      </c>
      <c r="F344" s="53" t="s">
        <v>11630</v>
      </c>
      <c r="G344" s="54">
        <v>1</v>
      </c>
      <c r="H344" s="53">
        <v>1</v>
      </c>
      <c r="I344" s="53">
        <v>0</v>
      </c>
      <c r="J344" s="53">
        <v>5000</v>
      </c>
      <c r="K344" s="53"/>
      <c r="L344" s="53"/>
      <c r="M344" s="53"/>
      <c r="N344" s="53"/>
      <c r="O344" s="53"/>
      <c r="P344" s="53"/>
      <c r="Q344" s="53"/>
      <c r="R344" s="53"/>
      <c r="S344" s="53"/>
      <c r="T344" s="53"/>
    </row>
    <row r="345">
      <c r="A345" s="53"/>
      <c r="B345" s="53" t="s">
        <v>11631</v>
      </c>
      <c r="C345" s="53" t="s">
        <v>11459</v>
      </c>
      <c r="D345" s="53" t="s">
        <v>11459</v>
      </c>
      <c r="E345" s="53" t="s">
        <v>11118</v>
      </c>
      <c r="F345" s="53" t="s">
        <v>11632</v>
      </c>
      <c r="G345" s="54">
        <v>0.995</v>
      </c>
      <c r="H345" s="53">
        <v>1</v>
      </c>
      <c r="I345" s="53">
        <v>5110.96</v>
      </c>
      <c r="J345" s="53">
        <v>5000</v>
      </c>
      <c r="K345" s="53"/>
      <c r="L345" s="53"/>
      <c r="M345" s="53"/>
      <c r="N345" s="53"/>
      <c r="O345" s="53"/>
      <c r="P345" s="53"/>
      <c r="Q345" s="53"/>
      <c r="R345" s="53"/>
      <c r="S345" s="53"/>
      <c r="T345" s="53"/>
    </row>
    <row r="346">
      <c r="A346" s="53"/>
      <c r="B346" s="53" t="s">
        <v>11633</v>
      </c>
      <c r="C346" s="53" t="s">
        <v>11634</v>
      </c>
      <c r="D346" s="53" t="s">
        <v>11634</v>
      </c>
      <c r="E346" s="53" t="s">
        <v>11635</v>
      </c>
      <c r="F346" s="53" t="s">
        <v>11636</v>
      </c>
      <c r="G346" s="54">
        <v>1</v>
      </c>
      <c r="H346" s="53">
        <v>1</v>
      </c>
      <c r="I346" s="53">
        <v>0</v>
      </c>
      <c r="J346" s="53">
        <v>5000</v>
      </c>
      <c r="K346" s="53"/>
      <c r="L346" s="53"/>
      <c r="M346" s="53"/>
      <c r="N346" s="53"/>
      <c r="O346" s="53"/>
      <c r="P346" s="53"/>
      <c r="Q346" s="53"/>
      <c r="R346" s="53"/>
      <c r="S346" s="53"/>
      <c r="T346" s="53"/>
    </row>
    <row r="347">
      <c r="A347" s="53"/>
      <c r="B347" s="53" t="s">
        <v>11637</v>
      </c>
      <c r="C347" s="53" t="s">
        <v>11324</v>
      </c>
      <c r="D347" s="53" t="s">
        <v>11324</v>
      </c>
      <c r="E347" s="53" t="s">
        <v>11460</v>
      </c>
      <c r="F347" s="53" t="s">
        <v>11638</v>
      </c>
      <c r="G347" s="54">
        <v>1</v>
      </c>
      <c r="H347" s="53">
        <v>1</v>
      </c>
      <c r="I347" s="53">
        <v>0</v>
      </c>
      <c r="J347" s="53">
        <v>5000</v>
      </c>
      <c r="K347" s="53"/>
      <c r="L347" s="53"/>
      <c r="M347" s="53"/>
      <c r="N347" s="53"/>
      <c r="O347" s="53"/>
      <c r="P347" s="53"/>
      <c r="Q347" s="53"/>
      <c r="R347" s="53"/>
      <c r="S347" s="53"/>
      <c r="T347" s="53"/>
    </row>
    <row r="348">
      <c r="A348" s="53"/>
      <c r="B348" s="53" t="s">
        <v>11639</v>
      </c>
      <c r="C348" s="53" t="s">
        <v>11357</v>
      </c>
      <c r="D348" s="53" t="s">
        <v>11357</v>
      </c>
      <c r="E348" s="53" t="s">
        <v>11045</v>
      </c>
      <c r="F348" s="53" t="s">
        <v>11640</v>
      </c>
      <c r="G348" s="54">
        <v>1</v>
      </c>
      <c r="H348" s="53">
        <v>1</v>
      </c>
      <c r="I348" s="53">
        <v>444</v>
      </c>
      <c r="J348" s="53">
        <v>1500</v>
      </c>
      <c r="K348" s="53"/>
      <c r="L348" s="53"/>
      <c r="M348" s="53"/>
      <c r="N348" s="53"/>
      <c r="O348" s="53"/>
      <c r="P348" s="53"/>
      <c r="Q348" s="53"/>
      <c r="R348" s="53"/>
      <c r="S348" s="53"/>
      <c r="T348" s="53"/>
    </row>
    <row r="349">
      <c r="A349" s="53"/>
      <c r="B349" s="53" t="s">
        <v>11641</v>
      </c>
      <c r="C349" s="53" t="s">
        <v>11159</v>
      </c>
      <c r="D349" s="53" t="s">
        <v>11159</v>
      </c>
      <c r="E349" s="53" t="s">
        <v>11642</v>
      </c>
      <c r="F349" s="53" t="s">
        <v>11643</v>
      </c>
      <c r="G349" s="54">
        <v>0.01</v>
      </c>
      <c r="H349" s="53">
        <v>1</v>
      </c>
      <c r="I349" s="53">
        <v>312.5</v>
      </c>
      <c r="J349" s="53">
        <v>0</v>
      </c>
      <c r="K349" s="53"/>
      <c r="L349" s="53"/>
      <c r="M349" s="53"/>
      <c r="N349" s="53"/>
      <c r="O349" s="53"/>
      <c r="P349" s="53"/>
      <c r="Q349" s="53"/>
      <c r="R349" s="53"/>
      <c r="S349" s="53"/>
      <c r="T349" s="53"/>
    </row>
    <row r="350">
      <c r="A350" s="53"/>
      <c r="B350" s="53" t="s">
        <v>11644</v>
      </c>
      <c r="C350" s="53" t="s">
        <v>11159</v>
      </c>
      <c r="D350" s="53" t="s">
        <v>11159</v>
      </c>
      <c r="E350" s="53" t="s">
        <v>11645</v>
      </c>
      <c r="F350" s="53" t="s">
        <v>11646</v>
      </c>
      <c r="G350" s="54">
        <v>0.01</v>
      </c>
      <c r="H350" s="53">
        <v>1</v>
      </c>
      <c r="I350" s="53">
        <v>312.5</v>
      </c>
      <c r="J350" s="53">
        <v>0</v>
      </c>
      <c r="K350" s="53"/>
      <c r="L350" s="53"/>
      <c r="M350" s="53"/>
      <c r="N350" s="53"/>
      <c r="O350" s="53"/>
      <c r="P350" s="53"/>
      <c r="Q350" s="53"/>
      <c r="R350" s="53"/>
      <c r="S350" s="53"/>
      <c r="T350" s="53"/>
    </row>
    <row r="351">
      <c r="A351" s="53"/>
      <c r="B351" s="53" t="s">
        <v>11647</v>
      </c>
      <c r="C351" s="53" t="s">
        <v>11171</v>
      </c>
      <c r="D351" s="53" t="s">
        <v>11171</v>
      </c>
      <c r="E351" s="53" t="s">
        <v>11281</v>
      </c>
      <c r="F351" s="53" t="s">
        <v>11648</v>
      </c>
      <c r="G351" s="54">
        <v>1.0124</v>
      </c>
      <c r="H351" s="53">
        <v>1</v>
      </c>
      <c r="I351" s="53">
        <v>3000</v>
      </c>
      <c r="J351" s="53">
        <v>5000</v>
      </c>
      <c r="K351" s="53"/>
      <c r="L351" s="53"/>
      <c r="M351" s="53"/>
      <c r="N351" s="53"/>
      <c r="O351" s="53"/>
      <c r="P351" s="53"/>
      <c r="Q351" s="53"/>
      <c r="R351" s="53"/>
      <c r="S351" s="53"/>
      <c r="T351" s="53"/>
    </row>
    <row r="352">
      <c r="A352" s="53"/>
      <c r="B352" s="53" t="s">
        <v>11649</v>
      </c>
      <c r="C352" s="53" t="s">
        <v>11171</v>
      </c>
      <c r="D352" s="53" t="s">
        <v>11171</v>
      </c>
      <c r="E352" s="53" t="s">
        <v>10813</v>
      </c>
      <c r="F352" s="53" t="s">
        <v>11650</v>
      </c>
      <c r="G352" s="54">
        <v>1.0436</v>
      </c>
      <c r="H352" s="53">
        <v>1</v>
      </c>
      <c r="I352" s="53">
        <v>5000</v>
      </c>
      <c r="J352" s="53">
        <v>5000</v>
      </c>
      <c r="K352" s="53"/>
      <c r="L352" s="53"/>
      <c r="M352" s="53"/>
      <c r="N352" s="53"/>
      <c r="O352" s="53"/>
      <c r="P352" s="53"/>
      <c r="Q352" s="53"/>
      <c r="R352" s="53"/>
      <c r="S352" s="53"/>
      <c r="T352" s="53"/>
    </row>
    <row r="353">
      <c r="A353" s="53"/>
      <c r="B353" s="53" t="s">
        <v>11651</v>
      </c>
      <c r="C353" s="53" t="s">
        <v>11463</v>
      </c>
      <c r="D353" s="53" t="s">
        <v>11463</v>
      </c>
      <c r="E353" s="53" t="s">
        <v>11652</v>
      </c>
      <c r="F353" s="53" t="s">
        <v>11653</v>
      </c>
      <c r="G353" s="54">
        <v>1</v>
      </c>
      <c r="H353" s="53">
        <v>1</v>
      </c>
      <c r="I353" s="53">
        <v>2400</v>
      </c>
      <c r="J353" s="53">
        <v>1200</v>
      </c>
      <c r="K353" s="53"/>
      <c r="L353" s="53"/>
      <c r="M353" s="53"/>
      <c r="N353" s="53"/>
      <c r="O353" s="53"/>
      <c r="P353" s="53"/>
      <c r="Q353" s="53"/>
      <c r="R353" s="53"/>
      <c r="S353" s="53"/>
      <c r="T353" s="53"/>
    </row>
    <row r="354">
      <c r="A354" s="53"/>
      <c r="B354" s="53" t="s">
        <v>11654</v>
      </c>
      <c r="C354" s="53" t="s">
        <v>11463</v>
      </c>
      <c r="D354" s="53" t="s">
        <v>11463</v>
      </c>
      <c r="E354" s="53" t="s">
        <v>11652</v>
      </c>
      <c r="F354" s="53" t="s">
        <v>11655</v>
      </c>
      <c r="G354" s="54">
        <v>1</v>
      </c>
      <c r="H354" s="53">
        <v>1</v>
      </c>
      <c r="I354" s="53">
        <v>2400</v>
      </c>
      <c r="J354" s="53">
        <v>1200</v>
      </c>
      <c r="K354" s="53"/>
      <c r="L354" s="53"/>
      <c r="M354" s="53"/>
      <c r="N354" s="53"/>
      <c r="O354" s="53"/>
      <c r="P354" s="53"/>
      <c r="Q354" s="53"/>
      <c r="R354" s="53"/>
      <c r="S354" s="53"/>
      <c r="T354" s="53"/>
    </row>
    <row r="355">
      <c r="A355" s="53"/>
      <c r="B355" s="53" t="s">
        <v>11656</v>
      </c>
      <c r="C355" s="53" t="s">
        <v>11657</v>
      </c>
      <c r="D355" s="53" t="s">
        <v>11657</v>
      </c>
      <c r="E355" s="53" t="s">
        <v>11325</v>
      </c>
      <c r="F355" s="53" t="s">
        <v>11658</v>
      </c>
      <c r="G355" s="54">
        <v>1</v>
      </c>
      <c r="H355" s="53">
        <v>1</v>
      </c>
      <c r="I355" s="53">
        <v>4457</v>
      </c>
      <c r="J355" s="53">
        <v>3500</v>
      </c>
      <c r="K355" s="53"/>
      <c r="L355" s="53"/>
      <c r="M355" s="53"/>
      <c r="N355" s="53"/>
      <c r="O355" s="53"/>
      <c r="P355" s="53"/>
      <c r="Q355" s="53"/>
      <c r="R355" s="53"/>
      <c r="S355" s="53"/>
      <c r="T355" s="53"/>
    </row>
    <row r="356">
      <c r="A356" s="53"/>
      <c r="B356" s="53" t="s">
        <v>11659</v>
      </c>
      <c r="C356" s="53" t="s">
        <v>11324</v>
      </c>
      <c r="D356" s="53" t="s">
        <v>11324</v>
      </c>
      <c r="E356" s="53" t="s">
        <v>11118</v>
      </c>
      <c r="F356" s="53" t="s">
        <v>11660</v>
      </c>
      <c r="G356" s="54">
        <v>0.01</v>
      </c>
      <c r="H356" s="53">
        <v>1</v>
      </c>
      <c r="I356" s="53">
        <v>5182.84</v>
      </c>
      <c r="J356" s="53">
        <v>5000</v>
      </c>
      <c r="K356" s="53"/>
      <c r="L356" s="53"/>
      <c r="M356" s="53"/>
      <c r="N356" s="53"/>
      <c r="O356" s="53"/>
      <c r="P356" s="53"/>
      <c r="Q356" s="53"/>
      <c r="R356" s="53"/>
      <c r="S356" s="53"/>
      <c r="T356" s="53"/>
    </row>
    <row r="357">
      <c r="A357" s="53"/>
      <c r="B357" s="53" t="s">
        <v>11661</v>
      </c>
      <c r="C357" s="53" t="s">
        <v>11103</v>
      </c>
      <c r="D357" s="53" t="s">
        <v>11103</v>
      </c>
      <c r="E357" s="53" t="s">
        <v>11104</v>
      </c>
      <c r="F357" s="53" t="s">
        <v>11662</v>
      </c>
      <c r="G357" s="54">
        <v>0.913322</v>
      </c>
      <c r="H357" s="53">
        <v>1</v>
      </c>
      <c r="I357" s="53">
        <v>1401.52</v>
      </c>
      <c r="J357" s="53">
        <v>2000</v>
      </c>
      <c r="K357" s="53"/>
      <c r="L357" s="53"/>
      <c r="M357" s="53"/>
      <c r="N357" s="53"/>
      <c r="O357" s="53"/>
      <c r="P357" s="53"/>
      <c r="Q357" s="53"/>
      <c r="R357" s="53"/>
      <c r="S357" s="53"/>
      <c r="T357" s="53"/>
    </row>
    <row r="358">
      <c r="A358" s="53"/>
      <c r="B358" s="53"/>
      <c r="C358" s="53"/>
      <c r="D358" s="53"/>
      <c r="E358" s="53"/>
      <c r="F358" s="53" t="s">
        <v>11663</v>
      </c>
      <c r="G358" s="55">
        <v>1</v>
      </c>
      <c r="H358" s="53">
        <v>1</v>
      </c>
      <c r="I358" s="53">
        <v>2429.39</v>
      </c>
      <c r="J358" s="53">
        <v>0.48587702</v>
      </c>
      <c r="K358" s="53"/>
      <c r="L358" s="53"/>
      <c r="M358" s="53"/>
      <c r="N358" s="53"/>
      <c r="O358" s="53"/>
      <c r="P358" s="53"/>
      <c r="Q358" s="53"/>
      <c r="R358" s="53"/>
      <c r="S358" s="53"/>
      <c r="T358" s="53"/>
    </row>
    <row r="359">
      <c r="A359" s="53"/>
      <c r="B359" s="53" t="s">
        <v>11664</v>
      </c>
      <c r="C359" s="53" t="s">
        <v>11440</v>
      </c>
      <c r="D359" s="53" t="s">
        <v>11440</v>
      </c>
      <c r="E359" s="53" t="s">
        <v>11665</v>
      </c>
      <c r="F359" s="53" t="s">
        <v>11666</v>
      </c>
      <c r="G359" s="54">
        <v>0.9396</v>
      </c>
      <c r="H359" s="53">
        <v>0.99</v>
      </c>
      <c r="I359" s="53">
        <v>3475.6</v>
      </c>
      <c r="J359" s="53">
        <v>3000</v>
      </c>
      <c r="K359" s="53"/>
      <c r="L359" s="53"/>
      <c r="M359" s="53"/>
      <c r="N359" s="53"/>
      <c r="O359" s="53"/>
      <c r="P359" s="53"/>
      <c r="Q359" s="53"/>
      <c r="R359" s="53"/>
      <c r="S359" s="53"/>
      <c r="T359" s="53"/>
    </row>
    <row r="360">
      <c r="A360" s="53"/>
      <c r="B360" s="53" t="s">
        <v>11667</v>
      </c>
      <c r="C360" s="53" t="s">
        <v>11479</v>
      </c>
      <c r="D360" s="53" t="s">
        <v>11479</v>
      </c>
      <c r="E360" s="53" t="s">
        <v>11480</v>
      </c>
      <c r="F360" s="53" t="s">
        <v>11668</v>
      </c>
      <c r="G360" s="54">
        <v>1.000005</v>
      </c>
      <c r="H360" s="53">
        <v>0.99</v>
      </c>
      <c r="I360" s="53">
        <v>4950</v>
      </c>
      <c r="J360" s="53">
        <v>5000</v>
      </c>
      <c r="K360" s="53"/>
      <c r="L360" s="53"/>
      <c r="M360" s="53"/>
      <c r="N360" s="53"/>
      <c r="O360" s="53"/>
      <c r="P360" s="53"/>
      <c r="Q360" s="53"/>
      <c r="R360" s="53"/>
      <c r="S360" s="53"/>
      <c r="T360" s="53"/>
    </row>
    <row r="361">
      <c r="A361" s="53"/>
      <c r="B361" s="53" t="s">
        <v>11669</v>
      </c>
      <c r="C361" s="53" t="s">
        <v>11570</v>
      </c>
      <c r="D361" s="53" t="s">
        <v>11570</v>
      </c>
      <c r="E361" s="53" t="s">
        <v>11571</v>
      </c>
      <c r="F361" s="53" t="s">
        <v>11670</v>
      </c>
      <c r="G361" s="54">
        <v>0.99</v>
      </c>
      <c r="H361" s="53">
        <v>0.99</v>
      </c>
      <c r="I361" s="53">
        <v>1188</v>
      </c>
      <c r="J361" s="53">
        <v>1200</v>
      </c>
      <c r="K361" s="53"/>
      <c r="L361" s="53"/>
      <c r="M361" s="53"/>
      <c r="N361" s="53"/>
      <c r="O361" s="53"/>
      <c r="P361" s="53"/>
      <c r="Q361" s="53"/>
      <c r="R361" s="53"/>
      <c r="S361" s="53"/>
      <c r="T361" s="53"/>
    </row>
    <row r="362">
      <c r="A362" s="53"/>
      <c r="B362" s="53" t="s">
        <v>11671</v>
      </c>
      <c r="C362" s="53" t="s">
        <v>11570</v>
      </c>
      <c r="D362" s="53" t="s">
        <v>11570</v>
      </c>
      <c r="E362" s="53" t="s">
        <v>11571</v>
      </c>
      <c r="F362" s="53" t="s">
        <v>11672</v>
      </c>
      <c r="G362" s="54">
        <v>0.99</v>
      </c>
      <c r="H362" s="53">
        <v>0.99</v>
      </c>
      <c r="I362" s="53">
        <v>1188</v>
      </c>
      <c r="J362" s="53">
        <v>1200</v>
      </c>
      <c r="K362" s="53"/>
      <c r="L362" s="53"/>
      <c r="M362" s="53"/>
      <c r="N362" s="53"/>
      <c r="O362" s="53"/>
      <c r="P362" s="53"/>
      <c r="Q362" s="53"/>
      <c r="R362" s="53"/>
      <c r="S362" s="53"/>
      <c r="T362" s="53"/>
    </row>
    <row r="363">
      <c r="A363" s="53"/>
      <c r="B363" s="53" t="s">
        <v>11673</v>
      </c>
      <c r="C363" s="53" t="s">
        <v>11570</v>
      </c>
      <c r="D363" s="53" t="s">
        <v>11570</v>
      </c>
      <c r="E363" s="53" t="s">
        <v>11571</v>
      </c>
      <c r="F363" s="53" t="s">
        <v>11674</v>
      </c>
      <c r="G363" s="54">
        <v>0.99</v>
      </c>
      <c r="H363" s="53">
        <v>0.99</v>
      </c>
      <c r="I363" s="53">
        <v>1188</v>
      </c>
      <c r="J363" s="53">
        <v>1200</v>
      </c>
      <c r="K363" s="53"/>
      <c r="L363" s="53"/>
      <c r="M363" s="53"/>
      <c r="N363" s="53"/>
      <c r="O363" s="53"/>
      <c r="P363" s="53"/>
      <c r="Q363" s="53"/>
      <c r="R363" s="53"/>
      <c r="S363" s="53"/>
      <c r="T363" s="53"/>
    </row>
    <row r="364">
      <c r="A364" s="53"/>
      <c r="B364" s="53" t="s">
        <v>11675</v>
      </c>
      <c r="C364" s="53" t="s">
        <v>11570</v>
      </c>
      <c r="D364" s="53" t="s">
        <v>11570</v>
      </c>
      <c r="E364" s="53" t="s">
        <v>11571</v>
      </c>
      <c r="F364" s="53" t="s">
        <v>11676</v>
      </c>
      <c r="G364" s="54">
        <v>0.833</v>
      </c>
      <c r="H364" s="53">
        <v>0.99</v>
      </c>
      <c r="I364" s="53">
        <v>1188</v>
      </c>
      <c r="J364" s="53">
        <v>1000</v>
      </c>
      <c r="K364" s="53"/>
      <c r="L364" s="53"/>
      <c r="M364" s="53"/>
      <c r="N364" s="53"/>
      <c r="O364" s="53"/>
      <c r="P364" s="53"/>
      <c r="Q364" s="53"/>
      <c r="R364" s="53"/>
      <c r="S364" s="53"/>
      <c r="T364" s="53"/>
    </row>
    <row r="365">
      <c r="A365" s="53"/>
      <c r="B365" s="53" t="s">
        <v>11677</v>
      </c>
      <c r="C365" s="53" t="s">
        <v>11264</v>
      </c>
      <c r="D365" s="53" t="s">
        <v>11264</v>
      </c>
      <c r="E365" s="53" t="s">
        <v>11265</v>
      </c>
      <c r="F365" s="53" t="s">
        <v>11678</v>
      </c>
      <c r="G365" s="54">
        <v>1.44321</v>
      </c>
      <c r="H365" s="53">
        <v>0.99</v>
      </c>
      <c r="I365" s="53">
        <v>2721.77</v>
      </c>
      <c r="J365" s="53">
        <v>3000</v>
      </c>
      <c r="K365" s="53"/>
      <c r="L365" s="53"/>
      <c r="M365" s="53"/>
      <c r="N365" s="53"/>
      <c r="O365" s="53"/>
      <c r="P365" s="53"/>
      <c r="Q365" s="53"/>
      <c r="R365" s="53"/>
      <c r="S365" s="53"/>
      <c r="T365" s="53"/>
    </row>
    <row r="366">
      <c r="A366" s="53"/>
      <c r="B366" s="53" t="s">
        <v>11679</v>
      </c>
      <c r="C366" s="53" t="s">
        <v>11181</v>
      </c>
      <c r="D366" s="53" t="s">
        <v>11181</v>
      </c>
      <c r="E366" s="53" t="s">
        <v>10813</v>
      </c>
      <c r="F366" s="53" t="s">
        <v>11680</v>
      </c>
      <c r="G366" s="54">
        <v>0.98</v>
      </c>
      <c r="H366" s="53">
        <v>0.99</v>
      </c>
      <c r="I366" s="53">
        <v>0</v>
      </c>
      <c r="J366" s="53">
        <v>5000</v>
      </c>
      <c r="K366" s="53"/>
      <c r="L366" s="53"/>
      <c r="M366" s="53"/>
      <c r="N366" s="53"/>
      <c r="O366" s="53"/>
      <c r="P366" s="53"/>
      <c r="Q366" s="53"/>
      <c r="R366" s="53"/>
      <c r="S366" s="53"/>
      <c r="T366" s="53"/>
    </row>
    <row r="367">
      <c r="A367" s="53"/>
      <c r="B367" s="53" t="s">
        <v>11681</v>
      </c>
      <c r="C367" s="53" t="s">
        <v>11195</v>
      </c>
      <c r="D367" s="53" t="s">
        <v>11195</v>
      </c>
      <c r="E367" s="53" t="s">
        <v>11682</v>
      </c>
      <c r="F367" s="53" t="s">
        <v>11683</v>
      </c>
      <c r="G367" s="54">
        <v>0.99</v>
      </c>
      <c r="H367" s="53">
        <v>0.99</v>
      </c>
      <c r="I367" s="53">
        <v>0</v>
      </c>
      <c r="J367" s="53">
        <v>3000</v>
      </c>
      <c r="K367" s="53"/>
      <c r="L367" s="53"/>
      <c r="M367" s="53"/>
      <c r="N367" s="53"/>
      <c r="O367" s="53"/>
      <c r="P367" s="53"/>
      <c r="Q367" s="53"/>
      <c r="R367" s="53"/>
      <c r="S367" s="53"/>
      <c r="T367" s="53"/>
    </row>
    <row r="368">
      <c r="A368" s="53"/>
      <c r="B368" s="53" t="s">
        <v>11684</v>
      </c>
      <c r="C368" s="53" t="s">
        <v>11247</v>
      </c>
      <c r="D368" s="53" t="s">
        <v>11247</v>
      </c>
      <c r="E368" s="53" t="s">
        <v>11685</v>
      </c>
      <c r="F368" s="53" t="s">
        <v>11686</v>
      </c>
      <c r="G368" s="54">
        <v>0.983</v>
      </c>
      <c r="H368" s="53">
        <v>0.99</v>
      </c>
      <c r="I368" s="53">
        <v>2339.13</v>
      </c>
      <c r="J368" s="53">
        <v>1200</v>
      </c>
      <c r="K368" s="53"/>
      <c r="L368" s="53"/>
      <c r="M368" s="53"/>
      <c r="N368" s="53"/>
      <c r="O368" s="53"/>
      <c r="P368" s="53"/>
      <c r="Q368" s="53"/>
      <c r="R368" s="53"/>
      <c r="S368" s="53"/>
      <c r="T368" s="53"/>
    </row>
    <row r="369">
      <c r="A369" s="53"/>
      <c r="B369" s="53" t="s">
        <v>11687</v>
      </c>
      <c r="C369" s="53" t="s">
        <v>11020</v>
      </c>
      <c r="D369" s="53" t="s">
        <v>11020</v>
      </c>
      <c r="E369" s="53" t="s">
        <v>11596</v>
      </c>
      <c r="F369" s="53" t="s">
        <v>11688</v>
      </c>
      <c r="G369" s="54">
        <v>0.7738</v>
      </c>
      <c r="H369" s="53">
        <v>0.99</v>
      </c>
      <c r="I369" s="53">
        <v>0</v>
      </c>
      <c r="J369" s="53">
        <v>3400</v>
      </c>
      <c r="K369" s="53"/>
      <c r="L369" s="53"/>
      <c r="M369" s="53"/>
      <c r="N369" s="53"/>
      <c r="O369" s="53"/>
      <c r="P369" s="53"/>
      <c r="Q369" s="53"/>
      <c r="R369" s="53"/>
      <c r="S369" s="53"/>
      <c r="T369" s="53"/>
    </row>
    <row r="370">
      <c r="A370" s="53"/>
      <c r="B370" s="53" t="s">
        <v>11689</v>
      </c>
      <c r="C370" s="53" t="s">
        <v>11444</v>
      </c>
      <c r="D370" s="53" t="s">
        <v>11444</v>
      </c>
      <c r="E370" s="53" t="s">
        <v>11094</v>
      </c>
      <c r="F370" s="53" t="s">
        <v>11690</v>
      </c>
      <c r="G370" s="54">
        <v>0.993839</v>
      </c>
      <c r="H370" s="53">
        <v>0.99</v>
      </c>
      <c r="I370" s="53">
        <v>4925</v>
      </c>
      <c r="J370" s="53">
        <v>5000</v>
      </c>
      <c r="K370" s="53"/>
      <c r="L370" s="53"/>
      <c r="M370" s="53"/>
      <c r="N370" s="53"/>
      <c r="O370" s="53"/>
      <c r="P370" s="53"/>
      <c r="Q370" s="53"/>
      <c r="R370" s="53"/>
      <c r="S370" s="53"/>
      <c r="T370" s="53"/>
    </row>
    <row r="371">
      <c r="A371" s="53"/>
      <c r="B371" s="53" t="s">
        <v>11691</v>
      </c>
      <c r="C371" s="53" t="s">
        <v>11089</v>
      </c>
      <c r="D371" s="53" t="s">
        <v>11089</v>
      </c>
      <c r="E371" s="53" t="s">
        <v>11692</v>
      </c>
      <c r="F371" s="53" t="s">
        <v>11693</v>
      </c>
      <c r="G371" s="54">
        <v>0.93094</v>
      </c>
      <c r="H371" s="53">
        <v>0.99</v>
      </c>
      <c r="I371" s="53">
        <v>988</v>
      </c>
      <c r="J371" s="53">
        <v>1000</v>
      </c>
      <c r="K371" s="53"/>
      <c r="L371" s="53"/>
      <c r="M371" s="53"/>
      <c r="N371" s="53"/>
      <c r="O371" s="53"/>
      <c r="P371" s="53"/>
      <c r="Q371" s="53"/>
      <c r="R371" s="53"/>
      <c r="S371" s="53"/>
      <c r="T371" s="53"/>
    </row>
    <row r="372">
      <c r="A372" s="53"/>
      <c r="B372" s="53" t="s">
        <v>11694</v>
      </c>
      <c r="C372" s="53" t="s">
        <v>11159</v>
      </c>
      <c r="D372" s="53" t="s">
        <v>11159</v>
      </c>
      <c r="E372" s="53" t="s">
        <v>11695</v>
      </c>
      <c r="F372" s="53" t="s">
        <v>11696</v>
      </c>
      <c r="G372" s="54">
        <v>0.009902</v>
      </c>
      <c r="H372" s="53">
        <v>0.99</v>
      </c>
      <c r="I372" s="53">
        <v>0</v>
      </c>
      <c r="J372" s="53">
        <v>3000</v>
      </c>
      <c r="K372" s="53"/>
      <c r="L372" s="53"/>
      <c r="M372" s="53"/>
      <c r="N372" s="53"/>
      <c r="O372" s="53"/>
      <c r="P372" s="53"/>
      <c r="Q372" s="53"/>
      <c r="R372" s="53"/>
      <c r="S372" s="53"/>
      <c r="T372" s="53"/>
    </row>
    <row r="373">
      <c r="A373" s="53"/>
      <c r="B373" s="53" t="s">
        <v>11697</v>
      </c>
      <c r="C373" s="53" t="s">
        <v>11459</v>
      </c>
      <c r="D373" s="53" t="s">
        <v>11459</v>
      </c>
      <c r="E373" s="53" t="s">
        <v>11460</v>
      </c>
      <c r="F373" s="53" t="s">
        <v>11698</v>
      </c>
      <c r="G373" s="54">
        <v>0.985</v>
      </c>
      <c r="H373" s="53">
        <v>0.99</v>
      </c>
      <c r="I373" s="53">
        <v>0</v>
      </c>
      <c r="J373" s="53">
        <v>5000</v>
      </c>
      <c r="K373" s="53"/>
      <c r="L373" s="53"/>
      <c r="M373" s="53"/>
      <c r="N373" s="53"/>
      <c r="O373" s="53"/>
      <c r="P373" s="53"/>
      <c r="Q373" s="53"/>
      <c r="R373" s="53"/>
      <c r="S373" s="53"/>
      <c r="T373" s="53"/>
    </row>
    <row r="374">
      <c r="A374" s="53"/>
      <c r="B374" s="53" t="s">
        <v>11699</v>
      </c>
      <c r="C374" s="53" t="s">
        <v>11570</v>
      </c>
      <c r="D374" s="53" t="s">
        <v>11570</v>
      </c>
      <c r="E374" s="53" t="s">
        <v>11281</v>
      </c>
      <c r="F374" s="53" t="s">
        <v>11700</v>
      </c>
      <c r="G374" s="54">
        <v>0.889</v>
      </c>
      <c r="H374" s="53">
        <v>0.99</v>
      </c>
      <c r="I374" s="53">
        <v>4950</v>
      </c>
      <c r="J374" s="53">
        <v>5000</v>
      </c>
      <c r="K374" s="53"/>
      <c r="L374" s="53"/>
      <c r="M374" s="53"/>
      <c r="N374" s="53"/>
      <c r="O374" s="53"/>
      <c r="P374" s="53"/>
      <c r="Q374" s="53"/>
      <c r="R374" s="53"/>
      <c r="S374" s="53"/>
      <c r="T374" s="53"/>
    </row>
    <row r="375">
      <c r="A375" s="53"/>
      <c r="B375" s="53" t="s">
        <v>11701</v>
      </c>
      <c r="C375" s="53" t="s">
        <v>11103</v>
      </c>
      <c r="D375" s="53" t="s">
        <v>11103</v>
      </c>
      <c r="E375" s="53" t="s">
        <v>11104</v>
      </c>
      <c r="F375" s="53" t="s">
        <v>11702</v>
      </c>
      <c r="G375" s="54">
        <v>0.70567</v>
      </c>
      <c r="H375" s="53">
        <v>0.99</v>
      </c>
      <c r="I375" s="53">
        <v>960.32</v>
      </c>
      <c r="J375" s="53">
        <v>2000</v>
      </c>
      <c r="K375" s="53"/>
      <c r="L375" s="53"/>
      <c r="M375" s="53"/>
      <c r="N375" s="53"/>
      <c r="O375" s="53"/>
      <c r="P375" s="53"/>
      <c r="Q375" s="53"/>
      <c r="R375" s="53"/>
      <c r="S375" s="53"/>
      <c r="T375" s="53"/>
    </row>
    <row r="376">
      <c r="A376" s="53"/>
      <c r="B376" s="53" t="s">
        <v>11703</v>
      </c>
      <c r="C376" s="53" t="s">
        <v>11440</v>
      </c>
      <c r="D376" s="53" t="s">
        <v>11440</v>
      </c>
      <c r="E376" s="53" t="s">
        <v>11665</v>
      </c>
      <c r="F376" s="53" t="s">
        <v>11704</v>
      </c>
      <c r="G376" s="54">
        <v>0.972</v>
      </c>
      <c r="H376" s="53">
        <v>0.98</v>
      </c>
      <c r="I376" s="53">
        <v>3058.9</v>
      </c>
      <c r="J376" s="53">
        <v>3000</v>
      </c>
      <c r="K376" s="53"/>
      <c r="L376" s="53"/>
      <c r="M376" s="53"/>
      <c r="N376" s="53"/>
      <c r="O376" s="53"/>
      <c r="P376" s="53"/>
      <c r="Q376" s="53"/>
      <c r="R376" s="53"/>
      <c r="S376" s="53"/>
      <c r="T376" s="53"/>
    </row>
    <row r="377">
      <c r="A377" s="53"/>
      <c r="B377" s="53" t="s">
        <v>11705</v>
      </c>
      <c r="C377" s="53" t="s">
        <v>11001</v>
      </c>
      <c r="D377" s="53" t="s">
        <v>11001</v>
      </c>
      <c r="E377" s="53" t="s">
        <v>11002</v>
      </c>
      <c r="F377" s="53" t="s">
        <v>11706</v>
      </c>
      <c r="G377" s="54">
        <v>0.9825</v>
      </c>
      <c r="H377" s="53">
        <v>0.98</v>
      </c>
      <c r="I377" s="53">
        <v>1482.2</v>
      </c>
      <c r="J377" s="53">
        <v>1500</v>
      </c>
      <c r="K377" s="53"/>
      <c r="L377" s="53"/>
      <c r="M377" s="53"/>
      <c r="N377" s="53"/>
      <c r="O377" s="53"/>
      <c r="P377" s="53"/>
      <c r="Q377" s="53"/>
      <c r="R377" s="53"/>
      <c r="S377" s="53"/>
      <c r="T377" s="53"/>
    </row>
    <row r="378">
      <c r="A378" s="53"/>
      <c r="B378" s="53" t="s">
        <v>11707</v>
      </c>
      <c r="C378" s="53" t="s">
        <v>11209</v>
      </c>
      <c r="D378" s="53" t="s">
        <v>11209</v>
      </c>
      <c r="E378" s="53" t="s">
        <v>11354</v>
      </c>
      <c r="F378" s="53" t="s">
        <v>11708</v>
      </c>
      <c r="G378" s="54">
        <v>0.98</v>
      </c>
      <c r="H378" s="53">
        <v>0.98</v>
      </c>
      <c r="I378" s="53">
        <v>3549.3</v>
      </c>
      <c r="J378" s="53">
        <v>3000</v>
      </c>
      <c r="K378" s="53"/>
      <c r="L378" s="53"/>
      <c r="M378" s="53"/>
      <c r="N378" s="53"/>
      <c r="O378" s="53"/>
      <c r="P378" s="53"/>
      <c r="Q378" s="53"/>
      <c r="R378" s="53"/>
      <c r="S378" s="53"/>
      <c r="T378" s="53"/>
    </row>
    <row r="379">
      <c r="A379" s="53"/>
      <c r="B379" s="53" t="s">
        <v>11709</v>
      </c>
      <c r="C379" s="53" t="s">
        <v>11368</v>
      </c>
      <c r="D379" s="53" t="s">
        <v>11368</v>
      </c>
      <c r="E379" s="53" t="s">
        <v>11240</v>
      </c>
      <c r="F379" s="53" t="s">
        <v>11710</v>
      </c>
      <c r="G379" s="54">
        <v>1.00633</v>
      </c>
      <c r="H379" s="53">
        <v>0.98</v>
      </c>
      <c r="I379" s="53">
        <v>6919.87</v>
      </c>
      <c r="J379" s="53">
        <v>6000</v>
      </c>
      <c r="K379" s="53"/>
      <c r="L379" s="53"/>
      <c r="M379" s="53"/>
      <c r="N379" s="53"/>
      <c r="O379" s="53"/>
      <c r="P379" s="53"/>
      <c r="Q379" s="53"/>
      <c r="R379" s="53"/>
      <c r="S379" s="53"/>
      <c r="T379" s="53"/>
    </row>
    <row r="380">
      <c r="A380" s="53"/>
      <c r="B380" s="53" t="s">
        <v>11711</v>
      </c>
      <c r="C380" s="53" t="s">
        <v>11712</v>
      </c>
      <c r="D380" s="53" t="s">
        <v>11712</v>
      </c>
      <c r="E380" s="53" t="s">
        <v>11240</v>
      </c>
      <c r="F380" s="53" t="s">
        <v>11713</v>
      </c>
      <c r="G380" s="54">
        <v>1.6965</v>
      </c>
      <c r="H380" s="53">
        <v>0.98</v>
      </c>
      <c r="I380" s="53">
        <v>6218.98</v>
      </c>
      <c r="J380" s="53">
        <v>6000</v>
      </c>
      <c r="K380" s="53"/>
      <c r="L380" s="53"/>
      <c r="M380" s="53"/>
      <c r="N380" s="53"/>
      <c r="O380" s="53"/>
      <c r="P380" s="53"/>
      <c r="Q380" s="53"/>
      <c r="R380" s="53"/>
      <c r="S380" s="53"/>
      <c r="T380" s="53"/>
    </row>
    <row r="381">
      <c r="A381" s="53"/>
      <c r="B381" s="53" t="s">
        <v>11714</v>
      </c>
      <c r="C381" s="53" t="s">
        <v>11274</v>
      </c>
      <c r="D381" s="53" t="s">
        <v>11274</v>
      </c>
      <c r="E381" s="53" t="s">
        <v>11141</v>
      </c>
      <c r="F381" s="53" t="s">
        <v>11715</v>
      </c>
      <c r="G381" s="54">
        <v>0.928158</v>
      </c>
      <c r="H381" s="53">
        <v>0.98</v>
      </c>
      <c r="I381" s="53">
        <v>8000</v>
      </c>
      <c r="J381" s="53">
        <v>5000</v>
      </c>
      <c r="K381" s="53"/>
      <c r="L381" s="53"/>
      <c r="M381" s="53"/>
      <c r="N381" s="53"/>
      <c r="O381" s="53"/>
      <c r="P381" s="53"/>
      <c r="Q381" s="53"/>
      <c r="R381" s="53"/>
      <c r="S381" s="53"/>
      <c r="T381" s="53"/>
    </row>
    <row r="382">
      <c r="A382" s="53"/>
      <c r="B382" s="53" t="s">
        <v>11716</v>
      </c>
      <c r="C382" s="53" t="s">
        <v>11543</v>
      </c>
      <c r="D382" s="53" t="s">
        <v>11543</v>
      </c>
      <c r="E382" s="53" t="s">
        <v>11717</v>
      </c>
      <c r="F382" s="53" t="s">
        <v>11718</v>
      </c>
      <c r="G382" s="54">
        <v>0.9825</v>
      </c>
      <c r="H382" s="53">
        <v>0.98</v>
      </c>
      <c r="I382" s="53">
        <v>4694.68</v>
      </c>
      <c r="J382" s="53">
        <v>4500</v>
      </c>
      <c r="K382" s="53"/>
      <c r="L382" s="53"/>
      <c r="M382" s="53"/>
      <c r="N382" s="53"/>
      <c r="O382" s="53"/>
      <c r="P382" s="53"/>
      <c r="Q382" s="53"/>
      <c r="R382" s="53"/>
      <c r="S382" s="53"/>
      <c r="T382" s="53"/>
    </row>
    <row r="383">
      <c r="A383" s="53"/>
      <c r="B383" s="53" t="s">
        <v>11719</v>
      </c>
      <c r="C383" s="53" t="s">
        <v>11138</v>
      </c>
      <c r="D383" s="53" t="s">
        <v>11138</v>
      </c>
      <c r="E383" s="53" t="s">
        <v>11281</v>
      </c>
      <c r="F383" s="53" t="s">
        <v>11720</v>
      </c>
      <c r="G383" s="54">
        <v>1.100201</v>
      </c>
      <c r="H383" s="53">
        <v>0.98</v>
      </c>
      <c r="I383" s="53">
        <v>7000</v>
      </c>
      <c r="J383" s="53">
        <v>5000</v>
      </c>
      <c r="K383" s="53"/>
      <c r="L383" s="53"/>
      <c r="M383" s="53"/>
      <c r="N383" s="53"/>
      <c r="O383" s="53"/>
      <c r="P383" s="53"/>
      <c r="Q383" s="53"/>
      <c r="R383" s="53"/>
      <c r="S383" s="53"/>
      <c r="T383" s="53"/>
    </row>
    <row r="384">
      <c r="A384" s="53"/>
      <c r="B384" s="53" t="s">
        <v>11721</v>
      </c>
      <c r="C384" s="53" t="s">
        <v>11195</v>
      </c>
      <c r="D384" s="53" t="s">
        <v>11195</v>
      </c>
      <c r="E384" s="53" t="s">
        <v>11682</v>
      </c>
      <c r="F384" s="53" t="s">
        <v>11722</v>
      </c>
      <c r="G384" s="54">
        <v>0.98</v>
      </c>
      <c r="H384" s="53">
        <v>0.98</v>
      </c>
      <c r="I384" s="53">
        <v>3717.39</v>
      </c>
      <c r="J384" s="53">
        <v>3000</v>
      </c>
      <c r="K384" s="53"/>
      <c r="L384" s="53"/>
      <c r="M384" s="53"/>
      <c r="N384" s="53"/>
      <c r="O384" s="53"/>
      <c r="P384" s="53"/>
      <c r="Q384" s="53"/>
      <c r="R384" s="53"/>
      <c r="S384" s="53"/>
      <c r="T384" s="53"/>
    </row>
    <row r="385">
      <c r="A385" s="53"/>
      <c r="B385" s="53" t="s">
        <v>11723</v>
      </c>
      <c r="C385" s="53" t="s">
        <v>11338</v>
      </c>
      <c r="D385" s="53" t="s">
        <v>11338</v>
      </c>
      <c r="E385" s="53" t="s">
        <v>11339</v>
      </c>
      <c r="F385" s="53" t="s">
        <v>11724</v>
      </c>
      <c r="G385" s="54">
        <v>0.975</v>
      </c>
      <c r="H385" s="53">
        <v>0.98</v>
      </c>
      <c r="I385" s="53">
        <v>0</v>
      </c>
      <c r="J385" s="53">
        <v>3000</v>
      </c>
      <c r="K385" s="53"/>
      <c r="L385" s="53"/>
      <c r="M385" s="53"/>
      <c r="N385" s="53"/>
      <c r="O385" s="53"/>
      <c r="P385" s="53"/>
      <c r="Q385" s="53"/>
      <c r="R385" s="53"/>
      <c r="S385" s="53"/>
      <c r="T385" s="53"/>
    </row>
    <row r="386">
      <c r="A386" s="53"/>
      <c r="B386" s="53" t="s">
        <v>11725</v>
      </c>
      <c r="C386" s="53" t="s">
        <v>11020</v>
      </c>
      <c r="D386" s="53" t="s">
        <v>11020</v>
      </c>
      <c r="E386" s="53" t="s">
        <v>11460</v>
      </c>
      <c r="F386" s="53" t="s">
        <v>11726</v>
      </c>
      <c r="G386" s="54">
        <v>0.98</v>
      </c>
      <c r="H386" s="53">
        <v>0.98</v>
      </c>
      <c r="I386" s="53">
        <v>3800</v>
      </c>
      <c r="J386" s="53">
        <v>3800</v>
      </c>
      <c r="K386" s="53"/>
      <c r="L386" s="53"/>
      <c r="M386" s="53"/>
      <c r="N386" s="53"/>
      <c r="O386" s="53"/>
      <c r="P386" s="53"/>
      <c r="Q386" s="53"/>
      <c r="R386" s="53"/>
      <c r="S386" s="53"/>
      <c r="T386" s="53"/>
    </row>
    <row r="387">
      <c r="A387" s="53"/>
      <c r="B387" s="53" t="s">
        <v>11727</v>
      </c>
      <c r="C387" s="53" t="s">
        <v>11020</v>
      </c>
      <c r="D387" s="53" t="s">
        <v>11020</v>
      </c>
      <c r="E387" s="53" t="s">
        <v>11460</v>
      </c>
      <c r="F387" s="53" t="s">
        <v>11728</v>
      </c>
      <c r="G387" s="54">
        <v>0.98</v>
      </c>
      <c r="H387" s="53">
        <v>0.98</v>
      </c>
      <c r="I387" s="53">
        <v>5000</v>
      </c>
      <c r="J387" s="53">
        <v>5000</v>
      </c>
      <c r="K387" s="53"/>
      <c r="L387" s="53"/>
      <c r="M387" s="53"/>
      <c r="N387" s="53"/>
      <c r="O387" s="53"/>
      <c r="P387" s="53"/>
      <c r="Q387" s="53"/>
      <c r="R387" s="53"/>
      <c r="S387" s="53"/>
      <c r="T387" s="53"/>
    </row>
    <row r="388">
      <c r="A388" s="53"/>
      <c r="B388" s="53" t="s">
        <v>11729</v>
      </c>
      <c r="C388" s="53" t="s">
        <v>11020</v>
      </c>
      <c r="D388" s="53" t="s">
        <v>11020</v>
      </c>
      <c r="E388" s="53" t="s">
        <v>11460</v>
      </c>
      <c r="F388" s="53" t="s">
        <v>11730</v>
      </c>
      <c r="G388" s="54">
        <v>0.98</v>
      </c>
      <c r="H388" s="53">
        <v>0.98</v>
      </c>
      <c r="I388" s="53">
        <v>5000</v>
      </c>
      <c r="J388" s="53">
        <v>5000</v>
      </c>
      <c r="K388" s="53"/>
      <c r="L388" s="53"/>
      <c r="M388" s="53"/>
      <c r="N388" s="53"/>
      <c r="O388" s="53"/>
      <c r="P388" s="53"/>
      <c r="Q388" s="53"/>
      <c r="R388" s="53"/>
      <c r="S388" s="53"/>
      <c r="T388" s="53"/>
    </row>
    <row r="389">
      <c r="A389" s="53"/>
      <c r="B389" s="53" t="s">
        <v>11731</v>
      </c>
      <c r="C389" s="53" t="s">
        <v>11020</v>
      </c>
      <c r="D389" s="53" t="s">
        <v>11020</v>
      </c>
      <c r="E389" s="53" t="s">
        <v>10813</v>
      </c>
      <c r="F389" s="53" t="s">
        <v>11732</v>
      </c>
      <c r="G389" s="54">
        <v>0.98</v>
      </c>
      <c r="H389" s="53">
        <v>0.98</v>
      </c>
      <c r="I389" s="53">
        <v>5000</v>
      </c>
      <c r="J389" s="53">
        <v>5000</v>
      </c>
      <c r="K389" s="53"/>
      <c r="L389" s="53"/>
      <c r="M389" s="53"/>
      <c r="N389" s="53"/>
      <c r="O389" s="53"/>
      <c r="P389" s="53"/>
      <c r="Q389" s="53"/>
      <c r="R389" s="53"/>
      <c r="S389" s="53"/>
      <c r="T389" s="53"/>
    </row>
    <row r="390">
      <c r="A390" s="53"/>
      <c r="B390" s="53" t="s">
        <v>11733</v>
      </c>
      <c r="C390" s="53" t="s">
        <v>11020</v>
      </c>
      <c r="D390" s="53" t="s">
        <v>11020</v>
      </c>
      <c r="E390" s="53" t="s">
        <v>11460</v>
      </c>
      <c r="F390" s="53" t="s">
        <v>11734</v>
      </c>
      <c r="G390" s="54">
        <v>0.98</v>
      </c>
      <c r="H390" s="53">
        <v>0.98</v>
      </c>
      <c r="I390" s="53">
        <v>5000</v>
      </c>
      <c r="J390" s="53">
        <v>5000</v>
      </c>
      <c r="K390" s="53"/>
      <c r="L390" s="53"/>
      <c r="M390" s="53"/>
      <c r="N390" s="53"/>
      <c r="O390" s="53"/>
      <c r="P390" s="53"/>
      <c r="Q390" s="53"/>
      <c r="R390" s="53"/>
      <c r="S390" s="53"/>
      <c r="T390" s="53"/>
    </row>
    <row r="391">
      <c r="A391" s="53"/>
      <c r="B391" s="53" t="s">
        <v>11735</v>
      </c>
      <c r="C391" s="53" t="s">
        <v>11020</v>
      </c>
      <c r="D391" s="53" t="s">
        <v>11020</v>
      </c>
      <c r="E391" s="53" t="s">
        <v>10813</v>
      </c>
      <c r="F391" s="53" t="s">
        <v>11736</v>
      </c>
      <c r="G391" s="54">
        <v>0.94</v>
      </c>
      <c r="H391" s="53">
        <v>0.98</v>
      </c>
      <c r="I391" s="53">
        <v>0</v>
      </c>
      <c r="J391" s="53">
        <v>5000</v>
      </c>
      <c r="K391" s="53"/>
      <c r="L391" s="53"/>
      <c r="M391" s="53"/>
      <c r="N391" s="53"/>
      <c r="O391" s="53"/>
      <c r="P391" s="53"/>
      <c r="Q391" s="53"/>
      <c r="R391" s="53"/>
      <c r="S391" s="53"/>
      <c r="T391" s="53"/>
    </row>
    <row r="392">
      <c r="A392" s="53"/>
      <c r="B392" s="53" t="s">
        <v>11737</v>
      </c>
      <c r="C392" s="53" t="s">
        <v>11128</v>
      </c>
      <c r="D392" s="53" t="s">
        <v>11128</v>
      </c>
      <c r="E392" s="53" t="s">
        <v>11738</v>
      </c>
      <c r="F392" s="53" t="s">
        <v>11739</v>
      </c>
      <c r="G392" s="54">
        <v>0.97676</v>
      </c>
      <c r="H392" s="53">
        <v>0.98</v>
      </c>
      <c r="I392" s="53">
        <v>4877</v>
      </c>
      <c r="J392" s="53">
        <v>5000</v>
      </c>
      <c r="K392" s="53"/>
      <c r="L392" s="53"/>
      <c r="M392" s="53"/>
      <c r="N392" s="53"/>
      <c r="O392" s="53"/>
      <c r="P392" s="53"/>
      <c r="Q392" s="53"/>
      <c r="R392" s="53"/>
      <c r="S392" s="53"/>
      <c r="T392" s="53"/>
    </row>
    <row r="393">
      <c r="A393" s="53"/>
      <c r="B393" s="53" t="s">
        <v>11740</v>
      </c>
      <c r="C393" s="53" t="s">
        <v>11089</v>
      </c>
      <c r="D393" s="53" t="s">
        <v>11089</v>
      </c>
      <c r="E393" s="53" t="s">
        <v>11692</v>
      </c>
      <c r="F393" s="53" t="s">
        <v>11741</v>
      </c>
      <c r="G393" s="54">
        <v>0.93343</v>
      </c>
      <c r="H393" s="53">
        <v>0.98</v>
      </c>
      <c r="I393" s="53">
        <v>983</v>
      </c>
      <c r="J393" s="53">
        <v>1000</v>
      </c>
      <c r="K393" s="53"/>
      <c r="L393" s="53"/>
      <c r="M393" s="53"/>
      <c r="N393" s="53"/>
      <c r="O393" s="53"/>
      <c r="P393" s="53"/>
      <c r="Q393" s="53"/>
      <c r="R393" s="53"/>
      <c r="S393" s="53"/>
      <c r="T393" s="53"/>
    </row>
    <row r="394">
      <c r="A394" s="53"/>
      <c r="B394" s="53" t="s">
        <v>11742</v>
      </c>
      <c r="C394" s="53" t="s">
        <v>11324</v>
      </c>
      <c r="D394" s="53" t="s">
        <v>11324</v>
      </c>
      <c r="E394" s="53" t="s">
        <v>11596</v>
      </c>
      <c r="F394" s="53" t="s">
        <v>11743</v>
      </c>
      <c r="G394" s="54">
        <v>0.98</v>
      </c>
      <c r="H394" s="53">
        <v>0.98</v>
      </c>
      <c r="I394" s="53">
        <v>2868.75</v>
      </c>
      <c r="J394" s="53">
        <v>3400</v>
      </c>
      <c r="K394" s="53"/>
      <c r="L394" s="53"/>
      <c r="M394" s="53"/>
      <c r="N394" s="53"/>
      <c r="O394" s="53"/>
      <c r="P394" s="53"/>
      <c r="Q394" s="53"/>
      <c r="R394" s="53"/>
      <c r="S394" s="53"/>
      <c r="T394" s="53"/>
    </row>
    <row r="395">
      <c r="A395" s="53"/>
      <c r="B395" s="53" t="s">
        <v>11744</v>
      </c>
      <c r="C395" s="53" t="s">
        <v>11657</v>
      </c>
      <c r="D395" s="53" t="s">
        <v>11657</v>
      </c>
      <c r="E395" s="53" t="s">
        <v>11460</v>
      </c>
      <c r="F395" s="53" t="s">
        <v>11745</v>
      </c>
      <c r="G395" s="54">
        <v>0.975</v>
      </c>
      <c r="H395" s="53">
        <v>0.98</v>
      </c>
      <c r="I395" s="53">
        <v>5388</v>
      </c>
      <c r="J395" s="53">
        <v>5000</v>
      </c>
      <c r="K395" s="53"/>
      <c r="L395" s="53"/>
      <c r="M395" s="53"/>
      <c r="N395" s="53"/>
      <c r="O395" s="53"/>
      <c r="P395" s="53"/>
      <c r="Q395" s="53"/>
      <c r="R395" s="53"/>
      <c r="S395" s="53"/>
      <c r="T395" s="53"/>
    </row>
    <row r="396">
      <c r="A396" s="53"/>
      <c r="B396" s="53" t="s">
        <v>11746</v>
      </c>
      <c r="C396" s="53" t="s">
        <v>11747</v>
      </c>
      <c r="D396" s="53" t="s">
        <v>11747</v>
      </c>
      <c r="E396" s="53" t="s">
        <v>11748</v>
      </c>
      <c r="F396" s="53" t="s">
        <v>11749</v>
      </c>
      <c r="G396" s="54">
        <v>0.0098</v>
      </c>
      <c r="H396" s="53">
        <v>0.98</v>
      </c>
      <c r="I396" s="53">
        <v>3159.98</v>
      </c>
      <c r="J396" s="53">
        <v>2500</v>
      </c>
      <c r="K396" s="53"/>
      <c r="L396" s="53"/>
      <c r="M396" s="53"/>
      <c r="N396" s="53"/>
      <c r="O396" s="53"/>
      <c r="P396" s="53"/>
      <c r="Q396" s="53"/>
      <c r="R396" s="53"/>
      <c r="S396" s="53"/>
      <c r="T396" s="53"/>
    </row>
    <row r="397">
      <c r="A397" s="53"/>
      <c r="B397" s="53" t="s">
        <v>11750</v>
      </c>
      <c r="C397" s="53" t="s">
        <v>11219</v>
      </c>
      <c r="D397" s="53" t="s">
        <v>11219</v>
      </c>
      <c r="E397" s="53" t="s">
        <v>11220</v>
      </c>
      <c r="F397" s="53" t="s">
        <v>11751</v>
      </c>
      <c r="G397" s="54">
        <v>0.99195</v>
      </c>
      <c r="H397" s="53">
        <v>0.97</v>
      </c>
      <c r="I397" s="53">
        <v>2511.63</v>
      </c>
      <c r="J397" s="53">
        <v>3000</v>
      </c>
      <c r="K397" s="53"/>
      <c r="L397" s="53"/>
      <c r="M397" s="53"/>
      <c r="N397" s="53"/>
      <c r="O397" s="53"/>
      <c r="P397" s="53"/>
      <c r="Q397" s="53"/>
      <c r="R397" s="53"/>
      <c r="S397" s="53"/>
      <c r="T397" s="53"/>
    </row>
    <row r="398">
      <c r="A398" s="53"/>
      <c r="B398" s="53" t="s">
        <v>11752</v>
      </c>
      <c r="C398" s="53" t="s">
        <v>11495</v>
      </c>
      <c r="D398" s="53" t="s">
        <v>11495</v>
      </c>
      <c r="E398" s="53" t="s">
        <v>11496</v>
      </c>
      <c r="F398" s="53" t="s">
        <v>11753</v>
      </c>
      <c r="G398" s="54">
        <v>0.97</v>
      </c>
      <c r="H398" s="53">
        <v>0.97</v>
      </c>
      <c r="I398" s="53">
        <v>2716</v>
      </c>
      <c r="J398" s="53">
        <v>3500</v>
      </c>
      <c r="K398" s="53"/>
      <c r="L398" s="53"/>
      <c r="M398" s="53"/>
      <c r="N398" s="53"/>
      <c r="O398" s="53"/>
      <c r="P398" s="53"/>
      <c r="Q398" s="53"/>
      <c r="R398" s="53"/>
      <c r="S398" s="53"/>
      <c r="T398" s="53"/>
    </row>
    <row r="399">
      <c r="A399" s="53"/>
      <c r="B399" s="53" t="s">
        <v>11754</v>
      </c>
      <c r="C399" s="53" t="s">
        <v>11115</v>
      </c>
      <c r="D399" s="53" t="s">
        <v>11115</v>
      </c>
      <c r="E399" s="53" t="s">
        <v>10813</v>
      </c>
      <c r="F399" s="53" t="s">
        <v>11755</v>
      </c>
      <c r="G399" s="54">
        <v>1.620468</v>
      </c>
      <c r="H399" s="53">
        <v>0.97</v>
      </c>
      <c r="I399" s="53">
        <v>7068.27</v>
      </c>
      <c r="J399" s="53">
        <v>5000</v>
      </c>
      <c r="K399" s="53"/>
      <c r="L399" s="53"/>
      <c r="M399" s="53"/>
      <c r="N399" s="53"/>
      <c r="O399" s="53"/>
      <c r="P399" s="53"/>
      <c r="Q399" s="53"/>
      <c r="R399" s="53"/>
      <c r="S399" s="53"/>
      <c r="T399" s="53"/>
    </row>
    <row r="400">
      <c r="A400" s="53"/>
      <c r="B400" s="53" t="s">
        <v>11756</v>
      </c>
      <c r="C400" s="53" t="s">
        <v>11570</v>
      </c>
      <c r="D400" s="53" t="s">
        <v>11570</v>
      </c>
      <c r="E400" s="53" t="s">
        <v>11571</v>
      </c>
      <c r="F400" s="53" t="s">
        <v>11757</v>
      </c>
      <c r="G400" s="54">
        <v>0.87395</v>
      </c>
      <c r="H400" s="53">
        <v>0.97</v>
      </c>
      <c r="I400" s="53">
        <v>1164</v>
      </c>
      <c r="J400" s="53">
        <v>1200</v>
      </c>
      <c r="K400" s="53"/>
      <c r="L400" s="53"/>
      <c r="M400" s="53"/>
      <c r="N400" s="53"/>
      <c r="O400" s="53"/>
      <c r="P400" s="53"/>
      <c r="Q400" s="53"/>
      <c r="R400" s="53"/>
      <c r="S400" s="53"/>
      <c r="T400" s="53"/>
    </row>
    <row r="401">
      <c r="A401" s="53"/>
      <c r="B401" s="53" t="s">
        <v>11758</v>
      </c>
      <c r="C401" s="53" t="s">
        <v>11463</v>
      </c>
      <c r="D401" s="53" t="s">
        <v>11463</v>
      </c>
      <c r="E401" s="53" t="s">
        <v>11186</v>
      </c>
      <c r="F401" s="53" t="s">
        <v>11759</v>
      </c>
      <c r="G401" s="54">
        <v>0.9774</v>
      </c>
      <c r="H401" s="53">
        <v>0.97</v>
      </c>
      <c r="I401" s="53">
        <v>2910</v>
      </c>
      <c r="J401" s="53">
        <v>5000</v>
      </c>
      <c r="K401" s="53"/>
      <c r="L401" s="53"/>
      <c r="M401" s="53"/>
      <c r="N401" s="53"/>
      <c r="O401" s="53"/>
      <c r="P401" s="53"/>
      <c r="Q401" s="53"/>
      <c r="R401" s="53"/>
      <c r="S401" s="53"/>
      <c r="T401" s="53"/>
    </row>
    <row r="402">
      <c r="A402" s="53"/>
      <c r="B402" s="53" t="s">
        <v>11760</v>
      </c>
      <c r="C402" s="53" t="s">
        <v>11338</v>
      </c>
      <c r="D402" s="53" t="s">
        <v>11338</v>
      </c>
      <c r="E402" s="53" t="s">
        <v>11339</v>
      </c>
      <c r="F402" s="53" t="s">
        <v>11761</v>
      </c>
      <c r="G402" s="54">
        <v>0.97435</v>
      </c>
      <c r="H402" s="53">
        <v>0.97</v>
      </c>
      <c r="I402" s="53">
        <v>3384.62</v>
      </c>
      <c r="J402" s="53">
        <v>3000</v>
      </c>
      <c r="K402" s="53"/>
      <c r="L402" s="53"/>
      <c r="M402" s="53"/>
      <c r="N402" s="53"/>
      <c r="O402" s="53"/>
      <c r="P402" s="53"/>
      <c r="Q402" s="53"/>
      <c r="R402" s="53"/>
      <c r="S402" s="53"/>
      <c r="T402" s="53"/>
    </row>
    <row r="403">
      <c r="A403" s="53"/>
      <c r="B403" s="53" t="s">
        <v>11762</v>
      </c>
      <c r="C403" s="53" t="s">
        <v>11444</v>
      </c>
      <c r="D403" s="53" t="s">
        <v>11444</v>
      </c>
      <c r="E403" s="53" t="s">
        <v>11129</v>
      </c>
      <c r="F403" s="53" t="s">
        <v>11763</v>
      </c>
      <c r="G403" s="54">
        <v>0.888</v>
      </c>
      <c r="H403" s="53">
        <v>0.97</v>
      </c>
      <c r="I403" s="53">
        <v>2780</v>
      </c>
      <c r="J403" s="53">
        <v>3000</v>
      </c>
      <c r="K403" s="53"/>
      <c r="L403" s="53"/>
      <c r="M403" s="53"/>
      <c r="N403" s="53"/>
      <c r="O403" s="53"/>
      <c r="P403" s="53"/>
      <c r="Q403" s="53"/>
      <c r="R403" s="53"/>
      <c r="S403" s="53"/>
      <c r="T403" s="53"/>
    </row>
    <row r="404">
      <c r="A404" s="53"/>
      <c r="B404" s="53" t="s">
        <v>11764</v>
      </c>
      <c r="C404" s="53" t="s">
        <v>11463</v>
      </c>
      <c r="D404" s="53" t="s">
        <v>11463</v>
      </c>
      <c r="E404" s="53" t="s">
        <v>11348</v>
      </c>
      <c r="F404" s="53" t="s">
        <v>11765</v>
      </c>
      <c r="G404" s="54">
        <v>0.96485</v>
      </c>
      <c r="H404" s="53">
        <v>0.97</v>
      </c>
      <c r="I404" s="53">
        <v>1891.4</v>
      </c>
      <c r="J404" s="53">
        <v>2800</v>
      </c>
      <c r="K404" s="53"/>
      <c r="L404" s="53"/>
      <c r="M404" s="53"/>
      <c r="N404" s="53"/>
      <c r="O404" s="53"/>
      <c r="P404" s="53"/>
      <c r="Q404" s="53"/>
      <c r="R404" s="53"/>
      <c r="S404" s="53"/>
      <c r="T404" s="53"/>
    </row>
    <row r="405">
      <c r="A405" s="53"/>
      <c r="B405" s="53" t="s">
        <v>11766</v>
      </c>
      <c r="C405" s="53" t="s">
        <v>10779</v>
      </c>
      <c r="D405" s="53" t="s">
        <v>10779</v>
      </c>
      <c r="E405" s="53" t="s">
        <v>10952</v>
      </c>
      <c r="F405" s="53" t="s">
        <v>11767</v>
      </c>
      <c r="G405" s="54">
        <v>0.968</v>
      </c>
      <c r="H405" s="53">
        <v>0.97</v>
      </c>
      <c r="I405" s="53">
        <v>2425</v>
      </c>
      <c r="J405" s="53">
        <v>2500</v>
      </c>
      <c r="K405" s="53"/>
      <c r="L405" s="53"/>
      <c r="M405" s="53"/>
      <c r="N405" s="53"/>
      <c r="O405" s="53"/>
      <c r="P405" s="53"/>
      <c r="Q405" s="53"/>
      <c r="R405" s="53"/>
      <c r="S405" s="53"/>
      <c r="T405" s="53"/>
    </row>
    <row r="406">
      <c r="A406" s="53"/>
      <c r="B406" s="53" t="s">
        <v>11768</v>
      </c>
      <c r="C406" s="53" t="s">
        <v>11657</v>
      </c>
      <c r="D406" s="53" t="s">
        <v>11657</v>
      </c>
      <c r="E406" s="53" t="s">
        <v>10813</v>
      </c>
      <c r="F406" s="53" t="s">
        <v>11769</v>
      </c>
      <c r="G406" s="54">
        <v>0.973</v>
      </c>
      <c r="H406" s="53">
        <v>0.97</v>
      </c>
      <c r="I406" s="53">
        <v>0</v>
      </c>
      <c r="J406" s="53">
        <v>5000</v>
      </c>
      <c r="K406" s="53"/>
      <c r="L406" s="53"/>
      <c r="M406" s="53"/>
      <c r="N406" s="53"/>
      <c r="O406" s="53"/>
      <c r="P406" s="53"/>
      <c r="Q406" s="53"/>
      <c r="R406" s="53"/>
      <c r="S406" s="53"/>
      <c r="T406" s="53"/>
    </row>
    <row r="407">
      <c r="A407" s="53"/>
      <c r="B407" s="53" t="s">
        <v>11770</v>
      </c>
      <c r="C407" s="53" t="s">
        <v>11747</v>
      </c>
      <c r="D407" s="53" t="s">
        <v>11747</v>
      </c>
      <c r="E407" s="53" t="s">
        <v>11771</v>
      </c>
      <c r="F407" s="53" t="s">
        <v>11772</v>
      </c>
      <c r="G407" s="54">
        <v>0.009743</v>
      </c>
      <c r="H407" s="53">
        <v>0.97</v>
      </c>
      <c r="I407" s="53">
        <v>2520</v>
      </c>
      <c r="J407" s="53">
        <v>2100</v>
      </c>
      <c r="K407" s="53"/>
      <c r="L407" s="53"/>
      <c r="M407" s="53"/>
      <c r="N407" s="53"/>
      <c r="O407" s="53"/>
      <c r="P407" s="53"/>
      <c r="Q407" s="53"/>
      <c r="R407" s="53"/>
      <c r="S407" s="53"/>
      <c r="T407" s="53"/>
    </row>
    <row r="408">
      <c r="A408" s="53"/>
      <c r="B408" s="53" t="s">
        <v>11773</v>
      </c>
      <c r="C408" s="53" t="s">
        <v>11774</v>
      </c>
      <c r="D408" s="53" t="s">
        <v>11774</v>
      </c>
      <c r="E408" s="53" t="s">
        <v>10813</v>
      </c>
      <c r="F408" s="53" t="s">
        <v>11775</v>
      </c>
      <c r="G408" s="54">
        <v>4.7385</v>
      </c>
      <c r="H408" s="53">
        <v>0.97</v>
      </c>
      <c r="I408" s="53">
        <v>8606.31</v>
      </c>
      <c r="J408" s="53">
        <v>5000</v>
      </c>
      <c r="K408" s="53"/>
      <c r="L408" s="53"/>
      <c r="M408" s="53"/>
      <c r="N408" s="53"/>
      <c r="O408" s="53"/>
      <c r="P408" s="53"/>
      <c r="Q408" s="53"/>
      <c r="R408" s="53"/>
      <c r="S408" s="53"/>
      <c r="T408" s="53"/>
    </row>
    <row r="409">
      <c r="A409" s="53"/>
      <c r="B409" s="53" t="s">
        <v>11776</v>
      </c>
      <c r="C409" s="53" t="s">
        <v>11777</v>
      </c>
      <c r="D409" s="53" t="s">
        <v>11777</v>
      </c>
      <c r="E409" s="53" t="s">
        <v>11460</v>
      </c>
      <c r="F409" s="53" t="s">
        <v>11778</v>
      </c>
      <c r="G409" s="54">
        <v>0.959375</v>
      </c>
      <c r="H409" s="53">
        <v>0.96</v>
      </c>
      <c r="I409" s="53">
        <v>5000</v>
      </c>
      <c r="J409" s="53">
        <v>5000</v>
      </c>
      <c r="K409" s="53"/>
      <c r="L409" s="53"/>
      <c r="M409" s="53"/>
      <c r="N409" s="53"/>
      <c r="O409" s="53"/>
      <c r="P409" s="53"/>
      <c r="Q409" s="53"/>
      <c r="R409" s="53"/>
      <c r="S409" s="53"/>
      <c r="T409" s="53"/>
    </row>
    <row r="410">
      <c r="A410" s="53"/>
      <c r="B410" s="53" t="s">
        <v>11779</v>
      </c>
      <c r="C410" s="53" t="s">
        <v>11338</v>
      </c>
      <c r="D410" s="53" t="s">
        <v>11338</v>
      </c>
      <c r="E410" s="53" t="s">
        <v>11780</v>
      </c>
      <c r="F410" s="53" t="s">
        <v>11781</v>
      </c>
      <c r="G410" s="54">
        <v>0.96</v>
      </c>
      <c r="H410" s="53">
        <v>0.96</v>
      </c>
      <c r="I410" s="53">
        <v>0</v>
      </c>
      <c r="J410" s="53">
        <v>0</v>
      </c>
      <c r="K410" s="53"/>
      <c r="L410" s="53"/>
      <c r="M410" s="53"/>
      <c r="N410" s="53"/>
      <c r="O410" s="53"/>
      <c r="P410" s="53"/>
      <c r="Q410" s="53"/>
      <c r="R410" s="53"/>
      <c r="S410" s="53"/>
      <c r="T410" s="53"/>
    </row>
    <row r="411">
      <c r="A411" s="53"/>
      <c r="B411" s="53" t="s">
        <v>11782</v>
      </c>
      <c r="C411" s="53" t="s">
        <v>11394</v>
      </c>
      <c r="D411" s="53" t="s">
        <v>11394</v>
      </c>
      <c r="E411" s="53" t="s">
        <v>11783</v>
      </c>
      <c r="F411" s="53" t="s">
        <v>11784</v>
      </c>
      <c r="G411" s="54">
        <v>0.92684</v>
      </c>
      <c r="H411" s="53">
        <v>0.96</v>
      </c>
      <c r="I411" s="53">
        <v>3292.16</v>
      </c>
      <c r="J411" s="53">
        <v>3000</v>
      </c>
      <c r="K411" s="53"/>
      <c r="L411" s="53"/>
      <c r="M411" s="53"/>
      <c r="N411" s="53"/>
      <c r="O411" s="53"/>
      <c r="P411" s="53"/>
      <c r="Q411" s="53"/>
      <c r="R411" s="53"/>
      <c r="S411" s="53"/>
      <c r="T411" s="53"/>
    </row>
    <row r="412">
      <c r="A412" s="53"/>
      <c r="B412" s="53" t="s">
        <v>11785</v>
      </c>
      <c r="C412" s="53" t="s">
        <v>11394</v>
      </c>
      <c r="D412" s="53" t="s">
        <v>11394</v>
      </c>
      <c r="E412" s="53" t="s">
        <v>10813</v>
      </c>
      <c r="F412" s="53" t="s">
        <v>11786</v>
      </c>
      <c r="G412" s="54">
        <v>1.115967</v>
      </c>
      <c r="H412" s="53">
        <v>0.96</v>
      </c>
      <c r="I412" s="53">
        <v>5736.34</v>
      </c>
      <c r="J412" s="53">
        <v>5000</v>
      </c>
      <c r="K412" s="53"/>
      <c r="L412" s="53"/>
      <c r="M412" s="53"/>
      <c r="N412" s="53"/>
      <c r="O412" s="53"/>
      <c r="P412" s="53"/>
      <c r="Q412" s="53"/>
      <c r="R412" s="53"/>
      <c r="S412" s="53"/>
      <c r="T412" s="53"/>
    </row>
    <row r="413">
      <c r="A413" s="53"/>
      <c r="B413" s="53" t="s">
        <v>11787</v>
      </c>
      <c r="C413" s="53" t="s">
        <v>11543</v>
      </c>
      <c r="D413" s="53" t="s">
        <v>11543</v>
      </c>
      <c r="E413" s="53" t="s">
        <v>10813</v>
      </c>
      <c r="F413" s="53" t="s">
        <v>11788</v>
      </c>
      <c r="G413" s="54">
        <v>0.955</v>
      </c>
      <c r="H413" s="53">
        <v>0.96</v>
      </c>
      <c r="I413" s="53">
        <v>5076</v>
      </c>
      <c r="J413" s="53">
        <v>5000</v>
      </c>
      <c r="K413" s="53"/>
      <c r="L413" s="53"/>
      <c r="M413" s="53"/>
      <c r="N413" s="53"/>
      <c r="O413" s="53"/>
      <c r="P413" s="53"/>
      <c r="Q413" s="53"/>
      <c r="R413" s="53"/>
      <c r="S413" s="53"/>
      <c r="T413" s="53"/>
    </row>
    <row r="414">
      <c r="A414" s="53"/>
      <c r="B414" s="53" t="s">
        <v>11789</v>
      </c>
      <c r="C414" s="53" t="s">
        <v>11543</v>
      </c>
      <c r="D414" s="53" t="s">
        <v>11543</v>
      </c>
      <c r="E414" s="53" t="s">
        <v>11790</v>
      </c>
      <c r="F414" s="53" t="s">
        <v>11791</v>
      </c>
      <c r="G414" s="54">
        <v>0.96</v>
      </c>
      <c r="H414" s="53">
        <v>0.96</v>
      </c>
      <c r="I414" s="53">
        <v>0</v>
      </c>
      <c r="J414" s="53">
        <v>2000</v>
      </c>
      <c r="K414" s="53"/>
      <c r="L414" s="53"/>
      <c r="M414" s="53"/>
      <c r="N414" s="53"/>
      <c r="O414" s="53"/>
      <c r="P414" s="53"/>
      <c r="Q414" s="53"/>
      <c r="R414" s="53"/>
      <c r="S414" s="53"/>
      <c r="T414" s="53"/>
    </row>
    <row r="415">
      <c r="A415" s="53"/>
      <c r="B415" s="53" t="s">
        <v>11792</v>
      </c>
      <c r="C415" s="53" t="s">
        <v>11570</v>
      </c>
      <c r="D415" s="53" t="s">
        <v>11570</v>
      </c>
      <c r="E415" s="53" t="s">
        <v>11571</v>
      </c>
      <c r="F415" s="53" t="s">
        <v>11793</v>
      </c>
      <c r="G415" s="54">
        <v>0.964</v>
      </c>
      <c r="H415" s="53">
        <v>0.96</v>
      </c>
      <c r="I415" s="53">
        <v>1152</v>
      </c>
      <c r="J415" s="53">
        <v>1200</v>
      </c>
      <c r="K415" s="53"/>
      <c r="L415" s="53"/>
      <c r="M415" s="53"/>
      <c r="N415" s="53"/>
      <c r="O415" s="53"/>
      <c r="P415" s="53"/>
      <c r="Q415" s="53"/>
      <c r="R415" s="53"/>
      <c r="S415" s="53"/>
      <c r="T415" s="53"/>
    </row>
    <row r="416">
      <c r="A416" s="53"/>
      <c r="B416" s="53" t="s">
        <v>11794</v>
      </c>
      <c r="C416" s="53" t="s">
        <v>11570</v>
      </c>
      <c r="D416" s="53" t="s">
        <v>11570</v>
      </c>
      <c r="E416" s="53" t="s">
        <v>11571</v>
      </c>
      <c r="F416" s="53" t="s">
        <v>11795</v>
      </c>
      <c r="G416" s="54">
        <v>0.964</v>
      </c>
      <c r="H416" s="53">
        <v>0.96</v>
      </c>
      <c r="I416" s="53">
        <v>1152</v>
      </c>
      <c r="J416" s="53">
        <v>1200</v>
      </c>
      <c r="K416" s="53"/>
      <c r="L416" s="53"/>
      <c r="M416" s="53"/>
      <c r="N416" s="53"/>
      <c r="O416" s="53"/>
      <c r="P416" s="53"/>
      <c r="Q416" s="53"/>
      <c r="R416" s="53"/>
      <c r="S416" s="53"/>
      <c r="T416" s="53"/>
    </row>
    <row r="417">
      <c r="A417" s="53"/>
      <c r="B417" s="53" t="s">
        <v>11796</v>
      </c>
      <c r="C417" s="53" t="s">
        <v>11201</v>
      </c>
      <c r="D417" s="53" t="s">
        <v>11201</v>
      </c>
      <c r="E417" s="53" t="s">
        <v>11104</v>
      </c>
      <c r="F417" s="53" t="s">
        <v>11797</v>
      </c>
      <c r="G417" s="54">
        <v>0.963375</v>
      </c>
      <c r="H417" s="53">
        <v>0.96</v>
      </c>
      <c r="I417" s="53">
        <v>2410</v>
      </c>
      <c r="J417" s="53">
        <v>2000</v>
      </c>
      <c r="K417" s="53"/>
      <c r="L417" s="53"/>
      <c r="M417" s="53"/>
      <c r="N417" s="53"/>
      <c r="O417" s="53"/>
      <c r="P417" s="53"/>
      <c r="Q417" s="53"/>
      <c r="R417" s="53"/>
      <c r="S417" s="53"/>
      <c r="T417" s="53"/>
    </row>
    <row r="418">
      <c r="A418" s="53"/>
      <c r="B418" s="53" t="s">
        <v>11798</v>
      </c>
      <c r="C418" s="53" t="s">
        <v>11264</v>
      </c>
      <c r="D418" s="53" t="s">
        <v>11264</v>
      </c>
      <c r="E418" s="53" t="s">
        <v>11799</v>
      </c>
      <c r="F418" s="53" t="s">
        <v>11800</v>
      </c>
      <c r="G418" s="54">
        <v>0.938887</v>
      </c>
      <c r="H418" s="53">
        <v>0.96</v>
      </c>
      <c r="I418" s="53">
        <v>4742.1</v>
      </c>
      <c r="J418" s="53">
        <v>5000</v>
      </c>
      <c r="K418" s="53"/>
      <c r="L418" s="53"/>
      <c r="M418" s="53"/>
      <c r="N418" s="53"/>
      <c r="O418" s="53"/>
      <c r="P418" s="53"/>
      <c r="Q418" s="53"/>
      <c r="R418" s="53"/>
      <c r="S418" s="53"/>
      <c r="T418" s="53"/>
    </row>
    <row r="419">
      <c r="A419" s="53"/>
      <c r="B419" s="53" t="s">
        <v>11801</v>
      </c>
      <c r="C419" s="53" t="s">
        <v>11044</v>
      </c>
      <c r="D419" s="53" t="s">
        <v>11044</v>
      </c>
      <c r="E419" s="53" t="s">
        <v>11045</v>
      </c>
      <c r="F419" s="53" t="s">
        <v>11802</v>
      </c>
      <c r="G419" s="54">
        <v>2.074133</v>
      </c>
      <c r="H419" s="53">
        <v>0.96</v>
      </c>
      <c r="I419" s="53">
        <v>950</v>
      </c>
      <c r="J419" s="53">
        <v>1500</v>
      </c>
      <c r="K419" s="53"/>
      <c r="L419" s="53"/>
      <c r="M419" s="53"/>
      <c r="N419" s="53"/>
      <c r="O419" s="53"/>
      <c r="P419" s="53"/>
      <c r="Q419" s="53"/>
      <c r="R419" s="53"/>
      <c r="S419" s="53"/>
      <c r="T419" s="53"/>
    </row>
    <row r="420">
      <c r="A420" s="53"/>
      <c r="B420" s="53" t="s">
        <v>11803</v>
      </c>
      <c r="C420" s="53" t="s">
        <v>11195</v>
      </c>
      <c r="D420" s="53" t="s">
        <v>11195</v>
      </c>
      <c r="E420" s="53" t="s">
        <v>11682</v>
      </c>
      <c r="F420" s="53" t="s">
        <v>11804</v>
      </c>
      <c r="G420" s="54">
        <v>0.955</v>
      </c>
      <c r="H420" s="53">
        <v>0.96</v>
      </c>
      <c r="I420" s="53">
        <v>3407.61</v>
      </c>
      <c r="J420" s="53">
        <v>3000</v>
      </c>
      <c r="K420" s="53"/>
      <c r="L420" s="53"/>
      <c r="M420" s="53"/>
      <c r="N420" s="53"/>
      <c r="O420" s="53"/>
      <c r="P420" s="53"/>
      <c r="Q420" s="53"/>
      <c r="R420" s="53"/>
      <c r="S420" s="53"/>
      <c r="T420" s="53"/>
    </row>
    <row r="421">
      <c r="A421" s="53"/>
      <c r="B421" s="53" t="s">
        <v>11805</v>
      </c>
      <c r="C421" s="53" t="s">
        <v>11595</v>
      </c>
      <c r="D421" s="53" t="s">
        <v>11595</v>
      </c>
      <c r="E421" s="53" t="s">
        <v>11460</v>
      </c>
      <c r="F421" s="53" t="s">
        <v>11806</v>
      </c>
      <c r="G421" s="54">
        <v>0.955</v>
      </c>
      <c r="H421" s="53">
        <v>0.96</v>
      </c>
      <c r="I421" s="53">
        <v>3717.06</v>
      </c>
      <c r="J421" s="53">
        <v>4000</v>
      </c>
      <c r="K421" s="53"/>
      <c r="L421" s="53"/>
      <c r="M421" s="53"/>
      <c r="N421" s="53"/>
      <c r="O421" s="53"/>
      <c r="P421" s="53"/>
      <c r="Q421" s="53"/>
      <c r="R421" s="53"/>
      <c r="S421" s="53"/>
      <c r="T421" s="53"/>
    </row>
    <row r="422">
      <c r="A422" s="53"/>
      <c r="B422" s="53" t="s">
        <v>11807</v>
      </c>
      <c r="C422" s="53" t="s">
        <v>11459</v>
      </c>
      <c r="D422" s="53" t="s">
        <v>11459</v>
      </c>
      <c r="E422" s="53" t="s">
        <v>11325</v>
      </c>
      <c r="F422" s="53" t="s">
        <v>11808</v>
      </c>
      <c r="G422" s="54">
        <v>0.96</v>
      </c>
      <c r="H422" s="53">
        <v>0.96</v>
      </c>
      <c r="I422" s="53">
        <v>2925</v>
      </c>
      <c r="J422" s="53">
        <v>2700</v>
      </c>
      <c r="K422" s="53"/>
      <c r="L422" s="53"/>
      <c r="M422" s="53"/>
      <c r="N422" s="53"/>
      <c r="O422" s="53"/>
      <c r="P422" s="53"/>
      <c r="Q422" s="53"/>
      <c r="R422" s="53"/>
      <c r="S422" s="53"/>
      <c r="T422" s="53"/>
    </row>
    <row r="423">
      <c r="A423" s="53"/>
      <c r="B423" s="53" t="s">
        <v>11809</v>
      </c>
      <c r="C423" s="53" t="s">
        <v>11747</v>
      </c>
      <c r="D423" s="53" t="s">
        <v>11747</v>
      </c>
      <c r="E423" s="53" t="s">
        <v>11810</v>
      </c>
      <c r="F423" s="53" t="s">
        <v>11811</v>
      </c>
      <c r="G423" s="54">
        <v>0.009643</v>
      </c>
      <c r="H423" s="53">
        <v>0.96</v>
      </c>
      <c r="I423" s="53">
        <v>3521.12</v>
      </c>
      <c r="J423" s="53">
        <v>3000</v>
      </c>
      <c r="K423" s="53"/>
      <c r="L423" s="53"/>
      <c r="M423" s="53"/>
      <c r="N423" s="53"/>
      <c r="O423" s="53"/>
      <c r="P423" s="53"/>
      <c r="Q423" s="53"/>
      <c r="R423" s="53"/>
      <c r="S423" s="53"/>
      <c r="T423" s="53"/>
    </row>
    <row r="424">
      <c r="A424" s="53"/>
      <c r="B424" s="53" t="s">
        <v>11812</v>
      </c>
      <c r="C424" s="53" t="s">
        <v>11747</v>
      </c>
      <c r="D424" s="53" t="s">
        <v>11747</v>
      </c>
      <c r="E424" s="53" t="s">
        <v>11748</v>
      </c>
      <c r="F424" s="53" t="s">
        <v>11813</v>
      </c>
      <c r="G424" s="54">
        <v>0.009625</v>
      </c>
      <c r="H424" s="53">
        <v>0.96</v>
      </c>
      <c r="I424" s="53">
        <v>2166.84</v>
      </c>
      <c r="J424" s="53">
        <v>2000</v>
      </c>
      <c r="K424" s="53"/>
      <c r="L424" s="53"/>
      <c r="M424" s="53"/>
      <c r="N424" s="53"/>
      <c r="O424" s="53"/>
      <c r="P424" s="53"/>
      <c r="Q424" s="53"/>
      <c r="R424" s="53"/>
      <c r="S424" s="53"/>
      <c r="T424" s="53"/>
    </row>
    <row r="425">
      <c r="A425" s="53"/>
      <c r="B425" s="53" t="s">
        <v>11814</v>
      </c>
      <c r="C425" s="53" t="s">
        <v>11747</v>
      </c>
      <c r="D425" s="53" t="s">
        <v>11747</v>
      </c>
      <c r="E425" s="53" t="s">
        <v>11748</v>
      </c>
      <c r="F425" s="53" t="s">
        <v>11815</v>
      </c>
      <c r="G425" s="54">
        <v>0.00955</v>
      </c>
      <c r="H425" s="53">
        <v>0.96</v>
      </c>
      <c r="I425" s="53">
        <v>2482.84</v>
      </c>
      <c r="J425" s="53">
        <v>2500</v>
      </c>
      <c r="K425" s="53"/>
      <c r="L425" s="53"/>
      <c r="M425" s="53"/>
      <c r="N425" s="53"/>
      <c r="O425" s="53"/>
      <c r="P425" s="53"/>
      <c r="Q425" s="53"/>
      <c r="R425" s="53"/>
      <c r="S425" s="53"/>
      <c r="T425" s="53"/>
    </row>
    <row r="426">
      <c r="A426" s="53"/>
      <c r="B426" s="53" t="s">
        <v>11816</v>
      </c>
      <c r="C426" s="53" t="s">
        <v>11817</v>
      </c>
      <c r="D426" s="53" t="s">
        <v>11817</v>
      </c>
      <c r="E426" s="53" t="s">
        <v>11818</v>
      </c>
      <c r="F426" s="53" t="s">
        <v>11819</v>
      </c>
      <c r="G426" s="54">
        <v>0.76925</v>
      </c>
      <c r="H426" s="53">
        <v>0.96</v>
      </c>
      <c r="I426" s="53">
        <v>4800</v>
      </c>
      <c r="J426" s="53">
        <v>5000</v>
      </c>
      <c r="K426" s="53"/>
      <c r="L426" s="53"/>
      <c r="M426" s="53"/>
      <c r="N426" s="53"/>
      <c r="O426" s="53"/>
      <c r="P426" s="53"/>
      <c r="Q426" s="53"/>
      <c r="R426" s="53"/>
      <c r="S426" s="53"/>
      <c r="T426" s="53"/>
    </row>
    <row r="427">
      <c r="A427" s="53"/>
      <c r="B427" s="53" t="s">
        <v>11820</v>
      </c>
      <c r="C427" s="53" t="s">
        <v>11440</v>
      </c>
      <c r="D427" s="53" t="s">
        <v>11440</v>
      </c>
      <c r="E427" s="53" t="s">
        <v>11665</v>
      </c>
      <c r="F427" s="53" t="s">
        <v>11821</v>
      </c>
      <c r="G427" s="54">
        <v>0.95</v>
      </c>
      <c r="H427" s="53">
        <v>0.95</v>
      </c>
      <c r="I427" s="53">
        <v>2968.9</v>
      </c>
      <c r="J427" s="53">
        <v>3000</v>
      </c>
      <c r="K427" s="53"/>
      <c r="L427" s="53"/>
      <c r="M427" s="53"/>
      <c r="N427" s="53"/>
      <c r="O427" s="53"/>
      <c r="P427" s="53"/>
      <c r="Q427" s="53"/>
      <c r="R427" s="53"/>
      <c r="S427" s="53"/>
      <c r="T427" s="53"/>
    </row>
    <row r="428">
      <c r="A428" s="53"/>
      <c r="B428" s="53" t="s">
        <v>11822</v>
      </c>
      <c r="C428" s="53" t="s">
        <v>11777</v>
      </c>
      <c r="D428" s="53" t="s">
        <v>11777</v>
      </c>
      <c r="E428" s="53" t="s">
        <v>11460</v>
      </c>
      <c r="F428" s="53" t="s">
        <v>11823</v>
      </c>
      <c r="G428" s="54">
        <v>0.95</v>
      </c>
      <c r="H428" s="53">
        <v>0.95</v>
      </c>
      <c r="I428" s="53">
        <v>4000</v>
      </c>
      <c r="J428" s="53">
        <v>4000</v>
      </c>
      <c r="K428" s="53"/>
      <c r="L428" s="53"/>
      <c r="M428" s="53"/>
      <c r="N428" s="53"/>
      <c r="O428" s="53"/>
      <c r="P428" s="53"/>
      <c r="Q428" s="53"/>
      <c r="R428" s="53"/>
      <c r="S428" s="53"/>
      <c r="T428" s="53"/>
    </row>
    <row r="429">
      <c r="A429" s="53"/>
      <c r="B429" s="53" t="s">
        <v>11824</v>
      </c>
      <c r="C429" s="53" t="s">
        <v>11436</v>
      </c>
      <c r="D429" s="53" t="s">
        <v>11436</v>
      </c>
      <c r="E429" s="53" t="s">
        <v>11437</v>
      </c>
      <c r="F429" s="53" t="s">
        <v>11825</v>
      </c>
      <c r="G429" s="54">
        <v>1.0016</v>
      </c>
      <c r="H429" s="53">
        <v>0.95</v>
      </c>
      <c r="I429" s="53">
        <v>4950</v>
      </c>
      <c r="J429" s="53">
        <v>5000</v>
      </c>
      <c r="K429" s="53"/>
      <c r="L429" s="53"/>
      <c r="M429" s="53"/>
      <c r="N429" s="53"/>
      <c r="O429" s="53"/>
      <c r="P429" s="53"/>
      <c r="Q429" s="53"/>
      <c r="R429" s="53"/>
      <c r="S429" s="53"/>
      <c r="T429" s="53"/>
    </row>
    <row r="430">
      <c r="A430" s="53"/>
      <c r="B430" s="53" t="s">
        <v>11826</v>
      </c>
      <c r="C430" s="53" t="s">
        <v>11394</v>
      </c>
      <c r="D430" s="53" t="s">
        <v>11394</v>
      </c>
      <c r="E430" s="53" t="s">
        <v>11783</v>
      </c>
      <c r="F430" s="53" t="s">
        <v>11827</v>
      </c>
      <c r="G430" s="54">
        <v>0.95233</v>
      </c>
      <c r="H430" s="53">
        <v>0.95</v>
      </c>
      <c r="I430" s="53">
        <v>3142.52</v>
      </c>
      <c r="J430" s="53">
        <v>3000</v>
      </c>
      <c r="K430" s="53"/>
      <c r="L430" s="53"/>
      <c r="M430" s="53"/>
      <c r="N430" s="53"/>
      <c r="O430" s="53"/>
      <c r="P430" s="53"/>
      <c r="Q430" s="53"/>
      <c r="R430" s="53"/>
      <c r="S430" s="53"/>
      <c r="T430" s="53"/>
    </row>
    <row r="431">
      <c r="A431" s="53"/>
      <c r="B431" s="53" t="s">
        <v>11828</v>
      </c>
      <c r="C431" s="53" t="s">
        <v>11394</v>
      </c>
      <c r="D431" s="53" t="s">
        <v>11394</v>
      </c>
      <c r="E431" s="53" t="s">
        <v>11783</v>
      </c>
      <c r="F431" s="53" t="s">
        <v>11829</v>
      </c>
      <c r="G431" s="54">
        <v>1.01138</v>
      </c>
      <c r="H431" s="53">
        <v>0.95</v>
      </c>
      <c r="I431" s="53">
        <v>1895.49</v>
      </c>
      <c r="J431" s="53">
        <v>2000</v>
      </c>
      <c r="K431" s="53"/>
      <c r="L431" s="53"/>
      <c r="M431" s="53"/>
      <c r="N431" s="53"/>
      <c r="O431" s="53"/>
      <c r="P431" s="53"/>
      <c r="Q431" s="53"/>
      <c r="R431" s="53"/>
      <c r="S431" s="53"/>
      <c r="T431" s="53"/>
    </row>
    <row r="432">
      <c r="A432" s="53"/>
      <c r="B432" s="53" t="s">
        <v>11830</v>
      </c>
      <c r="C432" s="53" t="s">
        <v>11394</v>
      </c>
      <c r="D432" s="53" t="s">
        <v>11394</v>
      </c>
      <c r="E432" s="53" t="s">
        <v>11783</v>
      </c>
      <c r="F432" s="53" t="s">
        <v>11831</v>
      </c>
      <c r="G432" s="54">
        <v>0.76405</v>
      </c>
      <c r="H432" s="53">
        <v>0.95</v>
      </c>
      <c r="I432" s="53">
        <v>0</v>
      </c>
      <c r="J432" s="53">
        <v>2000</v>
      </c>
      <c r="K432" s="53"/>
      <c r="L432" s="53"/>
      <c r="M432" s="53"/>
      <c r="N432" s="53"/>
      <c r="O432" s="53"/>
      <c r="P432" s="53"/>
      <c r="Q432" s="53"/>
      <c r="R432" s="53"/>
      <c r="S432" s="53"/>
      <c r="T432" s="53"/>
    </row>
    <row r="433">
      <c r="A433" s="53"/>
      <c r="B433" s="53" t="s">
        <v>11832</v>
      </c>
      <c r="C433" s="53" t="s">
        <v>11107</v>
      </c>
      <c r="D433" s="53" t="s">
        <v>11107</v>
      </c>
      <c r="E433" s="53" t="s">
        <v>11223</v>
      </c>
      <c r="F433" s="53" t="s">
        <v>11833</v>
      </c>
      <c r="G433" s="54">
        <v>0.95</v>
      </c>
      <c r="H433" s="53">
        <v>0.95</v>
      </c>
      <c r="I433" s="53">
        <v>3230</v>
      </c>
      <c r="J433" s="53">
        <v>3400</v>
      </c>
      <c r="K433" s="53"/>
      <c r="L433" s="53"/>
      <c r="M433" s="53"/>
      <c r="N433" s="53"/>
      <c r="O433" s="53"/>
      <c r="P433" s="53"/>
      <c r="Q433" s="53"/>
      <c r="R433" s="53"/>
      <c r="S433" s="53"/>
      <c r="T433" s="53"/>
    </row>
    <row r="434">
      <c r="A434" s="53"/>
      <c r="B434" s="53" t="s">
        <v>11834</v>
      </c>
      <c r="C434" s="53" t="s">
        <v>11543</v>
      </c>
      <c r="D434" s="53" t="s">
        <v>11543</v>
      </c>
      <c r="E434" s="53" t="s">
        <v>11835</v>
      </c>
      <c r="F434" s="53" t="s">
        <v>11836</v>
      </c>
      <c r="G434" s="54">
        <v>0.954</v>
      </c>
      <c r="H434" s="53">
        <v>0.95</v>
      </c>
      <c r="I434" s="53">
        <v>2102.4</v>
      </c>
      <c r="J434" s="53">
        <v>2000</v>
      </c>
      <c r="K434" s="53"/>
      <c r="L434" s="53"/>
      <c r="M434" s="53"/>
      <c r="N434" s="53"/>
      <c r="O434" s="53"/>
      <c r="P434" s="53"/>
      <c r="Q434" s="53"/>
      <c r="R434" s="53"/>
      <c r="S434" s="53"/>
      <c r="T434" s="53"/>
    </row>
    <row r="435">
      <c r="A435" s="53"/>
      <c r="B435" s="53" t="s">
        <v>11837</v>
      </c>
      <c r="C435" s="53" t="s">
        <v>11570</v>
      </c>
      <c r="D435" s="53" t="s">
        <v>11570</v>
      </c>
      <c r="E435" s="53" t="s">
        <v>11571</v>
      </c>
      <c r="F435" s="53" t="s">
        <v>11838</v>
      </c>
      <c r="G435" s="54">
        <v>0.957</v>
      </c>
      <c r="H435" s="53">
        <v>0.95</v>
      </c>
      <c r="I435" s="53">
        <v>1140</v>
      </c>
      <c r="J435" s="53">
        <v>1200</v>
      </c>
      <c r="K435" s="53"/>
      <c r="L435" s="53"/>
      <c r="M435" s="53"/>
      <c r="N435" s="53"/>
      <c r="O435" s="53"/>
      <c r="P435" s="53"/>
      <c r="Q435" s="53"/>
      <c r="R435" s="53"/>
      <c r="S435" s="53"/>
      <c r="T435" s="53"/>
    </row>
    <row r="436">
      <c r="A436" s="53"/>
      <c r="B436" s="53" t="s">
        <v>11839</v>
      </c>
      <c r="C436" s="53" t="s">
        <v>11181</v>
      </c>
      <c r="D436" s="53" t="s">
        <v>11181</v>
      </c>
      <c r="E436" s="53" t="s">
        <v>11419</v>
      </c>
      <c r="F436" s="53" t="s">
        <v>11840</v>
      </c>
      <c r="G436" s="54">
        <v>0.95</v>
      </c>
      <c r="H436" s="53">
        <v>0.95</v>
      </c>
      <c r="I436" s="53">
        <v>3055.56</v>
      </c>
      <c r="J436" s="53">
        <v>3000</v>
      </c>
      <c r="K436" s="53"/>
      <c r="L436" s="53"/>
      <c r="M436" s="53"/>
      <c r="N436" s="53"/>
      <c r="O436" s="53"/>
      <c r="P436" s="53"/>
      <c r="Q436" s="53"/>
      <c r="R436" s="53"/>
      <c r="S436" s="53"/>
      <c r="T436" s="53"/>
    </row>
    <row r="437">
      <c r="A437" s="53"/>
      <c r="B437" s="53" t="s">
        <v>11841</v>
      </c>
      <c r="C437" s="53" t="s">
        <v>11440</v>
      </c>
      <c r="D437" s="53" t="s">
        <v>11440</v>
      </c>
      <c r="E437" s="53" t="s">
        <v>11842</v>
      </c>
      <c r="F437" s="53" t="s">
        <v>11843</v>
      </c>
      <c r="G437" s="54">
        <v>0.7</v>
      </c>
      <c r="H437" s="53">
        <v>0.95</v>
      </c>
      <c r="I437" s="53">
        <v>1200</v>
      </c>
      <c r="J437" s="53">
        <v>1200</v>
      </c>
      <c r="K437" s="53"/>
      <c r="L437" s="53"/>
      <c r="M437" s="53"/>
      <c r="N437" s="53"/>
      <c r="O437" s="53"/>
      <c r="P437" s="53"/>
      <c r="Q437" s="53"/>
      <c r="R437" s="53"/>
      <c r="S437" s="53"/>
      <c r="T437" s="53"/>
    </row>
    <row r="438">
      <c r="A438" s="53"/>
      <c r="B438" s="53" t="s">
        <v>11844</v>
      </c>
      <c r="C438" s="53" t="s">
        <v>11595</v>
      </c>
      <c r="D438" s="53" t="s">
        <v>11595</v>
      </c>
      <c r="E438" s="53" t="s">
        <v>11460</v>
      </c>
      <c r="F438" s="53" t="s">
        <v>11845</v>
      </c>
      <c r="G438" s="54">
        <v>0.945</v>
      </c>
      <c r="H438" s="53">
        <v>0.95</v>
      </c>
      <c r="I438" s="53">
        <v>4559</v>
      </c>
      <c r="J438" s="53">
        <v>5000</v>
      </c>
      <c r="K438" s="53"/>
      <c r="L438" s="53"/>
      <c r="M438" s="53"/>
      <c r="N438" s="53"/>
      <c r="O438" s="53"/>
      <c r="P438" s="53"/>
      <c r="Q438" s="53"/>
      <c r="R438" s="53"/>
      <c r="S438" s="53"/>
      <c r="T438" s="53"/>
    </row>
    <row r="439">
      <c r="A439" s="53"/>
      <c r="B439" s="53" t="s">
        <v>11846</v>
      </c>
      <c r="C439" s="53" t="s">
        <v>11195</v>
      </c>
      <c r="D439" s="53" t="s">
        <v>11195</v>
      </c>
      <c r="E439" s="53" t="s">
        <v>11682</v>
      </c>
      <c r="F439" s="53" t="s">
        <v>11847</v>
      </c>
      <c r="G439" s="54">
        <v>0.9525</v>
      </c>
      <c r="H439" s="53">
        <v>0.95</v>
      </c>
      <c r="I439" s="53">
        <v>3097.83</v>
      </c>
      <c r="J439" s="53">
        <v>3000</v>
      </c>
      <c r="K439" s="53"/>
      <c r="L439" s="53"/>
      <c r="M439" s="53"/>
      <c r="N439" s="53"/>
      <c r="O439" s="53"/>
      <c r="P439" s="53"/>
      <c r="Q439" s="53"/>
      <c r="R439" s="53"/>
      <c r="S439" s="53"/>
      <c r="T439" s="53"/>
    </row>
    <row r="440">
      <c r="A440" s="53"/>
      <c r="B440" s="53" t="s">
        <v>11848</v>
      </c>
      <c r="C440" s="53" t="s">
        <v>11195</v>
      </c>
      <c r="D440" s="53" t="s">
        <v>11195</v>
      </c>
      <c r="E440" s="53" t="s">
        <v>10813</v>
      </c>
      <c r="F440" s="53" t="s">
        <v>11849</v>
      </c>
      <c r="G440" s="54">
        <v>0.95</v>
      </c>
      <c r="H440" s="53">
        <v>0.95</v>
      </c>
      <c r="I440" s="53">
        <v>4646.74</v>
      </c>
      <c r="J440" s="53">
        <v>5000</v>
      </c>
      <c r="K440" s="53"/>
      <c r="L440" s="53"/>
      <c r="M440" s="53"/>
      <c r="N440" s="53"/>
      <c r="O440" s="53"/>
      <c r="P440" s="53"/>
      <c r="Q440" s="53"/>
      <c r="R440" s="53"/>
      <c r="S440" s="53"/>
      <c r="T440" s="53"/>
    </row>
    <row r="441">
      <c r="A441" s="53"/>
      <c r="B441" s="53" t="s">
        <v>11850</v>
      </c>
      <c r="C441" s="53" t="s">
        <v>11444</v>
      </c>
      <c r="D441" s="53" t="s">
        <v>11444</v>
      </c>
      <c r="E441" s="53" t="s">
        <v>11738</v>
      </c>
      <c r="F441" s="53" t="s">
        <v>11851</v>
      </c>
      <c r="G441" s="54">
        <v>0.949</v>
      </c>
      <c r="H441" s="53">
        <v>0.95</v>
      </c>
      <c r="I441" s="53">
        <v>0</v>
      </c>
      <c r="J441" s="53">
        <v>5000</v>
      </c>
      <c r="K441" s="53"/>
      <c r="L441" s="53"/>
      <c r="M441" s="53"/>
      <c r="N441" s="53"/>
      <c r="O441" s="53"/>
      <c r="P441" s="53"/>
      <c r="Q441" s="53"/>
      <c r="R441" s="53"/>
      <c r="S441" s="53"/>
      <c r="T441" s="53"/>
    </row>
    <row r="442">
      <c r="A442" s="53"/>
      <c r="B442" s="53" t="s">
        <v>11852</v>
      </c>
      <c r="C442" s="53" t="s">
        <v>11634</v>
      </c>
      <c r="D442" s="53" t="s">
        <v>11634</v>
      </c>
      <c r="E442" s="53" t="s">
        <v>11635</v>
      </c>
      <c r="F442" s="53" t="s">
        <v>11853</v>
      </c>
      <c r="G442" s="54">
        <v>1.2125</v>
      </c>
      <c r="H442" s="53">
        <v>0.95</v>
      </c>
      <c r="I442" s="53">
        <v>4750</v>
      </c>
      <c r="J442" s="53">
        <v>5000</v>
      </c>
      <c r="K442" s="53"/>
      <c r="L442" s="53"/>
      <c r="M442" s="53"/>
      <c r="N442" s="53"/>
      <c r="O442" s="53"/>
      <c r="P442" s="53"/>
      <c r="Q442" s="53"/>
      <c r="R442" s="53"/>
      <c r="S442" s="53"/>
      <c r="T442" s="53"/>
    </row>
    <row r="443">
      <c r="A443" s="53"/>
      <c r="B443" s="53" t="s">
        <v>11854</v>
      </c>
      <c r="C443" s="53" t="s">
        <v>11324</v>
      </c>
      <c r="D443" s="53" t="s">
        <v>11324</v>
      </c>
      <c r="E443" s="53" t="s">
        <v>11596</v>
      </c>
      <c r="F443" s="53" t="s">
        <v>11855</v>
      </c>
      <c r="G443" s="54">
        <v>0.95</v>
      </c>
      <c r="H443" s="53">
        <v>0.95</v>
      </c>
      <c r="I443" s="53">
        <v>0</v>
      </c>
      <c r="J443" s="53">
        <v>3400</v>
      </c>
      <c r="K443" s="53"/>
      <c r="L443" s="53"/>
      <c r="M443" s="53"/>
      <c r="N443" s="53"/>
      <c r="O443" s="53"/>
      <c r="P443" s="53"/>
      <c r="Q443" s="53"/>
      <c r="R443" s="53"/>
      <c r="S443" s="53"/>
      <c r="T443" s="53"/>
    </row>
    <row r="444">
      <c r="A444" s="53"/>
      <c r="B444" s="53" t="s">
        <v>11856</v>
      </c>
      <c r="C444" s="53" t="s">
        <v>11459</v>
      </c>
      <c r="D444" s="53" t="s">
        <v>11459</v>
      </c>
      <c r="E444" s="53" t="s">
        <v>11460</v>
      </c>
      <c r="F444" s="53" t="s">
        <v>11857</v>
      </c>
      <c r="G444" s="54">
        <v>0.95</v>
      </c>
      <c r="H444" s="53">
        <v>0.95</v>
      </c>
      <c r="I444" s="53">
        <v>1970</v>
      </c>
      <c r="J444" s="53">
        <v>2000</v>
      </c>
      <c r="K444" s="53"/>
      <c r="L444" s="53"/>
      <c r="M444" s="53"/>
      <c r="N444" s="53"/>
      <c r="O444" s="53"/>
      <c r="P444" s="53"/>
      <c r="Q444" s="53"/>
      <c r="R444" s="53"/>
      <c r="S444" s="53"/>
      <c r="T444" s="53"/>
    </row>
    <row r="445">
      <c r="A445" s="53"/>
      <c r="B445" s="53" t="s">
        <v>11858</v>
      </c>
      <c r="C445" s="53" t="s">
        <v>11459</v>
      </c>
      <c r="D445" s="53" t="s">
        <v>11459</v>
      </c>
      <c r="E445" s="53" t="s">
        <v>10813</v>
      </c>
      <c r="F445" s="53" t="s">
        <v>11859</v>
      </c>
      <c r="G445" s="54">
        <v>0.945</v>
      </c>
      <c r="H445" s="53">
        <v>0.95</v>
      </c>
      <c r="I445" s="53">
        <v>0</v>
      </c>
      <c r="J445" s="53">
        <v>5000</v>
      </c>
      <c r="K445" s="53"/>
      <c r="L445" s="53"/>
      <c r="M445" s="53"/>
      <c r="N445" s="53"/>
      <c r="O445" s="53"/>
      <c r="P445" s="53"/>
      <c r="Q445" s="53"/>
      <c r="R445" s="53"/>
      <c r="S445" s="53"/>
      <c r="T445" s="53"/>
    </row>
    <row r="446">
      <c r="A446" s="53"/>
      <c r="B446" s="53" t="s">
        <v>11860</v>
      </c>
      <c r="C446" s="53" t="s">
        <v>11747</v>
      </c>
      <c r="D446" s="53" t="s">
        <v>11747</v>
      </c>
      <c r="E446" s="53" t="s">
        <v>11771</v>
      </c>
      <c r="F446" s="53" t="s">
        <v>11861</v>
      </c>
      <c r="G446" s="54">
        <v>0.0095</v>
      </c>
      <c r="H446" s="53">
        <v>0.95</v>
      </c>
      <c r="I446" s="53">
        <v>2310</v>
      </c>
      <c r="J446" s="53">
        <v>2100</v>
      </c>
      <c r="K446" s="53"/>
      <c r="L446" s="53"/>
      <c r="M446" s="53"/>
      <c r="N446" s="53"/>
      <c r="O446" s="53"/>
      <c r="P446" s="53"/>
      <c r="Q446" s="53"/>
      <c r="R446" s="53"/>
      <c r="S446" s="53"/>
      <c r="T446" s="53"/>
    </row>
    <row r="447">
      <c r="A447" s="53"/>
      <c r="B447" s="53" t="s">
        <v>11862</v>
      </c>
      <c r="C447" s="53" t="s">
        <v>11407</v>
      </c>
      <c r="D447" s="53" t="s">
        <v>11407</v>
      </c>
      <c r="E447" s="53" t="s">
        <v>11408</v>
      </c>
      <c r="F447" s="53" t="s">
        <v>11863</v>
      </c>
      <c r="G447" s="54">
        <v>0.9375</v>
      </c>
      <c r="H447" s="53">
        <v>0.94</v>
      </c>
      <c r="I447" s="53">
        <v>1410</v>
      </c>
      <c r="J447" s="53">
        <v>1500</v>
      </c>
      <c r="K447" s="53"/>
      <c r="L447" s="53"/>
      <c r="M447" s="53"/>
      <c r="N447" s="53"/>
      <c r="O447" s="53"/>
      <c r="P447" s="53"/>
      <c r="Q447" s="53"/>
      <c r="R447" s="53"/>
      <c r="S447" s="53"/>
      <c r="T447" s="53"/>
    </row>
    <row r="448">
      <c r="A448" s="53"/>
      <c r="B448" s="53" t="s">
        <v>11864</v>
      </c>
      <c r="C448" s="53" t="s">
        <v>11111</v>
      </c>
      <c r="D448" s="53" t="s">
        <v>11111</v>
      </c>
      <c r="E448" s="53" t="s">
        <v>11460</v>
      </c>
      <c r="F448" s="53" t="s">
        <v>11865</v>
      </c>
      <c r="G448" s="54">
        <v>1.04904</v>
      </c>
      <c r="H448" s="53">
        <v>0.94</v>
      </c>
      <c r="I448" s="53">
        <v>4000</v>
      </c>
      <c r="J448" s="53">
        <v>4000</v>
      </c>
      <c r="K448" s="53"/>
      <c r="L448" s="53"/>
      <c r="M448" s="53"/>
      <c r="N448" s="53"/>
      <c r="O448" s="53"/>
      <c r="P448" s="53"/>
      <c r="Q448" s="53"/>
      <c r="R448" s="53"/>
      <c r="S448" s="53"/>
      <c r="T448" s="53"/>
    </row>
    <row r="449">
      <c r="A449" s="53"/>
      <c r="B449" s="53" t="s">
        <v>11866</v>
      </c>
      <c r="C449" s="53" t="s">
        <v>11111</v>
      </c>
      <c r="D449" s="53" t="s">
        <v>11111</v>
      </c>
      <c r="E449" s="53" t="s">
        <v>11460</v>
      </c>
      <c r="F449" s="53" t="s">
        <v>11867</v>
      </c>
      <c r="G449" s="54">
        <v>1.04904</v>
      </c>
      <c r="H449" s="53">
        <v>0.94</v>
      </c>
      <c r="I449" s="53">
        <v>4000</v>
      </c>
      <c r="J449" s="53">
        <v>4000</v>
      </c>
      <c r="K449" s="53"/>
      <c r="L449" s="53"/>
      <c r="M449" s="53"/>
      <c r="N449" s="53"/>
      <c r="O449" s="53"/>
      <c r="P449" s="53"/>
      <c r="Q449" s="53"/>
      <c r="R449" s="53"/>
      <c r="S449" s="53"/>
      <c r="T449" s="53"/>
    </row>
    <row r="450">
      <c r="A450" s="53"/>
      <c r="B450" s="53" t="s">
        <v>11868</v>
      </c>
      <c r="C450" s="53" t="s">
        <v>11111</v>
      </c>
      <c r="D450" s="53" t="s">
        <v>11111</v>
      </c>
      <c r="E450" s="53" t="s">
        <v>11112</v>
      </c>
      <c r="F450" s="53" t="s">
        <v>11869</v>
      </c>
      <c r="G450" s="54">
        <v>1.0484</v>
      </c>
      <c r="H450" s="53">
        <v>0.94</v>
      </c>
      <c r="I450" s="53">
        <v>3400</v>
      </c>
      <c r="J450" s="53">
        <v>3400</v>
      </c>
      <c r="K450" s="53"/>
      <c r="L450" s="53"/>
      <c r="M450" s="53"/>
      <c r="N450" s="53"/>
      <c r="O450" s="53"/>
      <c r="P450" s="53"/>
      <c r="Q450" s="53"/>
      <c r="R450" s="53"/>
      <c r="S450" s="53"/>
      <c r="T450" s="53"/>
    </row>
    <row r="451">
      <c r="A451" s="53"/>
      <c r="B451" s="53" t="s">
        <v>11870</v>
      </c>
      <c r="C451" s="53" t="s">
        <v>11111</v>
      </c>
      <c r="D451" s="53" t="s">
        <v>11111</v>
      </c>
      <c r="E451" s="53" t="s">
        <v>11460</v>
      </c>
      <c r="F451" s="53" t="s">
        <v>11871</v>
      </c>
      <c r="G451" s="54">
        <v>1.04904</v>
      </c>
      <c r="H451" s="53">
        <v>0.94</v>
      </c>
      <c r="I451" s="53">
        <v>5000</v>
      </c>
      <c r="J451" s="53">
        <v>5000</v>
      </c>
      <c r="K451" s="53"/>
      <c r="L451" s="53"/>
      <c r="M451" s="53"/>
      <c r="N451" s="53"/>
      <c r="O451" s="53"/>
      <c r="P451" s="53"/>
      <c r="Q451" s="53"/>
      <c r="R451" s="53"/>
      <c r="S451" s="53"/>
      <c r="T451" s="53"/>
    </row>
    <row r="452">
      <c r="A452" s="53"/>
      <c r="B452" s="53" t="s">
        <v>11872</v>
      </c>
      <c r="C452" s="53" t="s">
        <v>11436</v>
      </c>
      <c r="D452" s="53" t="s">
        <v>11436</v>
      </c>
      <c r="E452" s="53" t="s">
        <v>11505</v>
      </c>
      <c r="F452" s="53" t="s">
        <v>11873</v>
      </c>
      <c r="G452" s="54">
        <v>0.877</v>
      </c>
      <c r="H452" s="53">
        <v>0.94</v>
      </c>
      <c r="I452" s="53">
        <v>10820</v>
      </c>
      <c r="J452" s="53">
        <v>11000</v>
      </c>
      <c r="K452" s="53"/>
      <c r="L452" s="53"/>
      <c r="M452" s="53"/>
      <c r="N452" s="53"/>
      <c r="O452" s="53"/>
      <c r="P452" s="53"/>
      <c r="Q452" s="53"/>
      <c r="R452" s="53"/>
      <c r="S452" s="53"/>
      <c r="T452" s="53"/>
    </row>
    <row r="453">
      <c r="A453" s="53"/>
      <c r="B453" s="53" t="s">
        <v>11874</v>
      </c>
      <c r="C453" s="53" t="s">
        <v>11209</v>
      </c>
      <c r="D453" s="53" t="s">
        <v>11209</v>
      </c>
      <c r="E453" s="53" t="s">
        <v>11875</v>
      </c>
      <c r="F453" s="53" t="s">
        <v>11876</v>
      </c>
      <c r="G453" s="54">
        <v>0.95</v>
      </c>
      <c r="H453" s="53">
        <v>0.94</v>
      </c>
      <c r="I453" s="53">
        <v>2820</v>
      </c>
      <c r="J453" s="53">
        <v>3000</v>
      </c>
      <c r="K453" s="53"/>
      <c r="L453" s="53"/>
      <c r="M453" s="53"/>
      <c r="N453" s="53"/>
      <c r="O453" s="53"/>
      <c r="P453" s="53"/>
      <c r="Q453" s="53"/>
      <c r="R453" s="53"/>
      <c r="S453" s="53"/>
      <c r="T453" s="53"/>
    </row>
    <row r="454">
      <c r="A454" s="53"/>
      <c r="B454" s="53" t="s">
        <v>11877</v>
      </c>
      <c r="C454" s="53" t="s">
        <v>11543</v>
      </c>
      <c r="D454" s="53" t="s">
        <v>11543</v>
      </c>
      <c r="E454" s="53" t="s">
        <v>11878</v>
      </c>
      <c r="F454" s="53" t="s">
        <v>11879</v>
      </c>
      <c r="G454" s="54">
        <v>0.94</v>
      </c>
      <c r="H454" s="53">
        <v>0.94</v>
      </c>
      <c r="I454" s="53">
        <v>1222</v>
      </c>
      <c r="J454" s="53">
        <v>1300</v>
      </c>
      <c r="K454" s="53"/>
      <c r="L454" s="53"/>
      <c r="M454" s="53"/>
      <c r="N454" s="53"/>
      <c r="O454" s="53"/>
      <c r="P454" s="53"/>
      <c r="Q454" s="53"/>
      <c r="R454" s="53"/>
      <c r="S454" s="53"/>
      <c r="T454" s="53"/>
    </row>
    <row r="455">
      <c r="A455" s="53"/>
      <c r="B455" s="53" t="s">
        <v>11880</v>
      </c>
      <c r="C455" s="53" t="s">
        <v>10837</v>
      </c>
      <c r="D455" s="53" t="s">
        <v>10837</v>
      </c>
      <c r="E455" s="53" t="s">
        <v>11151</v>
      </c>
      <c r="F455" s="53" t="s">
        <v>11881</v>
      </c>
      <c r="G455" s="54">
        <v>0.9643</v>
      </c>
      <c r="H455" s="53">
        <v>0.94</v>
      </c>
      <c r="I455" s="53">
        <v>2820</v>
      </c>
      <c r="J455" s="53">
        <v>3000</v>
      </c>
      <c r="K455" s="53"/>
      <c r="L455" s="53"/>
      <c r="M455" s="53"/>
      <c r="N455" s="53"/>
      <c r="O455" s="53"/>
      <c r="P455" s="53"/>
      <c r="Q455" s="53"/>
      <c r="R455" s="53"/>
      <c r="S455" s="53"/>
      <c r="T455" s="53"/>
    </row>
    <row r="456">
      <c r="A456" s="53"/>
      <c r="B456" s="53" t="s">
        <v>11882</v>
      </c>
      <c r="C456" s="53" t="s">
        <v>11250</v>
      </c>
      <c r="D456" s="53" t="s">
        <v>11250</v>
      </c>
      <c r="E456" s="53" t="s">
        <v>11045</v>
      </c>
      <c r="F456" s="53" t="s">
        <v>11883</v>
      </c>
      <c r="G456" s="54">
        <v>0.93476</v>
      </c>
      <c r="H456" s="53">
        <v>0.94</v>
      </c>
      <c r="I456" s="53">
        <v>1450.48</v>
      </c>
      <c r="J456" s="53">
        <v>1500</v>
      </c>
      <c r="K456" s="53"/>
      <c r="L456" s="53"/>
      <c r="M456" s="53"/>
      <c r="N456" s="53"/>
      <c r="O456" s="53"/>
      <c r="P456" s="53"/>
      <c r="Q456" s="53"/>
      <c r="R456" s="53"/>
      <c r="S456" s="53"/>
      <c r="T456" s="53"/>
    </row>
    <row r="457">
      <c r="A457" s="53"/>
      <c r="B457" s="53" t="s">
        <v>11884</v>
      </c>
      <c r="C457" s="53" t="s">
        <v>11103</v>
      </c>
      <c r="D457" s="53" t="s">
        <v>11103</v>
      </c>
      <c r="E457" s="53" t="s">
        <v>11202</v>
      </c>
      <c r="F457" s="53" t="s">
        <v>11885</v>
      </c>
      <c r="G457" s="54">
        <v>1.766065</v>
      </c>
      <c r="H457" s="53">
        <v>0.94</v>
      </c>
      <c r="I457" s="53">
        <v>4700</v>
      </c>
      <c r="J457" s="53">
        <v>5000</v>
      </c>
      <c r="K457" s="53"/>
      <c r="L457" s="53"/>
      <c r="M457" s="53"/>
      <c r="N457" s="53"/>
      <c r="O457" s="53"/>
      <c r="P457" s="53"/>
      <c r="Q457" s="53"/>
      <c r="R457" s="53"/>
      <c r="S457" s="53"/>
      <c r="T457" s="53"/>
    </row>
    <row r="458">
      <c r="A458" s="53"/>
      <c r="B458" s="53" t="s">
        <v>11886</v>
      </c>
      <c r="C458" s="53" t="s">
        <v>11543</v>
      </c>
      <c r="D458" s="53" t="s">
        <v>11543</v>
      </c>
      <c r="E458" s="53" t="s">
        <v>11887</v>
      </c>
      <c r="F458" s="53" t="s">
        <v>11888</v>
      </c>
      <c r="G458" s="54">
        <v>0.94</v>
      </c>
      <c r="H458" s="53">
        <v>0.94</v>
      </c>
      <c r="I458" s="53">
        <v>2045.6</v>
      </c>
      <c r="J458" s="53">
        <v>2000</v>
      </c>
      <c r="K458" s="53"/>
      <c r="L458" s="53"/>
      <c r="M458" s="53"/>
      <c r="N458" s="53"/>
      <c r="O458" s="53"/>
      <c r="P458" s="53"/>
      <c r="Q458" s="53"/>
      <c r="R458" s="53"/>
      <c r="S458" s="53"/>
      <c r="T458" s="53"/>
    </row>
    <row r="459">
      <c r="A459" s="53"/>
      <c r="B459" s="53" t="s">
        <v>11889</v>
      </c>
      <c r="C459" s="53" t="s">
        <v>11159</v>
      </c>
      <c r="D459" s="53" t="s">
        <v>11159</v>
      </c>
      <c r="E459" s="53" t="s">
        <v>11890</v>
      </c>
      <c r="F459" s="53" t="s">
        <v>11891</v>
      </c>
      <c r="G459" s="54">
        <v>0.012875</v>
      </c>
      <c r="H459" s="53">
        <v>0.94</v>
      </c>
      <c r="I459" s="53">
        <v>2250</v>
      </c>
      <c r="J459" s="53">
        <v>3000</v>
      </c>
      <c r="K459" s="53"/>
      <c r="L459" s="53"/>
      <c r="M459" s="53"/>
      <c r="N459" s="53"/>
      <c r="O459" s="53"/>
      <c r="P459" s="53"/>
      <c r="Q459" s="53"/>
      <c r="R459" s="53"/>
      <c r="S459" s="53"/>
      <c r="T459" s="53"/>
    </row>
    <row r="460">
      <c r="A460" s="53"/>
      <c r="B460" s="53" t="s">
        <v>11892</v>
      </c>
      <c r="C460" s="53" t="s">
        <v>11159</v>
      </c>
      <c r="D460" s="53" t="s">
        <v>11159</v>
      </c>
      <c r="E460" s="53" t="s">
        <v>11893</v>
      </c>
      <c r="F460" s="53" t="s">
        <v>11894</v>
      </c>
      <c r="G460" s="54">
        <v>0.012875</v>
      </c>
      <c r="H460" s="53">
        <v>0.94</v>
      </c>
      <c r="I460" s="53">
        <v>0</v>
      </c>
      <c r="J460" s="53">
        <v>1500</v>
      </c>
      <c r="K460" s="53"/>
      <c r="L460" s="53"/>
      <c r="M460" s="53"/>
      <c r="N460" s="53"/>
      <c r="O460" s="53"/>
      <c r="P460" s="53"/>
      <c r="Q460" s="53"/>
      <c r="R460" s="53"/>
      <c r="S460" s="53"/>
      <c r="T460" s="53"/>
    </row>
    <row r="461">
      <c r="A461" s="53"/>
      <c r="B461" s="53" t="s">
        <v>11895</v>
      </c>
      <c r="C461" s="53" t="s">
        <v>11459</v>
      </c>
      <c r="D461" s="53" t="s">
        <v>11459</v>
      </c>
      <c r="E461" s="53" t="s">
        <v>11596</v>
      </c>
      <c r="F461" s="53" t="s">
        <v>11896</v>
      </c>
      <c r="G461" s="54">
        <v>0.94</v>
      </c>
      <c r="H461" s="53">
        <v>0.94</v>
      </c>
      <c r="I461" s="53">
        <v>3015</v>
      </c>
      <c r="J461" s="53">
        <v>3400</v>
      </c>
      <c r="K461" s="53"/>
      <c r="L461" s="53"/>
      <c r="M461" s="53"/>
      <c r="N461" s="53"/>
      <c r="O461" s="53"/>
      <c r="P461" s="53"/>
      <c r="Q461" s="53"/>
      <c r="R461" s="53"/>
      <c r="S461" s="53"/>
      <c r="T461" s="53"/>
    </row>
    <row r="462">
      <c r="A462" s="53"/>
      <c r="B462" s="53" t="s">
        <v>11897</v>
      </c>
      <c r="C462" s="53" t="s">
        <v>11459</v>
      </c>
      <c r="D462" s="53" t="s">
        <v>11459</v>
      </c>
      <c r="E462" s="53" t="s">
        <v>11112</v>
      </c>
      <c r="F462" s="53" t="s">
        <v>11898</v>
      </c>
      <c r="G462" s="54">
        <v>0.935</v>
      </c>
      <c r="H462" s="53">
        <v>0.94</v>
      </c>
      <c r="I462" s="53">
        <v>2680</v>
      </c>
      <c r="J462" s="53">
        <v>3400</v>
      </c>
      <c r="K462" s="53"/>
      <c r="L462" s="53"/>
      <c r="M462" s="53"/>
      <c r="N462" s="53"/>
      <c r="O462" s="53"/>
      <c r="P462" s="53"/>
      <c r="Q462" s="53"/>
      <c r="R462" s="53"/>
      <c r="S462" s="53"/>
      <c r="T462" s="53"/>
    </row>
    <row r="463">
      <c r="A463" s="53"/>
      <c r="B463" s="53" t="s">
        <v>11899</v>
      </c>
      <c r="C463" s="53" t="s">
        <v>10779</v>
      </c>
      <c r="D463" s="53" t="s">
        <v>10779</v>
      </c>
      <c r="E463" s="53" t="s">
        <v>10952</v>
      </c>
      <c r="F463" s="53" t="s">
        <v>11900</v>
      </c>
      <c r="G463" s="54">
        <v>0.94</v>
      </c>
      <c r="H463" s="53">
        <v>0.94</v>
      </c>
      <c r="I463" s="53">
        <v>940</v>
      </c>
      <c r="J463" s="53">
        <v>1000</v>
      </c>
      <c r="K463" s="53"/>
      <c r="L463" s="53"/>
      <c r="M463" s="53"/>
      <c r="N463" s="53"/>
      <c r="O463" s="53"/>
      <c r="P463" s="53"/>
      <c r="Q463" s="53"/>
      <c r="R463" s="53"/>
      <c r="S463" s="53"/>
      <c r="T463" s="53"/>
    </row>
    <row r="464">
      <c r="A464" s="53"/>
      <c r="B464" s="53" t="s">
        <v>11901</v>
      </c>
      <c r="C464" s="53" t="s">
        <v>11902</v>
      </c>
      <c r="D464" s="53" t="s">
        <v>11902</v>
      </c>
      <c r="E464" s="53" t="s">
        <v>10813</v>
      </c>
      <c r="F464" s="53" t="s">
        <v>11903</v>
      </c>
      <c r="G464" s="54">
        <v>0.922</v>
      </c>
      <c r="H464" s="53">
        <v>0.93</v>
      </c>
      <c r="I464" s="53">
        <v>4650</v>
      </c>
      <c r="J464" s="53">
        <v>5000</v>
      </c>
      <c r="K464" s="53"/>
      <c r="L464" s="53"/>
      <c r="M464" s="53"/>
      <c r="N464" s="53"/>
      <c r="O464" s="53"/>
      <c r="P464" s="53"/>
      <c r="Q464" s="53"/>
      <c r="R464" s="53"/>
      <c r="S464" s="53"/>
      <c r="T464" s="53"/>
    </row>
    <row r="465">
      <c r="A465" s="53"/>
      <c r="B465" s="53" t="s">
        <v>11904</v>
      </c>
      <c r="C465" s="53" t="s">
        <v>11060</v>
      </c>
      <c r="D465" s="53" t="s">
        <v>11060</v>
      </c>
      <c r="E465" s="53" t="s">
        <v>11141</v>
      </c>
      <c r="F465" s="53" t="s">
        <v>11905</v>
      </c>
      <c r="G465" s="54">
        <v>0.93</v>
      </c>
      <c r="H465" s="53">
        <v>0.93</v>
      </c>
      <c r="I465" s="53">
        <v>0</v>
      </c>
      <c r="J465" s="53">
        <v>5000</v>
      </c>
      <c r="K465" s="53"/>
      <c r="L465" s="53"/>
      <c r="M465" s="53"/>
      <c r="N465" s="53"/>
      <c r="O465" s="53"/>
      <c r="P465" s="53"/>
      <c r="Q465" s="53"/>
      <c r="R465" s="53"/>
      <c r="S465" s="53"/>
      <c r="T465" s="53"/>
    </row>
    <row r="466">
      <c r="A466" s="53"/>
      <c r="B466" s="53" t="s">
        <v>11906</v>
      </c>
      <c r="C466" s="53" t="s">
        <v>11907</v>
      </c>
      <c r="D466" s="53" t="s">
        <v>11907</v>
      </c>
      <c r="E466" s="53" t="s">
        <v>11244</v>
      </c>
      <c r="F466" s="53" t="s">
        <v>11908</v>
      </c>
      <c r="G466" s="54">
        <v>1.00876</v>
      </c>
      <c r="H466" s="53">
        <v>0.93</v>
      </c>
      <c r="I466" s="53">
        <v>6419</v>
      </c>
      <c r="J466" s="53">
        <v>5000</v>
      </c>
      <c r="K466" s="53"/>
      <c r="L466" s="53"/>
      <c r="M466" s="53"/>
      <c r="N466" s="53"/>
      <c r="O466" s="53"/>
      <c r="P466" s="53"/>
      <c r="Q466" s="53"/>
      <c r="R466" s="53"/>
      <c r="S466" s="53"/>
      <c r="T466" s="53"/>
    </row>
    <row r="467">
      <c r="A467" s="53"/>
      <c r="B467" s="53" t="s">
        <v>11909</v>
      </c>
      <c r="C467" s="53" t="s">
        <v>11394</v>
      </c>
      <c r="D467" s="53" t="s">
        <v>11394</v>
      </c>
      <c r="E467" s="53" t="s">
        <v>11783</v>
      </c>
      <c r="F467" s="53" t="s">
        <v>11910</v>
      </c>
      <c r="G467" s="54">
        <v>0.925</v>
      </c>
      <c r="H467" s="53">
        <v>0.93</v>
      </c>
      <c r="I467" s="53">
        <v>2693.59</v>
      </c>
      <c r="J467" s="53">
        <v>3000</v>
      </c>
      <c r="K467" s="53"/>
      <c r="L467" s="53"/>
      <c r="M467" s="53"/>
      <c r="N467" s="53"/>
      <c r="O467" s="53"/>
      <c r="P467" s="53"/>
      <c r="Q467" s="53"/>
      <c r="R467" s="53"/>
      <c r="S467" s="53"/>
      <c r="T467" s="53"/>
    </row>
    <row r="468">
      <c r="A468" s="53"/>
      <c r="B468" s="53" t="s">
        <v>11911</v>
      </c>
      <c r="C468" s="53" t="s">
        <v>10825</v>
      </c>
      <c r="D468" s="53" t="s">
        <v>10825</v>
      </c>
      <c r="E468" s="53" t="s">
        <v>11912</v>
      </c>
      <c r="F468" s="53" t="s">
        <v>11913</v>
      </c>
      <c r="G468" s="54">
        <v>2.319</v>
      </c>
      <c r="H468" s="53">
        <v>0.93</v>
      </c>
      <c r="I468" s="53">
        <v>4666.67</v>
      </c>
      <c r="J468" s="53">
        <v>5000</v>
      </c>
      <c r="K468" s="53"/>
      <c r="L468" s="53"/>
      <c r="M468" s="53"/>
      <c r="N468" s="53"/>
      <c r="O468" s="53"/>
      <c r="P468" s="53"/>
      <c r="Q468" s="53"/>
      <c r="R468" s="53"/>
      <c r="S468" s="53"/>
      <c r="T468" s="53"/>
    </row>
    <row r="469">
      <c r="A469" s="53"/>
      <c r="B469" s="53" t="s">
        <v>11914</v>
      </c>
      <c r="C469" s="53" t="s">
        <v>11570</v>
      </c>
      <c r="D469" s="53" t="s">
        <v>11570</v>
      </c>
      <c r="E469" s="53" t="s">
        <v>11571</v>
      </c>
      <c r="F469" s="53" t="s">
        <v>11915</v>
      </c>
      <c r="G469" s="54">
        <v>0.932</v>
      </c>
      <c r="H469" s="53">
        <v>0.93</v>
      </c>
      <c r="I469" s="53">
        <v>1116</v>
      </c>
      <c r="J469" s="53">
        <v>1200</v>
      </c>
      <c r="K469" s="53"/>
      <c r="L469" s="53"/>
      <c r="M469" s="53"/>
      <c r="N469" s="53"/>
      <c r="O469" s="53"/>
      <c r="P469" s="53"/>
      <c r="Q469" s="53"/>
      <c r="R469" s="53"/>
      <c r="S469" s="53"/>
      <c r="T469" s="53"/>
    </row>
    <row r="470">
      <c r="A470" s="53"/>
      <c r="B470" s="53" t="s">
        <v>11916</v>
      </c>
      <c r="C470" s="53" t="s">
        <v>11181</v>
      </c>
      <c r="D470" s="53" t="s">
        <v>11181</v>
      </c>
      <c r="E470" s="53" t="s">
        <v>10813</v>
      </c>
      <c r="F470" s="53" t="s">
        <v>11917</v>
      </c>
      <c r="G470" s="54">
        <v>0.93</v>
      </c>
      <c r="H470" s="53">
        <v>0.93</v>
      </c>
      <c r="I470" s="53">
        <v>4583.33</v>
      </c>
      <c r="J470" s="53">
        <v>5000</v>
      </c>
      <c r="K470" s="53"/>
      <c r="L470" s="53"/>
      <c r="M470" s="53"/>
      <c r="N470" s="53"/>
      <c r="O470" s="53"/>
      <c r="P470" s="53"/>
      <c r="Q470" s="53"/>
      <c r="R470" s="53"/>
      <c r="S470" s="53"/>
      <c r="T470" s="53"/>
    </row>
    <row r="471">
      <c r="A471" s="53"/>
      <c r="B471" s="53" t="s">
        <v>11918</v>
      </c>
      <c r="C471" s="53" t="s">
        <v>11195</v>
      </c>
      <c r="D471" s="53" t="s">
        <v>11195</v>
      </c>
      <c r="E471" s="53" t="s">
        <v>10813</v>
      </c>
      <c r="F471" s="53" t="s">
        <v>11919</v>
      </c>
      <c r="G471" s="54">
        <v>0.93</v>
      </c>
      <c r="H471" s="53">
        <v>0.93</v>
      </c>
      <c r="I471" s="53">
        <v>4130.43</v>
      </c>
      <c r="J471" s="53">
        <v>5000</v>
      </c>
      <c r="K471" s="53"/>
      <c r="L471" s="53"/>
      <c r="M471" s="53"/>
      <c r="N471" s="53"/>
      <c r="O471" s="53"/>
      <c r="P471" s="53"/>
      <c r="Q471" s="53"/>
      <c r="R471" s="53"/>
      <c r="S471" s="53"/>
      <c r="T471" s="53"/>
    </row>
    <row r="472">
      <c r="A472" s="53"/>
      <c r="B472" s="53" t="s">
        <v>11920</v>
      </c>
      <c r="C472" s="53" t="s">
        <v>11074</v>
      </c>
      <c r="D472" s="53" t="s">
        <v>11074</v>
      </c>
      <c r="E472" s="53" t="s">
        <v>11202</v>
      </c>
      <c r="F472" s="53" t="s">
        <v>11921</v>
      </c>
      <c r="G472" s="54">
        <v>0.92638</v>
      </c>
      <c r="H472" s="53">
        <v>0.93</v>
      </c>
      <c r="I472" s="53">
        <v>4650</v>
      </c>
      <c r="J472" s="53">
        <v>5000</v>
      </c>
      <c r="K472" s="53"/>
      <c r="L472" s="53"/>
      <c r="M472" s="53"/>
      <c r="N472" s="53"/>
      <c r="O472" s="53"/>
      <c r="P472" s="53"/>
      <c r="Q472" s="53"/>
      <c r="R472" s="53"/>
      <c r="S472" s="53"/>
      <c r="T472" s="53"/>
    </row>
    <row r="473">
      <c r="A473" s="53"/>
      <c r="B473" s="53" t="s">
        <v>11922</v>
      </c>
      <c r="C473" s="53" t="s">
        <v>11089</v>
      </c>
      <c r="D473" s="53" t="s">
        <v>11089</v>
      </c>
      <c r="E473" s="53" t="s">
        <v>11186</v>
      </c>
      <c r="F473" s="53" t="s">
        <v>11923</v>
      </c>
      <c r="G473" s="54">
        <v>0.93</v>
      </c>
      <c r="H473" s="53">
        <v>0.93</v>
      </c>
      <c r="I473" s="53">
        <v>4630</v>
      </c>
      <c r="J473" s="53">
        <v>5000</v>
      </c>
      <c r="K473" s="53"/>
      <c r="L473" s="53"/>
      <c r="M473" s="53"/>
      <c r="N473" s="53"/>
      <c r="O473" s="53"/>
      <c r="P473" s="53"/>
      <c r="Q473" s="53"/>
      <c r="R473" s="53"/>
      <c r="S473" s="53"/>
      <c r="T473" s="53"/>
    </row>
    <row r="474">
      <c r="A474" s="53"/>
      <c r="B474" s="53" t="s">
        <v>11924</v>
      </c>
      <c r="C474" s="53" t="s">
        <v>11747</v>
      </c>
      <c r="D474" s="53" t="s">
        <v>11747</v>
      </c>
      <c r="E474" s="53" t="s">
        <v>11771</v>
      </c>
      <c r="F474" s="53" t="s">
        <v>11925</v>
      </c>
      <c r="G474" s="54">
        <v>0.009343</v>
      </c>
      <c r="H474" s="53">
        <v>0.93</v>
      </c>
      <c r="I474" s="53">
        <v>2100</v>
      </c>
      <c r="J474" s="53">
        <v>2100</v>
      </c>
      <c r="K474" s="53"/>
      <c r="L474" s="53"/>
      <c r="M474" s="53"/>
      <c r="N474" s="53"/>
      <c r="O474" s="53"/>
      <c r="P474" s="53"/>
      <c r="Q474" s="53"/>
      <c r="R474" s="53"/>
      <c r="S474" s="53"/>
      <c r="T474" s="53"/>
    </row>
    <row r="475">
      <c r="A475" s="53"/>
      <c r="B475" s="53" t="s">
        <v>11926</v>
      </c>
      <c r="C475" s="53" t="s">
        <v>11747</v>
      </c>
      <c r="D475" s="53" t="s">
        <v>11747</v>
      </c>
      <c r="E475" s="53" t="s">
        <v>11748</v>
      </c>
      <c r="F475" s="53" t="s">
        <v>11927</v>
      </c>
      <c r="G475" s="54">
        <v>0.009265</v>
      </c>
      <c r="H475" s="53">
        <v>0.93</v>
      </c>
      <c r="I475" s="53">
        <v>2257.13</v>
      </c>
      <c r="J475" s="53">
        <v>2500</v>
      </c>
      <c r="K475" s="53"/>
      <c r="L475" s="53"/>
      <c r="M475" s="53"/>
      <c r="N475" s="53"/>
      <c r="O475" s="53"/>
      <c r="P475" s="53"/>
      <c r="Q475" s="53"/>
      <c r="R475" s="53"/>
      <c r="S475" s="53"/>
      <c r="T475" s="53"/>
    </row>
    <row r="476">
      <c r="A476" s="53"/>
      <c r="B476" s="53" t="s">
        <v>11928</v>
      </c>
      <c r="C476" s="53" t="s">
        <v>11060</v>
      </c>
      <c r="D476" s="53" t="s">
        <v>11060</v>
      </c>
      <c r="E476" s="53" t="s">
        <v>10813</v>
      </c>
      <c r="F476" s="53" t="s">
        <v>11929</v>
      </c>
      <c r="G476" s="54">
        <v>0.915</v>
      </c>
      <c r="H476" s="53">
        <v>0.92</v>
      </c>
      <c r="I476" s="53">
        <v>8400</v>
      </c>
      <c r="J476" s="53">
        <v>6000</v>
      </c>
      <c r="K476" s="53"/>
      <c r="L476" s="53"/>
      <c r="M476" s="53"/>
      <c r="N476" s="53"/>
      <c r="O476" s="53"/>
      <c r="P476" s="53"/>
      <c r="Q476" s="53"/>
      <c r="R476" s="53"/>
      <c r="S476" s="53"/>
      <c r="T476" s="53"/>
    </row>
    <row r="477">
      <c r="A477" s="53"/>
      <c r="B477" s="53" t="s">
        <v>11930</v>
      </c>
      <c r="C477" s="53" t="s">
        <v>11931</v>
      </c>
      <c r="D477" s="53" t="s">
        <v>11931</v>
      </c>
      <c r="E477" s="53" t="s">
        <v>11240</v>
      </c>
      <c r="F477" s="53" t="s">
        <v>11932</v>
      </c>
      <c r="G477" s="54">
        <v>0.995</v>
      </c>
      <c r="H477" s="53">
        <v>0.92</v>
      </c>
      <c r="I477" s="53">
        <v>5766.53</v>
      </c>
      <c r="J477" s="53">
        <v>6000</v>
      </c>
      <c r="K477" s="53"/>
      <c r="L477" s="53"/>
      <c r="M477" s="53"/>
      <c r="N477" s="53"/>
      <c r="O477" s="53"/>
      <c r="P477" s="53"/>
      <c r="Q477" s="53"/>
      <c r="R477" s="53"/>
      <c r="S477" s="53"/>
      <c r="T477" s="53"/>
    </row>
    <row r="478">
      <c r="A478" s="53"/>
      <c r="B478" s="53" t="s">
        <v>11933</v>
      </c>
      <c r="C478" s="53" t="s">
        <v>11543</v>
      </c>
      <c r="D478" s="53" t="s">
        <v>11543</v>
      </c>
      <c r="E478" s="53" t="s">
        <v>11934</v>
      </c>
      <c r="F478" s="53" t="s">
        <v>11935</v>
      </c>
      <c r="G478" s="54">
        <v>0.92</v>
      </c>
      <c r="H478" s="53">
        <v>0.92</v>
      </c>
      <c r="I478" s="53">
        <v>1932</v>
      </c>
      <c r="J478" s="53">
        <v>2000</v>
      </c>
      <c r="K478" s="53"/>
      <c r="L478" s="53"/>
      <c r="M478" s="53"/>
      <c r="N478" s="53"/>
      <c r="O478" s="53"/>
      <c r="P478" s="53"/>
      <c r="Q478" s="53"/>
      <c r="R478" s="53"/>
      <c r="S478" s="53"/>
      <c r="T478" s="53"/>
    </row>
    <row r="479">
      <c r="A479" s="53"/>
      <c r="B479" s="53" t="s">
        <v>11936</v>
      </c>
      <c r="C479" s="53" t="s">
        <v>11201</v>
      </c>
      <c r="D479" s="53" t="s">
        <v>11201</v>
      </c>
      <c r="E479" s="53" t="s">
        <v>11104</v>
      </c>
      <c r="F479" s="53" t="s">
        <v>11937</v>
      </c>
      <c r="G479" s="54">
        <v>0.86087</v>
      </c>
      <c r="H479" s="53">
        <v>0.92</v>
      </c>
      <c r="I479" s="53">
        <v>2100</v>
      </c>
      <c r="J479" s="53">
        <v>2000</v>
      </c>
      <c r="K479" s="53"/>
      <c r="L479" s="53"/>
      <c r="M479" s="53"/>
      <c r="N479" s="53"/>
      <c r="O479" s="53"/>
      <c r="P479" s="53"/>
      <c r="Q479" s="53"/>
      <c r="R479" s="53"/>
      <c r="S479" s="53"/>
      <c r="T479" s="53"/>
    </row>
    <row r="480">
      <c r="A480" s="53"/>
      <c r="B480" s="53" t="s">
        <v>11938</v>
      </c>
      <c r="C480" s="53" t="s">
        <v>11338</v>
      </c>
      <c r="D480" s="53" t="s">
        <v>11338</v>
      </c>
      <c r="E480" s="53" t="s">
        <v>11339</v>
      </c>
      <c r="F480" s="53" t="s">
        <v>11939</v>
      </c>
      <c r="G480" s="54">
        <v>0.91546</v>
      </c>
      <c r="H480" s="53">
        <v>0.92</v>
      </c>
      <c r="I480" s="53">
        <v>3384.62</v>
      </c>
      <c r="J480" s="53">
        <v>3000</v>
      </c>
      <c r="K480" s="53"/>
      <c r="L480" s="53"/>
      <c r="M480" s="53"/>
      <c r="N480" s="53"/>
      <c r="O480" s="53"/>
      <c r="P480" s="53"/>
      <c r="Q480" s="53"/>
      <c r="R480" s="53"/>
      <c r="S480" s="53"/>
      <c r="T480" s="53"/>
    </row>
    <row r="481">
      <c r="A481" s="53"/>
      <c r="B481" s="53" t="s">
        <v>11940</v>
      </c>
      <c r="C481" s="53" t="s">
        <v>11357</v>
      </c>
      <c r="D481" s="53" t="s">
        <v>11357</v>
      </c>
      <c r="E481" s="53" t="s">
        <v>11045</v>
      </c>
      <c r="F481" s="53" t="s">
        <v>11941</v>
      </c>
      <c r="G481" s="54">
        <v>0.922</v>
      </c>
      <c r="H481" s="53">
        <v>0.92</v>
      </c>
      <c r="I481" s="53">
        <v>2378</v>
      </c>
      <c r="J481" s="53">
        <v>1500</v>
      </c>
      <c r="K481" s="53"/>
      <c r="L481" s="53"/>
      <c r="M481" s="53"/>
      <c r="N481" s="53"/>
      <c r="O481" s="53"/>
      <c r="P481" s="53"/>
      <c r="Q481" s="53"/>
      <c r="R481" s="53"/>
      <c r="S481" s="53"/>
      <c r="T481" s="53"/>
    </row>
    <row r="482">
      <c r="A482" s="53"/>
      <c r="B482" s="53" t="s">
        <v>11942</v>
      </c>
      <c r="C482" s="53" t="s">
        <v>11634</v>
      </c>
      <c r="D482" s="53" t="s">
        <v>11634</v>
      </c>
      <c r="E482" s="53" t="s">
        <v>11045</v>
      </c>
      <c r="F482" s="53" t="s">
        <v>11943</v>
      </c>
      <c r="G482" s="54">
        <v>1.035</v>
      </c>
      <c r="H482" s="53">
        <v>0.92</v>
      </c>
      <c r="I482" s="53">
        <v>1376</v>
      </c>
      <c r="J482" s="53">
        <v>1500</v>
      </c>
      <c r="K482" s="53"/>
      <c r="L482" s="53"/>
      <c r="M482" s="53"/>
      <c r="N482" s="53"/>
      <c r="O482" s="53"/>
      <c r="P482" s="53"/>
      <c r="Q482" s="53"/>
      <c r="R482" s="53"/>
      <c r="S482" s="53"/>
      <c r="T482" s="53"/>
    </row>
    <row r="483">
      <c r="A483" s="53"/>
      <c r="B483" s="53" t="s">
        <v>11944</v>
      </c>
      <c r="C483" s="53" t="s">
        <v>11777</v>
      </c>
      <c r="D483" s="53" t="s">
        <v>11777</v>
      </c>
      <c r="E483" s="53" t="s">
        <v>10813</v>
      </c>
      <c r="F483" s="53" t="s">
        <v>11945</v>
      </c>
      <c r="G483" s="54">
        <v>0.915</v>
      </c>
      <c r="H483" s="53">
        <v>0.92</v>
      </c>
      <c r="I483" s="53">
        <v>0</v>
      </c>
      <c r="J483" s="53">
        <v>5000</v>
      </c>
      <c r="K483" s="53"/>
      <c r="L483" s="53"/>
      <c r="M483" s="53"/>
      <c r="N483" s="53"/>
      <c r="O483" s="53"/>
      <c r="P483" s="53"/>
      <c r="Q483" s="53"/>
      <c r="R483" s="53"/>
      <c r="S483" s="53"/>
      <c r="T483" s="53"/>
    </row>
    <row r="484">
      <c r="A484" s="53"/>
      <c r="B484" s="53" t="s">
        <v>11946</v>
      </c>
      <c r="C484" s="53" t="s">
        <v>11201</v>
      </c>
      <c r="D484" s="53" t="s">
        <v>11201</v>
      </c>
      <c r="E484" s="53" t="s">
        <v>10813</v>
      </c>
      <c r="F484" s="53" t="s">
        <v>11947</v>
      </c>
      <c r="G484" s="54">
        <v>0.924</v>
      </c>
      <c r="H484" s="53">
        <v>0.92</v>
      </c>
      <c r="I484" s="53">
        <v>5000</v>
      </c>
      <c r="J484" s="53">
        <v>5000</v>
      </c>
      <c r="K484" s="53"/>
      <c r="L484" s="53"/>
      <c r="M484" s="53"/>
      <c r="N484" s="53"/>
      <c r="O484" s="53"/>
      <c r="P484" s="53"/>
      <c r="Q484" s="53"/>
      <c r="R484" s="53"/>
      <c r="S484" s="53"/>
      <c r="T484" s="53"/>
    </row>
    <row r="485">
      <c r="A485" s="53"/>
      <c r="B485" s="53" t="s">
        <v>11948</v>
      </c>
      <c r="C485" s="53" t="s">
        <v>11171</v>
      </c>
      <c r="D485" s="53" t="s">
        <v>11171</v>
      </c>
      <c r="E485" s="53" t="s">
        <v>11281</v>
      </c>
      <c r="F485" s="53" t="s">
        <v>11949</v>
      </c>
      <c r="G485" s="54">
        <v>1.1054</v>
      </c>
      <c r="H485" s="53">
        <v>0.92</v>
      </c>
      <c r="I485" s="53">
        <v>4604</v>
      </c>
      <c r="J485" s="53">
        <v>5000</v>
      </c>
      <c r="K485" s="53"/>
      <c r="L485" s="53"/>
      <c r="M485" s="53"/>
      <c r="N485" s="53"/>
      <c r="O485" s="53"/>
      <c r="P485" s="53"/>
      <c r="Q485" s="53"/>
      <c r="R485" s="53"/>
      <c r="S485" s="53"/>
      <c r="T485" s="53"/>
    </row>
    <row r="486">
      <c r="A486" s="53"/>
      <c r="B486" s="53" t="s">
        <v>11950</v>
      </c>
      <c r="C486" s="53" t="s">
        <v>11463</v>
      </c>
      <c r="D486" s="53" t="s">
        <v>11463</v>
      </c>
      <c r="E486" s="53" t="s">
        <v>11348</v>
      </c>
      <c r="F486" s="53" t="s">
        <v>11951</v>
      </c>
      <c r="G486" s="54">
        <v>1.001</v>
      </c>
      <c r="H486" s="53">
        <v>0.92</v>
      </c>
      <c r="I486" s="53">
        <v>1797</v>
      </c>
      <c r="J486" s="53">
        <v>2800</v>
      </c>
      <c r="K486" s="53"/>
      <c r="L486" s="53"/>
      <c r="M486" s="53"/>
      <c r="N486" s="53"/>
      <c r="O486" s="53"/>
      <c r="P486" s="53"/>
      <c r="Q486" s="53"/>
      <c r="R486" s="53"/>
      <c r="S486" s="53"/>
      <c r="T486" s="53"/>
    </row>
    <row r="487">
      <c r="A487" s="53"/>
      <c r="B487" s="53" t="s">
        <v>11952</v>
      </c>
      <c r="C487" s="53" t="s">
        <v>11657</v>
      </c>
      <c r="D487" s="53" t="s">
        <v>11657</v>
      </c>
      <c r="E487" s="53" t="s">
        <v>11596</v>
      </c>
      <c r="F487" s="53" t="s">
        <v>11953</v>
      </c>
      <c r="G487" s="54">
        <v>0.65373</v>
      </c>
      <c r="H487" s="53">
        <v>0.92</v>
      </c>
      <c r="I487" s="53">
        <v>2998</v>
      </c>
      <c r="J487" s="53">
        <v>3400</v>
      </c>
      <c r="K487" s="53"/>
      <c r="L487" s="53"/>
      <c r="M487" s="53"/>
      <c r="N487" s="53"/>
      <c r="O487" s="53"/>
      <c r="P487" s="53"/>
      <c r="Q487" s="53"/>
      <c r="R487" s="53"/>
      <c r="S487" s="53"/>
      <c r="T487" s="53"/>
    </row>
    <row r="488">
      <c r="A488" s="53"/>
      <c r="B488" s="53" t="s">
        <v>11954</v>
      </c>
      <c r="C488" s="53" t="s">
        <v>11747</v>
      </c>
      <c r="D488" s="53" t="s">
        <v>11747</v>
      </c>
      <c r="E488" s="53" t="s">
        <v>11771</v>
      </c>
      <c r="F488" s="53" t="s">
        <v>11955</v>
      </c>
      <c r="G488" s="54">
        <v>0.009244</v>
      </c>
      <c r="H488" s="53">
        <v>0.92</v>
      </c>
      <c r="I488" s="53">
        <v>1890</v>
      </c>
      <c r="J488" s="53">
        <v>2100</v>
      </c>
      <c r="K488" s="53"/>
      <c r="L488" s="53"/>
      <c r="M488" s="53"/>
      <c r="N488" s="53"/>
      <c r="O488" s="53"/>
      <c r="P488" s="53"/>
      <c r="Q488" s="53"/>
      <c r="R488" s="53"/>
      <c r="S488" s="53"/>
      <c r="T488" s="53"/>
    </row>
    <row r="489">
      <c r="A489" s="53"/>
      <c r="B489" s="53" t="s">
        <v>11956</v>
      </c>
      <c r="C489" s="53" t="s">
        <v>11440</v>
      </c>
      <c r="D489" s="53" t="s">
        <v>11440</v>
      </c>
      <c r="E489" s="53" t="s">
        <v>11665</v>
      </c>
      <c r="F489" s="53" t="s">
        <v>11957</v>
      </c>
      <c r="G489" s="54">
        <v>0.911</v>
      </c>
      <c r="H489" s="53">
        <v>0.91</v>
      </c>
      <c r="I489" s="53">
        <v>2821</v>
      </c>
      <c r="J489" s="53">
        <v>3100</v>
      </c>
      <c r="K489" s="53"/>
      <c r="L489" s="53"/>
      <c r="M489" s="53"/>
      <c r="N489" s="53"/>
      <c r="O489" s="53"/>
      <c r="P489" s="53"/>
      <c r="Q489" s="53"/>
      <c r="R489" s="53"/>
      <c r="S489" s="53"/>
      <c r="T489" s="53"/>
    </row>
    <row r="490">
      <c r="A490" s="53"/>
      <c r="B490" s="53" t="s">
        <v>11958</v>
      </c>
      <c r="C490" s="53" t="s">
        <v>11440</v>
      </c>
      <c r="D490" s="53" t="s">
        <v>11440</v>
      </c>
      <c r="E490" s="53" t="s">
        <v>11665</v>
      </c>
      <c r="F490" s="53" t="s">
        <v>11959</v>
      </c>
      <c r="G490" s="54">
        <v>0.905</v>
      </c>
      <c r="H490" s="53">
        <v>0.91</v>
      </c>
      <c r="I490" s="53">
        <v>2730</v>
      </c>
      <c r="J490" s="53">
        <v>3000</v>
      </c>
      <c r="K490" s="53"/>
      <c r="L490" s="53"/>
      <c r="M490" s="53"/>
      <c r="N490" s="53"/>
      <c r="O490" s="53"/>
      <c r="P490" s="53"/>
      <c r="Q490" s="53"/>
      <c r="R490" s="53"/>
      <c r="S490" s="53"/>
      <c r="T490" s="53"/>
    </row>
    <row r="491">
      <c r="A491" s="53"/>
      <c r="B491" s="53" t="s">
        <v>11960</v>
      </c>
      <c r="C491" s="53" t="s">
        <v>11440</v>
      </c>
      <c r="D491" s="53" t="s">
        <v>11440</v>
      </c>
      <c r="E491" s="53" t="s">
        <v>10813</v>
      </c>
      <c r="F491" s="53" t="s">
        <v>11961</v>
      </c>
      <c r="G491" s="54">
        <v>0.89</v>
      </c>
      <c r="H491" s="53">
        <v>0.91</v>
      </c>
      <c r="I491" s="53">
        <v>0</v>
      </c>
      <c r="J491" s="53">
        <v>5000</v>
      </c>
      <c r="K491" s="53"/>
      <c r="L491" s="53"/>
      <c r="M491" s="53"/>
      <c r="N491" s="53"/>
      <c r="O491" s="53"/>
      <c r="P491" s="53"/>
      <c r="Q491" s="53"/>
      <c r="R491" s="53"/>
      <c r="S491" s="53"/>
      <c r="T491" s="53"/>
    </row>
    <row r="492">
      <c r="A492" s="53"/>
      <c r="B492" s="53" t="s">
        <v>11962</v>
      </c>
      <c r="C492" s="53" t="s">
        <v>11264</v>
      </c>
      <c r="D492" s="53" t="s">
        <v>11264</v>
      </c>
      <c r="E492" s="53" t="s">
        <v>11265</v>
      </c>
      <c r="F492" s="53" t="s">
        <v>11963</v>
      </c>
      <c r="G492" s="54">
        <v>0.9142</v>
      </c>
      <c r="H492" s="53">
        <v>0.91</v>
      </c>
      <c r="I492" s="53">
        <v>7280000</v>
      </c>
      <c r="J492" s="53">
        <v>5000</v>
      </c>
      <c r="K492" s="53"/>
      <c r="L492" s="53"/>
      <c r="M492" s="53"/>
      <c r="N492" s="53"/>
      <c r="O492" s="53"/>
      <c r="P492" s="53"/>
      <c r="Q492" s="53"/>
      <c r="R492" s="53"/>
      <c r="S492" s="53"/>
      <c r="T492" s="53"/>
    </row>
    <row r="493">
      <c r="A493" s="53"/>
      <c r="B493" s="53" t="s">
        <v>11964</v>
      </c>
      <c r="C493" s="53" t="s">
        <v>10779</v>
      </c>
      <c r="D493" s="53" t="s">
        <v>10779</v>
      </c>
      <c r="E493" s="53" t="s">
        <v>10813</v>
      </c>
      <c r="F493" s="53" t="s">
        <v>11965</v>
      </c>
      <c r="G493" s="54">
        <v>0.91012</v>
      </c>
      <c r="H493" s="53">
        <v>0.91</v>
      </c>
      <c r="I493" s="53">
        <v>5460</v>
      </c>
      <c r="J493" s="53">
        <v>6000</v>
      </c>
      <c r="K493" s="53"/>
      <c r="L493" s="53"/>
      <c r="M493" s="53"/>
      <c r="N493" s="53"/>
      <c r="O493" s="53"/>
      <c r="P493" s="53"/>
      <c r="Q493" s="53"/>
      <c r="R493" s="53"/>
      <c r="S493" s="53"/>
      <c r="T493" s="53"/>
    </row>
    <row r="494">
      <c r="A494" s="53"/>
      <c r="B494" s="53" t="s">
        <v>11966</v>
      </c>
      <c r="C494" s="53" t="s">
        <v>11195</v>
      </c>
      <c r="D494" s="53" t="s">
        <v>11195</v>
      </c>
      <c r="E494" s="53" t="s">
        <v>10813</v>
      </c>
      <c r="F494" s="53" t="s">
        <v>11638</v>
      </c>
      <c r="G494" s="54">
        <v>0.91</v>
      </c>
      <c r="H494" s="53">
        <v>0.91</v>
      </c>
      <c r="I494" s="53">
        <v>0</v>
      </c>
      <c r="J494" s="53">
        <v>5000</v>
      </c>
      <c r="K494" s="53"/>
      <c r="L494" s="53"/>
      <c r="M494" s="53"/>
      <c r="N494" s="53"/>
      <c r="O494" s="53"/>
      <c r="P494" s="53"/>
      <c r="Q494" s="53"/>
      <c r="R494" s="53"/>
      <c r="S494" s="53"/>
      <c r="T494" s="53"/>
    </row>
    <row r="495">
      <c r="A495" s="53"/>
      <c r="B495" s="53" t="s">
        <v>11967</v>
      </c>
      <c r="C495" s="53" t="s">
        <v>11338</v>
      </c>
      <c r="D495" s="53" t="s">
        <v>11338</v>
      </c>
      <c r="E495" s="53" t="s">
        <v>11339</v>
      </c>
      <c r="F495" s="53" t="s">
        <v>11968</v>
      </c>
      <c r="G495" s="54">
        <v>0.85608</v>
      </c>
      <c r="H495" s="53">
        <v>0.91</v>
      </c>
      <c r="I495" s="53">
        <v>2769</v>
      </c>
      <c r="J495" s="53">
        <v>3000</v>
      </c>
      <c r="K495" s="53"/>
      <c r="L495" s="53"/>
      <c r="M495" s="53"/>
      <c r="N495" s="53"/>
      <c r="O495" s="53"/>
      <c r="P495" s="53"/>
      <c r="Q495" s="53"/>
      <c r="R495" s="53"/>
      <c r="S495" s="53"/>
      <c r="T495" s="53"/>
    </row>
    <row r="496">
      <c r="A496" s="53"/>
      <c r="B496" s="53" t="s">
        <v>11969</v>
      </c>
      <c r="C496" s="53" t="s">
        <v>11338</v>
      </c>
      <c r="D496" s="53" t="s">
        <v>11338</v>
      </c>
      <c r="E496" s="53" t="s">
        <v>11339</v>
      </c>
      <c r="F496" s="53" t="s">
        <v>11970</v>
      </c>
      <c r="G496" s="54">
        <v>1</v>
      </c>
      <c r="H496" s="53">
        <v>0.91</v>
      </c>
      <c r="I496" s="53">
        <v>2769.23</v>
      </c>
      <c r="J496" s="53">
        <v>3000</v>
      </c>
      <c r="K496" s="53"/>
      <c r="L496" s="53"/>
      <c r="M496" s="53"/>
      <c r="N496" s="53"/>
      <c r="O496" s="53"/>
      <c r="P496" s="53"/>
      <c r="Q496" s="53"/>
      <c r="R496" s="53"/>
      <c r="S496" s="53"/>
      <c r="T496" s="53"/>
    </row>
    <row r="497">
      <c r="A497" s="53"/>
      <c r="B497" s="53" t="s">
        <v>11971</v>
      </c>
      <c r="C497" s="53" t="s">
        <v>11338</v>
      </c>
      <c r="D497" s="53" t="s">
        <v>11338</v>
      </c>
      <c r="E497" s="53" t="s">
        <v>11339</v>
      </c>
      <c r="F497" s="53" t="s">
        <v>11972</v>
      </c>
      <c r="G497" s="54">
        <v>1</v>
      </c>
      <c r="H497" s="53">
        <v>0.91</v>
      </c>
      <c r="I497" s="53">
        <v>3384.62</v>
      </c>
      <c r="J497" s="53">
        <v>3000</v>
      </c>
      <c r="K497" s="53"/>
      <c r="L497" s="53"/>
      <c r="M497" s="53"/>
      <c r="N497" s="53"/>
      <c r="O497" s="53"/>
      <c r="P497" s="53"/>
      <c r="Q497" s="53"/>
      <c r="R497" s="53"/>
      <c r="S497" s="53"/>
      <c r="T497" s="53"/>
    </row>
    <row r="498">
      <c r="A498" s="53"/>
      <c r="B498" s="53" t="s">
        <v>11973</v>
      </c>
      <c r="C498" s="53" t="s">
        <v>11657</v>
      </c>
      <c r="D498" s="53" t="s">
        <v>11657</v>
      </c>
      <c r="E498" s="53" t="s">
        <v>11118</v>
      </c>
      <c r="F498" s="53" t="s">
        <v>11974</v>
      </c>
      <c r="G498" s="54">
        <v>0.906</v>
      </c>
      <c r="H498" s="53">
        <v>0.91</v>
      </c>
      <c r="I498" s="53">
        <v>3763.52</v>
      </c>
      <c r="J498" s="53">
        <v>4500</v>
      </c>
      <c r="K498" s="53"/>
      <c r="L498" s="53"/>
      <c r="M498" s="53"/>
      <c r="N498" s="53"/>
      <c r="O498" s="53"/>
      <c r="P498" s="53"/>
      <c r="Q498" s="53"/>
      <c r="R498" s="53"/>
      <c r="S498" s="53"/>
      <c r="T498" s="53"/>
    </row>
    <row r="499">
      <c r="A499" s="53"/>
      <c r="B499" s="53" t="s">
        <v>11975</v>
      </c>
      <c r="C499" s="53" t="s">
        <v>11777</v>
      </c>
      <c r="D499" s="53" t="s">
        <v>11777</v>
      </c>
      <c r="E499" s="53" t="s">
        <v>11118</v>
      </c>
      <c r="F499" s="53" t="s">
        <v>11976</v>
      </c>
      <c r="G499" s="54">
        <v>0.4992</v>
      </c>
      <c r="H499" s="53">
        <v>0.91</v>
      </c>
      <c r="I499" s="53">
        <v>4181.69</v>
      </c>
      <c r="J499" s="53">
        <v>5000</v>
      </c>
      <c r="K499" s="53"/>
      <c r="L499" s="53"/>
      <c r="M499" s="53"/>
      <c r="N499" s="53"/>
      <c r="O499" s="53"/>
      <c r="P499" s="53"/>
      <c r="Q499" s="53"/>
      <c r="R499" s="53"/>
      <c r="S499" s="53"/>
      <c r="T499" s="53"/>
    </row>
    <row r="500">
      <c r="A500" s="53"/>
      <c r="B500" s="53" t="s">
        <v>11977</v>
      </c>
      <c r="C500" s="53" t="s">
        <v>10825</v>
      </c>
      <c r="D500" s="53" t="s">
        <v>10825</v>
      </c>
      <c r="E500" s="53" t="s">
        <v>11129</v>
      </c>
      <c r="F500" s="53" t="s">
        <v>11978</v>
      </c>
      <c r="G500" s="54">
        <v>0.9125</v>
      </c>
      <c r="H500" s="53">
        <v>0.91</v>
      </c>
      <c r="I500" s="53">
        <v>2220</v>
      </c>
      <c r="J500" s="53">
        <v>3000</v>
      </c>
      <c r="K500" s="53"/>
      <c r="L500" s="53"/>
      <c r="M500" s="53"/>
      <c r="N500" s="53"/>
      <c r="O500" s="53"/>
      <c r="P500" s="53"/>
      <c r="Q500" s="53"/>
      <c r="R500" s="53"/>
      <c r="S500" s="53"/>
      <c r="T500" s="53"/>
    </row>
    <row r="501">
      <c r="A501" s="53"/>
      <c r="B501" s="53" t="s">
        <v>11979</v>
      </c>
      <c r="C501" s="53" t="s">
        <v>11463</v>
      </c>
      <c r="D501" s="53" t="s">
        <v>11463</v>
      </c>
      <c r="E501" s="53" t="s">
        <v>11980</v>
      </c>
      <c r="F501" s="53" t="s">
        <v>11981</v>
      </c>
      <c r="G501" s="54">
        <v>0.908</v>
      </c>
      <c r="H501" s="53">
        <v>0.91</v>
      </c>
      <c r="I501" s="53">
        <v>1911</v>
      </c>
      <c r="J501" s="53">
        <v>3000</v>
      </c>
      <c r="K501" s="53"/>
      <c r="L501" s="53"/>
      <c r="M501" s="53"/>
      <c r="N501" s="53"/>
      <c r="O501" s="53"/>
      <c r="P501" s="53"/>
      <c r="Q501" s="53"/>
      <c r="R501" s="53"/>
      <c r="S501" s="53"/>
      <c r="T501" s="53"/>
    </row>
    <row r="502">
      <c r="A502" s="53"/>
      <c r="B502" s="53" t="s">
        <v>11982</v>
      </c>
      <c r="C502" s="53" t="s">
        <v>11394</v>
      </c>
      <c r="D502" s="53" t="s">
        <v>11394</v>
      </c>
      <c r="E502" s="53" t="s">
        <v>10813</v>
      </c>
      <c r="F502" s="53" t="s">
        <v>11983</v>
      </c>
      <c r="G502" s="54">
        <v>0.92342</v>
      </c>
      <c r="H502" s="53">
        <v>0.9</v>
      </c>
      <c r="I502" s="53">
        <v>0</v>
      </c>
      <c r="J502" s="53">
        <v>5000</v>
      </c>
      <c r="K502" s="53"/>
      <c r="L502" s="53"/>
      <c r="M502" s="53"/>
      <c r="N502" s="53"/>
      <c r="O502" s="53"/>
      <c r="P502" s="53"/>
      <c r="Q502" s="53"/>
      <c r="R502" s="53"/>
      <c r="S502" s="53"/>
      <c r="T502" s="53"/>
    </row>
    <row r="503">
      <c r="A503" s="53"/>
      <c r="B503" s="53" t="s">
        <v>11984</v>
      </c>
      <c r="C503" s="53" t="s">
        <v>11543</v>
      </c>
      <c r="D503" s="53" t="s">
        <v>11543</v>
      </c>
      <c r="E503" s="53" t="s">
        <v>11553</v>
      </c>
      <c r="F503" s="53" t="s">
        <v>11985</v>
      </c>
      <c r="G503" s="54">
        <v>0.9</v>
      </c>
      <c r="H503" s="53">
        <v>0.9</v>
      </c>
      <c r="I503" s="53">
        <v>200</v>
      </c>
      <c r="J503" s="53">
        <v>200</v>
      </c>
      <c r="K503" s="53"/>
      <c r="L503" s="53"/>
      <c r="M503" s="53"/>
      <c r="N503" s="53"/>
      <c r="O503" s="53"/>
      <c r="P503" s="53"/>
      <c r="Q503" s="53"/>
      <c r="R503" s="53"/>
      <c r="S503" s="53"/>
      <c r="T503" s="53"/>
    </row>
    <row r="504">
      <c r="A504" s="53"/>
      <c r="B504" s="53" t="s">
        <v>11986</v>
      </c>
      <c r="C504" s="53" t="s">
        <v>11543</v>
      </c>
      <c r="D504" s="53" t="s">
        <v>11543</v>
      </c>
      <c r="E504" s="53" t="s">
        <v>10813</v>
      </c>
      <c r="F504" s="53" t="s">
        <v>11987</v>
      </c>
      <c r="G504" s="54">
        <v>0.895</v>
      </c>
      <c r="H504" s="53">
        <v>0.9</v>
      </c>
      <c r="I504" s="53">
        <v>0</v>
      </c>
      <c r="J504" s="53">
        <v>5000</v>
      </c>
      <c r="K504" s="53"/>
      <c r="L504" s="53"/>
      <c r="M504" s="53"/>
      <c r="N504" s="53"/>
      <c r="O504" s="53"/>
      <c r="P504" s="53"/>
      <c r="Q504" s="53"/>
      <c r="R504" s="53"/>
      <c r="S504" s="53"/>
      <c r="T504" s="53"/>
    </row>
    <row r="505">
      <c r="A505" s="53"/>
      <c r="B505" s="53" t="s">
        <v>11988</v>
      </c>
      <c r="C505" s="53" t="s">
        <v>11099</v>
      </c>
      <c r="D505" s="53" t="s">
        <v>11099</v>
      </c>
      <c r="E505" s="53" t="s">
        <v>11083</v>
      </c>
      <c r="F505" s="53" t="s">
        <v>11989</v>
      </c>
      <c r="G505" s="54">
        <v>0.91501</v>
      </c>
      <c r="H505" s="53">
        <v>0.9</v>
      </c>
      <c r="I505" s="53">
        <v>0</v>
      </c>
      <c r="J505" s="53">
        <v>2000</v>
      </c>
      <c r="K505" s="53"/>
      <c r="L505" s="53"/>
      <c r="M505" s="53"/>
      <c r="N505" s="53"/>
      <c r="O505" s="53"/>
      <c r="P505" s="53"/>
      <c r="Q505" s="53"/>
      <c r="R505" s="53"/>
      <c r="S505" s="53"/>
      <c r="T505" s="53"/>
    </row>
    <row r="506">
      <c r="A506" s="53"/>
      <c r="B506" s="53" t="s">
        <v>11990</v>
      </c>
      <c r="C506" s="53" t="s">
        <v>11264</v>
      </c>
      <c r="D506" s="53" t="s">
        <v>11264</v>
      </c>
      <c r="E506" s="53" t="s">
        <v>10813</v>
      </c>
      <c r="F506" s="53" t="s">
        <v>11991</v>
      </c>
      <c r="G506" s="54">
        <v>0.899561</v>
      </c>
      <c r="H506" s="53">
        <v>0.9</v>
      </c>
      <c r="I506" s="53">
        <v>4032.26</v>
      </c>
      <c r="J506" s="53">
        <v>5000</v>
      </c>
      <c r="K506" s="53"/>
      <c r="L506" s="53"/>
      <c r="M506" s="53"/>
      <c r="N506" s="53"/>
      <c r="O506" s="53"/>
      <c r="P506" s="53"/>
      <c r="Q506" s="53"/>
      <c r="R506" s="53"/>
      <c r="S506" s="53"/>
      <c r="T506" s="53"/>
    </row>
    <row r="507">
      <c r="A507" s="53"/>
      <c r="B507" s="53" t="s">
        <v>11992</v>
      </c>
      <c r="C507" s="53" t="s">
        <v>11201</v>
      </c>
      <c r="D507" s="53" t="s">
        <v>11201</v>
      </c>
      <c r="E507" s="53" t="s">
        <v>11104</v>
      </c>
      <c r="F507" s="53" t="s">
        <v>11993</v>
      </c>
      <c r="G507" s="54">
        <v>0.9835</v>
      </c>
      <c r="H507" s="53">
        <v>0.9</v>
      </c>
      <c r="I507" s="53">
        <v>3490</v>
      </c>
      <c r="J507" s="53">
        <v>4000</v>
      </c>
      <c r="K507" s="53"/>
      <c r="L507" s="53"/>
      <c r="M507" s="53"/>
      <c r="N507" s="53"/>
      <c r="O507" s="53"/>
      <c r="P507" s="53"/>
      <c r="Q507" s="53"/>
      <c r="R507" s="53"/>
      <c r="S507" s="53"/>
      <c r="T507" s="53"/>
    </row>
    <row r="508">
      <c r="A508" s="53"/>
      <c r="B508" s="53" t="s">
        <v>11994</v>
      </c>
      <c r="C508" s="53" t="s">
        <v>11595</v>
      </c>
      <c r="D508" s="53" t="s">
        <v>11595</v>
      </c>
      <c r="E508" s="53" t="s">
        <v>11460</v>
      </c>
      <c r="F508" s="53" t="s">
        <v>11995</v>
      </c>
      <c r="G508" s="54">
        <v>0.9</v>
      </c>
      <c r="H508" s="53">
        <v>0.9</v>
      </c>
      <c r="I508" s="53">
        <v>4053</v>
      </c>
      <c r="J508" s="53">
        <v>5000</v>
      </c>
      <c r="K508" s="53"/>
      <c r="L508" s="53"/>
      <c r="M508" s="53"/>
      <c r="N508" s="53"/>
      <c r="O508" s="53"/>
      <c r="P508" s="53"/>
      <c r="Q508" s="53"/>
      <c r="R508" s="53"/>
      <c r="S508" s="53"/>
      <c r="T508" s="53"/>
    </row>
    <row r="509">
      <c r="A509" s="53"/>
      <c r="B509" s="53" t="s">
        <v>11996</v>
      </c>
      <c r="C509" s="53" t="s">
        <v>11595</v>
      </c>
      <c r="D509" s="53" t="s">
        <v>11595</v>
      </c>
      <c r="E509" s="53" t="s">
        <v>11596</v>
      </c>
      <c r="F509" s="53" t="s">
        <v>11997</v>
      </c>
      <c r="G509" s="54">
        <v>0.9</v>
      </c>
      <c r="H509" s="53">
        <v>0.9</v>
      </c>
      <c r="I509" s="53">
        <v>0</v>
      </c>
      <c r="J509" s="53">
        <v>3400</v>
      </c>
      <c r="K509" s="53"/>
      <c r="L509" s="53"/>
      <c r="M509" s="53"/>
      <c r="N509" s="53"/>
      <c r="O509" s="53"/>
      <c r="P509" s="53"/>
      <c r="Q509" s="53"/>
      <c r="R509" s="53"/>
      <c r="S509" s="53"/>
      <c r="T509" s="53"/>
    </row>
    <row r="510">
      <c r="A510" s="53"/>
      <c r="B510" s="53" t="s">
        <v>11998</v>
      </c>
      <c r="C510" s="53" t="s">
        <v>10843</v>
      </c>
      <c r="D510" s="53" t="s">
        <v>10843</v>
      </c>
      <c r="E510" s="53" t="s">
        <v>10952</v>
      </c>
      <c r="F510" s="53" t="s">
        <v>11999</v>
      </c>
      <c r="G510" s="54">
        <v>0.9</v>
      </c>
      <c r="H510" s="53">
        <v>0.9</v>
      </c>
      <c r="I510" s="53">
        <v>1367.04</v>
      </c>
      <c r="J510" s="53">
        <v>1000</v>
      </c>
      <c r="K510" s="53"/>
      <c r="L510" s="53"/>
      <c r="M510" s="53"/>
      <c r="N510" s="53"/>
      <c r="O510" s="53"/>
      <c r="P510" s="53"/>
      <c r="Q510" s="53"/>
      <c r="R510" s="53"/>
      <c r="S510" s="53"/>
      <c r="T510" s="53"/>
    </row>
    <row r="511">
      <c r="A511" s="53"/>
      <c r="B511" s="53" t="s">
        <v>12000</v>
      </c>
      <c r="C511" s="53" t="s">
        <v>11195</v>
      </c>
      <c r="D511" s="53" t="s">
        <v>11195</v>
      </c>
      <c r="E511" s="53" t="s">
        <v>12001</v>
      </c>
      <c r="F511" s="53" t="s">
        <v>12002</v>
      </c>
      <c r="G511" s="54">
        <v>0.9</v>
      </c>
      <c r="H511" s="53">
        <v>0.9</v>
      </c>
      <c r="I511" s="53">
        <v>1440</v>
      </c>
      <c r="J511" s="53">
        <v>1200</v>
      </c>
      <c r="K511" s="53"/>
      <c r="L511" s="53"/>
      <c r="M511" s="53"/>
      <c r="N511" s="53"/>
      <c r="O511" s="53"/>
      <c r="P511" s="53"/>
      <c r="Q511" s="53"/>
      <c r="R511" s="53"/>
      <c r="S511" s="53"/>
      <c r="T511" s="53"/>
    </row>
    <row r="512">
      <c r="A512" s="53"/>
      <c r="B512" s="53" t="s">
        <v>12003</v>
      </c>
      <c r="C512" s="53" t="s">
        <v>12004</v>
      </c>
      <c r="D512" s="53" t="s">
        <v>12004</v>
      </c>
      <c r="E512" s="53" t="s">
        <v>12005</v>
      </c>
      <c r="F512" s="53" t="s">
        <v>12006</v>
      </c>
      <c r="G512" s="54">
        <v>1.007</v>
      </c>
      <c r="H512" s="53">
        <v>0.9</v>
      </c>
      <c r="I512" s="53">
        <v>9200.05</v>
      </c>
      <c r="J512" s="53">
        <v>6000</v>
      </c>
      <c r="K512" s="53"/>
      <c r="L512" s="53"/>
      <c r="M512" s="53"/>
      <c r="N512" s="53"/>
      <c r="O512" s="53"/>
      <c r="P512" s="53"/>
      <c r="Q512" s="53"/>
      <c r="R512" s="53"/>
      <c r="S512" s="53"/>
      <c r="T512" s="53"/>
    </row>
    <row r="513">
      <c r="A513" s="53"/>
      <c r="B513" s="53" t="s">
        <v>12007</v>
      </c>
      <c r="C513" s="53" t="s">
        <v>11086</v>
      </c>
      <c r="D513" s="53" t="s">
        <v>11086</v>
      </c>
      <c r="E513" s="53" t="s">
        <v>11141</v>
      </c>
      <c r="F513" s="53" t="s">
        <v>12008</v>
      </c>
      <c r="G513" s="54">
        <v>0.58</v>
      </c>
      <c r="H513" s="53">
        <v>0.9</v>
      </c>
      <c r="I513" s="53">
        <v>5580</v>
      </c>
      <c r="J513" s="53">
        <v>5000</v>
      </c>
      <c r="K513" s="53"/>
      <c r="L513" s="53"/>
      <c r="M513" s="53"/>
      <c r="N513" s="53"/>
      <c r="O513" s="53"/>
      <c r="P513" s="53"/>
      <c r="Q513" s="53"/>
      <c r="R513" s="53"/>
      <c r="S513" s="53"/>
      <c r="T513" s="53"/>
    </row>
    <row r="514">
      <c r="A514" s="53"/>
      <c r="B514" s="53" t="s">
        <v>12009</v>
      </c>
      <c r="C514" s="53" t="s">
        <v>12010</v>
      </c>
      <c r="D514" s="53" t="s">
        <v>12010</v>
      </c>
      <c r="E514" s="53" t="s">
        <v>10813</v>
      </c>
      <c r="F514" s="53" t="s">
        <v>12011</v>
      </c>
      <c r="G514" s="54">
        <v>0.9004</v>
      </c>
      <c r="H514" s="53">
        <v>0.9</v>
      </c>
      <c r="I514" s="53">
        <v>0</v>
      </c>
      <c r="J514" s="53">
        <v>5000</v>
      </c>
      <c r="K514" s="53"/>
      <c r="L514" s="53"/>
      <c r="M514" s="53"/>
      <c r="N514" s="53"/>
      <c r="O514" s="53"/>
      <c r="P514" s="53"/>
      <c r="Q514" s="53"/>
      <c r="R514" s="53"/>
      <c r="S514" s="53"/>
      <c r="T514" s="53"/>
    </row>
    <row r="515">
      <c r="A515" s="53"/>
      <c r="B515" s="53" t="s">
        <v>12012</v>
      </c>
      <c r="C515" s="53" t="s">
        <v>12010</v>
      </c>
      <c r="D515" s="53" t="s">
        <v>12010</v>
      </c>
      <c r="E515" s="53" t="s">
        <v>11281</v>
      </c>
      <c r="F515" s="53" t="s">
        <v>12013</v>
      </c>
      <c r="G515" s="54">
        <v>0.89675</v>
      </c>
      <c r="H515" s="53">
        <v>0.9</v>
      </c>
      <c r="I515" s="53">
        <v>0</v>
      </c>
      <c r="J515" s="53">
        <v>5000</v>
      </c>
      <c r="K515" s="53"/>
      <c r="L515" s="53"/>
      <c r="M515" s="53"/>
      <c r="N515" s="53"/>
      <c r="O515" s="53"/>
      <c r="P515" s="53"/>
      <c r="Q515" s="53"/>
      <c r="R515" s="53"/>
      <c r="S515" s="53"/>
      <c r="T515" s="53"/>
    </row>
    <row r="516">
      <c r="A516" s="53"/>
      <c r="B516" s="53" t="s">
        <v>12014</v>
      </c>
      <c r="C516" s="53" t="s">
        <v>11817</v>
      </c>
      <c r="D516" s="53" t="s">
        <v>11817</v>
      </c>
      <c r="E516" s="53" t="s">
        <v>11094</v>
      </c>
      <c r="F516" s="53" t="s">
        <v>12015</v>
      </c>
      <c r="G516" s="54">
        <v>0.9022</v>
      </c>
      <c r="H516" s="53">
        <v>0.9</v>
      </c>
      <c r="I516" s="53">
        <v>4600</v>
      </c>
      <c r="J516" s="53">
        <v>5000</v>
      </c>
      <c r="K516" s="53"/>
      <c r="L516" s="53"/>
      <c r="M516" s="53"/>
      <c r="N516" s="53"/>
      <c r="O516" s="53"/>
      <c r="P516" s="53"/>
      <c r="Q516" s="53"/>
      <c r="R516" s="53"/>
      <c r="S516" s="53"/>
      <c r="T516" s="53"/>
    </row>
    <row r="517">
      <c r="A517" s="53"/>
      <c r="B517" s="53" t="s">
        <v>12016</v>
      </c>
      <c r="C517" s="53" t="s">
        <v>11747</v>
      </c>
      <c r="D517" s="53" t="s">
        <v>11747</v>
      </c>
      <c r="E517" s="53" t="s">
        <v>11748</v>
      </c>
      <c r="F517" s="53" t="s">
        <v>12017</v>
      </c>
      <c r="G517" s="54">
        <v>0.009002</v>
      </c>
      <c r="H517" s="53">
        <v>0.9</v>
      </c>
      <c r="I517" s="53">
        <v>1706.39</v>
      </c>
      <c r="J517" s="53">
        <v>2100</v>
      </c>
      <c r="K517" s="53"/>
      <c r="L517" s="53"/>
      <c r="M517" s="53"/>
      <c r="N517" s="53"/>
      <c r="O517" s="53"/>
      <c r="P517" s="53"/>
      <c r="Q517" s="53"/>
      <c r="R517" s="53"/>
      <c r="S517" s="53"/>
      <c r="T517" s="53"/>
    </row>
    <row r="518">
      <c r="A518" s="53"/>
      <c r="B518" s="53" t="s">
        <v>12018</v>
      </c>
      <c r="C518" s="53" t="s">
        <v>11074</v>
      </c>
      <c r="D518" s="53" t="s">
        <v>11074</v>
      </c>
      <c r="E518" s="53" t="s">
        <v>10813</v>
      </c>
      <c r="F518" s="53" t="s">
        <v>12019</v>
      </c>
      <c r="G518" s="54">
        <v>0.6883</v>
      </c>
      <c r="H518" s="53">
        <v>0.89</v>
      </c>
      <c r="I518" s="53">
        <v>5599.76</v>
      </c>
      <c r="J518" s="53">
        <v>5000</v>
      </c>
      <c r="K518" s="53"/>
      <c r="L518" s="53"/>
      <c r="M518" s="53"/>
      <c r="N518" s="53"/>
      <c r="O518" s="53"/>
      <c r="P518" s="53"/>
      <c r="Q518" s="53"/>
      <c r="R518" s="53"/>
      <c r="S518" s="53"/>
      <c r="T518" s="53"/>
    </row>
    <row r="519">
      <c r="A519" s="53"/>
      <c r="B519" s="53" t="s">
        <v>12020</v>
      </c>
      <c r="C519" s="53" t="s">
        <v>11243</v>
      </c>
      <c r="D519" s="53" t="s">
        <v>11243</v>
      </c>
      <c r="E519" s="53" t="s">
        <v>12021</v>
      </c>
      <c r="F519" s="53" t="s">
        <v>12022</v>
      </c>
      <c r="G519" s="54">
        <v>0.90075</v>
      </c>
      <c r="H519" s="53">
        <v>0.89</v>
      </c>
      <c r="I519" s="53">
        <v>5037.63</v>
      </c>
      <c r="J519" s="53">
        <v>5000</v>
      </c>
      <c r="K519" s="53"/>
      <c r="L519" s="53"/>
      <c r="M519" s="53"/>
      <c r="N519" s="53"/>
      <c r="O519" s="53"/>
      <c r="P519" s="53"/>
      <c r="Q519" s="53"/>
      <c r="R519" s="53"/>
      <c r="S519" s="53"/>
      <c r="T519" s="53"/>
    </row>
    <row r="520">
      <c r="A520" s="53"/>
      <c r="B520" s="53" t="s">
        <v>12023</v>
      </c>
      <c r="C520" s="53" t="s">
        <v>11570</v>
      </c>
      <c r="D520" s="53" t="s">
        <v>11570</v>
      </c>
      <c r="E520" s="53" t="s">
        <v>11571</v>
      </c>
      <c r="F520" s="53" t="s">
        <v>12024</v>
      </c>
      <c r="G520" s="54">
        <v>0.918</v>
      </c>
      <c r="H520" s="53">
        <v>0.89</v>
      </c>
      <c r="I520" s="53">
        <v>900</v>
      </c>
      <c r="J520" s="53">
        <v>1000</v>
      </c>
      <c r="K520" s="53"/>
      <c r="L520" s="53"/>
      <c r="M520" s="53"/>
      <c r="N520" s="53"/>
      <c r="O520" s="53"/>
      <c r="P520" s="53"/>
      <c r="Q520" s="53"/>
      <c r="R520" s="53"/>
      <c r="S520" s="53"/>
      <c r="T520" s="53"/>
    </row>
    <row r="521">
      <c r="A521" s="53"/>
      <c r="B521" s="53" t="s">
        <v>12025</v>
      </c>
      <c r="C521" s="53" t="s">
        <v>11138</v>
      </c>
      <c r="D521" s="53" t="s">
        <v>11138</v>
      </c>
      <c r="E521" s="53" t="s">
        <v>11045</v>
      </c>
      <c r="F521" s="53" t="s">
        <v>12026</v>
      </c>
      <c r="G521" s="54">
        <v>1.885</v>
      </c>
      <c r="H521" s="53">
        <v>0.89</v>
      </c>
      <c r="I521" s="53">
        <v>1335</v>
      </c>
      <c r="J521" s="53">
        <v>1500</v>
      </c>
      <c r="K521" s="53"/>
      <c r="L521" s="53"/>
      <c r="M521" s="53"/>
      <c r="N521" s="53"/>
      <c r="O521" s="53"/>
      <c r="P521" s="53"/>
      <c r="Q521" s="53"/>
      <c r="R521" s="53"/>
      <c r="S521" s="53"/>
      <c r="T521" s="53"/>
    </row>
    <row r="522">
      <c r="A522" s="53"/>
      <c r="B522" s="53" t="s">
        <v>12027</v>
      </c>
      <c r="C522" s="53" t="s">
        <v>11201</v>
      </c>
      <c r="D522" s="53" t="s">
        <v>11201</v>
      </c>
      <c r="E522" s="53" t="s">
        <v>11104</v>
      </c>
      <c r="F522" s="53" t="s">
        <v>12028</v>
      </c>
      <c r="G522" s="54">
        <v>0.81183</v>
      </c>
      <c r="H522" s="53">
        <v>0.89</v>
      </c>
      <c r="I522" s="53">
        <v>0</v>
      </c>
      <c r="J522" s="53">
        <v>2000</v>
      </c>
      <c r="K522" s="53"/>
      <c r="L522" s="53"/>
      <c r="M522" s="53"/>
      <c r="N522" s="53"/>
      <c r="O522" s="53"/>
      <c r="P522" s="53"/>
      <c r="Q522" s="53"/>
      <c r="R522" s="53"/>
      <c r="S522" s="53"/>
      <c r="T522" s="53"/>
    </row>
    <row r="523">
      <c r="A523" s="53"/>
      <c r="B523" s="53" t="s">
        <v>12029</v>
      </c>
      <c r="C523" s="53" t="s">
        <v>11171</v>
      </c>
      <c r="D523" s="53" t="s">
        <v>11171</v>
      </c>
      <c r="E523" s="53" t="s">
        <v>11216</v>
      </c>
      <c r="F523" s="53" t="s">
        <v>12030</v>
      </c>
      <c r="G523" s="54">
        <v>0.907502</v>
      </c>
      <c r="H523" s="53">
        <v>0.89</v>
      </c>
      <c r="I523" s="53">
        <v>2000</v>
      </c>
      <c r="J523" s="53">
        <v>5000</v>
      </c>
      <c r="K523" s="53"/>
      <c r="L523" s="53"/>
      <c r="M523" s="53"/>
      <c r="N523" s="53"/>
      <c r="O523" s="53"/>
      <c r="P523" s="53"/>
      <c r="Q523" s="53"/>
      <c r="R523" s="53"/>
      <c r="S523" s="53"/>
      <c r="T523" s="53"/>
    </row>
    <row r="524">
      <c r="A524" s="53"/>
      <c r="B524" s="53" t="s">
        <v>12031</v>
      </c>
      <c r="C524" s="53" t="s">
        <v>11747</v>
      </c>
      <c r="D524" s="53" t="s">
        <v>11747</v>
      </c>
      <c r="E524" s="53" t="s">
        <v>11748</v>
      </c>
      <c r="F524" s="53" t="s">
        <v>12032</v>
      </c>
      <c r="G524" s="54">
        <v>0.008909</v>
      </c>
      <c r="H524" s="53">
        <v>0.89</v>
      </c>
      <c r="I524" s="53">
        <v>1805.7</v>
      </c>
      <c r="J524" s="53">
        <v>2500</v>
      </c>
      <c r="K524" s="53"/>
      <c r="L524" s="53"/>
      <c r="M524" s="53"/>
      <c r="N524" s="53"/>
      <c r="O524" s="53"/>
      <c r="P524" s="53"/>
      <c r="Q524" s="53"/>
      <c r="R524" s="53"/>
      <c r="S524" s="53"/>
      <c r="T524" s="53"/>
    </row>
    <row r="525">
      <c r="A525" s="53"/>
      <c r="B525" s="53" t="s">
        <v>12033</v>
      </c>
      <c r="C525" s="53" t="s">
        <v>11543</v>
      </c>
      <c r="D525" s="53" t="s">
        <v>11543</v>
      </c>
      <c r="E525" s="53" t="s">
        <v>12034</v>
      </c>
      <c r="F525" s="53" t="s">
        <v>12035</v>
      </c>
      <c r="G525" s="54">
        <v>0.925</v>
      </c>
      <c r="H525" s="53">
        <v>0.88</v>
      </c>
      <c r="I525" s="53">
        <v>1144</v>
      </c>
      <c r="J525" s="53">
        <v>1300</v>
      </c>
      <c r="K525" s="53"/>
      <c r="L525" s="53"/>
      <c r="M525" s="53"/>
      <c r="N525" s="53"/>
      <c r="O525" s="53"/>
      <c r="P525" s="53"/>
      <c r="Q525" s="53"/>
      <c r="R525" s="53"/>
      <c r="S525" s="53"/>
      <c r="T525" s="53"/>
    </row>
    <row r="526">
      <c r="A526" s="53"/>
      <c r="B526" s="53" t="s">
        <v>12036</v>
      </c>
      <c r="C526" s="53" t="s">
        <v>11201</v>
      </c>
      <c r="D526" s="53" t="s">
        <v>11201</v>
      </c>
      <c r="E526" s="53" t="s">
        <v>11604</v>
      </c>
      <c r="F526" s="53" t="s">
        <v>12037</v>
      </c>
      <c r="G526" s="54">
        <v>0.842</v>
      </c>
      <c r="H526" s="53">
        <v>0.88</v>
      </c>
      <c r="I526" s="53">
        <v>464</v>
      </c>
      <c r="J526" s="53">
        <v>500</v>
      </c>
      <c r="K526" s="53"/>
      <c r="L526" s="53"/>
      <c r="M526" s="53"/>
      <c r="N526" s="53"/>
      <c r="O526" s="53"/>
      <c r="P526" s="53"/>
      <c r="Q526" s="53"/>
      <c r="R526" s="53"/>
      <c r="S526" s="53"/>
      <c r="T526" s="53"/>
    </row>
    <row r="527">
      <c r="A527" s="53"/>
      <c r="B527" s="53" t="s">
        <v>12038</v>
      </c>
      <c r="C527" s="53" t="s">
        <v>11463</v>
      </c>
      <c r="D527" s="53" t="s">
        <v>11463</v>
      </c>
      <c r="E527" s="53" t="s">
        <v>11980</v>
      </c>
      <c r="F527" s="53" t="s">
        <v>12039</v>
      </c>
      <c r="G527" s="54">
        <v>0.8721</v>
      </c>
      <c r="H527" s="53">
        <v>0.88</v>
      </c>
      <c r="I527" s="53">
        <v>2450</v>
      </c>
      <c r="J527" s="53">
        <v>4000</v>
      </c>
      <c r="K527" s="53"/>
      <c r="L527" s="53"/>
      <c r="M527" s="53"/>
      <c r="N527" s="53"/>
      <c r="O527" s="53"/>
      <c r="P527" s="53"/>
      <c r="Q527" s="53"/>
      <c r="R527" s="53"/>
      <c r="S527" s="53"/>
      <c r="T527" s="53"/>
    </row>
    <row r="528">
      <c r="A528" s="53"/>
      <c r="B528" s="53" t="s">
        <v>12040</v>
      </c>
      <c r="C528" s="53" t="s">
        <v>11089</v>
      </c>
      <c r="D528" s="53" t="s">
        <v>11089</v>
      </c>
      <c r="E528" s="53" t="s">
        <v>10813</v>
      </c>
      <c r="F528" s="53" t="s">
        <v>12041</v>
      </c>
      <c r="G528" s="54">
        <v>0.88</v>
      </c>
      <c r="H528" s="53">
        <v>0.88</v>
      </c>
      <c r="I528" s="53">
        <v>4397</v>
      </c>
      <c r="J528" s="53">
        <v>5000</v>
      </c>
      <c r="K528" s="53"/>
      <c r="L528" s="53"/>
      <c r="M528" s="53"/>
      <c r="N528" s="53"/>
      <c r="O528" s="53"/>
      <c r="P528" s="53"/>
      <c r="Q528" s="53"/>
      <c r="R528" s="53"/>
      <c r="S528" s="53"/>
      <c r="T528" s="53"/>
    </row>
    <row r="529">
      <c r="A529" s="53"/>
      <c r="B529" s="53" t="s">
        <v>12042</v>
      </c>
      <c r="C529" s="53" t="s">
        <v>11570</v>
      </c>
      <c r="D529" s="53" t="s">
        <v>11570</v>
      </c>
      <c r="E529" s="53" t="s">
        <v>11281</v>
      </c>
      <c r="F529" s="53" t="s">
        <v>12043</v>
      </c>
      <c r="G529" s="54">
        <v>0.8802</v>
      </c>
      <c r="H529" s="53">
        <v>0.88</v>
      </c>
      <c r="I529" s="53">
        <v>4400</v>
      </c>
      <c r="J529" s="53">
        <v>5000</v>
      </c>
      <c r="K529" s="53"/>
      <c r="L529" s="53"/>
      <c r="M529" s="53"/>
      <c r="N529" s="53"/>
      <c r="O529" s="53"/>
      <c r="P529" s="53"/>
      <c r="Q529" s="53"/>
      <c r="R529" s="53"/>
      <c r="S529" s="53"/>
      <c r="T529" s="53"/>
    </row>
    <row r="530">
      <c r="A530" s="53"/>
      <c r="B530" s="53" t="s">
        <v>12044</v>
      </c>
      <c r="C530" s="53" t="s">
        <v>11407</v>
      </c>
      <c r="D530" s="53" t="s">
        <v>11407</v>
      </c>
      <c r="E530" s="53" t="s">
        <v>12045</v>
      </c>
      <c r="F530" s="53" t="s">
        <v>12046</v>
      </c>
      <c r="G530" s="54">
        <v>0.96555</v>
      </c>
      <c r="H530" s="53">
        <v>0.87</v>
      </c>
      <c r="I530" s="53">
        <v>3414.31</v>
      </c>
      <c r="J530" s="53">
        <v>4000</v>
      </c>
      <c r="K530" s="53"/>
      <c r="L530" s="53"/>
      <c r="M530" s="53"/>
      <c r="N530" s="53"/>
      <c r="O530" s="53"/>
      <c r="P530" s="53"/>
      <c r="Q530" s="53"/>
      <c r="R530" s="53"/>
      <c r="S530" s="53"/>
      <c r="T530" s="53"/>
    </row>
    <row r="531">
      <c r="A531" s="53"/>
      <c r="B531" s="53" t="s">
        <v>12047</v>
      </c>
      <c r="C531" s="53" t="s">
        <v>11138</v>
      </c>
      <c r="D531" s="53" t="s">
        <v>11138</v>
      </c>
      <c r="E531" s="53" t="s">
        <v>11281</v>
      </c>
      <c r="F531" s="53" t="s">
        <v>12048</v>
      </c>
      <c r="G531" s="54">
        <v>0.9144</v>
      </c>
      <c r="H531" s="53">
        <v>0.87</v>
      </c>
      <c r="I531" s="53">
        <v>0</v>
      </c>
      <c r="J531" s="53">
        <v>5000</v>
      </c>
      <c r="K531" s="53"/>
      <c r="L531" s="53"/>
      <c r="M531" s="53"/>
      <c r="N531" s="53"/>
      <c r="O531" s="53"/>
      <c r="P531" s="53"/>
      <c r="Q531" s="53"/>
      <c r="R531" s="53"/>
      <c r="S531" s="53"/>
      <c r="T531" s="53"/>
    </row>
    <row r="532">
      <c r="A532" s="53"/>
      <c r="B532" s="53" t="s">
        <v>12049</v>
      </c>
      <c r="C532" s="53" t="s">
        <v>11300</v>
      </c>
      <c r="D532" s="53" t="s">
        <v>11300</v>
      </c>
      <c r="E532" s="53" t="s">
        <v>10813</v>
      </c>
      <c r="F532" s="53" t="s">
        <v>12050</v>
      </c>
      <c r="G532" s="54">
        <v>0.951444</v>
      </c>
      <c r="H532" s="53">
        <v>0.87</v>
      </c>
      <c r="I532" s="53">
        <v>8000</v>
      </c>
      <c r="J532" s="53">
        <v>5000</v>
      </c>
      <c r="K532" s="53"/>
      <c r="L532" s="53"/>
      <c r="M532" s="53"/>
      <c r="N532" s="53"/>
      <c r="O532" s="53"/>
      <c r="P532" s="53"/>
      <c r="Q532" s="53"/>
      <c r="R532" s="53"/>
      <c r="S532" s="53"/>
      <c r="T532" s="53"/>
    </row>
    <row r="533">
      <c r="A533" s="53"/>
      <c r="B533" s="53" t="s">
        <v>12051</v>
      </c>
      <c r="C533" s="53" t="s">
        <v>11195</v>
      </c>
      <c r="D533" s="53" t="s">
        <v>11195</v>
      </c>
      <c r="E533" s="53" t="s">
        <v>12001</v>
      </c>
      <c r="F533" s="53" t="s">
        <v>12052</v>
      </c>
      <c r="G533" s="54">
        <v>0.87</v>
      </c>
      <c r="H533" s="53">
        <v>0.87</v>
      </c>
      <c r="I533" s="53">
        <v>1200</v>
      </c>
      <c r="J533" s="53">
        <v>1200</v>
      </c>
      <c r="K533" s="53"/>
      <c r="L533" s="53"/>
      <c r="M533" s="53"/>
      <c r="N533" s="53"/>
      <c r="O533" s="53"/>
      <c r="P533" s="53"/>
      <c r="Q533" s="53"/>
      <c r="R533" s="53"/>
      <c r="S533" s="53"/>
      <c r="T533" s="53"/>
    </row>
    <row r="534">
      <c r="A534" s="53"/>
      <c r="B534" s="53" t="s">
        <v>12053</v>
      </c>
      <c r="C534" s="53" t="s">
        <v>11747</v>
      </c>
      <c r="D534" s="53" t="s">
        <v>11747</v>
      </c>
      <c r="E534" s="53" t="s">
        <v>11771</v>
      </c>
      <c r="F534" s="53" t="s">
        <v>12054</v>
      </c>
      <c r="G534" s="54">
        <v>0.008819</v>
      </c>
      <c r="H534" s="53">
        <v>0.87</v>
      </c>
      <c r="I534" s="53">
        <v>1680</v>
      </c>
      <c r="J534" s="53">
        <v>2100</v>
      </c>
      <c r="K534" s="53"/>
      <c r="L534" s="53"/>
      <c r="M534" s="53"/>
      <c r="N534" s="53"/>
      <c r="O534" s="53"/>
      <c r="P534" s="53"/>
      <c r="Q534" s="53"/>
      <c r="R534" s="53"/>
      <c r="S534" s="53"/>
      <c r="T534" s="53"/>
    </row>
    <row r="535">
      <c r="A535" s="53"/>
      <c r="B535" s="53" t="s">
        <v>12055</v>
      </c>
      <c r="C535" s="53" t="s">
        <v>12056</v>
      </c>
      <c r="D535" s="53" t="s">
        <v>12056</v>
      </c>
      <c r="E535" s="53" t="s">
        <v>11094</v>
      </c>
      <c r="F535" s="53" t="s">
        <v>12057</v>
      </c>
      <c r="G535" s="54">
        <v>0.866675</v>
      </c>
      <c r="H535" s="53">
        <v>0.87</v>
      </c>
      <c r="I535" s="53">
        <v>4686</v>
      </c>
      <c r="J535" s="53">
        <v>5000</v>
      </c>
      <c r="K535" s="53"/>
      <c r="L535" s="53"/>
      <c r="M535" s="53"/>
      <c r="N535" s="53"/>
      <c r="O535" s="53"/>
      <c r="P535" s="53"/>
      <c r="Q535" s="53"/>
      <c r="R535" s="53"/>
      <c r="S535" s="53"/>
      <c r="T535" s="53"/>
    </row>
    <row r="536">
      <c r="A536" s="53"/>
      <c r="B536" s="53" t="s">
        <v>12058</v>
      </c>
      <c r="C536" s="53" t="s">
        <v>11394</v>
      </c>
      <c r="D536" s="53" t="s">
        <v>11394</v>
      </c>
      <c r="E536" s="53" t="s">
        <v>10813</v>
      </c>
      <c r="F536" s="53" t="s">
        <v>12059</v>
      </c>
      <c r="G536" s="54">
        <v>0.89089</v>
      </c>
      <c r="H536" s="53">
        <v>0.86</v>
      </c>
      <c r="I536" s="53">
        <v>4239.9</v>
      </c>
      <c r="J536" s="53">
        <v>5000</v>
      </c>
      <c r="K536" s="53"/>
      <c r="L536" s="53"/>
      <c r="M536" s="53"/>
      <c r="N536" s="53"/>
      <c r="O536" s="53"/>
      <c r="P536" s="53"/>
      <c r="Q536" s="53"/>
      <c r="R536" s="53"/>
      <c r="S536" s="53"/>
      <c r="T536" s="53"/>
    </row>
    <row r="537">
      <c r="A537" s="53"/>
      <c r="B537" s="53" t="s">
        <v>12060</v>
      </c>
      <c r="C537" s="53" t="s">
        <v>11570</v>
      </c>
      <c r="D537" s="53" t="s">
        <v>11570</v>
      </c>
      <c r="E537" s="53" t="s">
        <v>11571</v>
      </c>
      <c r="F537" s="53" t="s">
        <v>12061</v>
      </c>
      <c r="G537" s="54">
        <v>0.88239</v>
      </c>
      <c r="H537" s="53">
        <v>0.86</v>
      </c>
      <c r="I537" s="53">
        <v>1033.13</v>
      </c>
      <c r="J537" s="53">
        <v>1200</v>
      </c>
      <c r="K537" s="53"/>
      <c r="L537" s="53"/>
      <c r="M537" s="53"/>
      <c r="N537" s="53"/>
      <c r="O537" s="53"/>
      <c r="P537" s="53"/>
      <c r="Q537" s="53"/>
      <c r="R537" s="53"/>
      <c r="S537" s="53"/>
      <c r="T537" s="53"/>
    </row>
    <row r="538">
      <c r="A538" s="53"/>
      <c r="B538" s="53" t="s">
        <v>12062</v>
      </c>
      <c r="C538" s="53" t="s">
        <v>11093</v>
      </c>
      <c r="D538" s="53" t="s">
        <v>11093</v>
      </c>
      <c r="E538" s="53" t="s">
        <v>11045</v>
      </c>
      <c r="F538" s="53" t="s">
        <v>12063</v>
      </c>
      <c r="G538" s="54">
        <v>0.889468</v>
      </c>
      <c r="H538" s="53">
        <v>0.86</v>
      </c>
      <c r="I538" s="53">
        <v>2902.5</v>
      </c>
      <c r="J538" s="53">
        <v>1500</v>
      </c>
      <c r="K538" s="53"/>
      <c r="L538" s="53"/>
      <c r="M538" s="53"/>
      <c r="N538" s="53"/>
      <c r="O538" s="53"/>
      <c r="P538" s="53"/>
      <c r="Q538" s="53"/>
      <c r="R538" s="53"/>
      <c r="S538" s="53"/>
      <c r="T538" s="53"/>
    </row>
    <row r="539">
      <c r="A539" s="53"/>
      <c r="B539" s="53" t="s">
        <v>12064</v>
      </c>
      <c r="C539" s="53" t="s">
        <v>11444</v>
      </c>
      <c r="D539" s="53" t="s">
        <v>11444</v>
      </c>
      <c r="E539" s="53" t="s">
        <v>10813</v>
      </c>
      <c r="F539" s="53" t="s">
        <v>12065</v>
      </c>
      <c r="G539" s="54">
        <v>0.86215</v>
      </c>
      <c r="H539" s="53">
        <v>0.86</v>
      </c>
      <c r="I539" s="53">
        <v>5160</v>
      </c>
      <c r="J539" s="53">
        <v>6000</v>
      </c>
      <c r="K539" s="53"/>
      <c r="L539" s="53"/>
      <c r="M539" s="53"/>
      <c r="N539" s="53"/>
      <c r="O539" s="53"/>
      <c r="P539" s="53"/>
      <c r="Q539" s="53"/>
      <c r="R539" s="53"/>
      <c r="S539" s="53"/>
      <c r="T539" s="53"/>
    </row>
    <row r="540">
      <c r="A540" s="53"/>
      <c r="B540" s="53" t="s">
        <v>12066</v>
      </c>
      <c r="C540" s="53" t="s">
        <v>11250</v>
      </c>
      <c r="D540" s="53" t="s">
        <v>11250</v>
      </c>
      <c r="E540" s="53" t="s">
        <v>10813</v>
      </c>
      <c r="F540" s="53" t="s">
        <v>12067</v>
      </c>
      <c r="G540" s="54">
        <v>0.87476</v>
      </c>
      <c r="H540" s="53">
        <v>0.86</v>
      </c>
      <c r="I540" s="53">
        <v>6276.4</v>
      </c>
      <c r="J540" s="53">
        <v>6000</v>
      </c>
      <c r="K540" s="53"/>
      <c r="L540" s="53"/>
      <c r="M540" s="53"/>
      <c r="N540" s="53"/>
      <c r="O540" s="53"/>
      <c r="P540" s="53"/>
      <c r="Q540" s="53"/>
      <c r="R540" s="53"/>
      <c r="S540" s="53"/>
      <c r="T540" s="53"/>
    </row>
    <row r="541">
      <c r="A541" s="53"/>
      <c r="B541" s="53" t="s">
        <v>12068</v>
      </c>
      <c r="C541" s="53" t="s">
        <v>11817</v>
      </c>
      <c r="D541" s="53" t="s">
        <v>11817</v>
      </c>
      <c r="E541" s="53" t="s">
        <v>11629</v>
      </c>
      <c r="F541" s="53" t="s">
        <v>12069</v>
      </c>
      <c r="G541" s="54">
        <v>0.8658</v>
      </c>
      <c r="H541" s="53">
        <v>0.86</v>
      </c>
      <c r="I541" s="53">
        <v>4300</v>
      </c>
      <c r="J541" s="53">
        <v>5000</v>
      </c>
      <c r="K541" s="53"/>
      <c r="L541" s="53"/>
      <c r="M541" s="53"/>
      <c r="N541" s="53"/>
      <c r="O541" s="53"/>
      <c r="P541" s="53"/>
      <c r="Q541" s="53"/>
      <c r="R541" s="53"/>
      <c r="S541" s="53"/>
      <c r="T541" s="53"/>
    </row>
    <row r="542">
      <c r="A542" s="53"/>
      <c r="B542" s="53" t="s">
        <v>12070</v>
      </c>
      <c r="C542" s="53" t="s">
        <v>11440</v>
      </c>
      <c r="D542" s="53" t="s">
        <v>11440</v>
      </c>
      <c r="E542" s="53" t="s">
        <v>11665</v>
      </c>
      <c r="F542" s="53" t="s">
        <v>12071</v>
      </c>
      <c r="G542" s="54">
        <v>1.0025</v>
      </c>
      <c r="H542" s="53">
        <v>0.85</v>
      </c>
      <c r="I542" s="53">
        <v>2550</v>
      </c>
      <c r="J542" s="53">
        <v>3000</v>
      </c>
      <c r="K542" s="53"/>
      <c r="L542" s="53"/>
      <c r="M542" s="53"/>
      <c r="N542" s="53"/>
      <c r="O542" s="53"/>
      <c r="P542" s="53"/>
      <c r="Q542" s="53"/>
      <c r="R542" s="53"/>
      <c r="S542" s="53"/>
      <c r="T542" s="53"/>
    </row>
    <row r="543">
      <c r="A543" s="53"/>
      <c r="B543" s="53" t="s">
        <v>12072</v>
      </c>
      <c r="C543" s="53" t="s">
        <v>11074</v>
      </c>
      <c r="D543" s="53" t="s">
        <v>11074</v>
      </c>
      <c r="E543" s="53" t="s">
        <v>10813</v>
      </c>
      <c r="F543" s="53" t="s">
        <v>12073</v>
      </c>
      <c r="G543" s="54">
        <v>0.68172</v>
      </c>
      <c r="H543" s="53">
        <v>0.85</v>
      </c>
      <c r="I543" s="53">
        <v>0</v>
      </c>
      <c r="J543" s="53">
        <v>5000</v>
      </c>
      <c r="K543" s="53"/>
      <c r="L543" s="53"/>
      <c r="M543" s="53"/>
      <c r="N543" s="53"/>
      <c r="O543" s="53"/>
      <c r="P543" s="53"/>
      <c r="Q543" s="53"/>
      <c r="R543" s="53"/>
      <c r="S543" s="53"/>
      <c r="T543" s="53"/>
    </row>
    <row r="544">
      <c r="A544" s="53"/>
      <c r="B544" s="53" t="s">
        <v>12074</v>
      </c>
      <c r="C544" s="53" t="s">
        <v>11001</v>
      </c>
      <c r="D544" s="53" t="s">
        <v>11001</v>
      </c>
      <c r="E544" s="53" t="s">
        <v>10813</v>
      </c>
      <c r="F544" s="53" t="s">
        <v>12075</v>
      </c>
      <c r="G544" s="54">
        <v>0.845</v>
      </c>
      <c r="H544" s="53">
        <v>0.85</v>
      </c>
      <c r="I544" s="53">
        <v>4782.4</v>
      </c>
      <c r="J544" s="53">
        <v>5000</v>
      </c>
      <c r="K544" s="53"/>
      <c r="L544" s="53"/>
      <c r="M544" s="53"/>
      <c r="N544" s="53"/>
      <c r="O544" s="53"/>
      <c r="P544" s="53"/>
      <c r="Q544" s="53"/>
      <c r="R544" s="53"/>
      <c r="S544" s="53"/>
      <c r="T544" s="53"/>
    </row>
    <row r="545">
      <c r="A545" s="53"/>
      <c r="B545" s="53" t="s">
        <v>12076</v>
      </c>
      <c r="C545" s="53" t="s">
        <v>11115</v>
      </c>
      <c r="D545" s="53" t="s">
        <v>11115</v>
      </c>
      <c r="E545" s="53" t="s">
        <v>11104</v>
      </c>
      <c r="F545" s="53" t="s">
        <v>12077</v>
      </c>
      <c r="G545" s="54">
        <v>0.850534</v>
      </c>
      <c r="H545" s="53">
        <v>0.85</v>
      </c>
      <c r="I545" s="53">
        <v>0</v>
      </c>
      <c r="J545" s="53">
        <v>2000</v>
      </c>
      <c r="K545" s="53"/>
      <c r="L545" s="53"/>
      <c r="M545" s="53"/>
      <c r="N545" s="53"/>
      <c r="O545" s="53"/>
      <c r="P545" s="53"/>
      <c r="Q545" s="53"/>
      <c r="R545" s="53"/>
      <c r="S545" s="53"/>
      <c r="T545" s="53"/>
    </row>
    <row r="546">
      <c r="A546" s="53"/>
      <c r="B546" s="53" t="s">
        <v>12078</v>
      </c>
      <c r="C546" s="53" t="s">
        <v>11284</v>
      </c>
      <c r="D546" s="53" t="s">
        <v>11284</v>
      </c>
      <c r="E546" s="53" t="s">
        <v>11281</v>
      </c>
      <c r="F546" s="53" t="s">
        <v>12079</v>
      </c>
      <c r="G546" s="54">
        <v>0.870834</v>
      </c>
      <c r="H546" s="53">
        <v>0.85</v>
      </c>
      <c r="I546" s="53">
        <v>8000</v>
      </c>
      <c r="J546" s="53">
        <v>5000</v>
      </c>
      <c r="K546" s="53"/>
      <c r="L546" s="53"/>
      <c r="M546" s="53"/>
      <c r="N546" s="53"/>
      <c r="O546" s="53"/>
      <c r="P546" s="53"/>
      <c r="Q546" s="53"/>
      <c r="R546" s="53"/>
      <c r="S546" s="53"/>
      <c r="T546" s="53"/>
    </row>
    <row r="547">
      <c r="A547" s="53"/>
      <c r="B547" s="53" t="s">
        <v>12080</v>
      </c>
      <c r="C547" s="53" t="s">
        <v>11171</v>
      </c>
      <c r="D547" s="53" t="s">
        <v>11171</v>
      </c>
      <c r="E547" s="53" t="s">
        <v>11281</v>
      </c>
      <c r="F547" s="53" t="s">
        <v>12081</v>
      </c>
      <c r="G547" s="54">
        <v>0.851</v>
      </c>
      <c r="H547" s="53">
        <v>0.85</v>
      </c>
      <c r="I547" s="53">
        <v>0</v>
      </c>
      <c r="J547" s="53">
        <v>5000</v>
      </c>
      <c r="K547" s="53"/>
      <c r="L547" s="53"/>
      <c r="M547" s="53"/>
      <c r="N547" s="53"/>
      <c r="O547" s="53"/>
      <c r="P547" s="53"/>
      <c r="Q547" s="53"/>
      <c r="R547" s="53"/>
      <c r="S547" s="53"/>
      <c r="T547" s="53"/>
    </row>
    <row r="548">
      <c r="A548" s="53"/>
      <c r="B548" s="53" t="s">
        <v>12082</v>
      </c>
      <c r="C548" s="53" t="s">
        <v>11657</v>
      </c>
      <c r="D548" s="53" t="s">
        <v>11657</v>
      </c>
      <c r="E548" s="53" t="s">
        <v>11325</v>
      </c>
      <c r="F548" s="53" t="s">
        <v>12083</v>
      </c>
      <c r="G548" s="54">
        <v>0.85</v>
      </c>
      <c r="H548" s="53">
        <v>0.85</v>
      </c>
      <c r="I548" s="53">
        <v>2057</v>
      </c>
      <c r="J548" s="53">
        <v>3000</v>
      </c>
      <c r="K548" s="53"/>
      <c r="L548" s="53"/>
      <c r="M548" s="53"/>
      <c r="N548" s="53"/>
      <c r="O548" s="53"/>
      <c r="P548" s="53"/>
      <c r="Q548" s="53"/>
      <c r="R548" s="53"/>
      <c r="S548" s="53"/>
      <c r="T548" s="53"/>
    </row>
    <row r="549">
      <c r="A549" s="53"/>
      <c r="B549" s="53" t="s">
        <v>12084</v>
      </c>
      <c r="C549" s="53" t="s">
        <v>11264</v>
      </c>
      <c r="D549" s="53" t="s">
        <v>11264</v>
      </c>
      <c r="E549" s="53" t="s">
        <v>11265</v>
      </c>
      <c r="F549" s="53" t="s">
        <v>12085</v>
      </c>
      <c r="G549" s="54">
        <v>0.85</v>
      </c>
      <c r="H549" s="53">
        <v>0.85</v>
      </c>
      <c r="I549" s="53">
        <v>850</v>
      </c>
      <c r="J549" s="53">
        <v>1000</v>
      </c>
      <c r="K549" s="53"/>
      <c r="L549" s="53"/>
      <c r="M549" s="53"/>
      <c r="N549" s="53"/>
      <c r="O549" s="53"/>
      <c r="P549" s="53"/>
      <c r="Q549" s="53"/>
      <c r="R549" s="53"/>
      <c r="S549" s="53"/>
      <c r="T549" s="53"/>
    </row>
    <row r="550">
      <c r="A550" s="53"/>
      <c r="B550" s="53" t="s">
        <v>12086</v>
      </c>
      <c r="C550" s="53" t="s">
        <v>11074</v>
      </c>
      <c r="D550" s="53" t="s">
        <v>11074</v>
      </c>
      <c r="E550" s="53" t="s">
        <v>11122</v>
      </c>
      <c r="F550" s="53" t="s">
        <v>12087</v>
      </c>
      <c r="G550" s="54">
        <v>0.84</v>
      </c>
      <c r="H550" s="53">
        <v>0.84</v>
      </c>
      <c r="I550" s="53">
        <v>2400.24</v>
      </c>
      <c r="J550" s="53">
        <v>3000</v>
      </c>
      <c r="K550" s="53"/>
      <c r="L550" s="53"/>
      <c r="M550" s="53"/>
      <c r="N550" s="53"/>
      <c r="O550" s="53"/>
      <c r="P550" s="53"/>
      <c r="Q550" s="53"/>
      <c r="R550" s="53"/>
      <c r="S550" s="53"/>
      <c r="T550" s="53"/>
    </row>
    <row r="551">
      <c r="A551" s="53"/>
      <c r="B551" s="53" t="s">
        <v>12088</v>
      </c>
      <c r="C551" s="53" t="s">
        <v>11001</v>
      </c>
      <c r="D551" s="53" t="s">
        <v>11001</v>
      </c>
      <c r="E551" s="53" t="s">
        <v>11220</v>
      </c>
      <c r="F551" s="53" t="s">
        <v>12089</v>
      </c>
      <c r="G551" s="54">
        <v>0.841</v>
      </c>
      <c r="H551" s="53">
        <v>0.84</v>
      </c>
      <c r="I551" s="53">
        <v>3234.5</v>
      </c>
      <c r="J551" s="53">
        <v>3000</v>
      </c>
      <c r="K551" s="53"/>
      <c r="L551" s="53"/>
      <c r="M551" s="53"/>
      <c r="N551" s="53"/>
      <c r="O551" s="53"/>
      <c r="P551" s="53"/>
      <c r="Q551" s="53"/>
      <c r="R551" s="53"/>
      <c r="S551" s="53"/>
      <c r="T551" s="53"/>
    </row>
    <row r="552">
      <c r="A552" s="53"/>
      <c r="B552" s="53" t="s">
        <v>12090</v>
      </c>
      <c r="C552" s="53" t="s">
        <v>11001</v>
      </c>
      <c r="D552" s="53" t="s">
        <v>11001</v>
      </c>
      <c r="E552" s="53" t="s">
        <v>11220</v>
      </c>
      <c r="F552" s="53" t="s">
        <v>12091</v>
      </c>
      <c r="G552" s="54">
        <v>0.84</v>
      </c>
      <c r="H552" s="53">
        <v>0.84</v>
      </c>
      <c r="I552" s="53">
        <v>3350.9</v>
      </c>
      <c r="J552" s="53">
        <v>3000</v>
      </c>
      <c r="K552" s="53"/>
      <c r="L552" s="53"/>
      <c r="M552" s="53"/>
      <c r="N552" s="53"/>
      <c r="O552" s="53"/>
      <c r="P552" s="53"/>
      <c r="Q552" s="53"/>
      <c r="R552" s="53"/>
      <c r="S552" s="53"/>
      <c r="T552" s="53"/>
    </row>
    <row r="553">
      <c r="A553" s="53"/>
      <c r="B553" s="53" t="s">
        <v>12092</v>
      </c>
      <c r="C553" s="53" t="s">
        <v>11570</v>
      </c>
      <c r="D553" s="53" t="s">
        <v>11570</v>
      </c>
      <c r="E553" s="53" t="s">
        <v>11571</v>
      </c>
      <c r="F553" s="53" t="s">
        <v>12093</v>
      </c>
      <c r="G553" s="54">
        <v>0.841</v>
      </c>
      <c r="H553" s="53">
        <v>0.84</v>
      </c>
      <c r="I553" s="53">
        <v>1008</v>
      </c>
      <c r="J553" s="53">
        <v>1200</v>
      </c>
      <c r="K553" s="53"/>
      <c r="L553" s="53"/>
      <c r="M553" s="53"/>
      <c r="N553" s="53"/>
      <c r="O553" s="53"/>
      <c r="P553" s="53"/>
      <c r="Q553" s="53"/>
      <c r="R553" s="53"/>
      <c r="S553" s="53"/>
      <c r="T553" s="53"/>
    </row>
    <row r="554">
      <c r="A554" s="53"/>
      <c r="B554" s="53" t="s">
        <v>12094</v>
      </c>
      <c r="C554" s="53" t="s">
        <v>11247</v>
      </c>
      <c r="D554" s="53" t="s">
        <v>11247</v>
      </c>
      <c r="E554" s="53" t="s">
        <v>11141</v>
      </c>
      <c r="F554" s="53" t="s">
        <v>12095</v>
      </c>
      <c r="G554" s="54">
        <v>0.66617</v>
      </c>
      <c r="H554" s="53">
        <v>0.84</v>
      </c>
      <c r="I554" s="53">
        <v>0</v>
      </c>
      <c r="J554" s="53">
        <v>5000</v>
      </c>
      <c r="K554" s="53"/>
      <c r="L554" s="53"/>
      <c r="M554" s="53"/>
      <c r="N554" s="53"/>
      <c r="O554" s="53"/>
      <c r="P554" s="53"/>
      <c r="Q554" s="53"/>
      <c r="R554" s="53"/>
      <c r="S554" s="53"/>
      <c r="T554" s="53"/>
    </row>
    <row r="555">
      <c r="A555" s="53"/>
      <c r="B555" s="53" t="s">
        <v>12096</v>
      </c>
      <c r="C555" s="53" t="s">
        <v>11201</v>
      </c>
      <c r="D555" s="53" t="s">
        <v>11201</v>
      </c>
      <c r="E555" s="53" t="s">
        <v>11604</v>
      </c>
      <c r="F555" s="53" t="s">
        <v>12097</v>
      </c>
      <c r="G555" s="54">
        <v>0.836</v>
      </c>
      <c r="H555" s="53">
        <v>0.84</v>
      </c>
      <c r="I555" s="53">
        <v>419</v>
      </c>
      <c r="J555" s="53">
        <v>500</v>
      </c>
      <c r="K555" s="53"/>
      <c r="L555" s="53"/>
      <c r="M555" s="53"/>
      <c r="N555" s="53"/>
      <c r="O555" s="53"/>
      <c r="P555" s="53"/>
      <c r="Q555" s="53"/>
      <c r="R555" s="53"/>
      <c r="S555" s="53"/>
      <c r="T555" s="53"/>
    </row>
    <row r="556">
      <c r="A556" s="53"/>
      <c r="B556" s="53" t="s">
        <v>12098</v>
      </c>
      <c r="C556" s="53" t="s">
        <v>11201</v>
      </c>
      <c r="D556" s="53" t="s">
        <v>11201</v>
      </c>
      <c r="E556" s="53" t="s">
        <v>11604</v>
      </c>
      <c r="F556" s="53" t="s">
        <v>12099</v>
      </c>
      <c r="G556" s="54">
        <v>0.84</v>
      </c>
      <c r="H556" s="53">
        <v>0.84</v>
      </c>
      <c r="I556" s="53">
        <v>420</v>
      </c>
      <c r="J556" s="53">
        <v>500</v>
      </c>
      <c r="K556" s="53"/>
      <c r="L556" s="53"/>
      <c r="M556" s="53"/>
      <c r="N556" s="53"/>
      <c r="O556" s="53"/>
      <c r="P556" s="53"/>
      <c r="Q556" s="53"/>
      <c r="R556" s="53"/>
      <c r="S556" s="53"/>
      <c r="T556" s="53"/>
    </row>
    <row r="557">
      <c r="A557" s="53"/>
      <c r="B557" s="53" t="s">
        <v>12100</v>
      </c>
      <c r="C557" s="53" t="s">
        <v>11185</v>
      </c>
      <c r="D557" s="53" t="s">
        <v>11185</v>
      </c>
      <c r="E557" s="53" t="s">
        <v>11255</v>
      </c>
      <c r="F557" s="53" t="s">
        <v>12101</v>
      </c>
      <c r="G557" s="54">
        <v>0.73</v>
      </c>
      <c r="H557" s="53">
        <v>0.83</v>
      </c>
      <c r="I557" s="53">
        <v>2870</v>
      </c>
      <c r="J557" s="53">
        <v>3000</v>
      </c>
      <c r="K557" s="53"/>
      <c r="L557" s="53"/>
      <c r="M557" s="53"/>
      <c r="N557" s="53"/>
      <c r="O557" s="53"/>
      <c r="P557" s="53"/>
      <c r="Q557" s="53"/>
      <c r="R557" s="53"/>
      <c r="S557" s="53"/>
      <c r="T557" s="53"/>
    </row>
    <row r="558">
      <c r="A558" s="53"/>
      <c r="B558" s="53" t="s">
        <v>12102</v>
      </c>
      <c r="C558" s="53" t="s">
        <v>11432</v>
      </c>
      <c r="D558" s="53" t="s">
        <v>11432</v>
      </c>
      <c r="E558" s="53" t="s">
        <v>11476</v>
      </c>
      <c r="F558" s="53" t="s">
        <v>12103</v>
      </c>
      <c r="G558" s="54">
        <v>0.83</v>
      </c>
      <c r="H558" s="53">
        <v>0.83</v>
      </c>
      <c r="I558" s="53">
        <v>2490</v>
      </c>
      <c r="J558" s="53">
        <v>3000</v>
      </c>
      <c r="K558" s="53"/>
      <c r="L558" s="53"/>
      <c r="M558" s="53"/>
      <c r="N558" s="53"/>
      <c r="O558" s="53"/>
      <c r="P558" s="53"/>
      <c r="Q558" s="53"/>
      <c r="R558" s="53"/>
      <c r="S558" s="53"/>
      <c r="T558" s="53"/>
    </row>
    <row r="559">
      <c r="A559" s="53"/>
      <c r="B559" s="53" t="s">
        <v>12104</v>
      </c>
      <c r="C559" s="53" t="s">
        <v>12105</v>
      </c>
      <c r="D559" s="53" t="s">
        <v>12105</v>
      </c>
      <c r="E559" s="53" t="s">
        <v>10813</v>
      </c>
      <c r="F559" s="53" t="s">
        <v>12106</v>
      </c>
      <c r="G559" s="54">
        <v>0.702</v>
      </c>
      <c r="H559" s="53">
        <v>0.83</v>
      </c>
      <c r="I559" s="53">
        <v>4150</v>
      </c>
      <c r="J559" s="53">
        <v>5000</v>
      </c>
      <c r="K559" s="53"/>
      <c r="L559" s="53"/>
      <c r="M559" s="53"/>
      <c r="N559" s="53"/>
      <c r="O559" s="53"/>
      <c r="P559" s="53"/>
      <c r="Q559" s="53"/>
      <c r="R559" s="53"/>
      <c r="S559" s="53"/>
      <c r="T559" s="53"/>
    </row>
    <row r="560">
      <c r="A560" s="53"/>
      <c r="B560" s="53" t="s">
        <v>12107</v>
      </c>
      <c r="C560" s="53" t="s">
        <v>12105</v>
      </c>
      <c r="D560" s="53" t="s">
        <v>12105</v>
      </c>
      <c r="E560" s="53" t="s">
        <v>11045</v>
      </c>
      <c r="F560" s="53" t="s">
        <v>12108</v>
      </c>
      <c r="G560" s="54">
        <v>0.834</v>
      </c>
      <c r="H560" s="53">
        <v>0.83</v>
      </c>
      <c r="I560" s="53">
        <v>1251</v>
      </c>
      <c r="J560" s="53">
        <v>1500</v>
      </c>
      <c r="K560" s="53"/>
      <c r="L560" s="53"/>
      <c r="M560" s="53"/>
      <c r="N560" s="53"/>
      <c r="O560" s="53"/>
      <c r="P560" s="53"/>
      <c r="Q560" s="53"/>
      <c r="R560" s="53"/>
      <c r="S560" s="53"/>
      <c r="T560" s="53"/>
    </row>
    <row r="561">
      <c r="A561" s="53"/>
      <c r="B561" s="53" t="s">
        <v>12109</v>
      </c>
      <c r="C561" s="53" t="s">
        <v>10843</v>
      </c>
      <c r="D561" s="53" t="s">
        <v>10843</v>
      </c>
      <c r="E561" s="53" t="s">
        <v>11151</v>
      </c>
      <c r="F561" s="53" t="s">
        <v>12110</v>
      </c>
      <c r="G561" s="54">
        <v>0.833</v>
      </c>
      <c r="H561" s="53">
        <v>0.83</v>
      </c>
      <c r="I561" s="53">
        <v>3969.6</v>
      </c>
      <c r="J561" s="53">
        <v>3000</v>
      </c>
      <c r="K561" s="53"/>
      <c r="L561" s="53"/>
      <c r="M561" s="53"/>
      <c r="N561" s="53"/>
      <c r="O561" s="53"/>
      <c r="P561" s="53"/>
      <c r="Q561" s="53"/>
      <c r="R561" s="53"/>
      <c r="S561" s="53"/>
      <c r="T561" s="53"/>
    </row>
    <row r="562">
      <c r="A562" s="53"/>
      <c r="B562" s="53" t="s">
        <v>12111</v>
      </c>
      <c r="C562" s="53" t="s">
        <v>12056</v>
      </c>
      <c r="D562" s="53" t="s">
        <v>12056</v>
      </c>
      <c r="E562" s="53" t="s">
        <v>11635</v>
      </c>
      <c r="F562" s="53" t="s">
        <v>12112</v>
      </c>
      <c r="G562" s="54">
        <v>0.87</v>
      </c>
      <c r="H562" s="53">
        <v>0.83</v>
      </c>
      <c r="I562" s="53">
        <v>0</v>
      </c>
      <c r="J562" s="53">
        <v>5000</v>
      </c>
      <c r="K562" s="53"/>
      <c r="L562" s="53"/>
      <c r="M562" s="53"/>
      <c r="N562" s="53"/>
      <c r="O562" s="53"/>
      <c r="P562" s="53"/>
      <c r="Q562" s="53"/>
      <c r="R562" s="53"/>
      <c r="S562" s="53"/>
      <c r="T562" s="53"/>
    </row>
    <row r="563">
      <c r="A563" s="53"/>
      <c r="B563" s="53" t="s">
        <v>12113</v>
      </c>
      <c r="C563" s="53" t="s">
        <v>11001</v>
      </c>
      <c r="D563" s="53" t="s">
        <v>11001</v>
      </c>
      <c r="E563" s="53" t="s">
        <v>11220</v>
      </c>
      <c r="F563" s="53" t="s">
        <v>12114</v>
      </c>
      <c r="G563" s="54">
        <v>0.8822</v>
      </c>
      <c r="H563" s="53">
        <v>0.82</v>
      </c>
      <c r="I563" s="53">
        <v>3071.3</v>
      </c>
      <c r="J563" s="53">
        <v>3000</v>
      </c>
      <c r="K563" s="53"/>
      <c r="L563" s="53"/>
      <c r="M563" s="53"/>
      <c r="N563" s="53"/>
      <c r="O563" s="53"/>
      <c r="P563" s="53"/>
      <c r="Q563" s="53"/>
      <c r="R563" s="53"/>
      <c r="S563" s="53"/>
      <c r="T563" s="53"/>
    </row>
    <row r="564">
      <c r="A564" s="53"/>
      <c r="B564" s="53" t="s">
        <v>12115</v>
      </c>
      <c r="C564" s="53" t="s">
        <v>12116</v>
      </c>
      <c r="D564" s="53" t="s">
        <v>12116</v>
      </c>
      <c r="E564" s="53" t="s">
        <v>10813</v>
      </c>
      <c r="F564" s="53" t="s">
        <v>12117</v>
      </c>
      <c r="G564" s="54">
        <v>0.889755</v>
      </c>
      <c r="H564" s="53">
        <v>0.82</v>
      </c>
      <c r="I564" s="53">
        <v>5007.67</v>
      </c>
      <c r="J564" s="53">
        <v>5000</v>
      </c>
      <c r="K564" s="53"/>
      <c r="L564" s="53"/>
      <c r="M564" s="53"/>
      <c r="N564" s="53"/>
      <c r="O564" s="53"/>
      <c r="P564" s="53"/>
      <c r="Q564" s="53"/>
      <c r="R564" s="53"/>
      <c r="S564" s="53"/>
      <c r="T564" s="53"/>
    </row>
    <row r="565">
      <c r="A565" s="53"/>
      <c r="B565" s="53" t="s">
        <v>12118</v>
      </c>
      <c r="C565" s="53" t="s">
        <v>11264</v>
      </c>
      <c r="D565" s="53" t="s">
        <v>11264</v>
      </c>
      <c r="E565" s="53" t="s">
        <v>11265</v>
      </c>
      <c r="F565" s="53" t="s">
        <v>12119</v>
      </c>
      <c r="G565" s="54">
        <v>0.73812</v>
      </c>
      <c r="H565" s="53">
        <v>0.82</v>
      </c>
      <c r="I565" s="53">
        <v>2116.94</v>
      </c>
      <c r="J565" s="53">
        <v>3000</v>
      </c>
      <c r="K565" s="53"/>
      <c r="L565" s="53"/>
      <c r="M565" s="53"/>
      <c r="N565" s="53"/>
      <c r="O565" s="53"/>
      <c r="P565" s="53"/>
      <c r="Q565" s="53"/>
      <c r="R565" s="53"/>
      <c r="S565" s="53"/>
      <c r="T565" s="53"/>
    </row>
    <row r="566">
      <c r="A566" s="53"/>
      <c r="B566" s="53" t="s">
        <v>12120</v>
      </c>
      <c r="C566" s="53" t="s">
        <v>11247</v>
      </c>
      <c r="D566" s="53" t="s">
        <v>11247</v>
      </c>
      <c r="E566" s="53" t="s">
        <v>11685</v>
      </c>
      <c r="F566" s="53" t="s">
        <v>12121</v>
      </c>
      <c r="G566" s="54">
        <v>0.8178</v>
      </c>
      <c r="H566" s="53">
        <v>0.82</v>
      </c>
      <c r="I566" s="53">
        <v>2395.83</v>
      </c>
      <c r="J566" s="53">
        <v>1200</v>
      </c>
      <c r="K566" s="53"/>
      <c r="L566" s="53"/>
      <c r="M566" s="53"/>
      <c r="N566" s="53"/>
      <c r="O566" s="53"/>
      <c r="P566" s="53"/>
      <c r="Q566" s="53"/>
      <c r="R566" s="53"/>
      <c r="S566" s="53"/>
      <c r="T566" s="53"/>
    </row>
    <row r="567">
      <c r="A567" s="53"/>
      <c r="B567" s="53" t="s">
        <v>12122</v>
      </c>
      <c r="C567" s="53" t="s">
        <v>11338</v>
      </c>
      <c r="D567" s="53" t="s">
        <v>11338</v>
      </c>
      <c r="E567" s="53" t="s">
        <v>11339</v>
      </c>
      <c r="F567" s="53" t="s">
        <v>12123</v>
      </c>
      <c r="G567" s="54">
        <v>0.81581</v>
      </c>
      <c r="H567" s="53">
        <v>0.82</v>
      </c>
      <c r="I567" s="53">
        <v>2769.23</v>
      </c>
      <c r="J567" s="53">
        <v>3000</v>
      </c>
      <c r="K567" s="53"/>
      <c r="L567" s="53"/>
      <c r="M567" s="53"/>
      <c r="N567" s="53"/>
      <c r="O567" s="53"/>
      <c r="P567" s="53"/>
      <c r="Q567" s="53"/>
      <c r="R567" s="53"/>
      <c r="S567" s="53"/>
      <c r="T567" s="53"/>
    </row>
    <row r="568">
      <c r="A568" s="53"/>
      <c r="B568" s="53" t="s">
        <v>12124</v>
      </c>
      <c r="C568" s="53" t="s">
        <v>11089</v>
      </c>
      <c r="D568" s="53" t="s">
        <v>11089</v>
      </c>
      <c r="E568" s="53" t="s">
        <v>11692</v>
      </c>
      <c r="F568" s="53" t="s">
        <v>12125</v>
      </c>
      <c r="G568" s="54">
        <v>0.80827</v>
      </c>
      <c r="H568" s="53">
        <v>0.82</v>
      </c>
      <c r="I568" s="53">
        <v>821</v>
      </c>
      <c r="J568" s="53">
        <v>1000</v>
      </c>
      <c r="K568" s="53"/>
      <c r="L568" s="53"/>
      <c r="M568" s="53"/>
      <c r="N568" s="53"/>
      <c r="O568" s="53"/>
      <c r="P568" s="53"/>
      <c r="Q568" s="53"/>
      <c r="R568" s="53"/>
      <c r="S568" s="53"/>
      <c r="T568" s="53"/>
    </row>
    <row r="569">
      <c r="A569" s="53"/>
      <c r="B569" s="53" t="s">
        <v>12126</v>
      </c>
      <c r="C569" s="53" t="s">
        <v>11357</v>
      </c>
      <c r="D569" s="53" t="s">
        <v>11357</v>
      </c>
      <c r="E569" s="53" t="s">
        <v>10813</v>
      </c>
      <c r="F569" s="53" t="s">
        <v>12127</v>
      </c>
      <c r="G569" s="54">
        <v>0.821</v>
      </c>
      <c r="H569" s="53">
        <v>0.82</v>
      </c>
      <c r="I569" s="53">
        <v>4926</v>
      </c>
      <c r="J569" s="53">
        <v>6000</v>
      </c>
      <c r="K569" s="53"/>
      <c r="L569" s="53"/>
      <c r="M569" s="53"/>
      <c r="N569" s="53"/>
      <c r="O569" s="53"/>
      <c r="P569" s="53"/>
      <c r="Q569" s="53"/>
      <c r="R569" s="53"/>
      <c r="S569" s="53"/>
      <c r="T569" s="53"/>
    </row>
    <row r="570">
      <c r="A570" s="53"/>
      <c r="B570" s="53" t="s">
        <v>12128</v>
      </c>
      <c r="C570" s="53" t="s">
        <v>11907</v>
      </c>
      <c r="D570" s="53" t="s">
        <v>11907</v>
      </c>
      <c r="E570" s="53" t="s">
        <v>12021</v>
      </c>
      <c r="F570" s="53" t="s">
        <v>12129</v>
      </c>
      <c r="G570" s="54">
        <v>0.8985</v>
      </c>
      <c r="H570" s="53">
        <v>0.82</v>
      </c>
      <c r="I570" s="53">
        <v>3360</v>
      </c>
      <c r="J570" s="53">
        <v>5000</v>
      </c>
      <c r="K570" s="53"/>
      <c r="L570" s="53"/>
      <c r="M570" s="53"/>
      <c r="N570" s="53"/>
      <c r="O570" s="53"/>
      <c r="P570" s="53"/>
      <c r="Q570" s="53"/>
      <c r="R570" s="53"/>
      <c r="S570" s="53"/>
      <c r="T570" s="53"/>
    </row>
    <row r="571">
      <c r="A571" s="53"/>
      <c r="B571" s="53" t="s">
        <v>12130</v>
      </c>
      <c r="C571" s="53" t="s">
        <v>11250</v>
      </c>
      <c r="D571" s="53" t="s">
        <v>11250</v>
      </c>
      <c r="E571" s="53" t="s">
        <v>11141</v>
      </c>
      <c r="F571" s="53" t="s">
        <v>12131</v>
      </c>
      <c r="G571" s="54">
        <v>0.008257</v>
      </c>
      <c r="H571" s="53">
        <v>0.82</v>
      </c>
      <c r="I571" s="53">
        <v>4100</v>
      </c>
      <c r="J571" s="53">
        <v>5000</v>
      </c>
      <c r="K571" s="53"/>
      <c r="L571" s="53"/>
      <c r="M571" s="53"/>
      <c r="N571" s="53"/>
      <c r="O571" s="53"/>
      <c r="P571" s="53"/>
      <c r="Q571" s="53"/>
      <c r="R571" s="53"/>
      <c r="S571" s="53"/>
      <c r="T571" s="53"/>
    </row>
    <row r="572">
      <c r="A572" s="53"/>
      <c r="B572" s="53" t="s">
        <v>12132</v>
      </c>
      <c r="C572" s="53" t="s">
        <v>11125</v>
      </c>
      <c r="D572" s="53" t="s">
        <v>11125</v>
      </c>
      <c r="E572" s="53" t="s">
        <v>11045</v>
      </c>
      <c r="F572" s="53" t="s">
        <v>12133</v>
      </c>
      <c r="G572" s="54">
        <v>0.81991</v>
      </c>
      <c r="H572" s="53">
        <v>0.82</v>
      </c>
      <c r="I572" s="53">
        <v>4700</v>
      </c>
      <c r="J572" s="53">
        <v>1500</v>
      </c>
      <c r="K572" s="53"/>
      <c r="L572" s="53"/>
      <c r="M572" s="53"/>
      <c r="N572" s="53"/>
      <c r="O572" s="53"/>
      <c r="P572" s="53"/>
      <c r="Q572" s="53"/>
      <c r="R572" s="53"/>
      <c r="S572" s="53"/>
      <c r="T572" s="53"/>
    </row>
    <row r="573">
      <c r="A573" s="53"/>
      <c r="B573" s="53" t="s">
        <v>12134</v>
      </c>
      <c r="C573" s="53" t="s">
        <v>11115</v>
      </c>
      <c r="D573" s="53" t="s">
        <v>11115</v>
      </c>
      <c r="E573" s="53" t="s">
        <v>11202</v>
      </c>
      <c r="F573" s="53" t="s">
        <v>12135</v>
      </c>
      <c r="G573" s="54">
        <v>0.82416</v>
      </c>
      <c r="H573" s="53">
        <v>0.82</v>
      </c>
      <c r="I573" s="53">
        <v>4100</v>
      </c>
      <c r="J573" s="53">
        <v>5000</v>
      </c>
      <c r="K573" s="53"/>
      <c r="L573" s="53"/>
      <c r="M573" s="53"/>
      <c r="N573" s="53"/>
      <c r="O573" s="53"/>
      <c r="P573" s="53"/>
      <c r="Q573" s="53"/>
      <c r="R573" s="53"/>
      <c r="S573" s="53"/>
      <c r="T573" s="53"/>
    </row>
    <row r="574">
      <c r="A574" s="53"/>
      <c r="B574" s="53" t="s">
        <v>12136</v>
      </c>
      <c r="C574" s="53" t="s">
        <v>11817</v>
      </c>
      <c r="D574" s="53" t="s">
        <v>11817</v>
      </c>
      <c r="E574" s="53" t="s">
        <v>11738</v>
      </c>
      <c r="F574" s="53" t="s">
        <v>12137</v>
      </c>
      <c r="G574" s="54">
        <v>0.8235</v>
      </c>
      <c r="H574" s="53">
        <v>0.82</v>
      </c>
      <c r="I574" s="53">
        <v>4100</v>
      </c>
      <c r="J574" s="53">
        <v>5000</v>
      </c>
      <c r="K574" s="53"/>
      <c r="L574" s="53"/>
      <c r="M574" s="53"/>
      <c r="N574" s="53"/>
      <c r="O574" s="53"/>
      <c r="P574" s="53"/>
      <c r="Q574" s="53"/>
      <c r="R574" s="53"/>
      <c r="S574" s="53"/>
      <c r="T574" s="53"/>
    </row>
    <row r="575">
      <c r="A575" s="53"/>
      <c r="B575" s="53" t="s">
        <v>12138</v>
      </c>
      <c r="C575" s="53" t="s">
        <v>11407</v>
      </c>
      <c r="D575" s="53" t="s">
        <v>11407</v>
      </c>
      <c r="E575" s="53" t="s">
        <v>12139</v>
      </c>
      <c r="F575" s="53" t="s">
        <v>12140</v>
      </c>
      <c r="G575" s="54">
        <v>0.85829</v>
      </c>
      <c r="H575" s="53">
        <v>0.81</v>
      </c>
      <c r="I575" s="53">
        <v>2128</v>
      </c>
      <c r="J575" s="53">
        <v>2200</v>
      </c>
      <c r="K575" s="53"/>
      <c r="L575" s="53"/>
      <c r="M575" s="53"/>
      <c r="N575" s="53"/>
      <c r="O575" s="53"/>
      <c r="P575" s="53"/>
      <c r="Q575" s="53"/>
      <c r="R575" s="53"/>
      <c r="S575" s="53"/>
      <c r="T575" s="53"/>
    </row>
    <row r="576">
      <c r="A576" s="53"/>
      <c r="B576" s="53" t="s">
        <v>12141</v>
      </c>
      <c r="C576" s="53" t="s">
        <v>11115</v>
      </c>
      <c r="D576" s="53" t="s">
        <v>11115</v>
      </c>
      <c r="E576" s="53" t="s">
        <v>10813</v>
      </c>
      <c r="F576" s="53" t="s">
        <v>12142</v>
      </c>
      <c r="G576" s="54">
        <v>0.813489</v>
      </c>
      <c r="H576" s="53">
        <v>0.81</v>
      </c>
      <c r="I576" s="53">
        <v>8000</v>
      </c>
      <c r="J576" s="53">
        <v>5000</v>
      </c>
      <c r="K576" s="53"/>
      <c r="L576" s="53"/>
      <c r="M576" s="53"/>
      <c r="N576" s="53"/>
      <c r="O576" s="53"/>
      <c r="P576" s="53"/>
      <c r="Q576" s="53"/>
      <c r="R576" s="53"/>
      <c r="S576" s="53"/>
      <c r="T576" s="53"/>
    </row>
    <row r="577">
      <c r="A577" s="53"/>
      <c r="B577" s="53" t="s">
        <v>12143</v>
      </c>
      <c r="C577" s="53" t="s">
        <v>11243</v>
      </c>
      <c r="D577" s="53" t="s">
        <v>11243</v>
      </c>
      <c r="E577" s="53" t="s">
        <v>10813</v>
      </c>
      <c r="F577" s="53" t="s">
        <v>12144</v>
      </c>
      <c r="G577" s="54">
        <v>0.969</v>
      </c>
      <c r="H577" s="53">
        <v>0.81</v>
      </c>
      <c r="I577" s="53">
        <v>3537.63</v>
      </c>
      <c r="J577" s="53">
        <v>5000</v>
      </c>
      <c r="K577" s="53"/>
      <c r="L577" s="53"/>
      <c r="M577" s="53"/>
      <c r="N577" s="53"/>
      <c r="O577" s="53"/>
      <c r="P577" s="53"/>
      <c r="Q577" s="53"/>
      <c r="R577" s="53"/>
      <c r="S577" s="53"/>
      <c r="T577" s="53"/>
    </row>
    <row r="578">
      <c r="A578" s="53"/>
      <c r="B578" s="53" t="s">
        <v>12145</v>
      </c>
      <c r="C578" s="53" t="s">
        <v>12105</v>
      </c>
      <c r="D578" s="53" t="s">
        <v>12105</v>
      </c>
      <c r="E578" s="53" t="s">
        <v>11281</v>
      </c>
      <c r="F578" s="53" t="s">
        <v>12146</v>
      </c>
      <c r="G578" s="54">
        <v>0.812</v>
      </c>
      <c r="H578" s="53">
        <v>0.81</v>
      </c>
      <c r="I578" s="53">
        <v>4050</v>
      </c>
      <c r="J578" s="53">
        <v>5000</v>
      </c>
      <c r="K578" s="53"/>
      <c r="L578" s="53"/>
      <c r="M578" s="53"/>
      <c r="N578" s="53"/>
      <c r="O578" s="53"/>
      <c r="P578" s="53"/>
      <c r="Q578" s="53"/>
      <c r="R578" s="53"/>
      <c r="S578" s="53"/>
      <c r="T578" s="53"/>
    </row>
    <row r="579">
      <c r="A579" s="53"/>
      <c r="B579" s="53" t="s">
        <v>12147</v>
      </c>
      <c r="C579" s="53" t="s">
        <v>11338</v>
      </c>
      <c r="D579" s="53" t="s">
        <v>11338</v>
      </c>
      <c r="E579" s="53" t="s">
        <v>11339</v>
      </c>
      <c r="F579" s="53" t="s">
        <v>12148</v>
      </c>
      <c r="G579" s="54">
        <v>0.81354</v>
      </c>
      <c r="H579" s="53">
        <v>0.81</v>
      </c>
      <c r="I579" s="53">
        <v>2769.23</v>
      </c>
      <c r="J579" s="53">
        <v>3000</v>
      </c>
      <c r="K579" s="53"/>
      <c r="L579" s="53"/>
      <c r="M579" s="53"/>
      <c r="N579" s="53"/>
      <c r="O579" s="53"/>
      <c r="P579" s="53"/>
      <c r="Q579" s="53"/>
      <c r="R579" s="53"/>
      <c r="S579" s="53"/>
      <c r="T579" s="53"/>
    </row>
    <row r="580">
      <c r="A580" s="53"/>
      <c r="B580" s="53" t="s">
        <v>12149</v>
      </c>
      <c r="C580" s="53" t="s">
        <v>11407</v>
      </c>
      <c r="D580" s="53" t="s">
        <v>11407</v>
      </c>
      <c r="E580" s="53" t="s">
        <v>10813</v>
      </c>
      <c r="F580" s="53" t="s">
        <v>12150</v>
      </c>
      <c r="G580" s="54">
        <v>0.8</v>
      </c>
      <c r="H580" s="53">
        <v>0.8</v>
      </c>
      <c r="I580" s="53">
        <v>4300</v>
      </c>
      <c r="J580" s="53">
        <v>5000</v>
      </c>
      <c r="K580" s="53"/>
      <c r="L580" s="53"/>
      <c r="M580" s="53"/>
      <c r="N580" s="53"/>
      <c r="O580" s="53"/>
      <c r="P580" s="53"/>
      <c r="Q580" s="53"/>
      <c r="R580" s="53"/>
      <c r="S580" s="53"/>
      <c r="T580" s="53"/>
    </row>
    <row r="581">
      <c r="A581" s="53"/>
      <c r="B581" s="53" t="s">
        <v>12151</v>
      </c>
      <c r="C581" s="53" t="s">
        <v>11001</v>
      </c>
      <c r="D581" s="53" t="s">
        <v>11001</v>
      </c>
      <c r="E581" s="53" t="s">
        <v>11738</v>
      </c>
      <c r="F581" s="53" t="s">
        <v>12152</v>
      </c>
      <c r="G581" s="54">
        <v>0.845</v>
      </c>
      <c r="H581" s="53">
        <v>0.8</v>
      </c>
      <c r="I581" s="53">
        <v>3990.1</v>
      </c>
      <c r="J581" s="53">
        <v>5000</v>
      </c>
      <c r="K581" s="53"/>
      <c r="L581" s="53"/>
      <c r="M581" s="53"/>
      <c r="N581" s="53"/>
      <c r="O581" s="53"/>
      <c r="P581" s="53"/>
      <c r="Q581" s="53"/>
      <c r="R581" s="53"/>
      <c r="S581" s="53"/>
      <c r="T581" s="53"/>
    </row>
    <row r="582">
      <c r="A582" s="53"/>
      <c r="B582" s="53" t="s">
        <v>12153</v>
      </c>
      <c r="C582" s="53" t="s">
        <v>11436</v>
      </c>
      <c r="D582" s="53" t="s">
        <v>11436</v>
      </c>
      <c r="E582" s="53" t="s">
        <v>12154</v>
      </c>
      <c r="F582" s="53" t="s">
        <v>12155</v>
      </c>
      <c r="G582" s="54">
        <v>0.7505</v>
      </c>
      <c r="H582" s="53">
        <v>0.8</v>
      </c>
      <c r="I582" s="53">
        <v>4000</v>
      </c>
      <c r="J582" s="53">
        <v>5000</v>
      </c>
      <c r="K582" s="53"/>
      <c r="L582" s="53"/>
      <c r="M582" s="53"/>
      <c r="N582" s="53"/>
      <c r="O582" s="53"/>
      <c r="P582" s="53"/>
      <c r="Q582" s="53"/>
      <c r="R582" s="53"/>
      <c r="S582" s="53"/>
      <c r="T582" s="53"/>
    </row>
    <row r="583">
      <c r="A583" s="53"/>
      <c r="B583" s="53" t="s">
        <v>12156</v>
      </c>
      <c r="C583" s="53" t="s">
        <v>12157</v>
      </c>
      <c r="D583" s="53" t="s">
        <v>12157</v>
      </c>
      <c r="E583" s="53" t="s">
        <v>11045</v>
      </c>
      <c r="F583" s="53" t="s">
        <v>12158</v>
      </c>
      <c r="G583" s="54">
        <v>1.976</v>
      </c>
      <c r="H583" s="53">
        <v>0.8</v>
      </c>
      <c r="I583" s="53">
        <v>1874</v>
      </c>
      <c r="J583" s="53">
        <v>1500</v>
      </c>
      <c r="K583" s="53"/>
      <c r="L583" s="53"/>
      <c r="M583" s="53"/>
      <c r="N583" s="53"/>
      <c r="O583" s="53"/>
      <c r="P583" s="53"/>
      <c r="Q583" s="53"/>
      <c r="R583" s="53"/>
      <c r="S583" s="53"/>
      <c r="T583" s="53"/>
    </row>
    <row r="584">
      <c r="A584" s="53"/>
      <c r="B584" s="53" t="s">
        <v>12159</v>
      </c>
      <c r="C584" s="53" t="s">
        <v>12157</v>
      </c>
      <c r="D584" s="53" t="s">
        <v>12157</v>
      </c>
      <c r="E584" s="53" t="s">
        <v>11045</v>
      </c>
      <c r="F584" s="53" t="s">
        <v>12160</v>
      </c>
      <c r="G584" s="54">
        <v>1.68</v>
      </c>
      <c r="H584" s="53">
        <v>0.8</v>
      </c>
      <c r="I584" s="53">
        <v>1537</v>
      </c>
      <c r="J584" s="53">
        <v>1500</v>
      </c>
      <c r="K584" s="53"/>
      <c r="L584" s="53"/>
      <c r="M584" s="53"/>
      <c r="N584" s="53"/>
      <c r="O584" s="53"/>
      <c r="P584" s="53"/>
      <c r="Q584" s="53"/>
      <c r="R584" s="53"/>
      <c r="S584" s="53"/>
      <c r="T584" s="53"/>
    </row>
    <row r="585">
      <c r="A585" s="53"/>
      <c r="B585" s="53" t="s">
        <v>12161</v>
      </c>
      <c r="C585" s="53" t="s">
        <v>11219</v>
      </c>
      <c r="D585" s="53" t="s">
        <v>11219</v>
      </c>
      <c r="E585" s="53" t="s">
        <v>12162</v>
      </c>
      <c r="F585" s="53" t="s">
        <v>12163</v>
      </c>
      <c r="G585" s="54">
        <v>0.107</v>
      </c>
      <c r="H585" s="53">
        <v>0.8</v>
      </c>
      <c r="I585" s="53">
        <v>4000</v>
      </c>
      <c r="J585" s="53">
        <v>5000</v>
      </c>
      <c r="K585" s="53"/>
      <c r="L585" s="53"/>
      <c r="M585" s="53"/>
      <c r="N585" s="53"/>
      <c r="O585" s="53"/>
      <c r="P585" s="53"/>
      <c r="Q585" s="53"/>
      <c r="R585" s="53"/>
      <c r="S585" s="53"/>
      <c r="T585" s="53"/>
    </row>
    <row r="586">
      <c r="A586" s="53"/>
      <c r="B586" s="53" t="s">
        <v>12164</v>
      </c>
      <c r="C586" s="53" t="s">
        <v>11138</v>
      </c>
      <c r="D586" s="53" t="s">
        <v>11138</v>
      </c>
      <c r="E586" s="53" t="s">
        <v>10813</v>
      </c>
      <c r="F586" s="53" t="s">
        <v>12165</v>
      </c>
      <c r="G586" s="54">
        <v>0.84986</v>
      </c>
      <c r="H586" s="53">
        <v>0.8</v>
      </c>
      <c r="I586" s="53">
        <v>5000</v>
      </c>
      <c r="J586" s="53">
        <v>5000</v>
      </c>
      <c r="K586" s="53"/>
      <c r="L586" s="53"/>
      <c r="M586" s="53"/>
      <c r="N586" s="53"/>
      <c r="O586" s="53"/>
      <c r="P586" s="53"/>
      <c r="Q586" s="53"/>
      <c r="R586" s="53"/>
      <c r="S586" s="53"/>
      <c r="T586" s="53"/>
    </row>
    <row r="587">
      <c r="A587" s="53"/>
      <c r="B587" s="53" t="s">
        <v>12166</v>
      </c>
      <c r="C587" s="53" t="s">
        <v>11201</v>
      </c>
      <c r="D587" s="53" t="s">
        <v>11201</v>
      </c>
      <c r="E587" s="53" t="s">
        <v>11104</v>
      </c>
      <c r="F587" s="53" t="s">
        <v>12167</v>
      </c>
      <c r="G587" s="54">
        <v>0.71912</v>
      </c>
      <c r="H587" s="53">
        <v>0.8</v>
      </c>
      <c r="I587" s="53">
        <v>2480</v>
      </c>
      <c r="J587" s="53">
        <v>3000</v>
      </c>
      <c r="K587" s="53"/>
      <c r="L587" s="53"/>
      <c r="M587" s="53"/>
      <c r="N587" s="53"/>
      <c r="O587" s="53"/>
      <c r="P587" s="53"/>
      <c r="Q587" s="53"/>
      <c r="R587" s="53"/>
      <c r="S587" s="53"/>
      <c r="T587" s="53"/>
    </row>
    <row r="588">
      <c r="A588" s="53"/>
      <c r="B588" s="53" t="s">
        <v>12168</v>
      </c>
      <c r="C588" s="53" t="s">
        <v>11247</v>
      </c>
      <c r="D588" s="53" t="s">
        <v>11247</v>
      </c>
      <c r="E588" s="53" t="s">
        <v>11141</v>
      </c>
      <c r="F588" s="53" t="s">
        <v>12169</v>
      </c>
      <c r="G588" s="54">
        <v>0.949524</v>
      </c>
      <c r="H588" s="53">
        <v>0.8</v>
      </c>
      <c r="I588" s="53">
        <v>6067.42</v>
      </c>
      <c r="J588" s="53">
        <v>5000</v>
      </c>
      <c r="K588" s="53"/>
      <c r="L588" s="53"/>
      <c r="M588" s="53"/>
      <c r="N588" s="53"/>
      <c r="O588" s="53"/>
      <c r="P588" s="53"/>
      <c r="Q588" s="53"/>
      <c r="R588" s="53"/>
      <c r="S588" s="53"/>
      <c r="T588" s="53"/>
    </row>
    <row r="589">
      <c r="A589" s="53"/>
      <c r="B589" s="53" t="s">
        <v>12170</v>
      </c>
      <c r="C589" s="53" t="s">
        <v>11201</v>
      </c>
      <c r="D589" s="53" t="s">
        <v>11201</v>
      </c>
      <c r="E589" s="53" t="s">
        <v>10813</v>
      </c>
      <c r="F589" s="53" t="s">
        <v>12171</v>
      </c>
      <c r="G589" s="54">
        <v>0.76</v>
      </c>
      <c r="H589" s="53">
        <v>0.8</v>
      </c>
      <c r="I589" s="53">
        <v>0</v>
      </c>
      <c r="J589" s="53">
        <v>5000</v>
      </c>
      <c r="K589" s="53"/>
      <c r="L589" s="53"/>
      <c r="M589" s="53"/>
      <c r="N589" s="53"/>
      <c r="O589" s="53"/>
      <c r="P589" s="53"/>
      <c r="Q589" s="53"/>
      <c r="R589" s="53"/>
      <c r="S589" s="53"/>
      <c r="T589" s="53"/>
    </row>
    <row r="590">
      <c r="A590" s="53"/>
      <c r="B590" s="53" t="s">
        <v>12172</v>
      </c>
      <c r="C590" s="53" t="s">
        <v>12173</v>
      </c>
      <c r="D590" s="53" t="s">
        <v>12173</v>
      </c>
      <c r="E590" s="53" t="s">
        <v>11129</v>
      </c>
      <c r="F590" s="53" t="s">
        <v>12174</v>
      </c>
      <c r="G590" s="54">
        <v>0.8</v>
      </c>
      <c r="H590" s="53">
        <v>0.8</v>
      </c>
      <c r="I590" s="53">
        <v>2000</v>
      </c>
      <c r="J590" s="53">
        <v>3000</v>
      </c>
      <c r="K590" s="53"/>
      <c r="L590" s="53"/>
      <c r="M590" s="53"/>
      <c r="N590" s="53"/>
      <c r="O590" s="53"/>
      <c r="P590" s="53"/>
      <c r="Q590" s="53"/>
      <c r="R590" s="53"/>
      <c r="S590" s="53"/>
      <c r="T590" s="53"/>
    </row>
    <row r="591">
      <c r="A591" s="53"/>
      <c r="B591" s="53" t="s">
        <v>12175</v>
      </c>
      <c r="C591" s="53" t="s">
        <v>11099</v>
      </c>
      <c r="D591" s="53" t="s">
        <v>11099</v>
      </c>
      <c r="E591" s="53" t="s">
        <v>12176</v>
      </c>
      <c r="F591" s="53" t="s">
        <v>12177</v>
      </c>
      <c r="G591" s="54">
        <v>0.85</v>
      </c>
      <c r="H591" s="53">
        <v>0.8</v>
      </c>
      <c r="I591" s="53">
        <v>1600</v>
      </c>
      <c r="J591" s="53">
        <v>2000</v>
      </c>
      <c r="K591" s="53"/>
      <c r="L591" s="53"/>
      <c r="M591" s="53"/>
      <c r="N591" s="53"/>
      <c r="O591" s="53"/>
      <c r="P591" s="53"/>
      <c r="Q591" s="53"/>
      <c r="R591" s="53"/>
      <c r="S591" s="53"/>
      <c r="T591" s="53"/>
    </row>
    <row r="592">
      <c r="A592" s="53"/>
      <c r="B592" s="53"/>
      <c r="C592" s="53"/>
      <c r="D592" s="53"/>
      <c r="E592" s="53"/>
      <c r="F592" s="53" t="s">
        <v>12163</v>
      </c>
      <c r="G592" s="55">
        <v>0.8</v>
      </c>
      <c r="H592" s="53">
        <v>0.8</v>
      </c>
      <c r="I592" s="53">
        <v>4000</v>
      </c>
      <c r="J592" s="53">
        <v>4000</v>
      </c>
      <c r="K592" s="53"/>
      <c r="L592" s="53"/>
      <c r="M592" s="53"/>
      <c r="N592" s="53"/>
      <c r="O592" s="53"/>
      <c r="P592" s="53"/>
      <c r="Q592" s="53"/>
      <c r="R592" s="53"/>
      <c r="S592" s="53"/>
      <c r="T592" s="53"/>
    </row>
    <row r="593">
      <c r="A593" s="53"/>
      <c r="B593" s="53" t="s">
        <v>12178</v>
      </c>
      <c r="C593" s="53" t="s">
        <v>11495</v>
      </c>
      <c r="D593" s="53" t="s">
        <v>11495</v>
      </c>
      <c r="E593" s="53" t="s">
        <v>11496</v>
      </c>
      <c r="F593" s="53" t="s">
        <v>12179</v>
      </c>
      <c r="G593" s="54">
        <v>0.79</v>
      </c>
      <c r="H593" s="53">
        <v>0.79</v>
      </c>
      <c r="I593" s="53">
        <v>2212</v>
      </c>
      <c r="J593" s="53">
        <v>3500</v>
      </c>
      <c r="K593" s="53"/>
      <c r="L593" s="53"/>
      <c r="M593" s="53"/>
      <c r="N593" s="53"/>
      <c r="O593" s="53"/>
      <c r="P593" s="53"/>
      <c r="Q593" s="53"/>
      <c r="R593" s="53"/>
      <c r="S593" s="53"/>
      <c r="T593" s="53"/>
    </row>
    <row r="594">
      <c r="A594" s="53"/>
      <c r="B594" s="53" t="s">
        <v>12180</v>
      </c>
      <c r="C594" s="53" t="s">
        <v>10837</v>
      </c>
      <c r="D594" s="53" t="s">
        <v>10837</v>
      </c>
      <c r="E594" s="53" t="s">
        <v>11151</v>
      </c>
      <c r="F594" s="53" t="s">
        <v>12181</v>
      </c>
      <c r="G594" s="54">
        <v>0.8143</v>
      </c>
      <c r="H594" s="53">
        <v>0.79</v>
      </c>
      <c r="I594" s="53">
        <v>2370</v>
      </c>
      <c r="J594" s="53">
        <v>3000</v>
      </c>
      <c r="K594" s="53"/>
      <c r="L594" s="53"/>
      <c r="M594" s="53"/>
      <c r="N594" s="53"/>
      <c r="O594" s="53"/>
      <c r="P594" s="53"/>
      <c r="Q594" s="53"/>
      <c r="R594" s="53"/>
      <c r="S594" s="53"/>
      <c r="T594" s="53"/>
    </row>
    <row r="595">
      <c r="A595" s="53"/>
      <c r="B595" s="53" t="s">
        <v>12182</v>
      </c>
      <c r="C595" s="53" t="s">
        <v>12157</v>
      </c>
      <c r="D595" s="53" t="s">
        <v>12157</v>
      </c>
      <c r="E595" s="53" t="s">
        <v>11045</v>
      </c>
      <c r="F595" s="53" t="s">
        <v>12183</v>
      </c>
      <c r="G595" s="54">
        <v>0.99</v>
      </c>
      <c r="H595" s="53">
        <v>0.79</v>
      </c>
      <c r="I595" s="53">
        <v>1188</v>
      </c>
      <c r="J595" s="53">
        <v>1500</v>
      </c>
      <c r="K595" s="53"/>
      <c r="L595" s="53"/>
      <c r="M595" s="53"/>
      <c r="N595" s="53"/>
      <c r="O595" s="53"/>
      <c r="P595" s="53"/>
      <c r="Q595" s="53"/>
      <c r="R595" s="53"/>
      <c r="S595" s="53"/>
      <c r="T595" s="53"/>
    </row>
    <row r="596">
      <c r="A596" s="53"/>
      <c r="B596" s="53" t="s">
        <v>12184</v>
      </c>
      <c r="C596" s="53" t="s">
        <v>11138</v>
      </c>
      <c r="D596" s="53" t="s">
        <v>11138</v>
      </c>
      <c r="E596" s="53" t="s">
        <v>11281</v>
      </c>
      <c r="F596" s="53" t="s">
        <v>12185</v>
      </c>
      <c r="G596" s="54">
        <v>0.895086</v>
      </c>
      <c r="H596" s="53">
        <v>0.79</v>
      </c>
      <c r="I596" s="53">
        <v>3000</v>
      </c>
      <c r="J596" s="53">
        <v>5000</v>
      </c>
      <c r="K596" s="53"/>
      <c r="L596" s="53"/>
      <c r="M596" s="53"/>
      <c r="N596" s="53"/>
      <c r="O596" s="53"/>
      <c r="P596" s="53"/>
      <c r="Q596" s="53"/>
      <c r="R596" s="53"/>
      <c r="S596" s="53"/>
      <c r="T596" s="53"/>
    </row>
    <row r="597">
      <c r="A597" s="53"/>
      <c r="B597" s="53" t="s">
        <v>12186</v>
      </c>
      <c r="C597" s="53" t="s">
        <v>11284</v>
      </c>
      <c r="D597" s="53" t="s">
        <v>11284</v>
      </c>
      <c r="E597" s="53" t="s">
        <v>10813</v>
      </c>
      <c r="F597" s="53" t="s">
        <v>12187</v>
      </c>
      <c r="G597" s="54">
        <v>0.7877</v>
      </c>
      <c r="H597" s="53">
        <v>0.79</v>
      </c>
      <c r="I597" s="53">
        <v>6000</v>
      </c>
      <c r="J597" s="53">
        <v>5000</v>
      </c>
      <c r="K597" s="53"/>
      <c r="L597" s="53"/>
      <c r="M597" s="53"/>
      <c r="N597" s="53"/>
      <c r="O597" s="53"/>
      <c r="P597" s="53"/>
      <c r="Q597" s="53"/>
      <c r="R597" s="53"/>
      <c r="S597" s="53"/>
      <c r="T597" s="53"/>
    </row>
    <row r="598">
      <c r="A598" s="53"/>
      <c r="B598" s="53" t="s">
        <v>12188</v>
      </c>
      <c r="C598" s="53" t="s">
        <v>11463</v>
      </c>
      <c r="D598" s="53" t="s">
        <v>11463</v>
      </c>
      <c r="E598" s="53" t="s">
        <v>10813</v>
      </c>
      <c r="F598" s="53" t="s">
        <v>12189</v>
      </c>
      <c r="G598" s="54">
        <v>0.7897</v>
      </c>
      <c r="H598" s="53">
        <v>0.79</v>
      </c>
      <c r="I598" s="53">
        <v>0</v>
      </c>
      <c r="J598" s="53">
        <v>5000</v>
      </c>
      <c r="K598" s="53"/>
      <c r="L598" s="53"/>
      <c r="M598" s="53"/>
      <c r="N598" s="53"/>
      <c r="O598" s="53"/>
      <c r="P598" s="53"/>
      <c r="Q598" s="53"/>
      <c r="R598" s="53"/>
      <c r="S598" s="53"/>
      <c r="T598" s="53"/>
    </row>
    <row r="599">
      <c r="A599" s="53"/>
      <c r="B599" s="53" t="s">
        <v>12190</v>
      </c>
      <c r="C599" s="53" t="s">
        <v>11089</v>
      </c>
      <c r="D599" s="53" t="s">
        <v>11089</v>
      </c>
      <c r="E599" s="53" t="s">
        <v>10813</v>
      </c>
      <c r="F599" s="53" t="s">
        <v>12191</v>
      </c>
      <c r="G599" s="54">
        <v>0.79</v>
      </c>
      <c r="H599" s="53">
        <v>0.79</v>
      </c>
      <c r="I599" s="53">
        <v>3950</v>
      </c>
      <c r="J599" s="53">
        <v>5000</v>
      </c>
      <c r="K599" s="53"/>
      <c r="L599" s="53"/>
      <c r="M599" s="53"/>
      <c r="N599" s="53"/>
      <c r="O599" s="53"/>
      <c r="P599" s="53"/>
      <c r="Q599" s="53"/>
      <c r="R599" s="53"/>
      <c r="S599" s="53"/>
      <c r="T599" s="53"/>
    </row>
    <row r="600">
      <c r="A600" s="53"/>
      <c r="B600" s="53" t="s">
        <v>12192</v>
      </c>
      <c r="C600" s="53" t="s">
        <v>11817</v>
      </c>
      <c r="D600" s="53" t="s">
        <v>11817</v>
      </c>
      <c r="E600" s="53" t="s">
        <v>10813</v>
      </c>
      <c r="F600" s="53" t="s">
        <v>12193</v>
      </c>
      <c r="G600" s="54">
        <v>0.7934</v>
      </c>
      <c r="H600" s="53">
        <v>0.79</v>
      </c>
      <c r="I600" s="53">
        <v>4740</v>
      </c>
      <c r="J600" s="53">
        <v>6000</v>
      </c>
      <c r="K600" s="53"/>
      <c r="L600" s="53"/>
      <c r="M600" s="53"/>
      <c r="N600" s="53"/>
      <c r="O600" s="53"/>
      <c r="P600" s="53"/>
      <c r="Q600" s="53"/>
      <c r="R600" s="53"/>
      <c r="S600" s="53"/>
      <c r="T600" s="53"/>
    </row>
    <row r="601">
      <c r="A601" s="53"/>
      <c r="B601" s="53" t="s">
        <v>12194</v>
      </c>
      <c r="C601" s="53" t="s">
        <v>12157</v>
      </c>
      <c r="D601" s="53" t="s">
        <v>12157</v>
      </c>
      <c r="E601" s="53" t="s">
        <v>11045</v>
      </c>
      <c r="F601" s="53" t="s">
        <v>12195</v>
      </c>
      <c r="G601" s="54">
        <v>1.372</v>
      </c>
      <c r="H601" s="53">
        <v>0.78</v>
      </c>
      <c r="I601" s="53">
        <v>1681</v>
      </c>
      <c r="J601" s="53">
        <v>1500</v>
      </c>
      <c r="K601" s="53"/>
      <c r="L601" s="53"/>
      <c r="M601" s="53"/>
      <c r="N601" s="53"/>
      <c r="O601" s="53"/>
      <c r="P601" s="53"/>
      <c r="Q601" s="53"/>
      <c r="R601" s="53"/>
      <c r="S601" s="53"/>
      <c r="T601" s="53"/>
    </row>
    <row r="602">
      <c r="A602" s="53"/>
      <c r="B602" s="53" t="s">
        <v>12196</v>
      </c>
      <c r="C602" s="53" t="s">
        <v>11338</v>
      </c>
      <c r="D602" s="53" t="s">
        <v>11338</v>
      </c>
      <c r="E602" s="53" t="s">
        <v>11339</v>
      </c>
      <c r="F602" s="53" t="s">
        <v>12197</v>
      </c>
      <c r="G602" s="54">
        <v>0.80377</v>
      </c>
      <c r="H602" s="53">
        <v>0.78</v>
      </c>
      <c r="I602" s="53">
        <v>2769.23</v>
      </c>
      <c r="J602" s="53">
        <v>3000</v>
      </c>
      <c r="K602" s="53"/>
      <c r="L602" s="53"/>
      <c r="M602" s="53"/>
      <c r="N602" s="53"/>
      <c r="O602" s="53"/>
      <c r="P602" s="53"/>
      <c r="Q602" s="53"/>
      <c r="R602" s="53"/>
      <c r="S602" s="53"/>
      <c r="T602" s="53"/>
    </row>
    <row r="603">
      <c r="A603" s="53"/>
      <c r="B603" s="53" t="s">
        <v>12198</v>
      </c>
      <c r="C603" s="53" t="s">
        <v>11128</v>
      </c>
      <c r="D603" s="53" t="s">
        <v>11128</v>
      </c>
      <c r="E603" s="53" t="s">
        <v>10813</v>
      </c>
      <c r="F603" s="53" t="s">
        <v>12199</v>
      </c>
      <c r="G603" s="54">
        <v>0.78909</v>
      </c>
      <c r="H603" s="53">
        <v>0.78</v>
      </c>
      <c r="I603" s="53">
        <v>4680</v>
      </c>
      <c r="J603" s="53">
        <v>6000</v>
      </c>
      <c r="K603" s="53"/>
      <c r="L603" s="53"/>
      <c r="M603" s="53"/>
      <c r="N603" s="53"/>
      <c r="O603" s="53"/>
      <c r="P603" s="53"/>
      <c r="Q603" s="53"/>
      <c r="R603" s="53"/>
      <c r="S603" s="53"/>
      <c r="T603" s="53"/>
    </row>
    <row r="604">
      <c r="A604" s="53"/>
      <c r="B604" s="53" t="s">
        <v>12200</v>
      </c>
      <c r="C604" s="53" t="s">
        <v>12010</v>
      </c>
      <c r="D604" s="53" t="s">
        <v>12010</v>
      </c>
      <c r="E604" s="53" t="s">
        <v>10813</v>
      </c>
      <c r="F604" s="53" t="s">
        <v>12201</v>
      </c>
      <c r="G604" s="54">
        <v>0.9145</v>
      </c>
      <c r="H604" s="53">
        <v>0.78</v>
      </c>
      <c r="I604" s="53">
        <v>3889</v>
      </c>
      <c r="J604" s="53">
        <v>5000</v>
      </c>
      <c r="K604" s="53"/>
      <c r="L604" s="53"/>
      <c r="M604" s="53"/>
      <c r="N604" s="53"/>
      <c r="O604" s="53"/>
      <c r="P604" s="53"/>
      <c r="Q604" s="53"/>
      <c r="R604" s="53"/>
      <c r="S604" s="53"/>
      <c r="T604" s="53"/>
    </row>
    <row r="605">
      <c r="A605" s="53"/>
      <c r="B605" s="53" t="s">
        <v>12202</v>
      </c>
      <c r="C605" s="53" t="s">
        <v>11185</v>
      </c>
      <c r="D605" s="53" t="s">
        <v>11185</v>
      </c>
      <c r="E605" s="53" t="s">
        <v>11348</v>
      </c>
      <c r="F605" s="53" t="s">
        <v>12203</v>
      </c>
      <c r="G605" s="54">
        <v>0.67</v>
      </c>
      <c r="H605" s="53">
        <v>0.77</v>
      </c>
      <c r="I605" s="53">
        <v>2216</v>
      </c>
      <c r="J605" s="53">
        <v>2800</v>
      </c>
      <c r="K605" s="53"/>
      <c r="L605" s="53"/>
      <c r="M605" s="53"/>
      <c r="N605" s="53"/>
      <c r="O605" s="53"/>
      <c r="P605" s="53"/>
      <c r="Q605" s="53"/>
      <c r="R605" s="53"/>
      <c r="S605" s="53"/>
      <c r="T605" s="53"/>
    </row>
    <row r="606">
      <c r="A606" s="53"/>
      <c r="B606" s="53" t="s">
        <v>12204</v>
      </c>
      <c r="C606" s="53" t="s">
        <v>10837</v>
      </c>
      <c r="D606" s="53" t="s">
        <v>10837</v>
      </c>
      <c r="E606" s="53" t="s">
        <v>11151</v>
      </c>
      <c r="F606" s="53" t="s">
        <v>12205</v>
      </c>
      <c r="G606" s="54">
        <v>0.9919</v>
      </c>
      <c r="H606" s="53">
        <v>0.77</v>
      </c>
      <c r="I606" s="53">
        <v>2310</v>
      </c>
      <c r="J606" s="53">
        <v>3000</v>
      </c>
      <c r="K606" s="53"/>
      <c r="L606" s="53"/>
      <c r="M606" s="53"/>
      <c r="N606" s="53"/>
      <c r="O606" s="53"/>
      <c r="P606" s="53"/>
      <c r="Q606" s="53"/>
      <c r="R606" s="53"/>
      <c r="S606" s="53"/>
      <c r="T606" s="53"/>
    </row>
    <row r="607">
      <c r="A607" s="53"/>
      <c r="B607" s="53" t="s">
        <v>12206</v>
      </c>
      <c r="C607" s="53" t="s">
        <v>10843</v>
      </c>
      <c r="D607" s="53" t="s">
        <v>10843</v>
      </c>
      <c r="E607" s="53" t="s">
        <v>10952</v>
      </c>
      <c r="F607" s="53" t="s">
        <v>12207</v>
      </c>
      <c r="G607" s="54">
        <v>0.0077</v>
      </c>
      <c r="H607" s="53">
        <v>0.77</v>
      </c>
      <c r="I607" s="53">
        <v>2690.04</v>
      </c>
      <c r="J607" s="53">
        <v>2300</v>
      </c>
      <c r="K607" s="53"/>
      <c r="L607" s="53"/>
      <c r="M607" s="53"/>
      <c r="N607" s="53"/>
      <c r="O607" s="53"/>
      <c r="P607" s="53"/>
      <c r="Q607" s="53"/>
      <c r="R607" s="53"/>
      <c r="S607" s="53"/>
      <c r="T607" s="53"/>
    </row>
    <row r="608">
      <c r="A608" s="53"/>
      <c r="B608" s="53" t="s">
        <v>12208</v>
      </c>
      <c r="C608" s="53" t="s">
        <v>11247</v>
      </c>
      <c r="D608" s="53" t="s">
        <v>11247</v>
      </c>
      <c r="E608" s="53" t="s">
        <v>11045</v>
      </c>
      <c r="F608" s="53" t="s">
        <v>12209</v>
      </c>
      <c r="G608" s="54">
        <v>0.771</v>
      </c>
      <c r="H608" s="53">
        <v>0.77</v>
      </c>
      <c r="I608" s="53">
        <v>1155</v>
      </c>
      <c r="J608" s="53">
        <v>1500</v>
      </c>
      <c r="K608" s="53"/>
      <c r="L608" s="53"/>
      <c r="M608" s="53"/>
      <c r="N608" s="53"/>
      <c r="O608" s="53"/>
      <c r="P608" s="53"/>
      <c r="Q608" s="53"/>
      <c r="R608" s="53"/>
      <c r="S608" s="53"/>
      <c r="T608" s="53"/>
    </row>
    <row r="609">
      <c r="A609" s="53"/>
      <c r="B609" s="53" t="s">
        <v>12210</v>
      </c>
      <c r="C609" s="53" t="s">
        <v>12056</v>
      </c>
      <c r="D609" s="53" t="s">
        <v>12056</v>
      </c>
      <c r="E609" s="53" t="s">
        <v>11635</v>
      </c>
      <c r="F609" s="53" t="s">
        <v>12211</v>
      </c>
      <c r="G609" s="54">
        <v>1.17996</v>
      </c>
      <c r="H609" s="53">
        <v>0.77</v>
      </c>
      <c r="I609" s="53">
        <v>4850</v>
      </c>
      <c r="J609" s="53">
        <v>5000</v>
      </c>
      <c r="K609" s="53"/>
      <c r="L609" s="53"/>
      <c r="M609" s="53"/>
      <c r="N609" s="53"/>
      <c r="O609" s="53"/>
      <c r="P609" s="53"/>
      <c r="Q609" s="53"/>
      <c r="R609" s="53"/>
      <c r="S609" s="53"/>
      <c r="T609" s="53"/>
    </row>
    <row r="610">
      <c r="A610" s="53"/>
      <c r="B610" s="53" t="s">
        <v>12212</v>
      </c>
      <c r="C610" s="53" t="s">
        <v>12010</v>
      </c>
      <c r="D610" s="53" t="s">
        <v>12010</v>
      </c>
      <c r="E610" s="53" t="s">
        <v>11045</v>
      </c>
      <c r="F610" s="53" t="s">
        <v>12213</v>
      </c>
      <c r="G610" s="54">
        <v>0.769155</v>
      </c>
      <c r="H610" s="53">
        <v>0.77</v>
      </c>
      <c r="I610" s="53">
        <v>1153.73</v>
      </c>
      <c r="J610" s="53">
        <v>1500</v>
      </c>
      <c r="K610" s="53"/>
      <c r="L610" s="53"/>
      <c r="M610" s="53"/>
      <c r="N610" s="53"/>
      <c r="O610" s="53"/>
      <c r="P610" s="53"/>
      <c r="Q610" s="53"/>
      <c r="R610" s="53"/>
      <c r="S610" s="53"/>
      <c r="T610" s="53"/>
    </row>
    <row r="611">
      <c r="A611" s="53"/>
      <c r="B611" s="53" t="s">
        <v>12214</v>
      </c>
      <c r="C611" s="53" t="s">
        <v>12215</v>
      </c>
      <c r="D611" s="53" t="s">
        <v>12215</v>
      </c>
      <c r="E611" s="53" t="s">
        <v>11129</v>
      </c>
      <c r="F611" s="53" t="s">
        <v>12216</v>
      </c>
      <c r="G611" s="54">
        <v>0.744</v>
      </c>
      <c r="H611" s="53">
        <v>0.77</v>
      </c>
      <c r="I611" s="53">
        <v>0</v>
      </c>
      <c r="J611" s="53">
        <v>3000</v>
      </c>
      <c r="K611" s="53"/>
      <c r="L611" s="53"/>
      <c r="M611" s="53"/>
      <c r="N611" s="53"/>
      <c r="O611" s="53"/>
      <c r="P611" s="53"/>
      <c r="Q611" s="53"/>
      <c r="R611" s="53"/>
      <c r="S611" s="53"/>
      <c r="T611" s="53"/>
    </row>
    <row r="612">
      <c r="A612" s="53"/>
      <c r="B612" s="53" t="s">
        <v>12217</v>
      </c>
      <c r="C612" s="53" t="s">
        <v>11774</v>
      </c>
      <c r="D612" s="53" t="s">
        <v>11774</v>
      </c>
      <c r="E612" s="53" t="s">
        <v>11244</v>
      </c>
      <c r="F612" s="53" t="s">
        <v>12218</v>
      </c>
      <c r="G612" s="54">
        <v>0.815005</v>
      </c>
      <c r="H612" s="53">
        <v>0.76</v>
      </c>
      <c r="I612" s="53">
        <v>2827</v>
      </c>
      <c r="J612" s="53">
        <v>5000</v>
      </c>
      <c r="K612" s="53"/>
      <c r="L612" s="53"/>
      <c r="M612" s="53"/>
      <c r="N612" s="53"/>
      <c r="O612" s="53"/>
      <c r="P612" s="53"/>
      <c r="Q612" s="53"/>
      <c r="R612" s="53"/>
      <c r="S612" s="53"/>
      <c r="T612" s="53"/>
    </row>
    <row r="613">
      <c r="A613" s="53"/>
      <c r="B613" s="53" t="s">
        <v>12219</v>
      </c>
      <c r="C613" s="53" t="s">
        <v>11247</v>
      </c>
      <c r="D613" s="53" t="s">
        <v>11247</v>
      </c>
      <c r="E613" s="53" t="s">
        <v>11045</v>
      </c>
      <c r="F613" s="53" t="s">
        <v>12220</v>
      </c>
      <c r="G613" s="54">
        <v>0.71293</v>
      </c>
      <c r="H613" s="53">
        <v>0.76</v>
      </c>
      <c r="I613" s="53">
        <v>1801.5</v>
      </c>
      <c r="J613" s="53">
        <v>1500</v>
      </c>
      <c r="K613" s="53"/>
      <c r="L613" s="53"/>
      <c r="M613" s="53"/>
      <c r="N613" s="53"/>
      <c r="O613" s="53"/>
      <c r="P613" s="53"/>
      <c r="Q613" s="53"/>
      <c r="R613" s="53"/>
      <c r="S613" s="53"/>
      <c r="T613" s="53"/>
    </row>
    <row r="614">
      <c r="A614" s="53"/>
      <c r="B614" s="53" t="s">
        <v>12221</v>
      </c>
      <c r="C614" s="53" t="s">
        <v>11284</v>
      </c>
      <c r="D614" s="53" t="s">
        <v>11284</v>
      </c>
      <c r="E614" s="53" t="s">
        <v>11281</v>
      </c>
      <c r="F614" s="53" t="s">
        <v>12222</v>
      </c>
      <c r="G614" s="54">
        <v>0.76175</v>
      </c>
      <c r="H614" s="53">
        <v>0.76</v>
      </c>
      <c r="I614" s="53">
        <v>4000</v>
      </c>
      <c r="J614" s="53">
        <v>5000</v>
      </c>
      <c r="K614" s="53"/>
      <c r="L614" s="53"/>
      <c r="M614" s="53"/>
      <c r="N614" s="53"/>
      <c r="O614" s="53"/>
      <c r="P614" s="53"/>
      <c r="Q614" s="53"/>
      <c r="R614" s="53"/>
      <c r="S614" s="53"/>
      <c r="T614" s="53"/>
    </row>
    <row r="615">
      <c r="A615" s="53"/>
      <c r="B615" s="53" t="s">
        <v>12223</v>
      </c>
      <c r="C615" s="53" t="s">
        <v>11284</v>
      </c>
      <c r="D615" s="53" t="s">
        <v>11284</v>
      </c>
      <c r="E615" s="53" t="s">
        <v>10813</v>
      </c>
      <c r="F615" s="53" t="s">
        <v>12224</v>
      </c>
      <c r="G615" s="54">
        <v>0.77</v>
      </c>
      <c r="H615" s="53">
        <v>0.76</v>
      </c>
      <c r="I615" s="53">
        <v>2000</v>
      </c>
      <c r="J615" s="53">
        <v>5000</v>
      </c>
      <c r="K615" s="53"/>
      <c r="L615" s="53"/>
      <c r="M615" s="53"/>
      <c r="N615" s="53"/>
      <c r="O615" s="53"/>
      <c r="P615" s="53"/>
      <c r="Q615" s="53"/>
      <c r="R615" s="53"/>
      <c r="S615" s="53"/>
      <c r="T615" s="53"/>
    </row>
    <row r="616">
      <c r="A616" s="53"/>
      <c r="B616" s="53" t="s">
        <v>12225</v>
      </c>
      <c r="C616" s="53" t="s">
        <v>11185</v>
      </c>
      <c r="D616" s="53" t="s">
        <v>11185</v>
      </c>
      <c r="E616" s="53" t="s">
        <v>11236</v>
      </c>
      <c r="F616" s="53" t="s">
        <v>12226</v>
      </c>
      <c r="G616" s="54">
        <v>0.7</v>
      </c>
      <c r="H616" s="53">
        <v>0.75</v>
      </c>
      <c r="I616" s="53">
        <v>3810</v>
      </c>
      <c r="J616" s="53">
        <v>5000</v>
      </c>
      <c r="K616" s="53"/>
      <c r="L616" s="53"/>
      <c r="M616" s="53"/>
      <c r="N616" s="53"/>
      <c r="O616" s="53"/>
      <c r="P616" s="53"/>
      <c r="Q616" s="53"/>
      <c r="R616" s="53"/>
      <c r="S616" s="53"/>
      <c r="T616" s="53"/>
    </row>
    <row r="617">
      <c r="A617" s="53"/>
      <c r="B617" s="53" t="s">
        <v>12227</v>
      </c>
      <c r="C617" s="53" t="s">
        <v>12105</v>
      </c>
      <c r="D617" s="53" t="s">
        <v>12105</v>
      </c>
      <c r="E617" s="53" t="s">
        <v>11571</v>
      </c>
      <c r="F617" s="53" t="s">
        <v>12228</v>
      </c>
      <c r="G617" s="54">
        <v>0.75045</v>
      </c>
      <c r="H617" s="53">
        <v>0.75</v>
      </c>
      <c r="I617" s="53">
        <v>0</v>
      </c>
      <c r="J617" s="53">
        <v>1200</v>
      </c>
      <c r="K617" s="53"/>
      <c r="L617" s="53"/>
      <c r="M617" s="53"/>
      <c r="N617" s="53"/>
      <c r="O617" s="53"/>
      <c r="P617" s="53"/>
      <c r="Q617" s="53"/>
      <c r="R617" s="53"/>
      <c r="S617" s="53"/>
      <c r="T617" s="53"/>
    </row>
    <row r="618">
      <c r="A618" s="53"/>
      <c r="B618" s="53" t="s">
        <v>12229</v>
      </c>
      <c r="C618" s="53" t="s">
        <v>11247</v>
      </c>
      <c r="D618" s="53" t="s">
        <v>11247</v>
      </c>
      <c r="E618" s="53" t="s">
        <v>10813</v>
      </c>
      <c r="F618" s="53" t="s">
        <v>12230</v>
      </c>
      <c r="G618" s="54">
        <v>0.70436</v>
      </c>
      <c r="H618" s="53">
        <v>0.75</v>
      </c>
      <c r="I618" s="53">
        <v>6438.2</v>
      </c>
      <c r="J618" s="53">
        <v>6000</v>
      </c>
      <c r="K618" s="53"/>
      <c r="L618" s="53"/>
      <c r="M618" s="53"/>
      <c r="N618" s="53"/>
      <c r="O618" s="53"/>
      <c r="P618" s="53"/>
      <c r="Q618" s="53"/>
      <c r="R618" s="53"/>
      <c r="S618" s="53"/>
      <c r="T618" s="53"/>
    </row>
    <row r="619">
      <c r="A619" s="53"/>
      <c r="B619" s="53" t="s">
        <v>12231</v>
      </c>
      <c r="C619" s="53" t="s">
        <v>11320</v>
      </c>
      <c r="D619" s="53" t="s">
        <v>11320</v>
      </c>
      <c r="E619" s="53" t="s">
        <v>11616</v>
      </c>
      <c r="F619" s="53" t="s">
        <v>12232</v>
      </c>
      <c r="G619" s="54">
        <v>0.75</v>
      </c>
      <c r="H619" s="53">
        <v>0.75</v>
      </c>
      <c r="I619" s="53">
        <v>900</v>
      </c>
      <c r="J619" s="53">
        <v>1200</v>
      </c>
      <c r="K619" s="53"/>
      <c r="L619" s="53"/>
      <c r="M619" s="53"/>
      <c r="N619" s="53"/>
      <c r="O619" s="53"/>
      <c r="P619" s="53"/>
      <c r="Q619" s="53"/>
      <c r="R619" s="53"/>
      <c r="S619" s="53"/>
      <c r="T619" s="53"/>
    </row>
    <row r="620">
      <c r="A620" s="53"/>
      <c r="B620" s="53" t="s">
        <v>12233</v>
      </c>
      <c r="C620" s="53" t="s">
        <v>11250</v>
      </c>
      <c r="D620" s="53" t="s">
        <v>11250</v>
      </c>
      <c r="E620" s="53" t="s">
        <v>11141</v>
      </c>
      <c r="F620" s="53" t="s">
        <v>12234</v>
      </c>
      <c r="G620" s="54">
        <v>0.65292</v>
      </c>
      <c r="H620" s="53">
        <v>0.75</v>
      </c>
      <c r="I620" s="53">
        <v>4723.6</v>
      </c>
      <c r="J620" s="53">
        <v>5000</v>
      </c>
      <c r="K620" s="53"/>
      <c r="L620" s="53"/>
      <c r="M620" s="53"/>
      <c r="N620" s="53"/>
      <c r="O620" s="53"/>
      <c r="P620" s="53"/>
      <c r="Q620" s="53"/>
      <c r="R620" s="53"/>
      <c r="S620" s="53"/>
      <c r="T620" s="53"/>
    </row>
    <row r="621">
      <c r="A621" s="53"/>
      <c r="B621" s="53" t="s">
        <v>12235</v>
      </c>
      <c r="C621" s="53" t="s">
        <v>11089</v>
      </c>
      <c r="D621" s="53" t="s">
        <v>11089</v>
      </c>
      <c r="E621" s="53" t="s">
        <v>11255</v>
      </c>
      <c r="F621" s="53" t="s">
        <v>12236</v>
      </c>
      <c r="G621" s="54">
        <v>0.49</v>
      </c>
      <c r="H621" s="53">
        <v>0.75</v>
      </c>
      <c r="I621" s="53">
        <v>1600</v>
      </c>
      <c r="J621" s="53">
        <v>4000</v>
      </c>
      <c r="K621" s="53"/>
      <c r="L621" s="53"/>
      <c r="M621" s="53"/>
      <c r="N621" s="53"/>
      <c r="O621" s="53"/>
      <c r="P621" s="53"/>
      <c r="Q621" s="53"/>
      <c r="R621" s="53"/>
      <c r="S621" s="53"/>
      <c r="T621" s="53"/>
    </row>
    <row r="622">
      <c r="A622" s="53"/>
      <c r="B622" s="53" t="s">
        <v>12237</v>
      </c>
      <c r="C622" s="53" t="s">
        <v>11159</v>
      </c>
      <c r="D622" s="53" t="s">
        <v>11159</v>
      </c>
      <c r="E622" s="53" t="s">
        <v>12238</v>
      </c>
      <c r="F622" s="53" t="s">
        <v>12239</v>
      </c>
      <c r="G622" s="54">
        <v>0.011</v>
      </c>
      <c r="H622" s="53">
        <v>0.75</v>
      </c>
      <c r="I622" s="53">
        <v>1725</v>
      </c>
      <c r="J622" s="53">
        <v>3000</v>
      </c>
      <c r="K622" s="53"/>
      <c r="L622" s="53"/>
      <c r="M622" s="53"/>
      <c r="N622" s="53"/>
      <c r="O622" s="53"/>
      <c r="P622" s="53"/>
      <c r="Q622" s="53"/>
      <c r="R622" s="53"/>
      <c r="S622" s="53"/>
      <c r="T622" s="53"/>
    </row>
    <row r="623">
      <c r="A623" s="53"/>
      <c r="B623" s="53" t="s">
        <v>12240</v>
      </c>
      <c r="C623" s="53" t="s">
        <v>11159</v>
      </c>
      <c r="D623" s="53" t="s">
        <v>11159</v>
      </c>
      <c r="E623" s="53" t="s">
        <v>12241</v>
      </c>
      <c r="F623" s="53" t="s">
        <v>12242</v>
      </c>
      <c r="G623" s="54">
        <v>0.0075</v>
      </c>
      <c r="H623" s="53">
        <v>0.75</v>
      </c>
      <c r="I623" s="53">
        <v>0</v>
      </c>
      <c r="J623" s="53">
        <v>3000</v>
      </c>
      <c r="K623" s="53"/>
      <c r="L623" s="53"/>
      <c r="M623" s="53"/>
      <c r="N623" s="53"/>
      <c r="O623" s="53"/>
      <c r="P623" s="53"/>
      <c r="Q623" s="53"/>
      <c r="R623" s="53"/>
      <c r="S623" s="53"/>
      <c r="T623" s="53"/>
    </row>
    <row r="624">
      <c r="A624" s="53"/>
      <c r="B624" s="53" t="s">
        <v>12243</v>
      </c>
      <c r="C624" s="53" t="s">
        <v>11159</v>
      </c>
      <c r="D624" s="53" t="s">
        <v>11159</v>
      </c>
      <c r="E624" s="53" t="s">
        <v>12244</v>
      </c>
      <c r="F624" s="53" t="s">
        <v>12245</v>
      </c>
      <c r="G624" s="54">
        <v>0.0075</v>
      </c>
      <c r="H624" s="53">
        <v>0.75</v>
      </c>
      <c r="I624" s="53">
        <v>250</v>
      </c>
      <c r="J624" s="53">
        <v>0</v>
      </c>
      <c r="K624" s="53"/>
      <c r="L624" s="53"/>
      <c r="M624" s="53"/>
      <c r="N624" s="53"/>
      <c r="O624" s="53"/>
      <c r="P624" s="53"/>
      <c r="Q624" s="53"/>
      <c r="R624" s="53"/>
      <c r="S624" s="53"/>
      <c r="T624" s="53"/>
    </row>
    <row r="625">
      <c r="A625" s="53"/>
      <c r="B625" s="53" t="s">
        <v>12246</v>
      </c>
      <c r="C625" s="53" t="s">
        <v>11159</v>
      </c>
      <c r="D625" s="53" t="s">
        <v>11159</v>
      </c>
      <c r="E625" s="53" t="s">
        <v>12247</v>
      </c>
      <c r="F625" s="53" t="s">
        <v>12248</v>
      </c>
      <c r="G625" s="54">
        <v>0.0075</v>
      </c>
      <c r="H625" s="53">
        <v>0.75</v>
      </c>
      <c r="I625" s="53">
        <v>250</v>
      </c>
      <c r="J625" s="53">
        <v>0</v>
      </c>
      <c r="K625" s="53"/>
      <c r="L625" s="53"/>
      <c r="M625" s="53"/>
      <c r="N625" s="53"/>
      <c r="O625" s="53"/>
      <c r="P625" s="53"/>
      <c r="Q625" s="53"/>
      <c r="R625" s="53"/>
      <c r="S625" s="53"/>
      <c r="T625" s="53"/>
    </row>
    <row r="626">
      <c r="A626" s="53"/>
      <c r="B626" s="53" t="s">
        <v>12249</v>
      </c>
      <c r="C626" s="53" t="s">
        <v>11177</v>
      </c>
      <c r="D626" s="53" t="s">
        <v>11177</v>
      </c>
      <c r="E626" s="53" t="s">
        <v>12250</v>
      </c>
      <c r="F626" s="53" t="s">
        <v>12251</v>
      </c>
      <c r="G626" s="54">
        <v>0.7378</v>
      </c>
      <c r="H626" s="53">
        <v>0.74</v>
      </c>
      <c r="I626" s="53">
        <v>3680</v>
      </c>
      <c r="J626" s="53">
        <v>5000</v>
      </c>
      <c r="K626" s="53"/>
      <c r="L626" s="53"/>
      <c r="M626" s="53"/>
      <c r="N626" s="53"/>
      <c r="O626" s="53"/>
      <c r="P626" s="53"/>
      <c r="Q626" s="53"/>
      <c r="R626" s="53"/>
      <c r="S626" s="53"/>
      <c r="T626" s="53"/>
    </row>
    <row r="627">
      <c r="A627" s="53"/>
      <c r="B627" s="53" t="s">
        <v>12252</v>
      </c>
      <c r="C627" s="53" t="s">
        <v>11177</v>
      </c>
      <c r="D627" s="53" t="s">
        <v>11177</v>
      </c>
      <c r="E627" s="53" t="s">
        <v>11213</v>
      </c>
      <c r="F627" s="53" t="s">
        <v>12253</v>
      </c>
      <c r="G627" s="54">
        <v>0.74</v>
      </c>
      <c r="H627" s="53">
        <v>0.74</v>
      </c>
      <c r="I627" s="53">
        <v>2307.69</v>
      </c>
      <c r="J627" s="53">
        <v>3000</v>
      </c>
      <c r="K627" s="53"/>
      <c r="L627" s="53"/>
      <c r="M627" s="53"/>
      <c r="N627" s="53"/>
      <c r="O627" s="53"/>
      <c r="P627" s="53"/>
      <c r="Q627" s="53"/>
      <c r="R627" s="53"/>
      <c r="S627" s="53"/>
      <c r="T627" s="53"/>
    </row>
    <row r="628">
      <c r="A628" s="53"/>
      <c r="B628" s="53" t="s">
        <v>12254</v>
      </c>
      <c r="C628" s="53" t="s">
        <v>10837</v>
      </c>
      <c r="D628" s="53" t="s">
        <v>10837</v>
      </c>
      <c r="E628" s="53" t="s">
        <v>10813</v>
      </c>
      <c r="F628" s="53" t="s">
        <v>12255</v>
      </c>
      <c r="G628" s="54">
        <v>0.866057</v>
      </c>
      <c r="H628" s="53">
        <v>0.74</v>
      </c>
      <c r="I628" s="53">
        <v>4920</v>
      </c>
      <c r="J628" s="53">
        <v>6000</v>
      </c>
      <c r="K628" s="53"/>
      <c r="L628" s="53"/>
      <c r="M628" s="53"/>
      <c r="N628" s="53"/>
      <c r="O628" s="53"/>
      <c r="P628" s="53"/>
      <c r="Q628" s="53"/>
      <c r="R628" s="53"/>
      <c r="S628" s="53"/>
      <c r="T628" s="53"/>
    </row>
    <row r="629">
      <c r="A629" s="53"/>
      <c r="B629" s="53" t="s">
        <v>12256</v>
      </c>
      <c r="C629" s="53" t="s">
        <v>12257</v>
      </c>
      <c r="D629" s="53" t="s">
        <v>12257</v>
      </c>
      <c r="E629" s="53" t="s">
        <v>12258</v>
      </c>
      <c r="F629" s="53" t="s">
        <v>12259</v>
      </c>
      <c r="G629" s="54">
        <v>0.74332</v>
      </c>
      <c r="H629" s="53">
        <v>0.74</v>
      </c>
      <c r="I629" s="53">
        <v>6710</v>
      </c>
      <c r="J629" s="53">
        <v>5000</v>
      </c>
      <c r="K629" s="53"/>
      <c r="L629" s="53"/>
      <c r="M629" s="53"/>
      <c r="N629" s="53"/>
      <c r="O629" s="53"/>
      <c r="P629" s="53"/>
      <c r="Q629" s="53"/>
      <c r="R629" s="53"/>
      <c r="S629" s="53"/>
      <c r="T629" s="53"/>
    </row>
    <row r="630">
      <c r="A630" s="53"/>
      <c r="B630" s="53" t="s">
        <v>12260</v>
      </c>
      <c r="C630" s="53" t="s">
        <v>10837</v>
      </c>
      <c r="D630" s="53" t="s">
        <v>10837</v>
      </c>
      <c r="E630" s="53" t="s">
        <v>11163</v>
      </c>
      <c r="F630" s="53" t="s">
        <v>12261</v>
      </c>
      <c r="G630" s="54">
        <v>1.132</v>
      </c>
      <c r="H630" s="53">
        <v>0.74</v>
      </c>
      <c r="I630" s="53">
        <v>3952</v>
      </c>
      <c r="J630" s="53">
        <v>5000</v>
      </c>
      <c r="K630" s="53"/>
      <c r="L630" s="53"/>
      <c r="M630" s="53"/>
      <c r="N630" s="53"/>
      <c r="O630" s="53"/>
      <c r="P630" s="53"/>
      <c r="Q630" s="53"/>
      <c r="R630" s="53"/>
      <c r="S630" s="53"/>
      <c r="T630" s="53"/>
    </row>
    <row r="631">
      <c r="A631" s="53"/>
      <c r="B631" s="53" t="s">
        <v>12262</v>
      </c>
      <c r="C631" s="53" t="s">
        <v>11907</v>
      </c>
      <c r="D631" s="53" t="s">
        <v>11907</v>
      </c>
      <c r="E631" s="53" t="s">
        <v>12021</v>
      </c>
      <c r="F631" s="53" t="s">
        <v>12263</v>
      </c>
      <c r="G631" s="54">
        <v>0.7675</v>
      </c>
      <c r="H631" s="53">
        <v>0.73</v>
      </c>
      <c r="I631" s="53">
        <v>0</v>
      </c>
      <c r="J631" s="53">
        <v>4000</v>
      </c>
      <c r="K631" s="53"/>
      <c r="L631" s="53"/>
      <c r="M631" s="53"/>
      <c r="N631" s="53"/>
      <c r="O631" s="53"/>
      <c r="P631" s="53"/>
      <c r="Q631" s="53"/>
      <c r="R631" s="53"/>
      <c r="S631" s="53"/>
      <c r="T631" s="53"/>
    </row>
    <row r="632">
      <c r="A632" s="53"/>
      <c r="B632" s="53" t="s">
        <v>12264</v>
      </c>
      <c r="C632" s="53" t="s">
        <v>12257</v>
      </c>
      <c r="D632" s="53" t="s">
        <v>12257</v>
      </c>
      <c r="E632" s="53" t="s">
        <v>12258</v>
      </c>
      <c r="F632" s="53" t="s">
        <v>12265</v>
      </c>
      <c r="G632" s="54">
        <v>0.72376</v>
      </c>
      <c r="H632" s="53">
        <v>0.72</v>
      </c>
      <c r="I632" s="53">
        <v>2886</v>
      </c>
      <c r="J632" s="53">
        <v>1500</v>
      </c>
      <c r="K632" s="53"/>
      <c r="L632" s="53"/>
      <c r="M632" s="53"/>
      <c r="N632" s="53"/>
      <c r="O632" s="53"/>
      <c r="P632" s="53"/>
      <c r="Q632" s="53"/>
      <c r="R632" s="53"/>
      <c r="S632" s="53"/>
      <c r="T632" s="53"/>
    </row>
    <row r="633">
      <c r="A633" s="53"/>
      <c r="B633" s="53" t="s">
        <v>12266</v>
      </c>
      <c r="C633" s="53" t="s">
        <v>11320</v>
      </c>
      <c r="D633" s="53" t="s">
        <v>11320</v>
      </c>
      <c r="E633" s="53" t="s">
        <v>12267</v>
      </c>
      <c r="F633" s="53" t="s">
        <v>12268</v>
      </c>
      <c r="G633" s="54">
        <v>0.732</v>
      </c>
      <c r="H633" s="53">
        <v>0.71</v>
      </c>
      <c r="I633" s="53">
        <v>3793.68</v>
      </c>
      <c r="J633" s="53">
        <v>5000</v>
      </c>
      <c r="K633" s="53"/>
      <c r="L633" s="53"/>
      <c r="M633" s="53"/>
      <c r="N633" s="53"/>
      <c r="O633" s="53"/>
      <c r="P633" s="53"/>
      <c r="Q633" s="53"/>
      <c r="R633" s="53"/>
      <c r="S633" s="53"/>
      <c r="T633" s="53"/>
    </row>
    <row r="634">
      <c r="A634" s="53"/>
      <c r="B634" s="53" t="s">
        <v>12269</v>
      </c>
      <c r="C634" s="53" t="s">
        <v>12010</v>
      </c>
      <c r="D634" s="53" t="s">
        <v>12010</v>
      </c>
      <c r="E634" s="53" t="s">
        <v>11216</v>
      </c>
      <c r="F634" s="53" t="s">
        <v>12270</v>
      </c>
      <c r="G634" s="54">
        <v>0.813636</v>
      </c>
      <c r="H634" s="53">
        <v>0.71</v>
      </c>
      <c r="I634" s="53">
        <v>3550</v>
      </c>
      <c r="J634" s="53">
        <v>5000</v>
      </c>
      <c r="K634" s="53"/>
      <c r="L634" s="53"/>
      <c r="M634" s="53"/>
      <c r="N634" s="53"/>
      <c r="O634" s="53"/>
      <c r="P634" s="53"/>
      <c r="Q634" s="53"/>
      <c r="R634" s="53"/>
      <c r="S634" s="53"/>
      <c r="T634" s="53"/>
    </row>
    <row r="635">
      <c r="A635" s="53"/>
      <c r="B635" s="53" t="s">
        <v>12271</v>
      </c>
      <c r="C635" s="53" t="s">
        <v>12272</v>
      </c>
      <c r="D635" s="53" t="s">
        <v>12272</v>
      </c>
      <c r="E635" s="53" t="s">
        <v>12273</v>
      </c>
      <c r="F635" s="53" t="s">
        <v>12274</v>
      </c>
      <c r="G635" s="54">
        <v>1.11996</v>
      </c>
      <c r="H635" s="53">
        <v>0.7</v>
      </c>
      <c r="I635" s="53">
        <v>3570</v>
      </c>
      <c r="J635" s="53">
        <v>5000</v>
      </c>
      <c r="K635" s="53"/>
      <c r="L635" s="53"/>
      <c r="M635" s="53"/>
      <c r="N635" s="53"/>
      <c r="O635" s="53"/>
      <c r="P635" s="53"/>
      <c r="Q635" s="53"/>
      <c r="R635" s="53"/>
      <c r="S635" s="53"/>
      <c r="T635" s="53"/>
    </row>
    <row r="636">
      <c r="A636" s="53"/>
      <c r="B636" s="53" t="s">
        <v>12275</v>
      </c>
      <c r="C636" s="53" t="s">
        <v>12105</v>
      </c>
      <c r="D636" s="53" t="s">
        <v>12105</v>
      </c>
      <c r="E636" s="53" t="s">
        <v>11571</v>
      </c>
      <c r="F636" s="53" t="s">
        <v>12276</v>
      </c>
      <c r="G636" s="54">
        <v>0.695</v>
      </c>
      <c r="H636" s="53">
        <v>0.7</v>
      </c>
      <c r="I636" s="53">
        <v>834</v>
      </c>
      <c r="J636" s="53">
        <v>1200</v>
      </c>
      <c r="K636" s="53"/>
      <c r="L636" s="53"/>
      <c r="M636" s="53"/>
      <c r="N636" s="53"/>
      <c r="O636" s="53"/>
      <c r="P636" s="53"/>
      <c r="Q636" s="53"/>
      <c r="R636" s="53"/>
      <c r="S636" s="53"/>
      <c r="T636" s="53"/>
    </row>
    <row r="637">
      <c r="A637" s="53"/>
      <c r="B637" s="53" t="s">
        <v>12277</v>
      </c>
      <c r="C637" s="53" t="s">
        <v>10843</v>
      </c>
      <c r="D637" s="53" t="s">
        <v>10843</v>
      </c>
      <c r="E637" s="53" t="s">
        <v>11151</v>
      </c>
      <c r="F637" s="53" t="s">
        <v>12278</v>
      </c>
      <c r="G637" s="54">
        <v>0.70496</v>
      </c>
      <c r="H637" s="53">
        <v>0.7</v>
      </c>
      <c r="I637" s="53">
        <v>2851.8</v>
      </c>
      <c r="J637" s="53">
        <v>3000</v>
      </c>
      <c r="K637" s="53"/>
      <c r="L637" s="53"/>
      <c r="M637" s="53"/>
      <c r="N637" s="53"/>
      <c r="O637" s="53"/>
      <c r="P637" s="53"/>
      <c r="Q637" s="53"/>
      <c r="R637" s="53"/>
      <c r="S637" s="53"/>
      <c r="T637" s="53"/>
    </row>
    <row r="638">
      <c r="A638" s="53"/>
      <c r="B638" s="53" t="s">
        <v>12279</v>
      </c>
      <c r="C638" s="53" t="s">
        <v>12116</v>
      </c>
      <c r="D638" s="53" t="s">
        <v>12116</v>
      </c>
      <c r="E638" s="53" t="s">
        <v>12005</v>
      </c>
      <c r="F638" s="53" t="s">
        <v>12280</v>
      </c>
      <c r="G638" s="54">
        <v>0.7245</v>
      </c>
      <c r="H638" s="53">
        <v>0.7</v>
      </c>
      <c r="I638" s="53">
        <v>8776.85</v>
      </c>
      <c r="J638" s="53">
        <v>6000</v>
      </c>
      <c r="K638" s="53"/>
      <c r="L638" s="53"/>
      <c r="M638" s="53"/>
      <c r="N638" s="53"/>
      <c r="O638" s="53"/>
      <c r="P638" s="53"/>
      <c r="Q638" s="53"/>
      <c r="R638" s="53"/>
      <c r="S638" s="53"/>
      <c r="T638" s="53"/>
    </row>
    <row r="639">
      <c r="A639" s="53"/>
      <c r="B639" s="53" t="s">
        <v>12281</v>
      </c>
      <c r="C639" s="53" t="s">
        <v>10843</v>
      </c>
      <c r="D639" s="53" t="s">
        <v>10843</v>
      </c>
      <c r="E639" s="53" t="s">
        <v>11163</v>
      </c>
      <c r="F639" s="53" t="s">
        <v>12282</v>
      </c>
      <c r="G639" s="54">
        <v>0.95575</v>
      </c>
      <c r="H639" s="53">
        <v>0.7</v>
      </c>
      <c r="I639" s="53">
        <v>0</v>
      </c>
      <c r="J639" s="53">
        <v>5000</v>
      </c>
      <c r="K639" s="53"/>
      <c r="L639" s="53"/>
      <c r="M639" s="53"/>
      <c r="N639" s="53"/>
      <c r="O639" s="53"/>
      <c r="P639" s="53"/>
      <c r="Q639" s="53"/>
      <c r="R639" s="53"/>
      <c r="S639" s="53"/>
      <c r="T639" s="53"/>
    </row>
    <row r="640">
      <c r="A640" s="53"/>
      <c r="B640" s="53" t="s">
        <v>12283</v>
      </c>
      <c r="C640" s="53" t="s">
        <v>11082</v>
      </c>
      <c r="D640" s="53" t="s">
        <v>11082</v>
      </c>
      <c r="E640" s="53" t="s">
        <v>11045</v>
      </c>
      <c r="F640" s="53" t="s">
        <v>12284</v>
      </c>
      <c r="G640" s="54">
        <v>0.703</v>
      </c>
      <c r="H640" s="53">
        <v>0.7</v>
      </c>
      <c r="I640" s="53">
        <v>3000</v>
      </c>
      <c r="J640" s="53">
        <v>1500</v>
      </c>
      <c r="K640" s="53"/>
      <c r="L640" s="53"/>
      <c r="M640" s="53"/>
      <c r="N640" s="53"/>
      <c r="O640" s="53"/>
      <c r="P640" s="53"/>
      <c r="Q640" s="53"/>
      <c r="R640" s="53"/>
      <c r="S640" s="53"/>
      <c r="T640" s="53"/>
    </row>
    <row r="641">
      <c r="A641" s="53"/>
      <c r="B641" s="53" t="s">
        <v>12285</v>
      </c>
      <c r="C641" s="53" t="s">
        <v>11201</v>
      </c>
      <c r="D641" s="53" t="s">
        <v>11201</v>
      </c>
      <c r="E641" s="53" t="s">
        <v>10813</v>
      </c>
      <c r="F641" s="53" t="s">
        <v>12286</v>
      </c>
      <c r="G641" s="54">
        <v>0.36249</v>
      </c>
      <c r="H641" s="53">
        <v>0.7</v>
      </c>
      <c r="I641" s="53">
        <v>3500</v>
      </c>
      <c r="J641" s="53">
        <v>5000</v>
      </c>
      <c r="K641" s="53"/>
      <c r="L641" s="53"/>
      <c r="M641" s="53"/>
      <c r="N641" s="53"/>
      <c r="O641" s="53"/>
      <c r="P641" s="53"/>
      <c r="Q641" s="53"/>
      <c r="R641" s="53"/>
      <c r="S641" s="53"/>
      <c r="T641" s="53"/>
    </row>
    <row r="642">
      <c r="A642" s="53"/>
      <c r="B642" s="53" t="s">
        <v>12287</v>
      </c>
      <c r="C642" s="53" t="s">
        <v>11086</v>
      </c>
      <c r="D642" s="53" t="s">
        <v>11086</v>
      </c>
      <c r="E642" s="53" t="s">
        <v>11045</v>
      </c>
      <c r="F642" s="53" t="s">
        <v>12288</v>
      </c>
      <c r="G642" s="54">
        <v>0.7</v>
      </c>
      <c r="H642" s="53">
        <v>0.7</v>
      </c>
      <c r="I642" s="53">
        <v>1395</v>
      </c>
      <c r="J642" s="53">
        <v>1500</v>
      </c>
      <c r="K642" s="53"/>
      <c r="L642" s="53"/>
      <c r="M642" s="53"/>
      <c r="N642" s="53"/>
      <c r="O642" s="53"/>
      <c r="P642" s="53"/>
      <c r="Q642" s="53"/>
      <c r="R642" s="53"/>
      <c r="S642" s="53"/>
      <c r="T642" s="53"/>
    </row>
    <row r="643">
      <c r="A643" s="53"/>
      <c r="B643" s="53" t="s">
        <v>12289</v>
      </c>
      <c r="C643" s="53" t="s">
        <v>11185</v>
      </c>
      <c r="D643" s="53" t="s">
        <v>11185</v>
      </c>
      <c r="E643" s="53" t="s">
        <v>11348</v>
      </c>
      <c r="F643" s="53" t="s">
        <v>12290</v>
      </c>
      <c r="G643" s="54">
        <v>0.58</v>
      </c>
      <c r="H643" s="53">
        <v>0.68</v>
      </c>
      <c r="I643" s="53">
        <v>0</v>
      </c>
      <c r="J643" s="53">
        <v>2800</v>
      </c>
      <c r="K643" s="53"/>
      <c r="L643" s="53"/>
      <c r="M643" s="53"/>
      <c r="N643" s="53"/>
      <c r="O643" s="53"/>
      <c r="P643" s="53"/>
      <c r="Q643" s="53"/>
      <c r="R643" s="53"/>
      <c r="S643" s="53"/>
      <c r="T643" s="53"/>
    </row>
    <row r="644">
      <c r="A644" s="53"/>
      <c r="B644" s="53" t="s">
        <v>12291</v>
      </c>
      <c r="C644" s="53" t="s">
        <v>12157</v>
      </c>
      <c r="D644" s="53" t="s">
        <v>12157</v>
      </c>
      <c r="E644" s="53" t="s">
        <v>11045</v>
      </c>
      <c r="F644" s="53" t="s">
        <v>12292</v>
      </c>
      <c r="G644" s="54">
        <v>1.096</v>
      </c>
      <c r="H644" s="53">
        <v>0.68</v>
      </c>
      <c r="I644" s="53">
        <v>1219</v>
      </c>
      <c r="J644" s="53">
        <v>1500</v>
      </c>
      <c r="K644" s="53"/>
      <c r="L644" s="53"/>
      <c r="M644" s="53"/>
      <c r="N644" s="53"/>
      <c r="O644" s="53"/>
      <c r="P644" s="53"/>
      <c r="Q644" s="53"/>
      <c r="R644" s="53"/>
      <c r="S644" s="53"/>
      <c r="T644" s="53"/>
    </row>
    <row r="645">
      <c r="A645" s="53"/>
      <c r="B645" s="53" t="s">
        <v>12293</v>
      </c>
      <c r="C645" s="53" t="s">
        <v>11774</v>
      </c>
      <c r="D645" s="53" t="s">
        <v>11774</v>
      </c>
      <c r="E645" s="53" t="s">
        <v>12005</v>
      </c>
      <c r="F645" s="53" t="s">
        <v>12294</v>
      </c>
      <c r="G645" s="54">
        <v>0.779</v>
      </c>
      <c r="H645" s="53">
        <v>0.68</v>
      </c>
      <c r="I645" s="53">
        <v>2900.34</v>
      </c>
      <c r="J645" s="53">
        <v>6000</v>
      </c>
      <c r="K645" s="53"/>
      <c r="L645" s="53"/>
      <c r="M645" s="53"/>
      <c r="N645" s="53"/>
      <c r="O645" s="53"/>
      <c r="P645" s="53"/>
      <c r="Q645" s="53"/>
      <c r="R645" s="53"/>
      <c r="S645" s="53"/>
      <c r="T645" s="53"/>
    </row>
    <row r="646">
      <c r="A646" s="53"/>
      <c r="B646" s="53" t="s">
        <v>12295</v>
      </c>
      <c r="C646" s="53" t="s">
        <v>11060</v>
      </c>
      <c r="D646" s="53" t="s">
        <v>11060</v>
      </c>
      <c r="E646" s="53" t="s">
        <v>10813</v>
      </c>
      <c r="F646" s="53" t="s">
        <v>12296</v>
      </c>
      <c r="G646" s="54">
        <v>0.721</v>
      </c>
      <c r="H646" s="53">
        <v>0.67</v>
      </c>
      <c r="I646" s="53">
        <v>3600</v>
      </c>
      <c r="J646" s="53">
        <v>6000</v>
      </c>
      <c r="K646" s="53"/>
      <c r="L646" s="53"/>
      <c r="M646" s="53"/>
      <c r="N646" s="53"/>
      <c r="O646" s="53"/>
      <c r="P646" s="53"/>
      <c r="Q646" s="53"/>
      <c r="R646" s="53"/>
      <c r="S646" s="53"/>
      <c r="T646" s="53"/>
    </row>
    <row r="647">
      <c r="A647" s="53"/>
      <c r="B647" s="53" t="s">
        <v>12297</v>
      </c>
      <c r="C647" s="53" t="s">
        <v>11368</v>
      </c>
      <c r="D647" s="53" t="s">
        <v>11368</v>
      </c>
      <c r="E647" s="53" t="s">
        <v>11244</v>
      </c>
      <c r="F647" s="53" t="s">
        <v>12298</v>
      </c>
      <c r="G647" s="54">
        <v>0.89492</v>
      </c>
      <c r="H647" s="53">
        <v>0.67</v>
      </c>
      <c r="I647" s="53">
        <v>2256</v>
      </c>
      <c r="J647" s="53">
        <v>5000</v>
      </c>
      <c r="K647" s="53"/>
      <c r="L647" s="53"/>
      <c r="M647" s="53"/>
      <c r="N647" s="53"/>
      <c r="O647" s="53"/>
      <c r="P647" s="53"/>
      <c r="Q647" s="53"/>
      <c r="R647" s="53"/>
      <c r="S647" s="53"/>
      <c r="T647" s="53"/>
    </row>
    <row r="648">
      <c r="A648" s="53"/>
      <c r="B648" s="53" t="s">
        <v>12299</v>
      </c>
      <c r="C648" s="53" t="s">
        <v>10843</v>
      </c>
      <c r="D648" s="53" t="s">
        <v>10843</v>
      </c>
      <c r="E648" s="53" t="s">
        <v>10952</v>
      </c>
      <c r="F648" s="53" t="s">
        <v>12300</v>
      </c>
      <c r="G648" s="54">
        <v>0.0067</v>
      </c>
      <c r="H648" s="53">
        <v>0.67</v>
      </c>
      <c r="I648" s="53">
        <v>2340.68</v>
      </c>
      <c r="J648" s="53">
        <v>2300</v>
      </c>
      <c r="K648" s="53"/>
      <c r="L648" s="53"/>
      <c r="M648" s="53"/>
      <c r="N648" s="53"/>
      <c r="O648" s="53"/>
      <c r="P648" s="53"/>
      <c r="Q648" s="53"/>
      <c r="R648" s="53"/>
      <c r="S648" s="53"/>
      <c r="T648" s="53"/>
    </row>
    <row r="649">
      <c r="A649" s="53"/>
      <c r="B649" s="53" t="s">
        <v>12301</v>
      </c>
      <c r="C649" s="53" t="s">
        <v>11115</v>
      </c>
      <c r="D649" s="53" t="s">
        <v>11115</v>
      </c>
      <c r="E649" s="53" t="s">
        <v>10813</v>
      </c>
      <c r="F649" s="53" t="s">
        <v>12302</v>
      </c>
      <c r="G649" s="54">
        <v>0.671785</v>
      </c>
      <c r="H649" s="53">
        <v>0.66</v>
      </c>
      <c r="I649" s="53">
        <v>5000</v>
      </c>
      <c r="J649" s="53">
        <v>5000</v>
      </c>
      <c r="K649" s="53"/>
      <c r="L649" s="53"/>
      <c r="M649" s="53"/>
      <c r="N649" s="53"/>
      <c r="O649" s="53"/>
      <c r="P649" s="53"/>
      <c r="Q649" s="53"/>
      <c r="R649" s="53"/>
      <c r="S649" s="53"/>
      <c r="T649" s="53"/>
    </row>
    <row r="650">
      <c r="A650" s="53"/>
      <c r="B650" s="53" t="s">
        <v>12303</v>
      </c>
      <c r="C650" s="53" t="s">
        <v>11099</v>
      </c>
      <c r="D650" s="53" t="s">
        <v>11099</v>
      </c>
      <c r="E650" s="53" t="s">
        <v>12176</v>
      </c>
      <c r="F650" s="53" t="s">
        <v>12304</v>
      </c>
      <c r="G650" s="54">
        <v>0.6</v>
      </c>
      <c r="H650" s="53">
        <v>0.66</v>
      </c>
      <c r="I650" s="53">
        <v>0</v>
      </c>
      <c r="J650" s="53">
        <v>2000</v>
      </c>
      <c r="K650" s="53"/>
      <c r="L650" s="53"/>
      <c r="M650" s="53"/>
      <c r="N650" s="53"/>
      <c r="O650" s="53"/>
      <c r="P650" s="53"/>
      <c r="Q650" s="53"/>
      <c r="R650" s="53"/>
      <c r="S650" s="53"/>
      <c r="T650" s="53"/>
    </row>
    <row r="651">
      <c r="A651" s="53"/>
      <c r="B651" s="53" t="s">
        <v>12305</v>
      </c>
      <c r="C651" s="53" t="s">
        <v>11300</v>
      </c>
      <c r="D651" s="53" t="s">
        <v>11300</v>
      </c>
      <c r="E651" s="53" t="s">
        <v>10813</v>
      </c>
      <c r="F651" s="53" t="s">
        <v>12306</v>
      </c>
      <c r="G651" s="54">
        <v>0.78466</v>
      </c>
      <c r="H651" s="53">
        <v>0.66</v>
      </c>
      <c r="I651" s="53">
        <v>6000</v>
      </c>
      <c r="J651" s="53">
        <v>5000</v>
      </c>
      <c r="K651" s="53"/>
      <c r="L651" s="53"/>
      <c r="M651" s="53"/>
      <c r="N651" s="53"/>
      <c r="O651" s="53"/>
      <c r="P651" s="53"/>
      <c r="Q651" s="53"/>
      <c r="R651" s="53"/>
      <c r="S651" s="53"/>
      <c r="T651" s="53"/>
    </row>
    <row r="652">
      <c r="A652" s="53"/>
      <c r="B652" s="53" t="s">
        <v>12307</v>
      </c>
      <c r="C652" s="53" t="s">
        <v>11274</v>
      </c>
      <c r="D652" s="53" t="s">
        <v>11274</v>
      </c>
      <c r="E652" s="53" t="s">
        <v>11045</v>
      </c>
      <c r="F652" s="53" t="s">
        <v>12308</v>
      </c>
      <c r="G652" s="54">
        <v>1.434547</v>
      </c>
      <c r="H652" s="53">
        <v>0.66</v>
      </c>
      <c r="I652" s="53">
        <v>990</v>
      </c>
      <c r="J652" s="53">
        <v>1500</v>
      </c>
      <c r="K652" s="53"/>
      <c r="L652" s="53"/>
      <c r="M652" s="53"/>
      <c r="N652" s="53"/>
      <c r="O652" s="53"/>
      <c r="P652" s="53"/>
      <c r="Q652" s="53"/>
      <c r="R652" s="53"/>
      <c r="S652" s="53"/>
      <c r="T652" s="53"/>
    </row>
    <row r="653">
      <c r="A653" s="53"/>
      <c r="B653" s="53" t="s">
        <v>12309</v>
      </c>
      <c r="C653" s="53" t="s">
        <v>11201</v>
      </c>
      <c r="D653" s="53" t="s">
        <v>11201</v>
      </c>
      <c r="E653" s="53" t="s">
        <v>11104</v>
      </c>
      <c r="F653" s="53" t="s">
        <v>12310</v>
      </c>
      <c r="G653" s="54">
        <v>0.63797</v>
      </c>
      <c r="H653" s="53">
        <v>0.66</v>
      </c>
      <c r="I653" s="53">
        <v>0</v>
      </c>
      <c r="J653" s="53">
        <v>2000</v>
      </c>
      <c r="K653" s="53"/>
      <c r="L653" s="53"/>
      <c r="M653" s="53"/>
      <c r="N653" s="53"/>
      <c r="O653" s="53"/>
      <c r="P653" s="53"/>
      <c r="Q653" s="53"/>
      <c r="R653" s="53"/>
      <c r="S653" s="53"/>
      <c r="T653" s="53"/>
    </row>
    <row r="654">
      <c r="A654" s="53"/>
      <c r="B654" s="53" t="s">
        <v>12311</v>
      </c>
      <c r="C654" s="53" t="s">
        <v>11201</v>
      </c>
      <c r="D654" s="53" t="s">
        <v>11201</v>
      </c>
      <c r="E654" s="53" t="s">
        <v>10813</v>
      </c>
      <c r="F654" s="53" t="s">
        <v>12312</v>
      </c>
      <c r="G654" s="54">
        <v>0.6556</v>
      </c>
      <c r="H654" s="53">
        <v>0.66</v>
      </c>
      <c r="I654" s="53">
        <v>0</v>
      </c>
      <c r="J654" s="53">
        <v>5000</v>
      </c>
      <c r="K654" s="53"/>
      <c r="L654" s="53"/>
      <c r="M654" s="53"/>
      <c r="N654" s="53"/>
      <c r="O654" s="53"/>
      <c r="P654" s="53"/>
      <c r="Q654" s="53"/>
      <c r="R654" s="53"/>
      <c r="S654" s="53"/>
      <c r="T654" s="53"/>
    </row>
    <row r="655">
      <c r="A655" s="53"/>
      <c r="B655" s="53" t="s">
        <v>12313</v>
      </c>
      <c r="C655" s="53" t="s">
        <v>11902</v>
      </c>
      <c r="D655" s="53" t="s">
        <v>11902</v>
      </c>
      <c r="E655" s="53" t="s">
        <v>12314</v>
      </c>
      <c r="F655" s="53" t="s">
        <v>12315</v>
      </c>
      <c r="G655" s="54">
        <v>0.64741</v>
      </c>
      <c r="H655" s="53">
        <v>0.65</v>
      </c>
      <c r="I655" s="53">
        <v>3237</v>
      </c>
      <c r="J655" s="53">
        <v>5000</v>
      </c>
      <c r="K655" s="53"/>
      <c r="L655" s="53"/>
      <c r="M655" s="53"/>
      <c r="N655" s="53"/>
      <c r="O655" s="53"/>
      <c r="P655" s="53"/>
      <c r="Q655" s="53"/>
      <c r="R655" s="53"/>
      <c r="S655" s="53"/>
      <c r="T655" s="53"/>
    </row>
    <row r="656">
      <c r="A656" s="53"/>
      <c r="B656" s="53" t="s">
        <v>12316</v>
      </c>
      <c r="C656" s="53" t="s">
        <v>11115</v>
      </c>
      <c r="D656" s="53" t="s">
        <v>11115</v>
      </c>
      <c r="E656" s="53" t="s">
        <v>10813</v>
      </c>
      <c r="F656" s="53" t="s">
        <v>12317</v>
      </c>
      <c r="G656" s="54">
        <v>0.651226</v>
      </c>
      <c r="H656" s="53">
        <v>0.65</v>
      </c>
      <c r="I656" s="53">
        <v>2000</v>
      </c>
      <c r="J656" s="53">
        <v>5000</v>
      </c>
      <c r="K656" s="53"/>
      <c r="L656" s="53"/>
      <c r="M656" s="53"/>
      <c r="N656" s="53"/>
      <c r="O656" s="53"/>
      <c r="P656" s="53"/>
      <c r="Q656" s="53"/>
      <c r="R656" s="53"/>
      <c r="S656" s="53"/>
      <c r="T656" s="53"/>
    </row>
    <row r="657">
      <c r="A657" s="53"/>
      <c r="B657" s="53" t="s">
        <v>12318</v>
      </c>
      <c r="C657" s="53" t="s">
        <v>12319</v>
      </c>
      <c r="D657" s="53" t="s">
        <v>12319</v>
      </c>
      <c r="E657" s="53" t="s">
        <v>11094</v>
      </c>
      <c r="F657" s="53" t="s">
        <v>12320</v>
      </c>
      <c r="G657" s="54">
        <v>0.651</v>
      </c>
      <c r="H657" s="53">
        <v>0.65</v>
      </c>
      <c r="I657" s="53">
        <v>1800</v>
      </c>
      <c r="J657" s="53">
        <v>5000</v>
      </c>
      <c r="K657" s="53"/>
      <c r="L657" s="53"/>
      <c r="M657" s="53"/>
      <c r="N657" s="53"/>
      <c r="O657" s="53"/>
      <c r="P657" s="53"/>
      <c r="Q657" s="53"/>
      <c r="R657" s="53"/>
      <c r="S657" s="53"/>
      <c r="T657" s="53"/>
    </row>
    <row r="658">
      <c r="A658" s="53"/>
      <c r="B658" s="53" t="s">
        <v>12321</v>
      </c>
      <c r="C658" s="53" t="s">
        <v>10843</v>
      </c>
      <c r="D658" s="53" t="s">
        <v>10843</v>
      </c>
      <c r="E658" s="53" t="s">
        <v>11151</v>
      </c>
      <c r="F658" s="53" t="s">
        <v>12322</v>
      </c>
      <c r="G658" s="54">
        <v>0.8063</v>
      </c>
      <c r="H658" s="53">
        <v>0.64</v>
      </c>
      <c r="I658" s="53">
        <v>2178.6</v>
      </c>
      <c r="J658" s="53">
        <v>3000</v>
      </c>
      <c r="K658" s="53"/>
      <c r="L658" s="53"/>
      <c r="M658" s="53"/>
      <c r="N658" s="53"/>
      <c r="O658" s="53"/>
      <c r="P658" s="53"/>
      <c r="Q658" s="53"/>
      <c r="R658" s="53"/>
      <c r="S658" s="53"/>
      <c r="T658" s="53"/>
    </row>
    <row r="659">
      <c r="A659" s="53"/>
      <c r="B659" s="53" t="s">
        <v>12323</v>
      </c>
      <c r="C659" s="53" t="s">
        <v>11065</v>
      </c>
      <c r="D659" s="53" t="s">
        <v>11065</v>
      </c>
      <c r="E659" s="53" t="s">
        <v>11045</v>
      </c>
      <c r="F659" s="53" t="s">
        <v>12324</v>
      </c>
      <c r="G659" s="54">
        <v>0.6175</v>
      </c>
      <c r="H659" s="53">
        <v>0.64</v>
      </c>
      <c r="I659" s="53">
        <v>960</v>
      </c>
      <c r="J659" s="53">
        <v>1500</v>
      </c>
      <c r="K659" s="53"/>
      <c r="L659" s="53"/>
      <c r="M659" s="53"/>
      <c r="N659" s="53"/>
      <c r="O659" s="53"/>
      <c r="P659" s="53"/>
      <c r="Q659" s="53"/>
      <c r="R659" s="53"/>
      <c r="S659" s="53"/>
      <c r="T659" s="53"/>
    </row>
    <row r="660">
      <c r="A660" s="53"/>
      <c r="B660" s="53" t="s">
        <v>12325</v>
      </c>
      <c r="C660" s="53" t="s">
        <v>12326</v>
      </c>
      <c r="D660" s="53" t="s">
        <v>12326</v>
      </c>
      <c r="E660" s="53" t="s">
        <v>11129</v>
      </c>
      <c r="F660" s="53" t="s">
        <v>12327</v>
      </c>
      <c r="G660" s="54">
        <v>0.8843</v>
      </c>
      <c r="H660" s="53">
        <v>0.64</v>
      </c>
      <c r="I660" s="53">
        <v>1280</v>
      </c>
      <c r="J660" s="53">
        <v>3000</v>
      </c>
      <c r="K660" s="53"/>
      <c r="L660" s="53"/>
      <c r="M660" s="53"/>
      <c r="N660" s="53"/>
      <c r="O660" s="53"/>
      <c r="P660" s="53"/>
      <c r="Q660" s="53"/>
      <c r="R660" s="53"/>
      <c r="S660" s="53"/>
      <c r="T660" s="53"/>
    </row>
    <row r="661">
      <c r="A661" s="53"/>
      <c r="B661" s="53" t="s">
        <v>12328</v>
      </c>
      <c r="C661" s="53" t="s">
        <v>11209</v>
      </c>
      <c r="D661" s="53" t="s">
        <v>11209</v>
      </c>
      <c r="E661" s="53" t="s">
        <v>11589</v>
      </c>
      <c r="F661" s="53" t="s">
        <v>12329</v>
      </c>
      <c r="G661" s="54">
        <v>0.64</v>
      </c>
      <c r="H661" s="53">
        <v>0.64</v>
      </c>
      <c r="I661" s="53">
        <v>320</v>
      </c>
      <c r="J661" s="53">
        <v>500</v>
      </c>
      <c r="K661" s="53"/>
      <c r="L661" s="53"/>
      <c r="M661" s="53"/>
      <c r="N661" s="53"/>
      <c r="O661" s="53"/>
      <c r="P661" s="53"/>
      <c r="Q661" s="53"/>
      <c r="R661" s="53"/>
      <c r="S661" s="53"/>
      <c r="T661" s="53"/>
    </row>
    <row r="662">
      <c r="A662" s="53"/>
      <c r="B662" s="53" t="s">
        <v>12330</v>
      </c>
      <c r="C662" s="53" t="s">
        <v>12257</v>
      </c>
      <c r="D662" s="53" t="s">
        <v>12257</v>
      </c>
      <c r="E662" s="53" t="s">
        <v>12258</v>
      </c>
      <c r="F662" s="53" t="s">
        <v>12331</v>
      </c>
      <c r="G662" s="54">
        <v>0.67064</v>
      </c>
      <c r="H662" s="53">
        <v>0.63</v>
      </c>
      <c r="I662" s="53">
        <v>4354</v>
      </c>
      <c r="J662" s="53">
        <v>5000</v>
      </c>
      <c r="K662" s="53"/>
      <c r="L662" s="53"/>
      <c r="M662" s="53"/>
      <c r="N662" s="53"/>
      <c r="O662" s="53"/>
      <c r="P662" s="53"/>
      <c r="Q662" s="53"/>
      <c r="R662" s="53"/>
      <c r="S662" s="53"/>
      <c r="T662" s="53"/>
    </row>
    <row r="663">
      <c r="A663" s="53"/>
      <c r="B663" s="53" t="s">
        <v>12332</v>
      </c>
      <c r="C663" s="53" t="s">
        <v>11115</v>
      </c>
      <c r="D663" s="53" t="s">
        <v>11115</v>
      </c>
      <c r="E663" s="53" t="s">
        <v>11122</v>
      </c>
      <c r="F663" s="53" t="s">
        <v>12333</v>
      </c>
      <c r="G663" s="54">
        <v>0.62279</v>
      </c>
      <c r="H663" s="53">
        <v>0.62</v>
      </c>
      <c r="I663" s="53">
        <v>5301.2</v>
      </c>
      <c r="J663" s="53">
        <v>5000</v>
      </c>
      <c r="K663" s="53"/>
      <c r="L663" s="53"/>
      <c r="M663" s="53"/>
      <c r="N663" s="53"/>
      <c r="O663" s="53"/>
      <c r="P663" s="53"/>
      <c r="Q663" s="53"/>
      <c r="R663" s="53"/>
      <c r="S663" s="53"/>
      <c r="T663" s="53"/>
    </row>
    <row r="664">
      <c r="A664" s="53"/>
      <c r="B664" s="53" t="s">
        <v>12334</v>
      </c>
      <c r="C664" s="53" t="s">
        <v>11209</v>
      </c>
      <c r="D664" s="53" t="s">
        <v>11209</v>
      </c>
      <c r="E664" s="53" t="s">
        <v>11354</v>
      </c>
      <c r="F664" s="53" t="s">
        <v>12335</v>
      </c>
      <c r="G664" s="54">
        <v>0.62</v>
      </c>
      <c r="H664" s="53">
        <v>0.62</v>
      </c>
      <c r="I664" s="53">
        <v>1113.16</v>
      </c>
      <c r="J664" s="53">
        <v>3000</v>
      </c>
      <c r="K664" s="53"/>
      <c r="L664" s="53"/>
      <c r="M664" s="53"/>
      <c r="N664" s="53"/>
      <c r="O664" s="53"/>
      <c r="P664" s="53"/>
      <c r="Q664" s="53"/>
      <c r="R664" s="53"/>
      <c r="S664" s="53"/>
      <c r="T664" s="53"/>
    </row>
    <row r="665">
      <c r="A665" s="53"/>
      <c r="B665" s="53" t="s">
        <v>12336</v>
      </c>
      <c r="C665" s="53" t="s">
        <v>11436</v>
      </c>
      <c r="D665" s="53" t="s">
        <v>11436</v>
      </c>
      <c r="E665" s="53" t="s">
        <v>11502</v>
      </c>
      <c r="F665" s="53" t="s">
        <v>12337</v>
      </c>
      <c r="G665" s="54">
        <v>0.62425</v>
      </c>
      <c r="H665" s="53">
        <v>0.61</v>
      </c>
      <c r="I665" s="53">
        <v>4610</v>
      </c>
      <c r="J665" s="53">
        <v>5000</v>
      </c>
      <c r="K665" s="53"/>
      <c r="L665" s="53"/>
      <c r="M665" s="53"/>
      <c r="N665" s="53"/>
      <c r="O665" s="53"/>
      <c r="P665" s="53"/>
      <c r="Q665" s="53"/>
      <c r="R665" s="53"/>
      <c r="S665" s="53"/>
      <c r="T665" s="53"/>
    </row>
    <row r="666">
      <c r="A666" s="53"/>
      <c r="B666" s="53" t="s">
        <v>12338</v>
      </c>
      <c r="C666" s="53" t="s">
        <v>11247</v>
      </c>
      <c r="D666" s="53" t="s">
        <v>11247</v>
      </c>
      <c r="E666" s="53" t="s">
        <v>11141</v>
      </c>
      <c r="F666" s="53" t="s">
        <v>12339</v>
      </c>
      <c r="G666" s="54">
        <v>0.6508</v>
      </c>
      <c r="H666" s="53">
        <v>0.61</v>
      </c>
      <c r="I666" s="53">
        <v>4626.4</v>
      </c>
      <c r="J666" s="53">
        <v>5000</v>
      </c>
      <c r="K666" s="53"/>
      <c r="L666" s="53"/>
      <c r="M666" s="53"/>
      <c r="N666" s="53"/>
      <c r="O666" s="53"/>
      <c r="P666" s="53"/>
      <c r="Q666" s="53"/>
      <c r="R666" s="53"/>
      <c r="S666" s="53"/>
      <c r="T666" s="53"/>
    </row>
    <row r="667">
      <c r="A667" s="53"/>
      <c r="B667" s="53" t="s">
        <v>12340</v>
      </c>
      <c r="C667" s="53" t="s">
        <v>11247</v>
      </c>
      <c r="D667" s="53" t="s">
        <v>11247</v>
      </c>
      <c r="E667" s="53" t="s">
        <v>11045</v>
      </c>
      <c r="F667" s="53" t="s">
        <v>12341</v>
      </c>
      <c r="G667" s="54">
        <v>0.562465</v>
      </c>
      <c r="H667" s="53">
        <v>0.61</v>
      </c>
      <c r="I667" s="53">
        <v>1198.5</v>
      </c>
      <c r="J667" s="53">
        <v>1500</v>
      </c>
      <c r="K667" s="53"/>
      <c r="L667" s="53"/>
      <c r="M667" s="53"/>
      <c r="N667" s="53"/>
      <c r="O667" s="53"/>
      <c r="P667" s="53"/>
      <c r="Q667" s="53"/>
      <c r="R667" s="53"/>
      <c r="S667" s="53"/>
      <c r="T667" s="53"/>
    </row>
    <row r="668">
      <c r="A668" s="53"/>
      <c r="B668" s="53" t="s">
        <v>12342</v>
      </c>
      <c r="C668" s="53" t="s">
        <v>11060</v>
      </c>
      <c r="D668" s="53" t="s">
        <v>11060</v>
      </c>
      <c r="E668" s="53" t="s">
        <v>10813</v>
      </c>
      <c r="F668" s="53" t="s">
        <v>12343</v>
      </c>
      <c r="G668" s="54">
        <v>0.6008</v>
      </c>
      <c r="H668" s="53">
        <v>0.6</v>
      </c>
      <c r="I668" s="53">
        <v>0</v>
      </c>
      <c r="J668" s="53">
        <v>6000</v>
      </c>
      <c r="K668" s="53"/>
      <c r="L668" s="53"/>
      <c r="M668" s="53"/>
      <c r="N668" s="53"/>
      <c r="O668" s="53"/>
      <c r="P668" s="53"/>
      <c r="Q668" s="53"/>
      <c r="R668" s="53"/>
      <c r="S668" s="53"/>
      <c r="T668" s="53"/>
    </row>
    <row r="669">
      <c r="A669" s="53"/>
      <c r="B669" s="53" t="s">
        <v>12344</v>
      </c>
      <c r="C669" s="53" t="s">
        <v>11044</v>
      </c>
      <c r="D669" s="53" t="s">
        <v>11044</v>
      </c>
      <c r="E669" s="53" t="s">
        <v>11141</v>
      </c>
      <c r="F669" s="53" t="s">
        <v>12345</v>
      </c>
      <c r="G669" s="54">
        <v>0.5971</v>
      </c>
      <c r="H669" s="53">
        <v>0.6</v>
      </c>
      <c r="I669" s="53">
        <v>0</v>
      </c>
      <c r="J669" s="53">
        <v>5000</v>
      </c>
      <c r="K669" s="53"/>
      <c r="L669" s="53"/>
      <c r="M669" s="53"/>
      <c r="N669" s="53"/>
      <c r="O669" s="53"/>
      <c r="P669" s="53"/>
      <c r="Q669" s="53"/>
      <c r="R669" s="53"/>
      <c r="S669" s="53"/>
      <c r="T669" s="53"/>
    </row>
    <row r="670">
      <c r="A670" s="53"/>
      <c r="B670" s="53" t="s">
        <v>12346</v>
      </c>
      <c r="C670" s="53" t="s">
        <v>11300</v>
      </c>
      <c r="D670" s="53" t="s">
        <v>11300</v>
      </c>
      <c r="E670" s="53" t="s">
        <v>10813</v>
      </c>
      <c r="F670" s="53" t="s">
        <v>12347</v>
      </c>
      <c r="G670" s="54">
        <v>0.664</v>
      </c>
      <c r="H670" s="53">
        <v>0.6</v>
      </c>
      <c r="I670" s="53">
        <v>0</v>
      </c>
      <c r="J670" s="53">
        <v>5000</v>
      </c>
      <c r="K670" s="53"/>
      <c r="L670" s="53"/>
      <c r="M670" s="53"/>
      <c r="N670" s="53"/>
      <c r="O670" s="53"/>
      <c r="P670" s="53"/>
      <c r="Q670" s="53"/>
      <c r="R670" s="53"/>
      <c r="S670" s="53"/>
      <c r="T670" s="53"/>
    </row>
    <row r="671">
      <c r="A671" s="53"/>
      <c r="B671" s="53" t="s">
        <v>12348</v>
      </c>
      <c r="C671" s="53" t="s">
        <v>11103</v>
      </c>
      <c r="D671" s="53" t="s">
        <v>11103</v>
      </c>
      <c r="E671" s="53" t="s">
        <v>11104</v>
      </c>
      <c r="F671" s="53" t="s">
        <v>12349</v>
      </c>
      <c r="G671" s="54">
        <v>0.416386</v>
      </c>
      <c r="H671" s="53">
        <v>0.6</v>
      </c>
      <c r="I671" s="53">
        <v>792.77</v>
      </c>
      <c r="J671" s="53">
        <v>2000</v>
      </c>
      <c r="K671" s="53"/>
      <c r="L671" s="53"/>
      <c r="M671" s="53"/>
      <c r="N671" s="53"/>
      <c r="O671" s="53"/>
      <c r="P671" s="53"/>
      <c r="Q671" s="53"/>
      <c r="R671" s="53"/>
      <c r="S671" s="53"/>
      <c r="T671" s="53"/>
    </row>
    <row r="672">
      <c r="A672" s="53"/>
      <c r="B672" s="53" t="s">
        <v>12350</v>
      </c>
      <c r="C672" s="53" t="s">
        <v>11274</v>
      </c>
      <c r="D672" s="53" t="s">
        <v>11274</v>
      </c>
      <c r="E672" s="53" t="s">
        <v>11141</v>
      </c>
      <c r="F672" s="53" t="s">
        <v>12351</v>
      </c>
      <c r="G672" s="54">
        <v>0.712435</v>
      </c>
      <c r="H672" s="53">
        <v>0.59</v>
      </c>
      <c r="I672" s="53">
        <v>6000</v>
      </c>
      <c r="J672" s="53">
        <v>5000</v>
      </c>
      <c r="K672" s="53"/>
      <c r="L672" s="53"/>
      <c r="M672" s="53"/>
      <c r="N672" s="53"/>
      <c r="O672" s="53"/>
      <c r="P672" s="53"/>
      <c r="Q672" s="53"/>
      <c r="R672" s="53"/>
      <c r="S672" s="53"/>
      <c r="T672" s="53"/>
    </row>
    <row r="673">
      <c r="A673" s="53"/>
      <c r="B673" s="53" t="s">
        <v>12352</v>
      </c>
      <c r="C673" s="53" t="s">
        <v>11357</v>
      </c>
      <c r="D673" s="53" t="s">
        <v>11357</v>
      </c>
      <c r="E673" s="53" t="s">
        <v>11045</v>
      </c>
      <c r="F673" s="53" t="s">
        <v>12353</v>
      </c>
      <c r="G673" s="54">
        <v>0.585</v>
      </c>
      <c r="H673" s="53">
        <v>0.59</v>
      </c>
      <c r="I673" s="53">
        <v>1509</v>
      </c>
      <c r="J673" s="53">
        <v>1500</v>
      </c>
      <c r="K673" s="53"/>
      <c r="L673" s="53"/>
      <c r="M673" s="53"/>
      <c r="N673" s="53"/>
      <c r="O673" s="53"/>
      <c r="P673" s="53"/>
      <c r="Q673" s="53"/>
      <c r="R673" s="53"/>
      <c r="S673" s="53"/>
      <c r="T673" s="53"/>
    </row>
    <row r="674">
      <c r="A674" s="53"/>
      <c r="B674" s="53" t="s">
        <v>12354</v>
      </c>
      <c r="C674" s="53" t="s">
        <v>11247</v>
      </c>
      <c r="D674" s="53" t="s">
        <v>11247</v>
      </c>
      <c r="E674" s="53" t="s">
        <v>11141</v>
      </c>
      <c r="F674" s="53" t="s">
        <v>12355</v>
      </c>
      <c r="G674" s="54">
        <v>0.5492</v>
      </c>
      <c r="H674" s="53">
        <v>0.58</v>
      </c>
      <c r="I674" s="53">
        <v>0</v>
      </c>
      <c r="J674" s="53">
        <v>5000</v>
      </c>
      <c r="K674" s="53"/>
      <c r="L674" s="53"/>
      <c r="M674" s="53"/>
      <c r="N674" s="53"/>
      <c r="O674" s="53"/>
      <c r="P674" s="53"/>
      <c r="Q674" s="53"/>
      <c r="R674" s="53"/>
      <c r="S674" s="53"/>
      <c r="T674" s="53"/>
    </row>
    <row r="675">
      <c r="A675" s="53"/>
      <c r="B675" s="53" t="s">
        <v>12356</v>
      </c>
      <c r="C675" s="53" t="s">
        <v>11060</v>
      </c>
      <c r="D675" s="53" t="s">
        <v>11060</v>
      </c>
      <c r="E675" s="53" t="s">
        <v>11045</v>
      </c>
      <c r="F675" s="53" t="s">
        <v>12357</v>
      </c>
      <c r="G675" s="54">
        <v>0.51</v>
      </c>
      <c r="H675" s="53">
        <v>0.56</v>
      </c>
      <c r="I675" s="53">
        <v>1706.9</v>
      </c>
      <c r="J675" s="53">
        <v>1500</v>
      </c>
      <c r="K675" s="53"/>
      <c r="L675" s="53"/>
      <c r="M675" s="53"/>
      <c r="N675" s="53"/>
      <c r="O675" s="53"/>
      <c r="P675" s="53"/>
      <c r="Q675" s="53"/>
      <c r="R675" s="53"/>
      <c r="S675" s="53"/>
      <c r="T675" s="53"/>
    </row>
    <row r="676">
      <c r="A676" s="53"/>
      <c r="B676" s="53" t="s">
        <v>12358</v>
      </c>
      <c r="C676" s="53" t="s">
        <v>11209</v>
      </c>
      <c r="D676" s="53" t="s">
        <v>11209</v>
      </c>
      <c r="E676" s="53" t="s">
        <v>11210</v>
      </c>
      <c r="F676" s="53" t="s">
        <v>12359</v>
      </c>
      <c r="G676" s="54">
        <v>0.62</v>
      </c>
      <c r="H676" s="53">
        <v>0.56</v>
      </c>
      <c r="I676" s="53">
        <v>2545.45</v>
      </c>
      <c r="J676" s="53">
        <v>3000</v>
      </c>
      <c r="K676" s="53"/>
      <c r="L676" s="53"/>
      <c r="M676" s="53"/>
      <c r="N676" s="53"/>
      <c r="O676" s="53"/>
      <c r="P676" s="53"/>
      <c r="Q676" s="53"/>
      <c r="R676" s="53"/>
      <c r="S676" s="53"/>
      <c r="T676" s="53"/>
    </row>
    <row r="677">
      <c r="A677" s="53"/>
      <c r="B677" s="53" t="s">
        <v>12360</v>
      </c>
      <c r="C677" s="53" t="s">
        <v>12361</v>
      </c>
      <c r="D677" s="53" t="s">
        <v>12361</v>
      </c>
      <c r="E677" s="53" t="s">
        <v>12005</v>
      </c>
      <c r="F677" s="53" t="s">
        <v>12362</v>
      </c>
      <c r="G677" s="54">
        <v>0.55653</v>
      </c>
      <c r="H677" s="53">
        <v>0.56</v>
      </c>
      <c r="I677" s="53">
        <v>2399</v>
      </c>
      <c r="J677" s="53">
        <v>6000</v>
      </c>
      <c r="K677" s="53"/>
      <c r="L677" s="53"/>
      <c r="M677" s="53"/>
      <c r="N677" s="53"/>
      <c r="O677" s="53"/>
      <c r="P677" s="53"/>
      <c r="Q677" s="53"/>
      <c r="R677" s="53"/>
      <c r="S677" s="53"/>
      <c r="T677" s="53"/>
    </row>
    <row r="678">
      <c r="A678" s="53"/>
      <c r="B678" s="53" t="s">
        <v>12363</v>
      </c>
      <c r="C678" s="53" t="s">
        <v>11086</v>
      </c>
      <c r="D678" s="53" t="s">
        <v>11086</v>
      </c>
      <c r="E678" s="53" t="s">
        <v>11083</v>
      </c>
      <c r="F678" s="53" t="s">
        <v>12364</v>
      </c>
      <c r="G678" s="54">
        <v>0.69701</v>
      </c>
      <c r="H678" s="53">
        <v>0.56</v>
      </c>
      <c r="I678" s="53">
        <v>3410</v>
      </c>
      <c r="J678" s="53">
        <v>2000</v>
      </c>
      <c r="K678" s="53"/>
      <c r="L678" s="53"/>
      <c r="M678" s="53"/>
      <c r="N678" s="53"/>
      <c r="O678" s="53"/>
      <c r="P678" s="53"/>
      <c r="Q678" s="53"/>
      <c r="R678" s="53"/>
      <c r="S678" s="53"/>
      <c r="T678" s="53"/>
    </row>
    <row r="679">
      <c r="A679" s="53"/>
      <c r="B679" s="53" t="s">
        <v>12365</v>
      </c>
      <c r="C679" s="53" t="s">
        <v>11902</v>
      </c>
      <c r="D679" s="53" t="s">
        <v>11902</v>
      </c>
      <c r="E679" s="53" t="s">
        <v>12366</v>
      </c>
      <c r="F679" s="53" t="s">
        <v>12367</v>
      </c>
      <c r="G679" s="54">
        <v>0.54712</v>
      </c>
      <c r="H679" s="53">
        <v>0.55</v>
      </c>
      <c r="I679" s="53">
        <v>2750</v>
      </c>
      <c r="J679" s="53">
        <v>5000</v>
      </c>
      <c r="K679" s="53"/>
      <c r="L679" s="53"/>
      <c r="M679" s="53"/>
      <c r="N679" s="53"/>
      <c r="O679" s="53"/>
      <c r="P679" s="53"/>
      <c r="Q679" s="53"/>
      <c r="R679" s="53"/>
      <c r="S679" s="53"/>
      <c r="T679" s="53"/>
    </row>
    <row r="680">
      <c r="A680" s="53"/>
      <c r="B680" s="53" t="s">
        <v>12368</v>
      </c>
      <c r="C680" s="53" t="s">
        <v>12369</v>
      </c>
      <c r="D680" s="53" t="s">
        <v>12369</v>
      </c>
      <c r="E680" s="53" t="s">
        <v>11240</v>
      </c>
      <c r="F680" s="53" t="s">
        <v>12370</v>
      </c>
      <c r="G680" s="54">
        <v>0.589</v>
      </c>
      <c r="H680" s="53">
        <v>0.55</v>
      </c>
      <c r="I680" s="53">
        <v>5270.08</v>
      </c>
      <c r="J680" s="53">
        <v>6000</v>
      </c>
      <c r="K680" s="53"/>
      <c r="L680" s="53"/>
      <c r="M680" s="53"/>
      <c r="N680" s="53"/>
      <c r="O680" s="53"/>
      <c r="P680" s="53"/>
      <c r="Q680" s="53"/>
      <c r="R680" s="53"/>
      <c r="S680" s="53"/>
      <c r="T680" s="53"/>
    </row>
    <row r="681">
      <c r="A681" s="53"/>
      <c r="B681" s="53" t="s">
        <v>12371</v>
      </c>
      <c r="C681" s="53" t="s">
        <v>11093</v>
      </c>
      <c r="D681" s="53" t="s">
        <v>11093</v>
      </c>
      <c r="E681" s="53" t="s">
        <v>11045</v>
      </c>
      <c r="F681" s="53" t="s">
        <v>12372</v>
      </c>
      <c r="G681" s="54">
        <v>0.569826</v>
      </c>
      <c r="H681" s="53">
        <v>0.55</v>
      </c>
      <c r="I681" s="53">
        <v>1627</v>
      </c>
      <c r="J681" s="53">
        <v>1500</v>
      </c>
      <c r="K681" s="53"/>
      <c r="L681" s="53"/>
      <c r="M681" s="53"/>
      <c r="N681" s="53"/>
      <c r="O681" s="53"/>
      <c r="P681" s="53"/>
      <c r="Q681" s="53"/>
      <c r="R681" s="53"/>
      <c r="S681" s="53"/>
      <c r="T681" s="53"/>
    </row>
    <row r="682">
      <c r="A682" s="53"/>
      <c r="B682" s="53" t="s">
        <v>12373</v>
      </c>
      <c r="C682" s="53" t="s">
        <v>11338</v>
      </c>
      <c r="D682" s="53" t="s">
        <v>11338</v>
      </c>
      <c r="E682" s="53" t="s">
        <v>11339</v>
      </c>
      <c r="F682" s="53" t="s">
        <v>12374</v>
      </c>
      <c r="G682" s="54">
        <v>0.545</v>
      </c>
      <c r="H682" s="53">
        <v>0.55</v>
      </c>
      <c r="I682" s="53">
        <v>2461.54</v>
      </c>
      <c r="J682" s="53">
        <v>3000</v>
      </c>
      <c r="K682" s="53"/>
      <c r="L682" s="53"/>
      <c r="M682" s="53"/>
      <c r="N682" s="53"/>
      <c r="O682" s="53"/>
      <c r="P682" s="53"/>
      <c r="Q682" s="53"/>
      <c r="R682" s="53"/>
      <c r="S682" s="53"/>
      <c r="T682" s="53"/>
    </row>
    <row r="683">
      <c r="A683" s="53"/>
      <c r="B683" s="53" t="s">
        <v>12375</v>
      </c>
      <c r="C683" s="53" t="s">
        <v>12376</v>
      </c>
      <c r="D683" s="53" t="s">
        <v>12376</v>
      </c>
      <c r="E683" s="53" t="s">
        <v>11129</v>
      </c>
      <c r="F683" s="53" t="s">
        <v>12377</v>
      </c>
      <c r="G683" s="54">
        <v>0.807</v>
      </c>
      <c r="H683" s="53">
        <v>0.55</v>
      </c>
      <c r="I683" s="53">
        <v>0</v>
      </c>
      <c r="J683" s="53">
        <v>3000</v>
      </c>
      <c r="K683" s="53"/>
      <c r="L683" s="53"/>
      <c r="M683" s="53"/>
      <c r="N683" s="53"/>
      <c r="O683" s="53"/>
      <c r="P683" s="53"/>
      <c r="Q683" s="53"/>
      <c r="R683" s="53"/>
      <c r="S683" s="53"/>
      <c r="T683" s="53"/>
    </row>
    <row r="684">
      <c r="A684" s="53"/>
      <c r="B684" s="53" t="s">
        <v>12378</v>
      </c>
      <c r="C684" s="53" t="s">
        <v>12379</v>
      </c>
      <c r="D684" s="53" t="s">
        <v>12379</v>
      </c>
      <c r="E684" s="53" t="s">
        <v>11240</v>
      </c>
      <c r="F684" s="53" t="s">
        <v>12380</v>
      </c>
      <c r="G684" s="54">
        <v>0.63</v>
      </c>
      <c r="H684" s="53">
        <v>0.54</v>
      </c>
      <c r="I684" s="53">
        <v>4817.63</v>
      </c>
      <c r="J684" s="53">
        <v>6000</v>
      </c>
      <c r="K684" s="53"/>
      <c r="L684" s="53"/>
      <c r="M684" s="53"/>
      <c r="N684" s="53"/>
      <c r="O684" s="53"/>
      <c r="P684" s="53"/>
      <c r="Q684" s="53"/>
      <c r="R684" s="53"/>
      <c r="S684" s="53"/>
      <c r="T684" s="53"/>
    </row>
    <row r="685">
      <c r="A685" s="53"/>
      <c r="B685" s="53" t="s">
        <v>12381</v>
      </c>
      <c r="C685" s="53" t="s">
        <v>11044</v>
      </c>
      <c r="D685" s="53" t="s">
        <v>11044</v>
      </c>
      <c r="E685" s="53" t="s">
        <v>11156</v>
      </c>
      <c r="F685" s="53" t="s">
        <v>12382</v>
      </c>
      <c r="G685" s="54">
        <v>0.56422</v>
      </c>
      <c r="H685" s="53">
        <v>0.54</v>
      </c>
      <c r="I685" s="53">
        <v>0</v>
      </c>
      <c r="J685" s="53">
        <v>0</v>
      </c>
      <c r="K685" s="53"/>
      <c r="L685" s="53"/>
      <c r="M685" s="53"/>
      <c r="N685" s="53"/>
      <c r="O685" s="53"/>
      <c r="P685" s="53"/>
      <c r="Q685" s="53"/>
      <c r="R685" s="53"/>
      <c r="S685" s="53"/>
      <c r="T685" s="53"/>
    </row>
    <row r="686">
      <c r="A686" s="53"/>
      <c r="B686" s="53" t="s">
        <v>12383</v>
      </c>
      <c r="C686" s="53" t="s">
        <v>11086</v>
      </c>
      <c r="D686" s="53" t="s">
        <v>11086</v>
      </c>
      <c r="E686" s="53" t="s">
        <v>11141</v>
      </c>
      <c r="F686" s="53" t="s">
        <v>12384</v>
      </c>
      <c r="G686" s="54">
        <v>0.66816</v>
      </c>
      <c r="H686" s="53">
        <v>0.54</v>
      </c>
      <c r="I686" s="53">
        <v>2015</v>
      </c>
      <c r="J686" s="53">
        <v>5000</v>
      </c>
      <c r="K686" s="53"/>
      <c r="L686" s="53"/>
      <c r="M686" s="53"/>
      <c r="N686" s="53"/>
      <c r="O686" s="53"/>
      <c r="P686" s="53"/>
      <c r="Q686" s="53"/>
      <c r="R686" s="53"/>
      <c r="S686" s="53"/>
      <c r="T686" s="53"/>
    </row>
    <row r="687">
      <c r="A687" s="53"/>
      <c r="B687" s="53" t="s">
        <v>12385</v>
      </c>
      <c r="C687" s="53" t="s">
        <v>11422</v>
      </c>
      <c r="D687" s="53" t="s">
        <v>11422</v>
      </c>
      <c r="E687" s="53" t="s">
        <v>10813</v>
      </c>
      <c r="F687" s="53" t="s">
        <v>12386</v>
      </c>
      <c r="G687" s="54">
        <v>0.477</v>
      </c>
      <c r="H687" s="53">
        <v>0.54</v>
      </c>
      <c r="I687" s="53">
        <v>0</v>
      </c>
      <c r="J687" s="53">
        <v>5000</v>
      </c>
      <c r="K687" s="53"/>
      <c r="L687" s="53"/>
      <c r="M687" s="53"/>
      <c r="N687" s="53"/>
      <c r="O687" s="53"/>
      <c r="P687" s="53"/>
      <c r="Q687" s="53"/>
      <c r="R687" s="53"/>
      <c r="S687" s="53"/>
      <c r="T687" s="53"/>
    </row>
    <row r="688">
      <c r="A688" s="53"/>
      <c r="B688" s="53" t="s">
        <v>12387</v>
      </c>
      <c r="C688" s="53" t="s">
        <v>11209</v>
      </c>
      <c r="D688" s="53" t="s">
        <v>11209</v>
      </c>
      <c r="E688" s="53" t="s">
        <v>11589</v>
      </c>
      <c r="F688" s="53" t="s">
        <v>12388</v>
      </c>
      <c r="G688" s="54">
        <v>0.54</v>
      </c>
      <c r="H688" s="53">
        <v>0.54</v>
      </c>
      <c r="I688" s="53">
        <v>270</v>
      </c>
      <c r="J688" s="53">
        <v>500</v>
      </c>
      <c r="K688" s="53"/>
      <c r="L688" s="53"/>
      <c r="M688" s="53"/>
      <c r="N688" s="53"/>
      <c r="O688" s="53"/>
      <c r="P688" s="53"/>
      <c r="Q688" s="53"/>
      <c r="R688" s="53"/>
      <c r="S688" s="53"/>
      <c r="T688" s="53"/>
    </row>
    <row r="689">
      <c r="A689" s="53"/>
      <c r="B689" s="53" t="s">
        <v>12389</v>
      </c>
      <c r="C689" s="53" t="s">
        <v>11201</v>
      </c>
      <c r="D689" s="53" t="s">
        <v>11201</v>
      </c>
      <c r="E689" s="53" t="s">
        <v>11604</v>
      </c>
      <c r="F689" s="53" t="s">
        <v>12390</v>
      </c>
      <c r="G689" s="54">
        <v>0.5272</v>
      </c>
      <c r="H689" s="53">
        <v>0.53</v>
      </c>
      <c r="I689" s="53">
        <v>263.5</v>
      </c>
      <c r="J689" s="53">
        <v>500</v>
      </c>
      <c r="K689" s="53"/>
      <c r="L689" s="53"/>
      <c r="M689" s="53"/>
      <c r="N689" s="53"/>
      <c r="O689" s="53"/>
      <c r="P689" s="53"/>
      <c r="Q689" s="53"/>
      <c r="R689" s="53"/>
      <c r="S689" s="53"/>
      <c r="T689" s="53"/>
    </row>
    <row r="690">
      <c r="A690" s="53"/>
      <c r="B690" s="53" t="s">
        <v>12391</v>
      </c>
      <c r="C690" s="53" t="s">
        <v>11907</v>
      </c>
      <c r="D690" s="53" t="s">
        <v>11907</v>
      </c>
      <c r="E690" s="53" t="s">
        <v>12021</v>
      </c>
      <c r="F690" s="53" t="s">
        <v>12392</v>
      </c>
      <c r="G690" s="54">
        <v>0.5465</v>
      </c>
      <c r="H690" s="53">
        <v>0.53</v>
      </c>
      <c r="I690" s="53">
        <v>1680</v>
      </c>
      <c r="J690" s="53">
        <v>5000</v>
      </c>
      <c r="K690" s="53"/>
      <c r="L690" s="53"/>
      <c r="M690" s="53"/>
      <c r="N690" s="53"/>
      <c r="O690" s="53"/>
      <c r="P690" s="53"/>
      <c r="Q690" s="53"/>
      <c r="R690" s="53"/>
      <c r="S690" s="53"/>
      <c r="T690" s="53"/>
    </row>
    <row r="691">
      <c r="A691" s="53"/>
      <c r="B691" s="53" t="s">
        <v>12393</v>
      </c>
      <c r="C691" s="53" t="s">
        <v>11774</v>
      </c>
      <c r="D691" s="53" t="s">
        <v>11774</v>
      </c>
      <c r="E691" s="53" t="s">
        <v>10813</v>
      </c>
      <c r="F691" s="53" t="s">
        <v>12394</v>
      </c>
      <c r="G691" s="54">
        <v>1.342471</v>
      </c>
      <c r="H691" s="53">
        <v>0.53</v>
      </c>
      <c r="I691" s="53">
        <v>102.25</v>
      </c>
      <c r="J691" s="53">
        <v>5000</v>
      </c>
      <c r="K691" s="53"/>
      <c r="L691" s="53"/>
      <c r="M691" s="53"/>
      <c r="N691" s="53"/>
      <c r="O691" s="53"/>
      <c r="P691" s="53"/>
      <c r="Q691" s="53"/>
      <c r="R691" s="53"/>
      <c r="S691" s="53"/>
      <c r="T691" s="53"/>
    </row>
    <row r="692">
      <c r="A692" s="53"/>
      <c r="B692" s="53" t="s">
        <v>12395</v>
      </c>
      <c r="C692" s="53" t="s">
        <v>11453</v>
      </c>
      <c r="D692" s="53" t="s">
        <v>11453</v>
      </c>
      <c r="E692" s="53" t="s">
        <v>11210</v>
      </c>
      <c r="F692" s="53" t="s">
        <v>12396</v>
      </c>
      <c r="G692" s="54">
        <v>0.6</v>
      </c>
      <c r="H692" s="53">
        <v>0.52</v>
      </c>
      <c r="I692" s="53">
        <v>3000</v>
      </c>
      <c r="J692" s="53">
        <v>3000</v>
      </c>
      <c r="K692" s="53"/>
      <c r="L692" s="53"/>
      <c r="M692" s="53"/>
      <c r="N692" s="53"/>
      <c r="O692" s="53"/>
      <c r="P692" s="53"/>
      <c r="Q692" s="53"/>
      <c r="R692" s="53"/>
      <c r="S692" s="53"/>
      <c r="T692" s="53"/>
    </row>
    <row r="693">
      <c r="A693" s="53"/>
      <c r="B693" s="53" t="s">
        <v>12397</v>
      </c>
      <c r="C693" s="53" t="s">
        <v>11247</v>
      </c>
      <c r="D693" s="53" t="s">
        <v>11247</v>
      </c>
      <c r="E693" s="53" t="s">
        <v>11045</v>
      </c>
      <c r="F693" s="53" t="s">
        <v>12398</v>
      </c>
      <c r="G693" s="54">
        <v>0.52</v>
      </c>
      <c r="H693" s="53">
        <v>0.52</v>
      </c>
      <c r="I693" s="53">
        <v>780</v>
      </c>
      <c r="J693" s="53">
        <v>1500</v>
      </c>
      <c r="K693" s="53"/>
      <c r="L693" s="53"/>
      <c r="M693" s="53"/>
      <c r="N693" s="53"/>
      <c r="O693" s="53"/>
      <c r="P693" s="53"/>
      <c r="Q693" s="53"/>
      <c r="R693" s="53"/>
      <c r="S693" s="53"/>
      <c r="T693" s="53"/>
    </row>
    <row r="694">
      <c r="A694" s="53"/>
      <c r="B694" s="53" t="s">
        <v>12399</v>
      </c>
      <c r="C694" s="53" t="s">
        <v>10843</v>
      </c>
      <c r="D694" s="53" t="s">
        <v>10843</v>
      </c>
      <c r="E694" s="53" t="s">
        <v>10813</v>
      </c>
      <c r="F694" s="53" t="s">
        <v>12400</v>
      </c>
      <c r="G694" s="54">
        <v>0.5175</v>
      </c>
      <c r="H694" s="53">
        <v>0.52</v>
      </c>
      <c r="I694" s="53">
        <v>0</v>
      </c>
      <c r="J694" s="53">
        <v>5000</v>
      </c>
      <c r="K694" s="53"/>
      <c r="L694" s="53"/>
      <c r="M694" s="53"/>
      <c r="N694" s="53"/>
      <c r="O694" s="53"/>
      <c r="P694" s="53"/>
      <c r="Q694" s="53"/>
      <c r="R694" s="53"/>
      <c r="S694" s="53"/>
      <c r="T694" s="53"/>
    </row>
    <row r="695">
      <c r="A695" s="53"/>
      <c r="B695" s="53" t="s">
        <v>12401</v>
      </c>
      <c r="C695" s="53" t="s">
        <v>11357</v>
      </c>
      <c r="D695" s="53" t="s">
        <v>11357</v>
      </c>
      <c r="E695" s="53" t="s">
        <v>11141</v>
      </c>
      <c r="F695" s="53" t="s">
        <v>12402</v>
      </c>
      <c r="G695" s="54">
        <v>0.54</v>
      </c>
      <c r="H695" s="53">
        <v>0.52</v>
      </c>
      <c r="I695" s="53">
        <v>600</v>
      </c>
      <c r="J695" s="53">
        <v>5000</v>
      </c>
      <c r="K695" s="53"/>
      <c r="L695" s="53"/>
      <c r="M695" s="53"/>
      <c r="N695" s="53"/>
      <c r="O695" s="53"/>
      <c r="P695" s="53"/>
      <c r="Q695" s="53"/>
      <c r="R695" s="53"/>
      <c r="S695" s="53"/>
      <c r="T695" s="53"/>
    </row>
    <row r="696">
      <c r="A696" s="53"/>
      <c r="B696" s="53" t="s">
        <v>12403</v>
      </c>
      <c r="C696" s="53" t="s">
        <v>11125</v>
      </c>
      <c r="D696" s="53" t="s">
        <v>11125</v>
      </c>
      <c r="E696" s="53" t="s">
        <v>11141</v>
      </c>
      <c r="F696" s="53" t="s">
        <v>12404</v>
      </c>
      <c r="G696" s="54">
        <v>0.52</v>
      </c>
      <c r="H696" s="53">
        <v>0.52</v>
      </c>
      <c r="I696" s="53">
        <v>3000</v>
      </c>
      <c r="J696" s="53">
        <v>5000</v>
      </c>
      <c r="K696" s="53"/>
      <c r="L696" s="53"/>
      <c r="M696" s="53"/>
      <c r="N696" s="53"/>
      <c r="O696" s="53"/>
      <c r="P696" s="53"/>
      <c r="Q696" s="53"/>
      <c r="R696" s="53"/>
      <c r="S696" s="53"/>
      <c r="T696" s="53"/>
    </row>
    <row r="697">
      <c r="A697" s="53"/>
      <c r="B697" s="53" t="s">
        <v>12405</v>
      </c>
      <c r="C697" s="53" t="s">
        <v>11247</v>
      </c>
      <c r="D697" s="53" t="s">
        <v>11247</v>
      </c>
      <c r="E697" s="53" t="s">
        <v>11141</v>
      </c>
      <c r="F697" s="53" t="s">
        <v>12406</v>
      </c>
      <c r="G697" s="54">
        <v>0.7282</v>
      </c>
      <c r="H697" s="53">
        <v>0.51</v>
      </c>
      <c r="I697" s="53">
        <v>3867.98</v>
      </c>
      <c r="J697" s="53">
        <v>5000</v>
      </c>
      <c r="K697" s="53"/>
      <c r="L697" s="53"/>
      <c r="M697" s="53"/>
      <c r="N697" s="53"/>
      <c r="O697" s="53"/>
      <c r="P697" s="53"/>
      <c r="Q697" s="53"/>
      <c r="R697" s="53"/>
      <c r="S697" s="53"/>
      <c r="T697" s="53"/>
    </row>
    <row r="698">
      <c r="A698" s="53"/>
      <c r="B698" s="53" t="s">
        <v>12407</v>
      </c>
      <c r="C698" s="53" t="s">
        <v>12257</v>
      </c>
      <c r="D698" s="53" t="s">
        <v>12257</v>
      </c>
      <c r="E698" s="53" t="s">
        <v>12258</v>
      </c>
      <c r="F698" s="53" t="s">
        <v>12408</v>
      </c>
      <c r="G698" s="54">
        <v>0.51792</v>
      </c>
      <c r="H698" s="53">
        <v>0.51</v>
      </c>
      <c r="I698" s="53">
        <v>2550</v>
      </c>
      <c r="J698" s="53">
        <v>5000</v>
      </c>
      <c r="K698" s="53"/>
      <c r="L698" s="53"/>
      <c r="M698" s="53"/>
      <c r="N698" s="53"/>
      <c r="O698" s="53"/>
      <c r="P698" s="53"/>
      <c r="Q698" s="53"/>
      <c r="R698" s="53"/>
      <c r="S698" s="53"/>
      <c r="T698" s="53"/>
    </row>
    <row r="699">
      <c r="A699" s="53"/>
      <c r="B699" s="53" t="s">
        <v>12409</v>
      </c>
      <c r="C699" s="53" t="s">
        <v>11201</v>
      </c>
      <c r="D699" s="53" t="s">
        <v>11201</v>
      </c>
      <c r="E699" s="53" t="s">
        <v>11104</v>
      </c>
      <c r="F699" s="53" t="s">
        <v>12410</v>
      </c>
      <c r="G699" s="54">
        <v>0.00548</v>
      </c>
      <c r="H699" s="53">
        <v>0.51</v>
      </c>
      <c r="I699" s="53">
        <v>1174</v>
      </c>
      <c r="J699" s="53">
        <v>2000</v>
      </c>
      <c r="K699" s="53"/>
      <c r="L699" s="53"/>
      <c r="M699" s="53"/>
      <c r="N699" s="53"/>
      <c r="O699" s="53"/>
      <c r="P699" s="53"/>
      <c r="Q699" s="53"/>
      <c r="R699" s="53"/>
      <c r="S699" s="53"/>
      <c r="T699" s="53"/>
    </row>
    <row r="700">
      <c r="A700" s="53"/>
      <c r="B700" s="53" t="s">
        <v>12411</v>
      </c>
      <c r="C700" s="53" t="s">
        <v>11125</v>
      </c>
      <c r="D700" s="53" t="s">
        <v>11125</v>
      </c>
      <c r="E700" s="53" t="s">
        <v>11045</v>
      </c>
      <c r="F700" s="53" t="s">
        <v>12412</v>
      </c>
      <c r="G700" s="54">
        <v>0.614125</v>
      </c>
      <c r="H700" s="53">
        <v>0.51</v>
      </c>
      <c r="I700" s="53">
        <v>900</v>
      </c>
      <c r="J700" s="53">
        <v>1500</v>
      </c>
      <c r="K700" s="53"/>
      <c r="L700" s="53"/>
      <c r="M700" s="53"/>
      <c r="N700" s="53"/>
      <c r="O700" s="53"/>
      <c r="P700" s="53"/>
      <c r="Q700" s="53"/>
      <c r="R700" s="53"/>
      <c r="S700" s="53"/>
      <c r="T700" s="53"/>
    </row>
    <row r="701">
      <c r="A701" s="53"/>
      <c r="B701" s="53" t="s">
        <v>12413</v>
      </c>
      <c r="C701" s="53" t="s">
        <v>12414</v>
      </c>
      <c r="D701" s="53" t="s">
        <v>12414</v>
      </c>
      <c r="E701" s="53" t="s">
        <v>12415</v>
      </c>
      <c r="F701" s="53" t="s">
        <v>12416</v>
      </c>
      <c r="G701" s="54">
        <v>0.5</v>
      </c>
      <c r="H701" s="53">
        <v>0.5</v>
      </c>
      <c r="I701" s="53">
        <v>2500</v>
      </c>
      <c r="J701" s="53">
        <v>5000</v>
      </c>
      <c r="K701" s="53"/>
      <c r="L701" s="53"/>
      <c r="M701" s="53"/>
      <c r="N701" s="53"/>
      <c r="O701" s="53"/>
      <c r="P701" s="53"/>
      <c r="Q701" s="53"/>
      <c r="R701" s="53"/>
      <c r="S701" s="53"/>
      <c r="T701" s="53"/>
    </row>
    <row r="702">
      <c r="A702" s="53"/>
      <c r="B702" s="53" t="s">
        <v>12417</v>
      </c>
      <c r="C702" s="53" t="s">
        <v>11044</v>
      </c>
      <c r="D702" s="53" t="s">
        <v>11044</v>
      </c>
      <c r="E702" s="53" t="s">
        <v>11045</v>
      </c>
      <c r="F702" s="53" t="s">
        <v>12418</v>
      </c>
      <c r="G702" s="54">
        <v>0.5158</v>
      </c>
      <c r="H702" s="53">
        <v>0.5</v>
      </c>
      <c r="I702" s="53">
        <v>1184</v>
      </c>
      <c r="J702" s="53">
        <v>1500</v>
      </c>
      <c r="K702" s="53"/>
      <c r="L702" s="53"/>
      <c r="M702" s="53"/>
      <c r="N702" s="53"/>
      <c r="O702" s="53"/>
      <c r="P702" s="53"/>
      <c r="Q702" s="53"/>
      <c r="R702" s="53"/>
      <c r="S702" s="53"/>
      <c r="T702" s="53"/>
    </row>
    <row r="703">
      <c r="A703" s="53"/>
      <c r="B703" s="53" t="s">
        <v>12419</v>
      </c>
      <c r="C703" s="53" t="s">
        <v>11274</v>
      </c>
      <c r="D703" s="53" t="s">
        <v>11274</v>
      </c>
      <c r="E703" s="53" t="s">
        <v>11045</v>
      </c>
      <c r="F703" s="53" t="s">
        <v>12420</v>
      </c>
      <c r="G703" s="54">
        <v>0.504</v>
      </c>
      <c r="H703" s="53">
        <v>0.5</v>
      </c>
      <c r="I703" s="53">
        <v>3000</v>
      </c>
      <c r="J703" s="53">
        <v>1500</v>
      </c>
      <c r="K703" s="53"/>
      <c r="L703" s="53"/>
      <c r="M703" s="53"/>
      <c r="N703" s="53"/>
      <c r="O703" s="53"/>
      <c r="P703" s="53"/>
      <c r="Q703" s="53"/>
      <c r="R703" s="53"/>
      <c r="S703" s="53"/>
      <c r="T703" s="53"/>
    </row>
    <row r="704">
      <c r="A704" s="53"/>
      <c r="B704" s="53" t="s">
        <v>12421</v>
      </c>
      <c r="C704" s="53" t="s">
        <v>11422</v>
      </c>
      <c r="D704" s="53" t="s">
        <v>11422</v>
      </c>
      <c r="E704" s="53" t="s">
        <v>12422</v>
      </c>
      <c r="F704" s="53" t="s">
        <v>12423</v>
      </c>
      <c r="G704" s="54">
        <v>0.448</v>
      </c>
      <c r="H704" s="53">
        <v>0.5</v>
      </c>
      <c r="I704" s="53">
        <v>4500</v>
      </c>
      <c r="J704" s="53">
        <v>3000</v>
      </c>
      <c r="K704" s="53"/>
      <c r="L704" s="53"/>
      <c r="M704" s="53"/>
      <c r="N704" s="53"/>
      <c r="O704" s="53"/>
      <c r="P704" s="53"/>
      <c r="Q704" s="53"/>
      <c r="R704" s="53"/>
      <c r="S704" s="53"/>
      <c r="T704" s="53"/>
    </row>
    <row r="705">
      <c r="A705" s="53"/>
      <c r="B705" s="53" t="s">
        <v>12424</v>
      </c>
      <c r="C705" s="53" t="s">
        <v>11543</v>
      </c>
      <c r="D705" s="53" t="s">
        <v>11543</v>
      </c>
      <c r="E705" s="53" t="s">
        <v>10813</v>
      </c>
      <c r="F705" s="53" t="s">
        <v>12425</v>
      </c>
      <c r="G705" s="54">
        <v>0.525</v>
      </c>
      <c r="H705" s="53">
        <v>0.49</v>
      </c>
      <c r="I705" s="53">
        <v>0</v>
      </c>
      <c r="J705" s="53">
        <v>5000</v>
      </c>
      <c r="K705" s="53"/>
      <c r="L705" s="53"/>
      <c r="M705" s="53"/>
      <c r="N705" s="53"/>
      <c r="O705" s="53"/>
      <c r="P705" s="53"/>
      <c r="Q705" s="53"/>
      <c r="R705" s="53"/>
      <c r="S705" s="53"/>
      <c r="T705" s="53"/>
    </row>
    <row r="706">
      <c r="A706" s="53"/>
      <c r="B706" s="53" t="s">
        <v>12426</v>
      </c>
      <c r="C706" s="53" t="s">
        <v>11300</v>
      </c>
      <c r="D706" s="53" t="s">
        <v>11300</v>
      </c>
      <c r="E706" s="53" t="s">
        <v>10813</v>
      </c>
      <c r="F706" s="53" t="s">
        <v>12427</v>
      </c>
      <c r="G706" s="54">
        <v>0.590544</v>
      </c>
      <c r="H706" s="53">
        <v>0.49</v>
      </c>
      <c r="I706" s="53">
        <v>4000</v>
      </c>
      <c r="J706" s="53">
        <v>5000</v>
      </c>
      <c r="K706" s="53"/>
      <c r="L706" s="53"/>
      <c r="M706" s="53"/>
      <c r="N706" s="53"/>
      <c r="O706" s="53"/>
      <c r="P706" s="53"/>
      <c r="Q706" s="53"/>
      <c r="R706" s="53"/>
      <c r="S706" s="53"/>
      <c r="T706" s="53"/>
    </row>
    <row r="707">
      <c r="A707" s="53"/>
      <c r="B707" s="53" t="s">
        <v>12428</v>
      </c>
      <c r="C707" s="53" t="s">
        <v>10779</v>
      </c>
      <c r="D707" s="53" t="s">
        <v>10779</v>
      </c>
      <c r="E707" s="53" t="s">
        <v>10813</v>
      </c>
      <c r="F707" s="53" t="s">
        <v>12429</v>
      </c>
      <c r="G707" s="54">
        <v>0.493</v>
      </c>
      <c r="H707" s="53">
        <v>0.49</v>
      </c>
      <c r="I707" s="53">
        <v>0</v>
      </c>
      <c r="J707" s="53">
        <v>6000</v>
      </c>
      <c r="K707" s="53"/>
      <c r="L707" s="53"/>
      <c r="M707" s="53"/>
      <c r="N707" s="53"/>
      <c r="O707" s="53"/>
      <c r="P707" s="53"/>
      <c r="Q707" s="53"/>
      <c r="R707" s="53"/>
      <c r="S707" s="53"/>
      <c r="T707" s="53"/>
    </row>
    <row r="708">
      <c r="A708" s="53"/>
      <c r="B708" s="53" t="s">
        <v>12430</v>
      </c>
      <c r="C708" s="53" t="s">
        <v>11247</v>
      </c>
      <c r="D708" s="53" t="s">
        <v>11247</v>
      </c>
      <c r="E708" s="53" t="s">
        <v>11045</v>
      </c>
      <c r="F708" s="53" t="s">
        <v>12431</v>
      </c>
      <c r="G708" s="54">
        <v>0.508444</v>
      </c>
      <c r="H708" s="53">
        <v>0.49</v>
      </c>
      <c r="I708" s="53">
        <v>1638.8</v>
      </c>
      <c r="J708" s="53">
        <v>1500</v>
      </c>
      <c r="K708" s="53"/>
      <c r="L708" s="53"/>
      <c r="M708" s="53"/>
      <c r="N708" s="53"/>
      <c r="O708" s="53"/>
      <c r="P708" s="53"/>
      <c r="Q708" s="53"/>
      <c r="R708" s="53"/>
      <c r="S708" s="53"/>
      <c r="T708" s="53"/>
    </row>
    <row r="709">
      <c r="A709" s="53"/>
      <c r="B709" s="53" t="s">
        <v>12432</v>
      </c>
      <c r="C709" s="53" t="s">
        <v>11453</v>
      </c>
      <c r="D709" s="53" t="s">
        <v>11453</v>
      </c>
      <c r="E709" s="53" t="s">
        <v>11354</v>
      </c>
      <c r="F709" s="53" t="s">
        <v>12433</v>
      </c>
      <c r="G709" s="54">
        <v>0.4</v>
      </c>
      <c r="H709" s="53">
        <v>0.48</v>
      </c>
      <c r="I709" s="53">
        <v>1440</v>
      </c>
      <c r="J709" s="53">
        <v>3000</v>
      </c>
      <c r="K709" s="53"/>
      <c r="L709" s="53"/>
      <c r="M709" s="53"/>
      <c r="N709" s="53"/>
      <c r="O709" s="53"/>
      <c r="P709" s="53"/>
      <c r="Q709" s="53"/>
      <c r="R709" s="53"/>
      <c r="S709" s="53"/>
      <c r="T709" s="53"/>
    </row>
    <row r="710">
      <c r="A710" s="53"/>
      <c r="B710" s="53" t="s">
        <v>12434</v>
      </c>
      <c r="C710" s="53" t="s">
        <v>11134</v>
      </c>
      <c r="D710" s="53" t="s">
        <v>11134</v>
      </c>
      <c r="E710" s="53" t="s">
        <v>12435</v>
      </c>
      <c r="F710" s="53" t="s">
        <v>12436</v>
      </c>
      <c r="G710" s="54">
        <v>0.4555</v>
      </c>
      <c r="H710" s="53">
        <v>0.48</v>
      </c>
      <c r="I710" s="53">
        <v>1785</v>
      </c>
      <c r="J710" s="53">
        <v>5000</v>
      </c>
      <c r="K710" s="53"/>
      <c r="L710" s="53"/>
      <c r="M710" s="53"/>
      <c r="N710" s="53"/>
      <c r="O710" s="53"/>
      <c r="P710" s="53"/>
      <c r="Q710" s="53"/>
      <c r="R710" s="53"/>
      <c r="S710" s="53"/>
      <c r="T710" s="53"/>
    </row>
    <row r="711">
      <c r="A711" s="53"/>
      <c r="B711" s="53" t="s">
        <v>12437</v>
      </c>
      <c r="C711" s="53" t="s">
        <v>11082</v>
      </c>
      <c r="D711" s="53" t="s">
        <v>11082</v>
      </c>
      <c r="E711" s="53" t="s">
        <v>11141</v>
      </c>
      <c r="F711" s="53" t="s">
        <v>12438</v>
      </c>
      <c r="G711" s="54">
        <v>0.47865</v>
      </c>
      <c r="H711" s="53">
        <v>0.48</v>
      </c>
      <c r="I711" s="53">
        <v>2711.22</v>
      </c>
      <c r="J711" s="53">
        <v>5000</v>
      </c>
      <c r="K711" s="53"/>
      <c r="L711" s="53"/>
      <c r="M711" s="53"/>
      <c r="N711" s="53"/>
      <c r="O711" s="53"/>
      <c r="P711" s="53"/>
      <c r="Q711" s="53"/>
      <c r="R711" s="53"/>
      <c r="S711" s="53"/>
      <c r="T711" s="53"/>
    </row>
    <row r="712">
      <c r="A712" s="53"/>
      <c r="B712" s="53" t="s">
        <v>12439</v>
      </c>
      <c r="C712" s="53" t="s">
        <v>11422</v>
      </c>
      <c r="D712" s="53" t="s">
        <v>11422</v>
      </c>
      <c r="E712" s="53" t="s">
        <v>12422</v>
      </c>
      <c r="F712" s="53" t="s">
        <v>12440</v>
      </c>
      <c r="G712" s="54">
        <v>0.373333</v>
      </c>
      <c r="H712" s="53">
        <v>0.48</v>
      </c>
      <c r="I712" s="53">
        <v>3000</v>
      </c>
      <c r="J712" s="53">
        <v>3000</v>
      </c>
      <c r="K712" s="53"/>
      <c r="L712" s="53"/>
      <c r="M712" s="53"/>
      <c r="N712" s="53"/>
      <c r="O712" s="53"/>
      <c r="P712" s="53"/>
      <c r="Q712" s="53"/>
      <c r="R712" s="53"/>
      <c r="S712" s="53"/>
      <c r="T712" s="53"/>
    </row>
    <row r="713">
      <c r="A713" s="53"/>
      <c r="B713" s="53" t="s">
        <v>12441</v>
      </c>
      <c r="C713" s="53" t="s">
        <v>12442</v>
      </c>
      <c r="D713" s="53" t="s">
        <v>12442</v>
      </c>
      <c r="E713" s="53" t="s">
        <v>11244</v>
      </c>
      <c r="F713" s="53" t="s">
        <v>12443</v>
      </c>
      <c r="G713" s="54">
        <v>0.653705</v>
      </c>
      <c r="H713" s="53">
        <v>0.47</v>
      </c>
      <c r="I713" s="53">
        <v>723.67</v>
      </c>
      <c r="J713" s="53">
        <v>5000</v>
      </c>
      <c r="K713" s="53"/>
      <c r="L713" s="53"/>
      <c r="M713" s="53"/>
      <c r="N713" s="53"/>
      <c r="O713" s="53"/>
      <c r="P713" s="53"/>
      <c r="Q713" s="53"/>
      <c r="R713" s="53"/>
      <c r="S713" s="53"/>
      <c r="T713" s="53"/>
    </row>
    <row r="714">
      <c r="A714" s="53"/>
      <c r="B714" s="53" t="s">
        <v>12444</v>
      </c>
      <c r="C714" s="53" t="s">
        <v>12445</v>
      </c>
      <c r="D714" s="53" t="s">
        <v>12445</v>
      </c>
      <c r="E714" s="53" t="s">
        <v>11244</v>
      </c>
      <c r="F714" s="53" t="s">
        <v>12404</v>
      </c>
      <c r="G714" s="54">
        <v>0.541</v>
      </c>
      <c r="H714" s="53">
        <v>0.47</v>
      </c>
      <c r="I714" s="53">
        <v>1421</v>
      </c>
      <c r="J714" s="53">
        <v>5000</v>
      </c>
      <c r="K714" s="53"/>
      <c r="L714" s="53"/>
      <c r="M714" s="53"/>
      <c r="N714" s="53"/>
      <c r="O714" s="53"/>
      <c r="P714" s="53"/>
      <c r="Q714" s="53"/>
      <c r="R714" s="53"/>
      <c r="S714" s="53"/>
      <c r="T714" s="53"/>
    </row>
    <row r="715">
      <c r="A715" s="53"/>
      <c r="B715" s="53" t="s">
        <v>12446</v>
      </c>
      <c r="C715" s="53" t="s">
        <v>11093</v>
      </c>
      <c r="D715" s="53" t="s">
        <v>11093</v>
      </c>
      <c r="E715" s="53" t="s">
        <v>11045</v>
      </c>
      <c r="F715" s="53" t="s">
        <v>12447</v>
      </c>
      <c r="G715" s="54">
        <v>0.463886</v>
      </c>
      <c r="H715" s="53">
        <v>0.47</v>
      </c>
      <c r="I715" s="53">
        <v>675</v>
      </c>
      <c r="J715" s="53">
        <v>1500</v>
      </c>
      <c r="K715" s="53"/>
      <c r="L715" s="53"/>
      <c r="M715" s="53"/>
      <c r="N715" s="53"/>
      <c r="O715" s="53"/>
      <c r="P715" s="53"/>
      <c r="Q715" s="53"/>
      <c r="R715" s="53"/>
      <c r="S715" s="53"/>
      <c r="T715" s="53"/>
    </row>
    <row r="716">
      <c r="A716" s="53"/>
      <c r="B716" s="53" t="s">
        <v>12448</v>
      </c>
      <c r="C716" s="53" t="s">
        <v>11274</v>
      </c>
      <c r="D716" s="53" t="s">
        <v>11274</v>
      </c>
      <c r="E716" s="53" t="s">
        <v>11141</v>
      </c>
      <c r="F716" s="53" t="s">
        <v>12449</v>
      </c>
      <c r="G716" s="54">
        <v>0.00567</v>
      </c>
      <c r="H716" s="53">
        <v>0.47</v>
      </c>
      <c r="I716" s="53">
        <v>4000</v>
      </c>
      <c r="J716" s="53">
        <v>5000</v>
      </c>
      <c r="K716" s="53"/>
      <c r="L716" s="53"/>
      <c r="M716" s="53"/>
      <c r="N716" s="53"/>
      <c r="O716" s="53"/>
      <c r="P716" s="53"/>
      <c r="Q716" s="53"/>
      <c r="R716" s="53"/>
      <c r="S716" s="53"/>
      <c r="T716" s="53"/>
    </row>
    <row r="717">
      <c r="A717" s="53"/>
      <c r="B717" s="53" t="s">
        <v>12450</v>
      </c>
      <c r="C717" s="53" t="s">
        <v>11422</v>
      </c>
      <c r="D717" s="53" t="s">
        <v>11422</v>
      </c>
      <c r="E717" s="53" t="s">
        <v>10813</v>
      </c>
      <c r="F717" s="53" t="s">
        <v>12451</v>
      </c>
      <c r="G717" s="54">
        <v>0.458</v>
      </c>
      <c r="H717" s="53">
        <v>0.46</v>
      </c>
      <c r="I717" s="53">
        <v>0</v>
      </c>
      <c r="J717" s="53">
        <v>5000</v>
      </c>
      <c r="K717" s="53"/>
      <c r="L717" s="53"/>
      <c r="M717" s="53"/>
      <c r="N717" s="53"/>
      <c r="O717" s="53"/>
      <c r="P717" s="53"/>
      <c r="Q717" s="53"/>
      <c r="R717" s="53"/>
      <c r="S717" s="53"/>
      <c r="T717" s="53"/>
    </row>
    <row r="718">
      <c r="A718" s="53"/>
      <c r="B718" s="53" t="s">
        <v>12452</v>
      </c>
      <c r="C718" s="53" t="s">
        <v>11338</v>
      </c>
      <c r="D718" s="53" t="s">
        <v>11338</v>
      </c>
      <c r="E718" s="53" t="s">
        <v>11339</v>
      </c>
      <c r="F718" s="53" t="s">
        <v>12453</v>
      </c>
      <c r="G718" s="54">
        <v>0.6</v>
      </c>
      <c r="H718" s="53">
        <v>0.45</v>
      </c>
      <c r="I718" s="53">
        <v>2461.54</v>
      </c>
      <c r="J718" s="53">
        <v>3000</v>
      </c>
      <c r="K718" s="53"/>
      <c r="L718" s="53"/>
      <c r="M718" s="53"/>
      <c r="N718" s="53"/>
      <c r="O718" s="53"/>
      <c r="P718" s="53"/>
      <c r="Q718" s="53"/>
      <c r="R718" s="53"/>
      <c r="S718" s="53"/>
      <c r="T718" s="53"/>
    </row>
    <row r="719">
      <c r="A719" s="53"/>
      <c r="B719" s="53" t="s">
        <v>12454</v>
      </c>
      <c r="C719" s="53" t="s">
        <v>11082</v>
      </c>
      <c r="D719" s="53" t="s">
        <v>11082</v>
      </c>
      <c r="E719" s="53" t="s">
        <v>11045</v>
      </c>
      <c r="F719" s="53" t="s">
        <v>12455</v>
      </c>
      <c r="G719" s="54">
        <v>0.4457</v>
      </c>
      <c r="H719" s="53">
        <v>0.45</v>
      </c>
      <c r="I719" s="53">
        <v>800</v>
      </c>
      <c r="J719" s="53">
        <v>1500</v>
      </c>
      <c r="K719" s="53"/>
      <c r="L719" s="53"/>
      <c r="M719" s="53"/>
      <c r="N719" s="53"/>
      <c r="O719" s="53"/>
      <c r="P719" s="53"/>
      <c r="Q719" s="53"/>
      <c r="R719" s="53"/>
      <c r="S719" s="53"/>
      <c r="T719" s="53"/>
    </row>
    <row r="720">
      <c r="A720" s="53"/>
      <c r="B720" s="53" t="s">
        <v>12456</v>
      </c>
      <c r="C720" s="53" t="s">
        <v>11082</v>
      </c>
      <c r="D720" s="53" t="s">
        <v>11082</v>
      </c>
      <c r="E720" s="53" t="s">
        <v>11045</v>
      </c>
      <c r="F720" s="53" t="s">
        <v>12457</v>
      </c>
      <c r="G720" s="54">
        <v>0.4543</v>
      </c>
      <c r="H720" s="53">
        <v>0.45</v>
      </c>
      <c r="I720" s="53">
        <v>1700</v>
      </c>
      <c r="J720" s="53">
        <v>1500</v>
      </c>
      <c r="K720" s="53"/>
      <c r="L720" s="53"/>
      <c r="M720" s="53"/>
      <c r="N720" s="53"/>
      <c r="O720" s="53"/>
      <c r="P720" s="53"/>
      <c r="Q720" s="53"/>
      <c r="R720" s="53"/>
      <c r="S720" s="53"/>
      <c r="T720" s="53"/>
    </row>
    <row r="721">
      <c r="A721" s="53"/>
      <c r="B721" s="53" t="s">
        <v>12458</v>
      </c>
      <c r="C721" s="53" t="s">
        <v>11274</v>
      </c>
      <c r="D721" s="53" t="s">
        <v>11274</v>
      </c>
      <c r="E721" s="53" t="s">
        <v>10813</v>
      </c>
      <c r="F721" s="53" t="s">
        <v>12459</v>
      </c>
      <c r="G721" s="54">
        <v>0.518475</v>
      </c>
      <c r="H721" s="53">
        <v>0.44</v>
      </c>
      <c r="I721" s="53">
        <v>0</v>
      </c>
      <c r="J721" s="53">
        <v>6000</v>
      </c>
      <c r="K721" s="53"/>
      <c r="L721" s="53"/>
      <c r="M721" s="53"/>
      <c r="N721" s="53"/>
      <c r="O721" s="53"/>
      <c r="P721" s="53"/>
      <c r="Q721" s="53"/>
      <c r="R721" s="53"/>
      <c r="S721" s="53"/>
      <c r="T721" s="53"/>
    </row>
    <row r="722">
      <c r="A722" s="53"/>
      <c r="B722" s="53" t="s">
        <v>12460</v>
      </c>
      <c r="C722" s="53" t="s">
        <v>11060</v>
      </c>
      <c r="D722" s="53" t="s">
        <v>11060</v>
      </c>
      <c r="E722" s="53" t="s">
        <v>11045</v>
      </c>
      <c r="F722" s="53" t="s">
        <v>12461</v>
      </c>
      <c r="G722" s="54">
        <v>0.539</v>
      </c>
      <c r="H722" s="53">
        <v>0.43</v>
      </c>
      <c r="I722" s="53">
        <v>1241.38</v>
      </c>
      <c r="J722" s="53">
        <v>1500</v>
      </c>
      <c r="K722" s="53"/>
      <c r="L722" s="53"/>
      <c r="M722" s="53"/>
      <c r="N722" s="53"/>
      <c r="O722" s="53"/>
      <c r="P722" s="53"/>
      <c r="Q722" s="53"/>
      <c r="R722" s="53"/>
      <c r="S722" s="53"/>
      <c r="T722" s="53"/>
    </row>
    <row r="723">
      <c r="A723" s="53"/>
      <c r="B723" s="53" t="s">
        <v>12462</v>
      </c>
      <c r="C723" s="53" t="s">
        <v>12445</v>
      </c>
      <c r="D723" s="53" t="s">
        <v>12445</v>
      </c>
      <c r="E723" s="53" t="s">
        <v>11240</v>
      </c>
      <c r="F723" s="53" t="s">
        <v>12463</v>
      </c>
      <c r="G723" s="54">
        <v>0.477</v>
      </c>
      <c r="H723" s="53">
        <v>0.43</v>
      </c>
      <c r="I723" s="53">
        <v>4327.47</v>
      </c>
      <c r="J723" s="53">
        <v>6000</v>
      </c>
      <c r="K723" s="53"/>
      <c r="L723" s="53"/>
      <c r="M723" s="53"/>
      <c r="N723" s="53"/>
      <c r="O723" s="53"/>
      <c r="P723" s="53"/>
      <c r="Q723" s="53"/>
      <c r="R723" s="53"/>
      <c r="S723" s="53"/>
      <c r="T723" s="53"/>
    </row>
    <row r="724">
      <c r="A724" s="53"/>
      <c r="B724" s="53" t="s">
        <v>12464</v>
      </c>
      <c r="C724" s="53" t="s">
        <v>10843</v>
      </c>
      <c r="D724" s="53" t="s">
        <v>10843</v>
      </c>
      <c r="E724" s="53" t="s">
        <v>10952</v>
      </c>
      <c r="F724" s="53" t="s">
        <v>12465</v>
      </c>
      <c r="G724" s="54">
        <v>0.43</v>
      </c>
      <c r="H724" s="53">
        <v>0.43</v>
      </c>
      <c r="I724" s="53">
        <v>1502.23</v>
      </c>
      <c r="J724" s="53">
        <v>2300</v>
      </c>
      <c r="K724" s="53"/>
      <c r="L724" s="53"/>
      <c r="M724" s="53"/>
      <c r="N724" s="53"/>
      <c r="O724" s="53"/>
      <c r="P724" s="53"/>
      <c r="Q724" s="53"/>
      <c r="R724" s="53"/>
      <c r="S724" s="53"/>
      <c r="T724" s="53"/>
    </row>
    <row r="725">
      <c r="A725" s="53"/>
      <c r="B725" s="53" t="s">
        <v>12466</v>
      </c>
      <c r="C725" s="53" t="s">
        <v>11044</v>
      </c>
      <c r="D725" s="53" t="s">
        <v>11044</v>
      </c>
      <c r="E725" s="53" t="s">
        <v>11045</v>
      </c>
      <c r="F725" s="53" t="s">
        <v>12467</v>
      </c>
      <c r="G725" s="54">
        <v>0.490204</v>
      </c>
      <c r="H725" s="53">
        <v>0.42</v>
      </c>
      <c r="I725" s="53">
        <v>816</v>
      </c>
      <c r="J725" s="53">
        <v>1500</v>
      </c>
      <c r="K725" s="53"/>
      <c r="L725" s="53"/>
      <c r="M725" s="53"/>
      <c r="N725" s="53"/>
      <c r="O725" s="53"/>
      <c r="P725" s="53"/>
      <c r="Q725" s="53"/>
      <c r="R725" s="53"/>
      <c r="S725" s="53"/>
      <c r="T725" s="53"/>
    </row>
    <row r="726">
      <c r="A726" s="53"/>
      <c r="B726" s="53" t="s">
        <v>12468</v>
      </c>
      <c r="C726" s="53" t="s">
        <v>11300</v>
      </c>
      <c r="D726" s="53" t="s">
        <v>11300</v>
      </c>
      <c r="E726" s="53" t="s">
        <v>11281</v>
      </c>
      <c r="F726" s="53" t="s">
        <v>12469</v>
      </c>
      <c r="G726" s="54">
        <v>0.587133</v>
      </c>
      <c r="H726" s="53">
        <v>0.42</v>
      </c>
      <c r="I726" s="53">
        <v>2000</v>
      </c>
      <c r="J726" s="53">
        <v>5000</v>
      </c>
      <c r="K726" s="53"/>
      <c r="L726" s="53"/>
      <c r="M726" s="53"/>
      <c r="N726" s="53"/>
      <c r="O726" s="53"/>
      <c r="P726" s="53"/>
      <c r="Q726" s="53"/>
      <c r="R726" s="53"/>
      <c r="S726" s="53"/>
      <c r="T726" s="53"/>
    </row>
    <row r="727">
      <c r="A727" s="53"/>
      <c r="B727" s="53" t="s">
        <v>12470</v>
      </c>
      <c r="C727" s="53" t="s">
        <v>11209</v>
      </c>
      <c r="D727" s="53" t="s">
        <v>11209</v>
      </c>
      <c r="E727" s="53" t="s">
        <v>11589</v>
      </c>
      <c r="F727" s="53" t="s">
        <v>12471</v>
      </c>
      <c r="G727" s="54">
        <v>0.42</v>
      </c>
      <c r="H727" s="53">
        <v>0.42</v>
      </c>
      <c r="I727" s="53">
        <v>210</v>
      </c>
      <c r="J727" s="53">
        <v>500</v>
      </c>
      <c r="K727" s="53"/>
      <c r="L727" s="53"/>
      <c r="M727" s="53"/>
      <c r="N727" s="53"/>
      <c r="O727" s="53"/>
      <c r="P727" s="53"/>
      <c r="Q727" s="53"/>
      <c r="R727" s="53"/>
      <c r="S727" s="53"/>
      <c r="T727" s="53"/>
    </row>
    <row r="728">
      <c r="A728" s="53"/>
      <c r="B728" s="53" t="s">
        <v>12472</v>
      </c>
      <c r="C728" s="53" t="s">
        <v>11115</v>
      </c>
      <c r="D728" s="53" t="s">
        <v>11115</v>
      </c>
      <c r="E728" s="53" t="s">
        <v>10813</v>
      </c>
      <c r="F728" s="53" t="s">
        <v>12473</v>
      </c>
      <c r="G728" s="54">
        <v>0.408095</v>
      </c>
      <c r="H728" s="53">
        <v>0.41</v>
      </c>
      <c r="I728" s="53">
        <v>0</v>
      </c>
      <c r="J728" s="53">
        <v>5000</v>
      </c>
      <c r="K728" s="53"/>
      <c r="L728" s="53"/>
      <c r="M728" s="53"/>
      <c r="N728" s="53"/>
      <c r="O728" s="53"/>
      <c r="P728" s="53"/>
      <c r="Q728" s="53"/>
      <c r="R728" s="53"/>
      <c r="S728" s="53"/>
      <c r="T728" s="53"/>
    </row>
    <row r="729">
      <c r="A729" s="53"/>
      <c r="B729" s="53" t="s">
        <v>12474</v>
      </c>
      <c r="C729" s="53" t="s">
        <v>11209</v>
      </c>
      <c r="D729" s="53" t="s">
        <v>11209</v>
      </c>
      <c r="E729" s="53" t="s">
        <v>11354</v>
      </c>
      <c r="F729" s="53" t="s">
        <v>12475</v>
      </c>
      <c r="G729" s="54">
        <v>0.4367</v>
      </c>
      <c r="H729" s="53">
        <v>0.41</v>
      </c>
      <c r="I729" s="53">
        <v>2957.75</v>
      </c>
      <c r="J729" s="53">
        <v>3000</v>
      </c>
      <c r="K729" s="53"/>
      <c r="L729" s="53"/>
      <c r="M729" s="53"/>
      <c r="N729" s="53"/>
      <c r="O729" s="53"/>
      <c r="P729" s="53"/>
      <c r="Q729" s="53"/>
      <c r="R729" s="53"/>
      <c r="S729" s="53"/>
      <c r="T729" s="53"/>
    </row>
    <row r="730">
      <c r="A730" s="53"/>
      <c r="B730" s="53" t="s">
        <v>12476</v>
      </c>
      <c r="C730" s="53" t="s">
        <v>11274</v>
      </c>
      <c r="D730" s="53" t="s">
        <v>11274</v>
      </c>
      <c r="E730" s="53" t="s">
        <v>10813</v>
      </c>
      <c r="F730" s="53" t="s">
        <v>12477</v>
      </c>
      <c r="G730" s="54">
        <v>0.635175</v>
      </c>
      <c r="H730" s="53">
        <v>0.41</v>
      </c>
      <c r="I730" s="53">
        <v>2408</v>
      </c>
      <c r="J730" s="53">
        <v>6000</v>
      </c>
      <c r="K730" s="53"/>
      <c r="L730" s="53"/>
      <c r="M730" s="53"/>
      <c r="N730" s="53"/>
      <c r="O730" s="53"/>
      <c r="P730" s="53"/>
      <c r="Q730" s="53"/>
      <c r="R730" s="53"/>
      <c r="S730" s="53"/>
      <c r="T730" s="53"/>
    </row>
    <row r="731">
      <c r="A731" s="53"/>
      <c r="B731" s="53" t="s">
        <v>12478</v>
      </c>
      <c r="C731" s="53" t="s">
        <v>11247</v>
      </c>
      <c r="D731" s="53" t="s">
        <v>11247</v>
      </c>
      <c r="E731" s="53" t="s">
        <v>11045</v>
      </c>
      <c r="F731" s="53" t="s">
        <v>12479</v>
      </c>
      <c r="G731" s="54">
        <v>0.452517</v>
      </c>
      <c r="H731" s="53">
        <v>0.41</v>
      </c>
      <c r="I731" s="53">
        <v>1091.73</v>
      </c>
      <c r="J731" s="53">
        <v>1500</v>
      </c>
      <c r="K731" s="53"/>
      <c r="L731" s="53"/>
      <c r="M731" s="53"/>
      <c r="N731" s="53"/>
      <c r="O731" s="53"/>
      <c r="P731" s="53"/>
      <c r="Q731" s="53"/>
      <c r="R731" s="53"/>
      <c r="S731" s="53"/>
      <c r="T731" s="53"/>
    </row>
    <row r="732">
      <c r="A732" s="53"/>
      <c r="B732" s="53" t="s">
        <v>12480</v>
      </c>
      <c r="C732" s="53" t="s">
        <v>11247</v>
      </c>
      <c r="D732" s="53" t="s">
        <v>11247</v>
      </c>
      <c r="E732" s="53" t="s">
        <v>11045</v>
      </c>
      <c r="F732" s="53" t="s">
        <v>12481</v>
      </c>
      <c r="G732" s="54">
        <v>0.408035</v>
      </c>
      <c r="H732" s="53">
        <v>0.41</v>
      </c>
      <c r="I732" s="53">
        <v>1361.2</v>
      </c>
      <c r="J732" s="53">
        <v>1500</v>
      </c>
      <c r="K732" s="53"/>
      <c r="L732" s="53"/>
      <c r="M732" s="53"/>
      <c r="N732" s="53"/>
      <c r="O732" s="53"/>
      <c r="P732" s="53"/>
      <c r="Q732" s="53"/>
      <c r="R732" s="53"/>
      <c r="S732" s="53"/>
      <c r="T732" s="53"/>
    </row>
    <row r="733">
      <c r="A733" s="53"/>
      <c r="B733" s="53" t="s">
        <v>12482</v>
      </c>
      <c r="C733" s="53" t="s">
        <v>11264</v>
      </c>
      <c r="D733" s="53" t="s">
        <v>11264</v>
      </c>
      <c r="E733" s="53" t="s">
        <v>11589</v>
      </c>
      <c r="F733" s="53" t="s">
        <v>12483</v>
      </c>
      <c r="G733" s="54">
        <v>0.4</v>
      </c>
      <c r="H733" s="53">
        <v>0.4</v>
      </c>
      <c r="I733" s="53">
        <v>200</v>
      </c>
      <c r="J733" s="53">
        <v>500</v>
      </c>
      <c r="K733" s="53"/>
      <c r="L733" s="53"/>
      <c r="M733" s="53"/>
      <c r="N733" s="53"/>
      <c r="O733" s="53"/>
      <c r="P733" s="53"/>
      <c r="Q733" s="53"/>
      <c r="R733" s="53"/>
      <c r="S733" s="53"/>
      <c r="T733" s="53"/>
    </row>
    <row r="734">
      <c r="A734" s="53"/>
      <c r="B734" s="53" t="s">
        <v>12484</v>
      </c>
      <c r="C734" s="53" t="s">
        <v>11543</v>
      </c>
      <c r="D734" s="53" t="s">
        <v>11543</v>
      </c>
      <c r="E734" s="53" t="s">
        <v>12485</v>
      </c>
      <c r="F734" s="53" t="s">
        <v>12486</v>
      </c>
      <c r="G734" s="54">
        <v>0.4</v>
      </c>
      <c r="H734" s="53">
        <v>0.4</v>
      </c>
      <c r="I734" s="53">
        <v>1000</v>
      </c>
      <c r="J734" s="53">
        <v>1000</v>
      </c>
      <c r="K734" s="53"/>
      <c r="L734" s="53"/>
      <c r="M734" s="53"/>
      <c r="N734" s="53"/>
      <c r="O734" s="53"/>
      <c r="P734" s="53"/>
      <c r="Q734" s="53"/>
      <c r="R734" s="53"/>
      <c r="S734" s="53"/>
      <c r="T734" s="53"/>
    </row>
    <row r="735">
      <c r="A735" s="53"/>
      <c r="B735" s="53" t="s">
        <v>12487</v>
      </c>
      <c r="C735" s="53" t="s">
        <v>12442</v>
      </c>
      <c r="D735" s="53" t="s">
        <v>12442</v>
      </c>
      <c r="E735" s="53" t="s">
        <v>12005</v>
      </c>
      <c r="F735" s="53" t="s">
        <v>12488</v>
      </c>
      <c r="G735" s="54">
        <v>0.3925</v>
      </c>
      <c r="H735" s="53">
        <v>0.4</v>
      </c>
      <c r="I735" s="53">
        <v>4481.44</v>
      </c>
      <c r="J735" s="53">
        <v>6000</v>
      </c>
      <c r="K735" s="53"/>
      <c r="L735" s="53"/>
      <c r="M735" s="53"/>
      <c r="N735" s="53"/>
      <c r="O735" s="53"/>
      <c r="P735" s="53"/>
      <c r="Q735" s="53"/>
      <c r="R735" s="53"/>
      <c r="S735" s="53"/>
      <c r="T735" s="53"/>
    </row>
    <row r="736">
      <c r="A736" s="53"/>
      <c r="B736" s="53" t="s">
        <v>12489</v>
      </c>
      <c r="C736" s="53" t="s">
        <v>12445</v>
      </c>
      <c r="D736" s="53" t="s">
        <v>12445</v>
      </c>
      <c r="E736" s="53" t="s">
        <v>10813</v>
      </c>
      <c r="F736" s="53" t="s">
        <v>12490</v>
      </c>
      <c r="G736" s="54">
        <v>0.4515</v>
      </c>
      <c r="H736" s="53">
        <v>0.39</v>
      </c>
      <c r="I736" s="53">
        <v>-771.67</v>
      </c>
      <c r="J736" s="53">
        <v>5000</v>
      </c>
      <c r="K736" s="53"/>
      <c r="L736" s="53"/>
      <c r="M736" s="53"/>
      <c r="N736" s="53"/>
      <c r="O736" s="53"/>
      <c r="P736" s="53"/>
      <c r="Q736" s="53"/>
      <c r="R736" s="53"/>
      <c r="S736" s="53"/>
      <c r="T736" s="53"/>
    </row>
    <row r="737">
      <c r="A737" s="53"/>
      <c r="B737" s="53" t="s">
        <v>12491</v>
      </c>
      <c r="C737" s="53" t="s">
        <v>11044</v>
      </c>
      <c r="D737" s="53" t="s">
        <v>11044</v>
      </c>
      <c r="E737" s="53" t="s">
        <v>11045</v>
      </c>
      <c r="F737" s="53" t="s">
        <v>12492</v>
      </c>
      <c r="G737" s="54">
        <v>0.4591</v>
      </c>
      <c r="H737" s="53">
        <v>0.39</v>
      </c>
      <c r="I737" s="53">
        <v>20</v>
      </c>
      <c r="J737" s="53">
        <v>1500</v>
      </c>
      <c r="K737" s="53"/>
      <c r="L737" s="53"/>
      <c r="M737" s="53"/>
      <c r="N737" s="53"/>
      <c r="O737" s="53"/>
      <c r="P737" s="53"/>
      <c r="Q737" s="53"/>
      <c r="R737" s="53"/>
      <c r="S737" s="53"/>
      <c r="T737" s="53"/>
    </row>
    <row r="738">
      <c r="A738" s="53"/>
      <c r="B738" s="53" t="s">
        <v>12493</v>
      </c>
      <c r="C738" s="53" t="s">
        <v>11138</v>
      </c>
      <c r="D738" s="53" t="s">
        <v>11138</v>
      </c>
      <c r="E738" s="53" t="s">
        <v>10813</v>
      </c>
      <c r="F738" s="53" t="s">
        <v>12494</v>
      </c>
      <c r="G738" s="54">
        <v>0.4955</v>
      </c>
      <c r="H738" s="53">
        <v>0.38</v>
      </c>
      <c r="I738" s="53">
        <v>0</v>
      </c>
      <c r="J738" s="53">
        <v>5000</v>
      </c>
      <c r="K738" s="53"/>
      <c r="L738" s="53"/>
      <c r="M738" s="53"/>
      <c r="N738" s="53"/>
      <c r="O738" s="53"/>
      <c r="P738" s="53"/>
      <c r="Q738" s="53"/>
      <c r="R738" s="53"/>
      <c r="S738" s="53"/>
      <c r="T738" s="53"/>
    </row>
    <row r="739">
      <c r="A739" s="53"/>
      <c r="B739" s="53" t="s">
        <v>12495</v>
      </c>
      <c r="C739" s="53" t="s">
        <v>11357</v>
      </c>
      <c r="D739" s="53" t="s">
        <v>11357</v>
      </c>
      <c r="E739" s="53" t="s">
        <v>11094</v>
      </c>
      <c r="F739" s="53" t="s">
        <v>12496</v>
      </c>
      <c r="G739" s="54">
        <v>0.384</v>
      </c>
      <c r="H739" s="53">
        <v>0.38</v>
      </c>
      <c r="I739" s="53">
        <v>0</v>
      </c>
      <c r="J739" s="53">
        <v>5000</v>
      </c>
      <c r="K739" s="53"/>
      <c r="L739" s="53"/>
      <c r="M739" s="53"/>
      <c r="N739" s="53"/>
      <c r="O739" s="53"/>
      <c r="P739" s="53"/>
      <c r="Q739" s="53"/>
      <c r="R739" s="53"/>
      <c r="S739" s="53"/>
      <c r="T739" s="53"/>
    </row>
    <row r="740">
      <c r="A740" s="53"/>
      <c r="B740" s="53" t="s">
        <v>12497</v>
      </c>
      <c r="C740" s="53" t="s">
        <v>12010</v>
      </c>
      <c r="D740" s="53" t="s">
        <v>12010</v>
      </c>
      <c r="E740" s="53" t="s">
        <v>11045</v>
      </c>
      <c r="F740" s="53" t="s">
        <v>12498</v>
      </c>
      <c r="G740" s="54">
        <v>0.424608</v>
      </c>
      <c r="H740" s="53">
        <v>0.38</v>
      </c>
      <c r="I740" s="53">
        <v>0</v>
      </c>
      <c r="J740" s="53">
        <v>1500</v>
      </c>
      <c r="K740" s="53"/>
      <c r="L740" s="53"/>
      <c r="M740" s="53"/>
      <c r="N740" s="53"/>
      <c r="O740" s="53"/>
      <c r="P740" s="53"/>
      <c r="Q740" s="53"/>
      <c r="R740" s="53"/>
      <c r="S740" s="53"/>
      <c r="T740" s="53"/>
    </row>
    <row r="741">
      <c r="A741" s="53"/>
      <c r="B741" s="53" t="s">
        <v>12499</v>
      </c>
      <c r="C741" s="53" t="s">
        <v>11115</v>
      </c>
      <c r="D741" s="53" t="s">
        <v>11115</v>
      </c>
      <c r="E741" s="53" t="s">
        <v>11122</v>
      </c>
      <c r="F741" s="53" t="s">
        <v>12500</v>
      </c>
      <c r="G741" s="54">
        <v>0.373905</v>
      </c>
      <c r="H741" s="53">
        <v>0.37</v>
      </c>
      <c r="I741" s="53">
        <v>3534.14</v>
      </c>
      <c r="J741" s="53">
        <v>5000</v>
      </c>
      <c r="K741" s="53"/>
      <c r="L741" s="53"/>
      <c r="M741" s="53"/>
      <c r="N741" s="53"/>
      <c r="O741" s="53"/>
      <c r="P741" s="53"/>
      <c r="Q741" s="53"/>
      <c r="R741" s="53"/>
      <c r="S741" s="53"/>
      <c r="T741" s="53"/>
    </row>
    <row r="742">
      <c r="A742" s="53"/>
      <c r="B742" s="53" t="s">
        <v>12501</v>
      </c>
      <c r="C742" s="53" t="s">
        <v>11264</v>
      </c>
      <c r="D742" s="53" t="s">
        <v>11264</v>
      </c>
      <c r="E742" s="53" t="s">
        <v>12502</v>
      </c>
      <c r="F742" s="53" t="s">
        <v>12503</v>
      </c>
      <c r="G742" s="54">
        <v>0.4</v>
      </c>
      <c r="H742" s="53">
        <v>0.36</v>
      </c>
      <c r="I742" s="53">
        <v>3000</v>
      </c>
      <c r="J742" s="53">
        <v>3000</v>
      </c>
      <c r="K742" s="53"/>
      <c r="L742" s="53"/>
      <c r="M742" s="53"/>
      <c r="N742" s="53"/>
      <c r="O742" s="53"/>
      <c r="P742" s="53"/>
      <c r="Q742" s="53"/>
      <c r="R742" s="53"/>
      <c r="S742" s="53"/>
      <c r="T742" s="53"/>
    </row>
    <row r="743">
      <c r="A743" s="53"/>
      <c r="B743" s="53" t="s">
        <v>12504</v>
      </c>
      <c r="C743" s="53" t="s">
        <v>11357</v>
      </c>
      <c r="D743" s="53" t="s">
        <v>11357</v>
      </c>
      <c r="E743" s="53" t="s">
        <v>11141</v>
      </c>
      <c r="F743" s="53" t="s">
        <v>12505</v>
      </c>
      <c r="G743" s="54">
        <v>0.364</v>
      </c>
      <c r="H743" s="53">
        <v>0.36</v>
      </c>
      <c r="I743" s="53">
        <v>1820</v>
      </c>
      <c r="J743" s="53">
        <v>5000</v>
      </c>
      <c r="K743" s="53"/>
      <c r="L743" s="53"/>
      <c r="M743" s="53"/>
      <c r="N743" s="53"/>
      <c r="O743" s="53"/>
      <c r="P743" s="53"/>
      <c r="Q743" s="53"/>
      <c r="R743" s="53"/>
      <c r="S743" s="53"/>
      <c r="T743" s="53"/>
    </row>
    <row r="744">
      <c r="A744" s="53"/>
      <c r="B744" s="53" t="s">
        <v>12506</v>
      </c>
      <c r="C744" s="53" t="s">
        <v>11774</v>
      </c>
      <c r="D744" s="53" t="s">
        <v>11774</v>
      </c>
      <c r="E744" s="53" t="s">
        <v>12005</v>
      </c>
      <c r="F744" s="53" t="s">
        <v>12507</v>
      </c>
      <c r="G744" s="54">
        <v>0.372</v>
      </c>
      <c r="H744" s="53">
        <v>0.36</v>
      </c>
      <c r="I744" s="53">
        <v>2624.14</v>
      </c>
      <c r="J744" s="53">
        <v>6000</v>
      </c>
      <c r="K744" s="53"/>
      <c r="L744" s="53"/>
      <c r="M744" s="53"/>
      <c r="N744" s="53"/>
      <c r="O744" s="53"/>
      <c r="P744" s="53"/>
      <c r="Q744" s="53"/>
      <c r="R744" s="53"/>
      <c r="S744" s="53"/>
      <c r="T744" s="53"/>
    </row>
    <row r="745">
      <c r="A745" s="53"/>
      <c r="B745" s="53" t="s">
        <v>12508</v>
      </c>
      <c r="C745" s="53" t="s">
        <v>11209</v>
      </c>
      <c r="D745" s="53" t="s">
        <v>11209</v>
      </c>
      <c r="E745" s="53" t="s">
        <v>10813</v>
      </c>
      <c r="F745" s="53" t="s">
        <v>12509</v>
      </c>
      <c r="G745" s="54">
        <v>0.4667</v>
      </c>
      <c r="H745" s="53">
        <v>0.33</v>
      </c>
      <c r="I745" s="53">
        <v>3181.82</v>
      </c>
      <c r="J745" s="53">
        <v>5000</v>
      </c>
      <c r="K745" s="53"/>
      <c r="L745" s="53"/>
      <c r="M745" s="53"/>
      <c r="N745" s="53"/>
      <c r="O745" s="53"/>
      <c r="P745" s="53"/>
      <c r="Q745" s="53"/>
      <c r="R745" s="53"/>
      <c r="S745" s="53"/>
      <c r="T745" s="53"/>
    </row>
    <row r="746">
      <c r="A746" s="53"/>
      <c r="B746" s="53" t="s">
        <v>12510</v>
      </c>
      <c r="C746" s="53" t="s">
        <v>11247</v>
      </c>
      <c r="D746" s="53" t="s">
        <v>11247</v>
      </c>
      <c r="E746" s="53" t="s">
        <v>11045</v>
      </c>
      <c r="F746" s="53" t="s">
        <v>12511</v>
      </c>
      <c r="G746" s="54">
        <v>0.39322</v>
      </c>
      <c r="H746" s="53">
        <v>0.33</v>
      </c>
      <c r="I746" s="53">
        <v>1063.17</v>
      </c>
      <c r="J746" s="53">
        <v>1500</v>
      </c>
      <c r="K746" s="53"/>
      <c r="L746" s="53"/>
      <c r="M746" s="53"/>
      <c r="N746" s="53"/>
      <c r="O746" s="53"/>
      <c r="P746" s="53"/>
      <c r="Q746" s="53"/>
      <c r="R746" s="53"/>
      <c r="S746" s="53"/>
      <c r="T746" s="53"/>
    </row>
    <row r="747">
      <c r="A747" s="53"/>
      <c r="B747" s="53" t="s">
        <v>12512</v>
      </c>
      <c r="C747" s="53" t="s">
        <v>11060</v>
      </c>
      <c r="D747" s="53" t="s">
        <v>11060</v>
      </c>
      <c r="E747" s="53" t="s">
        <v>10813</v>
      </c>
      <c r="F747" s="53" t="s">
        <v>12513</v>
      </c>
      <c r="G747" s="54">
        <v>0.314</v>
      </c>
      <c r="H747" s="53">
        <v>0.31</v>
      </c>
      <c r="I747" s="53">
        <v>0</v>
      </c>
      <c r="J747" s="53">
        <v>6000</v>
      </c>
      <c r="K747" s="53"/>
      <c r="L747" s="53"/>
      <c r="M747" s="53"/>
      <c r="N747" s="53"/>
      <c r="O747" s="53"/>
      <c r="P747" s="53"/>
      <c r="Q747" s="53"/>
      <c r="R747" s="53"/>
      <c r="S747" s="53"/>
      <c r="T747" s="53"/>
    </row>
    <row r="748">
      <c r="A748" s="53"/>
      <c r="B748" s="53" t="s">
        <v>12514</v>
      </c>
      <c r="C748" s="53" t="s">
        <v>11453</v>
      </c>
      <c r="D748" s="53" t="s">
        <v>11453</v>
      </c>
      <c r="E748" s="53" t="s">
        <v>11210</v>
      </c>
      <c r="F748" s="53" t="s">
        <v>12515</v>
      </c>
      <c r="G748" s="54">
        <v>0.325</v>
      </c>
      <c r="H748" s="53">
        <v>0.3</v>
      </c>
      <c r="I748" s="53">
        <v>3000</v>
      </c>
      <c r="J748" s="53">
        <v>3000</v>
      </c>
      <c r="K748" s="53"/>
      <c r="L748" s="53"/>
      <c r="M748" s="53"/>
      <c r="N748" s="53"/>
      <c r="O748" s="53"/>
      <c r="P748" s="53"/>
      <c r="Q748" s="53"/>
      <c r="R748" s="53"/>
      <c r="S748" s="53"/>
      <c r="T748" s="53"/>
    </row>
    <row r="749">
      <c r="A749" s="53"/>
      <c r="B749" s="53" t="s">
        <v>12516</v>
      </c>
      <c r="C749" s="53" t="s">
        <v>11125</v>
      </c>
      <c r="D749" s="53" t="s">
        <v>11125</v>
      </c>
      <c r="E749" s="53" t="s">
        <v>11045</v>
      </c>
      <c r="F749" s="53" t="s">
        <v>12517</v>
      </c>
      <c r="G749" s="54">
        <v>0.27712</v>
      </c>
      <c r="H749" s="53">
        <v>0.3</v>
      </c>
      <c r="I749" s="53">
        <v>900</v>
      </c>
      <c r="J749" s="53">
        <v>1500</v>
      </c>
      <c r="K749" s="53"/>
      <c r="L749" s="53"/>
      <c r="M749" s="53"/>
      <c r="N749" s="53"/>
      <c r="O749" s="53"/>
      <c r="P749" s="53"/>
      <c r="Q749" s="53"/>
      <c r="R749" s="53"/>
      <c r="S749" s="53"/>
      <c r="T749" s="53"/>
    </row>
    <row r="750">
      <c r="A750" s="53"/>
      <c r="B750" s="53" t="s">
        <v>12518</v>
      </c>
      <c r="C750" s="53" t="s">
        <v>11115</v>
      </c>
      <c r="D750" s="53" t="s">
        <v>11115</v>
      </c>
      <c r="E750" s="53" t="s">
        <v>11104</v>
      </c>
      <c r="F750" s="53" t="s">
        <v>12519</v>
      </c>
      <c r="G750" s="54">
        <v>0.286188</v>
      </c>
      <c r="H750" s="53">
        <v>0.29</v>
      </c>
      <c r="I750" s="53">
        <v>0</v>
      </c>
      <c r="J750" s="53">
        <v>2000</v>
      </c>
      <c r="K750" s="53"/>
      <c r="L750" s="53"/>
      <c r="M750" s="53"/>
      <c r="N750" s="53"/>
      <c r="O750" s="53"/>
      <c r="P750" s="53"/>
      <c r="Q750" s="53"/>
      <c r="R750" s="53"/>
      <c r="S750" s="53"/>
      <c r="T750" s="53"/>
    </row>
    <row r="751">
      <c r="A751" s="53"/>
      <c r="B751" s="53" t="s">
        <v>12520</v>
      </c>
      <c r="C751" s="53" t="s">
        <v>11274</v>
      </c>
      <c r="D751" s="53" t="s">
        <v>11274</v>
      </c>
      <c r="E751" s="53" t="s">
        <v>10813</v>
      </c>
      <c r="F751" s="53" t="s">
        <v>12521</v>
      </c>
      <c r="G751" s="54">
        <v>0.378993</v>
      </c>
      <c r="H751" s="53">
        <v>0.29</v>
      </c>
      <c r="I751" s="53">
        <v>1729.8</v>
      </c>
      <c r="J751" s="53">
        <v>6000</v>
      </c>
      <c r="K751" s="53"/>
      <c r="L751" s="53"/>
      <c r="M751" s="53"/>
      <c r="N751" s="53"/>
      <c r="O751" s="53"/>
      <c r="P751" s="53"/>
      <c r="Q751" s="53"/>
      <c r="R751" s="53"/>
      <c r="S751" s="53"/>
      <c r="T751" s="53"/>
    </row>
    <row r="752">
      <c r="A752" s="53"/>
      <c r="B752" s="53" t="s">
        <v>12522</v>
      </c>
      <c r="C752" s="53" t="s">
        <v>12442</v>
      </c>
      <c r="D752" s="53" t="s">
        <v>12442</v>
      </c>
      <c r="E752" s="53" t="s">
        <v>10813</v>
      </c>
      <c r="F752" s="53" t="s">
        <v>12523</v>
      </c>
      <c r="G752" s="54">
        <v>0.376</v>
      </c>
      <c r="H752" s="53">
        <v>0.29</v>
      </c>
      <c r="I752" s="53">
        <v>4026.65</v>
      </c>
      <c r="J752" s="53">
        <v>5000</v>
      </c>
      <c r="K752" s="53"/>
      <c r="L752" s="53"/>
      <c r="M752" s="53"/>
      <c r="N752" s="53"/>
      <c r="O752" s="53"/>
      <c r="P752" s="53"/>
      <c r="Q752" s="53"/>
      <c r="R752" s="53"/>
      <c r="S752" s="53"/>
      <c r="T752" s="53"/>
    </row>
    <row r="753">
      <c r="A753" s="53"/>
      <c r="B753" s="53" t="s">
        <v>12524</v>
      </c>
      <c r="C753" s="53" t="s">
        <v>11357</v>
      </c>
      <c r="D753" s="53" t="s">
        <v>11357</v>
      </c>
      <c r="E753" s="53" t="s">
        <v>11045</v>
      </c>
      <c r="F753" s="53" t="s">
        <v>12525</v>
      </c>
      <c r="G753" s="54">
        <v>0.255</v>
      </c>
      <c r="H753" s="53">
        <v>0.28</v>
      </c>
      <c r="I753" s="53">
        <v>2230</v>
      </c>
      <c r="J753" s="53">
        <v>3000</v>
      </c>
      <c r="K753" s="53"/>
      <c r="L753" s="53"/>
      <c r="M753" s="53"/>
      <c r="N753" s="53"/>
      <c r="O753" s="53"/>
      <c r="P753" s="53"/>
      <c r="Q753" s="53"/>
      <c r="R753" s="53"/>
      <c r="S753" s="53"/>
      <c r="T753" s="53"/>
    </row>
    <row r="754">
      <c r="A754" s="53"/>
      <c r="B754" s="53" t="s">
        <v>12526</v>
      </c>
      <c r="C754" s="53" t="s">
        <v>11209</v>
      </c>
      <c r="D754" s="53" t="s">
        <v>11209</v>
      </c>
      <c r="E754" s="53" t="s">
        <v>11589</v>
      </c>
      <c r="F754" s="53" t="s">
        <v>12527</v>
      </c>
      <c r="G754" s="54">
        <v>0.28</v>
      </c>
      <c r="H754" s="53">
        <v>0.28</v>
      </c>
      <c r="I754" s="53">
        <v>140</v>
      </c>
      <c r="J754" s="53">
        <v>500</v>
      </c>
      <c r="K754" s="53"/>
      <c r="L754" s="53"/>
      <c r="M754" s="53"/>
      <c r="N754" s="53"/>
      <c r="O754" s="53"/>
      <c r="P754" s="53"/>
      <c r="Q754" s="53"/>
      <c r="R754" s="53"/>
      <c r="S754" s="53"/>
      <c r="T754" s="53"/>
    </row>
    <row r="755">
      <c r="A755" s="53"/>
      <c r="B755" s="53" t="s">
        <v>12528</v>
      </c>
      <c r="C755" s="53" t="s">
        <v>11044</v>
      </c>
      <c r="D755" s="53" t="s">
        <v>11044</v>
      </c>
      <c r="E755" s="53" t="s">
        <v>11045</v>
      </c>
      <c r="F755" s="53" t="s">
        <v>12529</v>
      </c>
      <c r="G755" s="54">
        <v>0.336</v>
      </c>
      <c r="H755" s="53">
        <v>0.27</v>
      </c>
      <c r="I755" s="53">
        <v>0</v>
      </c>
      <c r="J755" s="53">
        <v>1500</v>
      </c>
      <c r="K755" s="53"/>
      <c r="L755" s="53"/>
      <c r="M755" s="53"/>
      <c r="N755" s="53"/>
      <c r="O755" s="53"/>
      <c r="P755" s="53"/>
      <c r="Q755" s="53"/>
      <c r="R755" s="53"/>
      <c r="S755" s="53"/>
      <c r="T755" s="53"/>
    </row>
    <row r="756">
      <c r="A756" s="53"/>
      <c r="B756" s="53" t="s">
        <v>12530</v>
      </c>
      <c r="C756" s="53" t="s">
        <v>11099</v>
      </c>
      <c r="D756" s="53" t="s">
        <v>11099</v>
      </c>
      <c r="E756" s="53" t="s">
        <v>11083</v>
      </c>
      <c r="F756" s="53" t="s">
        <v>12531</v>
      </c>
      <c r="G756" s="54">
        <v>0.272735</v>
      </c>
      <c r="H756" s="53">
        <v>0.26</v>
      </c>
      <c r="I756" s="53">
        <v>0</v>
      </c>
      <c r="J756" s="53">
        <v>2000</v>
      </c>
      <c r="K756" s="53"/>
      <c r="L756" s="53"/>
      <c r="M756" s="53"/>
      <c r="N756" s="53"/>
      <c r="O756" s="53"/>
      <c r="P756" s="53"/>
      <c r="Q756" s="53"/>
      <c r="R756" s="53"/>
      <c r="S756" s="53"/>
      <c r="T756" s="53"/>
    </row>
    <row r="757">
      <c r="A757" s="53"/>
      <c r="B757" s="53" t="s">
        <v>12532</v>
      </c>
      <c r="C757" s="53" t="s">
        <v>11086</v>
      </c>
      <c r="D757" s="53" t="s">
        <v>11086</v>
      </c>
      <c r="E757" s="53" t="s">
        <v>11141</v>
      </c>
      <c r="F757" s="53" t="s">
        <v>12533</v>
      </c>
      <c r="G757" s="54">
        <v>0.329</v>
      </c>
      <c r="H757" s="53">
        <v>0.26</v>
      </c>
      <c r="I757" s="53">
        <v>0</v>
      </c>
      <c r="J757" s="53">
        <v>5000</v>
      </c>
      <c r="K757" s="53"/>
      <c r="L757" s="53"/>
      <c r="M757" s="53"/>
      <c r="N757" s="53"/>
      <c r="O757" s="53"/>
      <c r="P757" s="53"/>
      <c r="Q757" s="53"/>
      <c r="R757" s="53"/>
      <c r="S757" s="53"/>
      <c r="T757" s="53"/>
    </row>
    <row r="758">
      <c r="A758" s="53"/>
      <c r="B758" s="53" t="s">
        <v>12534</v>
      </c>
      <c r="C758" s="53" t="s">
        <v>11138</v>
      </c>
      <c r="D758" s="53" t="s">
        <v>11138</v>
      </c>
      <c r="E758" s="53" t="s">
        <v>11045</v>
      </c>
      <c r="F758" s="53" t="s">
        <v>12535</v>
      </c>
      <c r="G758" s="54">
        <v>0.365</v>
      </c>
      <c r="H758" s="53">
        <v>0.26</v>
      </c>
      <c r="I758" s="53">
        <v>385.5</v>
      </c>
      <c r="J758" s="53">
        <v>1500</v>
      </c>
      <c r="K758" s="53"/>
      <c r="L758" s="53"/>
      <c r="M758" s="53"/>
      <c r="N758" s="53"/>
      <c r="O758" s="53"/>
      <c r="P758" s="53"/>
      <c r="Q758" s="53"/>
      <c r="R758" s="53"/>
      <c r="S758" s="53"/>
      <c r="T758" s="53"/>
    </row>
    <row r="759">
      <c r="A759" s="53"/>
      <c r="B759" s="53" t="s">
        <v>12536</v>
      </c>
      <c r="C759" s="53" t="s">
        <v>11093</v>
      </c>
      <c r="D759" s="53" t="s">
        <v>11093</v>
      </c>
      <c r="E759" s="53" t="s">
        <v>11045</v>
      </c>
      <c r="F759" s="53" t="s">
        <v>12537</v>
      </c>
      <c r="G759" s="54">
        <v>0.2905</v>
      </c>
      <c r="H759" s="53">
        <v>0.25</v>
      </c>
      <c r="I759" s="53">
        <v>750</v>
      </c>
      <c r="J759" s="53">
        <v>1500</v>
      </c>
      <c r="K759" s="53"/>
      <c r="L759" s="53"/>
      <c r="M759" s="53"/>
      <c r="N759" s="53"/>
      <c r="O759" s="53"/>
      <c r="P759" s="53"/>
      <c r="Q759" s="53"/>
      <c r="R759" s="53"/>
      <c r="S759" s="53"/>
      <c r="T759" s="53"/>
    </row>
    <row r="760">
      <c r="A760" s="53"/>
      <c r="B760" s="53" t="s">
        <v>12538</v>
      </c>
      <c r="C760" s="53" t="s">
        <v>11209</v>
      </c>
      <c r="D760" s="53" t="s">
        <v>11209</v>
      </c>
      <c r="E760" s="53" t="s">
        <v>11354</v>
      </c>
      <c r="F760" s="53" t="s">
        <v>12539</v>
      </c>
      <c r="G760" s="54">
        <v>0.337525</v>
      </c>
      <c r="H760" s="53">
        <v>0.24</v>
      </c>
      <c r="I760" s="53">
        <v>1577.46</v>
      </c>
      <c r="J760" s="53">
        <v>2000</v>
      </c>
      <c r="K760" s="53"/>
      <c r="L760" s="53"/>
      <c r="M760" s="53"/>
      <c r="N760" s="53"/>
      <c r="O760" s="53"/>
      <c r="P760" s="53"/>
      <c r="Q760" s="53"/>
      <c r="R760" s="53"/>
      <c r="S760" s="53"/>
      <c r="T760" s="53"/>
    </row>
    <row r="761">
      <c r="A761" s="53"/>
      <c r="B761" s="53" t="s">
        <v>12540</v>
      </c>
      <c r="C761" s="53" t="s">
        <v>11247</v>
      </c>
      <c r="D761" s="53" t="s">
        <v>11247</v>
      </c>
      <c r="E761" s="53" t="s">
        <v>11045</v>
      </c>
      <c r="F761" s="53" t="s">
        <v>12541</v>
      </c>
      <c r="G761" s="54">
        <v>0.24308</v>
      </c>
      <c r="H761" s="53">
        <v>0.24</v>
      </c>
      <c r="I761" s="53">
        <v>2779.21</v>
      </c>
      <c r="J761" s="53">
        <v>1500</v>
      </c>
      <c r="K761" s="53"/>
      <c r="L761" s="53"/>
      <c r="M761" s="53"/>
      <c r="N761" s="53"/>
      <c r="O761" s="53"/>
      <c r="P761" s="53"/>
      <c r="Q761" s="53"/>
      <c r="R761" s="53"/>
      <c r="S761" s="53"/>
      <c r="T761" s="53"/>
    </row>
    <row r="762">
      <c r="A762" s="53"/>
      <c r="B762" s="53" t="s">
        <v>12542</v>
      </c>
      <c r="C762" s="53" t="s">
        <v>11125</v>
      </c>
      <c r="D762" s="53" t="s">
        <v>11125</v>
      </c>
      <c r="E762" s="53" t="s">
        <v>11045</v>
      </c>
      <c r="F762" s="53" t="s">
        <v>12543</v>
      </c>
      <c r="G762" s="54">
        <v>0.2359</v>
      </c>
      <c r="H762" s="53">
        <v>0.24</v>
      </c>
      <c r="I762" s="53">
        <v>0</v>
      </c>
      <c r="J762" s="53">
        <v>1500</v>
      </c>
      <c r="K762" s="53"/>
      <c r="L762" s="53"/>
      <c r="M762" s="53"/>
      <c r="N762" s="53"/>
      <c r="O762" s="53"/>
      <c r="P762" s="53"/>
      <c r="Q762" s="53"/>
      <c r="R762" s="53"/>
      <c r="S762" s="53"/>
      <c r="T762" s="53"/>
    </row>
    <row r="763">
      <c r="A763" s="53"/>
      <c r="B763" s="53" t="s">
        <v>12544</v>
      </c>
      <c r="C763" s="53" t="s">
        <v>11125</v>
      </c>
      <c r="D763" s="53" t="s">
        <v>11125</v>
      </c>
      <c r="E763" s="53" t="s">
        <v>11045</v>
      </c>
      <c r="F763" s="53" t="s">
        <v>12545</v>
      </c>
      <c r="G763" s="54">
        <v>0.24355</v>
      </c>
      <c r="H763" s="53">
        <v>0.24</v>
      </c>
      <c r="I763" s="53">
        <v>0</v>
      </c>
      <c r="J763" s="53">
        <v>1500</v>
      </c>
      <c r="K763" s="53"/>
      <c r="L763" s="53"/>
      <c r="M763" s="53"/>
      <c r="N763" s="53"/>
      <c r="O763" s="53"/>
      <c r="P763" s="53"/>
      <c r="Q763" s="53"/>
      <c r="R763" s="53"/>
      <c r="S763" s="53"/>
      <c r="T763" s="53"/>
    </row>
    <row r="764">
      <c r="A764" s="53"/>
      <c r="B764" s="53" t="s">
        <v>12546</v>
      </c>
      <c r="C764" s="53" t="s">
        <v>11209</v>
      </c>
      <c r="D764" s="53" t="s">
        <v>11209</v>
      </c>
      <c r="E764" s="53" t="s">
        <v>10813</v>
      </c>
      <c r="F764" s="53" t="s">
        <v>12547</v>
      </c>
      <c r="G764" s="54">
        <v>0.333</v>
      </c>
      <c r="H764" s="53">
        <v>0.23</v>
      </c>
      <c r="I764" s="53">
        <v>0</v>
      </c>
      <c r="J764" s="53">
        <v>5000</v>
      </c>
      <c r="K764" s="53"/>
      <c r="L764" s="53"/>
      <c r="M764" s="53"/>
      <c r="N764" s="53"/>
      <c r="O764" s="53"/>
      <c r="P764" s="53"/>
      <c r="Q764" s="53"/>
      <c r="R764" s="53"/>
      <c r="S764" s="53"/>
      <c r="T764" s="53"/>
    </row>
    <row r="765">
      <c r="A765" s="53"/>
      <c r="B765" s="53" t="s">
        <v>12548</v>
      </c>
      <c r="C765" s="53" t="s">
        <v>11247</v>
      </c>
      <c r="D765" s="53" t="s">
        <v>11247</v>
      </c>
      <c r="E765" s="53" t="s">
        <v>11045</v>
      </c>
      <c r="F765" s="53" t="s">
        <v>12549</v>
      </c>
      <c r="G765" s="54">
        <v>0.276</v>
      </c>
      <c r="H765" s="53">
        <v>0.23</v>
      </c>
      <c r="I765" s="53">
        <v>741</v>
      </c>
      <c r="J765" s="53">
        <v>1500</v>
      </c>
      <c r="K765" s="53"/>
      <c r="L765" s="53"/>
      <c r="M765" s="53"/>
      <c r="N765" s="53"/>
      <c r="O765" s="53"/>
      <c r="P765" s="53"/>
      <c r="Q765" s="53"/>
      <c r="R765" s="53"/>
      <c r="S765" s="53"/>
      <c r="T765" s="53"/>
    </row>
    <row r="766">
      <c r="A766" s="53"/>
      <c r="B766" s="53" t="s">
        <v>12550</v>
      </c>
      <c r="C766" s="53" t="s">
        <v>11422</v>
      </c>
      <c r="D766" s="53" t="s">
        <v>11422</v>
      </c>
      <c r="E766" s="53" t="s">
        <v>11210</v>
      </c>
      <c r="F766" s="53" t="s">
        <v>12551</v>
      </c>
      <c r="G766" s="54">
        <v>0.27</v>
      </c>
      <c r="H766" s="53">
        <v>0.23</v>
      </c>
      <c r="I766" s="53">
        <v>1500</v>
      </c>
      <c r="J766" s="53">
        <v>3000</v>
      </c>
      <c r="K766" s="53"/>
      <c r="L766" s="53"/>
      <c r="M766" s="53"/>
      <c r="N766" s="53"/>
      <c r="O766" s="53"/>
      <c r="P766" s="53"/>
      <c r="Q766" s="53"/>
      <c r="R766" s="53"/>
      <c r="S766" s="53"/>
      <c r="T766" s="53"/>
    </row>
    <row r="767">
      <c r="A767" s="53"/>
      <c r="B767" s="53" t="s">
        <v>12552</v>
      </c>
      <c r="C767" s="53" t="s">
        <v>11247</v>
      </c>
      <c r="D767" s="53" t="s">
        <v>11247</v>
      </c>
      <c r="E767" s="53" t="s">
        <v>11045</v>
      </c>
      <c r="F767" s="53" t="s">
        <v>12553</v>
      </c>
      <c r="G767" s="54">
        <v>0.2558</v>
      </c>
      <c r="H767" s="53">
        <v>0.2</v>
      </c>
      <c r="I767" s="53">
        <v>532.55</v>
      </c>
      <c r="J767" s="53">
        <v>1500</v>
      </c>
      <c r="K767" s="53"/>
      <c r="L767" s="53"/>
      <c r="M767" s="53"/>
      <c r="N767" s="53"/>
      <c r="O767" s="53"/>
      <c r="P767" s="53"/>
      <c r="Q767" s="53"/>
      <c r="R767" s="53"/>
      <c r="S767" s="53"/>
      <c r="T767" s="53"/>
    </row>
    <row r="768">
      <c r="A768" s="53"/>
      <c r="B768" s="53" t="s">
        <v>12554</v>
      </c>
      <c r="C768" s="53" t="s">
        <v>11060</v>
      </c>
      <c r="D768" s="53" t="s">
        <v>11060</v>
      </c>
      <c r="E768" s="53" t="s">
        <v>11045</v>
      </c>
      <c r="F768" s="53" t="s">
        <v>12555</v>
      </c>
      <c r="G768" s="54">
        <v>0.217</v>
      </c>
      <c r="H768" s="53">
        <v>0.17</v>
      </c>
      <c r="I768" s="53">
        <v>775.86</v>
      </c>
      <c r="J768" s="53">
        <v>1500</v>
      </c>
      <c r="K768" s="53"/>
      <c r="L768" s="53"/>
      <c r="M768" s="53"/>
      <c r="N768" s="53"/>
      <c r="O768" s="53"/>
      <c r="P768" s="53"/>
      <c r="Q768" s="53"/>
      <c r="R768" s="53"/>
      <c r="S768" s="53"/>
      <c r="T768" s="53"/>
    </row>
    <row r="769">
      <c r="A769" s="53"/>
      <c r="B769" s="53" t="s">
        <v>12556</v>
      </c>
      <c r="C769" s="53" t="s">
        <v>11209</v>
      </c>
      <c r="D769" s="53" t="s">
        <v>11209</v>
      </c>
      <c r="E769" s="53" t="s">
        <v>11354</v>
      </c>
      <c r="F769" s="53" t="s">
        <v>12557</v>
      </c>
      <c r="G769" s="54">
        <v>0.09999</v>
      </c>
      <c r="H769" s="53">
        <v>0.17</v>
      </c>
      <c r="I769" s="53">
        <v>1774.65</v>
      </c>
      <c r="J769" s="53">
        <v>3000</v>
      </c>
      <c r="K769" s="53"/>
      <c r="L769" s="53"/>
      <c r="M769" s="53"/>
      <c r="N769" s="53"/>
      <c r="O769" s="53"/>
      <c r="P769" s="53"/>
      <c r="Q769" s="53"/>
      <c r="R769" s="53"/>
      <c r="S769" s="53"/>
      <c r="T769" s="53"/>
    </row>
    <row r="770">
      <c r="A770" s="53"/>
      <c r="B770" s="53" t="s">
        <v>12558</v>
      </c>
      <c r="C770" s="53" t="s">
        <v>11195</v>
      </c>
      <c r="D770" s="53" t="s">
        <v>11195</v>
      </c>
      <c r="E770" s="53" t="s">
        <v>12001</v>
      </c>
      <c r="F770" s="53" t="s">
        <v>12559</v>
      </c>
      <c r="G770" s="54">
        <v>0.85</v>
      </c>
      <c r="H770" s="53">
        <v>0.17</v>
      </c>
      <c r="I770" s="53">
        <v>960</v>
      </c>
      <c r="J770" s="53">
        <v>1200</v>
      </c>
      <c r="K770" s="53"/>
      <c r="L770" s="53"/>
      <c r="M770" s="53"/>
      <c r="N770" s="53"/>
      <c r="O770" s="53"/>
      <c r="P770" s="53"/>
      <c r="Q770" s="53"/>
      <c r="R770" s="53"/>
      <c r="S770" s="53"/>
      <c r="T770" s="53"/>
    </row>
    <row r="771">
      <c r="A771" s="53"/>
      <c r="B771" s="53" t="s">
        <v>12560</v>
      </c>
      <c r="C771" s="53" t="s">
        <v>11195</v>
      </c>
      <c r="D771" s="53" t="s">
        <v>11195</v>
      </c>
      <c r="E771" s="53" t="s">
        <v>12001</v>
      </c>
      <c r="F771" s="53" t="s">
        <v>12561</v>
      </c>
      <c r="G771" s="54">
        <v>0.9</v>
      </c>
      <c r="H771" s="53">
        <v>0.17</v>
      </c>
      <c r="I771" s="53">
        <v>0</v>
      </c>
      <c r="J771" s="53">
        <v>1200</v>
      </c>
      <c r="K771" s="53"/>
      <c r="L771" s="53"/>
      <c r="M771" s="53"/>
      <c r="N771" s="53"/>
      <c r="O771" s="53"/>
      <c r="P771" s="53"/>
      <c r="Q771" s="53"/>
      <c r="R771" s="53"/>
      <c r="S771" s="53"/>
      <c r="T771" s="53"/>
    </row>
    <row r="772">
      <c r="A772" s="53"/>
      <c r="B772" s="53" t="s">
        <v>12562</v>
      </c>
      <c r="C772" s="53" t="s">
        <v>12563</v>
      </c>
      <c r="D772" s="53" t="s">
        <v>12563</v>
      </c>
      <c r="E772" s="53" t="s">
        <v>11094</v>
      </c>
      <c r="F772" s="53" t="s">
        <v>12564</v>
      </c>
      <c r="G772" s="54">
        <v>0.1702</v>
      </c>
      <c r="H772" s="53">
        <v>0.17</v>
      </c>
      <c r="I772" s="53">
        <v>0</v>
      </c>
      <c r="J772" s="53">
        <v>5000</v>
      </c>
      <c r="K772" s="53"/>
      <c r="L772" s="53"/>
      <c r="M772" s="53"/>
      <c r="N772" s="53"/>
      <c r="O772" s="53"/>
      <c r="P772" s="53"/>
      <c r="Q772" s="53"/>
      <c r="R772" s="53"/>
      <c r="S772" s="53"/>
      <c r="T772" s="53"/>
    </row>
    <row r="773">
      <c r="A773" s="53"/>
      <c r="B773" s="53" t="s">
        <v>12565</v>
      </c>
      <c r="C773" s="53" t="s">
        <v>11093</v>
      </c>
      <c r="D773" s="53" t="s">
        <v>11093</v>
      </c>
      <c r="E773" s="53" t="s">
        <v>11045</v>
      </c>
      <c r="F773" s="53" t="s">
        <v>12566</v>
      </c>
      <c r="G773" s="54">
        <v>0.180035</v>
      </c>
      <c r="H773" s="53">
        <v>0.16</v>
      </c>
      <c r="I773" s="53">
        <v>405</v>
      </c>
      <c r="J773" s="53">
        <v>1500</v>
      </c>
      <c r="K773" s="53"/>
      <c r="L773" s="53"/>
      <c r="M773" s="53"/>
      <c r="N773" s="53"/>
      <c r="O773" s="53"/>
      <c r="P773" s="53"/>
      <c r="Q773" s="53"/>
      <c r="R773" s="53"/>
      <c r="S773" s="53"/>
      <c r="T773" s="53"/>
    </row>
    <row r="774">
      <c r="A774" s="53"/>
      <c r="B774" s="53" t="s">
        <v>12567</v>
      </c>
      <c r="C774" s="53" t="s">
        <v>11209</v>
      </c>
      <c r="D774" s="53" t="s">
        <v>11209</v>
      </c>
      <c r="E774" s="53" t="s">
        <v>11589</v>
      </c>
      <c r="F774" s="53" t="s">
        <v>12568</v>
      </c>
      <c r="G774" s="54">
        <v>0.16</v>
      </c>
      <c r="H774" s="53">
        <v>0.16</v>
      </c>
      <c r="I774" s="53">
        <v>80</v>
      </c>
      <c r="J774" s="53">
        <v>500</v>
      </c>
      <c r="K774" s="53"/>
      <c r="L774" s="53"/>
      <c r="M774" s="53"/>
      <c r="N774" s="53"/>
      <c r="O774" s="53"/>
      <c r="P774" s="53"/>
      <c r="Q774" s="53"/>
      <c r="R774" s="53"/>
      <c r="S774" s="53"/>
      <c r="T774" s="53"/>
    </row>
    <row r="775">
      <c r="A775" s="53"/>
      <c r="B775" s="53" t="s">
        <v>12569</v>
      </c>
      <c r="C775" s="53" t="s">
        <v>11247</v>
      </c>
      <c r="D775" s="53" t="s">
        <v>11247</v>
      </c>
      <c r="E775" s="53" t="s">
        <v>11045</v>
      </c>
      <c r="F775" s="53" t="s">
        <v>12570</v>
      </c>
      <c r="G775" s="54">
        <v>0.15</v>
      </c>
      <c r="H775" s="53">
        <v>0.15</v>
      </c>
      <c r="I775" s="53">
        <v>399.41</v>
      </c>
      <c r="J775" s="53">
        <v>1500</v>
      </c>
      <c r="K775" s="53"/>
      <c r="L775" s="53"/>
      <c r="M775" s="53"/>
      <c r="N775" s="53"/>
      <c r="O775" s="53"/>
      <c r="P775" s="53"/>
      <c r="Q775" s="53"/>
      <c r="R775" s="53"/>
      <c r="S775" s="53"/>
      <c r="T775" s="53"/>
    </row>
    <row r="776">
      <c r="A776" s="53"/>
      <c r="B776" s="53" t="s">
        <v>12571</v>
      </c>
      <c r="C776" s="53" t="s">
        <v>11250</v>
      </c>
      <c r="D776" s="53" t="s">
        <v>11250</v>
      </c>
      <c r="E776" s="53" t="s">
        <v>11045</v>
      </c>
      <c r="F776" s="53" t="s">
        <v>12572</v>
      </c>
      <c r="G776" s="54">
        <v>0.1517</v>
      </c>
      <c r="H776" s="53">
        <v>0.15</v>
      </c>
      <c r="I776" s="53">
        <v>225</v>
      </c>
      <c r="J776" s="53">
        <v>1500</v>
      </c>
      <c r="K776" s="53"/>
      <c r="L776" s="53"/>
      <c r="M776" s="53"/>
      <c r="N776" s="53"/>
      <c r="O776" s="53"/>
      <c r="P776" s="53"/>
      <c r="Q776" s="53"/>
      <c r="R776" s="53"/>
      <c r="S776" s="53"/>
      <c r="T776" s="53"/>
    </row>
    <row r="777">
      <c r="A777" s="53"/>
      <c r="B777" s="53" t="s">
        <v>12573</v>
      </c>
      <c r="C777" s="53" t="s">
        <v>11093</v>
      </c>
      <c r="D777" s="53" t="s">
        <v>11093</v>
      </c>
      <c r="E777" s="53" t="s">
        <v>11045</v>
      </c>
      <c r="F777" s="53" t="s">
        <v>12574</v>
      </c>
      <c r="G777" s="54">
        <v>0.14461</v>
      </c>
      <c r="H777" s="53">
        <v>0.15</v>
      </c>
      <c r="I777" s="53">
        <v>0</v>
      </c>
      <c r="J777" s="53">
        <v>1500</v>
      </c>
      <c r="K777" s="53"/>
      <c r="L777" s="53"/>
      <c r="M777" s="53"/>
      <c r="N777" s="53"/>
      <c r="O777" s="53"/>
      <c r="P777" s="53"/>
      <c r="Q777" s="53"/>
      <c r="R777" s="53"/>
      <c r="S777" s="53"/>
      <c r="T777" s="53"/>
    </row>
    <row r="778">
      <c r="A778" s="53"/>
      <c r="B778" s="53" t="s">
        <v>12575</v>
      </c>
      <c r="C778" s="53" t="s">
        <v>11274</v>
      </c>
      <c r="D778" s="53" t="s">
        <v>11274</v>
      </c>
      <c r="E778" s="53" t="s">
        <v>11045</v>
      </c>
      <c r="F778" s="53" t="s">
        <v>12576</v>
      </c>
      <c r="G778" s="54">
        <v>0.198</v>
      </c>
      <c r="H778" s="53">
        <v>0.13</v>
      </c>
      <c r="I778" s="53">
        <v>1500</v>
      </c>
      <c r="J778" s="53">
        <v>1500</v>
      </c>
      <c r="K778" s="53"/>
      <c r="L778" s="53"/>
      <c r="M778" s="53"/>
      <c r="N778" s="53"/>
      <c r="O778" s="53"/>
      <c r="P778" s="53"/>
      <c r="Q778" s="53"/>
      <c r="R778" s="53"/>
      <c r="S778" s="53"/>
      <c r="T778" s="53"/>
    </row>
    <row r="779">
      <c r="A779" s="53"/>
      <c r="B779" s="53" t="s">
        <v>12577</v>
      </c>
      <c r="C779" s="53" t="s">
        <v>11115</v>
      </c>
      <c r="D779" s="53" t="s">
        <v>11115</v>
      </c>
      <c r="E779" s="53" t="s">
        <v>11122</v>
      </c>
      <c r="F779" s="53" t="s">
        <v>12578</v>
      </c>
      <c r="G779" s="54">
        <v>0.118188</v>
      </c>
      <c r="H779" s="53">
        <v>0.12</v>
      </c>
      <c r="I779" s="53">
        <v>2208.84</v>
      </c>
      <c r="J779" s="53">
        <v>5000</v>
      </c>
      <c r="K779" s="53"/>
      <c r="L779" s="53"/>
      <c r="M779" s="53"/>
      <c r="N779" s="53"/>
      <c r="O779" s="53"/>
      <c r="P779" s="53"/>
      <c r="Q779" s="53"/>
      <c r="R779" s="53"/>
      <c r="S779" s="53"/>
      <c r="T779" s="53"/>
    </row>
    <row r="780">
      <c r="A780" s="53"/>
      <c r="B780" s="53" t="s">
        <v>12579</v>
      </c>
      <c r="C780" s="53" t="s">
        <v>12105</v>
      </c>
      <c r="D780" s="53" t="s">
        <v>12105</v>
      </c>
      <c r="E780" s="53" t="s">
        <v>11045</v>
      </c>
      <c r="F780" s="53" t="s">
        <v>12580</v>
      </c>
      <c r="G780" s="54">
        <v>0.1</v>
      </c>
      <c r="H780" s="53">
        <v>0.1</v>
      </c>
      <c r="I780" s="53">
        <v>150</v>
      </c>
      <c r="J780" s="53">
        <v>1500</v>
      </c>
      <c r="K780" s="53"/>
      <c r="L780" s="53"/>
      <c r="M780" s="53"/>
      <c r="N780" s="53"/>
      <c r="O780" s="53"/>
      <c r="P780" s="53"/>
      <c r="Q780" s="53"/>
      <c r="R780" s="53"/>
      <c r="S780" s="53"/>
      <c r="T780" s="53"/>
    </row>
    <row r="781">
      <c r="A781" s="53"/>
      <c r="B781" s="53" t="s">
        <v>12581</v>
      </c>
      <c r="C781" s="53" t="s">
        <v>11082</v>
      </c>
      <c r="D781" s="53" t="s">
        <v>11082</v>
      </c>
      <c r="E781" s="53" t="s">
        <v>11045</v>
      </c>
      <c r="F781" s="53" t="s">
        <v>12582</v>
      </c>
      <c r="G781" s="54">
        <v>0.1</v>
      </c>
      <c r="H781" s="53">
        <v>0.1</v>
      </c>
      <c r="I781" s="53">
        <v>500</v>
      </c>
      <c r="J781" s="53">
        <v>1500</v>
      </c>
      <c r="K781" s="53"/>
      <c r="L781" s="53"/>
      <c r="M781" s="53"/>
      <c r="N781" s="53"/>
      <c r="O781" s="53"/>
      <c r="P781" s="53"/>
      <c r="Q781" s="53"/>
      <c r="R781" s="53"/>
      <c r="S781" s="53"/>
      <c r="T781" s="53"/>
    </row>
    <row r="782">
      <c r="A782" s="53"/>
      <c r="B782" s="53" t="s">
        <v>12583</v>
      </c>
      <c r="C782" s="53" t="s">
        <v>11082</v>
      </c>
      <c r="D782" s="53" t="s">
        <v>11082</v>
      </c>
      <c r="E782" s="53" t="s">
        <v>11045</v>
      </c>
      <c r="F782" s="53" t="s">
        <v>12584</v>
      </c>
      <c r="G782" s="54">
        <v>0.000992</v>
      </c>
      <c r="H782" s="53">
        <v>0.1</v>
      </c>
      <c r="I782" s="53">
        <v>0</v>
      </c>
      <c r="J782" s="53">
        <v>1500</v>
      </c>
      <c r="K782" s="53"/>
      <c r="L782" s="53"/>
      <c r="M782" s="53"/>
      <c r="N782" s="53"/>
      <c r="O782" s="53"/>
      <c r="P782" s="53"/>
      <c r="Q782" s="53"/>
      <c r="R782" s="53"/>
      <c r="S782" s="53"/>
      <c r="T782" s="53"/>
    </row>
    <row r="783">
      <c r="A783" s="53"/>
      <c r="B783" s="53" t="s">
        <v>12585</v>
      </c>
      <c r="C783" s="53" t="s">
        <v>11171</v>
      </c>
      <c r="D783" s="53" t="s">
        <v>11171</v>
      </c>
      <c r="E783" s="53" t="s">
        <v>11281</v>
      </c>
      <c r="F783" s="53" t="s">
        <v>12586</v>
      </c>
      <c r="G783" s="54">
        <v>0.000968</v>
      </c>
      <c r="H783" s="53">
        <v>0.1</v>
      </c>
      <c r="I783" s="53">
        <v>483.87</v>
      </c>
      <c r="J783" s="53">
        <v>5000</v>
      </c>
      <c r="K783" s="53"/>
      <c r="L783" s="53"/>
      <c r="M783" s="53"/>
      <c r="N783" s="53"/>
      <c r="O783" s="53"/>
      <c r="P783" s="53"/>
      <c r="Q783" s="53"/>
      <c r="R783" s="53"/>
      <c r="S783" s="53"/>
      <c r="T783" s="53"/>
    </row>
    <row r="784">
      <c r="A784" s="53"/>
      <c r="B784" s="53" t="s">
        <v>12587</v>
      </c>
      <c r="C784" s="53" t="s">
        <v>11247</v>
      </c>
      <c r="D784" s="53" t="s">
        <v>11247</v>
      </c>
      <c r="E784" s="53" t="s">
        <v>11045</v>
      </c>
      <c r="F784" s="53" t="s">
        <v>12588</v>
      </c>
      <c r="G784" s="54">
        <v>0.151175</v>
      </c>
      <c r="H784" s="53">
        <v>0.08</v>
      </c>
      <c r="I784" s="53">
        <v>926.4</v>
      </c>
      <c r="J784" s="53">
        <v>1500</v>
      </c>
      <c r="K784" s="53"/>
      <c r="L784" s="53"/>
      <c r="M784" s="53"/>
      <c r="N784" s="53"/>
      <c r="O784" s="53"/>
      <c r="P784" s="53"/>
      <c r="Q784" s="53"/>
      <c r="R784" s="53"/>
      <c r="S784" s="53"/>
      <c r="T784" s="53"/>
    </row>
    <row r="785">
      <c r="A785" s="53"/>
      <c r="B785" s="53" t="s">
        <v>12589</v>
      </c>
      <c r="C785" s="53" t="s">
        <v>11060</v>
      </c>
      <c r="D785" s="53" t="s">
        <v>11060</v>
      </c>
      <c r="E785" s="53" t="s">
        <v>11045</v>
      </c>
      <c r="F785" s="53" t="s">
        <v>12590</v>
      </c>
      <c r="G785" s="54">
        <v>0.0938</v>
      </c>
      <c r="H785" s="53">
        <v>0.07</v>
      </c>
      <c r="I785" s="53">
        <v>310.34</v>
      </c>
      <c r="J785" s="53">
        <v>1500</v>
      </c>
      <c r="K785" s="53"/>
      <c r="L785" s="53"/>
      <c r="M785" s="53"/>
      <c r="N785" s="53"/>
      <c r="O785" s="53"/>
      <c r="P785" s="53"/>
      <c r="Q785" s="53"/>
      <c r="R785" s="53"/>
      <c r="S785" s="53"/>
      <c r="T785" s="53"/>
    </row>
    <row r="786">
      <c r="A786" s="53"/>
      <c r="B786" s="53" t="s">
        <v>12591</v>
      </c>
      <c r="C786" s="53" t="s">
        <v>11274</v>
      </c>
      <c r="D786" s="53" t="s">
        <v>11274</v>
      </c>
      <c r="E786" s="53" t="s">
        <v>11045</v>
      </c>
      <c r="F786" s="53" t="s">
        <v>12592</v>
      </c>
      <c r="G786" s="54">
        <v>0.2148</v>
      </c>
      <c r="H786" s="53">
        <v>0.07</v>
      </c>
      <c r="I786" s="53">
        <v>0</v>
      </c>
      <c r="J786" s="53">
        <v>1500</v>
      </c>
      <c r="K786" s="53"/>
      <c r="L786" s="53"/>
      <c r="M786" s="53"/>
      <c r="N786" s="53"/>
      <c r="O786" s="53"/>
      <c r="P786" s="53"/>
      <c r="Q786" s="53"/>
      <c r="R786" s="53"/>
      <c r="S786" s="53"/>
      <c r="T786" s="53"/>
    </row>
    <row r="787">
      <c r="A787" s="53"/>
      <c r="B787" s="53" t="s">
        <v>12593</v>
      </c>
      <c r="C787" s="53" t="s">
        <v>11247</v>
      </c>
      <c r="D787" s="53" t="s">
        <v>11247</v>
      </c>
      <c r="E787" s="53" t="s">
        <v>11045</v>
      </c>
      <c r="F787" s="53" t="s">
        <v>12594</v>
      </c>
      <c r="G787" s="54">
        <v>0.000686</v>
      </c>
      <c r="H787" s="53">
        <v>0.07</v>
      </c>
      <c r="I787" s="53">
        <v>794.39</v>
      </c>
      <c r="J787" s="53">
        <v>1500</v>
      </c>
      <c r="K787" s="53"/>
      <c r="L787" s="53"/>
      <c r="M787" s="53"/>
      <c r="N787" s="53"/>
      <c r="O787" s="53"/>
      <c r="P787" s="53"/>
      <c r="Q787" s="53"/>
      <c r="R787" s="53"/>
      <c r="S787" s="53"/>
      <c r="T787" s="53"/>
    </row>
    <row r="788">
      <c r="A788" s="53"/>
      <c r="B788" s="53" t="s">
        <v>12595</v>
      </c>
      <c r="C788" s="53" t="s">
        <v>11086</v>
      </c>
      <c r="D788" s="53" t="s">
        <v>11086</v>
      </c>
      <c r="E788" s="53" t="s">
        <v>11156</v>
      </c>
      <c r="F788" s="53" t="s">
        <v>12596</v>
      </c>
      <c r="G788" s="54">
        <v>0.07399</v>
      </c>
      <c r="H788" s="53">
        <v>0.06</v>
      </c>
      <c r="I788" s="53">
        <v>1240</v>
      </c>
      <c r="J788" s="53">
        <v>500</v>
      </c>
      <c r="K788" s="53"/>
      <c r="L788" s="53"/>
      <c r="M788" s="53"/>
      <c r="N788" s="53"/>
      <c r="O788" s="53"/>
      <c r="P788" s="53"/>
      <c r="Q788" s="53"/>
      <c r="R788" s="53"/>
      <c r="S788" s="53"/>
      <c r="T788" s="53"/>
    </row>
    <row r="789">
      <c r="A789" s="53"/>
      <c r="B789" s="53" t="s">
        <v>12597</v>
      </c>
      <c r="C789" s="53" t="s">
        <v>11357</v>
      </c>
      <c r="D789" s="53" t="s">
        <v>11357</v>
      </c>
      <c r="E789" s="53" t="s">
        <v>11045</v>
      </c>
      <c r="F789" s="53" t="s">
        <v>12598</v>
      </c>
      <c r="G789" s="54">
        <v>0.0456</v>
      </c>
      <c r="H789" s="53">
        <v>0.05</v>
      </c>
      <c r="I789" s="53">
        <v>118</v>
      </c>
      <c r="J789" s="53">
        <v>1500</v>
      </c>
      <c r="K789" s="53"/>
      <c r="L789" s="53"/>
      <c r="M789" s="53"/>
      <c r="N789" s="53"/>
      <c r="O789" s="53"/>
      <c r="P789" s="53"/>
      <c r="Q789" s="53"/>
      <c r="R789" s="53"/>
      <c r="S789" s="53"/>
      <c r="T789" s="53"/>
    </row>
    <row r="790">
      <c r="A790" s="53"/>
      <c r="B790" s="53" t="s">
        <v>12599</v>
      </c>
      <c r="C790" s="53" t="s">
        <v>11060</v>
      </c>
      <c r="D790" s="53" t="s">
        <v>11060</v>
      </c>
      <c r="E790" s="53" t="s">
        <v>11045</v>
      </c>
      <c r="F790" s="53" t="s">
        <v>12600</v>
      </c>
      <c r="G790" s="54">
        <v>0.0245</v>
      </c>
      <c r="H790" s="53">
        <v>0.02</v>
      </c>
      <c r="I790" s="53">
        <v>0</v>
      </c>
      <c r="J790" s="53">
        <v>1500</v>
      </c>
      <c r="K790" s="53"/>
      <c r="L790" s="53"/>
      <c r="M790" s="53"/>
      <c r="N790" s="53"/>
      <c r="O790" s="53"/>
      <c r="P790" s="53"/>
      <c r="Q790" s="53"/>
      <c r="R790" s="53"/>
      <c r="S790" s="53"/>
      <c r="T790" s="53"/>
    </row>
    <row r="791">
      <c r="A791" s="53"/>
      <c r="B791" s="53" t="s">
        <v>12601</v>
      </c>
      <c r="C791" s="53" t="s">
        <v>11082</v>
      </c>
      <c r="D791" s="53" t="s">
        <v>11082</v>
      </c>
      <c r="E791" s="53" t="s">
        <v>11045</v>
      </c>
      <c r="F791" s="53" t="s">
        <v>12602</v>
      </c>
      <c r="G791" s="54">
        <v>0.0151</v>
      </c>
      <c r="H791" s="53">
        <v>0.02</v>
      </c>
      <c r="I791" s="53">
        <v>30</v>
      </c>
      <c r="J791" s="53">
        <v>1500</v>
      </c>
      <c r="K791" s="53"/>
      <c r="L791" s="53"/>
      <c r="M791" s="53"/>
      <c r="N791" s="53"/>
      <c r="O791" s="53"/>
      <c r="P791" s="53"/>
      <c r="Q791" s="53"/>
      <c r="R791" s="53"/>
      <c r="S791" s="53"/>
      <c r="T791" s="53"/>
    </row>
    <row r="792">
      <c r="A792" s="53"/>
      <c r="B792" s="53" t="s">
        <v>12603</v>
      </c>
      <c r="C792" s="53" t="s">
        <v>11082</v>
      </c>
      <c r="D792" s="53" t="s">
        <v>11082</v>
      </c>
      <c r="E792" s="53" t="s">
        <v>11045</v>
      </c>
      <c r="F792" s="53" t="s">
        <v>12604</v>
      </c>
      <c r="G792" s="54">
        <v>0.000159</v>
      </c>
      <c r="H792" s="53">
        <v>0.02</v>
      </c>
      <c r="I792" s="53">
        <v>23.91</v>
      </c>
      <c r="J792" s="53">
        <v>1500</v>
      </c>
      <c r="K792" s="53"/>
      <c r="L792" s="53"/>
      <c r="M792" s="53"/>
      <c r="N792" s="53"/>
      <c r="O792" s="53"/>
      <c r="P792" s="53"/>
      <c r="Q792" s="53"/>
      <c r="R792" s="53"/>
      <c r="S792" s="53"/>
      <c r="T792" s="53"/>
    </row>
    <row r="793">
      <c r="A793" s="53"/>
      <c r="B793" s="53" t="s">
        <v>12605</v>
      </c>
      <c r="C793" s="53" t="s">
        <v>11411</v>
      </c>
      <c r="D793" s="53" t="s">
        <v>11411</v>
      </c>
      <c r="E793" s="53" t="s">
        <v>11412</v>
      </c>
      <c r="F793" s="53" t="s">
        <v>12606</v>
      </c>
      <c r="G793" s="54">
        <v>0</v>
      </c>
      <c r="H793" s="53">
        <v>0</v>
      </c>
      <c r="I793" s="53">
        <v>0</v>
      </c>
      <c r="J793" s="53">
        <v>4000</v>
      </c>
      <c r="K793" s="53"/>
      <c r="L793" s="53"/>
      <c r="M793" s="53"/>
      <c r="N793" s="53"/>
      <c r="O793" s="53"/>
      <c r="P793" s="53"/>
      <c r="Q793" s="53"/>
      <c r="R793" s="53"/>
      <c r="S793" s="53"/>
      <c r="T793" s="53"/>
    </row>
    <row r="794">
      <c r="A794" s="53"/>
      <c r="B794" s="53" t="s">
        <v>12607</v>
      </c>
      <c r="C794" s="53" t="s">
        <v>11264</v>
      </c>
      <c r="D794" s="53" t="s">
        <v>11264</v>
      </c>
      <c r="E794" s="53" t="s">
        <v>11589</v>
      </c>
      <c r="F794" s="53" t="s">
        <v>12608</v>
      </c>
      <c r="G794" s="54">
        <v>0</v>
      </c>
      <c r="H794" s="53">
        <v>0</v>
      </c>
      <c r="I794" s="53">
        <v>0</v>
      </c>
      <c r="J794" s="53">
        <v>500</v>
      </c>
      <c r="K794" s="53"/>
      <c r="L794" s="53"/>
      <c r="M794" s="53"/>
      <c r="N794" s="53"/>
      <c r="O794" s="53"/>
      <c r="P794" s="53"/>
      <c r="Q794" s="53"/>
      <c r="R794" s="53"/>
      <c r="S794" s="53"/>
      <c r="T794" s="53"/>
    </row>
    <row r="795">
      <c r="A795" s="53"/>
      <c r="B795" s="53" t="s">
        <v>12609</v>
      </c>
      <c r="C795" s="53" t="s">
        <v>11247</v>
      </c>
      <c r="D795" s="53" t="s">
        <v>11247</v>
      </c>
      <c r="E795" s="53" t="s">
        <v>11094</v>
      </c>
      <c r="F795" s="53" t="s">
        <v>12610</v>
      </c>
      <c r="G795" s="54">
        <v>0.403395</v>
      </c>
      <c r="H795" s="53">
        <v>0</v>
      </c>
      <c r="I795" s="53">
        <v>2000</v>
      </c>
      <c r="J795" s="53">
        <v>5000</v>
      </c>
      <c r="K795" s="53"/>
      <c r="L795" s="53"/>
      <c r="M795" s="53"/>
      <c r="N795" s="53"/>
      <c r="O795" s="53"/>
      <c r="P795" s="53"/>
      <c r="Q795" s="53"/>
      <c r="R795" s="53"/>
      <c r="S795" s="53"/>
      <c r="T795" s="53"/>
    </row>
    <row r="796">
      <c r="A796" s="53"/>
      <c r="B796" s="53" t="s">
        <v>12611</v>
      </c>
      <c r="C796" s="53" t="s">
        <v>10843</v>
      </c>
      <c r="D796" s="53" t="s">
        <v>10843</v>
      </c>
      <c r="E796" s="53" t="s">
        <v>10877</v>
      </c>
      <c r="F796" s="53" t="s">
        <v>12612</v>
      </c>
      <c r="G796" s="54">
        <v>0</v>
      </c>
      <c r="H796" s="53">
        <v>0</v>
      </c>
      <c r="I796" s="53">
        <v>0</v>
      </c>
      <c r="J796" s="53">
        <v>1000</v>
      </c>
      <c r="K796" s="53"/>
      <c r="L796" s="53"/>
      <c r="M796" s="53"/>
      <c r="N796" s="53"/>
      <c r="O796" s="53"/>
      <c r="P796" s="53"/>
      <c r="Q796" s="53"/>
      <c r="R796" s="53"/>
      <c r="S796" s="53"/>
      <c r="T796" s="53"/>
    </row>
    <row r="797">
      <c r="A797" s="53"/>
      <c r="B797" s="53" t="s">
        <v>12613</v>
      </c>
      <c r="C797" s="53" t="s">
        <v>10843</v>
      </c>
      <c r="D797" s="53" t="s">
        <v>10843</v>
      </c>
      <c r="E797" s="53" t="s">
        <v>10877</v>
      </c>
      <c r="F797" s="53" t="s">
        <v>12614</v>
      </c>
      <c r="G797" s="54">
        <v>0</v>
      </c>
      <c r="H797" s="53">
        <v>0</v>
      </c>
      <c r="I797" s="53">
        <v>200</v>
      </c>
      <c r="J797" s="53">
        <v>1000</v>
      </c>
      <c r="K797" s="53"/>
      <c r="L797" s="53"/>
      <c r="M797" s="53"/>
      <c r="N797" s="53"/>
      <c r="O797" s="53"/>
      <c r="P797" s="53"/>
      <c r="Q797" s="53"/>
      <c r="R797" s="53"/>
      <c r="S797" s="53"/>
      <c r="T797" s="53"/>
    </row>
    <row r="798">
      <c r="A798" s="53"/>
      <c r="B798" s="53" t="s">
        <v>12615</v>
      </c>
      <c r="C798" s="53" t="s">
        <v>10843</v>
      </c>
      <c r="D798" s="53" t="s">
        <v>10843</v>
      </c>
      <c r="E798" s="53" t="s">
        <v>10877</v>
      </c>
      <c r="F798" s="53" t="s">
        <v>12616</v>
      </c>
      <c r="G798" s="54">
        <v>0</v>
      </c>
      <c r="H798" s="53">
        <v>0</v>
      </c>
      <c r="I798" s="53">
        <v>0</v>
      </c>
      <c r="J798" s="53">
        <v>1000</v>
      </c>
      <c r="K798" s="53"/>
      <c r="L798" s="53"/>
      <c r="M798" s="53"/>
      <c r="N798" s="53"/>
      <c r="O798" s="53"/>
      <c r="P798" s="53"/>
      <c r="Q798" s="53"/>
      <c r="R798" s="53"/>
      <c r="S798" s="53"/>
      <c r="T798" s="53"/>
    </row>
    <row r="799">
      <c r="A799" s="53"/>
      <c r="B799" s="53" t="s">
        <v>12617</v>
      </c>
      <c r="C799" s="53" t="s">
        <v>10843</v>
      </c>
      <c r="D799" s="53" t="s">
        <v>10843</v>
      </c>
      <c r="E799" s="53" t="s">
        <v>10780</v>
      </c>
      <c r="F799" s="53" t="s">
        <v>12618</v>
      </c>
      <c r="G799" s="54">
        <v>0</v>
      </c>
      <c r="H799" s="53">
        <v>0</v>
      </c>
      <c r="I799" s="53">
        <v>0</v>
      </c>
      <c r="J799" s="53">
        <v>10000</v>
      </c>
      <c r="K799" s="53"/>
      <c r="L799" s="53"/>
      <c r="M799" s="53"/>
      <c r="N799" s="53"/>
      <c r="O799" s="53"/>
      <c r="P799" s="53"/>
      <c r="Q799" s="53"/>
      <c r="R799" s="53"/>
      <c r="S799" s="53"/>
      <c r="T799" s="53"/>
    </row>
    <row r="800">
      <c r="A800" s="53"/>
      <c r="B800" s="53" t="s">
        <v>12619</v>
      </c>
      <c r="C800" s="53" t="s">
        <v>10843</v>
      </c>
      <c r="D800" s="53" t="s">
        <v>10843</v>
      </c>
      <c r="E800" s="53" t="s">
        <v>10877</v>
      </c>
      <c r="F800" s="53" t="s">
        <v>12620</v>
      </c>
      <c r="G800" s="54">
        <v>0</v>
      </c>
      <c r="H800" s="53">
        <v>0</v>
      </c>
      <c r="I800" s="53">
        <v>100</v>
      </c>
      <c r="J800" s="53">
        <v>1000</v>
      </c>
      <c r="K800" s="53"/>
      <c r="L800" s="53"/>
      <c r="M800" s="53"/>
      <c r="N800" s="53"/>
      <c r="O800" s="53"/>
      <c r="P800" s="53"/>
      <c r="Q800" s="53"/>
      <c r="R800" s="53"/>
      <c r="S800" s="53"/>
      <c r="T800" s="53"/>
    </row>
    <row r="801">
      <c r="A801" s="53"/>
      <c r="B801" s="53" t="s">
        <v>12621</v>
      </c>
      <c r="C801" s="53" t="s">
        <v>11159</v>
      </c>
      <c r="D801" s="53" t="s">
        <v>11159</v>
      </c>
      <c r="E801" s="53" t="s">
        <v>12241</v>
      </c>
      <c r="F801" s="53" t="s">
        <v>12622</v>
      </c>
      <c r="G801" s="54">
        <v>0</v>
      </c>
      <c r="H801" s="53">
        <v>0</v>
      </c>
      <c r="I801" s="53">
        <v>0</v>
      </c>
      <c r="J801" s="53">
        <v>3000</v>
      </c>
      <c r="K801" s="53"/>
      <c r="L801" s="53"/>
      <c r="M801" s="53"/>
      <c r="N801" s="53"/>
      <c r="O801" s="53"/>
      <c r="P801" s="53"/>
      <c r="Q801" s="53"/>
      <c r="R801" s="53"/>
      <c r="S801" s="53"/>
      <c r="T801" s="53"/>
    </row>
    <row r="802">
      <c r="A802" s="53"/>
      <c r="B802" s="53" t="s">
        <v>12623</v>
      </c>
      <c r="C802" s="53" t="s">
        <v>11159</v>
      </c>
      <c r="D802" s="53" t="s">
        <v>11159</v>
      </c>
      <c r="E802" s="53" t="s">
        <v>12624</v>
      </c>
      <c r="F802" s="53" t="s">
        <v>12625</v>
      </c>
      <c r="G802" s="54">
        <v>0</v>
      </c>
      <c r="H802" s="53">
        <v>0</v>
      </c>
      <c r="I802" s="53">
        <v>0</v>
      </c>
      <c r="J802" s="53">
        <v>0</v>
      </c>
      <c r="K802" s="53"/>
      <c r="L802" s="53"/>
      <c r="M802" s="53"/>
      <c r="N802" s="53"/>
      <c r="O802" s="53"/>
      <c r="P802" s="53"/>
      <c r="Q802" s="53"/>
      <c r="R802" s="53"/>
      <c r="S802" s="53"/>
      <c r="T802" s="53"/>
    </row>
    <row r="803">
      <c r="A803" s="53"/>
      <c r="B803" s="53" t="s">
        <v>12626</v>
      </c>
      <c r="C803" s="53" t="s">
        <v>10779</v>
      </c>
      <c r="D803" s="53" t="s">
        <v>10779</v>
      </c>
      <c r="E803" s="53" t="s">
        <v>10780</v>
      </c>
      <c r="F803" s="53" t="s">
        <v>12627</v>
      </c>
      <c r="G803" s="54">
        <v>1</v>
      </c>
      <c r="H803" s="53">
        <v>0</v>
      </c>
      <c r="I803" s="53">
        <v>0</v>
      </c>
      <c r="J803" s="53">
        <v>10000</v>
      </c>
      <c r="K803" s="53"/>
      <c r="L803" s="53"/>
      <c r="M803" s="53"/>
      <c r="N803" s="53"/>
      <c r="O803" s="53"/>
      <c r="P803" s="53"/>
      <c r="Q803" s="53"/>
      <c r="R803" s="53"/>
      <c r="S803" s="53"/>
      <c r="T803" s="53"/>
    </row>
    <row r="804">
      <c r="A804" s="53"/>
      <c r="B804" s="53" t="s">
        <v>12628</v>
      </c>
      <c r="C804" s="53" t="s">
        <v>10779</v>
      </c>
      <c r="D804" s="53" t="s">
        <v>10779</v>
      </c>
      <c r="E804" s="53" t="s">
        <v>10780</v>
      </c>
      <c r="F804" s="53" t="s">
        <v>12629</v>
      </c>
      <c r="G804" s="54">
        <v>1</v>
      </c>
      <c r="H804" s="53">
        <v>0</v>
      </c>
      <c r="I804" s="53">
        <v>0</v>
      </c>
      <c r="J804" s="53">
        <v>10000</v>
      </c>
      <c r="K804" s="53"/>
      <c r="L804" s="53"/>
      <c r="M804" s="53"/>
      <c r="N804" s="53"/>
      <c r="O804" s="53"/>
      <c r="P804" s="53"/>
      <c r="Q804" s="53"/>
      <c r="R804" s="53"/>
      <c r="S804" s="53"/>
      <c r="T804" s="53"/>
    </row>
    <row r="805">
      <c r="A805" s="53"/>
      <c r="B805" s="53" t="s">
        <v>12630</v>
      </c>
      <c r="C805" s="53" t="s">
        <v>10779</v>
      </c>
      <c r="D805" s="53" t="s">
        <v>10779</v>
      </c>
      <c r="E805" s="53" t="s">
        <v>10780</v>
      </c>
      <c r="F805" s="53" t="s">
        <v>12631</v>
      </c>
      <c r="G805" s="54">
        <v>1</v>
      </c>
      <c r="H805" s="53">
        <v>0</v>
      </c>
      <c r="I805" s="53">
        <v>0</v>
      </c>
      <c r="J805" s="53">
        <v>10000</v>
      </c>
      <c r="K805" s="53"/>
      <c r="L805" s="53"/>
      <c r="M805" s="53"/>
      <c r="N805" s="53"/>
      <c r="O805" s="53"/>
      <c r="P805" s="53"/>
      <c r="Q805" s="53"/>
      <c r="R805" s="53"/>
      <c r="S805" s="53"/>
      <c r="T805" s="53"/>
    </row>
    <row r="806">
      <c r="A806" s="53"/>
      <c r="B806" s="53" t="s">
        <v>12632</v>
      </c>
      <c r="C806" s="53" t="s">
        <v>10779</v>
      </c>
      <c r="D806" s="53" t="s">
        <v>10779</v>
      </c>
      <c r="E806" s="53" t="s">
        <v>10780</v>
      </c>
      <c r="F806" s="53" t="s">
        <v>12633</v>
      </c>
      <c r="G806" s="54">
        <v>1</v>
      </c>
      <c r="H806" s="53">
        <v>0</v>
      </c>
      <c r="I806" s="53">
        <v>0</v>
      </c>
      <c r="J806" s="53">
        <v>10000</v>
      </c>
      <c r="K806" s="53"/>
      <c r="L806" s="53"/>
      <c r="M806" s="53"/>
      <c r="N806" s="53"/>
      <c r="O806" s="53"/>
      <c r="P806" s="53"/>
      <c r="Q806" s="53"/>
      <c r="R806" s="53"/>
      <c r="S806" s="53"/>
      <c r="T806" s="53"/>
    </row>
    <row r="807">
      <c r="A807" s="53"/>
      <c r="B807" s="53" t="s">
        <v>12634</v>
      </c>
      <c r="C807" s="53" t="s">
        <v>10779</v>
      </c>
      <c r="D807" s="53" t="s">
        <v>10779</v>
      </c>
      <c r="E807" s="53" t="s">
        <v>10952</v>
      </c>
      <c r="F807" s="53" t="s">
        <v>12635</v>
      </c>
      <c r="G807" s="54">
        <v>0</v>
      </c>
      <c r="H807" s="53">
        <v>0</v>
      </c>
      <c r="I807" s="53">
        <v>0</v>
      </c>
      <c r="J807" s="53">
        <v>1000</v>
      </c>
      <c r="K807" s="53"/>
      <c r="L807" s="53"/>
      <c r="M807" s="53"/>
      <c r="N807" s="53"/>
      <c r="O807" s="53"/>
      <c r="P807" s="53"/>
      <c r="Q807" s="53"/>
      <c r="R807" s="53"/>
      <c r="S807" s="53"/>
      <c r="T807" s="53"/>
    </row>
    <row r="808">
      <c r="A808" s="53"/>
      <c r="B808" s="53" t="s">
        <v>12636</v>
      </c>
      <c r="C808" s="53" t="s">
        <v>10837</v>
      </c>
      <c r="D808" s="53" t="s">
        <v>10837</v>
      </c>
      <c r="E808" s="53" t="s">
        <v>10780</v>
      </c>
      <c r="F808" s="53" t="s">
        <v>12637</v>
      </c>
      <c r="G808" s="54">
        <v>1</v>
      </c>
      <c r="H808" s="53">
        <v>0</v>
      </c>
      <c r="I808" s="53">
        <v>1700</v>
      </c>
      <c r="J808" s="53">
        <v>10000</v>
      </c>
      <c r="K808" s="53"/>
      <c r="L808" s="53"/>
      <c r="M808" s="53"/>
      <c r="N808" s="53"/>
      <c r="O808" s="53"/>
      <c r="P808" s="53"/>
      <c r="Q808" s="53"/>
      <c r="R808" s="53"/>
      <c r="S808" s="53"/>
      <c r="T808" s="53"/>
    </row>
    <row r="809">
      <c r="A809" s="53"/>
      <c r="B809" s="53" t="s">
        <v>12638</v>
      </c>
      <c r="C809" s="53" t="s">
        <v>10837</v>
      </c>
      <c r="D809" s="53" t="s">
        <v>10837</v>
      </c>
      <c r="E809" s="53" t="s">
        <v>10780</v>
      </c>
      <c r="F809" s="53" t="s">
        <v>12639</v>
      </c>
      <c r="G809" s="54">
        <v>1</v>
      </c>
      <c r="H809" s="53">
        <v>0</v>
      </c>
      <c r="I809" s="53">
        <v>1000</v>
      </c>
      <c r="J809" s="53">
        <v>10000</v>
      </c>
      <c r="K809" s="53"/>
      <c r="L809" s="53"/>
      <c r="M809" s="53"/>
      <c r="N809" s="53"/>
      <c r="O809" s="53"/>
      <c r="P809" s="53"/>
      <c r="Q809" s="53"/>
      <c r="R809" s="53"/>
      <c r="S809" s="53"/>
      <c r="T809" s="53"/>
    </row>
    <row r="810">
      <c r="A810" s="53"/>
      <c r="B810" s="53" t="s">
        <v>12640</v>
      </c>
      <c r="C810" s="53" t="s">
        <v>10837</v>
      </c>
      <c r="D810" s="53" t="s">
        <v>10837</v>
      </c>
      <c r="E810" s="53" t="s">
        <v>10780</v>
      </c>
      <c r="F810" s="53" t="s">
        <v>12641</v>
      </c>
      <c r="G810" s="54">
        <v>1</v>
      </c>
      <c r="H810" s="53">
        <v>0</v>
      </c>
      <c r="I810" s="53">
        <v>700</v>
      </c>
      <c r="J810" s="53">
        <v>10000</v>
      </c>
      <c r="K810" s="53"/>
      <c r="L810" s="53"/>
      <c r="M810" s="53"/>
      <c r="N810" s="53"/>
      <c r="O810" s="53"/>
      <c r="P810" s="53"/>
      <c r="Q810" s="53"/>
      <c r="R810" s="53"/>
      <c r="S810" s="53"/>
      <c r="T810" s="53"/>
    </row>
    <row r="811">
      <c r="A811" s="53"/>
      <c r="B811" s="53" t="s">
        <v>12642</v>
      </c>
      <c r="C811" s="53" t="s">
        <v>10837</v>
      </c>
      <c r="D811" s="53" t="s">
        <v>10837</v>
      </c>
      <c r="E811" s="53" t="s">
        <v>10780</v>
      </c>
      <c r="F811" s="53" t="s">
        <v>12643</v>
      </c>
      <c r="G811" s="54">
        <v>1</v>
      </c>
      <c r="H811" s="53">
        <v>0</v>
      </c>
      <c r="I811" s="53">
        <v>500</v>
      </c>
      <c r="J811" s="53">
        <v>10000</v>
      </c>
      <c r="K811" s="53"/>
      <c r="L811" s="53"/>
      <c r="M811" s="53"/>
      <c r="N811" s="53"/>
      <c r="O811" s="53"/>
      <c r="P811" s="53"/>
      <c r="Q811" s="53"/>
      <c r="R811" s="53"/>
      <c r="S811" s="53"/>
      <c r="T811" s="53"/>
    </row>
    <row r="812">
      <c r="A812" s="53"/>
      <c r="B812" s="53" t="s">
        <v>12644</v>
      </c>
      <c r="C812" s="53" t="s">
        <v>10984</v>
      </c>
      <c r="D812" s="53" t="s">
        <v>10984</v>
      </c>
      <c r="E812" s="53" t="s">
        <v>10783</v>
      </c>
      <c r="F812" s="53" t="s">
        <v>12645</v>
      </c>
      <c r="G812" s="54">
        <v>1</v>
      </c>
      <c r="H812" s="53">
        <v>0</v>
      </c>
      <c r="I812" s="53">
        <v>68000</v>
      </c>
      <c r="J812" s="53">
        <v>55000</v>
      </c>
      <c r="K812" s="53"/>
      <c r="L812" s="53"/>
      <c r="M812" s="53"/>
      <c r="N812" s="53"/>
      <c r="O812" s="53"/>
      <c r="P812" s="53"/>
      <c r="Q812" s="53"/>
      <c r="R812" s="53"/>
      <c r="S812" s="53"/>
      <c r="T812" s="53"/>
    </row>
    <row r="813">
      <c r="A813" s="53"/>
      <c r="B813" s="53" t="s">
        <v>12646</v>
      </c>
      <c r="C813" s="53" t="s">
        <v>10937</v>
      </c>
      <c r="D813" s="53" t="s">
        <v>10937</v>
      </c>
      <c r="E813" s="53" t="s">
        <v>10844</v>
      </c>
      <c r="F813" s="53" t="s">
        <v>12647</v>
      </c>
      <c r="G813" s="54">
        <v>1</v>
      </c>
      <c r="H813" s="53">
        <v>0</v>
      </c>
      <c r="I813" s="53">
        <v>44600</v>
      </c>
      <c r="J813" s="53">
        <v>10000</v>
      </c>
      <c r="K813" s="53"/>
      <c r="L813" s="53"/>
      <c r="M813" s="53"/>
      <c r="N813" s="53"/>
      <c r="O813" s="53"/>
      <c r="P813" s="53"/>
      <c r="Q813" s="53"/>
      <c r="R813" s="53"/>
      <c r="S813" s="53"/>
      <c r="T813" s="53"/>
    </row>
    <row r="814">
      <c r="A814" s="53"/>
      <c r="B814" s="53" t="s">
        <v>12648</v>
      </c>
      <c r="C814" s="53" t="s">
        <v>10937</v>
      </c>
      <c r="D814" s="53" t="s">
        <v>10937</v>
      </c>
      <c r="E814" s="53" t="s">
        <v>10780</v>
      </c>
      <c r="F814" s="53" t="s">
        <v>12649</v>
      </c>
      <c r="G814" s="54">
        <v>1</v>
      </c>
      <c r="H814" s="53">
        <v>0</v>
      </c>
      <c r="I814" s="53">
        <v>30200</v>
      </c>
      <c r="J814" s="53">
        <v>10000</v>
      </c>
      <c r="K814" s="53"/>
      <c r="L814" s="53"/>
      <c r="M814" s="53"/>
      <c r="N814" s="53"/>
      <c r="O814" s="53"/>
      <c r="P814" s="53"/>
      <c r="Q814" s="53"/>
      <c r="R814" s="53"/>
      <c r="S814" s="53"/>
      <c r="T814" s="53"/>
    </row>
    <row r="815">
      <c r="A815" s="53"/>
      <c r="B815" s="53" t="s">
        <v>12650</v>
      </c>
      <c r="C815" s="53" t="s">
        <v>10916</v>
      </c>
      <c r="D815" s="53" t="s">
        <v>10916</v>
      </c>
      <c r="E815" s="53" t="s">
        <v>10780</v>
      </c>
      <c r="F815" s="53" t="s">
        <v>12651</v>
      </c>
      <c r="G815" s="54">
        <v>1</v>
      </c>
      <c r="H815" s="53">
        <v>0</v>
      </c>
      <c r="I815" s="53">
        <v>23600</v>
      </c>
      <c r="J815" s="53">
        <v>10000</v>
      </c>
      <c r="K815" s="53"/>
      <c r="L815" s="53"/>
      <c r="M815" s="53"/>
      <c r="N815" s="53"/>
      <c r="O815" s="53"/>
      <c r="P815" s="53"/>
      <c r="Q815" s="53"/>
      <c r="R815" s="53"/>
      <c r="S815" s="53"/>
      <c r="T815" s="53"/>
    </row>
    <row r="816">
      <c r="A816" s="53"/>
      <c r="B816" s="53" t="s">
        <v>12652</v>
      </c>
      <c r="C816" s="53" t="s">
        <v>10937</v>
      </c>
      <c r="D816" s="53" t="s">
        <v>10937</v>
      </c>
      <c r="E816" s="53" t="s">
        <v>10783</v>
      </c>
      <c r="F816" s="53" t="s">
        <v>12653</v>
      </c>
      <c r="G816" s="54">
        <v>1</v>
      </c>
      <c r="H816" s="53">
        <v>0</v>
      </c>
      <c r="I816" s="53">
        <v>19200</v>
      </c>
      <c r="J816" s="53">
        <v>55000</v>
      </c>
      <c r="K816" s="53"/>
      <c r="L816" s="53"/>
      <c r="M816" s="53"/>
      <c r="N816" s="53"/>
      <c r="O816" s="53"/>
      <c r="P816" s="53"/>
      <c r="Q816" s="53"/>
      <c r="R816" s="53"/>
      <c r="S816" s="53"/>
      <c r="T816" s="53"/>
    </row>
    <row r="817">
      <c r="A817" s="53"/>
      <c r="B817" s="53" t="s">
        <v>12654</v>
      </c>
      <c r="C817" s="53" t="s">
        <v>10916</v>
      </c>
      <c r="D817" s="53" t="s">
        <v>10916</v>
      </c>
      <c r="E817" s="53" t="s">
        <v>10783</v>
      </c>
      <c r="F817" s="53" t="s">
        <v>12515</v>
      </c>
      <c r="G817" s="54">
        <v>1</v>
      </c>
      <c r="H817" s="53">
        <v>0</v>
      </c>
      <c r="I817" s="53">
        <v>16400</v>
      </c>
      <c r="J817" s="53">
        <v>55000</v>
      </c>
      <c r="K817" s="53"/>
      <c r="L817" s="53"/>
      <c r="M817" s="53"/>
      <c r="N817" s="53"/>
      <c r="O817" s="53"/>
      <c r="P817" s="53"/>
      <c r="Q817" s="53"/>
      <c r="R817" s="53"/>
      <c r="S817" s="53"/>
      <c r="T817" s="53"/>
    </row>
    <row r="818">
      <c r="A818" s="53"/>
      <c r="B818" s="53" t="s">
        <v>12655</v>
      </c>
      <c r="C818" s="53" t="s">
        <v>10937</v>
      </c>
      <c r="D818" s="53" t="s">
        <v>10937</v>
      </c>
      <c r="E818" s="53" t="s">
        <v>10780</v>
      </c>
      <c r="F818" s="53" t="s">
        <v>12656</v>
      </c>
      <c r="G818" s="54">
        <v>1</v>
      </c>
      <c r="H818" s="53">
        <v>0</v>
      </c>
      <c r="I818" s="53">
        <v>11200</v>
      </c>
      <c r="J818" s="53">
        <v>10000</v>
      </c>
      <c r="K818" s="53"/>
      <c r="L818" s="53"/>
      <c r="M818" s="53"/>
      <c r="N818" s="53"/>
      <c r="O818" s="53"/>
      <c r="P818" s="53"/>
      <c r="Q818" s="53"/>
      <c r="R818" s="53"/>
      <c r="S818" s="53"/>
      <c r="T818" s="53"/>
    </row>
    <row r="819">
      <c r="A819" s="53"/>
      <c r="B819" s="53" t="s">
        <v>12657</v>
      </c>
      <c r="C819" s="53" t="s">
        <v>10916</v>
      </c>
      <c r="D819" s="53" t="s">
        <v>10916</v>
      </c>
      <c r="E819" s="53" t="s">
        <v>10783</v>
      </c>
      <c r="F819" s="53" t="s">
        <v>12658</v>
      </c>
      <c r="G819" s="54">
        <v>1</v>
      </c>
      <c r="H819" s="53">
        <v>0</v>
      </c>
      <c r="I819" s="53">
        <v>12700</v>
      </c>
      <c r="J819" s="53">
        <v>55000</v>
      </c>
      <c r="K819" s="53"/>
      <c r="L819" s="53"/>
      <c r="M819" s="53"/>
      <c r="N819" s="53"/>
      <c r="O819" s="53"/>
      <c r="P819" s="53"/>
      <c r="Q819" s="53"/>
      <c r="R819" s="53"/>
      <c r="S819" s="53"/>
      <c r="T819" s="53"/>
    </row>
    <row r="820">
      <c r="A820" s="53"/>
      <c r="B820" s="53" t="s">
        <v>12659</v>
      </c>
      <c r="C820" s="53" t="s">
        <v>12660</v>
      </c>
      <c r="D820" s="53" t="s">
        <v>12660</v>
      </c>
      <c r="E820" s="53" t="s">
        <v>10780</v>
      </c>
      <c r="F820" s="53" t="s">
        <v>12661</v>
      </c>
      <c r="G820" s="54">
        <v>1</v>
      </c>
      <c r="H820" s="53">
        <v>0</v>
      </c>
      <c r="I820" s="53">
        <v>11900</v>
      </c>
      <c r="J820" s="53">
        <v>10000</v>
      </c>
      <c r="K820" s="53"/>
      <c r="L820" s="53"/>
      <c r="M820" s="53"/>
      <c r="N820" s="53"/>
      <c r="O820" s="53"/>
      <c r="P820" s="53"/>
      <c r="Q820" s="53"/>
      <c r="R820" s="53"/>
      <c r="S820" s="53"/>
      <c r="T820" s="53"/>
    </row>
    <row r="821">
      <c r="A821" s="53"/>
      <c r="B821" s="53" t="s">
        <v>12662</v>
      </c>
      <c r="C821" s="53" t="s">
        <v>10984</v>
      </c>
      <c r="D821" s="53" t="s">
        <v>10984</v>
      </c>
      <c r="E821" s="53" t="s">
        <v>10780</v>
      </c>
      <c r="F821" s="53" t="s">
        <v>12663</v>
      </c>
      <c r="G821" s="54">
        <v>1</v>
      </c>
      <c r="H821" s="53">
        <v>0</v>
      </c>
      <c r="I821" s="53">
        <v>10100</v>
      </c>
      <c r="J821" s="53">
        <v>10000</v>
      </c>
      <c r="K821" s="53"/>
      <c r="L821" s="53"/>
      <c r="M821" s="53"/>
      <c r="N821" s="53"/>
      <c r="O821" s="53"/>
      <c r="P821" s="53"/>
      <c r="Q821" s="53"/>
      <c r="R821" s="53"/>
      <c r="S821" s="53"/>
      <c r="T821" s="53"/>
    </row>
    <row r="822">
      <c r="A822" s="53"/>
      <c r="B822" s="53" t="s">
        <v>12664</v>
      </c>
      <c r="C822" s="53" t="s">
        <v>10924</v>
      </c>
      <c r="D822" s="53" t="s">
        <v>10924</v>
      </c>
      <c r="E822" s="53" t="s">
        <v>10780</v>
      </c>
      <c r="F822" s="53" t="s">
        <v>12665</v>
      </c>
      <c r="G822" s="54">
        <v>1</v>
      </c>
      <c r="H822" s="53">
        <v>0</v>
      </c>
      <c r="I822" s="53">
        <v>8800</v>
      </c>
      <c r="J822" s="53">
        <v>10000</v>
      </c>
      <c r="K822" s="53"/>
      <c r="L822" s="53"/>
      <c r="M822" s="53"/>
      <c r="N822" s="53"/>
      <c r="O822" s="53"/>
      <c r="P822" s="53"/>
      <c r="Q822" s="53"/>
      <c r="R822" s="53"/>
      <c r="S822" s="53"/>
      <c r="T822" s="53"/>
    </row>
    <row r="823">
      <c r="A823" s="53"/>
      <c r="B823" s="53" t="s">
        <v>12666</v>
      </c>
      <c r="C823" s="53" t="s">
        <v>10837</v>
      </c>
      <c r="D823" s="53" t="s">
        <v>10837</v>
      </c>
      <c r="E823" s="53" t="s">
        <v>10780</v>
      </c>
      <c r="F823" s="53" t="s">
        <v>12667</v>
      </c>
      <c r="G823" s="54">
        <v>1</v>
      </c>
      <c r="H823" s="53">
        <v>0</v>
      </c>
      <c r="I823" s="53">
        <v>7800</v>
      </c>
      <c r="J823" s="53">
        <v>10000</v>
      </c>
      <c r="K823" s="53"/>
      <c r="L823" s="53"/>
      <c r="M823" s="53"/>
      <c r="N823" s="53"/>
      <c r="O823" s="53"/>
      <c r="P823" s="53"/>
      <c r="Q823" s="53"/>
      <c r="R823" s="53"/>
      <c r="S823" s="53"/>
      <c r="T823" s="53"/>
    </row>
    <row r="824">
      <c r="A824" s="53"/>
      <c r="B824" s="53" t="s">
        <v>12668</v>
      </c>
      <c r="C824" s="53" t="s">
        <v>10921</v>
      </c>
      <c r="D824" s="53" t="s">
        <v>10921</v>
      </c>
      <c r="E824" s="53" t="s">
        <v>10780</v>
      </c>
      <c r="F824" s="53" t="s">
        <v>12669</v>
      </c>
      <c r="G824" s="54">
        <v>1</v>
      </c>
      <c r="H824" s="53">
        <v>0</v>
      </c>
      <c r="I824" s="53">
        <v>6800</v>
      </c>
      <c r="J824" s="53">
        <v>10000</v>
      </c>
      <c r="K824" s="53"/>
      <c r="L824" s="53"/>
      <c r="M824" s="53"/>
      <c r="N824" s="53"/>
      <c r="O824" s="53"/>
      <c r="P824" s="53"/>
      <c r="Q824" s="53"/>
      <c r="R824" s="53"/>
      <c r="S824" s="53"/>
      <c r="T824" s="53"/>
    </row>
    <row r="825">
      <c r="A825" s="53"/>
      <c r="B825" s="53" t="s">
        <v>12670</v>
      </c>
      <c r="C825" s="53" t="s">
        <v>10924</v>
      </c>
      <c r="D825" s="53" t="s">
        <v>10924</v>
      </c>
      <c r="E825" s="53" t="s">
        <v>10780</v>
      </c>
      <c r="F825" s="53" t="s">
        <v>12671</v>
      </c>
      <c r="G825" s="54">
        <v>1</v>
      </c>
      <c r="H825" s="53">
        <v>0</v>
      </c>
      <c r="I825" s="53">
        <v>6100</v>
      </c>
      <c r="J825" s="53">
        <v>10000</v>
      </c>
      <c r="K825" s="53"/>
      <c r="L825" s="53"/>
      <c r="M825" s="53"/>
      <c r="N825" s="53"/>
      <c r="O825" s="53"/>
      <c r="P825" s="53"/>
      <c r="Q825" s="53"/>
      <c r="R825" s="53"/>
      <c r="S825" s="53"/>
      <c r="T825" s="53"/>
    </row>
    <row r="826">
      <c r="A826" s="53"/>
      <c r="B826" s="53" t="s">
        <v>12672</v>
      </c>
      <c r="C826" s="53" t="s">
        <v>10924</v>
      </c>
      <c r="D826" s="53" t="s">
        <v>10924</v>
      </c>
      <c r="E826" s="53" t="s">
        <v>10780</v>
      </c>
      <c r="F826" s="53" t="s">
        <v>12673</v>
      </c>
      <c r="G826" s="54">
        <v>1</v>
      </c>
      <c r="H826" s="53">
        <v>0</v>
      </c>
      <c r="I826" s="53">
        <v>2400</v>
      </c>
      <c r="J826" s="53">
        <v>10000</v>
      </c>
      <c r="K826" s="53"/>
      <c r="L826" s="53"/>
      <c r="M826" s="53"/>
      <c r="N826" s="53"/>
      <c r="O826" s="53"/>
      <c r="P826" s="53"/>
      <c r="Q826" s="53"/>
      <c r="R826" s="53"/>
      <c r="S826" s="53"/>
      <c r="T826" s="53"/>
    </row>
    <row r="827">
      <c r="A827" s="53"/>
      <c r="B827" s="53" t="s">
        <v>12674</v>
      </c>
      <c r="C827" s="53" t="s">
        <v>10837</v>
      </c>
      <c r="D827" s="53" t="s">
        <v>10837</v>
      </c>
      <c r="E827" s="53" t="s">
        <v>10780</v>
      </c>
      <c r="F827" s="53" t="s">
        <v>12675</v>
      </c>
      <c r="G827" s="54">
        <v>1</v>
      </c>
      <c r="H827" s="53">
        <v>0</v>
      </c>
      <c r="I827" s="53">
        <v>4700</v>
      </c>
      <c r="J827" s="53">
        <v>10000</v>
      </c>
      <c r="K827" s="53"/>
      <c r="L827" s="53"/>
      <c r="M827" s="53"/>
      <c r="N827" s="53"/>
      <c r="O827" s="53"/>
      <c r="P827" s="53"/>
      <c r="Q827" s="53"/>
      <c r="R827" s="53"/>
      <c r="S827" s="53"/>
      <c r="T827" s="53"/>
    </row>
    <row r="828">
      <c r="A828" s="53"/>
      <c r="B828" s="53" t="s">
        <v>12676</v>
      </c>
      <c r="C828" s="53" t="s">
        <v>10837</v>
      </c>
      <c r="D828" s="53" t="s">
        <v>10837</v>
      </c>
      <c r="E828" s="53" t="s">
        <v>10780</v>
      </c>
      <c r="F828" s="53" t="s">
        <v>12677</v>
      </c>
      <c r="G828" s="54">
        <v>1</v>
      </c>
      <c r="H828" s="53">
        <v>0</v>
      </c>
      <c r="I828" s="53">
        <v>4100</v>
      </c>
      <c r="J828" s="53">
        <v>10000</v>
      </c>
      <c r="K828" s="53"/>
      <c r="L828" s="53"/>
      <c r="M828" s="53"/>
      <c r="N828" s="53"/>
      <c r="O828" s="53"/>
      <c r="P828" s="53"/>
      <c r="Q828" s="53"/>
      <c r="R828" s="53"/>
      <c r="S828" s="53"/>
      <c r="T828" s="53"/>
    </row>
    <row r="829">
      <c r="A829" s="53"/>
      <c r="B829" s="53" t="s">
        <v>12678</v>
      </c>
      <c r="C829" s="53" t="s">
        <v>10837</v>
      </c>
      <c r="D829" s="53" t="s">
        <v>10837</v>
      </c>
      <c r="E829" s="53" t="s">
        <v>10780</v>
      </c>
      <c r="F829" s="53" t="s">
        <v>12679</v>
      </c>
      <c r="G829" s="54">
        <v>1</v>
      </c>
      <c r="H829" s="53">
        <v>0</v>
      </c>
      <c r="I829" s="53">
        <v>3500</v>
      </c>
      <c r="J829" s="53">
        <v>10000</v>
      </c>
      <c r="K829" s="53"/>
      <c r="L829" s="53"/>
      <c r="M829" s="53"/>
      <c r="N829" s="53"/>
      <c r="O829" s="53"/>
      <c r="P829" s="53"/>
      <c r="Q829" s="53"/>
      <c r="R829" s="53"/>
      <c r="S829" s="53"/>
      <c r="T829" s="53"/>
    </row>
    <row r="830">
      <c r="A830" s="53"/>
      <c r="B830" s="53" t="s">
        <v>12680</v>
      </c>
      <c r="C830" s="53" t="s">
        <v>10837</v>
      </c>
      <c r="D830" s="53" t="s">
        <v>10837</v>
      </c>
      <c r="E830" s="53" t="s">
        <v>10780</v>
      </c>
      <c r="F830" s="53" t="s">
        <v>12681</v>
      </c>
      <c r="G830" s="54">
        <v>1</v>
      </c>
      <c r="H830" s="53">
        <v>0</v>
      </c>
      <c r="I830" s="53">
        <v>3000</v>
      </c>
      <c r="J830" s="53">
        <v>10000</v>
      </c>
      <c r="K830" s="53"/>
      <c r="L830" s="53"/>
      <c r="M830" s="53"/>
      <c r="N830" s="53"/>
      <c r="O830" s="53"/>
      <c r="P830" s="53"/>
      <c r="Q830" s="53"/>
      <c r="R830" s="53"/>
      <c r="S830" s="53"/>
      <c r="T830" s="53"/>
    </row>
    <row r="831">
      <c r="A831" s="53"/>
      <c r="B831" s="53" t="s">
        <v>12682</v>
      </c>
      <c r="C831" s="53" t="s">
        <v>10984</v>
      </c>
      <c r="D831" s="53" t="s">
        <v>10984</v>
      </c>
      <c r="E831" s="53" t="s">
        <v>10780</v>
      </c>
      <c r="F831" s="53" t="s">
        <v>12683</v>
      </c>
      <c r="G831" s="54">
        <v>1</v>
      </c>
      <c r="H831" s="53">
        <v>0</v>
      </c>
      <c r="I831" s="53">
        <v>2500</v>
      </c>
      <c r="J831" s="53">
        <v>10000</v>
      </c>
      <c r="K831" s="53"/>
      <c r="L831" s="53"/>
      <c r="M831" s="53"/>
      <c r="N831" s="53"/>
      <c r="O831" s="53"/>
      <c r="P831" s="53"/>
      <c r="Q831" s="53"/>
      <c r="R831" s="53"/>
      <c r="S831" s="53"/>
      <c r="T831" s="53"/>
    </row>
    <row r="832">
      <c r="A832" s="53"/>
      <c r="B832" s="53" t="s">
        <v>12684</v>
      </c>
      <c r="C832" s="53" t="s">
        <v>10837</v>
      </c>
      <c r="D832" s="53" t="s">
        <v>10837</v>
      </c>
      <c r="E832" s="53" t="s">
        <v>10780</v>
      </c>
      <c r="F832" s="53" t="s">
        <v>12685</v>
      </c>
      <c r="G832" s="54">
        <v>1</v>
      </c>
      <c r="H832" s="53">
        <v>0</v>
      </c>
      <c r="I832" s="53">
        <v>1900</v>
      </c>
      <c r="J832" s="53">
        <v>10000</v>
      </c>
      <c r="K832" s="53"/>
      <c r="L832" s="53"/>
      <c r="M832" s="53"/>
      <c r="N832" s="53"/>
      <c r="O832" s="53"/>
      <c r="P832" s="53"/>
      <c r="Q832" s="53"/>
      <c r="R832" s="53"/>
      <c r="S832" s="53"/>
      <c r="T832" s="53"/>
    </row>
    <row r="833">
      <c r="A833" s="53"/>
      <c r="B833" s="53" t="s">
        <v>12686</v>
      </c>
      <c r="C833" s="53" t="s">
        <v>10837</v>
      </c>
      <c r="D833" s="53" t="s">
        <v>10837</v>
      </c>
      <c r="E833" s="53" t="s">
        <v>10780</v>
      </c>
      <c r="F833" s="53" t="s">
        <v>12687</v>
      </c>
      <c r="G833" s="54">
        <v>1</v>
      </c>
      <c r="H833" s="53">
        <v>0</v>
      </c>
      <c r="I833" s="53">
        <v>200</v>
      </c>
      <c r="J833" s="53">
        <v>10000</v>
      </c>
      <c r="K833" s="53"/>
      <c r="L833" s="53"/>
      <c r="M833" s="53"/>
      <c r="N833" s="53"/>
      <c r="O833" s="53"/>
      <c r="P833" s="53"/>
      <c r="Q833" s="53"/>
      <c r="R833" s="53"/>
      <c r="S833" s="53"/>
      <c r="T833" s="53"/>
    </row>
    <row r="834">
      <c r="A834" s="53"/>
      <c r="B834" s="53" t="s">
        <v>12688</v>
      </c>
      <c r="C834" s="53" t="s">
        <v>10837</v>
      </c>
      <c r="D834" s="53" t="s">
        <v>10837</v>
      </c>
      <c r="E834" s="53" t="s">
        <v>10780</v>
      </c>
      <c r="F834" s="53" t="s">
        <v>12689</v>
      </c>
      <c r="G834" s="54">
        <v>1</v>
      </c>
      <c r="H834" s="53">
        <v>0</v>
      </c>
      <c r="I834" s="53">
        <v>0</v>
      </c>
      <c r="J834" s="53">
        <v>10000</v>
      </c>
      <c r="K834" s="53"/>
      <c r="L834" s="53"/>
      <c r="M834" s="53"/>
      <c r="N834" s="53"/>
      <c r="O834" s="53"/>
      <c r="P834" s="53"/>
      <c r="Q834" s="53"/>
      <c r="R834" s="53"/>
      <c r="S834" s="53"/>
      <c r="T834" s="53"/>
    </row>
    <row r="835">
      <c r="A835" s="53"/>
      <c r="B835" s="53" t="s">
        <v>12690</v>
      </c>
      <c r="C835" s="53" t="s">
        <v>10837</v>
      </c>
      <c r="D835" s="53" t="s">
        <v>10837</v>
      </c>
      <c r="E835" s="53" t="s">
        <v>10780</v>
      </c>
      <c r="F835" s="53" t="s">
        <v>12691</v>
      </c>
      <c r="G835" s="54">
        <v>1</v>
      </c>
      <c r="H835" s="53">
        <v>0</v>
      </c>
      <c r="I835" s="53">
        <v>0</v>
      </c>
      <c r="J835" s="53">
        <v>10000</v>
      </c>
      <c r="K835" s="53"/>
      <c r="L835" s="53"/>
      <c r="M835" s="53"/>
      <c r="N835" s="53"/>
      <c r="O835" s="53"/>
      <c r="P835" s="53"/>
      <c r="Q835" s="53"/>
      <c r="R835" s="53"/>
      <c r="S835" s="53"/>
      <c r="T835" s="53"/>
    </row>
    <row r="836">
      <c r="A836" s="53"/>
      <c r="B836" s="53" t="s">
        <v>12692</v>
      </c>
      <c r="C836" s="53" t="s">
        <v>10837</v>
      </c>
      <c r="D836" s="53" t="s">
        <v>10837</v>
      </c>
      <c r="E836" s="53" t="s">
        <v>10780</v>
      </c>
      <c r="F836" s="53" t="s">
        <v>12693</v>
      </c>
      <c r="G836" s="54">
        <v>1</v>
      </c>
      <c r="H836" s="53">
        <v>0</v>
      </c>
      <c r="I836" s="53">
        <v>1100</v>
      </c>
      <c r="J836" s="53">
        <v>10000</v>
      </c>
      <c r="K836" s="53"/>
      <c r="L836" s="53"/>
      <c r="M836" s="53"/>
      <c r="N836" s="53"/>
      <c r="O836" s="53"/>
      <c r="P836" s="53"/>
      <c r="Q836" s="53"/>
      <c r="R836" s="53"/>
      <c r="S836" s="53"/>
      <c r="T836" s="53"/>
    </row>
    <row r="837">
      <c r="A837" s="53"/>
      <c r="B837" s="53" t="s">
        <v>12694</v>
      </c>
      <c r="C837" s="53" t="s">
        <v>11103</v>
      </c>
      <c r="D837" s="53" t="s">
        <v>11103</v>
      </c>
      <c r="E837" s="53" t="s">
        <v>10813</v>
      </c>
      <c r="F837" s="53" t="s">
        <v>12695</v>
      </c>
      <c r="G837" s="54">
        <v>0.809148</v>
      </c>
      <c r="H837" s="53">
        <v>0</v>
      </c>
      <c r="I837" s="53">
        <v>0</v>
      </c>
      <c r="J837" s="53">
        <v>5000</v>
      </c>
      <c r="K837" s="53"/>
      <c r="L837" s="53"/>
      <c r="M837" s="53"/>
      <c r="N837" s="53"/>
      <c r="O837" s="53"/>
      <c r="P837" s="53"/>
      <c r="Q837" s="53"/>
      <c r="R837" s="53"/>
      <c r="S837" s="53"/>
      <c r="T837" s="53"/>
    </row>
  </sheetData>
  <autoFilter ref="A1:T2784"/>
  <conditionalFormatting sqref="H2:H1000">
    <cfRule dxfId="0" operator="greaterThan" priority="1" stopIfTrue="true" type="cellIs">
      <formula>10</formula>
    </cfRule>
  </conditionalFormatting>
  <conditionalFormatting sqref="J2:J1000">
    <cfRule dxfId="1" operator="equal" priority="2" stopIfTrue="true" type="cellIs">
      <formula>"0"</formula>
    </cfRule>
  </conditionalFormatting>
  <conditionalFormatting sqref="J2:J1000">
    <cfRule dxfId="2" priority="3" stopIfTrue="true" type="expression">
      <formula>MOD(J2,1)&gt;0</formula>
    </cfRule>
  </conditionalFormatting>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2"/>
    <col collapsed="false" customWidth="true" hidden="false" max="6" min="6" style="0" width="20"/>
    <col collapsed="false" customWidth="true" hidden="false" max="10" min="10" style="0" width="12"/>
    <col collapsed="false" customWidth="true" hidden="false" max="20" min="20" style="0" width="19"/>
    <col collapsed="false" customWidth="true" hidden="false" max="3" min="3" style="0" width="12"/>
    <col collapsed="false" customWidth="true" hidden="false" max="5" min="5" style="0" width="23"/>
    <col collapsed="false" customWidth="true" hidden="false" max="11" min="11" style="0" width="12"/>
    <col collapsed="false" customWidth="true" hidden="false" max="17" min="17" style="0" width="12"/>
    <col collapsed="false" customWidth="true" hidden="false" max="23" min="23" style="0" width="12"/>
  </cols>
  <sheetData>
    <row r="1">
      <c r="A1" s="56" t="s">
        <v>12696</v>
      </c>
      <c r="B1" s="57" t="s">
        <v>12697</v>
      </c>
      <c r="C1" s="58" t="s">
        <v>12698</v>
      </c>
      <c r="D1" s="58" t="s">
        <v>12699</v>
      </c>
      <c r="E1" s="57" t="s">
        <v>12700</v>
      </c>
      <c r="F1" s="57" t="s">
        <v>12701</v>
      </c>
      <c r="G1" s="57" t="s">
        <v>12702</v>
      </c>
      <c r="H1" s="57" t="s">
        <v>12703</v>
      </c>
      <c r="I1" s="59" t="s">
        <v>12704</v>
      </c>
      <c r="J1" s="60" t="s">
        <v>12705</v>
      </c>
      <c r="K1" s="61" t="s">
        <v>12705</v>
      </c>
      <c r="L1" s="62" t="s">
        <v>12706</v>
      </c>
      <c r="M1" s="61" t="s">
        <v>12707</v>
      </c>
      <c r="N1" s="63" t="s">
        <v>12708</v>
      </c>
      <c r="O1" s="63" t="s">
        <v>12709</v>
      </c>
      <c r="P1" s="63" t="s">
        <v>12710</v>
      </c>
      <c r="Q1" s="63" t="s">
        <v>12709</v>
      </c>
      <c r="R1" s="63" t="s">
        <v>12701</v>
      </c>
      <c r="S1" s="63" t="s">
        <v>12709</v>
      </c>
      <c r="T1" s="64"/>
      <c r="U1" s="63" t="s">
        <v>12702</v>
      </c>
      <c r="V1" s="63" t="s">
        <v>12709</v>
      </c>
      <c r="W1" s="65" t="s">
        <v>12711</v>
      </c>
      <c r="X1" s="63" t="s">
        <v>12696</v>
      </c>
      <c r="Y1" s="63" t="s">
        <v>12709</v>
      </c>
    </row>
    <row hidden="true" r="2">
      <c r="A2" s="66"/>
      <c r="B2" s="66" t="s">
        <v>12712</v>
      </c>
      <c r="C2" s="67" t="s">
        <v>12713</v>
      </c>
      <c r="D2" s="67" t="s">
        <v>12714</v>
      </c>
      <c r="E2" s="67" t="s">
        <v>12715</v>
      </c>
      <c r="F2" s="67" t="s">
        <v>12716</v>
      </c>
      <c r="G2" s="66" t="s">
        <v>12717</v>
      </c>
      <c r="H2" s="66" t="s">
        <v>12718</v>
      </c>
      <c r="I2" s="68">
        <v>1</v>
      </c>
      <c r="J2" s="69">
        <v>373</v>
      </c>
      <c r="K2" s="67">
        <f t="shared" ref="K2:K62" si="0">K2:J2%</f>
      </c>
      <c r="L2" s="66">
        <v>13000</v>
      </c>
      <c r="M2" s="66">
        <v>10000</v>
      </c>
      <c r="N2" s="63" cm="1">
        <f t="array" ref="N2:N2">_xlfn.XLOOKUP(H2,'OA名单'!C:C,'OA名单'!B:B,1)</f>
      </c>
      <c r="O2" s="63">
        <f t="shared" ref="O2:O695" si="8">IF(N2=B2,1)</f>
      </c>
      <c r="P2" s="63" cm="1">
        <f t="array" ref="P2:P2">_xlfn.XLOOKUP(N2,'OA名单'!B:B,'OA名单'!G:G)</f>
      </c>
      <c r="Q2" s="63">
        <f t="shared" ref="Q2:Q837" si="11">IF(P2=E2,1)</f>
      </c>
      <c r="R2" s="63" cm="1">
        <f t="array" ref="R2:R2">_xlfn.XLOOKUP(B2,'OA名单'!B:B,'OA名单'!F:F)</f>
      </c>
      <c r="S2" s="63">
        <f t="shared" ref="S2:S837" si="10">IF(R2=F2,1)</f>
      </c>
      <c r="T2" s="70"/>
      <c r="U2" s="63" cm="1">
        <f t="array" ref="U2:U2">_xlfn.XLOOKUP(N2,'OA名单'!B:B,'OA名单'!E:E)</f>
      </c>
      <c r="V2" s="63">
        <f t="shared" ref="V2:V837" si="12">IF(U2=G2,1)</f>
      </c>
      <c r="W2" s="71"/>
      <c r="X2" s="63"/>
      <c r="Y2" s="63">
        <f>IF(X2=K2,1)</f>
      </c>
    </row>
    <row hidden="true" r="3">
      <c r="A3" s="66"/>
      <c r="B3" s="66" t="s">
        <v>12719</v>
      </c>
      <c r="C3" s="67" t="s">
        <v>12713</v>
      </c>
      <c r="D3" s="67" t="s">
        <v>12714</v>
      </c>
      <c r="E3" s="67" t="s">
        <v>12715</v>
      </c>
      <c r="F3" s="67" t="s">
        <v>12716</v>
      </c>
      <c r="G3" s="66" t="s">
        <v>12720</v>
      </c>
      <c r="H3" s="66" t="s">
        <v>12721</v>
      </c>
      <c r="I3" s="68">
        <v>1</v>
      </c>
      <c r="J3" s="69">
        <v>343</v>
      </c>
      <c r="K3" s="67">
        <f t="shared" si="0"/>
      </c>
      <c r="L3" s="66">
        <v>60000</v>
      </c>
      <c r="M3" s="66">
        <v>55000</v>
      </c>
      <c r="N3" s="63" cm="1">
        <f t="array" ref="N3:N3">_xlfn.XLOOKUP(H3,'OA名单'!C:C,'OA名单'!B:B,1)</f>
      </c>
      <c r="O3" s="63">
        <f t="shared" si="8"/>
      </c>
      <c r="P3" s="63" cm="1">
        <f t="array" ref="P3:P3">_xlfn.XLOOKUP(N3,'OA名单'!B:B,'OA名单'!G:G)</f>
      </c>
      <c r="Q3" s="63">
        <f t="shared" si="11"/>
      </c>
      <c r="R3" s="63" cm="1">
        <f t="array" ref="R3:R3">_xlfn.XLOOKUP(B3,'OA名单'!B:B,'OA名单'!F:F)</f>
      </c>
      <c r="S3" s="63">
        <f t="shared" si="10"/>
      </c>
      <c r="T3" s="70"/>
      <c r="U3" s="63" cm="1">
        <f t="array" ref="U3:U3">_xlfn.XLOOKUP(N3,'OA名单'!B:B,'OA名单'!E:E)</f>
      </c>
      <c r="V3" s="63">
        <f t="shared" si="12"/>
      </c>
      <c r="W3" s="71"/>
      <c r="X3" s="66"/>
      <c r="Y3" s="66"/>
    </row>
    <row hidden="true" r="4">
      <c r="A4" s="66"/>
      <c r="B4" s="66" t="s">
        <v>12722</v>
      </c>
      <c r="C4" s="67" t="s">
        <v>12713</v>
      </c>
      <c r="D4" s="67" t="s">
        <v>12714</v>
      </c>
      <c r="E4" s="67" t="s">
        <v>12715</v>
      </c>
      <c r="F4" s="67" t="s">
        <v>12716</v>
      </c>
      <c r="G4" s="66" t="s">
        <v>12717</v>
      </c>
      <c r="H4" s="66" t="s">
        <v>12723</v>
      </c>
      <c r="I4" s="68">
        <v>1</v>
      </c>
      <c r="J4" s="69">
        <v>321.5</v>
      </c>
      <c r="K4" s="67">
        <f t="shared" si="0"/>
      </c>
      <c r="L4" s="66">
        <v>40500</v>
      </c>
      <c r="M4" s="66">
        <v>10000</v>
      </c>
      <c r="N4" s="63" cm="1">
        <f t="array" ref="N4:N4">_xlfn.XLOOKUP(H4,'OA名单'!C:C,'OA名单'!B:B,1)</f>
      </c>
      <c r="O4" s="63">
        <f t="shared" si="8"/>
      </c>
      <c r="P4" s="63" cm="1">
        <f t="array" ref="P4:P4">_xlfn.XLOOKUP(N4,'OA名单'!B:B,'OA名单'!G:G)</f>
      </c>
      <c r="Q4" s="63">
        <f t="shared" si="11"/>
      </c>
      <c r="R4" s="63" cm="1">
        <f t="array" ref="R4:R4">_xlfn.XLOOKUP(B4,'OA名单'!B:B,'OA名单'!F:F)</f>
      </c>
      <c r="S4" s="63">
        <f t="shared" si="10"/>
      </c>
      <c r="T4" s="70"/>
      <c r="U4" s="63" cm="1">
        <f t="array" ref="U4:U4">_xlfn.XLOOKUP(N4,'OA名单'!B:B,'OA名单'!E:E)</f>
      </c>
      <c r="V4" s="63">
        <f t="shared" si="12"/>
      </c>
      <c r="W4" s="71"/>
      <c r="X4" s="66"/>
      <c r="Y4" s="66"/>
    </row>
    <row hidden="true" r="5">
      <c r="A5" s="66"/>
      <c r="B5" s="66" t="s">
        <v>12724</v>
      </c>
      <c r="C5" s="67" t="s">
        <v>12713</v>
      </c>
      <c r="D5" s="67" t="s">
        <v>12714</v>
      </c>
      <c r="E5" s="67" t="s">
        <v>12715</v>
      </c>
      <c r="F5" s="67" t="s">
        <v>12716</v>
      </c>
      <c r="G5" s="66" t="s">
        <v>12720</v>
      </c>
      <c r="H5" s="66" t="s">
        <v>12725</v>
      </c>
      <c r="I5" s="68">
        <v>1</v>
      </c>
      <c r="J5" s="69">
        <v>319</v>
      </c>
      <c r="K5" s="67">
        <f t="shared" si="0"/>
      </c>
      <c r="L5" s="66">
        <v>30000</v>
      </c>
      <c r="M5" s="66">
        <v>100000</v>
      </c>
      <c r="N5" s="63" cm="1">
        <f t="array" ref="N5:N5">_xlfn.XLOOKUP(H5,'OA名单'!C:C,'OA名单'!B:B,1)</f>
      </c>
      <c r="O5" s="63">
        <f t="shared" si="8"/>
      </c>
      <c r="P5" s="63" cm="1">
        <f t="array" ref="P5:P5">_xlfn.XLOOKUP(N5,'OA名单'!B:B,'OA名单'!G:G)</f>
      </c>
      <c r="Q5" s="63">
        <f t="shared" si="11"/>
      </c>
      <c r="R5" s="63" cm="1">
        <f t="array" ref="R5:R5">_xlfn.XLOOKUP(B5,'OA名单'!B:B,'OA名单'!F:F)</f>
      </c>
      <c r="S5" s="63">
        <f t="shared" si="10"/>
      </c>
      <c r="T5" s="70"/>
      <c r="U5" s="63" cm="1">
        <f t="array" ref="U5:U5">_xlfn.XLOOKUP(N5,'OA名单'!B:B,'OA名单'!E:E)</f>
      </c>
      <c r="V5" s="63">
        <f t="shared" si="12"/>
      </c>
      <c r="W5" s="71"/>
      <c r="X5" s="66"/>
      <c r="Y5" s="66"/>
    </row>
    <row hidden="true" r="6">
      <c r="A6" s="66"/>
      <c r="B6" s="66" t="s">
        <v>12726</v>
      </c>
      <c r="C6" s="67" t="s">
        <v>12713</v>
      </c>
      <c r="D6" s="67" t="s">
        <v>12714</v>
      </c>
      <c r="E6" s="67" t="s">
        <v>12715</v>
      </c>
      <c r="F6" s="67" t="s">
        <v>12716</v>
      </c>
      <c r="G6" s="66" t="s">
        <v>12720</v>
      </c>
      <c r="H6" s="66" t="s">
        <v>12727</v>
      </c>
      <c r="I6" s="68">
        <v>1</v>
      </c>
      <c r="J6" s="69">
        <v>313.5</v>
      </c>
      <c r="K6" s="67">
        <f t="shared" si="0"/>
      </c>
      <c r="L6" s="66">
        <v>20500</v>
      </c>
      <c r="M6" s="66">
        <v>55000</v>
      </c>
      <c r="N6" s="63" cm="1">
        <f t="array" ref="N6:N6">_xlfn.XLOOKUP(H6,'OA名单'!C:C,'OA名单'!B:B,1)</f>
      </c>
      <c r="O6" s="63">
        <f t="shared" si="8"/>
      </c>
      <c r="P6" s="63" cm="1">
        <f t="array" ref="P6:P6">_xlfn.XLOOKUP(N6,'OA名单'!B:B,'OA名单'!G:G)</f>
      </c>
      <c r="Q6" s="63">
        <f t="shared" si="11"/>
      </c>
      <c r="R6" s="63" cm="1">
        <f t="array" ref="R6:R6">_xlfn.XLOOKUP(B6,'OA名单'!B:B,'OA名单'!F:F)</f>
      </c>
      <c r="S6" s="63">
        <f t="shared" si="10"/>
      </c>
      <c r="T6" s="70"/>
      <c r="U6" s="63" cm="1">
        <f t="array" ref="U6:U6">_xlfn.XLOOKUP(N6,'OA名单'!B:B,'OA名单'!E:E)</f>
      </c>
      <c r="V6" s="63">
        <f t="shared" si="12"/>
      </c>
      <c r="W6" s="71"/>
      <c r="X6" s="66"/>
      <c r="Y6" s="66"/>
    </row>
    <row hidden="true" r="7">
      <c r="A7" s="66"/>
      <c r="B7" s="66" t="s">
        <v>12728</v>
      </c>
      <c r="C7" s="67" t="s">
        <v>12713</v>
      </c>
      <c r="D7" s="67" t="s">
        <v>12714</v>
      </c>
      <c r="E7" s="67" t="s">
        <v>12715</v>
      </c>
      <c r="F7" s="67" t="s">
        <v>12716</v>
      </c>
      <c r="G7" s="66" t="s">
        <v>12717</v>
      </c>
      <c r="H7" s="66" t="s">
        <v>12729</v>
      </c>
      <c r="I7" s="68">
        <v>1</v>
      </c>
      <c r="J7" s="69">
        <v>310</v>
      </c>
      <c r="K7" s="67">
        <f t="shared" si="0"/>
      </c>
      <c r="L7" s="66">
        <v>10000</v>
      </c>
      <c r="M7" s="66">
        <v>10000</v>
      </c>
      <c r="N7" s="63" cm="1">
        <f t="array" ref="N7:N7">_xlfn.XLOOKUP(H7,'OA名单'!C:C,'OA名单'!B:B,1)</f>
      </c>
      <c r="O7" s="63">
        <f t="shared" si="8"/>
      </c>
      <c r="P7" s="63" cm="1">
        <f t="array" ref="P7:P7">_xlfn.XLOOKUP(N7,'OA名单'!B:B,'OA名单'!G:G)</f>
      </c>
      <c r="Q7" s="63">
        <f t="shared" si="11"/>
      </c>
      <c r="R7" s="63" cm="1">
        <f t="array" ref="R7:R7">_xlfn.XLOOKUP(B7,'OA名单'!B:B,'OA名单'!F:F)</f>
      </c>
      <c r="S7" s="63">
        <f t="shared" si="10"/>
      </c>
      <c r="T7" s="70"/>
      <c r="U7" s="63" cm="1">
        <f t="array" ref="U7:U7">_xlfn.XLOOKUP(N7,'OA名单'!B:B,'OA名单'!E:E)</f>
      </c>
      <c r="V7" s="63">
        <f t="shared" si="12"/>
      </c>
      <c r="W7" s="71"/>
      <c r="X7" s="66"/>
      <c r="Y7" s="66"/>
    </row>
    <row hidden="true" r="8">
      <c r="A8" s="66"/>
      <c r="B8" s="66" t="s">
        <v>12730</v>
      </c>
      <c r="C8" s="67" t="s">
        <v>12713</v>
      </c>
      <c r="D8" s="67" t="s">
        <v>12714</v>
      </c>
      <c r="E8" s="67" t="s">
        <v>12715</v>
      </c>
      <c r="F8" s="67" t="s">
        <v>12716</v>
      </c>
      <c r="G8" s="66" t="s">
        <v>12717</v>
      </c>
      <c r="H8" s="66" t="s">
        <v>12731</v>
      </c>
      <c r="I8" s="68">
        <v>1</v>
      </c>
      <c r="J8" s="69">
        <v>293</v>
      </c>
      <c r="K8" s="67">
        <f t="shared" si="0"/>
      </c>
      <c r="L8" s="66">
        <v>8200</v>
      </c>
      <c r="M8" s="66">
        <v>10000</v>
      </c>
      <c r="N8" s="63" cm="1">
        <f t="array" ref="N8:N8">_xlfn.XLOOKUP(H8,'OA名单'!C:C,'OA名单'!B:B,1)</f>
      </c>
      <c r="O8" s="63">
        <f t="shared" si="8"/>
      </c>
      <c r="P8" s="63" cm="1">
        <f t="array" ref="P8:P8">_xlfn.XLOOKUP(N8,'OA名单'!B:B,'OA名单'!G:G)</f>
      </c>
      <c r="Q8" s="63">
        <f t="shared" si="11"/>
      </c>
      <c r="R8" s="63" cm="1">
        <f t="array" ref="R8:R8">_xlfn.XLOOKUP(B8,'OA名单'!B:B,'OA名单'!F:F)</f>
      </c>
      <c r="S8" s="63">
        <f t="shared" si="10"/>
      </c>
      <c r="T8" s="70"/>
      <c r="U8" s="63" cm="1">
        <f t="array" ref="U8:U8">_xlfn.XLOOKUP(N8,'OA名单'!B:B,'OA名单'!E:E)</f>
      </c>
      <c r="V8" s="63">
        <f t="shared" si="12"/>
      </c>
      <c r="W8" s="71"/>
      <c r="X8" s="66"/>
      <c r="Y8" s="66"/>
    </row>
    <row hidden="true" r="9">
      <c r="A9" s="66"/>
      <c r="B9" s="66" t="s">
        <v>12732</v>
      </c>
      <c r="C9" s="67" t="s">
        <v>12713</v>
      </c>
      <c r="D9" s="67" t="s">
        <v>12714</v>
      </c>
      <c r="E9" s="67" t="s">
        <v>12715</v>
      </c>
      <c r="F9" s="67" t="s">
        <v>12716</v>
      </c>
      <c r="G9" s="66" t="s">
        <v>12717</v>
      </c>
      <c r="H9" s="66" t="s">
        <v>12733</v>
      </c>
      <c r="I9" s="68">
        <v>1</v>
      </c>
      <c r="J9" s="69">
        <v>288</v>
      </c>
      <c r="K9" s="67">
        <f t="shared" si="0"/>
      </c>
      <c r="L9" s="66">
        <v>200</v>
      </c>
      <c r="M9" s="66">
        <v>10000</v>
      </c>
      <c r="N9" s="63" cm="1">
        <f t="array" ref="N9:N9">_xlfn.XLOOKUP(H9,'OA名单'!C:C,'OA名单'!B:B,1)</f>
      </c>
      <c r="O9" s="63">
        <f t="shared" si="8"/>
      </c>
      <c r="P9" s="63" cm="1">
        <f t="array" ref="P9:P9">_xlfn.XLOOKUP(N9,'OA名单'!B:B,'OA名单'!G:G)</f>
      </c>
      <c r="Q9" s="63">
        <f t="shared" si="11"/>
      </c>
      <c r="R9" s="63" cm="1">
        <f t="array" ref="R9:R9">_xlfn.XLOOKUP(B9,'OA名单'!B:B,'OA名单'!F:F)</f>
      </c>
      <c r="S9" s="63">
        <f t="shared" si="10"/>
      </c>
      <c r="T9" s="70"/>
      <c r="U9" s="63" cm="1">
        <f t="array" ref="U9:U9">_xlfn.XLOOKUP(N9,'OA名单'!B:B,'OA名单'!E:E)</f>
      </c>
      <c r="V9" s="63">
        <f t="shared" si="12"/>
      </c>
      <c r="W9" s="71"/>
      <c r="X9" s="66"/>
      <c r="Y9" s="66"/>
    </row>
    <row hidden="true" r="10">
      <c r="A10" s="66"/>
      <c r="B10" s="66" t="s">
        <v>12734</v>
      </c>
      <c r="C10" s="67" t="s">
        <v>12713</v>
      </c>
      <c r="D10" s="67" t="s">
        <v>12714</v>
      </c>
      <c r="E10" s="67" t="s">
        <v>12715</v>
      </c>
      <c r="F10" s="67" t="s">
        <v>12716</v>
      </c>
      <c r="G10" s="66" t="s">
        <v>12717</v>
      </c>
      <c r="H10" s="66" t="s">
        <v>12735</v>
      </c>
      <c r="I10" s="68">
        <v>1</v>
      </c>
      <c r="J10" s="69">
        <v>280</v>
      </c>
      <c r="K10" s="67">
        <f t="shared" si="0"/>
      </c>
      <c r="L10" s="66">
        <v>6000</v>
      </c>
      <c r="M10" s="66">
        <v>10000</v>
      </c>
      <c r="N10" s="63" cm="1">
        <f t="array" ref="N10:N10">_xlfn.XLOOKUP(H10,'OA名单'!C:C,'OA名单'!B:B,1)</f>
      </c>
      <c r="O10" s="63">
        <f t="shared" si="8"/>
      </c>
      <c r="P10" s="63" cm="1">
        <f t="array" ref="P10:P10">_xlfn.XLOOKUP(N10,'OA名单'!B:B,'OA名单'!G:G)</f>
      </c>
      <c r="Q10" s="63">
        <f t="shared" si="11"/>
      </c>
      <c r="R10" s="63" cm="1">
        <f t="array" ref="R10:R10">_xlfn.XLOOKUP(B10,'OA名单'!B:B,'OA名单'!F:F)</f>
      </c>
      <c r="S10" s="63">
        <f t="shared" si="10"/>
      </c>
      <c r="T10" s="70"/>
      <c r="U10" s="63" cm="1">
        <f t="array" ref="U10:U10">_xlfn.XLOOKUP(N10,'OA名单'!B:B,'OA名单'!E:E)</f>
      </c>
      <c r="V10" s="63">
        <f t="shared" si="12"/>
      </c>
      <c r="W10" s="71"/>
      <c r="X10" s="66"/>
      <c r="Y10" s="66"/>
    </row>
    <row hidden="true" r="11">
      <c r="A11" s="66"/>
      <c r="B11" s="66" t="s">
        <v>12736</v>
      </c>
      <c r="C11" s="67" t="s">
        <v>12713</v>
      </c>
      <c r="D11" s="67" t="s">
        <v>12714</v>
      </c>
      <c r="E11" s="67" t="s">
        <v>12715</v>
      </c>
      <c r="F11" s="67" t="s">
        <v>12716</v>
      </c>
      <c r="G11" s="66" t="s">
        <v>12717</v>
      </c>
      <c r="H11" s="66" t="s">
        <v>12737</v>
      </c>
      <c r="I11" s="68">
        <v>1</v>
      </c>
      <c r="J11" s="69">
        <v>265.5</v>
      </c>
      <c r="K11" s="67">
        <f t="shared" si="0"/>
      </c>
      <c r="L11" s="66">
        <v>2500</v>
      </c>
      <c r="M11" s="66">
        <v>10000</v>
      </c>
      <c r="N11" s="63" cm="1">
        <f t="array" ref="N11:N11">_xlfn.XLOOKUP(H11,'OA名单'!C:C,'OA名单'!B:B,1)</f>
      </c>
      <c r="O11" s="63">
        <f t="shared" si="8"/>
      </c>
      <c r="P11" s="63" cm="1">
        <f t="array" ref="P11:P11">_xlfn.XLOOKUP(N11,'OA名单'!B:B,'OA名单'!G:G)</f>
      </c>
      <c r="Q11" s="63">
        <f t="shared" si="11"/>
      </c>
      <c r="R11" s="63" cm="1">
        <f t="array" ref="R11:R11">_xlfn.XLOOKUP(B11,'OA名单'!B:B,'OA名单'!F:F)</f>
      </c>
      <c r="S11" s="63">
        <f t="shared" si="10"/>
      </c>
      <c r="T11" s="70"/>
      <c r="U11" s="63" cm="1">
        <f t="array" ref="U11:U11">_xlfn.XLOOKUP(N11,'OA名单'!B:B,'OA名单'!E:E)</f>
      </c>
      <c r="V11" s="63">
        <f t="shared" si="12"/>
      </c>
      <c r="W11" s="71"/>
      <c r="X11" s="66"/>
      <c r="Y11" s="66"/>
    </row>
    <row hidden="true" r="12">
      <c r="A12" s="66"/>
      <c r="B12" s="66" t="s">
        <v>12738</v>
      </c>
      <c r="C12" s="67" t="s">
        <v>12713</v>
      </c>
      <c r="D12" s="67" t="s">
        <v>12714</v>
      </c>
      <c r="E12" s="67" t="s">
        <v>12715</v>
      </c>
      <c r="F12" s="67" t="s">
        <v>12716</v>
      </c>
      <c r="G12" s="66" t="s">
        <v>12720</v>
      </c>
      <c r="H12" s="66" t="s">
        <v>12739</v>
      </c>
      <c r="I12" s="68">
        <v>1</v>
      </c>
      <c r="J12" s="69">
        <v>254</v>
      </c>
      <c r="K12" s="67">
        <f t="shared" si="0"/>
      </c>
      <c r="L12" s="66">
        <v>14000</v>
      </c>
      <c r="M12" s="66">
        <v>55000</v>
      </c>
      <c r="N12" s="63" cm="1">
        <f t="array" ref="N12:N12">_xlfn.XLOOKUP(H12,'OA名单'!C:C,'OA名单'!B:B,1)</f>
      </c>
      <c r="O12" s="63">
        <f t="shared" si="8"/>
      </c>
      <c r="P12" s="63" cm="1">
        <f t="array" ref="P12:P12">_xlfn.XLOOKUP(N12,'OA名单'!B:B,'OA名单'!G:G)</f>
      </c>
      <c r="Q12" s="63">
        <f t="shared" si="11"/>
      </c>
      <c r="R12" s="63" cm="1">
        <f t="array" ref="R12:R12">_xlfn.XLOOKUP(B12,'OA名单'!B:B,'OA名单'!F:F)</f>
      </c>
      <c r="S12" s="63">
        <f t="shared" si="10"/>
      </c>
      <c r="T12" s="70"/>
      <c r="U12" s="63" cm="1">
        <f t="array" ref="U12:U12">_xlfn.XLOOKUP(N12,'OA名单'!B:B,'OA名单'!E:E)</f>
      </c>
      <c r="V12" s="63">
        <f t="shared" si="12"/>
      </c>
      <c r="W12" s="71"/>
      <c r="X12" s="66"/>
      <c r="Y12" s="66"/>
    </row>
    <row hidden="true" r="13">
      <c r="A13" s="66"/>
      <c r="B13" s="66" t="s">
        <v>12740</v>
      </c>
      <c r="C13" s="67" t="s">
        <v>12713</v>
      </c>
      <c r="D13" s="67" t="s">
        <v>12714</v>
      </c>
      <c r="E13" s="67" t="s">
        <v>12715</v>
      </c>
      <c r="F13" s="67" t="s">
        <v>12716</v>
      </c>
      <c r="G13" s="66" t="s">
        <v>12717</v>
      </c>
      <c r="H13" s="66" t="s">
        <v>12741</v>
      </c>
      <c r="I13" s="68">
        <v>1</v>
      </c>
      <c r="J13" s="69">
        <v>254</v>
      </c>
      <c r="K13" s="67">
        <f t="shared" si="0"/>
      </c>
      <c r="L13" s="66">
        <v>0</v>
      </c>
      <c r="M13" s="66">
        <v>10000</v>
      </c>
      <c r="N13" s="63" cm="1">
        <f t="array" ref="N13:N13">_xlfn.XLOOKUP(H13,'OA名单'!C:C,'OA名单'!B:B,1)</f>
      </c>
      <c r="O13" s="63">
        <f t="shared" si="8"/>
      </c>
      <c r="P13" s="63" cm="1">
        <f t="array" ref="P13:P13">_xlfn.XLOOKUP(N13,'OA名单'!B:B,'OA名单'!G:G)</f>
      </c>
      <c r="Q13" s="63">
        <f t="shared" si="11"/>
      </c>
      <c r="R13" s="63" cm="1">
        <f t="array" ref="R13:R13">_xlfn.XLOOKUP(B13,'OA名单'!B:B,'OA名单'!F:F)</f>
      </c>
      <c r="S13" s="63">
        <f t="shared" si="10"/>
      </c>
      <c r="T13" s="70"/>
      <c r="U13" s="63" cm="1">
        <f t="array" ref="U13:U13">_xlfn.XLOOKUP(N13,'OA名单'!B:B,'OA名单'!E:E)</f>
      </c>
      <c r="V13" s="63">
        <f t="shared" si="12"/>
      </c>
      <c r="W13" s="71"/>
      <c r="X13" s="66"/>
      <c r="Y13" s="66"/>
    </row>
    <row hidden="true" r="14">
      <c r="A14" s="66"/>
      <c r="B14" s="66" t="s">
        <v>12742</v>
      </c>
      <c r="C14" s="67" t="s">
        <v>12713</v>
      </c>
      <c r="D14" s="67" t="s">
        <v>12714</v>
      </c>
      <c r="E14" s="67" t="s">
        <v>12715</v>
      </c>
      <c r="F14" s="67" t="s">
        <v>12716</v>
      </c>
      <c r="G14" s="66" t="s">
        <v>12717</v>
      </c>
      <c r="H14" s="66" t="s">
        <v>12743</v>
      </c>
      <c r="I14" s="68">
        <v>1</v>
      </c>
      <c r="J14" s="69">
        <v>249</v>
      </c>
      <c r="K14" s="67">
        <f t="shared" si="0"/>
      </c>
      <c r="L14" s="66">
        <v>16000</v>
      </c>
      <c r="M14" s="66">
        <v>10000</v>
      </c>
      <c r="N14" s="63" cm="1">
        <f t="array" ref="N14:N14">_xlfn.XLOOKUP(H14,'OA名单'!C:C,'OA名单'!B:B,1)</f>
      </c>
      <c r="O14" s="63">
        <f t="shared" si="8"/>
      </c>
      <c r="P14" s="63" cm="1">
        <f t="array" ref="P14:P14">_xlfn.XLOOKUP(N14,'OA名单'!B:B,'OA名单'!G:G)</f>
      </c>
      <c r="Q14" s="63">
        <f t="shared" si="11"/>
      </c>
      <c r="R14" s="63" cm="1">
        <f t="array" ref="R14:R14">_xlfn.XLOOKUP(B14,'OA名单'!B:B,'OA名单'!F:F)</f>
      </c>
      <c r="S14" s="63">
        <f t="shared" si="10"/>
      </c>
      <c r="T14" s="70"/>
      <c r="U14" s="63" cm="1">
        <f t="array" ref="U14:U14">_xlfn.XLOOKUP(N14,'OA名单'!B:B,'OA名单'!E:E)</f>
      </c>
      <c r="V14" s="63">
        <f t="shared" si="12"/>
      </c>
      <c r="W14" s="71"/>
      <c r="X14" s="66"/>
      <c r="Y14" s="66"/>
    </row>
    <row hidden="true" r="15">
      <c r="A15" s="66"/>
      <c r="B15" s="66" t="s">
        <v>12744</v>
      </c>
      <c r="C15" s="67" t="s">
        <v>12713</v>
      </c>
      <c r="D15" s="67" t="s">
        <v>12714</v>
      </c>
      <c r="E15" s="67" t="s">
        <v>12715</v>
      </c>
      <c r="F15" s="67" t="s">
        <v>12716</v>
      </c>
      <c r="G15" s="66" t="s">
        <v>12717</v>
      </c>
      <c r="H15" s="66" t="s">
        <v>12745</v>
      </c>
      <c r="I15" s="68">
        <v>1</v>
      </c>
      <c r="J15" s="69">
        <v>238</v>
      </c>
      <c r="K15" s="67">
        <f t="shared" si="0"/>
      </c>
      <c r="L15" s="66">
        <v>0</v>
      </c>
      <c r="M15" s="66">
        <v>10000</v>
      </c>
      <c r="N15" s="63" cm="1">
        <f t="array" ref="N15:N15">_xlfn.XLOOKUP(H15,'OA名单'!C:C,'OA名单'!B:B,1)</f>
      </c>
      <c r="O15" s="63">
        <f t="shared" si="8"/>
      </c>
      <c r="P15" s="63" cm="1">
        <f t="array" ref="P15:P15">_xlfn.XLOOKUP(N15,'OA名单'!B:B,'OA名单'!G:G)</f>
      </c>
      <c r="Q15" s="63">
        <f t="shared" si="11"/>
      </c>
      <c r="R15" s="63" cm="1">
        <f t="array" ref="R15:R15">_xlfn.XLOOKUP(B15,'OA名单'!B:B,'OA名单'!F:F)</f>
      </c>
      <c r="S15" s="63">
        <f t="shared" si="10"/>
      </c>
      <c r="T15" s="70"/>
      <c r="U15" s="63" cm="1">
        <f t="array" ref="U15:U15">_xlfn.XLOOKUP(N15,'OA名单'!B:B,'OA名单'!E:E)</f>
      </c>
      <c r="V15" s="63">
        <f t="shared" si="12"/>
      </c>
      <c r="W15" s="71"/>
      <c r="X15" s="66"/>
      <c r="Y15" s="66"/>
    </row>
    <row hidden="true" r="16">
      <c r="A16" s="66"/>
      <c r="B16" s="66" t="s">
        <v>12746</v>
      </c>
      <c r="C16" s="67" t="s">
        <v>12713</v>
      </c>
      <c r="D16" s="67" t="s">
        <v>12714</v>
      </c>
      <c r="E16" s="67" t="s">
        <v>12715</v>
      </c>
      <c r="F16" s="67" t="s">
        <v>12716</v>
      </c>
      <c r="G16" s="66" t="s">
        <v>12717</v>
      </c>
      <c r="H16" s="66" t="s">
        <v>12747</v>
      </c>
      <c r="I16" s="68">
        <v>1</v>
      </c>
      <c r="J16" s="69">
        <v>190</v>
      </c>
      <c r="K16" s="67">
        <f t="shared" si="0"/>
      </c>
      <c r="L16" s="66">
        <v>0</v>
      </c>
      <c r="M16" s="66">
        <v>10000</v>
      </c>
      <c r="N16" s="63" cm="1">
        <f t="array" ref="N16:N16">_xlfn.XLOOKUP(H16,'OA名单'!C:C,'OA名单'!B:B,1)</f>
      </c>
      <c r="O16" s="63">
        <f t="shared" si="8"/>
      </c>
      <c r="P16" s="63" cm="1">
        <f t="array" ref="P16:P16">_xlfn.XLOOKUP(N16,'OA名单'!B:B,'OA名单'!G:G)</f>
      </c>
      <c r="Q16" s="63">
        <f t="shared" si="11"/>
      </c>
      <c r="R16" s="63" cm="1">
        <f t="array" ref="R16:R16">_xlfn.XLOOKUP(B16,'OA名单'!B:B,'OA名单'!F:F)</f>
      </c>
      <c r="S16" s="63">
        <f t="shared" si="10"/>
      </c>
      <c r="T16" s="70"/>
      <c r="U16" s="63" cm="1">
        <f t="array" ref="U16:U16">_xlfn.XLOOKUP(N16,'OA名单'!B:B,'OA名单'!E:E)</f>
      </c>
      <c r="V16" s="63">
        <f t="shared" si="12"/>
      </c>
      <c r="W16" s="71"/>
      <c r="X16" s="66"/>
      <c r="Y16" s="66"/>
    </row>
    <row hidden="true" r="17">
      <c r="A17" s="66"/>
      <c r="B17" s="66" t="s">
        <v>12748</v>
      </c>
      <c r="C17" s="67" t="s">
        <v>12713</v>
      </c>
      <c r="D17" s="67" t="s">
        <v>12714</v>
      </c>
      <c r="E17" s="67" t="s">
        <v>12749</v>
      </c>
      <c r="F17" s="67" t="s">
        <v>12750</v>
      </c>
      <c r="G17" s="66" t="s">
        <v>12751</v>
      </c>
      <c r="H17" s="66" t="s">
        <v>12752</v>
      </c>
      <c r="I17" s="68">
        <v>1.06</v>
      </c>
      <c r="J17" s="69">
        <v>106</v>
      </c>
      <c r="K17" s="67">
        <f t="shared" si="0"/>
      </c>
      <c r="L17" s="66">
        <v>5463</v>
      </c>
      <c r="M17" s="66">
        <v>5000</v>
      </c>
      <c r="N17" s="63" cm="1">
        <f t="array" ref="N17:N17">_xlfn.XLOOKUP(H17,'OA名单'!C:C,'OA名单'!B:B,1)</f>
      </c>
      <c r="O17" s="63">
        <f t="shared" si="8"/>
      </c>
      <c r="P17" s="63" cm="1">
        <f t="array" ref="P17:P17">_xlfn.XLOOKUP(N17,'OA名单'!B:B,'OA名单'!G:G)</f>
      </c>
      <c r="Q17" s="63">
        <f t="shared" si="11"/>
      </c>
      <c r="R17" s="63" cm="1">
        <f t="array" ref="R17:R17">_xlfn.XLOOKUP(B17,'OA名单'!B:B,'OA名单'!F:F)</f>
      </c>
      <c r="S17" s="63">
        <f t="shared" si="10"/>
      </c>
      <c r="T17" s="70"/>
      <c r="U17" s="63" cm="1">
        <f t="array" ref="U17:U17">_xlfn.XLOOKUP(N17,'OA名单'!B:B,'OA名单'!E:E)</f>
      </c>
      <c r="V17" s="63">
        <f t="shared" si="12"/>
      </c>
      <c r="W17" s="71"/>
      <c r="X17" s="66"/>
      <c r="Y17" s="66"/>
    </row>
    <row hidden="true" r="18">
      <c r="A18" s="66"/>
      <c r="B18" s="66" t="s">
        <v>12753</v>
      </c>
      <c r="C18" s="67" t="s">
        <v>12713</v>
      </c>
      <c r="D18" s="67" t="s">
        <v>12714</v>
      </c>
      <c r="E18" s="66" t="s">
        <v>12749</v>
      </c>
      <c r="F18" s="67" t="s">
        <v>12750</v>
      </c>
      <c r="G18" s="66" t="s">
        <v>12754</v>
      </c>
      <c r="H18" s="66" t="s">
        <v>12755</v>
      </c>
      <c r="I18" s="68">
        <v>1.05</v>
      </c>
      <c r="J18" s="69">
        <v>105</v>
      </c>
      <c r="K18" s="67">
        <f t="shared" si="0"/>
      </c>
      <c r="L18" s="66">
        <v>3135</v>
      </c>
      <c r="M18" s="66">
        <v>3000</v>
      </c>
      <c r="N18" s="63" cm="1">
        <f t="array" ref="N18:N18">_xlfn.XLOOKUP(H18,'OA名单'!C:C,'OA名单'!B:B,1)</f>
      </c>
      <c r="O18" s="63">
        <f t="shared" si="8"/>
      </c>
      <c r="P18" s="63" cm="1">
        <f t="array" ref="P18:P18">_xlfn.XLOOKUP(N18,'OA名单'!B:B,'OA名单'!G:G)</f>
      </c>
      <c r="Q18" s="63">
        <f t="shared" si="11"/>
      </c>
      <c r="R18" s="63" cm="1">
        <f t="array" ref="R18:R18">_xlfn.XLOOKUP(B18,'OA名单'!B:B,'OA名单'!F:F)</f>
      </c>
      <c r="S18" s="63">
        <f t="shared" si="10"/>
      </c>
      <c r="T18" s="70"/>
      <c r="U18" s="63" cm="1">
        <f t="array" ref="U18:U18">_xlfn.XLOOKUP(N18,'OA名单'!B:B,'OA名单'!E:E)</f>
      </c>
      <c r="V18" s="63">
        <f t="shared" si="12"/>
      </c>
      <c r="W18" s="71"/>
      <c r="X18" s="66"/>
      <c r="Y18" s="66"/>
    </row>
    <row hidden="true" r="19">
      <c r="A19" s="66"/>
      <c r="B19" s="66" t="s">
        <v>12756</v>
      </c>
      <c r="C19" s="67" t="s">
        <v>12713</v>
      </c>
      <c r="D19" s="67" t="s">
        <v>12714</v>
      </c>
      <c r="E19" s="66" t="s">
        <v>12749</v>
      </c>
      <c r="F19" s="67" t="s">
        <v>12750</v>
      </c>
      <c r="G19" s="66" t="s">
        <v>12751</v>
      </c>
      <c r="H19" s="66" t="s">
        <v>12757</v>
      </c>
      <c r="I19" s="68">
        <v>1.044</v>
      </c>
      <c r="J19" s="69">
        <v>104.4</v>
      </c>
      <c r="K19" s="67">
        <f t="shared" si="0"/>
      </c>
      <c r="L19" s="66">
        <v>4988</v>
      </c>
      <c r="M19" s="66">
        <v>5000</v>
      </c>
      <c r="N19" s="63" cm="1">
        <f t="array" ref="N19:N19">_xlfn.XLOOKUP(H19,'OA名单'!C:C,'OA名单'!B:B,1)</f>
      </c>
      <c r="O19" s="63">
        <f t="shared" si="8"/>
      </c>
      <c r="P19" s="63" cm="1">
        <f t="array" ref="P19:P19">_xlfn.XLOOKUP(N19,'OA名单'!B:B,'OA名单'!G:G)</f>
      </c>
      <c r="Q19" s="63">
        <f t="shared" si="11"/>
      </c>
      <c r="R19" s="63" cm="1">
        <f t="array" ref="R19:R19">_xlfn.XLOOKUP(B19,'OA名单'!B:B,'OA名单'!F:F)</f>
      </c>
      <c r="S19" s="63">
        <f t="shared" si="10"/>
      </c>
      <c r="T19" s="70"/>
      <c r="U19" s="63" cm="1">
        <f t="array" ref="U19:U19">_xlfn.XLOOKUP(N19,'OA名单'!B:B,'OA名单'!E:E)</f>
      </c>
      <c r="V19" s="63">
        <f t="shared" si="12"/>
      </c>
      <c r="W19" s="71"/>
      <c r="X19" s="66"/>
      <c r="Y19" s="66"/>
    </row>
    <row hidden="true" r="20">
      <c r="A20" s="66"/>
      <c r="B20" s="66" t="s">
        <v>12758</v>
      </c>
      <c r="C20" s="67" t="s">
        <v>12713</v>
      </c>
      <c r="D20" s="67" t="s">
        <v>12714</v>
      </c>
      <c r="E20" s="66" t="s">
        <v>12749</v>
      </c>
      <c r="F20" s="67" t="s">
        <v>12750</v>
      </c>
      <c r="G20" s="66" t="s">
        <v>12754</v>
      </c>
      <c r="H20" s="66" t="s">
        <v>12759</v>
      </c>
      <c r="I20" s="68">
        <v>1.04</v>
      </c>
      <c r="J20" s="69">
        <v>104</v>
      </c>
      <c r="K20" s="67">
        <f t="shared" si="0"/>
      </c>
      <c r="L20" s="66">
        <v>2708</v>
      </c>
      <c r="M20" s="66">
        <v>3000</v>
      </c>
      <c r="N20" s="63" cm="1">
        <f t="array" ref="N20:N20">_xlfn.XLOOKUP(H20,'OA名单'!C:C,'OA名单'!B:B,1)</f>
      </c>
      <c r="O20" s="63">
        <f t="shared" si="8"/>
      </c>
      <c r="P20" s="63" cm="1">
        <f t="array" ref="P20:P20">_xlfn.XLOOKUP(N20,'OA名单'!B:B,'OA名单'!G:G)</f>
      </c>
      <c r="Q20" s="63">
        <f t="shared" si="11"/>
      </c>
      <c r="R20" s="63" cm="1">
        <f t="array" ref="R20:R20">_xlfn.XLOOKUP(B20,'OA名单'!B:B,'OA名单'!F:F)</f>
      </c>
      <c r="S20" s="63">
        <f t="shared" si="10"/>
      </c>
      <c r="T20" s="70"/>
      <c r="U20" s="63" cm="1">
        <f t="array" ref="U20:U20">_xlfn.XLOOKUP(N20,'OA名单'!B:B,'OA名单'!E:E)</f>
      </c>
      <c r="V20" s="63">
        <f t="shared" si="12"/>
      </c>
      <c r="W20" s="71"/>
      <c r="X20" s="66"/>
      <c r="Y20" s="66"/>
    </row>
    <row hidden="true" r="21">
      <c r="A21" s="66"/>
      <c r="B21" s="66" t="s">
        <v>12760</v>
      </c>
      <c r="C21" s="67" t="s">
        <v>12713</v>
      </c>
      <c r="D21" s="67" t="s">
        <v>12714</v>
      </c>
      <c r="E21" s="66" t="s">
        <v>12749</v>
      </c>
      <c r="F21" s="67" t="s">
        <v>12750</v>
      </c>
      <c r="G21" s="66" t="s">
        <v>12754</v>
      </c>
      <c r="H21" s="66" t="s">
        <v>12761</v>
      </c>
      <c r="I21" s="68">
        <v>1.04</v>
      </c>
      <c r="J21" s="69">
        <v>104</v>
      </c>
      <c r="K21" s="67">
        <f t="shared" si="0"/>
      </c>
      <c r="L21" s="66">
        <v>2708</v>
      </c>
      <c r="M21" s="66">
        <v>3000</v>
      </c>
      <c r="N21" s="63" cm="1">
        <f t="array" ref="N21:N21">_xlfn.XLOOKUP(H21,'OA名单'!C:C,'OA名单'!B:B,1)</f>
      </c>
      <c r="O21" s="63">
        <f t="shared" si="8"/>
      </c>
      <c r="P21" s="63" cm="1">
        <f t="array" ref="P21:P21">_xlfn.XLOOKUP(N21,'OA名单'!B:B,'OA名单'!G:G)</f>
      </c>
      <c r="Q21" s="63">
        <f t="shared" si="11"/>
      </c>
      <c r="R21" s="63" cm="1">
        <f t="array" ref="R21:R21">_xlfn.XLOOKUP(B21,'OA名单'!B:B,'OA名单'!F:F)</f>
      </c>
      <c r="S21" s="63">
        <f t="shared" si="10"/>
      </c>
      <c r="T21" s="70"/>
      <c r="U21" s="63" cm="1">
        <f t="array" ref="U21:U21">_xlfn.XLOOKUP(N21,'OA名单'!B:B,'OA名单'!E:E)</f>
      </c>
      <c r="V21" s="63">
        <f t="shared" si="12"/>
      </c>
      <c r="W21" s="71"/>
      <c r="X21" s="66"/>
      <c r="Y21" s="66"/>
    </row>
    <row hidden="true" r="22">
      <c r="A22" s="66"/>
      <c r="B22" s="66" t="s">
        <v>12762</v>
      </c>
      <c r="C22" s="67" t="s">
        <v>12713</v>
      </c>
      <c r="D22" s="67" t="s">
        <v>12714</v>
      </c>
      <c r="E22" s="66" t="s">
        <v>12763</v>
      </c>
      <c r="F22" s="66" t="s">
        <v>12764</v>
      </c>
      <c r="G22" s="66" t="s">
        <v>12765</v>
      </c>
      <c r="H22" s="66" t="s">
        <v>12766</v>
      </c>
      <c r="I22" s="68">
        <v>1</v>
      </c>
      <c r="J22" s="69">
        <v>100</v>
      </c>
      <c r="K22" s="67">
        <f t="shared" si="0"/>
      </c>
      <c r="L22" s="66">
        <v>1000</v>
      </c>
      <c r="M22" s="66">
        <v>1000</v>
      </c>
      <c r="N22" s="63" cm="1">
        <f t="array" ref="N22:N22">_xlfn.XLOOKUP(H22,'OA名单'!C:C,'OA名单'!B:B,1)</f>
      </c>
      <c r="O22" s="63">
        <f t="shared" si="8"/>
      </c>
      <c r="P22" s="63" cm="1">
        <f t="array" ref="P22:P22">_xlfn.XLOOKUP(N22,'OA名单'!B:B,'OA名单'!G:G)</f>
      </c>
      <c r="Q22" s="63">
        <f t="shared" si="11"/>
      </c>
      <c r="R22" s="63" cm="1">
        <f t="array" ref="R22:R22">_xlfn.XLOOKUP(B22,'OA名单'!B:B,'OA名单'!F:F)</f>
      </c>
      <c r="S22" s="63">
        <f t="shared" si="10"/>
      </c>
      <c r="T22" s="70"/>
      <c r="U22" s="63" cm="1">
        <f t="array" ref="U22:U22">_xlfn.XLOOKUP(N22,'OA名单'!B:B,'OA名单'!E:E)</f>
      </c>
      <c r="V22" s="63">
        <f t="shared" si="12"/>
      </c>
      <c r="W22" s="71"/>
      <c r="X22" s="66"/>
      <c r="Y22" s="66"/>
    </row>
    <row hidden="true" r="23">
      <c r="A23" s="66"/>
      <c r="B23" s="66" t="s">
        <v>12767</v>
      </c>
      <c r="C23" s="67" t="s">
        <v>12713</v>
      </c>
      <c r="D23" s="67" t="s">
        <v>12714</v>
      </c>
      <c r="E23" s="66" t="s">
        <v>12749</v>
      </c>
      <c r="F23" s="67" t="s">
        <v>12768</v>
      </c>
      <c r="G23" s="66" t="s">
        <v>12769</v>
      </c>
      <c r="H23" s="66" t="s">
        <v>12770</v>
      </c>
      <c r="I23" s="68">
        <v>1</v>
      </c>
      <c r="J23" s="69">
        <v>100</v>
      </c>
      <c r="K23" s="67">
        <f t="shared" si="0"/>
      </c>
      <c r="L23" s="66">
        <v>1500</v>
      </c>
      <c r="M23" s="66">
        <v>1200</v>
      </c>
      <c r="N23" s="63" cm="1">
        <f t="array" ref="N23:N23">_xlfn.XLOOKUP(H23,'OA名单'!C:C,'OA名单'!B:B,1)</f>
      </c>
      <c r="O23" s="63">
        <f t="shared" si="8"/>
      </c>
      <c r="P23" s="63" cm="1">
        <f t="array" ref="P23:P23">_xlfn.XLOOKUP(N23,'OA名单'!B:B,'OA名单'!G:G)</f>
      </c>
      <c r="Q23" s="63">
        <f t="shared" si="11"/>
      </c>
      <c r="R23" s="63" cm="1">
        <f t="array" ref="R23:R23">_xlfn.XLOOKUP(B23,'OA名单'!B:B,'OA名单'!F:F)</f>
      </c>
      <c r="S23" s="63">
        <f t="shared" si="10"/>
      </c>
      <c r="T23" s="70"/>
      <c r="U23" s="63" cm="1">
        <f t="array" ref="U23:U23">_xlfn.XLOOKUP(N23,'OA名单'!B:B,'OA名单'!E:E)</f>
      </c>
      <c r="V23" s="63">
        <f t="shared" si="12"/>
      </c>
      <c r="W23" s="71"/>
      <c r="X23" s="66"/>
      <c r="Y23" s="66"/>
    </row>
    <row hidden="true" r="24">
      <c r="A24" s="66"/>
      <c r="B24" s="66" t="s">
        <v>12771</v>
      </c>
      <c r="C24" s="67" t="s">
        <v>12713</v>
      </c>
      <c r="D24" s="67" t="s">
        <v>12714</v>
      </c>
      <c r="E24" s="66" t="s">
        <v>12749</v>
      </c>
      <c r="F24" s="67" t="s">
        <v>12768</v>
      </c>
      <c r="G24" s="66" t="s">
        <v>12769</v>
      </c>
      <c r="H24" s="66" t="s">
        <v>12772</v>
      </c>
      <c r="I24" s="68">
        <v>0.365</v>
      </c>
      <c r="J24" s="69">
        <v>100</v>
      </c>
      <c r="K24" s="67">
        <f t="shared" si="0"/>
      </c>
      <c r="L24" s="66">
        <v>1380</v>
      </c>
      <c r="M24" s="66">
        <v>1200</v>
      </c>
      <c r="N24" s="63" cm="1">
        <f t="array" ref="N24:N24">_xlfn.XLOOKUP(H24,'OA名单'!C:C,'OA名单'!B:B,1)</f>
      </c>
      <c r="O24" s="63">
        <f t="shared" si="8"/>
      </c>
      <c r="P24" s="63" cm="1">
        <f t="array" ref="P24:P24">_xlfn.XLOOKUP(N24,'OA名单'!B:B,'OA名单'!G:G)</f>
      </c>
      <c r="Q24" s="63">
        <f t="shared" si="11"/>
      </c>
      <c r="R24" s="63" cm="1">
        <f t="array" ref="R24:R24">_xlfn.XLOOKUP(B24,'OA名单'!B:B,'OA名单'!F:F)</f>
      </c>
      <c r="S24" s="63">
        <f t="shared" si="10"/>
      </c>
      <c r="T24" s="70"/>
      <c r="U24" s="63" cm="1">
        <f t="array" ref="U24:U24">_xlfn.XLOOKUP(N24,'OA名单'!B:B,'OA名单'!E:E)</f>
      </c>
      <c r="V24" s="63">
        <f t="shared" si="12"/>
      </c>
      <c r="W24" s="71"/>
      <c r="X24" s="66"/>
      <c r="Y24" s="66"/>
    </row>
    <row hidden="true" r="25">
      <c r="A25" s="66"/>
      <c r="B25" s="66" t="s">
        <v>12773</v>
      </c>
      <c r="C25" s="67" t="s">
        <v>12713</v>
      </c>
      <c r="D25" s="67" t="s">
        <v>12714</v>
      </c>
      <c r="E25" s="66" t="s">
        <v>12749</v>
      </c>
      <c r="F25" s="67" t="s">
        <v>12768</v>
      </c>
      <c r="G25" s="66" t="s">
        <v>12769</v>
      </c>
      <c r="H25" s="66" t="s">
        <v>12774</v>
      </c>
      <c r="I25" s="68">
        <v>1</v>
      </c>
      <c r="J25" s="69">
        <v>100</v>
      </c>
      <c r="K25" s="67">
        <f t="shared" si="0"/>
      </c>
      <c r="L25" s="66">
        <v>1304</v>
      </c>
      <c r="M25" s="66">
        <v>1200</v>
      </c>
      <c r="N25" s="63" cm="1">
        <f t="array" ref="N25:N25">_xlfn.XLOOKUP(H25,'OA名单'!C:C,'OA名单'!B:B,1)</f>
      </c>
      <c r="O25" s="63">
        <f t="shared" si="8"/>
      </c>
      <c r="P25" s="63" cm="1">
        <f t="array" ref="P25:P25">_xlfn.XLOOKUP(N25,'OA名单'!B:B,'OA名单'!G:G)</f>
      </c>
      <c r="Q25" s="63">
        <f t="shared" si="11"/>
      </c>
      <c r="R25" s="63" cm="1">
        <f t="array" ref="R25:R25">_xlfn.XLOOKUP(B25,'OA名单'!B:B,'OA名单'!F:F)</f>
      </c>
      <c r="S25" s="63">
        <f t="shared" si="10"/>
      </c>
      <c r="T25" s="70"/>
      <c r="U25" s="63" cm="1">
        <f t="array" ref="U25:U25">_xlfn.XLOOKUP(N25,'OA名单'!B:B,'OA名单'!E:E)</f>
      </c>
      <c r="V25" s="63">
        <f t="shared" si="12"/>
      </c>
      <c r="W25" s="71"/>
      <c r="X25" s="66"/>
      <c r="Y25" s="66"/>
    </row>
    <row hidden="true" r="26">
      <c r="A26" s="66"/>
      <c r="B26" s="66" t="s">
        <v>12775</v>
      </c>
      <c r="C26" s="67" t="s">
        <v>12713</v>
      </c>
      <c r="D26" s="67" t="s">
        <v>12714</v>
      </c>
      <c r="E26" s="67" t="s">
        <v>12776</v>
      </c>
      <c r="F26" s="67" t="s">
        <v>12716</v>
      </c>
      <c r="G26" s="66" t="s">
        <v>12777</v>
      </c>
      <c r="H26" s="66" t="s">
        <v>12778</v>
      </c>
      <c r="I26" s="68">
        <v>1</v>
      </c>
      <c r="J26" s="69">
        <v>100</v>
      </c>
      <c r="K26" s="67">
        <f t="shared" si="0"/>
      </c>
      <c r="L26" s="66">
        <v>2000</v>
      </c>
      <c r="M26" s="66">
        <v>2000</v>
      </c>
      <c r="N26" s="63" cm="1">
        <f t="array" ref="N26:N26">_xlfn.XLOOKUP(H26,'OA名单'!C:C,'OA名单'!B:B,1)</f>
      </c>
      <c r="O26" s="63">
        <f t="shared" si="8"/>
      </c>
      <c r="P26" s="63" cm="1">
        <f t="array" ref="P26:P26">_xlfn.XLOOKUP(N26,'OA名单'!B:B,'OA名单'!G:G)</f>
      </c>
      <c r="Q26" s="63">
        <f t="shared" si="11"/>
      </c>
      <c r="R26" s="63" cm="1">
        <f t="array" ref="R26:R26">_xlfn.XLOOKUP(B26,'OA名单'!B:B,'OA名单'!F:F)</f>
      </c>
      <c r="S26" s="63">
        <f t="shared" si="10"/>
      </c>
      <c r="T26" s="70"/>
      <c r="U26" s="63" cm="1">
        <f t="array" ref="U26:U26">_xlfn.XLOOKUP(N26,'OA名单'!B:B,'OA名单'!E:E)</f>
      </c>
      <c r="V26" s="63">
        <f t="shared" si="12"/>
      </c>
      <c r="W26" s="71"/>
      <c r="X26" s="66"/>
      <c r="Y26" s="66"/>
    </row>
    <row hidden="true" r="27">
      <c r="A27" s="66"/>
      <c r="B27" s="66" t="s">
        <v>12779</v>
      </c>
      <c r="C27" s="67" t="s">
        <v>12713</v>
      </c>
      <c r="D27" s="67" t="s">
        <v>12714</v>
      </c>
      <c r="E27" s="66" t="s">
        <v>12749</v>
      </c>
      <c r="F27" s="67" t="s">
        <v>12750</v>
      </c>
      <c r="G27" s="66" t="s">
        <v>12751</v>
      </c>
      <c r="H27" s="66" t="s">
        <v>12780</v>
      </c>
      <c r="I27" s="68">
        <v>1</v>
      </c>
      <c r="J27" s="69">
        <v>100</v>
      </c>
      <c r="K27" s="67">
        <f t="shared" si="0"/>
      </c>
      <c r="L27" s="66">
        <v>0</v>
      </c>
      <c r="M27" s="66">
        <v>5000</v>
      </c>
      <c r="N27" s="63" cm="1">
        <f t="array" ref="N27:N27">_xlfn.XLOOKUP(H27,'OA名单'!C:C,'OA名单'!B:B,1)</f>
      </c>
      <c r="O27" s="63">
        <f t="shared" si="8"/>
      </c>
      <c r="P27" s="63" cm="1">
        <f t="array" ref="P27:P27">_xlfn.XLOOKUP(N27,'OA名单'!B:B,'OA名单'!G:G)</f>
      </c>
      <c r="Q27" s="63">
        <f t="shared" si="11"/>
      </c>
      <c r="R27" s="63" cm="1">
        <f t="array" ref="R27:R27">_xlfn.XLOOKUP(B27,'OA名单'!B:B,'OA名单'!F:F)</f>
      </c>
      <c r="S27" s="63">
        <f t="shared" si="10"/>
      </c>
      <c r="T27" s="70"/>
      <c r="U27" s="63" cm="1">
        <f t="array" ref="U27:U27">_xlfn.XLOOKUP(N27,'OA名单'!B:B,'OA名单'!E:E)</f>
      </c>
      <c r="V27" s="63">
        <f t="shared" si="12"/>
      </c>
      <c r="W27" s="71"/>
      <c r="X27" s="66"/>
      <c r="Y27" s="66"/>
    </row>
    <row hidden="true" r="28">
      <c r="A28" s="66"/>
      <c r="B28" s="66" t="s">
        <v>12781</v>
      </c>
      <c r="C28" s="67" t="s">
        <v>12713</v>
      </c>
      <c r="D28" s="67" t="s">
        <v>12714</v>
      </c>
      <c r="E28" s="66" t="s">
        <v>12782</v>
      </c>
      <c r="F28" s="66" t="s">
        <v>12783</v>
      </c>
      <c r="G28" s="66" t="s">
        <v>12784</v>
      </c>
      <c r="H28" s="66" t="s">
        <v>12785</v>
      </c>
      <c r="I28" s="68">
        <v>1</v>
      </c>
      <c r="J28" s="69">
        <v>100</v>
      </c>
      <c r="K28" s="67">
        <f t="shared" si="0"/>
      </c>
      <c r="L28" s="66">
        <v>6800</v>
      </c>
      <c r="M28" s="66">
        <v>10000</v>
      </c>
      <c r="N28" s="63" cm="1">
        <f t="array" ref="N28:N28">_xlfn.XLOOKUP(H28,'OA名单'!C:C,'OA名单'!B:B,1)</f>
      </c>
      <c r="O28" s="63">
        <f t="shared" si="8"/>
      </c>
      <c r="P28" s="63" cm="1">
        <f t="array" ref="P28:P28">_xlfn.XLOOKUP(N28,'OA名单'!B:B,'OA名单'!G:G)</f>
      </c>
      <c r="Q28" s="63">
        <f t="shared" si="11"/>
      </c>
      <c r="R28" s="63" cm="1">
        <f t="array" ref="R28:R28">_xlfn.XLOOKUP(B28,'OA名单'!B:B,'OA名单'!F:F)</f>
      </c>
      <c r="S28" s="63">
        <f t="shared" si="10"/>
      </c>
      <c r="T28" s="70"/>
      <c r="U28" s="63" cm="1">
        <f t="array" ref="U28:U28">_xlfn.XLOOKUP(N28,'OA名单'!B:B,'OA名单'!E:E)</f>
      </c>
      <c r="V28" s="63">
        <f t="shared" si="12"/>
      </c>
      <c r="W28" s="71"/>
      <c r="X28" s="66"/>
      <c r="Y28" s="66"/>
    </row>
    <row hidden="true" r="29">
      <c r="A29" s="66"/>
      <c r="B29" s="66" t="s">
        <v>12786</v>
      </c>
      <c r="C29" s="67" t="s">
        <v>12713</v>
      </c>
      <c r="D29" s="67" t="s">
        <v>12714</v>
      </c>
      <c r="E29" s="66" t="s">
        <v>12782</v>
      </c>
      <c r="F29" s="66" t="s">
        <v>12783</v>
      </c>
      <c r="G29" s="66" t="s">
        <v>12717</v>
      </c>
      <c r="H29" s="66" t="s">
        <v>12787</v>
      </c>
      <c r="I29" s="68">
        <v>1</v>
      </c>
      <c r="J29" s="69">
        <v>100</v>
      </c>
      <c r="K29" s="67">
        <f t="shared" si="0"/>
      </c>
      <c r="L29" s="66">
        <v>21250</v>
      </c>
      <c r="M29" s="66">
        <v>10000</v>
      </c>
      <c r="N29" s="63" cm="1">
        <f t="array" ref="N29:N29">_xlfn.XLOOKUP(H29,'OA名单'!C:C,'OA名单'!B:B,1)</f>
      </c>
      <c r="O29" s="63">
        <f t="shared" si="8"/>
      </c>
      <c r="P29" s="63" cm="1">
        <f t="array" ref="P29:P29">_xlfn.XLOOKUP(N29,'OA名单'!B:B,'OA名单'!G:G)</f>
      </c>
      <c r="Q29" s="63">
        <f t="shared" si="11"/>
      </c>
      <c r="R29" s="63" cm="1">
        <f t="array" ref="R29:R29">_xlfn.XLOOKUP(B29,'OA名单'!B:B,'OA名单'!F:F)</f>
      </c>
      <c r="S29" s="63">
        <f t="shared" si="10"/>
      </c>
      <c r="T29" s="70"/>
      <c r="U29" s="63" cm="1">
        <f t="array" ref="U29:U29">_xlfn.XLOOKUP(N29,'OA名单'!B:B,'OA名单'!E:E)</f>
      </c>
      <c r="V29" s="63">
        <f t="shared" si="12"/>
      </c>
      <c r="W29" s="71"/>
      <c r="X29" s="66"/>
      <c r="Y29" s="66"/>
    </row>
    <row hidden="true" r="30">
      <c r="A30" s="66"/>
      <c r="B30" s="66" t="s">
        <v>12788</v>
      </c>
      <c r="C30" s="67" t="s">
        <v>12713</v>
      </c>
      <c r="D30" s="67" t="s">
        <v>12714</v>
      </c>
      <c r="E30" s="66" t="s">
        <v>12782</v>
      </c>
      <c r="F30" s="66" t="s">
        <v>12783</v>
      </c>
      <c r="G30" s="66" t="s">
        <v>12717</v>
      </c>
      <c r="H30" s="66" t="s">
        <v>12789</v>
      </c>
      <c r="I30" s="68">
        <v>1</v>
      </c>
      <c r="J30" s="69">
        <v>100</v>
      </c>
      <c r="K30" s="67">
        <f t="shared" si="0"/>
      </c>
      <c r="L30" s="66">
        <v>2550</v>
      </c>
      <c r="M30" s="66">
        <v>10000</v>
      </c>
      <c r="N30" s="63" cm="1">
        <f t="array" ref="N30:N30">_xlfn.XLOOKUP(H30,'OA名单'!C:C,'OA名单'!B:B,1)</f>
      </c>
      <c r="O30" s="63">
        <f t="shared" si="8"/>
      </c>
      <c r="P30" s="63" cm="1">
        <f t="array" ref="P30:P30">_xlfn.XLOOKUP(N30,'OA名单'!B:B,'OA名单'!G:G)</f>
      </c>
      <c r="Q30" s="63">
        <f t="shared" si="11"/>
      </c>
      <c r="R30" s="63" cm="1">
        <f t="array" ref="R30:R30">_xlfn.XLOOKUP(B30,'OA名单'!B:B,'OA名单'!F:F)</f>
      </c>
      <c r="S30" s="63">
        <f t="shared" si="10"/>
      </c>
      <c r="T30" s="70"/>
      <c r="U30" s="63" cm="1">
        <f t="array" ref="U30:U30">_xlfn.XLOOKUP(N30,'OA名单'!B:B,'OA名单'!E:E)</f>
      </c>
      <c r="V30" s="63">
        <f t="shared" si="12"/>
      </c>
      <c r="W30" s="71"/>
      <c r="X30" s="66"/>
      <c r="Y30" s="66"/>
    </row>
    <row hidden="true" r="31">
      <c r="A31" s="66"/>
      <c r="B31" s="66" t="s">
        <v>12790</v>
      </c>
      <c r="C31" s="67" t="s">
        <v>12713</v>
      </c>
      <c r="D31" s="67" t="s">
        <v>12714</v>
      </c>
      <c r="E31" s="66" t="s">
        <v>12782</v>
      </c>
      <c r="F31" s="66" t="s">
        <v>12783</v>
      </c>
      <c r="G31" s="66" t="s">
        <v>12717</v>
      </c>
      <c r="H31" s="66" t="s">
        <v>12791</v>
      </c>
      <c r="I31" s="68">
        <v>1</v>
      </c>
      <c r="J31" s="69">
        <v>100</v>
      </c>
      <c r="K31" s="67">
        <f t="shared" si="0"/>
      </c>
      <c r="L31" s="66">
        <v>3400</v>
      </c>
      <c r="M31" s="66">
        <v>10000</v>
      </c>
      <c r="N31" s="63" cm="1">
        <f t="array" ref="N31:N31">_xlfn.XLOOKUP(H31,'OA名单'!C:C,'OA名单'!B:B,1)</f>
      </c>
      <c r="O31" s="63">
        <f t="shared" si="8"/>
      </c>
      <c r="P31" s="63" cm="1">
        <f t="array" ref="P31:P31">_xlfn.XLOOKUP(N31,'OA名单'!B:B,'OA名单'!G:G)</f>
      </c>
      <c r="Q31" s="63">
        <f t="shared" si="11"/>
      </c>
      <c r="R31" s="63" cm="1">
        <f t="array" ref="R31:R31">_xlfn.XLOOKUP(B31,'OA名单'!B:B,'OA名单'!F:F)</f>
      </c>
      <c r="S31" s="63">
        <f t="shared" si="10"/>
      </c>
      <c r="T31" s="70"/>
      <c r="U31" s="63" cm="1">
        <f t="array" ref="U31:U31">_xlfn.XLOOKUP(N31,'OA名单'!B:B,'OA名单'!E:E)</f>
      </c>
      <c r="V31" s="63">
        <f t="shared" si="12"/>
      </c>
      <c r="W31" s="71"/>
      <c r="X31" s="66"/>
      <c r="Y31" s="66"/>
    </row>
    <row hidden="true" r="32">
      <c r="A32" s="66"/>
      <c r="B32" s="66" t="s">
        <v>12792</v>
      </c>
      <c r="C32" s="67" t="s">
        <v>12713</v>
      </c>
      <c r="D32" s="67" t="s">
        <v>12714</v>
      </c>
      <c r="E32" s="66" t="s">
        <v>12782</v>
      </c>
      <c r="F32" s="66" t="s">
        <v>12783</v>
      </c>
      <c r="G32" s="66" t="s">
        <v>12717</v>
      </c>
      <c r="H32" s="66" t="s">
        <v>12793</v>
      </c>
      <c r="I32" s="68">
        <v>1</v>
      </c>
      <c r="J32" s="69">
        <v>100</v>
      </c>
      <c r="K32" s="67">
        <f t="shared" si="0"/>
      </c>
      <c r="L32" s="66">
        <v>2125</v>
      </c>
      <c r="M32" s="66">
        <v>10000</v>
      </c>
      <c r="N32" s="63" cm="1">
        <f t="array" ref="N32:N32">_xlfn.XLOOKUP(H32,'OA名单'!C:C,'OA名单'!B:B,1)</f>
      </c>
      <c r="O32" s="63">
        <f t="shared" si="8"/>
      </c>
      <c r="P32" s="63" cm="1">
        <f t="array" ref="P32:P32">_xlfn.XLOOKUP(N32,'OA名单'!B:B,'OA名单'!G:G)</f>
      </c>
      <c r="Q32" s="63">
        <f t="shared" si="11"/>
      </c>
      <c r="R32" s="63" cm="1">
        <f t="array" ref="R32:R32">_xlfn.XLOOKUP(B32,'OA名单'!B:B,'OA名单'!F:F)</f>
      </c>
      <c r="S32" s="63">
        <f t="shared" si="10"/>
      </c>
      <c r="T32" s="70"/>
      <c r="U32" s="63" cm="1">
        <f t="array" ref="U32:U32">_xlfn.XLOOKUP(N32,'OA名单'!B:B,'OA名单'!E:E)</f>
      </c>
      <c r="V32" s="63">
        <f t="shared" si="12"/>
      </c>
      <c r="W32" s="71"/>
      <c r="X32" s="66"/>
      <c r="Y32" s="66"/>
    </row>
    <row hidden="true" r="33">
      <c r="A33" s="66"/>
      <c r="B33" s="66" t="s">
        <v>12794</v>
      </c>
      <c r="C33" s="67" t="s">
        <v>12713</v>
      </c>
      <c r="D33" s="67" t="s">
        <v>12714</v>
      </c>
      <c r="E33" s="66" t="s">
        <v>12782</v>
      </c>
      <c r="F33" s="66" t="s">
        <v>12783</v>
      </c>
      <c r="G33" s="66" t="s">
        <v>12717</v>
      </c>
      <c r="H33" s="66" t="s">
        <v>12795</v>
      </c>
      <c r="I33" s="68">
        <v>1</v>
      </c>
      <c r="J33" s="69">
        <v>100</v>
      </c>
      <c r="K33" s="67">
        <f t="shared" si="0"/>
      </c>
      <c r="L33" s="66">
        <v>4250</v>
      </c>
      <c r="M33" s="66">
        <v>10000</v>
      </c>
      <c r="N33" s="63" cm="1">
        <f t="array" ref="N33:N33">_xlfn.XLOOKUP(H33,'OA名单'!C:C,'OA名单'!B:B,1)</f>
      </c>
      <c r="O33" s="63">
        <f t="shared" si="8"/>
      </c>
      <c r="P33" s="63" cm="1">
        <f t="array" ref="P33:P33">_xlfn.XLOOKUP(N33,'OA名单'!B:B,'OA名单'!G:G)</f>
      </c>
      <c r="Q33" s="63">
        <f t="shared" si="11"/>
      </c>
      <c r="R33" s="63" cm="1">
        <f t="array" ref="R33:R33">_xlfn.XLOOKUP(B33,'OA名单'!B:B,'OA名单'!F:F)</f>
      </c>
      <c r="S33" s="63">
        <f t="shared" si="10"/>
      </c>
      <c r="T33" s="70"/>
      <c r="U33" s="63" cm="1">
        <f t="array" ref="U33:U33">_xlfn.XLOOKUP(N33,'OA名单'!B:B,'OA名单'!E:E)</f>
      </c>
      <c r="V33" s="63">
        <f t="shared" si="12"/>
      </c>
      <c r="W33" s="71"/>
      <c r="X33" s="66"/>
      <c r="Y33" s="66"/>
    </row>
    <row hidden="true" r="34">
      <c r="A34" s="66"/>
      <c r="B34" s="66" t="s">
        <v>12796</v>
      </c>
      <c r="C34" s="67" t="s">
        <v>12713</v>
      </c>
      <c r="D34" s="67" t="s">
        <v>12714</v>
      </c>
      <c r="E34" s="66" t="s">
        <v>12782</v>
      </c>
      <c r="F34" s="66" t="s">
        <v>12783</v>
      </c>
      <c r="G34" s="66" t="s">
        <v>12717</v>
      </c>
      <c r="H34" s="66" t="s">
        <v>12797</v>
      </c>
      <c r="I34" s="68">
        <v>1</v>
      </c>
      <c r="J34" s="69">
        <v>100</v>
      </c>
      <c r="K34" s="67">
        <f t="shared" si="0"/>
      </c>
      <c r="L34" s="66">
        <v>1700</v>
      </c>
      <c r="M34" s="66">
        <v>10000</v>
      </c>
      <c r="N34" s="63" cm="1">
        <f t="array" ref="N34:N34">_xlfn.XLOOKUP(H34,'OA名单'!C:C,'OA名单'!B:B,1)</f>
      </c>
      <c r="O34" s="63">
        <f t="shared" si="8"/>
      </c>
      <c r="P34" s="63" cm="1">
        <f t="array" ref="P34:P34">_xlfn.XLOOKUP(N34,'OA名单'!B:B,'OA名单'!G:G)</f>
      </c>
      <c r="Q34" s="63">
        <f t="shared" si="11"/>
      </c>
      <c r="R34" s="63" cm="1">
        <f t="array" ref="R34:R34">_xlfn.XLOOKUP(B34,'OA名单'!B:B,'OA名单'!F:F)</f>
      </c>
      <c r="S34" s="63">
        <f t="shared" si="10"/>
      </c>
      <c r="T34" s="70"/>
      <c r="U34" s="63" cm="1">
        <f t="array" ref="U34:U34">_xlfn.XLOOKUP(N34,'OA名单'!B:B,'OA名单'!E:E)</f>
      </c>
      <c r="V34" s="63">
        <f t="shared" si="12"/>
      </c>
      <c r="W34" s="71"/>
      <c r="X34" s="66"/>
      <c r="Y34" s="66"/>
    </row>
    <row hidden="true" r="35">
      <c r="A35" s="66"/>
      <c r="B35" s="66" t="s">
        <v>12798</v>
      </c>
      <c r="C35" s="67" t="s">
        <v>12713</v>
      </c>
      <c r="D35" s="67" t="s">
        <v>12714</v>
      </c>
      <c r="E35" s="66" t="s">
        <v>12782</v>
      </c>
      <c r="F35" s="66" t="s">
        <v>12783</v>
      </c>
      <c r="G35" s="66" t="s">
        <v>12717</v>
      </c>
      <c r="H35" s="66" t="s">
        <v>12799</v>
      </c>
      <c r="I35" s="68">
        <v>1</v>
      </c>
      <c r="J35" s="69">
        <v>100</v>
      </c>
      <c r="K35" s="67">
        <f t="shared" si="0"/>
      </c>
      <c r="L35" s="66">
        <v>1275</v>
      </c>
      <c r="M35" s="66">
        <v>10000</v>
      </c>
      <c r="N35" s="63" cm="1">
        <f t="array" ref="N35:N35">_xlfn.XLOOKUP(H35,'OA名单'!C:C,'OA名单'!B:B,1)</f>
      </c>
      <c r="O35" s="63">
        <f t="shared" si="8"/>
      </c>
      <c r="P35" s="63" cm="1">
        <f t="array" ref="P35:P35">_xlfn.XLOOKUP(N35,'OA名单'!B:B,'OA名单'!G:G)</f>
      </c>
      <c r="Q35" s="63">
        <f t="shared" si="11"/>
      </c>
      <c r="R35" s="63" cm="1">
        <f t="array" ref="R35:R35">_xlfn.XLOOKUP(B35,'OA名单'!B:B,'OA名单'!F:F)</f>
      </c>
      <c r="S35" s="63">
        <f t="shared" si="10"/>
      </c>
      <c r="T35" s="70"/>
      <c r="U35" s="63" cm="1">
        <f t="array" ref="U35:U35">_xlfn.XLOOKUP(N35,'OA名单'!B:B,'OA名单'!E:E)</f>
      </c>
      <c r="V35" s="63">
        <f t="shared" si="12"/>
      </c>
      <c r="W35" s="71"/>
      <c r="X35" s="66"/>
      <c r="Y35" s="66"/>
    </row>
    <row hidden="true" r="36">
      <c r="A36" s="66"/>
      <c r="B36" s="66" t="s">
        <v>12800</v>
      </c>
      <c r="C36" s="67" t="s">
        <v>12713</v>
      </c>
      <c r="D36" s="67" t="s">
        <v>12714</v>
      </c>
      <c r="E36" s="66" t="s">
        <v>12782</v>
      </c>
      <c r="F36" s="66" t="s">
        <v>12783</v>
      </c>
      <c r="G36" s="66" t="s">
        <v>12717</v>
      </c>
      <c r="H36" s="66" t="s">
        <v>12801</v>
      </c>
      <c r="I36" s="68">
        <v>1</v>
      </c>
      <c r="J36" s="69">
        <v>100</v>
      </c>
      <c r="K36" s="67">
        <f t="shared" si="0"/>
      </c>
      <c r="L36" s="66">
        <v>15300</v>
      </c>
      <c r="M36" s="66">
        <v>10000</v>
      </c>
      <c r="N36" s="63" cm="1">
        <f t="array" ref="N36:N36">_xlfn.XLOOKUP(H36,'OA名单'!C:C,'OA名单'!B:B,1)</f>
      </c>
      <c r="O36" s="63">
        <f t="shared" si="8"/>
      </c>
      <c r="P36" s="63" cm="1">
        <f t="array" ref="P36:P36">_xlfn.XLOOKUP(N36,'OA名单'!B:B,'OA名单'!G:G)</f>
      </c>
      <c r="Q36" s="63">
        <f t="shared" si="11"/>
      </c>
      <c r="R36" s="63" cm="1">
        <f t="array" ref="R36:R36">_xlfn.XLOOKUP(B36,'OA名单'!B:B,'OA名单'!F:F)</f>
      </c>
      <c r="S36" s="63">
        <f t="shared" si="10"/>
      </c>
      <c r="T36" s="70"/>
      <c r="U36" s="63" cm="1">
        <f t="array" ref="U36:U36">_xlfn.XLOOKUP(N36,'OA名单'!B:B,'OA名单'!E:E)</f>
      </c>
      <c r="V36" s="63">
        <f t="shared" si="12"/>
      </c>
      <c r="W36" s="71"/>
      <c r="X36" s="66"/>
      <c r="Y36" s="66"/>
    </row>
    <row hidden="true" r="37">
      <c r="A37" s="66"/>
      <c r="B37" s="66" t="s">
        <v>12802</v>
      </c>
      <c r="C37" s="67" t="s">
        <v>12713</v>
      </c>
      <c r="D37" s="67" t="s">
        <v>12714</v>
      </c>
      <c r="E37" s="66" t="s">
        <v>12782</v>
      </c>
      <c r="F37" s="66" t="s">
        <v>12783</v>
      </c>
      <c r="G37" s="66" t="s">
        <v>12717</v>
      </c>
      <c r="H37" s="66" t="s">
        <v>12803</v>
      </c>
      <c r="I37" s="68">
        <v>1</v>
      </c>
      <c r="J37" s="69">
        <v>100</v>
      </c>
      <c r="K37" s="67">
        <f t="shared" si="0"/>
      </c>
      <c r="L37" s="66">
        <v>5100</v>
      </c>
      <c r="M37" s="66">
        <v>10000</v>
      </c>
      <c r="N37" s="63" cm="1">
        <f t="array" ref="N37:N37">_xlfn.XLOOKUP(H37,'OA名单'!C:C,'OA名单'!B:B,1)</f>
      </c>
      <c r="O37" s="63">
        <f t="shared" si="8"/>
      </c>
      <c r="P37" s="63" cm="1">
        <f t="array" ref="P37:P37">_xlfn.XLOOKUP(N37,'OA名单'!B:B,'OA名单'!G:G)</f>
      </c>
      <c r="Q37" s="63">
        <f t="shared" si="11"/>
      </c>
      <c r="R37" s="63" cm="1">
        <f t="array" ref="R37:R37">_xlfn.XLOOKUP(B37,'OA名单'!B:B,'OA名单'!F:F)</f>
      </c>
      <c r="S37" s="63">
        <f t="shared" si="10"/>
      </c>
      <c r="T37" s="70"/>
      <c r="U37" s="63" cm="1">
        <f t="array" ref="U37:U37">_xlfn.XLOOKUP(N37,'OA名单'!B:B,'OA名单'!E:E)</f>
      </c>
      <c r="V37" s="63">
        <f t="shared" si="12"/>
      </c>
      <c r="W37" s="71"/>
      <c r="X37" s="66"/>
      <c r="Y37" s="66"/>
    </row>
    <row hidden="true" r="38">
      <c r="A38" s="66"/>
      <c r="B38" s="66" t="s">
        <v>12804</v>
      </c>
      <c r="C38" s="67" t="s">
        <v>12713</v>
      </c>
      <c r="D38" s="67" t="s">
        <v>12714</v>
      </c>
      <c r="E38" s="66" t="s">
        <v>12782</v>
      </c>
      <c r="F38" s="66" t="s">
        <v>12783</v>
      </c>
      <c r="G38" s="66" t="s">
        <v>12717</v>
      </c>
      <c r="H38" s="66" t="s">
        <v>12805</v>
      </c>
      <c r="I38" s="68">
        <v>1</v>
      </c>
      <c r="J38" s="69">
        <v>100</v>
      </c>
      <c r="K38" s="67">
        <f t="shared" si="0"/>
      </c>
      <c r="L38" s="66">
        <v>8500</v>
      </c>
      <c r="M38" s="66">
        <v>10000</v>
      </c>
      <c r="N38" s="63" cm="1">
        <f t="array" ref="N38:N38">_xlfn.XLOOKUP(H38,'OA名单'!C:C,'OA名单'!B:B,1)</f>
      </c>
      <c r="O38" s="63">
        <f t="shared" si="8"/>
      </c>
      <c r="P38" s="63" cm="1">
        <f t="array" ref="P38:P38">_xlfn.XLOOKUP(N38,'OA名单'!B:B,'OA名单'!G:G)</f>
      </c>
      <c r="Q38" s="63">
        <f t="shared" si="11"/>
      </c>
      <c r="R38" s="63" cm="1">
        <f t="array" ref="R38:R38">_xlfn.XLOOKUP(B38,'OA名单'!B:B,'OA名单'!F:F)</f>
      </c>
      <c r="S38" s="63">
        <f t="shared" si="10"/>
      </c>
      <c r="T38" s="70"/>
      <c r="U38" s="63" cm="1">
        <f t="array" ref="U38:U38">_xlfn.XLOOKUP(N38,'OA名单'!B:B,'OA名单'!E:E)</f>
      </c>
      <c r="V38" s="63">
        <f t="shared" si="12"/>
      </c>
      <c r="W38" s="71"/>
      <c r="X38" s="66"/>
      <c r="Y38" s="66"/>
    </row>
    <row hidden="true" r="39">
      <c r="A39" s="66"/>
      <c r="B39" s="66" t="s">
        <v>12806</v>
      </c>
      <c r="C39" s="67" t="s">
        <v>12713</v>
      </c>
      <c r="D39" s="67" t="s">
        <v>12714</v>
      </c>
      <c r="E39" s="66" t="s">
        <v>12782</v>
      </c>
      <c r="F39" s="66" t="s">
        <v>12783</v>
      </c>
      <c r="G39" s="66" t="s">
        <v>12717</v>
      </c>
      <c r="H39" s="66" t="s">
        <v>12807</v>
      </c>
      <c r="I39" s="68">
        <v>1</v>
      </c>
      <c r="J39" s="69">
        <v>100</v>
      </c>
      <c r="K39" s="67">
        <f t="shared" si="0"/>
      </c>
      <c r="L39" s="66">
        <v>11050</v>
      </c>
      <c r="M39" s="66">
        <v>10000</v>
      </c>
      <c r="N39" s="63" cm="1">
        <f t="array" ref="N39:N39">_xlfn.XLOOKUP(H39,'OA名单'!C:C,'OA名单'!B:B,1)</f>
      </c>
      <c r="O39" s="63">
        <f t="shared" si="8"/>
      </c>
      <c r="P39" s="63" cm="1">
        <f t="array" ref="P39:P39">_xlfn.XLOOKUP(N39,'OA名单'!B:B,'OA名单'!G:G)</f>
      </c>
      <c r="Q39" s="63">
        <f t="shared" si="11"/>
      </c>
      <c r="R39" s="63" cm="1">
        <f t="array" ref="R39:R39">_xlfn.XLOOKUP(B39,'OA名单'!B:B,'OA名单'!F:F)</f>
      </c>
      <c r="S39" s="63">
        <f t="shared" si="10"/>
      </c>
      <c r="T39" s="70"/>
      <c r="U39" s="63" cm="1">
        <f t="array" ref="U39:U39">_xlfn.XLOOKUP(N39,'OA名单'!B:B,'OA名单'!E:E)</f>
      </c>
      <c r="V39" s="63">
        <f t="shared" si="12"/>
      </c>
      <c r="W39" s="71"/>
      <c r="X39" s="66"/>
      <c r="Y39" s="66"/>
    </row>
    <row hidden="true" r="40">
      <c r="A40" s="66"/>
      <c r="B40" s="66" t="s">
        <v>12808</v>
      </c>
      <c r="C40" s="67" t="s">
        <v>12713</v>
      </c>
      <c r="D40" s="67" t="s">
        <v>12714</v>
      </c>
      <c r="E40" s="66" t="s">
        <v>12782</v>
      </c>
      <c r="F40" s="66" t="s">
        <v>12783</v>
      </c>
      <c r="G40" s="66" t="s">
        <v>12717</v>
      </c>
      <c r="H40" s="66" t="s">
        <v>12809</v>
      </c>
      <c r="I40" s="68">
        <v>1</v>
      </c>
      <c r="J40" s="69">
        <v>100</v>
      </c>
      <c r="K40" s="67">
        <f t="shared" si="0"/>
      </c>
      <c r="L40" s="66">
        <v>340</v>
      </c>
      <c r="M40" s="66">
        <v>10000</v>
      </c>
      <c r="N40" s="63" cm="1">
        <f t="array" ref="N40:N40">_xlfn.XLOOKUP(H40,'OA名单'!C:C,'OA名单'!B:B,1)</f>
      </c>
      <c r="O40" s="63">
        <f t="shared" si="8"/>
      </c>
      <c r="P40" s="63" cm="1">
        <f t="array" ref="P40:P40">_xlfn.XLOOKUP(N40,'OA名单'!B:B,'OA名单'!G:G)</f>
      </c>
      <c r="Q40" s="63">
        <f t="shared" si="11"/>
      </c>
      <c r="R40" s="63" cm="1">
        <f t="array" ref="R40:R40">_xlfn.XLOOKUP(B40,'OA名单'!B:B,'OA名单'!F:F)</f>
      </c>
      <c r="S40" s="63">
        <f t="shared" si="10"/>
      </c>
      <c r="T40" s="70"/>
      <c r="U40" s="63" cm="1">
        <f t="array" ref="U40:U40">_xlfn.XLOOKUP(N40,'OA名单'!B:B,'OA名单'!E:E)</f>
      </c>
      <c r="V40" s="63">
        <f t="shared" si="12"/>
      </c>
      <c r="W40" s="71"/>
      <c r="X40" s="66"/>
      <c r="Y40" s="66"/>
    </row>
    <row hidden="true" r="41">
      <c r="A41" s="66"/>
      <c r="B41" s="66" t="s">
        <v>12810</v>
      </c>
      <c r="C41" s="67" t="s">
        <v>12713</v>
      </c>
      <c r="D41" s="67" t="s">
        <v>12714</v>
      </c>
      <c r="E41" s="66" t="s">
        <v>12782</v>
      </c>
      <c r="F41" s="66" t="s">
        <v>12783</v>
      </c>
      <c r="G41" s="66" t="s">
        <v>12717</v>
      </c>
      <c r="H41" s="66" t="s">
        <v>12811</v>
      </c>
      <c r="I41" s="68">
        <v>1</v>
      </c>
      <c r="J41" s="69">
        <v>100</v>
      </c>
      <c r="K41" s="67">
        <f t="shared" si="0"/>
      </c>
      <c r="L41" s="66">
        <v>850</v>
      </c>
      <c r="M41" s="66">
        <v>10000</v>
      </c>
      <c r="N41" s="63" cm="1">
        <f t="array" ref="N41:N41">_xlfn.XLOOKUP(H41,'OA名单'!C:C,'OA名单'!B:B,1)</f>
      </c>
      <c r="O41" s="63">
        <f t="shared" si="8"/>
      </c>
      <c r="P41" s="63" cm="1">
        <f t="array" ref="P41:P41">_xlfn.XLOOKUP(N41,'OA名单'!B:B,'OA名单'!G:G)</f>
      </c>
      <c r="Q41" s="63">
        <f t="shared" si="11"/>
      </c>
      <c r="R41" s="63" cm="1">
        <f t="array" ref="R41:R41">_xlfn.XLOOKUP(B41,'OA名单'!B:B,'OA名单'!F:F)</f>
      </c>
      <c r="S41" s="63">
        <f t="shared" si="10"/>
      </c>
      <c r="T41" s="70"/>
      <c r="U41" s="63" cm="1">
        <f t="array" ref="U41:U41">_xlfn.XLOOKUP(N41,'OA名单'!B:B,'OA名单'!E:E)</f>
      </c>
      <c r="V41" s="63">
        <f t="shared" si="12"/>
      </c>
      <c r="W41" s="71"/>
      <c r="X41" s="66"/>
      <c r="Y41" s="66"/>
    </row>
    <row hidden="true" r="42">
      <c r="A42" s="66"/>
      <c r="B42" s="66" t="s">
        <v>12812</v>
      </c>
      <c r="C42" s="67" t="s">
        <v>12713</v>
      </c>
      <c r="D42" s="67" t="s">
        <v>12714</v>
      </c>
      <c r="E42" s="66" t="s">
        <v>12782</v>
      </c>
      <c r="F42" s="66" t="s">
        <v>12783</v>
      </c>
      <c r="G42" s="66" t="s">
        <v>12717</v>
      </c>
      <c r="H42" s="66" t="s">
        <v>12813</v>
      </c>
      <c r="I42" s="68">
        <v>1</v>
      </c>
      <c r="J42" s="69">
        <v>100</v>
      </c>
      <c r="K42" s="67">
        <f t="shared" si="0"/>
      </c>
      <c r="L42" s="66">
        <v>0</v>
      </c>
      <c r="M42" s="66">
        <v>10000</v>
      </c>
      <c r="N42" s="63" cm="1">
        <f t="array" ref="N42:N42">_xlfn.XLOOKUP(H42,'OA名单'!C:C,'OA名单'!B:B,1)</f>
      </c>
      <c r="O42" s="63">
        <f t="shared" si="8"/>
      </c>
      <c r="P42" s="63" cm="1">
        <f t="array" ref="P42:P42">_xlfn.XLOOKUP(N42,'OA名单'!B:B,'OA名单'!G:G)</f>
      </c>
      <c r="Q42" s="63">
        <f t="shared" si="11"/>
      </c>
      <c r="R42" s="63" cm="1">
        <f t="array" ref="R42:R42">_xlfn.XLOOKUP(B42,'OA名单'!B:B,'OA名单'!F:F)</f>
      </c>
      <c r="S42" s="63">
        <f t="shared" si="10"/>
      </c>
      <c r="T42" s="70"/>
      <c r="U42" s="63" cm="1">
        <f t="array" ref="U42:U42">_xlfn.XLOOKUP(N42,'OA名单'!B:B,'OA名单'!E:E)</f>
      </c>
      <c r="V42" s="63">
        <f t="shared" si="12"/>
      </c>
      <c r="W42" s="71"/>
      <c r="X42" s="66"/>
      <c r="Y42" s="66"/>
    </row>
    <row hidden="true" r="43">
      <c r="A43" s="66"/>
      <c r="B43" s="66" t="s">
        <v>12814</v>
      </c>
      <c r="C43" s="67" t="s">
        <v>12713</v>
      </c>
      <c r="D43" s="67" t="s">
        <v>12714</v>
      </c>
      <c r="E43" s="66" t="s">
        <v>12782</v>
      </c>
      <c r="F43" s="66" t="s">
        <v>12783</v>
      </c>
      <c r="G43" s="66" t="s">
        <v>12717</v>
      </c>
      <c r="H43" s="66" t="s">
        <v>12815</v>
      </c>
      <c r="I43" s="68">
        <v>1</v>
      </c>
      <c r="J43" s="69">
        <v>100</v>
      </c>
      <c r="K43" s="67">
        <f t="shared" si="0"/>
      </c>
      <c r="L43" s="66">
        <v>0</v>
      </c>
      <c r="M43" s="66">
        <v>10000</v>
      </c>
      <c r="N43" s="63" cm="1">
        <f t="array" ref="N43:N43">_xlfn.XLOOKUP(H43,'OA名单'!C:C,'OA名单'!B:B,1)</f>
      </c>
      <c r="O43" s="63">
        <f t="shared" si="8"/>
      </c>
      <c r="P43" s="63" cm="1">
        <f t="array" ref="P43:P43">_xlfn.XLOOKUP(N43,'OA名单'!B:B,'OA名单'!G:G)</f>
      </c>
      <c r="Q43" s="63">
        <f t="shared" si="11"/>
      </c>
      <c r="R43" s="63" cm="1">
        <f t="array" ref="R43:R43">_xlfn.XLOOKUP(B43,'OA名单'!B:B,'OA名单'!F:F)</f>
      </c>
      <c r="S43" s="63">
        <f t="shared" si="10"/>
      </c>
      <c r="T43" s="70"/>
      <c r="U43" s="63" cm="1">
        <f t="array" ref="U43:U43">_xlfn.XLOOKUP(N43,'OA名单'!B:B,'OA名单'!E:E)</f>
      </c>
      <c r="V43" s="63">
        <f t="shared" si="12"/>
      </c>
      <c r="W43" s="71"/>
      <c r="X43" s="66"/>
      <c r="Y43" s="66"/>
    </row>
    <row hidden="true" r="44">
      <c r="A44" s="66"/>
      <c r="B44" s="66" t="s">
        <v>12816</v>
      </c>
      <c r="C44" s="67" t="s">
        <v>12713</v>
      </c>
      <c r="D44" s="67" t="s">
        <v>12714</v>
      </c>
      <c r="E44" s="69" t="s">
        <v>12715</v>
      </c>
      <c r="F44" s="70" t="s">
        <v>12716</v>
      </c>
      <c r="G44" s="66" t="s">
        <v>12817</v>
      </c>
      <c r="H44" s="66" t="s">
        <v>12818</v>
      </c>
      <c r="I44" s="68">
        <v>1</v>
      </c>
      <c r="J44" s="69">
        <v>100</v>
      </c>
      <c r="K44" s="67">
        <f t="shared" si="0"/>
      </c>
      <c r="L44" s="66">
        <v>1000</v>
      </c>
      <c r="M44" s="66">
        <v>1000</v>
      </c>
      <c r="N44" s="63" cm="1">
        <f t="array" ref="N44:N44">_xlfn.XLOOKUP(H44,'OA名单'!C:C,'OA名单'!B:B,1)</f>
      </c>
      <c r="O44" s="63">
        <f t="shared" si="8"/>
      </c>
      <c r="P44" s="63" cm="1">
        <f t="array" ref="P44:P44">_xlfn.XLOOKUP(N44,'OA名单'!B:B,'OA名单'!G:G)</f>
      </c>
      <c r="Q44" s="63">
        <f t="shared" si="11"/>
      </c>
      <c r="R44" s="63" cm="1">
        <f t="array" ref="R44:R44">_xlfn.XLOOKUP(B44,'OA名单'!B:B,'OA名单'!F:F)</f>
      </c>
      <c r="S44" s="63">
        <f t="shared" si="10"/>
      </c>
      <c r="T44" s="64" cm="1">
        <f t="array" ref="T44:T44">_xlfn.XLOOKUP(B44,'系统-原始（副本）'!A:A,'系统-原始（副本）'!B:B)</f>
      </c>
      <c r="U44" s="63" cm="1">
        <f t="array" ref="U44:U44">_xlfn.XLOOKUP(N44,'OA名单'!B:B,'OA名单'!E:E)</f>
      </c>
      <c r="V44" s="63">
        <f t="shared" si="12"/>
      </c>
      <c r="W44" s="71"/>
      <c r="X44" s="66"/>
      <c r="Y44" s="66"/>
    </row>
    <row hidden="true" r="45">
      <c r="A45" s="66"/>
      <c r="B45" s="66" t="s">
        <v>12819</v>
      </c>
      <c r="C45" s="67" t="s">
        <v>12713</v>
      </c>
      <c r="D45" s="67" t="s">
        <v>12714</v>
      </c>
      <c r="E45" s="69" t="s">
        <v>12715</v>
      </c>
      <c r="F45" s="70" t="s">
        <v>12716</v>
      </c>
      <c r="G45" s="66" t="s">
        <v>12817</v>
      </c>
      <c r="H45" s="66" t="s">
        <v>12820</v>
      </c>
      <c r="I45" s="68">
        <v>0.99315</v>
      </c>
      <c r="J45" s="69">
        <v>99.32</v>
      </c>
      <c r="K45" s="67">
        <f t="shared" si="0"/>
      </c>
      <c r="L45" s="66">
        <v>2200</v>
      </c>
      <c r="M45" s="66">
        <v>1000</v>
      </c>
      <c r="N45" s="63" cm="1">
        <f t="array" ref="N45:N45">_xlfn.XLOOKUP(H45,'OA名单'!C:C,'OA名单'!B:B,1)</f>
      </c>
      <c r="O45" s="63">
        <f t="shared" si="8"/>
      </c>
      <c r="P45" s="63" cm="1">
        <f t="array" ref="P45:P45">_xlfn.XLOOKUP(N45,'OA名单'!B:B,'OA名单'!G:G)</f>
      </c>
      <c r="Q45" s="63">
        <f t="shared" si="11"/>
      </c>
      <c r="R45" s="63" cm="1">
        <f t="array" ref="R45:R45">_xlfn.XLOOKUP(B45,'OA名单'!B:B,'OA名单'!F:F)</f>
      </c>
      <c r="S45" s="63">
        <f t="shared" si="10"/>
      </c>
      <c r="T45" s="64" cm="1">
        <f t="array" ref="T45:T45">_xlfn.XLOOKUP(B45,'系统-原始（副本）'!A:A,'系统-原始（副本）'!B:B)</f>
      </c>
      <c r="U45" s="63" cm="1">
        <f t="array" ref="U45:U45">_xlfn.XLOOKUP(N45,'OA名单'!B:B,'OA名单'!E:E)</f>
      </c>
      <c r="V45" s="63">
        <f t="shared" si="12"/>
      </c>
      <c r="W45" s="71"/>
      <c r="X45" s="66"/>
      <c r="Y45" s="66"/>
    </row>
    <row hidden="true" r="46">
      <c r="A46" s="66"/>
      <c r="B46" s="66" t="s">
        <v>12821</v>
      </c>
      <c r="C46" s="67" t="s">
        <v>12713</v>
      </c>
      <c r="D46" s="67" t="s">
        <v>12714</v>
      </c>
      <c r="E46" s="66" t="s">
        <v>12715</v>
      </c>
      <c r="F46" s="66" t="s">
        <v>12716</v>
      </c>
      <c r="G46" s="66" t="s">
        <v>12817</v>
      </c>
      <c r="H46" s="66" t="s">
        <v>12822</v>
      </c>
      <c r="I46" s="68">
        <v>0.9929</v>
      </c>
      <c r="J46" s="69">
        <v>99.29</v>
      </c>
      <c r="K46" s="67">
        <f t="shared" si="0"/>
      </c>
      <c r="L46" s="66">
        <v>1750</v>
      </c>
      <c r="M46" s="66">
        <v>1000</v>
      </c>
      <c r="N46" s="63" cm="1">
        <f t="array" ref="N46:N46">_xlfn.XLOOKUP(H46,'OA名单'!C:C,'OA名单'!B:B,1)</f>
      </c>
      <c r="O46" s="63">
        <f t="shared" si="8"/>
      </c>
      <c r="P46" s="63" cm="1">
        <f t="array" ref="P46:P46">_xlfn.XLOOKUP(N46,'OA名单'!B:B,'OA名单'!G:G)</f>
      </c>
      <c r="Q46" s="63">
        <f t="shared" si="11"/>
      </c>
      <c r="R46" s="63" cm="1">
        <f t="array" ref="R46:R46">_xlfn.XLOOKUP(B46,'OA名单'!B:B,'OA名单'!F:F)</f>
      </c>
      <c r="S46" s="63">
        <f t="shared" si="10"/>
      </c>
      <c r="T46" s="70"/>
      <c r="U46" s="63" cm="1">
        <f t="array" ref="U46:U46">_xlfn.XLOOKUP(N46,'OA名单'!B:B,'OA名单'!E:E)</f>
      </c>
      <c r="V46" s="63">
        <f t="shared" si="12"/>
      </c>
      <c r="W46" s="71"/>
      <c r="X46" s="66"/>
      <c r="Y46" s="66"/>
    </row>
    <row hidden="true" r="47">
      <c r="A47" s="66"/>
      <c r="B47" s="66" t="s">
        <v>12823</v>
      </c>
      <c r="C47" s="67" t="s">
        <v>12713</v>
      </c>
      <c r="D47" s="67" t="s">
        <v>12714</v>
      </c>
      <c r="E47" s="69" t="s">
        <v>12782</v>
      </c>
      <c r="F47" s="70" t="s">
        <v>12783</v>
      </c>
      <c r="G47" s="66" t="s">
        <v>12817</v>
      </c>
      <c r="H47" s="66" t="s">
        <v>12824</v>
      </c>
      <c r="I47" s="68">
        <v>0.9788</v>
      </c>
      <c r="J47" s="69">
        <v>98.88</v>
      </c>
      <c r="K47" s="67">
        <f t="shared" si="0"/>
      </c>
      <c r="L47" s="66">
        <v>1900</v>
      </c>
      <c r="M47" s="66">
        <v>1000</v>
      </c>
      <c r="N47" s="63" cm="1">
        <f t="array" ref="N47:N47">_xlfn.XLOOKUP(H47,'OA名单'!C:C,'OA名单'!B:B,1)</f>
      </c>
      <c r="O47" s="63">
        <f t="shared" si="8"/>
      </c>
      <c r="P47" s="63" cm="1">
        <f t="array" ref="P47:P47">_xlfn.XLOOKUP(N47,'OA名单'!B:B,'OA名单'!G:G)</f>
      </c>
      <c r="Q47" s="63">
        <f t="shared" si="11"/>
      </c>
      <c r="R47" s="63" cm="1">
        <f t="array" ref="R47:R47">_xlfn.XLOOKUP(B47,'OA名单'!B:B,'OA名单'!F:F)</f>
      </c>
      <c r="S47" s="63">
        <f t="shared" si="10"/>
      </c>
      <c r="T47" s="64" cm="1">
        <f t="array" ref="T47:T47">_xlfn.XLOOKUP(B47,'系统-原始（副本）'!A:A,'系统-原始（副本）'!B:B)</f>
      </c>
      <c r="U47" s="63" cm="1">
        <f t="array" ref="U47:U47">_xlfn.XLOOKUP(N47,'OA名单'!B:B,'OA名单'!E:E)</f>
      </c>
      <c r="V47" s="63">
        <f t="shared" si="12"/>
      </c>
      <c r="W47" s="71"/>
      <c r="X47" s="66"/>
      <c r="Y47" s="66"/>
    </row>
    <row hidden="true" r="48">
      <c r="A48" s="66"/>
      <c r="B48" s="66" t="s">
        <v>12825</v>
      </c>
      <c r="C48" s="67" t="s">
        <v>12713</v>
      </c>
      <c r="D48" s="67" t="s">
        <v>12714</v>
      </c>
      <c r="E48" s="66" t="s">
        <v>12715</v>
      </c>
      <c r="F48" s="66" t="s">
        <v>12716</v>
      </c>
      <c r="G48" s="66" t="s">
        <v>12817</v>
      </c>
      <c r="H48" s="66" t="s">
        <v>12826</v>
      </c>
      <c r="I48" s="68">
        <v>0.98615</v>
      </c>
      <c r="J48" s="69">
        <v>98.62</v>
      </c>
      <c r="K48" s="67">
        <f t="shared" si="0"/>
      </c>
      <c r="L48" s="66">
        <v>1500</v>
      </c>
      <c r="M48" s="66">
        <v>1000</v>
      </c>
      <c r="N48" s="63" cm="1">
        <f t="array" ref="N48:N48">_xlfn.XLOOKUP(H48,'OA名单'!C:C,'OA名单'!B:B,1)</f>
      </c>
      <c r="O48" s="63">
        <f t="shared" si="8"/>
      </c>
      <c r="P48" s="63" cm="1">
        <f t="array" ref="P48:P48">_xlfn.XLOOKUP(N48,'OA名单'!B:B,'OA名单'!G:G)</f>
      </c>
      <c r="Q48" s="63">
        <f t="shared" si="11"/>
      </c>
      <c r="R48" s="63" cm="1">
        <f t="array" ref="R48:R48">_xlfn.XLOOKUP(B48,'OA名单'!B:B,'OA名单'!F:F)</f>
      </c>
      <c r="S48" s="63">
        <f t="shared" si="10"/>
      </c>
      <c r="T48" s="70"/>
      <c r="U48" s="63" cm="1">
        <f t="array" ref="U48:U48">_xlfn.XLOOKUP(N48,'OA名单'!B:B,'OA名单'!E:E)</f>
      </c>
      <c r="V48" s="63">
        <f t="shared" si="12"/>
      </c>
      <c r="W48" s="71"/>
      <c r="X48" s="66"/>
      <c r="Y48" s="66"/>
    </row>
    <row hidden="true" r="49">
      <c r="A49" s="66"/>
      <c r="B49" s="66" t="s">
        <v>12827</v>
      </c>
      <c r="C49" s="67" t="s">
        <v>12713</v>
      </c>
      <c r="D49" s="67" t="s">
        <v>12714</v>
      </c>
      <c r="E49" s="69" t="s">
        <v>12715</v>
      </c>
      <c r="F49" s="70" t="s">
        <v>12716</v>
      </c>
      <c r="G49" s="66" t="s">
        <v>12817</v>
      </c>
      <c r="H49" s="66" t="s">
        <v>12828</v>
      </c>
      <c r="I49" s="68">
        <v>0.98565</v>
      </c>
      <c r="J49" s="69">
        <v>98.57</v>
      </c>
      <c r="K49" s="67">
        <f t="shared" si="0"/>
      </c>
      <c r="L49" s="66">
        <v>1650</v>
      </c>
      <c r="M49" s="66">
        <v>1000</v>
      </c>
      <c r="N49" s="63" cm="1">
        <f t="array" ref="N49:N49">_xlfn.XLOOKUP(H49,'OA名单'!C:C,'OA名单'!B:B,1)</f>
      </c>
      <c r="O49" s="63">
        <f t="shared" si="8"/>
      </c>
      <c r="P49" s="63" cm="1">
        <f t="array" ref="P49:P49">_xlfn.XLOOKUP(N49,'OA名单'!B:B,'OA名单'!G:G)</f>
      </c>
      <c r="Q49" s="63">
        <f t="shared" si="11"/>
      </c>
      <c r="R49" s="63" cm="1">
        <f t="array" ref="R49:R49">_xlfn.XLOOKUP(B49,'OA名单'!B:B,'OA名单'!F:F)</f>
      </c>
      <c r="S49" s="63">
        <f t="shared" si="10"/>
      </c>
      <c r="T49" s="64" cm="1">
        <f t="array" ref="T49:T49">_xlfn.XLOOKUP(B49,'系统-原始（副本）'!A:A,'系统-原始（副本）'!B:B)</f>
      </c>
      <c r="U49" s="63" cm="1">
        <f t="array" ref="U49:U49">_xlfn.XLOOKUP(N49,'OA名单'!B:B,'OA名单'!E:E)</f>
      </c>
      <c r="V49" s="63">
        <f t="shared" si="12"/>
      </c>
      <c r="W49" s="71"/>
      <c r="X49" s="66"/>
      <c r="Y49" s="66"/>
    </row>
    <row hidden="true" r="50">
      <c r="A50" s="66"/>
      <c r="B50" s="66" t="s">
        <v>12829</v>
      </c>
      <c r="C50" s="67" t="s">
        <v>12713</v>
      </c>
      <c r="D50" s="67" t="s">
        <v>12714</v>
      </c>
      <c r="E50" s="66" t="s">
        <v>12715</v>
      </c>
      <c r="F50" s="66" t="s">
        <v>12716</v>
      </c>
      <c r="G50" s="66" t="s">
        <v>12817</v>
      </c>
      <c r="H50" s="66" t="s">
        <v>12830</v>
      </c>
      <c r="I50" s="68">
        <v>0.9853</v>
      </c>
      <c r="J50" s="69">
        <v>98.53</v>
      </c>
      <c r="K50" s="67">
        <f t="shared" si="0"/>
      </c>
      <c r="L50" s="66">
        <v>1425</v>
      </c>
      <c r="M50" s="66">
        <v>1000</v>
      </c>
      <c r="N50" s="63" cm="1">
        <f t="array" ref="N50:N50">_xlfn.XLOOKUP(H50,'OA名单'!C:C,'OA名单'!B:B,1)</f>
      </c>
      <c r="O50" s="63">
        <f t="shared" si="8"/>
      </c>
      <c r="P50" s="63" cm="1">
        <f t="array" ref="P50:P50">_xlfn.XLOOKUP(N50,'OA名单'!B:B,'OA名单'!G:G)</f>
      </c>
      <c r="Q50" s="63">
        <f t="shared" si="11"/>
      </c>
      <c r="R50" s="63" cm="1">
        <f t="array" ref="R50:R50">_xlfn.XLOOKUP(B50,'OA名单'!B:B,'OA名单'!F:F)</f>
      </c>
      <c r="S50" s="63">
        <f t="shared" si="10"/>
      </c>
      <c r="T50" s="70"/>
      <c r="U50" s="63" cm="1">
        <f t="array" ref="U50:U50">_xlfn.XLOOKUP(N50,'OA名单'!B:B,'OA名单'!E:E)</f>
      </c>
      <c r="V50" s="63">
        <f t="shared" si="12"/>
      </c>
      <c r="W50" s="71"/>
      <c r="X50" s="66"/>
      <c r="Y50" s="66"/>
    </row>
    <row hidden="true" r="51">
      <c r="A51" s="66"/>
      <c r="B51" s="66" t="s">
        <v>12831</v>
      </c>
      <c r="C51" s="67" t="s">
        <v>12713</v>
      </c>
      <c r="D51" s="67" t="s">
        <v>12714</v>
      </c>
      <c r="E51" s="69" t="s">
        <v>12782</v>
      </c>
      <c r="F51" s="70" t="s">
        <v>12783</v>
      </c>
      <c r="G51" s="66" t="s">
        <v>12817</v>
      </c>
      <c r="H51" s="66" t="s">
        <v>12832</v>
      </c>
      <c r="I51" s="68">
        <v>0.98</v>
      </c>
      <c r="J51" s="69">
        <v>98.5</v>
      </c>
      <c r="K51" s="67">
        <f t="shared" si="0"/>
      </c>
      <c r="L51" s="66">
        <v>1900</v>
      </c>
      <c r="M51" s="66">
        <v>1000</v>
      </c>
      <c r="N51" s="63" cm="1">
        <f t="array" ref="N51:N51">_xlfn.XLOOKUP(H51,'OA名单'!C:C,'OA名单'!B:B,1)</f>
      </c>
      <c r="O51" s="63">
        <f t="shared" si="8"/>
      </c>
      <c r="P51" s="63" cm="1">
        <f t="array" ref="P51:P51">_xlfn.XLOOKUP(N51,'OA名单'!B:B,'OA名单'!G:G)</f>
      </c>
      <c r="Q51" s="63">
        <f t="shared" si="11"/>
      </c>
      <c r="R51" s="63" cm="1">
        <f t="array" ref="R51:R51">_xlfn.XLOOKUP(B51,'OA名单'!B:B,'OA名单'!F:F)</f>
      </c>
      <c r="S51" s="63">
        <f t="shared" si="10"/>
      </c>
      <c r="T51" s="64" cm="1">
        <f t="array" ref="T51:T51">_xlfn.XLOOKUP(B51,'系统-原始（副本）'!A:A,'系统-原始（副本）'!B:B)</f>
      </c>
      <c r="U51" s="63" cm="1">
        <f t="array" ref="U51:U51">_xlfn.XLOOKUP(N51,'OA名单'!B:B,'OA名单'!E:E)</f>
      </c>
      <c r="V51" s="63">
        <f t="shared" si="12"/>
      </c>
      <c r="W51" s="71"/>
      <c r="X51" s="66"/>
      <c r="Y51" s="66"/>
    </row>
    <row hidden="true" r="52">
      <c r="A52" s="66"/>
      <c r="B52" s="66" t="s">
        <v>12833</v>
      </c>
      <c r="C52" s="67" t="s">
        <v>12713</v>
      </c>
      <c r="D52" s="67" t="s">
        <v>12714</v>
      </c>
      <c r="E52" s="66" t="s">
        <v>12715</v>
      </c>
      <c r="F52" s="66" t="s">
        <v>12716</v>
      </c>
      <c r="G52" s="66" t="s">
        <v>12817</v>
      </c>
      <c r="H52" s="66" t="s">
        <v>12834</v>
      </c>
      <c r="I52" s="68">
        <v>0.9844</v>
      </c>
      <c r="J52" s="69">
        <v>98.44</v>
      </c>
      <c r="K52" s="67">
        <f t="shared" si="0"/>
      </c>
      <c r="L52" s="66">
        <v>1225</v>
      </c>
      <c r="M52" s="66">
        <v>1000</v>
      </c>
      <c r="N52" s="63" cm="1">
        <f t="array" ref="N52:N52">_xlfn.XLOOKUP(H52,'OA名单'!C:C,'OA名单'!B:B,1)</f>
      </c>
      <c r="O52" s="63">
        <f t="shared" si="8"/>
      </c>
      <c r="P52" s="63" cm="1">
        <f t="array" ref="P52:P52">_xlfn.XLOOKUP(N52,'OA名单'!B:B,'OA名单'!G:G)</f>
      </c>
      <c r="Q52" s="63">
        <f t="shared" si="11"/>
      </c>
      <c r="R52" s="63" cm="1">
        <f t="array" ref="R52:R52">_xlfn.XLOOKUP(B52,'OA名单'!B:B,'OA名单'!F:F)</f>
      </c>
      <c r="S52" s="63">
        <f t="shared" si="10"/>
      </c>
      <c r="T52" s="70"/>
      <c r="U52" s="63" cm="1">
        <f t="array" ref="U52:U52">_xlfn.XLOOKUP(N52,'OA名单'!B:B,'OA名单'!E:E)</f>
      </c>
      <c r="V52" s="63">
        <f t="shared" si="12"/>
      </c>
      <c r="W52" s="71"/>
      <c r="X52" s="66"/>
      <c r="Y52" s="66"/>
    </row>
    <row hidden="true" r="53">
      <c r="A53" s="66"/>
      <c r="B53" s="66" t="s">
        <v>12835</v>
      </c>
      <c r="C53" s="67" t="s">
        <v>12713</v>
      </c>
      <c r="D53" s="67" t="s">
        <v>12714</v>
      </c>
      <c r="E53" s="66" t="s">
        <v>12782</v>
      </c>
      <c r="F53" s="66" t="s">
        <v>12783</v>
      </c>
      <c r="G53" s="66" t="s">
        <v>12817</v>
      </c>
      <c r="H53" s="66" t="s">
        <v>12836</v>
      </c>
      <c r="I53" s="68">
        <v>0.9782</v>
      </c>
      <c r="J53" s="69">
        <v>98.32</v>
      </c>
      <c r="K53" s="67">
        <f t="shared" si="0"/>
      </c>
      <c r="L53" s="66">
        <v>1300</v>
      </c>
      <c r="M53" s="66">
        <v>1000</v>
      </c>
      <c r="N53" s="63" cm="1">
        <f t="array" ref="N53:N53">_xlfn.XLOOKUP(H53,'OA名单'!C:C,'OA名单'!B:B,1)</f>
      </c>
      <c r="O53" s="63">
        <f t="shared" si="8"/>
      </c>
      <c r="P53" s="63" cm="1">
        <f t="array" ref="P53:P53">_xlfn.XLOOKUP(N53,'OA名单'!B:B,'OA名单'!G:G)</f>
      </c>
      <c r="Q53" s="63">
        <f t="shared" si="11"/>
      </c>
      <c r="R53" s="63" cm="1">
        <f t="array" ref="R53:R53">_xlfn.XLOOKUP(B53,'OA名单'!B:B,'OA名单'!F:F)</f>
      </c>
      <c r="S53" s="63">
        <f t="shared" si="10"/>
      </c>
      <c r="T53" s="70"/>
      <c r="U53" s="63" cm="1">
        <f t="array" ref="U53:U53">_xlfn.XLOOKUP(N53,'OA名单'!B:B,'OA名单'!E:E)</f>
      </c>
      <c r="V53" s="63">
        <f t="shared" si="12"/>
      </c>
      <c r="W53" s="71"/>
      <c r="X53" s="66"/>
      <c r="Y53" s="66"/>
    </row>
    <row hidden="true" r="54">
      <c r="A54" s="66"/>
      <c r="B54" s="66" t="s">
        <v>12837</v>
      </c>
      <c r="C54" s="67" t="s">
        <v>12713</v>
      </c>
      <c r="D54" s="67" t="s">
        <v>12714</v>
      </c>
      <c r="E54" s="66" t="s">
        <v>12715</v>
      </c>
      <c r="F54" s="66" t="s">
        <v>12716</v>
      </c>
      <c r="G54" s="66" t="s">
        <v>12817</v>
      </c>
      <c r="H54" s="66" t="s">
        <v>12838</v>
      </c>
      <c r="I54" s="68">
        <v>0.9811</v>
      </c>
      <c r="J54" s="69">
        <v>98.11</v>
      </c>
      <c r="K54" s="67">
        <f t="shared" si="0"/>
      </c>
      <c r="L54" s="66">
        <v>1100</v>
      </c>
      <c r="M54" s="66">
        <v>1000</v>
      </c>
      <c r="N54" s="63" cm="1">
        <f t="array" ref="N54:N54">_xlfn.XLOOKUP(H54,'OA名单'!C:C,'OA名单'!B:B,1)</f>
      </c>
      <c r="O54" s="63">
        <f t="shared" si="8"/>
      </c>
      <c r="P54" s="63" cm="1">
        <f t="array" ref="P54:P54">_xlfn.XLOOKUP(N54,'OA名单'!B:B,'OA名单'!G:G)</f>
      </c>
      <c r="Q54" s="63">
        <f t="shared" si="11"/>
      </c>
      <c r="R54" s="63" cm="1">
        <f t="array" ref="R54:R54">_xlfn.XLOOKUP(B54,'OA名单'!B:B,'OA名单'!F:F)</f>
      </c>
      <c r="S54" s="63">
        <f t="shared" si="10"/>
      </c>
      <c r="T54" s="70"/>
      <c r="U54" s="63" cm="1">
        <f t="array" ref="U54:U54">_xlfn.XLOOKUP(N54,'OA名单'!B:B,'OA名单'!E:E)</f>
      </c>
      <c r="V54" s="63">
        <f t="shared" si="12"/>
      </c>
      <c r="W54" s="71"/>
      <c r="X54" s="66"/>
      <c r="Y54" s="66"/>
    </row>
    <row hidden="true" r="55">
      <c r="A55" s="66"/>
      <c r="B55" s="66" t="s">
        <v>12839</v>
      </c>
      <c r="C55" s="67" t="s">
        <v>12713</v>
      </c>
      <c r="D55" s="67" t="s">
        <v>12714</v>
      </c>
      <c r="E55" s="66" t="s">
        <v>12782</v>
      </c>
      <c r="F55" s="66" t="s">
        <v>12783</v>
      </c>
      <c r="G55" s="66" t="s">
        <v>12817</v>
      </c>
      <c r="H55" s="66" t="s">
        <v>12840</v>
      </c>
      <c r="I55" s="68">
        <v>0.9779</v>
      </c>
      <c r="J55" s="69">
        <v>98.04</v>
      </c>
      <c r="K55" s="67">
        <f t="shared" si="0"/>
      </c>
      <c r="L55" s="66">
        <v>1600</v>
      </c>
      <c r="M55" s="66">
        <v>1000</v>
      </c>
      <c r="N55" s="63" cm="1">
        <f t="array" ref="N55:N55">_xlfn.XLOOKUP(H55,'OA名单'!C:C,'OA名单'!B:B,1)</f>
      </c>
      <c r="O55" s="63">
        <f t="shared" si="8"/>
      </c>
      <c r="P55" s="63" cm="1">
        <f t="array" ref="P55:P55">_xlfn.XLOOKUP(N55,'OA名单'!B:B,'OA名单'!G:G)</f>
      </c>
      <c r="Q55" s="63">
        <f t="shared" si="11"/>
      </c>
      <c r="R55" s="63" cm="1">
        <f t="array" ref="R55:R55">_xlfn.XLOOKUP(B55,'OA名单'!B:B,'OA名单'!F:F)</f>
      </c>
      <c r="S55" s="63">
        <f t="shared" si="10"/>
      </c>
      <c r="T55" s="70"/>
      <c r="U55" s="63" cm="1">
        <f t="array" ref="U55:U55">_xlfn.XLOOKUP(N55,'OA名单'!B:B,'OA名单'!E:E)</f>
      </c>
      <c r="V55" s="63">
        <f t="shared" si="12"/>
      </c>
      <c r="W55" s="71"/>
      <c r="X55" s="66"/>
      <c r="Y55" s="66"/>
    </row>
    <row hidden="true" r="56">
      <c r="A56" s="66"/>
      <c r="B56" s="66" t="s">
        <v>12841</v>
      </c>
      <c r="C56" s="67" t="s">
        <v>12713</v>
      </c>
      <c r="D56" s="67" t="s">
        <v>12714</v>
      </c>
      <c r="E56" s="66" t="s">
        <v>12715</v>
      </c>
      <c r="F56" s="66" t="s">
        <v>12716</v>
      </c>
      <c r="G56" s="66" t="s">
        <v>12817</v>
      </c>
      <c r="H56" s="66" t="s">
        <v>12842</v>
      </c>
      <c r="I56" s="68">
        <v>0.9802</v>
      </c>
      <c r="J56" s="69">
        <v>98.02</v>
      </c>
      <c r="K56" s="67">
        <f t="shared" si="0"/>
      </c>
      <c r="L56" s="66">
        <v>700</v>
      </c>
      <c r="M56" s="66">
        <v>1000</v>
      </c>
      <c r="N56" s="63" cm="1">
        <f t="array" ref="N56:N56">_xlfn.XLOOKUP(H56,'OA名单'!C:C,'OA名单'!B:B,1)</f>
      </c>
      <c r="O56" s="63">
        <f t="shared" si="8"/>
      </c>
      <c r="P56" s="63" cm="1">
        <f t="array" ref="P56:P56">_xlfn.XLOOKUP(N56,'OA名单'!B:B,'OA名单'!G:G)</f>
      </c>
      <c r="Q56" s="63">
        <f t="shared" si="11"/>
      </c>
      <c r="R56" s="63" cm="1">
        <f t="array" ref="R56:R56">_xlfn.XLOOKUP(B56,'OA名单'!B:B,'OA名单'!F:F)</f>
      </c>
      <c r="S56" s="63">
        <f t="shared" si="10"/>
      </c>
      <c r="T56" s="70"/>
      <c r="U56" s="63" cm="1">
        <f t="array" ref="U56:U56">_xlfn.XLOOKUP(N56,'OA名单'!B:B,'OA名单'!E:E)</f>
      </c>
      <c r="V56" s="63">
        <f t="shared" si="12"/>
      </c>
      <c r="W56" s="71"/>
      <c r="X56" s="66"/>
      <c r="Y56" s="66"/>
    </row>
    <row hidden="true" r="57">
      <c r="A57" s="66"/>
      <c r="B57" s="66" t="s">
        <v>12843</v>
      </c>
      <c r="C57" s="67" t="s">
        <v>12713</v>
      </c>
      <c r="D57" s="67" t="s">
        <v>12714</v>
      </c>
      <c r="E57" s="66" t="s">
        <v>12782</v>
      </c>
      <c r="F57" s="66" t="s">
        <v>12783</v>
      </c>
      <c r="G57" s="66" t="s">
        <v>12817</v>
      </c>
      <c r="H57" s="66" t="s">
        <v>12844</v>
      </c>
      <c r="I57" s="68">
        <v>0.9788</v>
      </c>
      <c r="J57" s="69">
        <v>97.88</v>
      </c>
      <c r="K57" s="67">
        <f t="shared" si="0"/>
      </c>
      <c r="L57" s="66">
        <v>1000</v>
      </c>
      <c r="M57" s="66">
        <v>1000</v>
      </c>
      <c r="N57" s="63" cm="1">
        <f t="array" ref="N57:N57">_xlfn.XLOOKUP(H57,'OA名单'!C:C,'OA名单'!B:B,1)</f>
      </c>
      <c r="O57" s="63">
        <f t="shared" si="8"/>
      </c>
      <c r="P57" s="63" cm="1">
        <f t="array" ref="P57:P57">_xlfn.XLOOKUP(N57,'OA名单'!B:B,'OA名单'!G:G)</f>
      </c>
      <c r="Q57" s="63">
        <f t="shared" si="11"/>
      </c>
      <c r="R57" s="63" cm="1">
        <f t="array" ref="R57:R57">_xlfn.XLOOKUP(B57,'OA名单'!B:B,'OA名单'!F:F)</f>
      </c>
      <c r="S57" s="63">
        <f t="shared" si="10"/>
      </c>
      <c r="T57" s="70"/>
      <c r="U57" s="63" cm="1">
        <f t="array" ref="U57:U57">_xlfn.XLOOKUP(N57,'OA名单'!B:B,'OA名单'!E:E)</f>
      </c>
      <c r="V57" s="63">
        <f t="shared" si="12"/>
      </c>
      <c r="W57" s="71"/>
      <c r="X57" s="66"/>
      <c r="Y57" s="66"/>
    </row>
    <row hidden="true" r="58">
      <c r="A58" s="66"/>
      <c r="B58" s="66" t="s">
        <v>12845</v>
      </c>
      <c r="C58" s="67" t="s">
        <v>12713</v>
      </c>
      <c r="D58" s="67" t="s">
        <v>12714</v>
      </c>
      <c r="E58" s="69" t="s">
        <v>12782</v>
      </c>
      <c r="F58" s="70" t="s">
        <v>12783</v>
      </c>
      <c r="G58" s="66" t="s">
        <v>12817</v>
      </c>
      <c r="H58" s="66" t="s">
        <v>12846</v>
      </c>
      <c r="I58" s="68">
        <v>0.9782</v>
      </c>
      <c r="J58" s="69">
        <v>97.82</v>
      </c>
      <c r="K58" s="67">
        <f t="shared" si="0"/>
      </c>
      <c r="L58" s="66">
        <v>2400</v>
      </c>
      <c r="M58" s="66">
        <v>1000</v>
      </c>
      <c r="N58" s="63" cm="1">
        <f t="array" ref="N58:N58">_xlfn.XLOOKUP(H58,'OA名单'!C:C,'OA名单'!B:B,1)</f>
      </c>
      <c r="O58" s="63">
        <f t="shared" si="8"/>
      </c>
      <c r="P58" s="63" cm="1">
        <f t="array" ref="P58:P58">_xlfn.XLOOKUP(N58,'OA名单'!B:B,'OA名单'!G:G)</f>
      </c>
      <c r="Q58" s="63">
        <f t="shared" si="11"/>
      </c>
      <c r="R58" s="63" cm="1">
        <f t="array" ref="R58:R58">_xlfn.XLOOKUP(B58,'OA名单'!B:B,'OA名单'!F:F)</f>
      </c>
      <c r="S58" s="63">
        <f t="shared" si="10"/>
      </c>
      <c r="T58" s="64" cm="1">
        <f t="array" ref="T58:T58">_xlfn.XLOOKUP(B58,'系统-原始（副本）'!A:A,'系统-原始（副本）'!B:B)</f>
      </c>
      <c r="U58" s="63" cm="1">
        <f t="array" ref="U58:U58">_xlfn.XLOOKUP(N58,'OA名单'!B:B,'OA名单'!E:E)</f>
      </c>
      <c r="V58" s="63">
        <f t="shared" si="12"/>
      </c>
      <c r="W58" s="71"/>
      <c r="X58" s="66"/>
      <c r="Y58" s="66"/>
    </row>
    <row hidden="true" r="59">
      <c r="A59" s="66"/>
      <c r="B59" s="66" t="s">
        <v>12847</v>
      </c>
      <c r="C59" s="67" t="s">
        <v>12713</v>
      </c>
      <c r="D59" s="67" t="s">
        <v>12714</v>
      </c>
      <c r="E59" s="69" t="s">
        <v>12715</v>
      </c>
      <c r="F59" s="70" t="s">
        <v>12716</v>
      </c>
      <c r="G59" s="66" t="s">
        <v>12817</v>
      </c>
      <c r="H59" s="66" t="s">
        <v>12848</v>
      </c>
      <c r="I59" s="68">
        <v>0.9778</v>
      </c>
      <c r="J59" s="69">
        <v>97.78</v>
      </c>
      <c r="K59" s="67">
        <f t="shared" si="0"/>
      </c>
      <c r="L59" s="66">
        <v>700</v>
      </c>
      <c r="M59" s="66">
        <v>1000</v>
      </c>
      <c r="N59" s="63" cm="1">
        <f t="array" ref="N59:N59">_xlfn.XLOOKUP(H59,'OA名单'!C:C,'OA名单'!B:B,1)</f>
      </c>
      <c r="O59" s="63">
        <f t="shared" si="8"/>
      </c>
      <c r="P59" s="63" cm="1">
        <f t="array" ref="P59:P59">_xlfn.XLOOKUP(N59,'OA名单'!B:B,'OA名单'!G:G)</f>
      </c>
      <c r="Q59" s="63">
        <f t="shared" si="11"/>
      </c>
      <c r="R59" s="63" cm="1">
        <f t="array" ref="R59:R59">_xlfn.XLOOKUP(B59,'OA名单'!B:B,'OA名单'!F:F)</f>
      </c>
      <c r="S59" s="63">
        <f t="shared" si="10"/>
      </c>
      <c r="T59" s="64" cm="1">
        <f t="array" ref="T59:T59">_xlfn.XLOOKUP(B59,'系统-原始（副本）'!A:A,'系统-原始（副本）'!B:B)</f>
      </c>
      <c r="U59" s="63" cm="1">
        <f t="array" ref="U59:U59">_xlfn.XLOOKUP(N59,'OA名单'!B:B,'OA名单'!E:E)</f>
      </c>
      <c r="V59" s="63">
        <f t="shared" si="12"/>
      </c>
      <c r="W59" s="71"/>
      <c r="X59" s="66"/>
      <c r="Y59" s="66"/>
    </row>
    <row hidden="true" r="60">
      <c r="A60" s="66"/>
      <c r="B60" s="66" t="s">
        <v>12849</v>
      </c>
      <c r="C60" s="67" t="s">
        <v>12713</v>
      </c>
      <c r="D60" s="67" t="s">
        <v>12714</v>
      </c>
      <c r="E60" s="66" t="s">
        <v>12782</v>
      </c>
      <c r="F60" s="66" t="s">
        <v>12783</v>
      </c>
      <c r="G60" s="66" t="s">
        <v>12817</v>
      </c>
      <c r="H60" s="66" t="s">
        <v>12850</v>
      </c>
      <c r="I60" s="68">
        <v>0.9776</v>
      </c>
      <c r="J60" s="69">
        <v>97.76</v>
      </c>
      <c r="K60" s="67">
        <f t="shared" si="0"/>
      </c>
      <c r="L60" s="66">
        <v>2100</v>
      </c>
      <c r="M60" s="66">
        <v>1000</v>
      </c>
      <c r="N60" s="63" cm="1">
        <f t="array" ref="N60:N60">_xlfn.XLOOKUP(H60,'OA名单'!C:C,'OA名单'!B:B,1)</f>
      </c>
      <c r="O60" s="63">
        <f t="shared" si="8"/>
      </c>
      <c r="P60" s="63" cm="1">
        <f t="array" ref="P60:P60">_xlfn.XLOOKUP(N60,'OA名单'!B:B,'OA名单'!G:G)</f>
      </c>
      <c r="Q60" s="63">
        <f t="shared" si="11"/>
      </c>
      <c r="R60" s="63" cm="1">
        <f t="array" ref="R60:R60">_xlfn.XLOOKUP(B60,'OA名单'!B:B,'OA名单'!F:F)</f>
      </c>
      <c r="S60" s="63">
        <f t="shared" si="10"/>
      </c>
      <c r="T60" s="70"/>
      <c r="U60" s="63" cm="1">
        <f t="array" ref="U60:U60">_xlfn.XLOOKUP(N60,'OA名单'!B:B,'OA名单'!E:E)</f>
      </c>
      <c r="V60" s="63">
        <f t="shared" si="12"/>
      </c>
      <c r="W60" s="71"/>
      <c r="X60" s="66"/>
      <c r="Y60" s="66"/>
    </row>
    <row hidden="true" r="61">
      <c r="A61" s="66"/>
      <c r="B61" s="66" t="s">
        <v>12851</v>
      </c>
      <c r="C61" s="67" t="s">
        <v>12713</v>
      </c>
      <c r="D61" s="67" t="s">
        <v>12714</v>
      </c>
      <c r="E61" s="66" t="s">
        <v>12715</v>
      </c>
      <c r="F61" s="66" t="s">
        <v>12716</v>
      </c>
      <c r="G61" s="66" t="s">
        <v>12817</v>
      </c>
      <c r="H61" s="66" t="s">
        <v>12852</v>
      </c>
      <c r="I61" s="68">
        <v>0.9775</v>
      </c>
      <c r="J61" s="69">
        <v>97.75</v>
      </c>
      <c r="K61" s="67">
        <f t="shared" si="0"/>
      </c>
      <c r="L61" s="66">
        <v>300</v>
      </c>
      <c r="M61" s="66">
        <v>1000</v>
      </c>
      <c r="N61" s="63" cm="1">
        <f t="array" ref="N61:N61">_xlfn.XLOOKUP(H61,'OA名单'!C:C,'OA名单'!B:B,1)</f>
      </c>
      <c r="O61" s="63">
        <f t="shared" si="8"/>
      </c>
      <c r="P61" s="63" cm="1">
        <f t="array" ref="P61:P61">_xlfn.XLOOKUP(N61,'OA名单'!B:B,'OA名单'!G:G)</f>
      </c>
      <c r="Q61" s="63">
        <f t="shared" si="11"/>
      </c>
      <c r="R61" s="63" cm="1">
        <f t="array" ref="R61:R61">_xlfn.XLOOKUP(B61,'OA名单'!B:B,'OA名单'!F:F)</f>
      </c>
      <c r="S61" s="63">
        <f t="shared" si="10"/>
      </c>
      <c r="T61" s="70"/>
      <c r="U61" s="63" cm="1">
        <f t="array" ref="U61:U61">_xlfn.XLOOKUP(N61,'OA名单'!B:B,'OA名单'!E:E)</f>
      </c>
      <c r="V61" s="63">
        <f t="shared" si="12"/>
      </c>
      <c r="W61" s="71"/>
      <c r="X61" s="66"/>
      <c r="Y61" s="66"/>
    </row>
    <row hidden="true" r="62">
      <c r="A62" s="66"/>
      <c r="B62" s="66" t="s">
        <v>12853</v>
      </c>
      <c r="C62" s="67" t="s">
        <v>12713</v>
      </c>
      <c r="D62" s="67" t="s">
        <v>12714</v>
      </c>
      <c r="E62" s="69" t="s">
        <v>12715</v>
      </c>
      <c r="F62" s="70" t="s">
        <v>12716</v>
      </c>
      <c r="G62" s="66" t="s">
        <v>12817</v>
      </c>
      <c r="H62" s="66" t="s">
        <v>12854</v>
      </c>
      <c r="I62" s="68">
        <v>0.9768</v>
      </c>
      <c r="J62" s="69">
        <v>97.68</v>
      </c>
      <c r="K62" s="67">
        <f t="shared" si="0"/>
      </c>
      <c r="L62" s="66">
        <v>1000</v>
      </c>
      <c r="M62" s="66">
        <v>1000</v>
      </c>
      <c r="N62" s="63" cm="1">
        <f t="array" ref="N62:N62">_xlfn.XLOOKUP(H62,'OA名单'!C:C,'OA名单'!B:B,1)</f>
      </c>
      <c r="O62" s="63">
        <f t="shared" si="8"/>
      </c>
      <c r="P62" s="63" cm="1">
        <f t="array" ref="P62:P62">_xlfn.XLOOKUP(N62,'OA名单'!B:B,'OA名单'!G:G)</f>
      </c>
      <c r="Q62" s="63">
        <f t="shared" si="11"/>
      </c>
      <c r="R62" s="63" cm="1">
        <f t="array" ref="R62:R62">_xlfn.XLOOKUP(B62,'OA名单'!B:B,'OA名单'!F:F)</f>
      </c>
      <c r="S62" s="63">
        <f t="shared" si="10"/>
      </c>
      <c r="T62" s="64" cm="1">
        <f t="array" ref="T62:T62">_xlfn.XLOOKUP(B62,'系统-原始（副本）'!A:A,'系统-原始（副本）'!B:B)</f>
      </c>
      <c r="U62" s="63" cm="1">
        <f t="array" ref="U62:U62">_xlfn.XLOOKUP(N62,'OA名单'!B:B,'OA名单'!E:E)</f>
      </c>
      <c r="V62" s="63">
        <f t="shared" si="12"/>
      </c>
      <c r="W62" s="71"/>
      <c r="X62" s="66"/>
      <c r="Y62" s="66"/>
    </row>
    <row r="63">
      <c r="A63" s="66"/>
      <c r="B63" s="66" t="s">
        <v>12855</v>
      </c>
      <c r="C63" s="67" t="s">
        <v>12713</v>
      </c>
      <c r="D63" s="67" t="s">
        <v>12714</v>
      </c>
      <c r="E63" s="69" t="s">
        <v>12776</v>
      </c>
      <c r="F63" s="66" t="s">
        <v>12716</v>
      </c>
      <c r="G63" s="66" t="s">
        <v>12817</v>
      </c>
      <c r="H63" s="66" t="s">
        <v>12856</v>
      </c>
      <c r="I63" s="68">
        <v>0.95942</v>
      </c>
      <c r="J63" s="69">
        <v>97.5</v>
      </c>
      <c r="K63" s="72">
        <v>0.975</v>
      </c>
      <c r="L63" s="66">
        <v>3100</v>
      </c>
      <c r="M63" s="66">
        <v>1000</v>
      </c>
      <c r="N63" s="63" cm="1">
        <f t="array" ref="N63:N63">_xlfn.XLOOKUP(H63,'OA名单'!C:C,'OA名单'!B:B,1)</f>
      </c>
      <c r="O63" s="63">
        <f t="shared" si="8"/>
      </c>
      <c r="P63" s="63" cm="1">
        <f t="array" ref="P63:P63">_xlfn.XLOOKUP(N63,'OA名单'!B:B,'OA名单'!G:G)</f>
      </c>
      <c r="Q63" s="63">
        <f t="shared" si="11"/>
      </c>
      <c r="R63" s="63" cm="1">
        <f t="array" ref="R63:R63">_xlfn.XLOOKUP(B63,'OA名单'!B:B,'OA名单'!F:F)</f>
      </c>
      <c r="S63" s="63">
        <f t="shared" si="10"/>
      </c>
      <c r="T63" s="64" cm="1">
        <f t="array" ref="T63:T63">_xlfn.XLOOKUP(B63,'系统-原始（副本）'!A:A,'系统-原始（副本）'!B:B)</f>
      </c>
      <c r="U63" s="63" cm="1">
        <f t="array" ref="U63:U63">_xlfn.XLOOKUP(N63,'OA名单'!B:B,'OA名单'!E:E)</f>
      </c>
      <c r="V63" s="63">
        <f t="shared" si="12"/>
      </c>
      <c r="W63" s="71"/>
      <c r="X63" s="66"/>
      <c r="Y63" s="66"/>
    </row>
    <row hidden="true" r="64">
      <c r="A64" s="66"/>
      <c r="B64" s="66" t="s">
        <v>12857</v>
      </c>
      <c r="C64" s="67" t="s">
        <v>12713</v>
      </c>
      <c r="D64" s="67" t="s">
        <v>12714</v>
      </c>
      <c r="E64" s="69" t="s">
        <v>12782</v>
      </c>
      <c r="F64" s="69" t="s">
        <v>12783</v>
      </c>
      <c r="G64" s="66" t="s">
        <v>12817</v>
      </c>
      <c r="H64" s="66" t="s">
        <v>12858</v>
      </c>
      <c r="I64" s="68">
        <v>0.9738</v>
      </c>
      <c r="J64" s="69">
        <v>97.38</v>
      </c>
      <c r="K64" s="67">
        <f>K64:J64%</f>
      </c>
      <c r="L64" s="66">
        <v>1300</v>
      </c>
      <c r="M64" s="66">
        <v>1000</v>
      </c>
      <c r="N64" s="63" cm="1">
        <f t="array" ref="N64:N64">_xlfn.XLOOKUP(H64,'OA名单'!C:C,'OA名单'!B:B,1)</f>
      </c>
      <c r="O64" s="63">
        <f t="shared" si="8"/>
      </c>
      <c r="P64" s="63" cm="1">
        <f t="array" ref="P64:P64">_xlfn.XLOOKUP(N64,'OA名单'!B:B,'OA名单'!G:G)</f>
      </c>
      <c r="Q64" s="63">
        <f t="shared" si="11"/>
      </c>
      <c r="R64" s="63" cm="1">
        <f t="array" ref="R64:R64">_xlfn.XLOOKUP(B64,'OA名单'!B:B,'OA名单'!F:F)</f>
      </c>
      <c r="S64" s="63">
        <f t="shared" si="10"/>
      </c>
      <c r="T64" s="64" cm="1">
        <f t="array" ref="T64:T64">_xlfn.XLOOKUP(B64,'系统-原始（副本）'!A:A,'系统-原始（副本）'!B:B)</f>
      </c>
      <c r="U64" s="63" cm="1">
        <f t="array" ref="U64:U64">_xlfn.XLOOKUP(N64,'OA名单'!B:B,'OA名单'!E:E)</f>
      </c>
      <c r="V64" s="63">
        <f t="shared" si="12"/>
      </c>
      <c r="W64" s="71"/>
      <c r="X64" s="66"/>
      <c r="Y64" s="66"/>
    </row>
    <row r="65">
      <c r="A65" s="66"/>
      <c r="B65" s="66" t="s">
        <v>12859</v>
      </c>
      <c r="C65" s="67" t="s">
        <v>12713</v>
      </c>
      <c r="D65" s="67" t="s">
        <v>12714</v>
      </c>
      <c r="E65" s="69" t="s">
        <v>12776</v>
      </c>
      <c r="F65" s="66" t="s">
        <v>12716</v>
      </c>
      <c r="G65" s="66" t="s">
        <v>12817</v>
      </c>
      <c r="H65" s="66" t="s">
        <v>12860</v>
      </c>
      <c r="I65" s="68">
        <v>0.9727</v>
      </c>
      <c r="J65" s="69">
        <v>97.27</v>
      </c>
      <c r="K65" s="72">
        <v>0.9727</v>
      </c>
      <c r="L65" s="66">
        <v>1550</v>
      </c>
      <c r="M65" s="66">
        <v>1000</v>
      </c>
      <c r="N65" s="63" cm="1">
        <f t="array" ref="N65:N65">_xlfn.XLOOKUP(H65,'OA名单'!C:C,'OA名单'!B:B,1)</f>
      </c>
      <c r="O65" s="63">
        <f t="shared" si="8"/>
      </c>
      <c r="P65" s="63" cm="1">
        <f t="array" ref="P65:P65">_xlfn.XLOOKUP(N65,'OA名单'!B:B,'OA名单'!G:G)</f>
      </c>
      <c r="Q65" s="63">
        <f t="shared" si="11"/>
      </c>
      <c r="R65" s="63" cm="1">
        <f t="array" ref="R65:R65">_xlfn.XLOOKUP(B65,'OA名单'!B:B,'OA名单'!F:F)</f>
      </c>
      <c r="S65" s="63">
        <f t="shared" si="10"/>
      </c>
      <c r="T65" s="64" cm="1">
        <f t="array" ref="T65:T65">_xlfn.XLOOKUP(B65,'系统-原始（副本）'!A:A,'系统-原始（副本）'!B:B)</f>
      </c>
      <c r="U65" s="63" cm="1">
        <f t="array" ref="U65:U65">_xlfn.XLOOKUP(N65,'OA名单'!B:B,'OA名单'!E:E)</f>
      </c>
      <c r="V65" s="63">
        <f t="shared" si="12"/>
      </c>
      <c r="W65" s="71"/>
      <c r="X65" s="66"/>
      <c r="Y65" s="66"/>
    </row>
    <row r="66">
      <c r="A66" s="66"/>
      <c r="B66" s="66" t="s">
        <v>12861</v>
      </c>
      <c r="C66" s="67" t="s">
        <v>12713</v>
      </c>
      <c r="D66" s="67" t="s">
        <v>12714</v>
      </c>
      <c r="E66" s="69" t="s">
        <v>12776</v>
      </c>
      <c r="F66" s="72" t="s">
        <v>12716</v>
      </c>
      <c r="G66" s="66" t="s">
        <v>12817</v>
      </c>
      <c r="H66" s="66" t="s">
        <v>12862</v>
      </c>
      <c r="I66" s="68">
        <v>0.9727</v>
      </c>
      <c r="J66" s="69">
        <v>97.27</v>
      </c>
      <c r="K66" s="72">
        <v>0.9727</v>
      </c>
      <c r="L66" s="66">
        <v>1550</v>
      </c>
      <c r="M66" s="66">
        <v>1000</v>
      </c>
      <c r="N66" s="63" cm="1">
        <f t="array" ref="N66:N66">_xlfn.XLOOKUP(H66,'OA名单'!C:C,'OA名单'!B:B,1)</f>
      </c>
      <c r="O66" s="63">
        <f t="shared" si="8"/>
      </c>
      <c r="P66" s="63" cm="1">
        <f t="array" ref="P66:P66">_xlfn.XLOOKUP(N66,'OA名单'!B:B,'OA名单'!G:G)</f>
      </c>
      <c r="Q66" s="63">
        <f t="shared" si="11"/>
      </c>
      <c r="R66" s="63" cm="1">
        <f t="array" ref="R66:R66">_xlfn.XLOOKUP(B66,'OA名单'!B:B,'OA名单'!F:F)</f>
      </c>
      <c r="S66" s="63">
        <f t="shared" si="10"/>
      </c>
      <c r="T66" s="64" cm="1">
        <f t="array" ref="T66:T66">_xlfn.XLOOKUP(B66,'系统-原始（副本）'!A:A,'系统-原始（副本）'!B:B)</f>
      </c>
      <c r="U66" s="63" cm="1">
        <f t="array" ref="U66:U66">_xlfn.XLOOKUP(N66,'OA名单'!B:B,'OA名单'!E:E)</f>
      </c>
      <c r="V66" s="63">
        <f t="shared" si="12"/>
      </c>
      <c r="W66" s="71"/>
      <c r="X66" s="66"/>
      <c r="Y66" s="66"/>
    </row>
    <row hidden="true" r="67">
      <c r="A67" s="66"/>
      <c r="B67" s="66" t="s">
        <v>12863</v>
      </c>
      <c r="C67" s="67" t="s">
        <v>12713</v>
      </c>
      <c r="D67" s="67" t="s">
        <v>12714</v>
      </c>
      <c r="E67" s="69" t="s">
        <v>12782</v>
      </c>
      <c r="F67" s="69" t="s">
        <v>12783</v>
      </c>
      <c r="G67" s="66" t="s">
        <v>12817</v>
      </c>
      <c r="H67" s="66" t="s">
        <v>12864</v>
      </c>
      <c r="I67" s="68">
        <v>0.9726</v>
      </c>
      <c r="J67" s="69">
        <v>97.26</v>
      </c>
      <c r="K67" s="67">
        <f t="shared" ref="K67:K69" si="1">K67:J67%</f>
      </c>
      <c r="L67" s="66">
        <v>1400</v>
      </c>
      <c r="M67" s="66">
        <v>1000</v>
      </c>
      <c r="N67" s="63" cm="1">
        <f t="array" ref="N67:N67">_xlfn.XLOOKUP(H67,'OA名单'!C:C,'OA名单'!B:B,1)</f>
      </c>
      <c r="O67" s="63">
        <f t="shared" si="8"/>
      </c>
      <c r="P67" s="63" cm="1">
        <f t="array" ref="P67:P67">_xlfn.XLOOKUP(N67,'OA名单'!B:B,'OA名单'!G:G)</f>
      </c>
      <c r="Q67" s="63">
        <f t="shared" si="11"/>
      </c>
      <c r="R67" s="63" cm="1">
        <f t="array" ref="R67:R67">_xlfn.XLOOKUP(B67,'OA名单'!B:B,'OA名单'!F:F)</f>
      </c>
      <c r="S67" s="63">
        <f t="shared" si="10"/>
      </c>
      <c r="T67" s="64" cm="1">
        <f t="array" ref="T67:T67">_xlfn.XLOOKUP(B67,'系统-原始（副本）'!A:A,'系统-原始（副本）'!B:B)</f>
      </c>
      <c r="U67" s="63" cm="1">
        <f t="array" ref="U67:U67">_xlfn.XLOOKUP(N67,'OA名单'!B:B,'OA名单'!E:E)</f>
      </c>
      <c r="V67" s="63">
        <f t="shared" si="12"/>
      </c>
      <c r="W67" s="71"/>
      <c r="X67" s="66"/>
      <c r="Y67" s="66"/>
    </row>
    <row hidden="true" r="68">
      <c r="A68" s="66"/>
      <c r="B68" s="66" t="s">
        <v>12865</v>
      </c>
      <c r="C68" s="67" t="s">
        <v>12713</v>
      </c>
      <c r="D68" s="67" t="s">
        <v>12714</v>
      </c>
      <c r="E68" s="69" t="s">
        <v>12782</v>
      </c>
      <c r="F68" s="69" t="s">
        <v>12783</v>
      </c>
      <c r="G68" s="66" t="s">
        <v>12817</v>
      </c>
      <c r="H68" s="66" t="s">
        <v>12866</v>
      </c>
      <c r="I68" s="68">
        <v>0.9711</v>
      </c>
      <c r="J68" s="69">
        <v>97.11</v>
      </c>
      <c r="K68" s="67">
        <f t="shared" si="1"/>
      </c>
      <c r="L68" s="66">
        <v>1100</v>
      </c>
      <c r="M68" s="66">
        <v>1000</v>
      </c>
      <c r="N68" s="63" cm="1">
        <f t="array" ref="N68:N68">_xlfn.XLOOKUP(H68,'OA名单'!C:C,'OA名单'!B:B,1)</f>
      </c>
      <c r="O68" s="63">
        <f t="shared" si="8"/>
      </c>
      <c r="P68" s="63" cm="1">
        <f t="array" ref="P68:P68">_xlfn.XLOOKUP(N68,'OA名单'!B:B,'OA名单'!G:G)</f>
      </c>
      <c r="Q68" s="63">
        <f t="shared" si="11"/>
      </c>
      <c r="R68" s="63" cm="1">
        <f t="array" ref="R68:R68">_xlfn.XLOOKUP(B68,'OA名单'!B:B,'OA名单'!F:F)</f>
      </c>
      <c r="S68" s="63">
        <f t="shared" si="10"/>
      </c>
      <c r="T68" s="64" cm="1">
        <f t="array" ref="T68:T68">_xlfn.XLOOKUP(B68,'系统-原始（副本）'!A:A,'系统-原始（副本）'!B:B)</f>
      </c>
      <c r="U68" s="63" cm="1">
        <f t="array" ref="U68:U68">_xlfn.XLOOKUP(N68,'OA名单'!B:B,'OA名单'!E:E)</f>
      </c>
      <c r="V68" s="63">
        <f t="shared" si="12"/>
      </c>
      <c r="W68" s="71"/>
      <c r="X68" s="66"/>
      <c r="Y68" s="66"/>
    </row>
    <row hidden="true" r="69">
      <c r="A69" s="66"/>
      <c r="B69" s="66" t="s">
        <v>12867</v>
      </c>
      <c r="C69" s="67" t="s">
        <v>12713</v>
      </c>
      <c r="D69" s="67" t="s">
        <v>12714</v>
      </c>
      <c r="E69" s="66" t="s">
        <v>12782</v>
      </c>
      <c r="F69" s="66" t="s">
        <v>12783</v>
      </c>
      <c r="G69" s="66" t="s">
        <v>12817</v>
      </c>
      <c r="H69" s="66" t="s">
        <v>12868</v>
      </c>
      <c r="I69" s="68">
        <v>0.9702</v>
      </c>
      <c r="J69" s="69">
        <v>97.02</v>
      </c>
      <c r="K69" s="67">
        <f t="shared" si="1"/>
      </c>
      <c r="L69" s="66">
        <v>1500</v>
      </c>
      <c r="M69" s="66">
        <v>1000</v>
      </c>
      <c r="N69" s="63" cm="1">
        <f t="array" ref="N69:N69">_xlfn.XLOOKUP(H69,'OA名单'!C:C,'OA名单'!B:B,1)</f>
      </c>
      <c r="O69" s="63">
        <f t="shared" si="8"/>
      </c>
      <c r="P69" s="63" cm="1">
        <f t="array" ref="P69:P69">_xlfn.XLOOKUP(N69,'OA名单'!B:B,'OA名单'!G:G)</f>
      </c>
      <c r="Q69" s="63">
        <f t="shared" si="11"/>
      </c>
      <c r="R69" s="63" cm="1">
        <f t="array" ref="R69:R69">_xlfn.XLOOKUP(B69,'OA名单'!B:B,'OA名单'!F:F)</f>
      </c>
      <c r="S69" s="63">
        <f t="shared" si="10"/>
      </c>
      <c r="T69" s="70"/>
      <c r="U69" s="63" cm="1">
        <f t="array" ref="U69:U69">_xlfn.XLOOKUP(N69,'OA名单'!B:B,'OA名单'!E:E)</f>
      </c>
      <c r="V69" s="63">
        <f t="shared" si="12"/>
      </c>
      <c r="W69" s="71"/>
      <c r="X69" s="66"/>
      <c r="Y69" s="66"/>
    </row>
    <row r="70">
      <c r="A70" s="66"/>
      <c r="B70" s="66" t="s">
        <v>12869</v>
      </c>
      <c r="C70" s="67" t="s">
        <v>12713</v>
      </c>
      <c r="D70" s="67" t="s">
        <v>12714</v>
      </c>
      <c r="E70" s="69" t="s">
        <v>12776</v>
      </c>
      <c r="F70" s="69" t="s">
        <v>12716</v>
      </c>
      <c r="G70" s="66" t="s">
        <v>12817</v>
      </c>
      <c r="H70" s="66" t="s">
        <v>12870</v>
      </c>
      <c r="I70" s="68">
        <v>0.9699</v>
      </c>
      <c r="J70" s="69">
        <v>96.99</v>
      </c>
      <c r="K70" s="72">
        <v>0.9699</v>
      </c>
      <c r="L70" s="66">
        <v>800</v>
      </c>
      <c r="M70" s="66">
        <v>1000</v>
      </c>
      <c r="N70" s="63" cm="1">
        <f t="array" ref="N70:N70">_xlfn.XLOOKUP(H70,'OA名单'!C:C,'OA名单'!B:B,1)</f>
      </c>
      <c r="O70" s="63">
        <f t="shared" si="8"/>
      </c>
      <c r="P70" s="63" cm="1">
        <f t="array" ref="P70:P70">_xlfn.XLOOKUP(N70,'OA名单'!B:B,'OA名单'!G:G)</f>
      </c>
      <c r="Q70" s="63">
        <f t="shared" si="11"/>
      </c>
      <c r="R70" s="63" cm="1">
        <f t="array" ref="R70:R70">_xlfn.XLOOKUP(B70,'OA名单'!B:B,'OA名单'!F:F)</f>
      </c>
      <c r="S70" s="63">
        <f t="shared" si="10"/>
      </c>
      <c r="T70" s="64" cm="1">
        <f t="array" ref="T70:T70">_xlfn.XLOOKUP(B70,'系统-原始（副本）'!A:A,'系统-原始（副本）'!B:B)</f>
      </c>
      <c r="U70" s="63" cm="1">
        <f t="array" ref="U70:U70">_xlfn.XLOOKUP(N70,'OA名单'!B:B,'OA名单'!E:E)</f>
      </c>
      <c r="V70" s="63">
        <f t="shared" si="12"/>
      </c>
      <c r="W70" s="71"/>
      <c r="X70" s="66"/>
      <c r="Y70" s="66"/>
    </row>
    <row hidden="true" r="71">
      <c r="A71" s="66"/>
      <c r="B71" s="66" t="s">
        <v>12871</v>
      </c>
      <c r="C71" s="67" t="s">
        <v>12713</v>
      </c>
      <c r="D71" s="67" t="s">
        <v>12714</v>
      </c>
      <c r="E71" s="66" t="s">
        <v>12782</v>
      </c>
      <c r="F71" s="66" t="s">
        <v>12783</v>
      </c>
      <c r="G71" s="66" t="s">
        <v>12817</v>
      </c>
      <c r="H71" s="66" t="s">
        <v>12872</v>
      </c>
      <c r="I71" s="68">
        <v>0.9698</v>
      </c>
      <c r="J71" s="69">
        <v>96.98</v>
      </c>
      <c r="K71" s="67">
        <f>K71:J71%</f>
      </c>
      <c r="L71" s="66">
        <v>1000</v>
      </c>
      <c r="M71" s="66">
        <v>1000</v>
      </c>
      <c r="N71" s="63" cm="1">
        <f t="array" ref="N71:N71">_xlfn.XLOOKUP(H71,'OA名单'!C:C,'OA名单'!B:B,1)</f>
      </c>
      <c r="O71" s="63">
        <f t="shared" si="8"/>
      </c>
      <c r="P71" s="63" cm="1">
        <f t="array" ref="P71:P71">_xlfn.XLOOKUP(N71,'OA名单'!B:B,'OA名单'!G:G)</f>
      </c>
      <c r="Q71" s="63">
        <f t="shared" si="11"/>
      </c>
      <c r="R71" s="63" cm="1">
        <f t="array" ref="R71:R71">_xlfn.XLOOKUP(B71,'OA名单'!B:B,'OA名单'!F:F)</f>
      </c>
      <c r="S71" s="63">
        <f t="shared" si="10"/>
      </c>
      <c r="T71" s="70"/>
      <c r="U71" s="63" cm="1">
        <f t="array" ref="U71:U71">_xlfn.XLOOKUP(N71,'OA名单'!B:B,'OA名单'!E:E)</f>
      </c>
      <c r="V71" s="63">
        <f t="shared" si="12"/>
      </c>
      <c r="W71" s="71"/>
      <c r="X71" s="66"/>
      <c r="Y71" s="66"/>
    </row>
    <row r="72">
      <c r="A72" s="66"/>
      <c r="B72" s="66" t="s">
        <v>12873</v>
      </c>
      <c r="C72" s="67" t="s">
        <v>12713</v>
      </c>
      <c r="D72" s="67" t="s">
        <v>12714</v>
      </c>
      <c r="E72" s="69" t="s">
        <v>12776</v>
      </c>
      <c r="F72" s="69" t="s">
        <v>12716</v>
      </c>
      <c r="G72" s="66" t="s">
        <v>12817</v>
      </c>
      <c r="H72" s="66" t="s">
        <v>12874</v>
      </c>
      <c r="I72" s="68">
        <v>0.96567</v>
      </c>
      <c r="J72" s="69">
        <v>96.56</v>
      </c>
      <c r="K72" s="72">
        <v>0.9656</v>
      </c>
      <c r="L72" s="66">
        <v>2800</v>
      </c>
      <c r="M72" s="66">
        <v>1000</v>
      </c>
      <c r="N72" s="63" cm="1">
        <f t="array" ref="N72:N72">_xlfn.XLOOKUP(H72,'OA名单'!C:C,'OA名单'!B:B,1)</f>
      </c>
      <c r="O72" s="63">
        <f t="shared" si="8"/>
      </c>
      <c r="P72" s="63" cm="1">
        <f t="array" ref="P72:P72">_xlfn.XLOOKUP(N72,'OA名单'!B:B,'OA名单'!G:G)</f>
      </c>
      <c r="Q72" s="63">
        <f t="shared" si="11"/>
      </c>
      <c r="R72" s="63" cm="1">
        <f t="array" ref="R72:R72">_xlfn.XLOOKUP(B72,'OA名单'!B:B,'OA名单'!F:F)</f>
      </c>
      <c r="S72" s="63">
        <f t="shared" si="10"/>
      </c>
      <c r="T72" s="64" cm="1">
        <f t="array" ref="T72:T72">_xlfn.XLOOKUP(B72,'系统-原始（副本）'!A:A,'系统-原始（副本）'!B:B)</f>
      </c>
      <c r="U72" s="63" cm="1">
        <f t="array" ref="U72:U72">_xlfn.XLOOKUP(N72,'OA名单'!B:B,'OA名单'!E:E)</f>
      </c>
      <c r="V72" s="63">
        <f t="shared" si="12"/>
      </c>
      <c r="W72" s="71"/>
      <c r="X72" s="66"/>
      <c r="Y72" s="66"/>
    </row>
    <row hidden="true" r="73">
      <c r="A73" s="66"/>
      <c r="B73" s="66" t="s">
        <v>12875</v>
      </c>
      <c r="C73" s="67" t="s">
        <v>12713</v>
      </c>
      <c r="D73" s="67" t="s">
        <v>12714</v>
      </c>
      <c r="E73" s="66" t="s">
        <v>12782</v>
      </c>
      <c r="F73" s="66" t="s">
        <v>12783</v>
      </c>
      <c r="G73" s="66" t="s">
        <v>12817</v>
      </c>
      <c r="H73" s="66" t="s">
        <v>12876</v>
      </c>
      <c r="I73" s="68">
        <v>0.9648</v>
      </c>
      <c r="J73" s="69">
        <v>96.48</v>
      </c>
      <c r="K73" s="67">
        <f>K73:J73%</f>
      </c>
      <c r="L73" s="66">
        <v>700</v>
      </c>
      <c r="M73" s="66">
        <v>1000</v>
      </c>
      <c r="N73" s="63" cm="1">
        <f t="array" ref="N73:N73">_xlfn.XLOOKUP(H73,'OA名单'!C:C,'OA名单'!B:B,1)</f>
      </c>
      <c r="O73" s="63">
        <f t="shared" si="8"/>
      </c>
      <c r="P73" s="63" cm="1">
        <f t="array" ref="P73:P73">_xlfn.XLOOKUP(N73,'OA名单'!B:B,'OA名单'!G:G)</f>
      </c>
      <c r="Q73" s="63">
        <f t="shared" si="11"/>
      </c>
      <c r="R73" s="63" cm="1">
        <f t="array" ref="R73:R73">_xlfn.XLOOKUP(B73,'OA名单'!B:B,'OA名单'!F:F)</f>
      </c>
      <c r="S73" s="63">
        <f t="shared" si="10"/>
      </c>
      <c r="T73" s="70"/>
      <c r="U73" s="63" cm="1">
        <f t="array" ref="U73:U73">_xlfn.XLOOKUP(N73,'OA名单'!B:B,'OA名单'!E:E)</f>
      </c>
      <c r="V73" s="63">
        <f t="shared" si="12"/>
      </c>
      <c r="W73" s="71"/>
      <c r="X73" s="66"/>
      <c r="Y73" s="66"/>
    </row>
    <row r="74">
      <c r="A74" s="66"/>
      <c r="B74" s="66" t="s">
        <v>12877</v>
      </c>
      <c r="C74" s="67" t="s">
        <v>12713</v>
      </c>
      <c r="D74" s="67" t="s">
        <v>12714</v>
      </c>
      <c r="E74" s="69" t="s">
        <v>12776</v>
      </c>
      <c r="F74" s="69" t="s">
        <v>12716</v>
      </c>
      <c r="G74" s="66" t="s">
        <v>12817</v>
      </c>
      <c r="H74" s="66" t="s">
        <v>12878</v>
      </c>
      <c r="I74" s="68">
        <v>0.963795</v>
      </c>
      <c r="J74" s="69">
        <v>96.38</v>
      </c>
      <c r="K74" s="72">
        <v>0.9638</v>
      </c>
      <c r="L74" s="66">
        <v>3350</v>
      </c>
      <c r="M74" s="66">
        <v>1000</v>
      </c>
      <c r="N74" s="63" cm="1">
        <f t="array" ref="N74:N74">_xlfn.XLOOKUP(H74,'OA名单'!C:C,'OA名单'!B:B,1)</f>
      </c>
      <c r="O74" s="63">
        <f t="shared" si="8"/>
      </c>
      <c r="P74" s="63" cm="1">
        <f t="array" ref="P74:P74">_xlfn.XLOOKUP(N74,'OA名单'!B:B,'OA名单'!G:G)</f>
      </c>
      <c r="Q74" s="63">
        <f t="shared" si="11"/>
      </c>
      <c r="R74" s="63" cm="1">
        <f t="array" ref="R74:R74">_xlfn.XLOOKUP(B74,'OA名单'!B:B,'OA名单'!F:F)</f>
      </c>
      <c r="S74" s="63">
        <f t="shared" si="10"/>
      </c>
      <c r="T74" s="64" cm="1">
        <f t="array" ref="T74:T74">_xlfn.XLOOKUP(B74,'系统-原始（副本）'!A:A,'系统-原始（副本）'!B:B)</f>
      </c>
      <c r="U74" s="63" cm="1">
        <f t="array" ref="U74:U74">_xlfn.XLOOKUP(N74,'OA名单'!B:B,'OA名单'!E:E)</f>
      </c>
      <c r="V74" s="63">
        <f t="shared" si="12"/>
      </c>
      <c r="W74" s="71"/>
      <c r="X74" s="66"/>
      <c r="Y74" s="66"/>
    </row>
    <row hidden="true" r="75">
      <c r="A75" s="66"/>
      <c r="B75" s="66" t="s">
        <v>12879</v>
      </c>
      <c r="C75" s="67" t="s">
        <v>12713</v>
      </c>
      <c r="D75" s="67" t="s">
        <v>12714</v>
      </c>
      <c r="E75" s="66" t="s">
        <v>12782</v>
      </c>
      <c r="F75" s="66" t="s">
        <v>12783</v>
      </c>
      <c r="G75" s="66" t="s">
        <v>12817</v>
      </c>
      <c r="H75" s="66" t="s">
        <v>12880</v>
      </c>
      <c r="I75" s="68">
        <v>0.9589</v>
      </c>
      <c r="J75" s="69">
        <v>96.3</v>
      </c>
      <c r="K75" s="67">
        <f t="shared" ref="K75:K76" si="2">K75:J75%</f>
      </c>
      <c r="L75" s="66">
        <v>1400</v>
      </c>
      <c r="M75" s="66">
        <v>1000</v>
      </c>
      <c r="N75" s="63" cm="1">
        <f t="array" ref="N75:N75">_xlfn.XLOOKUP(H75,'OA名单'!C:C,'OA名单'!B:B,1)</f>
      </c>
      <c r="O75" s="63">
        <f t="shared" si="8"/>
      </c>
      <c r="P75" s="63" cm="1">
        <f t="array" ref="P75:P75">_xlfn.XLOOKUP(N75,'OA名单'!B:B,'OA名单'!G:G)</f>
      </c>
      <c r="Q75" s="63">
        <f t="shared" si="11"/>
      </c>
      <c r="R75" s="63" cm="1">
        <f t="array" ref="R75:R75">_xlfn.XLOOKUP(B75,'OA名单'!B:B,'OA名单'!F:F)</f>
      </c>
      <c r="S75" s="63">
        <f t="shared" si="10"/>
      </c>
      <c r="T75" s="70"/>
      <c r="U75" s="63" cm="1">
        <f t="array" ref="U75:U75">_xlfn.XLOOKUP(N75,'OA名单'!B:B,'OA名单'!E:E)</f>
      </c>
      <c r="V75" s="63">
        <f t="shared" si="12"/>
      </c>
      <c r="W75" s="71"/>
      <c r="X75" s="66"/>
      <c r="Y75" s="66"/>
    </row>
    <row hidden="true" r="76">
      <c r="A76" s="66"/>
      <c r="B76" s="66" t="s">
        <v>12881</v>
      </c>
      <c r="C76" s="67" t="s">
        <v>12713</v>
      </c>
      <c r="D76" s="67" t="s">
        <v>12714</v>
      </c>
      <c r="E76" s="66" t="s">
        <v>12776</v>
      </c>
      <c r="F76" s="66" t="s">
        <v>12716</v>
      </c>
      <c r="G76" s="66" t="s">
        <v>12817</v>
      </c>
      <c r="H76" s="66" t="s">
        <v>12882</v>
      </c>
      <c r="I76" s="68">
        <v>0.9615</v>
      </c>
      <c r="J76" s="69">
        <v>96.15</v>
      </c>
      <c r="K76" s="67">
        <f t="shared" si="2"/>
      </c>
      <c r="L76" s="66">
        <v>625</v>
      </c>
      <c r="M76" s="66">
        <v>1000</v>
      </c>
      <c r="N76" s="63" cm="1">
        <f t="array" ref="N76:N76">_xlfn.XLOOKUP(H76,'OA名单'!C:C,'OA名单'!B:B,1)</f>
      </c>
      <c r="O76" s="63">
        <f t="shared" si="8"/>
      </c>
      <c r="P76" s="63" cm="1">
        <f t="array" ref="P76:P76">_xlfn.XLOOKUP(N76,'OA名单'!B:B,'OA名单'!G:G)</f>
      </c>
      <c r="Q76" s="63">
        <f t="shared" si="11"/>
      </c>
      <c r="R76" s="63" cm="1">
        <f t="array" ref="R76:R76">_xlfn.XLOOKUP(B76,'OA名单'!B:B,'OA名单'!F:F)</f>
      </c>
      <c r="S76" s="63">
        <f t="shared" si="10"/>
      </c>
      <c r="T76" s="70"/>
      <c r="U76" s="63" cm="1">
        <f t="array" ref="U76:U76">_xlfn.XLOOKUP(N76,'OA名单'!B:B,'OA名单'!E:E)</f>
      </c>
      <c r="V76" s="63">
        <f t="shared" si="12"/>
      </c>
      <c r="W76" s="71"/>
      <c r="X76" s="66"/>
      <c r="Y76" s="66"/>
    </row>
    <row r="77">
      <c r="A77" s="66"/>
      <c r="B77" s="66" t="s">
        <v>12883</v>
      </c>
      <c r="C77" s="67" t="s">
        <v>12713</v>
      </c>
      <c r="D77" s="67" t="s">
        <v>12714</v>
      </c>
      <c r="E77" s="69" t="s">
        <v>12776</v>
      </c>
      <c r="F77" s="69" t="s">
        <v>12716</v>
      </c>
      <c r="G77" s="66" t="s">
        <v>12817</v>
      </c>
      <c r="H77" s="66" t="s">
        <v>12884</v>
      </c>
      <c r="I77" s="68">
        <v>0.908725</v>
      </c>
      <c r="J77" s="69">
        <v>95.87</v>
      </c>
      <c r="K77" s="72">
        <v>0.9587</v>
      </c>
      <c r="L77" s="66">
        <v>1300</v>
      </c>
      <c r="M77" s="66">
        <v>1000</v>
      </c>
      <c r="N77" s="63" cm="1">
        <f t="array" ref="N77:N77">_xlfn.XLOOKUP(H77,'OA名单'!C:C,'OA名单'!B:B,1)</f>
      </c>
      <c r="O77" s="63">
        <f t="shared" si="8"/>
      </c>
      <c r="P77" s="63" cm="1">
        <f t="array" ref="P77:P77">_xlfn.XLOOKUP(N77,'OA名单'!B:B,'OA名单'!G:G)</f>
      </c>
      <c r="Q77" s="63">
        <f t="shared" si="11"/>
      </c>
      <c r="R77" s="63" cm="1">
        <f t="array" ref="R77:R77">_xlfn.XLOOKUP(B77,'OA名单'!B:B,'OA名单'!F:F)</f>
      </c>
      <c r="S77" s="63">
        <f t="shared" si="10"/>
      </c>
      <c r="T77" s="64" cm="1">
        <f t="array" ref="T77:T77">_xlfn.XLOOKUP(B77,'系统-原始（副本）'!A:A,'系统-原始（副本）'!B:B)</f>
      </c>
      <c r="U77" s="63" cm="1">
        <f t="array" ref="U77:U77">_xlfn.XLOOKUP(N77,'OA名单'!B:B,'OA名单'!E:E)</f>
      </c>
      <c r="V77" s="63">
        <f t="shared" si="12"/>
      </c>
      <c r="W77" s="71"/>
      <c r="X77" s="66"/>
      <c r="Y77" s="66"/>
    </row>
    <row r="78">
      <c r="A78" s="66"/>
      <c r="B78" s="66" t="s">
        <v>12885</v>
      </c>
      <c r="C78" s="67" t="s">
        <v>12713</v>
      </c>
      <c r="D78" s="67" t="s">
        <v>12714</v>
      </c>
      <c r="E78" s="69" t="s">
        <v>12776</v>
      </c>
      <c r="F78" s="69" t="s">
        <v>12716</v>
      </c>
      <c r="G78" s="66" t="s">
        <v>12817</v>
      </c>
      <c r="H78" s="66" t="s">
        <v>12886</v>
      </c>
      <c r="I78" s="68">
        <v>0.908725</v>
      </c>
      <c r="J78" s="69">
        <v>95.87</v>
      </c>
      <c r="K78" s="72">
        <v>0.9587</v>
      </c>
      <c r="L78" s="66">
        <v>1300</v>
      </c>
      <c r="M78" s="66">
        <v>1000</v>
      </c>
      <c r="N78" s="63" cm="1">
        <f t="array" ref="N78:N78">_xlfn.XLOOKUP(H78,'OA名单'!C:C,'OA名单'!B:B,1)</f>
      </c>
      <c r="O78" s="63">
        <f t="shared" si="8"/>
      </c>
      <c r="P78" s="63" cm="1">
        <f t="array" ref="P78:P78">_xlfn.XLOOKUP(N78,'OA名单'!B:B,'OA名单'!G:G)</f>
      </c>
      <c r="Q78" s="63">
        <f t="shared" si="11"/>
      </c>
      <c r="R78" s="63" cm="1">
        <f t="array" ref="R78:R78">_xlfn.XLOOKUP(B78,'OA名单'!B:B,'OA名单'!F:F)</f>
      </c>
      <c r="S78" s="63">
        <f t="shared" si="10"/>
      </c>
      <c r="T78" s="64" cm="1">
        <f t="array" ref="T78:T78">_xlfn.XLOOKUP(B78,'系统-原始（副本）'!A:A,'系统-原始（副本）'!B:B)</f>
      </c>
      <c r="U78" s="63" cm="1">
        <f t="array" ref="U78:U78">_xlfn.XLOOKUP(N78,'OA名单'!B:B,'OA名单'!E:E)</f>
      </c>
      <c r="V78" s="63">
        <f t="shared" si="12"/>
      </c>
      <c r="W78" s="71"/>
      <c r="X78" s="66"/>
      <c r="Y78" s="66"/>
    </row>
    <row hidden="true" r="79">
      <c r="A79" s="66"/>
      <c r="B79" s="66" t="s">
        <v>12887</v>
      </c>
      <c r="C79" s="67" t="s">
        <v>12713</v>
      </c>
      <c r="D79" s="67" t="s">
        <v>12714</v>
      </c>
      <c r="E79" s="66" t="s">
        <v>12776</v>
      </c>
      <c r="F79" s="66" t="s">
        <v>12716</v>
      </c>
      <c r="G79" s="66" t="s">
        <v>12888</v>
      </c>
      <c r="H79" s="66" t="s">
        <v>12889</v>
      </c>
      <c r="I79" s="68">
        <v>0.958125</v>
      </c>
      <c r="J79" s="69">
        <v>95.75</v>
      </c>
      <c r="K79" s="67">
        <f t="shared" ref="K79:K80" si="3">K79:J79%</f>
      </c>
      <c r="L79" s="66">
        <v>1806</v>
      </c>
      <c r="M79" s="66">
        <v>1000</v>
      </c>
      <c r="N79" s="63" cm="1">
        <f t="array" ref="N79:N79">_xlfn.XLOOKUP(H79,'OA名单'!C:C,'OA名单'!B:B,1)</f>
      </c>
      <c r="O79" s="63">
        <f t="shared" si="8"/>
      </c>
      <c r="P79" s="63" cm="1">
        <f t="array" ref="P79:P79">_xlfn.XLOOKUP(N79,'OA名单'!B:B,'OA名单'!G:G)</f>
      </c>
      <c r="Q79" s="63">
        <f t="shared" si="11"/>
      </c>
      <c r="R79" s="63" cm="1">
        <f t="array" ref="R79:R79">_xlfn.XLOOKUP(B79,'OA名单'!B:B,'OA名单'!F:F)</f>
      </c>
      <c r="S79" s="63">
        <f t="shared" si="10"/>
      </c>
      <c r="T79" s="70"/>
      <c r="U79" s="63" cm="1">
        <f t="array" ref="U79:U79">_xlfn.XLOOKUP(N79,'OA名单'!B:B,'OA名单'!E:E)</f>
      </c>
      <c r="V79" s="63">
        <f t="shared" si="12"/>
      </c>
      <c r="W79" s="71"/>
      <c r="X79" s="66"/>
      <c r="Y79" s="66"/>
    </row>
    <row hidden="true" r="80">
      <c r="A80" s="66"/>
      <c r="B80" s="66" t="s">
        <v>12890</v>
      </c>
      <c r="C80" s="67" t="s">
        <v>12713</v>
      </c>
      <c r="D80" s="67" t="s">
        <v>12714</v>
      </c>
      <c r="E80" s="66" t="s">
        <v>12776</v>
      </c>
      <c r="F80" s="66" t="s">
        <v>12716</v>
      </c>
      <c r="G80" s="66" t="s">
        <v>12817</v>
      </c>
      <c r="H80" s="66" t="s">
        <v>12891</v>
      </c>
      <c r="I80" s="68">
        <v>0.94423</v>
      </c>
      <c r="J80" s="69">
        <v>95.33</v>
      </c>
      <c r="K80" s="67">
        <f t="shared" si="3"/>
      </c>
      <c r="L80" s="66">
        <v>1900</v>
      </c>
      <c r="M80" s="66">
        <v>1000</v>
      </c>
      <c r="N80" s="63" cm="1">
        <f t="array" ref="N80:N80">_xlfn.XLOOKUP(H80,'OA名单'!C:C,'OA名单'!B:B,1)</f>
      </c>
      <c r="O80" s="63">
        <f t="shared" si="8"/>
      </c>
      <c r="P80" s="63" cm="1">
        <f t="array" ref="P80:P80">_xlfn.XLOOKUP(N80,'OA名单'!B:B,'OA名单'!G:G)</f>
      </c>
      <c r="Q80" s="63">
        <f t="shared" si="11"/>
      </c>
      <c r="R80" s="63" cm="1">
        <f t="array" ref="R80:R80">_xlfn.XLOOKUP(B80,'OA名单'!B:B,'OA名单'!F:F)</f>
      </c>
      <c r="S80" s="63">
        <f t="shared" si="10"/>
      </c>
      <c r="T80" s="70"/>
      <c r="U80" s="63" cm="1">
        <f t="array" ref="U80:U80">_xlfn.XLOOKUP(N80,'OA名单'!B:B,'OA名单'!E:E)</f>
      </c>
      <c r="V80" s="63">
        <f t="shared" si="12"/>
      </c>
      <c r="W80" s="71"/>
      <c r="X80" s="66"/>
      <c r="Y80" s="66"/>
    </row>
    <row r="81">
      <c r="A81" s="66"/>
      <c r="B81" s="66" t="s">
        <v>12892</v>
      </c>
      <c r="C81" s="67" t="s">
        <v>12713</v>
      </c>
      <c r="D81" s="67" t="s">
        <v>12714</v>
      </c>
      <c r="E81" s="69" t="s">
        <v>12776</v>
      </c>
      <c r="F81" s="69" t="s">
        <v>12716</v>
      </c>
      <c r="G81" s="66" t="s">
        <v>12817</v>
      </c>
      <c r="H81" s="66" t="s">
        <v>12893</v>
      </c>
      <c r="I81" s="68">
        <v>0.903475</v>
      </c>
      <c r="J81" s="69">
        <v>95.12</v>
      </c>
      <c r="K81" s="72">
        <v>0.9512</v>
      </c>
      <c r="L81" s="66">
        <v>700</v>
      </c>
      <c r="M81" s="66">
        <v>1000</v>
      </c>
      <c r="N81" s="63" cm="1">
        <f t="array" ref="N81:N81">_xlfn.XLOOKUP(H81,'OA名单'!C:C,'OA名单'!B:B,1)</f>
      </c>
      <c r="O81" s="63">
        <f t="shared" si="8"/>
      </c>
      <c r="P81" s="63" cm="1">
        <f t="array" ref="P81:P81">_xlfn.XLOOKUP(N81,'OA名单'!B:B,'OA名单'!G:G)</f>
      </c>
      <c r="Q81" s="63">
        <f t="shared" si="11"/>
      </c>
      <c r="R81" s="63" cm="1">
        <f t="array" ref="R81:R81">_xlfn.XLOOKUP(B81,'OA名单'!B:B,'OA名单'!F:F)</f>
      </c>
      <c r="S81" s="63">
        <f t="shared" si="10"/>
      </c>
      <c r="T81" s="64" cm="1">
        <f t="array" ref="T81:T81">_xlfn.XLOOKUP(B81,'系统-原始（副本）'!A:A,'系统-原始（副本）'!B:B)</f>
      </c>
      <c r="U81" s="63" cm="1">
        <f t="array" ref="U81:U81">_xlfn.XLOOKUP(N81,'OA名单'!B:B,'OA名单'!E:E)</f>
      </c>
      <c r="V81" s="63">
        <f t="shared" si="12"/>
      </c>
      <c r="W81" s="71"/>
      <c r="X81" s="66"/>
      <c r="Y81" s="66"/>
    </row>
    <row hidden="true" r="82">
      <c r="A82" s="66"/>
      <c r="B82" s="66" t="s">
        <v>12894</v>
      </c>
      <c r="C82" s="67" t="s">
        <v>12713</v>
      </c>
      <c r="D82" s="67" t="s">
        <v>12714</v>
      </c>
      <c r="E82" s="66" t="s">
        <v>12776</v>
      </c>
      <c r="F82" s="66" t="s">
        <v>12716</v>
      </c>
      <c r="G82" s="66" t="s">
        <v>12888</v>
      </c>
      <c r="H82" s="66" t="s">
        <v>12895</v>
      </c>
      <c r="I82" s="68">
        <v>0.947875</v>
      </c>
      <c r="J82" s="69">
        <v>94.82</v>
      </c>
      <c r="K82" s="67">
        <f>K82:J82%</f>
      </c>
      <c r="L82" s="66">
        <v>1462</v>
      </c>
      <c r="M82" s="66">
        <v>1000</v>
      </c>
      <c r="N82" s="63" cm="1">
        <f t="array" ref="N82:N82">_xlfn.XLOOKUP(H82,'OA名单'!C:C,'OA名单'!B:B,1)</f>
      </c>
      <c r="O82" s="63">
        <f t="shared" si="8"/>
      </c>
      <c r="P82" s="63" cm="1">
        <f t="array" ref="P82:P82">_xlfn.XLOOKUP(N82,'OA名单'!B:B,'OA名单'!G:G)</f>
      </c>
      <c r="Q82" s="63">
        <f t="shared" si="11"/>
      </c>
      <c r="R82" s="63" cm="1">
        <f t="array" ref="R82:R82">_xlfn.XLOOKUP(B82,'OA名单'!B:B,'OA名单'!F:F)</f>
      </c>
      <c r="S82" s="63">
        <f t="shared" si="10"/>
      </c>
      <c r="T82" s="70"/>
      <c r="U82" s="63" cm="1">
        <f t="array" ref="U82:U82">_xlfn.XLOOKUP(N82,'OA名单'!B:B,'OA名单'!E:E)</f>
      </c>
      <c r="V82" s="63">
        <f t="shared" si="12"/>
      </c>
      <c r="W82" s="71"/>
      <c r="X82" s="66"/>
      <c r="Y82" s="66"/>
    </row>
    <row r="83">
      <c r="A83" s="66"/>
      <c r="B83" s="66" t="s">
        <v>12896</v>
      </c>
      <c r="C83" s="67" t="s">
        <v>12713</v>
      </c>
      <c r="D83" s="67" t="s">
        <v>12714</v>
      </c>
      <c r="E83" s="69" t="s">
        <v>12776</v>
      </c>
      <c r="F83" s="69" t="s">
        <v>12716</v>
      </c>
      <c r="G83" s="66" t="s">
        <v>12817</v>
      </c>
      <c r="H83" s="66" t="s">
        <v>12897</v>
      </c>
      <c r="I83" s="68">
        <v>0.946919</v>
      </c>
      <c r="J83" s="69">
        <v>94.69</v>
      </c>
      <c r="K83" s="72">
        <v>0.9469</v>
      </c>
      <c r="L83" s="66">
        <v>2500</v>
      </c>
      <c r="M83" s="66">
        <v>1000</v>
      </c>
      <c r="N83" s="63" cm="1">
        <f t="array" ref="N83:N83">_xlfn.XLOOKUP(H83,'OA名单'!C:C,'OA名单'!B:B,1)</f>
      </c>
      <c r="O83" s="63">
        <f t="shared" si="8"/>
      </c>
      <c r="P83" s="63" cm="1">
        <f t="array" ref="P83:P83">_xlfn.XLOOKUP(N83,'OA名单'!B:B,'OA名单'!G:G)</f>
      </c>
      <c r="Q83" s="63">
        <f t="shared" si="11"/>
      </c>
      <c r="R83" s="63" cm="1">
        <f t="array" ref="R83:R83">_xlfn.XLOOKUP(B83,'OA名单'!B:B,'OA名单'!F:F)</f>
      </c>
      <c r="S83" s="63">
        <f t="shared" si="10"/>
      </c>
      <c r="T83" s="64" cm="1">
        <f t="array" ref="T83:T83">_xlfn.XLOOKUP(B83,'系统-原始（副本）'!A:A,'系统-原始（副本）'!B:B)</f>
      </c>
      <c r="U83" s="63" cm="1">
        <f t="array" ref="U83:U83">_xlfn.XLOOKUP(N83,'OA名单'!B:B,'OA名单'!E:E)</f>
      </c>
      <c r="V83" s="63">
        <f t="shared" si="12"/>
      </c>
      <c r="W83" s="71"/>
      <c r="X83" s="66"/>
      <c r="Y83" s="66"/>
    </row>
    <row r="84">
      <c r="A84" s="66"/>
      <c r="B84" s="66" t="s">
        <v>12898</v>
      </c>
      <c r="C84" s="67" t="s">
        <v>12713</v>
      </c>
      <c r="D84" s="67" t="s">
        <v>12714</v>
      </c>
      <c r="E84" s="69" t="s">
        <v>12776</v>
      </c>
      <c r="F84" s="69" t="s">
        <v>12716</v>
      </c>
      <c r="G84" s="66" t="s">
        <v>12817</v>
      </c>
      <c r="H84" s="66" t="s">
        <v>12899</v>
      </c>
      <c r="I84" s="68">
        <v>0.898225</v>
      </c>
      <c r="J84" s="69">
        <v>94.37</v>
      </c>
      <c r="K84" s="72">
        <v>0.9437000000000001</v>
      </c>
      <c r="L84" s="66">
        <v>550</v>
      </c>
      <c r="M84" s="66">
        <v>1000</v>
      </c>
      <c r="N84" s="63" cm="1">
        <f t="array" ref="N84:N84">_xlfn.XLOOKUP(H84,'OA名单'!C:C,'OA名单'!B:B,1)</f>
      </c>
      <c r="O84" s="63">
        <f t="shared" si="8"/>
      </c>
      <c r="P84" s="63" cm="1">
        <f t="array" ref="P84:P84">_xlfn.XLOOKUP(N84,'OA名单'!B:B,'OA名单'!G:G)</f>
      </c>
      <c r="Q84" s="63">
        <f t="shared" si="11"/>
      </c>
      <c r="R84" s="63" cm="1">
        <f t="array" ref="R84:R84">_xlfn.XLOOKUP(B84,'OA名单'!B:B,'OA名单'!F:F)</f>
      </c>
      <c r="S84" s="63">
        <f t="shared" si="10"/>
      </c>
      <c r="T84" s="64" cm="1">
        <f t="array" ref="T84:T84">_xlfn.XLOOKUP(B84,'系统-原始（副本）'!A:A,'系统-原始（副本）'!B:B)</f>
      </c>
      <c r="U84" s="63" cm="1">
        <f t="array" ref="U84:U84">_xlfn.XLOOKUP(N84,'OA名单'!B:B,'OA名单'!E:E)</f>
      </c>
      <c r="V84" s="63">
        <f t="shared" si="12"/>
      </c>
      <c r="W84" s="71"/>
      <c r="X84" s="66"/>
      <c r="Y84" s="66"/>
    </row>
    <row r="85">
      <c r="A85" s="66"/>
      <c r="B85" s="66" t="s">
        <v>12900</v>
      </c>
      <c r="C85" s="67" t="s">
        <v>12713</v>
      </c>
      <c r="D85" s="67" t="s">
        <v>12714</v>
      </c>
      <c r="E85" s="69" t="s">
        <v>12776</v>
      </c>
      <c r="F85" s="69" t="s">
        <v>12716</v>
      </c>
      <c r="G85" s="66" t="s">
        <v>12817</v>
      </c>
      <c r="H85" s="66" t="s">
        <v>12901</v>
      </c>
      <c r="I85" s="68">
        <v>0.94317</v>
      </c>
      <c r="J85" s="69">
        <v>94.31</v>
      </c>
      <c r="K85" s="72">
        <v>0.9431</v>
      </c>
      <c r="L85" s="66">
        <v>2050</v>
      </c>
      <c r="M85" s="66">
        <v>1000</v>
      </c>
      <c r="N85" s="63" cm="1">
        <f t="array" ref="N85:N85">_xlfn.XLOOKUP(H85,'OA名单'!C:C,'OA名单'!B:B,1)</f>
      </c>
      <c r="O85" s="63">
        <f t="shared" si="8"/>
      </c>
      <c r="P85" s="63" cm="1">
        <f t="array" ref="P85:P85">_xlfn.XLOOKUP(N85,'OA名单'!B:B,'OA名单'!G:G)</f>
      </c>
      <c r="Q85" s="63">
        <f t="shared" si="11"/>
      </c>
      <c r="R85" s="63" cm="1">
        <f t="array" ref="R85:R85">_xlfn.XLOOKUP(B85,'OA名单'!B:B,'OA名单'!F:F)</f>
      </c>
      <c r="S85" s="63">
        <f t="shared" si="10"/>
      </c>
      <c r="T85" s="64" cm="1">
        <f t="array" ref="T85:T85">_xlfn.XLOOKUP(B85,'系统-原始（副本）'!A:A,'系统-原始（副本）'!B:B)</f>
      </c>
      <c r="U85" s="63" cm="1">
        <f t="array" ref="U85:U85">_xlfn.XLOOKUP(N85,'OA名单'!B:B,'OA名单'!E:E)</f>
      </c>
      <c r="V85" s="63">
        <f t="shared" si="12"/>
      </c>
      <c r="W85" s="71"/>
      <c r="X85" s="66"/>
      <c r="Y85" s="66"/>
    </row>
    <row hidden="true" r="86">
      <c r="A86" s="66"/>
      <c r="B86" s="66" t="s">
        <v>12902</v>
      </c>
      <c r="C86" s="67" t="s">
        <v>12713</v>
      </c>
      <c r="D86" s="67" t="s">
        <v>12714</v>
      </c>
      <c r="E86" s="69" t="s">
        <v>12749</v>
      </c>
      <c r="F86" s="69" t="s">
        <v>12768</v>
      </c>
      <c r="G86" s="66" t="s">
        <v>12903</v>
      </c>
      <c r="H86" s="66" t="s">
        <v>12904</v>
      </c>
      <c r="I86" s="68">
        <v>0.943</v>
      </c>
      <c r="J86" s="69">
        <v>94.2</v>
      </c>
      <c r="K86" s="67">
        <f t="shared" ref="K86:K89" si="4">K86:J86%</f>
      </c>
      <c r="L86" s="66">
        <v>2364</v>
      </c>
      <c r="M86" s="66">
        <v>2000</v>
      </c>
      <c r="N86" s="63" cm="1">
        <f t="array" ref="N86:N86">_xlfn.XLOOKUP(H86,'OA名单'!C:C,'OA名单'!B:B,1)</f>
      </c>
      <c r="O86" s="63">
        <f t="shared" si="8"/>
      </c>
      <c r="P86" s="63" cm="1">
        <f t="array" ref="P86:P86">_xlfn.XLOOKUP(N86,'OA名单'!B:B,'OA名单'!G:G)</f>
      </c>
      <c r="Q86" s="63">
        <f t="shared" si="11"/>
      </c>
      <c r="R86" s="63" cm="1">
        <f t="array" ref="R86:R86">_xlfn.XLOOKUP(B86,'OA名单'!B:B,'OA名单'!F:F)</f>
      </c>
      <c r="S86" s="63">
        <f t="shared" si="10"/>
      </c>
      <c r="T86" s="64" cm="1">
        <f t="array" ref="T86:T86">_xlfn.XLOOKUP(B86,'系统-原始（副本）'!A:A,'系统-原始（副本）'!B:B)</f>
      </c>
      <c r="U86" s="63" cm="1">
        <f t="array" ref="U86:U86">_xlfn.XLOOKUP(N86,'OA名单'!B:B,'OA名单'!E:E)</f>
      </c>
      <c r="V86" s="63">
        <f t="shared" si="12"/>
      </c>
      <c r="W86" s="71"/>
      <c r="X86" s="66"/>
      <c r="Y86" s="66"/>
    </row>
    <row hidden="true" r="87">
      <c r="A87" s="66"/>
      <c r="B87" s="66" t="s">
        <v>12905</v>
      </c>
      <c r="C87" s="67" t="s">
        <v>12713</v>
      </c>
      <c r="D87" s="67" t="s">
        <v>12714</v>
      </c>
      <c r="E87" s="69" t="s">
        <v>12749</v>
      </c>
      <c r="F87" s="69" t="s">
        <v>12768</v>
      </c>
      <c r="G87" s="66" t="s">
        <v>12769</v>
      </c>
      <c r="H87" s="66" t="s">
        <v>12906</v>
      </c>
      <c r="I87" s="68">
        <v>0.94</v>
      </c>
      <c r="J87" s="69">
        <v>94</v>
      </c>
      <c r="K87" s="67">
        <f t="shared" si="4"/>
      </c>
      <c r="L87" s="66">
        <v>1551</v>
      </c>
      <c r="M87" s="66">
        <v>1200</v>
      </c>
      <c r="N87" s="63" cm="1">
        <f t="array" ref="N87:N87">_xlfn.XLOOKUP(H87,'OA名单'!C:C,'OA名单'!B:B,1)</f>
      </c>
      <c r="O87" s="63">
        <f t="shared" si="8"/>
      </c>
      <c r="P87" s="63" cm="1">
        <f t="array" ref="P87:P87">_xlfn.XLOOKUP(N87,'OA名单'!B:B,'OA名单'!G:G)</f>
      </c>
      <c r="Q87" s="63">
        <f t="shared" si="11"/>
      </c>
      <c r="R87" s="63" cm="1">
        <f t="array" ref="R87:R87">_xlfn.XLOOKUP(B87,'OA名单'!B:B,'OA名单'!F:F)</f>
      </c>
      <c r="S87" s="63">
        <f t="shared" si="10"/>
      </c>
      <c r="T87" s="64" cm="1">
        <f t="array" ref="T87:T87">_xlfn.XLOOKUP(B87,'系统-原始（副本）'!A:A,'系统-原始（副本）'!B:B)</f>
      </c>
      <c r="U87" s="63" cm="1">
        <f t="array" ref="U87:U87">_xlfn.XLOOKUP(N87,'OA名单'!B:B,'OA名单'!E:E)</f>
      </c>
      <c r="V87" s="63">
        <f t="shared" si="12"/>
      </c>
      <c r="W87" s="71"/>
      <c r="X87" s="66"/>
      <c r="Y87" s="66"/>
    </row>
    <row hidden="true" r="88">
      <c r="A88" s="66"/>
      <c r="B88" s="66" t="s">
        <v>12907</v>
      </c>
      <c r="C88" s="67" t="s">
        <v>12713</v>
      </c>
      <c r="D88" s="67" t="s">
        <v>12714</v>
      </c>
      <c r="E88" s="66" t="s">
        <v>12749</v>
      </c>
      <c r="F88" s="66" t="s">
        <v>12768</v>
      </c>
      <c r="G88" s="66" t="s">
        <v>12769</v>
      </c>
      <c r="H88" s="66" t="s">
        <v>12908</v>
      </c>
      <c r="I88" s="68">
        <v>0.94</v>
      </c>
      <c r="J88" s="69">
        <v>94</v>
      </c>
      <c r="K88" s="67">
        <f t="shared" si="4"/>
      </c>
      <c r="L88" s="66">
        <v>1646</v>
      </c>
      <c r="M88" s="66">
        <v>1200</v>
      </c>
      <c r="N88" s="63" cm="1">
        <f t="array" ref="N88:N88">_xlfn.XLOOKUP(H88,'OA名单'!C:C,'OA名单'!B:B,1)</f>
      </c>
      <c r="O88" s="63">
        <f t="shared" si="8"/>
      </c>
      <c r="P88" s="63" cm="1">
        <f t="array" ref="P88:P88">_xlfn.XLOOKUP(N88,'OA名单'!B:B,'OA名单'!G:G)</f>
      </c>
      <c r="Q88" s="63">
        <f t="shared" si="11"/>
      </c>
      <c r="R88" s="63" cm="1">
        <f t="array" ref="R88:R88">_xlfn.XLOOKUP(B88,'OA名单'!B:B,'OA名单'!F:F)</f>
      </c>
      <c r="S88" s="63">
        <f t="shared" si="10"/>
      </c>
      <c r="T88" s="70"/>
      <c r="U88" s="63" cm="1">
        <f t="array" ref="U88:U88">_xlfn.XLOOKUP(N88,'OA名单'!B:B,'OA名单'!E:E)</f>
      </c>
      <c r="V88" s="63">
        <f t="shared" si="12"/>
      </c>
      <c r="W88" s="71"/>
      <c r="X88" s="66"/>
      <c r="Y88" s="66"/>
    </row>
    <row hidden="true" r="89">
      <c r="A89" s="66"/>
      <c r="B89" s="66" t="s">
        <v>12909</v>
      </c>
      <c r="C89" s="67" t="s">
        <v>12713</v>
      </c>
      <c r="D89" s="67" t="s">
        <v>12714</v>
      </c>
      <c r="E89" s="66" t="s">
        <v>12749</v>
      </c>
      <c r="F89" s="66" t="s">
        <v>12768</v>
      </c>
      <c r="G89" s="66" t="s">
        <v>12769</v>
      </c>
      <c r="H89" s="66" t="s">
        <v>12910</v>
      </c>
      <c r="I89" s="68">
        <v>0.425</v>
      </c>
      <c r="J89" s="69">
        <v>94</v>
      </c>
      <c r="K89" s="67">
        <f t="shared" si="4"/>
      </c>
      <c r="L89" s="66">
        <v>1479</v>
      </c>
      <c r="M89" s="66">
        <v>1200</v>
      </c>
      <c r="N89" s="63" cm="1">
        <f t="array" ref="N89:N89">_xlfn.XLOOKUP(H89,'OA名单'!C:C,'OA名单'!B:B,1)</f>
      </c>
      <c r="O89" s="63">
        <f t="shared" si="8"/>
      </c>
      <c r="P89" s="63" cm="1">
        <f t="array" ref="P89:P89">_xlfn.XLOOKUP(N89,'OA名单'!B:B,'OA名单'!G:G)</f>
      </c>
      <c r="Q89" s="63">
        <f t="shared" si="11"/>
      </c>
      <c r="R89" s="63" cm="1">
        <f t="array" ref="R89:R89">_xlfn.XLOOKUP(B89,'OA名单'!B:B,'OA名单'!F:F)</f>
      </c>
      <c r="S89" s="63">
        <f t="shared" si="10"/>
      </c>
      <c r="T89" s="70"/>
      <c r="U89" s="63" cm="1">
        <f t="array" ref="U89:U89">_xlfn.XLOOKUP(N89,'OA名单'!B:B,'OA名单'!E:E)</f>
      </c>
      <c r="V89" s="63">
        <f t="shared" si="12"/>
      </c>
      <c r="W89" s="71"/>
      <c r="X89" s="66"/>
      <c r="Y89" s="66"/>
    </row>
    <row r="90">
      <c r="A90" s="66"/>
      <c r="B90" s="66" t="s">
        <v>12911</v>
      </c>
      <c r="C90" s="67" t="s">
        <v>12713</v>
      </c>
      <c r="D90" s="67" t="s">
        <v>12714</v>
      </c>
      <c r="E90" s="69" t="s">
        <v>12776</v>
      </c>
      <c r="F90" s="69" t="s">
        <v>12716</v>
      </c>
      <c r="G90" s="66" t="s">
        <v>12817</v>
      </c>
      <c r="H90" s="66" t="s">
        <v>12912</v>
      </c>
      <c r="I90" s="68">
        <v>0.93373</v>
      </c>
      <c r="J90" s="69">
        <v>93.83</v>
      </c>
      <c r="K90" s="72">
        <v>0.9383</v>
      </c>
      <c r="L90" s="66">
        <v>1433.33</v>
      </c>
      <c r="M90" s="66">
        <v>1000</v>
      </c>
      <c r="N90" s="63" cm="1">
        <f t="array" ref="N90:N90">_xlfn.XLOOKUP(H90,'OA名单'!C:C,'OA名单'!B:B,1)</f>
      </c>
      <c r="O90" s="63">
        <f t="shared" si="8"/>
      </c>
      <c r="P90" s="63" cm="1">
        <f t="array" ref="P90:P90">_xlfn.XLOOKUP(N90,'OA名单'!B:B,'OA名单'!G:G)</f>
      </c>
      <c r="Q90" s="63">
        <f t="shared" si="11"/>
      </c>
      <c r="R90" s="63" cm="1">
        <f t="array" ref="R90:R90">_xlfn.XLOOKUP(B90,'OA名单'!B:B,'OA名单'!F:F)</f>
      </c>
      <c r="S90" s="63">
        <f t="shared" si="10"/>
      </c>
      <c r="T90" s="64" cm="1">
        <f t="array" ref="T90:T90">_xlfn.XLOOKUP(B90,'系统-原始（副本）'!A:A,'系统-原始（副本）'!B:B)</f>
      </c>
      <c r="U90" s="63" cm="1">
        <f t="array" ref="U90:U90">_xlfn.XLOOKUP(N90,'OA名单'!B:B,'OA名单'!E:E)</f>
      </c>
      <c r="V90" s="63">
        <f t="shared" si="12"/>
      </c>
      <c r="W90" s="71"/>
      <c r="X90" s="66"/>
      <c r="Y90" s="66"/>
    </row>
    <row hidden="true" r="91">
      <c r="A91" s="66"/>
      <c r="B91" s="66" t="s">
        <v>12913</v>
      </c>
      <c r="C91" s="67" t="s">
        <v>12713</v>
      </c>
      <c r="D91" s="67" t="s">
        <v>12714</v>
      </c>
      <c r="E91" s="69" t="s">
        <v>12776</v>
      </c>
      <c r="F91" s="69" t="s">
        <v>12716</v>
      </c>
      <c r="G91" s="66" t="s">
        <v>12817</v>
      </c>
      <c r="H91" s="66" t="s">
        <v>12914</v>
      </c>
      <c r="I91" s="68">
        <v>0.93373</v>
      </c>
      <c r="J91" s="69">
        <v>93.83</v>
      </c>
      <c r="K91" s="67">
        <f>K91:J91%</f>
      </c>
      <c r="L91" s="66">
        <v>1533.33</v>
      </c>
      <c r="M91" s="66">
        <v>1000</v>
      </c>
      <c r="N91" s="63" cm="1">
        <f t="array" ref="N91:N91">_xlfn.XLOOKUP(H91,'OA名单'!C:C,'OA名单'!B:B,1)</f>
      </c>
      <c r="O91" s="63">
        <f t="shared" si="8"/>
      </c>
      <c r="P91" s="63" cm="1">
        <f t="array" ref="P91:P91">_xlfn.XLOOKUP(N91,'OA名单'!B:B,'OA名单'!G:G)</f>
      </c>
      <c r="Q91" s="63">
        <f t="shared" si="11"/>
      </c>
      <c r="R91" s="63" cm="1">
        <f t="array" ref="R91:R91">_xlfn.XLOOKUP(B91,'OA名单'!B:B,'OA名单'!F:F)</f>
      </c>
      <c r="S91" s="63">
        <f t="shared" si="10"/>
      </c>
      <c r="T91" s="64" cm="1">
        <f t="array" ref="T91:T91">_xlfn.XLOOKUP(B91,'系统-原始（副本）'!A:A,'系统-原始（副本）'!B:B)</f>
      </c>
      <c r="U91" s="63" cm="1">
        <f t="array" ref="U91:U91">_xlfn.XLOOKUP(N91,'OA名单'!B:B,'OA名单'!E:E)</f>
      </c>
      <c r="V91" s="63">
        <f t="shared" si="12"/>
      </c>
      <c r="W91" s="71"/>
      <c r="X91" s="66"/>
      <c r="Y91" s="66"/>
    </row>
    <row r="92">
      <c r="A92" s="66"/>
      <c r="B92" s="66" t="s">
        <v>12915</v>
      </c>
      <c r="C92" s="67" t="s">
        <v>12713</v>
      </c>
      <c r="D92" s="67" t="s">
        <v>12714</v>
      </c>
      <c r="E92" s="69" t="s">
        <v>12776</v>
      </c>
      <c r="F92" s="69" t="s">
        <v>12716</v>
      </c>
      <c r="G92" s="66" t="s">
        <v>12817</v>
      </c>
      <c r="H92" s="66" t="s">
        <v>12916</v>
      </c>
      <c r="I92" s="68">
        <v>0.9377</v>
      </c>
      <c r="J92" s="69">
        <v>93.77</v>
      </c>
      <c r="K92" s="72">
        <v>0.9377</v>
      </c>
      <c r="L92" s="66">
        <v>600</v>
      </c>
      <c r="M92" s="66">
        <v>1000</v>
      </c>
      <c r="N92" s="63" cm="1">
        <f t="array" ref="N92:N92">_xlfn.XLOOKUP(H92,'OA名单'!C:C,'OA名单'!B:B,1)</f>
      </c>
      <c r="O92" s="63">
        <f t="shared" si="8"/>
      </c>
      <c r="P92" s="63" cm="1">
        <f t="array" ref="P92:P92">_xlfn.XLOOKUP(N92,'OA名单'!B:B,'OA名单'!G:G)</f>
      </c>
      <c r="Q92" s="63">
        <f t="shared" si="11"/>
      </c>
      <c r="R92" s="63" cm="1">
        <f t="array" ref="R92:R92">_xlfn.XLOOKUP(B92,'OA名单'!B:B,'OA名单'!F:F)</f>
      </c>
      <c r="S92" s="63">
        <f t="shared" si="10"/>
      </c>
      <c r="T92" s="64" cm="1">
        <f t="array" ref="T92:T92">_xlfn.XLOOKUP(B92,'系统-原始（副本）'!A:A,'系统-原始（副本）'!B:B)</f>
      </c>
      <c r="U92" s="63" cm="1">
        <f t="array" ref="U92:U92">_xlfn.XLOOKUP(N92,'OA名单'!B:B,'OA名单'!E:E)</f>
      </c>
      <c r="V92" s="63">
        <f t="shared" si="12"/>
      </c>
      <c r="W92" s="71"/>
      <c r="X92" s="66"/>
      <c r="Y92" s="66"/>
    </row>
    <row hidden="true" r="93">
      <c r="A93" s="66"/>
      <c r="B93" s="66" t="s">
        <v>12917</v>
      </c>
      <c r="C93" s="67" t="s">
        <v>12713</v>
      </c>
      <c r="D93" s="67" t="s">
        <v>12714</v>
      </c>
      <c r="E93" s="66" t="s">
        <v>12776</v>
      </c>
      <c r="F93" s="66" t="s">
        <v>12716</v>
      </c>
      <c r="G93" s="66" t="s">
        <v>12888</v>
      </c>
      <c r="H93" s="66" t="s">
        <v>12918</v>
      </c>
      <c r="I93" s="68">
        <v>0.933375</v>
      </c>
      <c r="J93" s="69">
        <v>93.27</v>
      </c>
      <c r="K93" s="67">
        <f>K93:J93%</f>
      </c>
      <c r="L93" s="66">
        <v>1032</v>
      </c>
      <c r="M93" s="66">
        <v>2300</v>
      </c>
      <c r="N93" s="63" cm="1">
        <f t="array" ref="N93:N93">_xlfn.XLOOKUP(H93,'OA名单'!C:C,'OA名单'!B:B,1)</f>
      </c>
      <c r="O93" s="63">
        <f t="shared" si="8"/>
      </c>
      <c r="P93" s="63" cm="1">
        <f t="array" ref="P93:P93">_xlfn.XLOOKUP(N93,'OA名单'!B:B,'OA名单'!G:G)</f>
      </c>
      <c r="Q93" s="63">
        <f t="shared" si="11"/>
      </c>
      <c r="R93" s="63" cm="1">
        <f t="array" ref="R93:R93">_xlfn.XLOOKUP(B93,'OA名单'!B:B,'OA名单'!F:F)</f>
      </c>
      <c r="S93" s="63">
        <f t="shared" si="10"/>
      </c>
      <c r="T93" s="70"/>
      <c r="U93" s="63" cm="1">
        <f t="array" ref="U93:U93">_xlfn.XLOOKUP(N93,'OA名单'!B:B,'OA名单'!E:E)</f>
      </c>
      <c r="V93" s="63">
        <f t="shared" si="12"/>
      </c>
      <c r="W93" s="71"/>
      <c r="X93" s="66"/>
      <c r="Y93" s="66"/>
    </row>
    <row r="94">
      <c r="A94" s="66"/>
      <c r="B94" s="66" t="s">
        <v>12919</v>
      </c>
      <c r="C94" s="67" t="s">
        <v>12713</v>
      </c>
      <c r="D94" s="67" t="s">
        <v>12714</v>
      </c>
      <c r="E94" s="69" t="s">
        <v>12776</v>
      </c>
      <c r="F94" s="69" t="s">
        <v>12716</v>
      </c>
      <c r="G94" s="66" t="s">
        <v>12817</v>
      </c>
      <c r="H94" s="66" t="s">
        <v>12920</v>
      </c>
      <c r="I94" s="68">
        <v>0.89035</v>
      </c>
      <c r="J94" s="69">
        <v>93.25</v>
      </c>
      <c r="K94" s="72">
        <v>0.9325</v>
      </c>
      <c r="L94" s="66">
        <v>400</v>
      </c>
      <c r="M94" s="66">
        <v>1000</v>
      </c>
      <c r="N94" s="63" cm="1">
        <f t="array" ref="N94:N94">_xlfn.XLOOKUP(H94,'OA名单'!C:C,'OA名单'!B:B,1)</f>
      </c>
      <c r="O94" s="63">
        <f t="shared" si="8"/>
      </c>
      <c r="P94" s="63" cm="1">
        <f t="array" ref="P94:P94">_xlfn.XLOOKUP(N94,'OA名单'!B:B,'OA名单'!G:G)</f>
      </c>
      <c r="Q94" s="63">
        <f t="shared" si="11"/>
      </c>
      <c r="R94" s="63" cm="1">
        <f t="array" ref="R94:R94">_xlfn.XLOOKUP(B94,'OA名单'!B:B,'OA名单'!F:F)</f>
      </c>
      <c r="S94" s="63">
        <f t="shared" si="10"/>
      </c>
      <c r="T94" s="64" cm="1">
        <f t="array" ref="T94:T94">_xlfn.XLOOKUP(B94,'系统-原始（副本）'!A:A,'系统-原始（副本）'!B:B)</f>
      </c>
      <c r="U94" s="63" cm="1">
        <f t="array" ref="U94:U94">_xlfn.XLOOKUP(N94,'OA名单'!B:B,'OA名单'!E:E)</f>
      </c>
      <c r="V94" s="63">
        <f t="shared" si="12"/>
      </c>
      <c r="W94" s="71"/>
      <c r="X94" s="66"/>
      <c r="Y94" s="66"/>
    </row>
    <row r="95">
      <c r="A95" s="66"/>
      <c r="B95" s="66" t="s">
        <v>12921</v>
      </c>
      <c r="C95" s="67" t="s">
        <v>12713</v>
      </c>
      <c r="D95" s="67" t="s">
        <v>12714</v>
      </c>
      <c r="E95" s="69" t="s">
        <v>12776</v>
      </c>
      <c r="F95" s="69" t="s">
        <v>12716</v>
      </c>
      <c r="G95" s="66" t="s">
        <v>12817</v>
      </c>
      <c r="H95" s="66" t="s">
        <v>12922</v>
      </c>
      <c r="I95" s="68">
        <v>0.9321</v>
      </c>
      <c r="J95" s="69">
        <v>93.21</v>
      </c>
      <c r="K95" s="72">
        <v>0.9320999999999999</v>
      </c>
      <c r="L95" s="66">
        <v>400</v>
      </c>
      <c r="M95" s="66">
        <v>1000</v>
      </c>
      <c r="N95" s="63" cm="1">
        <f t="array" ref="N95:N95">_xlfn.XLOOKUP(H95,'OA名单'!C:C,'OA名单'!B:B,1)</f>
      </c>
      <c r="O95" s="63">
        <f t="shared" si="8"/>
      </c>
      <c r="P95" s="63" cm="1">
        <f t="array" ref="P95:P95">_xlfn.XLOOKUP(N95,'OA名单'!B:B,'OA名单'!G:G)</f>
      </c>
      <c r="Q95" s="63">
        <f t="shared" si="11"/>
      </c>
      <c r="R95" s="63" cm="1">
        <f t="array" ref="R95:R95">_xlfn.XLOOKUP(B95,'OA名单'!B:B,'OA名单'!F:F)</f>
      </c>
      <c r="S95" s="63">
        <f t="shared" si="10"/>
      </c>
      <c r="T95" s="64" cm="1">
        <f t="array" ref="T95:T95">_xlfn.XLOOKUP(B95,'系统-原始（副本）'!A:A,'系统-原始（副本）'!B:B)</f>
      </c>
      <c r="U95" s="63" cm="1">
        <f t="array" ref="U95:U95">_xlfn.XLOOKUP(N95,'OA名单'!B:B,'OA名单'!E:E)</f>
      </c>
      <c r="V95" s="63">
        <f t="shared" si="12"/>
      </c>
      <c r="W95" s="71"/>
      <c r="X95" s="66"/>
      <c r="Y95" s="66"/>
    </row>
    <row r="96">
      <c r="A96" s="66"/>
      <c r="B96" s="66" t="s">
        <v>12923</v>
      </c>
      <c r="C96" s="67" t="s">
        <v>12713</v>
      </c>
      <c r="D96" s="67" t="s">
        <v>12714</v>
      </c>
      <c r="E96" s="69" t="s">
        <v>12776</v>
      </c>
      <c r="F96" s="69" t="s">
        <v>12716</v>
      </c>
      <c r="G96" s="66" t="s">
        <v>12817</v>
      </c>
      <c r="H96" s="66" t="s">
        <v>12924</v>
      </c>
      <c r="I96" s="68">
        <v>0.9247</v>
      </c>
      <c r="J96" s="69">
        <v>92.47</v>
      </c>
      <c r="K96" s="72">
        <v>0.9247</v>
      </c>
      <c r="L96" s="66">
        <v>0</v>
      </c>
      <c r="M96" s="66">
        <v>1000</v>
      </c>
      <c r="N96" s="63" cm="1">
        <f t="array" ref="N96:N96">_xlfn.XLOOKUP(H96,'OA名单'!C:C,'OA名单'!B:B,1)</f>
      </c>
      <c r="O96" s="63">
        <f t="shared" si="8"/>
      </c>
      <c r="P96" s="63" cm="1">
        <f t="array" ref="P96:P96">_xlfn.XLOOKUP(N96,'OA名单'!B:B,'OA名单'!G:G)</f>
      </c>
      <c r="Q96" s="63">
        <f t="shared" si="11"/>
      </c>
      <c r="R96" s="63" cm="1">
        <f t="array" ref="R96:R96">_xlfn.XLOOKUP(B96,'OA名单'!B:B,'OA名单'!F:F)</f>
      </c>
      <c r="S96" s="63">
        <f t="shared" si="10"/>
      </c>
      <c r="T96" s="64" cm="1">
        <f t="array" ref="T96:T96">_xlfn.XLOOKUP(B96,'系统-原始（副本）'!A:A,'系统-原始（副本）'!B:B)</f>
      </c>
      <c r="U96" s="63" cm="1">
        <f t="array" ref="U96:U96">_xlfn.XLOOKUP(N96,'OA名单'!B:B,'OA名单'!E:E)</f>
      </c>
      <c r="V96" s="63">
        <f t="shared" si="12"/>
      </c>
      <c r="W96" s="71"/>
      <c r="X96" s="66"/>
      <c r="Y96" s="66"/>
    </row>
    <row hidden="true" r="97">
      <c r="A97" s="66"/>
      <c r="B97" s="66" t="s">
        <v>12925</v>
      </c>
      <c r="C97" s="67" t="s">
        <v>12713</v>
      </c>
      <c r="D97" s="67" t="s">
        <v>12714</v>
      </c>
      <c r="E97" s="66" t="s">
        <v>12776</v>
      </c>
      <c r="F97" s="66" t="s">
        <v>12716</v>
      </c>
      <c r="G97" s="66" t="s">
        <v>12817</v>
      </c>
      <c r="H97" s="66" t="s">
        <v>12926</v>
      </c>
      <c r="I97" s="68">
        <v>0.920669</v>
      </c>
      <c r="J97" s="69">
        <v>92.06</v>
      </c>
      <c r="K97" s="67">
        <f>K97:J97%</f>
      </c>
      <c r="L97" s="66">
        <v>800</v>
      </c>
      <c r="M97" s="66">
        <v>1000</v>
      </c>
      <c r="N97" s="63" cm="1">
        <f t="array" ref="N97:N97">_xlfn.XLOOKUP(H97,'OA名单'!C:C,'OA名单'!B:B,1)</f>
      </c>
      <c r="O97" s="63">
        <f t="shared" si="8"/>
      </c>
      <c r="P97" s="63" cm="1">
        <f t="array" ref="P97:P97">_xlfn.XLOOKUP(N97,'OA名单'!B:B,'OA名单'!G:G)</f>
      </c>
      <c r="Q97" s="63">
        <f t="shared" si="11"/>
      </c>
      <c r="R97" s="63" cm="1">
        <f t="array" ref="R97:R97">_xlfn.XLOOKUP(B97,'OA名单'!B:B,'OA名单'!F:F)</f>
      </c>
      <c r="S97" s="63">
        <f t="shared" si="10"/>
      </c>
      <c r="T97" s="70"/>
      <c r="U97" s="63" cm="1">
        <f t="array" ref="U97:U97">_xlfn.XLOOKUP(N97,'OA名单'!B:B,'OA名单'!E:E)</f>
      </c>
      <c r="V97" s="63">
        <f t="shared" si="12"/>
      </c>
      <c r="W97" s="71"/>
      <c r="X97" s="66"/>
      <c r="Y97" s="66"/>
    </row>
    <row r="98">
      <c r="A98" s="66"/>
      <c r="B98" s="66" t="s">
        <v>12927</v>
      </c>
      <c r="C98" s="67" t="s">
        <v>12713</v>
      </c>
      <c r="D98" s="67" t="s">
        <v>12714</v>
      </c>
      <c r="E98" s="69" t="s">
        <v>12776</v>
      </c>
      <c r="F98" s="69" t="s">
        <v>12716</v>
      </c>
      <c r="G98" s="66" t="s">
        <v>12817</v>
      </c>
      <c r="H98" s="66" t="s">
        <v>12928</v>
      </c>
      <c r="I98" s="68">
        <v>0.91973</v>
      </c>
      <c r="J98" s="69">
        <v>91.83</v>
      </c>
      <c r="K98" s="72">
        <v>0.9183</v>
      </c>
      <c r="L98" s="66">
        <v>1433.33</v>
      </c>
      <c r="M98" s="66">
        <v>1000</v>
      </c>
      <c r="N98" s="63" cm="1">
        <f t="array" ref="N98:N98">_xlfn.XLOOKUP(H98,'OA名单'!C:C,'OA名单'!B:B,1)</f>
      </c>
      <c r="O98" s="63">
        <f t="shared" si="8"/>
      </c>
      <c r="P98" s="63" cm="1">
        <f t="array" ref="P98:P98">_xlfn.XLOOKUP(N98,'OA名单'!B:B,'OA名单'!G:G)</f>
      </c>
      <c r="Q98" s="63">
        <f t="shared" si="11"/>
      </c>
      <c r="R98" s="63" cm="1">
        <f t="array" ref="R98:R98">_xlfn.XLOOKUP(B98,'OA名单'!B:B,'OA名单'!F:F)</f>
      </c>
      <c r="S98" s="63">
        <f t="shared" si="10"/>
      </c>
      <c r="T98" s="64" cm="1">
        <f t="array" ref="T98:T98">_xlfn.XLOOKUP(B98,'系统-原始（副本）'!A:A,'系统-原始（副本）'!B:B)</f>
      </c>
      <c r="U98" s="63" cm="1">
        <f t="array" ref="U98:U98">_xlfn.XLOOKUP(N98,'OA名单'!B:B,'OA名单'!E:E)</f>
      </c>
      <c r="V98" s="63">
        <f t="shared" si="12"/>
      </c>
      <c r="W98" s="71"/>
      <c r="X98" s="66"/>
      <c r="Y98" s="66"/>
    </row>
    <row hidden="true" r="99">
      <c r="A99" s="66"/>
      <c r="B99" s="66" t="s">
        <v>12929</v>
      </c>
      <c r="C99" s="67" t="s">
        <v>12713</v>
      </c>
      <c r="D99" s="67" t="s">
        <v>12714</v>
      </c>
      <c r="E99" s="69" t="s">
        <v>12749</v>
      </c>
      <c r="F99" s="69" t="s">
        <v>12768</v>
      </c>
      <c r="G99" s="66" t="s">
        <v>12769</v>
      </c>
      <c r="H99" s="66" t="s">
        <v>12930</v>
      </c>
      <c r="I99" s="68">
        <v>0.9135</v>
      </c>
      <c r="J99" s="69">
        <v>91.4</v>
      </c>
      <c r="K99" s="67">
        <f t="shared" ref="K99:K100" si="5">K99:J99%</f>
      </c>
      <c r="L99" s="66">
        <v>2479</v>
      </c>
      <c r="M99" s="66">
        <v>2500</v>
      </c>
      <c r="N99" s="63" cm="1">
        <f t="array" ref="N99:N99">_xlfn.XLOOKUP(H99,'OA名单'!C:C,'OA名单'!B:B,1)</f>
      </c>
      <c r="O99" s="63">
        <f t="shared" si="8"/>
      </c>
      <c r="P99" s="63" cm="1">
        <f t="array" ref="P99:P99">_xlfn.XLOOKUP(N99,'OA名单'!B:B,'OA名单'!G:G)</f>
      </c>
      <c r="Q99" s="63">
        <f t="shared" si="11"/>
      </c>
      <c r="R99" s="63" cm="1">
        <f t="array" ref="R99:R99">_xlfn.XLOOKUP(B99,'OA名单'!B:B,'OA名单'!F:F)</f>
      </c>
      <c r="S99" s="63">
        <f t="shared" si="10"/>
      </c>
      <c r="T99" s="64" cm="1">
        <f t="array" ref="T99:T99">_xlfn.XLOOKUP(B99,'系统-原始（副本）'!A:A,'系统-原始（副本）'!B:B)</f>
      </c>
      <c r="U99" s="63" cm="1">
        <f t="array" ref="U99:U99">_xlfn.XLOOKUP(N99,'OA名单'!B:B,'OA名单'!E:E)</f>
      </c>
      <c r="V99" s="63">
        <f t="shared" si="12"/>
      </c>
      <c r="W99" s="71"/>
      <c r="X99" s="66"/>
      <c r="Y99" s="66"/>
    </row>
    <row hidden="true" r="100">
      <c r="A100" s="66"/>
      <c r="B100" s="66" t="s">
        <v>12931</v>
      </c>
      <c r="C100" s="67" t="s">
        <v>12713</v>
      </c>
      <c r="D100" s="67" t="s">
        <v>12714</v>
      </c>
      <c r="E100" s="66" t="s">
        <v>12776</v>
      </c>
      <c r="F100" s="66" t="s">
        <v>12716</v>
      </c>
      <c r="G100" s="66" t="s">
        <v>12817</v>
      </c>
      <c r="H100" s="66" t="s">
        <v>12932</v>
      </c>
      <c r="I100" s="68">
        <v>0.91317</v>
      </c>
      <c r="J100" s="69">
        <v>91.31</v>
      </c>
      <c r="K100" s="67">
        <f t="shared" si="5"/>
      </c>
      <c r="L100" s="66">
        <v>600</v>
      </c>
      <c r="M100" s="66">
        <v>1000</v>
      </c>
      <c r="N100" s="63" cm="1">
        <f t="array" ref="N100:N100">_xlfn.XLOOKUP(H100,'OA名单'!C:C,'OA名单'!B:B,1)</f>
      </c>
      <c r="O100" s="63">
        <f t="shared" si="8"/>
      </c>
      <c r="P100" s="63" cm="1">
        <f t="array" ref="P100:P100">_xlfn.XLOOKUP(N100,'OA名单'!B:B,'OA名单'!G:G)</f>
      </c>
      <c r="Q100" s="63">
        <f t="shared" si="11"/>
      </c>
      <c r="R100" s="63" cm="1">
        <f t="array" ref="R100:R100">_xlfn.XLOOKUP(B100,'OA名单'!B:B,'OA名单'!F:F)</f>
      </c>
      <c r="S100" s="63">
        <f t="shared" si="10"/>
      </c>
      <c r="T100" s="70"/>
      <c r="U100" s="63" cm="1">
        <f t="array" ref="U100:U100">_xlfn.XLOOKUP(N100,'OA名单'!B:B,'OA名单'!E:E)</f>
      </c>
      <c r="V100" s="63">
        <f t="shared" si="12"/>
      </c>
      <c r="W100" s="71"/>
      <c r="X100" s="66"/>
      <c r="Y100" s="66"/>
    </row>
    <row r="101">
      <c r="A101" s="66"/>
      <c r="B101" s="66" t="s">
        <v>12933</v>
      </c>
      <c r="C101" s="67" t="s">
        <v>12713</v>
      </c>
      <c r="D101" s="67" t="s">
        <v>12714</v>
      </c>
      <c r="E101" s="69" t="s">
        <v>12776</v>
      </c>
      <c r="F101" s="69" t="s">
        <v>12716</v>
      </c>
      <c r="G101" s="66" t="s">
        <v>12817</v>
      </c>
      <c r="H101" s="66" t="s">
        <v>12934</v>
      </c>
      <c r="I101" s="68">
        <v>0.90923</v>
      </c>
      <c r="J101" s="69">
        <v>90.33</v>
      </c>
      <c r="K101" s="72">
        <v>0.9033</v>
      </c>
      <c r="L101" s="66">
        <v>1000</v>
      </c>
      <c r="M101" s="66">
        <v>1000</v>
      </c>
      <c r="N101" s="63" cm="1">
        <f t="array" ref="N101:N101">_xlfn.XLOOKUP(H101,'OA名单'!C:C,'OA名单'!B:B,1)</f>
      </c>
      <c r="O101" s="63">
        <f t="shared" si="8"/>
      </c>
      <c r="P101" s="63" cm="1">
        <f t="array" ref="P101:P101">_xlfn.XLOOKUP(N101,'OA名单'!B:B,'OA名单'!G:G)</f>
      </c>
      <c r="Q101" s="63">
        <f t="shared" si="11"/>
      </c>
      <c r="R101" s="63" cm="1">
        <f t="array" ref="R101:R101">_xlfn.XLOOKUP(B101,'OA名单'!B:B,'OA名单'!F:F)</f>
      </c>
      <c r="S101" s="63">
        <f t="shared" si="10"/>
      </c>
      <c r="T101" s="64" cm="1">
        <f t="array" ref="T101:T101">_xlfn.XLOOKUP(B101,'系统-原始（副本）'!A:A,'系统-原始（副本）'!B:B)</f>
      </c>
      <c r="U101" s="63" cm="1">
        <f t="array" ref="U101:U101">_xlfn.XLOOKUP(N101,'OA名单'!B:B,'OA名单'!E:E)</f>
      </c>
      <c r="V101" s="63">
        <f t="shared" si="12"/>
      </c>
      <c r="W101" s="71"/>
      <c r="X101" s="66"/>
      <c r="Y101" s="66"/>
    </row>
    <row hidden="true" r="102">
      <c r="A102" s="66"/>
      <c r="B102" s="66" t="s">
        <v>12935</v>
      </c>
      <c r="C102" s="67" t="s">
        <v>12713</v>
      </c>
      <c r="D102" s="67" t="s">
        <v>12714</v>
      </c>
      <c r="E102" s="69" t="s">
        <v>12936</v>
      </c>
      <c r="F102" s="72" t="s">
        <v>12937</v>
      </c>
      <c r="G102" s="66" t="s">
        <v>12938</v>
      </c>
      <c r="H102" s="66" t="s">
        <v>12939</v>
      </c>
      <c r="I102" s="68">
        <v>0.888</v>
      </c>
      <c r="J102" s="69">
        <v>88.8</v>
      </c>
      <c r="K102" s="67">
        <f>K102:J102%</f>
      </c>
      <c r="L102" s="66">
        <v>852.5</v>
      </c>
      <c r="M102" s="66">
        <v>1200</v>
      </c>
      <c r="N102" s="63" cm="1">
        <f t="array" ref="N102:N102">_xlfn.XLOOKUP(H102,'OA名单'!C:C,'OA名单'!B:B,1)</f>
      </c>
      <c r="O102" s="63">
        <f t="shared" si="8"/>
      </c>
      <c r="P102" s="63" cm="1">
        <f t="array" ref="P102:P102">_xlfn.XLOOKUP(N102,'OA名单'!B:B,'OA名单'!G:G)</f>
      </c>
      <c r="Q102" s="63">
        <f t="shared" si="11"/>
      </c>
      <c r="R102" s="63" cm="1">
        <f t="array" ref="R102:R102">_xlfn.XLOOKUP(B102,'OA名单'!B:B,'OA名单'!F:F)</f>
      </c>
      <c r="S102" s="63">
        <f t="shared" si="10"/>
      </c>
      <c r="T102" s="64" cm="1">
        <f t="array" ref="T102:T102">_xlfn.XLOOKUP(B102,'系统-原始（副本）'!A:A,'系统-原始（副本）'!B:B)</f>
      </c>
      <c r="U102" s="63" cm="1">
        <f t="array" ref="U102:U102">_xlfn.XLOOKUP(N102,'OA名单'!B:B,'OA名单'!E:E)</f>
      </c>
      <c r="V102" s="63">
        <f t="shared" si="12"/>
      </c>
      <c r="W102" s="71"/>
      <c r="X102" s="66"/>
      <c r="Y102" s="66"/>
    </row>
    <row r="103">
      <c r="A103" s="66"/>
      <c r="B103" s="66" t="s">
        <v>12940</v>
      </c>
      <c r="C103" s="67" t="s">
        <v>12713</v>
      </c>
      <c r="D103" s="67" t="s">
        <v>12714</v>
      </c>
      <c r="E103" s="69" t="s">
        <v>12776</v>
      </c>
      <c r="F103" s="66" t="s">
        <v>12716</v>
      </c>
      <c r="G103" s="66" t="s">
        <v>12817</v>
      </c>
      <c r="H103" s="66" t="s">
        <v>12941</v>
      </c>
      <c r="I103" s="68">
        <v>0.88317</v>
      </c>
      <c r="J103" s="69">
        <v>88.31</v>
      </c>
      <c r="K103" s="72">
        <v>0.8831</v>
      </c>
      <c r="L103" s="66">
        <v>400</v>
      </c>
      <c r="M103" s="66">
        <v>1000</v>
      </c>
      <c r="N103" s="63" cm="1">
        <f t="array" ref="N103:N103">_xlfn.XLOOKUP(H103,'OA名单'!C:C,'OA名单'!B:B,1)</f>
      </c>
      <c r="O103" s="63">
        <f t="shared" si="8"/>
      </c>
      <c r="P103" s="63" cm="1">
        <f t="array" ref="P103:P103">_xlfn.XLOOKUP(N103,'OA名单'!B:B,'OA名单'!G:G)</f>
      </c>
      <c r="Q103" s="63">
        <f t="shared" si="11"/>
      </c>
      <c r="R103" s="63" cm="1">
        <f t="array" ref="R103:R103">_xlfn.XLOOKUP(B103,'OA名单'!B:B,'OA名单'!F:F)</f>
      </c>
      <c r="S103" s="63">
        <f t="shared" si="10"/>
      </c>
      <c r="T103" s="64" cm="1">
        <f t="array" ref="T103:T103">_xlfn.XLOOKUP(B103,'系统-原始（副本）'!A:A,'系统-原始（副本）'!B:B)</f>
      </c>
      <c r="U103" s="63" cm="1">
        <f t="array" ref="U103:U103">_xlfn.XLOOKUP(N103,'OA名单'!B:B,'OA名单'!E:E)</f>
      </c>
      <c r="V103" s="63">
        <f t="shared" si="12"/>
      </c>
      <c r="W103" s="71"/>
      <c r="X103" s="66"/>
      <c r="Y103" s="66"/>
    </row>
    <row hidden="true" r="104">
      <c r="A104" s="66"/>
      <c r="B104" s="66" t="s">
        <v>12942</v>
      </c>
      <c r="C104" s="67" t="s">
        <v>12713</v>
      </c>
      <c r="D104" s="67" t="s">
        <v>12714</v>
      </c>
      <c r="E104" s="69" t="s">
        <v>12749</v>
      </c>
      <c r="F104" s="69" t="s">
        <v>12768</v>
      </c>
      <c r="G104" s="66" t="s">
        <v>12769</v>
      </c>
      <c r="H104" s="66" t="s">
        <v>12943</v>
      </c>
      <c r="I104" s="68">
        <v>0.88</v>
      </c>
      <c r="J104" s="69">
        <v>88</v>
      </c>
      <c r="K104" s="67">
        <f>K104:J104%</f>
      </c>
      <c r="L104" s="66">
        <v>0</v>
      </c>
      <c r="M104" s="66">
        <v>1200</v>
      </c>
      <c r="N104" s="63" cm="1">
        <f t="array" ref="N104:N104">_xlfn.XLOOKUP(H104,'OA名单'!C:C,'OA名单'!B:B,1)</f>
      </c>
      <c r="O104" s="63">
        <f t="shared" si="8"/>
      </c>
      <c r="P104" s="63" cm="1">
        <f t="array" ref="P104:P104">_xlfn.XLOOKUP(N104,'OA名单'!B:B,'OA名单'!G:G)</f>
      </c>
      <c r="Q104" s="63">
        <f t="shared" si="11"/>
      </c>
      <c r="R104" s="63" cm="1">
        <f t="array" ref="R104:R104">_xlfn.XLOOKUP(B104,'OA名单'!B:B,'OA名单'!F:F)</f>
      </c>
      <c r="S104" s="63">
        <f t="shared" si="10"/>
      </c>
      <c r="T104" s="64" cm="1">
        <f t="array" ref="T104:T104">_xlfn.XLOOKUP(B104,'系统-原始（副本）'!A:A,'系统-原始（副本）'!B:B)</f>
      </c>
      <c r="U104" s="63" cm="1">
        <f t="array" ref="U104:U104">_xlfn.XLOOKUP(N104,'OA名单'!B:B,'OA名单'!E:E)</f>
      </c>
      <c r="V104" s="63">
        <f t="shared" si="12"/>
      </c>
      <c r="W104" s="71"/>
      <c r="X104" s="66"/>
      <c r="Y104" s="66"/>
    </row>
    <row r="105">
      <c r="A105" s="66"/>
      <c r="B105" s="66" t="s">
        <v>12944</v>
      </c>
      <c r="C105" s="67" t="s">
        <v>12713</v>
      </c>
      <c r="D105" s="67" t="s">
        <v>12714</v>
      </c>
      <c r="E105" s="69" t="s">
        <v>12776</v>
      </c>
      <c r="F105" s="66" t="s">
        <v>12716</v>
      </c>
      <c r="G105" s="66" t="s">
        <v>12817</v>
      </c>
      <c r="H105" s="66" t="s">
        <v>12889</v>
      </c>
      <c r="I105" s="68">
        <v>0.875748</v>
      </c>
      <c r="J105" s="69">
        <v>87.57</v>
      </c>
      <c r="K105" s="72">
        <v>0.8756999999999999</v>
      </c>
      <c r="L105" s="66">
        <v>425</v>
      </c>
      <c r="M105" s="66">
        <v>1000</v>
      </c>
      <c r="N105" s="63" cm="1">
        <f t="array" ref="N105:N105">_xlfn.XLOOKUP(H105,'OA名单'!C:C,'OA名单'!B:B,1)</f>
      </c>
      <c r="O105" s="63">
        <f t="shared" si="8"/>
      </c>
      <c r="P105" s="63" cm="1">
        <f t="array" ref="P105:P105">_xlfn.XLOOKUP(N105,'OA名单'!B:B,'OA名单'!G:G)</f>
      </c>
      <c r="Q105" s="63">
        <f t="shared" si="11"/>
      </c>
      <c r="R105" s="63" cm="1">
        <f t="array" ref="R105:R105">_xlfn.XLOOKUP(B105,'OA名单'!B:B,'OA名单'!F:F)</f>
      </c>
      <c r="S105" s="63">
        <f t="shared" si="10"/>
      </c>
      <c r="T105" s="64" cm="1">
        <f t="array" ref="T105:T105">_xlfn.XLOOKUP(B105,'系统-原始（副本）'!A:A,'系统-原始（副本）'!B:B)</f>
      </c>
      <c r="U105" s="63" cm="1">
        <f t="array" ref="U105:U105">_xlfn.XLOOKUP(N105,'OA名单'!B:B,'OA名单'!E:E)</f>
      </c>
      <c r="V105" s="63">
        <f t="shared" si="12"/>
      </c>
      <c r="W105" s="71"/>
      <c r="X105" s="66"/>
      <c r="Y105" s="66"/>
    </row>
    <row hidden="true" r="106">
      <c r="A106" s="66"/>
      <c r="B106" s="66" t="s">
        <v>12945</v>
      </c>
      <c r="C106" s="67" t="s">
        <v>12713</v>
      </c>
      <c r="D106" s="67" t="s">
        <v>12714</v>
      </c>
      <c r="E106" s="66" t="s">
        <v>12749</v>
      </c>
      <c r="F106" s="66" t="s">
        <v>12768</v>
      </c>
      <c r="G106" s="66" t="s">
        <v>12769</v>
      </c>
      <c r="H106" s="66" t="s">
        <v>12946</v>
      </c>
      <c r="I106" s="68">
        <v>0.865</v>
      </c>
      <c r="J106" s="69">
        <v>87</v>
      </c>
      <c r="K106" s="67">
        <f t="shared" ref="K106:K111" si="6">K106:J106%</f>
      </c>
      <c r="L106" s="66">
        <v>2250</v>
      </c>
      <c r="M106" s="66">
        <v>1500</v>
      </c>
      <c r="N106" s="63" cm="1">
        <f t="array" ref="N106:N106">_xlfn.XLOOKUP(H106,'OA名单'!C:C,'OA名单'!B:B,1)</f>
      </c>
      <c r="O106" s="63">
        <f t="shared" si="8"/>
      </c>
      <c r="P106" s="63" cm="1">
        <f t="array" ref="P106:P106">_xlfn.XLOOKUP(N106,'OA名单'!B:B,'OA名单'!G:G)</f>
      </c>
      <c r="Q106" s="63">
        <f t="shared" si="11"/>
      </c>
      <c r="R106" s="63" cm="1">
        <f t="array" ref="R106:R106">_xlfn.XLOOKUP(B106,'OA名单'!B:B,'OA名单'!F:F)</f>
      </c>
      <c r="S106" s="63">
        <f t="shared" si="10"/>
      </c>
      <c r="T106" s="70"/>
      <c r="U106" s="63" cm="1">
        <f t="array" ref="U106:U106">_xlfn.XLOOKUP(N106,'OA名单'!B:B,'OA名单'!E:E)</f>
      </c>
      <c r="V106" s="63">
        <f t="shared" si="12"/>
      </c>
      <c r="W106" s="71"/>
      <c r="X106" s="66"/>
      <c r="Y106" s="66"/>
    </row>
    <row hidden="true" r="107">
      <c r="A107" s="66"/>
      <c r="B107" s="66" t="s">
        <v>12947</v>
      </c>
      <c r="C107" s="67" t="s">
        <v>12713</v>
      </c>
      <c r="D107" s="67" t="s">
        <v>12714</v>
      </c>
      <c r="E107" s="69" t="s">
        <v>12749</v>
      </c>
      <c r="F107" s="69" t="s">
        <v>12768</v>
      </c>
      <c r="G107" s="66" t="s">
        <v>12769</v>
      </c>
      <c r="H107" s="66" t="s">
        <v>12948</v>
      </c>
      <c r="I107" s="68">
        <v>0.851</v>
      </c>
      <c r="J107" s="69">
        <v>86</v>
      </c>
      <c r="K107" s="67">
        <f t="shared" si="6"/>
      </c>
      <c r="L107" s="66">
        <v>2137</v>
      </c>
      <c r="M107" s="66">
        <v>2000</v>
      </c>
      <c r="N107" s="63" cm="1">
        <f t="array" ref="N107:N107">_xlfn.XLOOKUP(H107,'OA名单'!C:C,'OA名单'!B:B,1)</f>
      </c>
      <c r="O107" s="63">
        <f t="shared" si="8"/>
      </c>
      <c r="P107" s="63" cm="1">
        <f t="array" ref="P107:P107">_xlfn.XLOOKUP(N107,'OA名单'!B:B,'OA名单'!G:G)</f>
      </c>
      <c r="Q107" s="63">
        <f t="shared" si="11"/>
      </c>
      <c r="R107" s="63" cm="1">
        <f t="array" ref="R107:R107">_xlfn.XLOOKUP(B107,'OA名单'!B:B,'OA名单'!F:F)</f>
      </c>
      <c r="S107" s="63">
        <f t="shared" si="10"/>
      </c>
      <c r="T107" s="64" cm="1">
        <f t="array" ref="T107:T107">_xlfn.XLOOKUP(B107,'系统-原始（副本）'!A:A,'系统-原始（副本）'!B:B)</f>
      </c>
      <c r="U107" s="63" cm="1">
        <f t="array" ref="U107:U107">_xlfn.XLOOKUP(N107,'OA名单'!B:B,'OA名单'!E:E)</f>
      </c>
      <c r="V107" s="63">
        <f t="shared" si="12"/>
      </c>
      <c r="W107" s="71"/>
      <c r="X107" s="66"/>
      <c r="Y107" s="66"/>
    </row>
    <row hidden="true" r="108">
      <c r="A108" s="66"/>
      <c r="B108" s="66" t="s">
        <v>12949</v>
      </c>
      <c r="C108" s="67" t="s">
        <v>12713</v>
      </c>
      <c r="D108" s="67" t="s">
        <v>12714</v>
      </c>
      <c r="E108" s="66" t="s">
        <v>12749</v>
      </c>
      <c r="F108" s="66" t="s">
        <v>12768</v>
      </c>
      <c r="G108" s="66" t="s">
        <v>12769</v>
      </c>
      <c r="H108" s="66" t="s">
        <v>12950</v>
      </c>
      <c r="I108" s="68">
        <v>0.86</v>
      </c>
      <c r="J108" s="69">
        <v>86</v>
      </c>
      <c r="K108" s="67">
        <f t="shared" si="6"/>
      </c>
      <c r="L108" s="66">
        <v>1056</v>
      </c>
      <c r="M108" s="66">
        <v>1200</v>
      </c>
      <c r="N108" s="63" cm="1">
        <f t="array" ref="N108:N108">_xlfn.XLOOKUP(H108,'OA名单'!C:C,'OA名单'!B:B,1)</f>
      </c>
      <c r="O108" s="63">
        <f t="shared" si="8"/>
      </c>
      <c r="P108" s="63" cm="1">
        <f t="array" ref="P108:P108">_xlfn.XLOOKUP(N108,'OA名单'!B:B,'OA名单'!G:G)</f>
      </c>
      <c r="Q108" s="63">
        <f t="shared" si="11"/>
      </c>
      <c r="R108" s="63" cm="1">
        <f t="array" ref="R108:R108">_xlfn.XLOOKUP(B108,'OA名单'!B:B,'OA名单'!F:F)</f>
      </c>
      <c r="S108" s="63">
        <f t="shared" si="10"/>
      </c>
      <c r="T108" s="70"/>
      <c r="U108" s="63" cm="1">
        <f t="array" ref="U108:U108">_xlfn.XLOOKUP(N108,'OA名单'!B:B,'OA名单'!E:E)</f>
      </c>
      <c r="V108" s="63">
        <f t="shared" si="12"/>
      </c>
      <c r="W108" s="71"/>
      <c r="X108" s="66"/>
      <c r="Y108" s="66"/>
    </row>
    <row hidden="true" r="109">
      <c r="A109" s="66"/>
      <c r="B109" s="66" t="s">
        <v>12951</v>
      </c>
      <c r="C109" s="67" t="s">
        <v>12713</v>
      </c>
      <c r="D109" s="67" t="s">
        <v>12714</v>
      </c>
      <c r="E109" s="66" t="s">
        <v>12749</v>
      </c>
      <c r="F109" s="66" t="s">
        <v>12768</v>
      </c>
      <c r="G109" s="66" t="s">
        <v>12769</v>
      </c>
      <c r="H109" s="66" t="s">
        <v>12952</v>
      </c>
      <c r="I109" s="68">
        <v>0.855</v>
      </c>
      <c r="J109" s="69">
        <v>85.5</v>
      </c>
      <c r="K109" s="67">
        <f t="shared" si="6"/>
      </c>
      <c r="L109" s="66">
        <v>2176</v>
      </c>
      <c r="M109" s="66">
        <v>2000</v>
      </c>
      <c r="N109" s="63" cm="1">
        <f t="array" ref="N109:N109">_xlfn.XLOOKUP(H109,'OA名单'!C:C,'OA名单'!B:B,1)</f>
      </c>
      <c r="O109" s="63">
        <f t="shared" si="8"/>
      </c>
      <c r="P109" s="63" cm="1">
        <f t="array" ref="P109:P109">_xlfn.XLOOKUP(N109,'OA名单'!B:B,'OA名单'!G:G)</f>
      </c>
      <c r="Q109" s="63">
        <f t="shared" si="11"/>
      </c>
      <c r="R109" s="63" cm="1">
        <f t="array" ref="R109:R109">_xlfn.XLOOKUP(B109,'OA名单'!B:B,'OA名单'!F:F)</f>
      </c>
      <c r="S109" s="63">
        <f t="shared" si="10"/>
      </c>
      <c r="T109" s="70"/>
      <c r="U109" s="63" cm="1">
        <f t="array" ref="U109:U109">_xlfn.XLOOKUP(N109,'OA名单'!B:B,'OA名单'!E:E)</f>
      </c>
      <c r="V109" s="63">
        <f t="shared" si="12"/>
      </c>
      <c r="W109" s="71"/>
      <c r="X109" s="66"/>
      <c r="Y109" s="66"/>
    </row>
    <row hidden="true" r="110">
      <c r="A110" s="66"/>
      <c r="B110" s="66" t="s">
        <v>12953</v>
      </c>
      <c r="C110" s="67" t="s">
        <v>12713</v>
      </c>
      <c r="D110" s="67" t="s">
        <v>12714</v>
      </c>
      <c r="E110" s="69" t="s">
        <v>12776</v>
      </c>
      <c r="F110" s="69" t="s">
        <v>12716</v>
      </c>
      <c r="G110" s="66" t="s">
        <v>12777</v>
      </c>
      <c r="H110" s="66" t="s">
        <v>12954</v>
      </c>
      <c r="I110" s="68">
        <v>0.85</v>
      </c>
      <c r="J110" s="69">
        <v>85</v>
      </c>
      <c r="K110" s="67">
        <f t="shared" si="6"/>
      </c>
      <c r="L110" s="66">
        <v>1700</v>
      </c>
      <c r="M110" s="66">
        <v>2000</v>
      </c>
      <c r="N110" s="63" cm="1">
        <f t="array" ref="N110:N110">_xlfn.XLOOKUP(H110,'OA名单'!C:C,'OA名单'!B:B,1)</f>
      </c>
      <c r="O110" s="63">
        <f t="shared" si="8"/>
      </c>
      <c r="P110" s="63" cm="1">
        <f t="array" ref="P110:P110">_xlfn.XLOOKUP(N110,'OA名单'!B:B,'OA名单'!G:G)</f>
      </c>
      <c r="Q110" s="63">
        <f t="shared" si="11"/>
      </c>
      <c r="R110" s="63" cm="1">
        <f t="array" ref="R110:R110">_xlfn.XLOOKUP(B110,'OA名单'!B:B,'OA名单'!F:F)</f>
      </c>
      <c r="S110" s="63">
        <f t="shared" si="10"/>
      </c>
      <c r="T110" s="64" cm="1">
        <f t="array" ref="T110:T110">_xlfn.XLOOKUP(B110,'系统-原始（副本）'!A:A,'系统-原始（副本）'!B:B)</f>
      </c>
      <c r="U110" s="63" cm="1">
        <f t="array" ref="U110:U110">_xlfn.XLOOKUP(N110,'OA名单'!B:B,'OA名单'!E:E)</f>
      </c>
      <c r="V110" s="63">
        <f t="shared" si="12"/>
      </c>
      <c r="W110" s="71"/>
      <c r="X110" s="66"/>
      <c r="Y110" s="66"/>
    </row>
    <row hidden="true" r="111">
      <c r="A111" s="66"/>
      <c r="B111" s="66" t="s">
        <v>12955</v>
      </c>
      <c r="C111" s="67" t="s">
        <v>12713</v>
      </c>
      <c r="D111" s="67" t="s">
        <v>12714</v>
      </c>
      <c r="E111" s="69" t="s">
        <v>12956</v>
      </c>
      <c r="F111" s="69" t="s">
        <v>12957</v>
      </c>
      <c r="G111" s="66" t="s">
        <v>12958</v>
      </c>
      <c r="H111" s="66" t="s">
        <v>12959</v>
      </c>
      <c r="I111" s="68">
        <v>0.85</v>
      </c>
      <c r="J111" s="69">
        <v>85</v>
      </c>
      <c r="K111" s="67">
        <f t="shared" si="6"/>
      </c>
      <c r="L111" s="66">
        <v>0</v>
      </c>
      <c r="M111" s="66">
        <v>0</v>
      </c>
      <c r="N111" s="63" cm="1">
        <f t="array" ref="N111:N111">_xlfn.XLOOKUP(H111,'OA名单'!C:C,'OA名单'!B:B,1)</f>
      </c>
      <c r="O111" s="63">
        <f t="shared" si="8"/>
      </c>
      <c r="P111" s="63" cm="1">
        <f t="array" ref="P111:P111">_xlfn.XLOOKUP(N111,'OA名单'!B:B,'OA名单'!G:G)</f>
      </c>
      <c r="Q111" s="63">
        <f t="shared" si="11"/>
      </c>
      <c r="R111" s="63" cm="1">
        <f t="array" ref="R111:R111">_xlfn.XLOOKUP(B111,'OA名单'!B:B,'OA名单'!F:F)</f>
      </c>
      <c r="S111" s="63">
        <f t="shared" si="10"/>
      </c>
      <c r="T111" s="64" cm="1">
        <f t="array" ref="T111:T111">_xlfn.XLOOKUP(B111,'系统-原始（副本）'!A:A,'系统-原始（副本）'!B:B)</f>
      </c>
      <c r="U111" s="63" cm="1">
        <f t="array" ref="U111:U111">_xlfn.XLOOKUP(N111,'OA名单'!B:B,'OA名单'!E:E)</f>
      </c>
      <c r="V111" s="63">
        <f t="shared" si="12"/>
      </c>
      <c r="W111" s="71"/>
      <c r="X111" s="66"/>
      <c r="Y111" s="66"/>
    </row>
    <row r="112">
      <c r="A112" s="66"/>
      <c r="B112" s="66" t="s">
        <v>12960</v>
      </c>
      <c r="C112" s="67" t="s">
        <v>12713</v>
      </c>
      <c r="D112" s="67" t="s">
        <v>12714</v>
      </c>
      <c r="E112" s="69" t="s">
        <v>12776</v>
      </c>
      <c r="F112" s="66" t="s">
        <v>12716</v>
      </c>
      <c r="G112" s="66" t="s">
        <v>12817</v>
      </c>
      <c r="H112" s="66" t="s">
        <v>12961</v>
      </c>
      <c r="I112" s="68">
        <v>0.819475</v>
      </c>
      <c r="J112" s="69">
        <v>83.12</v>
      </c>
      <c r="K112" s="72">
        <v>0.8312</v>
      </c>
      <c r="L112" s="66">
        <v>250</v>
      </c>
      <c r="M112" s="66">
        <v>1000</v>
      </c>
      <c r="N112" s="63" cm="1">
        <f t="array" ref="N112:N112">_xlfn.XLOOKUP(H112,'OA名单'!C:C,'OA名单'!B:B,1)</f>
      </c>
      <c r="O112" s="63">
        <f t="shared" si="8"/>
      </c>
      <c r="P112" s="63" cm="1">
        <f t="array" ref="P112:P112">_xlfn.XLOOKUP(N112,'OA名单'!B:B,'OA名单'!G:G)</f>
      </c>
      <c r="Q112" s="63">
        <f t="shared" si="11"/>
      </c>
      <c r="R112" s="63" cm="1">
        <f t="array" ref="R112:R112">_xlfn.XLOOKUP(B112,'OA名单'!B:B,'OA名单'!F:F)</f>
      </c>
      <c r="S112" s="63">
        <f t="shared" si="10"/>
      </c>
      <c r="T112" s="64" cm="1">
        <f t="array" ref="T112:T112">_xlfn.XLOOKUP(B112,'系统-原始（副本）'!A:A,'系统-原始（副本）'!B:B)</f>
      </c>
      <c r="U112" s="63" cm="1">
        <f t="array" ref="U112:U112">_xlfn.XLOOKUP(N112,'OA名单'!B:B,'OA名单'!E:E)</f>
      </c>
      <c r="V112" s="63">
        <f t="shared" si="12"/>
      </c>
      <c r="W112" s="71"/>
      <c r="X112" s="66"/>
      <c r="Y112" s="66"/>
    </row>
    <row hidden="true" r="113">
      <c r="A113" s="66"/>
      <c r="B113" s="66" t="s">
        <v>12962</v>
      </c>
      <c r="C113" s="67" t="s">
        <v>12713</v>
      </c>
      <c r="D113" s="67" t="s">
        <v>12714</v>
      </c>
      <c r="E113" s="69" t="s">
        <v>12749</v>
      </c>
      <c r="F113" s="69" t="s">
        <v>12768</v>
      </c>
      <c r="G113" s="66" t="s">
        <v>12769</v>
      </c>
      <c r="H113" s="66" t="s">
        <v>12963</v>
      </c>
      <c r="I113" s="68">
        <v>0.832</v>
      </c>
      <c r="J113" s="69">
        <v>83</v>
      </c>
      <c r="K113" s="67">
        <f>K113:J113%</f>
      </c>
      <c r="L113" s="66">
        <v>1248</v>
      </c>
      <c r="M113" s="66">
        <v>1500</v>
      </c>
      <c r="N113" s="63" cm="1">
        <f t="array" ref="N113:N113">_xlfn.XLOOKUP(H113,'OA名单'!C:C,'OA名单'!B:B,1)</f>
      </c>
      <c r="O113" s="63">
        <f t="shared" si="8"/>
      </c>
      <c r="P113" s="63" cm="1">
        <f t="array" ref="P113:P113">_xlfn.XLOOKUP(N113,'OA名单'!B:B,'OA名单'!G:G)</f>
      </c>
      <c r="Q113" s="63">
        <f t="shared" si="11"/>
      </c>
      <c r="R113" s="63" cm="1">
        <f t="array" ref="R113:R113">_xlfn.XLOOKUP(B113,'OA名单'!B:B,'OA名单'!F:F)</f>
      </c>
      <c r="S113" s="63">
        <f t="shared" si="10"/>
      </c>
      <c r="T113" s="64" cm="1">
        <f t="array" ref="T113:T113">_xlfn.XLOOKUP(B113,'系统-原始（副本）'!A:A,'系统-原始（副本）'!B:B)</f>
      </c>
      <c r="U113" s="63" cm="1">
        <f t="array" ref="U113:U113">_xlfn.XLOOKUP(N113,'OA名单'!B:B,'OA名单'!E:E)</f>
      </c>
      <c r="V113" s="63">
        <f t="shared" si="12"/>
      </c>
      <c r="W113" s="71"/>
      <c r="X113" s="66"/>
      <c r="Y113" s="66"/>
    </row>
    <row r="114">
      <c r="A114" s="66"/>
      <c r="B114" s="66" t="s">
        <v>12964</v>
      </c>
      <c r="C114" s="67" t="s">
        <v>12713</v>
      </c>
      <c r="D114" s="67" t="s">
        <v>12714</v>
      </c>
      <c r="E114" s="69" t="s">
        <v>12776</v>
      </c>
      <c r="F114" s="66" t="s">
        <v>12716</v>
      </c>
      <c r="G114" s="66" t="s">
        <v>12817</v>
      </c>
      <c r="H114" s="66" t="s">
        <v>12965</v>
      </c>
      <c r="I114" s="68">
        <v>0.8519</v>
      </c>
      <c r="J114" s="69">
        <v>82.14</v>
      </c>
      <c r="K114" s="72">
        <v>0.8214</v>
      </c>
      <c r="L114" s="66">
        <v>850</v>
      </c>
      <c r="M114" s="66">
        <v>1000</v>
      </c>
      <c r="N114" s="63" cm="1">
        <f t="array" ref="N114:N114">_xlfn.XLOOKUP(H114,'OA名单'!C:C,'OA名单'!B:B,1)</f>
      </c>
      <c r="O114" s="63">
        <f t="shared" si="8"/>
      </c>
      <c r="P114" s="63" cm="1">
        <f t="array" ref="P114:P114">_xlfn.XLOOKUP(N114,'OA名单'!B:B,'OA名单'!G:G)</f>
      </c>
      <c r="Q114" s="63">
        <f t="shared" si="11"/>
      </c>
      <c r="R114" s="63" cm="1">
        <f t="array" ref="R114:R114">_xlfn.XLOOKUP(B114,'OA名单'!B:B,'OA名单'!F:F)</f>
      </c>
      <c r="S114" s="63">
        <f t="shared" si="10"/>
      </c>
      <c r="T114" s="64" cm="1">
        <f t="array" ref="T114:T114">_xlfn.XLOOKUP(B114,'系统-原始（副本）'!A:A,'系统-原始（副本）'!B:B)</f>
      </c>
      <c r="U114" s="63" cm="1">
        <f t="array" ref="U114:U114">_xlfn.XLOOKUP(N114,'OA名单'!B:B,'OA名单'!E:E)</f>
      </c>
      <c r="V114" s="63">
        <f t="shared" si="12"/>
      </c>
      <c r="W114" s="71"/>
      <c r="X114" s="66"/>
      <c r="Y114" s="66"/>
    </row>
    <row hidden="true" r="115">
      <c r="A115" s="66"/>
      <c r="B115" s="66" t="s">
        <v>12966</v>
      </c>
      <c r="C115" s="67" t="s">
        <v>12713</v>
      </c>
      <c r="D115" s="67" t="s">
        <v>12714</v>
      </c>
      <c r="E115" s="66" t="s">
        <v>12749</v>
      </c>
      <c r="F115" s="66" t="s">
        <v>12768</v>
      </c>
      <c r="G115" s="66" t="s">
        <v>12769</v>
      </c>
      <c r="H115" s="66" t="s">
        <v>12967</v>
      </c>
      <c r="I115" s="68">
        <v>0.815</v>
      </c>
      <c r="J115" s="69">
        <v>82</v>
      </c>
      <c r="K115" s="67">
        <f t="shared" ref="K115:K128" si="7">K115:J115%</f>
      </c>
      <c r="L115" s="66">
        <v>1846</v>
      </c>
      <c r="M115" s="66">
        <v>1500</v>
      </c>
      <c r="N115" s="63" cm="1">
        <f t="array" ref="N115:N115">_xlfn.XLOOKUP(H115,'OA名单'!C:C,'OA名单'!B:B,1)</f>
      </c>
      <c r="O115" s="63">
        <f t="shared" si="8"/>
      </c>
      <c r="P115" s="63" cm="1">
        <f t="array" ref="P115:P115">_xlfn.XLOOKUP(N115,'OA名单'!B:B,'OA名单'!G:G)</f>
      </c>
      <c r="Q115" s="63">
        <f t="shared" si="11"/>
      </c>
      <c r="R115" s="63" cm="1">
        <f t="array" ref="R115:R115">_xlfn.XLOOKUP(B115,'OA名单'!B:B,'OA名单'!F:F)</f>
      </c>
      <c r="S115" s="63">
        <f t="shared" si="10"/>
      </c>
      <c r="T115" s="70"/>
      <c r="U115" s="63" cm="1">
        <f t="array" ref="U115:U115">_xlfn.XLOOKUP(N115,'OA名单'!B:B,'OA名单'!E:E)</f>
      </c>
      <c r="V115" s="63">
        <f t="shared" si="12"/>
      </c>
      <c r="W115" s="71"/>
      <c r="X115" s="66"/>
      <c r="Y115" s="66"/>
    </row>
    <row hidden="true" r="116">
      <c r="A116" s="66"/>
      <c r="B116" s="66" t="s">
        <v>12968</v>
      </c>
      <c r="C116" s="67" t="s">
        <v>12713</v>
      </c>
      <c r="D116" s="67" t="s">
        <v>12714</v>
      </c>
      <c r="E116" s="69" t="s">
        <v>12749</v>
      </c>
      <c r="F116" s="69" t="s">
        <v>12768</v>
      </c>
      <c r="G116" s="66" t="s">
        <v>12769</v>
      </c>
      <c r="H116" s="66" t="s">
        <v>12969</v>
      </c>
      <c r="I116" s="68">
        <v>0.82</v>
      </c>
      <c r="J116" s="69">
        <v>82</v>
      </c>
      <c r="K116" s="67">
        <f t="shared" si="7"/>
      </c>
      <c r="L116" s="66">
        <v>1230</v>
      </c>
      <c r="M116" s="66">
        <v>1500</v>
      </c>
      <c r="N116" s="63" cm="1">
        <f t="array" ref="N116:N116">_xlfn.XLOOKUP(H116,'OA名单'!C:C,'OA名单'!B:B,1)</f>
      </c>
      <c r="O116" s="63">
        <f t="shared" si="8"/>
      </c>
      <c r="P116" s="63" cm="1">
        <f t="array" ref="P116:P116">_xlfn.XLOOKUP(N116,'OA名单'!B:B,'OA名单'!G:G)</f>
      </c>
      <c r="Q116" s="63">
        <f t="shared" si="11"/>
      </c>
      <c r="R116" s="63" cm="1">
        <f t="array" ref="R116:R116">_xlfn.XLOOKUP(B116,'OA名单'!B:B,'OA名单'!F:F)</f>
      </c>
      <c r="S116" s="63">
        <f t="shared" si="10"/>
      </c>
      <c r="T116" s="64" cm="1">
        <f t="array" ref="T116:T116">_xlfn.XLOOKUP(B116,'系统-原始（副本）'!A:A,'系统-原始（副本）'!B:B)</f>
      </c>
      <c r="U116" s="63" cm="1">
        <f t="array" ref="U116:U116">_xlfn.XLOOKUP(N116,'OA名单'!B:B,'OA名单'!E:E)</f>
      </c>
      <c r="V116" s="63">
        <f t="shared" si="12"/>
      </c>
      <c r="W116" s="71"/>
      <c r="X116" s="66"/>
      <c r="Y116" s="66"/>
    </row>
    <row hidden="true" r="117">
      <c r="A117" s="66"/>
      <c r="B117" s="66" t="s">
        <v>12970</v>
      </c>
      <c r="C117" s="67" t="s">
        <v>12713</v>
      </c>
      <c r="D117" s="67" t="s">
        <v>12714</v>
      </c>
      <c r="E117" s="66" t="s">
        <v>12749</v>
      </c>
      <c r="F117" s="66" t="s">
        <v>12768</v>
      </c>
      <c r="G117" s="66" t="s">
        <v>12769</v>
      </c>
      <c r="H117" s="66" t="s">
        <v>12971</v>
      </c>
      <c r="I117" s="68">
        <v>0.82</v>
      </c>
      <c r="J117" s="69">
        <v>82</v>
      </c>
      <c r="K117" s="67">
        <f t="shared" si="7"/>
      </c>
      <c r="L117" s="66">
        <v>1361</v>
      </c>
      <c r="M117" s="66">
        <v>1500</v>
      </c>
      <c r="N117" s="63" cm="1">
        <f t="array" ref="N117:N117">_xlfn.XLOOKUP(H117,'OA名单'!C:C,'OA名单'!B:B,1)</f>
      </c>
      <c r="O117" s="63">
        <f t="shared" si="8"/>
      </c>
      <c r="P117" s="63" cm="1">
        <f t="array" ref="P117:P117">_xlfn.XLOOKUP(N117,'OA名单'!B:B,'OA名单'!G:G)</f>
      </c>
      <c r="Q117" s="63">
        <f t="shared" si="11"/>
      </c>
      <c r="R117" s="63" cm="1">
        <f t="array" ref="R117:R117">_xlfn.XLOOKUP(B117,'OA名单'!B:B,'OA名单'!F:F)</f>
      </c>
      <c r="S117" s="63">
        <f t="shared" si="10"/>
      </c>
      <c r="T117" s="70"/>
      <c r="U117" s="63" cm="1">
        <f t="array" ref="U117:U117">_xlfn.XLOOKUP(N117,'OA名单'!B:B,'OA名单'!E:E)</f>
      </c>
      <c r="V117" s="63">
        <f t="shared" si="12"/>
      </c>
      <c r="W117" s="71"/>
      <c r="X117" s="66"/>
      <c r="Y117" s="66"/>
    </row>
    <row hidden="true" r="118">
      <c r="A118" s="66"/>
      <c r="B118" s="66" t="s">
        <v>12972</v>
      </c>
      <c r="C118" s="67" t="s">
        <v>12713</v>
      </c>
      <c r="D118" s="67" t="s">
        <v>12714</v>
      </c>
      <c r="E118" s="66" t="s">
        <v>12749</v>
      </c>
      <c r="F118" s="66" t="s">
        <v>12768</v>
      </c>
      <c r="G118" s="66" t="s">
        <v>12769</v>
      </c>
      <c r="H118" s="66" t="s">
        <v>12973</v>
      </c>
      <c r="I118" s="68">
        <v>0.886</v>
      </c>
      <c r="J118" s="69">
        <v>77</v>
      </c>
      <c r="K118" s="67">
        <f t="shared" si="7"/>
      </c>
      <c r="L118" s="66">
        <v>1350</v>
      </c>
      <c r="M118" s="66">
        <v>1500</v>
      </c>
      <c r="N118" s="63" cm="1">
        <f t="array" ref="N118:N118">_xlfn.XLOOKUP(H118,'OA名单'!C:C,'OA名单'!B:B,1)</f>
      </c>
      <c r="O118" s="63">
        <f t="shared" si="8"/>
      </c>
      <c r="P118" s="63" cm="1">
        <f t="array" ref="P118:P118">_xlfn.XLOOKUP(N118,'OA名单'!B:B,'OA名单'!G:G)</f>
      </c>
      <c r="Q118" s="63">
        <f t="shared" si="11"/>
      </c>
      <c r="R118" s="63" cm="1">
        <f t="array" ref="R118:R118">_xlfn.XLOOKUP(B118,'OA名单'!B:B,'OA名单'!F:F)</f>
      </c>
      <c r="S118" s="63">
        <f t="shared" si="10"/>
      </c>
      <c r="T118" s="70"/>
      <c r="U118" s="63" cm="1">
        <f t="array" ref="U118:U118">_xlfn.XLOOKUP(N118,'OA名单'!B:B,'OA名单'!E:E)</f>
      </c>
      <c r="V118" s="63">
        <f t="shared" si="12"/>
      </c>
      <c r="W118" s="71"/>
      <c r="X118" s="66"/>
      <c r="Y118" s="66"/>
    </row>
    <row hidden="true" r="119">
      <c r="A119" s="66"/>
      <c r="B119" s="66" t="s">
        <v>12974</v>
      </c>
      <c r="C119" s="67" t="s">
        <v>12713</v>
      </c>
      <c r="D119" s="67" t="s">
        <v>12714</v>
      </c>
      <c r="E119" s="66" t="s">
        <v>12749</v>
      </c>
      <c r="F119" s="66" t="s">
        <v>12768</v>
      </c>
      <c r="G119" s="66" t="s">
        <v>12769</v>
      </c>
      <c r="H119" s="66" t="s">
        <v>12975</v>
      </c>
      <c r="I119" s="68">
        <v>0.715</v>
      </c>
      <c r="J119" s="69">
        <v>72</v>
      </c>
      <c r="K119" s="67">
        <f t="shared" si="7"/>
      </c>
      <c r="L119" s="66">
        <v>1125</v>
      </c>
      <c r="M119" s="66">
        <v>1500</v>
      </c>
      <c r="N119" s="63" cm="1">
        <f t="array" ref="N119:N119">_xlfn.XLOOKUP(H119,'OA名单'!C:C,'OA名单'!B:B,1)</f>
      </c>
      <c r="O119" s="63">
        <f t="shared" si="8"/>
      </c>
      <c r="P119" s="63" cm="1">
        <f t="array" ref="P119:P119">_xlfn.XLOOKUP(N119,'OA名单'!B:B,'OA名单'!G:G)</f>
      </c>
      <c r="Q119" s="63">
        <f t="shared" si="11"/>
      </c>
      <c r="R119" s="63" cm="1">
        <f t="array" ref="R119:R119">_xlfn.XLOOKUP(B119,'OA名单'!B:B,'OA名单'!F:F)</f>
      </c>
      <c r="S119" s="63">
        <f t="shared" si="10"/>
      </c>
      <c r="T119" s="70"/>
      <c r="U119" s="63" cm="1">
        <f t="array" ref="U119:U119">_xlfn.XLOOKUP(N119,'OA名单'!B:B,'OA名单'!E:E)</f>
      </c>
      <c r="V119" s="63">
        <f t="shared" si="12"/>
      </c>
      <c r="W119" s="71"/>
      <c r="X119" s="66"/>
      <c r="Y119" s="66"/>
    </row>
    <row hidden="true" r="120">
      <c r="A120" s="66"/>
      <c r="B120" s="66" t="s">
        <v>12976</v>
      </c>
      <c r="C120" s="67" t="s">
        <v>12713</v>
      </c>
      <c r="D120" s="67" t="s">
        <v>12714</v>
      </c>
      <c r="E120" s="66" t="s">
        <v>12749</v>
      </c>
      <c r="F120" s="66" t="s">
        <v>12768</v>
      </c>
      <c r="G120" s="66" t="s">
        <v>12769</v>
      </c>
      <c r="H120" s="66" t="s">
        <v>12977</v>
      </c>
      <c r="I120" s="68">
        <v>0.7</v>
      </c>
      <c r="J120" s="69">
        <v>70</v>
      </c>
      <c r="K120" s="67">
        <f t="shared" si="7"/>
      </c>
      <c r="L120" s="66">
        <v>1050</v>
      </c>
      <c r="M120" s="66">
        <v>1200</v>
      </c>
      <c r="N120" s="63" cm="1">
        <f t="array" ref="N120:N120">_xlfn.XLOOKUP(H120,'OA名单'!C:C,'OA名单'!B:B,1)</f>
      </c>
      <c r="O120" s="63">
        <f t="shared" si="8"/>
      </c>
      <c r="P120" s="63" cm="1">
        <f t="array" ref="P120:P120">_xlfn.XLOOKUP(N120,'OA名单'!B:B,'OA名单'!G:G)</f>
      </c>
      <c r="Q120" s="63">
        <f t="shared" si="11"/>
      </c>
      <c r="R120" s="63" cm="1">
        <f t="array" ref="R120:R120">_xlfn.XLOOKUP(B120,'OA名单'!B:B,'OA名单'!F:F)</f>
      </c>
      <c r="S120" s="63">
        <f t="shared" si="10"/>
      </c>
      <c r="T120" s="70"/>
      <c r="U120" s="63" cm="1">
        <f t="array" ref="U120:U120">_xlfn.XLOOKUP(N120,'OA名单'!B:B,'OA名单'!E:E)</f>
      </c>
      <c r="V120" s="63">
        <f t="shared" si="12"/>
      </c>
      <c r="W120" s="71"/>
      <c r="X120" s="66"/>
      <c r="Y120" s="66"/>
    </row>
    <row hidden="true" r="121">
      <c r="A121" s="66"/>
      <c r="B121" s="66" t="s">
        <v>12978</v>
      </c>
      <c r="C121" s="67" t="s">
        <v>12713</v>
      </c>
      <c r="D121" s="67" t="s">
        <v>12714</v>
      </c>
      <c r="E121" s="66" t="s">
        <v>12749</v>
      </c>
      <c r="F121" s="66" t="s">
        <v>12768</v>
      </c>
      <c r="G121" s="66" t="s">
        <v>12769</v>
      </c>
      <c r="H121" s="66" t="s">
        <v>12979</v>
      </c>
      <c r="I121" s="68">
        <v>0.7</v>
      </c>
      <c r="J121" s="69">
        <v>70</v>
      </c>
      <c r="K121" s="67">
        <f t="shared" si="7"/>
      </c>
      <c r="L121" s="66">
        <v>1284</v>
      </c>
      <c r="M121" s="66">
        <v>1500</v>
      </c>
      <c r="N121" s="63" cm="1">
        <f t="array" ref="N121:N121">_xlfn.XLOOKUP(H121,'OA名单'!C:C,'OA名单'!B:B,1)</f>
      </c>
      <c r="O121" s="63">
        <f t="shared" si="8"/>
      </c>
      <c r="P121" s="63" cm="1">
        <f t="array" ref="P121:P121">_xlfn.XLOOKUP(N121,'OA名单'!B:B,'OA名单'!G:G)</f>
      </c>
      <c r="Q121" s="63">
        <f t="shared" si="11"/>
      </c>
      <c r="R121" s="63" cm="1">
        <f t="array" ref="R121:R121">_xlfn.XLOOKUP(B121,'OA名单'!B:B,'OA名单'!F:F)</f>
      </c>
      <c r="S121" s="63">
        <f t="shared" si="10"/>
      </c>
      <c r="T121" s="70"/>
      <c r="U121" s="63" cm="1">
        <f t="array" ref="U121:U121">_xlfn.XLOOKUP(N121,'OA名单'!B:B,'OA名单'!E:E)</f>
      </c>
      <c r="V121" s="63">
        <f t="shared" si="12"/>
      </c>
      <c r="W121" s="71"/>
      <c r="X121" s="66"/>
      <c r="Y121" s="66"/>
    </row>
    <row hidden="true" r="122">
      <c r="A122" s="66"/>
      <c r="B122" s="66" t="s">
        <v>12980</v>
      </c>
      <c r="C122" s="67" t="s">
        <v>12713</v>
      </c>
      <c r="D122" s="67" t="s">
        <v>12714</v>
      </c>
      <c r="E122" s="69" t="s">
        <v>12776</v>
      </c>
      <c r="F122" s="69" t="s">
        <v>12981</v>
      </c>
      <c r="G122" s="66" t="s">
        <v>12982</v>
      </c>
      <c r="H122" s="66" t="s">
        <v>12983</v>
      </c>
      <c r="I122" s="68">
        <v>0.7</v>
      </c>
      <c r="J122" s="69">
        <v>70</v>
      </c>
      <c r="K122" s="67">
        <f t="shared" si="7"/>
      </c>
      <c r="L122" s="66">
        <v>1050</v>
      </c>
      <c r="M122" s="66">
        <v>1500</v>
      </c>
      <c r="N122" s="63" cm="1">
        <f t="array" ref="N122:N122">_xlfn.XLOOKUP(H122,'OA名单'!C:C,'OA名单'!B:B,1)</f>
      </c>
      <c r="O122" s="63">
        <f t="shared" si="8"/>
      </c>
      <c r="P122" s="63" cm="1">
        <f t="array" ref="P122:P122">_xlfn.XLOOKUP(N122,'OA名单'!B:B,'OA名单'!G:G)</f>
      </c>
      <c r="Q122" s="63">
        <f t="shared" si="11"/>
      </c>
      <c r="R122" s="63" cm="1">
        <f t="array" ref="R122:R122">_xlfn.XLOOKUP(B122,'OA名单'!B:B,'OA名单'!F:F)</f>
      </c>
      <c r="S122" s="63">
        <f t="shared" si="10"/>
      </c>
      <c r="T122" s="64" cm="1">
        <f t="array" ref="T122:T122">_xlfn.XLOOKUP(B122,'系统-原始（副本）'!A:A,'系统-原始（副本）'!B:B)</f>
      </c>
      <c r="U122" s="63" cm="1">
        <f t="array" ref="U122:U122">_xlfn.XLOOKUP(N122,'OA名单'!B:B,'OA名单'!E:E)</f>
      </c>
      <c r="V122" s="63">
        <f t="shared" si="12"/>
      </c>
      <c r="W122" s="71"/>
      <c r="X122" s="66"/>
      <c r="Y122" s="66"/>
    </row>
    <row hidden="true" r="123">
      <c r="A123" s="66"/>
      <c r="B123" s="66" t="s">
        <v>12984</v>
      </c>
      <c r="C123" s="67" t="s">
        <v>12713</v>
      </c>
      <c r="D123" s="67" t="s">
        <v>12714</v>
      </c>
      <c r="E123" s="66" t="s">
        <v>12749</v>
      </c>
      <c r="F123" s="66" t="s">
        <v>12768</v>
      </c>
      <c r="G123" s="66" t="s">
        <v>12769</v>
      </c>
      <c r="H123" s="66" t="s">
        <v>12985</v>
      </c>
      <c r="I123" s="68">
        <v>1</v>
      </c>
      <c r="J123" s="69">
        <v>67</v>
      </c>
      <c r="K123" s="67">
        <f t="shared" si="7"/>
      </c>
      <c r="L123" s="66">
        <v>900</v>
      </c>
      <c r="M123" s="66">
        <v>1500</v>
      </c>
      <c r="N123" s="63" cm="1">
        <f t="array" ref="N123:N123">_xlfn.XLOOKUP(H123,'OA名单'!C:C,'OA名单'!B:B,1)</f>
      </c>
      <c r="O123" s="63">
        <f t="shared" si="8"/>
      </c>
      <c r="P123" s="63" cm="1">
        <f t="array" ref="P123:P123">_xlfn.XLOOKUP(N123,'OA名单'!B:B,'OA名单'!G:G)</f>
      </c>
      <c r="Q123" s="63">
        <f t="shared" si="11"/>
      </c>
      <c r="R123" s="63" cm="1">
        <f t="array" ref="R123:R123">_xlfn.XLOOKUP(B123,'OA名单'!B:B,'OA名单'!F:F)</f>
      </c>
      <c r="S123" s="63">
        <f t="shared" si="10"/>
      </c>
      <c r="T123" s="70"/>
      <c r="U123" s="63" cm="1">
        <f t="array" ref="U123:U123">_xlfn.XLOOKUP(N123,'OA名单'!B:B,'OA名单'!E:E)</f>
      </c>
      <c r="V123" s="63">
        <f t="shared" si="12"/>
      </c>
      <c r="W123" s="71"/>
      <c r="X123" s="66"/>
      <c r="Y123" s="66"/>
    </row>
    <row hidden="true" r="124">
      <c r="A124" s="66"/>
      <c r="B124" s="66" t="s">
        <v>12986</v>
      </c>
      <c r="C124" s="67" t="s">
        <v>12713</v>
      </c>
      <c r="D124" s="67" t="s">
        <v>12714</v>
      </c>
      <c r="E124" s="69" t="s">
        <v>12749</v>
      </c>
      <c r="F124" s="69" t="s">
        <v>12768</v>
      </c>
      <c r="G124" s="66" t="s">
        <v>12769</v>
      </c>
      <c r="H124" s="66" t="s">
        <v>12987</v>
      </c>
      <c r="I124" s="68">
        <v>0.58</v>
      </c>
      <c r="J124" s="69">
        <v>58</v>
      </c>
      <c r="K124" s="67">
        <f t="shared" si="7"/>
      </c>
      <c r="L124" s="66">
        <v>680</v>
      </c>
      <c r="M124" s="66">
        <v>1200</v>
      </c>
      <c r="N124" s="63" cm="1">
        <f t="array" ref="N124:N124">_xlfn.XLOOKUP(H124,'OA名单'!C:C,'OA名单'!B:B,1)</f>
      </c>
      <c r="O124" s="63">
        <f t="shared" si="8"/>
      </c>
      <c r="P124" s="63" cm="1">
        <f t="array" ref="P124:P124">_xlfn.XLOOKUP(N124,'OA名单'!B:B,'OA名单'!G:G)</f>
      </c>
      <c r="Q124" s="63">
        <f t="shared" si="11"/>
      </c>
      <c r="R124" s="63" cm="1">
        <f t="array" ref="R124:R124">_xlfn.XLOOKUP(B124,'OA名单'!B:B,'OA名单'!F:F)</f>
      </c>
      <c r="S124" s="63">
        <f t="shared" si="10"/>
      </c>
      <c r="T124" s="64" cm="1">
        <f t="array" ref="T124:T124">_xlfn.XLOOKUP(B124,'系统-原始（副本）'!A:A,'系统-原始（副本）'!B:B)</f>
      </c>
      <c r="U124" s="63" cm="1">
        <f t="array" ref="U124:U124">_xlfn.XLOOKUP(N124,'OA名单'!B:B,'OA名单'!E:E)</f>
      </c>
      <c r="V124" s="63">
        <f t="shared" si="12"/>
      </c>
      <c r="W124" s="71"/>
      <c r="X124" s="66"/>
      <c r="Y124" s="66"/>
    </row>
    <row hidden="true" r="125">
      <c r="A125" s="66"/>
      <c r="B125" s="66" t="s">
        <v>12988</v>
      </c>
      <c r="C125" s="67" t="s">
        <v>12713</v>
      </c>
      <c r="D125" s="67" t="s">
        <v>12714</v>
      </c>
      <c r="E125" s="66" t="s">
        <v>12749</v>
      </c>
      <c r="F125" s="66" t="s">
        <v>12768</v>
      </c>
      <c r="G125" s="66" t="s">
        <v>12769</v>
      </c>
      <c r="H125" s="66" t="s">
        <v>12989</v>
      </c>
      <c r="I125" s="68">
        <v>0.515</v>
      </c>
      <c r="J125" s="69">
        <v>52</v>
      </c>
      <c r="K125" s="67">
        <f t="shared" si="7"/>
      </c>
      <c r="L125" s="66">
        <v>714</v>
      </c>
      <c r="M125" s="66">
        <v>1200</v>
      </c>
      <c r="N125" s="63" cm="1">
        <f t="array" ref="N125:N125">_xlfn.XLOOKUP(H125,'OA名单'!C:C,'OA名单'!B:B,1)</f>
      </c>
      <c r="O125" s="63">
        <f t="shared" si="8"/>
      </c>
      <c r="P125" s="63" cm="1">
        <f t="array" ref="P125:P125">_xlfn.XLOOKUP(N125,'OA名单'!B:B,'OA名单'!G:G)</f>
      </c>
      <c r="Q125" s="63">
        <f t="shared" si="11"/>
      </c>
      <c r="R125" s="63" cm="1">
        <f t="array" ref="R125:R125">_xlfn.XLOOKUP(B125,'OA名单'!B:B,'OA名单'!F:F)</f>
      </c>
      <c r="S125" s="63">
        <f t="shared" si="10"/>
      </c>
      <c r="T125" s="70"/>
      <c r="U125" s="63" cm="1">
        <f t="array" ref="U125:U125">_xlfn.XLOOKUP(N125,'OA名单'!B:B,'OA名单'!E:E)</f>
      </c>
      <c r="V125" s="63">
        <f t="shared" si="12"/>
      </c>
      <c r="W125" s="71"/>
      <c r="X125" s="66"/>
      <c r="Y125" s="66"/>
    </row>
    <row hidden="true" r="126">
      <c r="A126" s="66"/>
      <c r="B126" s="66" t="s">
        <v>12990</v>
      </c>
      <c r="C126" s="67" t="s">
        <v>12713</v>
      </c>
      <c r="D126" s="67" t="s">
        <v>12714</v>
      </c>
      <c r="E126" s="66" t="s">
        <v>12749</v>
      </c>
      <c r="F126" s="66" t="s">
        <v>12768</v>
      </c>
      <c r="G126" s="66" t="s">
        <v>12769</v>
      </c>
      <c r="H126" s="66" t="s">
        <v>12991</v>
      </c>
      <c r="I126" s="68">
        <v>0.46</v>
      </c>
      <c r="J126" s="69">
        <v>46</v>
      </c>
      <c r="K126" s="67">
        <f t="shared" si="7"/>
      </c>
      <c r="L126" s="66">
        <v>690</v>
      </c>
      <c r="M126" s="66">
        <v>1200</v>
      </c>
      <c r="N126" s="63" cm="1">
        <f t="array" ref="N126:N126">_xlfn.XLOOKUP(H126,'OA名单'!C:C,'OA名单'!B:B,1)</f>
      </c>
      <c r="O126" s="63">
        <f t="shared" si="8"/>
      </c>
      <c r="P126" s="63" cm="1">
        <f t="array" ref="P126:P126">_xlfn.XLOOKUP(N126,'OA名单'!B:B,'OA名单'!G:G)</f>
      </c>
      <c r="Q126" s="63">
        <f t="shared" si="11"/>
      </c>
      <c r="R126" s="63" cm="1">
        <f t="array" ref="R126:R126">_xlfn.XLOOKUP(B126,'OA名单'!B:B,'OA名单'!F:F)</f>
      </c>
      <c r="S126" s="63">
        <f t="shared" si="10"/>
      </c>
      <c r="T126" s="70"/>
      <c r="U126" s="63" cm="1">
        <f t="array" ref="U126:U126">_xlfn.XLOOKUP(N126,'OA名单'!B:B,'OA名单'!E:E)</f>
      </c>
      <c r="V126" s="63">
        <f t="shared" si="12"/>
      </c>
      <c r="W126" s="71"/>
      <c r="X126" s="66"/>
      <c r="Y126" s="66"/>
    </row>
    <row hidden="true" r="127">
      <c r="A127" s="66"/>
      <c r="B127" s="66" t="s">
        <v>12992</v>
      </c>
      <c r="C127" s="67" t="s">
        <v>12713</v>
      </c>
      <c r="D127" s="67" t="s">
        <v>12714</v>
      </c>
      <c r="E127" s="66" t="s">
        <v>12749</v>
      </c>
      <c r="F127" s="66" t="s">
        <v>12768</v>
      </c>
      <c r="G127" s="66" t="s">
        <v>12769</v>
      </c>
      <c r="H127" s="66" t="s">
        <v>12993</v>
      </c>
      <c r="I127" s="68">
        <v>0.425</v>
      </c>
      <c r="J127" s="69">
        <v>42.5</v>
      </c>
      <c r="K127" s="67">
        <f t="shared" si="7"/>
      </c>
      <c r="L127" s="66">
        <v>630</v>
      </c>
      <c r="M127" s="66">
        <v>1200</v>
      </c>
      <c r="N127" s="63" cm="1">
        <f t="array" ref="N127:N127">_xlfn.XLOOKUP(H127,'OA名单'!C:C,'OA名单'!B:B,1)</f>
      </c>
      <c r="O127" s="63">
        <f t="shared" si="8"/>
      </c>
      <c r="P127" s="63" cm="1">
        <f t="array" ref="P127:P127">_xlfn.XLOOKUP(N127,'OA名单'!B:B,'OA名单'!G:G)</f>
      </c>
      <c r="Q127" s="63">
        <f t="shared" si="11"/>
      </c>
      <c r="R127" s="63" cm="1">
        <f t="array" ref="R127:R127">_xlfn.XLOOKUP(B127,'OA名单'!B:B,'OA名单'!F:F)</f>
      </c>
      <c r="S127" s="63">
        <f t="shared" si="10"/>
      </c>
      <c r="T127" s="70"/>
      <c r="U127" s="63" cm="1">
        <f t="array" ref="U127:U127">_xlfn.XLOOKUP(N127,'OA名单'!B:B,'OA名单'!E:E)</f>
      </c>
      <c r="V127" s="63">
        <f t="shared" si="12"/>
      </c>
      <c r="W127" s="71"/>
      <c r="X127" s="66"/>
      <c r="Y127" s="66"/>
    </row>
    <row hidden="true" r="128">
      <c r="A128" s="66"/>
      <c r="B128" s="66" t="s">
        <v>12994</v>
      </c>
      <c r="C128" s="67" t="s">
        <v>12713</v>
      </c>
      <c r="D128" s="67" t="s">
        <v>12714</v>
      </c>
      <c r="E128" s="66" t="s">
        <v>12749</v>
      </c>
      <c r="F128" s="66" t="s">
        <v>12768</v>
      </c>
      <c r="G128" s="66" t="s">
        <v>12769</v>
      </c>
      <c r="H128" s="66" t="s">
        <v>12995</v>
      </c>
      <c r="I128" s="68">
        <v>0.682</v>
      </c>
      <c r="J128" s="69">
        <v>23.2</v>
      </c>
      <c r="K128" s="67">
        <f t="shared" si="7"/>
      </c>
      <c r="L128" s="66">
        <v>768</v>
      </c>
      <c r="M128" s="66">
        <v>1200</v>
      </c>
      <c r="N128" s="63" cm="1">
        <f t="array" ref="N128:N128">_xlfn.XLOOKUP(H128,'OA名单'!C:C,'OA名单'!B:B,1)</f>
      </c>
      <c r="O128" s="63">
        <f t="shared" si="8"/>
      </c>
      <c r="P128" s="63" cm="1">
        <f t="array" ref="P128:P128">_xlfn.XLOOKUP(N128,'OA名单'!B:B,'OA名单'!G:G)</f>
      </c>
      <c r="Q128" s="63">
        <f t="shared" si="11"/>
      </c>
      <c r="R128" s="63" cm="1">
        <f t="array" ref="R128:R128">_xlfn.XLOOKUP(B128,'OA名单'!B:B,'OA名单'!F:F)</f>
      </c>
      <c r="S128" s="63">
        <f t="shared" si="10"/>
      </c>
      <c r="T128" s="70"/>
      <c r="U128" s="63" cm="1">
        <f t="array" ref="U128:U128">_xlfn.XLOOKUP(N128,'OA名单'!B:B,'OA名单'!E:E)</f>
      </c>
      <c r="V128" s="63">
        <f t="shared" si="12"/>
      </c>
      <c r="W128" s="71"/>
      <c r="X128" s="66"/>
      <c r="Y128" s="66"/>
    </row>
    <row hidden="true" r="129">
      <c r="A129" s="66"/>
      <c r="B129" s="66" t="s">
        <v>12996</v>
      </c>
      <c r="C129" s="67" t="s">
        <v>12713</v>
      </c>
      <c r="D129" s="67" t="s">
        <v>12714</v>
      </c>
      <c r="E129" s="69" t="s">
        <v>12782</v>
      </c>
      <c r="F129" s="69" t="s">
        <v>12997</v>
      </c>
      <c r="G129" s="66" t="s">
        <v>12982</v>
      </c>
      <c r="H129" s="66" t="s">
        <v>12998</v>
      </c>
      <c r="I129" s="68">
        <v>3.821</v>
      </c>
      <c r="J129" s="69">
        <v>3.82</v>
      </c>
      <c r="K129" s="66">
        <v>3.82</v>
      </c>
      <c r="L129" s="66">
        <v>3155.17</v>
      </c>
      <c r="M129" s="66">
        <v>1200</v>
      </c>
      <c r="N129" s="63" cm="1">
        <f t="array" ref="N129:N129">_xlfn.XLOOKUP(H129,'OA名单'!C:C,'OA名单'!B:B,1)</f>
      </c>
      <c r="O129" s="63">
        <f t="shared" si="8"/>
      </c>
      <c r="P129" s="63" cm="1">
        <f t="array" ref="P129:P129">_xlfn.XLOOKUP(N129,'OA名单'!B:B,'OA名单'!G:G)</f>
      </c>
      <c r="Q129" s="63">
        <f t="shared" si="11"/>
      </c>
      <c r="R129" s="63" cm="1">
        <f t="array" ref="R129:R129">_xlfn.XLOOKUP(B129,'OA名单'!B:B,'OA名单'!F:F)</f>
      </c>
      <c r="S129" s="63">
        <f t="shared" si="10"/>
      </c>
      <c r="T129" s="64" cm="1">
        <f t="array" ref="T129:T129">_xlfn.XLOOKUP(B129,'系统-原始（副本）'!A:A,'系统-原始（副本）'!B:B)</f>
      </c>
      <c r="U129" s="63" cm="1">
        <f t="array" ref="U129:U129">_xlfn.XLOOKUP(N129,'OA名单'!B:B,'OA名单'!E:E)</f>
      </c>
      <c r="V129" s="63">
        <f t="shared" si="12"/>
      </c>
      <c r="W129" s="71"/>
      <c r="X129" s="66"/>
      <c r="Y129" s="66"/>
    </row>
    <row hidden="true" r="130">
      <c r="A130" s="66"/>
      <c r="B130" s="66" t="s">
        <v>12999</v>
      </c>
      <c r="C130" s="67" t="s">
        <v>12713</v>
      </c>
      <c r="D130" s="67" t="s">
        <v>12714</v>
      </c>
      <c r="E130" s="69" t="s">
        <v>12782</v>
      </c>
      <c r="F130" s="69" t="s">
        <v>12997</v>
      </c>
      <c r="G130" s="66" t="s">
        <v>12982</v>
      </c>
      <c r="H130" s="66" t="s">
        <v>13000</v>
      </c>
      <c r="I130" s="68">
        <v>3.358</v>
      </c>
      <c r="J130" s="69">
        <v>3.36</v>
      </c>
      <c r="K130" s="66">
        <v>3.36</v>
      </c>
      <c r="L130" s="66">
        <v>3537.93</v>
      </c>
      <c r="M130" s="66">
        <v>1500</v>
      </c>
      <c r="N130" s="63" cm="1">
        <f t="array" ref="N130:N130">_xlfn.XLOOKUP(H130,'OA名单'!C:C,'OA名单'!B:B,1)</f>
      </c>
      <c r="O130" s="63">
        <f t="shared" si="8"/>
      </c>
      <c r="P130" s="63" cm="1">
        <f t="array" ref="P130:P130">_xlfn.XLOOKUP(N130,'OA名单'!B:B,'OA名单'!G:G)</f>
      </c>
      <c r="Q130" s="63">
        <f t="shared" si="11"/>
      </c>
      <c r="R130" s="63" cm="1">
        <f t="array" ref="R130:R130">_xlfn.XLOOKUP(B130,'OA名单'!B:B,'OA名单'!F:F)</f>
      </c>
      <c r="S130" s="63">
        <f t="shared" si="10"/>
      </c>
      <c r="T130" s="64" cm="1">
        <f t="array" ref="T130:T130">_xlfn.XLOOKUP(B130,'系统-原始（副本）'!A:A,'系统-原始（副本）'!B:B)</f>
      </c>
      <c r="U130" s="63" cm="1">
        <f t="array" ref="U130:U130">_xlfn.XLOOKUP(N130,'OA名单'!B:B,'OA名单'!E:E)</f>
      </c>
      <c r="V130" s="63">
        <f t="shared" si="12"/>
      </c>
      <c r="W130" s="71"/>
      <c r="X130" s="66"/>
      <c r="Y130" s="66"/>
    </row>
    <row hidden="true" r="131">
      <c r="A131" s="66"/>
      <c r="B131" s="66" t="s">
        <v>13001</v>
      </c>
      <c r="C131" s="67" t="s">
        <v>12713</v>
      </c>
      <c r="D131" s="67" t="s">
        <v>12714</v>
      </c>
      <c r="E131" s="69" t="s">
        <v>12782</v>
      </c>
      <c r="F131" s="69" t="s">
        <v>13002</v>
      </c>
      <c r="G131" s="66" t="s">
        <v>12982</v>
      </c>
      <c r="H131" s="66" t="s">
        <v>13003</v>
      </c>
      <c r="I131" s="68">
        <v>0.03</v>
      </c>
      <c r="J131" s="69">
        <v>3</v>
      </c>
      <c r="K131" s="66">
        <v>3</v>
      </c>
      <c r="L131" s="66">
        <v>3360</v>
      </c>
      <c r="M131" s="66">
        <v>1200</v>
      </c>
      <c r="N131" s="63" cm="1">
        <f t="array" ref="N131:N131">_xlfn.XLOOKUP(H131,'OA名单'!C:C,'OA名单'!B:B,1)</f>
      </c>
      <c r="O131" s="63">
        <f t="shared" si="8"/>
      </c>
      <c r="P131" s="63" cm="1">
        <f t="array" ref="P131:P131">_xlfn.XLOOKUP(N131,'OA名单'!B:B,'OA名单'!G:G)</f>
      </c>
      <c r="Q131" s="63">
        <f t="shared" si="11"/>
      </c>
      <c r="R131" s="63" cm="1">
        <f t="array" ref="R131:R131">_xlfn.XLOOKUP(B131,'OA名单'!B:B,'OA名单'!F:F)</f>
      </c>
      <c r="S131" s="63">
        <f t="shared" si="10"/>
      </c>
      <c r="T131" s="64" cm="1">
        <f t="array" ref="T131:T131">_xlfn.XLOOKUP(B131,'系统-原始（副本）'!A:A,'系统-原始（副本）'!B:B)</f>
      </c>
      <c r="U131" s="63" cm="1">
        <f t="array" ref="U131:U131">_xlfn.XLOOKUP(N131,'OA名单'!B:B,'OA名单'!E:E)</f>
      </c>
      <c r="V131" s="63">
        <f t="shared" si="12"/>
      </c>
      <c r="W131" s="71"/>
      <c r="X131" s="66"/>
      <c r="Y131" s="66"/>
    </row>
    <row hidden="true" r="132">
      <c r="A132" s="66"/>
      <c r="B132" s="66" t="s">
        <v>13004</v>
      </c>
      <c r="C132" s="67" t="s">
        <v>12713</v>
      </c>
      <c r="D132" s="67" t="s">
        <v>12714</v>
      </c>
      <c r="E132" s="69" t="s">
        <v>12782</v>
      </c>
      <c r="F132" s="69" t="s">
        <v>13002</v>
      </c>
      <c r="G132" s="66" t="s">
        <v>12982</v>
      </c>
      <c r="H132" s="66" t="s">
        <v>13005</v>
      </c>
      <c r="I132" s="68">
        <v>0.03</v>
      </c>
      <c r="J132" s="69">
        <v>3</v>
      </c>
      <c r="K132" s="66">
        <v>3</v>
      </c>
      <c r="L132" s="66">
        <v>3600</v>
      </c>
      <c r="M132" s="66">
        <v>1500</v>
      </c>
      <c r="N132" s="63" cm="1">
        <f t="array" ref="N132:N132">_xlfn.XLOOKUP(H132,'OA名单'!C:C,'OA名单'!B:B,1)</f>
      </c>
      <c r="O132" s="63">
        <f t="shared" si="8"/>
      </c>
      <c r="P132" s="63" cm="1">
        <f t="array" ref="P132:P132">_xlfn.XLOOKUP(N132,'OA名单'!B:B,'OA名单'!G:G)</f>
      </c>
      <c r="Q132" s="63">
        <f t="shared" si="11"/>
      </c>
      <c r="R132" s="63" cm="1">
        <f t="array" ref="R132:R132">_xlfn.XLOOKUP(B132,'OA名单'!B:B,'OA名单'!F:F)</f>
      </c>
      <c r="S132" s="63">
        <f t="shared" si="10"/>
      </c>
      <c r="T132" s="64" cm="1">
        <f t="array" ref="T132:T132">_xlfn.XLOOKUP(B132,'系统-原始（副本）'!A:A,'系统-原始（副本）'!B:B)</f>
      </c>
      <c r="U132" s="63" cm="1">
        <f t="array" ref="U132:U132">_xlfn.XLOOKUP(N132,'OA名单'!B:B,'OA名单'!E:E)</f>
      </c>
      <c r="V132" s="63">
        <f t="shared" si="12"/>
      </c>
      <c r="W132" s="71"/>
      <c r="X132" s="66"/>
      <c r="Y132" s="66"/>
    </row>
    <row hidden="true" r="133">
      <c r="A133" s="66"/>
      <c r="B133" s="66" t="s">
        <v>13006</v>
      </c>
      <c r="C133" s="67" t="s">
        <v>12713</v>
      </c>
      <c r="D133" s="67" t="s">
        <v>12714</v>
      </c>
      <c r="E133" s="66" t="s">
        <v>12782</v>
      </c>
      <c r="F133" s="66" t="s">
        <v>13002</v>
      </c>
      <c r="G133" s="66" t="s">
        <v>12982</v>
      </c>
      <c r="H133" s="66" t="s">
        <v>13007</v>
      </c>
      <c r="I133" s="68">
        <v>0.02</v>
      </c>
      <c r="J133" s="69">
        <v>2</v>
      </c>
      <c r="K133" s="66">
        <v>2</v>
      </c>
      <c r="L133" s="66">
        <v>900</v>
      </c>
      <c r="M133" s="66">
        <v>1500</v>
      </c>
      <c r="N133" s="63" cm="1">
        <f t="array" ref="N133:N133">_xlfn.XLOOKUP(H133,'OA名单'!C:C,'OA名单'!B:B,1)</f>
      </c>
      <c r="O133" s="63">
        <f t="shared" si="8"/>
      </c>
      <c r="P133" s="63" cm="1">
        <f t="array" ref="P133:P133">_xlfn.XLOOKUP(N133,'OA名单'!B:B,'OA名单'!G:G)</f>
      </c>
      <c r="Q133" s="63">
        <f t="shared" si="11"/>
      </c>
      <c r="R133" s="63" cm="1">
        <f t="array" ref="R133:R133">_xlfn.XLOOKUP(B133,'OA名单'!B:B,'OA名单'!F:F)</f>
      </c>
      <c r="S133" s="63">
        <f t="shared" si="10"/>
      </c>
      <c r="T133" s="70"/>
      <c r="U133" s="63" cm="1">
        <f t="array" ref="U133:U133">_xlfn.XLOOKUP(N133,'OA名单'!B:B,'OA名单'!E:E)</f>
      </c>
      <c r="V133" s="63">
        <f t="shared" si="12"/>
      </c>
      <c r="W133" s="71"/>
      <c r="X133" s="66"/>
      <c r="Y133" s="66"/>
    </row>
    <row hidden="true" r="134">
      <c r="A134" s="66"/>
      <c r="B134" s="66" t="s">
        <v>13008</v>
      </c>
      <c r="C134" s="67" t="s">
        <v>12713</v>
      </c>
      <c r="D134" s="67" t="s">
        <v>12714</v>
      </c>
      <c r="E134" s="66" t="s">
        <v>12782</v>
      </c>
      <c r="F134" s="66" t="s">
        <v>13002</v>
      </c>
      <c r="G134" s="66" t="s">
        <v>12982</v>
      </c>
      <c r="H134" s="66" t="s">
        <v>13009</v>
      </c>
      <c r="I134" s="68">
        <v>0.02</v>
      </c>
      <c r="J134" s="69">
        <v>2</v>
      </c>
      <c r="K134" s="66">
        <v>2</v>
      </c>
      <c r="L134" s="66">
        <v>840</v>
      </c>
      <c r="M134" s="66">
        <v>1500</v>
      </c>
      <c r="N134" s="63" cm="1">
        <f t="array" ref="N134:N134">_xlfn.XLOOKUP(H134,'OA名单'!C:C,'OA名单'!B:B,1)</f>
      </c>
      <c r="O134" s="63">
        <f t="shared" si="8"/>
      </c>
      <c r="P134" s="63" cm="1">
        <f t="array" ref="P134:P134">_xlfn.XLOOKUP(N134,'OA名单'!B:B,'OA名单'!G:G)</f>
      </c>
      <c r="Q134" s="63">
        <f t="shared" si="11"/>
      </c>
      <c r="R134" s="63" cm="1">
        <f t="array" ref="R134:R134">_xlfn.XLOOKUP(B134,'OA名单'!B:B,'OA名单'!F:F)</f>
      </c>
      <c r="S134" s="63">
        <f t="shared" si="10"/>
      </c>
      <c r="T134" s="70"/>
      <c r="U134" s="63" cm="1">
        <f t="array" ref="U134:U134">_xlfn.XLOOKUP(N134,'OA名单'!B:B,'OA名单'!E:E)</f>
      </c>
      <c r="V134" s="63">
        <f t="shared" si="12"/>
      </c>
      <c r="W134" s="71"/>
      <c r="X134" s="66"/>
      <c r="Y134" s="66"/>
    </row>
    <row hidden="true" r="135">
      <c r="A135" s="66"/>
      <c r="B135" s="66" t="s">
        <v>13010</v>
      </c>
      <c r="C135" s="67" t="s">
        <v>12713</v>
      </c>
      <c r="D135" s="67" t="s">
        <v>12714</v>
      </c>
      <c r="E135" s="69" t="s">
        <v>13011</v>
      </c>
      <c r="F135" s="69" t="s">
        <v>13012</v>
      </c>
      <c r="G135" s="66" t="s">
        <v>13013</v>
      </c>
      <c r="H135" s="66" t="s">
        <v>13014</v>
      </c>
      <c r="I135" s="68">
        <v>0.4935</v>
      </c>
      <c r="J135" s="69">
        <v>1.5</v>
      </c>
      <c r="K135" s="66">
        <v>1.5</v>
      </c>
      <c r="L135" s="66">
        <v>1800</v>
      </c>
      <c r="M135" s="66">
        <v>1200</v>
      </c>
      <c r="N135" s="63" cm="1">
        <f t="array" ref="N135:N135">_xlfn.XLOOKUP(H135,'OA名单'!C:C,'OA名单'!B:B,1)</f>
      </c>
      <c r="O135" s="63">
        <f t="shared" si="8"/>
      </c>
      <c r="P135" s="63" cm="1">
        <f t="array" ref="P135:P135">_xlfn.XLOOKUP(N135,'OA名单'!B:B,'OA名单'!G:G)</f>
      </c>
      <c r="Q135" s="63">
        <f t="shared" si="11"/>
      </c>
      <c r="R135" s="63" cm="1">
        <f t="array" ref="R135:R135">_xlfn.XLOOKUP(B135,'OA名单'!B:B,'OA名单'!F:F)</f>
      </c>
      <c r="S135" s="63">
        <f t="shared" si="10"/>
      </c>
      <c r="T135" s="64" cm="1">
        <f t="array" ref="T135:T135">_xlfn.XLOOKUP(B135,'系统-原始（副本）'!A:A,'系统-原始（副本）'!B:B)</f>
      </c>
      <c r="U135" s="63" cm="1">
        <f t="array" ref="U135:U135">_xlfn.XLOOKUP(N135,'OA名单'!B:B,'OA名单'!E:E)</f>
      </c>
      <c r="V135" s="63">
        <f t="shared" si="12"/>
      </c>
      <c r="W135" s="71"/>
      <c r="X135" s="66"/>
      <c r="Y135" s="66"/>
    </row>
    <row hidden="true" r="136">
      <c r="A136" s="66"/>
      <c r="B136" s="66" t="s">
        <v>13015</v>
      </c>
      <c r="C136" s="67" t="s">
        <v>12713</v>
      </c>
      <c r="D136" s="67" t="s">
        <v>12714</v>
      </c>
      <c r="E136" s="69" t="s">
        <v>13016</v>
      </c>
      <c r="F136" s="72" t="s">
        <v>12764</v>
      </c>
      <c r="G136" s="66" t="s">
        <v>13017</v>
      </c>
      <c r="H136" s="66" t="s">
        <v>13018</v>
      </c>
      <c r="I136" s="68">
        <v>1</v>
      </c>
      <c r="J136" s="69">
        <v>1.5</v>
      </c>
      <c r="K136" s="66">
        <v>1.5</v>
      </c>
      <c r="L136" s="66">
        <v>3600</v>
      </c>
      <c r="M136" s="66">
        <v>3000</v>
      </c>
      <c r="N136" s="63" cm="1">
        <f t="array" ref="N136:N136">_xlfn.XLOOKUP(H136,'OA名单'!C:C,'OA名单'!B:B,1)</f>
      </c>
      <c r="O136" s="63">
        <f t="shared" si="8"/>
      </c>
      <c r="P136" s="63" cm="1">
        <f t="array" ref="P136:P136">_xlfn.XLOOKUP(N136,'OA名单'!B:B,'OA名单'!G:G)</f>
      </c>
      <c r="Q136" s="63">
        <f t="shared" si="11"/>
      </c>
      <c r="R136" s="63" cm="1">
        <f t="array" ref="R136:R136">_xlfn.XLOOKUP(B136,'OA名单'!B:B,'OA名单'!F:F)</f>
      </c>
      <c r="S136" s="63">
        <f t="shared" si="10"/>
      </c>
      <c r="T136" s="64" cm="1">
        <f t="array" ref="T136:T136">_xlfn.XLOOKUP(B136,'系统-原始（副本）'!A:A,'系统-原始（副本）'!B:B)</f>
      </c>
      <c r="U136" s="63" cm="1">
        <f t="array" ref="U136:U136">_xlfn.XLOOKUP(N136,'OA名单'!B:B,'OA名单'!E:E)</f>
      </c>
      <c r="V136" s="63">
        <f t="shared" si="12"/>
      </c>
      <c r="W136" s="71"/>
      <c r="X136" s="66"/>
      <c r="Y136" s="66"/>
    </row>
    <row hidden="true" r="137">
      <c r="A137" s="66"/>
      <c r="B137" s="66" t="s">
        <v>13019</v>
      </c>
      <c r="C137" s="67" t="s">
        <v>12713</v>
      </c>
      <c r="D137" s="67" t="s">
        <v>12714</v>
      </c>
      <c r="E137" s="69" t="s">
        <v>12715</v>
      </c>
      <c r="F137" s="69" t="s">
        <v>13020</v>
      </c>
      <c r="G137" s="66" t="s">
        <v>13021</v>
      </c>
      <c r="H137" s="66" t="s">
        <v>13022</v>
      </c>
      <c r="I137" s="68">
        <v>1.5</v>
      </c>
      <c r="J137" s="69">
        <v>1.5</v>
      </c>
      <c r="K137" s="66">
        <v>1.5</v>
      </c>
      <c r="L137" s="66">
        <v>5000</v>
      </c>
      <c r="M137" s="66">
        <v>2000</v>
      </c>
      <c r="N137" s="63" cm="1">
        <f t="array" ref="N137:N137">_xlfn.XLOOKUP(H137,'OA名单'!C:C,'OA名单'!B:B,1)</f>
      </c>
      <c r="O137" s="63">
        <f t="shared" si="8"/>
      </c>
      <c r="P137" s="63" cm="1">
        <f t="array" ref="P137:P137">_xlfn.XLOOKUP(N137,'OA名单'!B:B,'OA名单'!G:G)</f>
      </c>
      <c r="Q137" s="63">
        <f t="shared" si="11"/>
      </c>
      <c r="R137" s="63" cm="1">
        <f t="array" ref="R137:R137">_xlfn.XLOOKUP(B137,'OA名单'!B:B,'OA名单'!F:F)</f>
      </c>
      <c r="S137" s="63">
        <f t="shared" si="10"/>
      </c>
      <c r="T137" s="64" cm="1">
        <f t="array" ref="T137:T137">_xlfn.XLOOKUP(B137,'系统-原始（副本）'!A:A,'系统-原始（副本）'!B:B)</f>
      </c>
      <c r="U137" s="63" cm="1">
        <f t="array" ref="U137:U137">_xlfn.XLOOKUP(N137,'OA名单'!B:B,'OA名单'!E:E)</f>
      </c>
      <c r="V137" s="63">
        <f t="shared" si="12"/>
      </c>
      <c r="W137" s="71"/>
      <c r="X137" s="66"/>
      <c r="Y137" s="66"/>
    </row>
    <row hidden="true" r="138">
      <c r="A138" s="66"/>
      <c r="B138" s="66" t="s">
        <v>13023</v>
      </c>
      <c r="C138" s="67" t="s">
        <v>12713</v>
      </c>
      <c r="D138" s="67" t="s">
        <v>12714</v>
      </c>
      <c r="E138" s="69" t="s">
        <v>12776</v>
      </c>
      <c r="F138" s="69" t="s">
        <v>13024</v>
      </c>
      <c r="G138" s="66" t="s">
        <v>12982</v>
      </c>
      <c r="H138" s="66" t="s">
        <v>13025</v>
      </c>
      <c r="I138" s="68">
        <v>1.872</v>
      </c>
      <c r="J138" s="69">
        <v>1.5</v>
      </c>
      <c r="K138" s="66">
        <v>1.5</v>
      </c>
      <c r="L138" s="66">
        <v>1860</v>
      </c>
      <c r="M138" s="66">
        <v>1500</v>
      </c>
      <c r="N138" s="63" cm="1">
        <f t="array" ref="N138:N138">_xlfn.XLOOKUP(H138,'OA名单'!C:C,'OA名单'!B:B,1)</f>
      </c>
      <c r="O138" s="63">
        <f t="shared" si="8"/>
      </c>
      <c r="P138" s="63" cm="1">
        <f t="array" ref="P138:P138">_xlfn.XLOOKUP(N138,'OA名单'!B:B,'OA名单'!G:G)</f>
      </c>
      <c r="Q138" s="63">
        <f t="shared" si="11"/>
      </c>
      <c r="R138" s="63" cm="1">
        <f t="array" ref="R138:R138">_xlfn.XLOOKUP(B138,'OA名单'!B:B,'OA名单'!F:F)</f>
      </c>
      <c r="S138" s="63">
        <f t="shared" si="10"/>
      </c>
      <c r="T138" s="64" cm="1">
        <f t="array" ref="T138:T138">_xlfn.XLOOKUP(B138,'系统-原始（副本）'!A:A,'系统-原始（副本）'!B:B)</f>
      </c>
      <c r="U138" s="63" cm="1">
        <f t="array" ref="U138:U138">_xlfn.XLOOKUP(N138,'OA名单'!B:B,'OA名单'!E:E)</f>
      </c>
      <c r="V138" s="63">
        <f t="shared" si="12"/>
      </c>
      <c r="W138" s="71"/>
      <c r="X138" s="66"/>
      <c r="Y138" s="66"/>
    </row>
    <row hidden="true" r="139">
      <c r="A139" s="66"/>
      <c r="B139" s="66" t="s">
        <v>13026</v>
      </c>
      <c r="C139" s="67" t="s">
        <v>12713</v>
      </c>
      <c r="D139" s="67" t="s">
        <v>12714</v>
      </c>
      <c r="E139" s="69" t="s">
        <v>13027</v>
      </c>
      <c r="F139" s="69" t="s">
        <v>13028</v>
      </c>
      <c r="G139" s="66" t="s">
        <v>13029</v>
      </c>
      <c r="H139" s="66" t="s">
        <v>13030</v>
      </c>
      <c r="I139" s="68">
        <v>1.24</v>
      </c>
      <c r="J139" s="69">
        <v>1.5</v>
      </c>
      <c r="K139" s="66">
        <v>1.5</v>
      </c>
      <c r="L139" s="66">
        <v>2000</v>
      </c>
      <c r="M139" s="66">
        <v>2000</v>
      </c>
      <c r="N139" s="63" cm="1">
        <f t="array" ref="N139:N139">_xlfn.XLOOKUP(H139,'OA名单'!C:C,'OA名单'!B:B,1)</f>
      </c>
      <c r="O139" s="63">
        <f t="shared" si="8"/>
      </c>
      <c r="P139" s="63" cm="1">
        <f t="array" ref="P139:P139">_xlfn.XLOOKUP(N139,'OA名单'!B:B,'OA名单'!G:G)</f>
      </c>
      <c r="Q139" s="63">
        <f t="shared" si="11"/>
      </c>
      <c r="R139" s="63" cm="1">
        <f t="array" ref="R139:R139">_xlfn.XLOOKUP(B139,'OA名单'!B:B,'OA名单'!F:F)</f>
      </c>
      <c r="S139" s="63">
        <f t="shared" si="10"/>
      </c>
      <c r="T139" s="64" cm="1">
        <f t="array" ref="T139:T139">_xlfn.XLOOKUP(B139,'系统-原始（副本）'!A:A,'系统-原始（副本）'!B:B)</f>
      </c>
      <c r="U139" s="63" cm="1">
        <f t="array" ref="U139:U139">_xlfn.XLOOKUP(N139,'OA名单'!B:B,'OA名单'!E:E)</f>
      </c>
      <c r="V139" s="63">
        <f t="shared" si="12"/>
      </c>
      <c r="W139" s="71"/>
      <c r="X139" s="66"/>
      <c r="Y139" s="66"/>
    </row>
    <row hidden="true" r="140">
      <c r="A140" s="66"/>
      <c r="B140" s="66" t="s">
        <v>13031</v>
      </c>
      <c r="C140" s="67" t="s">
        <v>12713</v>
      </c>
      <c r="D140" s="67" t="s">
        <v>12714</v>
      </c>
      <c r="E140" s="69" t="s">
        <v>12776</v>
      </c>
      <c r="F140" s="69" t="s">
        <v>13032</v>
      </c>
      <c r="G140" s="66" t="s">
        <v>13033</v>
      </c>
      <c r="H140" s="66" t="s">
        <v>13034</v>
      </c>
      <c r="I140" s="68">
        <v>5.663</v>
      </c>
      <c r="J140" s="69">
        <v>1.5</v>
      </c>
      <c r="K140" s="66">
        <v>1.5</v>
      </c>
      <c r="L140" s="66">
        <v>5756</v>
      </c>
      <c r="M140" s="66">
        <v>5000</v>
      </c>
      <c r="N140" s="63" cm="1">
        <f t="array" ref="N140:N140">_xlfn.XLOOKUP(H140,'OA名单'!C:C,'OA名单'!B:B,1)</f>
      </c>
      <c r="O140" s="63">
        <f t="shared" si="8"/>
      </c>
      <c r="P140" s="63" cm="1">
        <f t="array" ref="P140:P140">_xlfn.XLOOKUP(N140,'OA名单'!B:B,'OA名单'!G:G)</f>
      </c>
      <c r="Q140" s="63">
        <f t="shared" si="11"/>
      </c>
      <c r="R140" s="63" cm="1">
        <f t="array" ref="R140:R140">_xlfn.XLOOKUP(B140,'OA名单'!B:B,'OA名单'!F:F)</f>
      </c>
      <c r="S140" s="63">
        <f t="shared" si="10"/>
      </c>
      <c r="T140" s="64" cm="1">
        <f t="array" ref="T140:T140">_xlfn.XLOOKUP(B140,'系统-原始（副本）'!A:A,'系统-原始（副本）'!B:B)</f>
      </c>
      <c r="U140" s="63" cm="1">
        <f t="array" ref="U140:U140">_xlfn.XLOOKUP(N140,'OA名单'!B:B,'OA名单'!E:E)</f>
      </c>
      <c r="V140" s="63">
        <f t="shared" si="12"/>
      </c>
      <c r="W140" s="71"/>
      <c r="X140" s="66"/>
      <c r="Y140" s="66"/>
    </row>
    <row hidden="true" r="141">
      <c r="A141" s="66"/>
      <c r="B141" s="66" t="s">
        <v>13035</v>
      </c>
      <c r="C141" s="67" t="s">
        <v>12713</v>
      </c>
      <c r="D141" s="67" t="s">
        <v>12714</v>
      </c>
      <c r="E141" s="69" t="s">
        <v>12776</v>
      </c>
      <c r="F141" s="69" t="s">
        <v>13032</v>
      </c>
      <c r="G141" s="66" t="s">
        <v>12751</v>
      </c>
      <c r="H141" s="66" t="s">
        <v>13036</v>
      </c>
      <c r="I141" s="68">
        <v>1.898</v>
      </c>
      <c r="J141" s="69">
        <v>1.5</v>
      </c>
      <c r="K141" s="66">
        <v>1.5</v>
      </c>
      <c r="L141" s="66">
        <v>6630</v>
      </c>
      <c r="M141" s="66">
        <v>6000</v>
      </c>
      <c r="N141" s="63" cm="1">
        <f t="array" ref="N141:N141">_xlfn.XLOOKUP(H141,'OA名单'!C:C,'OA名单'!B:B,1)</f>
      </c>
      <c r="O141" s="63">
        <f t="shared" si="8"/>
      </c>
      <c r="P141" s="63" cm="1">
        <f t="array" ref="P141:P141">_xlfn.XLOOKUP(N141,'OA名单'!B:B,'OA名单'!G:G)</f>
      </c>
      <c r="Q141" s="63">
        <f t="shared" si="11"/>
      </c>
      <c r="R141" s="63" cm="1">
        <f t="array" ref="R141:R141">_xlfn.XLOOKUP(B141,'OA名单'!B:B,'OA名单'!F:F)</f>
      </c>
      <c r="S141" s="63">
        <f t="shared" si="10"/>
      </c>
      <c r="T141" s="64" cm="1">
        <f t="array" ref="T141:T141">_xlfn.XLOOKUP(B141,'系统-原始（副本）'!A:A,'系统-原始（副本）'!B:B)</f>
      </c>
      <c r="U141" s="63" cm="1">
        <f t="array" ref="U141:U141">_xlfn.XLOOKUP(N141,'OA名单'!B:B,'OA名单'!E:E)</f>
      </c>
      <c r="V141" s="63">
        <f t="shared" si="12"/>
      </c>
      <c r="W141" s="71"/>
      <c r="X141" s="66"/>
      <c r="Y141" s="66"/>
    </row>
    <row hidden="true" r="142">
      <c r="A142" s="66"/>
      <c r="B142" s="66" t="s">
        <v>13037</v>
      </c>
      <c r="C142" s="67" t="s">
        <v>12713</v>
      </c>
      <c r="D142" s="67" t="s">
        <v>12714</v>
      </c>
      <c r="E142" s="69" t="s">
        <v>12776</v>
      </c>
      <c r="F142" s="69" t="s">
        <v>13038</v>
      </c>
      <c r="G142" s="66" t="s">
        <v>13039</v>
      </c>
      <c r="H142" s="66" t="s">
        <v>13040</v>
      </c>
      <c r="I142" s="68">
        <v>1</v>
      </c>
      <c r="J142" s="69">
        <v>1.41</v>
      </c>
      <c r="K142" s="66">
        <v>1.41</v>
      </c>
      <c r="L142" s="66">
        <v>0</v>
      </c>
      <c r="M142" s="66">
        <v>3000</v>
      </c>
      <c r="N142" s="63" cm="1">
        <f t="array" ref="N142:N142">_xlfn.XLOOKUP(H142,'OA名单'!C:C,'OA名单'!B:B,1)</f>
      </c>
      <c r="O142" s="63">
        <f t="shared" si="8"/>
      </c>
      <c r="P142" s="63" cm="1">
        <f t="array" ref="P142:P142">_xlfn.XLOOKUP(N142,'OA名单'!B:B,'OA名单'!G:G)</f>
      </c>
      <c r="Q142" s="63">
        <f t="shared" si="11"/>
      </c>
      <c r="R142" s="63" cm="1">
        <f t="array" ref="R142:R142">_xlfn.XLOOKUP(B142,'OA名单'!B:B,'OA名单'!F:F)</f>
      </c>
      <c r="S142" s="63">
        <f t="shared" si="10"/>
      </c>
      <c r="T142" s="64" cm="1">
        <f t="array" ref="T142:T142">_xlfn.XLOOKUP(B142,'系统-原始（副本）'!A:A,'系统-原始（副本）'!B:B)</f>
      </c>
      <c r="U142" s="63" cm="1">
        <f t="array" ref="U142:U142">_xlfn.XLOOKUP(N142,'OA名单'!B:B,'OA名单'!E:E)</f>
      </c>
      <c r="V142" s="63">
        <f t="shared" si="12"/>
      </c>
      <c r="W142" s="71"/>
      <c r="X142" s="66"/>
      <c r="Y142" s="66"/>
    </row>
    <row hidden="true" r="143">
      <c r="A143" s="66"/>
      <c r="B143" s="66" t="s">
        <v>13041</v>
      </c>
      <c r="C143" s="67" t="s">
        <v>12713</v>
      </c>
      <c r="D143" s="67" t="s">
        <v>12714</v>
      </c>
      <c r="E143" s="69" t="s">
        <v>13011</v>
      </c>
      <c r="F143" s="69" t="s">
        <v>13042</v>
      </c>
      <c r="G143" s="66" t="s">
        <v>13043</v>
      </c>
      <c r="H143" s="66" t="s">
        <v>13044</v>
      </c>
      <c r="I143" s="68">
        <v>1.036154</v>
      </c>
      <c r="J143" s="69">
        <v>1.41</v>
      </c>
      <c r="K143" s="66">
        <v>1.41</v>
      </c>
      <c r="L143" s="66">
        <v>2219.54</v>
      </c>
      <c r="M143" s="66">
        <v>2000</v>
      </c>
      <c r="N143" s="63" cm="1">
        <f t="array" ref="N143:N143">_xlfn.XLOOKUP(H143,'OA名单'!C:C,'OA名单'!B:B,1)</f>
      </c>
      <c r="O143" s="63">
        <f t="shared" si="8"/>
      </c>
      <c r="P143" s="63" cm="1">
        <f t="array" ref="P143:P143">_xlfn.XLOOKUP(N143,'OA名单'!B:B,'OA名单'!G:G)</f>
      </c>
      <c r="Q143" s="63">
        <f t="shared" si="11"/>
      </c>
      <c r="R143" s="63" cm="1">
        <f t="array" ref="R143:R143">_xlfn.XLOOKUP(B143,'OA名单'!B:B,'OA名单'!F:F)</f>
      </c>
      <c r="S143" s="63">
        <f t="shared" si="10"/>
      </c>
      <c r="T143" s="64" cm="1">
        <f t="array" ref="T143:T143">_xlfn.XLOOKUP(B143,'系统-原始（副本）'!A:A,'系统-原始（副本）'!B:B)</f>
      </c>
      <c r="U143" s="63" cm="1">
        <f t="array" ref="U143:U143">_xlfn.XLOOKUP(N143,'OA名单'!B:B,'OA名单'!E:E)</f>
      </c>
      <c r="V143" s="63">
        <f t="shared" si="12"/>
      </c>
      <c r="W143" s="71"/>
      <c r="X143" s="66"/>
      <c r="Y143" s="66"/>
    </row>
    <row hidden="true" r="144">
      <c r="A144" s="66"/>
      <c r="B144" s="66" t="s">
        <v>13045</v>
      </c>
      <c r="C144" s="67" t="s">
        <v>12713</v>
      </c>
      <c r="D144" s="67" t="s">
        <v>12714</v>
      </c>
      <c r="E144" s="69" t="s">
        <v>13016</v>
      </c>
      <c r="F144" s="73" t="s">
        <v>13046</v>
      </c>
      <c r="G144" s="66" t="s">
        <v>13047</v>
      </c>
      <c r="H144" s="66" t="s">
        <v>13048</v>
      </c>
      <c r="I144" s="68">
        <v>1.6352</v>
      </c>
      <c r="J144" s="69">
        <v>1.4</v>
      </c>
      <c r="K144" s="66">
        <v>1.4</v>
      </c>
      <c r="L144" s="66">
        <v>2520</v>
      </c>
      <c r="M144" s="66">
        <v>3000</v>
      </c>
      <c r="N144" s="63" cm="1">
        <f t="array" ref="N144:N144">_xlfn.XLOOKUP(H144,'OA名单'!C:C,'OA名单'!B:B,1)</f>
      </c>
      <c r="O144" s="63">
        <f t="shared" si="8"/>
      </c>
      <c r="P144" s="63" cm="1">
        <f t="array" ref="P144:P144">_xlfn.XLOOKUP(N144,'OA名单'!B:B,'OA名单'!G:G)</f>
      </c>
      <c r="Q144" s="63">
        <f t="shared" si="11"/>
      </c>
      <c r="R144" s="63" cm="1">
        <f t="array" ref="R144:R144">_xlfn.XLOOKUP(B144,'OA名单'!B:B,'OA名单'!F:F)</f>
      </c>
      <c r="S144" s="63">
        <f t="shared" si="10"/>
      </c>
      <c r="T144" s="64" cm="1">
        <f t="array" ref="T144:T144">_xlfn.XLOOKUP(B144,'系统-原始（副本）'!A:A,'系统-原始（副本）'!B:B)</f>
      </c>
      <c r="U144" s="63" cm="1">
        <f t="array" ref="U144:U144">_xlfn.XLOOKUP(N144,'OA名单'!B:B,'OA名单'!E:E)</f>
      </c>
      <c r="V144" s="63">
        <f t="shared" si="12"/>
      </c>
      <c r="W144" s="71"/>
      <c r="X144" s="66"/>
      <c r="Y144" s="66"/>
    </row>
    <row hidden="true" r="145">
      <c r="A145" s="66"/>
      <c r="B145" s="66" t="s">
        <v>13049</v>
      </c>
      <c r="C145" s="67" t="s">
        <v>12713</v>
      </c>
      <c r="D145" s="67" t="s">
        <v>12714</v>
      </c>
      <c r="E145" s="69" t="s">
        <v>12956</v>
      </c>
      <c r="F145" s="70" t="s">
        <v>13050</v>
      </c>
      <c r="G145" s="66" t="s">
        <v>13051</v>
      </c>
      <c r="H145" s="66" t="s">
        <v>13052</v>
      </c>
      <c r="I145" s="68">
        <v>1.669283</v>
      </c>
      <c r="J145" s="69">
        <v>1.38</v>
      </c>
      <c r="K145" s="66">
        <v>1.38</v>
      </c>
      <c r="L145" s="66">
        <v>4080</v>
      </c>
      <c r="M145" s="66">
        <v>3400</v>
      </c>
      <c r="N145" s="63" cm="1">
        <f t="array" ref="N145:N145">_xlfn.XLOOKUP(H145,'OA名单'!C:C,'OA名单'!B:B,1)</f>
      </c>
      <c r="O145" s="63">
        <f t="shared" si="8"/>
      </c>
      <c r="P145" s="63" cm="1">
        <f t="array" ref="P145:P145">_xlfn.XLOOKUP(N145,'OA名单'!B:B,'OA名单'!G:G)</f>
      </c>
      <c r="Q145" s="63">
        <f t="shared" si="11"/>
      </c>
      <c r="R145" s="63" cm="1">
        <f t="array" ref="R145:R145">_xlfn.XLOOKUP(B145,'OA名单'!B:B,'OA名单'!F:F)</f>
      </c>
      <c r="S145" s="63">
        <f t="shared" si="10"/>
      </c>
      <c r="T145" s="64" cm="1">
        <f t="array" ref="T145:T145">_xlfn.XLOOKUP(B145,'系统-原始（副本）'!A:A,'系统-原始（副本）'!B:B)</f>
      </c>
      <c r="U145" s="63" cm="1">
        <f t="array" ref="U145:U145">_xlfn.XLOOKUP(N145,'OA名单'!B:B,'OA名单'!E:E)</f>
      </c>
      <c r="V145" s="63">
        <f t="shared" si="12"/>
      </c>
      <c r="W145" s="71"/>
      <c r="X145" s="66"/>
      <c r="Y145" s="66"/>
    </row>
    <row hidden="true" r="146">
      <c r="A146" s="66"/>
      <c r="B146" s="66" t="s">
        <v>13053</v>
      </c>
      <c r="C146" s="67" t="s">
        <v>12713</v>
      </c>
      <c r="D146" s="67" t="s">
        <v>12714</v>
      </c>
      <c r="E146" s="69" t="s">
        <v>13027</v>
      </c>
      <c r="F146" s="70" t="s">
        <v>13054</v>
      </c>
      <c r="G146" s="66" t="s">
        <v>13043</v>
      </c>
      <c r="H146" s="66" t="s">
        <v>13055</v>
      </c>
      <c r="I146" s="68">
        <v>1.282671</v>
      </c>
      <c r="J146" s="69">
        <v>1.38</v>
      </c>
      <c r="K146" s="66">
        <v>1.38</v>
      </c>
      <c r="L146" s="66">
        <v>2400</v>
      </c>
      <c r="M146" s="66">
        <v>2000</v>
      </c>
      <c r="N146" s="63" cm="1">
        <f t="array" ref="N146:N146">_xlfn.XLOOKUP(H146,'OA名单'!C:C,'OA名单'!B:B,1)</f>
      </c>
      <c r="O146" s="63">
        <f t="shared" si="8"/>
      </c>
      <c r="P146" s="63" cm="1">
        <f t="array" ref="P146:P146">_xlfn.XLOOKUP(N146,'OA名单'!B:B,'OA名单'!G:G)</f>
      </c>
      <c r="Q146" s="63">
        <f t="shared" si="11"/>
      </c>
      <c r="R146" s="63" cm="1">
        <f t="array" ref="R146:R146">_xlfn.XLOOKUP(B146,'OA名单'!B:B,'OA名单'!F:F)</f>
      </c>
      <c r="S146" s="63">
        <f t="shared" si="10"/>
      </c>
      <c r="T146" s="64" cm="1">
        <f t="array" ref="T146:T146">_xlfn.XLOOKUP(B146,'系统-原始（副本）'!A:A,'系统-原始（副本）'!B:B)</f>
      </c>
      <c r="U146" s="63" cm="1">
        <f t="array" ref="U146:U146">_xlfn.XLOOKUP(N146,'OA名单'!B:B,'OA名单'!E:E)</f>
      </c>
      <c r="V146" s="63">
        <f t="shared" si="12"/>
      </c>
      <c r="W146" s="71"/>
      <c r="X146" s="66"/>
      <c r="Y146" s="66"/>
    </row>
    <row hidden="true" r="147">
      <c r="A147" s="66"/>
      <c r="B147" s="66" t="s">
        <v>13056</v>
      </c>
      <c r="C147" s="67" t="s">
        <v>12713</v>
      </c>
      <c r="D147" s="67" t="s">
        <v>12714</v>
      </c>
      <c r="E147" s="66" t="s">
        <v>12956</v>
      </c>
      <c r="F147" s="66" t="s">
        <v>13050</v>
      </c>
      <c r="G147" s="66" t="s">
        <v>13057</v>
      </c>
      <c r="H147" s="66" t="s">
        <v>13058</v>
      </c>
      <c r="I147" s="68">
        <v>1.661867</v>
      </c>
      <c r="J147" s="69">
        <v>1.36</v>
      </c>
      <c r="K147" s="66">
        <v>1.36</v>
      </c>
      <c r="L147" s="66">
        <v>6040.22</v>
      </c>
      <c r="M147" s="66">
        <v>5000</v>
      </c>
      <c r="N147" s="63" cm="1">
        <f t="array" ref="N147:N147">_xlfn.XLOOKUP(H147,'OA名单'!C:C,'OA名单'!B:B,1)</f>
      </c>
      <c r="O147" s="63">
        <f t="shared" si="8"/>
      </c>
      <c r="P147" s="63" cm="1">
        <f t="array" ref="P147:P147">_xlfn.XLOOKUP(N147,'OA名单'!B:B,'OA名单'!G:G)</f>
      </c>
      <c r="Q147" s="63">
        <f t="shared" si="11"/>
      </c>
      <c r="R147" s="63" cm="1">
        <f t="array" ref="R147:R147">_xlfn.XLOOKUP(B147,'OA名单'!B:B,'OA名单'!F:F)</f>
      </c>
      <c r="S147" s="63">
        <f t="shared" si="10"/>
      </c>
      <c r="T147" s="70"/>
      <c r="U147" s="63" cm="1">
        <f t="array" ref="U147:U147">_xlfn.XLOOKUP(N147,'OA名单'!B:B,'OA名单'!E:E)</f>
      </c>
      <c r="V147" s="63">
        <f t="shared" si="12"/>
      </c>
      <c r="W147" s="71"/>
      <c r="X147" s="66"/>
      <c r="Y147" s="66"/>
    </row>
    <row hidden="true" r="148">
      <c r="A148" s="66"/>
      <c r="B148" s="66" t="s">
        <v>13059</v>
      </c>
      <c r="C148" s="67" t="s">
        <v>12713</v>
      </c>
      <c r="D148" s="67" t="s">
        <v>12714</v>
      </c>
      <c r="E148" s="69" t="s">
        <v>13011</v>
      </c>
      <c r="F148" s="70" t="s">
        <v>13060</v>
      </c>
      <c r="G148" s="66" t="s">
        <v>13061</v>
      </c>
      <c r="H148" s="66" t="s">
        <v>13062</v>
      </c>
      <c r="I148" s="68">
        <v>1.346</v>
      </c>
      <c r="J148" s="69">
        <v>1.35</v>
      </c>
      <c r="K148" s="66">
        <v>1.35</v>
      </c>
      <c r="L148" s="66">
        <v>6000</v>
      </c>
      <c r="M148" s="66">
        <v>5000</v>
      </c>
      <c r="N148" s="63" cm="1">
        <f t="array" ref="N148:N148">_xlfn.XLOOKUP(H148,'OA名单'!C:C,'OA名单'!B:B,1)</f>
      </c>
      <c r="O148" s="63">
        <f t="shared" si="8"/>
      </c>
      <c r="P148" s="63" cm="1">
        <f t="array" ref="P148:P148">_xlfn.XLOOKUP(N148,'OA名单'!B:B,'OA名单'!G:G)</f>
      </c>
      <c r="Q148" s="63">
        <f t="shared" si="11"/>
      </c>
      <c r="R148" s="63" cm="1">
        <f t="array" ref="R148:R148">_xlfn.XLOOKUP(B148,'OA名单'!B:B,'OA名单'!F:F)</f>
      </c>
      <c r="S148" s="63">
        <f t="shared" si="10"/>
      </c>
      <c r="T148" s="64" cm="1">
        <f t="array" ref="T148:T148">_xlfn.XLOOKUP(B148,'系统-原始（副本）'!A:A,'系统-原始（副本）'!B:B)</f>
      </c>
      <c r="U148" s="63" cm="1">
        <f t="array" ref="U148:U148">_xlfn.XLOOKUP(N148,'OA名单'!B:B,'OA名单'!E:E)</f>
      </c>
      <c r="V148" s="63">
        <f t="shared" si="12"/>
      </c>
      <c r="W148" s="71"/>
      <c r="X148" s="66"/>
      <c r="Y148" s="66"/>
    </row>
    <row hidden="true" r="149">
      <c r="A149" s="66"/>
      <c r="B149" s="66" t="s">
        <v>13063</v>
      </c>
      <c r="C149" s="67" t="s">
        <v>12713</v>
      </c>
      <c r="D149" s="67" t="s">
        <v>12714</v>
      </c>
      <c r="E149" s="69" t="s">
        <v>12782</v>
      </c>
      <c r="F149" s="70" t="s">
        <v>13064</v>
      </c>
      <c r="G149" s="66" t="s">
        <v>12982</v>
      </c>
      <c r="H149" s="66" t="s">
        <v>13065</v>
      </c>
      <c r="I149" s="68">
        <v>1.445613</v>
      </c>
      <c r="J149" s="69">
        <v>1.35</v>
      </c>
      <c r="K149" s="66">
        <v>1.35</v>
      </c>
      <c r="L149" s="66">
        <v>6500</v>
      </c>
      <c r="M149" s="66">
        <v>1500</v>
      </c>
      <c r="N149" s="63" cm="1">
        <f t="array" ref="N149:N149">_xlfn.XLOOKUP(H149,'OA名单'!C:C,'OA名单'!B:B,1)</f>
      </c>
      <c r="O149" s="63">
        <f t="shared" si="8"/>
      </c>
      <c r="P149" s="63" cm="1">
        <f t="array" ref="P149:P149">_xlfn.XLOOKUP(N149,'OA名单'!B:B,'OA名单'!G:G)</f>
      </c>
      <c r="Q149" s="63">
        <f t="shared" si="11"/>
      </c>
      <c r="R149" s="63" cm="1">
        <f t="array" ref="R149:R149">_xlfn.XLOOKUP(B149,'OA名单'!B:B,'OA名单'!F:F)</f>
      </c>
      <c r="S149" s="63">
        <f t="shared" si="10"/>
      </c>
      <c r="T149" s="64" cm="1">
        <f t="array" ref="T149:T149">_xlfn.XLOOKUP(B149,'系统-原始（副本）'!A:A,'系统-原始（副本）'!B:B)</f>
      </c>
      <c r="U149" s="63" cm="1">
        <f t="array" ref="U149:U149">_xlfn.XLOOKUP(N149,'OA名单'!B:B,'OA名单'!E:E)</f>
      </c>
      <c r="V149" s="63">
        <f t="shared" si="12"/>
      </c>
      <c r="W149" s="71"/>
      <c r="X149" s="66"/>
      <c r="Y149" s="66"/>
    </row>
    <row hidden="true" r="150">
      <c r="A150" s="66"/>
      <c r="B150" s="66" t="s">
        <v>13066</v>
      </c>
      <c r="C150" s="67" t="s">
        <v>12713</v>
      </c>
      <c r="D150" s="67" t="s">
        <v>12714</v>
      </c>
      <c r="E150" s="66" t="s">
        <v>13011</v>
      </c>
      <c r="F150" s="67" t="s">
        <v>13060</v>
      </c>
      <c r="G150" s="66" t="s">
        <v>13067</v>
      </c>
      <c r="H150" s="66" t="s">
        <v>13068</v>
      </c>
      <c r="I150" s="68">
        <v>1.01152</v>
      </c>
      <c r="J150" s="69">
        <v>1.34</v>
      </c>
      <c r="K150" s="66">
        <v>1.34</v>
      </c>
      <c r="L150" s="66">
        <v>4400</v>
      </c>
      <c r="M150" s="66">
        <v>3000</v>
      </c>
      <c r="N150" s="63" cm="1">
        <f t="array" ref="N150:N150">_xlfn.XLOOKUP(H150,'OA名单'!C:C,'OA名单'!B:B,1)</f>
      </c>
      <c r="O150" s="63">
        <f t="shared" si="8"/>
      </c>
      <c r="P150" s="63" cm="1">
        <f t="array" ref="P150:P150">_xlfn.XLOOKUP(N150,'OA名单'!B:B,'OA名单'!G:G)</f>
      </c>
      <c r="Q150" s="63">
        <f t="shared" si="11"/>
      </c>
      <c r="R150" s="63" cm="1">
        <f t="array" ref="R150:R150">_xlfn.XLOOKUP(B150,'OA名单'!B:B,'OA名单'!F:F)</f>
      </c>
      <c r="S150" s="63">
        <f t="shared" si="10"/>
      </c>
      <c r="T150" s="64" cm="1">
        <f t="array" ref="T150:T150">_xlfn.XLOOKUP(B150,'系统-原始（副本）'!A:A,'系统-原始（副本）'!B:B)</f>
      </c>
      <c r="U150" s="63" cm="1">
        <f t="array" ref="U150:U150">_xlfn.XLOOKUP(N150,'OA名单'!B:B,'OA名单'!E:E)</f>
      </c>
      <c r="V150" s="63">
        <f t="shared" si="12"/>
      </c>
      <c r="W150" s="71"/>
      <c r="X150" s="66"/>
      <c r="Y150" s="66"/>
    </row>
    <row hidden="true" r="151">
      <c r="A151" s="66"/>
      <c r="B151" s="66" t="s">
        <v>13069</v>
      </c>
      <c r="C151" s="67" t="s">
        <v>12713</v>
      </c>
      <c r="D151" s="67" t="s">
        <v>12714</v>
      </c>
      <c r="E151" s="69" t="s">
        <v>12776</v>
      </c>
      <c r="F151" s="70" t="s">
        <v>13032</v>
      </c>
      <c r="G151" s="66" t="s">
        <v>12982</v>
      </c>
      <c r="H151" s="66" t="s">
        <v>13070</v>
      </c>
      <c r="I151" s="68">
        <v>3.2355</v>
      </c>
      <c r="J151" s="69">
        <v>1.31</v>
      </c>
      <c r="K151" s="66">
        <v>1.31</v>
      </c>
      <c r="L151" s="66">
        <v>2250</v>
      </c>
      <c r="M151" s="66">
        <v>1500</v>
      </c>
      <c r="N151" s="63" cm="1">
        <f t="array" ref="N151:N151">_xlfn.XLOOKUP(H151,'OA名单'!C:C,'OA名单'!B:B,1)</f>
      </c>
      <c r="O151" s="63">
        <f t="shared" si="8"/>
      </c>
      <c r="P151" s="63" cm="1">
        <f t="array" ref="P151:P151">_xlfn.XLOOKUP(N151,'OA名单'!B:B,'OA名单'!G:G)</f>
      </c>
      <c r="Q151" s="63">
        <f t="shared" si="11"/>
      </c>
      <c r="R151" s="63" cm="1">
        <f t="array" ref="R151:R151">_xlfn.XLOOKUP(B151,'OA名单'!B:B,'OA名单'!F:F)</f>
      </c>
      <c r="S151" s="63">
        <f t="shared" si="10"/>
      </c>
      <c r="T151" s="64" cm="1">
        <f t="array" ref="T151:T151">_xlfn.XLOOKUP(B151,'系统-原始（副本）'!A:A,'系统-原始（副本）'!B:B)</f>
      </c>
      <c r="U151" s="63" cm="1">
        <f t="array" ref="U151:U151">_xlfn.XLOOKUP(N151,'OA名单'!B:B,'OA名单'!E:E)</f>
      </c>
      <c r="V151" s="63">
        <f t="shared" si="12"/>
      </c>
      <c r="W151" s="71"/>
      <c r="X151" s="66"/>
      <c r="Y151" s="66"/>
    </row>
    <row hidden="true" r="152">
      <c r="A152" s="66"/>
      <c r="B152" s="66" t="s">
        <v>13071</v>
      </c>
      <c r="C152" s="67" t="s">
        <v>12713</v>
      </c>
      <c r="D152" s="67" t="s">
        <v>12714</v>
      </c>
      <c r="E152" s="69" t="s">
        <v>12763</v>
      </c>
      <c r="F152" s="70" t="s">
        <v>13072</v>
      </c>
      <c r="G152" s="66" t="s">
        <v>13073</v>
      </c>
      <c r="H152" s="66" t="s">
        <v>13074</v>
      </c>
      <c r="I152" s="68">
        <v>1.164</v>
      </c>
      <c r="J152" s="69">
        <v>1.3</v>
      </c>
      <c r="K152" s="66">
        <v>1.3</v>
      </c>
      <c r="L152" s="66">
        <v>3900</v>
      </c>
      <c r="M152" s="66">
        <v>3000</v>
      </c>
      <c r="N152" s="63" cm="1">
        <f t="array" ref="N152:N152">_xlfn.XLOOKUP(H152,'OA名单'!C:C,'OA名单'!B:B,1)</f>
      </c>
      <c r="O152" s="63">
        <f t="shared" si="8"/>
      </c>
      <c r="P152" s="63" cm="1">
        <f t="array" ref="P152:P152">_xlfn.XLOOKUP(N152,'OA名单'!B:B,'OA名单'!G:G)</f>
      </c>
      <c r="Q152" s="63">
        <f t="shared" si="11"/>
      </c>
      <c r="R152" s="63" cm="1">
        <f t="array" ref="R152:R152">_xlfn.XLOOKUP(B152,'OA名单'!B:B,'OA名单'!F:F)</f>
      </c>
      <c r="S152" s="63">
        <f t="shared" si="10"/>
      </c>
      <c r="T152" s="64" cm="1">
        <f t="array" ref="T152:T152">_xlfn.XLOOKUP(B152,'系统-原始（副本）'!A:A,'系统-原始（副本）'!B:B)</f>
      </c>
      <c r="U152" s="63" cm="1">
        <f t="array" ref="U152:U152">_xlfn.XLOOKUP(N152,'OA名单'!B:B,'OA名单'!E:E)</f>
      </c>
      <c r="V152" s="63">
        <f t="shared" si="12"/>
      </c>
      <c r="W152" s="71"/>
      <c r="X152" s="66"/>
      <c r="Y152" s="66"/>
    </row>
    <row hidden="true" r="153">
      <c r="A153" s="66"/>
      <c r="B153" s="66" t="s">
        <v>13075</v>
      </c>
      <c r="C153" s="67" t="s">
        <v>12713</v>
      </c>
      <c r="D153" s="67" t="s">
        <v>12714</v>
      </c>
      <c r="E153" s="69" t="s">
        <v>13027</v>
      </c>
      <c r="F153" s="70" t="s">
        <v>13076</v>
      </c>
      <c r="G153" s="66" t="s">
        <v>13021</v>
      </c>
      <c r="H153" s="66" t="s">
        <v>13077</v>
      </c>
      <c r="I153" s="68">
        <v>1.231546</v>
      </c>
      <c r="J153" s="69">
        <v>1.3</v>
      </c>
      <c r="K153" s="66">
        <v>1.3</v>
      </c>
      <c r="L153" s="66">
        <v>1950</v>
      </c>
      <c r="M153" s="66">
        <v>1500</v>
      </c>
      <c r="N153" s="63" cm="1">
        <f t="array" ref="N153:N153">_xlfn.XLOOKUP(H153,'OA名单'!C:C,'OA名单'!B:B,1)</f>
      </c>
      <c r="O153" s="63">
        <f t="shared" si="8"/>
      </c>
      <c r="P153" s="63" cm="1">
        <f t="array" ref="P153:P153">_xlfn.XLOOKUP(N153,'OA名单'!B:B,'OA名单'!G:G)</f>
      </c>
      <c r="Q153" s="63">
        <f t="shared" si="11"/>
      </c>
      <c r="R153" s="63" cm="1">
        <f t="array" ref="R153:R153">_xlfn.XLOOKUP(B153,'OA名单'!B:B,'OA名单'!F:F)</f>
      </c>
      <c r="S153" s="63">
        <f t="shared" si="10"/>
      </c>
      <c r="T153" s="64" cm="1">
        <f t="array" ref="T153:T153">_xlfn.XLOOKUP(B153,'系统-原始（副本）'!A:A,'系统-原始（副本）'!B:B)</f>
      </c>
      <c r="U153" s="63" cm="1">
        <f t="array" ref="U153:U153">_xlfn.XLOOKUP(N153,'OA名单'!B:B,'OA名单'!E:E)</f>
      </c>
      <c r="V153" s="63">
        <f t="shared" si="12"/>
      </c>
      <c r="W153" s="71"/>
      <c r="X153" s="66"/>
      <c r="Y153" s="66"/>
    </row>
    <row hidden="true" r="154">
      <c r="A154" s="66"/>
      <c r="B154" s="66" t="s">
        <v>13078</v>
      </c>
      <c r="C154" s="67" t="s">
        <v>12713</v>
      </c>
      <c r="D154" s="67" t="s">
        <v>12714</v>
      </c>
      <c r="E154" s="69" t="s">
        <v>12715</v>
      </c>
      <c r="F154" s="70" t="s">
        <v>13020</v>
      </c>
      <c r="G154" s="66" t="s">
        <v>13079</v>
      </c>
      <c r="H154" s="66" t="s">
        <v>13080</v>
      </c>
      <c r="I154" s="68">
        <v>0.033818</v>
      </c>
      <c r="J154" s="69">
        <v>1.3</v>
      </c>
      <c r="K154" s="66">
        <v>1.3</v>
      </c>
      <c r="L154" s="66">
        <v>4800</v>
      </c>
      <c r="M154" s="66">
        <v>2000</v>
      </c>
      <c r="N154" s="63" cm="1">
        <f t="array" ref="N154:N154">_xlfn.XLOOKUP(H154,'OA名单'!C:C,'OA名单'!B:B,1)</f>
      </c>
      <c r="O154" s="63">
        <f t="shared" si="8"/>
      </c>
      <c r="P154" s="63" cm="1">
        <f t="array" ref="P154:P154">_xlfn.XLOOKUP(N154,'OA名单'!B:B,'OA名单'!G:G)</f>
      </c>
      <c r="Q154" s="63">
        <f t="shared" si="11"/>
      </c>
      <c r="R154" s="63" cm="1">
        <f t="array" ref="R154:R154">_xlfn.XLOOKUP(B154,'OA名单'!B:B,'OA名单'!F:F)</f>
      </c>
      <c r="S154" s="63">
        <f t="shared" si="10"/>
      </c>
      <c r="T154" s="64" cm="1">
        <f t="array" ref="T154:T154">_xlfn.XLOOKUP(B154,'系统-原始（副本）'!A:A,'系统-原始（副本）'!B:B)</f>
      </c>
      <c r="U154" s="63" cm="1">
        <f t="array" ref="U154:U154">_xlfn.XLOOKUP(N154,'OA名单'!B:B,'OA名单'!E:E)</f>
      </c>
      <c r="V154" s="63">
        <f t="shared" si="12"/>
      </c>
      <c r="W154" s="71"/>
      <c r="X154" s="66"/>
      <c r="Y154" s="66"/>
    </row>
    <row hidden="true" r="155">
      <c r="A155" s="66"/>
      <c r="B155" s="66" t="s">
        <v>13081</v>
      </c>
      <c r="C155" s="67" t="s">
        <v>12713</v>
      </c>
      <c r="D155" s="67" t="s">
        <v>12714</v>
      </c>
      <c r="E155" s="69" t="s">
        <v>13011</v>
      </c>
      <c r="F155" s="70" t="s">
        <v>13042</v>
      </c>
      <c r="G155" s="66" t="s">
        <v>13082</v>
      </c>
      <c r="H155" s="66" t="s">
        <v>13083</v>
      </c>
      <c r="I155" s="68">
        <v>0.88</v>
      </c>
      <c r="J155" s="69">
        <v>1.29</v>
      </c>
      <c r="K155" s="66">
        <v>1.29</v>
      </c>
      <c r="L155" s="66">
        <v>2000</v>
      </c>
      <c r="M155" s="66">
        <v>2000</v>
      </c>
      <c r="N155" s="63" cm="1">
        <f t="array" ref="N155:N155">_xlfn.XLOOKUP(H155,'OA名单'!C:C,'OA名单'!B:B,1)</f>
      </c>
      <c r="O155" s="63">
        <f t="shared" si="8"/>
      </c>
      <c r="P155" s="63" cm="1">
        <f t="array" ref="P155:P155">_xlfn.XLOOKUP(N155,'OA名单'!B:B,'OA名单'!G:G)</f>
      </c>
      <c r="Q155" s="63">
        <f t="shared" si="11"/>
      </c>
      <c r="R155" s="63" cm="1">
        <f t="array" ref="R155:R155">_xlfn.XLOOKUP(B155,'OA名单'!B:B,'OA名单'!F:F)</f>
      </c>
      <c r="S155" s="63">
        <f t="shared" si="10"/>
      </c>
      <c r="T155" s="64" cm="1">
        <f t="array" ref="T155:T155">_xlfn.XLOOKUP(B155,'系统-原始（副本）'!A:A,'系统-原始（副本）'!B:B)</f>
      </c>
      <c r="U155" s="63" cm="1">
        <f t="array" ref="U155:U155">_xlfn.XLOOKUP(N155,'OA名单'!B:B,'OA名单'!E:E)</f>
      </c>
      <c r="V155" s="63">
        <f t="shared" si="12"/>
      </c>
      <c r="W155" s="71"/>
      <c r="X155" s="66"/>
      <c r="Y155" s="66"/>
    </row>
    <row hidden="true" r="156">
      <c r="A156" s="66"/>
      <c r="B156" s="66" t="s">
        <v>13084</v>
      </c>
      <c r="C156" s="67" t="s">
        <v>12713</v>
      </c>
      <c r="D156" s="67" t="s">
        <v>12714</v>
      </c>
      <c r="E156" s="69" t="s">
        <v>12956</v>
      </c>
      <c r="F156" s="70" t="s">
        <v>13050</v>
      </c>
      <c r="G156" s="66" t="s">
        <v>13051</v>
      </c>
      <c r="H156" s="66" t="s">
        <v>13085</v>
      </c>
      <c r="I156" s="68">
        <v>1.233183</v>
      </c>
      <c r="J156" s="69">
        <v>1.28</v>
      </c>
      <c r="K156" s="66">
        <v>1.28</v>
      </c>
      <c r="L156" s="66">
        <v>2720</v>
      </c>
      <c r="M156" s="66">
        <v>3400</v>
      </c>
      <c r="N156" s="63" cm="1">
        <f t="array" ref="N156:N156">_xlfn.XLOOKUP(H156,'OA名单'!C:C,'OA名单'!B:B,1)</f>
      </c>
      <c r="O156" s="63">
        <f t="shared" si="8"/>
      </c>
      <c r="P156" s="63" cm="1">
        <f t="array" ref="P156:P156">_xlfn.XLOOKUP(N156,'OA名单'!B:B,'OA名单'!G:G)</f>
      </c>
      <c r="Q156" s="63">
        <f t="shared" si="11"/>
      </c>
      <c r="R156" s="63" cm="1">
        <f t="array" ref="R156:R156">_xlfn.XLOOKUP(B156,'OA名单'!B:B,'OA名单'!F:F)</f>
      </c>
      <c r="S156" s="63">
        <f t="shared" si="10"/>
      </c>
      <c r="T156" s="64" cm="1">
        <f t="array" ref="T156:T156">_xlfn.XLOOKUP(B156,'系统-原始（副本）'!A:A,'系统-原始（副本）'!B:B)</f>
      </c>
      <c r="U156" s="63" cm="1">
        <f t="array" ref="U156:U156">_xlfn.XLOOKUP(N156,'OA名单'!B:B,'OA名单'!E:E)</f>
      </c>
      <c r="V156" s="63">
        <f t="shared" si="12"/>
      </c>
      <c r="W156" s="71"/>
      <c r="X156" s="66"/>
      <c r="Y156" s="66"/>
    </row>
    <row hidden="true" r="157">
      <c r="A157" s="66"/>
      <c r="B157" s="66" t="s">
        <v>13086</v>
      </c>
      <c r="C157" s="67" t="s">
        <v>12713</v>
      </c>
      <c r="D157" s="67" t="s">
        <v>12714</v>
      </c>
      <c r="E157" s="69" t="s">
        <v>12763</v>
      </c>
      <c r="F157" s="70" t="s">
        <v>13072</v>
      </c>
      <c r="G157" s="66" t="s">
        <v>13073</v>
      </c>
      <c r="H157" s="66" t="s">
        <v>13087</v>
      </c>
      <c r="I157" s="68">
        <v>1.326</v>
      </c>
      <c r="J157" s="69">
        <v>1.28</v>
      </c>
      <c r="K157" s="66">
        <v>1.28</v>
      </c>
      <c r="L157" s="66">
        <v>2100</v>
      </c>
      <c r="M157" s="66">
        <v>3000</v>
      </c>
      <c r="N157" s="63" cm="1">
        <f t="array" ref="N157:N157">_xlfn.XLOOKUP(H157,'OA名单'!C:C,'OA名单'!B:B,1)</f>
      </c>
      <c r="O157" s="63">
        <f t="shared" si="8"/>
      </c>
      <c r="P157" s="63" cm="1">
        <f t="array" ref="P157:P157">_xlfn.XLOOKUP(N157,'OA名单'!B:B,'OA名单'!G:G)</f>
      </c>
      <c r="Q157" s="63">
        <f t="shared" si="11"/>
      </c>
      <c r="R157" s="63" cm="1">
        <f t="array" ref="R157:R157">_xlfn.XLOOKUP(B157,'OA名单'!B:B,'OA名单'!F:F)</f>
      </c>
      <c r="S157" s="63">
        <f t="shared" si="10"/>
      </c>
      <c r="T157" s="64" cm="1">
        <f t="array" ref="T157:T157">_xlfn.XLOOKUP(B157,'系统-原始（副本）'!A:A,'系统-原始（副本）'!B:B)</f>
      </c>
      <c r="U157" s="63" cm="1">
        <f t="array" ref="U157:U157">_xlfn.XLOOKUP(N157,'OA名单'!B:B,'OA名单'!E:E)</f>
      </c>
      <c r="V157" s="63">
        <f t="shared" si="12"/>
      </c>
      <c r="W157" s="71"/>
      <c r="X157" s="66"/>
      <c r="Y157" s="66"/>
    </row>
    <row hidden="true" r="158">
      <c r="A158" s="66"/>
      <c r="B158" s="66" t="s">
        <v>13088</v>
      </c>
      <c r="C158" s="67" t="s">
        <v>12713</v>
      </c>
      <c r="D158" s="67" t="s">
        <v>12714</v>
      </c>
      <c r="E158" s="69" t="s">
        <v>12715</v>
      </c>
      <c r="F158" s="70" t="s">
        <v>12716</v>
      </c>
      <c r="G158" s="66" t="s">
        <v>13089</v>
      </c>
      <c r="H158" s="66" t="s">
        <v>13090</v>
      </c>
      <c r="I158" s="68">
        <v>1.39165</v>
      </c>
      <c r="J158" s="69">
        <v>1.27</v>
      </c>
      <c r="K158" s="66">
        <v>1.27</v>
      </c>
      <c r="L158" s="66">
        <v>3810</v>
      </c>
      <c r="M158" s="66">
        <v>3000</v>
      </c>
      <c r="N158" s="63" cm="1">
        <f t="array" ref="N158:N158">_xlfn.XLOOKUP(H158,'OA名单'!C:C,'OA名单'!B:B,1)</f>
      </c>
      <c r="O158" s="63">
        <f t="shared" si="8"/>
      </c>
      <c r="P158" s="63" cm="1">
        <f t="array" ref="P158:P158">_xlfn.XLOOKUP(N158,'OA名单'!B:B,'OA名单'!G:G)</f>
      </c>
      <c r="Q158" s="63">
        <f t="shared" si="11"/>
      </c>
      <c r="R158" s="63" cm="1">
        <f t="array" ref="R158:R158">_xlfn.XLOOKUP(B158,'OA名单'!B:B,'OA名单'!F:F)</f>
      </c>
      <c r="S158" s="63">
        <f t="shared" si="10"/>
      </c>
      <c r="T158" s="64" cm="1">
        <f t="array" ref="T158:T158">_xlfn.XLOOKUP(B158,'系统-原始（副本）'!A:A,'系统-原始（副本）'!B:B)</f>
      </c>
      <c r="U158" s="63" cm="1">
        <f t="array" ref="U158:U158">_xlfn.XLOOKUP(N158,'OA名单'!B:B,'OA名单'!E:E)</f>
      </c>
      <c r="V158" s="63">
        <f t="shared" si="12"/>
      </c>
      <c r="W158" s="71"/>
      <c r="X158" s="66"/>
      <c r="Y158" s="66"/>
    </row>
    <row hidden="true" r="159">
      <c r="A159" s="66"/>
      <c r="B159" s="66" t="s">
        <v>13091</v>
      </c>
      <c r="C159" s="67" t="s">
        <v>12713</v>
      </c>
      <c r="D159" s="67" t="s">
        <v>12714</v>
      </c>
      <c r="E159" s="69" t="s">
        <v>12776</v>
      </c>
      <c r="F159" s="70" t="s">
        <v>13032</v>
      </c>
      <c r="G159" s="66" t="s">
        <v>12982</v>
      </c>
      <c r="H159" s="66" t="s">
        <v>13092</v>
      </c>
      <c r="I159" s="68">
        <v>1.2776</v>
      </c>
      <c r="J159" s="69">
        <v>1.26</v>
      </c>
      <c r="K159" s="66">
        <v>1.26</v>
      </c>
      <c r="L159" s="66">
        <v>5386.5</v>
      </c>
      <c r="M159" s="66">
        <v>1500</v>
      </c>
      <c r="N159" s="63" cm="1">
        <f t="array" ref="N159:N159">_xlfn.XLOOKUP(H159,'OA名单'!C:C,'OA名单'!B:B,1)</f>
      </c>
      <c r="O159" s="63">
        <f t="shared" si="8"/>
      </c>
      <c r="P159" s="63" cm="1">
        <f t="array" ref="P159:P159">_xlfn.XLOOKUP(N159,'OA名单'!B:B,'OA名单'!G:G)</f>
      </c>
      <c r="Q159" s="63">
        <f t="shared" si="11"/>
      </c>
      <c r="R159" s="63" cm="1">
        <f t="array" ref="R159:R159">_xlfn.XLOOKUP(B159,'OA名单'!B:B,'OA名单'!F:F)</f>
      </c>
      <c r="S159" s="63">
        <f t="shared" si="10"/>
      </c>
      <c r="T159" s="64" cm="1">
        <f t="array" ref="T159:T159">_xlfn.XLOOKUP(B159,'系统-原始（副本）'!A:A,'系统-原始（副本）'!B:B)</f>
      </c>
      <c r="U159" s="63" cm="1">
        <f t="array" ref="U159:U159">_xlfn.XLOOKUP(N159,'OA名单'!B:B,'OA名单'!E:E)</f>
      </c>
      <c r="V159" s="63">
        <f t="shared" si="12"/>
      </c>
      <c r="W159" s="71"/>
      <c r="X159" s="66"/>
      <c r="Y159" s="66"/>
    </row>
    <row hidden="true" r="160">
      <c r="A160" s="66"/>
      <c r="B160" s="66" t="s">
        <v>13093</v>
      </c>
      <c r="C160" s="67" t="s">
        <v>12713</v>
      </c>
      <c r="D160" s="67" t="s">
        <v>12714</v>
      </c>
      <c r="E160" s="69" t="s">
        <v>12776</v>
      </c>
      <c r="F160" s="70" t="s">
        <v>13032</v>
      </c>
      <c r="G160" s="66" t="s">
        <v>13094</v>
      </c>
      <c r="H160" s="66" t="s">
        <v>13095</v>
      </c>
      <c r="I160" s="68">
        <v>1.286492</v>
      </c>
      <c r="J160" s="69">
        <v>1.26</v>
      </c>
      <c r="K160" s="66">
        <v>1.26</v>
      </c>
      <c r="L160" s="66">
        <v>0</v>
      </c>
      <c r="M160" s="66">
        <v>0</v>
      </c>
      <c r="N160" s="63" cm="1">
        <f t="array" ref="N160:N160">_xlfn.XLOOKUP(H160,'OA名单'!C:C,'OA名单'!B:B,1)</f>
      </c>
      <c r="O160" s="63">
        <f t="shared" si="8"/>
      </c>
      <c r="P160" s="63" cm="1">
        <f t="array" ref="P160:P160">_xlfn.XLOOKUP(N160,'OA名单'!B:B,'OA名单'!G:G)</f>
      </c>
      <c r="Q160" s="63">
        <f t="shared" si="11"/>
      </c>
      <c r="R160" s="63" cm="1">
        <f t="array" ref="R160:R160">_xlfn.XLOOKUP(B160,'OA名单'!B:B,'OA名单'!F:F)</f>
      </c>
      <c r="S160" s="63">
        <f t="shared" si="10"/>
      </c>
      <c r="T160" s="64" cm="1">
        <f t="array" ref="T160:T160">_xlfn.XLOOKUP(B160,'系统-原始（副本）'!A:A,'系统-原始（副本）'!B:B)</f>
      </c>
      <c r="U160" s="63" cm="1">
        <f t="array" ref="U160:U160">_xlfn.XLOOKUP(N160,'OA名单'!B:B,'OA名单'!E:E)</f>
      </c>
      <c r="V160" s="63">
        <f t="shared" si="12"/>
      </c>
      <c r="W160" s="71"/>
      <c r="X160" s="66"/>
      <c r="Y160" s="66"/>
    </row>
    <row hidden="true" r="161">
      <c r="A161" s="66"/>
      <c r="B161" s="66" t="s">
        <v>13096</v>
      </c>
      <c r="C161" s="67" t="s">
        <v>12713</v>
      </c>
      <c r="D161" s="67" t="s">
        <v>12714</v>
      </c>
      <c r="E161" s="69" t="s">
        <v>13097</v>
      </c>
      <c r="F161" s="70" t="s">
        <v>13098</v>
      </c>
      <c r="G161" s="66" t="s">
        <v>13099</v>
      </c>
      <c r="H161" s="66" t="s">
        <v>13100</v>
      </c>
      <c r="I161" s="68">
        <v>0.016</v>
      </c>
      <c r="J161" s="69">
        <v>1.25</v>
      </c>
      <c r="K161" s="66">
        <v>1.25</v>
      </c>
      <c r="L161" s="66">
        <v>5000</v>
      </c>
      <c r="M161" s="66">
        <v>5000</v>
      </c>
      <c r="N161" s="63" cm="1">
        <f t="array" ref="N161:N161">_xlfn.XLOOKUP(H161,'OA名单'!C:C,'OA名单'!B:B,1)</f>
      </c>
      <c r="O161" s="63">
        <f t="shared" si="8"/>
      </c>
      <c r="P161" s="63" cm="1">
        <f t="array" ref="P161:P161">_xlfn.XLOOKUP(N161,'OA名单'!B:B,'OA名单'!G:G)</f>
      </c>
      <c r="Q161" s="63">
        <f t="shared" si="11"/>
      </c>
      <c r="R161" s="63" cm="1">
        <f t="array" ref="R161:R161">_xlfn.XLOOKUP(B161,'OA名单'!B:B,'OA名单'!F:F)</f>
      </c>
      <c r="S161" s="63">
        <f t="shared" si="10"/>
      </c>
      <c r="T161" s="64" cm="1">
        <f t="array" ref="T161:T161">_xlfn.XLOOKUP(B161,'系统-原始（副本）'!A:A,'系统-原始（副本）'!B:B)</f>
      </c>
      <c r="U161" s="63" cm="1">
        <f t="array" ref="U161:U161">_xlfn.XLOOKUP(N161,'OA名单'!B:B,'OA名单'!E:E)</f>
      </c>
      <c r="V161" s="63">
        <f t="shared" si="12"/>
      </c>
      <c r="W161" s="71"/>
      <c r="X161" s="66"/>
      <c r="Y161" s="66"/>
    </row>
    <row hidden="true" r="162">
      <c r="A162" s="66"/>
      <c r="B162" s="66" t="s">
        <v>13101</v>
      </c>
      <c r="C162" s="67" t="s">
        <v>12713</v>
      </c>
      <c r="D162" s="67" t="s">
        <v>12714</v>
      </c>
      <c r="E162" s="69" t="s">
        <v>12715</v>
      </c>
      <c r="F162" s="69" t="s">
        <v>12716</v>
      </c>
      <c r="G162" s="66" t="s">
        <v>13102</v>
      </c>
      <c r="H162" s="66" t="s">
        <v>13103</v>
      </c>
      <c r="I162" s="68">
        <v>1.0772</v>
      </c>
      <c r="J162" s="69">
        <v>1.24</v>
      </c>
      <c r="K162" s="66">
        <v>1.24</v>
      </c>
      <c r="L162" s="66">
        <v>8000</v>
      </c>
      <c r="M162" s="66">
        <v>5000</v>
      </c>
      <c r="N162" s="63" cm="1">
        <f t="array" ref="N162:N162">_xlfn.XLOOKUP(H162,'OA名单'!C:C,'OA名单'!B:B,1)</f>
      </c>
      <c r="O162" s="63">
        <f t="shared" si="8"/>
      </c>
      <c r="P162" s="63" cm="1">
        <f t="array" ref="P162:P162">_xlfn.XLOOKUP(N162,'OA名单'!B:B,'OA名单'!G:G)</f>
      </c>
      <c r="Q162" s="63">
        <f t="shared" si="11"/>
      </c>
      <c r="R162" s="63" cm="1">
        <f t="array" ref="R162:R162">_xlfn.XLOOKUP(B162,'OA名单'!B:B,'OA名单'!F:F)</f>
      </c>
      <c r="S162" s="63">
        <f t="shared" si="10"/>
      </c>
      <c r="T162" s="64" cm="1">
        <f t="array" ref="T162:T162">_xlfn.XLOOKUP(B162,'系统-原始（副本）'!A:A,'系统-原始（副本）'!B:B)</f>
      </c>
      <c r="U162" s="63" cm="1">
        <f t="array" ref="U162:U162">_xlfn.XLOOKUP(N162,'OA名单'!B:B,'OA名单'!E:E)</f>
      </c>
      <c r="V162" s="63">
        <f t="shared" si="12"/>
      </c>
      <c r="W162" s="71"/>
      <c r="X162" s="66"/>
      <c r="Y162" s="66"/>
    </row>
    <row hidden="true" r="163">
      <c r="A163" s="66"/>
      <c r="B163" s="66" t="s">
        <v>13104</v>
      </c>
      <c r="C163" s="67" t="s">
        <v>12713</v>
      </c>
      <c r="D163" s="67" t="s">
        <v>12714</v>
      </c>
      <c r="E163" s="69" t="s">
        <v>12715</v>
      </c>
      <c r="F163" s="69" t="s">
        <v>13020</v>
      </c>
      <c r="G163" s="66" t="s">
        <v>13079</v>
      </c>
      <c r="H163" s="66" t="s">
        <v>13105</v>
      </c>
      <c r="I163" s="68">
        <v>1.304</v>
      </c>
      <c r="J163" s="69">
        <v>1.24</v>
      </c>
      <c r="K163" s="66">
        <v>1.24</v>
      </c>
      <c r="L163" s="66">
        <v>5803.99</v>
      </c>
      <c r="M163" s="66">
        <v>5000</v>
      </c>
      <c r="N163" s="63" cm="1">
        <f t="array" ref="N163:N163">_xlfn.XLOOKUP(H163,'OA名单'!C:C,'OA名单'!B:B,1)</f>
      </c>
      <c r="O163" s="63">
        <f t="shared" si="8"/>
      </c>
      <c r="P163" s="63" cm="1">
        <f t="array" ref="P163:P163">_xlfn.XLOOKUP(N163,'OA名单'!B:B,'OA名单'!G:G)</f>
      </c>
      <c r="Q163" s="63">
        <f t="shared" si="11"/>
      </c>
      <c r="R163" s="70" cm="1">
        <f t="array" ref="R163:R163">_xlfn.XLOOKUP(B163,'OA名单'!B:B,'OA名单'!F:F)</f>
      </c>
      <c r="S163" s="63">
        <f t="shared" si="10"/>
      </c>
      <c r="T163" s="64" cm="1">
        <f t="array" ref="T163:T163">_xlfn.XLOOKUP(B163,'系统-原始（副本）'!A:A,'系统-原始（副本）'!B:B)</f>
      </c>
      <c r="U163" s="63" cm="1">
        <f t="array" ref="U163:U163">_xlfn.XLOOKUP(N163,'OA名单'!B:B,'OA名单'!E:E)</f>
      </c>
      <c r="V163" s="63">
        <f t="shared" si="12"/>
      </c>
      <c r="W163" s="71"/>
      <c r="X163" s="66"/>
      <c r="Y163" s="66"/>
    </row>
    <row hidden="true" r="164">
      <c r="A164" s="66"/>
      <c r="B164" s="66" t="s">
        <v>13106</v>
      </c>
      <c r="C164" s="67" t="s">
        <v>12713</v>
      </c>
      <c r="D164" s="67" t="s">
        <v>12714</v>
      </c>
      <c r="E164" s="69" t="s">
        <v>12776</v>
      </c>
      <c r="F164" s="69" t="s">
        <v>13038</v>
      </c>
      <c r="G164" s="66" t="s">
        <v>13107</v>
      </c>
      <c r="H164" s="66" t="s">
        <v>13108</v>
      </c>
      <c r="I164" s="68">
        <v>1.39</v>
      </c>
      <c r="J164" s="69">
        <v>1.24</v>
      </c>
      <c r="K164" s="66">
        <v>1.24</v>
      </c>
      <c r="L164" s="66">
        <v>3504</v>
      </c>
      <c r="M164" s="66">
        <v>3000</v>
      </c>
      <c r="N164" s="63" cm="1">
        <f t="array" ref="N164:N164">_xlfn.XLOOKUP(H164,'OA名单'!C:C,'OA名单'!B:B,1)</f>
      </c>
      <c r="O164" s="63">
        <f t="shared" si="8"/>
      </c>
      <c r="P164" s="63" cm="1">
        <f t="array" ref="P164:P164">_xlfn.XLOOKUP(N164,'OA名单'!B:B,'OA名单'!G:G)</f>
      </c>
      <c r="Q164" s="63">
        <f t="shared" si="11"/>
      </c>
      <c r="R164" s="70" cm="1">
        <f t="array" ref="R164:R164">_xlfn.XLOOKUP(B164,'OA名单'!B:B,'OA名单'!F:F)</f>
      </c>
      <c r="S164" s="63">
        <f t="shared" si="10"/>
      </c>
      <c r="T164" s="64" cm="1">
        <f t="array" ref="T164:T164">_xlfn.XLOOKUP(B164,'系统-原始（副本）'!A:A,'系统-原始（副本）'!B:B)</f>
      </c>
      <c r="U164" s="63" cm="1">
        <f t="array" ref="U164:U164">_xlfn.XLOOKUP(N164,'OA名单'!B:B,'OA名单'!E:E)</f>
      </c>
      <c r="V164" s="63">
        <f t="shared" si="12"/>
      </c>
      <c r="W164" s="71"/>
      <c r="X164" s="66"/>
      <c r="Y164" s="66"/>
    </row>
    <row hidden="true" r="165">
      <c r="A165" s="66"/>
      <c r="B165" s="66" t="s">
        <v>13109</v>
      </c>
      <c r="C165" s="67" t="s">
        <v>12713</v>
      </c>
      <c r="D165" s="67" t="s">
        <v>12714</v>
      </c>
      <c r="E165" s="69" t="s">
        <v>13027</v>
      </c>
      <c r="F165" s="69" t="s">
        <v>13110</v>
      </c>
      <c r="G165" s="66" t="s">
        <v>13111</v>
      </c>
      <c r="H165" s="66" t="s">
        <v>13112</v>
      </c>
      <c r="I165" s="68">
        <v>1.212424</v>
      </c>
      <c r="J165" s="69">
        <v>1.21</v>
      </c>
      <c r="K165" s="66">
        <v>1.21</v>
      </c>
      <c r="L165" s="66">
        <v>4000</v>
      </c>
      <c r="M165" s="66">
        <v>3000</v>
      </c>
      <c r="N165" s="63" cm="1">
        <f t="array" ref="N165:N165">_xlfn.XLOOKUP(H165,'OA名单'!C:C,'OA名单'!B:B,1)</f>
      </c>
      <c r="O165" s="63">
        <f t="shared" si="8"/>
      </c>
      <c r="P165" s="63" cm="1">
        <f t="array" ref="P165:P165">_xlfn.XLOOKUP(N165,'OA名单'!B:B,'OA名单'!G:G)</f>
      </c>
      <c r="Q165" s="63">
        <f t="shared" si="11"/>
      </c>
      <c r="R165" s="70" cm="1">
        <f t="array" ref="R165:R165">_xlfn.XLOOKUP(B165,'OA名单'!B:B,'OA名单'!F:F)</f>
      </c>
      <c r="S165" s="63">
        <f t="shared" si="10"/>
      </c>
      <c r="T165" s="64" cm="1">
        <f t="array" ref="T165:T165">_xlfn.XLOOKUP(B165,'系统-原始（副本）'!A:A,'系统-原始（副本）'!B:B)</f>
      </c>
      <c r="U165" s="63" cm="1">
        <f t="array" ref="U165:U165">_xlfn.XLOOKUP(N165,'OA名单'!B:B,'OA名单'!E:E)</f>
      </c>
      <c r="V165" s="63">
        <f t="shared" si="12"/>
      </c>
      <c r="W165" s="71"/>
      <c r="X165" s="66"/>
      <c r="Y165" s="66"/>
    </row>
    <row hidden="true" r="166">
      <c r="A166" s="66"/>
      <c r="B166" s="66" t="s">
        <v>13113</v>
      </c>
      <c r="C166" s="67" t="s">
        <v>12713</v>
      </c>
      <c r="D166" s="67" t="s">
        <v>12714</v>
      </c>
      <c r="E166" s="69" t="s">
        <v>13011</v>
      </c>
      <c r="F166" s="69" t="s">
        <v>13042</v>
      </c>
      <c r="G166" s="66" t="s">
        <v>13061</v>
      </c>
      <c r="H166" s="66" t="s">
        <v>13114</v>
      </c>
      <c r="I166" s="68">
        <v>0.916098</v>
      </c>
      <c r="J166" s="69">
        <v>1.21</v>
      </c>
      <c r="K166" s="66">
        <v>1.21</v>
      </c>
      <c r="L166" s="66">
        <v>5952.89</v>
      </c>
      <c r="M166" s="66">
        <v>5000</v>
      </c>
      <c r="N166" s="63" cm="1">
        <f t="array" ref="N166:N166">_xlfn.XLOOKUP(H166,'OA名单'!C:C,'OA名单'!B:B,1)</f>
      </c>
      <c r="O166" s="63">
        <f t="shared" si="8"/>
      </c>
      <c r="P166" s="63" cm="1">
        <f t="array" ref="P166:P166">_xlfn.XLOOKUP(N166,'OA名单'!B:B,'OA名单'!G:G)</f>
      </c>
      <c r="Q166" s="63">
        <f t="shared" si="11"/>
      </c>
      <c r="R166" s="70" cm="1">
        <f t="array" ref="R166:R166">_xlfn.XLOOKUP(B166,'OA名单'!B:B,'OA名单'!F:F)</f>
      </c>
      <c r="S166" s="63">
        <f t="shared" si="10"/>
      </c>
      <c r="T166" s="64" cm="1">
        <f t="array" ref="T166:T166">_xlfn.XLOOKUP(B166,'系统-原始（副本）'!A:A,'系统-原始（副本）'!B:B)</f>
      </c>
      <c r="U166" s="63" cm="1">
        <f t="array" ref="U166:U166">_xlfn.XLOOKUP(N166,'OA名单'!B:B,'OA名单'!E:E)</f>
      </c>
      <c r="V166" s="63">
        <f t="shared" si="12"/>
      </c>
      <c r="W166" s="71"/>
      <c r="X166" s="66"/>
      <c r="Y166" s="66"/>
    </row>
    <row hidden="true" r="167">
      <c r="A167" s="66"/>
      <c r="B167" s="66" t="s">
        <v>13115</v>
      </c>
      <c r="C167" s="67" t="s">
        <v>12713</v>
      </c>
      <c r="D167" s="67" t="s">
        <v>12714</v>
      </c>
      <c r="E167" s="69" t="s">
        <v>12749</v>
      </c>
      <c r="F167" s="69" t="s">
        <v>13116</v>
      </c>
      <c r="G167" s="66" t="s">
        <v>13117</v>
      </c>
      <c r="H167" s="66" t="s">
        <v>13118</v>
      </c>
      <c r="I167" s="68">
        <v>1.101</v>
      </c>
      <c r="J167" s="69">
        <v>1.2</v>
      </c>
      <c r="K167" s="66">
        <v>1.2</v>
      </c>
      <c r="L167" s="66">
        <v>5400</v>
      </c>
      <c r="M167" s="66">
        <v>5000</v>
      </c>
      <c r="N167" s="63" cm="1">
        <f t="array" ref="N167:N167">_xlfn.XLOOKUP(H167,'OA名单'!C:C,'OA名单'!B:B,1)</f>
      </c>
      <c r="O167" s="63">
        <f t="shared" si="8"/>
      </c>
      <c r="P167" s="63" cm="1">
        <f t="array" ref="P167:P167">_xlfn.XLOOKUP(N167,'OA名单'!B:B,'OA名单'!G:G)</f>
      </c>
      <c r="Q167" s="63">
        <f t="shared" si="11"/>
      </c>
      <c r="R167" s="70" cm="1">
        <f t="array" ref="R167:R167">_xlfn.XLOOKUP(B167,'OA名单'!B:B,'OA名单'!F:F)</f>
      </c>
      <c r="S167" s="63">
        <f t="shared" si="10"/>
      </c>
      <c r="T167" s="64" cm="1">
        <f t="array" ref="T167:T167">_xlfn.XLOOKUP(B167,'系统-原始（副本）'!A:A,'系统-原始（副本）'!B:B)</f>
      </c>
      <c r="U167" s="63" cm="1">
        <f t="array" ref="U167:U167">_xlfn.XLOOKUP(N167,'OA名单'!B:B,'OA名单'!E:E)</f>
      </c>
      <c r="V167" s="63">
        <f t="shared" si="12"/>
      </c>
      <c r="W167" s="71"/>
      <c r="X167" s="66"/>
      <c r="Y167" s="66"/>
    </row>
    <row hidden="true" r="168">
      <c r="A168" s="66"/>
      <c r="B168" s="66" t="s">
        <v>13119</v>
      </c>
      <c r="C168" s="67" t="s">
        <v>12713</v>
      </c>
      <c r="D168" s="67" t="s">
        <v>12714</v>
      </c>
      <c r="E168" s="69" t="s">
        <v>12749</v>
      </c>
      <c r="F168" s="69" t="s">
        <v>13120</v>
      </c>
      <c r="G168" s="66" t="s">
        <v>13121</v>
      </c>
      <c r="H168" s="66" t="s">
        <v>13122</v>
      </c>
      <c r="I168" s="68">
        <v>1.808762</v>
      </c>
      <c r="J168" s="69">
        <v>1.2</v>
      </c>
      <c r="K168" s="66">
        <v>1.2</v>
      </c>
      <c r="L168" s="66">
        <v>5400</v>
      </c>
      <c r="M168" s="66">
        <v>5000</v>
      </c>
      <c r="N168" s="63" cm="1">
        <f t="array" ref="N168:N168">_xlfn.XLOOKUP(H168,'OA名单'!C:C,'OA名单'!B:B,1)</f>
      </c>
      <c r="O168" s="63">
        <f t="shared" si="8"/>
      </c>
      <c r="P168" s="63" cm="1">
        <f t="array" ref="P168:P168">_xlfn.XLOOKUP(N168,'OA名单'!B:B,'OA名单'!G:G)</f>
      </c>
      <c r="Q168" s="63">
        <f t="shared" si="11"/>
      </c>
      <c r="R168" s="70" cm="1">
        <f t="array" ref="R168:R168">_xlfn.XLOOKUP(B168,'OA名单'!B:B,'OA名单'!F:F)</f>
      </c>
      <c r="S168" s="63">
        <f t="shared" si="10"/>
      </c>
      <c r="T168" s="64" cm="1">
        <f t="array" ref="T168:T168">_xlfn.XLOOKUP(B168,'系统-原始（副本）'!A:A,'系统-原始（副本）'!B:B)</f>
      </c>
      <c r="U168" s="63" cm="1">
        <f t="array" ref="U168:U168">_xlfn.XLOOKUP(N168,'OA名单'!B:B,'OA名单'!E:E)</f>
      </c>
      <c r="V168" s="63">
        <f t="shared" si="12"/>
      </c>
      <c r="W168" s="71"/>
      <c r="X168" s="66"/>
      <c r="Y168" s="66"/>
    </row>
    <row hidden="true" r="169">
      <c r="A169" s="66"/>
      <c r="B169" s="66" t="s">
        <v>13123</v>
      </c>
      <c r="C169" s="67" t="s">
        <v>12713</v>
      </c>
      <c r="D169" s="67" t="s">
        <v>12714</v>
      </c>
      <c r="E169" s="69" t="s">
        <v>12936</v>
      </c>
      <c r="F169" s="69" t="s">
        <v>13028</v>
      </c>
      <c r="G169" s="66" t="s">
        <v>13124</v>
      </c>
      <c r="H169" s="66" t="s">
        <v>13125</v>
      </c>
      <c r="I169" s="68">
        <v>1.2</v>
      </c>
      <c r="J169" s="69">
        <v>1.2</v>
      </c>
      <c r="K169" s="66">
        <v>1.2</v>
      </c>
      <c r="L169" s="66">
        <v>6000</v>
      </c>
      <c r="M169" s="66">
        <v>5000</v>
      </c>
      <c r="N169" s="63" cm="1">
        <f t="array" ref="N169:N169">_xlfn.XLOOKUP(H169,'OA名单'!C:C,'OA名单'!B:B,1)</f>
      </c>
      <c r="O169" s="63">
        <f t="shared" si="8"/>
      </c>
      <c r="P169" s="63" cm="1">
        <f t="array" ref="P169:P169">_xlfn.XLOOKUP(N169,'OA名单'!B:B,'OA名单'!G:G)</f>
      </c>
      <c r="Q169" s="63">
        <f t="shared" si="11"/>
      </c>
      <c r="R169" s="70" cm="1">
        <f t="array" ref="R169:R169">_xlfn.XLOOKUP(B169,'OA名单'!B:B,'OA名单'!F:F)</f>
      </c>
      <c r="S169" s="63">
        <f t="shared" si="10"/>
      </c>
      <c r="T169" s="64" cm="1">
        <f t="array" ref="T169:T169">_xlfn.XLOOKUP(B169,'系统-原始（副本）'!A:A,'系统-原始（副本）'!B:B)</f>
      </c>
      <c r="U169" s="63" cm="1">
        <f t="array" ref="U169:U169">_xlfn.XLOOKUP(N169,'OA名单'!B:B,'OA名单'!E:E)</f>
      </c>
      <c r="V169" s="63">
        <f t="shared" si="12"/>
      </c>
      <c r="W169" s="71"/>
      <c r="X169" s="66"/>
      <c r="Y169" s="66"/>
    </row>
    <row hidden="true" r="170">
      <c r="A170" s="66"/>
      <c r="B170" s="66" t="s">
        <v>13126</v>
      </c>
      <c r="C170" s="67" t="s">
        <v>12713</v>
      </c>
      <c r="D170" s="67" t="s">
        <v>12714</v>
      </c>
      <c r="E170" s="66" t="s">
        <v>12749</v>
      </c>
      <c r="F170" s="67" t="s">
        <v>13120</v>
      </c>
      <c r="G170" s="66" t="s">
        <v>13067</v>
      </c>
      <c r="H170" s="66" t="s">
        <v>13127</v>
      </c>
      <c r="I170" s="68">
        <v>1.009</v>
      </c>
      <c r="J170" s="69">
        <v>1.2</v>
      </c>
      <c r="K170" s="66">
        <v>1.2</v>
      </c>
      <c r="L170" s="66">
        <v>4000</v>
      </c>
      <c r="M170" s="66">
        <v>3000</v>
      </c>
      <c r="N170" s="63" cm="1">
        <f t="array" ref="N170:N170">_xlfn.XLOOKUP(H170,'OA名单'!C:C,'OA名单'!B:B,1)</f>
      </c>
      <c r="O170" s="63">
        <f t="shared" si="8"/>
      </c>
      <c r="P170" s="63" cm="1">
        <f t="array" ref="P170:P170">_xlfn.XLOOKUP(N170,'OA名单'!B:B,'OA名单'!G:G)</f>
      </c>
      <c r="Q170" s="63">
        <f t="shared" si="11"/>
      </c>
      <c r="R170" s="63" cm="1">
        <f t="array" ref="R170:R170">_xlfn.XLOOKUP(B170,'OA名单'!B:B,'OA名单'!F:F)</f>
      </c>
      <c r="S170" s="63">
        <f t="shared" si="10"/>
      </c>
      <c r="T170" s="64" cm="1">
        <f t="array" ref="T170:T170">_xlfn.XLOOKUP(B170,'系统-原始（副本）'!A:A,'系统-原始（副本）'!B:B)</f>
      </c>
      <c r="U170" s="63" cm="1">
        <f t="array" ref="U170:U170">_xlfn.XLOOKUP(N170,'OA名单'!B:B,'OA名单'!E:E)</f>
      </c>
      <c r="V170" s="63">
        <f t="shared" si="12"/>
      </c>
      <c r="W170" s="71"/>
      <c r="X170" s="66"/>
      <c r="Y170" s="66"/>
    </row>
    <row hidden="true" r="171">
      <c r="A171" s="66"/>
      <c r="B171" s="66" t="s">
        <v>13128</v>
      </c>
      <c r="C171" s="67" t="s">
        <v>12713</v>
      </c>
      <c r="D171" s="67" t="s">
        <v>12714</v>
      </c>
      <c r="E171" s="66" t="s">
        <v>12936</v>
      </c>
      <c r="F171" s="67" t="s">
        <v>13028</v>
      </c>
      <c r="G171" s="66" t="s">
        <v>13067</v>
      </c>
      <c r="H171" s="66" t="s">
        <v>13129</v>
      </c>
      <c r="I171" s="68">
        <v>1.0894</v>
      </c>
      <c r="J171" s="69">
        <v>1.2</v>
      </c>
      <c r="K171" s="66">
        <v>1.2</v>
      </c>
      <c r="L171" s="66">
        <v>4000</v>
      </c>
      <c r="M171" s="66">
        <v>3000</v>
      </c>
      <c r="N171" s="63" cm="1">
        <f t="array" ref="N171:N171">_xlfn.XLOOKUP(H171,'OA名单'!C:C,'OA名单'!B:B,1)</f>
      </c>
      <c r="O171" s="63">
        <f t="shared" si="8"/>
      </c>
      <c r="P171" s="63" cm="1">
        <f t="array" ref="P171:P171">_xlfn.XLOOKUP(N171,'OA名单'!B:B,'OA名单'!G:G)</f>
      </c>
      <c r="Q171" s="63">
        <f t="shared" si="11"/>
      </c>
      <c r="R171" s="63" cm="1">
        <f t="array" ref="R171:R171">_xlfn.XLOOKUP(B171,'OA名单'!B:B,'OA名单'!F:F)</f>
      </c>
      <c r="S171" s="63">
        <f t="shared" si="10"/>
      </c>
      <c r="T171" s="64" cm="1">
        <f t="array" ref="T171:T171">_xlfn.XLOOKUP(B171,'系统-原始（副本）'!A:A,'系统-原始（副本）'!B:B)</f>
      </c>
      <c r="U171" s="63" cm="1">
        <f t="array" ref="U171:U171">_xlfn.XLOOKUP(N171,'OA名单'!B:B,'OA名单'!E:E)</f>
      </c>
      <c r="V171" s="63">
        <f t="shared" si="12"/>
      </c>
      <c r="W171" s="71"/>
      <c r="X171" s="66"/>
      <c r="Y171" s="66"/>
    </row>
    <row hidden="true" r="172">
      <c r="A172" s="66"/>
      <c r="B172" s="66"/>
      <c r="C172" s="67" t="s">
        <v>12713</v>
      </c>
      <c r="D172" s="67" t="s">
        <v>12714</v>
      </c>
      <c r="E172" s="66" t="s">
        <v>13097</v>
      </c>
      <c r="F172" s="66" t="s">
        <v>13130</v>
      </c>
      <c r="G172" s="66"/>
      <c r="H172" s="66" t="s">
        <v>13122</v>
      </c>
      <c r="I172" s="68">
        <v>1.2</v>
      </c>
      <c r="J172" s="69">
        <v>1.2</v>
      </c>
      <c r="K172" s="66">
        <v>1.2</v>
      </c>
      <c r="L172" s="66">
        <v>5400</v>
      </c>
      <c r="M172" s="66">
        <v>5000</v>
      </c>
      <c r="N172" s="63" cm="1">
        <f t="array" ref="N172:N172">_xlfn.XLOOKUP(H172,'OA名单'!C:C,'OA名单'!B:B,1)</f>
      </c>
      <c r="O172" s="63">
        <f t="shared" si="8"/>
      </c>
      <c r="P172" s="63" cm="1">
        <f t="array" ref="P172:P172">_xlfn.XLOOKUP(N172,'OA名单'!B:B,'OA名单'!G:G)</f>
      </c>
      <c r="Q172" s="63">
        <f t="shared" si="11"/>
      </c>
      <c r="R172" s="63" cm="1">
        <f t="array" ref="R172:R172">_xlfn.XLOOKUP(B172,'OA名单'!B:B,'OA名单'!F:F)</f>
      </c>
      <c r="S172" s="63">
        <f t="shared" si="10"/>
      </c>
      <c r="T172" s="70"/>
      <c r="U172" s="63" cm="1">
        <f t="array" ref="U172:U172">_xlfn.XLOOKUP(N172,'OA名单'!B:B,'OA名单'!E:E)</f>
      </c>
      <c r="V172" s="63">
        <f t="shared" si="12"/>
      </c>
      <c r="W172" s="71"/>
      <c r="X172" s="66"/>
      <c r="Y172" s="66"/>
    </row>
    <row hidden="true" r="173">
      <c r="A173" s="66"/>
      <c r="B173" s="66" t="s">
        <v>13131</v>
      </c>
      <c r="C173" s="67" t="s">
        <v>12713</v>
      </c>
      <c r="D173" s="67" t="s">
        <v>12714</v>
      </c>
      <c r="E173" s="69" t="s">
        <v>12749</v>
      </c>
      <c r="F173" s="69" t="s">
        <v>13132</v>
      </c>
      <c r="G173" s="66" t="s">
        <v>13133</v>
      </c>
      <c r="H173" s="66" t="s">
        <v>13134</v>
      </c>
      <c r="I173" s="68">
        <v>1.18696</v>
      </c>
      <c r="J173" s="69">
        <v>1.19</v>
      </c>
      <c r="K173" s="66">
        <v>1.19</v>
      </c>
      <c r="L173" s="66">
        <v>5200</v>
      </c>
      <c r="M173" s="66">
        <v>5000</v>
      </c>
      <c r="N173" s="63" cm="1">
        <f t="array" ref="N173:N173">_xlfn.XLOOKUP(H173,'OA名单'!C:C,'OA名单'!B:B,1)</f>
      </c>
      <c r="O173" s="63">
        <f t="shared" si="8"/>
      </c>
      <c r="P173" s="63" cm="1">
        <f t="array" ref="P173:P173">_xlfn.XLOOKUP(N173,'OA名单'!B:B,'OA名单'!G:G)</f>
      </c>
      <c r="Q173" s="63">
        <f t="shared" si="11"/>
      </c>
      <c r="R173" s="70" cm="1">
        <f t="array" ref="R173:R173">_xlfn.XLOOKUP(B173,'OA名单'!B:B,'OA名单'!F:F)</f>
      </c>
      <c r="S173" s="63">
        <f t="shared" si="10"/>
      </c>
      <c r="T173" s="64" cm="1">
        <f t="array" ref="T173:T173">_xlfn.XLOOKUP(B173,'系统-原始（副本）'!A:A,'系统-原始（副本）'!B:B)</f>
      </c>
      <c r="U173" s="63" cm="1">
        <f t="array" ref="U173:U173">_xlfn.XLOOKUP(N173,'OA名单'!B:B,'OA名单'!E:E)</f>
      </c>
      <c r="V173" s="63">
        <f t="shared" si="12"/>
      </c>
      <c r="W173" s="71"/>
      <c r="X173" s="66"/>
      <c r="Y173" s="66"/>
    </row>
    <row hidden="true" r="174">
      <c r="A174" s="66"/>
      <c r="B174" s="66" t="s">
        <v>13135</v>
      </c>
      <c r="C174" s="67" t="s">
        <v>12713</v>
      </c>
      <c r="D174" s="67" t="s">
        <v>12714</v>
      </c>
      <c r="E174" s="69" t="s">
        <v>12782</v>
      </c>
      <c r="F174" s="69" t="s">
        <v>13002</v>
      </c>
      <c r="G174" s="66" t="s">
        <v>13033</v>
      </c>
      <c r="H174" s="66" t="s">
        <v>13136</v>
      </c>
      <c r="I174" s="68">
        <v>1.191</v>
      </c>
      <c r="J174" s="69">
        <v>1.19</v>
      </c>
      <c r="K174" s="66">
        <v>1.19</v>
      </c>
      <c r="L174" s="66">
        <v>5400</v>
      </c>
      <c r="M174" s="66">
        <v>5000</v>
      </c>
      <c r="N174" s="63" cm="1">
        <f t="array" ref="N174:N174">_xlfn.XLOOKUP(H174,'OA名单'!C:C,'OA名单'!B:B,1)</f>
      </c>
      <c r="O174" s="63">
        <f t="shared" si="8"/>
      </c>
      <c r="P174" s="63" cm="1">
        <f t="array" ref="P174:P174">_xlfn.XLOOKUP(N174,'OA名单'!B:B,'OA名单'!G:G)</f>
      </c>
      <c r="Q174" s="63">
        <f t="shared" si="11"/>
      </c>
      <c r="R174" s="70" cm="1">
        <f t="array" ref="R174:R174">_xlfn.XLOOKUP(B174,'OA名单'!B:B,'OA名单'!F:F)</f>
      </c>
      <c r="S174" s="63">
        <f t="shared" si="10"/>
      </c>
      <c r="T174" s="64" cm="1">
        <f t="array" ref="T174:T174">_xlfn.XLOOKUP(B174,'系统-原始（副本）'!A:A,'系统-原始（副本）'!B:B)</f>
      </c>
      <c r="U174" s="63" cm="1">
        <f t="array" ref="U174:U174">_xlfn.XLOOKUP(N174,'OA名单'!B:B,'OA名单'!E:E)</f>
      </c>
      <c r="V174" s="63">
        <f t="shared" si="12"/>
      </c>
      <c r="W174" s="71"/>
      <c r="X174" s="66"/>
      <c r="Y174" s="66"/>
    </row>
    <row hidden="true" r="175">
      <c r="A175" s="66"/>
      <c r="B175" s="66" t="s">
        <v>13137</v>
      </c>
      <c r="C175" s="67" t="s">
        <v>12713</v>
      </c>
      <c r="D175" s="67" t="s">
        <v>12714</v>
      </c>
      <c r="E175" s="69" t="s">
        <v>13011</v>
      </c>
      <c r="F175" s="69" t="s">
        <v>13138</v>
      </c>
      <c r="G175" s="66" t="s">
        <v>13139</v>
      </c>
      <c r="H175" s="66" t="s">
        <v>13140</v>
      </c>
      <c r="I175" s="68">
        <v>2.44875</v>
      </c>
      <c r="J175" s="69">
        <v>1.19</v>
      </c>
      <c r="K175" s="66">
        <v>1.19</v>
      </c>
      <c r="L175" s="66">
        <v>6160</v>
      </c>
      <c r="M175" s="66">
        <v>5000</v>
      </c>
      <c r="N175" s="63" cm="1">
        <f t="array" ref="N175:N175">_xlfn.XLOOKUP(H175,'OA名单'!C:C,'OA名单'!B:B,1)</f>
      </c>
      <c r="O175" s="63">
        <f t="shared" si="8"/>
      </c>
      <c r="P175" s="63" cm="1">
        <f t="array" ref="P175:P175">_xlfn.XLOOKUP(N175,'OA名单'!B:B,'OA名单'!G:G)</f>
      </c>
      <c r="Q175" s="63">
        <f t="shared" si="11"/>
      </c>
      <c r="R175" s="70" cm="1">
        <f t="array" ref="R175:R175">_xlfn.XLOOKUP(B175,'OA名单'!B:B,'OA名单'!F:F)</f>
      </c>
      <c r="S175" s="63">
        <f t="shared" si="10"/>
      </c>
      <c r="T175" s="64" cm="1">
        <f t="array" ref="T175:T175">_xlfn.XLOOKUP(B175,'系统-原始（副本）'!A:A,'系统-原始（副本）'!B:B)</f>
      </c>
      <c r="U175" s="63" cm="1">
        <f t="array" ref="U175:U175">_xlfn.XLOOKUP(N175,'OA名单'!B:B,'OA名单'!E:E)</f>
      </c>
      <c r="V175" s="63">
        <f t="shared" si="12"/>
      </c>
      <c r="W175" s="71"/>
      <c r="X175" s="66"/>
      <c r="Y175" s="66"/>
    </row>
    <row hidden="true" r="176">
      <c r="A176" s="66"/>
      <c r="B176" s="66" t="s">
        <v>13141</v>
      </c>
      <c r="C176" s="67" t="s">
        <v>12713</v>
      </c>
      <c r="D176" s="67" t="s">
        <v>12714</v>
      </c>
      <c r="E176" s="69" t="s">
        <v>13011</v>
      </c>
      <c r="F176" s="69" t="s">
        <v>13042</v>
      </c>
      <c r="G176" s="66" t="s">
        <v>12751</v>
      </c>
      <c r="H176" s="66" t="s">
        <v>13142</v>
      </c>
      <c r="I176" s="68">
        <v>0.880912</v>
      </c>
      <c r="J176" s="69">
        <v>1.19</v>
      </c>
      <c r="K176" s="66">
        <v>1.19</v>
      </c>
      <c r="L176" s="66">
        <v>3653.62</v>
      </c>
      <c r="M176" s="66">
        <v>5000</v>
      </c>
      <c r="N176" s="63" cm="1">
        <f t="array" ref="N176:N176">_xlfn.XLOOKUP(H176,'OA名单'!C:C,'OA名单'!B:B,1)</f>
      </c>
      <c r="O176" s="63">
        <f t="shared" si="8"/>
      </c>
      <c r="P176" s="63" cm="1">
        <f t="array" ref="P176:P176">_xlfn.XLOOKUP(N176,'OA名单'!B:B,'OA名单'!G:G)</f>
      </c>
      <c r="Q176" s="63">
        <f t="shared" si="11"/>
      </c>
      <c r="R176" s="70" cm="1">
        <f t="array" ref="R176:R176">_xlfn.XLOOKUP(B176,'OA名单'!B:B,'OA名单'!F:F)</f>
      </c>
      <c r="S176" s="63">
        <f t="shared" si="10"/>
      </c>
      <c r="T176" s="64" cm="1">
        <f t="array" ref="T176:T176">_xlfn.XLOOKUP(B176,'系统-原始（副本）'!A:A,'系统-原始（副本）'!B:B)</f>
      </c>
      <c r="U176" s="63" cm="1">
        <f t="array" ref="U176:U176">_xlfn.XLOOKUP(N176,'OA名单'!B:B,'OA名单'!E:E)</f>
      </c>
      <c r="V176" s="63">
        <f t="shared" si="12"/>
      </c>
      <c r="W176" s="71"/>
      <c r="X176" s="66"/>
      <c r="Y176" s="66"/>
    </row>
    <row hidden="true" r="177">
      <c r="A177" s="66"/>
      <c r="B177" s="66" t="s">
        <v>13143</v>
      </c>
      <c r="C177" s="67" t="s">
        <v>12713</v>
      </c>
      <c r="D177" s="67" t="s">
        <v>12714</v>
      </c>
      <c r="E177" s="69" t="s">
        <v>13011</v>
      </c>
      <c r="F177" s="69" t="s">
        <v>13042</v>
      </c>
      <c r="G177" s="66" t="s">
        <v>13043</v>
      </c>
      <c r="H177" s="66" t="s">
        <v>13144</v>
      </c>
      <c r="I177" s="68">
        <v>0.87908</v>
      </c>
      <c r="J177" s="69">
        <v>1.19</v>
      </c>
      <c r="K177" s="66">
        <v>1.19</v>
      </c>
      <c r="L177" s="66">
        <v>2316.82</v>
      </c>
      <c r="M177" s="66">
        <v>2000</v>
      </c>
      <c r="N177" s="63" cm="1">
        <f t="array" ref="N177:N177">_xlfn.XLOOKUP(H177,'OA名单'!C:C,'OA名单'!B:B,1)</f>
      </c>
      <c r="O177" s="63">
        <f t="shared" si="8"/>
      </c>
      <c r="P177" s="63" cm="1">
        <f t="array" ref="P177:P177">_xlfn.XLOOKUP(N177,'OA名单'!B:B,'OA名单'!G:G)</f>
      </c>
      <c r="Q177" s="63">
        <f t="shared" si="11"/>
      </c>
      <c r="R177" s="70" cm="1">
        <f t="array" ref="R177:R177">_xlfn.XLOOKUP(B177,'OA名单'!B:B,'OA名单'!F:F)</f>
      </c>
      <c r="S177" s="63">
        <f t="shared" si="10"/>
      </c>
      <c r="T177" s="64" cm="1">
        <f t="array" ref="T177:T177">_xlfn.XLOOKUP(B177,'系统-原始（副本）'!A:A,'系统-原始（副本）'!B:B)</f>
      </c>
      <c r="U177" s="63" cm="1">
        <f t="array" ref="U177:U177">_xlfn.XLOOKUP(N177,'OA名单'!B:B,'OA名单'!E:E)</f>
      </c>
      <c r="V177" s="63">
        <f t="shared" si="12"/>
      </c>
      <c r="W177" s="71"/>
      <c r="X177" s="66"/>
      <c r="Y177" s="66"/>
    </row>
    <row hidden="true" r="178">
      <c r="A178" s="66"/>
      <c r="B178" s="66"/>
      <c r="C178" s="67" t="s">
        <v>12713</v>
      </c>
      <c r="D178" s="67" t="s">
        <v>12714</v>
      </c>
      <c r="E178" s="66" t="s">
        <v>13011</v>
      </c>
      <c r="F178" s="66" t="s">
        <v>13042</v>
      </c>
      <c r="G178" s="66"/>
      <c r="H178" s="66" t="s">
        <v>13134</v>
      </c>
      <c r="I178" s="68">
        <v>1.187</v>
      </c>
      <c r="J178" s="69">
        <v>1.19</v>
      </c>
      <c r="K178" s="66">
        <v>1.19</v>
      </c>
      <c r="L178" s="66">
        <v>5200</v>
      </c>
      <c r="M178" s="66">
        <v>5000</v>
      </c>
      <c r="N178" s="63" cm="1">
        <f t="array" ref="N178:N178">_xlfn.XLOOKUP(H178,'OA名单'!C:C,'OA名单'!B:B,1)</f>
      </c>
      <c r="O178" s="63">
        <f t="shared" si="8"/>
      </c>
      <c r="P178" s="63" cm="1">
        <f t="array" ref="P178:P178">_xlfn.XLOOKUP(N178,'OA名单'!B:B,'OA名单'!G:G)</f>
      </c>
      <c r="Q178" s="63">
        <f t="shared" si="11"/>
      </c>
      <c r="R178" s="63" cm="1">
        <f t="array" ref="R178:R178">_xlfn.XLOOKUP(B178,'OA名单'!B:B,'OA名单'!F:F)</f>
      </c>
      <c r="S178" s="63">
        <f t="shared" si="10"/>
      </c>
      <c r="T178" s="70"/>
      <c r="U178" s="63" cm="1">
        <f t="array" ref="U178:U178">_xlfn.XLOOKUP(N178,'OA名单'!B:B,'OA名单'!E:E)</f>
      </c>
      <c r="V178" s="63">
        <f t="shared" si="12"/>
      </c>
      <c r="W178" s="71"/>
      <c r="X178" s="66"/>
      <c r="Y178" s="66"/>
    </row>
    <row hidden="true" r="179">
      <c r="A179" s="66"/>
      <c r="B179" s="66" t="s">
        <v>13145</v>
      </c>
      <c r="C179" s="67" t="s">
        <v>12713</v>
      </c>
      <c r="D179" s="67" t="s">
        <v>12714</v>
      </c>
      <c r="E179" s="69" t="s">
        <v>13146</v>
      </c>
      <c r="F179" s="69" t="s">
        <v>13147</v>
      </c>
      <c r="G179" s="66" t="s">
        <v>13148</v>
      </c>
      <c r="H179" s="66" t="s">
        <v>13149</v>
      </c>
      <c r="I179" s="68">
        <v>1.175</v>
      </c>
      <c r="J179" s="69">
        <v>1.18</v>
      </c>
      <c r="K179" s="66">
        <v>1.18</v>
      </c>
      <c r="L179" s="66">
        <v>4454.55</v>
      </c>
      <c r="M179" s="66">
        <v>3000</v>
      </c>
      <c r="N179" s="63" cm="1">
        <f t="array" ref="N179:N179">_xlfn.XLOOKUP(H179,'OA名单'!C:C,'OA名单'!B:B,1)</f>
      </c>
      <c r="O179" s="63">
        <f t="shared" si="8"/>
      </c>
      <c r="P179" s="63" cm="1">
        <f t="array" ref="P179:P179">_xlfn.XLOOKUP(N179,'OA名单'!B:B,'OA名单'!G:G)</f>
      </c>
      <c r="Q179" s="63">
        <f t="shared" si="11"/>
      </c>
      <c r="R179" s="70" cm="1">
        <f t="array" ref="R179:R179">_xlfn.XLOOKUP(B179,'OA名单'!B:B,'OA名单'!F:F)</f>
      </c>
      <c r="S179" s="63">
        <f t="shared" si="10"/>
      </c>
      <c r="T179" s="64" cm="1">
        <f t="array" ref="T179:T179">_xlfn.XLOOKUP(B179,'系统-原始（副本）'!A:A,'系统-原始（副本）'!B:B)</f>
      </c>
      <c r="U179" s="63" cm="1">
        <f t="array" ref="U179:U179">_xlfn.XLOOKUP(N179,'OA名单'!B:B,'OA名单'!E:E)</f>
      </c>
      <c r="V179" s="63">
        <f t="shared" si="12"/>
      </c>
      <c r="W179" s="71"/>
      <c r="X179" s="66"/>
      <c r="Y179" s="66"/>
    </row>
    <row hidden="true" r="180">
      <c r="A180" s="66"/>
      <c r="B180" s="66" t="s">
        <v>13150</v>
      </c>
      <c r="C180" s="67" t="s">
        <v>12713</v>
      </c>
      <c r="D180" s="67" t="s">
        <v>12714</v>
      </c>
      <c r="E180" s="69" t="s">
        <v>12749</v>
      </c>
      <c r="F180" s="69" t="s">
        <v>13116</v>
      </c>
      <c r="G180" s="66" t="s">
        <v>13151</v>
      </c>
      <c r="H180" s="66" t="s">
        <v>13152</v>
      </c>
      <c r="I180" s="68">
        <v>1.222222</v>
      </c>
      <c r="J180" s="69">
        <v>1.18</v>
      </c>
      <c r="K180" s="66">
        <v>1.18</v>
      </c>
      <c r="L180" s="66">
        <v>3461.54</v>
      </c>
      <c r="M180" s="66">
        <v>3000</v>
      </c>
      <c r="N180" s="63" cm="1">
        <f t="array" ref="N180:N180">_xlfn.XLOOKUP(H180,'OA名单'!C:C,'OA名单'!B:B,1)</f>
      </c>
      <c r="O180" s="63">
        <f t="shared" si="8"/>
      </c>
      <c r="P180" s="63" cm="1">
        <f t="array" ref="P180:P180">_xlfn.XLOOKUP(N180,'OA名单'!B:B,'OA名单'!G:G)</f>
      </c>
      <c r="Q180" s="63">
        <f t="shared" si="11"/>
      </c>
      <c r="R180" s="70" cm="1">
        <f t="array" ref="R180:R180">_xlfn.XLOOKUP(B180,'OA名单'!B:B,'OA名单'!F:F)</f>
      </c>
      <c r="S180" s="63">
        <f t="shared" si="10"/>
      </c>
      <c r="T180" s="64" cm="1">
        <f t="array" ref="T180:T180">_xlfn.XLOOKUP(B180,'系统-原始（副本）'!A:A,'系统-原始（副本）'!B:B)</f>
      </c>
      <c r="U180" s="63" cm="1">
        <f t="array" ref="U180:U180">_xlfn.XLOOKUP(N180,'OA名单'!B:B,'OA名单'!E:E)</f>
      </c>
      <c r="V180" s="63">
        <f t="shared" si="12"/>
      </c>
      <c r="W180" s="71"/>
      <c r="X180" s="66"/>
      <c r="Y180" s="66"/>
    </row>
    <row hidden="true" r="181">
      <c r="A181" s="66"/>
      <c r="B181" s="66" t="s">
        <v>13153</v>
      </c>
      <c r="C181" s="67" t="s">
        <v>12713</v>
      </c>
      <c r="D181" s="67" t="s">
        <v>12714</v>
      </c>
      <c r="E181" s="69" t="s">
        <v>13027</v>
      </c>
      <c r="F181" s="69" t="s">
        <v>13076</v>
      </c>
      <c r="G181" s="66" t="s">
        <v>13154</v>
      </c>
      <c r="H181" s="66" t="s">
        <v>13155</v>
      </c>
      <c r="I181" s="68">
        <v>1.120302</v>
      </c>
      <c r="J181" s="69">
        <v>1.18</v>
      </c>
      <c r="K181" s="66">
        <v>1.18</v>
      </c>
      <c r="L181" s="66">
        <v>8000</v>
      </c>
      <c r="M181" s="66">
        <v>5000</v>
      </c>
      <c r="N181" s="63" cm="1">
        <f t="array" ref="N181:N181">_xlfn.XLOOKUP(H181,'OA名单'!C:C,'OA名单'!B:B,1)</f>
      </c>
      <c r="O181" s="63">
        <f t="shared" si="8"/>
      </c>
      <c r="P181" s="63" cm="1">
        <f t="array" ref="P181:P181">_xlfn.XLOOKUP(N181,'OA名单'!B:B,'OA名单'!G:G)</f>
      </c>
      <c r="Q181" s="63">
        <f t="shared" si="11"/>
      </c>
      <c r="R181" s="70" cm="1">
        <f t="array" ref="R181:R181">_xlfn.XLOOKUP(B181,'OA名单'!B:B,'OA名单'!F:F)</f>
      </c>
      <c r="S181" s="63">
        <f t="shared" si="10"/>
      </c>
      <c r="T181" s="64" cm="1">
        <f t="array" ref="T181:T181">_xlfn.XLOOKUP(B181,'系统-原始（副本）'!A:A,'系统-原始（副本）'!B:B)</f>
      </c>
      <c r="U181" s="63" cm="1">
        <f t="array" ref="U181:U181">_xlfn.XLOOKUP(N181,'OA名单'!B:B,'OA名单'!E:E)</f>
      </c>
      <c r="V181" s="63">
        <f t="shared" si="12"/>
      </c>
      <c r="W181" s="71"/>
      <c r="X181" s="66"/>
      <c r="Y181" s="66"/>
    </row>
    <row hidden="true" r="182">
      <c r="A182" s="66"/>
      <c r="B182" s="66" t="s">
        <v>13156</v>
      </c>
      <c r="C182" s="67" t="s">
        <v>12713</v>
      </c>
      <c r="D182" s="67" t="s">
        <v>12714</v>
      </c>
      <c r="E182" s="69" t="s">
        <v>12749</v>
      </c>
      <c r="F182" s="69" t="s">
        <v>13157</v>
      </c>
      <c r="G182" s="66" t="s">
        <v>13158</v>
      </c>
      <c r="H182" s="66" t="s">
        <v>13159</v>
      </c>
      <c r="I182" s="68">
        <v>0.97492</v>
      </c>
      <c r="J182" s="69">
        <v>1.17</v>
      </c>
      <c r="K182" s="66">
        <v>1.17</v>
      </c>
      <c r="L182" s="66">
        <v>3627.91</v>
      </c>
      <c r="M182" s="66">
        <v>3000</v>
      </c>
      <c r="N182" s="63" cm="1">
        <f t="array" ref="N182:N182">_xlfn.XLOOKUP(H182,'OA名单'!C:C,'OA名单'!B:B,1)</f>
      </c>
      <c r="O182" s="63">
        <f t="shared" si="8"/>
      </c>
      <c r="P182" s="63" cm="1">
        <f t="array" ref="P182:P182">_xlfn.XLOOKUP(N182,'OA名单'!B:B,'OA名单'!G:G)</f>
      </c>
      <c r="Q182" s="63">
        <f t="shared" si="11"/>
      </c>
      <c r="R182" s="70" cm="1">
        <f t="array" ref="R182:R182">_xlfn.XLOOKUP(B182,'OA名单'!B:B,'OA名单'!F:F)</f>
      </c>
      <c r="S182" s="63">
        <f t="shared" si="10"/>
      </c>
      <c r="T182" s="64" cm="1">
        <f t="array" ref="T182:T182">_xlfn.XLOOKUP(B182,'系统-原始（副本）'!A:A,'系统-原始（副本）'!B:B)</f>
      </c>
      <c r="U182" s="63" cm="1">
        <f t="array" ref="U182:U182">_xlfn.XLOOKUP(N182,'OA名单'!B:B,'OA名单'!E:E)</f>
      </c>
      <c r="V182" s="63">
        <f t="shared" si="12"/>
      </c>
      <c r="W182" s="71"/>
      <c r="X182" s="66"/>
      <c r="Y182" s="66"/>
    </row>
    <row hidden="true" r="183">
      <c r="A183" s="66"/>
      <c r="B183" s="66" t="s">
        <v>13160</v>
      </c>
      <c r="C183" s="67" t="s">
        <v>12713</v>
      </c>
      <c r="D183" s="67" t="s">
        <v>12714</v>
      </c>
      <c r="E183" s="69" t="s">
        <v>13016</v>
      </c>
      <c r="F183" s="69" t="s">
        <v>13046</v>
      </c>
      <c r="G183" s="66" t="s">
        <v>13161</v>
      </c>
      <c r="H183" s="66" t="s">
        <v>13162</v>
      </c>
      <c r="I183" s="68">
        <v>1</v>
      </c>
      <c r="J183" s="69">
        <v>1.17</v>
      </c>
      <c r="K183" s="66">
        <v>1.17</v>
      </c>
      <c r="L183" s="66">
        <v>2457</v>
      </c>
      <c r="M183" s="66">
        <v>3000</v>
      </c>
      <c r="N183" s="63" cm="1">
        <f t="array" ref="N183:N183">_xlfn.XLOOKUP(H183,'OA名单'!C:C,'OA名单'!B:B,1)</f>
      </c>
      <c r="O183" s="63">
        <f t="shared" si="8"/>
      </c>
      <c r="P183" s="63" cm="1">
        <f t="array" ref="P183:P183">_xlfn.XLOOKUP(N183,'OA名单'!B:B,'OA名单'!G:G)</f>
      </c>
      <c r="Q183" s="63">
        <f t="shared" si="11"/>
      </c>
      <c r="R183" s="63" cm="1">
        <f t="array" ref="R183:R183">_xlfn.XLOOKUP(B183,'OA名单'!B:B,'OA名单'!F:F)</f>
      </c>
      <c r="S183" s="63">
        <f t="shared" si="10"/>
      </c>
      <c r="T183" s="64" cm="1">
        <f t="array" ref="T183:T183">_xlfn.XLOOKUP(B183,'系统-原始（副本）'!A:A,'系统-原始（副本）'!B:B)</f>
      </c>
      <c r="U183" s="63" cm="1">
        <f t="array" ref="U183:U183">_xlfn.XLOOKUP(N183,'OA名单'!B:B,'OA名单'!E:E)</f>
      </c>
      <c r="V183" s="63">
        <f t="shared" si="12"/>
      </c>
      <c r="W183" s="71"/>
      <c r="X183" s="66"/>
      <c r="Y183" s="66"/>
    </row>
    <row hidden="true" r="184">
      <c r="A184" s="66"/>
      <c r="B184" s="66" t="s">
        <v>13163</v>
      </c>
      <c r="C184" s="67" t="s">
        <v>12713</v>
      </c>
      <c r="D184" s="67" t="s">
        <v>12714</v>
      </c>
      <c r="E184" s="69" t="s">
        <v>12776</v>
      </c>
      <c r="F184" s="69" t="s">
        <v>12981</v>
      </c>
      <c r="G184" s="66" t="s">
        <v>13021</v>
      </c>
      <c r="H184" s="66" t="s">
        <v>13164</v>
      </c>
      <c r="I184" s="68">
        <v>1.449</v>
      </c>
      <c r="J184" s="69">
        <v>1.17</v>
      </c>
      <c r="K184" s="66">
        <v>1.17</v>
      </c>
      <c r="L184" s="66">
        <v>5520</v>
      </c>
      <c r="M184" s="66">
        <v>2000</v>
      </c>
      <c r="N184" s="63" cm="1">
        <f t="array" ref="N184:N184">_xlfn.XLOOKUP(H184,'OA名单'!C:C,'OA名单'!B:B,1)</f>
      </c>
      <c r="O184" s="63">
        <f t="shared" si="8"/>
      </c>
      <c r="P184" s="63" cm="1">
        <f t="array" ref="P184:P184">_xlfn.XLOOKUP(N184,'OA名单'!B:B,'OA名单'!G:G)</f>
      </c>
      <c r="Q184" s="63">
        <f t="shared" si="11"/>
      </c>
      <c r="R184" s="63" cm="1">
        <f t="array" ref="R184:R184">_xlfn.XLOOKUP(B184,'OA名单'!B:B,'OA名单'!F:F)</f>
      </c>
      <c r="S184" s="63">
        <f t="shared" si="10"/>
      </c>
      <c r="T184" s="64" cm="1">
        <f t="array" ref="T184:T184">_xlfn.XLOOKUP(B184,'系统-原始（副本）'!A:A,'系统-原始（副本）'!B:B)</f>
      </c>
      <c r="U184" s="63" cm="1">
        <f t="array" ref="U184:U184">_xlfn.XLOOKUP(N184,'OA名单'!B:B,'OA名单'!E:E)</f>
      </c>
      <c r="V184" s="63">
        <f t="shared" si="12"/>
      </c>
      <c r="W184" s="71"/>
      <c r="X184" s="66"/>
      <c r="Y184" s="66"/>
    </row>
    <row hidden="true" r="185">
      <c r="A185" s="66"/>
      <c r="B185" s="66" t="s">
        <v>13165</v>
      </c>
      <c r="C185" s="67" t="s">
        <v>12713</v>
      </c>
      <c r="D185" s="67" t="s">
        <v>12714</v>
      </c>
      <c r="E185" s="69" t="s">
        <v>13011</v>
      </c>
      <c r="F185" s="69" t="s">
        <v>13060</v>
      </c>
      <c r="G185" s="66" t="s">
        <v>12751</v>
      </c>
      <c r="H185" s="66" t="s">
        <v>13166</v>
      </c>
      <c r="I185" s="68">
        <v>1.21286</v>
      </c>
      <c r="J185" s="69">
        <v>1.17</v>
      </c>
      <c r="K185" s="66">
        <v>1.17</v>
      </c>
      <c r="L185" s="66">
        <v>4000</v>
      </c>
      <c r="M185" s="66">
        <v>5000</v>
      </c>
      <c r="N185" s="63" cm="1">
        <f t="array" ref="N185:N185">_xlfn.XLOOKUP(H185,'OA名单'!C:C,'OA名单'!B:B,1)</f>
      </c>
      <c r="O185" s="63">
        <f t="shared" si="8"/>
      </c>
      <c r="P185" s="63" cm="1">
        <f t="array" ref="P185:P185">_xlfn.XLOOKUP(N185,'OA名单'!B:B,'OA名单'!G:G)</f>
      </c>
      <c r="Q185" s="63">
        <f t="shared" si="11"/>
      </c>
      <c r="R185" s="63" cm="1">
        <f t="array" ref="R185:R185">_xlfn.XLOOKUP(B185,'OA名单'!B:B,'OA名单'!F:F)</f>
      </c>
      <c r="S185" s="63">
        <f t="shared" si="10"/>
      </c>
      <c r="T185" s="64" cm="1">
        <f t="array" ref="T185:T185">_xlfn.XLOOKUP(B185,'系统-原始（副本）'!A:A,'系统-原始（副本）'!B:B)</f>
      </c>
      <c r="U185" s="63" cm="1">
        <f t="array" ref="U185:U185">_xlfn.XLOOKUP(N185,'OA名单'!B:B,'OA名单'!E:E)</f>
      </c>
      <c r="V185" s="63">
        <f t="shared" si="12"/>
      </c>
      <c r="W185" s="71"/>
      <c r="X185" s="66"/>
      <c r="Y185" s="66"/>
    </row>
    <row hidden="true" r="186">
      <c r="A186" s="66"/>
      <c r="B186" s="66" t="s">
        <v>13167</v>
      </c>
      <c r="C186" s="67" t="s">
        <v>12713</v>
      </c>
      <c r="D186" s="67" t="s">
        <v>12714</v>
      </c>
      <c r="E186" s="69" t="s">
        <v>12715</v>
      </c>
      <c r="F186" s="69" t="s">
        <v>13020</v>
      </c>
      <c r="G186" s="66" t="s">
        <v>13079</v>
      </c>
      <c r="H186" s="66" t="s">
        <v>13168</v>
      </c>
      <c r="I186" s="68">
        <v>1.58961</v>
      </c>
      <c r="J186" s="69">
        <v>1.17</v>
      </c>
      <c r="K186" s="66">
        <v>1.17</v>
      </c>
      <c r="L186" s="66">
        <v>5758.6</v>
      </c>
      <c r="M186" s="66">
        <v>5000</v>
      </c>
      <c r="N186" s="63" cm="1">
        <f t="array" ref="N186:N186">_xlfn.XLOOKUP(H186,'OA名单'!C:C,'OA名单'!B:B,1)</f>
      </c>
      <c r="O186" s="63">
        <f t="shared" si="8"/>
      </c>
      <c r="P186" s="63" cm="1">
        <f t="array" ref="P186:P186">_xlfn.XLOOKUP(N186,'OA名单'!B:B,'OA名单'!G:G)</f>
      </c>
      <c r="Q186" s="63">
        <f t="shared" si="11"/>
      </c>
      <c r="R186" s="63" cm="1">
        <f t="array" ref="R186:R186">_xlfn.XLOOKUP(B186,'OA名单'!B:B,'OA名单'!F:F)</f>
      </c>
      <c r="S186" s="63">
        <f t="shared" si="10"/>
      </c>
      <c r="T186" s="64" cm="1">
        <f t="array" ref="T186:T186">_xlfn.XLOOKUP(B186,'系统-原始（副本）'!A:A,'系统-原始（副本）'!B:B)</f>
      </c>
      <c r="U186" s="63" cm="1">
        <f t="array" ref="U186:U186">_xlfn.XLOOKUP(N186,'OA名单'!B:B,'OA名单'!E:E)</f>
      </c>
      <c r="V186" s="63">
        <f t="shared" si="12"/>
      </c>
      <c r="W186" s="71"/>
      <c r="X186" s="66"/>
      <c r="Y186" s="66"/>
    </row>
    <row hidden="true" r="187">
      <c r="A187" s="66"/>
      <c r="B187" s="66" t="s">
        <v>13169</v>
      </c>
      <c r="C187" s="67" t="s">
        <v>12713</v>
      </c>
      <c r="D187" s="67" t="s">
        <v>12714</v>
      </c>
      <c r="E187" s="69" t="s">
        <v>12936</v>
      </c>
      <c r="F187" s="69" t="s">
        <v>13170</v>
      </c>
      <c r="G187" s="66" t="s">
        <v>13171</v>
      </c>
      <c r="H187" s="66" t="s">
        <v>13172</v>
      </c>
      <c r="I187" s="68">
        <v>1.172</v>
      </c>
      <c r="J187" s="69">
        <v>1.17</v>
      </c>
      <c r="K187" s="66">
        <v>1.17</v>
      </c>
      <c r="L187" s="66">
        <v>6460</v>
      </c>
      <c r="M187" s="66">
        <v>3000</v>
      </c>
      <c r="N187" s="63" cm="1">
        <f t="array" ref="N187:N187">_xlfn.XLOOKUP(H187,'OA名单'!C:C,'OA名单'!B:B,1)</f>
      </c>
      <c r="O187" s="63">
        <f t="shared" si="8"/>
      </c>
      <c r="P187" s="63" cm="1">
        <f t="array" ref="P187:P187">_xlfn.XLOOKUP(N187,'OA名单'!B:B,'OA名单'!G:G)</f>
      </c>
      <c r="Q187" s="63">
        <f t="shared" si="11"/>
      </c>
      <c r="R187" s="63" cm="1">
        <f t="array" ref="R187:R187">_xlfn.XLOOKUP(B187,'OA名单'!B:B,'OA名单'!F:F)</f>
      </c>
      <c r="S187" s="63">
        <f t="shared" si="10"/>
      </c>
      <c r="T187" s="64" cm="1">
        <f t="array" ref="T187:T187">_xlfn.XLOOKUP(B187,'系统-原始（副本）'!A:A,'系统-原始（副本）'!B:B)</f>
      </c>
      <c r="U187" s="63" cm="1">
        <f t="array" ref="U187:U187">_xlfn.XLOOKUP(N187,'OA名单'!B:B,'OA名单'!E:E)</f>
      </c>
      <c r="V187" s="63">
        <f t="shared" si="12"/>
      </c>
      <c r="W187" s="71"/>
      <c r="X187" s="66"/>
      <c r="Y187" s="66"/>
    </row>
    <row hidden="true" r="188">
      <c r="A188" s="66"/>
      <c r="B188" s="66" t="s">
        <v>13173</v>
      </c>
      <c r="C188" s="67" t="s">
        <v>12713</v>
      </c>
      <c r="D188" s="67" t="s">
        <v>12714</v>
      </c>
      <c r="E188" s="69" t="s">
        <v>13027</v>
      </c>
      <c r="F188" s="69" t="s">
        <v>13028</v>
      </c>
      <c r="G188" s="66" t="s">
        <v>13174</v>
      </c>
      <c r="H188" s="66" t="s">
        <v>13175</v>
      </c>
      <c r="I188" s="68">
        <v>0.7175</v>
      </c>
      <c r="J188" s="69">
        <v>1.17</v>
      </c>
      <c r="K188" s="66">
        <v>1.17</v>
      </c>
      <c r="L188" s="66">
        <v>6400</v>
      </c>
      <c r="M188" s="66">
        <v>4000</v>
      </c>
      <c r="N188" s="63" cm="1">
        <f t="array" ref="N188:N188">_xlfn.XLOOKUP(H188,'OA名单'!C:C,'OA名单'!B:B,1)</f>
      </c>
      <c r="O188" s="63">
        <f t="shared" si="8"/>
      </c>
      <c r="P188" s="63" cm="1">
        <f t="array" ref="P188:P188">_xlfn.XLOOKUP(N188,'OA名单'!B:B,'OA名单'!G:G)</f>
      </c>
      <c r="Q188" s="63">
        <f t="shared" si="11"/>
      </c>
      <c r="R188" s="63" cm="1">
        <f t="array" ref="R188:R188">_xlfn.XLOOKUP(B188,'OA名单'!B:B,'OA名单'!F:F)</f>
      </c>
      <c r="S188" s="63">
        <f t="shared" si="10"/>
      </c>
      <c r="T188" s="64" cm="1">
        <f t="array" ref="T188:T188">_xlfn.XLOOKUP(B188,'系统-原始（副本）'!A:A,'系统-原始（副本）'!B:B)</f>
      </c>
      <c r="U188" s="63" cm="1">
        <f t="array" ref="U188:U188">_xlfn.XLOOKUP(N188,'OA名单'!B:B,'OA名单'!E:E)</f>
      </c>
      <c r="V188" s="63">
        <f t="shared" si="12"/>
      </c>
      <c r="W188" s="71"/>
      <c r="X188" s="66"/>
      <c r="Y188" s="66"/>
    </row>
    <row hidden="true" r="189">
      <c r="A189" s="66"/>
      <c r="B189" s="66" t="s">
        <v>13176</v>
      </c>
      <c r="C189" s="67" t="s">
        <v>12713</v>
      </c>
      <c r="D189" s="67" t="s">
        <v>12714</v>
      </c>
      <c r="E189" s="69" t="s">
        <v>13177</v>
      </c>
      <c r="F189" s="69" t="s">
        <v>13178</v>
      </c>
      <c r="G189" s="66" t="s">
        <v>13179</v>
      </c>
      <c r="H189" s="66" t="s">
        <v>13180</v>
      </c>
      <c r="I189" s="68">
        <v>1.183</v>
      </c>
      <c r="J189" s="69">
        <v>1.16</v>
      </c>
      <c r="K189" s="66">
        <v>1.16</v>
      </c>
      <c r="L189" s="66">
        <v>8638.35</v>
      </c>
      <c r="M189" s="66">
        <v>6000</v>
      </c>
      <c r="N189" s="63" cm="1">
        <f t="array" ref="N189:N189">_xlfn.XLOOKUP(H189,'OA名单'!C:C,'OA名单'!B:B,1)</f>
      </c>
      <c r="O189" s="63">
        <f t="shared" si="8"/>
      </c>
      <c r="P189" s="63" cm="1">
        <f t="array" ref="P189:P189">_xlfn.XLOOKUP(N189,'OA名单'!B:B,'OA名单'!G:G)</f>
      </c>
      <c r="Q189" s="63">
        <f t="shared" si="11"/>
      </c>
      <c r="R189" s="63" cm="1">
        <f t="array" ref="R189:R189">_xlfn.XLOOKUP(B189,'OA名单'!B:B,'OA名单'!F:F)</f>
      </c>
      <c r="S189" s="63">
        <f t="shared" si="10"/>
      </c>
      <c r="T189" s="64" cm="1">
        <f t="array" ref="T189:T189">_xlfn.XLOOKUP(B189,'系统-原始（副本）'!A:A,'系统-原始（副本）'!B:B)</f>
      </c>
      <c r="U189" s="63" cm="1">
        <f t="array" ref="U189:U189">_xlfn.XLOOKUP(N189,'OA名单'!B:B,'OA名单'!E:E)</f>
      </c>
      <c r="V189" s="63">
        <f t="shared" si="12"/>
      </c>
      <c r="W189" s="71"/>
      <c r="X189" s="66"/>
      <c r="Y189" s="66"/>
    </row>
    <row hidden="true" r="190">
      <c r="A190" s="66"/>
      <c r="B190" s="66" t="s">
        <v>13181</v>
      </c>
      <c r="C190" s="67" t="s">
        <v>12713</v>
      </c>
      <c r="D190" s="67" t="s">
        <v>12714</v>
      </c>
      <c r="E190" s="69" t="s">
        <v>13182</v>
      </c>
      <c r="F190" s="69" t="s">
        <v>13183</v>
      </c>
      <c r="G190" s="66" t="s">
        <v>13184</v>
      </c>
      <c r="H190" s="66" t="s">
        <v>13185</v>
      </c>
      <c r="I190" s="68">
        <v>2.05047</v>
      </c>
      <c r="J190" s="69">
        <v>1.15</v>
      </c>
      <c r="K190" s="66">
        <v>1.15</v>
      </c>
      <c r="L190" s="66">
        <v>9291.67</v>
      </c>
      <c r="M190" s="66">
        <v>5000</v>
      </c>
      <c r="N190" s="63" cm="1">
        <f t="array" ref="N190:N190">_xlfn.XLOOKUP(H190,'OA名单'!C:C,'OA名单'!B:B,1)</f>
      </c>
      <c r="O190" s="63">
        <f t="shared" si="8"/>
      </c>
      <c r="P190" s="63" cm="1">
        <f t="array" ref="P190:P190">_xlfn.XLOOKUP(N190,'OA名单'!B:B,'OA名单'!G:G)</f>
      </c>
      <c r="Q190" s="63">
        <f t="shared" si="11"/>
      </c>
      <c r="R190" s="63" cm="1">
        <f t="array" ref="R190:R190">_xlfn.XLOOKUP(B190,'OA名单'!B:B,'OA名单'!F:F)</f>
      </c>
      <c r="S190" s="63">
        <f t="shared" si="10"/>
      </c>
      <c r="T190" s="64" cm="1">
        <f t="array" ref="T190:T190">_xlfn.XLOOKUP(B190,'系统-原始（副本）'!A:A,'系统-原始（副本）'!B:B)</f>
      </c>
      <c r="U190" s="63" cm="1">
        <f t="array" ref="U190:U190">_xlfn.XLOOKUP(N190,'OA名单'!B:B,'OA名单'!E:E)</f>
      </c>
      <c r="V190" s="63">
        <f t="shared" si="12"/>
      </c>
      <c r="W190" s="71"/>
      <c r="X190" s="66"/>
      <c r="Y190" s="66"/>
    </row>
    <row hidden="true" r="191">
      <c r="A191" s="66"/>
      <c r="B191" s="66" t="s">
        <v>13186</v>
      </c>
      <c r="C191" s="67" t="s">
        <v>12713</v>
      </c>
      <c r="D191" s="67" t="s">
        <v>12714</v>
      </c>
      <c r="E191" s="69" t="s">
        <v>12715</v>
      </c>
      <c r="F191" s="69" t="s">
        <v>13187</v>
      </c>
      <c r="G191" s="66" t="s">
        <v>12982</v>
      </c>
      <c r="H191" s="66" t="s">
        <v>13188</v>
      </c>
      <c r="I191" s="68">
        <v>1.094857</v>
      </c>
      <c r="J191" s="69">
        <v>1.15</v>
      </c>
      <c r="K191" s="66">
        <v>1.15</v>
      </c>
      <c r="L191" s="66">
        <v>2837.17</v>
      </c>
      <c r="M191" s="66">
        <v>1500</v>
      </c>
      <c r="N191" s="63" cm="1">
        <f t="array" ref="N191:N191">_xlfn.XLOOKUP(H191,'OA名单'!C:C,'OA名单'!B:B,1)</f>
      </c>
      <c r="O191" s="63">
        <f t="shared" si="8"/>
      </c>
      <c r="P191" s="63" cm="1">
        <f t="array" ref="P191:P191">_xlfn.XLOOKUP(N191,'OA名单'!B:B,'OA名单'!G:G)</f>
      </c>
      <c r="Q191" s="63">
        <f t="shared" si="11"/>
      </c>
      <c r="R191" s="63" cm="1">
        <f t="array" ref="R191:R191">_xlfn.XLOOKUP(B191,'OA名单'!B:B,'OA名单'!F:F)</f>
      </c>
      <c r="S191" s="63">
        <f t="shared" si="10"/>
      </c>
      <c r="T191" s="64" cm="1">
        <f t="array" ref="T191:T191">_xlfn.XLOOKUP(B191,'系统-原始（副本）'!A:A,'系统-原始（副本）'!B:B)</f>
      </c>
      <c r="U191" s="63" cm="1">
        <f t="array" ref="U191:U191">_xlfn.XLOOKUP(N191,'OA名单'!B:B,'OA名单'!E:E)</f>
      </c>
      <c r="V191" s="63">
        <f t="shared" si="12"/>
      </c>
      <c r="W191" s="71"/>
      <c r="X191" s="66"/>
      <c r="Y191" s="66"/>
    </row>
    <row hidden="true" r="192">
      <c r="A192" s="66"/>
      <c r="B192" s="66" t="s">
        <v>13189</v>
      </c>
      <c r="C192" s="67" t="s">
        <v>12713</v>
      </c>
      <c r="D192" s="67" t="s">
        <v>12714</v>
      </c>
      <c r="E192" s="69" t="s">
        <v>12715</v>
      </c>
      <c r="F192" s="69" t="s">
        <v>13190</v>
      </c>
      <c r="G192" s="66" t="s">
        <v>12982</v>
      </c>
      <c r="H192" s="66" t="s">
        <v>13191</v>
      </c>
      <c r="I192" s="68">
        <v>1.184278</v>
      </c>
      <c r="J192" s="69">
        <v>1.15</v>
      </c>
      <c r="K192" s="66">
        <v>1.15</v>
      </c>
      <c r="L192" s="66">
        <v>1549.52</v>
      </c>
      <c r="M192" s="66">
        <v>1500</v>
      </c>
      <c r="N192" s="63" cm="1">
        <f t="array" ref="N192:N192">_xlfn.XLOOKUP(H192,'OA名单'!C:C,'OA名单'!B:B,1)</f>
      </c>
      <c r="O192" s="63">
        <f t="shared" si="8"/>
      </c>
      <c r="P192" s="63" cm="1">
        <f t="array" ref="P192:P192">_xlfn.XLOOKUP(N192,'OA名单'!B:B,'OA名单'!G:G)</f>
      </c>
      <c r="Q192" s="63">
        <f t="shared" si="11"/>
      </c>
      <c r="R192" s="63" cm="1">
        <f t="array" ref="R192:R192">_xlfn.XLOOKUP(B192,'OA名单'!B:B,'OA名单'!F:F)</f>
      </c>
      <c r="S192" s="63">
        <f t="shared" si="10"/>
      </c>
      <c r="T192" s="64" cm="1">
        <f t="array" ref="T192:T192">_xlfn.XLOOKUP(B192,'系统-原始（副本）'!A:A,'系统-原始（副本）'!B:B)</f>
      </c>
      <c r="U192" s="63" cm="1">
        <f t="array" ref="U192:U192">_xlfn.XLOOKUP(N192,'OA名单'!B:B,'OA名单'!E:E)</f>
      </c>
      <c r="V192" s="63">
        <f t="shared" si="12"/>
      </c>
      <c r="W192" s="71"/>
      <c r="X192" s="66"/>
      <c r="Y192" s="66"/>
    </row>
    <row hidden="true" r="193">
      <c r="A193" s="66"/>
      <c r="B193" s="66" t="s">
        <v>13192</v>
      </c>
      <c r="C193" s="67" t="s">
        <v>12713</v>
      </c>
      <c r="D193" s="67" t="s">
        <v>12714</v>
      </c>
      <c r="E193" s="69" t="s">
        <v>12956</v>
      </c>
      <c r="F193" s="69" t="s">
        <v>12957</v>
      </c>
      <c r="G193" s="66" t="s">
        <v>12751</v>
      </c>
      <c r="H193" s="66" t="s">
        <v>13193</v>
      </c>
      <c r="I193" s="68">
        <v>1.366</v>
      </c>
      <c r="J193" s="69">
        <v>1.15</v>
      </c>
      <c r="K193" s="66">
        <v>1.15</v>
      </c>
      <c r="L193" s="66">
        <v>5575.59</v>
      </c>
      <c r="M193" s="66">
        <v>5000</v>
      </c>
      <c r="N193" s="63" cm="1">
        <f t="array" ref="N193:N193">_xlfn.XLOOKUP(H193,'OA名单'!C:C,'OA名单'!B:B,1)</f>
      </c>
      <c r="O193" s="63">
        <f t="shared" si="8"/>
      </c>
      <c r="P193" s="63" cm="1">
        <f t="array" ref="P193:P193">_xlfn.XLOOKUP(N193,'OA名单'!B:B,'OA名单'!G:G)</f>
      </c>
      <c r="Q193" s="63">
        <f t="shared" si="11"/>
      </c>
      <c r="R193" s="63" cm="1">
        <f t="array" ref="R193:R193">_xlfn.XLOOKUP(B193,'OA名单'!B:B,'OA名单'!F:F)</f>
      </c>
      <c r="S193" s="63">
        <f t="shared" si="10"/>
      </c>
      <c r="T193" s="64" cm="1">
        <f t="array" ref="T193:T193">_xlfn.XLOOKUP(B193,'系统-原始（副本）'!A:A,'系统-原始（副本）'!B:B)</f>
      </c>
      <c r="U193" s="63" cm="1">
        <f t="array" ref="U193:U193">_xlfn.XLOOKUP(N193,'OA名单'!B:B,'OA名单'!E:E)</f>
      </c>
      <c r="V193" s="63">
        <f t="shared" si="12"/>
      </c>
      <c r="W193" s="71"/>
      <c r="X193" s="66"/>
      <c r="Y193" s="66"/>
    </row>
    <row hidden="true" r="194">
      <c r="A194" s="66"/>
      <c r="B194" s="66" t="s">
        <v>13194</v>
      </c>
      <c r="C194" s="67" t="s">
        <v>12713</v>
      </c>
      <c r="D194" s="67" t="s">
        <v>12714</v>
      </c>
      <c r="E194" s="69" t="s">
        <v>13027</v>
      </c>
      <c r="F194" s="69" t="s">
        <v>13028</v>
      </c>
      <c r="G194" s="66" t="s">
        <v>13195</v>
      </c>
      <c r="H194" s="66" t="s">
        <v>13196</v>
      </c>
      <c r="I194" s="68">
        <v>0.6965</v>
      </c>
      <c r="J194" s="69">
        <v>1.15</v>
      </c>
      <c r="K194" s="66">
        <v>1.15</v>
      </c>
      <c r="L194" s="66">
        <v>4800</v>
      </c>
      <c r="M194" s="66">
        <v>4000</v>
      </c>
      <c r="N194" s="63" cm="1">
        <f t="array" ref="N194:N194">_xlfn.XLOOKUP(H194,'OA名单'!C:C,'OA名单'!B:B,1)</f>
      </c>
      <c r="O194" s="63">
        <f t="shared" si="8"/>
      </c>
      <c r="P194" s="63" cm="1">
        <f t="array" ref="P194:P194">_xlfn.XLOOKUP(N194,'OA名单'!B:B,'OA名单'!G:G)</f>
      </c>
      <c r="Q194" s="63">
        <f t="shared" si="11"/>
      </c>
      <c r="R194" s="63" cm="1">
        <f t="array" ref="R194:R194">_xlfn.XLOOKUP(B194,'OA名单'!B:B,'OA名单'!F:F)</f>
      </c>
      <c r="S194" s="63">
        <f t="shared" si="10"/>
      </c>
      <c r="T194" s="64" cm="1">
        <f t="array" ref="T194:T194">_xlfn.XLOOKUP(B194,'系统-原始（副本）'!A:A,'系统-原始（副本）'!B:B)</f>
      </c>
      <c r="U194" s="63" cm="1">
        <f t="array" ref="U194:U194">_xlfn.XLOOKUP(N194,'OA名单'!B:B,'OA名单'!E:E)</f>
      </c>
      <c r="V194" s="63">
        <f t="shared" si="12"/>
      </c>
      <c r="W194" s="71"/>
      <c r="X194" s="66"/>
      <c r="Y194" s="66"/>
    </row>
    <row hidden="true" r="195">
      <c r="A195" s="66"/>
      <c r="B195" s="66" t="s">
        <v>13197</v>
      </c>
      <c r="C195" s="67" t="s">
        <v>12713</v>
      </c>
      <c r="D195" s="67" t="s">
        <v>12714</v>
      </c>
      <c r="E195" s="69" t="s">
        <v>13027</v>
      </c>
      <c r="F195" s="69" t="s">
        <v>13028</v>
      </c>
      <c r="G195" s="66" t="s">
        <v>13195</v>
      </c>
      <c r="H195" s="66" t="s">
        <v>13198</v>
      </c>
      <c r="I195" s="68">
        <v>0.805</v>
      </c>
      <c r="J195" s="69">
        <v>1.15</v>
      </c>
      <c r="K195" s="66">
        <v>1.15</v>
      </c>
      <c r="L195" s="66">
        <v>5600</v>
      </c>
      <c r="M195" s="66">
        <v>4000</v>
      </c>
      <c r="N195" s="63" cm="1">
        <f t="array" ref="N195:N195">_xlfn.XLOOKUP(H195,'OA名单'!C:C,'OA名单'!B:B,1)</f>
      </c>
      <c r="O195" s="63">
        <f t="shared" si="8"/>
      </c>
      <c r="P195" s="63" cm="1">
        <f t="array" ref="P195:P195">_xlfn.XLOOKUP(N195,'OA名单'!B:B,'OA名单'!G:G)</f>
      </c>
      <c r="Q195" s="63">
        <f t="shared" si="11"/>
      </c>
      <c r="R195" s="63" cm="1">
        <f t="array" ref="R195:R195">_xlfn.XLOOKUP(B195,'OA名单'!B:B,'OA名单'!F:F)</f>
      </c>
      <c r="S195" s="63">
        <f t="shared" si="10"/>
      </c>
      <c r="T195" s="64" cm="1">
        <f t="array" ref="T195:T195">_xlfn.XLOOKUP(B195,'系统-原始（副本）'!A:A,'系统-原始（副本）'!B:B)</f>
      </c>
      <c r="U195" s="63" cm="1">
        <f t="array" ref="U195:U195">_xlfn.XLOOKUP(N195,'OA名单'!B:B,'OA名单'!E:E)</f>
      </c>
      <c r="V195" s="63">
        <f t="shared" si="12"/>
      </c>
      <c r="W195" s="71"/>
      <c r="X195" s="66"/>
      <c r="Y195" s="66"/>
    </row>
    <row hidden="true" r="196">
      <c r="A196" s="66"/>
      <c r="B196" s="66" t="s">
        <v>13199</v>
      </c>
      <c r="C196" s="67" t="s">
        <v>12713</v>
      </c>
      <c r="D196" s="67" t="s">
        <v>12714</v>
      </c>
      <c r="E196" s="69" t="s">
        <v>12749</v>
      </c>
      <c r="F196" s="69" t="s">
        <v>13157</v>
      </c>
      <c r="G196" s="66" t="s">
        <v>13158</v>
      </c>
      <c r="H196" s="66" t="s">
        <v>13200</v>
      </c>
      <c r="I196" s="68">
        <v>0.9953</v>
      </c>
      <c r="J196" s="69">
        <v>1.14</v>
      </c>
      <c r="K196" s="66">
        <v>1.14</v>
      </c>
      <c r="L196" s="66">
        <v>3348.84</v>
      </c>
      <c r="M196" s="66">
        <v>3000</v>
      </c>
      <c r="N196" s="63" cm="1">
        <f t="array" ref="N196:N196">_xlfn.XLOOKUP(H196,'OA名单'!C:C,'OA名单'!B:B,1)</f>
      </c>
      <c r="O196" s="63">
        <f t="shared" si="8"/>
      </c>
      <c r="P196" s="63" cm="1">
        <f t="array" ref="P196:P196">_xlfn.XLOOKUP(N196,'OA名单'!B:B,'OA名单'!G:G)</f>
      </c>
      <c r="Q196" s="63">
        <f t="shared" si="11"/>
      </c>
      <c r="R196" s="63" cm="1">
        <f t="array" ref="R196:R196">_xlfn.XLOOKUP(B196,'OA名单'!B:B,'OA名单'!F:F)</f>
      </c>
      <c r="S196" s="63">
        <f t="shared" si="10"/>
      </c>
      <c r="T196" s="64" cm="1">
        <f t="array" ref="T196:T196">_xlfn.XLOOKUP(B196,'系统-原始（副本）'!A:A,'系统-原始（副本）'!B:B)</f>
      </c>
      <c r="U196" s="63" cm="1">
        <f t="array" ref="U196:U196">_xlfn.XLOOKUP(N196,'OA名单'!B:B,'OA名单'!E:E)</f>
      </c>
      <c r="V196" s="63">
        <f t="shared" si="12"/>
      </c>
      <c r="W196" s="71"/>
      <c r="X196" s="66"/>
      <c r="Y196" s="66"/>
    </row>
    <row hidden="true" r="197">
      <c r="A197" s="66"/>
      <c r="B197" s="66" t="s">
        <v>13201</v>
      </c>
      <c r="C197" s="67" t="s">
        <v>12713</v>
      </c>
      <c r="D197" s="67" t="s">
        <v>12714</v>
      </c>
      <c r="E197" s="69" t="s">
        <v>12749</v>
      </c>
      <c r="F197" s="69" t="s">
        <v>13157</v>
      </c>
      <c r="G197" s="66" t="s">
        <v>13158</v>
      </c>
      <c r="H197" s="66" t="s">
        <v>13202</v>
      </c>
      <c r="I197" s="68">
        <v>0.98314</v>
      </c>
      <c r="J197" s="69">
        <v>1.14</v>
      </c>
      <c r="K197" s="66">
        <v>1.14</v>
      </c>
      <c r="L197" s="66">
        <v>3069.77</v>
      </c>
      <c r="M197" s="66">
        <v>3000</v>
      </c>
      <c r="N197" s="63" cm="1">
        <f t="array" ref="N197:N197">_xlfn.XLOOKUP(H197,'OA名单'!C:C,'OA名单'!B:B,1)</f>
      </c>
      <c r="O197" s="63">
        <f t="shared" si="8"/>
      </c>
      <c r="P197" s="63" cm="1">
        <f t="array" ref="P197:P197">_xlfn.XLOOKUP(N197,'OA名单'!B:B,'OA名单'!G:G)</f>
      </c>
      <c r="Q197" s="63">
        <f t="shared" si="11"/>
      </c>
      <c r="R197" s="63" cm="1">
        <f t="array" ref="R197:R197">_xlfn.XLOOKUP(B197,'OA名单'!B:B,'OA名单'!F:F)</f>
      </c>
      <c r="S197" s="63">
        <f t="shared" si="10"/>
      </c>
      <c r="T197" s="64" cm="1">
        <f t="array" ref="T197:T197">_xlfn.XLOOKUP(B197,'系统-原始（副本）'!A:A,'系统-原始（副本）'!B:B)</f>
      </c>
      <c r="U197" s="63" cm="1">
        <f t="array" ref="U197:U197">_xlfn.XLOOKUP(N197,'OA名单'!B:B,'OA名单'!E:E)</f>
      </c>
      <c r="V197" s="63">
        <f t="shared" si="12"/>
      </c>
      <c r="W197" s="71"/>
      <c r="X197" s="66"/>
      <c r="Y197" s="66"/>
    </row>
    <row hidden="true" r="198">
      <c r="A198" s="66"/>
      <c r="B198" s="66" t="s">
        <v>13203</v>
      </c>
      <c r="C198" s="67" t="s">
        <v>12713</v>
      </c>
      <c r="D198" s="67" t="s">
        <v>12714</v>
      </c>
      <c r="E198" s="69" t="s">
        <v>13146</v>
      </c>
      <c r="F198" s="69" t="s">
        <v>13204</v>
      </c>
      <c r="G198" s="66" t="s">
        <v>13205</v>
      </c>
      <c r="H198" s="66" t="s">
        <v>13206</v>
      </c>
      <c r="I198" s="68">
        <v>1.035966</v>
      </c>
      <c r="J198" s="69">
        <v>1.14</v>
      </c>
      <c r="K198" s="66">
        <v>1.14</v>
      </c>
      <c r="L198" s="66">
        <v>3931.45</v>
      </c>
      <c r="M198" s="66">
        <v>3000</v>
      </c>
      <c r="N198" s="63" cm="1">
        <f t="array" ref="N198:N198">_xlfn.XLOOKUP(H198,'OA名单'!C:C,'OA名单'!B:B,1)</f>
      </c>
      <c r="O198" s="63">
        <f t="shared" si="8"/>
      </c>
      <c r="P198" s="63" cm="1">
        <f t="array" ref="P198:P198">_xlfn.XLOOKUP(N198,'OA名单'!B:B,'OA名单'!G:G)</f>
      </c>
      <c r="Q198" s="63">
        <f t="shared" si="11"/>
      </c>
      <c r="R198" s="63" cm="1">
        <f t="array" ref="R198:R198">_xlfn.XLOOKUP(B198,'OA名单'!B:B,'OA名单'!F:F)</f>
      </c>
      <c r="S198" s="63">
        <f t="shared" si="10"/>
      </c>
      <c r="T198" s="64" cm="1">
        <f t="array" ref="T198:T198">_xlfn.XLOOKUP(B198,'系统-原始（副本）'!A:A,'系统-原始（副本）'!B:B)</f>
      </c>
      <c r="U198" s="63" cm="1">
        <f t="array" ref="U198:U198">_xlfn.XLOOKUP(N198,'OA名单'!B:B,'OA名单'!E:E)</f>
      </c>
      <c r="V198" s="63">
        <f t="shared" si="12"/>
      </c>
      <c r="W198" s="71"/>
      <c r="X198" s="66"/>
      <c r="Y198" s="66"/>
    </row>
    <row hidden="true" r="199">
      <c r="A199" s="66"/>
      <c r="B199" s="66" t="s">
        <v>13207</v>
      </c>
      <c r="C199" s="67" t="s">
        <v>12713</v>
      </c>
      <c r="D199" s="67" t="s">
        <v>12714</v>
      </c>
      <c r="E199" s="69" t="s">
        <v>12776</v>
      </c>
      <c r="F199" s="69" t="s">
        <v>13032</v>
      </c>
      <c r="G199" s="66" t="s">
        <v>12982</v>
      </c>
      <c r="H199" s="66" t="s">
        <v>13208</v>
      </c>
      <c r="I199" s="68">
        <v>1.298468</v>
      </c>
      <c r="J199" s="69">
        <v>1.14</v>
      </c>
      <c r="K199" s="66">
        <v>1.14</v>
      </c>
      <c r="L199" s="66">
        <v>1400.5</v>
      </c>
      <c r="M199" s="66">
        <v>1500</v>
      </c>
      <c r="N199" s="63" cm="1">
        <f t="array" ref="N199:N199">_xlfn.XLOOKUP(H199,'OA名单'!C:C,'OA名单'!B:B,1)</f>
      </c>
      <c r="O199" s="63">
        <f t="shared" si="8"/>
      </c>
      <c r="P199" s="63" cm="1">
        <f t="array" ref="P199:P199">_xlfn.XLOOKUP(N199,'OA名单'!B:B,'OA名单'!G:G)</f>
      </c>
      <c r="Q199" s="63">
        <f t="shared" si="11"/>
      </c>
      <c r="R199" s="63" cm="1">
        <f t="array" ref="R199:R199">_xlfn.XLOOKUP(B199,'OA名单'!B:B,'OA名单'!F:F)</f>
      </c>
      <c r="S199" s="63">
        <f t="shared" si="10"/>
      </c>
      <c r="T199" s="64" cm="1">
        <f t="array" ref="T199:T199">_xlfn.XLOOKUP(B199,'系统-原始（副本）'!A:A,'系统-原始（副本）'!B:B)</f>
      </c>
      <c r="U199" s="63" cm="1">
        <f t="array" ref="U199:U199">_xlfn.XLOOKUP(N199,'OA名单'!B:B,'OA名单'!E:E)</f>
      </c>
      <c r="V199" s="63">
        <f t="shared" si="12"/>
      </c>
      <c r="W199" s="71"/>
      <c r="X199" s="66"/>
      <c r="Y199" s="66"/>
    </row>
    <row hidden="true" r="200">
      <c r="A200" s="66"/>
      <c r="B200" s="66" t="s">
        <v>13209</v>
      </c>
      <c r="C200" s="67" t="s">
        <v>12713</v>
      </c>
      <c r="D200" s="67" t="s">
        <v>12714</v>
      </c>
      <c r="E200" s="69" t="s">
        <v>12776</v>
      </c>
      <c r="F200" s="69" t="s">
        <v>13032</v>
      </c>
      <c r="G200" s="66" t="s">
        <v>12982</v>
      </c>
      <c r="H200" s="66" t="s">
        <v>13210</v>
      </c>
      <c r="I200" s="68">
        <v>1.161468</v>
      </c>
      <c r="J200" s="69">
        <v>1.14</v>
      </c>
      <c r="K200" s="66">
        <v>1.14</v>
      </c>
      <c r="L200" s="66">
        <v>1103.5</v>
      </c>
      <c r="M200" s="66">
        <v>1500</v>
      </c>
      <c r="N200" s="63" cm="1">
        <f t="array" ref="N200:N200">_xlfn.XLOOKUP(H200,'OA名单'!C:C,'OA名单'!B:B,1)</f>
      </c>
      <c r="O200" s="63">
        <f t="shared" si="8"/>
      </c>
      <c r="P200" s="63" cm="1">
        <f t="array" ref="P200:P200">_xlfn.XLOOKUP(N200,'OA名单'!B:B,'OA名单'!G:G)</f>
      </c>
      <c r="Q200" s="63">
        <f t="shared" si="11"/>
      </c>
      <c r="R200" s="63" cm="1">
        <f t="array" ref="R200:R200">_xlfn.XLOOKUP(B200,'OA名单'!B:B,'OA名单'!F:F)</f>
      </c>
      <c r="S200" s="63">
        <f t="shared" si="10"/>
      </c>
      <c r="T200" s="64" cm="1">
        <f t="array" ref="T200:T200">_xlfn.XLOOKUP(B200,'系统-原始（副本）'!A:A,'系统-原始（副本）'!B:B)</f>
      </c>
      <c r="U200" s="63" cm="1">
        <f t="array" ref="U200:U200">_xlfn.XLOOKUP(N200,'OA名单'!B:B,'OA名单'!E:E)</f>
      </c>
      <c r="V200" s="63">
        <f t="shared" si="12"/>
      </c>
      <c r="W200" s="71"/>
      <c r="X200" s="66"/>
      <c r="Y200" s="66"/>
    </row>
    <row hidden="true" r="201">
      <c r="A201" s="66"/>
      <c r="B201" s="66" t="s">
        <v>13211</v>
      </c>
      <c r="C201" s="67" t="s">
        <v>12713</v>
      </c>
      <c r="D201" s="67" t="s">
        <v>12714</v>
      </c>
      <c r="E201" s="66" t="s">
        <v>12715</v>
      </c>
      <c r="F201" s="66" t="s">
        <v>13020</v>
      </c>
      <c r="G201" s="66" t="s">
        <v>13033</v>
      </c>
      <c r="H201" s="66" t="s">
        <v>13212</v>
      </c>
      <c r="I201" s="68">
        <v>1.258</v>
      </c>
      <c r="J201" s="69">
        <v>1.14</v>
      </c>
      <c r="K201" s="66">
        <v>1.14</v>
      </c>
      <c r="L201" s="66">
        <v>5000</v>
      </c>
      <c r="M201" s="66">
        <v>5000</v>
      </c>
      <c r="N201" s="63" cm="1">
        <f t="array" ref="N201:N201">_xlfn.XLOOKUP(H201,'OA名单'!C:C,'OA名单'!B:B,1)</f>
      </c>
      <c r="O201" s="63">
        <f t="shared" si="8"/>
      </c>
      <c r="P201" s="63" cm="1">
        <f t="array" ref="P201:P201">_xlfn.XLOOKUP(N201,'OA名单'!B:B,'OA名单'!G:G)</f>
      </c>
      <c r="Q201" s="63">
        <f t="shared" si="11"/>
      </c>
      <c r="R201" s="63" cm="1">
        <f t="array" ref="R201:R201">_xlfn.XLOOKUP(B201,'OA名单'!B:B,'OA名单'!F:F)</f>
      </c>
      <c r="S201" s="63">
        <f t="shared" si="10"/>
      </c>
      <c r="T201" s="64" cm="1">
        <f t="array" ref="T201:T201">_xlfn.XLOOKUP(B201,'系统-原始（副本）'!A:A,'系统-原始（副本）'!B:B)</f>
      </c>
      <c r="U201" s="63" cm="1">
        <f t="array" ref="U201:U201">_xlfn.XLOOKUP(N201,'OA名单'!B:B,'OA名单'!E:E)</f>
      </c>
      <c r="V201" s="63">
        <f t="shared" si="12"/>
      </c>
      <c r="W201" s="71"/>
      <c r="X201" s="66"/>
      <c r="Y201" s="66"/>
    </row>
    <row hidden="true" r="202">
      <c r="A202" s="66"/>
      <c r="B202" s="66" t="s">
        <v>13213</v>
      </c>
      <c r="C202" s="67" t="s">
        <v>12713</v>
      </c>
      <c r="D202" s="67" t="s">
        <v>12714</v>
      </c>
      <c r="E202" s="66" t="s">
        <v>12715</v>
      </c>
      <c r="F202" s="66" t="s">
        <v>13214</v>
      </c>
      <c r="G202" s="66" t="s">
        <v>13079</v>
      </c>
      <c r="H202" s="66" t="s">
        <v>13215</v>
      </c>
      <c r="I202" s="68">
        <v>1.237275</v>
      </c>
      <c r="J202" s="69">
        <v>1.14</v>
      </c>
      <c r="K202" s="66">
        <v>1.14</v>
      </c>
      <c r="L202" s="66">
        <v>5000</v>
      </c>
      <c r="M202" s="66">
        <v>5000</v>
      </c>
      <c r="N202" s="63" cm="1">
        <f t="array" ref="N202:N202">_xlfn.XLOOKUP(H202,'OA名单'!C:C,'OA名单'!B:B,1)</f>
      </c>
      <c r="O202" s="63">
        <f t="shared" si="8"/>
      </c>
      <c r="P202" s="63" cm="1">
        <f t="array" ref="P202:P202">_xlfn.XLOOKUP(N202,'OA名单'!B:B,'OA名单'!G:G)</f>
      </c>
      <c r="Q202" s="63">
        <f t="shared" si="11"/>
      </c>
      <c r="R202" s="63" cm="1">
        <f t="array" ref="R202:R202">_xlfn.XLOOKUP(B202,'OA名单'!B:B,'OA名单'!F:F)</f>
      </c>
      <c r="S202" s="63">
        <f t="shared" si="10"/>
      </c>
      <c r="T202" s="64" cm="1">
        <f t="array" ref="T202:T202">_xlfn.XLOOKUP(B202,'系统-原始（副本）'!A:A,'系统-原始（副本）'!B:B)</f>
      </c>
      <c r="U202" s="63" cm="1">
        <f t="array" ref="U202:U202">_xlfn.XLOOKUP(N202,'OA名单'!B:B,'OA名单'!E:E)</f>
      </c>
      <c r="V202" s="63">
        <f t="shared" si="12"/>
      </c>
      <c r="W202" s="71"/>
      <c r="X202" s="66"/>
      <c r="Y202" s="66"/>
    </row>
    <row hidden="true" r="203">
      <c r="A203" s="66"/>
      <c r="B203" s="66" t="s">
        <v>13216</v>
      </c>
      <c r="C203" s="67" t="s">
        <v>12713</v>
      </c>
      <c r="D203" s="67" t="s">
        <v>12714</v>
      </c>
      <c r="E203" s="66" t="s">
        <v>12776</v>
      </c>
      <c r="F203" s="66" t="s">
        <v>12981</v>
      </c>
      <c r="G203" s="66" t="s">
        <v>12751</v>
      </c>
      <c r="H203" s="66" t="s">
        <v>13217</v>
      </c>
      <c r="I203" s="68">
        <v>6.389425</v>
      </c>
      <c r="J203" s="69">
        <v>1.14</v>
      </c>
      <c r="K203" s="66">
        <v>1.14</v>
      </c>
      <c r="L203" s="66">
        <v>2280</v>
      </c>
      <c r="M203" s="66">
        <v>6000</v>
      </c>
      <c r="N203" s="63" cm="1">
        <f t="array" ref="N203:N203">_xlfn.XLOOKUP(H203,'OA名单'!C:C,'OA名单'!B:B,1)</f>
      </c>
      <c r="O203" s="63">
        <f t="shared" si="8"/>
      </c>
      <c r="P203" s="63" cm="1">
        <f t="array" ref="P203:P203">_xlfn.XLOOKUP(N203,'OA名单'!B:B,'OA名单'!G:G)</f>
      </c>
      <c r="Q203" s="63">
        <f t="shared" si="11"/>
      </c>
      <c r="R203" s="63" cm="1">
        <f t="array" ref="R203:R203">_xlfn.XLOOKUP(B203,'OA名单'!B:B,'OA名单'!F:F)</f>
      </c>
      <c r="S203" s="63">
        <f t="shared" si="10"/>
      </c>
      <c r="T203" s="70"/>
      <c r="U203" s="63" cm="1">
        <f t="array" ref="U203:U203">_xlfn.XLOOKUP(N203,'OA名单'!B:B,'OA名单'!E:E)</f>
      </c>
      <c r="V203" s="63">
        <f t="shared" si="12"/>
      </c>
      <c r="W203" s="71"/>
      <c r="X203" s="66"/>
      <c r="Y203" s="66"/>
    </row>
    <row hidden="true" r="204">
      <c r="A204" s="66"/>
      <c r="B204" s="66" t="s">
        <v>13218</v>
      </c>
      <c r="C204" s="67" t="s">
        <v>12713</v>
      </c>
      <c r="D204" s="67" t="s">
        <v>12714</v>
      </c>
      <c r="E204" s="66" t="s">
        <v>13027</v>
      </c>
      <c r="F204" s="66" t="s">
        <v>13028</v>
      </c>
      <c r="G204" s="66" t="s">
        <v>13195</v>
      </c>
      <c r="H204" s="66" t="s">
        <v>13219</v>
      </c>
      <c r="I204" s="68">
        <v>0.79275</v>
      </c>
      <c r="J204" s="69">
        <v>1.14</v>
      </c>
      <c r="K204" s="66">
        <v>1.14</v>
      </c>
      <c r="L204" s="66">
        <v>2200</v>
      </c>
      <c r="M204" s="66">
        <v>2000</v>
      </c>
      <c r="N204" s="63" cm="1">
        <f t="array" ref="N204:N204">_xlfn.XLOOKUP(H204,'OA名单'!C:C,'OA名单'!B:B,1)</f>
      </c>
      <c r="O204" s="63">
        <f t="shared" si="8"/>
      </c>
      <c r="P204" s="63" cm="1">
        <f t="array" ref="P204:P204">_xlfn.XLOOKUP(N204,'OA名单'!B:B,'OA名单'!G:G)</f>
      </c>
      <c r="Q204" s="63">
        <f t="shared" si="11"/>
      </c>
      <c r="R204" s="63" cm="1">
        <f t="array" ref="R204:R204">_xlfn.XLOOKUP(B204,'OA名单'!B:B,'OA名单'!F:F)</f>
      </c>
      <c r="S204" s="63">
        <f t="shared" si="10"/>
      </c>
      <c r="T204" s="70"/>
      <c r="U204" s="63" cm="1">
        <f t="array" ref="U204:U204">_xlfn.XLOOKUP(N204,'OA名单'!B:B,'OA名单'!E:E)</f>
      </c>
      <c r="V204" s="63">
        <f t="shared" si="12"/>
      </c>
      <c r="W204" s="71"/>
      <c r="X204" s="66"/>
      <c r="Y204" s="66"/>
    </row>
    <row hidden="true" r="205">
      <c r="A205" s="66"/>
      <c r="B205" s="66" t="s">
        <v>13220</v>
      </c>
      <c r="C205" s="67" t="s">
        <v>12713</v>
      </c>
      <c r="D205" s="67" t="s">
        <v>12714</v>
      </c>
      <c r="E205" s="66" t="s">
        <v>13027</v>
      </c>
      <c r="F205" s="66" t="s">
        <v>13110</v>
      </c>
      <c r="G205" s="66" t="s">
        <v>13221</v>
      </c>
      <c r="H205" s="66" t="s">
        <v>13222</v>
      </c>
      <c r="I205" s="68">
        <v>1.8932</v>
      </c>
      <c r="J205" s="69">
        <v>1.14</v>
      </c>
      <c r="K205" s="66">
        <v>1.14</v>
      </c>
      <c r="L205" s="66">
        <v>7000</v>
      </c>
      <c r="M205" s="66">
        <v>5000</v>
      </c>
      <c r="N205" s="63" cm="1">
        <f t="array" ref="N205:N205">_xlfn.XLOOKUP(H205,'OA名单'!C:C,'OA名单'!B:B,1)</f>
      </c>
      <c r="O205" s="63">
        <f t="shared" si="8"/>
      </c>
      <c r="P205" s="63" cm="1">
        <f t="array" ref="P205:P205">_xlfn.XLOOKUP(N205,'OA名单'!B:B,'OA名单'!G:G)</f>
      </c>
      <c r="Q205" s="63">
        <f t="shared" si="11"/>
      </c>
      <c r="R205" s="63" cm="1">
        <f t="array" ref="R205:R205">_xlfn.XLOOKUP(B205,'OA名单'!B:B,'OA名单'!F:F)</f>
      </c>
      <c r="S205" s="63">
        <f t="shared" si="10"/>
      </c>
      <c r="T205" s="70"/>
      <c r="U205" s="63" cm="1">
        <f t="array" ref="U205:U205">_xlfn.XLOOKUP(N205,'OA名单'!B:B,'OA名单'!E:E)</f>
      </c>
      <c r="V205" s="63">
        <f t="shared" si="12"/>
      </c>
      <c r="W205" s="71"/>
      <c r="X205" s="66"/>
      <c r="Y205" s="66"/>
    </row>
    <row hidden="true" r="206">
      <c r="A206" s="66"/>
      <c r="B206" s="66" t="s">
        <v>13223</v>
      </c>
      <c r="C206" s="67" t="s">
        <v>12713</v>
      </c>
      <c r="D206" s="67" t="s">
        <v>12714</v>
      </c>
      <c r="E206" s="66" t="s">
        <v>13027</v>
      </c>
      <c r="F206" s="66" t="s">
        <v>13224</v>
      </c>
      <c r="G206" s="66" t="s">
        <v>13154</v>
      </c>
      <c r="H206" s="66" t="s">
        <v>13225</v>
      </c>
      <c r="I206" s="68">
        <v>1.06</v>
      </c>
      <c r="J206" s="69">
        <v>1.14</v>
      </c>
      <c r="K206" s="66">
        <v>1.14</v>
      </c>
      <c r="L206" s="66">
        <v>6000</v>
      </c>
      <c r="M206" s="66">
        <v>5000</v>
      </c>
      <c r="N206" s="63" cm="1">
        <f t="array" ref="N206:N206">_xlfn.XLOOKUP(H206,'OA名单'!C:C,'OA名单'!B:B,1)</f>
      </c>
      <c r="O206" s="63">
        <f t="shared" si="8"/>
      </c>
      <c r="P206" s="63" cm="1">
        <f t="array" ref="P206:P206">_xlfn.XLOOKUP(N206,'OA名单'!B:B,'OA名单'!G:G)</f>
      </c>
      <c r="Q206" s="63">
        <f t="shared" si="11"/>
      </c>
      <c r="R206" s="63" cm="1">
        <f t="array" ref="R206:R206">_xlfn.XLOOKUP(B206,'OA名单'!B:B,'OA名单'!F:F)</f>
      </c>
      <c r="S206" s="63">
        <f t="shared" si="10"/>
      </c>
      <c r="T206" s="70"/>
      <c r="U206" s="63" cm="1">
        <f t="array" ref="U206:U206">_xlfn.XLOOKUP(N206,'OA名单'!B:B,'OA名单'!E:E)</f>
      </c>
      <c r="V206" s="63">
        <f t="shared" si="12"/>
      </c>
      <c r="W206" s="71"/>
      <c r="X206" s="66"/>
      <c r="Y206" s="66"/>
    </row>
    <row hidden="true" r="207">
      <c r="A207" s="66"/>
      <c r="B207" s="66" t="s">
        <v>13226</v>
      </c>
      <c r="C207" s="67" t="s">
        <v>12713</v>
      </c>
      <c r="D207" s="67" t="s">
        <v>12714</v>
      </c>
      <c r="E207" s="66" t="s">
        <v>12776</v>
      </c>
      <c r="F207" s="66" t="s">
        <v>12981</v>
      </c>
      <c r="G207" s="66" t="s">
        <v>13079</v>
      </c>
      <c r="H207" s="66" t="s">
        <v>13227</v>
      </c>
      <c r="I207" s="68">
        <v>1.2232</v>
      </c>
      <c r="J207" s="69">
        <v>1.13</v>
      </c>
      <c r="K207" s="66">
        <v>1.13</v>
      </c>
      <c r="L207" s="66">
        <v>0</v>
      </c>
      <c r="M207" s="66">
        <v>5000</v>
      </c>
      <c r="N207" s="63" cm="1">
        <f t="array" ref="N207:N207">_xlfn.XLOOKUP(H207,'OA名单'!C:C,'OA名单'!B:B,1)</f>
      </c>
      <c r="O207" s="63">
        <f t="shared" si="8"/>
      </c>
      <c r="P207" s="63" cm="1">
        <f t="array" ref="P207:P207">_xlfn.XLOOKUP(N207,'OA名单'!B:B,'OA名单'!G:G)</f>
      </c>
      <c r="Q207" s="63">
        <f t="shared" si="11"/>
      </c>
      <c r="R207" s="63" cm="1">
        <f t="array" ref="R207:R207">_xlfn.XLOOKUP(B207,'OA名单'!B:B,'OA名单'!F:F)</f>
      </c>
      <c r="S207" s="63">
        <f t="shared" si="10"/>
      </c>
      <c r="T207" s="70"/>
      <c r="U207" s="63" cm="1">
        <f t="array" ref="U207:U207">_xlfn.XLOOKUP(N207,'OA名单'!B:B,'OA名单'!E:E)</f>
      </c>
      <c r="V207" s="63">
        <f t="shared" si="12"/>
      </c>
      <c r="W207" s="71"/>
      <c r="X207" s="66"/>
      <c r="Y207" s="66"/>
    </row>
    <row hidden="true" r="208">
      <c r="A208" s="66"/>
      <c r="B208" s="66" t="s">
        <v>13228</v>
      </c>
      <c r="C208" s="67" t="s">
        <v>12713</v>
      </c>
      <c r="D208" s="67" t="s">
        <v>12714</v>
      </c>
      <c r="E208" s="66" t="s">
        <v>12782</v>
      </c>
      <c r="F208" s="66" t="s">
        <v>13064</v>
      </c>
      <c r="G208" s="66" t="s">
        <v>13079</v>
      </c>
      <c r="H208" s="66" t="s">
        <v>13229</v>
      </c>
      <c r="I208" s="68">
        <v>1.19963</v>
      </c>
      <c r="J208" s="69">
        <v>1.13</v>
      </c>
      <c r="K208" s="66">
        <v>1.13</v>
      </c>
      <c r="L208" s="66">
        <v>7000</v>
      </c>
      <c r="M208" s="66">
        <v>5000</v>
      </c>
      <c r="N208" s="63" cm="1">
        <f t="array" ref="N208:N208">_xlfn.XLOOKUP(H208,'OA名单'!C:C,'OA名单'!B:B,1)</f>
      </c>
      <c r="O208" s="63">
        <f t="shared" si="8"/>
      </c>
      <c r="P208" s="63" cm="1">
        <f t="array" ref="P208:P208">_xlfn.XLOOKUP(N208,'OA名单'!B:B,'OA名单'!G:G)</f>
      </c>
      <c r="Q208" s="63">
        <f t="shared" si="11"/>
      </c>
      <c r="R208" s="63" cm="1">
        <f t="array" ref="R208:R208">_xlfn.XLOOKUP(B208,'OA名单'!B:B,'OA名单'!F:F)</f>
      </c>
      <c r="S208" s="63">
        <f t="shared" si="10"/>
      </c>
      <c r="T208" s="70"/>
      <c r="U208" s="63" cm="1">
        <f t="array" ref="U208:U208">_xlfn.XLOOKUP(N208,'OA名单'!B:B,'OA名单'!E:E)</f>
      </c>
      <c r="V208" s="63">
        <f t="shared" si="12"/>
      </c>
      <c r="W208" s="71"/>
      <c r="X208" s="66"/>
      <c r="Y208" s="66"/>
    </row>
    <row hidden="true" r="209">
      <c r="A209" s="66"/>
      <c r="B209" s="66" t="s">
        <v>13230</v>
      </c>
      <c r="C209" s="67" t="s">
        <v>12713</v>
      </c>
      <c r="D209" s="67" t="s">
        <v>12714</v>
      </c>
      <c r="E209" s="66" t="s">
        <v>12776</v>
      </c>
      <c r="F209" s="66" t="s">
        <v>13032</v>
      </c>
      <c r="G209" s="66" t="s">
        <v>12982</v>
      </c>
      <c r="H209" s="66" t="s">
        <v>13231</v>
      </c>
      <c r="I209" s="68">
        <v>2.222</v>
      </c>
      <c r="J209" s="69">
        <v>1.13</v>
      </c>
      <c r="K209" s="66">
        <v>1.13</v>
      </c>
      <c r="L209" s="66">
        <v>1500</v>
      </c>
      <c r="M209" s="66">
        <v>1500</v>
      </c>
      <c r="N209" s="63" cm="1">
        <f t="array" ref="N209:N209">_xlfn.XLOOKUP(H209,'OA名单'!C:C,'OA名单'!B:B,1)</f>
      </c>
      <c r="O209" s="63">
        <f t="shared" si="8"/>
      </c>
      <c r="P209" s="63" cm="1">
        <f t="array" ref="P209:P209">_xlfn.XLOOKUP(N209,'OA名单'!B:B,'OA名单'!G:G)</f>
      </c>
      <c r="Q209" s="63">
        <f t="shared" si="11"/>
      </c>
      <c r="R209" s="63" cm="1">
        <f t="array" ref="R209:R209">_xlfn.XLOOKUP(B209,'OA名单'!B:B,'OA名单'!F:F)</f>
      </c>
      <c r="S209" s="63">
        <f t="shared" si="10"/>
      </c>
      <c r="T209" s="70"/>
      <c r="U209" s="63" cm="1">
        <f t="array" ref="U209:U209">_xlfn.XLOOKUP(N209,'OA名单'!B:B,'OA名单'!E:E)</f>
      </c>
      <c r="V209" s="63">
        <f t="shared" si="12"/>
      </c>
      <c r="W209" s="71"/>
      <c r="X209" s="66"/>
      <c r="Y209" s="66"/>
    </row>
    <row hidden="true" r="210">
      <c r="A210" s="66"/>
      <c r="B210" s="66" t="s">
        <v>13232</v>
      </c>
      <c r="C210" s="67" t="s">
        <v>12713</v>
      </c>
      <c r="D210" s="67" t="s">
        <v>12714</v>
      </c>
      <c r="E210" s="66" t="s">
        <v>13146</v>
      </c>
      <c r="F210" s="66" t="s">
        <v>13147</v>
      </c>
      <c r="G210" s="66" t="s">
        <v>13233</v>
      </c>
      <c r="H210" s="66" t="s">
        <v>13234</v>
      </c>
      <c r="I210" s="68">
        <v>1.200025</v>
      </c>
      <c r="J210" s="69">
        <v>1.12</v>
      </c>
      <c r="K210" s="66">
        <v>1.12</v>
      </c>
      <c r="L210" s="66">
        <v>6164.73</v>
      </c>
      <c r="M210" s="66">
        <v>5000</v>
      </c>
      <c r="N210" s="63" cm="1">
        <f t="array" ref="N210:N210">_xlfn.XLOOKUP(H210,'OA名单'!C:C,'OA名单'!B:B,1)</f>
      </c>
      <c r="O210" s="63">
        <f t="shared" si="8"/>
      </c>
      <c r="P210" s="63" cm="1">
        <f t="array" ref="P210:P210">_xlfn.XLOOKUP(N210,'OA名单'!B:B,'OA名单'!G:G)</f>
      </c>
      <c r="Q210" s="63">
        <f t="shared" si="11"/>
      </c>
      <c r="R210" s="63" cm="1">
        <f t="array" ref="R210:R210">_xlfn.XLOOKUP(B210,'OA名单'!B:B,'OA名单'!F:F)</f>
      </c>
      <c r="S210" s="63">
        <f t="shared" si="10"/>
      </c>
      <c r="T210" s="70"/>
      <c r="U210" s="63" cm="1">
        <f t="array" ref="U210:U210">_xlfn.XLOOKUP(N210,'OA名单'!B:B,'OA名单'!E:E)</f>
      </c>
      <c r="V210" s="63">
        <f t="shared" si="12"/>
      </c>
      <c r="W210" s="71"/>
      <c r="X210" s="66"/>
      <c r="Y210" s="66"/>
    </row>
    <row hidden="true" r="211">
      <c r="A211" s="66"/>
      <c r="B211" s="66" t="s">
        <v>13235</v>
      </c>
      <c r="C211" s="67" t="s">
        <v>12713</v>
      </c>
      <c r="D211" s="67" t="s">
        <v>12714</v>
      </c>
      <c r="E211" s="66" t="s">
        <v>13011</v>
      </c>
      <c r="F211" s="66" t="s">
        <v>13060</v>
      </c>
      <c r="G211" s="66" t="s">
        <v>13043</v>
      </c>
      <c r="H211" s="66" t="s">
        <v>13236</v>
      </c>
      <c r="I211" s="68">
        <v>1.12134</v>
      </c>
      <c r="J211" s="69">
        <v>1.12</v>
      </c>
      <c r="K211" s="66">
        <v>1.12</v>
      </c>
      <c r="L211" s="66">
        <v>2000</v>
      </c>
      <c r="M211" s="66">
        <v>2000</v>
      </c>
      <c r="N211" s="63" cm="1">
        <f t="array" ref="N211:N211">_xlfn.XLOOKUP(H211,'OA名单'!C:C,'OA名单'!B:B,1)</f>
      </c>
      <c r="O211" s="63">
        <f t="shared" si="8"/>
      </c>
      <c r="P211" s="63" cm="1">
        <f t="array" ref="P211:P211">_xlfn.XLOOKUP(N211,'OA名单'!B:B,'OA名单'!G:G)</f>
      </c>
      <c r="Q211" s="63">
        <f t="shared" si="11"/>
      </c>
      <c r="R211" s="63" cm="1">
        <f t="array" ref="R211:R211">_xlfn.XLOOKUP(B211,'OA名单'!B:B,'OA名单'!F:F)</f>
      </c>
      <c r="S211" s="63">
        <f t="shared" si="10"/>
      </c>
      <c r="T211" s="70"/>
      <c r="U211" s="63" cm="1">
        <f t="array" ref="U211:U211">_xlfn.XLOOKUP(N211,'OA名单'!B:B,'OA名单'!E:E)</f>
      </c>
      <c r="V211" s="63">
        <f t="shared" si="12"/>
      </c>
      <c r="W211" s="71"/>
      <c r="X211" s="66"/>
      <c r="Y211" s="66"/>
    </row>
    <row hidden="true" r="212">
      <c r="A212" s="66"/>
      <c r="B212" s="66" t="s">
        <v>13237</v>
      </c>
      <c r="C212" s="67" t="s">
        <v>12713</v>
      </c>
      <c r="D212" s="67" t="s">
        <v>12714</v>
      </c>
      <c r="E212" s="66" t="s">
        <v>12715</v>
      </c>
      <c r="F212" s="66" t="s">
        <v>13020</v>
      </c>
      <c r="G212" s="66" t="s">
        <v>12751</v>
      </c>
      <c r="H212" s="66" t="s">
        <v>13238</v>
      </c>
      <c r="I212" s="68">
        <v>1.453671</v>
      </c>
      <c r="J212" s="69">
        <v>1.12</v>
      </c>
      <c r="K212" s="66">
        <v>1.12</v>
      </c>
      <c r="L212" s="66">
        <v>6726.18</v>
      </c>
      <c r="M212" s="66">
        <v>6000</v>
      </c>
      <c r="N212" s="63" cm="1">
        <f t="array" ref="N212:N212">_xlfn.XLOOKUP(H212,'OA名单'!C:C,'OA名单'!B:B,1)</f>
      </c>
      <c r="O212" s="63">
        <f t="shared" si="8"/>
      </c>
      <c r="P212" s="63" cm="1">
        <f t="array" ref="P212:P212">_xlfn.XLOOKUP(N212,'OA名单'!B:B,'OA名单'!G:G)</f>
      </c>
      <c r="Q212" s="63">
        <f t="shared" si="11"/>
      </c>
      <c r="R212" s="63" cm="1">
        <f t="array" ref="R212:R212">_xlfn.XLOOKUP(B212,'OA名单'!B:B,'OA名单'!F:F)</f>
      </c>
      <c r="S212" s="63">
        <f t="shared" si="10"/>
      </c>
      <c r="T212" s="70"/>
      <c r="U212" s="63" cm="1">
        <f t="array" ref="U212:U212">_xlfn.XLOOKUP(N212,'OA名单'!B:B,'OA名单'!E:E)</f>
      </c>
      <c r="V212" s="63">
        <f t="shared" si="12"/>
      </c>
      <c r="W212" s="71"/>
      <c r="X212" s="66"/>
      <c r="Y212" s="66"/>
    </row>
    <row hidden="true" r="213">
      <c r="A213" s="66"/>
      <c r="B213" s="66" t="s">
        <v>13239</v>
      </c>
      <c r="C213" s="67" t="s">
        <v>12713</v>
      </c>
      <c r="D213" s="67" t="s">
        <v>12714</v>
      </c>
      <c r="E213" s="66" t="s">
        <v>13027</v>
      </c>
      <c r="F213" s="66" t="s">
        <v>13240</v>
      </c>
      <c r="G213" s="66" t="s">
        <v>13154</v>
      </c>
      <c r="H213" s="66" t="s">
        <v>13241</v>
      </c>
      <c r="I213" s="68">
        <v>1.0427</v>
      </c>
      <c r="J213" s="69">
        <v>1.12</v>
      </c>
      <c r="K213" s="66">
        <v>1.12</v>
      </c>
      <c r="L213" s="66">
        <v>4000</v>
      </c>
      <c r="M213" s="66">
        <v>5000</v>
      </c>
      <c r="N213" s="63" cm="1">
        <f t="array" ref="N213:N213">_xlfn.XLOOKUP(H213,'OA名单'!C:C,'OA名单'!B:B,1)</f>
      </c>
      <c r="O213" s="63">
        <f t="shared" si="8"/>
      </c>
      <c r="P213" s="63" cm="1">
        <f t="array" ref="P213:P213">_xlfn.XLOOKUP(N213,'OA名单'!B:B,'OA名单'!G:G)</f>
      </c>
      <c r="Q213" s="63">
        <f t="shared" si="11"/>
      </c>
      <c r="R213" s="63" cm="1">
        <f t="array" ref="R213:R213">_xlfn.XLOOKUP(B213,'OA名单'!B:B,'OA名单'!F:F)</f>
      </c>
      <c r="S213" s="63">
        <f t="shared" si="10"/>
      </c>
      <c r="T213" s="70"/>
      <c r="U213" s="63" cm="1">
        <f t="array" ref="U213:U213">_xlfn.XLOOKUP(N213,'OA名单'!B:B,'OA名单'!E:E)</f>
      </c>
      <c r="V213" s="63">
        <f t="shared" si="12"/>
      </c>
      <c r="W213" s="71"/>
      <c r="X213" s="66"/>
      <c r="Y213" s="66"/>
    </row>
    <row hidden="true" r="214">
      <c r="A214" s="66"/>
      <c r="B214" s="66" t="s">
        <v>13242</v>
      </c>
      <c r="C214" s="67" t="s">
        <v>12713</v>
      </c>
      <c r="D214" s="67" t="s">
        <v>12714</v>
      </c>
      <c r="E214" s="66" t="s">
        <v>13027</v>
      </c>
      <c r="F214" s="66" t="s">
        <v>13028</v>
      </c>
      <c r="G214" s="66" t="s">
        <v>13195</v>
      </c>
      <c r="H214" s="66" t="s">
        <v>13243</v>
      </c>
      <c r="I214" s="68">
        <v>0.735</v>
      </c>
      <c r="J214" s="69">
        <v>1.11</v>
      </c>
      <c r="K214" s="66">
        <v>1.11</v>
      </c>
      <c r="L214" s="66">
        <v>3000</v>
      </c>
      <c r="M214" s="66">
        <v>3000</v>
      </c>
      <c r="N214" s="63" cm="1">
        <f t="array" ref="N214:N214">_xlfn.XLOOKUP(H214,'OA名单'!C:C,'OA名单'!B:B,1)</f>
      </c>
      <c r="O214" s="63">
        <f t="shared" si="8"/>
      </c>
      <c r="P214" s="63" cm="1">
        <f t="array" ref="P214:P214">_xlfn.XLOOKUP(N214,'OA名单'!B:B,'OA名单'!G:G)</f>
      </c>
      <c r="Q214" s="63">
        <f t="shared" si="11"/>
      </c>
      <c r="R214" s="63" cm="1">
        <f t="array" ref="R214:R214">_xlfn.XLOOKUP(B214,'OA名单'!B:B,'OA名单'!F:F)</f>
      </c>
      <c r="S214" s="63">
        <f t="shared" si="10"/>
      </c>
      <c r="T214" s="70"/>
      <c r="U214" s="63" cm="1">
        <f t="array" ref="U214:U214">_xlfn.XLOOKUP(N214,'OA名单'!B:B,'OA名单'!E:E)</f>
      </c>
      <c r="V214" s="63">
        <f t="shared" si="12"/>
      </c>
      <c r="W214" s="71"/>
      <c r="X214" s="66"/>
      <c r="Y214" s="66"/>
    </row>
    <row hidden="true" r="215">
      <c r="A215" s="66"/>
      <c r="B215" s="66" t="s">
        <v>13244</v>
      </c>
      <c r="C215" s="67" t="s">
        <v>12713</v>
      </c>
      <c r="D215" s="67" t="s">
        <v>12714</v>
      </c>
      <c r="E215" s="66" t="s">
        <v>13011</v>
      </c>
      <c r="F215" s="66" t="s">
        <v>13012</v>
      </c>
      <c r="G215" s="66" t="s">
        <v>13245</v>
      </c>
      <c r="H215" s="66" t="s">
        <v>13246</v>
      </c>
      <c r="I215" s="68">
        <v>1</v>
      </c>
      <c r="J215" s="69">
        <v>1.1</v>
      </c>
      <c r="K215" s="66">
        <v>1.1</v>
      </c>
      <c r="L215" s="66">
        <v>0</v>
      </c>
      <c r="M215" s="66">
        <v>1200</v>
      </c>
      <c r="N215" s="63" cm="1">
        <f t="array" ref="N215:N215">_xlfn.XLOOKUP(H215,'OA名单'!C:C,'OA名单'!B:B,1)</f>
      </c>
      <c r="O215" s="63">
        <f t="shared" si="8"/>
      </c>
      <c r="P215" s="63" cm="1">
        <f t="array" ref="P215:P215">_xlfn.XLOOKUP(N215,'OA名单'!B:B,'OA名单'!G:G)</f>
      </c>
      <c r="Q215" s="63">
        <f t="shared" si="11"/>
      </c>
      <c r="R215" s="63" cm="1">
        <f t="array" ref="R215:R215">_xlfn.XLOOKUP(B215,'OA名单'!B:B,'OA名单'!F:F)</f>
      </c>
      <c r="S215" s="63">
        <f t="shared" si="10"/>
      </c>
      <c r="T215" s="70"/>
      <c r="U215" s="63" cm="1">
        <f t="array" ref="U215:U215">_xlfn.XLOOKUP(N215,'OA名单'!B:B,'OA名单'!E:E)</f>
      </c>
      <c r="V215" s="63">
        <f t="shared" si="12"/>
      </c>
      <c r="W215" s="71"/>
      <c r="X215" s="66"/>
      <c r="Y215" s="66"/>
    </row>
    <row hidden="true" r="216">
      <c r="A216" s="66"/>
      <c r="B216" s="66" t="s">
        <v>13247</v>
      </c>
      <c r="C216" s="67" t="s">
        <v>12713</v>
      </c>
      <c r="D216" s="67" t="s">
        <v>12714</v>
      </c>
      <c r="E216" s="66" t="s">
        <v>12763</v>
      </c>
      <c r="F216" s="66" t="s">
        <v>13072</v>
      </c>
      <c r="G216" s="66" t="s">
        <v>13248</v>
      </c>
      <c r="H216" s="66" t="s">
        <v>13249</v>
      </c>
      <c r="I216" s="68">
        <v>1.16975</v>
      </c>
      <c r="J216" s="69">
        <v>1.1</v>
      </c>
      <c r="K216" s="66">
        <v>1.1</v>
      </c>
      <c r="L216" s="66">
        <v>3600</v>
      </c>
      <c r="M216" s="66">
        <v>3000</v>
      </c>
      <c r="N216" s="63" cm="1">
        <f t="array" ref="N216:N216">_xlfn.XLOOKUP(H216,'OA名单'!C:C,'OA名单'!B:B,1)</f>
      </c>
      <c r="O216" s="63">
        <f t="shared" si="8"/>
      </c>
      <c r="P216" s="63" cm="1">
        <f t="array" ref="P216:P216">_xlfn.XLOOKUP(N216,'OA名单'!B:B,'OA名单'!G:G)</f>
      </c>
      <c r="Q216" s="63">
        <f t="shared" si="11"/>
      </c>
      <c r="R216" s="63" cm="1">
        <f t="array" ref="R216:R216">_xlfn.XLOOKUP(B216,'OA名单'!B:B,'OA名单'!F:F)</f>
      </c>
      <c r="S216" s="63">
        <f t="shared" si="10"/>
      </c>
      <c r="T216" s="70"/>
      <c r="U216" s="63" cm="1">
        <f t="array" ref="U216:U216">_xlfn.XLOOKUP(N216,'OA名单'!B:B,'OA名单'!E:E)</f>
      </c>
      <c r="V216" s="63">
        <f t="shared" si="12"/>
      </c>
      <c r="W216" s="71"/>
      <c r="X216" s="66"/>
      <c r="Y216" s="66"/>
    </row>
    <row hidden="true" r="217">
      <c r="A217" s="66"/>
      <c r="B217" s="66" t="s">
        <v>13250</v>
      </c>
      <c r="C217" s="67" t="s">
        <v>12713</v>
      </c>
      <c r="D217" s="67" t="s">
        <v>12714</v>
      </c>
      <c r="E217" s="66" t="s">
        <v>12749</v>
      </c>
      <c r="F217" s="66" t="s">
        <v>13116</v>
      </c>
      <c r="G217" s="66" t="s">
        <v>13151</v>
      </c>
      <c r="H217" s="66" t="s">
        <v>13251</v>
      </c>
      <c r="I217" s="68">
        <v>1.1</v>
      </c>
      <c r="J217" s="69">
        <v>1.1</v>
      </c>
      <c r="K217" s="66">
        <v>1.1</v>
      </c>
      <c r="L217" s="66">
        <v>3173.08</v>
      </c>
      <c r="M217" s="66">
        <v>3000</v>
      </c>
      <c r="N217" s="63" cm="1">
        <f t="array" ref="N217:N217">_xlfn.XLOOKUP(H217,'OA名单'!C:C,'OA名单'!B:B,1)</f>
      </c>
      <c r="O217" s="63">
        <f t="shared" si="8"/>
      </c>
      <c r="P217" s="63" cm="1">
        <f t="array" ref="P217:P217">_xlfn.XLOOKUP(N217,'OA名单'!B:B,'OA名单'!G:G)</f>
      </c>
      <c r="Q217" s="63">
        <f t="shared" si="11"/>
      </c>
      <c r="R217" s="63" cm="1">
        <f t="array" ref="R217:R217">_xlfn.XLOOKUP(B217,'OA名单'!B:B,'OA名单'!F:F)</f>
      </c>
      <c r="S217" s="63">
        <f t="shared" si="10"/>
      </c>
      <c r="T217" s="70"/>
      <c r="U217" s="63" cm="1">
        <f t="array" ref="U217:U217">_xlfn.XLOOKUP(N217,'OA名单'!B:B,'OA名单'!E:E)</f>
      </c>
      <c r="V217" s="63">
        <f t="shared" si="12"/>
      </c>
      <c r="W217" s="71"/>
      <c r="X217" s="66"/>
      <c r="Y217" s="66"/>
    </row>
    <row hidden="true" r="218">
      <c r="A218" s="66"/>
      <c r="B218" s="66" t="s">
        <v>13252</v>
      </c>
      <c r="C218" s="67" t="s">
        <v>12713</v>
      </c>
      <c r="D218" s="67" t="s">
        <v>12714</v>
      </c>
      <c r="E218" s="66" t="s">
        <v>12749</v>
      </c>
      <c r="F218" s="66" t="s">
        <v>13116</v>
      </c>
      <c r="G218" s="66" t="s">
        <v>12751</v>
      </c>
      <c r="H218" s="66" t="s">
        <v>13253</v>
      </c>
      <c r="I218" s="68">
        <v>1.1</v>
      </c>
      <c r="J218" s="69">
        <v>1.1</v>
      </c>
      <c r="K218" s="66">
        <v>1.1</v>
      </c>
      <c r="L218" s="66">
        <v>5288.46</v>
      </c>
      <c r="M218" s="66">
        <v>5000</v>
      </c>
      <c r="N218" s="63" cm="1">
        <f t="array" ref="N218:N218">_xlfn.XLOOKUP(H218,'OA名单'!C:C,'OA名单'!B:B,1)</f>
      </c>
      <c r="O218" s="63">
        <f t="shared" si="8"/>
      </c>
      <c r="P218" s="63" cm="1">
        <f t="array" ref="P218:P218">_xlfn.XLOOKUP(N218,'OA名单'!B:B,'OA名单'!G:G)</f>
      </c>
      <c r="Q218" s="63">
        <f t="shared" si="11"/>
      </c>
      <c r="R218" s="63" cm="1">
        <f t="array" ref="R218:R218">_xlfn.XLOOKUP(B218,'OA名单'!B:B,'OA名单'!F:F)</f>
      </c>
      <c r="S218" s="63">
        <f t="shared" si="10"/>
      </c>
      <c r="T218" s="70"/>
      <c r="U218" s="63" cm="1">
        <f t="array" ref="U218:U218">_xlfn.XLOOKUP(N218,'OA名单'!B:B,'OA名单'!E:E)</f>
      </c>
      <c r="V218" s="63">
        <f t="shared" si="12"/>
      </c>
      <c r="W218" s="71"/>
      <c r="X218" s="66"/>
      <c r="Y218" s="66"/>
    </row>
    <row hidden="true" r="219">
      <c r="A219" s="66"/>
      <c r="B219" s="66" t="s">
        <v>13254</v>
      </c>
      <c r="C219" s="67" t="s">
        <v>12713</v>
      </c>
      <c r="D219" s="67" t="s">
        <v>12714</v>
      </c>
      <c r="E219" s="66" t="s">
        <v>12749</v>
      </c>
      <c r="F219" s="66" t="s">
        <v>13116</v>
      </c>
      <c r="G219" s="66" t="s">
        <v>13151</v>
      </c>
      <c r="H219" s="66" t="s">
        <v>13255</v>
      </c>
      <c r="I219" s="68">
        <v>0.011</v>
      </c>
      <c r="J219" s="69">
        <v>1.1</v>
      </c>
      <c r="K219" s="66">
        <v>1.1</v>
      </c>
      <c r="L219" s="66">
        <v>3173.08</v>
      </c>
      <c r="M219" s="66">
        <v>3000</v>
      </c>
      <c r="N219" s="63" cm="1">
        <f t="array" ref="N219:N219">_xlfn.XLOOKUP(H219,'OA名单'!C:C,'OA名单'!B:B,1)</f>
      </c>
      <c r="O219" s="63">
        <f t="shared" si="8"/>
      </c>
      <c r="P219" s="63" cm="1">
        <f t="array" ref="P219:P219">_xlfn.XLOOKUP(N219,'OA名单'!B:B,'OA名单'!G:G)</f>
      </c>
      <c r="Q219" s="63">
        <f t="shared" si="11"/>
      </c>
      <c r="R219" s="63" cm="1">
        <f t="array" ref="R219:R219">_xlfn.XLOOKUP(B219,'OA名单'!B:B,'OA名单'!F:F)</f>
      </c>
      <c r="S219" s="63">
        <f t="shared" si="10"/>
      </c>
      <c r="T219" s="70"/>
      <c r="U219" s="63" cm="1">
        <f t="array" ref="U219:U219">_xlfn.XLOOKUP(N219,'OA名单'!B:B,'OA名单'!E:E)</f>
      </c>
      <c r="V219" s="63">
        <f t="shared" si="12"/>
      </c>
      <c r="W219" s="71"/>
      <c r="X219" s="66"/>
      <c r="Y219" s="66"/>
    </row>
    <row hidden="true" r="220">
      <c r="A220" s="66"/>
      <c r="B220" s="66" t="s">
        <v>13256</v>
      </c>
      <c r="C220" s="67" t="s">
        <v>12713</v>
      </c>
      <c r="D220" s="67" t="s">
        <v>12714</v>
      </c>
      <c r="E220" s="66" t="s">
        <v>12749</v>
      </c>
      <c r="F220" s="66" t="s">
        <v>12768</v>
      </c>
      <c r="G220" s="66" t="s">
        <v>13257</v>
      </c>
      <c r="H220" s="66" t="s">
        <v>13258</v>
      </c>
      <c r="I220" s="68">
        <v>1.099</v>
      </c>
      <c r="J220" s="69">
        <v>1.1</v>
      </c>
      <c r="K220" s="66">
        <v>1.1</v>
      </c>
      <c r="L220" s="66">
        <v>2200</v>
      </c>
      <c r="M220" s="66">
        <v>2000</v>
      </c>
      <c r="N220" s="63" cm="1">
        <f t="array" ref="N220:N220">_xlfn.XLOOKUP(H220,'OA名单'!C:C,'OA名单'!B:B,1)</f>
      </c>
      <c r="O220" s="63">
        <f t="shared" si="8"/>
      </c>
      <c r="P220" s="63" cm="1">
        <f t="array" ref="P220:P220">_xlfn.XLOOKUP(N220,'OA名单'!B:B,'OA名单'!G:G)</f>
      </c>
      <c r="Q220" s="63">
        <f t="shared" si="11"/>
      </c>
      <c r="R220" s="63" cm="1">
        <f t="array" ref="R220:R220">_xlfn.XLOOKUP(B220,'OA名单'!B:B,'OA名单'!F:F)</f>
      </c>
      <c r="S220" s="63">
        <f t="shared" si="10"/>
      </c>
      <c r="T220" s="70"/>
      <c r="U220" s="63" cm="1">
        <f t="array" ref="U220:U220">_xlfn.XLOOKUP(N220,'OA名单'!B:B,'OA名单'!E:E)</f>
      </c>
      <c r="V220" s="63">
        <f t="shared" si="12"/>
      </c>
      <c r="W220" s="71"/>
      <c r="X220" s="66"/>
      <c r="Y220" s="66"/>
    </row>
    <row hidden="true" r="221">
      <c r="A221" s="66"/>
      <c r="B221" s="66" t="s">
        <v>13259</v>
      </c>
      <c r="C221" s="67" t="s">
        <v>12713</v>
      </c>
      <c r="D221" s="67" t="s">
        <v>12714</v>
      </c>
      <c r="E221" s="66" t="s">
        <v>13146</v>
      </c>
      <c r="F221" s="66" t="s">
        <v>13260</v>
      </c>
      <c r="G221" s="66" t="s">
        <v>13261</v>
      </c>
      <c r="H221" s="66" t="s">
        <v>13262</v>
      </c>
      <c r="I221" s="68">
        <v>0.798</v>
      </c>
      <c r="J221" s="69">
        <v>1.1</v>
      </c>
      <c r="K221" s="66">
        <v>1.1</v>
      </c>
      <c r="L221" s="66">
        <v>880</v>
      </c>
      <c r="M221" s="66">
        <v>800</v>
      </c>
      <c r="N221" s="63" cm="1">
        <f t="array" ref="N221:N221">_xlfn.XLOOKUP(H221,'OA名单'!C:C,'OA名单'!B:B,1)</f>
      </c>
      <c r="O221" s="63">
        <f t="shared" si="8"/>
      </c>
      <c r="P221" s="63" cm="1">
        <f t="array" ref="P221:P221">_xlfn.XLOOKUP(N221,'OA名单'!B:B,'OA名单'!G:G)</f>
      </c>
      <c r="Q221" s="63">
        <f t="shared" si="11"/>
      </c>
      <c r="R221" s="63" cm="1">
        <f t="array" ref="R221:R221">_xlfn.XLOOKUP(B221,'OA名单'!B:B,'OA名单'!F:F)</f>
      </c>
      <c r="S221" s="63">
        <f t="shared" si="10"/>
      </c>
      <c r="T221" s="70"/>
      <c r="U221" s="63" cm="1">
        <f t="array" ref="U221:U221">_xlfn.XLOOKUP(N221,'OA名单'!B:B,'OA名单'!E:E)</f>
      </c>
      <c r="V221" s="63">
        <f t="shared" si="12"/>
      </c>
      <c r="W221" s="71"/>
      <c r="X221" s="66"/>
      <c r="Y221" s="66"/>
    </row>
    <row hidden="true" r="222">
      <c r="A222" s="66"/>
      <c r="B222" s="66" t="s">
        <v>13263</v>
      </c>
      <c r="C222" s="67" t="s">
        <v>12713</v>
      </c>
      <c r="D222" s="67" t="s">
        <v>12714</v>
      </c>
      <c r="E222" s="66" t="s">
        <v>12956</v>
      </c>
      <c r="F222" s="66" t="s">
        <v>13264</v>
      </c>
      <c r="G222" s="66" t="s">
        <v>13265</v>
      </c>
      <c r="H222" s="66" t="s">
        <v>13266</v>
      </c>
      <c r="I222" s="68">
        <v>1</v>
      </c>
      <c r="J222" s="69">
        <v>1.1</v>
      </c>
      <c r="K222" s="66">
        <v>1.1</v>
      </c>
      <c r="L222" s="66">
        <v>2531.25</v>
      </c>
      <c r="M222" s="66">
        <v>2000</v>
      </c>
      <c r="N222" s="63" cm="1">
        <f t="array" ref="N222:N222">_xlfn.XLOOKUP(H222,'OA名单'!C:C,'OA名单'!B:B,1)</f>
      </c>
      <c r="O222" s="63">
        <f t="shared" si="8"/>
      </c>
      <c r="P222" s="63" cm="1">
        <f t="array" ref="P222:P222">_xlfn.XLOOKUP(N222,'OA名单'!B:B,'OA名单'!G:G)</f>
      </c>
      <c r="Q222" s="63">
        <f t="shared" si="11"/>
      </c>
      <c r="R222" s="63" cm="1">
        <f t="array" ref="R222:R222">_xlfn.XLOOKUP(B222,'OA名单'!B:B,'OA名单'!F:F)</f>
      </c>
      <c r="S222" s="63">
        <f t="shared" si="10"/>
      </c>
      <c r="T222" s="70"/>
      <c r="U222" s="63" cm="1">
        <f t="array" ref="U222:U222">_xlfn.XLOOKUP(N222,'OA名单'!B:B,'OA名单'!E:E)</f>
      </c>
      <c r="V222" s="63">
        <f t="shared" si="12"/>
      </c>
      <c r="W222" s="71"/>
      <c r="X222" s="66"/>
      <c r="Y222" s="66"/>
    </row>
    <row hidden="true" r="223">
      <c r="A223" s="66"/>
      <c r="B223" s="66" t="s">
        <v>13267</v>
      </c>
      <c r="C223" s="67" t="s">
        <v>12713</v>
      </c>
      <c r="D223" s="67" t="s">
        <v>12714</v>
      </c>
      <c r="E223" s="66" t="s">
        <v>13097</v>
      </c>
      <c r="F223" s="67" t="s">
        <v>13130</v>
      </c>
      <c r="G223" s="66" t="s">
        <v>13067</v>
      </c>
      <c r="H223" s="66" t="s">
        <v>13268</v>
      </c>
      <c r="I223" s="68">
        <v>1.1036</v>
      </c>
      <c r="J223" s="69">
        <v>1.1</v>
      </c>
      <c r="K223" s="66">
        <v>1.1</v>
      </c>
      <c r="L223" s="66">
        <v>0</v>
      </c>
      <c r="M223" s="66">
        <v>3000</v>
      </c>
      <c r="N223" s="63" cm="1">
        <f t="array" ref="N223:N223">_xlfn.XLOOKUP(H223,'OA名单'!C:C,'OA名单'!B:B,1)</f>
      </c>
      <c r="O223" s="63">
        <f t="shared" si="8"/>
      </c>
      <c r="P223" s="63" cm="1">
        <f t="array" ref="P223:P223">_xlfn.XLOOKUP(N223,'OA名单'!B:B,'OA名单'!G:G)</f>
      </c>
      <c r="Q223" s="63">
        <f t="shared" si="11"/>
      </c>
      <c r="R223" s="63" cm="1">
        <f t="array" ref="R223:R223">_xlfn.XLOOKUP(B223,'OA名单'!B:B,'OA名单'!F:F)</f>
      </c>
      <c r="S223" s="63">
        <f t="shared" si="10"/>
      </c>
      <c r="T223" s="64" cm="1">
        <f t="array" ref="T223:T223">_xlfn.XLOOKUP(B223,'系统-原始（副本）'!A:A,'系统-原始（副本）'!B:B)</f>
      </c>
      <c r="U223" s="63" cm="1">
        <f t="array" ref="U223:U223">_xlfn.XLOOKUP(N223,'OA名单'!B:B,'OA名单'!E:E)</f>
      </c>
      <c r="V223" s="63">
        <f t="shared" si="12"/>
      </c>
      <c r="W223" s="71"/>
      <c r="X223" s="66"/>
      <c r="Y223" s="66"/>
    </row>
    <row hidden="true" r="224">
      <c r="A224" s="66"/>
      <c r="B224" s="66"/>
      <c r="C224" s="67" t="s">
        <v>12713</v>
      </c>
      <c r="D224" s="67" t="s">
        <v>12714</v>
      </c>
      <c r="E224" s="66"/>
      <c r="F224" s="66"/>
      <c r="G224" s="66"/>
      <c r="H224" s="66" t="s">
        <v>13258</v>
      </c>
      <c r="I224" s="68">
        <v>1.099</v>
      </c>
      <c r="J224" s="69">
        <v>1.1</v>
      </c>
      <c r="K224" s="66">
        <v>1.1</v>
      </c>
      <c r="L224" s="66">
        <v>2200</v>
      </c>
      <c r="M224" s="66">
        <v>2000</v>
      </c>
      <c r="N224" s="63" cm="1">
        <f t="array" ref="N224:N224">_xlfn.XLOOKUP(H224,'OA名单'!C:C,'OA名单'!B:B,1)</f>
      </c>
      <c r="O224" s="63">
        <f t="shared" si="8"/>
      </c>
      <c r="P224" s="63" cm="1">
        <f t="array" ref="P224:P224">_xlfn.XLOOKUP(N224,'OA名单'!B:B,'OA名单'!G:G)</f>
      </c>
      <c r="Q224" s="63">
        <f t="shared" si="11"/>
      </c>
      <c r="R224" s="63" cm="1">
        <f t="array" ref="R224:R224">_xlfn.XLOOKUP(B224,'OA名单'!B:B,'OA名单'!F:F)</f>
      </c>
      <c r="S224" s="63">
        <f t="shared" si="10"/>
      </c>
      <c r="T224" s="70"/>
      <c r="U224" s="63" cm="1">
        <f t="array" ref="U224:U224">_xlfn.XLOOKUP(N224,'OA名单'!B:B,'OA名单'!E:E)</f>
      </c>
      <c r="V224" s="63">
        <f t="shared" si="12"/>
      </c>
      <c r="W224" s="71"/>
      <c r="X224" s="66"/>
      <c r="Y224" s="66"/>
    </row>
    <row hidden="true" r="225">
      <c r="A225" s="66"/>
      <c r="B225" s="66"/>
      <c r="C225" s="67" t="s">
        <v>12713</v>
      </c>
      <c r="D225" s="67" t="s">
        <v>12714</v>
      </c>
      <c r="E225" s="66"/>
      <c r="F225" s="66"/>
      <c r="G225" s="66"/>
      <c r="H225" s="66" t="s">
        <v>13269</v>
      </c>
      <c r="I225" s="68">
        <v>1.1</v>
      </c>
      <c r="J225" s="69">
        <v>1.1</v>
      </c>
      <c r="K225" s="66">
        <v>1.1</v>
      </c>
      <c r="L225" s="66">
        <v>5200</v>
      </c>
      <c r="M225" s="66">
        <v>5000</v>
      </c>
      <c r="N225" s="63" cm="1">
        <f t="array" ref="N225:N225">_xlfn.XLOOKUP(H225,'OA名单'!C:C,'OA名单'!B:B,1)</f>
      </c>
      <c r="O225" s="63">
        <f t="shared" si="8"/>
      </c>
      <c r="P225" s="63" cm="1">
        <f t="array" ref="P225:P225">_xlfn.XLOOKUP(N225,'OA名单'!B:B,'OA名单'!G:G)</f>
      </c>
      <c r="Q225" s="63">
        <f t="shared" si="11"/>
      </c>
      <c r="R225" s="63" cm="1">
        <f t="array" ref="R225:R225">_xlfn.XLOOKUP(B225,'OA名单'!B:B,'OA名单'!F:F)</f>
      </c>
      <c r="S225" s="63">
        <f t="shared" si="10"/>
      </c>
      <c r="T225" s="70"/>
      <c r="U225" s="63" cm="1">
        <f t="array" ref="U225:U225">_xlfn.XLOOKUP(N225,'OA名单'!B:B,'OA名单'!E:E)</f>
      </c>
      <c r="V225" s="63">
        <f t="shared" si="12"/>
      </c>
      <c r="W225" s="71"/>
      <c r="X225" s="66"/>
      <c r="Y225" s="66"/>
    </row>
    <row hidden="true" r="226">
      <c r="A226" s="66"/>
      <c r="B226" s="66" t="s">
        <v>13270</v>
      </c>
      <c r="C226" s="67" t="s">
        <v>12713</v>
      </c>
      <c r="D226" s="67" t="s">
        <v>12714</v>
      </c>
      <c r="E226" s="66" t="s">
        <v>12763</v>
      </c>
      <c r="F226" s="66" t="s">
        <v>13072</v>
      </c>
      <c r="G226" s="66" t="s">
        <v>13248</v>
      </c>
      <c r="H226" s="66" t="s">
        <v>13271</v>
      </c>
      <c r="I226" s="68">
        <v>1.105</v>
      </c>
      <c r="J226" s="69">
        <v>1.09</v>
      </c>
      <c r="K226" s="66">
        <v>1.09</v>
      </c>
      <c r="L226" s="66">
        <v>2400</v>
      </c>
      <c r="M226" s="66">
        <v>3000</v>
      </c>
      <c r="N226" s="63" cm="1">
        <f t="array" ref="N226:N226">_xlfn.XLOOKUP(H226,'OA名单'!C:C,'OA名单'!B:B,1)</f>
      </c>
      <c r="O226" s="63">
        <f t="shared" si="8"/>
      </c>
      <c r="P226" s="63" cm="1">
        <f t="array" ref="P226:P226">_xlfn.XLOOKUP(N226,'OA名单'!B:B,'OA名单'!G:G)</f>
      </c>
      <c r="Q226" s="63">
        <f t="shared" si="11"/>
      </c>
      <c r="R226" s="63" cm="1">
        <f t="array" ref="R226:R226">_xlfn.XLOOKUP(B226,'OA名单'!B:B,'OA名单'!F:F)</f>
      </c>
      <c r="S226" s="63">
        <f t="shared" si="10"/>
      </c>
      <c r="T226" s="70"/>
      <c r="U226" s="63" cm="1">
        <f t="array" ref="U226:U226">_xlfn.XLOOKUP(N226,'OA名单'!B:B,'OA名单'!E:E)</f>
      </c>
      <c r="V226" s="63">
        <f t="shared" si="12"/>
      </c>
      <c r="W226" s="71"/>
      <c r="X226" s="66"/>
      <c r="Y226" s="66"/>
    </row>
    <row hidden="true" r="227">
      <c r="A227" s="66"/>
      <c r="B227" s="66" t="s">
        <v>13272</v>
      </c>
      <c r="C227" s="67" t="s">
        <v>12713</v>
      </c>
      <c r="D227" s="67" t="s">
        <v>12714</v>
      </c>
      <c r="E227" s="66" t="s">
        <v>13146</v>
      </c>
      <c r="F227" s="66" t="s">
        <v>13204</v>
      </c>
      <c r="G227" s="66" t="s">
        <v>13205</v>
      </c>
      <c r="H227" s="66" t="s">
        <v>13273</v>
      </c>
      <c r="I227" s="68">
        <v>0.98708</v>
      </c>
      <c r="J227" s="69">
        <v>1.09</v>
      </c>
      <c r="K227" s="66">
        <v>1.09</v>
      </c>
      <c r="L227" s="66">
        <v>3629.03</v>
      </c>
      <c r="M227" s="66">
        <v>3000</v>
      </c>
      <c r="N227" s="63" cm="1">
        <f t="array" ref="N227:N227">_xlfn.XLOOKUP(H227,'OA名单'!C:C,'OA名单'!B:B,1)</f>
      </c>
      <c r="O227" s="63">
        <f t="shared" si="8"/>
      </c>
      <c r="P227" s="63" cm="1">
        <f t="array" ref="P227:P227">_xlfn.XLOOKUP(N227,'OA名单'!B:B,'OA名单'!G:G)</f>
      </c>
      <c r="Q227" s="63">
        <f t="shared" si="11"/>
      </c>
      <c r="R227" s="63" cm="1">
        <f t="array" ref="R227:R227">_xlfn.XLOOKUP(B227,'OA名单'!B:B,'OA名单'!F:F)</f>
      </c>
      <c r="S227" s="63">
        <f t="shared" si="10"/>
      </c>
      <c r="T227" s="70"/>
      <c r="U227" s="63" cm="1">
        <f t="array" ref="U227:U227">_xlfn.XLOOKUP(N227,'OA名单'!B:B,'OA名单'!E:E)</f>
      </c>
      <c r="V227" s="63">
        <f t="shared" si="12"/>
      </c>
      <c r="W227" s="71"/>
      <c r="X227" s="66"/>
      <c r="Y227" s="66"/>
    </row>
    <row hidden="true" r="228">
      <c r="A228" s="66"/>
      <c r="B228" s="66" t="s">
        <v>13274</v>
      </c>
      <c r="C228" s="67" t="s">
        <v>12713</v>
      </c>
      <c r="D228" s="67" t="s">
        <v>12714</v>
      </c>
      <c r="E228" s="66" t="s">
        <v>13146</v>
      </c>
      <c r="F228" s="66" t="s">
        <v>13260</v>
      </c>
      <c r="G228" s="66" t="s">
        <v>13261</v>
      </c>
      <c r="H228" s="66" t="s">
        <v>13275</v>
      </c>
      <c r="I228" s="68">
        <v>0.9665</v>
      </c>
      <c r="J228" s="69">
        <v>1.08</v>
      </c>
      <c r="K228" s="66">
        <v>1.08</v>
      </c>
      <c r="L228" s="66">
        <v>864</v>
      </c>
      <c r="M228" s="66">
        <v>800</v>
      </c>
      <c r="N228" s="63" cm="1">
        <f t="array" ref="N228:N228">_xlfn.XLOOKUP(H228,'OA名单'!C:C,'OA名单'!B:B,1)</f>
      </c>
      <c r="O228" s="63">
        <f t="shared" si="8"/>
      </c>
      <c r="P228" s="63" cm="1">
        <f t="array" ref="P228:P228">_xlfn.XLOOKUP(N228,'OA名单'!B:B,'OA名单'!G:G)</f>
      </c>
      <c r="Q228" s="63">
        <f t="shared" si="11"/>
      </c>
      <c r="R228" s="63" cm="1">
        <f t="array" ref="R228:R228">_xlfn.XLOOKUP(B228,'OA名单'!B:B,'OA名单'!F:F)</f>
      </c>
      <c r="S228" s="63">
        <f t="shared" si="10"/>
      </c>
      <c r="T228" s="70"/>
      <c r="U228" s="63" cm="1">
        <f t="array" ref="U228:U228">_xlfn.XLOOKUP(N228,'OA名单'!B:B,'OA名单'!E:E)</f>
      </c>
      <c r="V228" s="63">
        <f t="shared" si="12"/>
      </c>
      <c r="W228" s="71"/>
      <c r="X228" s="66"/>
      <c r="Y228" s="66"/>
    </row>
    <row hidden="true" r="229">
      <c r="A229" s="66"/>
      <c r="B229" s="66" t="s">
        <v>13276</v>
      </c>
      <c r="C229" s="67" t="s">
        <v>12713</v>
      </c>
      <c r="D229" s="67" t="s">
        <v>12714</v>
      </c>
      <c r="E229" s="66" t="s">
        <v>13277</v>
      </c>
      <c r="F229" s="66" t="s">
        <v>13278</v>
      </c>
      <c r="G229" s="66" t="s">
        <v>13279</v>
      </c>
      <c r="H229" s="66" t="s">
        <v>13280</v>
      </c>
      <c r="I229" s="68">
        <v>0.93073</v>
      </c>
      <c r="J229" s="69">
        <v>1.08</v>
      </c>
      <c r="K229" s="66">
        <v>1.08</v>
      </c>
      <c r="L229" s="66">
        <v>3692.31</v>
      </c>
      <c r="M229" s="66">
        <v>3000</v>
      </c>
      <c r="N229" s="63" cm="1">
        <f t="array" ref="N229:N229">_xlfn.XLOOKUP(H229,'OA名单'!C:C,'OA名单'!B:B,1)</f>
      </c>
      <c r="O229" s="63">
        <f t="shared" si="8"/>
      </c>
      <c r="P229" s="63" cm="1">
        <f t="array" ref="P229:P229">_xlfn.XLOOKUP(N229,'OA名单'!B:B,'OA名单'!G:G)</f>
      </c>
      <c r="Q229" s="63">
        <f t="shared" si="11"/>
      </c>
      <c r="R229" s="63" cm="1">
        <f t="array" ref="R229:R229">_xlfn.XLOOKUP(B229,'OA名单'!B:B,'OA名单'!F:F)</f>
      </c>
      <c r="S229" s="63">
        <f t="shared" si="10"/>
      </c>
      <c r="T229" s="70"/>
      <c r="U229" s="63" cm="1">
        <f t="array" ref="U229:U229">_xlfn.XLOOKUP(N229,'OA名单'!B:B,'OA名单'!E:E)</f>
      </c>
      <c r="V229" s="63">
        <f t="shared" si="12"/>
      </c>
      <c r="W229" s="71"/>
      <c r="X229" s="66"/>
      <c r="Y229" s="66"/>
    </row>
    <row hidden="true" r="230">
      <c r="A230" s="66"/>
      <c r="B230" s="66" t="s">
        <v>13281</v>
      </c>
      <c r="C230" s="67" t="s">
        <v>12713</v>
      </c>
      <c r="D230" s="67" t="s">
        <v>12714</v>
      </c>
      <c r="E230" s="66" t="s">
        <v>13011</v>
      </c>
      <c r="F230" s="66" t="s">
        <v>13138</v>
      </c>
      <c r="G230" s="66" t="s">
        <v>13043</v>
      </c>
      <c r="H230" s="66" t="s">
        <v>13282</v>
      </c>
      <c r="I230" s="68">
        <v>1.08697</v>
      </c>
      <c r="J230" s="69">
        <v>1.08</v>
      </c>
      <c r="K230" s="66">
        <v>1.08</v>
      </c>
      <c r="L230" s="66">
        <v>0</v>
      </c>
      <c r="M230" s="66">
        <v>2000</v>
      </c>
      <c r="N230" s="63" cm="1">
        <f t="array" ref="N230:N230">_xlfn.XLOOKUP(H230,'OA名单'!C:C,'OA名单'!B:B,1)</f>
      </c>
      <c r="O230" s="63">
        <f t="shared" si="8"/>
      </c>
      <c r="P230" s="63" cm="1">
        <f t="array" ref="P230:P230">_xlfn.XLOOKUP(N230,'OA名单'!B:B,'OA名单'!G:G)</f>
      </c>
      <c r="Q230" s="63">
        <f t="shared" si="11"/>
      </c>
      <c r="R230" s="63" cm="1">
        <f t="array" ref="R230:R230">_xlfn.XLOOKUP(B230,'OA名单'!B:B,'OA名单'!F:F)</f>
      </c>
      <c r="S230" s="63">
        <f t="shared" si="10"/>
      </c>
      <c r="T230" s="70"/>
      <c r="U230" s="63" cm="1">
        <f t="array" ref="U230:U230">_xlfn.XLOOKUP(N230,'OA名单'!B:B,'OA名单'!E:E)</f>
      </c>
      <c r="V230" s="63">
        <f t="shared" si="12"/>
      </c>
      <c r="W230" s="71"/>
      <c r="X230" s="66"/>
      <c r="Y230" s="66"/>
    </row>
    <row hidden="true" r="231">
      <c r="A231" s="66"/>
      <c r="B231" s="66" t="s">
        <v>13283</v>
      </c>
      <c r="C231" s="67" t="s">
        <v>12713</v>
      </c>
      <c r="D231" s="67" t="s">
        <v>12714</v>
      </c>
      <c r="E231" s="66" t="s">
        <v>13027</v>
      </c>
      <c r="F231" s="66" t="s">
        <v>13028</v>
      </c>
      <c r="G231" s="66" t="s">
        <v>13195</v>
      </c>
      <c r="H231" s="66" t="s">
        <v>13284</v>
      </c>
      <c r="I231" s="68">
        <v>0.72275</v>
      </c>
      <c r="J231" s="69">
        <v>1.08</v>
      </c>
      <c r="K231" s="66">
        <v>1.08</v>
      </c>
      <c r="L231" s="66">
        <v>3600</v>
      </c>
      <c r="M231" s="66">
        <v>4000</v>
      </c>
      <c r="N231" s="63" cm="1">
        <f t="array" ref="N231:N231">_xlfn.XLOOKUP(H231,'OA名单'!C:C,'OA名单'!B:B,1)</f>
      </c>
      <c r="O231" s="63">
        <f t="shared" si="8"/>
      </c>
      <c r="P231" s="63" cm="1">
        <f t="array" ref="P231:P231">_xlfn.XLOOKUP(N231,'OA名单'!B:B,'OA名单'!G:G)</f>
      </c>
      <c r="Q231" s="63">
        <f t="shared" si="11"/>
      </c>
      <c r="R231" s="63" cm="1">
        <f t="array" ref="R231:R231">_xlfn.XLOOKUP(B231,'OA名单'!B:B,'OA名单'!F:F)</f>
      </c>
      <c r="S231" s="63">
        <f t="shared" si="10"/>
      </c>
      <c r="T231" s="70"/>
      <c r="U231" s="63" cm="1">
        <f t="array" ref="U231:U231">_xlfn.XLOOKUP(N231,'OA名单'!B:B,'OA名单'!E:E)</f>
      </c>
      <c r="V231" s="63">
        <f t="shared" si="12"/>
      </c>
      <c r="W231" s="71"/>
      <c r="X231" s="66"/>
      <c r="Y231" s="66"/>
    </row>
    <row hidden="true" r="232">
      <c r="A232" s="66"/>
      <c r="B232" s="66" t="s">
        <v>13285</v>
      </c>
      <c r="C232" s="67" t="s">
        <v>12713</v>
      </c>
      <c r="D232" s="67" t="s">
        <v>12714</v>
      </c>
      <c r="E232" s="66" t="s">
        <v>13097</v>
      </c>
      <c r="F232" s="67" t="s">
        <v>13130</v>
      </c>
      <c r="G232" s="66" t="s">
        <v>13067</v>
      </c>
      <c r="H232" s="66" t="s">
        <v>13286</v>
      </c>
      <c r="I232" s="68">
        <v>1.084</v>
      </c>
      <c r="J232" s="69">
        <v>1.08</v>
      </c>
      <c r="K232" s="66">
        <v>1.08</v>
      </c>
      <c r="L232" s="66">
        <v>3360</v>
      </c>
      <c r="M232" s="66">
        <v>3000</v>
      </c>
      <c r="N232" s="63" cm="1">
        <f t="array" ref="N232:N232">_xlfn.XLOOKUP(H232,'OA名单'!C:C,'OA名单'!B:B,1)</f>
      </c>
      <c r="O232" s="63">
        <f t="shared" si="8"/>
      </c>
      <c r="P232" s="63" cm="1">
        <f t="array" ref="P232:P232">_xlfn.XLOOKUP(N232,'OA名单'!B:B,'OA名单'!G:G)</f>
      </c>
      <c r="Q232" s="63">
        <f t="shared" si="11"/>
      </c>
      <c r="R232" s="63" cm="1">
        <f t="array" ref="R232:R232">_xlfn.XLOOKUP(B232,'OA名单'!B:B,'OA名单'!F:F)</f>
      </c>
      <c r="S232" s="63">
        <f t="shared" si="10"/>
      </c>
      <c r="T232" s="64" cm="1">
        <f t="array" ref="T232:T232">_xlfn.XLOOKUP(B232,'系统-原始（副本）'!A:A,'系统-原始（副本）'!B:B)</f>
      </c>
      <c r="U232" s="63" cm="1">
        <f t="array" ref="U232:U232">_xlfn.XLOOKUP(N232,'OA名单'!B:B,'OA名单'!E:E)</f>
      </c>
      <c r="V232" s="63">
        <f t="shared" si="12"/>
      </c>
      <c r="W232" s="71"/>
      <c r="X232" s="66"/>
      <c r="Y232" s="66"/>
    </row>
    <row hidden="true" r="233">
      <c r="A233" s="66"/>
      <c r="B233" s="66" t="s">
        <v>13287</v>
      </c>
      <c r="C233" s="67" t="s">
        <v>12713</v>
      </c>
      <c r="D233" s="67" t="s">
        <v>12714</v>
      </c>
      <c r="E233" s="66" t="s">
        <v>12936</v>
      </c>
      <c r="F233" s="66" t="s">
        <v>13028</v>
      </c>
      <c r="G233" s="66" t="s">
        <v>13288</v>
      </c>
      <c r="H233" s="66" t="s">
        <v>13289</v>
      </c>
      <c r="I233" s="68">
        <v>0.67</v>
      </c>
      <c r="J233" s="69">
        <v>1.07</v>
      </c>
      <c r="K233" s="66">
        <v>1.07</v>
      </c>
      <c r="L233" s="66">
        <v>3200</v>
      </c>
      <c r="M233" s="66">
        <v>2800</v>
      </c>
      <c r="N233" s="63" cm="1">
        <f t="array" ref="N233:N233">_xlfn.XLOOKUP(H233,'OA名单'!C:C,'OA名单'!B:B,1)</f>
      </c>
      <c r="O233" s="63">
        <f t="shared" si="8"/>
      </c>
      <c r="P233" s="63" cm="1">
        <f t="array" ref="P233:P233">_xlfn.XLOOKUP(N233,'OA名单'!B:B,'OA名单'!G:G)</f>
      </c>
      <c r="Q233" s="63">
        <f t="shared" si="11"/>
      </c>
      <c r="R233" s="63" cm="1">
        <f t="array" ref="R233:R233">_xlfn.XLOOKUP(B233,'OA名单'!B:B,'OA名单'!F:F)</f>
      </c>
      <c r="S233" s="63">
        <f t="shared" si="10"/>
      </c>
      <c r="T233" s="70"/>
      <c r="U233" s="63" cm="1">
        <f t="array" ref="U233:U233">_xlfn.XLOOKUP(N233,'OA名单'!B:B,'OA名单'!E:E)</f>
      </c>
      <c r="V233" s="63">
        <f t="shared" si="12"/>
      </c>
      <c r="W233" s="71"/>
      <c r="X233" s="66"/>
      <c r="Y233" s="66"/>
    </row>
    <row hidden="true" r="234">
      <c r="A234" s="66"/>
      <c r="B234" s="66" t="s">
        <v>13290</v>
      </c>
      <c r="C234" s="67" t="s">
        <v>12713</v>
      </c>
      <c r="D234" s="67" t="s">
        <v>12714</v>
      </c>
      <c r="E234" s="66" t="s">
        <v>13146</v>
      </c>
      <c r="F234" s="66" t="s">
        <v>13147</v>
      </c>
      <c r="G234" s="66" t="s">
        <v>13291</v>
      </c>
      <c r="H234" s="66" t="s">
        <v>13292</v>
      </c>
      <c r="I234" s="68">
        <v>0.973389</v>
      </c>
      <c r="J234" s="69">
        <v>1.07</v>
      </c>
      <c r="K234" s="66">
        <v>1.07</v>
      </c>
      <c r="L234" s="66">
        <v>4140.85</v>
      </c>
      <c r="M234" s="66">
        <v>3000</v>
      </c>
      <c r="N234" s="63" cm="1">
        <f t="array" ref="N234:N234">_xlfn.XLOOKUP(H234,'OA名单'!C:C,'OA名单'!B:B,1)</f>
      </c>
      <c r="O234" s="63">
        <f t="shared" si="8"/>
      </c>
      <c r="P234" s="63" cm="1">
        <f t="array" ref="P234:P234">_xlfn.XLOOKUP(N234,'OA名单'!B:B,'OA名单'!G:G)</f>
      </c>
      <c r="Q234" s="63">
        <f t="shared" si="11"/>
      </c>
      <c r="R234" s="63" cm="1">
        <f t="array" ref="R234:R234">_xlfn.XLOOKUP(B234,'OA名单'!B:B,'OA名单'!F:F)</f>
      </c>
      <c r="S234" s="63">
        <f t="shared" si="10"/>
      </c>
      <c r="T234" s="70"/>
      <c r="U234" s="63" cm="1">
        <f t="array" ref="U234:U234">_xlfn.XLOOKUP(N234,'OA名单'!B:B,'OA名单'!E:E)</f>
      </c>
      <c r="V234" s="63">
        <f t="shared" si="12"/>
      </c>
      <c r="W234" s="71"/>
      <c r="X234" s="66"/>
      <c r="Y234" s="66"/>
    </row>
    <row hidden="true" r="235">
      <c r="A235" s="66"/>
      <c r="B235" s="66" t="s">
        <v>13293</v>
      </c>
      <c r="C235" s="67" t="s">
        <v>12713</v>
      </c>
      <c r="D235" s="67" t="s">
        <v>12714</v>
      </c>
      <c r="E235" s="66" t="s">
        <v>13146</v>
      </c>
      <c r="F235" s="66" t="s">
        <v>13204</v>
      </c>
      <c r="G235" s="66" t="s">
        <v>13294</v>
      </c>
      <c r="H235" s="66" t="s">
        <v>13295</v>
      </c>
      <c r="I235" s="68">
        <v>1.028</v>
      </c>
      <c r="J235" s="69">
        <v>1.07</v>
      </c>
      <c r="K235" s="66">
        <v>1.07</v>
      </c>
      <c r="L235" s="66">
        <v>2000</v>
      </c>
      <c r="M235" s="66">
        <v>2000</v>
      </c>
      <c r="N235" s="63" cm="1">
        <f t="array" ref="N235:N235">_xlfn.XLOOKUP(H235,'OA名单'!C:C,'OA名单'!B:B,1)</f>
      </c>
      <c r="O235" s="63">
        <f t="shared" si="8"/>
      </c>
      <c r="P235" s="63" cm="1">
        <f t="array" ref="P235:P235">_xlfn.XLOOKUP(N235,'OA名单'!B:B,'OA名单'!G:G)</f>
      </c>
      <c r="Q235" s="63">
        <f t="shared" si="11"/>
      </c>
      <c r="R235" s="63" cm="1">
        <f t="array" ref="R235:R235">_xlfn.XLOOKUP(B235,'OA名单'!B:B,'OA名单'!F:F)</f>
      </c>
      <c r="S235" s="63">
        <f t="shared" si="10"/>
      </c>
      <c r="T235" s="70"/>
      <c r="U235" s="63" cm="1">
        <f t="array" ref="U235:U235">_xlfn.XLOOKUP(N235,'OA名单'!B:B,'OA名单'!E:E)</f>
      </c>
      <c r="V235" s="63">
        <f t="shared" si="12"/>
      </c>
      <c r="W235" s="71"/>
      <c r="X235" s="66"/>
      <c r="Y235" s="66"/>
    </row>
    <row hidden="true" r="236">
      <c r="A236" s="66"/>
      <c r="B236" s="66" t="s">
        <v>13296</v>
      </c>
      <c r="C236" s="67" t="s">
        <v>12713</v>
      </c>
      <c r="D236" s="67" t="s">
        <v>12714</v>
      </c>
      <c r="E236" s="66" t="s">
        <v>12782</v>
      </c>
      <c r="F236" s="66" t="s">
        <v>13297</v>
      </c>
      <c r="G236" s="66" t="s">
        <v>12982</v>
      </c>
      <c r="H236" s="66" t="s">
        <v>13298</v>
      </c>
      <c r="I236" s="68">
        <v>1.07</v>
      </c>
      <c r="J236" s="69">
        <v>1.07</v>
      </c>
      <c r="K236" s="66">
        <v>1.07</v>
      </c>
      <c r="L236" s="66">
        <v>2765</v>
      </c>
      <c r="M236" s="66">
        <v>1500</v>
      </c>
      <c r="N236" s="63" cm="1">
        <f t="array" ref="N236:N236">_xlfn.XLOOKUP(H236,'OA名单'!C:C,'OA名单'!B:B,1)</f>
      </c>
      <c r="O236" s="63">
        <f t="shared" si="8"/>
      </c>
      <c r="P236" s="63" cm="1">
        <f t="array" ref="P236:P236">_xlfn.XLOOKUP(N236,'OA名单'!B:B,'OA名单'!G:G)</f>
      </c>
      <c r="Q236" s="63">
        <f t="shared" si="11"/>
      </c>
      <c r="R236" s="63" cm="1">
        <f t="array" ref="R236:R236">_xlfn.XLOOKUP(B236,'OA名单'!B:B,'OA名单'!F:F)</f>
      </c>
      <c r="S236" s="63">
        <f t="shared" si="10"/>
      </c>
      <c r="T236" s="70"/>
      <c r="U236" s="63" cm="1">
        <f t="array" ref="U236:U236">_xlfn.XLOOKUP(N236,'OA名单'!B:B,'OA名单'!E:E)</f>
      </c>
      <c r="V236" s="63">
        <f t="shared" si="12"/>
      </c>
      <c r="W236" s="71"/>
      <c r="X236" s="66"/>
      <c r="Y236" s="66"/>
    </row>
    <row hidden="true" r="237">
      <c r="A237" s="66"/>
      <c r="B237" s="66" t="s">
        <v>13299</v>
      </c>
      <c r="C237" s="67" t="s">
        <v>12713</v>
      </c>
      <c r="D237" s="67" t="s">
        <v>12714</v>
      </c>
      <c r="E237" s="66" t="s">
        <v>12749</v>
      </c>
      <c r="F237" s="66" t="s">
        <v>13157</v>
      </c>
      <c r="G237" s="66" t="s">
        <v>13300</v>
      </c>
      <c r="H237" s="66" t="s">
        <v>13301</v>
      </c>
      <c r="I237" s="68">
        <v>0.815</v>
      </c>
      <c r="J237" s="69">
        <v>1.07</v>
      </c>
      <c r="K237" s="66">
        <v>1.07</v>
      </c>
      <c r="L237" s="66">
        <v>1200</v>
      </c>
      <c r="M237" s="66">
        <v>1200</v>
      </c>
      <c r="N237" s="63" cm="1">
        <f t="array" ref="N237:N237">_xlfn.XLOOKUP(H237,'OA名单'!C:C,'OA名单'!B:B,1)</f>
      </c>
      <c r="O237" s="63">
        <f t="shared" si="8"/>
      </c>
      <c r="P237" s="63" cm="1">
        <f t="array" ref="P237:P237">_xlfn.XLOOKUP(N237,'OA名单'!B:B,'OA名单'!G:G)</f>
      </c>
      <c r="Q237" s="63">
        <f t="shared" si="11"/>
      </c>
      <c r="R237" s="63" cm="1">
        <f t="array" ref="R237:R237">_xlfn.XLOOKUP(B237,'OA名单'!B:B,'OA名单'!F:F)</f>
      </c>
      <c r="S237" s="63">
        <f t="shared" si="10"/>
      </c>
      <c r="T237" s="70"/>
      <c r="U237" s="63" cm="1">
        <f t="array" ref="U237:U237">_xlfn.XLOOKUP(N237,'OA名单'!B:B,'OA名单'!E:E)</f>
      </c>
      <c r="V237" s="63">
        <f t="shared" si="12"/>
      </c>
      <c r="W237" s="71"/>
      <c r="X237" s="66"/>
      <c r="Y237" s="66"/>
    </row>
    <row hidden="true" r="238">
      <c r="A238" s="66"/>
      <c r="B238" s="66" t="s">
        <v>13302</v>
      </c>
      <c r="C238" s="67" t="s">
        <v>12713</v>
      </c>
      <c r="D238" s="67" t="s">
        <v>12714</v>
      </c>
      <c r="E238" s="66" t="s">
        <v>13097</v>
      </c>
      <c r="F238" s="67" t="s">
        <v>13130</v>
      </c>
      <c r="G238" s="66" t="s">
        <v>13067</v>
      </c>
      <c r="H238" s="66" t="s">
        <v>13303</v>
      </c>
      <c r="I238" s="68">
        <v>1.07</v>
      </c>
      <c r="J238" s="69">
        <v>1.07</v>
      </c>
      <c r="K238" s="66">
        <v>1.07</v>
      </c>
      <c r="L238" s="66">
        <v>2940</v>
      </c>
      <c r="M238" s="66">
        <v>3000</v>
      </c>
      <c r="N238" s="63" cm="1">
        <f t="array" ref="N238:N238">_xlfn.XLOOKUP(H238,'OA名单'!C:C,'OA名单'!B:B,1)</f>
      </c>
      <c r="O238" s="63">
        <f t="shared" si="8"/>
      </c>
      <c r="P238" s="63" cm="1">
        <f t="array" ref="P238:P238">_xlfn.XLOOKUP(N238,'OA名单'!B:B,'OA名单'!G:G)</f>
      </c>
      <c r="Q238" s="63">
        <f t="shared" si="11"/>
      </c>
      <c r="R238" s="63" cm="1">
        <f t="array" ref="R238:R238">_xlfn.XLOOKUP(B238,'OA名单'!B:B,'OA名单'!F:F)</f>
      </c>
      <c r="S238" s="63">
        <f t="shared" si="10"/>
      </c>
      <c r="T238" s="64" cm="1">
        <f t="array" ref="T238:T238">_xlfn.XLOOKUP(B238,'系统-原始（副本）'!A:A,'系统-原始（副本）'!B:B)</f>
      </c>
      <c r="U238" s="63" cm="1">
        <f t="array" ref="U238:U238">_xlfn.XLOOKUP(N238,'OA名单'!B:B,'OA名单'!E:E)</f>
      </c>
      <c r="V238" s="63">
        <f t="shared" si="12"/>
      </c>
      <c r="W238" s="71"/>
      <c r="X238" s="66"/>
      <c r="Y238" s="66"/>
    </row>
    <row hidden="true" r="239">
      <c r="A239" s="66"/>
      <c r="B239" s="66" t="s">
        <v>13304</v>
      </c>
      <c r="C239" s="67" t="s">
        <v>12713</v>
      </c>
      <c r="D239" s="67" t="s">
        <v>12714</v>
      </c>
      <c r="E239" s="66" t="s">
        <v>13027</v>
      </c>
      <c r="F239" s="66" t="s">
        <v>13054</v>
      </c>
      <c r="G239" s="66" t="s">
        <v>13043</v>
      </c>
      <c r="H239" s="66" t="s">
        <v>13305</v>
      </c>
      <c r="I239" s="68">
        <v>1.08337</v>
      </c>
      <c r="J239" s="69">
        <v>1.06</v>
      </c>
      <c r="K239" s="66">
        <v>1.06</v>
      </c>
      <c r="L239" s="66">
        <v>3887.55</v>
      </c>
      <c r="M239" s="66">
        <v>2000</v>
      </c>
      <c r="N239" s="63" cm="1">
        <f t="array" ref="N239:N239">_xlfn.XLOOKUP(H239,'OA名单'!C:C,'OA名单'!B:B,1)</f>
      </c>
      <c r="O239" s="63">
        <f t="shared" si="8"/>
      </c>
      <c r="P239" s="63" cm="1">
        <f t="array" ref="P239:P239">_xlfn.XLOOKUP(N239,'OA名单'!B:B,'OA名单'!G:G)</f>
      </c>
      <c r="Q239" s="63">
        <f t="shared" si="11"/>
      </c>
      <c r="R239" s="63" cm="1">
        <f t="array" ref="R239:R239">_xlfn.XLOOKUP(B239,'OA名单'!B:B,'OA名单'!F:F)</f>
      </c>
      <c r="S239" s="63">
        <f t="shared" si="10"/>
      </c>
      <c r="T239" s="70"/>
      <c r="U239" s="63" cm="1">
        <f t="array" ref="U239:U239">_xlfn.XLOOKUP(N239,'OA名单'!B:B,'OA名单'!E:E)</f>
      </c>
      <c r="V239" s="63">
        <f t="shared" si="12"/>
      </c>
      <c r="W239" s="71"/>
      <c r="X239" s="66"/>
      <c r="Y239" s="66"/>
    </row>
    <row hidden="true" r="240">
      <c r="A240" s="66"/>
      <c r="B240" s="66" t="s">
        <v>13306</v>
      </c>
      <c r="C240" s="67" t="s">
        <v>12713</v>
      </c>
      <c r="D240" s="67" t="s">
        <v>12714</v>
      </c>
      <c r="E240" s="66" t="s">
        <v>13177</v>
      </c>
      <c r="F240" s="66" t="s">
        <v>13307</v>
      </c>
      <c r="G240" s="66" t="s">
        <v>13179</v>
      </c>
      <c r="H240" s="66" t="s">
        <v>13308</v>
      </c>
      <c r="I240" s="68">
        <v>1.785</v>
      </c>
      <c r="J240" s="69">
        <v>1.06</v>
      </c>
      <c r="K240" s="66">
        <v>1.06</v>
      </c>
      <c r="L240" s="66">
        <v>7172.33</v>
      </c>
      <c r="M240" s="66">
        <v>6000</v>
      </c>
      <c r="N240" s="63" cm="1">
        <f t="array" ref="N240:N240">_xlfn.XLOOKUP(H240,'OA名单'!C:C,'OA名单'!B:B,1)</f>
      </c>
      <c r="O240" s="63">
        <f t="shared" si="8"/>
      </c>
      <c r="P240" s="63" cm="1">
        <f t="array" ref="P240:P240">_xlfn.XLOOKUP(N240,'OA名单'!B:B,'OA名单'!G:G)</f>
      </c>
      <c r="Q240" s="63">
        <f t="shared" si="11"/>
      </c>
      <c r="R240" s="63" cm="1">
        <f t="array" ref="R240:R240">_xlfn.XLOOKUP(B240,'OA名单'!B:B,'OA名单'!F:F)</f>
      </c>
      <c r="S240" s="63">
        <f t="shared" si="10"/>
      </c>
      <c r="T240" s="70"/>
      <c r="U240" s="63" cm="1">
        <f t="array" ref="U240:U240">_xlfn.XLOOKUP(N240,'OA名单'!B:B,'OA名单'!E:E)</f>
      </c>
      <c r="V240" s="63">
        <f t="shared" si="12"/>
      </c>
      <c r="W240" s="71"/>
      <c r="X240" s="66"/>
      <c r="Y240" s="66"/>
    </row>
    <row hidden="true" r="241">
      <c r="A241" s="66"/>
      <c r="B241" s="66" t="s">
        <v>13309</v>
      </c>
      <c r="C241" s="67" t="s">
        <v>12713</v>
      </c>
      <c r="D241" s="67" t="s">
        <v>12714</v>
      </c>
      <c r="E241" s="66" t="s">
        <v>12776</v>
      </c>
      <c r="F241" s="66" t="s">
        <v>13038</v>
      </c>
      <c r="G241" s="66" t="s">
        <v>13039</v>
      </c>
      <c r="H241" s="66" t="s">
        <v>13310</v>
      </c>
      <c r="I241" s="68">
        <v>1.063</v>
      </c>
      <c r="J241" s="69">
        <v>1.06</v>
      </c>
      <c r="K241" s="66">
        <v>1.06</v>
      </c>
      <c r="L241" s="66">
        <v>3180</v>
      </c>
      <c r="M241" s="66">
        <v>3000</v>
      </c>
      <c r="N241" s="63" cm="1">
        <f t="array" ref="N241:N241">_xlfn.XLOOKUP(H241,'OA名单'!C:C,'OA名单'!B:B,1)</f>
      </c>
      <c r="O241" s="63">
        <f t="shared" si="8"/>
      </c>
      <c r="P241" s="63" cm="1">
        <f t="array" ref="P241:P241">_xlfn.XLOOKUP(N241,'OA名单'!B:B,'OA名单'!G:G)</f>
      </c>
      <c r="Q241" s="63">
        <f t="shared" si="11"/>
      </c>
      <c r="R241" s="63" cm="1">
        <f t="array" ref="R241:R241">_xlfn.XLOOKUP(B241,'OA名单'!B:B,'OA名单'!F:F)</f>
      </c>
      <c r="S241" s="63">
        <f t="shared" si="10"/>
      </c>
      <c r="T241" s="70"/>
      <c r="U241" s="63" cm="1">
        <f t="array" ref="U241:U241">_xlfn.XLOOKUP(N241,'OA名单'!B:B,'OA名单'!E:E)</f>
      </c>
      <c r="V241" s="63">
        <f t="shared" si="12"/>
      </c>
      <c r="W241" s="71"/>
      <c r="X241" s="66"/>
      <c r="Y241" s="66"/>
    </row>
    <row hidden="true" r="242">
      <c r="A242" s="66"/>
      <c r="B242" s="66" t="s">
        <v>13311</v>
      </c>
      <c r="C242" s="67" t="s">
        <v>12713</v>
      </c>
      <c r="D242" s="67" t="s">
        <v>12714</v>
      </c>
      <c r="E242" s="66" t="s">
        <v>13146</v>
      </c>
      <c r="F242" s="66" t="s">
        <v>13204</v>
      </c>
      <c r="G242" s="66" t="s">
        <v>12751</v>
      </c>
      <c r="H242" s="66" t="s">
        <v>13312</v>
      </c>
      <c r="I242" s="68">
        <v>0.988355</v>
      </c>
      <c r="J242" s="69">
        <v>1.06</v>
      </c>
      <c r="K242" s="66">
        <v>1.06</v>
      </c>
      <c r="L242" s="66">
        <v>5544.35</v>
      </c>
      <c r="M242" s="66">
        <v>5000</v>
      </c>
      <c r="N242" s="63" cm="1">
        <f t="array" ref="N242:N242">_xlfn.XLOOKUP(H242,'OA名单'!C:C,'OA名单'!B:B,1)</f>
      </c>
      <c r="O242" s="63">
        <f t="shared" si="8"/>
      </c>
      <c r="P242" s="63" cm="1">
        <f t="array" ref="P242:P242">_xlfn.XLOOKUP(N242,'OA名单'!B:B,'OA名单'!G:G)</f>
      </c>
      <c r="Q242" s="63">
        <f t="shared" si="11"/>
      </c>
      <c r="R242" s="63" cm="1">
        <f t="array" ref="R242:R242">_xlfn.XLOOKUP(B242,'OA名单'!B:B,'OA名单'!F:F)</f>
      </c>
      <c r="S242" s="63">
        <f t="shared" si="10"/>
      </c>
      <c r="T242" s="70"/>
      <c r="U242" s="63" cm="1">
        <f t="array" ref="U242:U242">_xlfn.XLOOKUP(N242,'OA名单'!B:B,'OA名单'!E:E)</f>
      </c>
      <c r="V242" s="63">
        <f t="shared" si="12"/>
      </c>
      <c r="W242" s="71"/>
      <c r="X242" s="66"/>
      <c r="Y242" s="66"/>
    </row>
    <row hidden="true" r="243">
      <c r="A243" s="66"/>
      <c r="B243" s="66" t="s">
        <v>13313</v>
      </c>
      <c r="C243" s="67" t="s">
        <v>12713</v>
      </c>
      <c r="D243" s="67" t="s">
        <v>12714</v>
      </c>
      <c r="E243" s="66" t="s">
        <v>13277</v>
      </c>
      <c r="F243" s="66" t="s">
        <v>13278</v>
      </c>
      <c r="G243" s="66" t="s">
        <v>13279</v>
      </c>
      <c r="H243" s="66" t="s">
        <v>13314</v>
      </c>
      <c r="I243" s="68">
        <v>0.9825</v>
      </c>
      <c r="J243" s="69">
        <v>1.06</v>
      </c>
      <c r="K243" s="66">
        <v>1.06</v>
      </c>
      <c r="L243" s="66">
        <v>3384.62</v>
      </c>
      <c r="M243" s="66">
        <v>3000</v>
      </c>
      <c r="N243" s="63" cm="1">
        <f t="array" ref="N243:N243">_xlfn.XLOOKUP(H243,'OA名单'!C:C,'OA名单'!B:B,1)</f>
      </c>
      <c r="O243" s="63">
        <f t="shared" si="8"/>
      </c>
      <c r="P243" s="63" cm="1">
        <f t="array" ref="P243:P243">_xlfn.XLOOKUP(N243,'OA名单'!B:B,'OA名单'!G:G)</f>
      </c>
      <c r="Q243" s="63">
        <f t="shared" si="11"/>
      </c>
      <c r="R243" s="63" cm="1">
        <f t="array" ref="R243:R243">_xlfn.XLOOKUP(B243,'OA名单'!B:B,'OA名单'!F:F)</f>
      </c>
      <c r="S243" s="63">
        <f t="shared" si="10"/>
      </c>
      <c r="T243" s="70"/>
      <c r="U243" s="63" cm="1">
        <f t="array" ref="U243:U243">_xlfn.XLOOKUP(N243,'OA名单'!B:B,'OA名单'!E:E)</f>
      </c>
      <c r="V243" s="63">
        <f t="shared" si="12"/>
      </c>
      <c r="W243" s="71"/>
      <c r="X243" s="66"/>
      <c r="Y243" s="66"/>
    </row>
    <row hidden="true" r="244">
      <c r="A244" s="66"/>
      <c r="B244" s="66" t="s">
        <v>13315</v>
      </c>
      <c r="C244" s="67" t="s">
        <v>12713</v>
      </c>
      <c r="D244" s="67" t="s">
        <v>12714</v>
      </c>
      <c r="E244" s="66" t="s">
        <v>13011</v>
      </c>
      <c r="F244" s="66" t="s">
        <v>13060</v>
      </c>
      <c r="G244" s="66" t="s">
        <v>13139</v>
      </c>
      <c r="H244" s="66" t="s">
        <v>13316</v>
      </c>
      <c r="I244" s="68">
        <v>1.199</v>
      </c>
      <c r="J244" s="69">
        <v>1.06</v>
      </c>
      <c r="K244" s="66">
        <v>1.06</v>
      </c>
      <c r="L244" s="66">
        <v>5300</v>
      </c>
      <c r="M244" s="66">
        <v>5000</v>
      </c>
      <c r="N244" s="63" cm="1">
        <f t="array" ref="N244:N244">_xlfn.XLOOKUP(H244,'OA名单'!C:C,'OA名单'!B:B,1)</f>
      </c>
      <c r="O244" s="63">
        <f t="shared" si="8"/>
      </c>
      <c r="P244" s="63" cm="1">
        <f t="array" ref="P244:P244">_xlfn.XLOOKUP(N244,'OA名单'!B:B,'OA名单'!G:G)</f>
      </c>
      <c r="Q244" s="63">
        <f t="shared" si="11"/>
      </c>
      <c r="R244" s="63" cm="1">
        <f t="array" ref="R244:R244">_xlfn.XLOOKUP(B244,'OA名单'!B:B,'OA名单'!F:F)</f>
      </c>
      <c r="S244" s="63">
        <f t="shared" si="10"/>
      </c>
      <c r="T244" s="70"/>
      <c r="U244" s="63" cm="1">
        <f t="array" ref="U244:U244">_xlfn.XLOOKUP(N244,'OA名单'!B:B,'OA名单'!E:E)</f>
      </c>
      <c r="V244" s="63">
        <f t="shared" si="12"/>
      </c>
      <c r="W244" s="71"/>
      <c r="X244" s="66"/>
      <c r="Y244" s="66"/>
    </row>
    <row hidden="true" r="245">
      <c r="A245" s="66"/>
      <c r="B245" s="66" t="s">
        <v>13317</v>
      </c>
      <c r="C245" s="67" t="s">
        <v>12713</v>
      </c>
      <c r="D245" s="67" t="s">
        <v>12714</v>
      </c>
      <c r="E245" s="66" t="s">
        <v>13318</v>
      </c>
      <c r="F245" s="66" t="s">
        <v>13319</v>
      </c>
      <c r="G245" s="66" t="s">
        <v>13033</v>
      </c>
      <c r="H245" s="66" t="s">
        <v>13320</v>
      </c>
      <c r="I245" s="68">
        <v>1.0576</v>
      </c>
      <c r="J245" s="69">
        <v>1.06</v>
      </c>
      <c r="K245" s="66">
        <v>1.06</v>
      </c>
      <c r="L245" s="66">
        <v>4558</v>
      </c>
      <c r="M245" s="66">
        <v>4300</v>
      </c>
      <c r="N245" s="63" cm="1">
        <f t="array" ref="N245:N245">_xlfn.XLOOKUP(H245,'OA名单'!C:C,'OA名单'!B:B,1)</f>
      </c>
      <c r="O245" s="63">
        <f t="shared" si="8"/>
      </c>
      <c r="P245" s="63" cm="1">
        <f t="array" ref="P245:P245">_xlfn.XLOOKUP(N245,'OA名单'!B:B,'OA名单'!G:G)</f>
      </c>
      <c r="Q245" s="63">
        <f t="shared" si="11"/>
      </c>
      <c r="R245" s="63" cm="1">
        <f t="array" ref="R245:R245">_xlfn.XLOOKUP(B245,'OA名单'!B:B,'OA名单'!F:F)</f>
      </c>
      <c r="S245" s="63">
        <f t="shared" si="10"/>
      </c>
      <c r="T245" s="70"/>
      <c r="U245" s="63" cm="1">
        <f t="array" ref="U245:U245">_xlfn.XLOOKUP(N245,'OA名单'!B:B,'OA名单'!E:E)</f>
      </c>
      <c r="V245" s="63">
        <f t="shared" si="12"/>
      </c>
      <c r="W245" s="71"/>
      <c r="X245" s="66"/>
      <c r="Y245" s="66"/>
    </row>
    <row hidden="true" r="246">
      <c r="A246" s="66"/>
      <c r="B246" s="66" t="s">
        <v>13321</v>
      </c>
      <c r="C246" s="67" t="s">
        <v>12713</v>
      </c>
      <c r="D246" s="67" t="s">
        <v>12714</v>
      </c>
      <c r="E246" s="66" t="s">
        <v>13027</v>
      </c>
      <c r="F246" s="66" t="s">
        <v>13028</v>
      </c>
      <c r="G246" s="66" t="s">
        <v>13195</v>
      </c>
      <c r="H246" s="66" t="s">
        <v>13322</v>
      </c>
      <c r="I246" s="68">
        <v>0.7</v>
      </c>
      <c r="J246" s="69">
        <v>1.06</v>
      </c>
      <c r="K246" s="66">
        <v>1.06</v>
      </c>
      <c r="L246" s="66">
        <v>2400</v>
      </c>
      <c r="M246" s="66">
        <v>3000</v>
      </c>
      <c r="N246" s="63" cm="1">
        <f t="array" ref="N246:N246">_xlfn.XLOOKUP(H246,'OA名单'!C:C,'OA名单'!B:B,1)</f>
      </c>
      <c r="O246" s="63">
        <f t="shared" si="8"/>
      </c>
      <c r="P246" s="63" cm="1">
        <f t="array" ref="P246:P246">_xlfn.XLOOKUP(N246,'OA名单'!B:B,'OA名单'!G:G)</f>
      </c>
      <c r="Q246" s="63">
        <f t="shared" si="11"/>
      </c>
      <c r="R246" s="63" cm="1">
        <f t="array" ref="R246:R246">_xlfn.XLOOKUP(B246,'OA名单'!B:B,'OA名单'!F:F)</f>
      </c>
      <c r="S246" s="63">
        <f t="shared" si="10"/>
      </c>
      <c r="T246" s="70"/>
      <c r="U246" s="63" cm="1">
        <f t="array" ref="U246:U246">_xlfn.XLOOKUP(N246,'OA名单'!B:B,'OA名单'!E:E)</f>
      </c>
      <c r="V246" s="63">
        <f t="shared" si="12"/>
      </c>
      <c r="W246" s="71"/>
      <c r="X246" s="66"/>
      <c r="Y246" s="66"/>
    </row>
    <row hidden="true" r="247">
      <c r="A247" s="66"/>
      <c r="B247" s="66" t="s">
        <v>13323</v>
      </c>
      <c r="C247" s="67" t="s">
        <v>12713</v>
      </c>
      <c r="D247" s="67" t="s">
        <v>12714</v>
      </c>
      <c r="E247" s="66" t="s">
        <v>13027</v>
      </c>
      <c r="F247" s="66" t="s">
        <v>13110</v>
      </c>
      <c r="G247" s="66" t="s">
        <v>13111</v>
      </c>
      <c r="H247" s="66" t="s">
        <v>13324</v>
      </c>
      <c r="I247" s="68">
        <v>1.060506</v>
      </c>
      <c r="J247" s="69">
        <v>1.06</v>
      </c>
      <c r="K247" s="66">
        <v>1.06</v>
      </c>
      <c r="L247" s="66">
        <v>2000</v>
      </c>
      <c r="M247" s="66">
        <v>3000</v>
      </c>
      <c r="N247" s="63" cm="1">
        <f t="array" ref="N247:N247">_xlfn.XLOOKUP(H247,'OA名单'!C:C,'OA名单'!B:B,1)</f>
      </c>
      <c r="O247" s="63">
        <f t="shared" si="8"/>
      </c>
      <c r="P247" s="63" cm="1">
        <f t="array" ref="P247:P247">_xlfn.XLOOKUP(N247,'OA名单'!B:B,'OA名单'!G:G)</f>
      </c>
      <c r="Q247" s="63">
        <f t="shared" si="11"/>
      </c>
      <c r="R247" s="63" cm="1">
        <f t="array" ref="R247:R247">_xlfn.XLOOKUP(B247,'OA名单'!B:B,'OA名单'!F:F)</f>
      </c>
      <c r="S247" s="63">
        <f t="shared" si="10"/>
      </c>
      <c r="T247" s="70"/>
      <c r="U247" s="63" cm="1">
        <f t="array" ref="U247:U247">_xlfn.XLOOKUP(N247,'OA名单'!B:B,'OA名单'!E:E)</f>
      </c>
      <c r="V247" s="63">
        <f t="shared" si="12"/>
      </c>
      <c r="W247" s="71"/>
      <c r="X247" s="66"/>
      <c r="Y247" s="66"/>
    </row>
    <row hidden="true" r="248">
      <c r="A248" s="66"/>
      <c r="B248" s="66" t="s">
        <v>13325</v>
      </c>
      <c r="C248" s="67" t="s">
        <v>12713</v>
      </c>
      <c r="D248" s="67" t="s">
        <v>12714</v>
      </c>
      <c r="E248" s="66" t="s">
        <v>13011</v>
      </c>
      <c r="F248" s="66" t="s">
        <v>13042</v>
      </c>
      <c r="G248" s="66" t="s">
        <v>13043</v>
      </c>
      <c r="H248" s="66" t="s">
        <v>13326</v>
      </c>
      <c r="I248" s="68">
        <v>0.7381</v>
      </c>
      <c r="J248" s="69">
        <v>1.06</v>
      </c>
      <c r="K248" s="66">
        <v>1.06</v>
      </c>
      <c r="L248" s="66">
        <v>2238.8</v>
      </c>
      <c r="M248" s="66">
        <v>3000</v>
      </c>
      <c r="N248" s="63" cm="1">
        <f t="array" ref="N248:N248">_xlfn.XLOOKUP(H248,'OA名单'!C:C,'OA名单'!B:B,1)</f>
      </c>
      <c r="O248" s="63">
        <f t="shared" si="8"/>
      </c>
      <c r="P248" s="63" cm="1">
        <f t="array" ref="P248:P248">_xlfn.XLOOKUP(N248,'OA名单'!B:B,'OA名单'!G:G)</f>
      </c>
      <c r="Q248" s="63">
        <f t="shared" si="11"/>
      </c>
      <c r="R248" s="63" cm="1">
        <f t="array" ref="R248:R248">_xlfn.XLOOKUP(B248,'OA名单'!B:B,'OA名单'!F:F)</f>
      </c>
      <c r="S248" s="63">
        <f t="shared" si="10"/>
      </c>
      <c r="T248" s="70"/>
      <c r="U248" s="63" cm="1">
        <f t="array" ref="U248:U248">_xlfn.XLOOKUP(N248,'OA名单'!B:B,'OA名单'!E:E)</f>
      </c>
      <c r="V248" s="63">
        <f t="shared" si="12"/>
      </c>
      <c r="W248" s="71"/>
      <c r="X248" s="66"/>
      <c r="Y248" s="66"/>
    </row>
    <row hidden="true" r="249">
      <c r="A249" s="66"/>
      <c r="B249" s="66" t="s">
        <v>13327</v>
      </c>
      <c r="C249" s="67" t="s">
        <v>12713</v>
      </c>
      <c r="D249" s="67" t="s">
        <v>12714</v>
      </c>
      <c r="E249" s="66" t="s">
        <v>12776</v>
      </c>
      <c r="F249" s="66" t="s">
        <v>13032</v>
      </c>
      <c r="G249" s="66" t="s">
        <v>13094</v>
      </c>
      <c r="H249" s="66" t="s">
        <v>13328</v>
      </c>
      <c r="I249" s="68">
        <v>1.177</v>
      </c>
      <c r="J249" s="69">
        <v>1.06</v>
      </c>
      <c r="K249" s="66">
        <v>1.06</v>
      </c>
      <c r="L249" s="66">
        <v>500</v>
      </c>
      <c r="M249" s="66">
        <v>500</v>
      </c>
      <c r="N249" s="63" cm="1">
        <f t="array" ref="N249:N249">_xlfn.XLOOKUP(H249,'OA名单'!C:C,'OA名单'!B:B,1)</f>
      </c>
      <c r="O249" s="63">
        <f t="shared" si="8"/>
      </c>
      <c r="P249" s="63" cm="1">
        <f t="array" ref="P249:P249">_xlfn.XLOOKUP(N249,'OA名单'!B:B,'OA名单'!G:G)</f>
      </c>
      <c r="Q249" s="63">
        <f t="shared" si="11"/>
      </c>
      <c r="R249" s="63" cm="1">
        <f t="array" ref="R249:R249">_xlfn.XLOOKUP(B249,'OA名单'!B:B,'OA名单'!F:F)</f>
      </c>
      <c r="S249" s="63">
        <f t="shared" si="10"/>
      </c>
      <c r="T249" s="70"/>
      <c r="U249" s="63" cm="1">
        <f t="array" ref="U249:U249">_xlfn.XLOOKUP(N249,'OA名单'!B:B,'OA名单'!E:E)</f>
      </c>
      <c r="V249" s="63">
        <f t="shared" si="12"/>
      </c>
      <c r="W249" s="71"/>
      <c r="X249" s="66"/>
      <c r="Y249" s="66"/>
    </row>
    <row hidden="true" r="250">
      <c r="A250" s="66"/>
      <c r="B250" s="66"/>
      <c r="C250" s="67" t="s">
        <v>12713</v>
      </c>
      <c r="D250" s="67" t="s">
        <v>12714</v>
      </c>
      <c r="E250" s="66"/>
      <c r="F250" s="66"/>
      <c r="G250" s="66"/>
      <c r="H250" s="66" t="s">
        <v>13329</v>
      </c>
      <c r="I250" s="68">
        <v>1.0581</v>
      </c>
      <c r="J250" s="69">
        <v>1.06</v>
      </c>
      <c r="K250" s="66">
        <v>1.06</v>
      </c>
      <c r="L250" s="66">
        <v>2570.61</v>
      </c>
      <c r="M250" s="66">
        <v>0.51412298</v>
      </c>
      <c r="N250" s="63" cm="1">
        <f t="array" ref="N250:N250">_xlfn.XLOOKUP(H250,'OA名单'!C:C,'OA名单'!B:B,1)</f>
      </c>
      <c r="O250" s="63">
        <f t="shared" si="8"/>
      </c>
      <c r="P250" s="63" cm="1">
        <f t="array" ref="P250:P250">_xlfn.XLOOKUP(N250,'OA名单'!B:B,'OA名单'!G:G)</f>
      </c>
      <c r="Q250" s="63">
        <f t="shared" si="11"/>
      </c>
      <c r="R250" s="63" cm="1">
        <f t="array" ref="R250:R250">_xlfn.XLOOKUP(B250,'OA名单'!B:B,'OA名单'!F:F)</f>
      </c>
      <c r="S250" s="63">
        <f t="shared" si="10"/>
      </c>
      <c r="T250" s="70"/>
      <c r="U250" s="63" cm="1">
        <f t="array" ref="U250:U250">_xlfn.XLOOKUP(N250,'OA名单'!B:B,'OA名单'!E:E)</f>
      </c>
      <c r="V250" s="63">
        <f t="shared" si="12"/>
      </c>
      <c r="W250" s="71"/>
      <c r="X250" s="66"/>
      <c r="Y250" s="66"/>
    </row>
    <row hidden="true" r="251">
      <c r="A251" s="66"/>
      <c r="B251" s="66" t="s">
        <v>13330</v>
      </c>
      <c r="C251" s="67" t="s">
        <v>12713</v>
      </c>
      <c r="D251" s="67" t="s">
        <v>12714</v>
      </c>
      <c r="E251" s="66" t="s">
        <v>12782</v>
      </c>
      <c r="F251" s="66" t="s">
        <v>12997</v>
      </c>
      <c r="G251" s="66" t="s">
        <v>12982</v>
      </c>
      <c r="H251" s="66" t="s">
        <v>13331</v>
      </c>
      <c r="I251" s="68">
        <v>1.148</v>
      </c>
      <c r="J251" s="69">
        <v>1.05</v>
      </c>
      <c r="K251" s="66">
        <v>1.05</v>
      </c>
      <c r="L251" s="66">
        <v>2172.41</v>
      </c>
      <c r="M251" s="66">
        <v>1500</v>
      </c>
      <c r="N251" s="63" cm="1">
        <f t="array" ref="N251:N251">_xlfn.XLOOKUP(H251,'OA名单'!C:C,'OA名单'!B:B,1)</f>
      </c>
      <c r="O251" s="63">
        <f t="shared" si="8"/>
      </c>
      <c r="P251" s="63" cm="1">
        <f t="array" ref="P251:P251">_xlfn.XLOOKUP(N251,'OA名单'!B:B,'OA名单'!G:G)</f>
      </c>
      <c r="Q251" s="63">
        <f t="shared" si="11"/>
      </c>
      <c r="R251" s="63" cm="1">
        <f t="array" ref="R251:R251">_xlfn.XLOOKUP(B251,'OA名单'!B:B,'OA名单'!F:F)</f>
      </c>
      <c r="S251" s="63">
        <f t="shared" si="10"/>
      </c>
      <c r="T251" s="70"/>
      <c r="U251" s="63" cm="1">
        <f t="array" ref="U251:U251">_xlfn.XLOOKUP(N251,'OA名单'!B:B,'OA名单'!E:E)</f>
      </c>
      <c r="V251" s="63">
        <f t="shared" si="12"/>
      </c>
      <c r="W251" s="71"/>
      <c r="X251" s="66"/>
      <c r="Y251" s="66"/>
    </row>
    <row hidden="true" r="252">
      <c r="A252" s="66"/>
      <c r="B252" s="66" t="s">
        <v>13332</v>
      </c>
      <c r="C252" s="67" t="s">
        <v>12713</v>
      </c>
      <c r="D252" s="67" t="s">
        <v>12714</v>
      </c>
      <c r="E252" s="66" t="s">
        <v>12776</v>
      </c>
      <c r="F252" s="66" t="s">
        <v>13038</v>
      </c>
      <c r="G252" s="66" t="s">
        <v>13021</v>
      </c>
      <c r="H252" s="66" t="s">
        <v>13333</v>
      </c>
      <c r="I252" s="68">
        <v>1.3</v>
      </c>
      <c r="J252" s="69">
        <v>1.05</v>
      </c>
      <c r="K252" s="66">
        <v>1.05</v>
      </c>
      <c r="L252" s="66">
        <v>0</v>
      </c>
      <c r="M252" s="66">
        <v>2000</v>
      </c>
      <c r="N252" s="63" cm="1">
        <f t="array" ref="N252:N252">_xlfn.XLOOKUP(H252,'OA名单'!C:C,'OA名单'!B:B,1)</f>
      </c>
      <c r="O252" s="63">
        <f t="shared" si="8"/>
      </c>
      <c r="P252" s="63" cm="1">
        <f t="array" ref="P252:P252">_xlfn.XLOOKUP(N252,'OA名单'!B:B,'OA名单'!G:G)</f>
      </c>
      <c r="Q252" s="63">
        <f t="shared" si="11"/>
      </c>
      <c r="R252" s="63" cm="1">
        <f t="array" ref="R252:R252">_xlfn.XLOOKUP(B252,'OA名单'!B:B,'OA名单'!F:F)</f>
      </c>
      <c r="S252" s="63">
        <f t="shared" si="10"/>
      </c>
      <c r="T252" s="70"/>
      <c r="U252" s="63" cm="1">
        <f t="array" ref="U252:U252">_xlfn.XLOOKUP(N252,'OA名单'!B:B,'OA名单'!E:E)</f>
      </c>
      <c r="V252" s="63">
        <f t="shared" si="12"/>
      </c>
      <c r="W252" s="71"/>
      <c r="X252" s="66"/>
      <c r="Y252" s="66"/>
    </row>
    <row hidden="true" r="253">
      <c r="A253" s="66"/>
      <c r="B253" s="66" t="s">
        <v>13334</v>
      </c>
      <c r="C253" s="67" t="s">
        <v>12713</v>
      </c>
      <c r="D253" s="67" t="s">
        <v>12714</v>
      </c>
      <c r="E253" s="66" t="s">
        <v>12749</v>
      </c>
      <c r="F253" s="66" t="s">
        <v>13335</v>
      </c>
      <c r="G253" s="66" t="s">
        <v>13336</v>
      </c>
      <c r="H253" s="66" t="s">
        <v>13337</v>
      </c>
      <c r="I253" s="68">
        <v>1.1</v>
      </c>
      <c r="J253" s="69">
        <v>1.05</v>
      </c>
      <c r="K253" s="66">
        <v>1.05</v>
      </c>
      <c r="L253" s="66">
        <v>2100</v>
      </c>
      <c r="M253" s="66">
        <v>2000</v>
      </c>
      <c r="N253" s="63" cm="1">
        <f t="array" ref="N253:N253">_xlfn.XLOOKUP(H253,'OA名单'!C:C,'OA名单'!B:B,1)</f>
      </c>
      <c r="O253" s="63">
        <f t="shared" si="8"/>
      </c>
      <c r="P253" s="63" cm="1">
        <f t="array" ref="P253:P253">_xlfn.XLOOKUP(N253,'OA名单'!B:B,'OA名单'!G:G)</f>
      </c>
      <c r="Q253" s="63">
        <f t="shared" si="11"/>
      </c>
      <c r="R253" s="63" cm="1">
        <f t="array" ref="R253:R253">_xlfn.XLOOKUP(B253,'OA名单'!B:B,'OA名单'!F:F)</f>
      </c>
      <c r="S253" s="63">
        <f t="shared" si="10"/>
      </c>
      <c r="T253" s="70"/>
      <c r="U253" s="63" cm="1">
        <f t="array" ref="U253:U253">_xlfn.XLOOKUP(N253,'OA名单'!B:B,'OA名单'!E:E)</f>
      </c>
      <c r="V253" s="63">
        <f t="shared" si="12"/>
      </c>
      <c r="W253" s="71"/>
      <c r="X253" s="66"/>
      <c r="Y253" s="66"/>
    </row>
    <row hidden="true" r="254">
      <c r="A254" s="66"/>
      <c r="B254" s="66" t="s">
        <v>13338</v>
      </c>
      <c r="C254" s="67" t="s">
        <v>12713</v>
      </c>
      <c r="D254" s="67" t="s">
        <v>12714</v>
      </c>
      <c r="E254" s="66" t="s">
        <v>12776</v>
      </c>
      <c r="F254" s="66" t="s">
        <v>12981</v>
      </c>
      <c r="G254" s="66" t="s">
        <v>13079</v>
      </c>
      <c r="H254" s="66" t="s">
        <v>13339</v>
      </c>
      <c r="I254" s="68">
        <v>1.045</v>
      </c>
      <c r="J254" s="69">
        <v>1.05</v>
      </c>
      <c r="K254" s="66">
        <v>1.05</v>
      </c>
      <c r="L254" s="66">
        <v>3262.5</v>
      </c>
      <c r="M254" s="66">
        <v>5000</v>
      </c>
      <c r="N254" s="63" cm="1">
        <f t="array" ref="N254:N254">_xlfn.XLOOKUP(H254,'OA名单'!C:C,'OA名单'!B:B,1)</f>
      </c>
      <c r="O254" s="63">
        <f t="shared" si="8"/>
      </c>
      <c r="P254" s="63" cm="1">
        <f t="array" ref="P254:P254">_xlfn.XLOOKUP(N254,'OA名单'!B:B,'OA名单'!G:G)</f>
      </c>
      <c r="Q254" s="63">
        <f t="shared" si="11"/>
      </c>
      <c r="R254" s="63" cm="1">
        <f t="array" ref="R254:R254">_xlfn.XLOOKUP(B254,'OA名单'!B:B,'OA名单'!F:F)</f>
      </c>
      <c r="S254" s="63">
        <f t="shared" si="10"/>
      </c>
      <c r="T254" s="70"/>
      <c r="U254" s="63" cm="1">
        <f t="array" ref="U254:U254">_xlfn.XLOOKUP(N254,'OA名单'!B:B,'OA名单'!E:E)</f>
      </c>
      <c r="V254" s="63">
        <f t="shared" si="12"/>
      </c>
      <c r="W254" s="71"/>
      <c r="X254" s="66"/>
      <c r="Y254" s="66"/>
    </row>
    <row hidden="true" r="255">
      <c r="A255" s="66"/>
      <c r="B255" s="66" t="s">
        <v>13340</v>
      </c>
      <c r="C255" s="67" t="s">
        <v>12713</v>
      </c>
      <c r="D255" s="67" t="s">
        <v>12714</v>
      </c>
      <c r="E255" s="66" t="s">
        <v>12776</v>
      </c>
      <c r="F255" s="66" t="s">
        <v>12981</v>
      </c>
      <c r="G255" s="66" t="s">
        <v>12982</v>
      </c>
      <c r="H255" s="66" t="s">
        <v>13341</v>
      </c>
      <c r="I255" s="68">
        <v>1.575082</v>
      </c>
      <c r="J255" s="69">
        <v>1.05</v>
      </c>
      <c r="K255" s="66">
        <v>1.05</v>
      </c>
      <c r="L255" s="66">
        <v>2190</v>
      </c>
      <c r="M255" s="66">
        <v>1500</v>
      </c>
      <c r="N255" s="63" cm="1">
        <f t="array" ref="N255:N255">_xlfn.XLOOKUP(H255,'OA名单'!C:C,'OA名单'!B:B,1)</f>
      </c>
      <c r="O255" s="63">
        <f t="shared" si="8"/>
      </c>
      <c r="P255" s="63" cm="1">
        <f t="array" ref="P255:P255">_xlfn.XLOOKUP(N255,'OA名单'!B:B,'OA名单'!G:G)</f>
      </c>
      <c r="Q255" s="63">
        <f t="shared" si="11"/>
      </c>
      <c r="R255" s="63" cm="1">
        <f t="array" ref="R255:R255">_xlfn.XLOOKUP(B255,'OA名单'!B:B,'OA名单'!F:F)</f>
      </c>
      <c r="S255" s="63">
        <f t="shared" si="10"/>
      </c>
      <c r="T255" s="70"/>
      <c r="U255" s="63" cm="1">
        <f t="array" ref="U255:U255">_xlfn.XLOOKUP(N255,'OA名单'!B:B,'OA名单'!E:E)</f>
      </c>
      <c r="V255" s="63">
        <f t="shared" si="12"/>
      </c>
      <c r="W255" s="71"/>
      <c r="X255" s="66"/>
      <c r="Y255" s="66"/>
    </row>
    <row hidden="true" r="256">
      <c r="A256" s="66"/>
      <c r="B256" s="66" t="s">
        <v>13342</v>
      </c>
      <c r="C256" s="67" t="s">
        <v>12713</v>
      </c>
      <c r="D256" s="67" t="s">
        <v>12714</v>
      </c>
      <c r="E256" s="66" t="s">
        <v>13097</v>
      </c>
      <c r="F256" s="66" t="s">
        <v>13098</v>
      </c>
      <c r="G256" s="66" t="s">
        <v>13343</v>
      </c>
      <c r="H256" s="66" t="s">
        <v>13344</v>
      </c>
      <c r="I256" s="68">
        <v>0.010527</v>
      </c>
      <c r="J256" s="69">
        <v>1.05</v>
      </c>
      <c r="K256" s="66">
        <v>1.05</v>
      </c>
      <c r="L256" s="66">
        <v>3300</v>
      </c>
      <c r="M256" s="66">
        <v>3300</v>
      </c>
      <c r="N256" s="63" cm="1">
        <f t="array" ref="N256:N256">_xlfn.XLOOKUP(H256,'OA名单'!C:C,'OA名单'!B:B,1)</f>
      </c>
      <c r="O256" s="63">
        <f t="shared" si="8"/>
      </c>
      <c r="P256" s="63" cm="1">
        <f t="array" ref="P256:P256">_xlfn.XLOOKUP(N256,'OA名单'!B:B,'OA名单'!G:G)</f>
      </c>
      <c r="Q256" s="63">
        <f t="shared" si="11"/>
      </c>
      <c r="R256" s="63" cm="1">
        <f t="array" ref="R256:R256">_xlfn.XLOOKUP(B256,'OA名单'!B:B,'OA名单'!F:F)</f>
      </c>
      <c r="S256" s="63">
        <f t="shared" si="10"/>
      </c>
      <c r="T256" s="70"/>
      <c r="U256" s="63" cm="1">
        <f t="array" ref="U256:U256">_xlfn.XLOOKUP(N256,'OA名单'!B:B,'OA名单'!E:E)</f>
      </c>
      <c r="V256" s="63">
        <f t="shared" si="12"/>
      </c>
      <c r="W256" s="71"/>
      <c r="X256" s="66"/>
      <c r="Y256" s="66"/>
    </row>
    <row hidden="true" r="257">
      <c r="A257" s="66"/>
      <c r="B257" s="66" t="s">
        <v>13345</v>
      </c>
      <c r="C257" s="67" t="s">
        <v>12713</v>
      </c>
      <c r="D257" s="67" t="s">
        <v>12714</v>
      </c>
      <c r="E257" s="66" t="s">
        <v>13027</v>
      </c>
      <c r="F257" s="66" t="s">
        <v>13110</v>
      </c>
      <c r="G257" s="66" t="s">
        <v>13221</v>
      </c>
      <c r="H257" s="66" t="s">
        <v>13346</v>
      </c>
      <c r="I257" s="68">
        <v>1.17765</v>
      </c>
      <c r="J257" s="69">
        <v>1.05</v>
      </c>
      <c r="K257" s="66">
        <v>1.05</v>
      </c>
      <c r="L257" s="66">
        <v>0</v>
      </c>
      <c r="M257" s="66">
        <v>5000</v>
      </c>
      <c r="N257" s="63" cm="1">
        <f t="array" ref="N257:N257">_xlfn.XLOOKUP(H257,'OA名单'!C:C,'OA名单'!B:B,1)</f>
      </c>
      <c r="O257" s="63">
        <f t="shared" si="8"/>
      </c>
      <c r="P257" s="63" cm="1">
        <f t="array" ref="P257:P257">_xlfn.XLOOKUP(N257,'OA名单'!B:B,'OA名单'!G:G)</f>
      </c>
      <c r="Q257" s="63">
        <f t="shared" si="11"/>
      </c>
      <c r="R257" s="63" cm="1">
        <f t="array" ref="R257:R257">_xlfn.XLOOKUP(B257,'OA名单'!B:B,'OA名单'!F:F)</f>
      </c>
      <c r="S257" s="63">
        <f t="shared" si="10"/>
      </c>
      <c r="T257" s="70"/>
      <c r="U257" s="63" cm="1">
        <f t="array" ref="U257:U257">_xlfn.XLOOKUP(N257,'OA名单'!B:B,'OA名单'!E:E)</f>
      </c>
      <c r="V257" s="63">
        <f t="shared" si="12"/>
      </c>
      <c r="W257" s="71"/>
      <c r="X257" s="66"/>
      <c r="Y257" s="66"/>
    </row>
    <row hidden="true" r="258">
      <c r="A258" s="66"/>
      <c r="B258" s="66"/>
      <c r="C258" s="67" t="s">
        <v>12713</v>
      </c>
      <c r="D258" s="67" t="s">
        <v>12714</v>
      </c>
      <c r="E258" s="66"/>
      <c r="F258" s="66"/>
      <c r="G258" s="66"/>
      <c r="H258" s="66" t="s">
        <v>13337</v>
      </c>
      <c r="I258" s="68">
        <v>1.05</v>
      </c>
      <c r="J258" s="69">
        <v>1.05</v>
      </c>
      <c r="K258" s="66">
        <v>1.05</v>
      </c>
      <c r="L258" s="66">
        <v>2100</v>
      </c>
      <c r="M258" s="66">
        <v>2000</v>
      </c>
      <c r="N258" s="63" cm="1">
        <f t="array" ref="N258:N258">_xlfn.XLOOKUP(H258,'OA名单'!C:C,'OA名单'!B:B,1)</f>
      </c>
      <c r="O258" s="63">
        <f t="shared" si="8"/>
      </c>
      <c r="P258" s="63" cm="1">
        <f t="array" ref="P258:P258">_xlfn.XLOOKUP(N258,'OA名单'!B:B,'OA名单'!G:G)</f>
      </c>
      <c r="Q258" s="63">
        <f t="shared" si="11"/>
      </c>
      <c r="R258" s="63" cm="1">
        <f t="array" ref="R258:R258">_xlfn.XLOOKUP(B258,'OA名单'!B:B,'OA名单'!F:F)</f>
      </c>
      <c r="S258" s="63">
        <f t="shared" si="10"/>
      </c>
      <c r="T258" s="70"/>
      <c r="U258" s="63" cm="1">
        <f t="array" ref="U258:U258">_xlfn.XLOOKUP(N258,'OA名单'!B:B,'OA名单'!E:E)</f>
      </c>
      <c r="V258" s="63">
        <f t="shared" si="12"/>
      </c>
      <c r="W258" s="71"/>
      <c r="X258" s="66"/>
      <c r="Y258" s="66"/>
    </row>
    <row hidden="true" r="259">
      <c r="A259" s="66"/>
      <c r="B259" s="66" t="s">
        <v>13347</v>
      </c>
      <c r="C259" s="67" t="s">
        <v>12713</v>
      </c>
      <c r="D259" s="67" t="s">
        <v>12714</v>
      </c>
      <c r="E259" s="66" t="s">
        <v>13146</v>
      </c>
      <c r="F259" s="66" t="s">
        <v>13348</v>
      </c>
      <c r="G259" s="66" t="s">
        <v>13349</v>
      </c>
      <c r="H259" s="66" t="s">
        <v>13350</v>
      </c>
      <c r="I259" s="68">
        <v>1.0285</v>
      </c>
      <c r="J259" s="69">
        <v>1.03</v>
      </c>
      <c r="K259" s="66">
        <v>1.03</v>
      </c>
      <c r="L259" s="66">
        <v>2060</v>
      </c>
      <c r="M259" s="66">
        <v>2000</v>
      </c>
      <c r="N259" s="63" cm="1">
        <f t="array" ref="N259:N259">_xlfn.XLOOKUP(H259,'OA名单'!C:C,'OA名单'!B:B,1)</f>
      </c>
      <c r="O259" s="63">
        <f t="shared" si="8"/>
      </c>
      <c r="P259" s="63" cm="1">
        <f t="array" ref="P259:P259">_xlfn.XLOOKUP(N259,'OA名单'!B:B,'OA名单'!G:G)</f>
      </c>
      <c r="Q259" s="63">
        <f t="shared" si="11"/>
      </c>
      <c r="R259" s="63" cm="1">
        <f t="array" ref="R259:R259">_xlfn.XLOOKUP(B259,'OA名单'!B:B,'OA名单'!F:F)</f>
      </c>
      <c r="S259" s="63">
        <f t="shared" si="10"/>
      </c>
      <c r="T259" s="70"/>
      <c r="U259" s="63" cm="1">
        <f t="array" ref="U259:U259">_xlfn.XLOOKUP(N259,'OA名单'!B:B,'OA名单'!E:E)</f>
      </c>
      <c r="V259" s="63">
        <f t="shared" si="12"/>
      </c>
      <c r="W259" s="71"/>
      <c r="X259" s="66"/>
      <c r="Y259" s="66"/>
    </row>
    <row hidden="true" r="260">
      <c r="A260" s="66"/>
      <c r="B260" s="66" t="s">
        <v>13351</v>
      </c>
      <c r="C260" s="67" t="s">
        <v>12713</v>
      </c>
      <c r="D260" s="67" t="s">
        <v>12714</v>
      </c>
      <c r="E260" s="66" t="s">
        <v>13352</v>
      </c>
      <c r="F260" s="66" t="s">
        <v>13353</v>
      </c>
      <c r="G260" s="66" t="s">
        <v>13354</v>
      </c>
      <c r="H260" s="66" t="s">
        <v>13355</v>
      </c>
      <c r="I260" s="68">
        <v>1.0252</v>
      </c>
      <c r="J260" s="69">
        <v>1.03</v>
      </c>
      <c r="K260" s="66">
        <v>1.03</v>
      </c>
      <c r="L260" s="66">
        <v>3000</v>
      </c>
      <c r="M260" s="66">
        <v>3000</v>
      </c>
      <c r="N260" s="63" cm="1">
        <f t="array" ref="N260:N260">_xlfn.XLOOKUP(H260,'OA名单'!C:C,'OA名单'!B:B,1)</f>
      </c>
      <c r="O260" s="63">
        <f t="shared" si="8"/>
      </c>
      <c r="P260" s="63" cm="1">
        <f t="array" ref="P260:P260">_xlfn.XLOOKUP(N260,'OA名单'!B:B,'OA名单'!G:G)</f>
      </c>
      <c r="Q260" s="63">
        <f t="shared" si="11"/>
      </c>
      <c r="R260" s="63" cm="1">
        <f t="array" ref="R260:R260">_xlfn.XLOOKUP(B260,'OA名单'!B:B,'OA名单'!F:F)</f>
      </c>
      <c r="S260" s="63">
        <f t="shared" si="10"/>
      </c>
      <c r="T260" s="70"/>
      <c r="U260" s="63" cm="1">
        <f t="array" ref="U260:U260">_xlfn.XLOOKUP(N260,'OA名单'!B:B,'OA名单'!E:E)</f>
      </c>
      <c r="V260" s="63">
        <f t="shared" si="12"/>
      </c>
      <c r="W260" s="71"/>
      <c r="X260" s="66"/>
      <c r="Y260" s="66"/>
    </row>
    <row hidden="true" r="261">
      <c r="A261" s="66"/>
      <c r="B261" s="66" t="s">
        <v>13356</v>
      </c>
      <c r="C261" s="67" t="s">
        <v>12713</v>
      </c>
      <c r="D261" s="67" t="s">
        <v>12714</v>
      </c>
      <c r="E261" s="66" t="s">
        <v>12749</v>
      </c>
      <c r="F261" s="66" t="s">
        <v>13116</v>
      </c>
      <c r="G261" s="66" t="s">
        <v>13151</v>
      </c>
      <c r="H261" s="66" t="s">
        <v>13357</v>
      </c>
      <c r="I261" s="68">
        <v>1.025</v>
      </c>
      <c r="J261" s="69">
        <v>1.03</v>
      </c>
      <c r="K261" s="66">
        <v>1.03</v>
      </c>
      <c r="L261" s="66">
        <v>2596.15</v>
      </c>
      <c r="M261" s="66">
        <v>3000</v>
      </c>
      <c r="N261" s="63" cm="1">
        <f t="array" ref="N261:N261">_xlfn.XLOOKUP(H261,'OA名单'!C:C,'OA名单'!B:B,1)</f>
      </c>
      <c r="O261" s="63">
        <f t="shared" si="8"/>
      </c>
      <c r="P261" s="63" cm="1">
        <f t="array" ref="P261:P261">_xlfn.XLOOKUP(N261,'OA名单'!B:B,'OA名单'!G:G)</f>
      </c>
      <c r="Q261" s="63">
        <f t="shared" si="11"/>
      </c>
      <c r="R261" s="63" cm="1">
        <f t="array" ref="R261:R261">_xlfn.XLOOKUP(B261,'OA名单'!B:B,'OA名单'!F:F)</f>
      </c>
      <c r="S261" s="63">
        <f t="shared" si="10"/>
      </c>
      <c r="T261" s="70"/>
      <c r="U261" s="63" cm="1">
        <f t="array" ref="U261:U261">_xlfn.XLOOKUP(N261,'OA名单'!B:B,'OA名单'!E:E)</f>
      </c>
      <c r="V261" s="63">
        <f t="shared" si="12"/>
      </c>
      <c r="W261" s="71"/>
      <c r="X261" s="66"/>
      <c r="Y261" s="66"/>
    </row>
    <row hidden="true" r="262">
      <c r="A262" s="66"/>
      <c r="B262" s="66" t="s">
        <v>13358</v>
      </c>
      <c r="C262" s="67" t="s">
        <v>12713</v>
      </c>
      <c r="D262" s="67" t="s">
        <v>12714</v>
      </c>
      <c r="E262" s="66" t="s">
        <v>12776</v>
      </c>
      <c r="F262" s="66" t="s">
        <v>12716</v>
      </c>
      <c r="G262" s="66" t="s">
        <v>13089</v>
      </c>
      <c r="H262" s="66" t="s">
        <v>13359</v>
      </c>
      <c r="I262" s="68">
        <v>1.07461</v>
      </c>
      <c r="J262" s="69">
        <v>1.03</v>
      </c>
      <c r="K262" s="66">
        <v>1.03</v>
      </c>
      <c r="L262" s="66">
        <v>3210</v>
      </c>
      <c r="M262" s="66">
        <v>3000</v>
      </c>
      <c r="N262" s="63" cm="1">
        <f t="array" ref="N262:N262">_xlfn.XLOOKUP(H262,'OA名单'!C:C,'OA名单'!B:B,1)</f>
      </c>
      <c r="O262" s="63">
        <f t="shared" si="8"/>
      </c>
      <c r="P262" s="63" cm="1">
        <f t="array" ref="P262:P262">_xlfn.XLOOKUP(N262,'OA名单'!B:B,'OA名单'!G:G)</f>
      </c>
      <c r="Q262" s="63">
        <f t="shared" si="11"/>
      </c>
      <c r="R262" s="63" cm="1">
        <f t="array" ref="R262:R262">_xlfn.XLOOKUP(B262,'OA名单'!B:B,'OA名单'!F:F)</f>
      </c>
      <c r="S262" s="63">
        <f t="shared" si="10"/>
      </c>
      <c r="T262" s="70"/>
      <c r="U262" s="63" cm="1">
        <f t="array" ref="U262:U262">_xlfn.XLOOKUP(N262,'OA名单'!B:B,'OA名单'!E:E)</f>
      </c>
      <c r="V262" s="63">
        <f t="shared" si="12"/>
      </c>
      <c r="W262" s="71"/>
      <c r="X262" s="66"/>
      <c r="Y262" s="66"/>
    </row>
    <row hidden="true" r="263">
      <c r="A263" s="66"/>
      <c r="B263" s="66" t="s">
        <v>13360</v>
      </c>
      <c r="C263" s="67" t="s">
        <v>12713</v>
      </c>
      <c r="D263" s="67" t="s">
        <v>12714</v>
      </c>
      <c r="E263" s="66" t="s">
        <v>12749</v>
      </c>
      <c r="F263" s="66" t="s">
        <v>13120</v>
      </c>
      <c r="G263" s="66" t="s">
        <v>13361</v>
      </c>
      <c r="H263" s="66" t="s">
        <v>13362</v>
      </c>
      <c r="I263" s="68">
        <v>0.866</v>
      </c>
      <c r="J263" s="69">
        <v>1.03</v>
      </c>
      <c r="K263" s="66">
        <v>1.03</v>
      </c>
      <c r="L263" s="66">
        <v>3361.11</v>
      </c>
      <c r="M263" s="66">
        <v>3000</v>
      </c>
      <c r="N263" s="63" cm="1">
        <f t="array" ref="N263:N263">_xlfn.XLOOKUP(H263,'OA名单'!C:C,'OA名单'!B:B,1)</f>
      </c>
      <c r="O263" s="63">
        <f t="shared" si="8"/>
      </c>
      <c r="P263" s="63" cm="1">
        <f t="array" ref="P263:P263">_xlfn.XLOOKUP(N263,'OA名单'!B:B,'OA名单'!G:G)</f>
      </c>
      <c r="Q263" s="63">
        <f t="shared" si="11"/>
      </c>
      <c r="R263" s="63" cm="1">
        <f t="array" ref="R263:R263">_xlfn.XLOOKUP(B263,'OA名单'!B:B,'OA名单'!F:F)</f>
      </c>
      <c r="S263" s="63">
        <f t="shared" si="10"/>
      </c>
      <c r="T263" s="70"/>
      <c r="U263" s="63" cm="1">
        <f t="array" ref="U263:U263">_xlfn.XLOOKUP(N263,'OA名单'!B:B,'OA名单'!E:E)</f>
      </c>
      <c r="V263" s="63">
        <f t="shared" si="12"/>
      </c>
      <c r="W263" s="71"/>
      <c r="X263" s="66"/>
      <c r="Y263" s="66"/>
    </row>
    <row hidden="true" r="264">
      <c r="A264" s="66"/>
      <c r="B264" s="66" t="s">
        <v>13363</v>
      </c>
      <c r="C264" s="67" t="s">
        <v>12713</v>
      </c>
      <c r="D264" s="67" t="s">
        <v>12714</v>
      </c>
      <c r="E264" s="66" t="s">
        <v>13146</v>
      </c>
      <c r="F264" s="66" t="s">
        <v>13364</v>
      </c>
      <c r="G264" s="66" t="s">
        <v>13365</v>
      </c>
      <c r="H264" s="66" t="s">
        <v>13366</v>
      </c>
      <c r="I264" s="68">
        <v>1.105</v>
      </c>
      <c r="J264" s="69">
        <v>1.03</v>
      </c>
      <c r="K264" s="66">
        <v>1.03</v>
      </c>
      <c r="L264" s="66">
        <v>5690.52</v>
      </c>
      <c r="M264" s="66">
        <v>5000</v>
      </c>
      <c r="N264" s="63" cm="1">
        <f t="array" ref="N264:N264">_xlfn.XLOOKUP(H264,'OA名单'!C:C,'OA名单'!B:B,1)</f>
      </c>
      <c r="O264" s="63">
        <f t="shared" si="8"/>
      </c>
      <c r="P264" s="63" cm="1">
        <f t="array" ref="P264:P264">_xlfn.XLOOKUP(N264,'OA名单'!B:B,'OA名单'!G:G)</f>
      </c>
      <c r="Q264" s="63">
        <f t="shared" si="11"/>
      </c>
      <c r="R264" s="63" cm="1">
        <f t="array" ref="R264:R264">_xlfn.XLOOKUP(B264,'OA名单'!B:B,'OA名单'!F:F)</f>
      </c>
      <c r="S264" s="63">
        <f t="shared" si="10"/>
      </c>
      <c r="T264" s="70"/>
      <c r="U264" s="63" cm="1">
        <f t="array" ref="U264:U264">_xlfn.XLOOKUP(N264,'OA名单'!B:B,'OA名单'!E:E)</f>
      </c>
      <c r="V264" s="63">
        <f t="shared" si="12"/>
      </c>
      <c r="W264" s="71"/>
      <c r="X264" s="66"/>
      <c r="Y264" s="66"/>
    </row>
    <row hidden="true" r="265">
      <c r="A265" s="66"/>
      <c r="B265" s="66" t="s">
        <v>13367</v>
      </c>
      <c r="C265" s="67" t="s">
        <v>12713</v>
      </c>
      <c r="D265" s="67" t="s">
        <v>12714</v>
      </c>
      <c r="E265" s="66" t="s">
        <v>12782</v>
      </c>
      <c r="F265" s="66" t="s">
        <v>12997</v>
      </c>
      <c r="G265" s="66" t="s">
        <v>13033</v>
      </c>
      <c r="H265" s="66" t="s">
        <v>13368</v>
      </c>
      <c r="I265" s="68">
        <v>1.028846</v>
      </c>
      <c r="J265" s="69">
        <v>1.03</v>
      </c>
      <c r="K265" s="66">
        <v>1.03</v>
      </c>
      <c r="L265" s="66">
        <v>4200</v>
      </c>
      <c r="M265" s="66">
        <v>5000</v>
      </c>
      <c r="N265" s="63" cm="1">
        <f t="array" ref="N265:N265">_xlfn.XLOOKUP(H265,'OA名单'!C:C,'OA名单'!B:B,1)</f>
      </c>
      <c r="O265" s="63">
        <f t="shared" si="8"/>
      </c>
      <c r="P265" s="63" cm="1">
        <f t="array" ref="P265:P265">_xlfn.XLOOKUP(N265,'OA名单'!B:B,'OA名单'!G:G)</f>
      </c>
      <c r="Q265" s="63">
        <f t="shared" si="11"/>
      </c>
      <c r="R265" s="63" cm="1">
        <f t="array" ref="R265:R265">_xlfn.XLOOKUP(B265,'OA名单'!B:B,'OA名单'!F:F)</f>
      </c>
      <c r="S265" s="63">
        <f t="shared" si="10"/>
      </c>
      <c r="T265" s="70"/>
      <c r="U265" s="63" cm="1">
        <f t="array" ref="U265:U265">_xlfn.XLOOKUP(N265,'OA名单'!B:B,'OA名单'!E:E)</f>
      </c>
      <c r="V265" s="63">
        <f t="shared" si="12"/>
      </c>
      <c r="W265" s="71"/>
      <c r="X265" s="66"/>
      <c r="Y265" s="66"/>
    </row>
    <row hidden="true" r="266">
      <c r="A266" s="66"/>
      <c r="B266" s="66" t="s">
        <v>13369</v>
      </c>
      <c r="C266" s="67" t="s">
        <v>12713</v>
      </c>
      <c r="D266" s="67" t="s">
        <v>12714</v>
      </c>
      <c r="E266" s="66" t="s">
        <v>13027</v>
      </c>
      <c r="F266" s="66" t="s">
        <v>13028</v>
      </c>
      <c r="G266" s="66" t="s">
        <v>13195</v>
      </c>
      <c r="H266" s="66" t="s">
        <v>13370</v>
      </c>
      <c r="I266" s="68">
        <v>0.665</v>
      </c>
      <c r="J266" s="69">
        <v>1.03</v>
      </c>
      <c r="K266" s="66">
        <v>1.03</v>
      </c>
      <c r="L266" s="66">
        <v>2400</v>
      </c>
      <c r="M266" s="66">
        <v>4000</v>
      </c>
      <c r="N266" s="63" cm="1">
        <f t="array" ref="N266:N266">_xlfn.XLOOKUP(H266,'OA名单'!C:C,'OA名单'!B:B,1)</f>
      </c>
      <c r="O266" s="63">
        <f t="shared" si="8"/>
      </c>
      <c r="P266" s="63" cm="1">
        <f t="array" ref="P266:P266">_xlfn.XLOOKUP(N266,'OA名单'!B:B,'OA名单'!G:G)</f>
      </c>
      <c r="Q266" s="63">
        <f t="shared" si="11"/>
      </c>
      <c r="R266" s="63" cm="1">
        <f t="array" ref="R266:R266">_xlfn.XLOOKUP(B266,'OA名单'!B:B,'OA名单'!F:F)</f>
      </c>
      <c r="S266" s="63">
        <f t="shared" si="10"/>
      </c>
      <c r="T266" s="70"/>
      <c r="U266" s="63" cm="1">
        <f t="array" ref="U266:U266">_xlfn.XLOOKUP(N266,'OA名单'!B:B,'OA名单'!E:E)</f>
      </c>
      <c r="V266" s="63">
        <f t="shared" si="12"/>
      </c>
      <c r="W266" s="71"/>
      <c r="X266" s="66"/>
      <c r="Y266" s="66"/>
    </row>
    <row hidden="true" r="267">
      <c r="A267" s="66"/>
      <c r="B267" s="66" t="s">
        <v>13371</v>
      </c>
      <c r="C267" s="67" t="s">
        <v>12713</v>
      </c>
      <c r="D267" s="67" t="s">
        <v>12714</v>
      </c>
      <c r="E267" s="66" t="s">
        <v>13011</v>
      </c>
      <c r="F267" s="66" t="s">
        <v>13042</v>
      </c>
      <c r="G267" s="66" t="s">
        <v>13043</v>
      </c>
      <c r="H267" s="66" t="s">
        <v>13372</v>
      </c>
      <c r="I267" s="68">
        <v>0.724728</v>
      </c>
      <c r="J267" s="69">
        <v>1.03</v>
      </c>
      <c r="K267" s="66">
        <v>1.03</v>
      </c>
      <c r="L267" s="66">
        <v>1837.97</v>
      </c>
      <c r="M267" s="66">
        <v>2000</v>
      </c>
      <c r="N267" s="63" cm="1">
        <f t="array" ref="N267:N267">_xlfn.XLOOKUP(H267,'OA名单'!C:C,'OA名单'!B:B,1)</f>
      </c>
      <c r="O267" s="63">
        <f t="shared" si="8"/>
      </c>
      <c r="P267" s="63" cm="1">
        <f t="array" ref="P267:P267">_xlfn.XLOOKUP(N267,'OA名单'!B:B,'OA名单'!G:G)</f>
      </c>
      <c r="Q267" s="63">
        <f t="shared" si="11"/>
      </c>
      <c r="R267" s="63" cm="1">
        <f t="array" ref="R267:R267">_xlfn.XLOOKUP(B267,'OA名单'!B:B,'OA名单'!F:F)</f>
      </c>
      <c r="S267" s="63">
        <f t="shared" si="10"/>
      </c>
      <c r="T267" s="70"/>
      <c r="U267" s="63" cm="1">
        <f t="array" ref="U267:U267">_xlfn.XLOOKUP(N267,'OA名单'!B:B,'OA名单'!E:E)</f>
      </c>
      <c r="V267" s="63">
        <f t="shared" si="12"/>
      </c>
      <c r="W267" s="71"/>
      <c r="X267" s="66"/>
      <c r="Y267" s="66"/>
    </row>
    <row hidden="true" r="268">
      <c r="A268" s="66"/>
      <c r="B268" s="66" t="s">
        <v>13373</v>
      </c>
      <c r="C268" s="67" t="s">
        <v>12713</v>
      </c>
      <c r="D268" s="67" t="s">
        <v>12714</v>
      </c>
      <c r="E268" s="66" t="s">
        <v>13374</v>
      </c>
      <c r="F268" s="69" t="s">
        <v>12764</v>
      </c>
      <c r="G268" s="66" t="s">
        <v>13375</v>
      </c>
      <c r="H268" s="66" t="s">
        <v>13376</v>
      </c>
      <c r="I268" s="68">
        <v>1.024</v>
      </c>
      <c r="J268" s="69">
        <v>1.02</v>
      </c>
      <c r="K268" s="66">
        <v>1.02</v>
      </c>
      <c r="L268" s="66">
        <v>2040</v>
      </c>
      <c r="M268" s="66">
        <v>2000</v>
      </c>
      <c r="N268" s="63" cm="1">
        <f t="array" ref="N268:N268">_xlfn.XLOOKUP(H268,'OA名单'!C:C,'OA名单'!B:B,1)</f>
      </c>
      <c r="O268" s="63">
        <f t="shared" si="8"/>
      </c>
      <c r="P268" s="63" cm="1">
        <f t="array" ref="P268:P268">_xlfn.XLOOKUP(N268,'OA名单'!B:B,'OA名单'!G:G)</f>
      </c>
      <c r="Q268" s="63">
        <f t="shared" si="11"/>
      </c>
      <c r="R268" s="63" cm="1">
        <f t="array" ref="R268:R268">_xlfn.XLOOKUP(B268,'OA名单'!B:B,'OA名单'!F:F)</f>
      </c>
      <c r="S268" s="63">
        <f t="shared" si="10"/>
      </c>
      <c r="T268" s="64" cm="1">
        <f t="array" ref="T268:T268">_xlfn.XLOOKUP(B268,'系统-原始（副本）'!A:A,'系统-原始（副本）'!B:B)</f>
      </c>
      <c r="U268" s="63" cm="1">
        <f t="array" ref="U268:U268">_xlfn.XLOOKUP(N268,'OA名单'!B:B,'OA名单'!E:E)</f>
      </c>
      <c r="V268" s="63">
        <f t="shared" si="12"/>
      </c>
      <c r="W268" s="71"/>
      <c r="X268" s="66"/>
      <c r="Y268" s="66"/>
    </row>
    <row hidden="true" r="269">
      <c r="A269" s="66"/>
      <c r="B269" s="66" t="s">
        <v>13377</v>
      </c>
      <c r="C269" s="67" t="s">
        <v>12713</v>
      </c>
      <c r="D269" s="67" t="s">
        <v>12714</v>
      </c>
      <c r="E269" s="66" t="s">
        <v>13097</v>
      </c>
      <c r="F269" s="66" t="s">
        <v>13130</v>
      </c>
      <c r="G269" s="66" t="s">
        <v>13378</v>
      </c>
      <c r="H269" s="66" t="s">
        <v>13379</v>
      </c>
      <c r="I269" s="68">
        <v>0.9584</v>
      </c>
      <c r="J269" s="69">
        <v>1.02</v>
      </c>
      <c r="K269" s="66">
        <v>1.02</v>
      </c>
      <c r="L269" s="66">
        <v>5020</v>
      </c>
      <c r="M269" s="66">
        <v>5000</v>
      </c>
      <c r="N269" s="63" cm="1">
        <f t="array" ref="N269:N269">_xlfn.XLOOKUP(H269,'OA名单'!C:C,'OA名单'!B:B,1)</f>
      </c>
      <c r="O269" s="63">
        <f t="shared" si="8"/>
      </c>
      <c r="P269" s="63" cm="1">
        <f t="array" ref="P269:P269">_xlfn.XLOOKUP(N269,'OA名单'!B:B,'OA名单'!G:G)</f>
      </c>
      <c r="Q269" s="63">
        <f t="shared" si="11"/>
      </c>
      <c r="R269" s="63" cm="1">
        <f t="array" ref="R269:R269">_xlfn.XLOOKUP(B269,'OA名单'!B:B,'OA名单'!F:F)</f>
      </c>
      <c r="S269" s="63">
        <f t="shared" si="10"/>
      </c>
      <c r="T269" s="70"/>
      <c r="U269" s="63" cm="1">
        <f t="array" ref="U269:U269">_xlfn.XLOOKUP(N269,'OA名单'!B:B,'OA名单'!E:E)</f>
      </c>
      <c r="V269" s="63">
        <f t="shared" si="12"/>
      </c>
      <c r="W269" s="71"/>
      <c r="X269" s="66"/>
      <c r="Y269" s="66"/>
    </row>
    <row hidden="true" r="270">
      <c r="A270" s="66"/>
      <c r="B270" s="66" t="s">
        <v>13380</v>
      </c>
      <c r="C270" s="67" t="s">
        <v>12713</v>
      </c>
      <c r="D270" s="67" t="s">
        <v>12714</v>
      </c>
      <c r="E270" s="66" t="s">
        <v>12749</v>
      </c>
      <c r="F270" s="66" t="s">
        <v>13381</v>
      </c>
      <c r="G270" s="66" t="s">
        <v>13382</v>
      </c>
      <c r="H270" s="66" t="s">
        <v>13383</v>
      </c>
      <c r="I270" s="68">
        <v>1.17</v>
      </c>
      <c r="J270" s="69">
        <v>1.02</v>
      </c>
      <c r="K270" s="66">
        <v>1.02</v>
      </c>
      <c r="L270" s="66">
        <v>5100</v>
      </c>
      <c r="M270" s="66">
        <v>5000</v>
      </c>
      <c r="N270" s="63" cm="1">
        <f t="array" ref="N270:N270">_xlfn.XLOOKUP(H270,'OA名单'!C:C,'OA名单'!B:B,1)</f>
      </c>
      <c r="O270" s="63">
        <f t="shared" si="8"/>
      </c>
      <c r="P270" s="63" cm="1">
        <f t="array" ref="P270:P270">_xlfn.XLOOKUP(N270,'OA名单'!B:B,'OA名单'!G:G)</f>
      </c>
      <c r="Q270" s="63">
        <f t="shared" si="11"/>
      </c>
      <c r="R270" s="63" cm="1">
        <f t="array" ref="R270:R270">_xlfn.XLOOKUP(B270,'OA名单'!B:B,'OA名单'!F:F)</f>
      </c>
      <c r="S270" s="63">
        <f t="shared" si="10"/>
      </c>
      <c r="T270" s="70"/>
      <c r="U270" s="63" cm="1">
        <f t="array" ref="U270:U270">_xlfn.XLOOKUP(N270,'OA名单'!B:B,'OA名单'!E:E)</f>
      </c>
      <c r="V270" s="63">
        <f t="shared" si="12"/>
      </c>
      <c r="W270" s="71"/>
      <c r="X270" s="66"/>
      <c r="Y270" s="66"/>
    </row>
    <row hidden="true" r="271">
      <c r="A271" s="66"/>
      <c r="B271" s="66" t="s">
        <v>13384</v>
      </c>
      <c r="C271" s="67" t="s">
        <v>12713</v>
      </c>
      <c r="D271" s="67" t="s">
        <v>12714</v>
      </c>
      <c r="E271" s="66" t="s">
        <v>13318</v>
      </c>
      <c r="F271" s="66" t="s">
        <v>13385</v>
      </c>
      <c r="G271" s="66" t="s">
        <v>12751</v>
      </c>
      <c r="H271" s="66" t="s">
        <v>13386</v>
      </c>
      <c r="I271" s="68">
        <v>1.02215</v>
      </c>
      <c r="J271" s="69">
        <v>1.02</v>
      </c>
      <c r="K271" s="66">
        <v>1.02</v>
      </c>
      <c r="L271" s="66">
        <v>6120</v>
      </c>
      <c r="M271" s="66">
        <v>6000</v>
      </c>
      <c r="N271" s="63" cm="1">
        <f t="array" ref="N271:N271">_xlfn.XLOOKUP(H271,'OA名单'!C:C,'OA名单'!B:B,1)</f>
      </c>
      <c r="O271" s="63">
        <f t="shared" si="8"/>
      </c>
      <c r="P271" s="63" cm="1">
        <f t="array" ref="P271:P271">_xlfn.XLOOKUP(N271,'OA名单'!B:B,'OA名单'!G:G)</f>
      </c>
      <c r="Q271" s="63">
        <f t="shared" si="11"/>
      </c>
      <c r="R271" s="63" cm="1">
        <f t="array" ref="R271:R271">_xlfn.XLOOKUP(B271,'OA名单'!B:B,'OA名单'!F:F)</f>
      </c>
      <c r="S271" s="63">
        <f t="shared" si="10"/>
      </c>
      <c r="T271" s="70"/>
      <c r="U271" s="63" cm="1">
        <f t="array" ref="U271:U271">_xlfn.XLOOKUP(N271,'OA名单'!B:B,'OA名单'!E:E)</f>
      </c>
      <c r="V271" s="63">
        <f t="shared" si="12"/>
      </c>
      <c r="W271" s="71"/>
      <c r="X271" s="66"/>
      <c r="Y271" s="66"/>
    </row>
    <row hidden="true" r="272">
      <c r="A272" s="66"/>
      <c r="B272" s="66"/>
      <c r="C272" s="67" t="s">
        <v>12713</v>
      </c>
      <c r="D272" s="67" t="s">
        <v>12714</v>
      </c>
      <c r="E272" s="66"/>
      <c r="F272" s="66"/>
      <c r="G272" s="66"/>
      <c r="H272" s="66" t="s">
        <v>13383</v>
      </c>
      <c r="I272" s="68">
        <v>1.0206</v>
      </c>
      <c r="J272" s="69">
        <v>1.02</v>
      </c>
      <c r="K272" s="66">
        <v>1.02</v>
      </c>
      <c r="L272" s="66">
        <v>5100</v>
      </c>
      <c r="M272" s="66">
        <v>5000</v>
      </c>
      <c r="N272" s="63" cm="1">
        <f t="array" ref="N272:N272">_xlfn.XLOOKUP(H272,'OA名单'!C:C,'OA名单'!B:B,1)</f>
      </c>
      <c r="O272" s="63">
        <f t="shared" si="8"/>
      </c>
      <c r="P272" s="63" cm="1">
        <f t="array" ref="P272:P272">_xlfn.XLOOKUP(N272,'OA名单'!B:B,'OA名单'!G:G)</f>
      </c>
      <c r="Q272" s="63">
        <f t="shared" si="11"/>
      </c>
      <c r="R272" s="63" cm="1">
        <f t="array" ref="R272:R272">_xlfn.XLOOKUP(B272,'OA名单'!B:B,'OA名单'!F:F)</f>
      </c>
      <c r="S272" s="63">
        <f t="shared" si="10"/>
      </c>
      <c r="T272" s="70"/>
      <c r="U272" s="63" cm="1">
        <f t="array" ref="U272:U272">_xlfn.XLOOKUP(N272,'OA名单'!B:B,'OA名单'!E:E)</f>
      </c>
      <c r="V272" s="63">
        <f t="shared" si="12"/>
      </c>
      <c r="W272" s="71"/>
      <c r="X272" s="66"/>
      <c r="Y272" s="66"/>
    </row>
    <row hidden="true" r="273">
      <c r="A273" s="66"/>
      <c r="B273" s="66" t="s">
        <v>13387</v>
      </c>
      <c r="C273" s="67" t="s">
        <v>12713</v>
      </c>
      <c r="D273" s="67" t="s">
        <v>12714</v>
      </c>
      <c r="E273" s="66" t="s">
        <v>12749</v>
      </c>
      <c r="F273" s="66" t="s">
        <v>13381</v>
      </c>
      <c r="G273" s="66" t="s">
        <v>12751</v>
      </c>
      <c r="H273" s="66" t="s">
        <v>13388</v>
      </c>
      <c r="I273" s="68">
        <v>1.00971</v>
      </c>
      <c r="J273" s="69">
        <v>1.01</v>
      </c>
      <c r="K273" s="66">
        <v>1.01</v>
      </c>
      <c r="L273" s="66">
        <v>5525.6</v>
      </c>
      <c r="M273" s="66">
        <v>5000</v>
      </c>
      <c r="N273" s="63" cm="1">
        <f t="array" ref="N273:N273">_xlfn.XLOOKUP(H273,'OA名单'!C:C,'OA名单'!B:B,1)</f>
      </c>
      <c r="O273" s="63">
        <f t="shared" si="8"/>
      </c>
      <c r="P273" s="63" cm="1">
        <f t="array" ref="P273:P273">_xlfn.XLOOKUP(N273,'OA名单'!B:B,'OA名单'!G:G)</f>
      </c>
      <c r="Q273" s="63">
        <f t="shared" si="11"/>
      </c>
      <c r="R273" s="63" cm="1">
        <f t="array" ref="R273:R273">_xlfn.XLOOKUP(B273,'OA名单'!B:B,'OA名单'!F:F)</f>
      </c>
      <c r="S273" s="63">
        <f t="shared" si="10"/>
      </c>
      <c r="T273" s="70"/>
      <c r="U273" s="63" cm="1">
        <f t="array" ref="U273:U273">_xlfn.XLOOKUP(N273,'OA名单'!B:B,'OA名单'!E:E)</f>
      </c>
      <c r="V273" s="63">
        <f t="shared" si="12"/>
      </c>
      <c r="W273" s="71"/>
      <c r="X273" s="66"/>
      <c r="Y273" s="66"/>
    </row>
    <row hidden="true" r="274">
      <c r="A274" s="66"/>
      <c r="B274" s="66" t="s">
        <v>13389</v>
      </c>
      <c r="C274" s="67" t="s">
        <v>12713</v>
      </c>
      <c r="D274" s="67" t="s">
        <v>12714</v>
      </c>
      <c r="E274" s="66" t="s">
        <v>12749</v>
      </c>
      <c r="F274" s="66" t="s">
        <v>13157</v>
      </c>
      <c r="G274" s="66" t="s">
        <v>12751</v>
      </c>
      <c r="H274" s="66" t="s">
        <v>13390</v>
      </c>
      <c r="I274" s="68">
        <v>0.98</v>
      </c>
      <c r="J274" s="69">
        <v>1.01</v>
      </c>
      <c r="K274" s="66">
        <v>1.01</v>
      </c>
      <c r="L274" s="66">
        <v>4651.16</v>
      </c>
      <c r="M274" s="66">
        <v>5000</v>
      </c>
      <c r="N274" s="63" cm="1">
        <f t="array" ref="N274:N274">_xlfn.XLOOKUP(H274,'OA名单'!C:C,'OA名单'!B:B,1)</f>
      </c>
      <c r="O274" s="63">
        <f t="shared" si="8"/>
      </c>
      <c r="P274" s="63" cm="1">
        <f t="array" ref="P274:P274">_xlfn.XLOOKUP(N274,'OA名单'!B:B,'OA名单'!G:G)</f>
      </c>
      <c r="Q274" s="63">
        <f t="shared" si="11"/>
      </c>
      <c r="R274" s="63" cm="1">
        <f t="array" ref="R274:R274">_xlfn.XLOOKUP(B274,'OA名单'!B:B,'OA名单'!F:F)</f>
      </c>
      <c r="S274" s="63">
        <f t="shared" si="10"/>
      </c>
      <c r="T274" s="70"/>
      <c r="U274" s="63" cm="1">
        <f t="array" ref="U274:U274">_xlfn.XLOOKUP(N274,'OA名单'!B:B,'OA名单'!E:E)</f>
      </c>
      <c r="V274" s="63">
        <f t="shared" si="12"/>
      </c>
      <c r="W274" s="71"/>
      <c r="X274" s="66"/>
      <c r="Y274" s="66"/>
    </row>
    <row hidden="true" r="275">
      <c r="A275" s="66"/>
      <c r="B275" s="66" t="s">
        <v>13391</v>
      </c>
      <c r="C275" s="67" t="s">
        <v>12713</v>
      </c>
      <c r="D275" s="67" t="s">
        <v>12714</v>
      </c>
      <c r="E275" s="66" t="s">
        <v>13182</v>
      </c>
      <c r="F275" s="66" t="s">
        <v>13183</v>
      </c>
      <c r="G275" s="66" t="s">
        <v>12751</v>
      </c>
      <c r="H275" s="66" t="s">
        <v>13392</v>
      </c>
      <c r="I275" s="68">
        <v>2.127</v>
      </c>
      <c r="J275" s="69">
        <v>1.01</v>
      </c>
      <c r="K275" s="66">
        <v>1.01</v>
      </c>
      <c r="L275" s="66">
        <v>6424.73</v>
      </c>
      <c r="M275" s="66">
        <v>5000</v>
      </c>
      <c r="N275" s="63" cm="1">
        <f t="array" ref="N275:N275">_xlfn.XLOOKUP(H275,'OA名单'!C:C,'OA名单'!B:B,1)</f>
      </c>
      <c r="O275" s="63">
        <f t="shared" si="8"/>
      </c>
      <c r="P275" s="63" cm="1">
        <f t="array" ref="P275:P275">_xlfn.XLOOKUP(N275,'OA名单'!B:B,'OA名单'!G:G)</f>
      </c>
      <c r="Q275" s="63">
        <f t="shared" si="11"/>
      </c>
      <c r="R275" s="63" cm="1">
        <f t="array" ref="R275:R275">_xlfn.XLOOKUP(B275,'OA名单'!B:B,'OA名单'!F:F)</f>
      </c>
      <c r="S275" s="63">
        <f t="shared" si="10"/>
      </c>
      <c r="T275" s="70"/>
      <c r="U275" s="63" cm="1">
        <f t="array" ref="U275:U275">_xlfn.XLOOKUP(N275,'OA名单'!B:B,'OA名单'!E:E)</f>
      </c>
      <c r="V275" s="63">
        <f t="shared" si="12"/>
      </c>
      <c r="W275" s="71"/>
      <c r="X275" s="66"/>
      <c r="Y275" s="66"/>
    </row>
    <row hidden="true" r="276">
      <c r="A276" s="66"/>
      <c r="B276" s="66" t="s">
        <v>13393</v>
      </c>
      <c r="C276" s="67" t="s">
        <v>12713</v>
      </c>
      <c r="D276" s="67" t="s">
        <v>12714</v>
      </c>
      <c r="E276" s="66" t="s">
        <v>13146</v>
      </c>
      <c r="F276" s="66" t="s">
        <v>13394</v>
      </c>
      <c r="G276" s="66" t="s">
        <v>13294</v>
      </c>
      <c r="H276" s="66" t="s">
        <v>13395</v>
      </c>
      <c r="I276" s="68">
        <v>1.0375</v>
      </c>
      <c r="J276" s="69">
        <v>1.01</v>
      </c>
      <c r="K276" s="66">
        <v>1.01</v>
      </c>
      <c r="L276" s="66">
        <v>2000</v>
      </c>
      <c r="M276" s="66">
        <v>2000</v>
      </c>
      <c r="N276" s="63" cm="1">
        <f t="array" ref="N276:N276">_xlfn.XLOOKUP(H276,'OA名单'!C:C,'OA名单'!B:B,1)</f>
      </c>
      <c r="O276" s="63">
        <f t="shared" si="8"/>
      </c>
      <c r="P276" s="63" cm="1">
        <f t="array" ref="P276:P276">_xlfn.XLOOKUP(N276,'OA名单'!B:B,'OA名单'!G:G)</f>
      </c>
      <c r="Q276" s="63">
        <f t="shared" si="11"/>
      </c>
      <c r="R276" s="63" cm="1">
        <f t="array" ref="R276:R276">_xlfn.XLOOKUP(B276,'OA名单'!B:B,'OA名单'!F:F)</f>
      </c>
      <c r="S276" s="63">
        <f t="shared" si="10"/>
      </c>
      <c r="T276" s="70"/>
      <c r="U276" s="63" cm="1">
        <f t="array" ref="U276:U276">_xlfn.XLOOKUP(N276,'OA名单'!B:B,'OA名单'!E:E)</f>
      </c>
      <c r="V276" s="63">
        <f t="shared" si="12"/>
      </c>
      <c r="W276" s="71"/>
      <c r="X276" s="66"/>
      <c r="Y276" s="66"/>
    </row>
    <row hidden="true" r="277">
      <c r="A277" s="66"/>
      <c r="B277" s="66" t="s">
        <v>13396</v>
      </c>
      <c r="C277" s="67" t="s">
        <v>12713</v>
      </c>
      <c r="D277" s="67" t="s">
        <v>12714</v>
      </c>
      <c r="E277" s="66" t="s">
        <v>12749</v>
      </c>
      <c r="F277" s="72" t="s">
        <v>12750</v>
      </c>
      <c r="G277" s="66" t="s">
        <v>13397</v>
      </c>
      <c r="H277" s="66" t="s">
        <v>13398</v>
      </c>
      <c r="I277" s="68">
        <v>1.013</v>
      </c>
      <c r="J277" s="69">
        <v>1.01</v>
      </c>
      <c r="K277" s="66">
        <v>1.01</v>
      </c>
      <c r="L277" s="66">
        <v>5000</v>
      </c>
      <c r="M277" s="66">
        <v>5000</v>
      </c>
      <c r="N277" s="63" cm="1">
        <f t="array" ref="N277:N277">_xlfn.XLOOKUP(H277,'OA名单'!C:C,'OA名单'!B:B,1)</f>
      </c>
      <c r="O277" s="63">
        <f t="shared" si="8"/>
      </c>
      <c r="P277" s="63" cm="1">
        <f t="array" ref="P277:P277">_xlfn.XLOOKUP(N277,'OA名单'!B:B,'OA名单'!G:G)</f>
      </c>
      <c r="Q277" s="63">
        <f t="shared" si="11"/>
      </c>
      <c r="R277" s="63" cm="1">
        <f t="array" ref="R277:R277">_xlfn.XLOOKUP(B277,'OA名单'!B:B,'OA名单'!F:F)</f>
      </c>
      <c r="S277" s="63">
        <f t="shared" si="10"/>
      </c>
      <c r="T277" s="64" cm="1">
        <f t="array" ref="T277:T277">_xlfn.XLOOKUP(B277,'系统-原始（副本）'!A:A,'系统-原始（副本）'!B:B)</f>
      </c>
      <c r="U277" s="63" cm="1">
        <f t="array" ref="U277:U277">_xlfn.XLOOKUP(N277,'OA名单'!B:B,'OA名单'!E:E)</f>
      </c>
      <c r="V277" s="63">
        <f t="shared" si="12"/>
      </c>
      <c r="W277" s="71"/>
      <c r="X277" s="66"/>
      <c r="Y277" s="66"/>
    </row>
    <row hidden="true" r="278">
      <c r="A278" s="66"/>
      <c r="B278" s="66" t="s">
        <v>13399</v>
      </c>
      <c r="C278" s="67" t="s">
        <v>12713</v>
      </c>
      <c r="D278" s="67" t="s">
        <v>12714</v>
      </c>
      <c r="E278" s="66" t="s">
        <v>12956</v>
      </c>
      <c r="F278" s="66" t="s">
        <v>13400</v>
      </c>
      <c r="G278" s="66" t="s">
        <v>13401</v>
      </c>
      <c r="H278" s="66" t="s">
        <v>13402</v>
      </c>
      <c r="I278" s="68">
        <v>1.01</v>
      </c>
      <c r="J278" s="69">
        <v>1.01</v>
      </c>
      <c r="K278" s="66">
        <v>1.01</v>
      </c>
      <c r="L278" s="66">
        <v>5910</v>
      </c>
      <c r="M278" s="66">
        <v>5000</v>
      </c>
      <c r="N278" s="63" cm="1">
        <f t="array" ref="N278:N278">_xlfn.XLOOKUP(H278,'OA名单'!C:C,'OA名单'!B:B,1)</f>
      </c>
      <c r="O278" s="63">
        <f t="shared" si="8"/>
      </c>
      <c r="P278" s="63" cm="1">
        <f t="array" ref="P278:P278">_xlfn.XLOOKUP(N278,'OA名单'!B:B,'OA名单'!G:G)</f>
      </c>
      <c r="Q278" s="63">
        <f t="shared" si="11"/>
      </c>
      <c r="R278" s="63" cm="1">
        <f t="array" ref="R278:R278">_xlfn.XLOOKUP(B278,'OA名单'!B:B,'OA名单'!F:F)</f>
      </c>
      <c r="S278" s="63">
        <f t="shared" si="10"/>
      </c>
      <c r="T278" s="70"/>
      <c r="U278" s="63" cm="1">
        <f t="array" ref="U278:U278">_xlfn.XLOOKUP(N278,'OA名单'!B:B,'OA名单'!E:E)</f>
      </c>
      <c r="V278" s="63">
        <f t="shared" si="12"/>
      </c>
      <c r="W278" s="71"/>
      <c r="X278" s="66"/>
      <c r="Y278" s="66"/>
    </row>
    <row hidden="true" r="279">
      <c r="A279" s="66"/>
      <c r="B279" s="66" t="s">
        <v>13403</v>
      </c>
      <c r="C279" s="67" t="s">
        <v>12713</v>
      </c>
      <c r="D279" s="67" t="s">
        <v>12714</v>
      </c>
      <c r="E279" s="66" t="s">
        <v>13016</v>
      </c>
      <c r="F279" s="66" t="s">
        <v>13404</v>
      </c>
      <c r="G279" s="66" t="s">
        <v>13288</v>
      </c>
      <c r="H279" s="66" t="s">
        <v>13405</v>
      </c>
      <c r="I279" s="68">
        <v>0.958</v>
      </c>
      <c r="J279" s="69">
        <v>1.01</v>
      </c>
      <c r="K279" s="66">
        <v>1.01</v>
      </c>
      <c r="L279" s="66">
        <v>1960</v>
      </c>
      <c r="M279" s="66">
        <v>2800</v>
      </c>
      <c r="N279" s="63" cm="1">
        <f t="array" ref="N279:N279">_xlfn.XLOOKUP(H279,'OA名单'!C:C,'OA名单'!B:B,1)</f>
      </c>
      <c r="O279" s="63">
        <f t="shared" si="8"/>
      </c>
      <c r="P279" s="63" cm="1">
        <f t="array" ref="P279:P279">_xlfn.XLOOKUP(N279,'OA名单'!B:B,'OA名单'!G:G)</f>
      </c>
      <c r="Q279" s="63">
        <f t="shared" si="11"/>
      </c>
      <c r="R279" s="63" cm="1">
        <f t="array" ref="R279:R279">_xlfn.XLOOKUP(B279,'OA名单'!B:B,'OA名单'!F:F)</f>
      </c>
      <c r="S279" s="63">
        <f t="shared" si="10"/>
      </c>
      <c r="T279" s="70"/>
      <c r="U279" s="63" cm="1">
        <f t="array" ref="U279:U279">_xlfn.XLOOKUP(N279,'OA名单'!B:B,'OA名单'!E:E)</f>
      </c>
      <c r="V279" s="63">
        <f t="shared" si="12"/>
      </c>
      <c r="W279" s="71"/>
      <c r="X279" s="66"/>
      <c r="Y279" s="66"/>
    </row>
    <row hidden="true" r="280">
      <c r="A280" s="66"/>
      <c r="B280" s="66" t="s">
        <v>13406</v>
      </c>
      <c r="C280" s="67" t="s">
        <v>12713</v>
      </c>
      <c r="D280" s="67" t="s">
        <v>12714</v>
      </c>
      <c r="E280" s="66" t="s">
        <v>13146</v>
      </c>
      <c r="F280" s="66" t="s">
        <v>13147</v>
      </c>
      <c r="G280" s="66" t="s">
        <v>13294</v>
      </c>
      <c r="H280" s="66" t="s">
        <v>13398</v>
      </c>
      <c r="I280" s="68">
        <v>1.013</v>
      </c>
      <c r="J280" s="69">
        <v>1.01</v>
      </c>
      <c r="K280" s="66">
        <v>1.01</v>
      </c>
      <c r="L280" s="66">
        <v>5000</v>
      </c>
      <c r="M280" s="66">
        <v>5000</v>
      </c>
      <c r="N280" s="63" cm="1">
        <f t="array" ref="N280:N280">_xlfn.XLOOKUP(H280,'OA名单'!C:C,'OA名单'!B:B,1)</f>
      </c>
      <c r="O280" s="63">
        <f t="shared" si="8"/>
      </c>
      <c r="P280" s="63" cm="1">
        <f t="array" ref="P280:P280">_xlfn.XLOOKUP(N280,'OA名单'!B:B,'OA名单'!G:G)</f>
      </c>
      <c r="Q280" s="63">
        <f t="shared" si="11"/>
      </c>
      <c r="R280" s="63" cm="1">
        <f t="array" ref="R280:R280">_xlfn.XLOOKUP(B280,'OA名单'!B:B,'OA名单'!F:F)</f>
      </c>
      <c r="S280" s="63">
        <f t="shared" si="10"/>
      </c>
      <c r="T280" s="70"/>
      <c r="U280" s="63" cm="1">
        <f t="array" ref="U280:U280">_xlfn.XLOOKUP(N280,'OA名单'!B:B,'OA名单'!E:E)</f>
      </c>
      <c r="V280" s="63">
        <f t="shared" si="12"/>
      </c>
      <c r="W280" s="71"/>
      <c r="X280" s="66"/>
      <c r="Y280" s="66"/>
    </row>
    <row hidden="true" r="281">
      <c r="A281" s="66"/>
      <c r="B281" s="66" t="s">
        <v>13407</v>
      </c>
      <c r="C281" s="67" t="s">
        <v>12713</v>
      </c>
      <c r="D281" s="67" t="s">
        <v>12714</v>
      </c>
      <c r="E281" s="66" t="s">
        <v>13146</v>
      </c>
      <c r="F281" s="66" t="s">
        <v>13348</v>
      </c>
      <c r="G281" s="66" t="s">
        <v>13349</v>
      </c>
      <c r="H281" s="66" t="s">
        <v>13408</v>
      </c>
      <c r="I281" s="68">
        <v>1</v>
      </c>
      <c r="J281" s="69">
        <v>1</v>
      </c>
      <c r="K281" s="66">
        <v>1</v>
      </c>
      <c r="L281" s="66">
        <v>1500</v>
      </c>
      <c r="M281" s="66">
        <v>1500</v>
      </c>
      <c r="N281" s="63" cm="1">
        <f t="array" ref="N281:N281">_xlfn.XLOOKUP(H281,'OA名单'!C:C,'OA名单'!B:B,1)</f>
      </c>
      <c r="O281" s="63">
        <f t="shared" si="8"/>
      </c>
      <c r="P281" s="63" cm="1">
        <f t="array" ref="P281:P281">_xlfn.XLOOKUP(N281,'OA名单'!B:B,'OA名单'!G:G)</f>
      </c>
      <c r="Q281" s="63">
        <f t="shared" si="11"/>
      </c>
      <c r="R281" s="63" cm="1">
        <f t="array" ref="R281:R281">_xlfn.XLOOKUP(B281,'OA名单'!B:B,'OA名单'!F:F)</f>
      </c>
      <c r="S281" s="63">
        <f t="shared" si="10"/>
      </c>
      <c r="T281" s="70"/>
      <c r="U281" s="63" cm="1">
        <f t="array" ref="U281:U281">_xlfn.XLOOKUP(N281,'OA名单'!B:B,'OA名单'!E:E)</f>
      </c>
      <c r="V281" s="63">
        <f t="shared" si="12"/>
      </c>
      <c r="W281" s="71"/>
      <c r="X281" s="66"/>
      <c r="Y281" s="66"/>
    </row>
    <row hidden="true" r="282">
      <c r="A282" s="66"/>
      <c r="B282" s="66" t="s">
        <v>13409</v>
      </c>
      <c r="C282" s="67" t="s">
        <v>12713</v>
      </c>
      <c r="D282" s="67" t="s">
        <v>12714</v>
      </c>
      <c r="E282" s="66" t="s">
        <v>13146</v>
      </c>
      <c r="F282" s="66" t="s">
        <v>13348</v>
      </c>
      <c r="G282" s="66" t="s">
        <v>13410</v>
      </c>
      <c r="H282" s="66" t="s">
        <v>13411</v>
      </c>
      <c r="I282" s="68">
        <v>1</v>
      </c>
      <c r="J282" s="69">
        <v>1</v>
      </c>
      <c r="K282" s="66">
        <v>1</v>
      </c>
      <c r="L282" s="66">
        <v>3386</v>
      </c>
      <c r="M282" s="66">
        <v>3000</v>
      </c>
      <c r="N282" s="63" cm="1">
        <f t="array" ref="N282:N282">_xlfn.XLOOKUP(H282,'OA名单'!C:C,'OA名单'!B:B,1)</f>
      </c>
      <c r="O282" s="63">
        <f t="shared" si="8"/>
      </c>
      <c r="P282" s="63" cm="1">
        <f t="array" ref="P282:P282">_xlfn.XLOOKUP(N282,'OA名单'!B:B,'OA名单'!G:G)</f>
      </c>
      <c r="Q282" s="63">
        <f t="shared" si="11"/>
      </c>
      <c r="R282" s="63" cm="1">
        <f t="array" ref="R282:R282">_xlfn.XLOOKUP(B282,'OA名单'!B:B,'OA名单'!F:F)</f>
      </c>
      <c r="S282" s="63">
        <f t="shared" si="10"/>
      </c>
      <c r="T282" s="70"/>
      <c r="U282" s="63" cm="1">
        <f t="array" ref="U282:U282">_xlfn.XLOOKUP(N282,'OA名单'!B:B,'OA名单'!E:E)</f>
      </c>
      <c r="V282" s="63">
        <f t="shared" si="12"/>
      </c>
      <c r="W282" s="71"/>
      <c r="X282" s="66"/>
      <c r="Y282" s="66"/>
    </row>
    <row hidden="true" r="283">
      <c r="A283" s="66"/>
      <c r="B283" s="66" t="s">
        <v>13412</v>
      </c>
      <c r="C283" s="67" t="s">
        <v>12713</v>
      </c>
      <c r="D283" s="67" t="s">
        <v>12714</v>
      </c>
      <c r="E283" s="66" t="s">
        <v>13146</v>
      </c>
      <c r="F283" s="66" t="s">
        <v>13348</v>
      </c>
      <c r="G283" s="66" t="s">
        <v>13410</v>
      </c>
      <c r="H283" s="66" t="s">
        <v>13413</v>
      </c>
      <c r="I283" s="68">
        <v>1</v>
      </c>
      <c r="J283" s="69">
        <v>1</v>
      </c>
      <c r="K283" s="66">
        <v>1</v>
      </c>
      <c r="L283" s="66">
        <v>3386</v>
      </c>
      <c r="M283" s="66">
        <v>3000</v>
      </c>
      <c r="N283" s="63" cm="1">
        <f t="array" ref="N283:N283">_xlfn.XLOOKUP(H283,'OA名单'!C:C,'OA名单'!B:B,1)</f>
      </c>
      <c r="O283" s="63">
        <f t="shared" si="8"/>
      </c>
      <c r="P283" s="63" cm="1">
        <f t="array" ref="P283:P283">_xlfn.XLOOKUP(N283,'OA名单'!B:B,'OA名单'!G:G)</f>
      </c>
      <c r="Q283" s="63">
        <f t="shared" si="11"/>
      </c>
      <c r="R283" s="63" cm="1">
        <f t="array" ref="R283:R283">_xlfn.XLOOKUP(B283,'OA名单'!B:B,'OA名单'!F:F)</f>
      </c>
      <c r="S283" s="63">
        <f t="shared" si="10"/>
      </c>
      <c r="T283" s="70"/>
      <c r="U283" s="63" cm="1">
        <f t="array" ref="U283:U283">_xlfn.XLOOKUP(N283,'OA名单'!B:B,'OA名单'!E:E)</f>
      </c>
      <c r="V283" s="63">
        <f t="shared" si="12"/>
      </c>
      <c r="W283" s="71"/>
      <c r="X283" s="66"/>
      <c r="Y283" s="66"/>
    </row>
    <row hidden="true" r="284">
      <c r="A284" s="66"/>
      <c r="B284" s="66" t="s">
        <v>13414</v>
      </c>
      <c r="C284" s="67" t="s">
        <v>12713</v>
      </c>
      <c r="D284" s="67" t="s">
        <v>12714</v>
      </c>
      <c r="E284" s="66" t="s">
        <v>12936</v>
      </c>
      <c r="F284" s="66" t="s">
        <v>13028</v>
      </c>
      <c r="G284" s="66" t="s">
        <v>13195</v>
      </c>
      <c r="H284" s="66" t="s">
        <v>13415</v>
      </c>
      <c r="I284" s="68">
        <v>1</v>
      </c>
      <c r="J284" s="69">
        <v>1</v>
      </c>
      <c r="K284" s="66">
        <v>1</v>
      </c>
      <c r="L284" s="66">
        <v>3400</v>
      </c>
      <c r="M284" s="66">
        <v>3000</v>
      </c>
      <c r="N284" s="63" cm="1">
        <f t="array" ref="N284:N284">_xlfn.XLOOKUP(H284,'OA名单'!C:C,'OA名单'!B:B,1)</f>
      </c>
      <c r="O284" s="63">
        <f t="shared" si="8"/>
      </c>
      <c r="P284" s="63" cm="1">
        <f t="array" ref="P284:P284">_xlfn.XLOOKUP(N284,'OA名单'!B:B,'OA名单'!G:G)</f>
      </c>
      <c r="Q284" s="63">
        <f t="shared" si="11"/>
      </c>
      <c r="R284" s="63" cm="1">
        <f t="array" ref="R284:R284">_xlfn.XLOOKUP(B284,'OA名单'!B:B,'OA名单'!F:F)</f>
      </c>
      <c r="S284" s="63">
        <f t="shared" si="10"/>
      </c>
      <c r="T284" s="70"/>
      <c r="U284" s="63" cm="1">
        <f t="array" ref="U284:U284">_xlfn.XLOOKUP(N284,'OA名单'!B:B,'OA名单'!E:E)</f>
      </c>
      <c r="V284" s="63">
        <f t="shared" si="12"/>
      </c>
      <c r="W284" s="71"/>
      <c r="X284" s="66"/>
      <c r="Y284" s="66"/>
    </row>
    <row hidden="true" r="285">
      <c r="A285" s="66"/>
      <c r="B285" s="66" t="s">
        <v>13416</v>
      </c>
      <c r="C285" s="67" t="s">
        <v>12713</v>
      </c>
      <c r="D285" s="67" t="s">
        <v>12714</v>
      </c>
      <c r="E285" s="66" t="s">
        <v>13374</v>
      </c>
      <c r="F285" s="69" t="s">
        <v>12764</v>
      </c>
      <c r="G285" s="66" t="s">
        <v>13417</v>
      </c>
      <c r="H285" s="66" t="s">
        <v>13418</v>
      </c>
      <c r="I285" s="68">
        <v>1</v>
      </c>
      <c r="J285" s="69">
        <v>1</v>
      </c>
      <c r="K285" s="66">
        <v>1</v>
      </c>
      <c r="L285" s="66">
        <v>2000</v>
      </c>
      <c r="M285" s="66">
        <v>2000</v>
      </c>
      <c r="N285" s="63" cm="1">
        <f t="array" ref="N285:N285">_xlfn.XLOOKUP(H285,'OA名单'!C:C,'OA名单'!B:B,1)</f>
      </c>
      <c r="O285" s="63">
        <f t="shared" si="8"/>
      </c>
      <c r="P285" s="63" cm="1">
        <f t="array" ref="P285:P285">_xlfn.XLOOKUP(N285,'OA名单'!B:B,'OA名单'!G:G)</f>
      </c>
      <c r="Q285" s="63">
        <f t="shared" si="11"/>
      </c>
      <c r="R285" s="63" cm="1">
        <f t="array" ref="R285:R285">_xlfn.XLOOKUP(B285,'OA名单'!B:B,'OA名单'!F:F)</f>
      </c>
      <c r="S285" s="63">
        <f t="shared" si="10"/>
      </c>
      <c r="T285" s="64" cm="1">
        <f t="array" ref="T285:T285">_xlfn.XLOOKUP(B285,'系统-原始（副本）'!A:A,'系统-原始（副本）'!B:B)</f>
      </c>
      <c r="U285" s="63" cm="1">
        <f t="array" ref="U285:U285">_xlfn.XLOOKUP(N285,'OA名单'!B:B,'OA名单'!E:E)</f>
      </c>
      <c r="V285" s="63">
        <f t="shared" si="12"/>
      </c>
      <c r="W285" s="71"/>
      <c r="X285" s="66"/>
      <c r="Y285" s="66"/>
    </row>
    <row hidden="true" r="286">
      <c r="A286" s="66"/>
      <c r="B286" s="66" t="s">
        <v>13419</v>
      </c>
      <c r="C286" s="67" t="s">
        <v>12713</v>
      </c>
      <c r="D286" s="67" t="s">
        <v>12714</v>
      </c>
      <c r="E286" s="66" t="s">
        <v>13420</v>
      </c>
      <c r="F286" s="69" t="s">
        <v>12764</v>
      </c>
      <c r="G286" s="66" t="s">
        <v>13421</v>
      </c>
      <c r="H286" s="66" t="s">
        <v>13422</v>
      </c>
      <c r="I286" s="68">
        <v>1</v>
      </c>
      <c r="J286" s="69">
        <v>1</v>
      </c>
      <c r="K286" s="66">
        <v>1</v>
      </c>
      <c r="L286" s="66">
        <v>5000</v>
      </c>
      <c r="M286" s="66">
        <v>5000</v>
      </c>
      <c r="N286" s="63" cm="1">
        <f t="array" ref="N286:N286">_xlfn.XLOOKUP(H286,'OA名单'!C:C,'OA名单'!B:B,1)</f>
      </c>
      <c r="O286" s="63">
        <f t="shared" si="8"/>
      </c>
      <c r="P286" s="63" cm="1">
        <f t="array" ref="P286:P286">_xlfn.XLOOKUP(N286,'OA名单'!B:B,'OA名单'!G:G)</f>
      </c>
      <c r="Q286" s="63">
        <f t="shared" si="11"/>
      </c>
      <c r="R286" s="63" cm="1">
        <f t="array" ref="R286:R286">_xlfn.XLOOKUP(B286,'OA名单'!B:B,'OA名单'!F:F)</f>
      </c>
      <c r="S286" s="63">
        <f t="shared" si="10"/>
      </c>
      <c r="T286" s="64" cm="1">
        <f t="array" ref="T286:T286">_xlfn.XLOOKUP(B286,'系统-原始（副本）'!A:A,'系统-原始（副本）'!B:B)</f>
      </c>
      <c r="U286" s="63" cm="1">
        <f t="array" ref="U286:U286">_xlfn.XLOOKUP(N286,'OA名单'!B:B,'OA名单'!E:E)</f>
      </c>
      <c r="V286" s="63">
        <f t="shared" si="12"/>
      </c>
      <c r="W286" s="71"/>
      <c r="X286" s="66"/>
      <c r="Y286" s="66"/>
    </row>
    <row hidden="true" r="287">
      <c r="A287" s="66"/>
      <c r="B287" s="66" t="s">
        <v>13423</v>
      </c>
      <c r="C287" s="67" t="s">
        <v>12713</v>
      </c>
      <c r="D287" s="67" t="s">
        <v>12714</v>
      </c>
      <c r="E287" s="66" t="s">
        <v>13420</v>
      </c>
      <c r="F287" s="69" t="s">
        <v>12764</v>
      </c>
      <c r="G287" s="66" t="s">
        <v>13421</v>
      </c>
      <c r="H287" s="66" t="s">
        <v>13424</v>
      </c>
      <c r="I287" s="68">
        <v>1</v>
      </c>
      <c r="J287" s="69">
        <v>1</v>
      </c>
      <c r="K287" s="66">
        <v>1</v>
      </c>
      <c r="L287" s="66">
        <v>0</v>
      </c>
      <c r="M287" s="66">
        <v>3000</v>
      </c>
      <c r="N287" s="63" cm="1">
        <f t="array" ref="N287:N287">_xlfn.XLOOKUP(H287,'OA名单'!C:C,'OA名单'!B:B,1)</f>
      </c>
      <c r="O287" s="63">
        <f t="shared" si="8"/>
      </c>
      <c r="P287" s="63" cm="1">
        <f t="array" ref="P287:P287">_xlfn.XLOOKUP(N287,'OA名单'!B:B,'OA名单'!G:G)</f>
      </c>
      <c r="Q287" s="63">
        <f t="shared" si="11"/>
      </c>
      <c r="R287" s="63" cm="1">
        <f t="array" ref="R287:R287">_xlfn.XLOOKUP(B287,'OA名单'!B:B,'OA名单'!F:F)</f>
      </c>
      <c r="S287" s="63">
        <f t="shared" si="10"/>
      </c>
      <c r="T287" s="64" cm="1">
        <f t="array" ref="T287:T287">_xlfn.XLOOKUP(B287,'系统-原始（副本）'!A:A,'系统-原始（副本）'!B:B)</f>
      </c>
      <c r="U287" s="63" cm="1">
        <f t="array" ref="U287:U287">_xlfn.XLOOKUP(N287,'OA名单'!B:B,'OA名单'!E:E)</f>
      </c>
      <c r="V287" s="63">
        <f t="shared" si="12"/>
      </c>
      <c r="W287" s="71"/>
      <c r="X287" s="66"/>
      <c r="Y287" s="66"/>
    </row>
    <row hidden="true" r="288">
      <c r="A288" s="66"/>
      <c r="B288" s="66" t="s">
        <v>13425</v>
      </c>
      <c r="C288" s="67" t="s">
        <v>12713</v>
      </c>
      <c r="D288" s="67" t="s">
        <v>12714</v>
      </c>
      <c r="E288" s="66" t="s">
        <v>13420</v>
      </c>
      <c r="F288" s="69" t="s">
        <v>12764</v>
      </c>
      <c r="G288" s="66" t="s">
        <v>13426</v>
      </c>
      <c r="H288" s="66" t="s">
        <v>13427</v>
      </c>
      <c r="I288" s="68">
        <v>1</v>
      </c>
      <c r="J288" s="69">
        <v>1</v>
      </c>
      <c r="K288" s="66">
        <v>1</v>
      </c>
      <c r="L288" s="66">
        <v>2000</v>
      </c>
      <c r="M288" s="66">
        <v>2000</v>
      </c>
      <c r="N288" s="63" cm="1">
        <f t="array" ref="N288:N288">_xlfn.XLOOKUP(H288,'OA名单'!C:C,'OA名单'!B:B,1)</f>
      </c>
      <c r="O288" s="63">
        <f t="shared" si="8"/>
      </c>
      <c r="P288" s="63" cm="1">
        <f t="array" ref="P288:P288">_xlfn.XLOOKUP(N288,'OA名单'!B:B,'OA名单'!G:G)</f>
      </c>
      <c r="Q288" s="63">
        <f t="shared" si="11"/>
      </c>
      <c r="R288" s="63" cm="1">
        <f t="array" ref="R288:R288">_xlfn.XLOOKUP(B288,'OA名单'!B:B,'OA名单'!F:F)</f>
      </c>
      <c r="S288" s="63">
        <f t="shared" si="10"/>
      </c>
      <c r="T288" s="64" cm="1">
        <f t="array" ref="T288:T288">_xlfn.XLOOKUP(B288,'系统-原始（副本）'!A:A,'系统-原始（副本）'!B:B)</f>
      </c>
      <c r="U288" s="63" cm="1">
        <f t="array" ref="U288:U288">_xlfn.XLOOKUP(N288,'OA名单'!B:B,'OA名单'!E:E)</f>
      </c>
      <c r="V288" s="63">
        <f t="shared" si="12"/>
      </c>
      <c r="W288" s="71"/>
      <c r="X288" s="66"/>
      <c r="Y288" s="66"/>
    </row>
    <row hidden="true" r="289">
      <c r="A289" s="66"/>
      <c r="B289" s="66" t="s">
        <v>13428</v>
      </c>
      <c r="C289" s="67" t="s">
        <v>12713</v>
      </c>
      <c r="D289" s="67" t="s">
        <v>12714</v>
      </c>
      <c r="E289" s="66" t="s">
        <v>13420</v>
      </c>
      <c r="F289" s="69" t="s">
        <v>12764</v>
      </c>
      <c r="G289" s="66" t="s">
        <v>13429</v>
      </c>
      <c r="H289" s="66" t="s">
        <v>13430</v>
      </c>
      <c r="I289" s="68">
        <v>1</v>
      </c>
      <c r="J289" s="69">
        <v>1</v>
      </c>
      <c r="K289" s="66">
        <v>1</v>
      </c>
      <c r="L289" s="66">
        <v>5000</v>
      </c>
      <c r="M289" s="66">
        <v>5000</v>
      </c>
      <c r="N289" s="63" cm="1">
        <f t="array" ref="N289:N289">_xlfn.XLOOKUP(H289,'OA名单'!C:C,'OA名单'!B:B,1)</f>
      </c>
      <c r="O289" s="63">
        <f t="shared" si="8"/>
      </c>
      <c r="P289" s="63" cm="1">
        <f t="array" ref="P289:P289">_xlfn.XLOOKUP(N289,'OA名单'!B:B,'OA名单'!G:G)</f>
      </c>
      <c r="Q289" s="63">
        <f t="shared" si="11"/>
      </c>
      <c r="R289" s="63" cm="1">
        <f t="array" ref="R289:R289">_xlfn.XLOOKUP(B289,'OA名单'!B:B,'OA名单'!F:F)</f>
      </c>
      <c r="S289" s="63">
        <f t="shared" si="10"/>
      </c>
      <c r="T289" s="64" cm="1">
        <f t="array" ref="T289:T289">_xlfn.XLOOKUP(B289,'系统-原始（副本）'!A:A,'系统-原始（副本）'!B:B)</f>
      </c>
      <c r="U289" s="63" cm="1">
        <f t="array" ref="U289:U289">_xlfn.XLOOKUP(N289,'OA名单'!B:B,'OA名单'!E:E)</f>
      </c>
      <c r="V289" s="63">
        <f t="shared" si="12"/>
      </c>
      <c r="W289" s="71"/>
      <c r="X289" s="66"/>
      <c r="Y289" s="66"/>
    </row>
    <row hidden="true" r="290">
      <c r="A290" s="66"/>
      <c r="B290" s="66" t="s">
        <v>13431</v>
      </c>
      <c r="C290" s="67" t="s">
        <v>12713</v>
      </c>
      <c r="D290" s="67" t="s">
        <v>12714</v>
      </c>
      <c r="E290" s="66" t="s">
        <v>12749</v>
      </c>
      <c r="F290" s="66" t="s">
        <v>13157</v>
      </c>
      <c r="G290" s="66" t="s">
        <v>13158</v>
      </c>
      <c r="H290" s="66" t="s">
        <v>13432</v>
      </c>
      <c r="I290" s="68">
        <v>0.967</v>
      </c>
      <c r="J290" s="69">
        <v>1</v>
      </c>
      <c r="K290" s="66">
        <v>1</v>
      </c>
      <c r="L290" s="66">
        <v>2790.7</v>
      </c>
      <c r="M290" s="66">
        <v>3000</v>
      </c>
      <c r="N290" s="63" cm="1">
        <f t="array" ref="N290:N290">_xlfn.XLOOKUP(H290,'OA名单'!C:C,'OA名单'!B:B,1)</f>
      </c>
      <c r="O290" s="63">
        <f t="shared" si="8"/>
      </c>
      <c r="P290" s="63" cm="1">
        <f t="array" ref="P290:P290">_xlfn.XLOOKUP(N290,'OA名单'!B:B,'OA名单'!G:G)</f>
      </c>
      <c r="Q290" s="63">
        <f t="shared" si="11"/>
      </c>
      <c r="R290" s="63" cm="1">
        <f t="array" ref="R290:R290">_xlfn.XLOOKUP(B290,'OA名单'!B:B,'OA名单'!F:F)</f>
      </c>
      <c r="S290" s="63">
        <f t="shared" si="10"/>
      </c>
      <c r="T290" s="70"/>
      <c r="U290" s="63" cm="1">
        <f t="array" ref="U290:U290">_xlfn.XLOOKUP(N290,'OA名单'!B:B,'OA名单'!E:E)</f>
      </c>
      <c r="V290" s="63">
        <f t="shared" si="12"/>
      </c>
      <c r="W290" s="71"/>
      <c r="X290" s="66"/>
      <c r="Y290" s="66"/>
    </row>
    <row hidden="true" r="291">
      <c r="A291" s="66"/>
      <c r="B291" s="66" t="s">
        <v>13433</v>
      </c>
      <c r="C291" s="67" t="s">
        <v>12713</v>
      </c>
      <c r="D291" s="67" t="s">
        <v>12714</v>
      </c>
      <c r="E291" s="66" t="s">
        <v>12749</v>
      </c>
      <c r="F291" s="66" t="s">
        <v>13157</v>
      </c>
      <c r="G291" s="66" t="s">
        <v>13158</v>
      </c>
      <c r="H291" s="66" t="s">
        <v>13434</v>
      </c>
      <c r="I291" s="68">
        <v>1</v>
      </c>
      <c r="J291" s="69">
        <v>1</v>
      </c>
      <c r="K291" s="66">
        <v>1</v>
      </c>
      <c r="L291" s="66">
        <v>0</v>
      </c>
      <c r="M291" s="66">
        <v>3000</v>
      </c>
      <c r="N291" s="63" cm="1">
        <f t="array" ref="N291:N291">_xlfn.XLOOKUP(H291,'OA名单'!C:C,'OA名单'!B:B,1)</f>
      </c>
      <c r="O291" s="63">
        <f t="shared" si="8"/>
      </c>
      <c r="P291" s="63" cm="1">
        <f t="array" ref="P291:P291">_xlfn.XLOOKUP(N291,'OA名单'!B:B,'OA名单'!G:G)</f>
      </c>
      <c r="Q291" s="63">
        <f t="shared" si="11"/>
      </c>
      <c r="R291" s="63" cm="1">
        <f t="array" ref="R291:R291">_xlfn.XLOOKUP(B291,'OA名单'!B:B,'OA名单'!F:F)</f>
      </c>
      <c r="S291" s="63">
        <f t="shared" si="10"/>
      </c>
      <c r="T291" s="70"/>
      <c r="U291" s="63" cm="1">
        <f t="array" ref="U291:U291">_xlfn.XLOOKUP(N291,'OA名单'!B:B,'OA名单'!E:E)</f>
      </c>
      <c r="V291" s="63">
        <f t="shared" si="12"/>
      </c>
      <c r="W291" s="71"/>
      <c r="X291" s="66"/>
      <c r="Y291" s="66"/>
    </row>
    <row hidden="true" r="292">
      <c r="A292" s="66"/>
      <c r="B292" s="66" t="s">
        <v>13435</v>
      </c>
      <c r="C292" s="67" t="s">
        <v>12713</v>
      </c>
      <c r="D292" s="67" t="s">
        <v>12714</v>
      </c>
      <c r="E292" s="66" t="s">
        <v>13016</v>
      </c>
      <c r="F292" s="66" t="s">
        <v>13436</v>
      </c>
      <c r="G292" s="66" t="s">
        <v>13437</v>
      </c>
      <c r="H292" s="66" t="s">
        <v>13438</v>
      </c>
      <c r="I292" s="68">
        <v>1</v>
      </c>
      <c r="J292" s="69">
        <v>1</v>
      </c>
      <c r="K292" s="66">
        <v>1</v>
      </c>
      <c r="L292" s="66">
        <v>2800</v>
      </c>
      <c r="M292" s="66">
        <v>3500</v>
      </c>
      <c r="N292" s="63" cm="1">
        <f t="array" ref="N292:N292">_xlfn.XLOOKUP(H292,'OA名单'!C:C,'OA名单'!B:B,1)</f>
      </c>
      <c r="O292" s="63">
        <f t="shared" si="8"/>
      </c>
      <c r="P292" s="63" cm="1">
        <f t="array" ref="P292:P292">_xlfn.XLOOKUP(N292,'OA名单'!B:B,'OA名单'!G:G)</f>
      </c>
      <c r="Q292" s="63">
        <f t="shared" si="11"/>
      </c>
      <c r="R292" s="63" cm="1">
        <f t="array" ref="R292:R292">_xlfn.XLOOKUP(B292,'OA名单'!B:B,'OA名单'!F:F)</f>
      </c>
      <c r="S292" s="63">
        <f t="shared" si="10"/>
      </c>
      <c r="T292" s="70"/>
      <c r="U292" s="63" cm="1">
        <f t="array" ref="U292:U292">_xlfn.XLOOKUP(N292,'OA名单'!B:B,'OA名单'!E:E)</f>
      </c>
      <c r="V292" s="63">
        <f t="shared" si="12"/>
      </c>
      <c r="W292" s="71"/>
      <c r="X292" s="66"/>
      <c r="Y292" s="66"/>
    </row>
    <row hidden="true" r="293">
      <c r="A293" s="66"/>
      <c r="B293" s="66" t="s">
        <v>13439</v>
      </c>
      <c r="C293" s="67" t="s">
        <v>12713</v>
      </c>
      <c r="D293" s="67" t="s">
        <v>12714</v>
      </c>
      <c r="E293" s="66" t="s">
        <v>13016</v>
      </c>
      <c r="F293" s="69" t="s">
        <v>12764</v>
      </c>
      <c r="G293" s="66" t="s">
        <v>13440</v>
      </c>
      <c r="H293" s="66" t="s">
        <v>13441</v>
      </c>
      <c r="I293" s="68">
        <v>1</v>
      </c>
      <c r="J293" s="69">
        <v>1</v>
      </c>
      <c r="K293" s="66">
        <v>1</v>
      </c>
      <c r="L293" s="66">
        <v>3000</v>
      </c>
      <c r="M293" s="66">
        <v>3000</v>
      </c>
      <c r="N293" s="63" cm="1">
        <f t="array" ref="N293:N293">_xlfn.XLOOKUP(H293,'OA名单'!C:C,'OA名单'!B:B,1)</f>
      </c>
      <c r="O293" s="63">
        <f t="shared" si="8"/>
      </c>
      <c r="P293" s="63" cm="1">
        <f t="array" ref="P293:P293">_xlfn.XLOOKUP(N293,'OA名单'!B:B,'OA名单'!G:G)</f>
      </c>
      <c r="Q293" s="63">
        <f t="shared" si="11"/>
      </c>
      <c r="R293" s="63" cm="1">
        <f t="array" ref="R293:R293">_xlfn.XLOOKUP(B293,'OA名单'!B:B,'OA名单'!F:F)</f>
      </c>
      <c r="S293" s="63">
        <f t="shared" si="10"/>
      </c>
      <c r="T293" s="64" cm="1">
        <f t="array" ref="T293:T293">_xlfn.XLOOKUP(B293,'系统-原始（副本）'!A:A,'系统-原始（副本）'!B:B)</f>
      </c>
      <c r="U293" s="63" cm="1">
        <f t="array" ref="U293:U293">_xlfn.XLOOKUP(N293,'OA名单'!B:B,'OA名单'!E:E)</f>
      </c>
      <c r="V293" s="63">
        <f t="shared" si="12"/>
      </c>
      <c r="W293" s="71"/>
      <c r="X293" s="66"/>
      <c r="Y293" s="66"/>
    </row>
    <row hidden="true" r="294">
      <c r="A294" s="66"/>
      <c r="B294" s="66" t="s">
        <v>13442</v>
      </c>
      <c r="C294" s="67" t="s">
        <v>12713</v>
      </c>
      <c r="D294" s="67" t="s">
        <v>12714</v>
      </c>
      <c r="E294" s="66" t="s">
        <v>13097</v>
      </c>
      <c r="F294" s="66" t="s">
        <v>13130</v>
      </c>
      <c r="G294" s="66" t="s">
        <v>13443</v>
      </c>
      <c r="H294" s="66" t="s">
        <v>13444</v>
      </c>
      <c r="I294" s="68">
        <v>1</v>
      </c>
      <c r="J294" s="69">
        <v>1</v>
      </c>
      <c r="K294" s="66">
        <v>1</v>
      </c>
      <c r="L294" s="66">
        <v>5000</v>
      </c>
      <c r="M294" s="66">
        <v>5000</v>
      </c>
      <c r="N294" s="63" cm="1">
        <f t="array" ref="N294:N294">_xlfn.XLOOKUP(H294,'OA名单'!C:C,'OA名单'!B:B,1)</f>
      </c>
      <c r="O294" s="63">
        <f t="shared" si="8"/>
      </c>
      <c r="P294" s="63" cm="1">
        <f t="array" ref="P294:P294">_xlfn.XLOOKUP(N294,'OA名单'!B:B,'OA名单'!G:G)</f>
      </c>
      <c r="Q294" s="63">
        <f t="shared" si="11"/>
      </c>
      <c r="R294" s="63" cm="1">
        <f t="array" ref="R294:R294">_xlfn.XLOOKUP(B294,'OA名单'!B:B,'OA名单'!F:F)</f>
      </c>
      <c r="S294" s="63">
        <f t="shared" si="10"/>
      </c>
      <c r="T294" s="70"/>
      <c r="U294" s="63" cm="1">
        <f t="array" ref="U294:U294">_xlfn.XLOOKUP(N294,'OA名单'!B:B,'OA名单'!E:E)</f>
      </c>
      <c r="V294" s="63">
        <f t="shared" si="12"/>
      </c>
      <c r="W294" s="71"/>
      <c r="X294" s="66"/>
      <c r="Y294" s="66"/>
    </row>
    <row hidden="true" r="295">
      <c r="A295" s="66"/>
      <c r="B295" s="66" t="s">
        <v>13445</v>
      </c>
      <c r="C295" s="67" t="s">
        <v>12713</v>
      </c>
      <c r="D295" s="67" t="s">
        <v>12714</v>
      </c>
      <c r="E295" s="66" t="s">
        <v>13097</v>
      </c>
      <c r="F295" s="66" t="s">
        <v>13130</v>
      </c>
      <c r="G295" s="66" t="s">
        <v>13446</v>
      </c>
      <c r="H295" s="66" t="s">
        <v>13447</v>
      </c>
      <c r="I295" s="68">
        <v>0.9292</v>
      </c>
      <c r="J295" s="69">
        <v>1</v>
      </c>
      <c r="K295" s="66">
        <v>1</v>
      </c>
      <c r="L295" s="66">
        <v>20000</v>
      </c>
      <c r="M295" s="66">
        <v>20000</v>
      </c>
      <c r="N295" s="63" cm="1">
        <f t="array" ref="N295:N295">_xlfn.XLOOKUP(H295,'OA名单'!C:C,'OA名单'!B:B,1)</f>
      </c>
      <c r="O295" s="63">
        <f t="shared" si="8"/>
      </c>
      <c r="P295" s="63" cm="1">
        <f t="array" ref="P295:P295">_xlfn.XLOOKUP(N295,'OA名单'!B:B,'OA名单'!G:G)</f>
      </c>
      <c r="Q295" s="63">
        <f t="shared" si="11"/>
      </c>
      <c r="R295" s="63" cm="1">
        <f t="array" ref="R295:R295">_xlfn.XLOOKUP(B295,'OA名单'!B:B,'OA名单'!F:F)</f>
      </c>
      <c r="S295" s="63">
        <f t="shared" si="10"/>
      </c>
      <c r="T295" s="70"/>
      <c r="U295" s="63" cm="1">
        <f t="array" ref="U295:U295">_xlfn.XLOOKUP(N295,'OA名单'!B:B,'OA名单'!E:E)</f>
      </c>
      <c r="V295" s="63">
        <f t="shared" si="12"/>
      </c>
      <c r="W295" s="71"/>
      <c r="X295" s="66"/>
      <c r="Y295" s="66"/>
    </row>
    <row hidden="true" r="296">
      <c r="A296" s="66"/>
      <c r="B296" s="66" t="s">
        <v>13448</v>
      </c>
      <c r="C296" s="67" t="s">
        <v>12713</v>
      </c>
      <c r="D296" s="67" t="s">
        <v>12714</v>
      </c>
      <c r="E296" s="66" t="s">
        <v>13146</v>
      </c>
      <c r="F296" s="66" t="s">
        <v>13147</v>
      </c>
      <c r="G296" s="66" t="s">
        <v>13148</v>
      </c>
      <c r="H296" s="66" t="s">
        <v>13449</v>
      </c>
      <c r="I296" s="68">
        <v>1</v>
      </c>
      <c r="J296" s="69">
        <v>1</v>
      </c>
      <c r="K296" s="66">
        <v>1</v>
      </c>
      <c r="L296" s="66">
        <v>3818.18</v>
      </c>
      <c r="M296" s="66">
        <v>3000</v>
      </c>
      <c r="N296" s="63" cm="1">
        <f t="array" ref="N296:N296">_xlfn.XLOOKUP(H296,'OA名单'!C:C,'OA名单'!B:B,1)</f>
      </c>
      <c r="O296" s="63">
        <f t="shared" si="8"/>
      </c>
      <c r="P296" s="63" cm="1">
        <f t="array" ref="P296:P296">_xlfn.XLOOKUP(N296,'OA名单'!B:B,'OA名单'!G:G)</f>
      </c>
      <c r="Q296" s="63">
        <f t="shared" si="11"/>
      </c>
      <c r="R296" s="63" cm="1">
        <f t="array" ref="R296:R296">_xlfn.XLOOKUP(B296,'OA名单'!B:B,'OA名单'!F:F)</f>
      </c>
      <c r="S296" s="63">
        <f t="shared" si="10"/>
      </c>
      <c r="T296" s="70"/>
      <c r="U296" s="63" cm="1">
        <f t="array" ref="U296:U296">_xlfn.XLOOKUP(N296,'OA名单'!B:B,'OA名单'!E:E)</f>
      </c>
      <c r="V296" s="63">
        <f t="shared" si="12"/>
      </c>
      <c r="W296" s="71"/>
      <c r="X296" s="66"/>
      <c r="Y296" s="66"/>
    </row>
    <row hidden="true" r="297">
      <c r="A297" s="66"/>
      <c r="B297" s="66" t="s">
        <v>13450</v>
      </c>
      <c r="C297" s="67" t="s">
        <v>12713</v>
      </c>
      <c r="D297" s="67" t="s">
        <v>12714</v>
      </c>
      <c r="E297" s="66" t="s">
        <v>12749</v>
      </c>
      <c r="F297" s="66" t="s">
        <v>13335</v>
      </c>
      <c r="G297" s="66" t="s">
        <v>13451</v>
      </c>
      <c r="H297" s="66" t="s">
        <v>13452</v>
      </c>
      <c r="I297" s="68">
        <v>0.84</v>
      </c>
      <c r="J297" s="69">
        <v>1</v>
      </c>
      <c r="K297" s="66">
        <v>1</v>
      </c>
      <c r="L297" s="66">
        <v>1200</v>
      </c>
      <c r="M297" s="66">
        <v>1200</v>
      </c>
      <c r="N297" s="63" cm="1">
        <f t="array" ref="N297:N297">_xlfn.XLOOKUP(H297,'OA名单'!C:C,'OA名单'!B:B,1)</f>
      </c>
      <c r="O297" s="63">
        <f t="shared" si="8"/>
      </c>
      <c r="P297" s="63" cm="1">
        <f t="array" ref="P297:P297">_xlfn.XLOOKUP(N297,'OA名单'!B:B,'OA名单'!G:G)</f>
      </c>
      <c r="Q297" s="63">
        <f t="shared" si="11"/>
      </c>
      <c r="R297" s="63" cm="1">
        <f t="array" ref="R297:R297">_xlfn.XLOOKUP(B297,'OA名单'!B:B,'OA名单'!F:F)</f>
      </c>
      <c r="S297" s="63">
        <f t="shared" si="10"/>
      </c>
      <c r="T297" s="70"/>
      <c r="U297" s="63" cm="1">
        <f t="array" ref="U297:U297">_xlfn.XLOOKUP(N297,'OA名单'!B:B,'OA名单'!E:E)</f>
      </c>
      <c r="V297" s="63">
        <f t="shared" si="12"/>
      </c>
      <c r="W297" s="71"/>
      <c r="X297" s="66"/>
      <c r="Y297" s="66"/>
    </row>
    <row hidden="true" r="298">
      <c r="A298" s="66"/>
      <c r="B298" s="66" t="s">
        <v>13453</v>
      </c>
      <c r="C298" s="67" t="s">
        <v>12713</v>
      </c>
      <c r="D298" s="67" t="s">
        <v>12714</v>
      </c>
      <c r="E298" s="66" t="s">
        <v>12763</v>
      </c>
      <c r="F298" s="69" t="s">
        <v>12764</v>
      </c>
      <c r="G298" s="66" t="s">
        <v>13454</v>
      </c>
      <c r="H298" s="66" t="s">
        <v>13455</v>
      </c>
      <c r="I298" s="68">
        <v>1</v>
      </c>
      <c r="J298" s="69">
        <v>1</v>
      </c>
      <c r="K298" s="66">
        <v>1</v>
      </c>
      <c r="L298" s="66">
        <v>2000</v>
      </c>
      <c r="M298" s="66">
        <v>2000</v>
      </c>
      <c r="N298" s="63" cm="1">
        <f t="array" ref="N298:N298">_xlfn.XLOOKUP(H298,'OA名单'!C:C,'OA名单'!B:B,1)</f>
      </c>
      <c r="O298" s="63">
        <f t="shared" si="8"/>
      </c>
      <c r="P298" s="63" cm="1">
        <f t="array" ref="P298:P298">_xlfn.XLOOKUP(N298,'OA名单'!B:B,'OA名单'!G:G)</f>
      </c>
      <c r="Q298" s="63">
        <f t="shared" si="11"/>
      </c>
      <c r="R298" s="63" cm="1">
        <f t="array" ref="R298:R298">_xlfn.XLOOKUP(B298,'OA名单'!B:B,'OA名单'!F:F)</f>
      </c>
      <c r="S298" s="63">
        <f t="shared" si="10"/>
      </c>
      <c r="T298" s="64" cm="1">
        <f t="array" ref="T298:T298">_xlfn.XLOOKUP(B298,'系统-原始（副本）'!A:A,'系统-原始（副本）'!B:B)</f>
      </c>
      <c r="U298" s="63" cm="1">
        <f t="array" ref="U298:U298">_xlfn.XLOOKUP(N298,'OA名单'!B:B,'OA名单'!E:E)</f>
      </c>
      <c r="V298" s="63">
        <f t="shared" si="12"/>
      </c>
      <c r="W298" s="71"/>
      <c r="X298" s="66"/>
      <c r="Y298" s="66"/>
    </row>
    <row hidden="true" r="299">
      <c r="A299" s="66"/>
      <c r="B299" s="66" t="s">
        <v>13456</v>
      </c>
      <c r="C299" s="67" t="s">
        <v>12713</v>
      </c>
      <c r="D299" s="67" t="s">
        <v>12714</v>
      </c>
      <c r="E299" s="66" t="s">
        <v>12763</v>
      </c>
      <c r="F299" s="69" t="s">
        <v>12764</v>
      </c>
      <c r="G299" s="66" t="s">
        <v>13457</v>
      </c>
      <c r="H299" s="66" t="s">
        <v>13458</v>
      </c>
      <c r="I299" s="68">
        <v>1</v>
      </c>
      <c r="J299" s="69">
        <v>1</v>
      </c>
      <c r="K299" s="66">
        <v>1</v>
      </c>
      <c r="L299" s="66">
        <v>1000</v>
      </c>
      <c r="M299" s="66">
        <v>1000</v>
      </c>
      <c r="N299" s="63" cm="1">
        <f t="array" ref="N299:N299">_xlfn.XLOOKUP(H299,'OA名单'!C:C,'OA名单'!B:B,1)</f>
      </c>
      <c r="O299" s="63">
        <f t="shared" si="8"/>
      </c>
      <c r="P299" s="63" cm="1">
        <f t="array" ref="P299:P299">_xlfn.XLOOKUP(N299,'OA名单'!B:B,'OA名单'!G:G)</f>
      </c>
      <c r="Q299" s="63">
        <f t="shared" si="11"/>
      </c>
      <c r="R299" s="63" cm="1">
        <f t="array" ref="R299:R299">_xlfn.XLOOKUP(B299,'OA名单'!B:B,'OA名单'!F:F)</f>
      </c>
      <c r="S299" s="63">
        <f t="shared" si="10"/>
      </c>
      <c r="T299" s="64" cm="1">
        <f t="array" ref="T299:T299">_xlfn.XLOOKUP(B299,'系统-原始（副本）'!A:A,'系统-原始（副本）'!B:B)</f>
      </c>
      <c r="U299" s="63" cm="1">
        <f t="array" ref="U299:U299">_xlfn.XLOOKUP(N299,'OA名单'!B:B,'OA名单'!E:E)</f>
      </c>
      <c r="V299" s="63">
        <f t="shared" si="12"/>
      </c>
      <c r="W299" s="71"/>
      <c r="X299" s="66"/>
      <c r="Y299" s="66"/>
    </row>
    <row hidden="true" r="300">
      <c r="A300" s="66"/>
      <c r="B300" s="66" t="s">
        <v>13459</v>
      </c>
      <c r="C300" s="67" t="s">
        <v>12713</v>
      </c>
      <c r="D300" s="67" t="s">
        <v>12714</v>
      </c>
      <c r="E300" s="66" t="s">
        <v>12749</v>
      </c>
      <c r="F300" s="66" t="s">
        <v>13116</v>
      </c>
      <c r="G300" s="66" t="s">
        <v>13460</v>
      </c>
      <c r="H300" s="66" t="s">
        <v>13461</v>
      </c>
      <c r="I300" s="68">
        <v>1</v>
      </c>
      <c r="J300" s="69">
        <v>1</v>
      </c>
      <c r="K300" s="66">
        <v>1</v>
      </c>
      <c r="L300" s="66">
        <v>1200</v>
      </c>
      <c r="M300" s="66">
        <v>1200</v>
      </c>
      <c r="N300" s="63" cm="1">
        <f t="array" ref="N300:N300">_xlfn.XLOOKUP(H300,'OA名单'!C:C,'OA名单'!B:B,1)</f>
      </c>
      <c r="O300" s="63">
        <f t="shared" si="8"/>
      </c>
      <c r="P300" s="63" cm="1">
        <f t="array" ref="P300:P300">_xlfn.XLOOKUP(N300,'OA名单'!B:B,'OA名单'!G:G)</f>
      </c>
      <c r="Q300" s="63">
        <f t="shared" si="11"/>
      </c>
      <c r="R300" s="63" cm="1">
        <f t="array" ref="R300:R300">_xlfn.XLOOKUP(B300,'OA名单'!B:B,'OA名单'!F:F)</f>
      </c>
      <c r="S300" s="63">
        <f t="shared" si="10"/>
      </c>
      <c r="T300" s="70"/>
      <c r="U300" s="63" cm="1">
        <f t="array" ref="U300:U300">_xlfn.XLOOKUP(N300,'OA名单'!B:B,'OA名单'!E:E)</f>
      </c>
      <c r="V300" s="63">
        <f t="shared" si="12"/>
      </c>
      <c r="W300" s="71"/>
      <c r="X300" s="66"/>
      <c r="Y300" s="66"/>
    </row>
    <row hidden="true" r="301">
      <c r="A301" s="66"/>
      <c r="B301" s="66" t="s">
        <v>13462</v>
      </c>
      <c r="C301" s="67" t="s">
        <v>12713</v>
      </c>
      <c r="D301" s="67" t="s">
        <v>12714</v>
      </c>
      <c r="E301" s="66" t="s">
        <v>13016</v>
      </c>
      <c r="F301" s="66" t="s">
        <v>13046</v>
      </c>
      <c r="G301" s="66" t="s">
        <v>13463</v>
      </c>
      <c r="H301" s="66" t="s">
        <v>13464</v>
      </c>
      <c r="I301" s="68">
        <v>1</v>
      </c>
      <c r="J301" s="69">
        <v>1</v>
      </c>
      <c r="K301" s="66">
        <v>1</v>
      </c>
      <c r="L301" s="66">
        <v>3500</v>
      </c>
      <c r="M301" s="66">
        <v>5000</v>
      </c>
      <c r="N301" s="63" cm="1">
        <f t="array" ref="N301:N301">_xlfn.XLOOKUP(H301,'OA名单'!C:C,'OA名单'!B:B,1)</f>
      </c>
      <c r="O301" s="63">
        <f t="shared" si="8"/>
      </c>
      <c r="P301" s="63" cm="1">
        <f t="array" ref="P301:P301">_xlfn.XLOOKUP(N301,'OA名单'!B:B,'OA名单'!G:G)</f>
      </c>
      <c r="Q301" s="63">
        <f t="shared" si="11"/>
      </c>
      <c r="R301" s="63" cm="1">
        <f t="array" ref="R301:R301">_xlfn.XLOOKUP(B301,'OA名单'!B:B,'OA名单'!F:F)</f>
      </c>
      <c r="S301" s="63">
        <f t="shared" si="10"/>
      </c>
      <c r="T301" s="70"/>
      <c r="U301" s="63" cm="1">
        <f t="array" ref="U301:U301">_xlfn.XLOOKUP(N301,'OA名单'!B:B,'OA名单'!E:E)</f>
      </c>
      <c r="V301" s="63">
        <f t="shared" si="12"/>
      </c>
      <c r="W301" s="71"/>
      <c r="X301" s="66"/>
      <c r="Y301" s="66"/>
    </row>
    <row hidden="true" r="302">
      <c r="A302" s="66"/>
      <c r="B302" s="66" t="s">
        <v>13465</v>
      </c>
      <c r="C302" s="67" t="s">
        <v>12713</v>
      </c>
      <c r="D302" s="67" t="s">
        <v>12714</v>
      </c>
      <c r="E302" s="66" t="s">
        <v>13016</v>
      </c>
      <c r="F302" s="66" t="s">
        <v>13046</v>
      </c>
      <c r="G302" s="66" t="s">
        <v>13161</v>
      </c>
      <c r="H302" s="66" t="s">
        <v>13466</v>
      </c>
      <c r="I302" s="68">
        <v>1.2</v>
      </c>
      <c r="J302" s="69">
        <v>1</v>
      </c>
      <c r="K302" s="66">
        <v>1</v>
      </c>
      <c r="L302" s="66">
        <v>2380</v>
      </c>
      <c r="M302" s="66">
        <v>3400</v>
      </c>
      <c r="N302" s="63" cm="1">
        <f t="array" ref="N302:N302">_xlfn.XLOOKUP(H302,'OA名单'!C:C,'OA名单'!B:B,1)</f>
      </c>
      <c r="O302" s="63">
        <f t="shared" si="8"/>
      </c>
      <c r="P302" s="63" cm="1">
        <f t="array" ref="P302:P302">_xlfn.XLOOKUP(N302,'OA名单'!B:B,'OA名单'!G:G)</f>
      </c>
      <c r="Q302" s="63">
        <f t="shared" si="11"/>
      </c>
      <c r="R302" s="63" cm="1">
        <f t="array" ref="R302:R302">_xlfn.XLOOKUP(B302,'OA名单'!B:B,'OA名单'!F:F)</f>
      </c>
      <c r="S302" s="63">
        <f t="shared" si="10"/>
      </c>
      <c r="T302" s="70"/>
      <c r="U302" s="63" cm="1">
        <f t="array" ref="U302:U302">_xlfn.XLOOKUP(N302,'OA名单'!B:B,'OA名单'!E:E)</f>
      </c>
      <c r="V302" s="63">
        <f t="shared" si="12"/>
      </c>
      <c r="W302" s="71"/>
      <c r="X302" s="66"/>
      <c r="Y302" s="66"/>
    </row>
    <row hidden="true" r="303">
      <c r="A303" s="66"/>
      <c r="B303" s="66" t="s">
        <v>13467</v>
      </c>
      <c r="C303" s="67" t="s">
        <v>12713</v>
      </c>
      <c r="D303" s="67" t="s">
        <v>12714</v>
      </c>
      <c r="E303" s="66" t="s">
        <v>13016</v>
      </c>
      <c r="F303" s="66" t="s">
        <v>13046</v>
      </c>
      <c r="G303" s="66" t="s">
        <v>13161</v>
      </c>
      <c r="H303" s="66" t="s">
        <v>13468</v>
      </c>
      <c r="I303" s="68">
        <v>1</v>
      </c>
      <c r="J303" s="69">
        <v>1</v>
      </c>
      <c r="K303" s="66">
        <v>1</v>
      </c>
      <c r="L303" s="66">
        <v>2380</v>
      </c>
      <c r="M303" s="66">
        <v>3400</v>
      </c>
      <c r="N303" s="63" cm="1">
        <f t="array" ref="N303:N303">_xlfn.XLOOKUP(H303,'OA名单'!C:C,'OA名单'!B:B,1)</f>
      </c>
      <c r="O303" s="63">
        <f t="shared" si="8"/>
      </c>
      <c r="P303" s="63" cm="1">
        <f t="array" ref="P303:P303">_xlfn.XLOOKUP(N303,'OA名单'!B:B,'OA名单'!G:G)</f>
      </c>
      <c r="Q303" s="63">
        <f t="shared" si="11"/>
      </c>
      <c r="R303" s="63" cm="1">
        <f t="array" ref="R303:R303">_xlfn.XLOOKUP(B303,'OA名单'!B:B,'OA名单'!F:F)</f>
      </c>
      <c r="S303" s="63">
        <f t="shared" si="10"/>
      </c>
      <c r="T303" s="70"/>
      <c r="U303" s="63" cm="1">
        <f t="array" ref="U303:U303">_xlfn.XLOOKUP(N303,'OA名单'!B:B,'OA名单'!E:E)</f>
      </c>
      <c r="V303" s="63">
        <f t="shared" si="12"/>
      </c>
      <c r="W303" s="71"/>
      <c r="X303" s="66"/>
      <c r="Y303" s="66"/>
    </row>
    <row hidden="true" r="304">
      <c r="A304" s="66"/>
      <c r="B304" s="66" t="s">
        <v>13469</v>
      </c>
      <c r="C304" s="67" t="s">
        <v>12713</v>
      </c>
      <c r="D304" s="67" t="s">
        <v>12714</v>
      </c>
      <c r="E304" s="66" t="s">
        <v>13016</v>
      </c>
      <c r="F304" s="66" t="s">
        <v>13046</v>
      </c>
      <c r="G304" s="66" t="s">
        <v>13470</v>
      </c>
      <c r="H304" s="66" t="s">
        <v>13471</v>
      </c>
      <c r="I304" s="68">
        <v>1</v>
      </c>
      <c r="J304" s="69">
        <v>1</v>
      </c>
      <c r="K304" s="66">
        <v>1</v>
      </c>
      <c r="L304" s="66">
        <v>5600</v>
      </c>
      <c r="M304" s="66">
        <v>8000</v>
      </c>
      <c r="N304" s="63" cm="1">
        <f t="array" ref="N304:N304">_xlfn.XLOOKUP(H304,'OA名单'!C:C,'OA名单'!B:B,1)</f>
      </c>
      <c r="O304" s="63">
        <f t="shared" si="8"/>
      </c>
      <c r="P304" s="63" cm="1">
        <f t="array" ref="P304:P304">_xlfn.XLOOKUP(N304,'OA名单'!B:B,'OA名单'!G:G)</f>
      </c>
      <c r="Q304" s="63">
        <f t="shared" si="11"/>
      </c>
      <c r="R304" s="63" cm="1">
        <f t="array" ref="R304:R304">_xlfn.XLOOKUP(B304,'OA名单'!B:B,'OA名单'!F:F)</f>
      </c>
      <c r="S304" s="63">
        <f t="shared" si="10"/>
      </c>
      <c r="T304" s="70"/>
      <c r="U304" s="63" cm="1">
        <f t="array" ref="U304:U304">_xlfn.XLOOKUP(N304,'OA名单'!B:B,'OA名单'!E:E)</f>
      </c>
      <c r="V304" s="63">
        <f t="shared" si="12"/>
      </c>
      <c r="W304" s="71"/>
      <c r="X304" s="66"/>
      <c r="Y304" s="66"/>
    </row>
    <row hidden="true" r="305">
      <c r="A305" s="66"/>
      <c r="B305" s="66" t="s">
        <v>13472</v>
      </c>
      <c r="C305" s="67" t="s">
        <v>12713</v>
      </c>
      <c r="D305" s="67" t="s">
        <v>12714</v>
      </c>
      <c r="E305" s="66" t="s">
        <v>13016</v>
      </c>
      <c r="F305" s="66" t="s">
        <v>13046</v>
      </c>
      <c r="G305" s="66" t="s">
        <v>13161</v>
      </c>
      <c r="H305" s="66" t="s">
        <v>13473</v>
      </c>
      <c r="I305" s="68">
        <v>1</v>
      </c>
      <c r="J305" s="69">
        <v>1</v>
      </c>
      <c r="K305" s="66">
        <v>1</v>
      </c>
      <c r="L305" s="66">
        <v>2380</v>
      </c>
      <c r="M305" s="66">
        <v>3400</v>
      </c>
      <c r="N305" s="63" cm="1">
        <f t="array" ref="N305:N305">_xlfn.XLOOKUP(H305,'OA名单'!C:C,'OA名单'!B:B,1)</f>
      </c>
      <c r="O305" s="63">
        <f t="shared" si="8"/>
      </c>
      <c r="P305" s="63" cm="1">
        <f t="array" ref="P305:P305">_xlfn.XLOOKUP(N305,'OA名单'!B:B,'OA名单'!G:G)</f>
      </c>
      <c r="Q305" s="63">
        <f t="shared" si="11"/>
      </c>
      <c r="R305" s="63" cm="1">
        <f t="array" ref="R305:R305">_xlfn.XLOOKUP(B305,'OA名单'!B:B,'OA名单'!F:F)</f>
      </c>
      <c r="S305" s="63">
        <f t="shared" si="10"/>
      </c>
      <c r="T305" s="70"/>
      <c r="U305" s="63" cm="1">
        <f t="array" ref="U305:U305">_xlfn.XLOOKUP(N305,'OA名单'!B:B,'OA名单'!E:E)</f>
      </c>
      <c r="V305" s="63">
        <f t="shared" si="12"/>
      </c>
      <c r="W305" s="71"/>
      <c r="X305" s="66"/>
      <c r="Y305" s="66"/>
    </row>
    <row hidden="true" r="306">
      <c r="A306" s="66"/>
      <c r="B306" s="66" t="s">
        <v>13474</v>
      </c>
      <c r="C306" s="67" t="s">
        <v>12713</v>
      </c>
      <c r="D306" s="67" t="s">
        <v>12714</v>
      </c>
      <c r="E306" s="66" t="s">
        <v>13016</v>
      </c>
      <c r="F306" s="66" t="s">
        <v>12764</v>
      </c>
      <c r="G306" s="66" t="s">
        <v>13017</v>
      </c>
      <c r="H306" s="66" t="s">
        <v>13475</v>
      </c>
      <c r="I306" s="68">
        <v>1</v>
      </c>
      <c r="J306" s="69">
        <v>1</v>
      </c>
      <c r="K306" s="66">
        <v>1</v>
      </c>
      <c r="L306" s="66">
        <v>3000</v>
      </c>
      <c r="M306" s="66">
        <v>3000</v>
      </c>
      <c r="N306" s="63" cm="1">
        <f t="array" ref="N306:N306">_xlfn.XLOOKUP(H306,'OA名单'!C:C,'OA名单'!B:B,1)</f>
      </c>
      <c r="O306" s="63">
        <f t="shared" si="8"/>
      </c>
      <c r="P306" s="63" cm="1">
        <f t="array" ref="P306:P306">_xlfn.XLOOKUP(N306,'OA名单'!B:B,'OA名单'!G:G)</f>
      </c>
      <c r="Q306" s="63">
        <f t="shared" si="11"/>
      </c>
      <c r="R306" s="63" cm="1">
        <f t="array" ref="R306:R306">_xlfn.XLOOKUP(B306,'OA名单'!B:B,'OA名单'!F:F)</f>
      </c>
      <c r="S306" s="63">
        <f t="shared" si="10"/>
      </c>
      <c r="T306" s="64" cm="1">
        <f t="array" ref="T306:T306">_xlfn.XLOOKUP(B306,'系统-原始（副本）'!A:A,'系统-原始（副本）'!B:B)</f>
      </c>
      <c r="U306" s="63" cm="1">
        <f t="array" ref="U306:U306">_xlfn.XLOOKUP(N306,'OA名单'!B:B,'OA名单'!E:E)</f>
      </c>
      <c r="V306" s="63">
        <f t="shared" si="12"/>
      </c>
      <c r="W306" s="71"/>
      <c r="X306" s="66"/>
      <c r="Y306" s="66"/>
    </row>
    <row hidden="true" r="307">
      <c r="A307" s="66"/>
      <c r="B307" s="66" t="s">
        <v>13476</v>
      </c>
      <c r="C307" s="67" t="s">
        <v>12713</v>
      </c>
      <c r="D307" s="67" t="s">
        <v>12714</v>
      </c>
      <c r="E307" s="66" t="s">
        <v>13016</v>
      </c>
      <c r="F307" s="66" t="s">
        <v>12764</v>
      </c>
      <c r="G307" s="66" t="s">
        <v>13477</v>
      </c>
      <c r="H307" s="66" t="s">
        <v>13478</v>
      </c>
      <c r="I307" s="68">
        <v>1</v>
      </c>
      <c r="J307" s="69">
        <v>1</v>
      </c>
      <c r="K307" s="66">
        <v>1</v>
      </c>
      <c r="L307" s="66">
        <v>500</v>
      </c>
      <c r="M307" s="66">
        <v>0</v>
      </c>
      <c r="N307" s="63" cm="1">
        <f t="array" ref="N307:N307">_xlfn.XLOOKUP(H307,'OA名单'!C:C,'OA名单'!B:B,1)</f>
      </c>
      <c r="O307" s="63">
        <f t="shared" si="8"/>
      </c>
      <c r="P307" s="63" cm="1">
        <f t="array" ref="P307:P307">_xlfn.XLOOKUP(N307,'OA名单'!B:B,'OA名单'!G:G)</f>
      </c>
      <c r="Q307" s="63">
        <f t="shared" si="11"/>
      </c>
      <c r="R307" s="63" cm="1">
        <f t="array" ref="R307:R307">_xlfn.XLOOKUP(B307,'OA名单'!B:B,'OA名单'!F:F)</f>
      </c>
      <c r="S307" s="63">
        <f t="shared" si="10"/>
      </c>
      <c r="T307" s="64" cm="1">
        <f t="array" ref="T307:T307">_xlfn.XLOOKUP(B307,'系统-原始（副本）'!A:A,'系统-原始（副本）'!B:B)</f>
      </c>
      <c r="U307" s="63" cm="1">
        <f t="array" ref="U307:U307">_xlfn.XLOOKUP(N307,'OA名单'!B:B,'OA名单'!E:E)</f>
      </c>
      <c r="V307" s="63">
        <f t="shared" si="12"/>
      </c>
      <c r="W307" s="71"/>
      <c r="X307" s="66"/>
      <c r="Y307" s="66"/>
    </row>
    <row hidden="true" r="308">
      <c r="A308" s="66"/>
      <c r="B308" s="66" t="s">
        <v>13479</v>
      </c>
      <c r="C308" s="67" t="s">
        <v>12713</v>
      </c>
      <c r="D308" s="67" t="s">
        <v>12714</v>
      </c>
      <c r="E308" s="66" t="s">
        <v>13016</v>
      </c>
      <c r="F308" s="66" t="s">
        <v>13046</v>
      </c>
      <c r="G308" s="66" t="s">
        <v>12751</v>
      </c>
      <c r="H308" s="66" t="s">
        <v>13480</v>
      </c>
      <c r="I308" s="68">
        <v>1</v>
      </c>
      <c r="J308" s="69">
        <v>1</v>
      </c>
      <c r="K308" s="66">
        <v>1</v>
      </c>
      <c r="L308" s="66">
        <v>0</v>
      </c>
      <c r="M308" s="66">
        <v>5000</v>
      </c>
      <c r="N308" s="63" cm="1">
        <f t="array" ref="N308:N308">_xlfn.XLOOKUP(H308,'OA名单'!C:C,'OA名单'!B:B,1)</f>
      </c>
      <c r="O308" s="63">
        <f t="shared" si="8"/>
      </c>
      <c r="P308" s="63" cm="1">
        <f t="array" ref="P308:P308">_xlfn.XLOOKUP(N308,'OA名单'!B:B,'OA名单'!G:G)</f>
      </c>
      <c r="Q308" s="63">
        <f t="shared" si="11"/>
      </c>
      <c r="R308" s="63" cm="1">
        <f t="array" ref="R308:R308">_xlfn.XLOOKUP(B308,'OA名单'!B:B,'OA名单'!F:F)</f>
      </c>
      <c r="S308" s="63">
        <f t="shared" si="10"/>
      </c>
      <c r="T308" s="70"/>
      <c r="U308" s="63" cm="1">
        <f t="array" ref="U308:U308">_xlfn.XLOOKUP(N308,'OA名单'!B:B,'OA名单'!E:E)</f>
      </c>
      <c r="V308" s="63">
        <f t="shared" si="12"/>
      </c>
      <c r="W308" s="71"/>
      <c r="X308" s="66"/>
      <c r="Y308" s="66"/>
    </row>
    <row hidden="true" r="309">
      <c r="A309" s="66"/>
      <c r="B309" s="66" t="s">
        <v>13481</v>
      </c>
      <c r="C309" s="67" t="s">
        <v>12713</v>
      </c>
      <c r="D309" s="67" t="s">
        <v>12714</v>
      </c>
      <c r="E309" s="66" t="s">
        <v>13016</v>
      </c>
      <c r="F309" s="66" t="s">
        <v>13046</v>
      </c>
      <c r="G309" s="66" t="s">
        <v>12751</v>
      </c>
      <c r="H309" s="66" t="s">
        <v>13482</v>
      </c>
      <c r="I309" s="68">
        <v>1</v>
      </c>
      <c r="J309" s="69">
        <v>1</v>
      </c>
      <c r="K309" s="66">
        <v>1</v>
      </c>
      <c r="L309" s="66">
        <v>0</v>
      </c>
      <c r="M309" s="66">
        <v>5000</v>
      </c>
      <c r="N309" s="63" cm="1">
        <f t="array" ref="N309:N309">_xlfn.XLOOKUP(H309,'OA名单'!C:C,'OA名单'!B:B,1)</f>
      </c>
      <c r="O309" s="63">
        <f t="shared" si="8"/>
      </c>
      <c r="P309" s="63" cm="1">
        <f t="array" ref="P309:P309">_xlfn.XLOOKUP(N309,'OA名单'!B:B,'OA名单'!G:G)</f>
      </c>
      <c r="Q309" s="63">
        <f t="shared" si="11"/>
      </c>
      <c r="R309" s="63" cm="1">
        <f t="array" ref="R309:R309">_xlfn.XLOOKUP(B309,'OA名单'!B:B,'OA名单'!F:F)</f>
      </c>
      <c r="S309" s="63">
        <f t="shared" si="10"/>
      </c>
      <c r="T309" s="70"/>
      <c r="U309" s="63" cm="1">
        <f t="array" ref="U309:U309">_xlfn.XLOOKUP(N309,'OA名单'!B:B,'OA名单'!E:E)</f>
      </c>
      <c r="V309" s="63">
        <f t="shared" si="12"/>
      </c>
      <c r="W309" s="71"/>
      <c r="X309" s="66"/>
      <c r="Y309" s="66"/>
    </row>
    <row hidden="true" r="310">
      <c r="A310" s="66"/>
      <c r="B310" s="66" t="s">
        <v>13483</v>
      </c>
      <c r="C310" s="67" t="s">
        <v>12713</v>
      </c>
      <c r="D310" s="67" t="s">
        <v>12714</v>
      </c>
      <c r="E310" s="66" t="s">
        <v>13146</v>
      </c>
      <c r="F310" s="66" t="s">
        <v>13484</v>
      </c>
      <c r="G310" s="66" t="s">
        <v>13485</v>
      </c>
      <c r="H310" s="66" t="s">
        <v>13486</v>
      </c>
      <c r="I310" s="68">
        <v>1</v>
      </c>
      <c r="J310" s="69">
        <v>1</v>
      </c>
      <c r="K310" s="66">
        <v>1</v>
      </c>
      <c r="L310" s="66">
        <v>1300</v>
      </c>
      <c r="M310" s="66">
        <v>1300</v>
      </c>
      <c r="N310" s="63" cm="1">
        <f t="array" ref="N310:N310">_xlfn.XLOOKUP(H310,'OA名单'!C:C,'OA名单'!B:B,1)</f>
      </c>
      <c r="O310" s="63">
        <f t="shared" si="8"/>
      </c>
      <c r="P310" s="63" cm="1">
        <f t="array" ref="P310:P310">_xlfn.XLOOKUP(N310,'OA名单'!B:B,'OA名单'!G:G)</f>
      </c>
      <c r="Q310" s="63">
        <f t="shared" si="11"/>
      </c>
      <c r="R310" s="63" cm="1">
        <f t="array" ref="R310:R310">_xlfn.XLOOKUP(B310,'OA名单'!B:B,'OA名单'!F:F)</f>
      </c>
      <c r="S310" s="63">
        <f t="shared" si="10"/>
      </c>
      <c r="T310" s="70"/>
      <c r="U310" s="63" cm="1">
        <f t="array" ref="U310:U310">_xlfn.XLOOKUP(N310,'OA名单'!B:B,'OA名单'!E:E)</f>
      </c>
      <c r="V310" s="63">
        <f t="shared" si="12"/>
      </c>
      <c r="W310" s="71"/>
      <c r="X310" s="66"/>
      <c r="Y310" s="66"/>
    </row>
    <row hidden="true" r="311">
      <c r="A311" s="66"/>
      <c r="B311" s="66" t="s">
        <v>13487</v>
      </c>
      <c r="C311" s="67" t="s">
        <v>12713</v>
      </c>
      <c r="D311" s="67" t="s">
        <v>12714</v>
      </c>
      <c r="E311" s="66" t="s">
        <v>13146</v>
      </c>
      <c r="F311" s="66" t="s">
        <v>13484</v>
      </c>
      <c r="G311" s="66" t="s">
        <v>13488</v>
      </c>
      <c r="H311" s="66" t="s">
        <v>13489</v>
      </c>
      <c r="I311" s="68">
        <v>1</v>
      </c>
      <c r="J311" s="69">
        <v>1</v>
      </c>
      <c r="K311" s="66">
        <v>1</v>
      </c>
      <c r="L311" s="66">
        <v>300</v>
      </c>
      <c r="M311" s="66">
        <v>300</v>
      </c>
      <c r="N311" s="63" cm="1">
        <f t="array" ref="N311:N311">_xlfn.XLOOKUP(H311,'OA名单'!C:C,'OA名单'!B:B,1)</f>
      </c>
      <c r="O311" s="63">
        <f t="shared" si="8"/>
      </c>
      <c r="P311" s="63" cm="1">
        <f t="array" ref="P311:P311">_xlfn.XLOOKUP(N311,'OA名单'!B:B,'OA名单'!G:G)</f>
      </c>
      <c r="Q311" s="63">
        <f t="shared" si="11"/>
      </c>
      <c r="R311" s="63" cm="1">
        <f t="array" ref="R311:R311">_xlfn.XLOOKUP(B311,'OA名单'!B:B,'OA名单'!F:F)</f>
      </c>
      <c r="S311" s="63">
        <f t="shared" si="10"/>
      </c>
      <c r="T311" s="70"/>
      <c r="U311" s="63" cm="1">
        <f t="array" ref="U311:U311">_xlfn.XLOOKUP(N311,'OA名单'!B:B,'OA名单'!E:E)</f>
      </c>
      <c r="V311" s="63">
        <f t="shared" si="12"/>
      </c>
      <c r="W311" s="71"/>
      <c r="X311" s="66"/>
      <c r="Y311" s="66"/>
    </row>
    <row hidden="true" r="312">
      <c r="A312" s="66"/>
      <c r="B312" s="66" t="s">
        <v>13490</v>
      </c>
      <c r="C312" s="67" t="s">
        <v>12713</v>
      </c>
      <c r="D312" s="67" t="s">
        <v>12714</v>
      </c>
      <c r="E312" s="66" t="s">
        <v>13146</v>
      </c>
      <c r="F312" s="66" t="s">
        <v>13484</v>
      </c>
      <c r="G312" s="66" t="s">
        <v>13491</v>
      </c>
      <c r="H312" s="66" t="s">
        <v>13492</v>
      </c>
      <c r="I312" s="68">
        <v>1</v>
      </c>
      <c r="J312" s="69">
        <v>1</v>
      </c>
      <c r="K312" s="66">
        <v>1</v>
      </c>
      <c r="L312" s="66">
        <v>300</v>
      </c>
      <c r="M312" s="66">
        <v>300</v>
      </c>
      <c r="N312" s="63" cm="1">
        <f t="array" ref="N312:N312">_xlfn.XLOOKUP(H312,'OA名单'!C:C,'OA名单'!B:B,1)</f>
      </c>
      <c r="O312" s="63">
        <f t="shared" si="8"/>
      </c>
      <c r="P312" s="63" cm="1">
        <f t="array" ref="P312:P312">_xlfn.XLOOKUP(N312,'OA名单'!B:B,'OA名单'!G:G)</f>
      </c>
      <c r="Q312" s="63">
        <f t="shared" si="11"/>
      </c>
      <c r="R312" s="63" cm="1">
        <f t="array" ref="R312:R312">_xlfn.XLOOKUP(B312,'OA名单'!B:B,'OA名单'!F:F)</f>
      </c>
      <c r="S312" s="63">
        <f t="shared" si="10"/>
      </c>
      <c r="T312" s="70"/>
      <c r="U312" s="63" cm="1">
        <f t="array" ref="U312:U312">_xlfn.XLOOKUP(N312,'OA名单'!B:B,'OA名单'!E:E)</f>
      </c>
      <c r="V312" s="63">
        <f t="shared" si="12"/>
      </c>
      <c r="W312" s="71"/>
      <c r="X312" s="66"/>
      <c r="Y312" s="66"/>
    </row>
    <row hidden="true" r="313">
      <c r="A313" s="66"/>
      <c r="B313" s="66" t="s">
        <v>13493</v>
      </c>
      <c r="C313" s="67" t="s">
        <v>12713</v>
      </c>
      <c r="D313" s="67" t="s">
        <v>12714</v>
      </c>
      <c r="E313" s="66" t="s">
        <v>13146</v>
      </c>
      <c r="F313" s="66" t="s">
        <v>13484</v>
      </c>
      <c r="G313" s="66" t="s">
        <v>13494</v>
      </c>
      <c r="H313" s="66" t="s">
        <v>13495</v>
      </c>
      <c r="I313" s="68">
        <v>1</v>
      </c>
      <c r="J313" s="69">
        <v>1</v>
      </c>
      <c r="K313" s="66">
        <v>1</v>
      </c>
      <c r="L313" s="66">
        <v>300</v>
      </c>
      <c r="M313" s="66">
        <v>300</v>
      </c>
      <c r="N313" s="63" cm="1">
        <f t="array" ref="N313:N313">_xlfn.XLOOKUP(H313,'OA名单'!C:C,'OA名单'!B:B,1)</f>
      </c>
      <c r="O313" s="63">
        <f t="shared" si="8"/>
      </c>
      <c r="P313" s="63" cm="1">
        <f t="array" ref="P313:P313">_xlfn.XLOOKUP(N313,'OA名单'!B:B,'OA名单'!G:G)</f>
      </c>
      <c r="Q313" s="63">
        <f t="shared" si="11"/>
      </c>
      <c r="R313" s="63" cm="1">
        <f t="array" ref="R313:R313">_xlfn.XLOOKUP(B313,'OA名单'!B:B,'OA名单'!F:F)</f>
      </c>
      <c r="S313" s="63">
        <f t="shared" si="10"/>
      </c>
      <c r="T313" s="70"/>
      <c r="U313" s="63" cm="1">
        <f t="array" ref="U313:U313">_xlfn.XLOOKUP(N313,'OA名单'!B:B,'OA名单'!E:E)</f>
      </c>
      <c r="V313" s="63">
        <f t="shared" si="12"/>
      </c>
      <c r="W313" s="71"/>
      <c r="X313" s="66"/>
      <c r="Y313" s="66"/>
    </row>
    <row hidden="true" r="314">
      <c r="A314" s="66"/>
      <c r="B314" s="66" t="s">
        <v>13496</v>
      </c>
      <c r="C314" s="67" t="s">
        <v>12713</v>
      </c>
      <c r="D314" s="67" t="s">
        <v>12714</v>
      </c>
      <c r="E314" s="66" t="s">
        <v>13146</v>
      </c>
      <c r="F314" s="66" t="s">
        <v>13484</v>
      </c>
      <c r="G314" s="66" t="s">
        <v>13494</v>
      </c>
      <c r="H314" s="66" t="s">
        <v>13497</v>
      </c>
      <c r="I314" s="68">
        <v>1</v>
      </c>
      <c r="J314" s="69">
        <v>1</v>
      </c>
      <c r="K314" s="66">
        <v>1</v>
      </c>
      <c r="L314" s="66">
        <v>300</v>
      </c>
      <c r="M314" s="66">
        <v>300</v>
      </c>
      <c r="N314" s="63" cm="1">
        <f t="array" ref="N314:N314">_xlfn.XLOOKUP(H314,'OA名单'!C:C,'OA名单'!B:B,1)</f>
      </c>
      <c r="O314" s="63">
        <f t="shared" si="8"/>
      </c>
      <c r="P314" s="63" cm="1">
        <f t="array" ref="P314:P314">_xlfn.XLOOKUP(N314,'OA名单'!B:B,'OA名单'!G:G)</f>
      </c>
      <c r="Q314" s="63">
        <f t="shared" si="11"/>
      </c>
      <c r="R314" s="63" cm="1">
        <f t="array" ref="R314:R314">_xlfn.XLOOKUP(B314,'OA名单'!B:B,'OA名单'!F:F)</f>
      </c>
      <c r="S314" s="63">
        <f t="shared" si="10"/>
      </c>
      <c r="T314" s="70"/>
      <c r="U314" s="63" cm="1">
        <f t="array" ref="U314:U314">_xlfn.XLOOKUP(N314,'OA名单'!B:B,'OA名单'!E:E)</f>
      </c>
      <c r="V314" s="63">
        <f t="shared" si="12"/>
      </c>
      <c r="W314" s="71"/>
      <c r="X314" s="66"/>
      <c r="Y314" s="66"/>
    </row>
    <row hidden="true" r="315">
      <c r="A315" s="66"/>
      <c r="B315" s="66" t="s">
        <v>13498</v>
      </c>
      <c r="C315" s="67" t="s">
        <v>12713</v>
      </c>
      <c r="D315" s="67" t="s">
        <v>12714</v>
      </c>
      <c r="E315" s="66" t="s">
        <v>13146</v>
      </c>
      <c r="F315" s="66" t="s">
        <v>13484</v>
      </c>
      <c r="G315" s="66" t="s">
        <v>13494</v>
      </c>
      <c r="H315" s="66" t="s">
        <v>13499</v>
      </c>
      <c r="I315" s="68">
        <v>1</v>
      </c>
      <c r="J315" s="69">
        <v>1</v>
      </c>
      <c r="K315" s="66">
        <v>1</v>
      </c>
      <c r="L315" s="66">
        <v>300</v>
      </c>
      <c r="M315" s="66">
        <v>300</v>
      </c>
      <c r="N315" s="63" cm="1">
        <f t="array" ref="N315:N315">_xlfn.XLOOKUP(H315,'OA名单'!C:C,'OA名单'!B:B,1)</f>
      </c>
      <c r="O315" s="63">
        <f t="shared" si="8"/>
      </c>
      <c r="P315" s="63" cm="1">
        <f t="array" ref="P315:P315">_xlfn.XLOOKUP(N315,'OA名单'!B:B,'OA名单'!G:G)</f>
      </c>
      <c r="Q315" s="63">
        <f t="shared" si="11"/>
      </c>
      <c r="R315" s="63" cm="1">
        <f t="array" ref="R315:R315">_xlfn.XLOOKUP(B315,'OA名单'!B:B,'OA名单'!F:F)</f>
      </c>
      <c r="S315" s="63">
        <f t="shared" si="10"/>
      </c>
      <c r="T315" s="70"/>
      <c r="U315" s="63" cm="1">
        <f t="array" ref="U315:U315">_xlfn.XLOOKUP(N315,'OA名单'!B:B,'OA名单'!E:E)</f>
      </c>
      <c r="V315" s="63">
        <f t="shared" si="12"/>
      </c>
      <c r="W315" s="71"/>
      <c r="X315" s="66"/>
      <c r="Y315" s="66"/>
    </row>
    <row hidden="true" r="316">
      <c r="A316" s="66"/>
      <c r="B316" s="66" t="s">
        <v>13500</v>
      </c>
      <c r="C316" s="67" t="s">
        <v>12713</v>
      </c>
      <c r="D316" s="67" t="s">
        <v>12714</v>
      </c>
      <c r="E316" s="66" t="s">
        <v>13146</v>
      </c>
      <c r="F316" s="66" t="s">
        <v>13484</v>
      </c>
      <c r="G316" s="66" t="s">
        <v>13494</v>
      </c>
      <c r="H316" s="66" t="s">
        <v>13501</v>
      </c>
      <c r="I316" s="68">
        <v>1</v>
      </c>
      <c r="J316" s="69">
        <v>1</v>
      </c>
      <c r="K316" s="66">
        <v>1</v>
      </c>
      <c r="L316" s="66">
        <v>0</v>
      </c>
      <c r="M316" s="66">
        <v>300</v>
      </c>
      <c r="N316" s="63" cm="1">
        <f t="array" ref="N316:N316">_xlfn.XLOOKUP(H316,'OA名单'!C:C,'OA名单'!B:B,1)</f>
      </c>
      <c r="O316" s="63">
        <f t="shared" si="8"/>
      </c>
      <c r="P316" s="63" cm="1">
        <f t="array" ref="P316:P316">_xlfn.XLOOKUP(N316,'OA名单'!B:B,'OA名单'!G:G)</f>
      </c>
      <c r="Q316" s="63">
        <f t="shared" si="11"/>
      </c>
      <c r="R316" s="63" cm="1">
        <f t="array" ref="R316:R316">_xlfn.XLOOKUP(B316,'OA名单'!B:B,'OA名单'!F:F)</f>
      </c>
      <c r="S316" s="63">
        <f t="shared" si="10"/>
      </c>
      <c r="T316" s="70"/>
      <c r="U316" s="63" cm="1">
        <f t="array" ref="U316:U316">_xlfn.XLOOKUP(N316,'OA名单'!B:B,'OA名单'!E:E)</f>
      </c>
      <c r="V316" s="63">
        <f t="shared" si="12"/>
      </c>
      <c r="W316" s="71"/>
      <c r="X316" s="66"/>
      <c r="Y316" s="66"/>
    </row>
    <row hidden="true" r="317">
      <c r="A317" s="66"/>
      <c r="B317" s="66" t="s">
        <v>13502</v>
      </c>
      <c r="C317" s="67" t="s">
        <v>12713</v>
      </c>
      <c r="D317" s="67" t="s">
        <v>12714</v>
      </c>
      <c r="E317" s="66" t="s">
        <v>13146</v>
      </c>
      <c r="F317" s="66" t="s">
        <v>13484</v>
      </c>
      <c r="G317" s="66" t="s">
        <v>13494</v>
      </c>
      <c r="H317" s="66" t="s">
        <v>13503</v>
      </c>
      <c r="I317" s="68">
        <v>1</v>
      </c>
      <c r="J317" s="69">
        <v>1</v>
      </c>
      <c r="K317" s="66">
        <v>1</v>
      </c>
      <c r="L317" s="66">
        <v>0</v>
      </c>
      <c r="M317" s="66">
        <v>300</v>
      </c>
      <c r="N317" s="63" cm="1">
        <f t="array" ref="N317:N317">_xlfn.XLOOKUP(H317,'OA名单'!C:C,'OA名单'!B:B,1)</f>
      </c>
      <c r="O317" s="63">
        <f t="shared" si="8"/>
      </c>
      <c r="P317" s="63" cm="1">
        <f t="array" ref="P317:P317">_xlfn.XLOOKUP(N317,'OA名单'!B:B,'OA名单'!G:G)</f>
      </c>
      <c r="Q317" s="63">
        <f t="shared" si="11"/>
      </c>
      <c r="R317" s="63" cm="1">
        <f t="array" ref="R317:R317">_xlfn.XLOOKUP(B317,'OA名单'!B:B,'OA名单'!F:F)</f>
      </c>
      <c r="S317" s="63">
        <f t="shared" si="10"/>
      </c>
      <c r="T317" s="70"/>
      <c r="U317" s="63" cm="1">
        <f t="array" ref="U317:U317">_xlfn.XLOOKUP(N317,'OA名单'!B:B,'OA名单'!E:E)</f>
      </c>
      <c r="V317" s="63">
        <f t="shared" si="12"/>
      </c>
      <c r="W317" s="71"/>
      <c r="X317" s="66"/>
      <c r="Y317" s="66"/>
    </row>
    <row hidden="true" r="318">
      <c r="A318" s="66"/>
      <c r="B318" s="66" t="s">
        <v>13504</v>
      </c>
      <c r="C318" s="67" t="s">
        <v>12713</v>
      </c>
      <c r="D318" s="67" t="s">
        <v>12714</v>
      </c>
      <c r="E318" s="66" t="s">
        <v>13146</v>
      </c>
      <c r="F318" s="66" t="s">
        <v>13484</v>
      </c>
      <c r="G318" s="66" t="s">
        <v>13505</v>
      </c>
      <c r="H318" s="66" t="s">
        <v>13506</v>
      </c>
      <c r="I318" s="68">
        <v>1</v>
      </c>
      <c r="J318" s="69">
        <v>1</v>
      </c>
      <c r="K318" s="66">
        <v>1</v>
      </c>
      <c r="L318" s="66">
        <v>0</v>
      </c>
      <c r="M318" s="66">
        <v>3000</v>
      </c>
      <c r="N318" s="63" cm="1">
        <f t="array" ref="N318:N318">_xlfn.XLOOKUP(H318,'OA名单'!C:C,'OA名单'!B:B,1)</f>
      </c>
      <c r="O318" s="63">
        <f t="shared" si="8"/>
      </c>
      <c r="P318" s="63" cm="1">
        <f t="array" ref="P318:P318">_xlfn.XLOOKUP(N318,'OA名单'!B:B,'OA名单'!G:G)</f>
      </c>
      <c r="Q318" s="63">
        <f t="shared" si="11"/>
      </c>
      <c r="R318" s="63" cm="1">
        <f t="array" ref="R318:R318">_xlfn.XLOOKUP(B318,'OA名单'!B:B,'OA名单'!F:F)</f>
      </c>
      <c r="S318" s="63">
        <f t="shared" si="10"/>
      </c>
      <c r="T318" s="70"/>
      <c r="U318" s="63" cm="1">
        <f t="array" ref="U318:U318">_xlfn.XLOOKUP(N318,'OA名单'!B:B,'OA名单'!E:E)</f>
      </c>
      <c r="V318" s="63">
        <f t="shared" si="12"/>
      </c>
      <c r="W318" s="71"/>
      <c r="X318" s="66"/>
      <c r="Y318" s="66"/>
    </row>
    <row hidden="true" r="319">
      <c r="A319" s="66"/>
      <c r="B319" s="66" t="s">
        <v>13507</v>
      </c>
      <c r="C319" s="67" t="s">
        <v>12713</v>
      </c>
      <c r="D319" s="67" t="s">
        <v>12714</v>
      </c>
      <c r="E319" s="66" t="s">
        <v>13146</v>
      </c>
      <c r="F319" s="66" t="s">
        <v>13484</v>
      </c>
      <c r="G319" s="66" t="s">
        <v>13508</v>
      </c>
      <c r="H319" s="66" t="s">
        <v>13509</v>
      </c>
      <c r="I319" s="68">
        <v>1</v>
      </c>
      <c r="J319" s="69">
        <v>1</v>
      </c>
      <c r="K319" s="66">
        <v>1</v>
      </c>
      <c r="L319" s="66">
        <v>3000</v>
      </c>
      <c r="M319" s="66">
        <v>3000</v>
      </c>
      <c r="N319" s="63" cm="1">
        <f t="array" ref="N319:N319">_xlfn.XLOOKUP(H319,'OA名单'!C:C,'OA名单'!B:B,1)</f>
      </c>
      <c r="O319" s="63">
        <f t="shared" si="8"/>
      </c>
      <c r="P319" s="63" cm="1">
        <f t="array" ref="P319:P319">_xlfn.XLOOKUP(N319,'OA名单'!B:B,'OA名单'!G:G)</f>
      </c>
      <c r="Q319" s="63">
        <f t="shared" si="11"/>
      </c>
      <c r="R319" s="63" cm="1">
        <f t="array" ref="R319:R319">_xlfn.XLOOKUP(B319,'OA名单'!B:B,'OA名单'!F:F)</f>
      </c>
      <c r="S319" s="63">
        <f t="shared" si="10"/>
      </c>
      <c r="T319" s="70"/>
      <c r="U319" s="63" cm="1">
        <f t="array" ref="U319:U319">_xlfn.XLOOKUP(N319,'OA名单'!B:B,'OA名单'!E:E)</f>
      </c>
      <c r="V319" s="63">
        <f t="shared" si="12"/>
      </c>
      <c r="W319" s="71"/>
      <c r="X319" s="66"/>
      <c r="Y319" s="66"/>
    </row>
    <row hidden="true" r="320">
      <c r="A320" s="66"/>
      <c r="B320" s="66" t="s">
        <v>13510</v>
      </c>
      <c r="C320" s="67" t="s">
        <v>12713</v>
      </c>
      <c r="D320" s="67" t="s">
        <v>12714</v>
      </c>
      <c r="E320" s="66" t="s">
        <v>13027</v>
      </c>
      <c r="F320" s="66" t="s">
        <v>13511</v>
      </c>
      <c r="G320" s="66" t="s">
        <v>13512</v>
      </c>
      <c r="H320" s="66" t="s">
        <v>13513</v>
      </c>
      <c r="I320" s="68">
        <v>1</v>
      </c>
      <c r="J320" s="69">
        <v>1</v>
      </c>
      <c r="K320" s="66">
        <v>1</v>
      </c>
      <c r="L320" s="66">
        <v>1429</v>
      </c>
      <c r="M320" s="66">
        <v>1300</v>
      </c>
      <c r="N320" s="63" cm="1">
        <f t="array" ref="N320:N320">_xlfn.XLOOKUP(H320,'OA名单'!C:C,'OA名单'!B:B,1)</f>
      </c>
      <c r="O320" s="63">
        <f t="shared" si="8"/>
      </c>
      <c r="P320" s="63" cm="1">
        <f t="array" ref="P320:P320">_xlfn.XLOOKUP(N320,'OA名单'!B:B,'OA名单'!G:G)</f>
      </c>
      <c r="Q320" s="63">
        <f t="shared" si="11"/>
      </c>
      <c r="R320" s="63" cm="1">
        <f t="array" ref="R320:R320">_xlfn.XLOOKUP(B320,'OA名单'!B:B,'OA名单'!F:F)</f>
      </c>
      <c r="S320" s="63">
        <f t="shared" si="10"/>
      </c>
      <c r="T320" s="70"/>
      <c r="U320" s="63" cm="1">
        <f t="array" ref="U320:U320">_xlfn.XLOOKUP(N320,'OA名单'!B:B,'OA名单'!E:E)</f>
      </c>
      <c r="V320" s="63">
        <f t="shared" si="12"/>
      </c>
      <c r="W320" s="71"/>
      <c r="X320" s="66"/>
      <c r="Y320" s="66"/>
    </row>
    <row hidden="true" r="321">
      <c r="A321" s="66"/>
      <c r="B321" s="66" t="s">
        <v>13514</v>
      </c>
      <c r="C321" s="67" t="s">
        <v>12713</v>
      </c>
      <c r="D321" s="67" t="s">
        <v>12714</v>
      </c>
      <c r="E321" s="66" t="s">
        <v>13027</v>
      </c>
      <c r="F321" s="66" t="s">
        <v>13511</v>
      </c>
      <c r="G321" s="66" t="s">
        <v>13512</v>
      </c>
      <c r="H321" s="66" t="s">
        <v>13515</v>
      </c>
      <c r="I321" s="68">
        <v>1</v>
      </c>
      <c r="J321" s="69">
        <v>1</v>
      </c>
      <c r="K321" s="66">
        <v>1</v>
      </c>
      <c r="L321" s="66">
        <v>1329</v>
      </c>
      <c r="M321" s="66">
        <v>1200</v>
      </c>
      <c r="N321" s="63" cm="1">
        <f t="array" ref="N321:N321">_xlfn.XLOOKUP(H321,'OA名单'!C:C,'OA名单'!B:B,1)</f>
      </c>
      <c r="O321" s="63">
        <f t="shared" si="8"/>
      </c>
      <c r="P321" s="63" cm="1">
        <f t="array" ref="P321:P321">_xlfn.XLOOKUP(N321,'OA名单'!B:B,'OA名单'!G:G)</f>
      </c>
      <c r="Q321" s="63">
        <f t="shared" si="11"/>
      </c>
      <c r="R321" s="63" cm="1">
        <f t="array" ref="R321:R321">_xlfn.XLOOKUP(B321,'OA名单'!B:B,'OA名单'!F:F)</f>
      </c>
      <c r="S321" s="63">
        <f t="shared" si="10"/>
      </c>
      <c r="T321" s="70"/>
      <c r="U321" s="63" cm="1">
        <f t="array" ref="U321:U321">_xlfn.XLOOKUP(N321,'OA名单'!B:B,'OA名单'!E:E)</f>
      </c>
      <c r="V321" s="63">
        <f t="shared" si="12"/>
      </c>
      <c r="W321" s="71"/>
      <c r="X321" s="66"/>
      <c r="Y321" s="66"/>
    </row>
    <row hidden="true" r="322">
      <c r="A322" s="66"/>
      <c r="B322" s="66" t="s">
        <v>13516</v>
      </c>
      <c r="C322" s="67" t="s">
        <v>12713</v>
      </c>
      <c r="D322" s="67" t="s">
        <v>12714</v>
      </c>
      <c r="E322" s="66" t="s">
        <v>13027</v>
      </c>
      <c r="F322" s="66" t="s">
        <v>13511</v>
      </c>
      <c r="G322" s="66" t="s">
        <v>13512</v>
      </c>
      <c r="H322" s="66" t="s">
        <v>13517</v>
      </c>
      <c r="I322" s="68">
        <v>1</v>
      </c>
      <c r="J322" s="69">
        <v>1</v>
      </c>
      <c r="K322" s="66">
        <v>1</v>
      </c>
      <c r="L322" s="66">
        <v>1329</v>
      </c>
      <c r="M322" s="66">
        <v>1200</v>
      </c>
      <c r="N322" s="63" cm="1">
        <f t="array" ref="N322:N322">_xlfn.XLOOKUP(H322,'OA名单'!C:C,'OA名单'!B:B,1)</f>
      </c>
      <c r="O322" s="63">
        <f t="shared" si="8"/>
      </c>
      <c r="P322" s="63" cm="1">
        <f t="array" ref="P322:P322">_xlfn.XLOOKUP(N322,'OA名单'!B:B,'OA名单'!G:G)</f>
      </c>
      <c r="Q322" s="63">
        <f t="shared" si="11"/>
      </c>
      <c r="R322" s="63" cm="1">
        <f t="array" ref="R322:R322">_xlfn.XLOOKUP(B322,'OA名单'!B:B,'OA名单'!F:F)</f>
      </c>
      <c r="S322" s="63">
        <f t="shared" si="10"/>
      </c>
      <c r="T322" s="70"/>
      <c r="U322" s="63" cm="1">
        <f t="array" ref="U322:U322">_xlfn.XLOOKUP(N322,'OA名单'!B:B,'OA名单'!E:E)</f>
      </c>
      <c r="V322" s="63">
        <f t="shared" si="12"/>
      </c>
      <c r="W322" s="71"/>
      <c r="X322" s="66"/>
      <c r="Y322" s="66"/>
    </row>
    <row hidden="true" r="323">
      <c r="A323" s="66"/>
      <c r="B323" s="66" t="s">
        <v>13518</v>
      </c>
      <c r="C323" s="67" t="s">
        <v>12713</v>
      </c>
      <c r="D323" s="67" t="s">
        <v>12714</v>
      </c>
      <c r="E323" s="66" t="s">
        <v>13027</v>
      </c>
      <c r="F323" s="66" t="s">
        <v>13511</v>
      </c>
      <c r="G323" s="66" t="s">
        <v>13512</v>
      </c>
      <c r="H323" s="66" t="s">
        <v>13519</v>
      </c>
      <c r="I323" s="68">
        <v>1</v>
      </c>
      <c r="J323" s="69">
        <v>1</v>
      </c>
      <c r="K323" s="66">
        <v>1</v>
      </c>
      <c r="L323" s="66">
        <v>1329</v>
      </c>
      <c r="M323" s="66">
        <v>1200</v>
      </c>
      <c r="N323" s="63" cm="1">
        <f t="array" ref="N323:N323">_xlfn.XLOOKUP(H323,'OA名单'!C:C,'OA名单'!B:B,1)</f>
      </c>
      <c r="O323" s="63">
        <f t="shared" si="8"/>
      </c>
      <c r="P323" s="63" cm="1">
        <f t="array" ref="P323:P323">_xlfn.XLOOKUP(N323,'OA名单'!B:B,'OA名单'!G:G)</f>
      </c>
      <c r="Q323" s="63">
        <f t="shared" si="11"/>
      </c>
      <c r="R323" s="63" cm="1">
        <f t="array" ref="R323:R323">_xlfn.XLOOKUP(B323,'OA名单'!B:B,'OA名单'!F:F)</f>
      </c>
      <c r="S323" s="63">
        <f t="shared" si="10"/>
      </c>
      <c r="T323" s="70"/>
      <c r="U323" s="63" cm="1">
        <f t="array" ref="U323:U323">_xlfn.XLOOKUP(N323,'OA名单'!B:B,'OA名单'!E:E)</f>
      </c>
      <c r="V323" s="63">
        <f t="shared" si="12"/>
      </c>
      <c r="W323" s="71"/>
      <c r="X323" s="66"/>
      <c r="Y323" s="66"/>
    </row>
    <row hidden="true" r="324">
      <c r="A324" s="66"/>
      <c r="B324" s="66" t="s">
        <v>13520</v>
      </c>
      <c r="C324" s="67" t="s">
        <v>12713</v>
      </c>
      <c r="D324" s="67" t="s">
        <v>12714</v>
      </c>
      <c r="E324" s="66" t="s">
        <v>12776</v>
      </c>
      <c r="F324" s="66" t="s">
        <v>13038</v>
      </c>
      <c r="G324" s="66" t="s">
        <v>13039</v>
      </c>
      <c r="H324" s="66" t="s">
        <v>13521</v>
      </c>
      <c r="I324" s="68">
        <v>1</v>
      </c>
      <c r="J324" s="69">
        <v>1</v>
      </c>
      <c r="K324" s="66">
        <v>1</v>
      </c>
      <c r="L324" s="66">
        <v>0</v>
      </c>
      <c r="M324" s="66">
        <v>3000</v>
      </c>
      <c r="N324" s="63" cm="1">
        <f t="array" ref="N324:N324">_xlfn.XLOOKUP(H324,'OA名单'!C:C,'OA名单'!B:B,1)</f>
      </c>
      <c r="O324" s="63">
        <f t="shared" si="8"/>
      </c>
      <c r="P324" s="63" cm="1">
        <f t="array" ref="P324:P324">_xlfn.XLOOKUP(N324,'OA名单'!B:B,'OA名单'!G:G)</f>
      </c>
      <c r="Q324" s="63">
        <f t="shared" si="11"/>
      </c>
      <c r="R324" s="63" cm="1">
        <f t="array" ref="R324:R324">_xlfn.XLOOKUP(B324,'OA名单'!B:B,'OA名单'!F:F)</f>
      </c>
      <c r="S324" s="63">
        <f t="shared" si="10"/>
      </c>
      <c r="T324" s="70"/>
      <c r="U324" s="63" cm="1">
        <f t="array" ref="U324:U324">_xlfn.XLOOKUP(N324,'OA名单'!B:B,'OA名单'!E:E)</f>
      </c>
      <c r="V324" s="63">
        <f t="shared" si="12"/>
      </c>
      <c r="W324" s="71"/>
      <c r="X324" s="66"/>
      <c r="Y324" s="66"/>
    </row>
    <row hidden="true" r="325">
      <c r="A325" s="66"/>
      <c r="B325" s="66" t="s">
        <v>13522</v>
      </c>
      <c r="C325" s="67" t="s">
        <v>12713</v>
      </c>
      <c r="D325" s="67" t="s">
        <v>12714</v>
      </c>
      <c r="E325" s="66" t="s">
        <v>13146</v>
      </c>
      <c r="F325" s="66" t="s">
        <v>13204</v>
      </c>
      <c r="G325" s="66" t="s">
        <v>13205</v>
      </c>
      <c r="H325" s="66" t="s">
        <v>13523</v>
      </c>
      <c r="I325" s="68">
        <v>0.94955</v>
      </c>
      <c r="J325" s="69">
        <v>1</v>
      </c>
      <c r="K325" s="66">
        <v>1</v>
      </c>
      <c r="L325" s="66">
        <v>3024.19</v>
      </c>
      <c r="M325" s="66">
        <v>3000</v>
      </c>
      <c r="N325" s="63" cm="1">
        <f t="array" ref="N325:N325">_xlfn.XLOOKUP(H325,'OA名单'!C:C,'OA名单'!B:B,1)</f>
      </c>
      <c r="O325" s="63">
        <f t="shared" si="8"/>
      </c>
      <c r="P325" s="63" cm="1">
        <f t="array" ref="P325:P325">_xlfn.XLOOKUP(N325,'OA名单'!B:B,'OA名单'!G:G)</f>
      </c>
      <c r="Q325" s="63">
        <f t="shared" si="11"/>
      </c>
      <c r="R325" s="63" cm="1">
        <f t="array" ref="R325:R325">_xlfn.XLOOKUP(B325,'OA名单'!B:B,'OA名单'!F:F)</f>
      </c>
      <c r="S325" s="63">
        <f t="shared" si="10"/>
      </c>
      <c r="T325" s="70"/>
      <c r="U325" s="63" cm="1">
        <f t="array" ref="U325:U325">_xlfn.XLOOKUP(N325,'OA名单'!B:B,'OA名单'!E:E)</f>
      </c>
      <c r="V325" s="63">
        <f t="shared" si="12"/>
      </c>
      <c r="W325" s="71"/>
      <c r="X325" s="66"/>
      <c r="Y325" s="66"/>
    </row>
    <row hidden="true" r="326">
      <c r="A326" s="66"/>
      <c r="B326" s="66" t="s">
        <v>13524</v>
      </c>
      <c r="C326" s="67" t="s">
        <v>12713</v>
      </c>
      <c r="D326" s="67" t="s">
        <v>12714</v>
      </c>
      <c r="E326" s="66" t="s">
        <v>12776</v>
      </c>
      <c r="F326" s="66" t="s">
        <v>12716</v>
      </c>
      <c r="G326" s="66" t="s">
        <v>13525</v>
      </c>
      <c r="H326" s="66" t="s">
        <v>13526</v>
      </c>
      <c r="I326" s="68">
        <v>1</v>
      </c>
      <c r="J326" s="69">
        <v>1</v>
      </c>
      <c r="K326" s="66">
        <v>1</v>
      </c>
      <c r="L326" s="66">
        <v>2200</v>
      </c>
      <c r="M326" s="66">
        <v>2200</v>
      </c>
      <c r="N326" s="63" cm="1">
        <f t="array" ref="N326:N326">_xlfn.XLOOKUP(H326,'OA名单'!C:C,'OA名单'!B:B,1)</f>
      </c>
      <c r="O326" s="63">
        <f t="shared" si="8"/>
      </c>
      <c r="P326" s="63" cm="1">
        <f t="array" ref="P326:P326">_xlfn.XLOOKUP(N326,'OA名单'!B:B,'OA名单'!G:G)</f>
      </c>
      <c r="Q326" s="63">
        <f t="shared" si="11"/>
      </c>
      <c r="R326" s="63" cm="1">
        <f t="array" ref="R326:R326">_xlfn.XLOOKUP(B326,'OA名单'!B:B,'OA名单'!F:F)</f>
      </c>
      <c r="S326" s="63">
        <f t="shared" si="10"/>
      </c>
      <c r="T326" s="70"/>
      <c r="U326" s="63" cm="1">
        <f t="array" ref="U326:U326">_xlfn.XLOOKUP(N326,'OA名单'!B:B,'OA名单'!E:E)</f>
      </c>
      <c r="V326" s="63">
        <f t="shared" si="12"/>
      </c>
      <c r="W326" s="71"/>
      <c r="X326" s="66"/>
      <c r="Y326" s="66"/>
    </row>
    <row hidden="true" r="327">
      <c r="A327" s="66"/>
      <c r="B327" s="66" t="s">
        <v>13527</v>
      </c>
      <c r="C327" s="67" t="s">
        <v>12713</v>
      </c>
      <c r="D327" s="67" t="s">
        <v>12714</v>
      </c>
      <c r="E327" s="66" t="s">
        <v>13016</v>
      </c>
      <c r="F327" s="66" t="s">
        <v>13436</v>
      </c>
      <c r="G327" s="66" t="s">
        <v>13047</v>
      </c>
      <c r="H327" s="66" t="s">
        <v>13528</v>
      </c>
      <c r="I327" s="68">
        <v>1</v>
      </c>
      <c r="J327" s="69">
        <v>1</v>
      </c>
      <c r="K327" s="66">
        <v>1</v>
      </c>
      <c r="L327" s="66">
        <v>3000</v>
      </c>
      <c r="M327" s="66">
        <v>5000</v>
      </c>
      <c r="N327" s="63" cm="1">
        <f t="array" ref="N327:N327">_xlfn.XLOOKUP(H327,'OA名单'!C:C,'OA名单'!B:B,1)</f>
      </c>
      <c r="O327" s="63">
        <f t="shared" si="8"/>
      </c>
      <c r="P327" s="63" cm="1">
        <f t="array" ref="P327:P327">_xlfn.XLOOKUP(N327,'OA名单'!B:B,'OA名单'!G:G)</f>
      </c>
      <c r="Q327" s="63">
        <f t="shared" si="11"/>
      </c>
      <c r="R327" s="63" cm="1">
        <f t="array" ref="R327:R327">_xlfn.XLOOKUP(B327,'OA名单'!B:B,'OA名单'!F:F)</f>
      </c>
      <c r="S327" s="63">
        <f t="shared" si="10"/>
      </c>
      <c r="T327" s="70"/>
      <c r="U327" s="63" cm="1">
        <f t="array" ref="U327:U327">_xlfn.XLOOKUP(N327,'OA名单'!B:B,'OA名单'!E:E)</f>
      </c>
      <c r="V327" s="63">
        <f t="shared" si="12"/>
      </c>
      <c r="W327" s="71"/>
      <c r="X327" s="66"/>
      <c r="Y327" s="66"/>
    </row>
    <row hidden="true" r="328">
      <c r="A328" s="66"/>
      <c r="B328" s="66" t="s">
        <v>13529</v>
      </c>
      <c r="C328" s="67" t="s">
        <v>12713</v>
      </c>
      <c r="D328" s="67" t="s">
        <v>12714</v>
      </c>
      <c r="E328" s="66" t="s">
        <v>13146</v>
      </c>
      <c r="F328" s="66" t="s">
        <v>13204</v>
      </c>
      <c r="G328" s="66" t="s">
        <v>13530</v>
      </c>
      <c r="H328" s="66" t="s">
        <v>13531</v>
      </c>
      <c r="I328" s="68">
        <v>1</v>
      </c>
      <c r="J328" s="69">
        <v>1</v>
      </c>
      <c r="K328" s="66">
        <v>1</v>
      </c>
      <c r="L328" s="66">
        <v>500</v>
      </c>
      <c r="M328" s="66">
        <v>500</v>
      </c>
      <c r="N328" s="63" cm="1">
        <f t="array" ref="N328:N328">_xlfn.XLOOKUP(H328,'OA名单'!C:C,'OA名单'!B:B,1)</f>
      </c>
      <c r="O328" s="63">
        <f t="shared" si="8"/>
      </c>
      <c r="P328" s="63" cm="1">
        <f t="array" ref="P328:P328">_xlfn.XLOOKUP(N328,'OA名单'!B:B,'OA名单'!G:G)</f>
      </c>
      <c r="Q328" s="63">
        <f t="shared" si="11"/>
      </c>
      <c r="R328" s="63" cm="1">
        <f t="array" ref="R328:R328">_xlfn.XLOOKUP(B328,'OA名单'!B:B,'OA名单'!F:F)</f>
      </c>
      <c r="S328" s="63">
        <f t="shared" si="10"/>
      </c>
      <c r="T328" s="70"/>
      <c r="U328" s="63" cm="1">
        <f t="array" ref="U328:U328">_xlfn.XLOOKUP(N328,'OA名单'!B:B,'OA名单'!E:E)</f>
      </c>
      <c r="V328" s="63">
        <f t="shared" si="12"/>
      </c>
      <c r="W328" s="71"/>
      <c r="X328" s="66"/>
      <c r="Y328" s="66"/>
    </row>
    <row hidden="true" r="329">
      <c r="A329" s="66"/>
      <c r="B329" s="66" t="s">
        <v>13532</v>
      </c>
      <c r="C329" s="67" t="s">
        <v>12713</v>
      </c>
      <c r="D329" s="67" t="s">
        <v>12714</v>
      </c>
      <c r="E329" s="66" t="s">
        <v>13146</v>
      </c>
      <c r="F329" s="66" t="s">
        <v>13394</v>
      </c>
      <c r="G329" s="66" t="s">
        <v>13533</v>
      </c>
      <c r="H329" s="66" t="s">
        <v>13534</v>
      </c>
      <c r="I329" s="68">
        <v>1</v>
      </c>
      <c r="J329" s="69">
        <v>1</v>
      </c>
      <c r="K329" s="66">
        <v>1</v>
      </c>
      <c r="L329" s="66">
        <v>5000</v>
      </c>
      <c r="M329" s="66">
        <v>5000</v>
      </c>
      <c r="N329" s="63" cm="1">
        <f t="array" ref="N329:N329">_xlfn.XLOOKUP(H329,'OA名单'!C:C,'OA名单'!B:B,1)</f>
      </c>
      <c r="O329" s="63">
        <f t="shared" si="8"/>
      </c>
      <c r="P329" s="63" cm="1">
        <f t="array" ref="P329:P329">_xlfn.XLOOKUP(N329,'OA名单'!B:B,'OA名单'!G:G)</f>
      </c>
      <c r="Q329" s="63">
        <f t="shared" si="11"/>
      </c>
      <c r="R329" s="63" cm="1">
        <f t="array" ref="R329:R329">_xlfn.XLOOKUP(B329,'OA名单'!B:B,'OA名单'!F:F)</f>
      </c>
      <c r="S329" s="63">
        <f t="shared" si="10"/>
      </c>
      <c r="T329" s="70"/>
      <c r="U329" s="63" cm="1">
        <f t="array" ref="U329:U329">_xlfn.XLOOKUP(N329,'OA名单'!B:B,'OA名单'!E:E)</f>
      </c>
      <c r="V329" s="63">
        <f t="shared" si="12"/>
      </c>
      <c r="W329" s="71"/>
      <c r="X329" s="66"/>
      <c r="Y329" s="66"/>
    </row>
    <row hidden="true" r="330">
      <c r="A330" s="66"/>
      <c r="B330" s="66" t="s">
        <v>13535</v>
      </c>
      <c r="C330" s="67" t="s">
        <v>12713</v>
      </c>
      <c r="D330" s="67" t="s">
        <v>12714</v>
      </c>
      <c r="E330" s="66" t="s">
        <v>12956</v>
      </c>
      <c r="F330" s="66" t="s">
        <v>13536</v>
      </c>
      <c r="G330" s="66" t="s">
        <v>13537</v>
      </c>
      <c r="H330" s="66" t="s">
        <v>13538</v>
      </c>
      <c r="I330" s="68">
        <v>1</v>
      </c>
      <c r="J330" s="69">
        <v>1</v>
      </c>
      <c r="K330" s="66">
        <v>1</v>
      </c>
      <c r="L330" s="66">
        <v>3962</v>
      </c>
      <c r="M330" s="66">
        <v>3400</v>
      </c>
      <c r="N330" s="63" cm="1">
        <f t="array" ref="N330:N330">_xlfn.XLOOKUP(H330,'OA名单'!C:C,'OA名单'!B:B,1)</f>
      </c>
      <c r="O330" s="63">
        <f t="shared" si="8"/>
      </c>
      <c r="P330" s="63" cm="1">
        <f t="array" ref="P330:P330">_xlfn.XLOOKUP(N330,'OA名单'!B:B,'OA名单'!G:G)</f>
      </c>
      <c r="Q330" s="63">
        <f t="shared" si="11"/>
      </c>
      <c r="R330" s="63" cm="1">
        <f t="array" ref="R330:R330">_xlfn.XLOOKUP(B330,'OA名单'!B:B,'OA名单'!F:F)</f>
      </c>
      <c r="S330" s="63">
        <f t="shared" si="10"/>
      </c>
      <c r="T330" s="70"/>
      <c r="U330" s="63" cm="1">
        <f t="array" ref="U330:U330">_xlfn.XLOOKUP(N330,'OA名单'!B:B,'OA名单'!E:E)</f>
      </c>
      <c r="V330" s="63">
        <f t="shared" si="12"/>
      </c>
      <c r="W330" s="71"/>
      <c r="X330" s="66"/>
      <c r="Y330" s="66"/>
    </row>
    <row hidden="true" r="331">
      <c r="A331" s="66"/>
      <c r="B331" s="66" t="s">
        <v>13539</v>
      </c>
      <c r="C331" s="67" t="s">
        <v>12713</v>
      </c>
      <c r="D331" s="67" t="s">
        <v>12714</v>
      </c>
      <c r="E331" s="66" t="s">
        <v>12956</v>
      </c>
      <c r="F331" s="66" t="s">
        <v>13536</v>
      </c>
      <c r="G331" s="66" t="s">
        <v>12751</v>
      </c>
      <c r="H331" s="66" t="s">
        <v>13540</v>
      </c>
      <c r="I331" s="68">
        <v>1</v>
      </c>
      <c r="J331" s="69">
        <v>1</v>
      </c>
      <c r="K331" s="66">
        <v>1</v>
      </c>
      <c r="L331" s="66">
        <v>5826</v>
      </c>
      <c r="M331" s="66">
        <v>5000</v>
      </c>
      <c r="N331" s="63" cm="1">
        <f t="array" ref="N331:N331">_xlfn.XLOOKUP(H331,'OA名单'!C:C,'OA名单'!B:B,1)</f>
      </c>
      <c r="O331" s="63">
        <f t="shared" si="8"/>
      </c>
      <c r="P331" s="63" cm="1">
        <f t="array" ref="P331:P331">_xlfn.XLOOKUP(N331,'OA名单'!B:B,'OA名单'!G:G)</f>
      </c>
      <c r="Q331" s="63">
        <f t="shared" si="11"/>
      </c>
      <c r="R331" s="63" cm="1">
        <f t="array" ref="R331:R331">_xlfn.XLOOKUP(B331,'OA名单'!B:B,'OA名单'!F:F)</f>
      </c>
      <c r="S331" s="63">
        <f t="shared" si="10"/>
      </c>
      <c r="T331" s="70"/>
      <c r="U331" s="63" cm="1">
        <f t="array" ref="U331:U331">_xlfn.XLOOKUP(N331,'OA名单'!B:B,'OA名单'!E:E)</f>
      </c>
      <c r="V331" s="63">
        <f t="shared" si="12"/>
      </c>
      <c r="W331" s="71"/>
      <c r="X331" s="66"/>
      <c r="Y331" s="66"/>
    </row>
    <row hidden="true" r="332">
      <c r="A332" s="66"/>
      <c r="B332" s="66" t="s">
        <v>13541</v>
      </c>
      <c r="C332" s="67" t="s">
        <v>12713</v>
      </c>
      <c r="D332" s="67" t="s">
        <v>12714</v>
      </c>
      <c r="E332" s="66" t="s">
        <v>12956</v>
      </c>
      <c r="F332" s="66" t="s">
        <v>13536</v>
      </c>
      <c r="G332" s="66" t="s">
        <v>13542</v>
      </c>
      <c r="H332" s="66" t="s">
        <v>13543</v>
      </c>
      <c r="I332" s="68">
        <v>1</v>
      </c>
      <c r="J332" s="69">
        <v>1</v>
      </c>
      <c r="K332" s="66">
        <v>1</v>
      </c>
      <c r="L332" s="66">
        <v>0</v>
      </c>
      <c r="M332" s="66">
        <v>2000</v>
      </c>
      <c r="N332" s="63" cm="1">
        <f t="array" ref="N332:N332">_xlfn.XLOOKUP(H332,'OA名单'!C:C,'OA名单'!B:B,1)</f>
      </c>
      <c r="O332" s="63">
        <f t="shared" si="8"/>
      </c>
      <c r="P332" s="63" cm="1">
        <f t="array" ref="P332:P332">_xlfn.XLOOKUP(N332,'OA名单'!B:B,'OA名单'!G:G)</f>
      </c>
      <c r="Q332" s="63">
        <f t="shared" si="11"/>
      </c>
      <c r="R332" s="63" cm="1">
        <f t="array" ref="R332:R332">_xlfn.XLOOKUP(B332,'OA名单'!B:B,'OA名单'!F:F)</f>
      </c>
      <c r="S332" s="63">
        <f t="shared" si="10"/>
      </c>
      <c r="T332" s="70"/>
      <c r="U332" s="63" cm="1">
        <f t="array" ref="U332:U332">_xlfn.XLOOKUP(N332,'OA名单'!B:B,'OA名单'!E:E)</f>
      </c>
      <c r="V332" s="63">
        <f t="shared" si="12"/>
      </c>
      <c r="W332" s="71"/>
      <c r="X332" s="66"/>
      <c r="Y332" s="66"/>
    </row>
    <row hidden="true" r="333">
      <c r="A333" s="66"/>
      <c r="B333" s="66" t="s">
        <v>13544</v>
      </c>
      <c r="C333" s="67" t="s">
        <v>12713</v>
      </c>
      <c r="D333" s="67" t="s">
        <v>12714</v>
      </c>
      <c r="E333" s="66" t="s">
        <v>13011</v>
      </c>
      <c r="F333" s="66" t="s">
        <v>13060</v>
      </c>
      <c r="G333" s="66" t="s">
        <v>13545</v>
      </c>
      <c r="H333" s="66" t="s">
        <v>13546</v>
      </c>
      <c r="I333" s="68">
        <v>0.9988</v>
      </c>
      <c r="J333" s="69">
        <v>1</v>
      </c>
      <c r="K333" s="66">
        <v>1</v>
      </c>
      <c r="L333" s="66">
        <v>500</v>
      </c>
      <c r="M333" s="66">
        <v>500</v>
      </c>
      <c r="N333" s="63" cm="1">
        <f t="array" ref="N333:N333">_xlfn.XLOOKUP(H333,'OA名单'!C:C,'OA名单'!B:B,1)</f>
      </c>
      <c r="O333" s="63">
        <f t="shared" si="8"/>
      </c>
      <c r="P333" s="63" cm="1">
        <f t="array" ref="P333:P333">_xlfn.XLOOKUP(N333,'OA名单'!B:B,'OA名单'!G:G)</f>
      </c>
      <c r="Q333" s="63">
        <f t="shared" si="11"/>
      </c>
      <c r="R333" s="63" cm="1">
        <f t="array" ref="R333:R333">_xlfn.XLOOKUP(B333,'OA名单'!B:B,'OA名单'!F:F)</f>
      </c>
      <c r="S333" s="63">
        <f t="shared" si="10"/>
      </c>
      <c r="T333" s="70"/>
      <c r="U333" s="63" cm="1">
        <f t="array" ref="U333:U333">_xlfn.XLOOKUP(N333,'OA名单'!B:B,'OA名单'!E:E)</f>
      </c>
      <c r="V333" s="63">
        <f t="shared" si="12"/>
      </c>
      <c r="W333" s="71"/>
      <c r="X333" s="66"/>
      <c r="Y333" s="66"/>
    </row>
    <row hidden="true" r="334">
      <c r="A334" s="66"/>
      <c r="B334" s="66" t="s">
        <v>13547</v>
      </c>
      <c r="C334" s="67" t="s">
        <v>12713</v>
      </c>
      <c r="D334" s="67" t="s">
        <v>12714</v>
      </c>
      <c r="E334" s="66" t="s">
        <v>12782</v>
      </c>
      <c r="F334" s="66" t="s">
        <v>12783</v>
      </c>
      <c r="G334" s="66" t="s">
        <v>12777</v>
      </c>
      <c r="H334" s="66" t="s">
        <v>13548</v>
      </c>
      <c r="I334" s="68">
        <v>1</v>
      </c>
      <c r="J334" s="69">
        <v>1</v>
      </c>
      <c r="K334" s="66">
        <v>1</v>
      </c>
      <c r="L334" s="66">
        <v>2000</v>
      </c>
      <c r="M334" s="66">
        <v>2000</v>
      </c>
      <c r="N334" s="63" cm="1">
        <f t="array" ref="N334:N334">_xlfn.XLOOKUP(H334,'OA名单'!C:C,'OA名单'!B:B,1)</f>
      </c>
      <c r="O334" s="63">
        <f t="shared" si="8"/>
      </c>
      <c r="P334" s="63" cm="1">
        <f t="array" ref="P334:P334">_xlfn.XLOOKUP(N334,'OA名单'!B:B,'OA名单'!G:G)</f>
      </c>
      <c r="Q334" s="63">
        <f t="shared" si="11"/>
      </c>
      <c r="R334" s="63" cm="1">
        <f t="array" ref="R334:R334">_xlfn.XLOOKUP(B334,'OA名单'!B:B,'OA名单'!F:F)</f>
      </c>
      <c r="S334" s="63">
        <f t="shared" si="10"/>
      </c>
      <c r="T334" s="70"/>
      <c r="U334" s="63" cm="1">
        <f t="array" ref="U334:U334">_xlfn.XLOOKUP(N334,'OA名单'!B:B,'OA名单'!E:E)</f>
      </c>
      <c r="V334" s="63">
        <f t="shared" si="12"/>
      </c>
      <c r="W334" s="71"/>
      <c r="X334" s="66"/>
      <c r="Y334" s="66"/>
    </row>
    <row hidden="true" r="335">
      <c r="A335" s="66"/>
      <c r="B335" s="66" t="s">
        <v>13549</v>
      </c>
      <c r="C335" s="67" t="s">
        <v>12713</v>
      </c>
      <c r="D335" s="67" t="s">
        <v>12714</v>
      </c>
      <c r="E335" s="66" t="s">
        <v>13011</v>
      </c>
      <c r="F335" s="66" t="s">
        <v>12764</v>
      </c>
      <c r="G335" s="66" t="s">
        <v>13013</v>
      </c>
      <c r="H335" s="66" t="s">
        <v>13550</v>
      </c>
      <c r="I335" s="68">
        <v>1</v>
      </c>
      <c r="J335" s="69">
        <v>1</v>
      </c>
      <c r="K335" s="66">
        <v>1</v>
      </c>
      <c r="L335" s="66">
        <v>1000</v>
      </c>
      <c r="M335" s="66">
        <v>1000</v>
      </c>
      <c r="N335" s="63" cm="1">
        <f t="array" ref="N335:N335">_xlfn.XLOOKUP(H335,'OA名单'!C:C,'OA名单'!B:B,1)</f>
      </c>
      <c r="O335" s="63">
        <f t="shared" si="8"/>
      </c>
      <c r="P335" s="63" cm="1">
        <f t="array" ref="P335:P335">_xlfn.XLOOKUP(N335,'OA名单'!B:B,'OA名单'!G:G)</f>
      </c>
      <c r="Q335" s="63">
        <f t="shared" si="11"/>
      </c>
      <c r="R335" s="63" cm="1">
        <f t="array" ref="R335:R335">_xlfn.XLOOKUP(B335,'OA名单'!B:B,'OA名单'!F:F)</f>
      </c>
      <c r="S335" s="63">
        <f t="shared" si="10"/>
      </c>
      <c r="T335" s="64" cm="1">
        <f t="array" ref="T335:T335">_xlfn.XLOOKUP(B335,'系统-原始（副本）'!A:A,'系统-原始（副本）'!B:B)</f>
      </c>
      <c r="U335" s="63" cm="1">
        <f t="array" ref="U335:U335">_xlfn.XLOOKUP(N335,'OA名单'!B:B,'OA名单'!E:E)</f>
      </c>
      <c r="V335" s="63">
        <f t="shared" si="12"/>
      </c>
      <c r="W335" s="71"/>
      <c r="X335" s="66"/>
      <c r="Y335" s="66"/>
    </row>
    <row hidden="true" r="336">
      <c r="A336" s="66"/>
      <c r="B336" s="66" t="s">
        <v>13551</v>
      </c>
      <c r="C336" s="67" t="s">
        <v>12713</v>
      </c>
      <c r="D336" s="67" t="s">
        <v>12714</v>
      </c>
      <c r="E336" s="66" t="s">
        <v>12715</v>
      </c>
      <c r="F336" s="66" t="s">
        <v>12716</v>
      </c>
      <c r="G336" s="66" t="s">
        <v>12751</v>
      </c>
      <c r="H336" s="66" t="s">
        <v>13552</v>
      </c>
      <c r="I336" s="68">
        <v>1</v>
      </c>
      <c r="J336" s="69">
        <v>1</v>
      </c>
      <c r="K336" s="66">
        <v>1</v>
      </c>
      <c r="L336" s="66">
        <v>6000</v>
      </c>
      <c r="M336" s="66">
        <v>6000</v>
      </c>
      <c r="N336" s="63" cm="1">
        <f t="array" ref="N336:N336">_xlfn.XLOOKUP(H336,'OA名单'!C:C,'OA名单'!B:B,1)</f>
      </c>
      <c r="O336" s="63">
        <f t="shared" si="8"/>
      </c>
      <c r="P336" s="63" cm="1">
        <f t="array" ref="P336:P336">_xlfn.XLOOKUP(N336,'OA名单'!B:B,'OA名单'!G:G)</f>
      </c>
      <c r="Q336" s="63">
        <f t="shared" si="11"/>
      </c>
      <c r="R336" s="63" cm="1">
        <f t="array" ref="R336:R336">_xlfn.XLOOKUP(B336,'OA名单'!B:B,'OA名单'!F:F)</f>
      </c>
      <c r="S336" s="63">
        <f t="shared" si="10"/>
      </c>
      <c r="T336" s="70"/>
      <c r="U336" s="63" cm="1">
        <f t="array" ref="U336:U336">_xlfn.XLOOKUP(N336,'OA名单'!B:B,'OA名单'!E:E)</f>
      </c>
      <c r="V336" s="63">
        <f t="shared" si="12"/>
      </c>
      <c r="W336" s="71"/>
      <c r="X336" s="66"/>
      <c r="Y336" s="66"/>
    </row>
    <row hidden="true" r="337">
      <c r="A337" s="66"/>
      <c r="B337" s="66" t="s">
        <v>13553</v>
      </c>
      <c r="C337" s="67" t="s">
        <v>12713</v>
      </c>
      <c r="D337" s="67" t="s">
        <v>12714</v>
      </c>
      <c r="E337" s="66" t="s">
        <v>12715</v>
      </c>
      <c r="F337" s="66" t="s">
        <v>12716</v>
      </c>
      <c r="G337" s="66" t="s">
        <v>13554</v>
      </c>
      <c r="H337" s="66" t="s">
        <v>13555</v>
      </c>
      <c r="I337" s="68">
        <v>0.28</v>
      </c>
      <c r="J337" s="69">
        <v>1</v>
      </c>
      <c r="K337" s="66">
        <v>1</v>
      </c>
      <c r="L337" s="66">
        <v>2000</v>
      </c>
      <c r="M337" s="66">
        <v>2000</v>
      </c>
      <c r="N337" s="63" cm="1">
        <f t="array" ref="N337:N337">_xlfn.XLOOKUP(H337,'OA名单'!C:C,'OA名单'!B:B,1)</f>
      </c>
      <c r="O337" s="63">
        <f t="shared" si="8"/>
      </c>
      <c r="P337" s="63" cm="1">
        <f t="array" ref="P337:P337">_xlfn.XLOOKUP(N337,'OA名单'!B:B,'OA名单'!G:G)</f>
      </c>
      <c r="Q337" s="63">
        <f t="shared" si="11"/>
      </c>
      <c r="R337" s="63" cm="1">
        <f t="array" ref="R337:R337">_xlfn.XLOOKUP(B337,'OA名单'!B:B,'OA名单'!F:F)</f>
      </c>
      <c r="S337" s="63">
        <f t="shared" si="10"/>
      </c>
      <c r="T337" s="70"/>
      <c r="U337" s="63" cm="1">
        <f t="array" ref="U337:U337">_xlfn.XLOOKUP(N337,'OA名单'!B:B,'OA名单'!E:E)</f>
      </c>
      <c r="V337" s="63">
        <f t="shared" si="12"/>
      </c>
      <c r="W337" s="71"/>
      <c r="X337" s="66"/>
      <c r="Y337" s="66"/>
    </row>
    <row hidden="true" r="338">
      <c r="A338" s="66"/>
      <c r="B338" s="66" t="s">
        <v>13556</v>
      </c>
      <c r="C338" s="67" t="s">
        <v>12713</v>
      </c>
      <c r="D338" s="67" t="s">
        <v>12714</v>
      </c>
      <c r="E338" s="66" t="s">
        <v>13146</v>
      </c>
      <c r="F338" s="66" t="s">
        <v>13260</v>
      </c>
      <c r="G338" s="66" t="s">
        <v>13557</v>
      </c>
      <c r="H338" s="66" t="s">
        <v>13558</v>
      </c>
      <c r="I338" s="68">
        <v>1</v>
      </c>
      <c r="J338" s="69">
        <v>1</v>
      </c>
      <c r="K338" s="66">
        <v>1</v>
      </c>
      <c r="L338" s="66">
        <v>0</v>
      </c>
      <c r="M338" s="66">
        <v>1200</v>
      </c>
      <c r="N338" s="63" cm="1">
        <f t="array" ref="N338:N338">_xlfn.XLOOKUP(H338,'OA名单'!C:C,'OA名单'!B:B,1)</f>
      </c>
      <c r="O338" s="63">
        <f t="shared" si="8"/>
      </c>
      <c r="P338" s="63" cm="1">
        <f t="array" ref="P338:P338">_xlfn.XLOOKUP(N338,'OA名单'!B:B,'OA名单'!G:G)</f>
      </c>
      <c r="Q338" s="63">
        <f t="shared" si="11"/>
      </c>
      <c r="R338" s="63" cm="1">
        <f t="array" ref="R338:R338">_xlfn.XLOOKUP(B338,'OA名单'!B:B,'OA名单'!F:F)</f>
      </c>
      <c r="S338" s="63">
        <f t="shared" si="10"/>
      </c>
      <c r="T338" s="70"/>
      <c r="U338" s="63" cm="1">
        <f t="array" ref="U338:U338">_xlfn.XLOOKUP(N338,'OA名单'!B:B,'OA名单'!E:E)</f>
      </c>
      <c r="V338" s="63">
        <f t="shared" si="12"/>
      </c>
      <c r="W338" s="71"/>
      <c r="X338" s="66"/>
      <c r="Y338" s="66"/>
    </row>
    <row hidden="true" r="339">
      <c r="A339" s="66"/>
      <c r="B339" s="66" t="s">
        <v>13559</v>
      </c>
      <c r="C339" s="67" t="s">
        <v>12713</v>
      </c>
      <c r="D339" s="67" t="s">
        <v>12714</v>
      </c>
      <c r="E339" s="66" t="s">
        <v>12782</v>
      </c>
      <c r="F339" s="66" t="s">
        <v>13002</v>
      </c>
      <c r="G339" s="66" t="s">
        <v>12982</v>
      </c>
      <c r="H339" s="66" t="s">
        <v>13560</v>
      </c>
      <c r="I339" s="68">
        <v>0.01</v>
      </c>
      <c r="J339" s="69">
        <v>1</v>
      </c>
      <c r="K339" s="66">
        <v>1</v>
      </c>
      <c r="L339" s="66">
        <v>0</v>
      </c>
      <c r="M339" s="66">
        <v>1500</v>
      </c>
      <c r="N339" s="63" cm="1">
        <f t="array" ref="N339:N339">_xlfn.XLOOKUP(H339,'OA名单'!C:C,'OA名单'!B:B,1)</f>
      </c>
      <c r="O339" s="63">
        <f t="shared" si="8"/>
      </c>
      <c r="P339" s="63" cm="1">
        <f t="array" ref="P339:P339">_xlfn.XLOOKUP(N339,'OA名单'!B:B,'OA名单'!G:G)</f>
      </c>
      <c r="Q339" s="63">
        <f t="shared" si="11"/>
      </c>
      <c r="R339" s="63" cm="1">
        <f t="array" ref="R339:R339">_xlfn.XLOOKUP(B339,'OA名单'!B:B,'OA名单'!F:F)</f>
      </c>
      <c r="S339" s="63">
        <f t="shared" si="10"/>
      </c>
      <c r="T339" s="70"/>
      <c r="U339" s="63" cm="1">
        <f t="array" ref="U339:U339">_xlfn.XLOOKUP(N339,'OA名单'!B:B,'OA名单'!E:E)</f>
      </c>
      <c r="V339" s="63">
        <f t="shared" si="12"/>
      </c>
      <c r="W339" s="71"/>
      <c r="X339" s="66"/>
      <c r="Y339" s="66"/>
    </row>
    <row hidden="true" r="340">
      <c r="A340" s="66"/>
      <c r="B340" s="66" t="s">
        <v>13561</v>
      </c>
      <c r="C340" s="67" t="s">
        <v>12713</v>
      </c>
      <c r="D340" s="67" t="s">
        <v>12714</v>
      </c>
      <c r="E340" s="66" t="s">
        <v>12782</v>
      </c>
      <c r="F340" s="66" t="s">
        <v>13002</v>
      </c>
      <c r="G340" s="66" t="s">
        <v>12982</v>
      </c>
      <c r="H340" s="66" t="s">
        <v>13562</v>
      </c>
      <c r="I340" s="68">
        <v>0.01</v>
      </c>
      <c r="J340" s="69">
        <v>1</v>
      </c>
      <c r="K340" s="66">
        <v>1</v>
      </c>
      <c r="L340" s="66">
        <v>0</v>
      </c>
      <c r="M340" s="66">
        <v>1500</v>
      </c>
      <c r="N340" s="63" cm="1">
        <f t="array" ref="N340:N340">_xlfn.XLOOKUP(H340,'OA名单'!C:C,'OA名单'!B:B,1)</f>
      </c>
      <c r="O340" s="63">
        <f t="shared" si="8"/>
      </c>
      <c r="P340" s="63" cm="1">
        <f t="array" ref="P340:P340">_xlfn.XLOOKUP(N340,'OA名单'!B:B,'OA名单'!G:G)</f>
      </c>
      <c r="Q340" s="63">
        <f t="shared" si="11"/>
      </c>
      <c r="R340" s="63" cm="1">
        <f t="array" ref="R340:R340">_xlfn.XLOOKUP(B340,'OA名单'!B:B,'OA名单'!F:F)</f>
      </c>
      <c r="S340" s="63">
        <f t="shared" si="10"/>
      </c>
      <c r="T340" s="70"/>
      <c r="U340" s="63" cm="1">
        <f t="array" ref="U340:U340">_xlfn.XLOOKUP(N340,'OA名单'!B:B,'OA名单'!E:E)</f>
      </c>
      <c r="V340" s="63">
        <f t="shared" si="12"/>
      </c>
      <c r="W340" s="71"/>
      <c r="X340" s="66"/>
      <c r="Y340" s="66"/>
    </row>
    <row hidden="true" r="341">
      <c r="A341" s="66"/>
      <c r="B341" s="66" t="s">
        <v>13563</v>
      </c>
      <c r="C341" s="67" t="s">
        <v>12713</v>
      </c>
      <c r="D341" s="67" t="s">
        <v>12714</v>
      </c>
      <c r="E341" s="66" t="s">
        <v>12782</v>
      </c>
      <c r="F341" s="66" t="s">
        <v>13297</v>
      </c>
      <c r="G341" s="66" t="s">
        <v>12982</v>
      </c>
      <c r="H341" s="66" t="s">
        <v>13564</v>
      </c>
      <c r="I341" s="68">
        <v>1</v>
      </c>
      <c r="J341" s="69">
        <v>1</v>
      </c>
      <c r="K341" s="66">
        <v>1</v>
      </c>
      <c r="L341" s="66">
        <v>3398</v>
      </c>
      <c r="M341" s="66">
        <v>2500</v>
      </c>
      <c r="N341" s="63" cm="1">
        <f t="array" ref="N341:N341">_xlfn.XLOOKUP(H341,'OA名单'!C:C,'OA名单'!B:B,1)</f>
      </c>
      <c r="O341" s="63">
        <f t="shared" si="8"/>
      </c>
      <c r="P341" s="63" cm="1">
        <f t="array" ref="P341:P341">_xlfn.XLOOKUP(N341,'OA名单'!B:B,'OA名单'!G:G)</f>
      </c>
      <c r="Q341" s="63">
        <f t="shared" si="11"/>
      </c>
      <c r="R341" s="63" cm="1">
        <f t="array" ref="R341:R341">_xlfn.XLOOKUP(B341,'OA名单'!B:B,'OA名单'!F:F)</f>
      </c>
      <c r="S341" s="63">
        <f t="shared" si="10"/>
      </c>
      <c r="T341" s="70"/>
      <c r="U341" s="63" cm="1">
        <f t="array" ref="U341:U341">_xlfn.XLOOKUP(N341,'OA名单'!B:B,'OA名单'!E:E)</f>
      </c>
      <c r="V341" s="63">
        <f t="shared" si="12"/>
      </c>
      <c r="W341" s="71"/>
      <c r="X341" s="66"/>
      <c r="Y341" s="66"/>
    </row>
    <row hidden="true" r="342">
      <c r="A342" s="66"/>
      <c r="B342" s="66" t="s">
        <v>13565</v>
      </c>
      <c r="C342" s="67" t="s">
        <v>12713</v>
      </c>
      <c r="D342" s="67" t="s">
        <v>12714</v>
      </c>
      <c r="E342" s="66" t="s">
        <v>12782</v>
      </c>
      <c r="F342" s="66" t="s">
        <v>13297</v>
      </c>
      <c r="G342" s="66" t="s">
        <v>12982</v>
      </c>
      <c r="H342" s="66" t="s">
        <v>13566</v>
      </c>
      <c r="I342" s="68">
        <v>1</v>
      </c>
      <c r="J342" s="69">
        <v>1</v>
      </c>
      <c r="K342" s="66">
        <v>1</v>
      </c>
      <c r="L342" s="66">
        <v>1474</v>
      </c>
      <c r="M342" s="66">
        <v>1500</v>
      </c>
      <c r="N342" s="63" cm="1">
        <f t="array" ref="N342:N342">_xlfn.XLOOKUP(H342,'OA名单'!C:C,'OA名单'!B:B,1)</f>
      </c>
      <c r="O342" s="63">
        <f t="shared" si="8"/>
      </c>
      <c r="P342" s="63" cm="1">
        <f t="array" ref="P342:P342">_xlfn.XLOOKUP(N342,'OA名单'!B:B,'OA名单'!G:G)</f>
      </c>
      <c r="Q342" s="63">
        <f t="shared" si="11"/>
      </c>
      <c r="R342" s="63" cm="1">
        <f t="array" ref="R342:R342">_xlfn.XLOOKUP(B342,'OA名单'!B:B,'OA名单'!F:F)</f>
      </c>
      <c r="S342" s="63">
        <f t="shared" si="10"/>
      </c>
      <c r="T342" s="70"/>
      <c r="U342" s="63" cm="1">
        <f t="array" ref="U342:U342">_xlfn.XLOOKUP(N342,'OA名单'!B:B,'OA名单'!E:E)</f>
      </c>
      <c r="V342" s="63">
        <f t="shared" si="12"/>
      </c>
      <c r="W342" s="71"/>
      <c r="X342" s="66"/>
      <c r="Y342" s="66"/>
    </row>
    <row hidden="true" r="343">
      <c r="A343" s="66"/>
      <c r="B343" s="66" t="s">
        <v>13567</v>
      </c>
      <c r="C343" s="67" t="s">
        <v>12713</v>
      </c>
      <c r="D343" s="67" t="s">
        <v>12714</v>
      </c>
      <c r="E343" s="66" t="s">
        <v>12782</v>
      </c>
      <c r="F343" s="66" t="s">
        <v>13297</v>
      </c>
      <c r="G343" s="66" t="s">
        <v>12982</v>
      </c>
      <c r="H343" s="66" t="s">
        <v>13568</v>
      </c>
      <c r="I343" s="68">
        <v>1</v>
      </c>
      <c r="J343" s="69">
        <v>1</v>
      </c>
      <c r="K343" s="66">
        <v>1</v>
      </c>
      <c r="L343" s="66">
        <v>1683</v>
      </c>
      <c r="M343" s="66">
        <v>1500</v>
      </c>
      <c r="N343" s="63" cm="1">
        <f t="array" ref="N343:N343">_xlfn.XLOOKUP(H343,'OA名单'!C:C,'OA名单'!B:B,1)</f>
      </c>
      <c r="O343" s="63">
        <f t="shared" si="8"/>
      </c>
      <c r="P343" s="63" cm="1">
        <f t="array" ref="P343:P343">_xlfn.XLOOKUP(N343,'OA名单'!B:B,'OA名单'!G:G)</f>
      </c>
      <c r="Q343" s="63">
        <f t="shared" si="11"/>
      </c>
      <c r="R343" s="63" cm="1">
        <f t="array" ref="R343:R343">_xlfn.XLOOKUP(B343,'OA名单'!B:B,'OA名单'!F:F)</f>
      </c>
      <c r="S343" s="63">
        <f t="shared" si="10"/>
      </c>
      <c r="T343" s="70"/>
      <c r="U343" s="63" cm="1">
        <f t="array" ref="U343:U343">_xlfn.XLOOKUP(N343,'OA名单'!B:B,'OA名单'!E:E)</f>
      </c>
      <c r="V343" s="63">
        <f t="shared" si="12"/>
      </c>
      <c r="W343" s="71"/>
      <c r="X343" s="66"/>
      <c r="Y343" s="66"/>
    </row>
    <row hidden="true" r="344">
      <c r="A344" s="66"/>
      <c r="B344" s="66" t="s">
        <v>13569</v>
      </c>
      <c r="C344" s="67" t="s">
        <v>12713</v>
      </c>
      <c r="D344" s="67" t="s">
        <v>12714</v>
      </c>
      <c r="E344" s="66" t="s">
        <v>13318</v>
      </c>
      <c r="F344" s="66" t="s">
        <v>13385</v>
      </c>
      <c r="G344" s="66" t="s">
        <v>13570</v>
      </c>
      <c r="H344" s="66" t="s">
        <v>13571</v>
      </c>
      <c r="I344" s="68">
        <v>1</v>
      </c>
      <c r="J344" s="69">
        <v>1</v>
      </c>
      <c r="K344" s="66">
        <v>1</v>
      </c>
      <c r="L344" s="66">
        <v>0</v>
      </c>
      <c r="M344" s="66">
        <v>5000</v>
      </c>
      <c r="N344" s="63" cm="1">
        <f t="array" ref="N344:N344">_xlfn.XLOOKUP(H344,'OA名单'!C:C,'OA名单'!B:B,1)</f>
      </c>
      <c r="O344" s="63">
        <f t="shared" si="8"/>
      </c>
      <c r="P344" s="63" cm="1">
        <f t="array" ref="P344:P344">_xlfn.XLOOKUP(N344,'OA名单'!B:B,'OA名单'!G:G)</f>
      </c>
      <c r="Q344" s="63">
        <f t="shared" si="11"/>
      </c>
      <c r="R344" s="63" cm="1">
        <f t="array" ref="R344:R344">_xlfn.XLOOKUP(B344,'OA名单'!B:B,'OA名单'!F:F)</f>
      </c>
      <c r="S344" s="63">
        <f t="shared" si="10"/>
      </c>
      <c r="T344" s="70"/>
      <c r="U344" s="63" cm="1">
        <f t="array" ref="U344:U344">_xlfn.XLOOKUP(N344,'OA名单'!B:B,'OA名单'!E:E)</f>
      </c>
      <c r="V344" s="63">
        <f t="shared" si="12"/>
      </c>
      <c r="W344" s="71"/>
      <c r="X344" s="66"/>
      <c r="Y344" s="66"/>
    </row>
    <row hidden="true" r="345">
      <c r="A345" s="66"/>
      <c r="B345" s="66" t="s">
        <v>13572</v>
      </c>
      <c r="C345" s="67" t="s">
        <v>12713</v>
      </c>
      <c r="D345" s="67" t="s">
        <v>12714</v>
      </c>
      <c r="E345" s="66" t="s">
        <v>12956</v>
      </c>
      <c r="F345" s="66" t="s">
        <v>13400</v>
      </c>
      <c r="G345" s="66" t="s">
        <v>13057</v>
      </c>
      <c r="H345" s="66" t="s">
        <v>13573</v>
      </c>
      <c r="I345" s="68">
        <v>0.995</v>
      </c>
      <c r="J345" s="69">
        <v>1</v>
      </c>
      <c r="K345" s="66">
        <v>1</v>
      </c>
      <c r="L345" s="66">
        <v>5110.96</v>
      </c>
      <c r="M345" s="66">
        <v>5000</v>
      </c>
      <c r="N345" s="63" cm="1">
        <f t="array" ref="N345:N345">_xlfn.XLOOKUP(H345,'OA名单'!C:C,'OA名单'!B:B,1)</f>
      </c>
      <c r="O345" s="63">
        <f t="shared" si="8"/>
      </c>
      <c r="P345" s="63" cm="1">
        <f t="array" ref="P345:P345">_xlfn.XLOOKUP(N345,'OA名单'!B:B,'OA名单'!G:G)</f>
      </c>
      <c r="Q345" s="63">
        <f t="shared" si="11"/>
      </c>
      <c r="R345" s="63" cm="1">
        <f t="array" ref="R345:R345">_xlfn.XLOOKUP(B345,'OA名单'!B:B,'OA名单'!F:F)</f>
      </c>
      <c r="S345" s="63">
        <f t="shared" si="10"/>
      </c>
      <c r="T345" s="70"/>
      <c r="U345" s="63" cm="1">
        <f t="array" ref="U345:U345">_xlfn.XLOOKUP(N345,'OA名单'!B:B,'OA名单'!E:E)</f>
      </c>
      <c r="V345" s="63">
        <f t="shared" si="12"/>
      </c>
      <c r="W345" s="71"/>
      <c r="X345" s="66"/>
      <c r="Y345" s="66"/>
    </row>
    <row hidden="true" r="346">
      <c r="A346" s="66"/>
      <c r="B346" s="66" t="s">
        <v>13574</v>
      </c>
      <c r="C346" s="67" t="s">
        <v>12713</v>
      </c>
      <c r="D346" s="67" t="s">
        <v>12714</v>
      </c>
      <c r="E346" s="66" t="s">
        <v>12776</v>
      </c>
      <c r="F346" s="66" t="s">
        <v>13575</v>
      </c>
      <c r="G346" s="66" t="s">
        <v>13576</v>
      </c>
      <c r="H346" s="66" t="s">
        <v>13577</v>
      </c>
      <c r="I346" s="68">
        <v>1</v>
      </c>
      <c r="J346" s="69">
        <v>1</v>
      </c>
      <c r="K346" s="66">
        <v>1</v>
      </c>
      <c r="L346" s="66">
        <v>0</v>
      </c>
      <c r="M346" s="66">
        <v>5000</v>
      </c>
      <c r="N346" s="63" cm="1">
        <f t="array" ref="N346:N346">_xlfn.XLOOKUP(H346,'OA名单'!C:C,'OA名单'!B:B,1)</f>
      </c>
      <c r="O346" s="63">
        <f t="shared" si="8"/>
      </c>
      <c r="P346" s="63" cm="1">
        <f t="array" ref="P346:P346">_xlfn.XLOOKUP(N346,'OA名单'!B:B,'OA名单'!G:G)</f>
      </c>
      <c r="Q346" s="63">
        <f t="shared" si="11"/>
      </c>
      <c r="R346" s="63" cm="1">
        <f t="array" ref="R346:R346">_xlfn.XLOOKUP(B346,'OA名单'!B:B,'OA名单'!F:F)</f>
      </c>
      <c r="S346" s="63">
        <f t="shared" si="10"/>
      </c>
      <c r="T346" s="70"/>
      <c r="U346" s="63" cm="1">
        <f t="array" ref="U346:U346">_xlfn.XLOOKUP(N346,'OA名单'!B:B,'OA名单'!E:E)</f>
      </c>
      <c r="V346" s="63">
        <f t="shared" si="12"/>
      </c>
      <c r="W346" s="71"/>
      <c r="X346" s="66"/>
      <c r="Y346" s="66"/>
    </row>
    <row hidden="true" r="347">
      <c r="A347" s="66"/>
      <c r="B347" s="66" t="s">
        <v>13578</v>
      </c>
      <c r="C347" s="67" t="s">
        <v>12713</v>
      </c>
      <c r="D347" s="67" t="s">
        <v>12714</v>
      </c>
      <c r="E347" s="66" t="s">
        <v>12956</v>
      </c>
      <c r="F347" s="66" t="s">
        <v>13264</v>
      </c>
      <c r="G347" s="66" t="s">
        <v>13401</v>
      </c>
      <c r="H347" s="66" t="s">
        <v>13579</v>
      </c>
      <c r="I347" s="68">
        <v>1</v>
      </c>
      <c r="J347" s="69">
        <v>1</v>
      </c>
      <c r="K347" s="66">
        <v>1</v>
      </c>
      <c r="L347" s="66">
        <v>0</v>
      </c>
      <c r="M347" s="66">
        <v>5000</v>
      </c>
      <c r="N347" s="63" cm="1">
        <f t="array" ref="N347:N347">_xlfn.XLOOKUP(H347,'OA名单'!C:C,'OA名单'!B:B,1)</f>
      </c>
      <c r="O347" s="63">
        <f t="shared" si="8"/>
      </c>
      <c r="P347" s="63" cm="1">
        <f t="array" ref="P347:P347">_xlfn.XLOOKUP(N347,'OA名单'!B:B,'OA名单'!G:G)</f>
      </c>
      <c r="Q347" s="63">
        <f t="shared" si="11"/>
      </c>
      <c r="R347" s="63" cm="1">
        <f t="array" ref="R347:R347">_xlfn.XLOOKUP(B347,'OA名单'!B:B,'OA名单'!F:F)</f>
      </c>
      <c r="S347" s="63">
        <f t="shared" si="10"/>
      </c>
      <c r="T347" s="70"/>
      <c r="U347" s="63" cm="1">
        <f t="array" ref="U347:U347">_xlfn.XLOOKUP(N347,'OA名单'!B:B,'OA名单'!E:E)</f>
      </c>
      <c r="V347" s="63">
        <f t="shared" si="12"/>
      </c>
      <c r="W347" s="71"/>
      <c r="X347" s="66"/>
      <c r="Y347" s="66"/>
    </row>
    <row hidden="true" r="348">
      <c r="A348" s="66"/>
      <c r="B348" s="66" t="s">
        <v>13580</v>
      </c>
      <c r="C348" s="67" t="s">
        <v>12713</v>
      </c>
      <c r="D348" s="67" t="s">
        <v>12714</v>
      </c>
      <c r="E348" s="66" t="s">
        <v>12782</v>
      </c>
      <c r="F348" s="66" t="s">
        <v>13297</v>
      </c>
      <c r="G348" s="66" t="s">
        <v>12982</v>
      </c>
      <c r="H348" s="66" t="s">
        <v>13581</v>
      </c>
      <c r="I348" s="68">
        <v>1</v>
      </c>
      <c r="J348" s="69">
        <v>1</v>
      </c>
      <c r="K348" s="66">
        <v>1</v>
      </c>
      <c r="L348" s="66">
        <v>444</v>
      </c>
      <c r="M348" s="66">
        <v>1500</v>
      </c>
      <c r="N348" s="63" cm="1">
        <f t="array" ref="N348:N348">_xlfn.XLOOKUP(H348,'OA名单'!C:C,'OA名单'!B:B,1)</f>
      </c>
      <c r="O348" s="63">
        <f t="shared" si="8"/>
      </c>
      <c r="P348" s="63" cm="1">
        <f t="array" ref="P348:P348">_xlfn.XLOOKUP(N348,'OA名单'!B:B,'OA名单'!G:G)</f>
      </c>
      <c r="Q348" s="63">
        <f t="shared" si="11"/>
      </c>
      <c r="R348" s="63" cm="1">
        <f t="array" ref="R348:R348">_xlfn.XLOOKUP(B348,'OA名单'!B:B,'OA名单'!F:F)</f>
      </c>
      <c r="S348" s="63">
        <f t="shared" si="10"/>
      </c>
      <c r="T348" s="70"/>
      <c r="U348" s="63" cm="1">
        <f t="array" ref="U348:U348">_xlfn.XLOOKUP(N348,'OA名单'!B:B,'OA名单'!E:E)</f>
      </c>
      <c r="V348" s="63">
        <f t="shared" si="12"/>
      </c>
      <c r="W348" s="71"/>
      <c r="X348" s="66"/>
      <c r="Y348" s="66"/>
    </row>
    <row hidden="true" r="349">
      <c r="A349" s="66"/>
      <c r="B349" s="66" t="s">
        <v>13582</v>
      </c>
      <c r="C349" s="67" t="s">
        <v>12713</v>
      </c>
      <c r="D349" s="67" t="s">
        <v>12714</v>
      </c>
      <c r="E349" s="66" t="s">
        <v>13097</v>
      </c>
      <c r="F349" s="66" t="s">
        <v>13098</v>
      </c>
      <c r="G349" s="66" t="s">
        <v>13583</v>
      </c>
      <c r="H349" s="66" t="s">
        <v>13584</v>
      </c>
      <c r="I349" s="68">
        <v>0.01</v>
      </c>
      <c r="J349" s="69">
        <v>1</v>
      </c>
      <c r="K349" s="66">
        <v>1</v>
      </c>
      <c r="L349" s="66">
        <v>312.5</v>
      </c>
      <c r="M349" s="66">
        <v>0</v>
      </c>
      <c r="N349" s="63" cm="1">
        <f t="array" ref="N349:N349">_xlfn.XLOOKUP(H349,'OA名单'!C:C,'OA名单'!B:B,1)</f>
      </c>
      <c r="O349" s="63">
        <f t="shared" si="8"/>
      </c>
      <c r="P349" s="63" cm="1">
        <f t="array" ref="P349:P349">_xlfn.XLOOKUP(N349,'OA名单'!B:B,'OA名单'!G:G)</f>
      </c>
      <c r="Q349" s="63">
        <f t="shared" si="11"/>
      </c>
      <c r="R349" s="63" cm="1">
        <f t="array" ref="R349:R349">_xlfn.XLOOKUP(B349,'OA名单'!B:B,'OA名单'!F:F)</f>
      </c>
      <c r="S349" s="63">
        <f t="shared" si="10"/>
      </c>
      <c r="T349" s="70"/>
      <c r="U349" s="63" cm="1">
        <f t="array" ref="U349:U349">_xlfn.XLOOKUP(N349,'OA名单'!B:B,'OA名单'!E:E)</f>
      </c>
      <c r="V349" s="63">
        <f t="shared" si="12"/>
      </c>
      <c r="W349" s="71"/>
      <c r="X349" s="66"/>
      <c r="Y349" s="66"/>
    </row>
    <row hidden="true" r="350">
      <c r="A350" s="66"/>
      <c r="B350" s="66" t="s">
        <v>13585</v>
      </c>
      <c r="C350" s="67" t="s">
        <v>12713</v>
      </c>
      <c r="D350" s="67" t="s">
        <v>12714</v>
      </c>
      <c r="E350" s="66" t="s">
        <v>13097</v>
      </c>
      <c r="F350" s="66" t="s">
        <v>13098</v>
      </c>
      <c r="G350" s="66" t="s">
        <v>13586</v>
      </c>
      <c r="H350" s="66" t="s">
        <v>13587</v>
      </c>
      <c r="I350" s="68">
        <v>0.01</v>
      </c>
      <c r="J350" s="69">
        <v>1</v>
      </c>
      <c r="K350" s="66">
        <v>1</v>
      </c>
      <c r="L350" s="66">
        <v>312.5</v>
      </c>
      <c r="M350" s="66">
        <v>0</v>
      </c>
      <c r="N350" s="63" cm="1">
        <f t="array" ref="N350:N350">_xlfn.XLOOKUP(H350,'OA名单'!C:C,'OA名单'!B:B,1)</f>
      </c>
      <c r="O350" s="63">
        <f t="shared" si="8"/>
      </c>
      <c r="P350" s="63" cm="1">
        <f t="array" ref="P350:P350">_xlfn.XLOOKUP(N350,'OA名单'!B:B,'OA名单'!G:G)</f>
      </c>
      <c r="Q350" s="63">
        <f t="shared" si="11"/>
      </c>
      <c r="R350" s="63" cm="1">
        <f t="array" ref="R350:R350">_xlfn.XLOOKUP(B350,'OA名单'!B:B,'OA名单'!F:F)</f>
      </c>
      <c r="S350" s="63">
        <f t="shared" si="10"/>
      </c>
      <c r="T350" s="70"/>
      <c r="U350" s="63" cm="1">
        <f t="array" ref="U350:U350">_xlfn.XLOOKUP(N350,'OA名单'!B:B,'OA名单'!E:E)</f>
      </c>
      <c r="V350" s="63">
        <f t="shared" si="12"/>
      </c>
      <c r="W350" s="71"/>
      <c r="X350" s="66"/>
      <c r="Y350" s="66"/>
    </row>
    <row hidden="true" r="351">
      <c r="A351" s="66"/>
      <c r="B351" s="66" t="s">
        <v>13588</v>
      </c>
      <c r="C351" s="67" t="s">
        <v>12713</v>
      </c>
      <c r="D351" s="67" t="s">
        <v>12714</v>
      </c>
      <c r="E351" s="66" t="s">
        <v>13027</v>
      </c>
      <c r="F351" s="66" t="s">
        <v>13110</v>
      </c>
      <c r="G351" s="66" t="s">
        <v>13221</v>
      </c>
      <c r="H351" s="66" t="s">
        <v>13589</v>
      </c>
      <c r="I351" s="68">
        <v>1.0124</v>
      </c>
      <c r="J351" s="69">
        <v>1</v>
      </c>
      <c r="K351" s="66">
        <v>1</v>
      </c>
      <c r="L351" s="66">
        <v>3000</v>
      </c>
      <c r="M351" s="66">
        <v>5000</v>
      </c>
      <c r="N351" s="63" cm="1">
        <f t="array" ref="N351:N351">_xlfn.XLOOKUP(H351,'OA名单'!C:C,'OA名单'!B:B,1)</f>
      </c>
      <c r="O351" s="63">
        <f t="shared" si="8"/>
      </c>
      <c r="P351" s="63" cm="1">
        <f t="array" ref="P351:P351">_xlfn.XLOOKUP(N351,'OA名单'!B:B,'OA名单'!G:G)</f>
      </c>
      <c r="Q351" s="63">
        <f t="shared" si="11"/>
      </c>
      <c r="R351" s="63" cm="1">
        <f t="array" ref="R351:R351">_xlfn.XLOOKUP(B351,'OA名单'!B:B,'OA名单'!F:F)</f>
      </c>
      <c r="S351" s="63">
        <f t="shared" si="10"/>
      </c>
      <c r="T351" s="70"/>
      <c r="U351" s="63" cm="1">
        <f t="array" ref="U351:U351">_xlfn.XLOOKUP(N351,'OA名单'!B:B,'OA名单'!E:E)</f>
      </c>
      <c r="V351" s="63">
        <f t="shared" si="12"/>
      </c>
      <c r="W351" s="71"/>
      <c r="X351" s="66"/>
      <c r="Y351" s="66"/>
    </row>
    <row hidden="true" r="352">
      <c r="A352" s="66"/>
      <c r="B352" s="66" t="s">
        <v>13590</v>
      </c>
      <c r="C352" s="67" t="s">
        <v>12713</v>
      </c>
      <c r="D352" s="67" t="s">
        <v>12714</v>
      </c>
      <c r="E352" s="66" t="s">
        <v>13027</v>
      </c>
      <c r="F352" s="66" t="s">
        <v>13110</v>
      </c>
      <c r="G352" s="66" t="s">
        <v>12751</v>
      </c>
      <c r="H352" s="66" t="s">
        <v>13591</v>
      </c>
      <c r="I352" s="68">
        <v>1.0436</v>
      </c>
      <c r="J352" s="69">
        <v>1</v>
      </c>
      <c r="K352" s="66">
        <v>1</v>
      </c>
      <c r="L352" s="66">
        <v>5000</v>
      </c>
      <c r="M352" s="66">
        <v>5000</v>
      </c>
      <c r="N352" s="63" cm="1">
        <f t="array" ref="N352:N352">_xlfn.XLOOKUP(H352,'OA名单'!C:C,'OA名单'!B:B,1)</f>
      </c>
      <c r="O352" s="63">
        <f t="shared" si="8"/>
      </c>
      <c r="P352" s="63" cm="1">
        <f t="array" ref="P352:P352">_xlfn.XLOOKUP(N352,'OA名单'!B:B,'OA名单'!G:G)</f>
      </c>
      <c r="Q352" s="63">
        <f t="shared" si="11"/>
      </c>
      <c r="R352" s="63" cm="1">
        <f t="array" ref="R352:R352">_xlfn.XLOOKUP(B352,'OA名单'!B:B,'OA名单'!F:F)</f>
      </c>
      <c r="S352" s="63">
        <f t="shared" si="10"/>
      </c>
      <c r="T352" s="70"/>
      <c r="U352" s="63" cm="1">
        <f t="array" ref="U352:U352">_xlfn.XLOOKUP(N352,'OA名单'!B:B,'OA名单'!E:E)</f>
      </c>
      <c r="V352" s="63">
        <f t="shared" si="12"/>
      </c>
      <c r="W352" s="71"/>
      <c r="X352" s="66"/>
      <c r="Y352" s="66"/>
    </row>
    <row hidden="true" r="353">
      <c r="A353" s="66"/>
      <c r="B353" s="66" t="s">
        <v>13592</v>
      </c>
      <c r="C353" s="67" t="s">
        <v>12713</v>
      </c>
      <c r="D353" s="67" t="s">
        <v>12714</v>
      </c>
      <c r="E353" s="66" t="s">
        <v>13016</v>
      </c>
      <c r="F353" s="66" t="s">
        <v>13404</v>
      </c>
      <c r="G353" s="66" t="s">
        <v>13593</v>
      </c>
      <c r="H353" s="66" t="s">
        <v>13594</v>
      </c>
      <c r="I353" s="68">
        <v>1</v>
      </c>
      <c r="J353" s="69">
        <v>1</v>
      </c>
      <c r="K353" s="66">
        <v>1</v>
      </c>
      <c r="L353" s="66">
        <v>2400</v>
      </c>
      <c r="M353" s="66">
        <v>1200</v>
      </c>
      <c r="N353" s="63" cm="1">
        <f t="array" ref="N353:N353">_xlfn.XLOOKUP(H353,'OA名单'!C:C,'OA名单'!B:B,1)</f>
      </c>
      <c r="O353" s="63">
        <f t="shared" si="8"/>
      </c>
      <c r="P353" s="63" cm="1">
        <f t="array" ref="P353:P353">_xlfn.XLOOKUP(N353,'OA名单'!B:B,'OA名单'!G:G)</f>
      </c>
      <c r="Q353" s="63">
        <f t="shared" si="11"/>
      </c>
      <c r="R353" s="63" cm="1">
        <f t="array" ref="R353:R353">_xlfn.XLOOKUP(B353,'OA名单'!B:B,'OA名单'!F:F)</f>
      </c>
      <c r="S353" s="63">
        <f t="shared" si="10"/>
      </c>
      <c r="T353" s="70"/>
      <c r="U353" s="63" cm="1">
        <f t="array" ref="U353:U353">_xlfn.XLOOKUP(N353,'OA名单'!B:B,'OA名单'!E:E)</f>
      </c>
      <c r="V353" s="63">
        <f t="shared" si="12"/>
      </c>
      <c r="W353" s="71"/>
      <c r="X353" s="66"/>
      <c r="Y353" s="66"/>
    </row>
    <row hidden="true" r="354">
      <c r="A354" s="66"/>
      <c r="B354" s="66" t="s">
        <v>13595</v>
      </c>
      <c r="C354" s="67" t="s">
        <v>12713</v>
      </c>
      <c r="D354" s="67" t="s">
        <v>12714</v>
      </c>
      <c r="E354" s="66" t="s">
        <v>13016</v>
      </c>
      <c r="F354" s="66" t="s">
        <v>13404</v>
      </c>
      <c r="G354" s="66" t="s">
        <v>13593</v>
      </c>
      <c r="H354" s="66" t="s">
        <v>13596</v>
      </c>
      <c r="I354" s="68">
        <v>1</v>
      </c>
      <c r="J354" s="69">
        <v>1</v>
      </c>
      <c r="K354" s="66">
        <v>1</v>
      </c>
      <c r="L354" s="66">
        <v>2400</v>
      </c>
      <c r="M354" s="66">
        <v>1200</v>
      </c>
      <c r="N354" s="63" cm="1">
        <f t="array" ref="N354:N354">_xlfn.XLOOKUP(H354,'OA名单'!C:C,'OA名单'!B:B,1)</f>
      </c>
      <c r="O354" s="63">
        <f t="shared" si="8"/>
      </c>
      <c r="P354" s="63" cm="1">
        <f t="array" ref="P354:P354">_xlfn.XLOOKUP(N354,'OA名单'!B:B,'OA名单'!G:G)</f>
      </c>
      <c r="Q354" s="63">
        <f t="shared" si="11"/>
      </c>
      <c r="R354" s="63" cm="1">
        <f t="array" ref="R354:R354">_xlfn.XLOOKUP(B354,'OA名单'!B:B,'OA名单'!F:F)</f>
      </c>
      <c r="S354" s="63">
        <f t="shared" si="10"/>
      </c>
      <c r="T354" s="70"/>
      <c r="U354" s="63" cm="1">
        <f t="array" ref="U354:U354">_xlfn.XLOOKUP(N354,'OA名单'!B:B,'OA名单'!E:E)</f>
      </c>
      <c r="V354" s="63">
        <f t="shared" si="12"/>
      </c>
      <c r="W354" s="71"/>
      <c r="X354" s="66"/>
      <c r="Y354" s="66"/>
    </row>
    <row hidden="true" r="355">
      <c r="A355" s="66"/>
      <c r="B355" s="66" t="s">
        <v>13597</v>
      </c>
      <c r="C355" s="67" t="s">
        <v>12713</v>
      </c>
      <c r="D355" s="67" t="s">
        <v>12714</v>
      </c>
      <c r="E355" s="66" t="s">
        <v>12956</v>
      </c>
      <c r="F355" s="66" t="s">
        <v>13598</v>
      </c>
      <c r="G355" s="66" t="s">
        <v>13265</v>
      </c>
      <c r="H355" s="66" t="s">
        <v>13599</v>
      </c>
      <c r="I355" s="68">
        <v>1</v>
      </c>
      <c r="J355" s="69">
        <v>1</v>
      </c>
      <c r="K355" s="66">
        <v>1</v>
      </c>
      <c r="L355" s="66">
        <v>4457</v>
      </c>
      <c r="M355" s="66">
        <v>3500</v>
      </c>
      <c r="N355" s="63" cm="1">
        <f t="array" ref="N355:N355">_xlfn.XLOOKUP(H355,'OA名单'!C:C,'OA名单'!B:B,1)</f>
      </c>
      <c r="O355" s="63">
        <f t="shared" si="8"/>
      </c>
      <c r="P355" s="63" cm="1">
        <f t="array" ref="P355:P355">_xlfn.XLOOKUP(N355,'OA名单'!B:B,'OA名单'!G:G)</f>
      </c>
      <c r="Q355" s="63">
        <f t="shared" si="11"/>
      </c>
      <c r="R355" s="63" cm="1">
        <f t="array" ref="R355:R355">_xlfn.XLOOKUP(B355,'OA名单'!B:B,'OA名单'!F:F)</f>
      </c>
      <c r="S355" s="63">
        <f t="shared" si="10"/>
      </c>
      <c r="T355" s="70"/>
      <c r="U355" s="63" cm="1">
        <f t="array" ref="U355:U355">_xlfn.XLOOKUP(N355,'OA名单'!B:B,'OA名单'!E:E)</f>
      </c>
      <c r="V355" s="63">
        <f t="shared" si="12"/>
      </c>
      <c r="W355" s="71"/>
      <c r="X355" s="66"/>
      <c r="Y355" s="66"/>
    </row>
    <row hidden="true" r="356">
      <c r="A356" s="66"/>
      <c r="B356" s="66" t="s">
        <v>13600</v>
      </c>
      <c r="C356" s="67" t="s">
        <v>12713</v>
      </c>
      <c r="D356" s="67" t="s">
        <v>12714</v>
      </c>
      <c r="E356" s="66" t="s">
        <v>12956</v>
      </c>
      <c r="F356" s="66" t="s">
        <v>13264</v>
      </c>
      <c r="G356" s="66" t="s">
        <v>13057</v>
      </c>
      <c r="H356" s="66" t="s">
        <v>13601</v>
      </c>
      <c r="I356" s="68">
        <v>0.01</v>
      </c>
      <c r="J356" s="69">
        <v>1</v>
      </c>
      <c r="K356" s="66">
        <v>1</v>
      </c>
      <c r="L356" s="66">
        <v>5182.84</v>
      </c>
      <c r="M356" s="66">
        <v>5000</v>
      </c>
      <c r="N356" s="63" cm="1">
        <f t="array" ref="N356:N356">_xlfn.XLOOKUP(H356,'OA名单'!C:C,'OA名单'!B:B,1)</f>
      </c>
      <c r="O356" s="63">
        <f t="shared" si="8"/>
      </c>
      <c r="P356" s="63" cm="1">
        <f t="array" ref="P356:P356">_xlfn.XLOOKUP(N356,'OA名单'!B:B,'OA名单'!G:G)</f>
      </c>
      <c r="Q356" s="63">
        <f t="shared" si="11"/>
      </c>
      <c r="R356" s="63" cm="1">
        <f t="array" ref="R356:R356">_xlfn.XLOOKUP(B356,'OA名单'!B:B,'OA名单'!F:F)</f>
      </c>
      <c r="S356" s="63">
        <f t="shared" si="10"/>
      </c>
      <c r="T356" s="70"/>
      <c r="U356" s="63" cm="1">
        <f t="array" ref="U356:U356">_xlfn.XLOOKUP(N356,'OA名单'!B:B,'OA名单'!E:E)</f>
      </c>
      <c r="V356" s="63">
        <f t="shared" si="12"/>
      </c>
      <c r="W356" s="71"/>
      <c r="X356" s="66"/>
      <c r="Y356" s="66"/>
    </row>
    <row hidden="true" r="357">
      <c r="A357" s="66"/>
      <c r="B357" s="66" t="s">
        <v>13602</v>
      </c>
      <c r="C357" s="67" t="s">
        <v>12713</v>
      </c>
      <c r="D357" s="67" t="s">
        <v>12714</v>
      </c>
      <c r="E357" s="66" t="s">
        <v>13011</v>
      </c>
      <c r="F357" s="66" t="s">
        <v>13042</v>
      </c>
      <c r="G357" s="66" t="s">
        <v>13043</v>
      </c>
      <c r="H357" s="66" t="s">
        <v>13603</v>
      </c>
      <c r="I357" s="68">
        <v>0.913322</v>
      </c>
      <c r="J357" s="69">
        <v>1</v>
      </c>
      <c r="K357" s="66">
        <v>1</v>
      </c>
      <c r="L357" s="66">
        <v>1401.52</v>
      </c>
      <c r="M357" s="66">
        <v>2000</v>
      </c>
      <c r="N357" s="63" cm="1">
        <f t="array" ref="N357:N357">_xlfn.XLOOKUP(H357,'OA名单'!C:C,'OA名单'!B:B,1)</f>
      </c>
      <c r="O357" s="63">
        <f t="shared" si="8"/>
      </c>
      <c r="P357" s="63" cm="1">
        <f t="array" ref="P357:P357">_xlfn.XLOOKUP(N357,'OA名单'!B:B,'OA名单'!G:G)</f>
      </c>
      <c r="Q357" s="63">
        <f t="shared" si="11"/>
      </c>
      <c r="R357" s="63" cm="1">
        <f t="array" ref="R357:R357">_xlfn.XLOOKUP(B357,'OA名单'!B:B,'OA名单'!F:F)</f>
      </c>
      <c r="S357" s="63">
        <f t="shared" si="10"/>
      </c>
      <c r="T357" s="70"/>
      <c r="U357" s="63" cm="1">
        <f t="array" ref="U357:U357">_xlfn.XLOOKUP(N357,'OA名单'!B:B,'OA名单'!E:E)</f>
      </c>
      <c r="V357" s="63">
        <f t="shared" si="12"/>
      </c>
      <c r="W357" s="71"/>
      <c r="X357" s="66"/>
      <c r="Y357" s="66"/>
    </row>
    <row hidden="true" r="358">
      <c r="A358" s="66"/>
      <c r="B358" s="67" t="s">
        <v>13604</v>
      </c>
      <c r="C358" s="67" t="s">
        <v>12713</v>
      </c>
      <c r="D358" s="67" t="s">
        <v>12714</v>
      </c>
      <c r="E358" s="66" t="s">
        <v>12749</v>
      </c>
      <c r="F358" s="66" t="s">
        <v>13605</v>
      </c>
      <c r="G358" s="67" t="s">
        <v>13606</v>
      </c>
      <c r="H358" s="66" t="s">
        <v>13607</v>
      </c>
      <c r="I358" s="68">
        <v>1</v>
      </c>
      <c r="J358" s="69">
        <v>1</v>
      </c>
      <c r="K358" s="66">
        <v>1</v>
      </c>
      <c r="L358" s="66">
        <v>2429.39</v>
      </c>
      <c r="M358" s="66">
        <v>0.48587702</v>
      </c>
      <c r="N358" s="63" cm="1">
        <f t="array" ref="N358:N358">_xlfn.XLOOKUP(H358,'OA名单'!C:C,'OA名单'!B:B,1)</f>
      </c>
      <c r="O358" s="63">
        <f t="shared" si="8"/>
      </c>
      <c r="P358" s="63" cm="1">
        <f t="array" ref="P358:P358">_xlfn.XLOOKUP(N358,'OA名单'!B:B,'OA名单'!G:G)</f>
      </c>
      <c r="Q358" s="63">
        <f t="shared" si="11"/>
      </c>
      <c r="R358" s="63" cm="1">
        <f t="array" ref="R358:R358">_xlfn.XLOOKUP(B358,'OA名单'!B:B,'OA名单'!F:F)</f>
      </c>
      <c r="S358" s="63">
        <f t="shared" si="10"/>
      </c>
      <c r="T358" s="64" cm="1">
        <f t="array" ref="T358:T358">_xlfn.XLOOKUP(B358,'系统-原始（副本）'!A:A,'系统-原始（副本）'!B:B)</f>
      </c>
      <c r="U358" s="63" cm="1">
        <f t="array" ref="U358:U358">_xlfn.XLOOKUP(N358,'OA名单'!B:B,'OA名单'!E:E)</f>
      </c>
      <c r="V358" s="63">
        <f t="shared" si="12"/>
      </c>
      <c r="W358" s="71"/>
      <c r="X358" s="66"/>
      <c r="Y358" s="66"/>
    </row>
    <row hidden="true" r="359">
      <c r="A359" s="66"/>
      <c r="B359" s="66" t="s">
        <v>13608</v>
      </c>
      <c r="C359" s="67" t="s">
        <v>12713</v>
      </c>
      <c r="D359" s="67" t="s">
        <v>12714</v>
      </c>
      <c r="E359" s="66" t="s">
        <v>12749</v>
      </c>
      <c r="F359" s="66" t="s">
        <v>13381</v>
      </c>
      <c r="G359" s="66" t="s">
        <v>13609</v>
      </c>
      <c r="H359" s="66" t="s">
        <v>13610</v>
      </c>
      <c r="I359" s="68">
        <v>0.9396</v>
      </c>
      <c r="J359" s="69">
        <v>0.99</v>
      </c>
      <c r="K359" s="66">
        <v>0.99</v>
      </c>
      <c r="L359" s="66">
        <v>3475.6</v>
      </c>
      <c r="M359" s="66">
        <v>3000</v>
      </c>
      <c r="N359" s="63" cm="1">
        <f t="array" ref="N359:N359">_xlfn.XLOOKUP(H359,'OA名单'!C:C,'OA名单'!B:B,1)</f>
      </c>
      <c r="O359" s="63">
        <f t="shared" si="8"/>
      </c>
      <c r="P359" s="63" cm="1">
        <f t="array" ref="P359:P359">_xlfn.XLOOKUP(N359,'OA名单'!B:B,'OA名单'!G:G)</f>
      </c>
      <c r="Q359" s="63">
        <f t="shared" si="11"/>
      </c>
      <c r="R359" s="63" cm="1">
        <f t="array" ref="R359:R359">_xlfn.XLOOKUP(B359,'OA名单'!B:B,'OA名单'!F:F)</f>
      </c>
      <c r="S359" s="63">
        <f t="shared" si="10"/>
      </c>
      <c r="T359" s="70"/>
      <c r="U359" s="63" cm="1">
        <f t="array" ref="U359:U359">_xlfn.XLOOKUP(N359,'OA名单'!B:B,'OA名单'!E:E)</f>
      </c>
      <c r="V359" s="63">
        <f t="shared" si="12"/>
      </c>
      <c r="W359" s="71"/>
      <c r="X359" s="66"/>
      <c r="Y359" s="66"/>
    </row>
    <row hidden="true" r="360">
      <c r="A360" s="66"/>
      <c r="B360" s="66" t="s">
        <v>13611</v>
      </c>
      <c r="C360" s="67" t="s">
        <v>12713</v>
      </c>
      <c r="D360" s="67" t="s">
        <v>12714</v>
      </c>
      <c r="E360" s="66" t="s">
        <v>13420</v>
      </c>
      <c r="F360" s="66" t="s">
        <v>12764</v>
      </c>
      <c r="G360" s="66" t="s">
        <v>13421</v>
      </c>
      <c r="H360" s="66" t="s">
        <v>13612</v>
      </c>
      <c r="I360" s="68">
        <v>1.000005</v>
      </c>
      <c r="J360" s="69">
        <v>0.99</v>
      </c>
      <c r="K360" s="66">
        <v>0.99</v>
      </c>
      <c r="L360" s="66">
        <v>4950</v>
      </c>
      <c r="M360" s="66">
        <v>5000</v>
      </c>
      <c r="N360" s="63" cm="1">
        <f t="array" ref="N360:N360">_xlfn.XLOOKUP(H360,'OA名单'!C:C,'OA名单'!B:B,1)</f>
      </c>
      <c r="O360" s="63">
        <f t="shared" si="8"/>
      </c>
      <c r="P360" s="63" cm="1">
        <f t="array" ref="P360:P360">_xlfn.XLOOKUP(N360,'OA名单'!B:B,'OA名单'!G:G)</f>
      </c>
      <c r="Q360" s="63">
        <f t="shared" si="11"/>
      </c>
      <c r="R360" s="63" cm="1">
        <f t="array" ref="R360:R360">_xlfn.XLOOKUP(B360,'OA名单'!B:B,'OA名单'!F:F)</f>
      </c>
      <c r="S360" s="63">
        <f t="shared" si="10"/>
      </c>
      <c r="T360" s="70"/>
      <c r="U360" s="63" cm="1">
        <f t="array" ref="U360:U360">_xlfn.XLOOKUP(N360,'OA名单'!B:B,'OA名单'!E:E)</f>
      </c>
      <c r="V360" s="63">
        <f t="shared" si="12"/>
      </c>
      <c r="W360" s="71"/>
      <c r="X360" s="66"/>
      <c r="Y360" s="66"/>
    </row>
    <row hidden="true" r="361">
      <c r="A361" s="66"/>
      <c r="B361" s="66" t="s">
        <v>13613</v>
      </c>
      <c r="C361" s="67" t="s">
        <v>12713</v>
      </c>
      <c r="D361" s="67" t="s">
        <v>12714</v>
      </c>
      <c r="E361" s="66" t="s">
        <v>13027</v>
      </c>
      <c r="F361" s="66" t="s">
        <v>13511</v>
      </c>
      <c r="G361" s="66" t="s">
        <v>13512</v>
      </c>
      <c r="H361" s="66" t="s">
        <v>13614</v>
      </c>
      <c r="I361" s="68">
        <v>0.99</v>
      </c>
      <c r="J361" s="69">
        <v>0.99</v>
      </c>
      <c r="K361" s="66">
        <v>0.99</v>
      </c>
      <c r="L361" s="66">
        <v>1188</v>
      </c>
      <c r="M361" s="66">
        <v>1200</v>
      </c>
      <c r="N361" s="63" cm="1">
        <f t="array" ref="N361:N361">_xlfn.XLOOKUP(H361,'OA名单'!C:C,'OA名单'!B:B,1)</f>
      </c>
      <c r="O361" s="63">
        <f t="shared" si="8"/>
      </c>
      <c r="P361" s="63" cm="1">
        <f t="array" ref="P361:P361">_xlfn.XLOOKUP(N361,'OA名单'!B:B,'OA名单'!G:G)</f>
      </c>
      <c r="Q361" s="63">
        <f t="shared" si="11"/>
      </c>
      <c r="R361" s="63" cm="1">
        <f t="array" ref="R361:R361">_xlfn.XLOOKUP(B361,'OA名单'!B:B,'OA名单'!F:F)</f>
      </c>
      <c r="S361" s="63">
        <f t="shared" si="10"/>
      </c>
      <c r="T361" s="70"/>
      <c r="U361" s="63" cm="1">
        <f t="array" ref="U361:U361">_xlfn.XLOOKUP(N361,'OA名单'!B:B,'OA名单'!E:E)</f>
      </c>
      <c r="V361" s="63">
        <f t="shared" si="12"/>
      </c>
      <c r="W361" s="71"/>
      <c r="X361" s="66"/>
      <c r="Y361" s="66"/>
    </row>
    <row hidden="true" r="362">
      <c r="A362" s="66"/>
      <c r="B362" s="66" t="s">
        <v>13615</v>
      </c>
      <c r="C362" s="67" t="s">
        <v>12713</v>
      </c>
      <c r="D362" s="67" t="s">
        <v>12714</v>
      </c>
      <c r="E362" s="66" t="s">
        <v>13027</v>
      </c>
      <c r="F362" s="66" t="s">
        <v>13511</v>
      </c>
      <c r="G362" s="66" t="s">
        <v>13512</v>
      </c>
      <c r="H362" s="66" t="s">
        <v>13616</v>
      </c>
      <c r="I362" s="68">
        <v>0.99</v>
      </c>
      <c r="J362" s="69">
        <v>0.99</v>
      </c>
      <c r="K362" s="66">
        <v>0.99</v>
      </c>
      <c r="L362" s="66">
        <v>1188</v>
      </c>
      <c r="M362" s="66">
        <v>1200</v>
      </c>
      <c r="N362" s="63" cm="1">
        <f t="array" ref="N362:N362">_xlfn.XLOOKUP(H362,'OA名单'!C:C,'OA名单'!B:B,1)</f>
      </c>
      <c r="O362" s="63">
        <f t="shared" si="8"/>
      </c>
      <c r="P362" s="63" cm="1">
        <f t="array" ref="P362:P362">_xlfn.XLOOKUP(N362,'OA名单'!B:B,'OA名单'!G:G)</f>
      </c>
      <c r="Q362" s="63">
        <f t="shared" si="11"/>
      </c>
      <c r="R362" s="63" cm="1">
        <f t="array" ref="R362:R362">_xlfn.XLOOKUP(B362,'OA名单'!B:B,'OA名单'!F:F)</f>
      </c>
      <c r="S362" s="63">
        <f t="shared" si="10"/>
      </c>
      <c r="T362" s="70"/>
      <c r="U362" s="63" cm="1">
        <f t="array" ref="U362:U362">_xlfn.XLOOKUP(N362,'OA名单'!B:B,'OA名单'!E:E)</f>
      </c>
      <c r="V362" s="63">
        <f t="shared" si="12"/>
      </c>
      <c r="W362" s="71"/>
      <c r="X362" s="66"/>
      <c r="Y362" s="66"/>
    </row>
    <row hidden="true" r="363">
      <c r="A363" s="66"/>
      <c r="B363" s="66" t="s">
        <v>13617</v>
      </c>
      <c r="C363" s="67" t="s">
        <v>12713</v>
      </c>
      <c r="D363" s="67" t="s">
        <v>12714</v>
      </c>
      <c r="E363" s="66" t="s">
        <v>13027</v>
      </c>
      <c r="F363" s="66" t="s">
        <v>13511</v>
      </c>
      <c r="G363" s="66" t="s">
        <v>13512</v>
      </c>
      <c r="H363" s="66" t="s">
        <v>13618</v>
      </c>
      <c r="I363" s="68">
        <v>0.99</v>
      </c>
      <c r="J363" s="69">
        <v>0.99</v>
      </c>
      <c r="K363" s="66">
        <v>0.99</v>
      </c>
      <c r="L363" s="66">
        <v>1188</v>
      </c>
      <c r="M363" s="66">
        <v>1200</v>
      </c>
      <c r="N363" s="63" cm="1">
        <f t="array" ref="N363:N363">_xlfn.XLOOKUP(H363,'OA名单'!C:C,'OA名单'!B:B,1)</f>
      </c>
      <c r="O363" s="63">
        <f t="shared" si="8"/>
      </c>
      <c r="P363" s="63" cm="1">
        <f t="array" ref="P363:P363">_xlfn.XLOOKUP(N363,'OA名单'!B:B,'OA名单'!G:G)</f>
      </c>
      <c r="Q363" s="63">
        <f t="shared" si="11"/>
      </c>
      <c r="R363" s="63" cm="1">
        <f t="array" ref="R363:R363">_xlfn.XLOOKUP(B363,'OA名单'!B:B,'OA名单'!F:F)</f>
      </c>
      <c r="S363" s="63">
        <f t="shared" si="10"/>
      </c>
      <c r="T363" s="70"/>
      <c r="U363" s="63" cm="1">
        <f t="array" ref="U363:U363">_xlfn.XLOOKUP(N363,'OA名单'!B:B,'OA名单'!E:E)</f>
      </c>
      <c r="V363" s="63">
        <f t="shared" si="12"/>
      </c>
      <c r="W363" s="71"/>
      <c r="X363" s="66"/>
      <c r="Y363" s="66"/>
    </row>
    <row hidden="true" r="364">
      <c r="A364" s="66"/>
      <c r="B364" s="66" t="s">
        <v>13619</v>
      </c>
      <c r="C364" s="67" t="s">
        <v>12713</v>
      </c>
      <c r="D364" s="67" t="s">
        <v>12714</v>
      </c>
      <c r="E364" s="66" t="s">
        <v>13027</v>
      </c>
      <c r="F364" s="66" t="s">
        <v>13511</v>
      </c>
      <c r="G364" s="66" t="s">
        <v>13512</v>
      </c>
      <c r="H364" s="66" t="s">
        <v>13620</v>
      </c>
      <c r="I364" s="68">
        <v>0.833</v>
      </c>
      <c r="J364" s="69">
        <v>0.99</v>
      </c>
      <c r="K364" s="66">
        <v>0.99</v>
      </c>
      <c r="L364" s="66">
        <v>1188</v>
      </c>
      <c r="M364" s="66">
        <v>1000</v>
      </c>
      <c r="N364" s="63" cm="1">
        <f t="array" ref="N364:N364">_xlfn.XLOOKUP(H364,'OA名单'!C:C,'OA名单'!B:B,1)</f>
      </c>
      <c r="O364" s="63">
        <f t="shared" si="8"/>
      </c>
      <c r="P364" s="63" cm="1">
        <f t="array" ref="P364:P364">_xlfn.XLOOKUP(N364,'OA名单'!B:B,'OA名单'!G:G)</f>
      </c>
      <c r="Q364" s="63">
        <f t="shared" si="11"/>
      </c>
      <c r="R364" s="63" cm="1">
        <f t="array" ref="R364:R364">_xlfn.XLOOKUP(B364,'OA名单'!B:B,'OA名单'!F:F)</f>
      </c>
      <c r="S364" s="63">
        <f t="shared" si="10"/>
      </c>
      <c r="T364" s="70"/>
      <c r="U364" s="63" cm="1">
        <f t="array" ref="U364:U364">_xlfn.XLOOKUP(N364,'OA名单'!B:B,'OA名单'!E:E)</f>
      </c>
      <c r="V364" s="63">
        <f t="shared" si="12"/>
      </c>
      <c r="W364" s="71"/>
      <c r="X364" s="66"/>
      <c r="Y364" s="66"/>
    </row>
    <row hidden="true" r="365">
      <c r="A365" s="66"/>
      <c r="B365" s="66" t="s">
        <v>13621</v>
      </c>
      <c r="C365" s="67" t="s">
        <v>12713</v>
      </c>
      <c r="D365" s="67" t="s">
        <v>12714</v>
      </c>
      <c r="E365" s="66" t="s">
        <v>13146</v>
      </c>
      <c r="F365" s="66" t="s">
        <v>13204</v>
      </c>
      <c r="G365" s="66" t="s">
        <v>13205</v>
      </c>
      <c r="H365" s="66" t="s">
        <v>13622</v>
      </c>
      <c r="I365" s="68">
        <v>1.44321</v>
      </c>
      <c r="J365" s="69">
        <v>0.99</v>
      </c>
      <c r="K365" s="66">
        <v>0.99</v>
      </c>
      <c r="L365" s="66">
        <v>2721.77</v>
      </c>
      <c r="M365" s="66">
        <v>3000</v>
      </c>
      <c r="N365" s="63" cm="1">
        <f t="array" ref="N365:N365">_xlfn.XLOOKUP(H365,'OA名单'!C:C,'OA名单'!B:B,1)</f>
      </c>
      <c r="O365" s="63">
        <f t="shared" si="8"/>
      </c>
      <c r="P365" s="63" cm="1">
        <f t="array" ref="P365:P365">_xlfn.XLOOKUP(N365,'OA名单'!B:B,'OA名单'!G:G)</f>
      </c>
      <c r="Q365" s="63">
        <f t="shared" si="11"/>
      </c>
      <c r="R365" s="63" cm="1">
        <f t="array" ref="R365:R365">_xlfn.XLOOKUP(B365,'OA名单'!B:B,'OA名单'!F:F)</f>
      </c>
      <c r="S365" s="63">
        <f t="shared" si="10"/>
      </c>
      <c r="T365" s="70"/>
      <c r="U365" s="63" cm="1">
        <f t="array" ref="U365:U365">_xlfn.XLOOKUP(N365,'OA名单'!B:B,'OA名单'!E:E)</f>
      </c>
      <c r="V365" s="63">
        <f t="shared" si="12"/>
      </c>
      <c r="W365" s="71"/>
      <c r="X365" s="66"/>
      <c r="Y365" s="66"/>
    </row>
    <row hidden="true" r="366">
      <c r="A366" s="66"/>
      <c r="B366" s="66" t="s">
        <v>13623</v>
      </c>
      <c r="C366" s="67" t="s">
        <v>12713</v>
      </c>
      <c r="D366" s="67" t="s">
        <v>12714</v>
      </c>
      <c r="E366" s="66" t="s">
        <v>12749</v>
      </c>
      <c r="F366" s="66" t="s">
        <v>13120</v>
      </c>
      <c r="G366" s="66" t="s">
        <v>12751</v>
      </c>
      <c r="H366" s="66" t="s">
        <v>13624</v>
      </c>
      <c r="I366" s="68">
        <v>0.98</v>
      </c>
      <c r="J366" s="69">
        <v>0.99</v>
      </c>
      <c r="K366" s="66">
        <v>0.99</v>
      </c>
      <c r="L366" s="66">
        <v>0</v>
      </c>
      <c r="M366" s="66">
        <v>5000</v>
      </c>
      <c r="N366" s="63" cm="1">
        <f t="array" ref="N366:N366">_xlfn.XLOOKUP(H366,'OA名单'!C:C,'OA名单'!B:B,1)</f>
      </c>
      <c r="O366" s="63">
        <f t="shared" si="8"/>
      </c>
      <c r="P366" s="63" cm="1">
        <f t="array" ref="P366:P366">_xlfn.XLOOKUP(N366,'OA名单'!B:B,'OA名单'!G:G)</f>
      </c>
      <c r="Q366" s="63">
        <f t="shared" si="11"/>
      </c>
      <c r="R366" s="63" cm="1">
        <f t="array" ref="R366:R366">_xlfn.XLOOKUP(B366,'OA名单'!B:B,'OA名单'!F:F)</f>
      </c>
      <c r="S366" s="63">
        <f t="shared" si="10"/>
      </c>
      <c r="T366" s="70"/>
      <c r="U366" s="63" cm="1">
        <f t="array" ref="U366:U366">_xlfn.XLOOKUP(N366,'OA名单'!B:B,'OA名单'!E:E)</f>
      </c>
      <c r="V366" s="63">
        <f t="shared" si="12"/>
      </c>
      <c r="W366" s="71"/>
      <c r="X366" s="66"/>
      <c r="Y366" s="66"/>
    </row>
    <row hidden="true" r="367">
      <c r="A367" s="66"/>
      <c r="B367" s="66" t="s">
        <v>13625</v>
      </c>
      <c r="C367" s="67" t="s">
        <v>12713</v>
      </c>
      <c r="D367" s="67" t="s">
        <v>12714</v>
      </c>
      <c r="E367" s="66" t="s">
        <v>12749</v>
      </c>
      <c r="F367" s="66" t="s">
        <v>13132</v>
      </c>
      <c r="G367" s="66" t="s">
        <v>13626</v>
      </c>
      <c r="H367" s="66" t="s">
        <v>13627</v>
      </c>
      <c r="I367" s="68">
        <v>0.99</v>
      </c>
      <c r="J367" s="69">
        <v>0.99</v>
      </c>
      <c r="K367" s="66">
        <v>0.99</v>
      </c>
      <c r="L367" s="66">
        <v>0</v>
      </c>
      <c r="M367" s="66">
        <v>3000</v>
      </c>
      <c r="N367" s="63" cm="1">
        <f t="array" ref="N367:N367">_xlfn.XLOOKUP(H367,'OA名单'!C:C,'OA名单'!B:B,1)</f>
      </c>
      <c r="O367" s="63">
        <f t="shared" si="8"/>
      </c>
      <c r="P367" s="63" cm="1">
        <f t="array" ref="P367:P367">_xlfn.XLOOKUP(N367,'OA名单'!B:B,'OA名单'!G:G)</f>
      </c>
      <c r="Q367" s="63">
        <f t="shared" si="11"/>
      </c>
      <c r="R367" s="63" cm="1">
        <f t="array" ref="R367:R367">_xlfn.XLOOKUP(B367,'OA名单'!B:B,'OA名单'!F:F)</f>
      </c>
      <c r="S367" s="63">
        <f t="shared" si="10"/>
      </c>
      <c r="T367" s="70"/>
      <c r="U367" s="63" cm="1">
        <f t="array" ref="U367:U367">_xlfn.XLOOKUP(N367,'OA名单'!B:B,'OA名单'!E:E)</f>
      </c>
      <c r="V367" s="63">
        <f t="shared" si="12"/>
      </c>
      <c r="W367" s="71"/>
      <c r="X367" s="66"/>
      <c r="Y367" s="66"/>
    </row>
    <row hidden="true" r="368">
      <c r="A368" s="66"/>
      <c r="B368" s="66" t="s">
        <v>13628</v>
      </c>
      <c r="C368" s="67" t="s">
        <v>12713</v>
      </c>
      <c r="D368" s="67" t="s">
        <v>12714</v>
      </c>
      <c r="E368" s="66" t="s">
        <v>12715</v>
      </c>
      <c r="F368" s="66" t="s">
        <v>13187</v>
      </c>
      <c r="G368" s="66" t="s">
        <v>13629</v>
      </c>
      <c r="H368" s="66" t="s">
        <v>13630</v>
      </c>
      <c r="I368" s="68">
        <v>0.983</v>
      </c>
      <c r="J368" s="69">
        <v>0.99</v>
      </c>
      <c r="K368" s="66">
        <v>0.99</v>
      </c>
      <c r="L368" s="66">
        <v>2339.13</v>
      </c>
      <c r="M368" s="66">
        <v>1200</v>
      </c>
      <c r="N368" s="63" cm="1">
        <f t="array" ref="N368:N368">_xlfn.XLOOKUP(H368,'OA名单'!C:C,'OA名单'!B:B,1)</f>
      </c>
      <c r="O368" s="63">
        <f t="shared" si="8"/>
      </c>
      <c r="P368" s="63" cm="1">
        <f t="array" ref="P368:P368">_xlfn.XLOOKUP(N368,'OA名单'!B:B,'OA名单'!G:G)</f>
      </c>
      <c r="Q368" s="63">
        <f t="shared" si="11"/>
      </c>
      <c r="R368" s="63" cm="1">
        <f t="array" ref="R368:R368">_xlfn.XLOOKUP(B368,'OA名单'!B:B,'OA名单'!F:F)</f>
      </c>
      <c r="S368" s="63">
        <f t="shared" si="10"/>
      </c>
      <c r="T368" s="70"/>
      <c r="U368" s="63" cm="1">
        <f t="array" ref="U368:U368">_xlfn.XLOOKUP(N368,'OA名单'!B:B,'OA名单'!E:E)</f>
      </c>
      <c r="V368" s="63">
        <f t="shared" si="12"/>
      </c>
      <c r="W368" s="71"/>
      <c r="X368" s="66"/>
      <c r="Y368" s="66"/>
    </row>
    <row hidden="true" r="369">
      <c r="A369" s="66"/>
      <c r="B369" s="66" t="s">
        <v>13631</v>
      </c>
      <c r="C369" s="67" t="s">
        <v>12713</v>
      </c>
      <c r="D369" s="67" t="s">
        <v>12714</v>
      </c>
      <c r="E369" s="66" t="s">
        <v>12956</v>
      </c>
      <c r="F369" s="66" t="s">
        <v>12957</v>
      </c>
      <c r="G369" s="66" t="s">
        <v>13537</v>
      </c>
      <c r="H369" s="66" t="s">
        <v>13632</v>
      </c>
      <c r="I369" s="68">
        <v>0.7738</v>
      </c>
      <c r="J369" s="69">
        <v>0.99</v>
      </c>
      <c r="K369" s="66">
        <v>0.99</v>
      </c>
      <c r="L369" s="66">
        <v>0</v>
      </c>
      <c r="M369" s="66">
        <v>3400</v>
      </c>
      <c r="N369" s="63" cm="1">
        <f t="array" ref="N369:N369">_xlfn.XLOOKUP(H369,'OA名单'!C:C,'OA名单'!B:B,1)</f>
      </c>
      <c r="O369" s="63">
        <f t="shared" si="8"/>
      </c>
      <c r="P369" s="63" cm="1">
        <f t="array" ref="P369:P369">_xlfn.XLOOKUP(N369,'OA名单'!B:B,'OA名单'!G:G)</f>
      </c>
      <c r="Q369" s="63">
        <f t="shared" si="11"/>
      </c>
      <c r="R369" s="63" cm="1">
        <f t="array" ref="R369:R369">_xlfn.XLOOKUP(B369,'OA名单'!B:B,'OA名单'!F:F)</f>
      </c>
      <c r="S369" s="63">
        <f t="shared" si="10"/>
      </c>
      <c r="T369" s="70"/>
      <c r="U369" s="63" cm="1">
        <f t="array" ref="U369:U369">_xlfn.XLOOKUP(N369,'OA名单'!B:B,'OA名单'!E:E)</f>
      </c>
      <c r="V369" s="63">
        <f t="shared" si="12"/>
      </c>
      <c r="W369" s="71"/>
      <c r="X369" s="66"/>
      <c r="Y369" s="66"/>
    </row>
    <row hidden="true" r="370">
      <c r="A370" s="66"/>
      <c r="B370" s="66" t="s">
        <v>13633</v>
      </c>
      <c r="C370" s="67" t="s">
        <v>12713</v>
      </c>
      <c r="D370" s="67" t="s">
        <v>12714</v>
      </c>
      <c r="E370" s="66" t="s">
        <v>13318</v>
      </c>
      <c r="F370" s="66" t="s">
        <v>13385</v>
      </c>
      <c r="G370" s="66" t="s">
        <v>13033</v>
      </c>
      <c r="H370" s="66" t="s">
        <v>13634</v>
      </c>
      <c r="I370" s="68">
        <v>0.993839</v>
      </c>
      <c r="J370" s="69">
        <v>0.99</v>
      </c>
      <c r="K370" s="66">
        <v>0.99</v>
      </c>
      <c r="L370" s="66">
        <v>4925</v>
      </c>
      <c r="M370" s="66">
        <v>5000</v>
      </c>
      <c r="N370" s="63" cm="1">
        <f t="array" ref="N370:N370">_xlfn.XLOOKUP(H370,'OA名单'!C:C,'OA名单'!B:B,1)</f>
      </c>
      <c r="O370" s="63">
        <f t="shared" si="8"/>
      </c>
      <c r="P370" s="63" cm="1">
        <f t="array" ref="P370:P370">_xlfn.XLOOKUP(N370,'OA名单'!B:B,'OA名单'!G:G)</f>
      </c>
      <c r="Q370" s="63">
        <f t="shared" si="11"/>
      </c>
      <c r="R370" s="63" cm="1">
        <f t="array" ref="R370:R370">_xlfn.XLOOKUP(B370,'OA名单'!B:B,'OA名单'!F:F)</f>
      </c>
      <c r="S370" s="63">
        <f t="shared" si="10"/>
      </c>
      <c r="T370" s="70"/>
      <c r="U370" s="63" cm="1">
        <f t="array" ref="U370:U370">_xlfn.XLOOKUP(N370,'OA名单'!B:B,'OA名单'!E:E)</f>
      </c>
      <c r="V370" s="63">
        <f t="shared" si="12"/>
      </c>
      <c r="W370" s="71"/>
      <c r="X370" s="66"/>
      <c r="Y370" s="66"/>
    </row>
    <row hidden="true" r="371">
      <c r="A371" s="66"/>
      <c r="B371" s="66" t="s">
        <v>13635</v>
      </c>
      <c r="C371" s="67" t="s">
        <v>12713</v>
      </c>
      <c r="D371" s="67" t="s">
        <v>12714</v>
      </c>
      <c r="E371" s="66" t="s">
        <v>13027</v>
      </c>
      <c r="F371" s="66" t="s">
        <v>13028</v>
      </c>
      <c r="G371" s="66" t="s">
        <v>13636</v>
      </c>
      <c r="H371" s="66" t="s">
        <v>13637</v>
      </c>
      <c r="I371" s="68">
        <v>0.93094</v>
      </c>
      <c r="J371" s="69">
        <v>0.99</v>
      </c>
      <c r="K371" s="66">
        <v>0.99</v>
      </c>
      <c r="L371" s="66">
        <v>988</v>
      </c>
      <c r="M371" s="66">
        <v>1000</v>
      </c>
      <c r="N371" s="63" cm="1">
        <f t="array" ref="N371:N371">_xlfn.XLOOKUP(H371,'OA名单'!C:C,'OA名单'!B:B,1)</f>
      </c>
      <c r="O371" s="63">
        <f t="shared" si="8"/>
      </c>
      <c r="P371" s="63" cm="1">
        <f t="array" ref="P371:P371">_xlfn.XLOOKUP(N371,'OA名单'!B:B,'OA名单'!G:G)</f>
      </c>
      <c r="Q371" s="63">
        <f t="shared" si="11"/>
      </c>
      <c r="R371" s="63" cm="1">
        <f t="array" ref="R371:R371">_xlfn.XLOOKUP(B371,'OA名单'!B:B,'OA名单'!F:F)</f>
      </c>
      <c r="S371" s="63">
        <f t="shared" si="10"/>
      </c>
      <c r="T371" s="70"/>
      <c r="U371" s="63" cm="1">
        <f t="array" ref="U371:U371">_xlfn.XLOOKUP(N371,'OA名单'!B:B,'OA名单'!E:E)</f>
      </c>
      <c r="V371" s="63">
        <f t="shared" si="12"/>
      </c>
      <c r="W371" s="71"/>
      <c r="X371" s="66"/>
      <c r="Y371" s="66"/>
    </row>
    <row hidden="true" r="372">
      <c r="A372" s="66"/>
      <c r="B372" s="66" t="s">
        <v>13638</v>
      </c>
      <c r="C372" s="67" t="s">
        <v>12713</v>
      </c>
      <c r="D372" s="67" t="s">
        <v>12714</v>
      </c>
      <c r="E372" s="66" t="s">
        <v>13097</v>
      </c>
      <c r="F372" s="66" t="s">
        <v>13098</v>
      </c>
      <c r="G372" s="66" t="s">
        <v>13639</v>
      </c>
      <c r="H372" s="66" t="s">
        <v>13640</v>
      </c>
      <c r="I372" s="68">
        <v>0.009902</v>
      </c>
      <c r="J372" s="69">
        <v>0.99</v>
      </c>
      <c r="K372" s="66">
        <v>0.99</v>
      </c>
      <c r="L372" s="66">
        <v>0</v>
      </c>
      <c r="M372" s="66">
        <v>3000</v>
      </c>
      <c r="N372" s="63" cm="1">
        <f t="array" ref="N372:N372">_xlfn.XLOOKUP(H372,'OA名单'!C:C,'OA名单'!B:B,1)</f>
      </c>
      <c r="O372" s="63">
        <f t="shared" si="8"/>
      </c>
      <c r="P372" s="63" cm="1">
        <f t="array" ref="P372:P372">_xlfn.XLOOKUP(N372,'OA名单'!B:B,'OA名单'!G:G)</f>
      </c>
      <c r="Q372" s="63">
        <f t="shared" si="11"/>
      </c>
      <c r="R372" s="63" cm="1">
        <f t="array" ref="R372:R372">_xlfn.XLOOKUP(B372,'OA名单'!B:B,'OA名单'!F:F)</f>
      </c>
      <c r="S372" s="63">
        <f t="shared" si="10"/>
      </c>
      <c r="T372" s="70"/>
      <c r="U372" s="63" cm="1">
        <f t="array" ref="U372:U372">_xlfn.XLOOKUP(N372,'OA名单'!B:B,'OA名单'!E:E)</f>
      </c>
      <c r="V372" s="63">
        <f t="shared" si="12"/>
      </c>
      <c r="W372" s="71"/>
      <c r="X372" s="66"/>
      <c r="Y372" s="66"/>
    </row>
    <row hidden="true" r="373">
      <c r="A373" s="66"/>
      <c r="B373" s="66" t="s">
        <v>13641</v>
      </c>
      <c r="C373" s="67" t="s">
        <v>12713</v>
      </c>
      <c r="D373" s="67" t="s">
        <v>12714</v>
      </c>
      <c r="E373" s="66" t="s">
        <v>12956</v>
      </c>
      <c r="F373" s="66" t="s">
        <v>13400</v>
      </c>
      <c r="G373" s="66" t="s">
        <v>13401</v>
      </c>
      <c r="H373" s="66" t="s">
        <v>13642</v>
      </c>
      <c r="I373" s="68">
        <v>0.985</v>
      </c>
      <c r="J373" s="69">
        <v>0.99</v>
      </c>
      <c r="K373" s="66">
        <v>0.99</v>
      </c>
      <c r="L373" s="66">
        <v>0</v>
      </c>
      <c r="M373" s="66">
        <v>5000</v>
      </c>
      <c r="N373" s="63" cm="1">
        <f t="array" ref="N373:N373">_xlfn.XLOOKUP(H373,'OA名单'!C:C,'OA名单'!B:B,1)</f>
      </c>
      <c r="O373" s="63">
        <f t="shared" si="8"/>
      </c>
      <c r="P373" s="63" cm="1">
        <f t="array" ref="P373:P373">_xlfn.XLOOKUP(N373,'OA名单'!B:B,'OA名单'!G:G)</f>
      </c>
      <c r="Q373" s="63">
        <f t="shared" si="11"/>
      </c>
      <c r="R373" s="63" cm="1">
        <f t="array" ref="R373:R373">_xlfn.XLOOKUP(B373,'OA名单'!B:B,'OA名单'!F:F)</f>
      </c>
      <c r="S373" s="63">
        <f t="shared" si="10"/>
      </c>
      <c r="T373" s="70"/>
      <c r="U373" s="63" cm="1">
        <f t="array" ref="U373:U373">_xlfn.XLOOKUP(N373,'OA名单'!B:B,'OA名单'!E:E)</f>
      </c>
      <c r="V373" s="63">
        <f t="shared" si="12"/>
      </c>
      <c r="W373" s="71"/>
      <c r="X373" s="66"/>
      <c r="Y373" s="66"/>
    </row>
    <row hidden="true" r="374">
      <c r="A374" s="66"/>
      <c r="B374" s="66" t="s">
        <v>13643</v>
      </c>
      <c r="C374" s="67" t="s">
        <v>12713</v>
      </c>
      <c r="D374" s="67" t="s">
        <v>12714</v>
      </c>
      <c r="E374" s="66" t="s">
        <v>13027</v>
      </c>
      <c r="F374" s="66" t="s">
        <v>13511</v>
      </c>
      <c r="G374" s="66" t="s">
        <v>13221</v>
      </c>
      <c r="H374" s="66" t="s">
        <v>13644</v>
      </c>
      <c r="I374" s="68">
        <v>0.889</v>
      </c>
      <c r="J374" s="69">
        <v>0.99</v>
      </c>
      <c r="K374" s="66">
        <v>0.99</v>
      </c>
      <c r="L374" s="66">
        <v>4950</v>
      </c>
      <c r="M374" s="66">
        <v>5000</v>
      </c>
      <c r="N374" s="63" cm="1">
        <f t="array" ref="N374:N374">_xlfn.XLOOKUP(H374,'OA名单'!C:C,'OA名单'!B:B,1)</f>
      </c>
      <c r="O374" s="63">
        <f t="shared" si="8"/>
      </c>
      <c r="P374" s="63" cm="1">
        <f t="array" ref="P374:P374">_xlfn.XLOOKUP(N374,'OA名单'!B:B,'OA名单'!G:G)</f>
      </c>
      <c r="Q374" s="63">
        <f t="shared" si="11"/>
      </c>
      <c r="R374" s="63" cm="1">
        <f t="array" ref="R374:R374">_xlfn.XLOOKUP(B374,'OA名单'!B:B,'OA名单'!F:F)</f>
      </c>
      <c r="S374" s="63">
        <f t="shared" si="10"/>
      </c>
      <c r="T374" s="70"/>
      <c r="U374" s="63" cm="1">
        <f t="array" ref="U374:U374">_xlfn.XLOOKUP(N374,'OA名单'!B:B,'OA名单'!E:E)</f>
      </c>
      <c r="V374" s="63">
        <f t="shared" si="12"/>
      </c>
      <c r="W374" s="71"/>
      <c r="X374" s="66"/>
      <c r="Y374" s="66"/>
    </row>
    <row hidden="true" r="375">
      <c r="A375" s="66"/>
      <c r="B375" s="66" t="s">
        <v>13645</v>
      </c>
      <c r="C375" s="67" t="s">
        <v>12713</v>
      </c>
      <c r="D375" s="67" t="s">
        <v>12714</v>
      </c>
      <c r="E375" s="66" t="s">
        <v>13011</v>
      </c>
      <c r="F375" s="66" t="s">
        <v>13042</v>
      </c>
      <c r="G375" s="66" t="s">
        <v>13043</v>
      </c>
      <c r="H375" s="66" t="s">
        <v>13646</v>
      </c>
      <c r="I375" s="68">
        <v>0.70567</v>
      </c>
      <c r="J375" s="69">
        <v>0.99</v>
      </c>
      <c r="K375" s="66">
        <v>0.99</v>
      </c>
      <c r="L375" s="66">
        <v>960.32</v>
      </c>
      <c r="M375" s="66">
        <v>2000</v>
      </c>
      <c r="N375" s="63" cm="1">
        <f t="array" ref="N375:N375">_xlfn.XLOOKUP(H375,'OA名单'!C:C,'OA名单'!B:B,1)</f>
      </c>
      <c r="O375" s="63">
        <f t="shared" si="8"/>
      </c>
      <c r="P375" s="63" cm="1">
        <f t="array" ref="P375:P375">_xlfn.XLOOKUP(N375,'OA名单'!B:B,'OA名单'!G:G)</f>
      </c>
      <c r="Q375" s="63">
        <f t="shared" si="11"/>
      </c>
      <c r="R375" s="63" cm="1">
        <f t="array" ref="R375:R375">_xlfn.XLOOKUP(B375,'OA名单'!B:B,'OA名单'!F:F)</f>
      </c>
      <c r="S375" s="63">
        <f t="shared" si="10"/>
      </c>
      <c r="T375" s="70"/>
      <c r="U375" s="63" cm="1">
        <f t="array" ref="U375:U375">_xlfn.XLOOKUP(N375,'OA名单'!B:B,'OA名单'!E:E)</f>
      </c>
      <c r="V375" s="63">
        <f t="shared" si="12"/>
      </c>
      <c r="W375" s="71"/>
      <c r="X375" s="66"/>
      <c r="Y375" s="66"/>
    </row>
    <row hidden="true" r="376">
      <c r="A376" s="66"/>
      <c r="B376" s="66" t="s">
        <v>13647</v>
      </c>
      <c r="C376" s="67" t="s">
        <v>12713</v>
      </c>
      <c r="D376" s="67" t="s">
        <v>12714</v>
      </c>
      <c r="E376" s="66" t="s">
        <v>12749</v>
      </c>
      <c r="F376" s="66" t="s">
        <v>13381</v>
      </c>
      <c r="G376" s="66" t="s">
        <v>13609</v>
      </c>
      <c r="H376" s="66" t="s">
        <v>13648</v>
      </c>
      <c r="I376" s="68">
        <v>0.972</v>
      </c>
      <c r="J376" s="69">
        <v>0.98</v>
      </c>
      <c r="K376" s="66">
        <v>0.98</v>
      </c>
      <c r="L376" s="66">
        <v>3058.9</v>
      </c>
      <c r="M376" s="66">
        <v>3000</v>
      </c>
      <c r="N376" s="63" cm="1">
        <f t="array" ref="N376:N376">_xlfn.XLOOKUP(H376,'OA名单'!C:C,'OA名单'!B:B,1)</f>
      </c>
      <c r="O376" s="63">
        <f t="shared" si="8"/>
      </c>
      <c r="P376" s="63" cm="1">
        <f t="array" ref="P376:P376">_xlfn.XLOOKUP(N376,'OA名单'!B:B,'OA名单'!G:G)</f>
      </c>
      <c r="Q376" s="63">
        <f t="shared" si="11"/>
      </c>
      <c r="R376" s="63" cm="1">
        <f t="array" ref="R376:R376">_xlfn.XLOOKUP(B376,'OA名单'!B:B,'OA名单'!F:F)</f>
      </c>
      <c r="S376" s="63">
        <f t="shared" si="10"/>
      </c>
      <c r="T376" s="70"/>
      <c r="U376" s="63" cm="1">
        <f t="array" ref="U376:U376">_xlfn.XLOOKUP(N376,'OA名单'!B:B,'OA名单'!E:E)</f>
      </c>
      <c r="V376" s="63">
        <f t="shared" si="12"/>
      </c>
      <c r="W376" s="71"/>
      <c r="X376" s="66"/>
      <c r="Y376" s="66"/>
    </row>
    <row hidden="true" r="377">
      <c r="A377" s="66"/>
      <c r="B377" s="66" t="s">
        <v>13649</v>
      </c>
      <c r="C377" s="67" t="s">
        <v>12713</v>
      </c>
      <c r="D377" s="67" t="s">
        <v>12714</v>
      </c>
      <c r="E377" s="66" t="s">
        <v>12936</v>
      </c>
      <c r="F377" s="66" t="s">
        <v>12937</v>
      </c>
      <c r="G377" s="66" t="s">
        <v>12938</v>
      </c>
      <c r="H377" s="66" t="s">
        <v>13650</v>
      </c>
      <c r="I377" s="68">
        <v>0.9825</v>
      </c>
      <c r="J377" s="69">
        <v>0.98</v>
      </c>
      <c r="K377" s="66">
        <v>0.98</v>
      </c>
      <c r="L377" s="66">
        <v>1482.2</v>
      </c>
      <c r="M377" s="66">
        <v>1500</v>
      </c>
      <c r="N377" s="63" cm="1">
        <f t="array" ref="N377:N377">_xlfn.XLOOKUP(H377,'OA名单'!C:C,'OA名单'!B:B,1)</f>
      </c>
      <c r="O377" s="63">
        <f t="shared" si="8"/>
      </c>
      <c r="P377" s="63" cm="1">
        <f t="array" ref="P377:P377">_xlfn.XLOOKUP(N377,'OA名单'!B:B,'OA名单'!G:G)</f>
      </c>
      <c r="Q377" s="63">
        <f t="shared" si="11"/>
      </c>
      <c r="R377" s="63" cm="1">
        <f t="array" ref="R377:R377">_xlfn.XLOOKUP(B377,'OA名单'!B:B,'OA名单'!F:F)</f>
      </c>
      <c r="S377" s="63">
        <f t="shared" si="10"/>
      </c>
      <c r="T377" s="70"/>
      <c r="U377" s="63" cm="1">
        <f t="array" ref="U377:U377">_xlfn.XLOOKUP(N377,'OA名单'!B:B,'OA名单'!E:E)</f>
      </c>
      <c r="V377" s="63">
        <f t="shared" si="12"/>
      </c>
      <c r="W377" s="71"/>
      <c r="X377" s="66"/>
      <c r="Y377" s="66"/>
    </row>
    <row hidden="true" r="378">
      <c r="A378" s="66"/>
      <c r="B378" s="66" t="s">
        <v>13651</v>
      </c>
      <c r="C378" s="67" t="s">
        <v>12713</v>
      </c>
      <c r="D378" s="67" t="s">
        <v>12714</v>
      </c>
      <c r="E378" s="66" t="s">
        <v>13146</v>
      </c>
      <c r="F378" s="66" t="s">
        <v>13147</v>
      </c>
      <c r="G378" s="66" t="s">
        <v>13294</v>
      </c>
      <c r="H378" s="66" t="s">
        <v>13652</v>
      </c>
      <c r="I378" s="68">
        <v>0.98</v>
      </c>
      <c r="J378" s="69">
        <v>0.98</v>
      </c>
      <c r="K378" s="66">
        <v>0.98</v>
      </c>
      <c r="L378" s="66">
        <v>3549.3</v>
      </c>
      <c r="M378" s="66">
        <v>3000</v>
      </c>
      <c r="N378" s="63" cm="1">
        <f t="array" ref="N378:N378">_xlfn.XLOOKUP(H378,'OA名单'!C:C,'OA名单'!B:B,1)</f>
      </c>
      <c r="O378" s="63">
        <f t="shared" si="8"/>
      </c>
      <c r="P378" s="63" cm="1">
        <f t="array" ref="P378:P378">_xlfn.XLOOKUP(N378,'OA名单'!B:B,'OA名单'!G:G)</f>
      </c>
      <c r="Q378" s="63">
        <f t="shared" si="11"/>
      </c>
      <c r="R378" s="63" cm="1">
        <f t="array" ref="R378:R378">_xlfn.XLOOKUP(B378,'OA名单'!B:B,'OA名单'!F:F)</f>
      </c>
      <c r="S378" s="63">
        <f t="shared" si="10"/>
      </c>
      <c r="T378" s="70"/>
      <c r="U378" s="63" cm="1">
        <f t="array" ref="U378:U378">_xlfn.XLOOKUP(N378,'OA名单'!B:B,'OA名单'!E:E)</f>
      </c>
      <c r="V378" s="63">
        <f t="shared" si="12"/>
      </c>
      <c r="W378" s="71"/>
      <c r="X378" s="66"/>
      <c r="Y378" s="66"/>
    </row>
    <row hidden="true" r="379">
      <c r="A379" s="66"/>
      <c r="B379" s="66" t="s">
        <v>13653</v>
      </c>
      <c r="C379" s="67" t="s">
        <v>12713</v>
      </c>
      <c r="D379" s="67" t="s">
        <v>12714</v>
      </c>
      <c r="E379" s="66" t="s">
        <v>13177</v>
      </c>
      <c r="F379" s="66" t="s">
        <v>13307</v>
      </c>
      <c r="G379" s="66" t="s">
        <v>13179</v>
      </c>
      <c r="H379" s="66" t="s">
        <v>13654</v>
      </c>
      <c r="I379" s="68">
        <v>1.00633</v>
      </c>
      <c r="J379" s="69">
        <v>0.98</v>
      </c>
      <c r="K379" s="66">
        <v>0.98</v>
      </c>
      <c r="L379" s="66">
        <v>6919.87</v>
      </c>
      <c r="M379" s="66">
        <v>6000</v>
      </c>
      <c r="N379" s="63" cm="1">
        <f t="array" ref="N379:N379">_xlfn.XLOOKUP(H379,'OA名单'!C:C,'OA名单'!B:B,1)</f>
      </c>
      <c r="O379" s="63">
        <f t="shared" si="8"/>
      </c>
      <c r="P379" s="63" cm="1">
        <f t="array" ref="P379:P379">_xlfn.XLOOKUP(N379,'OA名单'!B:B,'OA名单'!G:G)</f>
      </c>
      <c r="Q379" s="63">
        <f t="shared" si="11"/>
      </c>
      <c r="R379" s="63" cm="1">
        <f t="array" ref="R379:R379">_xlfn.XLOOKUP(B379,'OA名单'!B:B,'OA名单'!F:F)</f>
      </c>
      <c r="S379" s="63">
        <f t="shared" si="10"/>
      </c>
      <c r="T379" s="70"/>
      <c r="U379" s="63" cm="1">
        <f t="array" ref="U379:U379">_xlfn.XLOOKUP(N379,'OA名单'!B:B,'OA名单'!E:E)</f>
      </c>
      <c r="V379" s="63">
        <f t="shared" si="12"/>
      </c>
      <c r="W379" s="71"/>
      <c r="X379" s="66"/>
      <c r="Y379" s="66"/>
    </row>
    <row hidden="true" r="380">
      <c r="A380" s="66"/>
      <c r="B380" s="66" t="s">
        <v>13655</v>
      </c>
      <c r="C380" s="67" t="s">
        <v>12713</v>
      </c>
      <c r="D380" s="67" t="s">
        <v>12714</v>
      </c>
      <c r="E380" s="66" t="s">
        <v>13177</v>
      </c>
      <c r="F380" s="66" t="s">
        <v>13656</v>
      </c>
      <c r="G380" s="66" t="s">
        <v>13179</v>
      </c>
      <c r="H380" s="66" t="s">
        <v>13657</v>
      </c>
      <c r="I380" s="68">
        <v>1.6965</v>
      </c>
      <c r="J380" s="69">
        <v>0.98</v>
      </c>
      <c r="K380" s="66">
        <v>0.98</v>
      </c>
      <c r="L380" s="66">
        <v>6218.98</v>
      </c>
      <c r="M380" s="66">
        <v>6000</v>
      </c>
      <c r="N380" s="63" cm="1">
        <f t="array" ref="N380:N380">_xlfn.XLOOKUP(H380,'OA名单'!C:C,'OA名单'!B:B,1)</f>
      </c>
      <c r="O380" s="63">
        <f t="shared" si="8"/>
      </c>
      <c r="P380" s="63" cm="1">
        <f t="array" ref="P380:P380">_xlfn.XLOOKUP(N380,'OA名单'!B:B,'OA名单'!G:G)</f>
      </c>
      <c r="Q380" s="63">
        <f t="shared" si="11"/>
      </c>
      <c r="R380" s="63" cm="1">
        <f t="array" ref="R380:R380">_xlfn.XLOOKUP(B380,'OA名单'!B:B,'OA名单'!F:F)</f>
      </c>
      <c r="S380" s="63">
        <f t="shared" si="10"/>
      </c>
      <c r="T380" s="70"/>
      <c r="U380" s="63" cm="1">
        <f t="array" ref="U380:U380">_xlfn.XLOOKUP(N380,'OA名单'!B:B,'OA名单'!E:E)</f>
      </c>
      <c r="V380" s="63">
        <f t="shared" si="12"/>
      </c>
      <c r="W380" s="71"/>
      <c r="X380" s="66"/>
      <c r="Y380" s="66"/>
    </row>
    <row hidden="true" r="381">
      <c r="A381" s="66"/>
      <c r="B381" s="66" t="s">
        <v>13658</v>
      </c>
      <c r="C381" s="67" t="s">
        <v>12713</v>
      </c>
      <c r="D381" s="67" t="s">
        <v>12714</v>
      </c>
      <c r="E381" s="66" t="s">
        <v>12715</v>
      </c>
      <c r="F381" s="66" t="s">
        <v>13214</v>
      </c>
      <c r="G381" s="66" t="s">
        <v>13079</v>
      </c>
      <c r="H381" s="66" t="s">
        <v>13659</v>
      </c>
      <c r="I381" s="68">
        <v>0.928158</v>
      </c>
      <c r="J381" s="69">
        <v>0.98</v>
      </c>
      <c r="K381" s="66">
        <v>0.98</v>
      </c>
      <c r="L381" s="66">
        <v>8000</v>
      </c>
      <c r="M381" s="66">
        <v>5000</v>
      </c>
      <c r="N381" s="63" cm="1">
        <f t="array" ref="N381:N381">_xlfn.XLOOKUP(H381,'OA名单'!C:C,'OA名单'!B:B,1)</f>
      </c>
      <c r="O381" s="63">
        <f t="shared" si="8"/>
      </c>
      <c r="P381" s="63" cm="1">
        <f t="array" ref="P381:P381">_xlfn.XLOOKUP(N381,'OA名单'!B:B,'OA名单'!G:G)</f>
      </c>
      <c r="Q381" s="63">
        <f t="shared" si="11"/>
      </c>
      <c r="R381" s="63" cm="1">
        <f t="array" ref="R381:R381">_xlfn.XLOOKUP(B381,'OA名单'!B:B,'OA名单'!F:F)</f>
      </c>
      <c r="S381" s="63">
        <f t="shared" si="10"/>
      </c>
      <c r="T381" s="70"/>
      <c r="U381" s="63" cm="1">
        <f t="array" ref="U381:U381">_xlfn.XLOOKUP(N381,'OA名单'!B:B,'OA名单'!E:E)</f>
      </c>
      <c r="V381" s="63">
        <f t="shared" si="12"/>
      </c>
      <c r="W381" s="71"/>
      <c r="X381" s="66"/>
      <c r="Y381" s="66"/>
    </row>
    <row hidden="true" r="382">
      <c r="A382" s="66"/>
      <c r="B382" s="66" t="s">
        <v>13660</v>
      </c>
      <c r="C382" s="67" t="s">
        <v>12713</v>
      </c>
      <c r="D382" s="67" t="s">
        <v>12714</v>
      </c>
      <c r="E382" s="66" t="s">
        <v>13146</v>
      </c>
      <c r="F382" s="66" t="s">
        <v>13484</v>
      </c>
      <c r="G382" s="66" t="s">
        <v>13661</v>
      </c>
      <c r="H382" s="66" t="s">
        <v>13662</v>
      </c>
      <c r="I382" s="68">
        <v>0.9825</v>
      </c>
      <c r="J382" s="69">
        <v>0.98</v>
      </c>
      <c r="K382" s="66">
        <v>0.98</v>
      </c>
      <c r="L382" s="66">
        <v>4694.68</v>
      </c>
      <c r="M382" s="66">
        <v>4500</v>
      </c>
      <c r="N382" s="63" cm="1">
        <f t="array" ref="N382:N382">_xlfn.XLOOKUP(H382,'OA名单'!C:C,'OA名单'!B:B,1)</f>
      </c>
      <c r="O382" s="63">
        <f t="shared" si="8"/>
      </c>
      <c r="P382" s="63" cm="1">
        <f t="array" ref="P382:P382">_xlfn.XLOOKUP(N382,'OA名单'!B:B,'OA名单'!G:G)</f>
      </c>
      <c r="Q382" s="63">
        <f t="shared" si="11"/>
      </c>
      <c r="R382" s="63" cm="1">
        <f t="array" ref="R382:R382">_xlfn.XLOOKUP(B382,'OA名单'!B:B,'OA名单'!F:F)</f>
      </c>
      <c r="S382" s="63">
        <f t="shared" si="10"/>
      </c>
      <c r="T382" s="70"/>
      <c r="U382" s="63" cm="1">
        <f t="array" ref="U382:U382">_xlfn.XLOOKUP(N382,'OA名单'!B:B,'OA名单'!E:E)</f>
      </c>
      <c r="V382" s="63">
        <f t="shared" si="12"/>
      </c>
      <c r="W382" s="71"/>
      <c r="X382" s="66"/>
      <c r="Y382" s="66"/>
    </row>
    <row hidden="true" r="383">
      <c r="A383" s="66"/>
      <c r="B383" s="66" t="s">
        <v>13663</v>
      </c>
      <c r="C383" s="67" t="s">
        <v>12713</v>
      </c>
      <c r="D383" s="67" t="s">
        <v>12714</v>
      </c>
      <c r="E383" s="66" t="s">
        <v>13027</v>
      </c>
      <c r="F383" s="66" t="s">
        <v>13076</v>
      </c>
      <c r="G383" s="66" t="s">
        <v>13221</v>
      </c>
      <c r="H383" s="66" t="s">
        <v>13664</v>
      </c>
      <c r="I383" s="68">
        <v>1.100201</v>
      </c>
      <c r="J383" s="69">
        <v>0.98</v>
      </c>
      <c r="K383" s="66">
        <v>0.98</v>
      </c>
      <c r="L383" s="66">
        <v>7000</v>
      </c>
      <c r="M383" s="66">
        <v>5000</v>
      </c>
      <c r="N383" s="63" cm="1">
        <f t="array" ref="N383:N383">_xlfn.XLOOKUP(H383,'OA名单'!C:C,'OA名单'!B:B,1)</f>
      </c>
      <c r="O383" s="63">
        <f t="shared" si="8"/>
      </c>
      <c r="P383" s="63" cm="1">
        <f t="array" ref="P383:P383">_xlfn.XLOOKUP(N383,'OA名单'!B:B,'OA名单'!G:G)</f>
      </c>
      <c r="Q383" s="63">
        <f t="shared" si="11"/>
      </c>
      <c r="R383" s="63" cm="1">
        <f t="array" ref="R383:R383">_xlfn.XLOOKUP(B383,'OA名单'!B:B,'OA名单'!F:F)</f>
      </c>
      <c r="S383" s="63">
        <f t="shared" si="10"/>
      </c>
      <c r="T383" s="70"/>
      <c r="U383" s="63" cm="1">
        <f t="array" ref="U383:U383">_xlfn.XLOOKUP(N383,'OA名单'!B:B,'OA名单'!E:E)</f>
      </c>
      <c r="V383" s="63">
        <f t="shared" si="12"/>
      </c>
      <c r="W383" s="71"/>
      <c r="X383" s="66"/>
      <c r="Y383" s="66"/>
    </row>
    <row hidden="true" r="384">
      <c r="A384" s="66"/>
      <c r="B384" s="66" t="s">
        <v>13665</v>
      </c>
      <c r="C384" s="67" t="s">
        <v>12713</v>
      </c>
      <c r="D384" s="67" t="s">
        <v>12714</v>
      </c>
      <c r="E384" s="66" t="s">
        <v>12749</v>
      </c>
      <c r="F384" s="66" t="s">
        <v>13132</v>
      </c>
      <c r="G384" s="66" t="s">
        <v>13626</v>
      </c>
      <c r="H384" s="66" t="s">
        <v>13666</v>
      </c>
      <c r="I384" s="68">
        <v>0.98</v>
      </c>
      <c r="J384" s="69">
        <v>0.98</v>
      </c>
      <c r="K384" s="66">
        <v>0.98</v>
      </c>
      <c r="L384" s="66">
        <v>3717.39</v>
      </c>
      <c r="M384" s="66">
        <v>3000</v>
      </c>
      <c r="N384" s="63" cm="1">
        <f t="array" ref="N384:N384">_xlfn.XLOOKUP(H384,'OA名单'!C:C,'OA名单'!B:B,1)</f>
      </c>
      <c r="O384" s="63">
        <f t="shared" si="8"/>
      </c>
      <c r="P384" s="63" cm="1">
        <f t="array" ref="P384:P384">_xlfn.XLOOKUP(N384,'OA名单'!B:B,'OA名单'!G:G)</f>
      </c>
      <c r="Q384" s="63">
        <f t="shared" si="11"/>
      </c>
      <c r="R384" s="63" cm="1">
        <f t="array" ref="R384:R384">_xlfn.XLOOKUP(B384,'OA名单'!B:B,'OA名单'!F:F)</f>
      </c>
      <c r="S384" s="63">
        <f t="shared" si="10"/>
      </c>
      <c r="T384" s="70"/>
      <c r="U384" s="63" cm="1">
        <f t="array" ref="U384:U384">_xlfn.XLOOKUP(N384,'OA名单'!B:B,'OA名单'!E:E)</f>
      </c>
      <c r="V384" s="63">
        <f t="shared" si="12"/>
      </c>
      <c r="W384" s="71"/>
      <c r="X384" s="66"/>
      <c r="Y384" s="66"/>
    </row>
    <row hidden="true" r="385">
      <c r="A385" s="66"/>
      <c r="B385" s="66" t="s">
        <v>13667</v>
      </c>
      <c r="C385" s="67" t="s">
        <v>12713</v>
      </c>
      <c r="D385" s="67" t="s">
        <v>12714</v>
      </c>
      <c r="E385" s="66" t="s">
        <v>13277</v>
      </c>
      <c r="F385" s="66" t="s">
        <v>13278</v>
      </c>
      <c r="G385" s="66" t="s">
        <v>13279</v>
      </c>
      <c r="H385" s="66" t="s">
        <v>13668</v>
      </c>
      <c r="I385" s="68">
        <v>0.975</v>
      </c>
      <c r="J385" s="69">
        <v>0.98</v>
      </c>
      <c r="K385" s="66">
        <v>0.98</v>
      </c>
      <c r="L385" s="66">
        <v>0</v>
      </c>
      <c r="M385" s="66">
        <v>3000</v>
      </c>
      <c r="N385" s="63" cm="1">
        <f t="array" ref="N385:N385">_xlfn.XLOOKUP(H385,'OA名单'!C:C,'OA名单'!B:B,1)</f>
      </c>
      <c r="O385" s="63">
        <f t="shared" si="8"/>
      </c>
      <c r="P385" s="63" cm="1">
        <f t="array" ref="P385:P385">_xlfn.XLOOKUP(N385,'OA名单'!B:B,'OA名单'!G:G)</f>
      </c>
      <c r="Q385" s="63">
        <f t="shared" si="11"/>
      </c>
      <c r="R385" s="63" cm="1">
        <f t="array" ref="R385:R385">_xlfn.XLOOKUP(B385,'OA名单'!B:B,'OA名单'!F:F)</f>
      </c>
      <c r="S385" s="63">
        <f t="shared" si="10"/>
      </c>
      <c r="T385" s="70"/>
      <c r="U385" s="63" cm="1">
        <f t="array" ref="U385:U385">_xlfn.XLOOKUP(N385,'OA名单'!B:B,'OA名单'!E:E)</f>
      </c>
      <c r="V385" s="63">
        <f t="shared" si="12"/>
      </c>
      <c r="W385" s="71"/>
      <c r="X385" s="66"/>
      <c r="Y385" s="66"/>
    </row>
    <row hidden="true" r="386">
      <c r="A386" s="66"/>
      <c r="B386" s="66" t="s">
        <v>13669</v>
      </c>
      <c r="C386" s="67" t="s">
        <v>12713</v>
      </c>
      <c r="D386" s="67" t="s">
        <v>12714</v>
      </c>
      <c r="E386" s="66" t="s">
        <v>12956</v>
      </c>
      <c r="F386" s="66" t="s">
        <v>12957</v>
      </c>
      <c r="G386" s="66" t="s">
        <v>13401</v>
      </c>
      <c r="H386" s="66" t="s">
        <v>13670</v>
      </c>
      <c r="I386" s="68">
        <v>0.98</v>
      </c>
      <c r="J386" s="69">
        <v>0.98</v>
      </c>
      <c r="K386" s="66">
        <v>0.98</v>
      </c>
      <c r="L386" s="66">
        <v>3800</v>
      </c>
      <c r="M386" s="66">
        <v>3800</v>
      </c>
      <c r="N386" s="63" cm="1">
        <f t="array" ref="N386:N386">_xlfn.XLOOKUP(H386,'OA名单'!C:C,'OA名单'!B:B,1)</f>
      </c>
      <c r="O386" s="63">
        <f t="shared" si="8"/>
      </c>
      <c r="P386" s="63" cm="1">
        <f t="array" ref="P386:P386">_xlfn.XLOOKUP(N386,'OA名单'!B:B,'OA名单'!G:G)</f>
      </c>
      <c r="Q386" s="63">
        <f t="shared" si="11"/>
      </c>
      <c r="R386" s="63" cm="1">
        <f t="array" ref="R386:R386">_xlfn.XLOOKUP(B386,'OA名单'!B:B,'OA名单'!F:F)</f>
      </c>
      <c r="S386" s="63">
        <f t="shared" si="10"/>
      </c>
      <c r="T386" s="70"/>
      <c r="U386" s="63" cm="1">
        <f t="array" ref="U386:U386">_xlfn.XLOOKUP(N386,'OA名单'!B:B,'OA名单'!E:E)</f>
      </c>
      <c r="V386" s="63">
        <f t="shared" si="12"/>
      </c>
      <c r="W386" s="71"/>
      <c r="X386" s="66"/>
      <c r="Y386" s="66"/>
    </row>
    <row hidden="true" r="387">
      <c r="A387" s="66"/>
      <c r="B387" s="66" t="s">
        <v>13671</v>
      </c>
      <c r="C387" s="67" t="s">
        <v>12713</v>
      </c>
      <c r="D387" s="67" t="s">
        <v>12714</v>
      </c>
      <c r="E387" s="66" t="s">
        <v>12956</v>
      </c>
      <c r="F387" s="66" t="s">
        <v>12957</v>
      </c>
      <c r="G387" s="66" t="s">
        <v>13401</v>
      </c>
      <c r="H387" s="66" t="s">
        <v>13672</v>
      </c>
      <c r="I387" s="68">
        <v>0.98</v>
      </c>
      <c r="J387" s="69">
        <v>0.98</v>
      </c>
      <c r="K387" s="66">
        <v>0.98</v>
      </c>
      <c r="L387" s="66">
        <v>5000</v>
      </c>
      <c r="M387" s="66">
        <v>5000</v>
      </c>
      <c r="N387" s="63" cm="1">
        <f t="array" ref="N387:N387">_xlfn.XLOOKUP(H387,'OA名单'!C:C,'OA名单'!B:B,1)</f>
      </c>
      <c r="O387" s="63">
        <f t="shared" si="8"/>
      </c>
      <c r="P387" s="63" cm="1">
        <f t="array" ref="P387:P387">_xlfn.XLOOKUP(N387,'OA名单'!B:B,'OA名单'!G:G)</f>
      </c>
      <c r="Q387" s="63">
        <f t="shared" si="11"/>
      </c>
      <c r="R387" s="63" cm="1">
        <f t="array" ref="R387:R387">_xlfn.XLOOKUP(B387,'OA名单'!B:B,'OA名单'!F:F)</f>
      </c>
      <c r="S387" s="63">
        <f t="shared" si="10"/>
      </c>
      <c r="T387" s="70"/>
      <c r="U387" s="63" cm="1">
        <f t="array" ref="U387:U387">_xlfn.XLOOKUP(N387,'OA名单'!B:B,'OA名单'!E:E)</f>
      </c>
      <c r="V387" s="63">
        <f t="shared" si="12"/>
      </c>
      <c r="W387" s="71"/>
      <c r="X387" s="66"/>
      <c r="Y387" s="66"/>
    </row>
    <row hidden="true" r="388">
      <c r="A388" s="66"/>
      <c r="B388" s="66" t="s">
        <v>13673</v>
      </c>
      <c r="C388" s="67" t="s">
        <v>12713</v>
      </c>
      <c r="D388" s="67" t="s">
        <v>12714</v>
      </c>
      <c r="E388" s="66" t="s">
        <v>12956</v>
      </c>
      <c r="F388" s="66" t="s">
        <v>12957</v>
      </c>
      <c r="G388" s="66" t="s">
        <v>13401</v>
      </c>
      <c r="H388" s="66" t="s">
        <v>13674</v>
      </c>
      <c r="I388" s="68">
        <v>0.98</v>
      </c>
      <c r="J388" s="69">
        <v>0.98</v>
      </c>
      <c r="K388" s="66">
        <v>0.98</v>
      </c>
      <c r="L388" s="66">
        <v>5000</v>
      </c>
      <c r="M388" s="66">
        <v>5000</v>
      </c>
      <c r="N388" s="63" cm="1">
        <f t="array" ref="N388:N388">_xlfn.XLOOKUP(H388,'OA名单'!C:C,'OA名单'!B:B,1)</f>
      </c>
      <c r="O388" s="63">
        <f t="shared" si="8"/>
      </c>
      <c r="P388" s="63" cm="1">
        <f t="array" ref="P388:P388">_xlfn.XLOOKUP(N388,'OA名单'!B:B,'OA名单'!G:G)</f>
      </c>
      <c r="Q388" s="63">
        <f t="shared" si="11"/>
      </c>
      <c r="R388" s="63" cm="1">
        <f t="array" ref="R388:R388">_xlfn.XLOOKUP(B388,'OA名单'!B:B,'OA名单'!F:F)</f>
      </c>
      <c r="S388" s="63">
        <f t="shared" si="10"/>
      </c>
      <c r="T388" s="70"/>
      <c r="U388" s="63" cm="1">
        <f t="array" ref="U388:U388">_xlfn.XLOOKUP(N388,'OA名单'!B:B,'OA名单'!E:E)</f>
      </c>
      <c r="V388" s="63">
        <f t="shared" si="12"/>
      </c>
      <c r="W388" s="71"/>
      <c r="X388" s="66"/>
      <c r="Y388" s="66"/>
    </row>
    <row hidden="true" r="389">
      <c r="A389" s="66"/>
      <c r="B389" s="66" t="s">
        <v>13675</v>
      </c>
      <c r="C389" s="67" t="s">
        <v>12713</v>
      </c>
      <c r="D389" s="67" t="s">
        <v>12714</v>
      </c>
      <c r="E389" s="66" t="s">
        <v>12956</v>
      </c>
      <c r="F389" s="66" t="s">
        <v>12957</v>
      </c>
      <c r="G389" s="66" t="s">
        <v>12751</v>
      </c>
      <c r="H389" s="66" t="s">
        <v>13676</v>
      </c>
      <c r="I389" s="68">
        <v>0.98</v>
      </c>
      <c r="J389" s="69">
        <v>0.98</v>
      </c>
      <c r="K389" s="66">
        <v>0.98</v>
      </c>
      <c r="L389" s="66">
        <v>5000</v>
      </c>
      <c r="M389" s="66">
        <v>5000</v>
      </c>
      <c r="N389" s="63" cm="1">
        <f t="array" ref="N389:N389">_xlfn.XLOOKUP(H389,'OA名单'!C:C,'OA名单'!B:B,1)</f>
      </c>
      <c r="O389" s="63">
        <f t="shared" si="8"/>
      </c>
      <c r="P389" s="63" cm="1">
        <f t="array" ref="P389:P389">_xlfn.XLOOKUP(N389,'OA名单'!B:B,'OA名单'!G:G)</f>
      </c>
      <c r="Q389" s="63">
        <f t="shared" si="11"/>
      </c>
      <c r="R389" s="63" cm="1">
        <f t="array" ref="R389:R389">_xlfn.XLOOKUP(B389,'OA名单'!B:B,'OA名单'!F:F)</f>
      </c>
      <c r="S389" s="63">
        <f t="shared" si="10"/>
      </c>
      <c r="T389" s="70"/>
      <c r="U389" s="63" cm="1">
        <f t="array" ref="U389:U389">_xlfn.XLOOKUP(N389,'OA名单'!B:B,'OA名单'!E:E)</f>
      </c>
      <c r="V389" s="63">
        <f t="shared" si="12"/>
      </c>
      <c r="W389" s="71"/>
      <c r="X389" s="66"/>
      <c r="Y389" s="66"/>
    </row>
    <row hidden="true" r="390">
      <c r="A390" s="66"/>
      <c r="B390" s="66" t="s">
        <v>13677</v>
      </c>
      <c r="C390" s="67" t="s">
        <v>12713</v>
      </c>
      <c r="D390" s="67" t="s">
        <v>12714</v>
      </c>
      <c r="E390" s="66" t="s">
        <v>12956</v>
      </c>
      <c r="F390" s="66" t="s">
        <v>12957</v>
      </c>
      <c r="G390" s="66" t="s">
        <v>13401</v>
      </c>
      <c r="H390" s="66" t="s">
        <v>13678</v>
      </c>
      <c r="I390" s="68">
        <v>0.98</v>
      </c>
      <c r="J390" s="69">
        <v>0.98</v>
      </c>
      <c r="K390" s="66">
        <v>0.98</v>
      </c>
      <c r="L390" s="66">
        <v>5000</v>
      </c>
      <c r="M390" s="66">
        <v>5000</v>
      </c>
      <c r="N390" s="63" cm="1">
        <f t="array" ref="N390:N390">_xlfn.XLOOKUP(H390,'OA名单'!C:C,'OA名单'!B:B,1)</f>
      </c>
      <c r="O390" s="63">
        <f t="shared" si="8"/>
      </c>
      <c r="P390" s="63" cm="1">
        <f t="array" ref="P390:P390">_xlfn.XLOOKUP(N390,'OA名单'!B:B,'OA名单'!G:G)</f>
      </c>
      <c r="Q390" s="63">
        <f t="shared" si="11"/>
      </c>
      <c r="R390" s="63" cm="1">
        <f t="array" ref="R390:R390">_xlfn.XLOOKUP(B390,'OA名单'!B:B,'OA名单'!F:F)</f>
      </c>
      <c r="S390" s="63">
        <f t="shared" si="10"/>
      </c>
      <c r="T390" s="70"/>
      <c r="U390" s="63" cm="1">
        <f t="array" ref="U390:U390">_xlfn.XLOOKUP(N390,'OA名单'!B:B,'OA名单'!E:E)</f>
      </c>
      <c r="V390" s="63">
        <f t="shared" si="12"/>
      </c>
      <c r="W390" s="71"/>
      <c r="X390" s="66"/>
      <c r="Y390" s="66"/>
    </row>
    <row hidden="true" r="391">
      <c r="A391" s="66"/>
      <c r="B391" s="66" t="s">
        <v>13679</v>
      </c>
      <c r="C391" s="67" t="s">
        <v>12713</v>
      </c>
      <c r="D391" s="67" t="s">
        <v>12714</v>
      </c>
      <c r="E391" s="66" t="s">
        <v>12956</v>
      </c>
      <c r="F391" s="66" t="s">
        <v>12957</v>
      </c>
      <c r="G391" s="66" t="s">
        <v>12751</v>
      </c>
      <c r="H391" s="66" t="s">
        <v>13680</v>
      </c>
      <c r="I391" s="68">
        <v>0.94</v>
      </c>
      <c r="J391" s="69">
        <v>0.98</v>
      </c>
      <c r="K391" s="66">
        <v>0.98</v>
      </c>
      <c r="L391" s="66">
        <v>0</v>
      </c>
      <c r="M391" s="66">
        <v>5000</v>
      </c>
      <c r="N391" s="63" cm="1">
        <f t="array" ref="N391:N391">_xlfn.XLOOKUP(H391,'OA名单'!C:C,'OA名单'!B:B,1)</f>
      </c>
      <c r="O391" s="63">
        <f t="shared" si="8"/>
      </c>
      <c r="P391" s="63" cm="1">
        <f t="array" ref="P391:P391">_xlfn.XLOOKUP(N391,'OA名单'!B:B,'OA名单'!G:G)</f>
      </c>
      <c r="Q391" s="63">
        <f t="shared" si="11"/>
      </c>
      <c r="R391" s="63" cm="1">
        <f t="array" ref="R391:R391">_xlfn.XLOOKUP(B391,'OA名单'!B:B,'OA名单'!F:F)</f>
      </c>
      <c r="S391" s="63">
        <f t="shared" si="10"/>
      </c>
      <c r="T391" s="70"/>
      <c r="U391" s="63" cm="1">
        <f t="array" ref="U391:U391">_xlfn.XLOOKUP(N391,'OA名单'!B:B,'OA名单'!E:E)</f>
      </c>
      <c r="V391" s="63">
        <f t="shared" si="12"/>
      </c>
      <c r="W391" s="71"/>
      <c r="X391" s="66"/>
      <c r="Y391" s="66"/>
    </row>
    <row hidden="true" r="392">
      <c r="A392" s="66"/>
      <c r="B392" s="66" t="s">
        <v>13681</v>
      </c>
      <c r="C392" s="67" t="s">
        <v>12713</v>
      </c>
      <c r="D392" s="67" t="s">
        <v>12714</v>
      </c>
      <c r="E392" s="66" t="s">
        <v>13318</v>
      </c>
      <c r="F392" s="66" t="s">
        <v>13319</v>
      </c>
      <c r="G392" s="66" t="s">
        <v>13682</v>
      </c>
      <c r="H392" s="66" t="s">
        <v>13683</v>
      </c>
      <c r="I392" s="68">
        <v>0.97676</v>
      </c>
      <c r="J392" s="69">
        <v>0.98</v>
      </c>
      <c r="K392" s="66">
        <v>0.98</v>
      </c>
      <c r="L392" s="66">
        <v>4877</v>
      </c>
      <c r="M392" s="66">
        <v>5000</v>
      </c>
      <c r="N392" s="63" cm="1">
        <f t="array" ref="N392:N392">_xlfn.XLOOKUP(H392,'OA名单'!C:C,'OA名单'!B:B,1)</f>
      </c>
      <c r="O392" s="63">
        <f t="shared" si="8"/>
      </c>
      <c r="P392" s="63" cm="1">
        <f t="array" ref="P392:P392">_xlfn.XLOOKUP(N392,'OA名单'!B:B,'OA名单'!G:G)</f>
      </c>
      <c r="Q392" s="63">
        <f t="shared" si="11"/>
      </c>
      <c r="R392" s="63" cm="1">
        <f t="array" ref="R392:R392">_xlfn.XLOOKUP(B392,'OA名单'!B:B,'OA名单'!F:F)</f>
      </c>
      <c r="S392" s="63">
        <f t="shared" si="10"/>
      </c>
      <c r="T392" s="70"/>
      <c r="U392" s="63" cm="1">
        <f t="array" ref="U392:U392">_xlfn.XLOOKUP(N392,'OA名单'!B:B,'OA名单'!E:E)</f>
      </c>
      <c r="V392" s="63">
        <f t="shared" si="12"/>
      </c>
      <c r="W392" s="71"/>
      <c r="X392" s="66"/>
      <c r="Y392" s="66"/>
    </row>
    <row hidden="true" r="393">
      <c r="A393" s="66"/>
      <c r="B393" s="66" t="s">
        <v>13684</v>
      </c>
      <c r="C393" s="67" t="s">
        <v>12713</v>
      </c>
      <c r="D393" s="67" t="s">
        <v>12714</v>
      </c>
      <c r="E393" s="66" t="s">
        <v>13027</v>
      </c>
      <c r="F393" s="66" t="s">
        <v>13028</v>
      </c>
      <c r="G393" s="66" t="s">
        <v>13636</v>
      </c>
      <c r="H393" s="66" t="s">
        <v>13685</v>
      </c>
      <c r="I393" s="68">
        <v>0.93343</v>
      </c>
      <c r="J393" s="69">
        <v>0.98</v>
      </c>
      <c r="K393" s="66">
        <v>0.98</v>
      </c>
      <c r="L393" s="66">
        <v>983</v>
      </c>
      <c r="M393" s="66">
        <v>1000</v>
      </c>
      <c r="N393" s="63" cm="1">
        <f t="array" ref="N393:N393">_xlfn.XLOOKUP(H393,'OA名单'!C:C,'OA名单'!B:B,1)</f>
      </c>
      <c r="O393" s="63">
        <f t="shared" si="8"/>
      </c>
      <c r="P393" s="63" cm="1">
        <f t="array" ref="P393:P393">_xlfn.XLOOKUP(N393,'OA名单'!B:B,'OA名单'!G:G)</f>
      </c>
      <c r="Q393" s="63">
        <f t="shared" si="11"/>
      </c>
      <c r="R393" s="63" cm="1">
        <f t="array" ref="R393:R393">_xlfn.XLOOKUP(B393,'OA名单'!B:B,'OA名单'!F:F)</f>
      </c>
      <c r="S393" s="63">
        <f t="shared" si="10"/>
      </c>
      <c r="T393" s="70"/>
      <c r="U393" s="63" cm="1">
        <f t="array" ref="U393:U393">_xlfn.XLOOKUP(N393,'OA名单'!B:B,'OA名单'!E:E)</f>
      </c>
      <c r="V393" s="63">
        <f t="shared" si="12"/>
      </c>
      <c r="W393" s="71"/>
      <c r="X393" s="66"/>
      <c r="Y393" s="66"/>
    </row>
    <row hidden="true" r="394">
      <c r="A394" s="66"/>
      <c r="B394" s="66" t="s">
        <v>13686</v>
      </c>
      <c r="C394" s="67" t="s">
        <v>12713</v>
      </c>
      <c r="D394" s="67" t="s">
        <v>12714</v>
      </c>
      <c r="E394" s="66" t="s">
        <v>12956</v>
      </c>
      <c r="F394" s="66" t="s">
        <v>13264</v>
      </c>
      <c r="G394" s="66" t="s">
        <v>13537</v>
      </c>
      <c r="H394" s="66" t="s">
        <v>13687</v>
      </c>
      <c r="I394" s="68">
        <v>0.98</v>
      </c>
      <c r="J394" s="69">
        <v>0.98</v>
      </c>
      <c r="K394" s="66">
        <v>0.98</v>
      </c>
      <c r="L394" s="66">
        <v>2868.75</v>
      </c>
      <c r="M394" s="66">
        <v>3400</v>
      </c>
      <c r="N394" s="63" cm="1">
        <f t="array" ref="N394:N394">_xlfn.XLOOKUP(H394,'OA名单'!C:C,'OA名单'!B:B,1)</f>
      </c>
      <c r="O394" s="63">
        <f t="shared" si="8"/>
      </c>
      <c r="P394" s="63" cm="1">
        <f t="array" ref="P394:P394">_xlfn.XLOOKUP(N394,'OA名单'!B:B,'OA名单'!G:G)</f>
      </c>
      <c r="Q394" s="63">
        <f t="shared" si="11"/>
      </c>
      <c r="R394" s="63" cm="1">
        <f t="array" ref="R394:R394">_xlfn.XLOOKUP(B394,'OA名单'!B:B,'OA名单'!F:F)</f>
      </c>
      <c r="S394" s="63">
        <f t="shared" si="10"/>
      </c>
      <c r="T394" s="70"/>
      <c r="U394" s="63" cm="1">
        <f t="array" ref="U394:U394">_xlfn.XLOOKUP(N394,'OA名单'!B:B,'OA名单'!E:E)</f>
      </c>
      <c r="V394" s="63">
        <f t="shared" si="12"/>
      </c>
      <c r="W394" s="71"/>
      <c r="X394" s="66"/>
      <c r="Y394" s="66"/>
    </row>
    <row hidden="true" r="395">
      <c r="A395" s="66"/>
      <c r="B395" s="66" t="s">
        <v>13688</v>
      </c>
      <c r="C395" s="67" t="s">
        <v>12713</v>
      </c>
      <c r="D395" s="67" t="s">
        <v>12714</v>
      </c>
      <c r="E395" s="66" t="s">
        <v>12956</v>
      </c>
      <c r="F395" s="66" t="s">
        <v>13598</v>
      </c>
      <c r="G395" s="66" t="s">
        <v>13401</v>
      </c>
      <c r="H395" s="66" t="s">
        <v>13689</v>
      </c>
      <c r="I395" s="68">
        <v>0.975</v>
      </c>
      <c r="J395" s="69">
        <v>0.98</v>
      </c>
      <c r="K395" s="66">
        <v>0.98</v>
      </c>
      <c r="L395" s="66">
        <v>5388</v>
      </c>
      <c r="M395" s="66">
        <v>5000</v>
      </c>
      <c r="N395" s="63" cm="1">
        <f t="array" ref="N395:N395">_xlfn.XLOOKUP(H395,'OA名单'!C:C,'OA名单'!B:B,1)</f>
      </c>
      <c r="O395" s="63">
        <f t="shared" si="8"/>
      </c>
      <c r="P395" s="63" cm="1">
        <f t="array" ref="P395:P395">_xlfn.XLOOKUP(N395,'OA名单'!B:B,'OA名单'!G:G)</f>
      </c>
      <c r="Q395" s="63">
        <f t="shared" si="11"/>
      </c>
      <c r="R395" s="63" cm="1">
        <f t="array" ref="R395:R395">_xlfn.XLOOKUP(B395,'OA名单'!B:B,'OA名单'!F:F)</f>
      </c>
      <c r="S395" s="63">
        <f t="shared" si="10"/>
      </c>
      <c r="T395" s="70"/>
      <c r="U395" s="63" cm="1">
        <f t="array" ref="U395:U395">_xlfn.XLOOKUP(N395,'OA名单'!B:B,'OA名单'!E:E)</f>
      </c>
      <c r="V395" s="63">
        <f t="shared" si="12"/>
      </c>
      <c r="W395" s="71"/>
      <c r="X395" s="66"/>
      <c r="Y395" s="66"/>
    </row>
    <row hidden="true" r="396">
      <c r="A396" s="66"/>
      <c r="B396" s="66" t="s">
        <v>13690</v>
      </c>
      <c r="C396" s="67" t="s">
        <v>12713</v>
      </c>
      <c r="D396" s="67" t="s">
        <v>12714</v>
      </c>
      <c r="E396" s="66" t="s">
        <v>13277</v>
      </c>
      <c r="F396" s="66" t="s">
        <v>13691</v>
      </c>
      <c r="G396" s="66" t="s">
        <v>13692</v>
      </c>
      <c r="H396" s="66" t="s">
        <v>13693</v>
      </c>
      <c r="I396" s="68">
        <v>0.0098</v>
      </c>
      <c r="J396" s="69">
        <v>0.98</v>
      </c>
      <c r="K396" s="66">
        <v>0.98</v>
      </c>
      <c r="L396" s="66">
        <v>3159.98</v>
      </c>
      <c r="M396" s="66">
        <v>2500</v>
      </c>
      <c r="N396" s="63" cm="1">
        <f t="array" ref="N396:N396">_xlfn.XLOOKUP(H396,'OA名单'!C:C,'OA名单'!B:B,1)</f>
      </c>
      <c r="O396" s="63">
        <f t="shared" si="8"/>
      </c>
      <c r="P396" s="63" cm="1">
        <f t="array" ref="P396:P396">_xlfn.XLOOKUP(N396,'OA名单'!B:B,'OA名单'!G:G)</f>
      </c>
      <c r="Q396" s="63">
        <f t="shared" si="11"/>
      </c>
      <c r="R396" s="63" cm="1">
        <f t="array" ref="R396:R396">_xlfn.XLOOKUP(B396,'OA名单'!B:B,'OA名单'!F:F)</f>
      </c>
      <c r="S396" s="63">
        <f t="shared" si="10"/>
      </c>
      <c r="T396" s="70"/>
      <c r="U396" s="63" cm="1">
        <f t="array" ref="U396:U396">_xlfn.XLOOKUP(N396,'OA名单'!B:B,'OA名单'!E:E)</f>
      </c>
      <c r="V396" s="63">
        <f t="shared" si="12"/>
      </c>
      <c r="W396" s="71"/>
      <c r="X396" s="66"/>
      <c r="Y396" s="66"/>
    </row>
    <row hidden="true" r="397">
      <c r="A397" s="66"/>
      <c r="B397" s="66" t="s">
        <v>13694</v>
      </c>
      <c r="C397" s="67" t="s">
        <v>12713</v>
      </c>
      <c r="D397" s="67" t="s">
        <v>12714</v>
      </c>
      <c r="E397" s="66" t="s">
        <v>12749</v>
      </c>
      <c r="F397" s="66" t="s">
        <v>13157</v>
      </c>
      <c r="G397" s="66" t="s">
        <v>13158</v>
      </c>
      <c r="H397" s="66" t="s">
        <v>13695</v>
      </c>
      <c r="I397" s="68">
        <v>0.99195</v>
      </c>
      <c r="J397" s="69">
        <v>0.97</v>
      </c>
      <c r="K397" s="66">
        <v>0.97</v>
      </c>
      <c r="L397" s="66">
        <v>2511.63</v>
      </c>
      <c r="M397" s="66">
        <v>3000</v>
      </c>
      <c r="N397" s="63" cm="1">
        <f t="array" ref="N397:N397">_xlfn.XLOOKUP(H397,'OA名单'!C:C,'OA名单'!B:B,1)</f>
      </c>
      <c r="O397" s="63">
        <f t="shared" si="8"/>
      </c>
      <c r="P397" s="63" cm="1">
        <f t="array" ref="P397:P397">_xlfn.XLOOKUP(N397,'OA名单'!B:B,'OA名单'!G:G)</f>
      </c>
      <c r="Q397" s="63">
        <f t="shared" si="11"/>
      </c>
      <c r="R397" s="63" cm="1">
        <f t="array" ref="R397:R397">_xlfn.XLOOKUP(B397,'OA名单'!B:B,'OA名单'!F:F)</f>
      </c>
      <c r="S397" s="63">
        <f t="shared" si="10"/>
      </c>
      <c r="T397" s="70"/>
      <c r="U397" s="63" cm="1">
        <f t="array" ref="U397:U397">_xlfn.XLOOKUP(N397,'OA名单'!B:B,'OA名单'!E:E)</f>
      </c>
      <c r="V397" s="63">
        <f t="shared" si="12"/>
      </c>
      <c r="W397" s="71"/>
      <c r="X397" s="66"/>
      <c r="Y397" s="66"/>
    </row>
    <row hidden="true" r="398">
      <c r="A398" s="66"/>
      <c r="B398" s="66" t="s">
        <v>13696</v>
      </c>
      <c r="C398" s="67" t="s">
        <v>12713</v>
      </c>
      <c r="D398" s="67" t="s">
        <v>12714</v>
      </c>
      <c r="E398" s="66" t="s">
        <v>13016</v>
      </c>
      <c r="F398" s="66" t="s">
        <v>13436</v>
      </c>
      <c r="G398" s="66" t="s">
        <v>13437</v>
      </c>
      <c r="H398" s="66" t="s">
        <v>13697</v>
      </c>
      <c r="I398" s="68">
        <v>0.97</v>
      </c>
      <c r="J398" s="69">
        <v>0.97</v>
      </c>
      <c r="K398" s="66">
        <v>0.97</v>
      </c>
      <c r="L398" s="66">
        <v>2716</v>
      </c>
      <c r="M398" s="66">
        <v>3500</v>
      </c>
      <c r="N398" s="63" cm="1">
        <f t="array" ref="N398:N398">_xlfn.XLOOKUP(H398,'OA名单'!C:C,'OA名单'!B:B,1)</f>
      </c>
      <c r="O398" s="63">
        <f t="shared" si="8"/>
      </c>
      <c r="P398" s="63" cm="1">
        <f t="array" ref="P398:P398">_xlfn.XLOOKUP(N398,'OA名单'!B:B,'OA名单'!G:G)</f>
      </c>
      <c r="Q398" s="63">
        <f t="shared" si="11"/>
      </c>
      <c r="R398" s="63" cm="1">
        <f t="array" ref="R398:R398">_xlfn.XLOOKUP(B398,'OA名单'!B:B,'OA名单'!F:F)</f>
      </c>
      <c r="S398" s="63">
        <f t="shared" si="10"/>
      </c>
      <c r="T398" s="70"/>
      <c r="U398" s="63" cm="1">
        <f t="array" ref="U398:U398">_xlfn.XLOOKUP(N398,'OA名单'!B:B,'OA名单'!E:E)</f>
      </c>
      <c r="V398" s="63">
        <f t="shared" si="12"/>
      </c>
      <c r="W398" s="71"/>
      <c r="X398" s="66"/>
      <c r="Y398" s="66"/>
    </row>
    <row hidden="true" r="399">
      <c r="A399" s="66"/>
      <c r="B399" s="66" t="s">
        <v>13698</v>
      </c>
      <c r="C399" s="67" t="s">
        <v>12713</v>
      </c>
      <c r="D399" s="67" t="s">
        <v>12714</v>
      </c>
      <c r="E399" s="66" t="s">
        <v>13027</v>
      </c>
      <c r="F399" s="66" t="s">
        <v>13054</v>
      </c>
      <c r="G399" s="66" t="s">
        <v>12751</v>
      </c>
      <c r="H399" s="66" t="s">
        <v>13699</v>
      </c>
      <c r="I399" s="68">
        <v>1.620468</v>
      </c>
      <c r="J399" s="69">
        <v>0.97</v>
      </c>
      <c r="K399" s="66">
        <v>0.97</v>
      </c>
      <c r="L399" s="66">
        <v>7068.27</v>
      </c>
      <c r="M399" s="66">
        <v>5000</v>
      </c>
      <c r="N399" s="63" cm="1">
        <f t="array" ref="N399:N399">_xlfn.XLOOKUP(H399,'OA名单'!C:C,'OA名单'!B:B,1)</f>
      </c>
      <c r="O399" s="63">
        <f t="shared" si="8"/>
      </c>
      <c r="P399" s="63" cm="1">
        <f t="array" ref="P399:P399">_xlfn.XLOOKUP(N399,'OA名单'!B:B,'OA名单'!G:G)</f>
      </c>
      <c r="Q399" s="63">
        <f t="shared" si="11"/>
      </c>
      <c r="R399" s="63" cm="1">
        <f t="array" ref="R399:R399">_xlfn.XLOOKUP(B399,'OA名单'!B:B,'OA名单'!F:F)</f>
      </c>
      <c r="S399" s="63">
        <f t="shared" si="10"/>
      </c>
      <c r="T399" s="70"/>
      <c r="U399" s="63" cm="1">
        <f t="array" ref="U399:U399">_xlfn.XLOOKUP(N399,'OA名单'!B:B,'OA名单'!E:E)</f>
      </c>
      <c r="V399" s="63">
        <f t="shared" si="12"/>
      </c>
      <c r="W399" s="71"/>
      <c r="X399" s="66"/>
      <c r="Y399" s="66"/>
    </row>
    <row hidden="true" r="400">
      <c r="A400" s="66"/>
      <c r="B400" s="66" t="s">
        <v>13700</v>
      </c>
      <c r="C400" s="67" t="s">
        <v>12713</v>
      </c>
      <c r="D400" s="67" t="s">
        <v>12714</v>
      </c>
      <c r="E400" s="66" t="s">
        <v>13027</v>
      </c>
      <c r="F400" s="66" t="s">
        <v>13511</v>
      </c>
      <c r="G400" s="66" t="s">
        <v>13512</v>
      </c>
      <c r="H400" s="66" t="s">
        <v>13701</v>
      </c>
      <c r="I400" s="68">
        <v>0.87395</v>
      </c>
      <c r="J400" s="69">
        <v>0.97</v>
      </c>
      <c r="K400" s="66">
        <v>0.97</v>
      </c>
      <c r="L400" s="66">
        <v>1164</v>
      </c>
      <c r="M400" s="66">
        <v>1200</v>
      </c>
      <c r="N400" s="63" cm="1">
        <f t="array" ref="N400:N400">_xlfn.XLOOKUP(H400,'OA名单'!C:C,'OA名单'!B:B,1)</f>
      </c>
      <c r="O400" s="63">
        <f t="shared" si="8"/>
      </c>
      <c r="P400" s="63" cm="1">
        <f t="array" ref="P400:P400">_xlfn.XLOOKUP(N400,'OA名单'!B:B,'OA名单'!G:G)</f>
      </c>
      <c r="Q400" s="63">
        <f t="shared" si="11"/>
      </c>
      <c r="R400" s="63" cm="1">
        <f t="array" ref="R400:R400">_xlfn.XLOOKUP(B400,'OA名单'!B:B,'OA名单'!F:F)</f>
      </c>
      <c r="S400" s="63">
        <f t="shared" si="10"/>
      </c>
      <c r="T400" s="70"/>
      <c r="U400" s="63" cm="1">
        <f t="array" ref="U400:U400">_xlfn.XLOOKUP(N400,'OA名单'!B:B,'OA名单'!E:E)</f>
      </c>
      <c r="V400" s="63">
        <f t="shared" si="12"/>
      </c>
      <c r="W400" s="71"/>
      <c r="X400" s="66"/>
      <c r="Y400" s="66"/>
    </row>
    <row hidden="true" r="401">
      <c r="A401" s="66"/>
      <c r="B401" s="66" t="s">
        <v>13702</v>
      </c>
      <c r="C401" s="67" t="s">
        <v>12713</v>
      </c>
      <c r="D401" s="67" t="s">
        <v>12714</v>
      </c>
      <c r="E401" s="66" t="s">
        <v>13016</v>
      </c>
      <c r="F401" s="66" t="s">
        <v>13404</v>
      </c>
      <c r="G401" s="66" t="s">
        <v>13124</v>
      </c>
      <c r="H401" s="66" t="s">
        <v>13703</v>
      </c>
      <c r="I401" s="68">
        <v>0.9774</v>
      </c>
      <c r="J401" s="69">
        <v>0.97</v>
      </c>
      <c r="K401" s="66">
        <v>0.97</v>
      </c>
      <c r="L401" s="66">
        <v>2910</v>
      </c>
      <c r="M401" s="66">
        <v>5000</v>
      </c>
      <c r="N401" s="63" cm="1">
        <f t="array" ref="N401:N401">_xlfn.XLOOKUP(H401,'OA名单'!C:C,'OA名单'!B:B,1)</f>
      </c>
      <c r="O401" s="63">
        <f t="shared" si="8"/>
      </c>
      <c r="P401" s="63" cm="1">
        <f t="array" ref="P401:P401">_xlfn.XLOOKUP(N401,'OA名单'!B:B,'OA名单'!G:G)</f>
      </c>
      <c r="Q401" s="63">
        <f t="shared" si="11"/>
      </c>
      <c r="R401" s="63" cm="1">
        <f t="array" ref="R401:R401">_xlfn.XLOOKUP(B401,'OA名单'!B:B,'OA名单'!F:F)</f>
      </c>
      <c r="S401" s="63">
        <f t="shared" si="10"/>
      </c>
      <c r="T401" s="70"/>
      <c r="U401" s="63" cm="1">
        <f t="array" ref="U401:U401">_xlfn.XLOOKUP(N401,'OA名单'!B:B,'OA名单'!E:E)</f>
      </c>
      <c r="V401" s="63">
        <f t="shared" si="12"/>
      </c>
      <c r="W401" s="71"/>
      <c r="X401" s="66"/>
      <c r="Y401" s="66"/>
    </row>
    <row hidden="true" r="402">
      <c r="A402" s="66"/>
      <c r="B402" s="66" t="s">
        <v>13704</v>
      </c>
      <c r="C402" s="67" t="s">
        <v>12713</v>
      </c>
      <c r="D402" s="67" t="s">
        <v>12714</v>
      </c>
      <c r="E402" s="66" t="s">
        <v>13277</v>
      </c>
      <c r="F402" s="66" t="s">
        <v>13278</v>
      </c>
      <c r="G402" s="66" t="s">
        <v>13279</v>
      </c>
      <c r="H402" s="66" t="s">
        <v>13705</v>
      </c>
      <c r="I402" s="68">
        <v>0.97435</v>
      </c>
      <c r="J402" s="69">
        <v>0.97</v>
      </c>
      <c r="K402" s="66">
        <v>0.97</v>
      </c>
      <c r="L402" s="66">
        <v>3384.62</v>
      </c>
      <c r="M402" s="66">
        <v>3000</v>
      </c>
      <c r="N402" s="63" cm="1">
        <f t="array" ref="N402:N402">_xlfn.XLOOKUP(H402,'OA名单'!C:C,'OA名单'!B:B,1)</f>
      </c>
      <c r="O402" s="63">
        <f t="shared" si="8"/>
      </c>
      <c r="P402" s="63" cm="1">
        <f t="array" ref="P402:P402">_xlfn.XLOOKUP(N402,'OA名单'!B:B,'OA名单'!G:G)</f>
      </c>
      <c r="Q402" s="63">
        <f t="shared" si="11"/>
      </c>
      <c r="R402" s="63" cm="1">
        <f t="array" ref="R402:R402">_xlfn.XLOOKUP(B402,'OA名单'!B:B,'OA名单'!F:F)</f>
      </c>
      <c r="S402" s="63">
        <f t="shared" si="10"/>
      </c>
      <c r="T402" s="70"/>
      <c r="U402" s="63" cm="1">
        <f t="array" ref="U402:U402">_xlfn.XLOOKUP(N402,'OA名单'!B:B,'OA名单'!E:E)</f>
      </c>
      <c r="V402" s="63">
        <f t="shared" si="12"/>
      </c>
      <c r="W402" s="71"/>
      <c r="X402" s="66"/>
      <c r="Y402" s="66"/>
    </row>
    <row hidden="true" r="403">
      <c r="A403" s="66"/>
      <c r="B403" s="66" t="s">
        <v>13706</v>
      </c>
      <c r="C403" s="67" t="s">
        <v>12713</v>
      </c>
      <c r="D403" s="67" t="s">
        <v>12714</v>
      </c>
      <c r="E403" s="66" t="s">
        <v>13097</v>
      </c>
      <c r="F403" s="67" t="s">
        <v>13130</v>
      </c>
      <c r="G403" s="66" t="s">
        <v>13067</v>
      </c>
      <c r="H403" s="66" t="s">
        <v>13707</v>
      </c>
      <c r="I403" s="68">
        <v>0.888</v>
      </c>
      <c r="J403" s="69">
        <v>0.97</v>
      </c>
      <c r="K403" s="66">
        <v>0.97</v>
      </c>
      <c r="L403" s="66">
        <v>2780</v>
      </c>
      <c r="M403" s="66">
        <v>3000</v>
      </c>
      <c r="N403" s="63" cm="1">
        <f t="array" ref="N403:N403">_xlfn.XLOOKUP(H403,'OA名单'!C:C,'OA名单'!B:B,1)</f>
      </c>
      <c r="O403" s="63">
        <f t="shared" si="8"/>
      </c>
      <c r="P403" s="63" cm="1">
        <f t="array" ref="P403:P403">_xlfn.XLOOKUP(N403,'OA名单'!B:B,'OA名单'!G:G)</f>
      </c>
      <c r="Q403" s="63">
        <f t="shared" si="11"/>
      </c>
      <c r="R403" s="63" cm="1">
        <f t="array" ref="R403:R403">_xlfn.XLOOKUP(B403,'OA名单'!B:B,'OA名单'!F:F)</f>
      </c>
      <c r="S403" s="63">
        <f t="shared" si="10"/>
      </c>
      <c r="T403" s="64" cm="1">
        <f t="array" ref="T403:T403">_xlfn.XLOOKUP(B403,'系统-原始（副本）'!A:A,'系统-原始（副本）'!B:B)</f>
      </c>
      <c r="U403" s="63" cm="1">
        <f t="array" ref="U403:U403">_xlfn.XLOOKUP(N403,'OA名单'!B:B,'OA名单'!E:E)</f>
      </c>
      <c r="V403" s="63">
        <f t="shared" si="12"/>
      </c>
      <c r="W403" s="71"/>
      <c r="X403" s="66"/>
      <c r="Y403" s="66"/>
    </row>
    <row hidden="true" r="404">
      <c r="A404" s="66"/>
      <c r="B404" s="66" t="s">
        <v>13708</v>
      </c>
      <c r="C404" s="67" t="s">
        <v>12713</v>
      </c>
      <c r="D404" s="67" t="s">
        <v>12714</v>
      </c>
      <c r="E404" s="66" t="s">
        <v>13016</v>
      </c>
      <c r="F404" s="66" t="s">
        <v>13404</v>
      </c>
      <c r="G404" s="66" t="s">
        <v>13288</v>
      </c>
      <c r="H404" s="66" t="s">
        <v>13709</v>
      </c>
      <c r="I404" s="68">
        <v>0.96485</v>
      </c>
      <c r="J404" s="69">
        <v>0.97</v>
      </c>
      <c r="K404" s="66">
        <v>0.97</v>
      </c>
      <c r="L404" s="66">
        <v>1891.4</v>
      </c>
      <c r="M404" s="66">
        <v>2800</v>
      </c>
      <c r="N404" s="63" cm="1">
        <f t="array" ref="N404:N404">_xlfn.XLOOKUP(H404,'OA名单'!C:C,'OA名单'!B:B,1)</f>
      </c>
      <c r="O404" s="63">
        <f t="shared" si="8"/>
      </c>
      <c r="P404" s="63" cm="1">
        <f t="array" ref="P404:P404">_xlfn.XLOOKUP(N404,'OA名单'!B:B,'OA名单'!G:G)</f>
      </c>
      <c r="Q404" s="63">
        <f t="shared" si="11"/>
      </c>
      <c r="R404" s="63" cm="1">
        <f t="array" ref="R404:R404">_xlfn.XLOOKUP(B404,'OA名单'!B:B,'OA名单'!F:F)</f>
      </c>
      <c r="S404" s="63">
        <f t="shared" si="10"/>
      </c>
      <c r="T404" s="70"/>
      <c r="U404" s="63" cm="1">
        <f t="array" ref="U404:U404">_xlfn.XLOOKUP(N404,'OA名单'!B:B,'OA名单'!E:E)</f>
      </c>
      <c r="V404" s="63">
        <f t="shared" si="12"/>
      </c>
      <c r="W404" s="71"/>
      <c r="X404" s="66"/>
      <c r="Y404" s="66"/>
    </row>
    <row hidden="true" r="405">
      <c r="A405" s="66"/>
      <c r="B405" s="66" t="s">
        <v>13710</v>
      </c>
      <c r="C405" s="67" t="s">
        <v>12713</v>
      </c>
      <c r="D405" s="67" t="s">
        <v>12714</v>
      </c>
      <c r="E405" s="66" t="s">
        <v>12715</v>
      </c>
      <c r="F405" s="66" t="s">
        <v>12716</v>
      </c>
      <c r="G405" s="66" t="s">
        <v>12888</v>
      </c>
      <c r="H405" s="66" t="s">
        <v>13711</v>
      </c>
      <c r="I405" s="68">
        <v>0.968</v>
      </c>
      <c r="J405" s="69">
        <v>0.97</v>
      </c>
      <c r="K405" s="66">
        <v>0.97</v>
      </c>
      <c r="L405" s="66">
        <v>2425</v>
      </c>
      <c r="M405" s="66">
        <v>2500</v>
      </c>
      <c r="N405" s="63" cm="1">
        <f t="array" ref="N405:N405">_xlfn.XLOOKUP(H405,'OA名单'!C:C,'OA名单'!B:B,1)</f>
      </c>
      <c r="O405" s="63">
        <f t="shared" si="8"/>
      </c>
      <c r="P405" s="63" cm="1">
        <f t="array" ref="P405:P405">_xlfn.XLOOKUP(N405,'OA名单'!B:B,'OA名单'!G:G)</f>
      </c>
      <c r="Q405" s="63">
        <f t="shared" si="11"/>
      </c>
      <c r="R405" s="63" cm="1">
        <f t="array" ref="R405:R405">_xlfn.XLOOKUP(B405,'OA名单'!B:B,'OA名单'!F:F)</f>
      </c>
      <c r="S405" s="63">
        <f t="shared" si="10"/>
      </c>
      <c r="T405" s="70"/>
      <c r="U405" s="63" cm="1">
        <f t="array" ref="U405:U405">_xlfn.XLOOKUP(N405,'OA名单'!B:B,'OA名单'!E:E)</f>
      </c>
      <c r="V405" s="63">
        <f t="shared" si="12"/>
      </c>
      <c r="W405" s="71"/>
      <c r="X405" s="66"/>
      <c r="Y405" s="66"/>
    </row>
    <row hidden="true" r="406">
      <c r="A406" s="66"/>
      <c r="B406" s="66" t="s">
        <v>13712</v>
      </c>
      <c r="C406" s="67" t="s">
        <v>12713</v>
      </c>
      <c r="D406" s="67" t="s">
        <v>12714</v>
      </c>
      <c r="E406" s="66" t="s">
        <v>12956</v>
      </c>
      <c r="F406" s="66" t="s">
        <v>13598</v>
      </c>
      <c r="G406" s="66" t="s">
        <v>12751</v>
      </c>
      <c r="H406" s="66" t="s">
        <v>13713</v>
      </c>
      <c r="I406" s="68">
        <v>0.973</v>
      </c>
      <c r="J406" s="69">
        <v>0.97</v>
      </c>
      <c r="K406" s="66">
        <v>0.97</v>
      </c>
      <c r="L406" s="66">
        <v>0</v>
      </c>
      <c r="M406" s="66">
        <v>5000</v>
      </c>
      <c r="N406" s="63" cm="1">
        <f t="array" ref="N406:N406">_xlfn.XLOOKUP(H406,'OA名单'!C:C,'OA名单'!B:B,1)</f>
      </c>
      <c r="O406" s="63">
        <f t="shared" si="8"/>
      </c>
      <c r="P406" s="63" cm="1">
        <f t="array" ref="P406:P406">_xlfn.XLOOKUP(N406,'OA名单'!B:B,'OA名单'!G:G)</f>
      </c>
      <c r="Q406" s="63">
        <f t="shared" si="11"/>
      </c>
      <c r="R406" s="63" cm="1">
        <f t="array" ref="R406:R406">_xlfn.XLOOKUP(B406,'OA名单'!B:B,'OA名单'!F:F)</f>
      </c>
      <c r="S406" s="63">
        <f t="shared" si="10"/>
      </c>
      <c r="T406" s="70"/>
      <c r="U406" s="63" cm="1">
        <f t="array" ref="U406:U406">_xlfn.XLOOKUP(N406,'OA名单'!B:B,'OA名单'!E:E)</f>
      </c>
      <c r="V406" s="63">
        <f t="shared" si="12"/>
      </c>
      <c r="W406" s="71"/>
      <c r="X406" s="66"/>
      <c r="Y406" s="66"/>
    </row>
    <row hidden="true" r="407">
      <c r="A407" s="66"/>
      <c r="B407" s="66" t="s">
        <v>13714</v>
      </c>
      <c r="C407" s="67" t="s">
        <v>12713</v>
      </c>
      <c r="D407" s="67" t="s">
        <v>12714</v>
      </c>
      <c r="E407" s="66" t="s">
        <v>13277</v>
      </c>
      <c r="F407" s="66" t="s">
        <v>13691</v>
      </c>
      <c r="G407" s="66" t="s">
        <v>13715</v>
      </c>
      <c r="H407" s="66" t="s">
        <v>13716</v>
      </c>
      <c r="I407" s="68">
        <v>0.009743</v>
      </c>
      <c r="J407" s="69">
        <v>0.97</v>
      </c>
      <c r="K407" s="66">
        <v>0.97</v>
      </c>
      <c r="L407" s="66">
        <v>2520</v>
      </c>
      <c r="M407" s="66">
        <v>2100</v>
      </c>
      <c r="N407" s="63" cm="1">
        <f t="array" ref="N407:N407">_xlfn.XLOOKUP(H407,'OA名单'!C:C,'OA名单'!B:B,1)</f>
      </c>
      <c r="O407" s="63">
        <f t="shared" si="8"/>
      </c>
      <c r="P407" s="63" cm="1">
        <f t="array" ref="P407:P407">_xlfn.XLOOKUP(N407,'OA名单'!B:B,'OA名单'!G:G)</f>
      </c>
      <c r="Q407" s="63">
        <f t="shared" si="11"/>
      </c>
      <c r="R407" s="63" cm="1">
        <f t="array" ref="R407:R407">_xlfn.XLOOKUP(B407,'OA名单'!B:B,'OA名单'!F:F)</f>
      </c>
      <c r="S407" s="63">
        <f t="shared" si="10"/>
      </c>
      <c r="T407" s="70"/>
      <c r="U407" s="63" cm="1">
        <f t="array" ref="U407:U407">_xlfn.XLOOKUP(N407,'OA名单'!B:B,'OA名单'!E:E)</f>
      </c>
      <c r="V407" s="63">
        <f t="shared" si="12"/>
      </c>
      <c r="W407" s="71"/>
      <c r="X407" s="66"/>
      <c r="Y407" s="66"/>
    </row>
    <row hidden="true" r="408">
      <c r="A408" s="66"/>
      <c r="B408" s="66" t="s">
        <v>13717</v>
      </c>
      <c r="C408" s="67" t="s">
        <v>12713</v>
      </c>
      <c r="D408" s="67" t="s">
        <v>12714</v>
      </c>
      <c r="E408" s="66" t="s">
        <v>13182</v>
      </c>
      <c r="F408" s="66" t="s">
        <v>13718</v>
      </c>
      <c r="G408" s="66" t="s">
        <v>12751</v>
      </c>
      <c r="H408" s="66" t="s">
        <v>13719</v>
      </c>
      <c r="I408" s="68">
        <v>4.7385</v>
      </c>
      <c r="J408" s="69">
        <v>0.97</v>
      </c>
      <c r="K408" s="66">
        <v>0.97</v>
      </c>
      <c r="L408" s="66">
        <v>8606.31</v>
      </c>
      <c r="M408" s="66">
        <v>5000</v>
      </c>
      <c r="N408" s="63" cm="1">
        <f t="array" ref="N408:N408">_xlfn.XLOOKUP(H408,'OA名单'!C:C,'OA名单'!B:B,1)</f>
      </c>
      <c r="O408" s="63">
        <f t="shared" si="8"/>
      </c>
      <c r="P408" s="63" cm="1">
        <f t="array" ref="P408:P408">_xlfn.XLOOKUP(N408,'OA名单'!B:B,'OA名单'!G:G)</f>
      </c>
      <c r="Q408" s="63">
        <f t="shared" si="11"/>
      </c>
      <c r="R408" s="63" cm="1">
        <f t="array" ref="R408:R408">_xlfn.XLOOKUP(B408,'OA名单'!B:B,'OA名单'!F:F)</f>
      </c>
      <c r="S408" s="63">
        <f t="shared" si="10"/>
      </c>
      <c r="T408" s="70"/>
      <c r="U408" s="63" cm="1">
        <f t="array" ref="U408:U408">_xlfn.XLOOKUP(N408,'OA名单'!B:B,'OA名单'!E:E)</f>
      </c>
      <c r="V408" s="63">
        <f t="shared" si="12"/>
      </c>
      <c r="W408" s="71"/>
      <c r="X408" s="66"/>
      <c r="Y408" s="66"/>
    </row>
    <row hidden="true" r="409">
      <c r="A409" s="66"/>
      <c r="B409" s="66" t="s">
        <v>13720</v>
      </c>
      <c r="C409" s="67" t="s">
        <v>12713</v>
      </c>
      <c r="D409" s="67" t="s">
        <v>12714</v>
      </c>
      <c r="E409" s="66" t="s">
        <v>12956</v>
      </c>
      <c r="F409" s="66" t="s">
        <v>13721</v>
      </c>
      <c r="G409" s="66" t="s">
        <v>13401</v>
      </c>
      <c r="H409" s="66" t="s">
        <v>13722</v>
      </c>
      <c r="I409" s="68">
        <v>0.959375</v>
      </c>
      <c r="J409" s="69">
        <v>0.96</v>
      </c>
      <c r="K409" s="66">
        <v>0.96</v>
      </c>
      <c r="L409" s="66">
        <v>5000</v>
      </c>
      <c r="M409" s="66">
        <v>5000</v>
      </c>
      <c r="N409" s="63" cm="1">
        <f t="array" ref="N409:N409">_xlfn.XLOOKUP(H409,'OA名单'!C:C,'OA名单'!B:B,1)</f>
      </c>
      <c r="O409" s="63">
        <f t="shared" si="8"/>
      </c>
      <c r="P409" s="63" cm="1">
        <f t="array" ref="P409:P409">_xlfn.XLOOKUP(N409,'OA名单'!B:B,'OA名单'!G:G)</f>
      </c>
      <c r="Q409" s="63">
        <f t="shared" si="11"/>
      </c>
      <c r="R409" s="63" cm="1">
        <f t="array" ref="R409:R409">_xlfn.XLOOKUP(B409,'OA名单'!B:B,'OA名单'!F:F)</f>
      </c>
      <c r="S409" s="63">
        <f t="shared" si="10"/>
      </c>
      <c r="T409" s="70"/>
      <c r="U409" s="63" cm="1">
        <f t="array" ref="U409:U409">_xlfn.XLOOKUP(N409,'OA名单'!B:B,'OA名单'!E:E)</f>
      </c>
      <c r="V409" s="63">
        <f t="shared" si="12"/>
      </c>
      <c r="W409" s="71"/>
      <c r="X409" s="66"/>
      <c r="Y409" s="66"/>
    </row>
    <row hidden="true" r="410">
      <c r="A410" s="66"/>
      <c r="B410" s="66" t="s">
        <v>13723</v>
      </c>
      <c r="C410" s="67" t="s">
        <v>12713</v>
      </c>
      <c r="D410" s="67" t="s">
        <v>12714</v>
      </c>
      <c r="E410" s="66" t="s">
        <v>13277</v>
      </c>
      <c r="F410" s="66" t="s">
        <v>13278</v>
      </c>
      <c r="G410" s="66" t="s">
        <v>13724</v>
      </c>
      <c r="H410" s="66" t="s">
        <v>13725</v>
      </c>
      <c r="I410" s="68">
        <v>0.96</v>
      </c>
      <c r="J410" s="69">
        <v>0.96</v>
      </c>
      <c r="K410" s="66">
        <v>0.96</v>
      </c>
      <c r="L410" s="66">
        <v>0</v>
      </c>
      <c r="M410" s="66">
        <v>0</v>
      </c>
      <c r="N410" s="63" cm="1">
        <f t="array" ref="N410:N410">_xlfn.XLOOKUP(H410,'OA名单'!C:C,'OA名单'!B:B,1)</f>
      </c>
      <c r="O410" s="63">
        <f t="shared" si="8"/>
      </c>
      <c r="P410" s="63" cm="1">
        <f t="array" ref="P410:P410">_xlfn.XLOOKUP(N410,'OA名单'!B:B,'OA名单'!G:G)</f>
      </c>
      <c r="Q410" s="63">
        <f t="shared" si="11"/>
      </c>
      <c r="R410" s="63" cm="1">
        <f t="array" ref="R410:R410">_xlfn.XLOOKUP(B410,'OA名单'!B:B,'OA名单'!F:F)</f>
      </c>
      <c r="S410" s="63">
        <f t="shared" si="10"/>
      </c>
      <c r="T410" s="70"/>
      <c r="U410" s="63" cm="1">
        <f t="array" ref="U410:U410">_xlfn.XLOOKUP(N410,'OA名单'!B:B,'OA名单'!E:E)</f>
      </c>
      <c r="V410" s="63">
        <f t="shared" si="12"/>
      </c>
      <c r="W410" s="71"/>
      <c r="X410" s="66"/>
      <c r="Y410" s="66"/>
    </row>
    <row hidden="true" r="411">
      <c r="A411" s="66"/>
      <c r="B411" s="66" t="s">
        <v>13726</v>
      </c>
      <c r="C411" s="67" t="s">
        <v>12713</v>
      </c>
      <c r="D411" s="67" t="s">
        <v>12714</v>
      </c>
      <c r="E411" s="66" t="s">
        <v>12749</v>
      </c>
      <c r="F411" s="66" t="s">
        <v>13335</v>
      </c>
      <c r="G411" s="66" t="s">
        <v>13727</v>
      </c>
      <c r="H411" s="66" t="s">
        <v>13728</v>
      </c>
      <c r="I411" s="68">
        <v>0.92684</v>
      </c>
      <c r="J411" s="69">
        <v>0.96</v>
      </c>
      <c r="K411" s="66">
        <v>0.96</v>
      </c>
      <c r="L411" s="66">
        <v>3292.16</v>
      </c>
      <c r="M411" s="66">
        <v>3000</v>
      </c>
      <c r="N411" s="63" cm="1">
        <f t="array" ref="N411:N411">_xlfn.XLOOKUP(H411,'OA名单'!C:C,'OA名单'!B:B,1)</f>
      </c>
      <c r="O411" s="63">
        <f t="shared" si="8"/>
      </c>
      <c r="P411" s="63" cm="1">
        <f t="array" ref="P411:P411">_xlfn.XLOOKUP(N411,'OA名单'!B:B,'OA名单'!G:G)</f>
      </c>
      <c r="Q411" s="63">
        <f t="shared" si="11"/>
      </c>
      <c r="R411" s="63" cm="1">
        <f t="array" ref="R411:R411">_xlfn.XLOOKUP(B411,'OA名单'!B:B,'OA名单'!F:F)</f>
      </c>
      <c r="S411" s="63">
        <f t="shared" si="10"/>
      </c>
      <c r="T411" s="70"/>
      <c r="U411" s="63" cm="1">
        <f t="array" ref="U411:U411">_xlfn.XLOOKUP(N411,'OA名单'!B:B,'OA名单'!E:E)</f>
      </c>
      <c r="V411" s="63">
        <f t="shared" si="12"/>
      </c>
      <c r="W411" s="71"/>
      <c r="X411" s="66"/>
      <c r="Y411" s="66"/>
    </row>
    <row hidden="true" r="412">
      <c r="A412" s="66"/>
      <c r="B412" s="66" t="s">
        <v>13729</v>
      </c>
      <c r="C412" s="67" t="s">
        <v>12713</v>
      </c>
      <c r="D412" s="67" t="s">
        <v>12714</v>
      </c>
      <c r="E412" s="66" t="s">
        <v>12749</v>
      </c>
      <c r="F412" s="66" t="s">
        <v>13335</v>
      </c>
      <c r="G412" s="66" t="s">
        <v>12751</v>
      </c>
      <c r="H412" s="66" t="s">
        <v>13730</v>
      </c>
      <c r="I412" s="68">
        <v>1.115967</v>
      </c>
      <c r="J412" s="69">
        <v>0.96</v>
      </c>
      <c r="K412" s="66">
        <v>0.96</v>
      </c>
      <c r="L412" s="66">
        <v>5736.34</v>
      </c>
      <c r="M412" s="66">
        <v>5000</v>
      </c>
      <c r="N412" s="63" cm="1">
        <f t="array" ref="N412:N412">_xlfn.XLOOKUP(H412,'OA名单'!C:C,'OA名单'!B:B,1)</f>
      </c>
      <c r="O412" s="63">
        <f t="shared" si="8"/>
      </c>
      <c r="P412" s="63" cm="1">
        <f t="array" ref="P412:P412">_xlfn.XLOOKUP(N412,'OA名单'!B:B,'OA名单'!G:G)</f>
      </c>
      <c r="Q412" s="63">
        <f t="shared" si="11"/>
      </c>
      <c r="R412" s="63" cm="1">
        <f t="array" ref="R412:R412">_xlfn.XLOOKUP(B412,'OA名单'!B:B,'OA名单'!F:F)</f>
      </c>
      <c r="S412" s="63">
        <f t="shared" si="10"/>
      </c>
      <c r="T412" s="70"/>
      <c r="U412" s="63" cm="1">
        <f t="array" ref="U412:U412">_xlfn.XLOOKUP(N412,'OA名单'!B:B,'OA名单'!E:E)</f>
      </c>
      <c r="V412" s="63">
        <f t="shared" si="12"/>
      </c>
      <c r="W412" s="71"/>
      <c r="X412" s="66"/>
      <c r="Y412" s="66"/>
    </row>
    <row hidden="true" r="413">
      <c r="A413" s="66"/>
      <c r="B413" s="66" t="s">
        <v>13731</v>
      </c>
      <c r="C413" s="67" t="s">
        <v>12713</v>
      </c>
      <c r="D413" s="67" t="s">
        <v>12714</v>
      </c>
      <c r="E413" s="66" t="s">
        <v>13146</v>
      </c>
      <c r="F413" s="66" t="s">
        <v>13484</v>
      </c>
      <c r="G413" s="66" t="s">
        <v>12751</v>
      </c>
      <c r="H413" s="66" t="s">
        <v>13732</v>
      </c>
      <c r="I413" s="68">
        <v>0.955</v>
      </c>
      <c r="J413" s="69">
        <v>0.96</v>
      </c>
      <c r="K413" s="66">
        <v>0.96</v>
      </c>
      <c r="L413" s="66">
        <v>5076</v>
      </c>
      <c r="M413" s="66">
        <v>5000</v>
      </c>
      <c r="N413" s="63" cm="1">
        <f t="array" ref="N413:N413">_xlfn.XLOOKUP(H413,'OA名单'!C:C,'OA名单'!B:B,1)</f>
      </c>
      <c r="O413" s="63">
        <f t="shared" si="8"/>
      </c>
      <c r="P413" s="63" cm="1">
        <f t="array" ref="P413:P413">_xlfn.XLOOKUP(N413,'OA名单'!B:B,'OA名单'!G:G)</f>
      </c>
      <c r="Q413" s="63">
        <f t="shared" si="11"/>
      </c>
      <c r="R413" s="63" cm="1">
        <f t="array" ref="R413:R413">_xlfn.XLOOKUP(B413,'OA名单'!B:B,'OA名单'!F:F)</f>
      </c>
      <c r="S413" s="63">
        <f t="shared" si="10"/>
      </c>
      <c r="T413" s="70"/>
      <c r="U413" s="63" cm="1">
        <f t="array" ref="U413:U413">_xlfn.XLOOKUP(N413,'OA名单'!B:B,'OA名单'!E:E)</f>
      </c>
      <c r="V413" s="63">
        <f t="shared" si="12"/>
      </c>
      <c r="W413" s="71"/>
      <c r="X413" s="66"/>
      <c r="Y413" s="66"/>
    </row>
    <row hidden="true" r="414">
      <c r="A414" s="66"/>
      <c r="B414" s="66" t="s">
        <v>13733</v>
      </c>
      <c r="C414" s="67" t="s">
        <v>12713</v>
      </c>
      <c r="D414" s="67" t="s">
        <v>12714</v>
      </c>
      <c r="E414" s="66" t="s">
        <v>13146</v>
      </c>
      <c r="F414" s="66" t="s">
        <v>13484</v>
      </c>
      <c r="G414" s="66" t="s">
        <v>13734</v>
      </c>
      <c r="H414" s="66" t="s">
        <v>13735</v>
      </c>
      <c r="I414" s="68">
        <v>0.96</v>
      </c>
      <c r="J414" s="69">
        <v>0.96</v>
      </c>
      <c r="K414" s="66">
        <v>0.96</v>
      </c>
      <c r="L414" s="66">
        <v>0</v>
      </c>
      <c r="M414" s="66">
        <v>2000</v>
      </c>
      <c r="N414" s="63" cm="1">
        <f t="array" ref="N414:N414">_xlfn.XLOOKUP(H414,'OA名单'!C:C,'OA名单'!B:B,1)</f>
      </c>
      <c r="O414" s="63">
        <f t="shared" si="8"/>
      </c>
      <c r="P414" s="63" cm="1">
        <f t="array" ref="P414:P414">_xlfn.XLOOKUP(N414,'OA名单'!B:B,'OA名单'!G:G)</f>
      </c>
      <c r="Q414" s="63">
        <f t="shared" si="11"/>
      </c>
      <c r="R414" s="63" cm="1">
        <f t="array" ref="R414:R414">_xlfn.XLOOKUP(B414,'OA名单'!B:B,'OA名单'!F:F)</f>
      </c>
      <c r="S414" s="63">
        <f t="shared" si="10"/>
      </c>
      <c r="T414" s="70"/>
      <c r="U414" s="63" cm="1">
        <f t="array" ref="U414:U414">_xlfn.XLOOKUP(N414,'OA名单'!B:B,'OA名单'!E:E)</f>
      </c>
      <c r="V414" s="63">
        <f t="shared" si="12"/>
      </c>
      <c r="W414" s="71"/>
      <c r="X414" s="66"/>
      <c r="Y414" s="66"/>
    </row>
    <row hidden="true" r="415">
      <c r="A415" s="66"/>
      <c r="B415" s="66" t="s">
        <v>13736</v>
      </c>
      <c r="C415" s="67" t="s">
        <v>12713</v>
      </c>
      <c r="D415" s="67" t="s">
        <v>12714</v>
      </c>
      <c r="E415" s="66" t="s">
        <v>13027</v>
      </c>
      <c r="F415" s="66" t="s">
        <v>13511</v>
      </c>
      <c r="G415" s="66" t="s">
        <v>13512</v>
      </c>
      <c r="H415" s="66" t="s">
        <v>13737</v>
      </c>
      <c r="I415" s="68">
        <v>0.964</v>
      </c>
      <c r="J415" s="69">
        <v>0.96</v>
      </c>
      <c r="K415" s="66">
        <v>0.96</v>
      </c>
      <c r="L415" s="66">
        <v>1152</v>
      </c>
      <c r="M415" s="66">
        <v>1200</v>
      </c>
      <c r="N415" s="63" cm="1">
        <f t="array" ref="N415:N415">_xlfn.XLOOKUP(H415,'OA名单'!C:C,'OA名单'!B:B,1)</f>
      </c>
      <c r="O415" s="63">
        <f t="shared" si="8"/>
      </c>
      <c r="P415" s="63" cm="1">
        <f t="array" ref="P415:P415">_xlfn.XLOOKUP(N415,'OA名单'!B:B,'OA名单'!G:G)</f>
      </c>
      <c r="Q415" s="63">
        <f t="shared" si="11"/>
      </c>
      <c r="R415" s="63" cm="1">
        <f t="array" ref="R415:R415">_xlfn.XLOOKUP(B415,'OA名单'!B:B,'OA名单'!F:F)</f>
      </c>
      <c r="S415" s="63">
        <f t="shared" si="10"/>
      </c>
      <c r="T415" s="70"/>
      <c r="U415" s="63" cm="1">
        <f t="array" ref="U415:U415">_xlfn.XLOOKUP(N415,'OA名单'!B:B,'OA名单'!E:E)</f>
      </c>
      <c r="V415" s="63">
        <f t="shared" si="12"/>
      </c>
      <c r="W415" s="71"/>
      <c r="X415" s="66"/>
      <c r="Y415" s="66"/>
    </row>
    <row hidden="true" r="416">
      <c r="A416" s="66"/>
      <c r="B416" s="66" t="s">
        <v>13738</v>
      </c>
      <c r="C416" s="67" t="s">
        <v>12713</v>
      </c>
      <c r="D416" s="67" t="s">
        <v>12714</v>
      </c>
      <c r="E416" s="66" t="s">
        <v>13027</v>
      </c>
      <c r="F416" s="66" t="s">
        <v>13511</v>
      </c>
      <c r="G416" s="66" t="s">
        <v>13512</v>
      </c>
      <c r="H416" s="66" t="s">
        <v>13739</v>
      </c>
      <c r="I416" s="68">
        <v>0.964</v>
      </c>
      <c r="J416" s="69">
        <v>0.96</v>
      </c>
      <c r="K416" s="66">
        <v>0.96</v>
      </c>
      <c r="L416" s="66">
        <v>1152</v>
      </c>
      <c r="M416" s="66">
        <v>1200</v>
      </c>
      <c r="N416" s="63" cm="1">
        <f t="array" ref="N416:N416">_xlfn.XLOOKUP(H416,'OA名单'!C:C,'OA名单'!B:B,1)</f>
      </c>
      <c r="O416" s="63">
        <f t="shared" si="8"/>
      </c>
      <c r="P416" s="63" cm="1">
        <f t="array" ref="P416:P416">_xlfn.XLOOKUP(N416,'OA名单'!B:B,'OA名单'!G:G)</f>
      </c>
      <c r="Q416" s="63">
        <f t="shared" si="11"/>
      </c>
      <c r="R416" s="63" cm="1">
        <f t="array" ref="R416:R416">_xlfn.XLOOKUP(B416,'OA名单'!B:B,'OA名单'!F:F)</f>
      </c>
      <c r="S416" s="63">
        <f t="shared" si="10"/>
      </c>
      <c r="T416" s="70"/>
      <c r="U416" s="63" cm="1">
        <f t="array" ref="U416:U416">_xlfn.XLOOKUP(N416,'OA名单'!B:B,'OA名单'!E:E)</f>
      </c>
      <c r="V416" s="63">
        <f t="shared" si="12"/>
      </c>
      <c r="W416" s="71"/>
      <c r="X416" s="66"/>
      <c r="Y416" s="66"/>
    </row>
    <row hidden="true" r="417">
      <c r="A417" s="66"/>
      <c r="B417" s="66" t="s">
        <v>13740</v>
      </c>
      <c r="C417" s="67" t="s">
        <v>12713</v>
      </c>
      <c r="D417" s="67" t="s">
        <v>12714</v>
      </c>
      <c r="E417" s="66" t="s">
        <v>13011</v>
      </c>
      <c r="F417" s="66" t="s">
        <v>13138</v>
      </c>
      <c r="G417" s="66" t="s">
        <v>13043</v>
      </c>
      <c r="H417" s="66" t="s">
        <v>13741</v>
      </c>
      <c r="I417" s="68">
        <v>0.963375</v>
      </c>
      <c r="J417" s="69">
        <v>0.96</v>
      </c>
      <c r="K417" s="66">
        <v>0.96</v>
      </c>
      <c r="L417" s="66">
        <v>2410</v>
      </c>
      <c r="M417" s="66">
        <v>2000</v>
      </c>
      <c r="N417" s="63" cm="1">
        <f t="array" ref="N417:N417">_xlfn.XLOOKUP(H417,'OA名单'!C:C,'OA名单'!B:B,1)</f>
      </c>
      <c r="O417" s="63">
        <f t="shared" si="8"/>
      </c>
      <c r="P417" s="63" cm="1">
        <f t="array" ref="P417:P417">_xlfn.XLOOKUP(N417,'OA名单'!B:B,'OA名单'!G:G)</f>
      </c>
      <c r="Q417" s="63">
        <f t="shared" si="11"/>
      </c>
      <c r="R417" s="63" cm="1">
        <f t="array" ref="R417:R417">_xlfn.XLOOKUP(B417,'OA名单'!B:B,'OA名单'!F:F)</f>
      </c>
      <c r="S417" s="63">
        <f t="shared" si="10"/>
      </c>
      <c r="T417" s="70"/>
      <c r="U417" s="63" cm="1">
        <f t="array" ref="U417:U417">_xlfn.XLOOKUP(N417,'OA名单'!B:B,'OA名单'!E:E)</f>
      </c>
      <c r="V417" s="63">
        <f t="shared" si="12"/>
      </c>
      <c r="W417" s="71"/>
      <c r="X417" s="66"/>
      <c r="Y417" s="66"/>
    </row>
    <row hidden="true" r="418">
      <c r="A418" s="66"/>
      <c r="B418" s="66" t="s">
        <v>13742</v>
      </c>
      <c r="C418" s="67" t="s">
        <v>12713</v>
      </c>
      <c r="D418" s="67" t="s">
        <v>12714</v>
      </c>
      <c r="E418" s="66" t="s">
        <v>13146</v>
      </c>
      <c r="F418" s="66" t="s">
        <v>13204</v>
      </c>
      <c r="G418" s="66" t="s">
        <v>13743</v>
      </c>
      <c r="H418" s="66" t="s">
        <v>13744</v>
      </c>
      <c r="I418" s="68">
        <v>0.938887</v>
      </c>
      <c r="J418" s="69">
        <v>0.96</v>
      </c>
      <c r="K418" s="66">
        <v>0.96</v>
      </c>
      <c r="L418" s="66">
        <v>4742.1</v>
      </c>
      <c r="M418" s="66">
        <v>5000</v>
      </c>
      <c r="N418" s="63" cm="1">
        <f t="array" ref="N418:N418">_xlfn.XLOOKUP(H418,'OA名单'!C:C,'OA名单'!B:B,1)</f>
      </c>
      <c r="O418" s="63">
        <f t="shared" si="8"/>
      </c>
      <c r="P418" s="63" cm="1">
        <f t="array" ref="P418:P418">_xlfn.XLOOKUP(N418,'OA名单'!B:B,'OA名单'!G:G)</f>
      </c>
      <c r="Q418" s="63">
        <f t="shared" si="11"/>
      </c>
      <c r="R418" s="63" cm="1">
        <f t="array" ref="R418:R418">_xlfn.XLOOKUP(B418,'OA名单'!B:B,'OA名单'!F:F)</f>
      </c>
      <c r="S418" s="63">
        <f t="shared" si="10"/>
      </c>
      <c r="T418" s="70"/>
      <c r="U418" s="63" cm="1">
        <f t="array" ref="U418:U418">_xlfn.XLOOKUP(N418,'OA名单'!B:B,'OA名单'!E:E)</f>
      </c>
      <c r="V418" s="63">
        <f t="shared" si="12"/>
      </c>
      <c r="W418" s="71"/>
      <c r="X418" s="66"/>
      <c r="Y418" s="66"/>
    </row>
    <row hidden="true" r="419">
      <c r="A419" s="66"/>
      <c r="B419" s="66" t="s">
        <v>13745</v>
      </c>
      <c r="C419" s="67" t="s">
        <v>12713</v>
      </c>
      <c r="D419" s="67" t="s">
        <v>12714</v>
      </c>
      <c r="E419" s="66" t="s">
        <v>12776</v>
      </c>
      <c r="F419" s="66" t="s">
        <v>12981</v>
      </c>
      <c r="G419" s="66" t="s">
        <v>12982</v>
      </c>
      <c r="H419" s="66" t="s">
        <v>13746</v>
      </c>
      <c r="I419" s="68">
        <v>2.074133</v>
      </c>
      <c r="J419" s="69">
        <v>0.96</v>
      </c>
      <c r="K419" s="66">
        <v>0.96</v>
      </c>
      <c r="L419" s="66">
        <v>950</v>
      </c>
      <c r="M419" s="66">
        <v>1500</v>
      </c>
      <c r="N419" s="63" cm="1">
        <f t="array" ref="N419:N419">_xlfn.XLOOKUP(H419,'OA名单'!C:C,'OA名单'!B:B,1)</f>
      </c>
      <c r="O419" s="63">
        <f t="shared" si="8"/>
      </c>
      <c r="P419" s="63" cm="1">
        <f t="array" ref="P419:P419">_xlfn.XLOOKUP(N419,'OA名单'!B:B,'OA名单'!G:G)</f>
      </c>
      <c r="Q419" s="63">
        <f t="shared" si="11"/>
      </c>
      <c r="R419" s="63" cm="1">
        <f t="array" ref="R419:R419">_xlfn.XLOOKUP(B419,'OA名单'!B:B,'OA名单'!F:F)</f>
      </c>
      <c r="S419" s="63">
        <f t="shared" si="10"/>
      </c>
      <c r="T419" s="70"/>
      <c r="U419" s="63" cm="1">
        <f t="array" ref="U419:U419">_xlfn.XLOOKUP(N419,'OA名单'!B:B,'OA名单'!E:E)</f>
      </c>
      <c r="V419" s="63">
        <f t="shared" si="12"/>
      </c>
      <c r="W419" s="71"/>
      <c r="X419" s="66"/>
      <c r="Y419" s="66"/>
    </row>
    <row hidden="true" r="420">
      <c r="A420" s="66"/>
      <c r="B420" s="66" t="s">
        <v>13747</v>
      </c>
      <c r="C420" s="67" t="s">
        <v>12713</v>
      </c>
      <c r="D420" s="67" t="s">
        <v>12714</v>
      </c>
      <c r="E420" s="66" t="s">
        <v>12749</v>
      </c>
      <c r="F420" s="66" t="s">
        <v>13132</v>
      </c>
      <c r="G420" s="66" t="s">
        <v>13626</v>
      </c>
      <c r="H420" s="66" t="s">
        <v>13748</v>
      </c>
      <c r="I420" s="68">
        <v>0.955</v>
      </c>
      <c r="J420" s="69">
        <v>0.96</v>
      </c>
      <c r="K420" s="66">
        <v>0.96</v>
      </c>
      <c r="L420" s="66">
        <v>3407.61</v>
      </c>
      <c r="M420" s="66">
        <v>3000</v>
      </c>
      <c r="N420" s="63" cm="1">
        <f t="array" ref="N420:N420">_xlfn.XLOOKUP(H420,'OA名单'!C:C,'OA名单'!B:B,1)</f>
      </c>
      <c r="O420" s="63">
        <f t="shared" si="8"/>
      </c>
      <c r="P420" s="63" cm="1">
        <f t="array" ref="P420:P420">_xlfn.XLOOKUP(N420,'OA名单'!B:B,'OA名单'!G:G)</f>
      </c>
      <c r="Q420" s="63">
        <f t="shared" si="11"/>
      </c>
      <c r="R420" s="63" cm="1">
        <f t="array" ref="R420:R420">_xlfn.XLOOKUP(B420,'OA名单'!B:B,'OA名单'!F:F)</f>
      </c>
      <c r="S420" s="63">
        <f t="shared" si="10"/>
      </c>
      <c r="T420" s="70"/>
      <c r="U420" s="63" cm="1">
        <f t="array" ref="U420:U420">_xlfn.XLOOKUP(N420,'OA名单'!B:B,'OA名单'!E:E)</f>
      </c>
      <c r="V420" s="63">
        <f t="shared" si="12"/>
      </c>
      <c r="W420" s="71"/>
      <c r="X420" s="66"/>
      <c r="Y420" s="66"/>
    </row>
    <row hidden="true" r="421">
      <c r="A421" s="66"/>
      <c r="B421" s="66" t="s">
        <v>13749</v>
      </c>
      <c r="C421" s="67" t="s">
        <v>12713</v>
      </c>
      <c r="D421" s="67" t="s">
        <v>12714</v>
      </c>
      <c r="E421" s="66" t="s">
        <v>12956</v>
      </c>
      <c r="F421" s="66" t="s">
        <v>13536</v>
      </c>
      <c r="G421" s="66" t="s">
        <v>13401</v>
      </c>
      <c r="H421" s="66" t="s">
        <v>13750</v>
      </c>
      <c r="I421" s="68">
        <v>0.955</v>
      </c>
      <c r="J421" s="69">
        <v>0.96</v>
      </c>
      <c r="K421" s="66">
        <v>0.96</v>
      </c>
      <c r="L421" s="66">
        <v>3717.06</v>
      </c>
      <c r="M421" s="66">
        <v>4000</v>
      </c>
      <c r="N421" s="63" cm="1">
        <f t="array" ref="N421:N421">_xlfn.XLOOKUP(H421,'OA名单'!C:C,'OA名单'!B:B,1)</f>
      </c>
      <c r="O421" s="63">
        <f t="shared" si="8"/>
      </c>
      <c r="P421" s="63" cm="1">
        <f t="array" ref="P421:P421">_xlfn.XLOOKUP(N421,'OA名单'!B:B,'OA名单'!G:G)</f>
      </c>
      <c r="Q421" s="63">
        <f t="shared" si="11"/>
      </c>
      <c r="R421" s="63" cm="1">
        <f t="array" ref="R421:R421">_xlfn.XLOOKUP(B421,'OA名单'!B:B,'OA名单'!F:F)</f>
      </c>
      <c r="S421" s="63">
        <f t="shared" si="10"/>
      </c>
      <c r="T421" s="70"/>
      <c r="U421" s="63" cm="1">
        <f t="array" ref="U421:U421">_xlfn.XLOOKUP(N421,'OA名单'!B:B,'OA名单'!E:E)</f>
      </c>
      <c r="V421" s="63">
        <f t="shared" si="12"/>
      </c>
      <c r="W421" s="71"/>
      <c r="X421" s="66"/>
      <c r="Y421" s="66"/>
    </row>
    <row hidden="true" r="422">
      <c r="A422" s="66"/>
      <c r="B422" s="66" t="s">
        <v>13751</v>
      </c>
      <c r="C422" s="67" t="s">
        <v>12713</v>
      </c>
      <c r="D422" s="67" t="s">
        <v>12714</v>
      </c>
      <c r="E422" s="66" t="s">
        <v>12956</v>
      </c>
      <c r="F422" s="66" t="s">
        <v>13400</v>
      </c>
      <c r="G422" s="66" t="s">
        <v>13265</v>
      </c>
      <c r="H422" s="66" t="s">
        <v>13752</v>
      </c>
      <c r="I422" s="68">
        <v>0.96</v>
      </c>
      <c r="J422" s="69">
        <v>0.96</v>
      </c>
      <c r="K422" s="66">
        <v>0.96</v>
      </c>
      <c r="L422" s="66">
        <v>2925</v>
      </c>
      <c r="M422" s="66">
        <v>2700</v>
      </c>
      <c r="N422" s="63" cm="1">
        <f t="array" ref="N422:N422">_xlfn.XLOOKUP(H422,'OA名单'!C:C,'OA名单'!B:B,1)</f>
      </c>
      <c r="O422" s="63">
        <f t="shared" si="8"/>
      </c>
      <c r="P422" s="63" cm="1">
        <f t="array" ref="P422:P422">_xlfn.XLOOKUP(N422,'OA名单'!B:B,'OA名单'!G:G)</f>
      </c>
      <c r="Q422" s="63">
        <f t="shared" si="11"/>
      </c>
      <c r="R422" s="63" cm="1">
        <f t="array" ref="R422:R422">_xlfn.XLOOKUP(B422,'OA名单'!B:B,'OA名单'!F:F)</f>
      </c>
      <c r="S422" s="63">
        <f t="shared" si="10"/>
      </c>
      <c r="T422" s="70"/>
      <c r="U422" s="63" cm="1">
        <f t="array" ref="U422:U422">_xlfn.XLOOKUP(N422,'OA名单'!B:B,'OA名单'!E:E)</f>
      </c>
      <c r="V422" s="63">
        <f t="shared" si="12"/>
      </c>
      <c r="W422" s="71"/>
      <c r="X422" s="66"/>
      <c r="Y422" s="66"/>
    </row>
    <row hidden="true" r="423">
      <c r="A423" s="66"/>
      <c r="B423" s="66" t="s">
        <v>13753</v>
      </c>
      <c r="C423" s="67" t="s">
        <v>12713</v>
      </c>
      <c r="D423" s="67" t="s">
        <v>12714</v>
      </c>
      <c r="E423" s="66" t="s">
        <v>13277</v>
      </c>
      <c r="F423" s="66" t="s">
        <v>13691</v>
      </c>
      <c r="G423" s="66" t="s">
        <v>13754</v>
      </c>
      <c r="H423" s="66" t="s">
        <v>13755</v>
      </c>
      <c r="I423" s="68">
        <v>0.009643</v>
      </c>
      <c r="J423" s="69">
        <v>0.96</v>
      </c>
      <c r="K423" s="66">
        <v>0.96</v>
      </c>
      <c r="L423" s="66">
        <v>3521.12</v>
      </c>
      <c r="M423" s="66">
        <v>3000</v>
      </c>
      <c r="N423" s="63" cm="1">
        <f t="array" ref="N423:N423">_xlfn.XLOOKUP(H423,'OA名单'!C:C,'OA名单'!B:B,1)</f>
      </c>
      <c r="O423" s="63">
        <f t="shared" si="8"/>
      </c>
      <c r="P423" s="63" cm="1">
        <f t="array" ref="P423:P423">_xlfn.XLOOKUP(N423,'OA名单'!B:B,'OA名单'!G:G)</f>
      </c>
      <c r="Q423" s="63">
        <f t="shared" si="11"/>
      </c>
      <c r="R423" s="63" cm="1">
        <f t="array" ref="R423:R423">_xlfn.XLOOKUP(B423,'OA名单'!B:B,'OA名单'!F:F)</f>
      </c>
      <c r="S423" s="63">
        <f t="shared" si="10"/>
      </c>
      <c r="T423" s="70"/>
      <c r="U423" s="63" cm="1">
        <f t="array" ref="U423:U423">_xlfn.XLOOKUP(N423,'OA名单'!B:B,'OA名单'!E:E)</f>
      </c>
      <c r="V423" s="63">
        <f t="shared" si="12"/>
      </c>
      <c r="W423" s="71"/>
      <c r="X423" s="66"/>
      <c r="Y423" s="66"/>
    </row>
    <row hidden="true" r="424">
      <c r="A424" s="66"/>
      <c r="B424" s="66" t="s">
        <v>13756</v>
      </c>
      <c r="C424" s="67" t="s">
        <v>12713</v>
      </c>
      <c r="D424" s="67" t="s">
        <v>12714</v>
      </c>
      <c r="E424" s="66" t="s">
        <v>13277</v>
      </c>
      <c r="F424" s="66" t="s">
        <v>13691</v>
      </c>
      <c r="G424" s="66" t="s">
        <v>13692</v>
      </c>
      <c r="H424" s="66" t="s">
        <v>13757</v>
      </c>
      <c r="I424" s="68">
        <v>0.009625</v>
      </c>
      <c r="J424" s="69">
        <v>0.96</v>
      </c>
      <c r="K424" s="66">
        <v>0.96</v>
      </c>
      <c r="L424" s="66">
        <v>2166.84</v>
      </c>
      <c r="M424" s="66">
        <v>2000</v>
      </c>
      <c r="N424" s="63" cm="1">
        <f t="array" ref="N424:N424">_xlfn.XLOOKUP(H424,'OA名单'!C:C,'OA名单'!B:B,1)</f>
      </c>
      <c r="O424" s="63">
        <f t="shared" si="8"/>
      </c>
      <c r="P424" s="63" cm="1">
        <f t="array" ref="P424:P424">_xlfn.XLOOKUP(N424,'OA名单'!B:B,'OA名单'!G:G)</f>
      </c>
      <c r="Q424" s="63">
        <f t="shared" si="11"/>
      </c>
      <c r="R424" s="63" cm="1">
        <f t="array" ref="R424:R424">_xlfn.XLOOKUP(B424,'OA名单'!B:B,'OA名单'!F:F)</f>
      </c>
      <c r="S424" s="63">
        <f t="shared" si="10"/>
      </c>
      <c r="T424" s="70"/>
      <c r="U424" s="63" cm="1">
        <f t="array" ref="U424:U424">_xlfn.XLOOKUP(N424,'OA名单'!B:B,'OA名单'!E:E)</f>
      </c>
      <c r="V424" s="63">
        <f t="shared" si="12"/>
      </c>
      <c r="W424" s="71"/>
      <c r="X424" s="66"/>
      <c r="Y424" s="66"/>
    </row>
    <row hidden="true" r="425">
      <c r="A425" s="66"/>
      <c r="B425" s="66" t="s">
        <v>13758</v>
      </c>
      <c r="C425" s="67" t="s">
        <v>12713</v>
      </c>
      <c r="D425" s="67" t="s">
        <v>12714</v>
      </c>
      <c r="E425" s="66" t="s">
        <v>13277</v>
      </c>
      <c r="F425" s="66" t="s">
        <v>13691</v>
      </c>
      <c r="G425" s="66" t="s">
        <v>13692</v>
      </c>
      <c r="H425" s="66" t="s">
        <v>13759</v>
      </c>
      <c r="I425" s="68">
        <v>0.00955</v>
      </c>
      <c r="J425" s="69">
        <v>0.96</v>
      </c>
      <c r="K425" s="66">
        <v>0.96</v>
      </c>
      <c r="L425" s="66">
        <v>2482.84</v>
      </c>
      <c r="M425" s="66">
        <v>2500</v>
      </c>
      <c r="N425" s="63" cm="1">
        <f t="array" ref="N425:N425">_xlfn.XLOOKUP(H425,'OA名单'!C:C,'OA名单'!B:B,1)</f>
      </c>
      <c r="O425" s="63">
        <f t="shared" si="8"/>
      </c>
      <c r="P425" s="63" cm="1">
        <f t="array" ref="P425:P425">_xlfn.XLOOKUP(N425,'OA名单'!B:B,'OA名单'!G:G)</f>
      </c>
      <c r="Q425" s="63">
        <f t="shared" si="11"/>
      </c>
      <c r="R425" s="63" cm="1">
        <f t="array" ref="R425:R425">_xlfn.XLOOKUP(B425,'OA名单'!B:B,'OA名单'!F:F)</f>
      </c>
      <c r="S425" s="63">
        <f t="shared" si="10"/>
      </c>
      <c r="T425" s="70"/>
      <c r="U425" s="63" cm="1">
        <f t="array" ref="U425:U425">_xlfn.XLOOKUP(N425,'OA名单'!B:B,'OA名单'!E:E)</f>
      </c>
      <c r="V425" s="63">
        <f t="shared" si="12"/>
      </c>
      <c r="W425" s="71"/>
      <c r="X425" s="66"/>
      <c r="Y425" s="66"/>
    </row>
    <row hidden="true" r="426">
      <c r="A426" s="66"/>
      <c r="B426" s="66" t="s">
        <v>13760</v>
      </c>
      <c r="C426" s="67" t="s">
        <v>12713</v>
      </c>
      <c r="D426" s="67" t="s">
        <v>12714</v>
      </c>
      <c r="E426" s="66" t="s">
        <v>13318</v>
      </c>
      <c r="F426" s="66" t="s">
        <v>13761</v>
      </c>
      <c r="G426" s="66" t="s">
        <v>13762</v>
      </c>
      <c r="H426" s="66" t="s">
        <v>13763</v>
      </c>
      <c r="I426" s="68">
        <v>0.76925</v>
      </c>
      <c r="J426" s="69">
        <v>0.96</v>
      </c>
      <c r="K426" s="66">
        <v>0.96</v>
      </c>
      <c r="L426" s="66">
        <v>4800</v>
      </c>
      <c r="M426" s="66">
        <v>5000</v>
      </c>
      <c r="N426" s="63" cm="1">
        <f t="array" ref="N426:N426">_xlfn.XLOOKUP(H426,'OA名单'!C:C,'OA名单'!B:B,1)</f>
      </c>
      <c r="O426" s="63">
        <f t="shared" si="8"/>
      </c>
      <c r="P426" s="63" cm="1">
        <f t="array" ref="P426:P426">_xlfn.XLOOKUP(N426,'OA名单'!B:B,'OA名单'!G:G)</f>
      </c>
      <c r="Q426" s="63">
        <f t="shared" si="11"/>
      </c>
      <c r="R426" s="63" cm="1">
        <f t="array" ref="R426:R426">_xlfn.XLOOKUP(B426,'OA名单'!B:B,'OA名单'!F:F)</f>
      </c>
      <c r="S426" s="63">
        <f t="shared" si="10"/>
      </c>
      <c r="T426" s="70"/>
      <c r="U426" s="63" cm="1">
        <f t="array" ref="U426:U426">_xlfn.XLOOKUP(N426,'OA名单'!B:B,'OA名单'!E:E)</f>
      </c>
      <c r="V426" s="63">
        <f t="shared" si="12"/>
      </c>
      <c r="W426" s="71"/>
      <c r="X426" s="66"/>
      <c r="Y426" s="66"/>
    </row>
    <row hidden="true" r="427">
      <c r="A427" s="66"/>
      <c r="B427" s="66" t="s">
        <v>13764</v>
      </c>
      <c r="C427" s="67" t="s">
        <v>12713</v>
      </c>
      <c r="D427" s="67" t="s">
        <v>12714</v>
      </c>
      <c r="E427" s="66" t="s">
        <v>12749</v>
      </c>
      <c r="F427" s="66" t="s">
        <v>13381</v>
      </c>
      <c r="G427" s="66" t="s">
        <v>13609</v>
      </c>
      <c r="H427" s="66" t="s">
        <v>13765</v>
      </c>
      <c r="I427" s="68">
        <v>0.95</v>
      </c>
      <c r="J427" s="69">
        <v>0.95</v>
      </c>
      <c r="K427" s="66">
        <v>0.95</v>
      </c>
      <c r="L427" s="66">
        <v>2968.9</v>
      </c>
      <c r="M427" s="66">
        <v>3000</v>
      </c>
      <c r="N427" s="63" cm="1">
        <f t="array" ref="N427:N427">_xlfn.XLOOKUP(H427,'OA名单'!C:C,'OA名单'!B:B,1)</f>
      </c>
      <c r="O427" s="63">
        <f t="shared" si="8"/>
      </c>
      <c r="P427" s="63" cm="1">
        <f t="array" ref="P427:P427">_xlfn.XLOOKUP(N427,'OA名单'!B:B,'OA名单'!G:G)</f>
      </c>
      <c r="Q427" s="63">
        <f t="shared" si="11"/>
      </c>
      <c r="R427" s="63" cm="1">
        <f t="array" ref="R427:R427">_xlfn.XLOOKUP(B427,'OA名单'!B:B,'OA名单'!F:F)</f>
      </c>
      <c r="S427" s="63">
        <f t="shared" si="10"/>
      </c>
      <c r="T427" s="70"/>
      <c r="U427" s="63" cm="1">
        <f t="array" ref="U427:U427">_xlfn.XLOOKUP(N427,'OA名单'!B:B,'OA名单'!E:E)</f>
      </c>
      <c r="V427" s="63">
        <f t="shared" si="12"/>
      </c>
      <c r="W427" s="71"/>
      <c r="X427" s="66"/>
      <c r="Y427" s="66"/>
    </row>
    <row hidden="true" r="428">
      <c r="A428" s="66"/>
      <c r="B428" s="66" t="s">
        <v>13766</v>
      </c>
      <c r="C428" s="67" t="s">
        <v>12713</v>
      </c>
      <c r="D428" s="67" t="s">
        <v>12714</v>
      </c>
      <c r="E428" s="66" t="s">
        <v>12956</v>
      </c>
      <c r="F428" s="66" t="s">
        <v>13721</v>
      </c>
      <c r="G428" s="66" t="s">
        <v>13401</v>
      </c>
      <c r="H428" s="66" t="s">
        <v>13767</v>
      </c>
      <c r="I428" s="68">
        <v>0.95</v>
      </c>
      <c r="J428" s="69">
        <v>0.95</v>
      </c>
      <c r="K428" s="66">
        <v>0.95</v>
      </c>
      <c r="L428" s="66">
        <v>4000</v>
      </c>
      <c r="M428" s="66">
        <v>4000</v>
      </c>
      <c r="N428" s="63" cm="1">
        <f t="array" ref="N428:N428">_xlfn.XLOOKUP(H428,'OA名单'!C:C,'OA名单'!B:B,1)</f>
      </c>
      <c r="O428" s="63">
        <f t="shared" si="8"/>
      </c>
      <c r="P428" s="63" cm="1">
        <f t="array" ref="P428:P428">_xlfn.XLOOKUP(N428,'OA名单'!B:B,'OA名单'!G:G)</f>
      </c>
      <c r="Q428" s="63">
        <f t="shared" si="11"/>
      </c>
      <c r="R428" s="63" cm="1">
        <f t="array" ref="R428:R428">_xlfn.XLOOKUP(B428,'OA名单'!B:B,'OA名单'!F:F)</f>
      </c>
      <c r="S428" s="63">
        <f t="shared" si="10"/>
      </c>
      <c r="T428" s="70"/>
      <c r="U428" s="63" cm="1">
        <f t="array" ref="U428:U428">_xlfn.XLOOKUP(N428,'OA名单'!B:B,'OA名单'!E:E)</f>
      </c>
      <c r="V428" s="63">
        <f t="shared" si="12"/>
      </c>
      <c r="W428" s="71"/>
      <c r="X428" s="66"/>
      <c r="Y428" s="66"/>
    </row>
    <row hidden="true" r="429">
      <c r="A429" s="66"/>
      <c r="B429" s="66" t="s">
        <v>13768</v>
      </c>
      <c r="C429" s="67" t="s">
        <v>12713</v>
      </c>
      <c r="D429" s="67" t="s">
        <v>12714</v>
      </c>
      <c r="E429" s="66" t="s">
        <v>13097</v>
      </c>
      <c r="F429" s="66" t="s">
        <v>13130</v>
      </c>
      <c r="G429" s="66" t="s">
        <v>13378</v>
      </c>
      <c r="H429" s="66" t="s">
        <v>13769</v>
      </c>
      <c r="I429" s="68">
        <v>1.0016</v>
      </c>
      <c r="J429" s="69">
        <v>0.95</v>
      </c>
      <c r="K429" s="66">
        <v>0.95</v>
      </c>
      <c r="L429" s="66">
        <v>4950</v>
      </c>
      <c r="M429" s="66">
        <v>5000</v>
      </c>
      <c r="N429" s="63" cm="1">
        <f t="array" ref="N429:N429">_xlfn.XLOOKUP(H429,'OA名单'!C:C,'OA名单'!B:B,1)</f>
      </c>
      <c r="O429" s="63">
        <f t="shared" si="8"/>
      </c>
      <c r="P429" s="63" cm="1">
        <f t="array" ref="P429:P429">_xlfn.XLOOKUP(N429,'OA名单'!B:B,'OA名单'!G:G)</f>
      </c>
      <c r="Q429" s="63">
        <f t="shared" si="11"/>
      </c>
      <c r="R429" s="63" cm="1">
        <f t="array" ref="R429:R429">_xlfn.XLOOKUP(B429,'OA名单'!B:B,'OA名单'!F:F)</f>
      </c>
      <c r="S429" s="63">
        <f t="shared" si="10"/>
      </c>
      <c r="T429" s="70"/>
      <c r="U429" s="63" cm="1">
        <f t="array" ref="U429:U429">_xlfn.XLOOKUP(N429,'OA名单'!B:B,'OA名单'!E:E)</f>
      </c>
      <c r="V429" s="63">
        <f t="shared" si="12"/>
      </c>
      <c r="W429" s="71"/>
      <c r="X429" s="66"/>
      <c r="Y429" s="66"/>
    </row>
    <row hidden="true" r="430">
      <c r="A430" s="66"/>
      <c r="B430" s="66" t="s">
        <v>13770</v>
      </c>
      <c r="C430" s="67" t="s">
        <v>12713</v>
      </c>
      <c r="D430" s="67" t="s">
        <v>12714</v>
      </c>
      <c r="E430" s="66" t="s">
        <v>12749</v>
      </c>
      <c r="F430" s="66" t="s">
        <v>13335</v>
      </c>
      <c r="G430" s="66" t="s">
        <v>13727</v>
      </c>
      <c r="H430" s="66" t="s">
        <v>13771</v>
      </c>
      <c r="I430" s="68">
        <v>0.95233</v>
      </c>
      <c r="J430" s="69">
        <v>0.95</v>
      </c>
      <c r="K430" s="66">
        <v>0.95</v>
      </c>
      <c r="L430" s="66">
        <v>3142.52</v>
      </c>
      <c r="M430" s="66">
        <v>3000</v>
      </c>
      <c r="N430" s="63" cm="1">
        <f t="array" ref="N430:N430">_xlfn.XLOOKUP(H430,'OA名单'!C:C,'OA名单'!B:B,1)</f>
      </c>
      <c r="O430" s="63">
        <f t="shared" si="8"/>
      </c>
      <c r="P430" s="63" cm="1">
        <f t="array" ref="P430:P430">_xlfn.XLOOKUP(N430,'OA名单'!B:B,'OA名单'!G:G)</f>
      </c>
      <c r="Q430" s="63">
        <f t="shared" si="11"/>
      </c>
      <c r="R430" s="63" cm="1">
        <f t="array" ref="R430:R430">_xlfn.XLOOKUP(B430,'OA名单'!B:B,'OA名单'!F:F)</f>
      </c>
      <c r="S430" s="63">
        <f t="shared" si="10"/>
      </c>
      <c r="T430" s="70"/>
      <c r="U430" s="63" cm="1">
        <f t="array" ref="U430:U430">_xlfn.XLOOKUP(N430,'OA名单'!B:B,'OA名单'!E:E)</f>
      </c>
      <c r="V430" s="63">
        <f t="shared" si="12"/>
      </c>
      <c r="W430" s="71"/>
      <c r="X430" s="66"/>
      <c r="Y430" s="66"/>
    </row>
    <row hidden="true" r="431">
      <c r="A431" s="66"/>
      <c r="B431" s="66" t="s">
        <v>13772</v>
      </c>
      <c r="C431" s="67" t="s">
        <v>12713</v>
      </c>
      <c r="D431" s="67" t="s">
        <v>12714</v>
      </c>
      <c r="E431" s="66" t="s">
        <v>12749</v>
      </c>
      <c r="F431" s="66" t="s">
        <v>13335</v>
      </c>
      <c r="G431" s="66" t="s">
        <v>13727</v>
      </c>
      <c r="H431" s="66" t="s">
        <v>13773</v>
      </c>
      <c r="I431" s="68">
        <v>1.01138</v>
      </c>
      <c r="J431" s="69">
        <v>0.95</v>
      </c>
      <c r="K431" s="66">
        <v>0.95</v>
      </c>
      <c r="L431" s="66">
        <v>1895.49</v>
      </c>
      <c r="M431" s="66">
        <v>2000</v>
      </c>
      <c r="N431" s="63" cm="1">
        <f t="array" ref="N431:N431">_xlfn.XLOOKUP(H431,'OA名单'!C:C,'OA名单'!B:B,1)</f>
      </c>
      <c r="O431" s="63">
        <f t="shared" si="8"/>
      </c>
      <c r="P431" s="63" cm="1">
        <f t="array" ref="P431:P431">_xlfn.XLOOKUP(N431,'OA名单'!B:B,'OA名单'!G:G)</f>
      </c>
      <c r="Q431" s="63">
        <f t="shared" si="11"/>
      </c>
      <c r="R431" s="63" cm="1">
        <f t="array" ref="R431:R431">_xlfn.XLOOKUP(B431,'OA名单'!B:B,'OA名单'!F:F)</f>
      </c>
      <c r="S431" s="63">
        <f t="shared" si="10"/>
      </c>
      <c r="T431" s="70"/>
      <c r="U431" s="63" cm="1">
        <f t="array" ref="U431:U431">_xlfn.XLOOKUP(N431,'OA名单'!B:B,'OA名单'!E:E)</f>
      </c>
      <c r="V431" s="63">
        <f t="shared" si="12"/>
      </c>
      <c r="W431" s="71"/>
      <c r="X431" s="66"/>
      <c r="Y431" s="66"/>
    </row>
    <row hidden="true" r="432">
      <c r="A432" s="66"/>
      <c r="B432" s="66" t="s">
        <v>13774</v>
      </c>
      <c r="C432" s="67" t="s">
        <v>12713</v>
      </c>
      <c r="D432" s="67" t="s">
        <v>12714</v>
      </c>
      <c r="E432" s="66" t="s">
        <v>12749</v>
      </c>
      <c r="F432" s="66" t="s">
        <v>13335</v>
      </c>
      <c r="G432" s="66" t="s">
        <v>13727</v>
      </c>
      <c r="H432" s="66" t="s">
        <v>13775</v>
      </c>
      <c r="I432" s="68">
        <v>0.76405</v>
      </c>
      <c r="J432" s="69">
        <v>0.95</v>
      </c>
      <c r="K432" s="66">
        <v>0.95</v>
      </c>
      <c r="L432" s="66">
        <v>0</v>
      </c>
      <c r="M432" s="66">
        <v>2000</v>
      </c>
      <c r="N432" s="63" cm="1">
        <f t="array" ref="N432:N432">_xlfn.XLOOKUP(H432,'OA名单'!C:C,'OA名单'!B:B,1)</f>
      </c>
      <c r="O432" s="63">
        <f t="shared" si="8"/>
      </c>
      <c r="P432" s="63" cm="1">
        <f t="array" ref="P432:P432">_xlfn.XLOOKUP(N432,'OA名单'!B:B,'OA名单'!G:G)</f>
      </c>
      <c r="Q432" s="63">
        <f t="shared" si="11"/>
      </c>
      <c r="R432" s="63" cm="1">
        <f t="array" ref="R432:R432">_xlfn.XLOOKUP(B432,'OA名单'!B:B,'OA名单'!F:F)</f>
      </c>
      <c r="S432" s="63">
        <f t="shared" si="10"/>
      </c>
      <c r="T432" s="70"/>
      <c r="U432" s="63" cm="1">
        <f t="array" ref="U432:U432">_xlfn.XLOOKUP(N432,'OA名单'!B:B,'OA名单'!E:E)</f>
      </c>
      <c r="V432" s="63">
        <f t="shared" si="12"/>
      </c>
      <c r="W432" s="71"/>
      <c r="X432" s="66"/>
      <c r="Y432" s="66"/>
    </row>
    <row hidden="true" r="433">
      <c r="A433" s="66"/>
      <c r="B433" s="66" t="s">
        <v>13776</v>
      </c>
      <c r="C433" s="67" t="s">
        <v>12713</v>
      </c>
      <c r="D433" s="67" t="s">
        <v>12714</v>
      </c>
      <c r="E433" s="66" t="s">
        <v>13016</v>
      </c>
      <c r="F433" s="66" t="s">
        <v>13046</v>
      </c>
      <c r="G433" s="66" t="s">
        <v>13161</v>
      </c>
      <c r="H433" s="66" t="s">
        <v>13777</v>
      </c>
      <c r="I433" s="68">
        <v>0.95</v>
      </c>
      <c r="J433" s="69">
        <v>0.95</v>
      </c>
      <c r="K433" s="66">
        <v>0.95</v>
      </c>
      <c r="L433" s="66">
        <v>3230</v>
      </c>
      <c r="M433" s="66">
        <v>3400</v>
      </c>
      <c r="N433" s="63" cm="1">
        <f t="array" ref="N433:N433">_xlfn.XLOOKUP(H433,'OA名单'!C:C,'OA名单'!B:B,1)</f>
      </c>
      <c r="O433" s="63">
        <f t="shared" si="8"/>
      </c>
      <c r="P433" s="63" cm="1">
        <f t="array" ref="P433:P433">_xlfn.XLOOKUP(N433,'OA名单'!B:B,'OA名单'!G:G)</f>
      </c>
      <c r="Q433" s="63">
        <f t="shared" si="11"/>
      </c>
      <c r="R433" s="63" cm="1">
        <f t="array" ref="R433:R433">_xlfn.XLOOKUP(B433,'OA名单'!B:B,'OA名单'!F:F)</f>
      </c>
      <c r="S433" s="63">
        <f t="shared" si="10"/>
      </c>
      <c r="T433" s="70"/>
      <c r="U433" s="63" cm="1">
        <f t="array" ref="U433:U433">_xlfn.XLOOKUP(N433,'OA名单'!B:B,'OA名单'!E:E)</f>
      </c>
      <c r="V433" s="63">
        <f t="shared" si="12"/>
      </c>
      <c r="W433" s="71"/>
      <c r="X433" s="66"/>
      <c r="Y433" s="66"/>
    </row>
    <row hidden="true" r="434">
      <c r="A434" s="66"/>
      <c r="B434" s="66" t="s">
        <v>13778</v>
      </c>
      <c r="C434" s="67" t="s">
        <v>12713</v>
      </c>
      <c r="D434" s="67" t="s">
        <v>12714</v>
      </c>
      <c r="E434" s="66" t="s">
        <v>13146</v>
      </c>
      <c r="F434" s="66" t="s">
        <v>13484</v>
      </c>
      <c r="G434" s="66" t="s">
        <v>13779</v>
      </c>
      <c r="H434" s="66" t="s">
        <v>13780</v>
      </c>
      <c r="I434" s="68">
        <v>0.954</v>
      </c>
      <c r="J434" s="69">
        <v>0.95</v>
      </c>
      <c r="K434" s="66">
        <v>0.95</v>
      </c>
      <c r="L434" s="66">
        <v>2102.4</v>
      </c>
      <c r="M434" s="66">
        <v>2000</v>
      </c>
      <c r="N434" s="63" cm="1">
        <f t="array" ref="N434:N434">_xlfn.XLOOKUP(H434,'OA名单'!C:C,'OA名单'!B:B,1)</f>
      </c>
      <c r="O434" s="63">
        <f t="shared" si="8"/>
      </c>
      <c r="P434" s="63" cm="1">
        <f t="array" ref="P434:P434">_xlfn.XLOOKUP(N434,'OA名单'!B:B,'OA名单'!G:G)</f>
      </c>
      <c r="Q434" s="63">
        <f t="shared" si="11"/>
      </c>
      <c r="R434" s="63" cm="1">
        <f t="array" ref="R434:R434">_xlfn.XLOOKUP(B434,'OA名单'!B:B,'OA名单'!F:F)</f>
      </c>
      <c r="S434" s="63">
        <f t="shared" si="10"/>
      </c>
      <c r="T434" s="70"/>
      <c r="U434" s="63" cm="1">
        <f t="array" ref="U434:U434">_xlfn.XLOOKUP(N434,'OA名单'!B:B,'OA名单'!E:E)</f>
      </c>
      <c r="V434" s="63">
        <f t="shared" si="12"/>
      </c>
      <c r="W434" s="71"/>
      <c r="X434" s="66"/>
      <c r="Y434" s="66"/>
    </row>
    <row hidden="true" r="435">
      <c r="A435" s="66"/>
      <c r="B435" s="66" t="s">
        <v>13781</v>
      </c>
      <c r="C435" s="67" t="s">
        <v>12713</v>
      </c>
      <c r="D435" s="67" t="s">
        <v>12714</v>
      </c>
      <c r="E435" s="66" t="s">
        <v>13027</v>
      </c>
      <c r="F435" s="66" t="s">
        <v>13511</v>
      </c>
      <c r="G435" s="66" t="s">
        <v>13512</v>
      </c>
      <c r="H435" s="66" t="s">
        <v>13782</v>
      </c>
      <c r="I435" s="68">
        <v>0.957</v>
      </c>
      <c r="J435" s="69">
        <v>0.95</v>
      </c>
      <c r="K435" s="66">
        <v>0.95</v>
      </c>
      <c r="L435" s="66">
        <v>1140</v>
      </c>
      <c r="M435" s="66">
        <v>1200</v>
      </c>
      <c r="N435" s="63" cm="1">
        <f t="array" ref="N435:N435">_xlfn.XLOOKUP(H435,'OA名单'!C:C,'OA名单'!B:B,1)</f>
      </c>
      <c r="O435" s="63">
        <f t="shared" si="8"/>
      </c>
      <c r="P435" s="63" cm="1">
        <f t="array" ref="P435:P435">_xlfn.XLOOKUP(N435,'OA名单'!B:B,'OA名单'!G:G)</f>
      </c>
      <c r="Q435" s="63">
        <f t="shared" si="11"/>
      </c>
      <c r="R435" s="63" cm="1">
        <f t="array" ref="R435:R435">_xlfn.XLOOKUP(B435,'OA名单'!B:B,'OA名单'!F:F)</f>
      </c>
      <c r="S435" s="63">
        <f t="shared" si="10"/>
      </c>
      <c r="T435" s="70"/>
      <c r="U435" s="63" cm="1">
        <f t="array" ref="U435:U435">_xlfn.XLOOKUP(N435,'OA名单'!B:B,'OA名单'!E:E)</f>
      </c>
      <c r="V435" s="63">
        <f t="shared" si="12"/>
      </c>
      <c r="W435" s="71"/>
      <c r="X435" s="66"/>
      <c r="Y435" s="66"/>
    </row>
    <row hidden="true" r="436">
      <c r="A436" s="66"/>
      <c r="B436" s="66" t="s">
        <v>13783</v>
      </c>
      <c r="C436" s="67" t="s">
        <v>12713</v>
      </c>
      <c r="D436" s="67" t="s">
        <v>12714</v>
      </c>
      <c r="E436" s="66" t="s">
        <v>12749</v>
      </c>
      <c r="F436" s="66" t="s">
        <v>13120</v>
      </c>
      <c r="G436" s="66" t="s">
        <v>13361</v>
      </c>
      <c r="H436" s="66" t="s">
        <v>13784</v>
      </c>
      <c r="I436" s="68">
        <v>0.95</v>
      </c>
      <c r="J436" s="69">
        <v>0.95</v>
      </c>
      <c r="K436" s="66">
        <v>0.95</v>
      </c>
      <c r="L436" s="66">
        <v>3055.56</v>
      </c>
      <c r="M436" s="66">
        <v>3000</v>
      </c>
      <c r="N436" s="63" cm="1">
        <f t="array" ref="N436:N436">_xlfn.XLOOKUP(H436,'OA名单'!C:C,'OA名单'!B:B,1)</f>
      </c>
      <c r="O436" s="63">
        <f t="shared" si="8"/>
      </c>
      <c r="P436" s="63" cm="1">
        <f t="array" ref="P436:P436">_xlfn.XLOOKUP(N436,'OA名单'!B:B,'OA名单'!G:G)</f>
      </c>
      <c r="Q436" s="63">
        <f t="shared" si="11"/>
      </c>
      <c r="R436" s="63" cm="1">
        <f t="array" ref="R436:R436">_xlfn.XLOOKUP(B436,'OA名单'!B:B,'OA名单'!F:F)</f>
      </c>
      <c r="S436" s="63">
        <f t="shared" si="10"/>
      </c>
      <c r="T436" s="70"/>
      <c r="U436" s="63" cm="1">
        <f t="array" ref="U436:U436">_xlfn.XLOOKUP(N436,'OA名单'!B:B,'OA名单'!E:E)</f>
      </c>
      <c r="V436" s="63">
        <f t="shared" si="12"/>
      </c>
      <c r="W436" s="71"/>
      <c r="X436" s="66"/>
      <c r="Y436" s="66"/>
    </row>
    <row hidden="true" r="437">
      <c r="A437" s="66"/>
      <c r="B437" s="66" t="s">
        <v>13785</v>
      </c>
      <c r="C437" s="67" t="s">
        <v>12713</v>
      </c>
      <c r="D437" s="67" t="s">
        <v>12714</v>
      </c>
      <c r="E437" s="66" t="s">
        <v>12749</v>
      </c>
      <c r="F437" s="66" t="s">
        <v>13381</v>
      </c>
      <c r="G437" s="66" t="s">
        <v>13786</v>
      </c>
      <c r="H437" s="66" t="s">
        <v>13787</v>
      </c>
      <c r="I437" s="68">
        <v>0.7</v>
      </c>
      <c r="J437" s="69">
        <v>0.95</v>
      </c>
      <c r="K437" s="66">
        <v>0.95</v>
      </c>
      <c r="L437" s="66">
        <v>1200</v>
      </c>
      <c r="M437" s="66">
        <v>1200</v>
      </c>
      <c r="N437" s="63" cm="1">
        <f t="array" ref="N437:N437">_xlfn.XLOOKUP(H437,'OA名单'!C:C,'OA名单'!B:B,1)</f>
      </c>
      <c r="O437" s="63">
        <f t="shared" si="8"/>
      </c>
      <c r="P437" s="63" cm="1">
        <f t="array" ref="P437:P437">_xlfn.XLOOKUP(N437,'OA名单'!B:B,'OA名单'!G:G)</f>
      </c>
      <c r="Q437" s="63">
        <f t="shared" si="11"/>
      </c>
      <c r="R437" s="63" cm="1">
        <f t="array" ref="R437:R437">_xlfn.XLOOKUP(B437,'OA名单'!B:B,'OA名单'!F:F)</f>
      </c>
      <c r="S437" s="63">
        <f t="shared" si="10"/>
      </c>
      <c r="T437" s="70"/>
      <c r="U437" s="63" cm="1">
        <f t="array" ref="U437:U437">_xlfn.XLOOKUP(N437,'OA名单'!B:B,'OA名单'!E:E)</f>
      </c>
      <c r="V437" s="63">
        <f t="shared" si="12"/>
      </c>
      <c r="W437" s="71"/>
      <c r="X437" s="66"/>
      <c r="Y437" s="66"/>
    </row>
    <row hidden="true" r="438">
      <c r="A438" s="66"/>
      <c r="B438" s="66" t="s">
        <v>13788</v>
      </c>
      <c r="C438" s="67" t="s">
        <v>12713</v>
      </c>
      <c r="D438" s="67" t="s">
        <v>12714</v>
      </c>
      <c r="E438" s="66" t="s">
        <v>12956</v>
      </c>
      <c r="F438" s="66" t="s">
        <v>13536</v>
      </c>
      <c r="G438" s="66" t="s">
        <v>13401</v>
      </c>
      <c r="H438" s="66" t="s">
        <v>13789</v>
      </c>
      <c r="I438" s="68">
        <v>0.945</v>
      </c>
      <c r="J438" s="69">
        <v>0.95</v>
      </c>
      <c r="K438" s="66">
        <v>0.95</v>
      </c>
      <c r="L438" s="66">
        <v>4559</v>
      </c>
      <c r="M438" s="66">
        <v>5000</v>
      </c>
      <c r="N438" s="63" cm="1">
        <f t="array" ref="N438:N438">_xlfn.XLOOKUP(H438,'OA名单'!C:C,'OA名单'!B:B,1)</f>
      </c>
      <c r="O438" s="63">
        <f t="shared" si="8"/>
      </c>
      <c r="P438" s="63" cm="1">
        <f t="array" ref="P438:P438">_xlfn.XLOOKUP(N438,'OA名单'!B:B,'OA名单'!G:G)</f>
      </c>
      <c r="Q438" s="63">
        <f t="shared" si="11"/>
      </c>
      <c r="R438" s="63" cm="1">
        <f t="array" ref="R438:R438">_xlfn.XLOOKUP(B438,'OA名单'!B:B,'OA名单'!F:F)</f>
      </c>
      <c r="S438" s="63">
        <f t="shared" si="10"/>
      </c>
      <c r="T438" s="70"/>
      <c r="U438" s="63" cm="1">
        <f t="array" ref="U438:U438">_xlfn.XLOOKUP(N438,'OA名单'!B:B,'OA名单'!E:E)</f>
      </c>
      <c r="V438" s="63">
        <f t="shared" si="12"/>
      </c>
      <c r="W438" s="71"/>
      <c r="X438" s="66"/>
      <c r="Y438" s="66"/>
    </row>
    <row hidden="true" r="439">
      <c r="A439" s="66"/>
      <c r="B439" s="66" t="s">
        <v>13790</v>
      </c>
      <c r="C439" s="67" t="s">
        <v>12713</v>
      </c>
      <c r="D439" s="67" t="s">
        <v>12714</v>
      </c>
      <c r="E439" s="66" t="s">
        <v>12749</v>
      </c>
      <c r="F439" s="66" t="s">
        <v>13132</v>
      </c>
      <c r="G439" s="66" t="s">
        <v>13626</v>
      </c>
      <c r="H439" s="66" t="s">
        <v>13791</v>
      </c>
      <c r="I439" s="68">
        <v>0.9525</v>
      </c>
      <c r="J439" s="69">
        <v>0.95</v>
      </c>
      <c r="K439" s="66">
        <v>0.95</v>
      </c>
      <c r="L439" s="66">
        <v>3097.83</v>
      </c>
      <c r="M439" s="66">
        <v>3000</v>
      </c>
      <c r="N439" s="63" cm="1">
        <f t="array" ref="N439:N439">_xlfn.XLOOKUP(H439,'OA名单'!C:C,'OA名单'!B:B,1)</f>
      </c>
      <c r="O439" s="63">
        <f t="shared" si="8"/>
      </c>
      <c r="P439" s="63" cm="1">
        <f t="array" ref="P439:P439">_xlfn.XLOOKUP(N439,'OA名单'!B:B,'OA名单'!G:G)</f>
      </c>
      <c r="Q439" s="63">
        <f t="shared" si="11"/>
      </c>
      <c r="R439" s="63" cm="1">
        <f t="array" ref="R439:R439">_xlfn.XLOOKUP(B439,'OA名单'!B:B,'OA名单'!F:F)</f>
      </c>
      <c r="S439" s="63">
        <f t="shared" si="10"/>
      </c>
      <c r="T439" s="70"/>
      <c r="U439" s="63" cm="1">
        <f t="array" ref="U439:U439">_xlfn.XLOOKUP(N439,'OA名单'!B:B,'OA名单'!E:E)</f>
      </c>
      <c r="V439" s="63">
        <f t="shared" si="12"/>
      </c>
      <c r="W439" s="71"/>
      <c r="X439" s="66"/>
      <c r="Y439" s="66"/>
    </row>
    <row hidden="true" r="440">
      <c r="A440" s="66"/>
      <c r="B440" s="66" t="s">
        <v>13792</v>
      </c>
      <c r="C440" s="67" t="s">
        <v>12713</v>
      </c>
      <c r="D440" s="67" t="s">
        <v>12714</v>
      </c>
      <c r="E440" s="66" t="s">
        <v>12749</v>
      </c>
      <c r="F440" s="66" t="s">
        <v>13132</v>
      </c>
      <c r="G440" s="66" t="s">
        <v>12751</v>
      </c>
      <c r="H440" s="66" t="s">
        <v>13793</v>
      </c>
      <c r="I440" s="68">
        <v>0.95</v>
      </c>
      <c r="J440" s="69">
        <v>0.95</v>
      </c>
      <c r="K440" s="66">
        <v>0.95</v>
      </c>
      <c r="L440" s="66">
        <v>4646.74</v>
      </c>
      <c r="M440" s="66">
        <v>5000</v>
      </c>
      <c r="N440" s="63" cm="1">
        <f t="array" ref="N440:N440">_xlfn.XLOOKUP(H440,'OA名单'!C:C,'OA名单'!B:B,1)</f>
      </c>
      <c r="O440" s="63">
        <f t="shared" si="8"/>
      </c>
      <c r="P440" s="63" cm="1">
        <f t="array" ref="P440:P440">_xlfn.XLOOKUP(N440,'OA名单'!B:B,'OA名单'!G:G)</f>
      </c>
      <c r="Q440" s="63">
        <f t="shared" si="11"/>
      </c>
      <c r="R440" s="63" cm="1">
        <f t="array" ref="R440:R440">_xlfn.XLOOKUP(B440,'OA名单'!B:B,'OA名单'!F:F)</f>
      </c>
      <c r="S440" s="63">
        <f t="shared" si="10"/>
      </c>
      <c r="T440" s="70"/>
      <c r="U440" s="63" cm="1">
        <f t="array" ref="U440:U440">_xlfn.XLOOKUP(N440,'OA名单'!B:B,'OA名单'!E:E)</f>
      </c>
      <c r="V440" s="63">
        <f t="shared" si="12"/>
      </c>
      <c r="W440" s="71"/>
      <c r="X440" s="66"/>
      <c r="Y440" s="66"/>
    </row>
    <row hidden="true" r="441">
      <c r="A441" s="66"/>
      <c r="B441" s="66" t="s">
        <v>13794</v>
      </c>
      <c r="C441" s="67" t="s">
        <v>12713</v>
      </c>
      <c r="D441" s="67" t="s">
        <v>12714</v>
      </c>
      <c r="E441" s="66" t="s">
        <v>13318</v>
      </c>
      <c r="F441" s="66" t="s">
        <v>13385</v>
      </c>
      <c r="G441" s="66" t="s">
        <v>13682</v>
      </c>
      <c r="H441" s="66" t="s">
        <v>13795</v>
      </c>
      <c r="I441" s="68">
        <v>0.949</v>
      </c>
      <c r="J441" s="69">
        <v>0.95</v>
      </c>
      <c r="K441" s="66">
        <v>0.95</v>
      </c>
      <c r="L441" s="66">
        <v>0</v>
      </c>
      <c r="M441" s="66">
        <v>5000</v>
      </c>
      <c r="N441" s="63" cm="1">
        <f t="array" ref="N441:N441">_xlfn.XLOOKUP(H441,'OA名单'!C:C,'OA名单'!B:B,1)</f>
      </c>
      <c r="O441" s="63">
        <f t="shared" si="8"/>
      </c>
      <c r="P441" s="63" cm="1">
        <f t="array" ref="P441:P441">_xlfn.XLOOKUP(N441,'OA名单'!B:B,'OA名单'!G:G)</f>
      </c>
      <c r="Q441" s="63">
        <f t="shared" si="11"/>
      </c>
      <c r="R441" s="63" cm="1">
        <f t="array" ref="R441:R441">_xlfn.XLOOKUP(B441,'OA名单'!B:B,'OA名单'!F:F)</f>
      </c>
      <c r="S441" s="63">
        <f t="shared" si="10"/>
      </c>
      <c r="T441" s="70"/>
      <c r="U441" s="63" cm="1">
        <f t="array" ref="U441:U441">_xlfn.XLOOKUP(N441,'OA名单'!B:B,'OA名单'!E:E)</f>
      </c>
      <c r="V441" s="63">
        <f t="shared" si="12"/>
      </c>
      <c r="W441" s="71"/>
      <c r="X441" s="66"/>
      <c r="Y441" s="66"/>
    </row>
    <row hidden="true" r="442">
      <c r="A442" s="66"/>
      <c r="B442" s="66" t="s">
        <v>13796</v>
      </c>
      <c r="C442" s="67" t="s">
        <v>12713</v>
      </c>
      <c r="D442" s="67" t="s">
        <v>12714</v>
      </c>
      <c r="E442" s="66" t="s">
        <v>12776</v>
      </c>
      <c r="F442" s="66" t="s">
        <v>13575</v>
      </c>
      <c r="G442" s="66" t="s">
        <v>13576</v>
      </c>
      <c r="H442" s="66" t="s">
        <v>13797</v>
      </c>
      <c r="I442" s="68">
        <v>1.2125</v>
      </c>
      <c r="J442" s="69">
        <v>0.95</v>
      </c>
      <c r="K442" s="66">
        <v>0.95</v>
      </c>
      <c r="L442" s="66">
        <v>4750</v>
      </c>
      <c r="M442" s="66">
        <v>5000</v>
      </c>
      <c r="N442" s="63" cm="1">
        <f t="array" ref="N442:N442">_xlfn.XLOOKUP(H442,'OA名单'!C:C,'OA名单'!B:B,1)</f>
      </c>
      <c r="O442" s="63">
        <f t="shared" si="8"/>
      </c>
      <c r="P442" s="63" cm="1">
        <f t="array" ref="P442:P442">_xlfn.XLOOKUP(N442,'OA名单'!B:B,'OA名单'!G:G)</f>
      </c>
      <c r="Q442" s="63">
        <f t="shared" si="11"/>
      </c>
      <c r="R442" s="63" cm="1">
        <f t="array" ref="R442:R442">_xlfn.XLOOKUP(B442,'OA名单'!B:B,'OA名单'!F:F)</f>
      </c>
      <c r="S442" s="63">
        <f t="shared" si="10"/>
      </c>
      <c r="T442" s="70"/>
      <c r="U442" s="63" cm="1">
        <f t="array" ref="U442:U442">_xlfn.XLOOKUP(N442,'OA名单'!B:B,'OA名单'!E:E)</f>
      </c>
      <c r="V442" s="63">
        <f t="shared" si="12"/>
      </c>
      <c r="W442" s="71"/>
      <c r="X442" s="66"/>
      <c r="Y442" s="66"/>
    </row>
    <row hidden="true" r="443">
      <c r="A443" s="66"/>
      <c r="B443" s="66" t="s">
        <v>13798</v>
      </c>
      <c r="C443" s="67" t="s">
        <v>12713</v>
      </c>
      <c r="D443" s="67" t="s">
        <v>12714</v>
      </c>
      <c r="E443" s="66" t="s">
        <v>12956</v>
      </c>
      <c r="F443" s="66" t="s">
        <v>13264</v>
      </c>
      <c r="G443" s="66" t="s">
        <v>13537</v>
      </c>
      <c r="H443" s="66" t="s">
        <v>13799</v>
      </c>
      <c r="I443" s="68">
        <v>0.95</v>
      </c>
      <c r="J443" s="69">
        <v>0.95</v>
      </c>
      <c r="K443" s="66">
        <v>0.95</v>
      </c>
      <c r="L443" s="66">
        <v>0</v>
      </c>
      <c r="M443" s="66">
        <v>3400</v>
      </c>
      <c r="N443" s="63" cm="1">
        <f t="array" ref="N443:N443">_xlfn.XLOOKUP(H443,'OA名单'!C:C,'OA名单'!B:B,1)</f>
      </c>
      <c r="O443" s="63">
        <f t="shared" si="8"/>
      </c>
      <c r="P443" s="63" cm="1">
        <f t="array" ref="P443:P443">_xlfn.XLOOKUP(N443,'OA名单'!B:B,'OA名单'!G:G)</f>
      </c>
      <c r="Q443" s="63">
        <f t="shared" si="11"/>
      </c>
      <c r="R443" s="63" cm="1">
        <f t="array" ref="R443:R443">_xlfn.XLOOKUP(B443,'OA名单'!B:B,'OA名单'!F:F)</f>
      </c>
      <c r="S443" s="63">
        <f t="shared" si="10"/>
      </c>
      <c r="T443" s="70"/>
      <c r="U443" s="63" cm="1">
        <f t="array" ref="U443:U443">_xlfn.XLOOKUP(N443,'OA名单'!B:B,'OA名单'!E:E)</f>
      </c>
      <c r="V443" s="63">
        <f t="shared" si="12"/>
      </c>
      <c r="W443" s="71"/>
      <c r="X443" s="66"/>
      <c r="Y443" s="66"/>
    </row>
    <row hidden="true" r="444">
      <c r="A444" s="66"/>
      <c r="B444" s="66" t="s">
        <v>13800</v>
      </c>
      <c r="C444" s="67" t="s">
        <v>12713</v>
      </c>
      <c r="D444" s="67" t="s">
        <v>12714</v>
      </c>
      <c r="E444" s="66" t="s">
        <v>12956</v>
      </c>
      <c r="F444" s="66" t="s">
        <v>13400</v>
      </c>
      <c r="G444" s="66" t="s">
        <v>13401</v>
      </c>
      <c r="H444" s="66" t="s">
        <v>13801</v>
      </c>
      <c r="I444" s="68">
        <v>0.95</v>
      </c>
      <c r="J444" s="69">
        <v>0.95</v>
      </c>
      <c r="K444" s="66">
        <v>0.95</v>
      </c>
      <c r="L444" s="66">
        <v>1970</v>
      </c>
      <c r="M444" s="66">
        <v>2000</v>
      </c>
      <c r="N444" s="63" cm="1">
        <f t="array" ref="N444:N444">_xlfn.XLOOKUP(H444,'OA名单'!C:C,'OA名单'!B:B,1)</f>
      </c>
      <c r="O444" s="63">
        <f t="shared" si="8"/>
      </c>
      <c r="P444" s="63" cm="1">
        <f t="array" ref="P444:P444">_xlfn.XLOOKUP(N444,'OA名单'!B:B,'OA名单'!G:G)</f>
      </c>
      <c r="Q444" s="63">
        <f t="shared" si="11"/>
      </c>
      <c r="R444" s="63" cm="1">
        <f t="array" ref="R444:R444">_xlfn.XLOOKUP(B444,'OA名单'!B:B,'OA名单'!F:F)</f>
      </c>
      <c r="S444" s="63">
        <f t="shared" si="10"/>
      </c>
      <c r="T444" s="70"/>
      <c r="U444" s="63" cm="1">
        <f t="array" ref="U444:U444">_xlfn.XLOOKUP(N444,'OA名单'!B:B,'OA名单'!E:E)</f>
      </c>
      <c r="V444" s="63">
        <f t="shared" si="12"/>
      </c>
      <c r="W444" s="71"/>
      <c r="X444" s="66"/>
      <c r="Y444" s="66"/>
    </row>
    <row hidden="true" r="445">
      <c r="A445" s="66"/>
      <c r="B445" s="66" t="s">
        <v>13802</v>
      </c>
      <c r="C445" s="67" t="s">
        <v>12713</v>
      </c>
      <c r="D445" s="67" t="s">
        <v>12714</v>
      </c>
      <c r="E445" s="66" t="s">
        <v>12956</v>
      </c>
      <c r="F445" s="66" t="s">
        <v>13400</v>
      </c>
      <c r="G445" s="66" t="s">
        <v>12751</v>
      </c>
      <c r="H445" s="66" t="s">
        <v>13803</v>
      </c>
      <c r="I445" s="68">
        <v>0.945</v>
      </c>
      <c r="J445" s="69">
        <v>0.95</v>
      </c>
      <c r="K445" s="66">
        <v>0.95</v>
      </c>
      <c r="L445" s="66">
        <v>0</v>
      </c>
      <c r="M445" s="66">
        <v>5000</v>
      </c>
      <c r="N445" s="63" cm="1">
        <f t="array" ref="N445:N445">_xlfn.XLOOKUP(H445,'OA名单'!C:C,'OA名单'!B:B,1)</f>
      </c>
      <c r="O445" s="63">
        <f t="shared" si="8"/>
      </c>
      <c r="P445" s="63" cm="1">
        <f t="array" ref="P445:P445">_xlfn.XLOOKUP(N445,'OA名单'!B:B,'OA名单'!G:G)</f>
      </c>
      <c r="Q445" s="63">
        <f t="shared" si="11"/>
      </c>
      <c r="R445" s="63" cm="1">
        <f t="array" ref="R445:R445">_xlfn.XLOOKUP(B445,'OA名单'!B:B,'OA名单'!F:F)</f>
      </c>
      <c r="S445" s="63">
        <f t="shared" si="10"/>
      </c>
      <c r="T445" s="70"/>
      <c r="U445" s="63" cm="1">
        <f t="array" ref="U445:U445">_xlfn.XLOOKUP(N445,'OA名单'!B:B,'OA名单'!E:E)</f>
      </c>
      <c r="V445" s="63">
        <f t="shared" si="12"/>
      </c>
      <c r="W445" s="71"/>
      <c r="X445" s="66"/>
      <c r="Y445" s="66"/>
    </row>
    <row hidden="true" r="446">
      <c r="A446" s="66"/>
      <c r="B446" s="66" t="s">
        <v>13804</v>
      </c>
      <c r="C446" s="67" t="s">
        <v>12713</v>
      </c>
      <c r="D446" s="67" t="s">
        <v>12714</v>
      </c>
      <c r="E446" s="66" t="s">
        <v>13277</v>
      </c>
      <c r="F446" s="66" t="s">
        <v>13691</v>
      </c>
      <c r="G446" s="66" t="s">
        <v>13715</v>
      </c>
      <c r="H446" s="66" t="s">
        <v>13805</v>
      </c>
      <c r="I446" s="68">
        <v>0.0095</v>
      </c>
      <c r="J446" s="69">
        <v>0.95</v>
      </c>
      <c r="K446" s="66">
        <v>0.95</v>
      </c>
      <c r="L446" s="66">
        <v>2310</v>
      </c>
      <c r="M446" s="66">
        <v>2100</v>
      </c>
      <c r="N446" s="63" cm="1">
        <f t="array" ref="N446:N446">_xlfn.XLOOKUP(H446,'OA名单'!C:C,'OA名单'!B:B,1)</f>
      </c>
      <c r="O446" s="63">
        <f t="shared" si="8"/>
      </c>
      <c r="P446" s="63" cm="1">
        <f t="array" ref="P446:P446">_xlfn.XLOOKUP(N446,'OA名单'!B:B,'OA名单'!G:G)</f>
      </c>
      <c r="Q446" s="63">
        <f t="shared" si="11"/>
      </c>
      <c r="R446" s="63" cm="1">
        <f t="array" ref="R446:R446">_xlfn.XLOOKUP(B446,'OA名单'!B:B,'OA名单'!F:F)</f>
      </c>
      <c r="S446" s="63">
        <f t="shared" si="10"/>
      </c>
      <c r="T446" s="70"/>
      <c r="U446" s="63" cm="1">
        <f t="array" ref="U446:U446">_xlfn.XLOOKUP(N446,'OA名单'!B:B,'OA名单'!E:E)</f>
      </c>
      <c r="V446" s="63">
        <f t="shared" si="12"/>
      </c>
      <c r="W446" s="71"/>
      <c r="X446" s="66"/>
      <c r="Y446" s="66"/>
    </row>
    <row hidden="true" r="447">
      <c r="A447" s="66"/>
      <c r="B447" s="66" t="s">
        <v>13806</v>
      </c>
      <c r="C447" s="67" t="s">
        <v>12713</v>
      </c>
      <c r="D447" s="67" t="s">
        <v>12714</v>
      </c>
      <c r="E447" s="66" t="s">
        <v>13146</v>
      </c>
      <c r="F447" s="66" t="s">
        <v>13348</v>
      </c>
      <c r="G447" s="66" t="s">
        <v>13349</v>
      </c>
      <c r="H447" s="66" t="s">
        <v>13807</v>
      </c>
      <c r="I447" s="68">
        <v>0.9375</v>
      </c>
      <c r="J447" s="69">
        <v>0.94</v>
      </c>
      <c r="K447" s="66">
        <v>0.94</v>
      </c>
      <c r="L447" s="66">
        <v>1410</v>
      </c>
      <c r="M447" s="66">
        <v>1500</v>
      </c>
      <c r="N447" s="63" cm="1">
        <f t="array" ref="N447:N447">_xlfn.XLOOKUP(H447,'OA名单'!C:C,'OA名单'!B:B,1)</f>
      </c>
      <c r="O447" s="63">
        <f t="shared" si="8"/>
      </c>
      <c r="P447" s="63" cm="1">
        <f t="array" ref="P447:P447">_xlfn.XLOOKUP(N447,'OA名单'!B:B,'OA名单'!G:G)</f>
      </c>
      <c r="Q447" s="63">
        <f t="shared" si="11"/>
      </c>
      <c r="R447" s="63" cm="1">
        <f t="array" ref="R447:R447">_xlfn.XLOOKUP(B447,'OA名单'!B:B,'OA名单'!F:F)</f>
      </c>
      <c r="S447" s="63">
        <f t="shared" si="10"/>
      </c>
      <c r="T447" s="70"/>
      <c r="U447" s="63" cm="1">
        <f t="array" ref="U447:U447">_xlfn.XLOOKUP(N447,'OA名单'!B:B,'OA名单'!E:E)</f>
      </c>
      <c r="V447" s="63">
        <f t="shared" si="12"/>
      </c>
      <c r="W447" s="71"/>
      <c r="X447" s="66"/>
      <c r="Y447" s="66"/>
    </row>
    <row hidden="true" r="448">
      <c r="A448" s="66"/>
      <c r="B448" s="66" t="s">
        <v>13808</v>
      </c>
      <c r="C448" s="67" t="s">
        <v>12713</v>
      </c>
      <c r="D448" s="67" t="s">
        <v>12714</v>
      </c>
      <c r="E448" s="66" t="s">
        <v>12956</v>
      </c>
      <c r="F448" s="66" t="s">
        <v>13050</v>
      </c>
      <c r="G448" s="66" t="s">
        <v>13401</v>
      </c>
      <c r="H448" s="66" t="s">
        <v>13809</v>
      </c>
      <c r="I448" s="68">
        <v>1.04904</v>
      </c>
      <c r="J448" s="69">
        <v>0.94</v>
      </c>
      <c r="K448" s="66">
        <v>0.94</v>
      </c>
      <c r="L448" s="66">
        <v>4000</v>
      </c>
      <c r="M448" s="66">
        <v>4000</v>
      </c>
      <c r="N448" s="63" cm="1">
        <f t="array" ref="N448:N448">_xlfn.XLOOKUP(H448,'OA名单'!C:C,'OA名单'!B:B,1)</f>
      </c>
      <c r="O448" s="63">
        <f t="shared" si="8"/>
      </c>
      <c r="P448" s="63" cm="1">
        <f t="array" ref="P448:P448">_xlfn.XLOOKUP(N448,'OA名单'!B:B,'OA名单'!G:G)</f>
      </c>
      <c r="Q448" s="63">
        <f t="shared" si="11"/>
      </c>
      <c r="R448" s="63" cm="1">
        <f t="array" ref="R448:R448">_xlfn.XLOOKUP(B448,'OA名单'!B:B,'OA名单'!F:F)</f>
      </c>
      <c r="S448" s="63">
        <f t="shared" si="10"/>
      </c>
      <c r="T448" s="70"/>
      <c r="U448" s="63" cm="1">
        <f t="array" ref="U448:U448">_xlfn.XLOOKUP(N448,'OA名单'!B:B,'OA名单'!E:E)</f>
      </c>
      <c r="V448" s="63">
        <f t="shared" si="12"/>
      </c>
      <c r="W448" s="71"/>
      <c r="X448" s="66"/>
      <c r="Y448" s="66"/>
    </row>
    <row hidden="true" r="449">
      <c r="A449" s="66"/>
      <c r="B449" s="66" t="s">
        <v>13810</v>
      </c>
      <c r="C449" s="67" t="s">
        <v>12713</v>
      </c>
      <c r="D449" s="67" t="s">
        <v>12714</v>
      </c>
      <c r="E449" s="66" t="s">
        <v>12956</v>
      </c>
      <c r="F449" s="66" t="s">
        <v>13050</v>
      </c>
      <c r="G449" s="66" t="s">
        <v>13401</v>
      </c>
      <c r="H449" s="66" t="s">
        <v>13811</v>
      </c>
      <c r="I449" s="68">
        <v>1.04904</v>
      </c>
      <c r="J449" s="69">
        <v>0.94</v>
      </c>
      <c r="K449" s="66">
        <v>0.94</v>
      </c>
      <c r="L449" s="66">
        <v>4000</v>
      </c>
      <c r="M449" s="66">
        <v>4000</v>
      </c>
      <c r="N449" s="63" cm="1">
        <f t="array" ref="N449:N449">_xlfn.XLOOKUP(H449,'OA名单'!C:C,'OA名单'!B:B,1)</f>
      </c>
      <c r="O449" s="63">
        <f t="shared" si="8"/>
      </c>
      <c r="P449" s="63" cm="1">
        <f t="array" ref="P449:P449">_xlfn.XLOOKUP(N449,'OA名单'!B:B,'OA名单'!G:G)</f>
      </c>
      <c r="Q449" s="63">
        <f t="shared" si="11"/>
      </c>
      <c r="R449" s="63" cm="1">
        <f t="array" ref="R449:R449">_xlfn.XLOOKUP(B449,'OA名单'!B:B,'OA名单'!F:F)</f>
      </c>
      <c r="S449" s="63">
        <f t="shared" si="10"/>
      </c>
      <c r="T449" s="70"/>
      <c r="U449" s="63" cm="1">
        <f t="array" ref="U449:U449">_xlfn.XLOOKUP(N449,'OA名单'!B:B,'OA名单'!E:E)</f>
      </c>
      <c r="V449" s="63">
        <f t="shared" si="12"/>
      </c>
      <c r="W449" s="71"/>
      <c r="X449" s="66"/>
      <c r="Y449" s="66"/>
    </row>
    <row hidden="true" r="450">
      <c r="A450" s="66"/>
      <c r="B450" s="66" t="s">
        <v>13812</v>
      </c>
      <c r="C450" s="67" t="s">
        <v>12713</v>
      </c>
      <c r="D450" s="67" t="s">
        <v>12714</v>
      </c>
      <c r="E450" s="66" t="s">
        <v>12956</v>
      </c>
      <c r="F450" s="66" t="s">
        <v>13050</v>
      </c>
      <c r="G450" s="66" t="s">
        <v>13051</v>
      </c>
      <c r="H450" s="66" t="s">
        <v>13813</v>
      </c>
      <c r="I450" s="68">
        <v>1.0484</v>
      </c>
      <c r="J450" s="69">
        <v>0.94</v>
      </c>
      <c r="K450" s="66">
        <v>0.94</v>
      </c>
      <c r="L450" s="66">
        <v>3400</v>
      </c>
      <c r="M450" s="66">
        <v>3400</v>
      </c>
      <c r="N450" s="63" cm="1">
        <f t="array" ref="N450:N450">_xlfn.XLOOKUP(H450,'OA名单'!C:C,'OA名单'!B:B,1)</f>
      </c>
      <c r="O450" s="63">
        <f t="shared" si="8"/>
      </c>
      <c r="P450" s="63" cm="1">
        <f t="array" ref="P450:P450">_xlfn.XLOOKUP(N450,'OA名单'!B:B,'OA名单'!G:G)</f>
      </c>
      <c r="Q450" s="63">
        <f t="shared" si="11"/>
      </c>
      <c r="R450" s="63" cm="1">
        <f t="array" ref="R450:R450">_xlfn.XLOOKUP(B450,'OA名单'!B:B,'OA名单'!F:F)</f>
      </c>
      <c r="S450" s="63">
        <f t="shared" si="10"/>
      </c>
      <c r="T450" s="70"/>
      <c r="U450" s="63" cm="1">
        <f t="array" ref="U450:U450">_xlfn.XLOOKUP(N450,'OA名单'!B:B,'OA名单'!E:E)</f>
      </c>
      <c r="V450" s="63">
        <f t="shared" si="12"/>
      </c>
      <c r="W450" s="71"/>
      <c r="X450" s="66"/>
      <c r="Y450" s="66"/>
    </row>
    <row hidden="true" r="451">
      <c r="A451" s="66"/>
      <c r="B451" s="66" t="s">
        <v>13814</v>
      </c>
      <c r="C451" s="67" t="s">
        <v>12713</v>
      </c>
      <c r="D451" s="67" t="s">
        <v>12714</v>
      </c>
      <c r="E451" s="66" t="s">
        <v>12956</v>
      </c>
      <c r="F451" s="66" t="s">
        <v>13050</v>
      </c>
      <c r="G451" s="66" t="s">
        <v>13401</v>
      </c>
      <c r="H451" s="66" t="s">
        <v>13815</v>
      </c>
      <c r="I451" s="68">
        <v>1.04904</v>
      </c>
      <c r="J451" s="69">
        <v>0.94</v>
      </c>
      <c r="K451" s="66">
        <v>0.94</v>
      </c>
      <c r="L451" s="66">
        <v>5000</v>
      </c>
      <c r="M451" s="66">
        <v>5000</v>
      </c>
      <c r="N451" s="63" cm="1">
        <f t="array" ref="N451:N451">_xlfn.XLOOKUP(H451,'OA名单'!C:C,'OA名单'!B:B,1)</f>
      </c>
      <c r="O451" s="63">
        <f t="shared" si="8"/>
      </c>
      <c r="P451" s="63" cm="1">
        <f t="array" ref="P451:P451">_xlfn.XLOOKUP(N451,'OA名单'!B:B,'OA名单'!G:G)</f>
      </c>
      <c r="Q451" s="63">
        <f t="shared" si="11"/>
      </c>
      <c r="R451" s="63" cm="1">
        <f t="array" ref="R451:R451">_xlfn.XLOOKUP(B451,'OA名单'!B:B,'OA名单'!F:F)</f>
      </c>
      <c r="S451" s="63">
        <f t="shared" si="10"/>
      </c>
      <c r="T451" s="70"/>
      <c r="U451" s="63" cm="1">
        <f t="array" ref="U451:U451">_xlfn.XLOOKUP(N451,'OA名单'!B:B,'OA名单'!E:E)</f>
      </c>
      <c r="V451" s="63">
        <f t="shared" si="12"/>
      </c>
      <c r="W451" s="71"/>
      <c r="X451" s="66"/>
      <c r="Y451" s="66"/>
    </row>
    <row hidden="true" r="452">
      <c r="A452" s="66"/>
      <c r="B452" s="66" t="s">
        <v>13816</v>
      </c>
      <c r="C452" s="67" t="s">
        <v>12713</v>
      </c>
      <c r="D452" s="67" t="s">
        <v>12714</v>
      </c>
      <c r="E452" s="66" t="s">
        <v>13097</v>
      </c>
      <c r="F452" s="66" t="s">
        <v>13130</v>
      </c>
      <c r="G452" s="66" t="s">
        <v>13446</v>
      </c>
      <c r="H452" s="66" t="s">
        <v>13817</v>
      </c>
      <c r="I452" s="68">
        <v>0.877</v>
      </c>
      <c r="J452" s="69">
        <v>0.94</v>
      </c>
      <c r="K452" s="66">
        <v>0.94</v>
      </c>
      <c r="L452" s="66">
        <v>10820</v>
      </c>
      <c r="M452" s="66">
        <v>11000</v>
      </c>
      <c r="N452" s="63" cm="1">
        <f t="array" ref="N452:N452">_xlfn.XLOOKUP(H452,'OA名单'!C:C,'OA名单'!B:B,1)</f>
      </c>
      <c r="O452" s="63">
        <f t="shared" si="8"/>
      </c>
      <c r="P452" s="63" cm="1">
        <f t="array" ref="P452:P452">_xlfn.XLOOKUP(N452,'OA名单'!B:B,'OA名单'!G:G)</f>
      </c>
      <c r="Q452" s="63">
        <f t="shared" si="11"/>
      </c>
      <c r="R452" s="63" cm="1">
        <f t="array" ref="R452:R452">_xlfn.XLOOKUP(B452,'OA名单'!B:B,'OA名单'!F:F)</f>
      </c>
      <c r="S452" s="63">
        <f t="shared" si="10"/>
      </c>
      <c r="T452" s="70"/>
      <c r="U452" s="63" cm="1">
        <f t="array" ref="U452:U452">_xlfn.XLOOKUP(N452,'OA名单'!B:B,'OA名单'!E:E)</f>
      </c>
      <c r="V452" s="63">
        <f t="shared" si="12"/>
      </c>
      <c r="W452" s="71"/>
      <c r="X452" s="66"/>
      <c r="Y452" s="66"/>
    </row>
    <row hidden="true" r="453">
      <c r="A453" s="66"/>
      <c r="B453" s="66" t="s">
        <v>13818</v>
      </c>
      <c r="C453" s="67" t="s">
        <v>12713</v>
      </c>
      <c r="D453" s="67" t="s">
        <v>12714</v>
      </c>
      <c r="E453" s="66" t="s">
        <v>13146</v>
      </c>
      <c r="F453" s="66" t="s">
        <v>13147</v>
      </c>
      <c r="G453" s="66" t="s">
        <v>13819</v>
      </c>
      <c r="H453" s="66" t="s">
        <v>13820</v>
      </c>
      <c r="I453" s="68">
        <v>0.95</v>
      </c>
      <c r="J453" s="69">
        <v>0.94</v>
      </c>
      <c r="K453" s="66">
        <v>0.94</v>
      </c>
      <c r="L453" s="66">
        <v>2820</v>
      </c>
      <c r="M453" s="66">
        <v>3000</v>
      </c>
      <c r="N453" s="63" cm="1">
        <f t="array" ref="N453:N453">_xlfn.XLOOKUP(H453,'OA名单'!C:C,'OA名单'!B:B,1)</f>
      </c>
      <c r="O453" s="63">
        <f t="shared" si="8"/>
      </c>
      <c r="P453" s="63" cm="1">
        <f t="array" ref="P453:P453">_xlfn.XLOOKUP(N453,'OA名单'!B:B,'OA名单'!G:G)</f>
      </c>
      <c r="Q453" s="63">
        <f t="shared" si="11"/>
      </c>
      <c r="R453" s="63" cm="1">
        <f t="array" ref="R453:R453">_xlfn.XLOOKUP(B453,'OA名单'!B:B,'OA名单'!F:F)</f>
      </c>
      <c r="S453" s="63">
        <f t="shared" si="10"/>
      </c>
      <c r="T453" s="70"/>
      <c r="U453" s="63" cm="1">
        <f t="array" ref="U453:U453">_xlfn.XLOOKUP(N453,'OA名单'!B:B,'OA名单'!E:E)</f>
      </c>
      <c r="V453" s="63">
        <f t="shared" si="12"/>
      </c>
      <c r="W453" s="71"/>
      <c r="X453" s="66"/>
      <c r="Y453" s="66"/>
    </row>
    <row hidden="true" r="454">
      <c r="A454" s="66"/>
      <c r="B454" s="66" t="s">
        <v>13821</v>
      </c>
      <c r="C454" s="67" t="s">
        <v>12713</v>
      </c>
      <c r="D454" s="67" t="s">
        <v>12714</v>
      </c>
      <c r="E454" s="66" t="s">
        <v>13146</v>
      </c>
      <c r="F454" s="66" t="s">
        <v>13484</v>
      </c>
      <c r="G454" s="66" t="s">
        <v>13822</v>
      </c>
      <c r="H454" s="66" t="s">
        <v>13823</v>
      </c>
      <c r="I454" s="68">
        <v>0.94</v>
      </c>
      <c r="J454" s="69">
        <v>0.94</v>
      </c>
      <c r="K454" s="66">
        <v>0.94</v>
      </c>
      <c r="L454" s="66">
        <v>1222</v>
      </c>
      <c r="M454" s="66">
        <v>1300</v>
      </c>
      <c r="N454" s="63" cm="1">
        <f t="array" ref="N454:N454">_xlfn.XLOOKUP(H454,'OA名单'!C:C,'OA名单'!B:B,1)</f>
      </c>
      <c r="O454" s="63">
        <f t="shared" si="8"/>
      </c>
      <c r="P454" s="63" cm="1">
        <f t="array" ref="P454:P454">_xlfn.XLOOKUP(N454,'OA名单'!B:B,'OA名单'!G:G)</f>
      </c>
      <c r="Q454" s="63">
        <f t="shared" si="11"/>
      </c>
      <c r="R454" s="63" cm="1">
        <f t="array" ref="R454:R454">_xlfn.XLOOKUP(B454,'OA名单'!B:B,'OA名单'!F:F)</f>
      </c>
      <c r="S454" s="63">
        <f t="shared" si="10"/>
      </c>
      <c r="T454" s="70"/>
      <c r="U454" s="63" cm="1">
        <f t="array" ref="U454:U454">_xlfn.XLOOKUP(N454,'OA名单'!B:B,'OA名单'!E:E)</f>
      </c>
      <c r="V454" s="63">
        <f t="shared" si="12"/>
      </c>
      <c r="W454" s="71"/>
      <c r="X454" s="66"/>
      <c r="Y454" s="66"/>
    </row>
    <row hidden="true" r="455">
      <c r="A455" s="66"/>
      <c r="B455" s="66" t="s">
        <v>13824</v>
      </c>
      <c r="C455" s="67" t="s">
        <v>12713</v>
      </c>
      <c r="D455" s="67" t="s">
        <v>12714</v>
      </c>
      <c r="E455" s="66" t="s">
        <v>12776</v>
      </c>
      <c r="F455" s="66" t="s">
        <v>12716</v>
      </c>
      <c r="G455" s="66" t="s">
        <v>13089</v>
      </c>
      <c r="H455" s="66" t="s">
        <v>13825</v>
      </c>
      <c r="I455" s="68">
        <v>0.9643</v>
      </c>
      <c r="J455" s="69">
        <v>0.94</v>
      </c>
      <c r="K455" s="66">
        <v>0.94</v>
      </c>
      <c r="L455" s="66">
        <v>2820</v>
      </c>
      <c r="M455" s="66">
        <v>3000</v>
      </c>
      <c r="N455" s="63" cm="1">
        <f t="array" ref="N455:N455">_xlfn.XLOOKUP(H455,'OA名单'!C:C,'OA名单'!B:B,1)</f>
      </c>
      <c r="O455" s="63">
        <f t="shared" si="8"/>
      </c>
      <c r="P455" s="63" cm="1">
        <f t="array" ref="P455:P455">_xlfn.XLOOKUP(N455,'OA名单'!B:B,'OA名单'!G:G)</f>
      </c>
      <c r="Q455" s="63">
        <f t="shared" si="11"/>
      </c>
      <c r="R455" s="63" cm="1">
        <f t="array" ref="R455:R455">_xlfn.XLOOKUP(B455,'OA名单'!B:B,'OA名单'!F:F)</f>
      </c>
      <c r="S455" s="63">
        <f t="shared" si="10"/>
      </c>
      <c r="T455" s="70"/>
      <c r="U455" s="63" cm="1">
        <f t="array" ref="U455:U455">_xlfn.XLOOKUP(N455,'OA名单'!B:B,'OA名单'!E:E)</f>
      </c>
      <c r="V455" s="63">
        <f t="shared" si="12"/>
      </c>
      <c r="W455" s="71"/>
      <c r="X455" s="66"/>
      <c r="Y455" s="66"/>
    </row>
    <row hidden="true" r="456">
      <c r="A456" s="66"/>
      <c r="B456" s="66" t="s">
        <v>13826</v>
      </c>
      <c r="C456" s="67" t="s">
        <v>12713</v>
      </c>
      <c r="D456" s="67" t="s">
        <v>12714</v>
      </c>
      <c r="E456" s="66" t="s">
        <v>12715</v>
      </c>
      <c r="F456" s="66" t="s">
        <v>13190</v>
      </c>
      <c r="G456" s="66" t="s">
        <v>12982</v>
      </c>
      <c r="H456" s="66" t="s">
        <v>13827</v>
      </c>
      <c r="I456" s="68">
        <v>0.93476</v>
      </c>
      <c r="J456" s="69">
        <v>0.94</v>
      </c>
      <c r="K456" s="66">
        <v>0.94</v>
      </c>
      <c r="L456" s="66">
        <v>1450.48</v>
      </c>
      <c r="M456" s="66">
        <v>1500</v>
      </c>
      <c r="N456" s="63" cm="1">
        <f t="array" ref="N456:N456">_xlfn.XLOOKUP(H456,'OA名单'!C:C,'OA名单'!B:B,1)</f>
      </c>
      <c r="O456" s="63">
        <f t="shared" si="8"/>
      </c>
      <c r="P456" s="63" cm="1">
        <f t="array" ref="P456:P456">_xlfn.XLOOKUP(N456,'OA名单'!B:B,'OA名单'!G:G)</f>
      </c>
      <c r="Q456" s="63">
        <f t="shared" si="11"/>
      </c>
      <c r="R456" s="63" cm="1">
        <f t="array" ref="R456:R456">_xlfn.XLOOKUP(B456,'OA名单'!B:B,'OA名单'!F:F)</f>
      </c>
      <c r="S456" s="63">
        <f t="shared" si="10"/>
      </c>
      <c r="T456" s="70"/>
      <c r="U456" s="63" cm="1">
        <f t="array" ref="U456:U456">_xlfn.XLOOKUP(N456,'OA名单'!B:B,'OA名单'!E:E)</f>
      </c>
      <c r="V456" s="63">
        <f t="shared" si="12"/>
      </c>
      <c r="W456" s="71"/>
      <c r="X456" s="66"/>
      <c r="Y456" s="66"/>
    </row>
    <row hidden="true" r="457">
      <c r="A457" s="66"/>
      <c r="B457" s="66" t="s">
        <v>13828</v>
      </c>
      <c r="C457" s="67" t="s">
        <v>12713</v>
      </c>
      <c r="D457" s="67" t="s">
        <v>12714</v>
      </c>
      <c r="E457" s="66" t="s">
        <v>13011</v>
      </c>
      <c r="F457" s="66" t="s">
        <v>13042</v>
      </c>
      <c r="G457" s="66" t="s">
        <v>13139</v>
      </c>
      <c r="H457" s="66" t="s">
        <v>13829</v>
      </c>
      <c r="I457" s="68">
        <v>1.766065</v>
      </c>
      <c r="J457" s="69">
        <v>0.94</v>
      </c>
      <c r="K457" s="66">
        <v>0.94</v>
      </c>
      <c r="L457" s="66">
        <v>4700</v>
      </c>
      <c r="M457" s="66">
        <v>5000</v>
      </c>
      <c r="N457" s="63" cm="1">
        <f t="array" ref="N457:N457">_xlfn.XLOOKUP(H457,'OA名单'!C:C,'OA名单'!B:B,1)</f>
      </c>
      <c r="O457" s="63">
        <f t="shared" si="8"/>
      </c>
      <c r="P457" s="63" cm="1">
        <f t="array" ref="P457:P457">_xlfn.XLOOKUP(N457,'OA名单'!B:B,'OA名单'!G:G)</f>
      </c>
      <c r="Q457" s="63">
        <f t="shared" si="11"/>
      </c>
      <c r="R457" s="63" cm="1">
        <f t="array" ref="R457:R457">_xlfn.XLOOKUP(B457,'OA名单'!B:B,'OA名单'!F:F)</f>
      </c>
      <c r="S457" s="63">
        <f t="shared" si="10"/>
      </c>
      <c r="T457" s="70"/>
      <c r="U457" s="63" cm="1">
        <f t="array" ref="U457:U457">_xlfn.XLOOKUP(N457,'OA名单'!B:B,'OA名单'!E:E)</f>
      </c>
      <c r="V457" s="63">
        <f t="shared" si="12"/>
      </c>
      <c r="W457" s="71"/>
      <c r="X457" s="66"/>
      <c r="Y457" s="66"/>
    </row>
    <row hidden="true" r="458">
      <c r="A458" s="66"/>
      <c r="B458" s="66" t="s">
        <v>13830</v>
      </c>
      <c r="C458" s="67" t="s">
        <v>12713</v>
      </c>
      <c r="D458" s="67" t="s">
        <v>12714</v>
      </c>
      <c r="E458" s="66" t="s">
        <v>13146</v>
      </c>
      <c r="F458" s="66" t="s">
        <v>13484</v>
      </c>
      <c r="G458" s="66" t="s">
        <v>13831</v>
      </c>
      <c r="H458" s="66" t="s">
        <v>13832</v>
      </c>
      <c r="I458" s="68">
        <v>0.94</v>
      </c>
      <c r="J458" s="69">
        <v>0.94</v>
      </c>
      <c r="K458" s="66">
        <v>0.94</v>
      </c>
      <c r="L458" s="66">
        <v>2045.6</v>
      </c>
      <c r="M458" s="66">
        <v>2000</v>
      </c>
      <c r="N458" s="63" cm="1">
        <f t="array" ref="N458:N458">_xlfn.XLOOKUP(H458,'OA名单'!C:C,'OA名单'!B:B,1)</f>
      </c>
      <c r="O458" s="63">
        <f t="shared" si="8"/>
      </c>
      <c r="P458" s="63" cm="1">
        <f t="array" ref="P458:P458">_xlfn.XLOOKUP(N458,'OA名单'!B:B,'OA名单'!G:G)</f>
      </c>
      <c r="Q458" s="63">
        <f t="shared" si="11"/>
      </c>
      <c r="R458" s="63" cm="1">
        <f t="array" ref="R458:R458">_xlfn.XLOOKUP(B458,'OA名单'!B:B,'OA名单'!F:F)</f>
      </c>
      <c r="S458" s="63">
        <f t="shared" si="10"/>
      </c>
      <c r="T458" s="70"/>
      <c r="U458" s="63" cm="1">
        <f t="array" ref="U458:U458">_xlfn.XLOOKUP(N458,'OA名单'!B:B,'OA名单'!E:E)</f>
      </c>
      <c r="V458" s="63">
        <f t="shared" si="12"/>
      </c>
      <c r="W458" s="71"/>
      <c r="X458" s="66"/>
      <c r="Y458" s="66"/>
    </row>
    <row hidden="true" r="459">
      <c r="A459" s="66"/>
      <c r="B459" s="66" t="s">
        <v>13833</v>
      </c>
      <c r="C459" s="67" t="s">
        <v>12713</v>
      </c>
      <c r="D459" s="67" t="s">
        <v>12714</v>
      </c>
      <c r="E459" s="66" t="s">
        <v>13097</v>
      </c>
      <c r="F459" s="66" t="s">
        <v>13098</v>
      </c>
      <c r="G459" s="66" t="s">
        <v>13834</v>
      </c>
      <c r="H459" s="66" t="s">
        <v>13835</v>
      </c>
      <c r="I459" s="68">
        <v>0.012875</v>
      </c>
      <c r="J459" s="69">
        <v>0.94</v>
      </c>
      <c r="K459" s="66">
        <v>0.94</v>
      </c>
      <c r="L459" s="66">
        <v>2250</v>
      </c>
      <c r="M459" s="66">
        <v>3000</v>
      </c>
      <c r="N459" s="63" cm="1">
        <f t="array" ref="N459:N459">_xlfn.XLOOKUP(H459,'OA名单'!C:C,'OA名单'!B:B,1)</f>
      </c>
      <c r="O459" s="63">
        <f t="shared" si="8"/>
      </c>
      <c r="P459" s="63" cm="1">
        <f t="array" ref="P459:P459">_xlfn.XLOOKUP(N459,'OA名单'!B:B,'OA名单'!G:G)</f>
      </c>
      <c r="Q459" s="63">
        <f t="shared" si="11"/>
      </c>
      <c r="R459" s="63" cm="1">
        <f t="array" ref="R459:R459">_xlfn.XLOOKUP(B459,'OA名单'!B:B,'OA名单'!F:F)</f>
      </c>
      <c r="S459" s="63">
        <f t="shared" si="10"/>
      </c>
      <c r="T459" s="70"/>
      <c r="U459" s="63" cm="1">
        <f t="array" ref="U459:U459">_xlfn.XLOOKUP(N459,'OA名单'!B:B,'OA名单'!E:E)</f>
      </c>
      <c r="V459" s="63">
        <f t="shared" si="12"/>
      </c>
      <c r="W459" s="71"/>
      <c r="X459" s="66"/>
      <c r="Y459" s="66"/>
    </row>
    <row hidden="true" r="460">
      <c r="A460" s="66"/>
      <c r="B460" s="66" t="s">
        <v>13836</v>
      </c>
      <c r="C460" s="67" t="s">
        <v>12713</v>
      </c>
      <c r="D460" s="67" t="s">
        <v>12714</v>
      </c>
      <c r="E460" s="66" t="s">
        <v>13097</v>
      </c>
      <c r="F460" s="66" t="s">
        <v>13098</v>
      </c>
      <c r="G460" s="66" t="s">
        <v>13837</v>
      </c>
      <c r="H460" s="66" t="s">
        <v>13838</v>
      </c>
      <c r="I460" s="68">
        <v>0.012875</v>
      </c>
      <c r="J460" s="69">
        <v>0.94</v>
      </c>
      <c r="K460" s="66">
        <v>0.94</v>
      </c>
      <c r="L460" s="66">
        <v>0</v>
      </c>
      <c r="M460" s="66">
        <v>1500</v>
      </c>
      <c r="N460" s="63" cm="1">
        <f t="array" ref="N460:N460">_xlfn.XLOOKUP(H460,'OA名单'!C:C,'OA名单'!B:B,1)</f>
      </c>
      <c r="O460" s="63">
        <f t="shared" si="8"/>
      </c>
      <c r="P460" s="63" cm="1">
        <f t="array" ref="P460:P460">_xlfn.XLOOKUP(N460,'OA名单'!B:B,'OA名单'!G:G)</f>
      </c>
      <c r="Q460" s="63">
        <f t="shared" si="11"/>
      </c>
      <c r="R460" s="63" cm="1">
        <f t="array" ref="R460:R460">_xlfn.XLOOKUP(B460,'OA名单'!B:B,'OA名单'!F:F)</f>
      </c>
      <c r="S460" s="63">
        <f t="shared" si="10"/>
      </c>
      <c r="T460" s="70"/>
      <c r="U460" s="63" cm="1">
        <f t="array" ref="U460:U460">_xlfn.XLOOKUP(N460,'OA名单'!B:B,'OA名单'!E:E)</f>
      </c>
      <c r="V460" s="63">
        <f t="shared" si="12"/>
      </c>
      <c r="W460" s="71"/>
      <c r="X460" s="66"/>
      <c r="Y460" s="66"/>
    </row>
    <row hidden="true" r="461">
      <c r="A461" s="66"/>
      <c r="B461" s="66" t="s">
        <v>13839</v>
      </c>
      <c r="C461" s="67" t="s">
        <v>12713</v>
      </c>
      <c r="D461" s="67" t="s">
        <v>12714</v>
      </c>
      <c r="E461" s="66" t="s">
        <v>12956</v>
      </c>
      <c r="F461" s="66" t="s">
        <v>13400</v>
      </c>
      <c r="G461" s="66" t="s">
        <v>13537</v>
      </c>
      <c r="H461" s="66" t="s">
        <v>13840</v>
      </c>
      <c r="I461" s="68">
        <v>0.94</v>
      </c>
      <c r="J461" s="69">
        <v>0.94</v>
      </c>
      <c r="K461" s="66">
        <v>0.94</v>
      </c>
      <c r="L461" s="66">
        <v>3015</v>
      </c>
      <c r="M461" s="66">
        <v>3400</v>
      </c>
      <c r="N461" s="63" cm="1">
        <f t="array" ref="N461:N461">_xlfn.XLOOKUP(H461,'OA名单'!C:C,'OA名单'!B:B,1)</f>
      </c>
      <c r="O461" s="63">
        <f t="shared" si="8"/>
      </c>
      <c r="P461" s="63" cm="1">
        <f t="array" ref="P461:P461">_xlfn.XLOOKUP(N461,'OA名单'!B:B,'OA名单'!G:G)</f>
      </c>
      <c r="Q461" s="63">
        <f t="shared" si="11"/>
      </c>
      <c r="R461" s="63" cm="1">
        <f t="array" ref="R461:R461">_xlfn.XLOOKUP(B461,'OA名单'!B:B,'OA名单'!F:F)</f>
      </c>
      <c r="S461" s="63">
        <f t="shared" si="10"/>
      </c>
      <c r="T461" s="70"/>
      <c r="U461" s="63" cm="1">
        <f t="array" ref="U461:U461">_xlfn.XLOOKUP(N461,'OA名单'!B:B,'OA名单'!E:E)</f>
      </c>
      <c r="V461" s="63">
        <f t="shared" si="12"/>
      </c>
      <c r="W461" s="71"/>
      <c r="X461" s="66"/>
      <c r="Y461" s="66"/>
    </row>
    <row hidden="true" r="462">
      <c r="A462" s="66"/>
      <c r="B462" s="66" t="s">
        <v>13841</v>
      </c>
      <c r="C462" s="67" t="s">
        <v>12713</v>
      </c>
      <c r="D462" s="67" t="s">
        <v>12714</v>
      </c>
      <c r="E462" s="66" t="s">
        <v>12956</v>
      </c>
      <c r="F462" s="66" t="s">
        <v>13400</v>
      </c>
      <c r="G462" s="66" t="s">
        <v>13051</v>
      </c>
      <c r="H462" s="66" t="s">
        <v>13842</v>
      </c>
      <c r="I462" s="68">
        <v>0.935</v>
      </c>
      <c r="J462" s="69">
        <v>0.94</v>
      </c>
      <c r="K462" s="66">
        <v>0.94</v>
      </c>
      <c r="L462" s="66">
        <v>2680</v>
      </c>
      <c r="M462" s="66">
        <v>3400</v>
      </c>
      <c r="N462" s="63" cm="1">
        <f t="array" ref="N462:N462">_xlfn.XLOOKUP(H462,'OA名单'!C:C,'OA名单'!B:B,1)</f>
      </c>
      <c r="O462" s="63">
        <f t="shared" si="8"/>
      </c>
      <c r="P462" s="63" cm="1">
        <f t="array" ref="P462:P462">_xlfn.XLOOKUP(N462,'OA名单'!B:B,'OA名单'!G:G)</f>
      </c>
      <c r="Q462" s="63">
        <f t="shared" si="11"/>
      </c>
      <c r="R462" s="63" cm="1">
        <f t="array" ref="R462:R462">_xlfn.XLOOKUP(B462,'OA名单'!B:B,'OA名单'!F:F)</f>
      </c>
      <c r="S462" s="63">
        <f t="shared" si="10"/>
      </c>
      <c r="T462" s="70"/>
      <c r="U462" s="63" cm="1">
        <f t="array" ref="U462:U462">_xlfn.XLOOKUP(N462,'OA名单'!B:B,'OA名单'!E:E)</f>
      </c>
      <c r="V462" s="63">
        <f t="shared" si="12"/>
      </c>
      <c r="W462" s="71"/>
      <c r="X462" s="66"/>
      <c r="Y462" s="66"/>
    </row>
    <row hidden="true" r="463">
      <c r="A463" s="66"/>
      <c r="B463" s="66" t="s">
        <v>13843</v>
      </c>
      <c r="C463" s="67" t="s">
        <v>12713</v>
      </c>
      <c r="D463" s="67" t="s">
        <v>12714</v>
      </c>
      <c r="E463" s="66" t="s">
        <v>12715</v>
      </c>
      <c r="F463" s="66" t="s">
        <v>12716</v>
      </c>
      <c r="G463" s="66" t="s">
        <v>12888</v>
      </c>
      <c r="H463" s="66" t="s">
        <v>13844</v>
      </c>
      <c r="I463" s="68">
        <v>0.94</v>
      </c>
      <c r="J463" s="69">
        <v>0.94</v>
      </c>
      <c r="K463" s="66">
        <v>0.94</v>
      </c>
      <c r="L463" s="66">
        <v>940</v>
      </c>
      <c r="M463" s="66">
        <v>1000</v>
      </c>
      <c r="N463" s="63" cm="1">
        <f t="array" ref="N463:N463">_xlfn.XLOOKUP(H463,'OA名单'!C:C,'OA名单'!B:B,1)</f>
      </c>
      <c r="O463" s="63">
        <f t="shared" si="8"/>
      </c>
      <c r="P463" s="63" cm="1">
        <f t="array" ref="P463:P463">_xlfn.XLOOKUP(N463,'OA名单'!B:B,'OA名单'!G:G)</f>
      </c>
      <c r="Q463" s="63">
        <f t="shared" si="11"/>
      </c>
      <c r="R463" s="63" cm="1">
        <f t="array" ref="R463:R463">_xlfn.XLOOKUP(B463,'OA名单'!B:B,'OA名单'!F:F)</f>
      </c>
      <c r="S463" s="63">
        <f t="shared" si="10"/>
      </c>
      <c r="T463" s="70"/>
      <c r="U463" s="63" cm="1">
        <f t="array" ref="U463:U463">_xlfn.XLOOKUP(N463,'OA名单'!B:B,'OA名单'!E:E)</f>
      </c>
      <c r="V463" s="63">
        <f t="shared" si="12"/>
      </c>
      <c r="W463" s="71"/>
      <c r="X463" s="66"/>
      <c r="Y463" s="66"/>
    </row>
    <row hidden="true" r="464">
      <c r="A464" s="66"/>
      <c r="B464" s="66" t="s">
        <v>13845</v>
      </c>
      <c r="C464" s="67" t="s">
        <v>12713</v>
      </c>
      <c r="D464" s="67" t="s">
        <v>12714</v>
      </c>
      <c r="E464" s="66" t="s">
        <v>13352</v>
      </c>
      <c r="F464" s="66" t="s">
        <v>13846</v>
      </c>
      <c r="G464" s="66" t="s">
        <v>12751</v>
      </c>
      <c r="H464" s="66" t="s">
        <v>13847</v>
      </c>
      <c r="I464" s="68">
        <v>0.922</v>
      </c>
      <c r="J464" s="69">
        <v>0.93</v>
      </c>
      <c r="K464" s="66">
        <v>0.93</v>
      </c>
      <c r="L464" s="66">
        <v>4650</v>
      </c>
      <c r="M464" s="66">
        <v>5000</v>
      </c>
      <c r="N464" s="63" cm="1">
        <f t="array" ref="N464:N464">_xlfn.XLOOKUP(H464,'OA名单'!C:C,'OA名单'!B:B,1)</f>
      </c>
      <c r="O464" s="63">
        <f t="shared" si="8"/>
      </c>
      <c r="P464" s="63" cm="1">
        <f t="array" ref="P464:P464">_xlfn.XLOOKUP(N464,'OA名单'!B:B,'OA名单'!G:G)</f>
      </c>
      <c r="Q464" s="63">
        <f t="shared" si="11"/>
      </c>
      <c r="R464" s="63" cm="1">
        <f t="array" ref="R464:R464">_xlfn.XLOOKUP(B464,'OA名单'!B:B,'OA名单'!F:F)</f>
      </c>
      <c r="S464" s="63">
        <f t="shared" si="10"/>
      </c>
      <c r="T464" s="70"/>
      <c r="U464" s="63" cm="1">
        <f t="array" ref="U464:U464">_xlfn.XLOOKUP(N464,'OA名单'!B:B,'OA名单'!E:E)</f>
      </c>
      <c r="V464" s="63">
        <f t="shared" si="12"/>
      </c>
      <c r="W464" s="71"/>
      <c r="X464" s="66"/>
      <c r="Y464" s="66"/>
    </row>
    <row hidden="true" r="465">
      <c r="A465" s="66"/>
      <c r="B465" s="66" t="s">
        <v>13848</v>
      </c>
      <c r="C465" s="67" t="s">
        <v>12713</v>
      </c>
      <c r="D465" s="67" t="s">
        <v>12714</v>
      </c>
      <c r="E465" s="66" t="s">
        <v>12782</v>
      </c>
      <c r="F465" s="66" t="s">
        <v>12997</v>
      </c>
      <c r="G465" s="66" t="s">
        <v>13079</v>
      </c>
      <c r="H465" s="66" t="s">
        <v>13849</v>
      </c>
      <c r="I465" s="68">
        <v>0.93</v>
      </c>
      <c r="J465" s="69">
        <v>0.93</v>
      </c>
      <c r="K465" s="66">
        <v>0.93</v>
      </c>
      <c r="L465" s="66">
        <v>0</v>
      </c>
      <c r="M465" s="66">
        <v>5000</v>
      </c>
      <c r="N465" s="63" cm="1">
        <f t="array" ref="N465:N465">_xlfn.XLOOKUP(H465,'OA名单'!C:C,'OA名单'!B:B,1)</f>
      </c>
      <c r="O465" s="63">
        <f t="shared" si="8"/>
      </c>
      <c r="P465" s="63" cm="1">
        <f t="array" ref="P465:P465">_xlfn.XLOOKUP(N465,'OA名单'!B:B,'OA名单'!G:G)</f>
      </c>
      <c r="Q465" s="63">
        <f t="shared" si="11"/>
      </c>
      <c r="R465" s="63" cm="1">
        <f t="array" ref="R465:R465">_xlfn.XLOOKUP(B465,'OA名单'!B:B,'OA名单'!F:F)</f>
      </c>
      <c r="S465" s="63">
        <f t="shared" si="10"/>
      </c>
      <c r="T465" s="70"/>
      <c r="U465" s="63" cm="1">
        <f t="array" ref="U465:U465">_xlfn.XLOOKUP(N465,'OA名单'!B:B,'OA名单'!E:E)</f>
      </c>
      <c r="V465" s="63">
        <f t="shared" si="12"/>
      </c>
      <c r="W465" s="71"/>
      <c r="X465" s="66"/>
      <c r="Y465" s="66"/>
    </row>
    <row hidden="true" r="466">
      <c r="A466" s="66"/>
      <c r="B466" s="66" t="s">
        <v>13850</v>
      </c>
      <c r="C466" s="67" t="s">
        <v>12713</v>
      </c>
      <c r="D466" s="67" t="s">
        <v>12714</v>
      </c>
      <c r="E466" s="66" t="s">
        <v>13177</v>
      </c>
      <c r="F466" s="66" t="s">
        <v>13851</v>
      </c>
      <c r="G466" s="66" t="s">
        <v>13184</v>
      </c>
      <c r="H466" s="66" t="s">
        <v>13852</v>
      </c>
      <c r="I466" s="68">
        <v>1.00876</v>
      </c>
      <c r="J466" s="69">
        <v>0.93</v>
      </c>
      <c r="K466" s="66">
        <v>0.93</v>
      </c>
      <c r="L466" s="66">
        <v>6419</v>
      </c>
      <c r="M466" s="66">
        <v>5000</v>
      </c>
      <c r="N466" s="63" cm="1">
        <f t="array" ref="N466:N466">_xlfn.XLOOKUP(H466,'OA名单'!C:C,'OA名单'!B:B,1)</f>
      </c>
      <c r="O466" s="63">
        <f t="shared" si="8"/>
      </c>
      <c r="P466" s="63" cm="1">
        <f t="array" ref="P466:P466">_xlfn.XLOOKUP(N466,'OA名单'!B:B,'OA名单'!G:G)</f>
      </c>
      <c r="Q466" s="63">
        <f t="shared" si="11"/>
      </c>
      <c r="R466" s="63" cm="1">
        <f t="array" ref="R466:R466">_xlfn.XLOOKUP(B466,'OA名单'!B:B,'OA名单'!F:F)</f>
      </c>
      <c r="S466" s="63">
        <f t="shared" si="10"/>
      </c>
      <c r="T466" s="70"/>
      <c r="U466" s="63" cm="1">
        <f t="array" ref="U466:U466">_xlfn.XLOOKUP(N466,'OA名单'!B:B,'OA名单'!E:E)</f>
      </c>
      <c r="V466" s="63">
        <f t="shared" si="12"/>
      </c>
      <c r="W466" s="71"/>
      <c r="X466" s="66"/>
      <c r="Y466" s="66"/>
    </row>
    <row hidden="true" r="467">
      <c r="A467" s="66"/>
      <c r="B467" s="66" t="s">
        <v>13853</v>
      </c>
      <c r="C467" s="67" t="s">
        <v>12713</v>
      </c>
      <c r="D467" s="67" t="s">
        <v>12714</v>
      </c>
      <c r="E467" s="66" t="s">
        <v>12749</v>
      </c>
      <c r="F467" s="66" t="s">
        <v>13335</v>
      </c>
      <c r="G467" s="66" t="s">
        <v>13727</v>
      </c>
      <c r="H467" s="66" t="s">
        <v>13854</v>
      </c>
      <c r="I467" s="68">
        <v>0.925</v>
      </c>
      <c r="J467" s="69">
        <v>0.93</v>
      </c>
      <c r="K467" s="66">
        <v>0.93</v>
      </c>
      <c r="L467" s="66">
        <v>2693.59</v>
      </c>
      <c r="M467" s="66">
        <v>3000</v>
      </c>
      <c r="N467" s="63" cm="1">
        <f t="array" ref="N467:N467">_xlfn.XLOOKUP(H467,'OA名单'!C:C,'OA名单'!B:B,1)</f>
      </c>
      <c r="O467" s="63">
        <f t="shared" si="8"/>
      </c>
      <c r="P467" s="63" cm="1">
        <f t="array" ref="P467:P467">_xlfn.XLOOKUP(N467,'OA名单'!B:B,'OA名单'!G:G)</f>
      </c>
      <c r="Q467" s="63">
        <f t="shared" si="11"/>
      </c>
      <c r="R467" s="63" cm="1">
        <f t="array" ref="R467:R467">_xlfn.XLOOKUP(B467,'OA名单'!B:B,'OA名单'!F:F)</f>
      </c>
      <c r="S467" s="63">
        <f t="shared" si="10"/>
      </c>
      <c r="T467" s="70"/>
      <c r="U467" s="63" cm="1">
        <f t="array" ref="U467:U467">_xlfn.XLOOKUP(N467,'OA名单'!B:B,'OA名单'!E:E)</f>
      </c>
      <c r="V467" s="63">
        <f t="shared" si="12"/>
      </c>
      <c r="W467" s="71"/>
      <c r="X467" s="66"/>
      <c r="Y467" s="66"/>
    </row>
    <row hidden="true" r="468">
      <c r="A468" s="66"/>
      <c r="B468" s="66" t="s">
        <v>13855</v>
      </c>
      <c r="C468" s="67" t="s">
        <v>12713</v>
      </c>
      <c r="D468" s="67" t="s">
        <v>12714</v>
      </c>
      <c r="E468" s="66" t="s">
        <v>12763</v>
      </c>
      <c r="F468" s="66" t="s">
        <v>12764</v>
      </c>
      <c r="G468" s="66" t="s">
        <v>13856</v>
      </c>
      <c r="H468" s="66" t="s">
        <v>13857</v>
      </c>
      <c r="I468" s="68">
        <v>2.319</v>
      </c>
      <c r="J468" s="69">
        <v>0.93</v>
      </c>
      <c r="K468" s="66">
        <v>0.93</v>
      </c>
      <c r="L468" s="66">
        <v>4666.67</v>
      </c>
      <c r="M468" s="66">
        <v>5000</v>
      </c>
      <c r="N468" s="63" cm="1">
        <f t="array" ref="N468:N468">_xlfn.XLOOKUP(H468,'OA名单'!C:C,'OA名单'!B:B,1)</f>
      </c>
      <c r="O468" s="63">
        <f t="shared" si="8"/>
      </c>
      <c r="P468" s="63" cm="1">
        <f t="array" ref="P468:P468">_xlfn.XLOOKUP(N468,'OA名单'!B:B,'OA名单'!G:G)</f>
      </c>
      <c r="Q468" s="63">
        <f t="shared" si="11"/>
      </c>
      <c r="R468" s="63" cm="1">
        <f t="array" ref="R468:R468">_xlfn.XLOOKUP(B468,'OA名单'!B:B,'OA名单'!F:F)</f>
      </c>
      <c r="S468" s="63">
        <f t="shared" si="10"/>
      </c>
      <c r="T468" s="70"/>
      <c r="U468" s="63" cm="1">
        <f t="array" ref="U468:U468">_xlfn.XLOOKUP(N468,'OA名单'!B:B,'OA名单'!E:E)</f>
      </c>
      <c r="V468" s="63">
        <f t="shared" si="12"/>
      </c>
      <c r="W468" s="71"/>
      <c r="X468" s="66"/>
      <c r="Y468" s="66"/>
    </row>
    <row hidden="true" r="469">
      <c r="A469" s="66"/>
      <c r="B469" s="66" t="s">
        <v>13858</v>
      </c>
      <c r="C469" s="67" t="s">
        <v>12713</v>
      </c>
      <c r="D469" s="67" t="s">
        <v>12714</v>
      </c>
      <c r="E469" s="66" t="s">
        <v>13027</v>
      </c>
      <c r="F469" s="66" t="s">
        <v>13511</v>
      </c>
      <c r="G469" s="66" t="s">
        <v>13512</v>
      </c>
      <c r="H469" s="66" t="s">
        <v>13859</v>
      </c>
      <c r="I469" s="68">
        <v>0.932</v>
      </c>
      <c r="J469" s="69">
        <v>0.93</v>
      </c>
      <c r="K469" s="66">
        <v>0.93</v>
      </c>
      <c r="L469" s="66">
        <v>1116</v>
      </c>
      <c r="M469" s="66">
        <v>1200</v>
      </c>
      <c r="N469" s="63" cm="1">
        <f t="array" ref="N469:N469">_xlfn.XLOOKUP(H469,'OA名单'!C:C,'OA名单'!B:B,1)</f>
      </c>
      <c r="O469" s="63">
        <f t="shared" si="8"/>
      </c>
      <c r="P469" s="63" cm="1">
        <f t="array" ref="P469:P469">_xlfn.XLOOKUP(N469,'OA名单'!B:B,'OA名单'!G:G)</f>
      </c>
      <c r="Q469" s="63">
        <f t="shared" si="11"/>
      </c>
      <c r="R469" s="63" cm="1">
        <f t="array" ref="R469:R469">_xlfn.XLOOKUP(B469,'OA名单'!B:B,'OA名单'!F:F)</f>
      </c>
      <c r="S469" s="63">
        <f t="shared" si="10"/>
      </c>
      <c r="T469" s="70"/>
      <c r="U469" s="63" cm="1">
        <f t="array" ref="U469:U469">_xlfn.XLOOKUP(N469,'OA名单'!B:B,'OA名单'!E:E)</f>
      </c>
      <c r="V469" s="63">
        <f t="shared" si="12"/>
      </c>
      <c r="W469" s="71"/>
      <c r="X469" s="66"/>
      <c r="Y469" s="66"/>
    </row>
    <row hidden="true" r="470">
      <c r="A470" s="66"/>
      <c r="B470" s="66" t="s">
        <v>13860</v>
      </c>
      <c r="C470" s="67" t="s">
        <v>12713</v>
      </c>
      <c r="D470" s="67" t="s">
        <v>12714</v>
      </c>
      <c r="E470" s="66" t="s">
        <v>12749</v>
      </c>
      <c r="F470" s="66" t="s">
        <v>13120</v>
      </c>
      <c r="G470" s="66" t="s">
        <v>12751</v>
      </c>
      <c r="H470" s="66" t="s">
        <v>13861</v>
      </c>
      <c r="I470" s="68">
        <v>0.93</v>
      </c>
      <c r="J470" s="69">
        <v>0.93</v>
      </c>
      <c r="K470" s="66">
        <v>0.93</v>
      </c>
      <c r="L470" s="66">
        <v>4583.33</v>
      </c>
      <c r="M470" s="66">
        <v>5000</v>
      </c>
      <c r="N470" s="63" cm="1">
        <f t="array" ref="N470:N470">_xlfn.XLOOKUP(H470,'OA名单'!C:C,'OA名单'!B:B,1)</f>
      </c>
      <c r="O470" s="63">
        <f t="shared" si="8"/>
      </c>
      <c r="P470" s="63" cm="1">
        <f t="array" ref="P470:P470">_xlfn.XLOOKUP(N470,'OA名单'!B:B,'OA名单'!G:G)</f>
      </c>
      <c r="Q470" s="63">
        <f t="shared" si="11"/>
      </c>
      <c r="R470" s="63" cm="1">
        <f t="array" ref="R470:R470">_xlfn.XLOOKUP(B470,'OA名单'!B:B,'OA名单'!F:F)</f>
      </c>
      <c r="S470" s="63">
        <f t="shared" si="10"/>
      </c>
      <c r="T470" s="70"/>
      <c r="U470" s="63" cm="1">
        <f t="array" ref="U470:U470">_xlfn.XLOOKUP(N470,'OA名单'!B:B,'OA名单'!E:E)</f>
      </c>
      <c r="V470" s="63">
        <f t="shared" si="12"/>
      </c>
      <c r="W470" s="71"/>
      <c r="X470" s="66"/>
      <c r="Y470" s="66"/>
    </row>
    <row hidden="true" r="471">
      <c r="A471" s="66"/>
      <c r="B471" s="66" t="s">
        <v>13862</v>
      </c>
      <c r="C471" s="67" t="s">
        <v>12713</v>
      </c>
      <c r="D471" s="67" t="s">
        <v>12714</v>
      </c>
      <c r="E471" s="66" t="s">
        <v>12749</v>
      </c>
      <c r="F471" s="66" t="s">
        <v>13132</v>
      </c>
      <c r="G471" s="66" t="s">
        <v>12751</v>
      </c>
      <c r="H471" s="66" t="s">
        <v>13863</v>
      </c>
      <c r="I471" s="68">
        <v>0.93</v>
      </c>
      <c r="J471" s="69">
        <v>0.93</v>
      </c>
      <c r="K471" s="66">
        <v>0.93</v>
      </c>
      <c r="L471" s="66">
        <v>4130.43</v>
      </c>
      <c r="M471" s="66">
        <v>5000</v>
      </c>
      <c r="N471" s="63" cm="1">
        <f t="array" ref="N471:N471">_xlfn.XLOOKUP(H471,'OA名单'!C:C,'OA名单'!B:B,1)</f>
      </c>
      <c r="O471" s="63">
        <f t="shared" si="8"/>
      </c>
      <c r="P471" s="63" cm="1">
        <f t="array" ref="P471:P471">_xlfn.XLOOKUP(N471,'OA名单'!B:B,'OA名单'!G:G)</f>
      </c>
      <c r="Q471" s="63">
        <f t="shared" si="11"/>
      </c>
      <c r="R471" s="63" cm="1">
        <f t="array" ref="R471:R471">_xlfn.XLOOKUP(B471,'OA名单'!B:B,'OA名单'!F:F)</f>
      </c>
      <c r="S471" s="63">
        <f t="shared" si="10"/>
      </c>
      <c r="T471" s="70"/>
      <c r="U471" s="63" cm="1">
        <f t="array" ref="U471:U471">_xlfn.XLOOKUP(N471,'OA名单'!B:B,'OA名单'!E:E)</f>
      </c>
      <c r="V471" s="63">
        <f t="shared" si="12"/>
      </c>
      <c r="W471" s="71"/>
      <c r="X471" s="66"/>
      <c r="Y471" s="66"/>
    </row>
    <row hidden="true" r="472">
      <c r="A472" s="66"/>
      <c r="B472" s="66" t="s">
        <v>13864</v>
      </c>
      <c r="C472" s="67" t="s">
        <v>12713</v>
      </c>
      <c r="D472" s="67" t="s">
        <v>12714</v>
      </c>
      <c r="E472" s="66" t="s">
        <v>13011</v>
      </c>
      <c r="F472" s="66" t="s">
        <v>13012</v>
      </c>
      <c r="G472" s="66" t="s">
        <v>13139</v>
      </c>
      <c r="H472" s="66" t="s">
        <v>13865</v>
      </c>
      <c r="I472" s="68">
        <v>0.92638</v>
      </c>
      <c r="J472" s="69">
        <v>0.93</v>
      </c>
      <c r="K472" s="66">
        <v>0.93</v>
      </c>
      <c r="L472" s="66">
        <v>4650</v>
      </c>
      <c r="M472" s="66">
        <v>5000</v>
      </c>
      <c r="N472" s="63" cm="1">
        <f t="array" ref="N472:N472">_xlfn.XLOOKUP(H472,'OA名单'!C:C,'OA名单'!B:B,1)</f>
      </c>
      <c r="O472" s="63">
        <f t="shared" si="8"/>
      </c>
      <c r="P472" s="63" cm="1">
        <f t="array" ref="P472:P472">_xlfn.XLOOKUP(N472,'OA名单'!B:B,'OA名单'!G:G)</f>
      </c>
      <c r="Q472" s="63">
        <f t="shared" si="11"/>
      </c>
      <c r="R472" s="63" cm="1">
        <f t="array" ref="R472:R472">_xlfn.XLOOKUP(B472,'OA名单'!B:B,'OA名单'!F:F)</f>
      </c>
      <c r="S472" s="63">
        <f t="shared" si="10"/>
      </c>
      <c r="T472" s="70"/>
      <c r="U472" s="63" cm="1">
        <f t="array" ref="U472:U472">_xlfn.XLOOKUP(N472,'OA名单'!B:B,'OA名单'!E:E)</f>
      </c>
      <c r="V472" s="63">
        <f t="shared" si="12"/>
      </c>
      <c r="W472" s="71"/>
      <c r="X472" s="66"/>
      <c r="Y472" s="66"/>
    </row>
    <row hidden="true" r="473">
      <c r="A473" s="66"/>
      <c r="B473" s="66" t="s">
        <v>13866</v>
      </c>
      <c r="C473" s="67" t="s">
        <v>12713</v>
      </c>
      <c r="D473" s="67" t="s">
        <v>12714</v>
      </c>
      <c r="E473" s="66" t="s">
        <v>13027</v>
      </c>
      <c r="F473" s="66" t="s">
        <v>13028</v>
      </c>
      <c r="G473" s="66" t="s">
        <v>13124</v>
      </c>
      <c r="H473" s="66" t="s">
        <v>13867</v>
      </c>
      <c r="I473" s="68">
        <v>0.93</v>
      </c>
      <c r="J473" s="69">
        <v>0.93</v>
      </c>
      <c r="K473" s="66">
        <v>0.93</v>
      </c>
      <c r="L473" s="66">
        <v>4630</v>
      </c>
      <c r="M473" s="66">
        <v>5000</v>
      </c>
      <c r="N473" s="63" cm="1">
        <f t="array" ref="N473:N473">_xlfn.XLOOKUP(H473,'OA名单'!C:C,'OA名单'!B:B,1)</f>
      </c>
      <c r="O473" s="63">
        <f t="shared" si="8"/>
      </c>
      <c r="P473" s="63" cm="1">
        <f t="array" ref="P473:P473">_xlfn.XLOOKUP(N473,'OA名单'!B:B,'OA名单'!G:G)</f>
      </c>
      <c r="Q473" s="63">
        <f t="shared" si="11"/>
      </c>
      <c r="R473" s="63" cm="1">
        <f t="array" ref="R473:R473">_xlfn.XLOOKUP(B473,'OA名单'!B:B,'OA名单'!F:F)</f>
      </c>
      <c r="S473" s="63">
        <f t="shared" si="10"/>
      </c>
      <c r="T473" s="70"/>
      <c r="U473" s="63" cm="1">
        <f t="array" ref="U473:U473">_xlfn.XLOOKUP(N473,'OA名单'!B:B,'OA名单'!E:E)</f>
      </c>
      <c r="V473" s="63">
        <f t="shared" si="12"/>
      </c>
      <c r="W473" s="71"/>
      <c r="X473" s="66"/>
      <c r="Y473" s="66"/>
    </row>
    <row hidden="true" r="474">
      <c r="A474" s="66"/>
      <c r="B474" s="66" t="s">
        <v>13868</v>
      </c>
      <c r="C474" s="67" t="s">
        <v>12713</v>
      </c>
      <c r="D474" s="67" t="s">
        <v>12714</v>
      </c>
      <c r="E474" s="66" t="s">
        <v>13277</v>
      </c>
      <c r="F474" s="66" t="s">
        <v>13691</v>
      </c>
      <c r="G474" s="66" t="s">
        <v>13715</v>
      </c>
      <c r="H474" s="66" t="s">
        <v>13869</v>
      </c>
      <c r="I474" s="68">
        <v>0.009343</v>
      </c>
      <c r="J474" s="69">
        <v>0.93</v>
      </c>
      <c r="K474" s="66">
        <v>0.93</v>
      </c>
      <c r="L474" s="66">
        <v>2100</v>
      </c>
      <c r="M474" s="66">
        <v>2100</v>
      </c>
      <c r="N474" s="63" cm="1">
        <f t="array" ref="N474:N474">_xlfn.XLOOKUP(H474,'OA名单'!C:C,'OA名单'!B:B,1)</f>
      </c>
      <c r="O474" s="63">
        <f t="shared" si="8"/>
      </c>
      <c r="P474" s="63" cm="1">
        <f t="array" ref="P474:P474">_xlfn.XLOOKUP(N474,'OA名单'!B:B,'OA名单'!G:G)</f>
      </c>
      <c r="Q474" s="63">
        <f t="shared" si="11"/>
      </c>
      <c r="R474" s="63" cm="1">
        <f t="array" ref="R474:R474">_xlfn.XLOOKUP(B474,'OA名单'!B:B,'OA名单'!F:F)</f>
      </c>
      <c r="S474" s="63">
        <f t="shared" si="10"/>
      </c>
      <c r="T474" s="70"/>
      <c r="U474" s="63" cm="1">
        <f t="array" ref="U474:U474">_xlfn.XLOOKUP(N474,'OA名单'!B:B,'OA名单'!E:E)</f>
      </c>
      <c r="V474" s="63">
        <f t="shared" si="12"/>
      </c>
      <c r="W474" s="71"/>
      <c r="X474" s="66"/>
      <c r="Y474" s="66"/>
    </row>
    <row hidden="true" r="475">
      <c r="A475" s="66"/>
      <c r="B475" s="66" t="s">
        <v>13870</v>
      </c>
      <c r="C475" s="67" t="s">
        <v>12713</v>
      </c>
      <c r="D475" s="67" t="s">
        <v>12714</v>
      </c>
      <c r="E475" s="66" t="s">
        <v>13277</v>
      </c>
      <c r="F475" s="66" t="s">
        <v>13691</v>
      </c>
      <c r="G475" s="66" t="s">
        <v>13692</v>
      </c>
      <c r="H475" s="66" t="s">
        <v>13871</v>
      </c>
      <c r="I475" s="68">
        <v>0.009265</v>
      </c>
      <c r="J475" s="69">
        <v>0.93</v>
      </c>
      <c r="K475" s="66">
        <v>0.93</v>
      </c>
      <c r="L475" s="66">
        <v>2257.13</v>
      </c>
      <c r="M475" s="66">
        <v>2500</v>
      </c>
      <c r="N475" s="63" cm="1">
        <f t="array" ref="N475:N475">_xlfn.XLOOKUP(H475,'OA名单'!C:C,'OA名单'!B:B,1)</f>
      </c>
      <c r="O475" s="63">
        <f t="shared" si="8"/>
      </c>
      <c r="P475" s="63" cm="1">
        <f t="array" ref="P475:P475">_xlfn.XLOOKUP(N475,'OA名单'!B:B,'OA名单'!G:G)</f>
      </c>
      <c r="Q475" s="63">
        <f t="shared" si="11"/>
      </c>
      <c r="R475" s="63" cm="1">
        <f t="array" ref="R475:R475">_xlfn.XLOOKUP(B475,'OA名单'!B:B,'OA名单'!F:F)</f>
      </c>
      <c r="S475" s="63">
        <f t="shared" si="10"/>
      </c>
      <c r="T475" s="70"/>
      <c r="U475" s="63" cm="1">
        <f t="array" ref="U475:U475">_xlfn.XLOOKUP(N475,'OA名单'!B:B,'OA名单'!E:E)</f>
      </c>
      <c r="V475" s="63">
        <f t="shared" si="12"/>
      </c>
      <c r="W475" s="71"/>
      <c r="X475" s="66"/>
      <c r="Y475" s="66"/>
    </row>
    <row hidden="true" r="476">
      <c r="A476" s="66"/>
      <c r="B476" s="66" t="s">
        <v>13872</v>
      </c>
      <c r="C476" s="67" t="s">
        <v>12713</v>
      </c>
      <c r="D476" s="67" t="s">
        <v>12714</v>
      </c>
      <c r="E476" s="66" t="s">
        <v>12782</v>
      </c>
      <c r="F476" s="66" t="s">
        <v>12997</v>
      </c>
      <c r="G476" s="66" t="s">
        <v>12751</v>
      </c>
      <c r="H476" s="66" t="s">
        <v>13873</v>
      </c>
      <c r="I476" s="68">
        <v>0.915</v>
      </c>
      <c r="J476" s="69">
        <v>0.92</v>
      </c>
      <c r="K476" s="66">
        <v>0.92</v>
      </c>
      <c r="L476" s="66">
        <v>8400</v>
      </c>
      <c r="M476" s="66">
        <v>6000</v>
      </c>
      <c r="N476" s="63" cm="1">
        <f t="array" ref="N476:N476">_xlfn.XLOOKUP(H476,'OA名单'!C:C,'OA名单'!B:B,1)</f>
      </c>
      <c r="O476" s="63">
        <f t="shared" si="8"/>
      </c>
      <c r="P476" s="63" cm="1">
        <f t="array" ref="P476:P476">_xlfn.XLOOKUP(N476,'OA名单'!B:B,'OA名单'!G:G)</f>
      </c>
      <c r="Q476" s="63">
        <f t="shared" si="11"/>
      </c>
      <c r="R476" s="63" cm="1">
        <f t="array" ref="R476:R476">_xlfn.XLOOKUP(B476,'OA名单'!B:B,'OA名单'!F:F)</f>
      </c>
      <c r="S476" s="63">
        <f t="shared" si="10"/>
      </c>
      <c r="T476" s="70"/>
      <c r="U476" s="63" cm="1">
        <f t="array" ref="U476:U476">_xlfn.XLOOKUP(N476,'OA名单'!B:B,'OA名单'!E:E)</f>
      </c>
      <c r="V476" s="63">
        <f t="shared" si="12"/>
      </c>
      <c r="W476" s="71"/>
      <c r="X476" s="66"/>
      <c r="Y476" s="66"/>
    </row>
    <row hidden="true" r="477">
      <c r="A477" s="66"/>
      <c r="B477" s="66" t="s">
        <v>13874</v>
      </c>
      <c r="C477" s="67" t="s">
        <v>12713</v>
      </c>
      <c r="D477" s="67" t="s">
        <v>12714</v>
      </c>
      <c r="E477" s="66" t="s">
        <v>13177</v>
      </c>
      <c r="F477" s="66" t="s">
        <v>13875</v>
      </c>
      <c r="G477" s="66" t="s">
        <v>13179</v>
      </c>
      <c r="H477" s="66" t="s">
        <v>13876</v>
      </c>
      <c r="I477" s="68">
        <v>0.995</v>
      </c>
      <c r="J477" s="69">
        <v>0.92</v>
      </c>
      <c r="K477" s="66">
        <v>0.92</v>
      </c>
      <c r="L477" s="66">
        <v>5766.53</v>
      </c>
      <c r="M477" s="66">
        <v>6000</v>
      </c>
      <c r="N477" s="63" cm="1">
        <f t="array" ref="N477:N477">_xlfn.XLOOKUP(H477,'OA名单'!C:C,'OA名单'!B:B,1)</f>
      </c>
      <c r="O477" s="63">
        <f t="shared" si="8"/>
      </c>
      <c r="P477" s="63" cm="1">
        <f t="array" ref="P477:P477">_xlfn.XLOOKUP(N477,'OA名单'!B:B,'OA名单'!G:G)</f>
      </c>
      <c r="Q477" s="63">
        <f t="shared" si="11"/>
      </c>
      <c r="R477" s="63" cm="1">
        <f t="array" ref="R477:R477">_xlfn.XLOOKUP(B477,'OA名单'!B:B,'OA名单'!F:F)</f>
      </c>
      <c r="S477" s="63">
        <f t="shared" si="10"/>
      </c>
      <c r="T477" s="70"/>
      <c r="U477" s="63" cm="1">
        <f t="array" ref="U477:U477">_xlfn.XLOOKUP(N477,'OA名单'!B:B,'OA名单'!E:E)</f>
      </c>
      <c r="V477" s="63">
        <f t="shared" si="12"/>
      </c>
      <c r="W477" s="71"/>
      <c r="X477" s="66"/>
      <c r="Y477" s="66"/>
    </row>
    <row hidden="true" r="478">
      <c r="A478" s="66"/>
      <c r="B478" s="66" t="s">
        <v>13877</v>
      </c>
      <c r="C478" s="67" t="s">
        <v>12713</v>
      </c>
      <c r="D478" s="67" t="s">
        <v>12714</v>
      </c>
      <c r="E478" s="66" t="s">
        <v>13146</v>
      </c>
      <c r="F478" s="66" t="s">
        <v>13484</v>
      </c>
      <c r="G478" s="66" t="s">
        <v>13878</v>
      </c>
      <c r="H478" s="66" t="s">
        <v>13879</v>
      </c>
      <c r="I478" s="68">
        <v>0.92</v>
      </c>
      <c r="J478" s="69">
        <v>0.92</v>
      </c>
      <c r="K478" s="66">
        <v>0.92</v>
      </c>
      <c r="L478" s="66">
        <v>1932</v>
      </c>
      <c r="M478" s="66">
        <v>2000</v>
      </c>
      <c r="N478" s="63" cm="1">
        <f t="array" ref="N478:N478">_xlfn.XLOOKUP(H478,'OA名单'!C:C,'OA名单'!B:B,1)</f>
      </c>
      <c r="O478" s="63">
        <f t="shared" si="8"/>
      </c>
      <c r="P478" s="63" cm="1">
        <f t="array" ref="P478:P478">_xlfn.XLOOKUP(N478,'OA名单'!B:B,'OA名单'!G:G)</f>
      </c>
      <c r="Q478" s="63">
        <f t="shared" si="11"/>
      </c>
      <c r="R478" s="63" cm="1">
        <f t="array" ref="R478:R478">_xlfn.XLOOKUP(B478,'OA名单'!B:B,'OA名单'!F:F)</f>
      </c>
      <c r="S478" s="63">
        <f t="shared" si="10"/>
      </c>
      <c r="T478" s="70"/>
      <c r="U478" s="63" cm="1">
        <f t="array" ref="U478:U478">_xlfn.XLOOKUP(N478,'OA名单'!B:B,'OA名单'!E:E)</f>
      </c>
      <c r="V478" s="63">
        <f t="shared" si="12"/>
      </c>
      <c r="W478" s="71"/>
      <c r="X478" s="66"/>
      <c r="Y478" s="66"/>
    </row>
    <row hidden="true" r="479">
      <c r="A479" s="66"/>
      <c r="B479" s="66" t="s">
        <v>13880</v>
      </c>
      <c r="C479" s="67" t="s">
        <v>12713</v>
      </c>
      <c r="D479" s="67" t="s">
        <v>12714</v>
      </c>
      <c r="E479" s="66" t="s">
        <v>13011</v>
      </c>
      <c r="F479" s="66" t="s">
        <v>13138</v>
      </c>
      <c r="G479" s="66" t="s">
        <v>13043</v>
      </c>
      <c r="H479" s="66" t="s">
        <v>13881</v>
      </c>
      <c r="I479" s="68">
        <v>0.86087</v>
      </c>
      <c r="J479" s="69">
        <v>0.92</v>
      </c>
      <c r="K479" s="66">
        <v>0.92</v>
      </c>
      <c r="L479" s="66">
        <v>2100</v>
      </c>
      <c r="M479" s="66">
        <v>2000</v>
      </c>
      <c r="N479" s="63" cm="1">
        <f t="array" ref="N479:N479">_xlfn.XLOOKUP(H479,'OA名单'!C:C,'OA名单'!B:B,1)</f>
      </c>
      <c r="O479" s="63">
        <f t="shared" si="8"/>
      </c>
      <c r="P479" s="63" cm="1">
        <f t="array" ref="P479:P479">_xlfn.XLOOKUP(N479,'OA名单'!B:B,'OA名单'!G:G)</f>
      </c>
      <c r="Q479" s="63">
        <f t="shared" si="11"/>
      </c>
      <c r="R479" s="63" cm="1">
        <f t="array" ref="R479:R479">_xlfn.XLOOKUP(B479,'OA名单'!B:B,'OA名单'!F:F)</f>
      </c>
      <c r="S479" s="63">
        <f t="shared" si="10"/>
      </c>
      <c r="T479" s="70"/>
      <c r="U479" s="63" cm="1">
        <f t="array" ref="U479:U479">_xlfn.XLOOKUP(N479,'OA名单'!B:B,'OA名单'!E:E)</f>
      </c>
      <c r="V479" s="63">
        <f t="shared" si="12"/>
      </c>
      <c r="W479" s="71"/>
      <c r="X479" s="66"/>
      <c r="Y479" s="66"/>
    </row>
    <row hidden="true" r="480">
      <c r="A480" s="66"/>
      <c r="B480" s="66" t="s">
        <v>13882</v>
      </c>
      <c r="C480" s="67" t="s">
        <v>12713</v>
      </c>
      <c r="D480" s="67" t="s">
        <v>12714</v>
      </c>
      <c r="E480" s="66" t="s">
        <v>13277</v>
      </c>
      <c r="F480" s="66" t="s">
        <v>13278</v>
      </c>
      <c r="G480" s="66" t="s">
        <v>13279</v>
      </c>
      <c r="H480" s="66" t="s">
        <v>13883</v>
      </c>
      <c r="I480" s="68">
        <v>0.91546</v>
      </c>
      <c r="J480" s="69">
        <v>0.92</v>
      </c>
      <c r="K480" s="66">
        <v>0.92</v>
      </c>
      <c r="L480" s="66">
        <v>3384.62</v>
      </c>
      <c r="M480" s="66">
        <v>3000</v>
      </c>
      <c r="N480" s="63" cm="1">
        <f t="array" ref="N480:N480">_xlfn.XLOOKUP(H480,'OA名单'!C:C,'OA名单'!B:B,1)</f>
      </c>
      <c r="O480" s="63">
        <f t="shared" si="8"/>
      </c>
      <c r="P480" s="63" cm="1">
        <f t="array" ref="P480:P480">_xlfn.XLOOKUP(N480,'OA名单'!B:B,'OA名单'!G:G)</f>
      </c>
      <c r="Q480" s="63">
        <f t="shared" si="11"/>
      </c>
      <c r="R480" s="63" cm="1">
        <f t="array" ref="R480:R480">_xlfn.XLOOKUP(B480,'OA名单'!B:B,'OA名单'!F:F)</f>
      </c>
      <c r="S480" s="63">
        <f t="shared" si="10"/>
      </c>
      <c r="T480" s="70"/>
      <c r="U480" s="63" cm="1">
        <f t="array" ref="U480:U480">_xlfn.XLOOKUP(N480,'OA名单'!B:B,'OA名单'!E:E)</f>
      </c>
      <c r="V480" s="63">
        <f t="shared" si="12"/>
      </c>
      <c r="W480" s="71"/>
      <c r="X480" s="66"/>
      <c r="Y480" s="66"/>
    </row>
    <row hidden="true" r="481">
      <c r="A481" s="66"/>
      <c r="B481" s="66" t="s">
        <v>13884</v>
      </c>
      <c r="C481" s="67" t="s">
        <v>12713</v>
      </c>
      <c r="D481" s="67" t="s">
        <v>12714</v>
      </c>
      <c r="E481" s="66" t="s">
        <v>12782</v>
      </c>
      <c r="F481" s="66" t="s">
        <v>13297</v>
      </c>
      <c r="G481" s="66" t="s">
        <v>12982</v>
      </c>
      <c r="H481" s="66" t="s">
        <v>13885</v>
      </c>
      <c r="I481" s="68">
        <v>0.922</v>
      </c>
      <c r="J481" s="69">
        <v>0.92</v>
      </c>
      <c r="K481" s="66">
        <v>0.92</v>
      </c>
      <c r="L481" s="66">
        <v>2378</v>
      </c>
      <c r="M481" s="66">
        <v>1500</v>
      </c>
      <c r="N481" s="63" cm="1">
        <f t="array" ref="N481:N481">_xlfn.XLOOKUP(H481,'OA名单'!C:C,'OA名单'!B:B,1)</f>
      </c>
      <c r="O481" s="63">
        <f t="shared" si="8"/>
      </c>
      <c r="P481" s="63" cm="1">
        <f t="array" ref="P481:P481">_xlfn.XLOOKUP(N481,'OA名单'!B:B,'OA名单'!G:G)</f>
      </c>
      <c r="Q481" s="63">
        <f t="shared" si="11"/>
      </c>
      <c r="R481" s="63" cm="1">
        <f t="array" ref="R481:R481">_xlfn.XLOOKUP(B481,'OA名单'!B:B,'OA名单'!F:F)</f>
      </c>
      <c r="S481" s="63">
        <f t="shared" si="10"/>
      </c>
      <c r="T481" s="70"/>
      <c r="U481" s="63" cm="1">
        <f t="array" ref="U481:U481">_xlfn.XLOOKUP(N481,'OA名单'!B:B,'OA名单'!E:E)</f>
      </c>
      <c r="V481" s="63">
        <f t="shared" si="12"/>
      </c>
      <c r="W481" s="71"/>
      <c r="X481" s="66"/>
      <c r="Y481" s="66"/>
    </row>
    <row hidden="true" r="482">
      <c r="A482" s="66"/>
      <c r="B482" s="66" t="s">
        <v>13886</v>
      </c>
      <c r="C482" s="67" t="s">
        <v>12713</v>
      </c>
      <c r="D482" s="67" t="s">
        <v>12714</v>
      </c>
      <c r="E482" s="66" t="s">
        <v>12776</v>
      </c>
      <c r="F482" s="66" t="s">
        <v>13575</v>
      </c>
      <c r="G482" s="66" t="s">
        <v>12982</v>
      </c>
      <c r="H482" s="66" t="s">
        <v>13887</v>
      </c>
      <c r="I482" s="68">
        <v>1.035</v>
      </c>
      <c r="J482" s="69">
        <v>0.92</v>
      </c>
      <c r="K482" s="66">
        <v>0.92</v>
      </c>
      <c r="L482" s="66">
        <v>1376</v>
      </c>
      <c r="M482" s="66">
        <v>1500</v>
      </c>
      <c r="N482" s="63" cm="1">
        <f t="array" ref="N482:N482">_xlfn.XLOOKUP(H482,'OA名单'!C:C,'OA名单'!B:B,1)</f>
      </c>
      <c r="O482" s="63">
        <f t="shared" si="8"/>
      </c>
      <c r="P482" s="63" cm="1">
        <f t="array" ref="P482:P482">_xlfn.XLOOKUP(N482,'OA名单'!B:B,'OA名单'!G:G)</f>
      </c>
      <c r="Q482" s="63">
        <f t="shared" si="11"/>
      </c>
      <c r="R482" s="63" cm="1">
        <f t="array" ref="R482:R482">_xlfn.XLOOKUP(B482,'OA名单'!B:B,'OA名单'!F:F)</f>
      </c>
      <c r="S482" s="63">
        <f t="shared" si="10"/>
      </c>
      <c r="T482" s="70"/>
      <c r="U482" s="63" cm="1">
        <f t="array" ref="U482:U482">_xlfn.XLOOKUP(N482,'OA名单'!B:B,'OA名单'!E:E)</f>
      </c>
      <c r="V482" s="63">
        <f t="shared" si="12"/>
      </c>
      <c r="W482" s="71"/>
      <c r="X482" s="66"/>
      <c r="Y482" s="66"/>
    </row>
    <row hidden="true" r="483">
      <c r="A483" s="66"/>
      <c r="B483" s="66" t="s">
        <v>13888</v>
      </c>
      <c r="C483" s="67" t="s">
        <v>12713</v>
      </c>
      <c r="D483" s="67" t="s">
        <v>12714</v>
      </c>
      <c r="E483" s="66" t="s">
        <v>12956</v>
      </c>
      <c r="F483" s="66" t="s">
        <v>13721</v>
      </c>
      <c r="G483" s="66" t="s">
        <v>12751</v>
      </c>
      <c r="H483" s="66" t="s">
        <v>13889</v>
      </c>
      <c r="I483" s="68">
        <v>0.915</v>
      </c>
      <c r="J483" s="69">
        <v>0.92</v>
      </c>
      <c r="K483" s="66">
        <v>0.92</v>
      </c>
      <c r="L483" s="66">
        <v>0</v>
      </c>
      <c r="M483" s="66">
        <v>5000</v>
      </c>
      <c r="N483" s="63" cm="1">
        <f t="array" ref="N483:N483">_xlfn.XLOOKUP(H483,'OA名单'!C:C,'OA名单'!B:B,1)</f>
      </c>
      <c r="O483" s="63">
        <f t="shared" si="8"/>
      </c>
      <c r="P483" s="63" cm="1">
        <f t="array" ref="P483:P483">_xlfn.XLOOKUP(N483,'OA名单'!B:B,'OA名单'!G:G)</f>
      </c>
      <c r="Q483" s="63">
        <f t="shared" si="11"/>
      </c>
      <c r="R483" s="63" cm="1">
        <f t="array" ref="R483:R483">_xlfn.XLOOKUP(B483,'OA名单'!B:B,'OA名单'!F:F)</f>
      </c>
      <c r="S483" s="63">
        <f t="shared" si="10"/>
      </c>
      <c r="T483" s="70"/>
      <c r="U483" s="63" cm="1">
        <f t="array" ref="U483:U483">_xlfn.XLOOKUP(N483,'OA名单'!B:B,'OA名单'!E:E)</f>
      </c>
      <c r="V483" s="63">
        <f t="shared" si="12"/>
      </c>
      <c r="W483" s="71"/>
      <c r="X483" s="66"/>
      <c r="Y483" s="66"/>
    </row>
    <row hidden="true" r="484">
      <c r="A484" s="66"/>
      <c r="B484" s="66" t="s">
        <v>13890</v>
      </c>
      <c r="C484" s="67" t="s">
        <v>12713</v>
      </c>
      <c r="D484" s="67" t="s">
        <v>12714</v>
      </c>
      <c r="E484" s="66" t="s">
        <v>13011</v>
      </c>
      <c r="F484" s="66" t="s">
        <v>13138</v>
      </c>
      <c r="G484" s="66" t="s">
        <v>12751</v>
      </c>
      <c r="H484" s="66" t="s">
        <v>13891</v>
      </c>
      <c r="I484" s="68">
        <v>0.924</v>
      </c>
      <c r="J484" s="69">
        <v>0.92</v>
      </c>
      <c r="K484" s="66">
        <v>0.92</v>
      </c>
      <c r="L484" s="66">
        <v>5000</v>
      </c>
      <c r="M484" s="66">
        <v>5000</v>
      </c>
      <c r="N484" s="63" cm="1">
        <f t="array" ref="N484:N484">_xlfn.XLOOKUP(H484,'OA名单'!C:C,'OA名单'!B:B,1)</f>
      </c>
      <c r="O484" s="63">
        <f t="shared" si="8"/>
      </c>
      <c r="P484" s="63" cm="1">
        <f t="array" ref="P484:P484">_xlfn.XLOOKUP(N484,'OA名单'!B:B,'OA名单'!G:G)</f>
      </c>
      <c r="Q484" s="63">
        <f t="shared" si="11"/>
      </c>
      <c r="R484" s="63" cm="1">
        <f t="array" ref="R484:R484">_xlfn.XLOOKUP(B484,'OA名单'!B:B,'OA名单'!F:F)</f>
      </c>
      <c r="S484" s="63">
        <f t="shared" si="10"/>
      </c>
      <c r="T484" s="70"/>
      <c r="U484" s="63" cm="1">
        <f t="array" ref="U484:U484">_xlfn.XLOOKUP(N484,'OA名单'!B:B,'OA名单'!E:E)</f>
      </c>
      <c r="V484" s="63">
        <f t="shared" si="12"/>
      </c>
      <c r="W484" s="71"/>
      <c r="X484" s="66"/>
      <c r="Y484" s="66"/>
    </row>
    <row hidden="true" r="485">
      <c r="A485" s="66"/>
      <c r="B485" s="66" t="s">
        <v>13892</v>
      </c>
      <c r="C485" s="67" t="s">
        <v>12713</v>
      </c>
      <c r="D485" s="67" t="s">
        <v>12714</v>
      </c>
      <c r="E485" s="66" t="s">
        <v>13027</v>
      </c>
      <c r="F485" s="66" t="s">
        <v>13110</v>
      </c>
      <c r="G485" s="66" t="s">
        <v>13221</v>
      </c>
      <c r="H485" s="66" t="s">
        <v>13893</v>
      </c>
      <c r="I485" s="68">
        <v>1.1054</v>
      </c>
      <c r="J485" s="69">
        <v>0.92</v>
      </c>
      <c r="K485" s="66">
        <v>0.92</v>
      </c>
      <c r="L485" s="66">
        <v>4604</v>
      </c>
      <c r="M485" s="66">
        <v>5000</v>
      </c>
      <c r="N485" s="63" cm="1">
        <f t="array" ref="N485:N485">_xlfn.XLOOKUP(H485,'OA名单'!C:C,'OA名单'!B:B,1)</f>
      </c>
      <c r="O485" s="63">
        <f t="shared" si="8"/>
      </c>
      <c r="P485" s="63" cm="1">
        <f t="array" ref="P485:P485">_xlfn.XLOOKUP(N485,'OA名单'!B:B,'OA名单'!G:G)</f>
      </c>
      <c r="Q485" s="63">
        <f t="shared" si="11"/>
      </c>
      <c r="R485" s="63" cm="1">
        <f t="array" ref="R485:R485">_xlfn.XLOOKUP(B485,'OA名单'!B:B,'OA名单'!F:F)</f>
      </c>
      <c r="S485" s="63">
        <f t="shared" si="10"/>
      </c>
      <c r="T485" s="70"/>
      <c r="U485" s="63" cm="1">
        <f t="array" ref="U485:U485">_xlfn.XLOOKUP(N485,'OA名单'!B:B,'OA名单'!E:E)</f>
      </c>
      <c r="V485" s="63">
        <f t="shared" si="12"/>
      </c>
      <c r="W485" s="71"/>
      <c r="X485" s="66"/>
      <c r="Y485" s="66"/>
    </row>
    <row hidden="true" r="486">
      <c r="A486" s="66"/>
      <c r="B486" s="66" t="s">
        <v>13894</v>
      </c>
      <c r="C486" s="67" t="s">
        <v>12713</v>
      </c>
      <c r="D486" s="67" t="s">
        <v>12714</v>
      </c>
      <c r="E486" s="66" t="s">
        <v>13016</v>
      </c>
      <c r="F486" s="66" t="s">
        <v>13404</v>
      </c>
      <c r="G486" s="66" t="s">
        <v>13288</v>
      </c>
      <c r="H486" s="66" t="s">
        <v>13895</v>
      </c>
      <c r="I486" s="68">
        <v>1.001</v>
      </c>
      <c r="J486" s="69">
        <v>0.92</v>
      </c>
      <c r="K486" s="66">
        <v>0.92</v>
      </c>
      <c r="L486" s="66">
        <v>1797</v>
      </c>
      <c r="M486" s="66">
        <v>2800</v>
      </c>
      <c r="N486" s="63" cm="1">
        <f t="array" ref="N486:N486">_xlfn.XLOOKUP(H486,'OA名单'!C:C,'OA名单'!B:B,1)</f>
      </c>
      <c r="O486" s="63">
        <f t="shared" si="8"/>
      </c>
      <c r="P486" s="63" cm="1">
        <f t="array" ref="P486:P486">_xlfn.XLOOKUP(N486,'OA名单'!B:B,'OA名单'!G:G)</f>
      </c>
      <c r="Q486" s="63">
        <f t="shared" si="11"/>
      </c>
      <c r="R486" s="63" cm="1">
        <f t="array" ref="R486:R486">_xlfn.XLOOKUP(B486,'OA名单'!B:B,'OA名单'!F:F)</f>
      </c>
      <c r="S486" s="63">
        <f t="shared" si="10"/>
      </c>
      <c r="T486" s="70"/>
      <c r="U486" s="63" cm="1">
        <f t="array" ref="U486:U486">_xlfn.XLOOKUP(N486,'OA名单'!B:B,'OA名单'!E:E)</f>
      </c>
      <c r="V486" s="63">
        <f t="shared" si="12"/>
      </c>
      <c r="W486" s="71"/>
      <c r="X486" s="66"/>
      <c r="Y486" s="66"/>
    </row>
    <row hidden="true" r="487">
      <c r="A487" s="66"/>
      <c r="B487" s="66" t="s">
        <v>13896</v>
      </c>
      <c r="C487" s="67" t="s">
        <v>12713</v>
      </c>
      <c r="D487" s="67" t="s">
        <v>12714</v>
      </c>
      <c r="E487" s="66" t="s">
        <v>12956</v>
      </c>
      <c r="F487" s="66" t="s">
        <v>13598</v>
      </c>
      <c r="G487" s="66" t="s">
        <v>13537</v>
      </c>
      <c r="H487" s="66" t="s">
        <v>13897</v>
      </c>
      <c r="I487" s="68">
        <v>0.65373</v>
      </c>
      <c r="J487" s="69">
        <v>0.92</v>
      </c>
      <c r="K487" s="66">
        <v>0.92</v>
      </c>
      <c r="L487" s="66">
        <v>2998</v>
      </c>
      <c r="M487" s="66">
        <v>3400</v>
      </c>
      <c r="N487" s="63" cm="1">
        <f t="array" ref="N487:N487">_xlfn.XLOOKUP(H487,'OA名单'!C:C,'OA名单'!B:B,1)</f>
      </c>
      <c r="O487" s="63">
        <f t="shared" si="8"/>
      </c>
      <c r="P487" s="63" cm="1">
        <f t="array" ref="P487:P487">_xlfn.XLOOKUP(N487,'OA名单'!B:B,'OA名单'!G:G)</f>
      </c>
      <c r="Q487" s="63">
        <f t="shared" si="11"/>
      </c>
      <c r="R487" s="63" cm="1">
        <f t="array" ref="R487:R487">_xlfn.XLOOKUP(B487,'OA名单'!B:B,'OA名单'!F:F)</f>
      </c>
      <c r="S487" s="63">
        <f t="shared" si="10"/>
      </c>
      <c r="T487" s="70"/>
      <c r="U487" s="63" cm="1">
        <f t="array" ref="U487:U487">_xlfn.XLOOKUP(N487,'OA名单'!B:B,'OA名单'!E:E)</f>
      </c>
      <c r="V487" s="63">
        <f t="shared" si="12"/>
      </c>
      <c r="W487" s="71"/>
      <c r="X487" s="66"/>
      <c r="Y487" s="66"/>
    </row>
    <row hidden="true" r="488">
      <c r="A488" s="66"/>
      <c r="B488" s="66" t="s">
        <v>13898</v>
      </c>
      <c r="C488" s="67" t="s">
        <v>12713</v>
      </c>
      <c r="D488" s="67" t="s">
        <v>12714</v>
      </c>
      <c r="E488" s="66" t="s">
        <v>13277</v>
      </c>
      <c r="F488" s="66" t="s">
        <v>13691</v>
      </c>
      <c r="G488" s="66" t="s">
        <v>13715</v>
      </c>
      <c r="H488" s="66" t="s">
        <v>13899</v>
      </c>
      <c r="I488" s="68">
        <v>0.009244</v>
      </c>
      <c r="J488" s="69">
        <v>0.92</v>
      </c>
      <c r="K488" s="66">
        <v>0.92</v>
      </c>
      <c r="L488" s="66">
        <v>1890</v>
      </c>
      <c r="M488" s="66">
        <v>2100</v>
      </c>
      <c r="N488" s="63" cm="1">
        <f t="array" ref="N488:N488">_xlfn.XLOOKUP(H488,'OA名单'!C:C,'OA名单'!B:B,1)</f>
      </c>
      <c r="O488" s="63">
        <f t="shared" si="8"/>
      </c>
      <c r="P488" s="63" cm="1">
        <f t="array" ref="P488:P488">_xlfn.XLOOKUP(N488,'OA名单'!B:B,'OA名单'!G:G)</f>
      </c>
      <c r="Q488" s="63">
        <f t="shared" si="11"/>
      </c>
      <c r="R488" s="63" cm="1">
        <f t="array" ref="R488:R488">_xlfn.XLOOKUP(B488,'OA名单'!B:B,'OA名单'!F:F)</f>
      </c>
      <c r="S488" s="63">
        <f t="shared" si="10"/>
      </c>
      <c r="T488" s="70"/>
      <c r="U488" s="63" cm="1">
        <f t="array" ref="U488:U488">_xlfn.XLOOKUP(N488,'OA名单'!B:B,'OA名单'!E:E)</f>
      </c>
      <c r="V488" s="63">
        <f t="shared" si="12"/>
      </c>
      <c r="W488" s="71"/>
      <c r="X488" s="66"/>
      <c r="Y488" s="66"/>
    </row>
    <row hidden="true" r="489">
      <c r="A489" s="66"/>
      <c r="B489" s="66" t="s">
        <v>13900</v>
      </c>
      <c r="C489" s="67" t="s">
        <v>12713</v>
      </c>
      <c r="D489" s="67" t="s">
        <v>12714</v>
      </c>
      <c r="E489" s="66" t="s">
        <v>12749</v>
      </c>
      <c r="F489" s="66" t="s">
        <v>13381</v>
      </c>
      <c r="G489" s="66" t="s">
        <v>13609</v>
      </c>
      <c r="H489" s="66" t="s">
        <v>13901</v>
      </c>
      <c r="I489" s="68">
        <v>0.911</v>
      </c>
      <c r="J489" s="69">
        <v>0.91</v>
      </c>
      <c r="K489" s="66">
        <v>0.91</v>
      </c>
      <c r="L489" s="66">
        <v>2821</v>
      </c>
      <c r="M489" s="66">
        <v>3100</v>
      </c>
      <c r="N489" s="63" cm="1">
        <f t="array" ref="N489:N489">_xlfn.XLOOKUP(H489,'OA名单'!C:C,'OA名单'!B:B,1)</f>
      </c>
      <c r="O489" s="63">
        <f t="shared" si="8"/>
      </c>
      <c r="P489" s="63" cm="1">
        <f t="array" ref="P489:P489">_xlfn.XLOOKUP(N489,'OA名单'!B:B,'OA名单'!G:G)</f>
      </c>
      <c r="Q489" s="63">
        <f t="shared" si="11"/>
      </c>
      <c r="R489" s="63" cm="1">
        <f t="array" ref="R489:R489">_xlfn.XLOOKUP(B489,'OA名单'!B:B,'OA名单'!F:F)</f>
      </c>
      <c r="S489" s="63">
        <f t="shared" si="10"/>
      </c>
      <c r="T489" s="70"/>
      <c r="U489" s="63" cm="1">
        <f t="array" ref="U489:U489">_xlfn.XLOOKUP(N489,'OA名单'!B:B,'OA名单'!E:E)</f>
      </c>
      <c r="V489" s="63">
        <f t="shared" si="12"/>
      </c>
      <c r="W489" s="71"/>
      <c r="X489" s="66"/>
      <c r="Y489" s="66"/>
    </row>
    <row hidden="true" r="490">
      <c r="A490" s="66"/>
      <c r="B490" s="66" t="s">
        <v>13902</v>
      </c>
      <c r="C490" s="67" t="s">
        <v>12713</v>
      </c>
      <c r="D490" s="67" t="s">
        <v>12714</v>
      </c>
      <c r="E490" s="66" t="s">
        <v>12749</v>
      </c>
      <c r="F490" s="66" t="s">
        <v>13381</v>
      </c>
      <c r="G490" s="66" t="s">
        <v>13609</v>
      </c>
      <c r="H490" s="66" t="s">
        <v>13903</v>
      </c>
      <c r="I490" s="68">
        <v>0.905</v>
      </c>
      <c r="J490" s="69">
        <v>0.91</v>
      </c>
      <c r="K490" s="66">
        <v>0.91</v>
      </c>
      <c r="L490" s="66">
        <v>2730</v>
      </c>
      <c r="M490" s="66">
        <v>3000</v>
      </c>
      <c r="N490" s="63" cm="1">
        <f t="array" ref="N490:N490">_xlfn.XLOOKUP(H490,'OA名单'!C:C,'OA名单'!B:B,1)</f>
      </c>
      <c r="O490" s="63">
        <f t="shared" si="8"/>
      </c>
      <c r="P490" s="63" cm="1">
        <f t="array" ref="P490:P490">_xlfn.XLOOKUP(N490,'OA名单'!B:B,'OA名单'!G:G)</f>
      </c>
      <c r="Q490" s="63">
        <f t="shared" si="11"/>
      </c>
      <c r="R490" s="63" cm="1">
        <f t="array" ref="R490:R490">_xlfn.XLOOKUP(B490,'OA名单'!B:B,'OA名单'!F:F)</f>
      </c>
      <c r="S490" s="63">
        <f t="shared" si="10"/>
      </c>
      <c r="T490" s="70"/>
      <c r="U490" s="63" cm="1">
        <f t="array" ref="U490:U490">_xlfn.XLOOKUP(N490,'OA名单'!B:B,'OA名单'!E:E)</f>
      </c>
      <c r="V490" s="63">
        <f t="shared" si="12"/>
      </c>
      <c r="W490" s="71"/>
      <c r="X490" s="66"/>
      <c r="Y490" s="66"/>
    </row>
    <row hidden="true" r="491">
      <c r="A491" s="66"/>
      <c r="B491" s="66" t="s">
        <v>13904</v>
      </c>
      <c r="C491" s="67" t="s">
        <v>12713</v>
      </c>
      <c r="D491" s="67" t="s">
        <v>12714</v>
      </c>
      <c r="E491" s="66" t="s">
        <v>12749</v>
      </c>
      <c r="F491" s="66" t="s">
        <v>13381</v>
      </c>
      <c r="G491" s="66" t="s">
        <v>12751</v>
      </c>
      <c r="H491" s="66" t="s">
        <v>13905</v>
      </c>
      <c r="I491" s="68">
        <v>0.89</v>
      </c>
      <c r="J491" s="69">
        <v>0.91</v>
      </c>
      <c r="K491" s="66">
        <v>0.91</v>
      </c>
      <c r="L491" s="66">
        <v>0</v>
      </c>
      <c r="M491" s="66">
        <v>5000</v>
      </c>
      <c r="N491" s="63" cm="1">
        <f t="array" ref="N491:N491">_xlfn.XLOOKUP(H491,'OA名单'!C:C,'OA名单'!B:B,1)</f>
      </c>
      <c r="O491" s="63">
        <f t="shared" si="8"/>
      </c>
      <c r="P491" s="63" cm="1">
        <f t="array" ref="P491:P491">_xlfn.XLOOKUP(N491,'OA名单'!B:B,'OA名单'!G:G)</f>
      </c>
      <c r="Q491" s="63">
        <f t="shared" si="11"/>
      </c>
      <c r="R491" s="63" cm="1">
        <f t="array" ref="R491:R491">_xlfn.XLOOKUP(B491,'OA名单'!B:B,'OA名单'!F:F)</f>
      </c>
      <c r="S491" s="63">
        <f t="shared" si="10"/>
      </c>
      <c r="T491" s="70"/>
      <c r="U491" s="63" cm="1">
        <f t="array" ref="U491:U491">_xlfn.XLOOKUP(N491,'OA名单'!B:B,'OA名单'!E:E)</f>
      </c>
      <c r="V491" s="63">
        <f t="shared" si="12"/>
      </c>
      <c r="W491" s="71"/>
      <c r="X491" s="66"/>
      <c r="Y491" s="66"/>
    </row>
    <row hidden="true" r="492">
      <c r="A492" s="66"/>
      <c r="B492" s="66" t="s">
        <v>13906</v>
      </c>
      <c r="C492" s="67" t="s">
        <v>12713</v>
      </c>
      <c r="D492" s="67" t="s">
        <v>12714</v>
      </c>
      <c r="E492" s="66" t="s">
        <v>13146</v>
      </c>
      <c r="F492" s="66" t="s">
        <v>13204</v>
      </c>
      <c r="G492" s="66" t="s">
        <v>13205</v>
      </c>
      <c r="H492" s="66" t="s">
        <v>13907</v>
      </c>
      <c r="I492" s="68">
        <v>0.9142</v>
      </c>
      <c r="J492" s="69">
        <v>0.91</v>
      </c>
      <c r="K492" s="66">
        <v>0.91</v>
      </c>
      <c r="L492" s="66">
        <v>7280000</v>
      </c>
      <c r="M492" s="66">
        <v>5000</v>
      </c>
      <c r="N492" s="63" cm="1">
        <f t="array" ref="N492:N492">_xlfn.XLOOKUP(H492,'OA名单'!C:C,'OA名单'!B:B,1)</f>
      </c>
      <c r="O492" s="63">
        <f t="shared" si="8"/>
      </c>
      <c r="P492" s="63" cm="1">
        <f t="array" ref="P492:P492">_xlfn.XLOOKUP(N492,'OA名单'!B:B,'OA名单'!G:G)</f>
      </c>
      <c r="Q492" s="63">
        <f t="shared" si="11"/>
      </c>
      <c r="R492" s="63" cm="1">
        <f t="array" ref="R492:R492">_xlfn.XLOOKUP(B492,'OA名单'!B:B,'OA名单'!F:F)</f>
      </c>
      <c r="S492" s="63">
        <f t="shared" si="10"/>
      </c>
      <c r="T492" s="70"/>
      <c r="U492" s="63" cm="1">
        <f t="array" ref="U492:U492">_xlfn.XLOOKUP(N492,'OA名单'!B:B,'OA名单'!E:E)</f>
      </c>
      <c r="V492" s="63">
        <f t="shared" si="12"/>
      </c>
      <c r="W492" s="71"/>
      <c r="X492" s="66"/>
      <c r="Y492" s="66"/>
    </row>
    <row hidden="true" r="493">
      <c r="A493" s="66"/>
      <c r="B493" s="66" t="s">
        <v>13908</v>
      </c>
      <c r="C493" s="67" t="s">
        <v>12713</v>
      </c>
      <c r="D493" s="67" t="s">
        <v>12714</v>
      </c>
      <c r="E493" s="66" t="s">
        <v>12715</v>
      </c>
      <c r="F493" s="66" t="s">
        <v>12716</v>
      </c>
      <c r="G493" s="66" t="s">
        <v>12751</v>
      </c>
      <c r="H493" s="66" t="s">
        <v>13909</v>
      </c>
      <c r="I493" s="68">
        <v>0.91012</v>
      </c>
      <c r="J493" s="69">
        <v>0.91</v>
      </c>
      <c r="K493" s="66">
        <v>0.91</v>
      </c>
      <c r="L493" s="66">
        <v>5460</v>
      </c>
      <c r="M493" s="66">
        <v>6000</v>
      </c>
      <c r="N493" s="63" cm="1">
        <f t="array" ref="N493:N493">_xlfn.XLOOKUP(H493,'OA名单'!C:C,'OA名单'!B:B,1)</f>
      </c>
      <c r="O493" s="63">
        <f t="shared" si="8"/>
      </c>
      <c r="P493" s="63" cm="1">
        <f t="array" ref="P493:P493">_xlfn.XLOOKUP(N493,'OA名单'!B:B,'OA名单'!G:G)</f>
      </c>
      <c r="Q493" s="63">
        <f t="shared" si="11"/>
      </c>
      <c r="R493" s="63" cm="1">
        <f t="array" ref="R493:R493">_xlfn.XLOOKUP(B493,'OA名单'!B:B,'OA名单'!F:F)</f>
      </c>
      <c r="S493" s="63">
        <f t="shared" si="10"/>
      </c>
      <c r="T493" s="70"/>
      <c r="U493" s="63" cm="1">
        <f t="array" ref="U493:U493">_xlfn.XLOOKUP(N493,'OA名单'!B:B,'OA名单'!E:E)</f>
      </c>
      <c r="V493" s="63">
        <f t="shared" si="12"/>
      </c>
      <c r="W493" s="71"/>
      <c r="X493" s="66"/>
      <c r="Y493" s="66"/>
    </row>
    <row hidden="true" r="494">
      <c r="A494" s="66"/>
      <c r="B494" s="66" t="s">
        <v>13910</v>
      </c>
      <c r="C494" s="67" t="s">
        <v>12713</v>
      </c>
      <c r="D494" s="67" t="s">
        <v>12714</v>
      </c>
      <c r="E494" s="66" t="s">
        <v>12749</v>
      </c>
      <c r="F494" s="66" t="s">
        <v>13132</v>
      </c>
      <c r="G494" s="66" t="s">
        <v>12751</v>
      </c>
      <c r="H494" s="66" t="s">
        <v>13579</v>
      </c>
      <c r="I494" s="68">
        <v>0.91</v>
      </c>
      <c r="J494" s="69">
        <v>0.91</v>
      </c>
      <c r="K494" s="66">
        <v>0.91</v>
      </c>
      <c r="L494" s="66">
        <v>0</v>
      </c>
      <c r="M494" s="66">
        <v>5000</v>
      </c>
      <c r="N494" s="63" cm="1">
        <f t="array" ref="N494:N494">_xlfn.XLOOKUP(H494,'OA名单'!C:C,'OA名单'!B:B,1)</f>
      </c>
      <c r="O494" s="63">
        <f t="shared" si="8"/>
      </c>
      <c r="P494" s="63" cm="1">
        <f t="array" ref="P494:P494">_xlfn.XLOOKUP(N494,'OA名单'!B:B,'OA名单'!G:G)</f>
      </c>
      <c r="Q494" s="63">
        <f t="shared" si="11"/>
      </c>
      <c r="R494" s="63" cm="1">
        <f t="array" ref="R494:R494">_xlfn.XLOOKUP(B494,'OA名单'!B:B,'OA名单'!F:F)</f>
      </c>
      <c r="S494" s="63">
        <f t="shared" si="10"/>
      </c>
      <c r="T494" s="70"/>
      <c r="U494" s="63" cm="1">
        <f t="array" ref="U494:U494">_xlfn.XLOOKUP(N494,'OA名单'!B:B,'OA名单'!E:E)</f>
      </c>
      <c r="V494" s="63">
        <f t="shared" si="12"/>
      </c>
      <c r="W494" s="71"/>
      <c r="X494" s="66"/>
      <c r="Y494" s="66"/>
    </row>
    <row hidden="true" r="495">
      <c r="A495" s="66"/>
      <c r="B495" s="66" t="s">
        <v>13911</v>
      </c>
      <c r="C495" s="67" t="s">
        <v>12713</v>
      </c>
      <c r="D495" s="67" t="s">
        <v>12714</v>
      </c>
      <c r="E495" s="66" t="s">
        <v>13277</v>
      </c>
      <c r="F495" s="66" t="s">
        <v>13278</v>
      </c>
      <c r="G495" s="66" t="s">
        <v>13279</v>
      </c>
      <c r="H495" s="66" t="s">
        <v>13912</v>
      </c>
      <c r="I495" s="68">
        <v>0.85608</v>
      </c>
      <c r="J495" s="69">
        <v>0.91</v>
      </c>
      <c r="K495" s="66">
        <v>0.91</v>
      </c>
      <c r="L495" s="66">
        <v>2769</v>
      </c>
      <c r="M495" s="66">
        <v>3000</v>
      </c>
      <c r="N495" s="63" cm="1">
        <f t="array" ref="N495:N495">_xlfn.XLOOKUP(H495,'OA名单'!C:C,'OA名单'!B:B,1)</f>
      </c>
      <c r="O495" s="63">
        <f t="shared" si="8"/>
      </c>
      <c r="P495" s="63" cm="1">
        <f t="array" ref="P495:P495">_xlfn.XLOOKUP(N495,'OA名单'!B:B,'OA名单'!G:G)</f>
      </c>
      <c r="Q495" s="63">
        <f t="shared" si="11"/>
      </c>
      <c r="R495" s="63" cm="1">
        <f t="array" ref="R495:R495">_xlfn.XLOOKUP(B495,'OA名单'!B:B,'OA名单'!F:F)</f>
      </c>
      <c r="S495" s="63">
        <f t="shared" si="10"/>
      </c>
      <c r="T495" s="70"/>
      <c r="U495" s="63" cm="1">
        <f t="array" ref="U495:U495">_xlfn.XLOOKUP(N495,'OA名单'!B:B,'OA名单'!E:E)</f>
      </c>
      <c r="V495" s="63">
        <f t="shared" si="12"/>
      </c>
      <c r="W495" s="71"/>
      <c r="X495" s="66"/>
      <c r="Y495" s="66"/>
    </row>
    <row hidden="true" r="496">
      <c r="A496" s="66"/>
      <c r="B496" s="66" t="s">
        <v>13913</v>
      </c>
      <c r="C496" s="67" t="s">
        <v>12713</v>
      </c>
      <c r="D496" s="67" t="s">
        <v>12714</v>
      </c>
      <c r="E496" s="66" t="s">
        <v>13277</v>
      </c>
      <c r="F496" s="66" t="s">
        <v>13278</v>
      </c>
      <c r="G496" s="66" t="s">
        <v>13279</v>
      </c>
      <c r="H496" s="66" t="s">
        <v>13914</v>
      </c>
      <c r="I496" s="68">
        <v>1</v>
      </c>
      <c r="J496" s="69">
        <v>0.91</v>
      </c>
      <c r="K496" s="66">
        <v>0.91</v>
      </c>
      <c r="L496" s="66">
        <v>2769.23</v>
      </c>
      <c r="M496" s="66">
        <v>3000</v>
      </c>
      <c r="N496" s="63" cm="1">
        <f t="array" ref="N496:N496">_xlfn.XLOOKUP(H496,'OA名单'!C:C,'OA名单'!B:B,1)</f>
      </c>
      <c r="O496" s="63">
        <f t="shared" si="8"/>
      </c>
      <c r="P496" s="63" cm="1">
        <f t="array" ref="P496:P496">_xlfn.XLOOKUP(N496,'OA名单'!B:B,'OA名单'!G:G)</f>
      </c>
      <c r="Q496" s="63">
        <f t="shared" si="11"/>
      </c>
      <c r="R496" s="63" cm="1">
        <f t="array" ref="R496:R496">_xlfn.XLOOKUP(B496,'OA名单'!B:B,'OA名单'!F:F)</f>
      </c>
      <c r="S496" s="63">
        <f t="shared" si="10"/>
      </c>
      <c r="T496" s="70"/>
      <c r="U496" s="63" cm="1">
        <f t="array" ref="U496:U496">_xlfn.XLOOKUP(N496,'OA名单'!B:B,'OA名单'!E:E)</f>
      </c>
      <c r="V496" s="63">
        <f t="shared" si="12"/>
      </c>
      <c r="W496" s="71"/>
      <c r="X496" s="66"/>
      <c r="Y496" s="66"/>
    </row>
    <row hidden="true" r="497">
      <c r="A497" s="66"/>
      <c r="B497" s="66" t="s">
        <v>13915</v>
      </c>
      <c r="C497" s="67" t="s">
        <v>12713</v>
      </c>
      <c r="D497" s="67" t="s">
        <v>12714</v>
      </c>
      <c r="E497" s="66" t="s">
        <v>13277</v>
      </c>
      <c r="F497" s="66" t="s">
        <v>13278</v>
      </c>
      <c r="G497" s="66" t="s">
        <v>13279</v>
      </c>
      <c r="H497" s="66" t="s">
        <v>13916</v>
      </c>
      <c r="I497" s="68">
        <v>1</v>
      </c>
      <c r="J497" s="69">
        <v>0.91</v>
      </c>
      <c r="K497" s="66">
        <v>0.91</v>
      </c>
      <c r="L497" s="66">
        <v>3384.62</v>
      </c>
      <c r="M497" s="66">
        <v>3000</v>
      </c>
      <c r="N497" s="63" cm="1">
        <f t="array" ref="N497:N497">_xlfn.XLOOKUP(H497,'OA名单'!C:C,'OA名单'!B:B,1)</f>
      </c>
      <c r="O497" s="63">
        <f t="shared" si="8"/>
      </c>
      <c r="P497" s="63" cm="1">
        <f t="array" ref="P497:P497">_xlfn.XLOOKUP(N497,'OA名单'!B:B,'OA名单'!G:G)</f>
      </c>
      <c r="Q497" s="63">
        <f t="shared" si="11"/>
      </c>
      <c r="R497" s="63" cm="1">
        <f t="array" ref="R497:R497">_xlfn.XLOOKUP(B497,'OA名单'!B:B,'OA名单'!F:F)</f>
      </c>
      <c r="S497" s="63">
        <f t="shared" si="10"/>
      </c>
      <c r="T497" s="70"/>
      <c r="U497" s="63" cm="1">
        <f t="array" ref="U497:U497">_xlfn.XLOOKUP(N497,'OA名单'!B:B,'OA名单'!E:E)</f>
      </c>
      <c r="V497" s="63">
        <f t="shared" si="12"/>
      </c>
      <c r="W497" s="71"/>
      <c r="X497" s="66"/>
      <c r="Y497" s="66"/>
    </row>
    <row hidden="true" r="498">
      <c r="A498" s="66"/>
      <c r="B498" s="66" t="s">
        <v>13917</v>
      </c>
      <c r="C498" s="67" t="s">
        <v>12713</v>
      </c>
      <c r="D498" s="67" t="s">
        <v>12714</v>
      </c>
      <c r="E498" s="66" t="s">
        <v>12956</v>
      </c>
      <c r="F498" s="66" t="s">
        <v>13598</v>
      </c>
      <c r="G498" s="66" t="s">
        <v>13057</v>
      </c>
      <c r="H498" s="66" t="s">
        <v>13918</v>
      </c>
      <c r="I498" s="68">
        <v>0.906</v>
      </c>
      <c r="J498" s="69">
        <v>0.91</v>
      </c>
      <c r="K498" s="66">
        <v>0.91</v>
      </c>
      <c r="L498" s="66">
        <v>3763.52</v>
      </c>
      <c r="M498" s="66">
        <v>4500</v>
      </c>
      <c r="N498" s="63" cm="1">
        <f t="array" ref="N498:N498">_xlfn.XLOOKUP(H498,'OA名单'!C:C,'OA名单'!B:B,1)</f>
      </c>
      <c r="O498" s="63">
        <f t="shared" si="8"/>
      </c>
      <c r="P498" s="63" cm="1">
        <f t="array" ref="P498:P498">_xlfn.XLOOKUP(N498,'OA名单'!B:B,'OA名单'!G:G)</f>
      </c>
      <c r="Q498" s="63">
        <f t="shared" si="11"/>
      </c>
      <c r="R498" s="63" cm="1">
        <f t="array" ref="R498:R498">_xlfn.XLOOKUP(B498,'OA名单'!B:B,'OA名单'!F:F)</f>
      </c>
      <c r="S498" s="63">
        <f t="shared" si="10"/>
      </c>
      <c r="T498" s="70"/>
      <c r="U498" s="63" cm="1">
        <f t="array" ref="U498:U498">_xlfn.XLOOKUP(N498,'OA名单'!B:B,'OA名单'!E:E)</f>
      </c>
      <c r="V498" s="63">
        <f t="shared" si="12"/>
      </c>
      <c r="W498" s="71"/>
      <c r="X498" s="66"/>
      <c r="Y498" s="66"/>
    </row>
    <row hidden="true" r="499">
      <c r="A499" s="66"/>
      <c r="B499" s="66" t="s">
        <v>13919</v>
      </c>
      <c r="C499" s="67" t="s">
        <v>12713</v>
      </c>
      <c r="D499" s="67" t="s">
        <v>12714</v>
      </c>
      <c r="E499" s="66" t="s">
        <v>12956</v>
      </c>
      <c r="F499" s="66" t="s">
        <v>13721</v>
      </c>
      <c r="G499" s="66" t="s">
        <v>13057</v>
      </c>
      <c r="H499" s="66" t="s">
        <v>13920</v>
      </c>
      <c r="I499" s="68">
        <v>0.4992</v>
      </c>
      <c r="J499" s="69">
        <v>0.91</v>
      </c>
      <c r="K499" s="66">
        <v>0.91</v>
      </c>
      <c r="L499" s="66">
        <v>4181.69</v>
      </c>
      <c r="M499" s="66">
        <v>5000</v>
      </c>
      <c r="N499" s="63" cm="1">
        <f t="array" ref="N499:N499">_xlfn.XLOOKUP(H499,'OA名单'!C:C,'OA名单'!B:B,1)</f>
      </c>
      <c r="O499" s="63">
        <f t="shared" si="8"/>
      </c>
      <c r="P499" s="63" cm="1">
        <f t="array" ref="P499:P499">_xlfn.XLOOKUP(N499,'OA名单'!B:B,'OA名单'!G:G)</f>
      </c>
      <c r="Q499" s="63">
        <f t="shared" si="11"/>
      </c>
      <c r="R499" s="63" cm="1">
        <f t="array" ref="R499:R499">_xlfn.XLOOKUP(B499,'OA名单'!B:B,'OA名单'!F:F)</f>
      </c>
      <c r="S499" s="63">
        <f t="shared" si="10"/>
      </c>
      <c r="T499" s="70"/>
      <c r="U499" s="63" cm="1">
        <f t="array" ref="U499:U499">_xlfn.XLOOKUP(N499,'OA名单'!B:B,'OA名单'!E:E)</f>
      </c>
      <c r="V499" s="63">
        <f t="shared" si="12"/>
      </c>
      <c r="W499" s="71"/>
      <c r="X499" s="66"/>
      <c r="Y499" s="66"/>
    </row>
    <row hidden="true" r="500">
      <c r="A500" s="66"/>
      <c r="B500" s="66" t="s">
        <v>13921</v>
      </c>
      <c r="C500" s="67" t="s">
        <v>12713</v>
      </c>
      <c r="D500" s="67" t="s">
        <v>12714</v>
      </c>
      <c r="E500" s="66" t="s">
        <v>13097</v>
      </c>
      <c r="F500" s="67" t="s">
        <v>13130</v>
      </c>
      <c r="G500" s="66" t="s">
        <v>13067</v>
      </c>
      <c r="H500" s="66" t="s">
        <v>13922</v>
      </c>
      <c r="I500" s="68">
        <v>0.9125</v>
      </c>
      <c r="J500" s="69">
        <v>0.91</v>
      </c>
      <c r="K500" s="66">
        <v>0.91</v>
      </c>
      <c r="L500" s="66">
        <v>2220</v>
      </c>
      <c r="M500" s="66">
        <v>3000</v>
      </c>
      <c r="N500" s="63" cm="1">
        <f t="array" ref="N500:N500">_xlfn.XLOOKUP(H500,'OA名单'!C:C,'OA名单'!B:B,1)</f>
      </c>
      <c r="O500" s="63">
        <f t="shared" si="8"/>
      </c>
      <c r="P500" s="63" cm="1">
        <f t="array" ref="P500:P500">_xlfn.XLOOKUP(N500,'OA名单'!B:B,'OA名单'!G:G)</f>
      </c>
      <c r="Q500" s="63">
        <f t="shared" si="11"/>
      </c>
      <c r="R500" s="63" cm="1">
        <f t="array" ref="R500:R500">_xlfn.XLOOKUP(B500,'OA名单'!B:B,'OA名单'!F:F)</f>
      </c>
      <c r="S500" s="63">
        <f t="shared" si="10"/>
      </c>
      <c r="T500" s="64" cm="1">
        <f t="array" ref="T500:T500">_xlfn.XLOOKUP(B500,'系统-原始（副本）'!A:A,'系统-原始（副本）'!B:B)</f>
      </c>
      <c r="U500" s="63" cm="1">
        <f t="array" ref="U500:U500">_xlfn.XLOOKUP(N500,'OA名单'!B:B,'OA名单'!E:E)</f>
      </c>
      <c r="V500" s="63">
        <f t="shared" si="12"/>
      </c>
      <c r="W500" s="71"/>
      <c r="X500" s="66"/>
      <c r="Y500" s="66"/>
    </row>
    <row hidden="true" r="501">
      <c r="A501" s="66"/>
      <c r="B501" s="66" t="s">
        <v>13923</v>
      </c>
      <c r="C501" s="67" t="s">
        <v>12713</v>
      </c>
      <c r="D501" s="67" t="s">
        <v>12714</v>
      </c>
      <c r="E501" s="66" t="s">
        <v>13016</v>
      </c>
      <c r="F501" s="66" t="s">
        <v>13404</v>
      </c>
      <c r="G501" s="66" t="s">
        <v>13924</v>
      </c>
      <c r="H501" s="66" t="s">
        <v>13925</v>
      </c>
      <c r="I501" s="68">
        <v>0.908</v>
      </c>
      <c r="J501" s="69">
        <v>0.91</v>
      </c>
      <c r="K501" s="66">
        <v>0.91</v>
      </c>
      <c r="L501" s="66">
        <v>1911</v>
      </c>
      <c r="M501" s="66">
        <v>3000</v>
      </c>
      <c r="N501" s="63" cm="1">
        <f t="array" ref="N501:N501">_xlfn.XLOOKUP(H501,'OA名单'!C:C,'OA名单'!B:B,1)</f>
      </c>
      <c r="O501" s="63">
        <f t="shared" si="8"/>
      </c>
      <c r="P501" s="63" cm="1">
        <f t="array" ref="P501:P501">_xlfn.XLOOKUP(N501,'OA名单'!B:B,'OA名单'!G:G)</f>
      </c>
      <c r="Q501" s="63">
        <f t="shared" si="11"/>
      </c>
      <c r="R501" s="63" cm="1">
        <f t="array" ref="R501:R501">_xlfn.XLOOKUP(B501,'OA名单'!B:B,'OA名单'!F:F)</f>
      </c>
      <c r="S501" s="63">
        <f t="shared" si="10"/>
      </c>
      <c r="T501" s="70"/>
      <c r="U501" s="63" cm="1">
        <f t="array" ref="U501:U501">_xlfn.XLOOKUP(N501,'OA名单'!B:B,'OA名单'!E:E)</f>
      </c>
      <c r="V501" s="63">
        <f t="shared" si="12"/>
      </c>
      <c r="W501" s="71"/>
      <c r="X501" s="66"/>
      <c r="Y501" s="66"/>
    </row>
    <row hidden="true" r="502">
      <c r="A502" s="66"/>
      <c r="B502" s="66" t="s">
        <v>13926</v>
      </c>
      <c r="C502" s="67" t="s">
        <v>12713</v>
      </c>
      <c r="D502" s="67" t="s">
        <v>12714</v>
      </c>
      <c r="E502" s="66" t="s">
        <v>12749</v>
      </c>
      <c r="F502" s="66" t="s">
        <v>13335</v>
      </c>
      <c r="G502" s="66" t="s">
        <v>12751</v>
      </c>
      <c r="H502" s="66" t="s">
        <v>13927</v>
      </c>
      <c r="I502" s="68">
        <v>0.92342</v>
      </c>
      <c r="J502" s="69">
        <v>0.9</v>
      </c>
      <c r="K502" s="66">
        <v>0.9</v>
      </c>
      <c r="L502" s="66">
        <v>0</v>
      </c>
      <c r="M502" s="66">
        <v>5000</v>
      </c>
      <c r="N502" s="63" cm="1">
        <f t="array" ref="N502:N502">_xlfn.XLOOKUP(H502,'OA名单'!C:C,'OA名单'!B:B,1)</f>
      </c>
      <c r="O502" s="63">
        <f t="shared" si="8"/>
      </c>
      <c r="P502" s="63" cm="1">
        <f t="array" ref="P502:P502">_xlfn.XLOOKUP(N502,'OA名单'!B:B,'OA名单'!G:G)</f>
      </c>
      <c r="Q502" s="63">
        <f t="shared" si="11"/>
      </c>
      <c r="R502" s="63" cm="1">
        <f t="array" ref="R502:R502">_xlfn.XLOOKUP(B502,'OA名单'!B:B,'OA名单'!F:F)</f>
      </c>
      <c r="S502" s="63">
        <f t="shared" si="10"/>
      </c>
      <c r="T502" s="70"/>
      <c r="U502" s="63" cm="1">
        <f t="array" ref="U502:U502">_xlfn.XLOOKUP(N502,'OA名单'!B:B,'OA名单'!E:E)</f>
      </c>
      <c r="V502" s="63">
        <f t="shared" si="12"/>
      </c>
      <c r="W502" s="71"/>
      <c r="X502" s="66"/>
      <c r="Y502" s="66"/>
    </row>
    <row hidden="true" r="503">
      <c r="A503" s="66"/>
      <c r="B503" s="66" t="s">
        <v>13928</v>
      </c>
      <c r="C503" s="67" t="s">
        <v>12713</v>
      </c>
      <c r="D503" s="67" t="s">
        <v>12714</v>
      </c>
      <c r="E503" s="66" t="s">
        <v>13146</v>
      </c>
      <c r="F503" s="66" t="s">
        <v>13484</v>
      </c>
      <c r="G503" s="66" t="s">
        <v>13494</v>
      </c>
      <c r="H503" s="66" t="s">
        <v>13929</v>
      </c>
      <c r="I503" s="68">
        <v>0.9</v>
      </c>
      <c r="J503" s="69">
        <v>0.9</v>
      </c>
      <c r="K503" s="66">
        <v>0.9</v>
      </c>
      <c r="L503" s="66">
        <v>200</v>
      </c>
      <c r="M503" s="66">
        <v>200</v>
      </c>
      <c r="N503" s="63" cm="1">
        <f t="array" ref="N503:N503">_xlfn.XLOOKUP(H503,'OA名单'!C:C,'OA名单'!B:B,1)</f>
      </c>
      <c r="O503" s="63">
        <f t="shared" si="8"/>
      </c>
      <c r="P503" s="63" cm="1">
        <f t="array" ref="P503:P503">_xlfn.XLOOKUP(N503,'OA名单'!B:B,'OA名单'!G:G)</f>
      </c>
      <c r="Q503" s="63">
        <f t="shared" si="11"/>
      </c>
      <c r="R503" s="63" cm="1">
        <f t="array" ref="R503:R503">_xlfn.XLOOKUP(B503,'OA名单'!B:B,'OA名单'!F:F)</f>
      </c>
      <c r="S503" s="63">
        <f t="shared" si="10"/>
      </c>
      <c r="T503" s="70"/>
      <c r="U503" s="63" cm="1">
        <f t="array" ref="U503:U503">_xlfn.XLOOKUP(N503,'OA名单'!B:B,'OA名单'!E:E)</f>
      </c>
      <c r="V503" s="63">
        <f t="shared" si="12"/>
      </c>
      <c r="W503" s="71"/>
      <c r="X503" s="66"/>
      <c r="Y503" s="66"/>
    </row>
    <row hidden="true" r="504">
      <c r="A504" s="66"/>
      <c r="B504" s="66" t="s">
        <v>13930</v>
      </c>
      <c r="C504" s="67" t="s">
        <v>12713</v>
      </c>
      <c r="D504" s="67" t="s">
        <v>12714</v>
      </c>
      <c r="E504" s="66" t="s">
        <v>13146</v>
      </c>
      <c r="F504" s="66" t="s">
        <v>13484</v>
      </c>
      <c r="G504" s="66" t="s">
        <v>12751</v>
      </c>
      <c r="H504" s="66" t="s">
        <v>13931</v>
      </c>
      <c r="I504" s="68">
        <v>0.895</v>
      </c>
      <c r="J504" s="69">
        <v>0.9</v>
      </c>
      <c r="K504" s="66">
        <v>0.9</v>
      </c>
      <c r="L504" s="66">
        <v>0</v>
      </c>
      <c r="M504" s="66">
        <v>5000</v>
      </c>
      <c r="N504" s="63" cm="1">
        <f t="array" ref="N504:N504">_xlfn.XLOOKUP(H504,'OA名单'!C:C,'OA名单'!B:B,1)</f>
      </c>
      <c r="O504" s="63">
        <f t="shared" si="8"/>
      </c>
      <c r="P504" s="63" cm="1">
        <f t="array" ref="P504:P504">_xlfn.XLOOKUP(N504,'OA名单'!B:B,'OA名单'!G:G)</f>
      </c>
      <c r="Q504" s="63">
        <f t="shared" si="11"/>
      </c>
      <c r="R504" s="63" cm="1">
        <f t="array" ref="R504:R504">_xlfn.XLOOKUP(B504,'OA名单'!B:B,'OA名单'!F:F)</f>
      </c>
      <c r="S504" s="63">
        <f t="shared" si="10"/>
      </c>
      <c r="T504" s="70"/>
      <c r="U504" s="63" cm="1">
        <f t="array" ref="U504:U504">_xlfn.XLOOKUP(N504,'OA名单'!B:B,'OA名单'!E:E)</f>
      </c>
      <c r="V504" s="63">
        <f t="shared" si="12"/>
      </c>
      <c r="W504" s="71"/>
      <c r="X504" s="66"/>
      <c r="Y504" s="66"/>
    </row>
    <row hidden="true" r="505">
      <c r="A505" s="66"/>
      <c r="B505" s="66" t="s">
        <v>13932</v>
      </c>
      <c r="C505" s="67" t="s">
        <v>12713</v>
      </c>
      <c r="D505" s="67" t="s">
        <v>12714</v>
      </c>
      <c r="E505" s="66" t="s">
        <v>12776</v>
      </c>
      <c r="F505" s="66" t="s">
        <v>13038</v>
      </c>
      <c r="G505" s="66" t="s">
        <v>13021</v>
      </c>
      <c r="H505" s="66" t="s">
        <v>13933</v>
      </c>
      <c r="I505" s="68">
        <v>0.91501</v>
      </c>
      <c r="J505" s="69">
        <v>0.9</v>
      </c>
      <c r="K505" s="66">
        <v>0.9</v>
      </c>
      <c r="L505" s="66">
        <v>0</v>
      </c>
      <c r="M505" s="66">
        <v>2000</v>
      </c>
      <c r="N505" s="63" cm="1">
        <f t="array" ref="N505:N505">_xlfn.XLOOKUP(H505,'OA名单'!C:C,'OA名单'!B:B,1)</f>
      </c>
      <c r="O505" s="63">
        <f t="shared" si="8"/>
      </c>
      <c r="P505" s="63" cm="1">
        <f t="array" ref="P505:P505">_xlfn.XLOOKUP(N505,'OA名单'!B:B,'OA名单'!G:G)</f>
      </c>
      <c r="Q505" s="63">
        <f t="shared" si="11"/>
      </c>
      <c r="R505" s="63" cm="1">
        <f t="array" ref="R505:R505">_xlfn.XLOOKUP(B505,'OA名单'!B:B,'OA名单'!F:F)</f>
      </c>
      <c r="S505" s="63">
        <f t="shared" si="10"/>
      </c>
      <c r="T505" s="70"/>
      <c r="U505" s="63" cm="1">
        <f t="array" ref="U505:U505">_xlfn.XLOOKUP(N505,'OA名单'!B:B,'OA名单'!E:E)</f>
      </c>
      <c r="V505" s="63">
        <f t="shared" si="12"/>
      </c>
      <c r="W505" s="71"/>
      <c r="X505" s="66"/>
      <c r="Y505" s="66"/>
    </row>
    <row hidden="true" r="506">
      <c r="A506" s="66"/>
      <c r="B506" s="66" t="s">
        <v>13934</v>
      </c>
      <c r="C506" s="67" t="s">
        <v>12713</v>
      </c>
      <c r="D506" s="67" t="s">
        <v>12714</v>
      </c>
      <c r="E506" s="66" t="s">
        <v>13146</v>
      </c>
      <c r="F506" s="66" t="s">
        <v>13204</v>
      </c>
      <c r="G506" s="66" t="s">
        <v>12751</v>
      </c>
      <c r="H506" s="66" t="s">
        <v>13935</v>
      </c>
      <c r="I506" s="68">
        <v>0.899561</v>
      </c>
      <c r="J506" s="69">
        <v>0.9</v>
      </c>
      <c r="K506" s="66">
        <v>0.9</v>
      </c>
      <c r="L506" s="66">
        <v>4032.26</v>
      </c>
      <c r="M506" s="66">
        <v>5000</v>
      </c>
      <c r="N506" s="63" cm="1">
        <f t="array" ref="N506:N506">_xlfn.XLOOKUP(H506,'OA名单'!C:C,'OA名单'!B:B,1)</f>
      </c>
      <c r="O506" s="63">
        <f t="shared" si="8"/>
      </c>
      <c r="P506" s="63" cm="1">
        <f t="array" ref="P506:P506">_xlfn.XLOOKUP(N506,'OA名单'!B:B,'OA名单'!G:G)</f>
      </c>
      <c r="Q506" s="63">
        <f t="shared" si="11"/>
      </c>
      <c r="R506" s="63" cm="1">
        <f t="array" ref="R506:R506">_xlfn.XLOOKUP(B506,'OA名单'!B:B,'OA名单'!F:F)</f>
      </c>
      <c r="S506" s="63">
        <f t="shared" si="10"/>
      </c>
      <c r="T506" s="70"/>
      <c r="U506" s="63" cm="1">
        <f t="array" ref="U506:U506">_xlfn.XLOOKUP(N506,'OA名单'!B:B,'OA名单'!E:E)</f>
      </c>
      <c r="V506" s="63">
        <f t="shared" si="12"/>
      </c>
      <c r="W506" s="71"/>
      <c r="X506" s="66"/>
      <c r="Y506" s="66"/>
    </row>
    <row hidden="true" r="507">
      <c r="A507" s="66"/>
      <c r="B507" s="66" t="s">
        <v>13936</v>
      </c>
      <c r="C507" s="67" t="s">
        <v>12713</v>
      </c>
      <c r="D507" s="67" t="s">
        <v>12714</v>
      </c>
      <c r="E507" s="66" t="s">
        <v>13011</v>
      </c>
      <c r="F507" s="66" t="s">
        <v>13138</v>
      </c>
      <c r="G507" s="66" t="s">
        <v>13043</v>
      </c>
      <c r="H507" s="66" t="s">
        <v>13937</v>
      </c>
      <c r="I507" s="68">
        <v>0.9835</v>
      </c>
      <c r="J507" s="69">
        <v>0.9</v>
      </c>
      <c r="K507" s="66">
        <v>0.9</v>
      </c>
      <c r="L507" s="66">
        <v>3490</v>
      </c>
      <c r="M507" s="66">
        <v>4000</v>
      </c>
      <c r="N507" s="63" cm="1">
        <f t="array" ref="N507:N507">_xlfn.XLOOKUP(H507,'OA名单'!C:C,'OA名单'!B:B,1)</f>
      </c>
      <c r="O507" s="63">
        <f t="shared" si="8"/>
      </c>
      <c r="P507" s="63" cm="1">
        <f t="array" ref="P507:P507">_xlfn.XLOOKUP(N507,'OA名单'!B:B,'OA名单'!G:G)</f>
      </c>
      <c r="Q507" s="63">
        <f t="shared" si="11"/>
      </c>
      <c r="R507" s="63" cm="1">
        <f t="array" ref="R507:R507">_xlfn.XLOOKUP(B507,'OA名单'!B:B,'OA名单'!F:F)</f>
      </c>
      <c r="S507" s="63">
        <f t="shared" si="10"/>
      </c>
      <c r="T507" s="70"/>
      <c r="U507" s="63" cm="1">
        <f t="array" ref="U507:U507">_xlfn.XLOOKUP(N507,'OA名单'!B:B,'OA名单'!E:E)</f>
      </c>
      <c r="V507" s="63">
        <f t="shared" si="12"/>
      </c>
      <c r="W507" s="71"/>
      <c r="X507" s="66"/>
      <c r="Y507" s="66"/>
    </row>
    <row hidden="true" r="508">
      <c r="A508" s="66"/>
      <c r="B508" s="66" t="s">
        <v>13938</v>
      </c>
      <c r="C508" s="67" t="s">
        <v>12713</v>
      </c>
      <c r="D508" s="67" t="s">
        <v>12714</v>
      </c>
      <c r="E508" s="66" t="s">
        <v>12956</v>
      </c>
      <c r="F508" s="66" t="s">
        <v>13536</v>
      </c>
      <c r="G508" s="66" t="s">
        <v>13401</v>
      </c>
      <c r="H508" s="66" t="s">
        <v>13939</v>
      </c>
      <c r="I508" s="68">
        <v>0.9</v>
      </c>
      <c r="J508" s="69">
        <v>0.9</v>
      </c>
      <c r="K508" s="66">
        <v>0.9</v>
      </c>
      <c r="L508" s="66">
        <v>4053</v>
      </c>
      <c r="M508" s="66">
        <v>5000</v>
      </c>
      <c r="N508" s="63" cm="1">
        <f t="array" ref="N508:N508">_xlfn.XLOOKUP(H508,'OA名单'!C:C,'OA名单'!B:B,1)</f>
      </c>
      <c r="O508" s="63">
        <f t="shared" si="8"/>
      </c>
      <c r="P508" s="63" cm="1">
        <f t="array" ref="P508:P508">_xlfn.XLOOKUP(N508,'OA名单'!B:B,'OA名单'!G:G)</f>
      </c>
      <c r="Q508" s="63">
        <f t="shared" si="11"/>
      </c>
      <c r="R508" s="63" cm="1">
        <f t="array" ref="R508:R508">_xlfn.XLOOKUP(B508,'OA名单'!B:B,'OA名单'!F:F)</f>
      </c>
      <c r="S508" s="63">
        <f t="shared" si="10"/>
      </c>
      <c r="T508" s="70"/>
      <c r="U508" s="63" cm="1">
        <f t="array" ref="U508:U508">_xlfn.XLOOKUP(N508,'OA名单'!B:B,'OA名单'!E:E)</f>
      </c>
      <c r="V508" s="63">
        <f t="shared" si="12"/>
      </c>
      <c r="W508" s="71"/>
      <c r="X508" s="66"/>
      <c r="Y508" s="66"/>
    </row>
    <row hidden="true" r="509">
      <c r="A509" s="66"/>
      <c r="B509" s="66" t="s">
        <v>13940</v>
      </c>
      <c r="C509" s="67" t="s">
        <v>12713</v>
      </c>
      <c r="D509" s="67" t="s">
        <v>12714</v>
      </c>
      <c r="E509" s="66" t="s">
        <v>12956</v>
      </c>
      <c r="F509" s="66" t="s">
        <v>13536</v>
      </c>
      <c r="G509" s="66" t="s">
        <v>13537</v>
      </c>
      <c r="H509" s="66" t="s">
        <v>13941</v>
      </c>
      <c r="I509" s="68">
        <v>0.9</v>
      </c>
      <c r="J509" s="69">
        <v>0.9</v>
      </c>
      <c r="K509" s="66">
        <v>0.9</v>
      </c>
      <c r="L509" s="66">
        <v>0</v>
      </c>
      <c r="M509" s="66">
        <v>3400</v>
      </c>
      <c r="N509" s="63" cm="1">
        <f t="array" ref="N509:N509">_xlfn.XLOOKUP(H509,'OA名单'!C:C,'OA名单'!B:B,1)</f>
      </c>
      <c r="O509" s="63">
        <f t="shared" si="8"/>
      </c>
      <c r="P509" s="63" cm="1">
        <f t="array" ref="P509:P509">_xlfn.XLOOKUP(N509,'OA名单'!B:B,'OA名单'!G:G)</f>
      </c>
      <c r="Q509" s="63">
        <f t="shared" si="11"/>
      </c>
      <c r="R509" s="63" cm="1">
        <f t="array" ref="R509:R509">_xlfn.XLOOKUP(B509,'OA名单'!B:B,'OA名单'!F:F)</f>
      </c>
      <c r="S509" s="63">
        <f t="shared" si="10"/>
      </c>
      <c r="T509" s="70"/>
      <c r="U509" s="63" cm="1">
        <f t="array" ref="U509:U509">_xlfn.XLOOKUP(N509,'OA名单'!B:B,'OA名单'!E:E)</f>
      </c>
      <c r="V509" s="63">
        <f t="shared" si="12"/>
      </c>
      <c r="W509" s="71"/>
      <c r="X509" s="66"/>
      <c r="Y509" s="66"/>
    </row>
    <row hidden="true" r="510">
      <c r="A510" s="66"/>
      <c r="B510" s="66" t="s">
        <v>13942</v>
      </c>
      <c r="C510" s="67" t="s">
        <v>12713</v>
      </c>
      <c r="D510" s="67" t="s">
        <v>12714</v>
      </c>
      <c r="E510" s="66" t="s">
        <v>12782</v>
      </c>
      <c r="F510" s="66" t="s">
        <v>12783</v>
      </c>
      <c r="G510" s="66" t="s">
        <v>12888</v>
      </c>
      <c r="H510" s="66" t="s">
        <v>13943</v>
      </c>
      <c r="I510" s="68">
        <v>0.9</v>
      </c>
      <c r="J510" s="69">
        <v>0.9</v>
      </c>
      <c r="K510" s="66">
        <v>0.9</v>
      </c>
      <c r="L510" s="66">
        <v>1367.04</v>
      </c>
      <c r="M510" s="66">
        <v>1000</v>
      </c>
      <c r="N510" s="63" cm="1">
        <f t="array" ref="N510:N510">_xlfn.XLOOKUP(H510,'OA名单'!C:C,'OA名单'!B:B,1)</f>
      </c>
      <c r="O510" s="63">
        <f t="shared" si="8"/>
      </c>
      <c r="P510" s="63" cm="1">
        <f t="array" ref="P510:P510">_xlfn.XLOOKUP(N510,'OA名单'!B:B,'OA名单'!G:G)</f>
      </c>
      <c r="Q510" s="63">
        <f t="shared" si="11"/>
      </c>
      <c r="R510" s="63" cm="1">
        <f t="array" ref="R510:R510">_xlfn.XLOOKUP(B510,'OA名单'!B:B,'OA名单'!F:F)</f>
      </c>
      <c r="S510" s="63">
        <f t="shared" si="10"/>
      </c>
      <c r="T510" s="70"/>
      <c r="U510" s="63" cm="1">
        <f t="array" ref="U510:U510">_xlfn.XLOOKUP(N510,'OA名单'!B:B,'OA名单'!E:E)</f>
      </c>
      <c r="V510" s="63">
        <f t="shared" si="12"/>
      </c>
      <c r="W510" s="71"/>
      <c r="X510" s="66"/>
      <c r="Y510" s="66"/>
    </row>
    <row hidden="true" r="511">
      <c r="A511" s="66"/>
      <c r="B511" s="66" t="s">
        <v>13944</v>
      </c>
      <c r="C511" s="67" t="s">
        <v>12713</v>
      </c>
      <c r="D511" s="67" t="s">
        <v>12714</v>
      </c>
      <c r="E511" s="66" t="s">
        <v>12749</v>
      </c>
      <c r="F511" s="66" t="s">
        <v>13132</v>
      </c>
      <c r="G511" s="66" t="s">
        <v>13945</v>
      </c>
      <c r="H511" s="66" t="s">
        <v>13946</v>
      </c>
      <c r="I511" s="68">
        <v>0.9</v>
      </c>
      <c r="J511" s="69">
        <v>0.9</v>
      </c>
      <c r="K511" s="66">
        <v>0.9</v>
      </c>
      <c r="L511" s="66">
        <v>1440</v>
      </c>
      <c r="M511" s="66">
        <v>1200</v>
      </c>
      <c r="N511" s="63" cm="1">
        <f t="array" ref="N511:N511">_xlfn.XLOOKUP(H511,'OA名单'!C:C,'OA名单'!B:B,1)</f>
      </c>
      <c r="O511" s="63">
        <f t="shared" si="8"/>
      </c>
      <c r="P511" s="63" cm="1">
        <f t="array" ref="P511:P511">_xlfn.XLOOKUP(N511,'OA名单'!B:B,'OA名单'!G:G)</f>
      </c>
      <c r="Q511" s="63">
        <f t="shared" si="11"/>
      </c>
      <c r="R511" s="63" cm="1">
        <f t="array" ref="R511:R511">_xlfn.XLOOKUP(B511,'OA名单'!B:B,'OA名单'!F:F)</f>
      </c>
      <c r="S511" s="63">
        <f t="shared" si="10"/>
      </c>
      <c r="T511" s="70"/>
      <c r="U511" s="63" cm="1">
        <f t="array" ref="U511:U511">_xlfn.XLOOKUP(N511,'OA名单'!B:B,'OA名单'!E:E)</f>
      </c>
      <c r="V511" s="63">
        <f t="shared" si="12"/>
      </c>
      <c r="W511" s="71"/>
      <c r="X511" s="66"/>
      <c r="Y511" s="66"/>
    </row>
    <row hidden="true" r="512">
      <c r="A512" s="66"/>
      <c r="B512" s="66" t="s">
        <v>13947</v>
      </c>
      <c r="C512" s="67" t="s">
        <v>12713</v>
      </c>
      <c r="D512" s="67" t="s">
        <v>12714</v>
      </c>
      <c r="E512" s="66" t="s">
        <v>13182</v>
      </c>
      <c r="F512" s="66" t="s">
        <v>13948</v>
      </c>
      <c r="G512" s="66" t="s">
        <v>13949</v>
      </c>
      <c r="H512" s="66" t="s">
        <v>13950</v>
      </c>
      <c r="I512" s="68">
        <v>1.007</v>
      </c>
      <c r="J512" s="69">
        <v>0.9</v>
      </c>
      <c r="K512" s="66">
        <v>0.9</v>
      </c>
      <c r="L512" s="66">
        <v>9200.05</v>
      </c>
      <c r="M512" s="66">
        <v>6000</v>
      </c>
      <c r="N512" s="63" cm="1">
        <f t="array" ref="N512:N512">_xlfn.XLOOKUP(H512,'OA名单'!C:C,'OA名单'!B:B,1)</f>
      </c>
      <c r="O512" s="63">
        <f t="shared" si="8"/>
      </c>
      <c r="P512" s="63" cm="1">
        <f t="array" ref="P512:P512">_xlfn.XLOOKUP(N512,'OA名单'!B:B,'OA名单'!G:G)</f>
      </c>
      <c r="Q512" s="63">
        <f t="shared" si="11"/>
      </c>
      <c r="R512" s="63" cm="1">
        <f t="array" ref="R512:R512">_xlfn.XLOOKUP(B512,'OA名单'!B:B,'OA名单'!F:F)</f>
      </c>
      <c r="S512" s="63">
        <f t="shared" si="10"/>
      </c>
      <c r="T512" s="70"/>
      <c r="U512" s="63" cm="1">
        <f t="array" ref="U512:U512">_xlfn.XLOOKUP(N512,'OA名单'!B:B,'OA名单'!E:E)</f>
      </c>
      <c r="V512" s="63">
        <f t="shared" si="12"/>
      </c>
      <c r="W512" s="71"/>
      <c r="X512" s="66"/>
      <c r="Y512" s="66"/>
    </row>
    <row hidden="true" r="513">
      <c r="A513" s="66"/>
      <c r="B513" s="66" t="s">
        <v>13951</v>
      </c>
      <c r="C513" s="67" t="s">
        <v>12713</v>
      </c>
      <c r="D513" s="67" t="s">
        <v>12714</v>
      </c>
      <c r="E513" s="66" t="s">
        <v>12776</v>
      </c>
      <c r="F513" s="66" t="s">
        <v>13024</v>
      </c>
      <c r="G513" s="66" t="s">
        <v>13079</v>
      </c>
      <c r="H513" s="66" t="s">
        <v>13952</v>
      </c>
      <c r="I513" s="68">
        <v>0.58</v>
      </c>
      <c r="J513" s="69">
        <v>0.9</v>
      </c>
      <c r="K513" s="66">
        <v>0.9</v>
      </c>
      <c r="L513" s="66">
        <v>5580</v>
      </c>
      <c r="M513" s="66">
        <v>5000</v>
      </c>
      <c r="N513" s="63" cm="1">
        <f t="array" ref="N513:N513">_xlfn.XLOOKUP(H513,'OA名单'!C:C,'OA名单'!B:B,1)</f>
      </c>
      <c r="O513" s="63">
        <f t="shared" si="8"/>
      </c>
      <c r="P513" s="63" cm="1">
        <f t="array" ref="P513:P513">_xlfn.XLOOKUP(N513,'OA名单'!B:B,'OA名单'!G:G)</f>
      </c>
      <c r="Q513" s="63">
        <f t="shared" si="11"/>
      </c>
      <c r="R513" s="63" cm="1">
        <f t="array" ref="R513:R513">_xlfn.XLOOKUP(B513,'OA名单'!B:B,'OA名单'!F:F)</f>
      </c>
      <c r="S513" s="63">
        <f t="shared" si="10"/>
      </c>
      <c r="T513" s="70"/>
      <c r="U513" s="63" cm="1">
        <f t="array" ref="U513:U513">_xlfn.XLOOKUP(N513,'OA名单'!B:B,'OA名单'!E:E)</f>
      </c>
      <c r="V513" s="63">
        <f t="shared" si="12"/>
      </c>
      <c r="W513" s="71"/>
      <c r="X513" s="66"/>
      <c r="Y513" s="66"/>
    </row>
    <row hidden="true" r="514">
      <c r="A514" s="66"/>
      <c r="B514" s="66" t="s">
        <v>13953</v>
      </c>
      <c r="C514" s="67" t="s">
        <v>12713</v>
      </c>
      <c r="D514" s="67" t="s">
        <v>12714</v>
      </c>
      <c r="E514" s="66" t="s">
        <v>13027</v>
      </c>
      <c r="F514" s="66" t="s">
        <v>13954</v>
      </c>
      <c r="G514" s="66" t="s">
        <v>12751</v>
      </c>
      <c r="H514" s="66" t="s">
        <v>13955</v>
      </c>
      <c r="I514" s="68">
        <v>0.9004</v>
      </c>
      <c r="J514" s="69">
        <v>0.9</v>
      </c>
      <c r="K514" s="66">
        <v>0.9</v>
      </c>
      <c r="L514" s="66">
        <v>0</v>
      </c>
      <c r="M514" s="66">
        <v>5000</v>
      </c>
      <c r="N514" s="63" cm="1">
        <f t="array" ref="N514:N514">_xlfn.XLOOKUP(H514,'OA名单'!C:C,'OA名单'!B:B,1)</f>
      </c>
      <c r="O514" s="63">
        <f t="shared" si="8"/>
      </c>
      <c r="P514" s="63" cm="1">
        <f t="array" ref="P514:P514">_xlfn.XLOOKUP(N514,'OA名单'!B:B,'OA名单'!G:G)</f>
      </c>
      <c r="Q514" s="63">
        <f t="shared" si="11"/>
      </c>
      <c r="R514" s="63" cm="1">
        <f t="array" ref="R514:R514">_xlfn.XLOOKUP(B514,'OA名单'!B:B,'OA名单'!F:F)</f>
      </c>
      <c r="S514" s="63">
        <f t="shared" si="10"/>
      </c>
      <c r="T514" s="70"/>
      <c r="U514" s="63" cm="1">
        <f t="array" ref="U514:U514">_xlfn.XLOOKUP(N514,'OA名单'!B:B,'OA名单'!E:E)</f>
      </c>
      <c r="V514" s="63">
        <f t="shared" si="12"/>
      </c>
      <c r="W514" s="71"/>
      <c r="X514" s="66"/>
      <c r="Y514" s="66"/>
    </row>
    <row hidden="true" r="515">
      <c r="A515" s="66"/>
      <c r="B515" s="66" t="s">
        <v>13956</v>
      </c>
      <c r="C515" s="67" t="s">
        <v>12713</v>
      </c>
      <c r="D515" s="67" t="s">
        <v>12714</v>
      </c>
      <c r="E515" s="66" t="s">
        <v>13027</v>
      </c>
      <c r="F515" s="66" t="s">
        <v>13954</v>
      </c>
      <c r="G515" s="66" t="s">
        <v>13221</v>
      </c>
      <c r="H515" s="66" t="s">
        <v>13957</v>
      </c>
      <c r="I515" s="68">
        <v>0.89675</v>
      </c>
      <c r="J515" s="69">
        <v>0.9</v>
      </c>
      <c r="K515" s="66">
        <v>0.9</v>
      </c>
      <c r="L515" s="66">
        <v>0</v>
      </c>
      <c r="M515" s="66">
        <v>5000</v>
      </c>
      <c r="N515" s="63" cm="1">
        <f t="array" ref="N515:N515">_xlfn.XLOOKUP(H515,'OA名单'!C:C,'OA名单'!B:B,1)</f>
      </c>
      <c r="O515" s="63">
        <f t="shared" si="8"/>
      </c>
      <c r="P515" s="63" cm="1">
        <f t="array" ref="P515:P515">_xlfn.XLOOKUP(N515,'OA名单'!B:B,'OA名单'!G:G)</f>
      </c>
      <c r="Q515" s="63">
        <f t="shared" si="11"/>
      </c>
      <c r="R515" s="63" cm="1">
        <f t="array" ref="R515:R515">_xlfn.XLOOKUP(B515,'OA名单'!B:B,'OA名单'!F:F)</f>
      </c>
      <c r="S515" s="63">
        <f t="shared" si="10"/>
      </c>
      <c r="T515" s="70"/>
      <c r="U515" s="63" cm="1">
        <f t="array" ref="U515:U515">_xlfn.XLOOKUP(N515,'OA名单'!B:B,'OA名单'!E:E)</f>
      </c>
      <c r="V515" s="63">
        <f t="shared" si="12"/>
      </c>
      <c r="W515" s="71"/>
      <c r="X515" s="66"/>
      <c r="Y515" s="66"/>
    </row>
    <row hidden="true" r="516">
      <c r="A516" s="66"/>
      <c r="B516" s="66" t="s">
        <v>13958</v>
      </c>
      <c r="C516" s="67" t="s">
        <v>12713</v>
      </c>
      <c r="D516" s="67" t="s">
        <v>12714</v>
      </c>
      <c r="E516" s="66" t="s">
        <v>13318</v>
      </c>
      <c r="F516" s="66" t="s">
        <v>13761</v>
      </c>
      <c r="G516" s="66" t="s">
        <v>13033</v>
      </c>
      <c r="H516" s="66" t="s">
        <v>13959</v>
      </c>
      <c r="I516" s="68">
        <v>0.9022</v>
      </c>
      <c r="J516" s="69">
        <v>0.9</v>
      </c>
      <c r="K516" s="66">
        <v>0.9</v>
      </c>
      <c r="L516" s="66">
        <v>4600</v>
      </c>
      <c r="M516" s="66">
        <v>5000</v>
      </c>
      <c r="N516" s="63" cm="1">
        <f t="array" ref="N516:N516">_xlfn.XLOOKUP(H516,'OA名单'!C:C,'OA名单'!B:B,1)</f>
      </c>
      <c r="O516" s="63">
        <f t="shared" si="8"/>
      </c>
      <c r="P516" s="63" cm="1">
        <f t="array" ref="P516:P516">_xlfn.XLOOKUP(N516,'OA名单'!B:B,'OA名单'!G:G)</f>
      </c>
      <c r="Q516" s="63">
        <f t="shared" si="11"/>
      </c>
      <c r="R516" s="63" cm="1">
        <f t="array" ref="R516:R516">_xlfn.XLOOKUP(B516,'OA名单'!B:B,'OA名单'!F:F)</f>
      </c>
      <c r="S516" s="63">
        <f t="shared" si="10"/>
      </c>
      <c r="T516" s="70"/>
      <c r="U516" s="63" cm="1">
        <f t="array" ref="U516:U516">_xlfn.XLOOKUP(N516,'OA名单'!B:B,'OA名单'!E:E)</f>
      </c>
      <c r="V516" s="63">
        <f t="shared" si="12"/>
      </c>
      <c r="W516" s="71"/>
      <c r="X516" s="66"/>
      <c r="Y516" s="66"/>
    </row>
    <row hidden="true" r="517">
      <c r="A517" s="66"/>
      <c r="B517" s="66" t="s">
        <v>13960</v>
      </c>
      <c r="C517" s="67" t="s">
        <v>12713</v>
      </c>
      <c r="D517" s="67" t="s">
        <v>12714</v>
      </c>
      <c r="E517" s="66" t="s">
        <v>13277</v>
      </c>
      <c r="F517" s="66" t="s">
        <v>13691</v>
      </c>
      <c r="G517" s="66" t="s">
        <v>13692</v>
      </c>
      <c r="H517" s="66" t="s">
        <v>13961</v>
      </c>
      <c r="I517" s="68">
        <v>0.009002</v>
      </c>
      <c r="J517" s="69">
        <v>0.9</v>
      </c>
      <c r="K517" s="66">
        <v>0.9</v>
      </c>
      <c r="L517" s="66">
        <v>1706.39</v>
      </c>
      <c r="M517" s="66">
        <v>2100</v>
      </c>
      <c r="N517" s="63" cm="1">
        <f t="array" ref="N517:N517">_xlfn.XLOOKUP(H517,'OA名单'!C:C,'OA名单'!B:B,1)</f>
      </c>
      <c r="O517" s="63">
        <f t="shared" si="8"/>
      </c>
      <c r="P517" s="63" cm="1">
        <f t="array" ref="P517:P517">_xlfn.XLOOKUP(N517,'OA名单'!B:B,'OA名单'!G:G)</f>
      </c>
      <c r="Q517" s="63">
        <f t="shared" si="11"/>
      </c>
      <c r="R517" s="63" cm="1">
        <f t="array" ref="R517:R517">_xlfn.XLOOKUP(B517,'OA名单'!B:B,'OA名单'!F:F)</f>
      </c>
      <c r="S517" s="63">
        <f t="shared" si="10"/>
      </c>
      <c r="T517" s="70"/>
      <c r="U517" s="63" cm="1">
        <f t="array" ref="U517:U517">_xlfn.XLOOKUP(N517,'OA名单'!B:B,'OA名单'!E:E)</f>
      </c>
      <c r="V517" s="63">
        <f t="shared" si="12"/>
      </c>
      <c r="W517" s="71"/>
      <c r="X517" s="66"/>
      <c r="Y517" s="66"/>
    </row>
    <row hidden="true" r="518">
      <c r="A518" s="66"/>
      <c r="B518" s="66" t="s">
        <v>13962</v>
      </c>
      <c r="C518" s="67" t="s">
        <v>12713</v>
      </c>
      <c r="D518" s="67" t="s">
        <v>12714</v>
      </c>
      <c r="E518" s="66" t="s">
        <v>13011</v>
      </c>
      <c r="F518" s="66" t="s">
        <v>13012</v>
      </c>
      <c r="G518" s="66" t="s">
        <v>12751</v>
      </c>
      <c r="H518" s="66" t="s">
        <v>13963</v>
      </c>
      <c r="I518" s="68">
        <v>0.6883</v>
      </c>
      <c r="J518" s="69">
        <v>0.89</v>
      </c>
      <c r="K518" s="66">
        <v>0.89</v>
      </c>
      <c r="L518" s="66">
        <v>5599.76</v>
      </c>
      <c r="M518" s="66">
        <v>5000</v>
      </c>
      <c r="N518" s="63" cm="1">
        <f t="array" ref="N518:N518">_xlfn.XLOOKUP(H518,'OA名单'!C:C,'OA名单'!B:B,1)</f>
      </c>
      <c r="O518" s="63">
        <f t="shared" si="8"/>
      </c>
      <c r="P518" s="63" cm="1">
        <f t="array" ref="P518:P518">_xlfn.XLOOKUP(N518,'OA名单'!B:B,'OA名单'!G:G)</f>
      </c>
      <c r="Q518" s="63">
        <f t="shared" si="11"/>
      </c>
      <c r="R518" s="63" cm="1">
        <f t="array" ref="R518:R518">_xlfn.XLOOKUP(B518,'OA名单'!B:B,'OA名单'!F:F)</f>
      </c>
      <c r="S518" s="63">
        <f t="shared" si="10"/>
      </c>
      <c r="T518" s="70"/>
      <c r="U518" s="63" cm="1">
        <f t="array" ref="U518:U518">_xlfn.XLOOKUP(N518,'OA名单'!B:B,'OA名单'!E:E)</f>
      </c>
      <c r="V518" s="63">
        <f t="shared" si="12"/>
      </c>
      <c r="W518" s="71"/>
      <c r="X518" s="66"/>
      <c r="Y518" s="66"/>
    </row>
    <row hidden="true" r="519">
      <c r="A519" s="66"/>
      <c r="B519" s="66" t="s">
        <v>13964</v>
      </c>
      <c r="C519" s="67" t="s">
        <v>12713</v>
      </c>
      <c r="D519" s="67" t="s">
        <v>12714</v>
      </c>
      <c r="E519" s="66" t="s">
        <v>13182</v>
      </c>
      <c r="F519" s="66" t="s">
        <v>13183</v>
      </c>
      <c r="G519" s="66" t="s">
        <v>13965</v>
      </c>
      <c r="H519" s="66" t="s">
        <v>13966</v>
      </c>
      <c r="I519" s="68">
        <v>0.90075</v>
      </c>
      <c r="J519" s="69">
        <v>0.89</v>
      </c>
      <c r="K519" s="66">
        <v>0.89</v>
      </c>
      <c r="L519" s="66">
        <v>5037.63</v>
      </c>
      <c r="M519" s="66">
        <v>5000</v>
      </c>
      <c r="N519" s="63" cm="1">
        <f t="array" ref="N519:N519">_xlfn.XLOOKUP(H519,'OA名单'!C:C,'OA名单'!B:B,1)</f>
      </c>
      <c r="O519" s="63">
        <f t="shared" si="8"/>
      </c>
      <c r="P519" s="63" cm="1">
        <f t="array" ref="P519:P519">_xlfn.XLOOKUP(N519,'OA名单'!B:B,'OA名单'!G:G)</f>
      </c>
      <c r="Q519" s="63">
        <f t="shared" si="11"/>
      </c>
      <c r="R519" s="63" cm="1">
        <f t="array" ref="R519:R519">_xlfn.XLOOKUP(B519,'OA名单'!B:B,'OA名单'!F:F)</f>
      </c>
      <c r="S519" s="63">
        <f t="shared" si="10"/>
      </c>
      <c r="T519" s="70"/>
      <c r="U519" s="63" cm="1">
        <f t="array" ref="U519:U519">_xlfn.XLOOKUP(N519,'OA名单'!B:B,'OA名单'!E:E)</f>
      </c>
      <c r="V519" s="63">
        <f t="shared" si="12"/>
      </c>
      <c r="W519" s="71"/>
      <c r="X519" s="66"/>
      <c r="Y519" s="66"/>
    </row>
    <row hidden="true" r="520">
      <c r="A520" s="66"/>
      <c r="B520" s="66" t="s">
        <v>13967</v>
      </c>
      <c r="C520" s="67" t="s">
        <v>12713</v>
      </c>
      <c r="D520" s="67" t="s">
        <v>12714</v>
      </c>
      <c r="E520" s="66" t="s">
        <v>13027</v>
      </c>
      <c r="F520" s="66" t="s">
        <v>13511</v>
      </c>
      <c r="G520" s="66" t="s">
        <v>13512</v>
      </c>
      <c r="H520" s="66" t="s">
        <v>13968</v>
      </c>
      <c r="I520" s="68">
        <v>0.918</v>
      </c>
      <c r="J520" s="69">
        <v>0.89</v>
      </c>
      <c r="K520" s="66">
        <v>0.89</v>
      </c>
      <c r="L520" s="66">
        <v>900</v>
      </c>
      <c r="M520" s="66">
        <v>1000</v>
      </c>
      <c r="N520" s="63" cm="1">
        <f t="array" ref="N520:N520">_xlfn.XLOOKUP(H520,'OA名单'!C:C,'OA名单'!B:B,1)</f>
      </c>
      <c r="O520" s="63">
        <f t="shared" si="8"/>
      </c>
      <c r="P520" s="63" cm="1">
        <f t="array" ref="P520:P520">_xlfn.XLOOKUP(N520,'OA名单'!B:B,'OA名单'!G:G)</f>
      </c>
      <c r="Q520" s="63">
        <f t="shared" si="11"/>
      </c>
      <c r="R520" s="63" cm="1">
        <f t="array" ref="R520:R520">_xlfn.XLOOKUP(B520,'OA名单'!B:B,'OA名单'!F:F)</f>
      </c>
      <c r="S520" s="63">
        <f t="shared" si="10"/>
      </c>
      <c r="T520" s="70"/>
      <c r="U520" s="63" cm="1">
        <f t="array" ref="U520:U520">_xlfn.XLOOKUP(N520,'OA名单'!B:B,'OA名单'!E:E)</f>
      </c>
      <c r="V520" s="63">
        <f t="shared" si="12"/>
      </c>
      <c r="W520" s="71"/>
      <c r="X520" s="66"/>
      <c r="Y520" s="66"/>
    </row>
    <row hidden="true" r="521">
      <c r="A521" s="66"/>
      <c r="B521" s="66" t="s">
        <v>13969</v>
      </c>
      <c r="C521" s="67" t="s">
        <v>12713</v>
      </c>
      <c r="D521" s="67" t="s">
        <v>12714</v>
      </c>
      <c r="E521" s="66" t="s">
        <v>13027</v>
      </c>
      <c r="F521" s="66" t="s">
        <v>13076</v>
      </c>
      <c r="G521" s="66" t="s">
        <v>12982</v>
      </c>
      <c r="H521" s="66" t="s">
        <v>13970</v>
      </c>
      <c r="I521" s="68">
        <v>1.885</v>
      </c>
      <c r="J521" s="69">
        <v>0.89</v>
      </c>
      <c r="K521" s="66">
        <v>0.89</v>
      </c>
      <c r="L521" s="66">
        <v>1335</v>
      </c>
      <c r="M521" s="66">
        <v>1500</v>
      </c>
      <c r="N521" s="63" cm="1">
        <f t="array" ref="N521:N521">_xlfn.XLOOKUP(H521,'OA名单'!C:C,'OA名单'!B:B,1)</f>
      </c>
      <c r="O521" s="63">
        <f t="shared" si="8"/>
      </c>
      <c r="P521" s="63" cm="1">
        <f t="array" ref="P521:P521">_xlfn.XLOOKUP(N521,'OA名单'!B:B,'OA名单'!G:G)</f>
      </c>
      <c r="Q521" s="63">
        <f t="shared" si="11"/>
      </c>
      <c r="R521" s="63" cm="1">
        <f t="array" ref="R521:R521">_xlfn.XLOOKUP(B521,'OA名单'!B:B,'OA名单'!F:F)</f>
      </c>
      <c r="S521" s="63">
        <f t="shared" si="10"/>
      </c>
      <c r="T521" s="70"/>
      <c r="U521" s="63" cm="1">
        <f t="array" ref="U521:U521">_xlfn.XLOOKUP(N521,'OA名单'!B:B,'OA名单'!E:E)</f>
      </c>
      <c r="V521" s="63">
        <f t="shared" si="12"/>
      </c>
      <c r="W521" s="71"/>
      <c r="X521" s="66"/>
      <c r="Y521" s="66"/>
    </row>
    <row hidden="true" r="522">
      <c r="A522" s="66"/>
      <c r="B522" s="66" t="s">
        <v>13971</v>
      </c>
      <c r="C522" s="67" t="s">
        <v>12713</v>
      </c>
      <c r="D522" s="67" t="s">
        <v>12714</v>
      </c>
      <c r="E522" s="66" t="s">
        <v>13011</v>
      </c>
      <c r="F522" s="66" t="s">
        <v>13138</v>
      </c>
      <c r="G522" s="66" t="s">
        <v>13043</v>
      </c>
      <c r="H522" s="66" t="s">
        <v>13972</v>
      </c>
      <c r="I522" s="68">
        <v>0.81183</v>
      </c>
      <c r="J522" s="69">
        <v>0.89</v>
      </c>
      <c r="K522" s="66">
        <v>0.89</v>
      </c>
      <c r="L522" s="66">
        <v>0</v>
      </c>
      <c r="M522" s="66">
        <v>2000</v>
      </c>
      <c r="N522" s="63" cm="1">
        <f t="array" ref="N522:N522">_xlfn.XLOOKUP(H522,'OA名单'!C:C,'OA名单'!B:B,1)</f>
      </c>
      <c r="O522" s="63">
        <f t="shared" si="8"/>
      </c>
      <c r="P522" s="63" cm="1">
        <f t="array" ref="P522:P522">_xlfn.XLOOKUP(N522,'OA名单'!B:B,'OA名单'!G:G)</f>
      </c>
      <c r="Q522" s="63">
        <f t="shared" si="11"/>
      </c>
      <c r="R522" s="63" cm="1">
        <f t="array" ref="R522:R522">_xlfn.XLOOKUP(B522,'OA名单'!B:B,'OA名单'!F:F)</f>
      </c>
      <c r="S522" s="63">
        <f t="shared" si="10"/>
      </c>
      <c r="T522" s="70"/>
      <c r="U522" s="63" cm="1">
        <f t="array" ref="U522:U522">_xlfn.XLOOKUP(N522,'OA名单'!B:B,'OA名单'!E:E)</f>
      </c>
      <c r="V522" s="63">
        <f t="shared" si="12"/>
      </c>
      <c r="W522" s="71"/>
      <c r="X522" s="66"/>
      <c r="Y522" s="66"/>
    </row>
    <row hidden="true" r="523">
      <c r="A523" s="66"/>
      <c r="B523" s="66" t="s">
        <v>13973</v>
      </c>
      <c r="C523" s="67" t="s">
        <v>12713</v>
      </c>
      <c r="D523" s="67" t="s">
        <v>12714</v>
      </c>
      <c r="E523" s="66" t="s">
        <v>13027</v>
      </c>
      <c r="F523" s="66" t="s">
        <v>13110</v>
      </c>
      <c r="G523" s="66" t="s">
        <v>13154</v>
      </c>
      <c r="H523" s="66" t="s">
        <v>13974</v>
      </c>
      <c r="I523" s="68">
        <v>0.907502</v>
      </c>
      <c r="J523" s="69">
        <v>0.89</v>
      </c>
      <c r="K523" s="66">
        <v>0.89</v>
      </c>
      <c r="L523" s="66">
        <v>2000</v>
      </c>
      <c r="M523" s="66">
        <v>5000</v>
      </c>
      <c r="N523" s="63" cm="1">
        <f t="array" ref="N523:N523">_xlfn.XLOOKUP(H523,'OA名单'!C:C,'OA名单'!B:B,1)</f>
      </c>
      <c r="O523" s="63">
        <f t="shared" si="8"/>
      </c>
      <c r="P523" s="63" cm="1">
        <f t="array" ref="P523:P523">_xlfn.XLOOKUP(N523,'OA名单'!B:B,'OA名单'!G:G)</f>
      </c>
      <c r="Q523" s="63">
        <f t="shared" si="11"/>
      </c>
      <c r="R523" s="63" cm="1">
        <f t="array" ref="R523:R523">_xlfn.XLOOKUP(B523,'OA名单'!B:B,'OA名单'!F:F)</f>
      </c>
      <c r="S523" s="63">
        <f t="shared" si="10"/>
      </c>
      <c r="T523" s="70"/>
      <c r="U523" s="63" cm="1">
        <f t="array" ref="U523:U523">_xlfn.XLOOKUP(N523,'OA名单'!B:B,'OA名单'!E:E)</f>
      </c>
      <c r="V523" s="63">
        <f t="shared" si="12"/>
      </c>
      <c r="W523" s="71"/>
      <c r="X523" s="66"/>
      <c r="Y523" s="66"/>
    </row>
    <row hidden="true" r="524">
      <c r="A524" s="66"/>
      <c r="B524" s="66" t="s">
        <v>13975</v>
      </c>
      <c r="C524" s="67" t="s">
        <v>12713</v>
      </c>
      <c r="D524" s="67" t="s">
        <v>12714</v>
      </c>
      <c r="E524" s="66" t="s">
        <v>13277</v>
      </c>
      <c r="F524" s="66" t="s">
        <v>13691</v>
      </c>
      <c r="G524" s="66" t="s">
        <v>13692</v>
      </c>
      <c r="H524" s="66" t="s">
        <v>13976</v>
      </c>
      <c r="I524" s="68">
        <v>0.008909</v>
      </c>
      <c r="J524" s="69">
        <v>0.89</v>
      </c>
      <c r="K524" s="66">
        <v>0.89</v>
      </c>
      <c r="L524" s="66">
        <v>1805.7</v>
      </c>
      <c r="M524" s="66">
        <v>2500</v>
      </c>
      <c r="N524" s="63" cm="1">
        <f t="array" ref="N524:N524">_xlfn.XLOOKUP(H524,'OA名单'!C:C,'OA名单'!B:B,1)</f>
      </c>
      <c r="O524" s="63">
        <f t="shared" si="8"/>
      </c>
      <c r="P524" s="63" cm="1">
        <f t="array" ref="P524:P524">_xlfn.XLOOKUP(N524,'OA名单'!B:B,'OA名单'!G:G)</f>
      </c>
      <c r="Q524" s="63">
        <f t="shared" si="11"/>
      </c>
      <c r="R524" s="63" cm="1">
        <f t="array" ref="R524:R524">_xlfn.XLOOKUP(B524,'OA名单'!B:B,'OA名单'!F:F)</f>
      </c>
      <c r="S524" s="63">
        <f t="shared" si="10"/>
      </c>
      <c r="T524" s="70"/>
      <c r="U524" s="63" cm="1">
        <f t="array" ref="U524:U524">_xlfn.XLOOKUP(N524,'OA名单'!B:B,'OA名单'!E:E)</f>
      </c>
      <c r="V524" s="63">
        <f t="shared" si="12"/>
      </c>
      <c r="W524" s="71"/>
      <c r="X524" s="66"/>
      <c r="Y524" s="66"/>
    </row>
    <row hidden="true" r="525">
      <c r="A525" s="66"/>
      <c r="B525" s="66" t="s">
        <v>13977</v>
      </c>
      <c r="C525" s="67" t="s">
        <v>12713</v>
      </c>
      <c r="D525" s="67" t="s">
        <v>12714</v>
      </c>
      <c r="E525" s="66" t="s">
        <v>13146</v>
      </c>
      <c r="F525" s="66" t="s">
        <v>13484</v>
      </c>
      <c r="G525" s="66" t="s">
        <v>13978</v>
      </c>
      <c r="H525" s="66" t="s">
        <v>13979</v>
      </c>
      <c r="I525" s="68">
        <v>0.925</v>
      </c>
      <c r="J525" s="69">
        <v>0.88</v>
      </c>
      <c r="K525" s="66">
        <v>0.88</v>
      </c>
      <c r="L525" s="66">
        <v>1144</v>
      </c>
      <c r="M525" s="66">
        <v>1300</v>
      </c>
      <c r="N525" s="63" cm="1">
        <f t="array" ref="N525:N525">_xlfn.XLOOKUP(H525,'OA名单'!C:C,'OA名单'!B:B,1)</f>
      </c>
      <c r="O525" s="63">
        <f t="shared" si="8"/>
      </c>
      <c r="P525" s="63" cm="1">
        <f t="array" ref="P525:P525">_xlfn.XLOOKUP(N525,'OA名单'!B:B,'OA名单'!G:G)</f>
      </c>
      <c r="Q525" s="63">
        <f t="shared" si="11"/>
      </c>
      <c r="R525" s="63" cm="1">
        <f t="array" ref="R525:R525">_xlfn.XLOOKUP(B525,'OA名单'!B:B,'OA名单'!F:F)</f>
      </c>
      <c r="S525" s="63">
        <f t="shared" si="10"/>
      </c>
      <c r="T525" s="70"/>
      <c r="U525" s="63" cm="1">
        <f t="array" ref="U525:U525">_xlfn.XLOOKUP(N525,'OA名单'!B:B,'OA名单'!E:E)</f>
      </c>
      <c r="V525" s="63">
        <f t="shared" si="12"/>
      </c>
      <c r="W525" s="71"/>
      <c r="X525" s="66"/>
      <c r="Y525" s="66"/>
    </row>
    <row hidden="true" r="526">
      <c r="A526" s="66"/>
      <c r="B526" s="66" t="s">
        <v>13980</v>
      </c>
      <c r="C526" s="67" t="s">
        <v>12713</v>
      </c>
      <c r="D526" s="67" t="s">
        <v>12714</v>
      </c>
      <c r="E526" s="66" t="s">
        <v>13011</v>
      </c>
      <c r="F526" s="66" t="s">
        <v>13138</v>
      </c>
      <c r="G526" s="66" t="s">
        <v>13545</v>
      </c>
      <c r="H526" s="66" t="s">
        <v>13981</v>
      </c>
      <c r="I526" s="68">
        <v>0.842</v>
      </c>
      <c r="J526" s="69">
        <v>0.88</v>
      </c>
      <c r="K526" s="66">
        <v>0.88</v>
      </c>
      <c r="L526" s="66">
        <v>464</v>
      </c>
      <c r="M526" s="66">
        <v>500</v>
      </c>
      <c r="N526" s="63" cm="1">
        <f t="array" ref="N526:N526">_xlfn.XLOOKUP(H526,'OA名单'!C:C,'OA名单'!B:B,1)</f>
      </c>
      <c r="O526" s="63">
        <f t="shared" si="8"/>
      </c>
      <c r="P526" s="63" cm="1">
        <f t="array" ref="P526:P526">_xlfn.XLOOKUP(N526,'OA名单'!B:B,'OA名单'!G:G)</f>
      </c>
      <c r="Q526" s="63">
        <f t="shared" si="11"/>
      </c>
      <c r="R526" s="63" cm="1">
        <f t="array" ref="R526:R526">_xlfn.XLOOKUP(B526,'OA名单'!B:B,'OA名单'!F:F)</f>
      </c>
      <c r="S526" s="63">
        <f t="shared" si="10"/>
      </c>
      <c r="T526" s="70"/>
      <c r="U526" s="63" cm="1">
        <f t="array" ref="U526:U526">_xlfn.XLOOKUP(N526,'OA名单'!B:B,'OA名单'!E:E)</f>
      </c>
      <c r="V526" s="63">
        <f t="shared" si="12"/>
      </c>
      <c r="W526" s="71"/>
      <c r="X526" s="66"/>
      <c r="Y526" s="66"/>
    </row>
    <row hidden="true" r="527">
      <c r="A527" s="66"/>
      <c r="B527" s="66" t="s">
        <v>13982</v>
      </c>
      <c r="C527" s="67" t="s">
        <v>12713</v>
      </c>
      <c r="D527" s="67" t="s">
        <v>12714</v>
      </c>
      <c r="E527" s="66" t="s">
        <v>13016</v>
      </c>
      <c r="F527" s="66" t="s">
        <v>13404</v>
      </c>
      <c r="G527" s="66" t="s">
        <v>13924</v>
      </c>
      <c r="H527" s="66" t="s">
        <v>13983</v>
      </c>
      <c r="I527" s="68">
        <v>0.8721</v>
      </c>
      <c r="J527" s="69">
        <v>0.88</v>
      </c>
      <c r="K527" s="66">
        <v>0.88</v>
      </c>
      <c r="L527" s="66">
        <v>2450</v>
      </c>
      <c r="M527" s="66">
        <v>4000</v>
      </c>
      <c r="N527" s="63" cm="1">
        <f t="array" ref="N527:N527">_xlfn.XLOOKUP(H527,'OA名单'!C:C,'OA名单'!B:B,1)</f>
      </c>
      <c r="O527" s="63">
        <f t="shared" si="8"/>
      </c>
      <c r="P527" s="63" cm="1">
        <f t="array" ref="P527:P527">_xlfn.XLOOKUP(N527,'OA名单'!B:B,'OA名单'!G:G)</f>
      </c>
      <c r="Q527" s="63">
        <f t="shared" si="11"/>
      </c>
      <c r="R527" s="63" cm="1">
        <f t="array" ref="R527:R527">_xlfn.XLOOKUP(B527,'OA名单'!B:B,'OA名单'!F:F)</f>
      </c>
      <c r="S527" s="63">
        <f t="shared" si="10"/>
      </c>
      <c r="T527" s="70"/>
      <c r="U527" s="63" cm="1">
        <f t="array" ref="U527:U527">_xlfn.XLOOKUP(N527,'OA名单'!B:B,'OA名单'!E:E)</f>
      </c>
      <c r="V527" s="63">
        <f t="shared" si="12"/>
      </c>
      <c r="W527" s="71"/>
      <c r="X527" s="66"/>
      <c r="Y527" s="66"/>
    </row>
    <row hidden="true" r="528">
      <c r="A528" s="66"/>
      <c r="B528" s="66" t="s">
        <v>13984</v>
      </c>
      <c r="C528" s="67" t="s">
        <v>12713</v>
      </c>
      <c r="D528" s="67" t="s">
        <v>12714</v>
      </c>
      <c r="E528" s="66" t="s">
        <v>13027</v>
      </c>
      <c r="F528" s="66" t="s">
        <v>13028</v>
      </c>
      <c r="G528" s="66" t="s">
        <v>12751</v>
      </c>
      <c r="H528" s="66" t="s">
        <v>13985</v>
      </c>
      <c r="I528" s="68">
        <v>0.88</v>
      </c>
      <c r="J528" s="69">
        <v>0.88</v>
      </c>
      <c r="K528" s="66">
        <v>0.88</v>
      </c>
      <c r="L528" s="66">
        <v>4397</v>
      </c>
      <c r="M528" s="66">
        <v>5000</v>
      </c>
      <c r="N528" s="63" cm="1">
        <f t="array" ref="N528:N528">_xlfn.XLOOKUP(H528,'OA名单'!C:C,'OA名单'!B:B,1)</f>
      </c>
      <c r="O528" s="63">
        <f t="shared" si="8"/>
      </c>
      <c r="P528" s="63" cm="1">
        <f t="array" ref="P528:P528">_xlfn.XLOOKUP(N528,'OA名单'!B:B,'OA名单'!G:G)</f>
      </c>
      <c r="Q528" s="63">
        <f t="shared" si="11"/>
      </c>
      <c r="R528" s="63" cm="1">
        <f t="array" ref="R528:R528">_xlfn.XLOOKUP(B528,'OA名单'!B:B,'OA名单'!F:F)</f>
      </c>
      <c r="S528" s="63">
        <f t="shared" si="10"/>
      </c>
      <c r="T528" s="70"/>
      <c r="U528" s="63" cm="1">
        <f t="array" ref="U528:U528">_xlfn.XLOOKUP(N528,'OA名单'!B:B,'OA名单'!E:E)</f>
      </c>
      <c r="V528" s="63">
        <f t="shared" si="12"/>
      </c>
      <c r="W528" s="71"/>
      <c r="X528" s="66"/>
      <c r="Y528" s="66"/>
    </row>
    <row hidden="true" r="529">
      <c r="A529" s="66"/>
      <c r="B529" s="66" t="s">
        <v>13986</v>
      </c>
      <c r="C529" s="67" t="s">
        <v>12713</v>
      </c>
      <c r="D529" s="67" t="s">
        <v>12714</v>
      </c>
      <c r="E529" s="66" t="s">
        <v>13027</v>
      </c>
      <c r="F529" s="66" t="s">
        <v>13511</v>
      </c>
      <c r="G529" s="66" t="s">
        <v>13221</v>
      </c>
      <c r="H529" s="66" t="s">
        <v>13987</v>
      </c>
      <c r="I529" s="68">
        <v>0.8802</v>
      </c>
      <c r="J529" s="69">
        <v>0.88</v>
      </c>
      <c r="K529" s="66">
        <v>0.88</v>
      </c>
      <c r="L529" s="66">
        <v>4400</v>
      </c>
      <c r="M529" s="66">
        <v>5000</v>
      </c>
      <c r="N529" s="63" cm="1">
        <f t="array" ref="N529:N529">_xlfn.XLOOKUP(H529,'OA名单'!C:C,'OA名单'!B:B,1)</f>
      </c>
      <c r="O529" s="63">
        <f t="shared" si="8"/>
      </c>
      <c r="P529" s="63" cm="1">
        <f t="array" ref="P529:P529">_xlfn.XLOOKUP(N529,'OA名单'!B:B,'OA名单'!G:G)</f>
      </c>
      <c r="Q529" s="63">
        <f t="shared" si="11"/>
      </c>
      <c r="R529" s="63" cm="1">
        <f t="array" ref="R529:R529">_xlfn.XLOOKUP(B529,'OA名单'!B:B,'OA名单'!F:F)</f>
      </c>
      <c r="S529" s="63">
        <f t="shared" si="10"/>
      </c>
      <c r="T529" s="70"/>
      <c r="U529" s="63" cm="1">
        <f t="array" ref="U529:U529">_xlfn.XLOOKUP(N529,'OA名单'!B:B,'OA名单'!E:E)</f>
      </c>
      <c r="V529" s="63">
        <f t="shared" si="12"/>
      </c>
      <c r="W529" s="71"/>
      <c r="X529" s="66"/>
      <c r="Y529" s="66"/>
    </row>
    <row hidden="true" r="530">
      <c r="A530" s="66"/>
      <c r="B530" s="66" t="s">
        <v>13988</v>
      </c>
      <c r="C530" s="67" t="s">
        <v>12713</v>
      </c>
      <c r="D530" s="67" t="s">
        <v>12714</v>
      </c>
      <c r="E530" s="66" t="s">
        <v>13146</v>
      </c>
      <c r="F530" s="66" t="s">
        <v>13348</v>
      </c>
      <c r="G530" s="66" t="s">
        <v>13989</v>
      </c>
      <c r="H530" s="66" t="s">
        <v>13990</v>
      </c>
      <c r="I530" s="68">
        <v>0.96555</v>
      </c>
      <c r="J530" s="69">
        <v>0.87</v>
      </c>
      <c r="K530" s="66">
        <v>0.87</v>
      </c>
      <c r="L530" s="66">
        <v>3414.31</v>
      </c>
      <c r="M530" s="66">
        <v>4000</v>
      </c>
      <c r="N530" s="63" cm="1">
        <f t="array" ref="N530:N530">_xlfn.XLOOKUP(H530,'OA名单'!C:C,'OA名单'!B:B,1)</f>
      </c>
      <c r="O530" s="63">
        <f t="shared" si="8"/>
      </c>
      <c r="P530" s="63" cm="1">
        <f t="array" ref="P530:P530">_xlfn.XLOOKUP(N530,'OA名单'!B:B,'OA名单'!G:G)</f>
      </c>
      <c r="Q530" s="63">
        <f t="shared" si="11"/>
      </c>
      <c r="R530" s="63" cm="1">
        <f t="array" ref="R530:R530">_xlfn.XLOOKUP(B530,'OA名单'!B:B,'OA名单'!F:F)</f>
      </c>
      <c r="S530" s="63">
        <f t="shared" si="10"/>
      </c>
      <c r="T530" s="70"/>
      <c r="U530" s="63" cm="1">
        <f t="array" ref="U530:U530">_xlfn.XLOOKUP(N530,'OA名单'!B:B,'OA名单'!E:E)</f>
      </c>
      <c r="V530" s="63">
        <f t="shared" si="12"/>
      </c>
      <c r="W530" s="71"/>
      <c r="X530" s="66"/>
      <c r="Y530" s="66"/>
    </row>
    <row hidden="true" r="531">
      <c r="A531" s="66"/>
      <c r="B531" s="66" t="s">
        <v>13991</v>
      </c>
      <c r="C531" s="67" t="s">
        <v>12713</v>
      </c>
      <c r="D531" s="67" t="s">
        <v>12714</v>
      </c>
      <c r="E531" s="66" t="s">
        <v>13027</v>
      </c>
      <c r="F531" s="66" t="s">
        <v>13076</v>
      </c>
      <c r="G531" s="66" t="s">
        <v>13221</v>
      </c>
      <c r="H531" s="66" t="s">
        <v>13992</v>
      </c>
      <c r="I531" s="68">
        <v>0.9144</v>
      </c>
      <c r="J531" s="69">
        <v>0.87</v>
      </c>
      <c r="K531" s="66">
        <v>0.87</v>
      </c>
      <c r="L531" s="66">
        <v>0</v>
      </c>
      <c r="M531" s="66">
        <v>5000</v>
      </c>
      <c r="N531" s="63" cm="1">
        <f t="array" ref="N531:N531">_xlfn.XLOOKUP(H531,'OA名单'!C:C,'OA名单'!B:B,1)</f>
      </c>
      <c r="O531" s="63">
        <f t="shared" si="8"/>
      </c>
      <c r="P531" s="63" cm="1">
        <f t="array" ref="P531:P531">_xlfn.XLOOKUP(N531,'OA名单'!B:B,'OA名单'!G:G)</f>
      </c>
      <c r="Q531" s="63">
        <f t="shared" si="11"/>
      </c>
      <c r="R531" s="63" cm="1">
        <f t="array" ref="R531:R531">_xlfn.XLOOKUP(B531,'OA名单'!B:B,'OA名单'!F:F)</f>
      </c>
      <c r="S531" s="63">
        <f t="shared" si="10"/>
      </c>
      <c r="T531" s="70"/>
      <c r="U531" s="63" cm="1">
        <f t="array" ref="U531:U531">_xlfn.XLOOKUP(N531,'OA名单'!B:B,'OA名单'!E:E)</f>
      </c>
      <c r="V531" s="63">
        <f t="shared" si="12"/>
      </c>
      <c r="W531" s="71"/>
      <c r="X531" s="66"/>
      <c r="Y531" s="66"/>
    </row>
    <row hidden="true" r="532">
      <c r="A532" s="66"/>
      <c r="B532" s="66" t="s">
        <v>13993</v>
      </c>
      <c r="C532" s="67" t="s">
        <v>12713</v>
      </c>
      <c r="D532" s="67" t="s">
        <v>12714</v>
      </c>
      <c r="E532" s="66" t="s">
        <v>13027</v>
      </c>
      <c r="F532" s="66" t="s">
        <v>13240</v>
      </c>
      <c r="G532" s="66" t="s">
        <v>12751</v>
      </c>
      <c r="H532" s="66" t="s">
        <v>13994</v>
      </c>
      <c r="I532" s="68">
        <v>0.951444</v>
      </c>
      <c r="J532" s="69">
        <v>0.87</v>
      </c>
      <c r="K532" s="66">
        <v>0.87</v>
      </c>
      <c r="L532" s="66">
        <v>8000</v>
      </c>
      <c r="M532" s="66">
        <v>5000</v>
      </c>
      <c r="N532" s="63" cm="1">
        <f t="array" ref="N532:N532">_xlfn.XLOOKUP(H532,'OA名单'!C:C,'OA名单'!B:B,1)</f>
      </c>
      <c r="O532" s="63">
        <f t="shared" si="8"/>
      </c>
      <c r="P532" s="63" cm="1">
        <f t="array" ref="P532:P532">_xlfn.XLOOKUP(N532,'OA名单'!B:B,'OA名单'!G:G)</f>
      </c>
      <c r="Q532" s="63">
        <f t="shared" si="11"/>
      </c>
      <c r="R532" s="63" cm="1">
        <f t="array" ref="R532:R532">_xlfn.XLOOKUP(B532,'OA名单'!B:B,'OA名单'!F:F)</f>
      </c>
      <c r="S532" s="63">
        <f t="shared" si="10"/>
      </c>
      <c r="T532" s="70"/>
      <c r="U532" s="63" cm="1">
        <f t="array" ref="U532:U532">_xlfn.XLOOKUP(N532,'OA名单'!B:B,'OA名单'!E:E)</f>
      </c>
      <c r="V532" s="63">
        <f t="shared" si="12"/>
      </c>
      <c r="W532" s="71"/>
      <c r="X532" s="66"/>
      <c r="Y532" s="66"/>
    </row>
    <row hidden="true" r="533">
      <c r="A533" s="66"/>
      <c r="B533" s="66" t="s">
        <v>13995</v>
      </c>
      <c r="C533" s="67" t="s">
        <v>12713</v>
      </c>
      <c r="D533" s="67" t="s">
        <v>12714</v>
      </c>
      <c r="E533" s="66" t="s">
        <v>12749</v>
      </c>
      <c r="F533" s="66" t="s">
        <v>13132</v>
      </c>
      <c r="G533" s="66" t="s">
        <v>13945</v>
      </c>
      <c r="H533" s="66" t="s">
        <v>13996</v>
      </c>
      <c r="I533" s="68">
        <v>0.87</v>
      </c>
      <c r="J533" s="69">
        <v>0.87</v>
      </c>
      <c r="K533" s="66">
        <v>0.87</v>
      </c>
      <c r="L533" s="66">
        <v>1200</v>
      </c>
      <c r="M533" s="66">
        <v>1200</v>
      </c>
      <c r="N533" s="63" cm="1">
        <f t="array" ref="N533:N533">_xlfn.XLOOKUP(H533,'OA名单'!C:C,'OA名单'!B:B,1)</f>
      </c>
      <c r="O533" s="63">
        <f t="shared" si="8"/>
      </c>
      <c r="P533" s="63" cm="1">
        <f t="array" ref="P533:P533">_xlfn.XLOOKUP(N533,'OA名单'!B:B,'OA名单'!G:G)</f>
      </c>
      <c r="Q533" s="63">
        <f t="shared" si="11"/>
      </c>
      <c r="R533" s="63" cm="1">
        <f t="array" ref="R533:R533">_xlfn.XLOOKUP(B533,'OA名单'!B:B,'OA名单'!F:F)</f>
      </c>
      <c r="S533" s="63">
        <f t="shared" si="10"/>
      </c>
      <c r="T533" s="70"/>
      <c r="U533" s="63" cm="1">
        <f t="array" ref="U533:U533">_xlfn.XLOOKUP(N533,'OA名单'!B:B,'OA名单'!E:E)</f>
      </c>
      <c r="V533" s="63">
        <f t="shared" si="12"/>
      </c>
      <c r="W533" s="71"/>
      <c r="X533" s="66"/>
      <c r="Y533" s="66"/>
    </row>
    <row hidden="true" r="534">
      <c r="A534" s="66"/>
      <c r="B534" s="66" t="s">
        <v>13997</v>
      </c>
      <c r="C534" s="67" t="s">
        <v>12713</v>
      </c>
      <c r="D534" s="67" t="s">
        <v>12714</v>
      </c>
      <c r="E534" s="66" t="s">
        <v>13277</v>
      </c>
      <c r="F534" s="66" t="s">
        <v>13691</v>
      </c>
      <c r="G534" s="66" t="s">
        <v>13715</v>
      </c>
      <c r="H534" s="66" t="s">
        <v>13998</v>
      </c>
      <c r="I534" s="68">
        <v>0.008819</v>
      </c>
      <c r="J534" s="69">
        <v>0.87</v>
      </c>
      <c r="K534" s="66">
        <v>0.87</v>
      </c>
      <c r="L534" s="66">
        <v>1680</v>
      </c>
      <c r="M534" s="66">
        <v>2100</v>
      </c>
      <c r="N534" s="63" cm="1">
        <f t="array" ref="N534:N534">_xlfn.XLOOKUP(H534,'OA名单'!C:C,'OA名单'!B:B,1)</f>
      </c>
      <c r="O534" s="63">
        <f t="shared" si="8"/>
      </c>
      <c r="P534" s="63" cm="1">
        <f t="array" ref="P534:P534">_xlfn.XLOOKUP(N534,'OA名单'!B:B,'OA名单'!G:G)</f>
      </c>
      <c r="Q534" s="63">
        <f t="shared" si="11"/>
      </c>
      <c r="R534" s="63" cm="1">
        <f t="array" ref="R534:R534">_xlfn.XLOOKUP(B534,'OA名单'!B:B,'OA名单'!F:F)</f>
      </c>
      <c r="S534" s="63">
        <f t="shared" si="10"/>
      </c>
      <c r="T534" s="70"/>
      <c r="U534" s="63" cm="1">
        <f t="array" ref="U534:U534">_xlfn.XLOOKUP(N534,'OA名单'!B:B,'OA名单'!E:E)</f>
      </c>
      <c r="V534" s="63">
        <f t="shared" si="12"/>
      </c>
      <c r="W534" s="71"/>
      <c r="X534" s="66"/>
      <c r="Y534" s="66"/>
    </row>
    <row hidden="true" r="535">
      <c r="A535" s="66"/>
      <c r="B535" s="66" t="s">
        <v>13999</v>
      </c>
      <c r="C535" s="67" t="s">
        <v>12713</v>
      </c>
      <c r="D535" s="67" t="s">
        <v>12714</v>
      </c>
      <c r="E535" s="66" t="s">
        <v>12776</v>
      </c>
      <c r="F535" s="66" t="s">
        <v>14000</v>
      </c>
      <c r="G535" s="66" t="s">
        <v>13033</v>
      </c>
      <c r="H535" s="66" t="s">
        <v>14001</v>
      </c>
      <c r="I535" s="68">
        <v>0.866675</v>
      </c>
      <c r="J535" s="69">
        <v>0.87</v>
      </c>
      <c r="K535" s="66">
        <v>0.87</v>
      </c>
      <c r="L535" s="66">
        <v>4686</v>
      </c>
      <c r="M535" s="66">
        <v>5000</v>
      </c>
      <c r="N535" s="63" cm="1">
        <f t="array" ref="N535:N535">_xlfn.XLOOKUP(H535,'OA名单'!C:C,'OA名单'!B:B,1)</f>
      </c>
      <c r="O535" s="63">
        <f t="shared" si="8"/>
      </c>
      <c r="P535" s="63" cm="1">
        <f t="array" ref="P535:P535">_xlfn.XLOOKUP(N535,'OA名单'!B:B,'OA名单'!G:G)</f>
      </c>
      <c r="Q535" s="63">
        <f t="shared" si="11"/>
      </c>
      <c r="R535" s="63" cm="1">
        <f t="array" ref="R535:R535">_xlfn.XLOOKUP(B535,'OA名单'!B:B,'OA名单'!F:F)</f>
      </c>
      <c r="S535" s="63">
        <f t="shared" si="10"/>
      </c>
      <c r="T535" s="70"/>
      <c r="U535" s="63" cm="1">
        <f t="array" ref="U535:U535">_xlfn.XLOOKUP(N535,'OA名单'!B:B,'OA名单'!E:E)</f>
      </c>
      <c r="V535" s="63">
        <f t="shared" si="12"/>
      </c>
      <c r="W535" s="71"/>
      <c r="X535" s="66"/>
      <c r="Y535" s="66"/>
    </row>
    <row hidden="true" r="536">
      <c r="A536" s="66"/>
      <c r="B536" s="66" t="s">
        <v>14002</v>
      </c>
      <c r="C536" s="67" t="s">
        <v>12713</v>
      </c>
      <c r="D536" s="67" t="s">
        <v>12714</v>
      </c>
      <c r="E536" s="66" t="s">
        <v>12749</v>
      </c>
      <c r="F536" s="66" t="s">
        <v>13335</v>
      </c>
      <c r="G536" s="66" t="s">
        <v>12751</v>
      </c>
      <c r="H536" s="66" t="s">
        <v>14003</v>
      </c>
      <c r="I536" s="68">
        <v>0.89089</v>
      </c>
      <c r="J536" s="69">
        <v>0.86</v>
      </c>
      <c r="K536" s="66">
        <v>0.86</v>
      </c>
      <c r="L536" s="66">
        <v>4239.9</v>
      </c>
      <c r="M536" s="66">
        <v>5000</v>
      </c>
      <c r="N536" s="63" cm="1">
        <f t="array" ref="N536:N536">_xlfn.XLOOKUP(H536,'OA名单'!C:C,'OA名单'!B:B,1)</f>
      </c>
      <c r="O536" s="63">
        <f t="shared" si="8"/>
      </c>
      <c r="P536" s="63" cm="1">
        <f t="array" ref="P536:P536">_xlfn.XLOOKUP(N536,'OA名单'!B:B,'OA名单'!G:G)</f>
      </c>
      <c r="Q536" s="63">
        <f t="shared" si="11"/>
      </c>
      <c r="R536" s="63" cm="1">
        <f t="array" ref="R536:R536">_xlfn.XLOOKUP(B536,'OA名单'!B:B,'OA名单'!F:F)</f>
      </c>
      <c r="S536" s="63">
        <f t="shared" si="10"/>
      </c>
      <c r="T536" s="70"/>
      <c r="U536" s="63" cm="1">
        <f t="array" ref="U536:U536">_xlfn.XLOOKUP(N536,'OA名单'!B:B,'OA名单'!E:E)</f>
      </c>
      <c r="V536" s="63">
        <f t="shared" si="12"/>
      </c>
      <c r="W536" s="71"/>
      <c r="X536" s="66"/>
      <c r="Y536" s="66"/>
    </row>
    <row hidden="true" r="537">
      <c r="A537" s="66"/>
      <c r="B537" s="66" t="s">
        <v>14004</v>
      </c>
      <c r="C537" s="67" t="s">
        <v>12713</v>
      </c>
      <c r="D537" s="67" t="s">
        <v>12714</v>
      </c>
      <c r="E537" s="66" t="s">
        <v>13027</v>
      </c>
      <c r="F537" s="66" t="s">
        <v>13511</v>
      </c>
      <c r="G537" s="66" t="s">
        <v>13512</v>
      </c>
      <c r="H537" s="66" t="s">
        <v>14005</v>
      </c>
      <c r="I537" s="68">
        <v>0.88239</v>
      </c>
      <c r="J537" s="69">
        <v>0.86</v>
      </c>
      <c r="K537" s="66">
        <v>0.86</v>
      </c>
      <c r="L537" s="66">
        <v>1033.13</v>
      </c>
      <c r="M537" s="66">
        <v>1200</v>
      </c>
      <c r="N537" s="63" cm="1">
        <f t="array" ref="N537:N537">_xlfn.XLOOKUP(H537,'OA名单'!C:C,'OA名单'!B:B,1)</f>
      </c>
      <c r="O537" s="63">
        <f t="shared" si="8"/>
      </c>
      <c r="P537" s="63" cm="1">
        <f t="array" ref="P537:P537">_xlfn.XLOOKUP(N537,'OA名单'!B:B,'OA名单'!G:G)</f>
      </c>
      <c r="Q537" s="63">
        <f t="shared" si="11"/>
      </c>
      <c r="R537" s="63" cm="1">
        <f t="array" ref="R537:R537">_xlfn.XLOOKUP(B537,'OA名单'!B:B,'OA名单'!F:F)</f>
      </c>
      <c r="S537" s="63">
        <f t="shared" si="10"/>
      </c>
      <c r="T537" s="70"/>
      <c r="U537" s="63" cm="1">
        <f t="array" ref="U537:U537">_xlfn.XLOOKUP(N537,'OA名单'!B:B,'OA名单'!E:E)</f>
      </c>
      <c r="V537" s="63">
        <f t="shared" si="12"/>
      </c>
      <c r="W537" s="71"/>
      <c r="X537" s="66"/>
      <c r="Y537" s="66"/>
    </row>
    <row hidden="true" r="538">
      <c r="A538" s="66"/>
      <c r="B538" s="66" t="s">
        <v>14006</v>
      </c>
      <c r="C538" s="67" t="s">
        <v>12713</v>
      </c>
      <c r="D538" s="67" t="s">
        <v>12714</v>
      </c>
      <c r="E538" s="66" t="s">
        <v>12776</v>
      </c>
      <c r="F538" s="66" t="s">
        <v>13032</v>
      </c>
      <c r="G538" s="66" t="s">
        <v>12982</v>
      </c>
      <c r="H538" s="66" t="s">
        <v>14007</v>
      </c>
      <c r="I538" s="68">
        <v>0.889468</v>
      </c>
      <c r="J538" s="69">
        <v>0.86</v>
      </c>
      <c r="K538" s="66">
        <v>0.86</v>
      </c>
      <c r="L538" s="66">
        <v>2902.5</v>
      </c>
      <c r="M538" s="66">
        <v>1500</v>
      </c>
      <c r="N538" s="63" cm="1">
        <f t="array" ref="N538:N538">_xlfn.XLOOKUP(H538,'OA名单'!C:C,'OA名单'!B:B,1)</f>
      </c>
      <c r="O538" s="63">
        <f t="shared" si="8"/>
      </c>
      <c r="P538" s="63" cm="1">
        <f t="array" ref="P538:P538">_xlfn.XLOOKUP(N538,'OA名单'!B:B,'OA名单'!G:G)</f>
      </c>
      <c r="Q538" s="63">
        <f t="shared" si="11"/>
      </c>
      <c r="R538" s="63" cm="1">
        <f t="array" ref="R538:R538">_xlfn.XLOOKUP(B538,'OA名单'!B:B,'OA名单'!F:F)</f>
      </c>
      <c r="S538" s="63">
        <f t="shared" si="10"/>
      </c>
      <c r="T538" s="70"/>
      <c r="U538" s="63" cm="1">
        <f t="array" ref="U538:U538">_xlfn.XLOOKUP(N538,'OA名单'!B:B,'OA名单'!E:E)</f>
      </c>
      <c r="V538" s="63">
        <f t="shared" si="12"/>
      </c>
      <c r="W538" s="71"/>
      <c r="X538" s="66"/>
      <c r="Y538" s="66"/>
    </row>
    <row hidden="true" r="539">
      <c r="A539" s="66"/>
      <c r="B539" s="66" t="s">
        <v>14008</v>
      </c>
      <c r="C539" s="67" t="s">
        <v>12713</v>
      </c>
      <c r="D539" s="67" t="s">
        <v>12714</v>
      </c>
      <c r="E539" s="66" t="s">
        <v>13318</v>
      </c>
      <c r="F539" s="66" t="s">
        <v>13385</v>
      </c>
      <c r="G539" s="66" t="s">
        <v>12751</v>
      </c>
      <c r="H539" s="66" t="s">
        <v>14009</v>
      </c>
      <c r="I539" s="68">
        <v>0.86215</v>
      </c>
      <c r="J539" s="69">
        <v>0.86</v>
      </c>
      <c r="K539" s="66">
        <v>0.86</v>
      </c>
      <c r="L539" s="66">
        <v>5160</v>
      </c>
      <c r="M539" s="66">
        <v>6000</v>
      </c>
      <c r="N539" s="63" cm="1">
        <f t="array" ref="N539:N539">_xlfn.XLOOKUP(H539,'OA名单'!C:C,'OA名单'!B:B,1)</f>
      </c>
      <c r="O539" s="63">
        <f t="shared" si="8"/>
      </c>
      <c r="P539" s="63" cm="1">
        <f t="array" ref="P539:P539">_xlfn.XLOOKUP(N539,'OA名单'!B:B,'OA名单'!G:G)</f>
      </c>
      <c r="Q539" s="63">
        <f t="shared" si="11"/>
      </c>
      <c r="R539" s="63" cm="1">
        <f t="array" ref="R539:R539">_xlfn.XLOOKUP(B539,'OA名单'!B:B,'OA名单'!F:F)</f>
      </c>
      <c r="S539" s="63">
        <f t="shared" si="10"/>
      </c>
      <c r="T539" s="70"/>
      <c r="U539" s="63" cm="1">
        <f t="array" ref="U539:U539">_xlfn.XLOOKUP(N539,'OA名单'!B:B,'OA名单'!E:E)</f>
      </c>
      <c r="V539" s="63">
        <f t="shared" si="12"/>
      </c>
      <c r="W539" s="71"/>
      <c r="X539" s="66"/>
      <c r="Y539" s="66"/>
    </row>
    <row hidden="true" r="540">
      <c r="A540" s="66"/>
      <c r="B540" s="66" t="s">
        <v>14010</v>
      </c>
      <c r="C540" s="67" t="s">
        <v>12713</v>
      </c>
      <c r="D540" s="67" t="s">
        <v>12714</v>
      </c>
      <c r="E540" s="66" t="s">
        <v>12715</v>
      </c>
      <c r="F540" s="66" t="s">
        <v>13190</v>
      </c>
      <c r="G540" s="66" t="s">
        <v>12751</v>
      </c>
      <c r="H540" s="66" t="s">
        <v>14011</v>
      </c>
      <c r="I540" s="68">
        <v>0.87476</v>
      </c>
      <c r="J540" s="69">
        <v>0.86</v>
      </c>
      <c r="K540" s="66">
        <v>0.86</v>
      </c>
      <c r="L540" s="66">
        <v>6276.4</v>
      </c>
      <c r="M540" s="66">
        <v>6000</v>
      </c>
      <c r="N540" s="63" cm="1">
        <f t="array" ref="N540:N540">_xlfn.XLOOKUP(H540,'OA名单'!C:C,'OA名单'!B:B,1)</f>
      </c>
      <c r="O540" s="63">
        <f t="shared" si="8"/>
      </c>
      <c r="P540" s="63" cm="1">
        <f t="array" ref="P540:P540">_xlfn.XLOOKUP(N540,'OA名单'!B:B,'OA名单'!G:G)</f>
      </c>
      <c r="Q540" s="63">
        <f t="shared" si="11"/>
      </c>
      <c r="R540" s="63" cm="1">
        <f t="array" ref="R540:R540">_xlfn.XLOOKUP(B540,'OA名单'!B:B,'OA名单'!F:F)</f>
      </c>
      <c r="S540" s="63">
        <f t="shared" si="10"/>
      </c>
      <c r="T540" s="70"/>
      <c r="U540" s="63" cm="1">
        <f t="array" ref="U540:U540">_xlfn.XLOOKUP(N540,'OA名单'!B:B,'OA名单'!E:E)</f>
      </c>
      <c r="V540" s="63">
        <f t="shared" si="12"/>
      </c>
      <c r="W540" s="71"/>
      <c r="X540" s="66"/>
      <c r="Y540" s="66"/>
    </row>
    <row hidden="true" r="541">
      <c r="A541" s="66"/>
      <c r="B541" s="66" t="s">
        <v>14012</v>
      </c>
      <c r="C541" s="67" t="s">
        <v>12713</v>
      </c>
      <c r="D541" s="67" t="s">
        <v>12714</v>
      </c>
      <c r="E541" s="66" t="s">
        <v>13318</v>
      </c>
      <c r="F541" s="66" t="s">
        <v>13761</v>
      </c>
      <c r="G541" s="66" t="s">
        <v>13570</v>
      </c>
      <c r="H541" s="66" t="s">
        <v>14013</v>
      </c>
      <c r="I541" s="68">
        <v>0.8658</v>
      </c>
      <c r="J541" s="69">
        <v>0.86</v>
      </c>
      <c r="K541" s="66">
        <v>0.86</v>
      </c>
      <c r="L541" s="66">
        <v>4300</v>
      </c>
      <c r="M541" s="66">
        <v>5000</v>
      </c>
      <c r="N541" s="63" cm="1">
        <f t="array" ref="N541:N541">_xlfn.XLOOKUP(H541,'OA名单'!C:C,'OA名单'!B:B,1)</f>
      </c>
      <c r="O541" s="63">
        <f t="shared" si="8"/>
      </c>
      <c r="P541" s="63" cm="1">
        <f t="array" ref="P541:P541">_xlfn.XLOOKUP(N541,'OA名单'!B:B,'OA名单'!G:G)</f>
      </c>
      <c r="Q541" s="63">
        <f t="shared" si="11"/>
      </c>
      <c r="R541" s="63" cm="1">
        <f t="array" ref="R541:R541">_xlfn.XLOOKUP(B541,'OA名单'!B:B,'OA名单'!F:F)</f>
      </c>
      <c r="S541" s="63">
        <f t="shared" si="10"/>
      </c>
      <c r="T541" s="70"/>
      <c r="U541" s="63" cm="1">
        <f t="array" ref="U541:U541">_xlfn.XLOOKUP(N541,'OA名单'!B:B,'OA名单'!E:E)</f>
      </c>
      <c r="V541" s="63">
        <f t="shared" si="12"/>
      </c>
      <c r="W541" s="71"/>
      <c r="X541" s="66"/>
      <c r="Y541" s="66"/>
    </row>
    <row hidden="true" r="542">
      <c r="A542" s="66"/>
      <c r="B542" s="66" t="s">
        <v>14014</v>
      </c>
      <c r="C542" s="67" t="s">
        <v>12713</v>
      </c>
      <c r="D542" s="67" t="s">
        <v>12714</v>
      </c>
      <c r="E542" s="66" t="s">
        <v>12749</v>
      </c>
      <c r="F542" s="66" t="s">
        <v>13381</v>
      </c>
      <c r="G542" s="66" t="s">
        <v>13609</v>
      </c>
      <c r="H542" s="66" t="s">
        <v>14015</v>
      </c>
      <c r="I542" s="68">
        <v>1.0025</v>
      </c>
      <c r="J542" s="69">
        <v>0.85</v>
      </c>
      <c r="K542" s="66">
        <v>0.85</v>
      </c>
      <c r="L542" s="66">
        <v>2550</v>
      </c>
      <c r="M542" s="66">
        <v>3000</v>
      </c>
      <c r="N542" s="63" cm="1">
        <f t="array" ref="N542:N542">_xlfn.XLOOKUP(H542,'OA名单'!C:C,'OA名单'!B:B,1)</f>
      </c>
      <c r="O542" s="63">
        <f t="shared" si="8"/>
      </c>
      <c r="P542" s="63" cm="1">
        <f t="array" ref="P542:P542">_xlfn.XLOOKUP(N542,'OA名单'!B:B,'OA名单'!G:G)</f>
      </c>
      <c r="Q542" s="63">
        <f t="shared" si="11"/>
      </c>
      <c r="R542" s="63" cm="1">
        <f t="array" ref="R542:R542">_xlfn.XLOOKUP(B542,'OA名单'!B:B,'OA名单'!F:F)</f>
      </c>
      <c r="S542" s="63">
        <f t="shared" si="10"/>
      </c>
      <c r="T542" s="70"/>
      <c r="U542" s="63" cm="1">
        <f t="array" ref="U542:U542">_xlfn.XLOOKUP(N542,'OA名单'!B:B,'OA名单'!E:E)</f>
      </c>
      <c r="V542" s="63">
        <f t="shared" si="12"/>
      </c>
      <c r="W542" s="71"/>
      <c r="X542" s="66"/>
      <c r="Y542" s="66"/>
    </row>
    <row hidden="true" r="543">
      <c r="A543" s="66"/>
      <c r="B543" s="66" t="s">
        <v>14016</v>
      </c>
      <c r="C543" s="67" t="s">
        <v>12713</v>
      </c>
      <c r="D543" s="67" t="s">
        <v>12714</v>
      </c>
      <c r="E543" s="66" t="s">
        <v>13011</v>
      </c>
      <c r="F543" s="66" t="s">
        <v>13012</v>
      </c>
      <c r="G543" s="66" t="s">
        <v>12751</v>
      </c>
      <c r="H543" s="66" t="s">
        <v>14017</v>
      </c>
      <c r="I543" s="68">
        <v>0.68172</v>
      </c>
      <c r="J543" s="69">
        <v>0.85</v>
      </c>
      <c r="K543" s="66">
        <v>0.85</v>
      </c>
      <c r="L543" s="66">
        <v>0</v>
      </c>
      <c r="M543" s="66">
        <v>5000</v>
      </c>
      <c r="N543" s="63" cm="1">
        <f t="array" ref="N543:N543">_xlfn.XLOOKUP(H543,'OA名单'!C:C,'OA名单'!B:B,1)</f>
      </c>
      <c r="O543" s="63">
        <f t="shared" si="8"/>
      </c>
      <c r="P543" s="63" cm="1">
        <f t="array" ref="P543:P543">_xlfn.XLOOKUP(N543,'OA名单'!B:B,'OA名单'!G:G)</f>
      </c>
      <c r="Q543" s="63">
        <f t="shared" si="11"/>
      </c>
      <c r="R543" s="63" cm="1">
        <f t="array" ref="R543:R543">_xlfn.XLOOKUP(B543,'OA名单'!B:B,'OA名单'!F:F)</f>
      </c>
      <c r="S543" s="63">
        <f t="shared" si="10"/>
      </c>
      <c r="T543" s="70"/>
      <c r="U543" s="63" cm="1">
        <f t="array" ref="U543:U543">_xlfn.XLOOKUP(N543,'OA名单'!B:B,'OA名单'!E:E)</f>
      </c>
      <c r="V543" s="63">
        <f t="shared" si="12"/>
      </c>
      <c r="W543" s="71"/>
      <c r="X543" s="66"/>
      <c r="Y543" s="66"/>
    </row>
    <row hidden="true" r="544">
      <c r="A544" s="66"/>
      <c r="B544" s="66" t="s">
        <v>14018</v>
      </c>
      <c r="C544" s="67" t="s">
        <v>12713</v>
      </c>
      <c r="D544" s="67" t="s">
        <v>12714</v>
      </c>
      <c r="E544" s="66" t="s">
        <v>12936</v>
      </c>
      <c r="F544" s="66" t="s">
        <v>12937</v>
      </c>
      <c r="G544" s="66" t="s">
        <v>12751</v>
      </c>
      <c r="H544" s="66" t="s">
        <v>14019</v>
      </c>
      <c r="I544" s="68">
        <v>0.845</v>
      </c>
      <c r="J544" s="69">
        <v>0.85</v>
      </c>
      <c r="K544" s="66">
        <v>0.85</v>
      </c>
      <c r="L544" s="66">
        <v>4782.4</v>
      </c>
      <c r="M544" s="66">
        <v>5000</v>
      </c>
      <c r="N544" s="63" cm="1">
        <f t="array" ref="N544:N544">_xlfn.XLOOKUP(H544,'OA名单'!C:C,'OA名单'!B:B,1)</f>
      </c>
      <c r="O544" s="63">
        <f t="shared" si="8"/>
      </c>
      <c r="P544" s="63" cm="1">
        <f t="array" ref="P544:P544">_xlfn.XLOOKUP(N544,'OA名单'!B:B,'OA名单'!G:G)</f>
      </c>
      <c r="Q544" s="63">
        <f t="shared" si="11"/>
      </c>
      <c r="R544" s="63" cm="1">
        <f t="array" ref="R544:R544">_xlfn.XLOOKUP(B544,'OA名单'!B:B,'OA名单'!F:F)</f>
      </c>
      <c r="S544" s="63">
        <f t="shared" si="10"/>
      </c>
      <c r="T544" s="70"/>
      <c r="U544" s="63" cm="1">
        <f t="array" ref="U544:U544">_xlfn.XLOOKUP(N544,'OA名单'!B:B,'OA名单'!E:E)</f>
      </c>
      <c r="V544" s="63">
        <f t="shared" si="12"/>
      </c>
      <c r="W544" s="71"/>
      <c r="X544" s="66"/>
      <c r="Y544" s="66"/>
    </row>
    <row hidden="true" r="545">
      <c r="A545" s="66"/>
      <c r="B545" s="66" t="s">
        <v>14020</v>
      </c>
      <c r="C545" s="67" t="s">
        <v>12713</v>
      </c>
      <c r="D545" s="67" t="s">
        <v>12714</v>
      </c>
      <c r="E545" s="66" t="s">
        <v>13027</v>
      </c>
      <c r="F545" s="66" t="s">
        <v>13054</v>
      </c>
      <c r="G545" s="66" t="s">
        <v>13043</v>
      </c>
      <c r="H545" s="66" t="s">
        <v>14021</v>
      </c>
      <c r="I545" s="68">
        <v>0.850534</v>
      </c>
      <c r="J545" s="69">
        <v>0.85</v>
      </c>
      <c r="K545" s="66">
        <v>0.85</v>
      </c>
      <c r="L545" s="66">
        <v>0</v>
      </c>
      <c r="M545" s="66">
        <v>2000</v>
      </c>
      <c r="N545" s="63" cm="1">
        <f t="array" ref="N545:N545">_xlfn.XLOOKUP(H545,'OA名单'!C:C,'OA名单'!B:B,1)</f>
      </c>
      <c r="O545" s="63">
        <f t="shared" si="8"/>
      </c>
      <c r="P545" s="63" cm="1">
        <f t="array" ref="P545:P545">_xlfn.XLOOKUP(N545,'OA名单'!B:B,'OA名单'!G:G)</f>
      </c>
      <c r="Q545" s="63">
        <f t="shared" si="11"/>
      </c>
      <c r="R545" s="63" cm="1">
        <f t="array" ref="R545:R545">_xlfn.XLOOKUP(B545,'OA名单'!B:B,'OA名单'!F:F)</f>
      </c>
      <c r="S545" s="63">
        <f t="shared" si="10"/>
      </c>
      <c r="T545" s="70"/>
      <c r="U545" s="63" cm="1">
        <f t="array" ref="U545:U545">_xlfn.XLOOKUP(N545,'OA名单'!B:B,'OA名单'!E:E)</f>
      </c>
      <c r="V545" s="63">
        <f t="shared" si="12"/>
      </c>
      <c r="W545" s="71"/>
      <c r="X545" s="66"/>
      <c r="Y545" s="66"/>
    </row>
    <row hidden="true" r="546">
      <c r="A546" s="66"/>
      <c r="B546" s="66" t="s">
        <v>14022</v>
      </c>
      <c r="C546" s="67" t="s">
        <v>12713</v>
      </c>
      <c r="D546" s="67" t="s">
        <v>12714</v>
      </c>
      <c r="E546" s="66" t="s">
        <v>13027</v>
      </c>
      <c r="F546" s="66" t="s">
        <v>13224</v>
      </c>
      <c r="G546" s="66" t="s">
        <v>13221</v>
      </c>
      <c r="H546" s="66" t="s">
        <v>14023</v>
      </c>
      <c r="I546" s="68">
        <v>0.870834</v>
      </c>
      <c r="J546" s="69">
        <v>0.85</v>
      </c>
      <c r="K546" s="66">
        <v>0.85</v>
      </c>
      <c r="L546" s="66">
        <v>8000</v>
      </c>
      <c r="M546" s="66">
        <v>5000</v>
      </c>
      <c r="N546" s="63" cm="1">
        <f t="array" ref="N546:N546">_xlfn.XLOOKUP(H546,'OA名单'!C:C,'OA名单'!B:B,1)</f>
      </c>
      <c r="O546" s="63">
        <f t="shared" si="8"/>
      </c>
      <c r="P546" s="63" cm="1">
        <f t="array" ref="P546:P546">_xlfn.XLOOKUP(N546,'OA名单'!B:B,'OA名单'!G:G)</f>
      </c>
      <c r="Q546" s="63">
        <f t="shared" si="11"/>
      </c>
      <c r="R546" s="63" cm="1">
        <f t="array" ref="R546:R546">_xlfn.XLOOKUP(B546,'OA名单'!B:B,'OA名单'!F:F)</f>
      </c>
      <c r="S546" s="63">
        <f t="shared" si="10"/>
      </c>
      <c r="T546" s="70"/>
      <c r="U546" s="63" cm="1">
        <f t="array" ref="U546:U546">_xlfn.XLOOKUP(N546,'OA名单'!B:B,'OA名单'!E:E)</f>
      </c>
      <c r="V546" s="63">
        <f t="shared" si="12"/>
      </c>
      <c r="W546" s="71"/>
      <c r="X546" s="66"/>
      <c r="Y546" s="66"/>
    </row>
    <row hidden="true" r="547">
      <c r="A547" s="66"/>
      <c r="B547" s="66" t="s">
        <v>14024</v>
      </c>
      <c r="C547" s="67" t="s">
        <v>12713</v>
      </c>
      <c r="D547" s="67" t="s">
        <v>12714</v>
      </c>
      <c r="E547" s="66" t="s">
        <v>13027</v>
      </c>
      <c r="F547" s="66" t="s">
        <v>13110</v>
      </c>
      <c r="G547" s="66" t="s">
        <v>13221</v>
      </c>
      <c r="H547" s="66" t="s">
        <v>14025</v>
      </c>
      <c r="I547" s="68">
        <v>0.851</v>
      </c>
      <c r="J547" s="69">
        <v>0.85</v>
      </c>
      <c r="K547" s="66">
        <v>0.85</v>
      </c>
      <c r="L547" s="66">
        <v>0</v>
      </c>
      <c r="M547" s="66">
        <v>5000</v>
      </c>
      <c r="N547" s="63" cm="1">
        <f t="array" ref="N547:N547">_xlfn.XLOOKUP(H547,'OA名单'!C:C,'OA名单'!B:B,1)</f>
      </c>
      <c r="O547" s="63">
        <f t="shared" si="8"/>
      </c>
      <c r="P547" s="63" cm="1">
        <f t="array" ref="P547:P547">_xlfn.XLOOKUP(N547,'OA名单'!B:B,'OA名单'!G:G)</f>
      </c>
      <c r="Q547" s="63">
        <f t="shared" si="11"/>
      </c>
      <c r="R547" s="63" cm="1">
        <f t="array" ref="R547:R547">_xlfn.XLOOKUP(B547,'OA名单'!B:B,'OA名单'!F:F)</f>
      </c>
      <c r="S547" s="63">
        <f t="shared" si="10"/>
      </c>
      <c r="T547" s="70"/>
      <c r="U547" s="63" cm="1">
        <f t="array" ref="U547:U547">_xlfn.XLOOKUP(N547,'OA名单'!B:B,'OA名单'!E:E)</f>
      </c>
      <c r="V547" s="63">
        <f t="shared" si="12"/>
      </c>
      <c r="W547" s="71"/>
      <c r="X547" s="66"/>
      <c r="Y547" s="66"/>
    </row>
    <row hidden="true" r="548">
      <c r="A548" s="66"/>
      <c r="B548" s="66" t="s">
        <v>14026</v>
      </c>
      <c r="C548" s="67" t="s">
        <v>12713</v>
      </c>
      <c r="D548" s="67" t="s">
        <v>12714</v>
      </c>
      <c r="E548" s="66" t="s">
        <v>12956</v>
      </c>
      <c r="F548" s="66" t="s">
        <v>13598</v>
      </c>
      <c r="G548" s="66" t="s">
        <v>13265</v>
      </c>
      <c r="H548" s="66" t="s">
        <v>14027</v>
      </c>
      <c r="I548" s="68">
        <v>0.85</v>
      </c>
      <c r="J548" s="69">
        <v>0.85</v>
      </c>
      <c r="K548" s="66">
        <v>0.85</v>
      </c>
      <c r="L548" s="66">
        <v>2057</v>
      </c>
      <c r="M548" s="66">
        <v>3000</v>
      </c>
      <c r="N548" s="63" cm="1">
        <f t="array" ref="N548:N548">_xlfn.XLOOKUP(H548,'OA名单'!C:C,'OA名单'!B:B,1)</f>
      </c>
      <c r="O548" s="63">
        <f t="shared" si="8"/>
      </c>
      <c r="P548" s="63" cm="1">
        <f t="array" ref="P548:P548">_xlfn.XLOOKUP(N548,'OA名单'!B:B,'OA名单'!G:G)</f>
      </c>
      <c r="Q548" s="63">
        <f t="shared" si="11"/>
      </c>
      <c r="R548" s="63" cm="1">
        <f t="array" ref="R548:R548">_xlfn.XLOOKUP(B548,'OA名单'!B:B,'OA名单'!F:F)</f>
      </c>
      <c r="S548" s="63">
        <f t="shared" si="10"/>
      </c>
      <c r="T548" s="70"/>
      <c r="U548" s="63" cm="1">
        <f t="array" ref="U548:U548">_xlfn.XLOOKUP(N548,'OA名单'!B:B,'OA名单'!E:E)</f>
      </c>
      <c r="V548" s="63">
        <f t="shared" si="12"/>
      </c>
      <c r="W548" s="71"/>
      <c r="X548" s="66"/>
      <c r="Y548" s="66"/>
    </row>
    <row hidden="true" r="549">
      <c r="A549" s="66"/>
      <c r="B549" s="66" t="s">
        <v>14028</v>
      </c>
      <c r="C549" s="67" t="s">
        <v>12713</v>
      </c>
      <c r="D549" s="67" t="s">
        <v>12714</v>
      </c>
      <c r="E549" s="66" t="s">
        <v>13146</v>
      </c>
      <c r="F549" s="66" t="s">
        <v>13204</v>
      </c>
      <c r="G549" s="66" t="s">
        <v>13205</v>
      </c>
      <c r="H549" s="66" t="s">
        <v>14029</v>
      </c>
      <c r="I549" s="68">
        <v>0.85</v>
      </c>
      <c r="J549" s="69">
        <v>0.85</v>
      </c>
      <c r="K549" s="66">
        <v>0.85</v>
      </c>
      <c r="L549" s="66">
        <v>850</v>
      </c>
      <c r="M549" s="66">
        <v>1000</v>
      </c>
      <c r="N549" s="63" cm="1">
        <f t="array" ref="N549:N549">_xlfn.XLOOKUP(H549,'OA名单'!C:C,'OA名单'!B:B,1)</f>
      </c>
      <c r="O549" s="63">
        <f t="shared" si="8"/>
      </c>
      <c r="P549" s="63" cm="1">
        <f t="array" ref="P549:P549">_xlfn.XLOOKUP(N549,'OA名单'!B:B,'OA名单'!G:G)</f>
      </c>
      <c r="Q549" s="63">
        <f t="shared" si="11"/>
      </c>
      <c r="R549" s="63" cm="1">
        <f t="array" ref="R549:R549">_xlfn.XLOOKUP(B549,'OA名单'!B:B,'OA名单'!F:F)</f>
      </c>
      <c r="S549" s="63">
        <f t="shared" si="10"/>
      </c>
      <c r="T549" s="70"/>
      <c r="U549" s="63" cm="1">
        <f t="array" ref="U549:U549">_xlfn.XLOOKUP(N549,'OA名单'!B:B,'OA名单'!E:E)</f>
      </c>
      <c r="V549" s="63">
        <f t="shared" si="12"/>
      </c>
      <c r="W549" s="71"/>
      <c r="X549" s="66"/>
      <c r="Y549" s="66"/>
    </row>
    <row hidden="true" r="550">
      <c r="A550" s="66"/>
      <c r="B550" s="66" t="s">
        <v>14030</v>
      </c>
      <c r="C550" s="67" t="s">
        <v>12713</v>
      </c>
      <c r="D550" s="67" t="s">
        <v>12714</v>
      </c>
      <c r="E550" s="66" t="s">
        <v>13011</v>
      </c>
      <c r="F550" s="66" t="s">
        <v>13012</v>
      </c>
      <c r="G550" s="66" t="s">
        <v>13061</v>
      </c>
      <c r="H550" s="66" t="s">
        <v>14031</v>
      </c>
      <c r="I550" s="68">
        <v>0.84</v>
      </c>
      <c r="J550" s="69">
        <v>0.84</v>
      </c>
      <c r="K550" s="66">
        <v>0.84</v>
      </c>
      <c r="L550" s="66">
        <v>2400.24</v>
      </c>
      <c r="M550" s="66">
        <v>3000</v>
      </c>
      <c r="N550" s="63" cm="1">
        <f t="array" ref="N550:N550">_xlfn.XLOOKUP(H550,'OA名单'!C:C,'OA名单'!B:B,1)</f>
      </c>
      <c r="O550" s="63">
        <f t="shared" si="8"/>
      </c>
      <c r="P550" s="63" cm="1">
        <f t="array" ref="P550:P550">_xlfn.XLOOKUP(N550,'OA名单'!B:B,'OA名单'!G:G)</f>
      </c>
      <c r="Q550" s="63">
        <f t="shared" si="11"/>
      </c>
      <c r="R550" s="63" cm="1">
        <f t="array" ref="R550:R550">_xlfn.XLOOKUP(B550,'OA名单'!B:B,'OA名单'!F:F)</f>
      </c>
      <c r="S550" s="63">
        <f t="shared" si="10"/>
      </c>
      <c r="T550" s="70"/>
      <c r="U550" s="63" cm="1">
        <f t="array" ref="U550:U550">_xlfn.XLOOKUP(N550,'OA名单'!B:B,'OA名单'!E:E)</f>
      </c>
      <c r="V550" s="63">
        <f t="shared" si="12"/>
      </c>
      <c r="W550" s="71"/>
      <c r="X550" s="66"/>
      <c r="Y550" s="66"/>
    </row>
    <row hidden="true" r="551">
      <c r="A551" s="66"/>
      <c r="B551" s="66" t="s">
        <v>14032</v>
      </c>
      <c r="C551" s="67" t="s">
        <v>12713</v>
      </c>
      <c r="D551" s="67" t="s">
        <v>12714</v>
      </c>
      <c r="E551" s="66" t="s">
        <v>12936</v>
      </c>
      <c r="F551" s="66" t="s">
        <v>12937</v>
      </c>
      <c r="G551" s="66" t="s">
        <v>13158</v>
      </c>
      <c r="H551" s="66" t="s">
        <v>14033</v>
      </c>
      <c r="I551" s="68">
        <v>0.841</v>
      </c>
      <c r="J551" s="69">
        <v>0.84</v>
      </c>
      <c r="K551" s="66">
        <v>0.84</v>
      </c>
      <c r="L551" s="66">
        <v>3234.5</v>
      </c>
      <c r="M551" s="66">
        <v>3000</v>
      </c>
      <c r="N551" s="63" cm="1">
        <f t="array" ref="N551:N551">_xlfn.XLOOKUP(H551,'OA名单'!C:C,'OA名单'!B:B,1)</f>
      </c>
      <c r="O551" s="63">
        <f t="shared" si="8"/>
      </c>
      <c r="P551" s="63" cm="1">
        <f t="array" ref="P551:P551">_xlfn.XLOOKUP(N551,'OA名单'!B:B,'OA名单'!G:G)</f>
      </c>
      <c r="Q551" s="63">
        <f t="shared" si="11"/>
      </c>
      <c r="R551" s="63" cm="1">
        <f t="array" ref="R551:R551">_xlfn.XLOOKUP(B551,'OA名单'!B:B,'OA名单'!F:F)</f>
      </c>
      <c r="S551" s="63">
        <f t="shared" si="10"/>
      </c>
      <c r="T551" s="70"/>
      <c r="U551" s="63" cm="1">
        <f t="array" ref="U551:U551">_xlfn.XLOOKUP(N551,'OA名单'!B:B,'OA名单'!E:E)</f>
      </c>
      <c r="V551" s="63">
        <f t="shared" si="12"/>
      </c>
      <c r="W551" s="71"/>
      <c r="X551" s="66"/>
      <c r="Y551" s="66"/>
    </row>
    <row hidden="true" r="552">
      <c r="A552" s="66"/>
      <c r="B552" s="66" t="s">
        <v>14034</v>
      </c>
      <c r="C552" s="67" t="s">
        <v>12713</v>
      </c>
      <c r="D552" s="67" t="s">
        <v>12714</v>
      </c>
      <c r="E552" s="66" t="s">
        <v>12936</v>
      </c>
      <c r="F552" s="66" t="s">
        <v>12937</v>
      </c>
      <c r="G552" s="66" t="s">
        <v>13158</v>
      </c>
      <c r="H552" s="66" t="s">
        <v>14035</v>
      </c>
      <c r="I552" s="68">
        <v>0.84</v>
      </c>
      <c r="J552" s="69">
        <v>0.84</v>
      </c>
      <c r="K552" s="66">
        <v>0.84</v>
      </c>
      <c r="L552" s="66">
        <v>3350.9</v>
      </c>
      <c r="M552" s="66">
        <v>3000</v>
      </c>
      <c r="N552" s="63" cm="1">
        <f t="array" ref="N552:N552">_xlfn.XLOOKUP(H552,'OA名单'!C:C,'OA名单'!B:B,1)</f>
      </c>
      <c r="O552" s="63">
        <f t="shared" si="8"/>
      </c>
      <c r="P552" s="63" cm="1">
        <f t="array" ref="P552:P552">_xlfn.XLOOKUP(N552,'OA名单'!B:B,'OA名单'!G:G)</f>
      </c>
      <c r="Q552" s="63">
        <f t="shared" si="11"/>
      </c>
      <c r="R552" s="63" cm="1">
        <f t="array" ref="R552:R552">_xlfn.XLOOKUP(B552,'OA名单'!B:B,'OA名单'!F:F)</f>
      </c>
      <c r="S552" s="63">
        <f t="shared" si="10"/>
      </c>
      <c r="T552" s="70"/>
      <c r="U552" s="63" cm="1">
        <f t="array" ref="U552:U552">_xlfn.XLOOKUP(N552,'OA名单'!B:B,'OA名单'!E:E)</f>
      </c>
      <c r="V552" s="63">
        <f t="shared" si="12"/>
      </c>
      <c r="W552" s="71"/>
      <c r="X552" s="66"/>
      <c r="Y552" s="66"/>
    </row>
    <row hidden="true" r="553">
      <c r="A553" s="66"/>
      <c r="B553" s="66" t="s">
        <v>14036</v>
      </c>
      <c r="C553" s="67" t="s">
        <v>12713</v>
      </c>
      <c r="D553" s="67" t="s">
        <v>12714</v>
      </c>
      <c r="E553" s="66" t="s">
        <v>13027</v>
      </c>
      <c r="F553" s="66" t="s">
        <v>13511</v>
      </c>
      <c r="G553" s="66" t="s">
        <v>13512</v>
      </c>
      <c r="H553" s="66" t="s">
        <v>14037</v>
      </c>
      <c r="I553" s="68">
        <v>0.841</v>
      </c>
      <c r="J553" s="69">
        <v>0.84</v>
      </c>
      <c r="K553" s="66">
        <v>0.84</v>
      </c>
      <c r="L553" s="66">
        <v>1008</v>
      </c>
      <c r="M553" s="66">
        <v>1200</v>
      </c>
      <c r="N553" s="63" cm="1">
        <f t="array" ref="N553:N553">_xlfn.XLOOKUP(H553,'OA名单'!C:C,'OA名单'!B:B,1)</f>
      </c>
      <c r="O553" s="63">
        <f t="shared" si="8"/>
      </c>
      <c r="P553" s="63" cm="1">
        <f t="array" ref="P553:P553">_xlfn.XLOOKUP(N553,'OA名单'!B:B,'OA名单'!G:G)</f>
      </c>
      <c r="Q553" s="63">
        <f t="shared" si="11"/>
      </c>
      <c r="R553" s="63" cm="1">
        <f t="array" ref="R553:R553">_xlfn.XLOOKUP(B553,'OA名单'!B:B,'OA名单'!F:F)</f>
      </c>
      <c r="S553" s="63">
        <f t="shared" si="10"/>
      </c>
      <c r="T553" s="70"/>
      <c r="U553" s="63" cm="1">
        <f t="array" ref="U553:U553">_xlfn.XLOOKUP(N553,'OA名单'!B:B,'OA名单'!E:E)</f>
      </c>
      <c r="V553" s="63">
        <f t="shared" si="12"/>
      </c>
      <c r="W553" s="71"/>
      <c r="X553" s="66"/>
      <c r="Y553" s="66"/>
    </row>
    <row hidden="true" r="554">
      <c r="A554" s="66"/>
      <c r="B554" s="66" t="s">
        <v>14038</v>
      </c>
      <c r="C554" s="67" t="s">
        <v>12713</v>
      </c>
      <c r="D554" s="67" t="s">
        <v>12714</v>
      </c>
      <c r="E554" s="66" t="s">
        <v>12715</v>
      </c>
      <c r="F554" s="66" t="s">
        <v>13187</v>
      </c>
      <c r="G554" s="66" t="s">
        <v>13079</v>
      </c>
      <c r="H554" s="66" t="s">
        <v>14039</v>
      </c>
      <c r="I554" s="68">
        <v>0.66617</v>
      </c>
      <c r="J554" s="69">
        <v>0.84</v>
      </c>
      <c r="K554" s="66">
        <v>0.84</v>
      </c>
      <c r="L554" s="66">
        <v>0</v>
      </c>
      <c r="M554" s="66">
        <v>5000</v>
      </c>
      <c r="N554" s="63" cm="1">
        <f t="array" ref="N554:N554">_xlfn.XLOOKUP(H554,'OA名单'!C:C,'OA名单'!B:B,1)</f>
      </c>
      <c r="O554" s="63">
        <f t="shared" si="8"/>
      </c>
      <c r="P554" s="63" cm="1">
        <f t="array" ref="P554:P554">_xlfn.XLOOKUP(N554,'OA名单'!B:B,'OA名单'!G:G)</f>
      </c>
      <c r="Q554" s="63">
        <f t="shared" si="11"/>
      </c>
      <c r="R554" s="63" cm="1">
        <f t="array" ref="R554:R554">_xlfn.XLOOKUP(B554,'OA名单'!B:B,'OA名单'!F:F)</f>
      </c>
      <c r="S554" s="63">
        <f t="shared" si="10"/>
      </c>
      <c r="T554" s="70"/>
      <c r="U554" s="63" cm="1">
        <f t="array" ref="U554:U554">_xlfn.XLOOKUP(N554,'OA名单'!B:B,'OA名单'!E:E)</f>
      </c>
      <c r="V554" s="63">
        <f t="shared" si="12"/>
      </c>
      <c r="W554" s="71"/>
      <c r="X554" s="66"/>
      <c r="Y554" s="66"/>
    </row>
    <row hidden="true" r="555">
      <c r="A555" s="66"/>
      <c r="B555" s="66" t="s">
        <v>14040</v>
      </c>
      <c r="C555" s="67" t="s">
        <v>12713</v>
      </c>
      <c r="D555" s="67" t="s">
        <v>12714</v>
      </c>
      <c r="E555" s="66" t="s">
        <v>13011</v>
      </c>
      <c r="F555" s="66" t="s">
        <v>13138</v>
      </c>
      <c r="G555" s="66" t="s">
        <v>13545</v>
      </c>
      <c r="H555" s="66" t="s">
        <v>14041</v>
      </c>
      <c r="I555" s="68">
        <v>0.836</v>
      </c>
      <c r="J555" s="69">
        <v>0.84</v>
      </c>
      <c r="K555" s="66">
        <v>0.84</v>
      </c>
      <c r="L555" s="66">
        <v>419</v>
      </c>
      <c r="M555" s="66">
        <v>500</v>
      </c>
      <c r="N555" s="63" cm="1">
        <f t="array" ref="N555:N555">_xlfn.XLOOKUP(H555,'OA名单'!C:C,'OA名单'!B:B,1)</f>
      </c>
      <c r="O555" s="63">
        <f t="shared" si="8"/>
      </c>
      <c r="P555" s="63" cm="1">
        <f t="array" ref="P555:P555">_xlfn.XLOOKUP(N555,'OA名单'!B:B,'OA名单'!G:G)</f>
      </c>
      <c r="Q555" s="63">
        <f t="shared" si="11"/>
      </c>
      <c r="R555" s="63" cm="1">
        <f t="array" ref="R555:R555">_xlfn.XLOOKUP(B555,'OA名单'!B:B,'OA名单'!F:F)</f>
      </c>
      <c r="S555" s="63">
        <f t="shared" si="10"/>
      </c>
      <c r="T555" s="70"/>
      <c r="U555" s="63" cm="1">
        <f t="array" ref="U555:U555">_xlfn.XLOOKUP(N555,'OA名单'!B:B,'OA名单'!E:E)</f>
      </c>
      <c r="V555" s="63">
        <f t="shared" si="12"/>
      </c>
      <c r="W555" s="71"/>
      <c r="X555" s="66"/>
      <c r="Y555" s="66"/>
    </row>
    <row hidden="true" r="556">
      <c r="A556" s="66"/>
      <c r="B556" s="66" t="s">
        <v>14042</v>
      </c>
      <c r="C556" s="67" t="s">
        <v>12713</v>
      </c>
      <c r="D556" s="67" t="s">
        <v>12714</v>
      </c>
      <c r="E556" s="66" t="s">
        <v>13011</v>
      </c>
      <c r="F556" s="66" t="s">
        <v>13138</v>
      </c>
      <c r="G556" s="66" t="s">
        <v>13545</v>
      </c>
      <c r="H556" s="66" t="s">
        <v>14043</v>
      </c>
      <c r="I556" s="68">
        <v>0.84</v>
      </c>
      <c r="J556" s="69">
        <v>0.84</v>
      </c>
      <c r="K556" s="66">
        <v>0.84</v>
      </c>
      <c r="L556" s="66">
        <v>420</v>
      </c>
      <c r="M556" s="66">
        <v>500</v>
      </c>
      <c r="N556" s="63" cm="1">
        <f t="array" ref="N556:N556">_xlfn.XLOOKUP(H556,'OA名单'!C:C,'OA名单'!B:B,1)</f>
      </c>
      <c r="O556" s="63">
        <f t="shared" si="8"/>
      </c>
      <c r="P556" s="63" cm="1">
        <f t="array" ref="P556:P556">_xlfn.XLOOKUP(N556,'OA名单'!B:B,'OA名单'!G:G)</f>
      </c>
      <c r="Q556" s="63">
        <f t="shared" si="11"/>
      </c>
      <c r="R556" s="63" cm="1">
        <f t="array" ref="R556:R556">_xlfn.XLOOKUP(B556,'OA名单'!B:B,'OA名单'!F:F)</f>
      </c>
      <c r="S556" s="63">
        <f t="shared" si="10"/>
      </c>
      <c r="T556" s="70"/>
      <c r="U556" s="63" cm="1">
        <f t="array" ref="U556:U556">_xlfn.XLOOKUP(N556,'OA名单'!B:B,'OA名单'!E:E)</f>
      </c>
      <c r="V556" s="63">
        <f t="shared" si="12"/>
      </c>
      <c r="W556" s="71"/>
      <c r="X556" s="66"/>
      <c r="Y556" s="66"/>
    </row>
    <row hidden="true" r="557">
      <c r="A557" s="66"/>
      <c r="B557" s="66" t="s">
        <v>14044</v>
      </c>
      <c r="C557" s="67" t="s">
        <v>12713</v>
      </c>
      <c r="D557" s="67" t="s">
        <v>12714</v>
      </c>
      <c r="E557" s="66" t="s">
        <v>12936</v>
      </c>
      <c r="F557" s="66" t="s">
        <v>13028</v>
      </c>
      <c r="G557" s="66" t="s">
        <v>13195</v>
      </c>
      <c r="H557" s="66" t="s">
        <v>14045</v>
      </c>
      <c r="I557" s="68">
        <v>0.73</v>
      </c>
      <c r="J557" s="69">
        <v>0.83</v>
      </c>
      <c r="K557" s="66">
        <v>0.83</v>
      </c>
      <c r="L557" s="66">
        <v>2870</v>
      </c>
      <c r="M557" s="66">
        <v>3000</v>
      </c>
      <c r="N557" s="63" cm="1">
        <f t="array" ref="N557:N557">_xlfn.XLOOKUP(H557,'OA名单'!C:C,'OA名单'!B:B,1)</f>
      </c>
      <c r="O557" s="63">
        <f t="shared" si="8"/>
      </c>
      <c r="P557" s="63" cm="1">
        <f t="array" ref="P557:P557">_xlfn.XLOOKUP(N557,'OA名单'!B:B,'OA名单'!G:G)</f>
      </c>
      <c r="Q557" s="63">
        <f t="shared" si="11"/>
      </c>
      <c r="R557" s="63" cm="1">
        <f t="array" ref="R557:R557">_xlfn.XLOOKUP(B557,'OA名单'!B:B,'OA名单'!F:F)</f>
      </c>
      <c r="S557" s="63">
        <f t="shared" si="10"/>
      </c>
      <c r="T557" s="70"/>
      <c r="U557" s="63" cm="1">
        <f t="array" ref="U557:U557">_xlfn.XLOOKUP(N557,'OA名单'!B:B,'OA名单'!E:E)</f>
      </c>
      <c r="V557" s="63">
        <f t="shared" si="12"/>
      </c>
      <c r="W557" s="71"/>
      <c r="X557" s="66"/>
      <c r="Y557" s="66"/>
    </row>
    <row hidden="true" r="558">
      <c r="A558" s="66"/>
      <c r="B558" s="66" t="s">
        <v>14046</v>
      </c>
      <c r="C558" s="67" t="s">
        <v>12713</v>
      </c>
      <c r="D558" s="67" t="s">
        <v>12714</v>
      </c>
      <c r="E558" s="66" t="s">
        <v>13374</v>
      </c>
      <c r="F558" s="67" t="s">
        <v>12764</v>
      </c>
      <c r="G558" s="66" t="s">
        <v>13417</v>
      </c>
      <c r="H558" s="66" t="s">
        <v>14047</v>
      </c>
      <c r="I558" s="68">
        <v>0.83</v>
      </c>
      <c r="J558" s="69">
        <v>0.83</v>
      </c>
      <c r="K558" s="66">
        <v>0.83</v>
      </c>
      <c r="L558" s="66">
        <v>2490</v>
      </c>
      <c r="M558" s="66">
        <v>3000</v>
      </c>
      <c r="N558" s="63" cm="1">
        <f t="array" ref="N558:N558">_xlfn.XLOOKUP(H558,'OA名单'!C:C,'OA名单'!B:B,1)</f>
      </c>
      <c r="O558" s="63">
        <f t="shared" si="8"/>
      </c>
      <c r="P558" s="63" cm="1">
        <f t="array" ref="P558:P558">_xlfn.XLOOKUP(N558,'OA名单'!B:B,'OA名单'!G:G)</f>
      </c>
      <c r="Q558" s="63">
        <f t="shared" si="11"/>
      </c>
      <c r="R558" s="63" cm="1">
        <f t="array" ref="R558:R558">_xlfn.XLOOKUP(B558,'OA名单'!B:B,'OA名单'!F:F)</f>
      </c>
      <c r="S558" s="63">
        <f t="shared" si="10"/>
      </c>
      <c r="T558" s="70"/>
      <c r="U558" s="63" cm="1">
        <f t="array" ref="U558:U558">_xlfn.XLOOKUP(N558,'OA名单'!B:B,'OA名单'!E:E)</f>
      </c>
      <c r="V558" s="63">
        <f t="shared" si="12"/>
      </c>
      <c r="W558" s="71"/>
      <c r="X558" s="66"/>
      <c r="Y558" s="66"/>
    </row>
    <row hidden="true" r="559">
      <c r="A559" s="66"/>
      <c r="B559" s="66" t="s">
        <v>14048</v>
      </c>
      <c r="C559" s="67" t="s">
        <v>12713</v>
      </c>
      <c r="D559" s="67" t="s">
        <v>12714</v>
      </c>
      <c r="E559" s="66" t="s">
        <v>12936</v>
      </c>
      <c r="F559" s="66" t="s">
        <v>14049</v>
      </c>
      <c r="G559" s="66" t="s">
        <v>12751</v>
      </c>
      <c r="H559" s="66" t="s">
        <v>14050</v>
      </c>
      <c r="I559" s="68">
        <v>0.702</v>
      </c>
      <c r="J559" s="69">
        <v>0.83</v>
      </c>
      <c r="K559" s="66">
        <v>0.83</v>
      </c>
      <c r="L559" s="66">
        <v>4150</v>
      </c>
      <c r="M559" s="66">
        <v>5000</v>
      </c>
      <c r="N559" s="63" cm="1">
        <f t="array" ref="N559:N559">_xlfn.XLOOKUP(H559,'OA名单'!C:C,'OA名单'!B:B,1)</f>
      </c>
      <c r="O559" s="63">
        <f t="shared" si="8"/>
      </c>
      <c r="P559" s="63" cm="1">
        <f t="array" ref="P559:P559">_xlfn.XLOOKUP(N559,'OA名单'!B:B,'OA名单'!G:G)</f>
      </c>
      <c r="Q559" s="63">
        <f t="shared" si="11"/>
      </c>
      <c r="R559" s="63" cm="1">
        <f t="array" ref="R559:R559">_xlfn.XLOOKUP(B559,'OA名单'!B:B,'OA名单'!F:F)</f>
      </c>
      <c r="S559" s="63">
        <f t="shared" si="10"/>
      </c>
      <c r="T559" s="70"/>
      <c r="U559" s="63" cm="1">
        <f t="array" ref="U559:U559">_xlfn.XLOOKUP(N559,'OA名单'!B:B,'OA名单'!E:E)</f>
      </c>
      <c r="V559" s="63">
        <f t="shared" si="12"/>
      </c>
      <c r="W559" s="71"/>
      <c r="X559" s="66"/>
      <c r="Y559" s="66"/>
    </row>
    <row hidden="true" r="560">
      <c r="A560" s="66"/>
      <c r="B560" s="66" t="s">
        <v>14051</v>
      </c>
      <c r="C560" s="67" t="s">
        <v>12713</v>
      </c>
      <c r="D560" s="67" t="s">
        <v>12714</v>
      </c>
      <c r="E560" s="66" t="s">
        <v>12936</v>
      </c>
      <c r="F560" s="66" t="s">
        <v>14049</v>
      </c>
      <c r="G560" s="66" t="s">
        <v>12982</v>
      </c>
      <c r="H560" s="66" t="s">
        <v>14052</v>
      </c>
      <c r="I560" s="68">
        <v>0.834</v>
      </c>
      <c r="J560" s="69">
        <v>0.83</v>
      </c>
      <c r="K560" s="66">
        <v>0.83</v>
      </c>
      <c r="L560" s="66">
        <v>1251</v>
      </c>
      <c r="M560" s="66">
        <v>1500</v>
      </c>
      <c r="N560" s="63" cm="1">
        <f t="array" ref="N560:N560">_xlfn.XLOOKUP(H560,'OA名单'!C:C,'OA名单'!B:B,1)</f>
      </c>
      <c r="O560" s="63">
        <f t="shared" si="8"/>
      </c>
      <c r="P560" s="63" cm="1">
        <f t="array" ref="P560:P560">_xlfn.XLOOKUP(N560,'OA名单'!B:B,'OA名单'!G:G)</f>
      </c>
      <c r="Q560" s="63">
        <f t="shared" si="11"/>
      </c>
      <c r="R560" s="63" cm="1">
        <f t="array" ref="R560:R560">_xlfn.XLOOKUP(B560,'OA名单'!B:B,'OA名单'!F:F)</f>
      </c>
      <c r="S560" s="63">
        <f t="shared" si="10"/>
      </c>
      <c r="T560" s="70"/>
      <c r="U560" s="63" cm="1">
        <f t="array" ref="U560:U560">_xlfn.XLOOKUP(N560,'OA名单'!B:B,'OA名单'!E:E)</f>
      </c>
      <c r="V560" s="63">
        <f t="shared" si="12"/>
      </c>
      <c r="W560" s="71"/>
      <c r="X560" s="66"/>
      <c r="Y560" s="66"/>
    </row>
    <row hidden="true" r="561">
      <c r="A561" s="66"/>
      <c r="B561" s="66" t="s">
        <v>14053</v>
      </c>
      <c r="C561" s="67" t="s">
        <v>12713</v>
      </c>
      <c r="D561" s="67" t="s">
        <v>12714</v>
      </c>
      <c r="E561" s="66" t="s">
        <v>12782</v>
      </c>
      <c r="F561" s="66" t="s">
        <v>12783</v>
      </c>
      <c r="G561" s="66" t="s">
        <v>13089</v>
      </c>
      <c r="H561" s="66" t="s">
        <v>14054</v>
      </c>
      <c r="I561" s="68">
        <v>0.833</v>
      </c>
      <c r="J561" s="69">
        <v>0.83</v>
      </c>
      <c r="K561" s="66">
        <v>0.83</v>
      </c>
      <c r="L561" s="66">
        <v>3969.6</v>
      </c>
      <c r="M561" s="66">
        <v>3000</v>
      </c>
      <c r="N561" s="63" cm="1">
        <f t="array" ref="N561:N561">_xlfn.XLOOKUP(H561,'OA名单'!C:C,'OA名单'!B:B,1)</f>
      </c>
      <c r="O561" s="63">
        <f t="shared" si="8"/>
      </c>
      <c r="P561" s="63" cm="1">
        <f t="array" ref="P561:P561">_xlfn.XLOOKUP(N561,'OA名单'!B:B,'OA名单'!G:G)</f>
      </c>
      <c r="Q561" s="63">
        <f t="shared" si="11"/>
      </c>
      <c r="R561" s="63" cm="1">
        <f t="array" ref="R561:R561">_xlfn.XLOOKUP(B561,'OA名单'!B:B,'OA名单'!F:F)</f>
      </c>
      <c r="S561" s="63">
        <f t="shared" si="10"/>
      </c>
      <c r="T561" s="70"/>
      <c r="U561" s="63" cm="1">
        <f t="array" ref="U561:U561">_xlfn.XLOOKUP(N561,'OA名单'!B:B,'OA名单'!E:E)</f>
      </c>
      <c r="V561" s="63">
        <f t="shared" si="12"/>
      </c>
      <c r="W561" s="71"/>
      <c r="X561" s="66"/>
      <c r="Y561" s="66"/>
    </row>
    <row hidden="true" r="562">
      <c r="A562" s="66"/>
      <c r="B562" s="66" t="s">
        <v>14055</v>
      </c>
      <c r="C562" s="67" t="s">
        <v>12713</v>
      </c>
      <c r="D562" s="67" t="s">
        <v>12714</v>
      </c>
      <c r="E562" s="66" t="s">
        <v>12776</v>
      </c>
      <c r="F562" s="66" t="s">
        <v>14000</v>
      </c>
      <c r="G562" s="66" t="s">
        <v>13576</v>
      </c>
      <c r="H562" s="66" t="s">
        <v>14056</v>
      </c>
      <c r="I562" s="68">
        <v>0.87</v>
      </c>
      <c r="J562" s="69">
        <v>0.83</v>
      </c>
      <c r="K562" s="66">
        <v>0.83</v>
      </c>
      <c r="L562" s="66">
        <v>0</v>
      </c>
      <c r="M562" s="66">
        <v>5000</v>
      </c>
      <c r="N562" s="63" cm="1">
        <f t="array" ref="N562:N562">_xlfn.XLOOKUP(H562,'OA名单'!C:C,'OA名单'!B:B,1)</f>
      </c>
      <c r="O562" s="63">
        <f t="shared" si="8"/>
      </c>
      <c r="P562" s="63" cm="1">
        <f t="array" ref="P562:P562">_xlfn.XLOOKUP(N562,'OA名单'!B:B,'OA名单'!G:G)</f>
      </c>
      <c r="Q562" s="63">
        <f t="shared" si="11"/>
      </c>
      <c r="R562" s="63" cm="1">
        <f t="array" ref="R562:R562">_xlfn.XLOOKUP(B562,'OA名单'!B:B,'OA名单'!F:F)</f>
      </c>
      <c r="S562" s="63">
        <f t="shared" si="10"/>
      </c>
      <c r="T562" s="70"/>
      <c r="U562" s="63" cm="1">
        <f t="array" ref="U562:U562">_xlfn.XLOOKUP(N562,'OA名单'!B:B,'OA名单'!E:E)</f>
      </c>
      <c r="V562" s="63">
        <f t="shared" si="12"/>
      </c>
      <c r="W562" s="71"/>
      <c r="X562" s="66"/>
      <c r="Y562" s="66"/>
    </row>
    <row hidden="true" r="563">
      <c r="A563" s="66"/>
      <c r="B563" s="66" t="s">
        <v>14057</v>
      </c>
      <c r="C563" s="67" t="s">
        <v>12713</v>
      </c>
      <c r="D563" s="67" t="s">
        <v>12714</v>
      </c>
      <c r="E563" s="66" t="s">
        <v>12936</v>
      </c>
      <c r="F563" s="66" t="s">
        <v>12937</v>
      </c>
      <c r="G563" s="66" t="s">
        <v>13158</v>
      </c>
      <c r="H563" s="66" t="s">
        <v>14058</v>
      </c>
      <c r="I563" s="68">
        <v>0.8822</v>
      </c>
      <c r="J563" s="69">
        <v>0.82</v>
      </c>
      <c r="K563" s="66">
        <v>0.82</v>
      </c>
      <c r="L563" s="66">
        <v>3071.3</v>
      </c>
      <c r="M563" s="66">
        <v>3000</v>
      </c>
      <c r="N563" s="63" cm="1">
        <f t="array" ref="N563:N563">_xlfn.XLOOKUP(H563,'OA名单'!C:C,'OA名单'!B:B,1)</f>
      </c>
      <c r="O563" s="63">
        <f t="shared" si="8"/>
      </c>
      <c r="P563" s="63" cm="1">
        <f t="array" ref="P563:P563">_xlfn.XLOOKUP(N563,'OA名单'!B:B,'OA名单'!G:G)</f>
      </c>
      <c r="Q563" s="63">
        <f t="shared" si="11"/>
      </c>
      <c r="R563" s="63" cm="1">
        <f t="array" ref="R563:R563">_xlfn.XLOOKUP(B563,'OA名单'!B:B,'OA名单'!F:F)</f>
      </c>
      <c r="S563" s="63">
        <f t="shared" si="10"/>
      </c>
      <c r="T563" s="70"/>
      <c r="U563" s="63" cm="1">
        <f t="array" ref="U563:U563">_xlfn.XLOOKUP(N563,'OA名单'!B:B,'OA名单'!E:E)</f>
      </c>
      <c r="V563" s="63">
        <f t="shared" si="12"/>
      </c>
      <c r="W563" s="71"/>
      <c r="X563" s="66"/>
      <c r="Y563" s="66"/>
    </row>
    <row hidden="true" r="564">
      <c r="A564" s="66"/>
      <c r="B564" s="66" t="s">
        <v>14059</v>
      </c>
      <c r="C564" s="67" t="s">
        <v>12713</v>
      </c>
      <c r="D564" s="67" t="s">
        <v>12714</v>
      </c>
      <c r="E564" s="66" t="s">
        <v>13182</v>
      </c>
      <c r="F564" s="66" t="s">
        <v>14060</v>
      </c>
      <c r="G564" s="66" t="s">
        <v>12751</v>
      </c>
      <c r="H564" s="66" t="s">
        <v>14061</v>
      </c>
      <c r="I564" s="68">
        <v>0.889755</v>
      </c>
      <c r="J564" s="69">
        <v>0.82</v>
      </c>
      <c r="K564" s="66">
        <v>0.82</v>
      </c>
      <c r="L564" s="66">
        <v>5007.67</v>
      </c>
      <c r="M564" s="66">
        <v>5000</v>
      </c>
      <c r="N564" s="63" cm="1">
        <f t="array" ref="N564:N564">_xlfn.XLOOKUP(H564,'OA名单'!C:C,'OA名单'!B:B,1)</f>
      </c>
      <c r="O564" s="63">
        <f t="shared" si="8"/>
      </c>
      <c r="P564" s="63" cm="1">
        <f t="array" ref="P564:P564">_xlfn.XLOOKUP(N564,'OA名单'!B:B,'OA名单'!G:G)</f>
      </c>
      <c r="Q564" s="63">
        <f t="shared" si="11"/>
      </c>
      <c r="R564" s="63" cm="1">
        <f t="array" ref="R564:R564">_xlfn.XLOOKUP(B564,'OA名单'!B:B,'OA名单'!F:F)</f>
      </c>
      <c r="S564" s="63">
        <f t="shared" si="10"/>
      </c>
      <c r="T564" s="70"/>
      <c r="U564" s="63" cm="1">
        <f t="array" ref="U564:U564">_xlfn.XLOOKUP(N564,'OA名单'!B:B,'OA名单'!E:E)</f>
      </c>
      <c r="V564" s="63">
        <f t="shared" si="12"/>
      </c>
      <c r="W564" s="71"/>
      <c r="X564" s="66"/>
      <c r="Y564" s="66"/>
    </row>
    <row hidden="true" r="565">
      <c r="A565" s="66"/>
      <c r="B565" s="66" t="s">
        <v>14062</v>
      </c>
      <c r="C565" s="67" t="s">
        <v>12713</v>
      </c>
      <c r="D565" s="67" t="s">
        <v>12714</v>
      </c>
      <c r="E565" s="66" t="s">
        <v>13146</v>
      </c>
      <c r="F565" s="66" t="s">
        <v>13204</v>
      </c>
      <c r="G565" s="66" t="s">
        <v>13205</v>
      </c>
      <c r="H565" s="66" t="s">
        <v>14063</v>
      </c>
      <c r="I565" s="68">
        <v>0.73812</v>
      </c>
      <c r="J565" s="69">
        <v>0.82</v>
      </c>
      <c r="K565" s="66">
        <v>0.82</v>
      </c>
      <c r="L565" s="66">
        <v>2116.94</v>
      </c>
      <c r="M565" s="66">
        <v>3000</v>
      </c>
      <c r="N565" s="63" cm="1">
        <f t="array" ref="N565:N565">_xlfn.XLOOKUP(H565,'OA名单'!C:C,'OA名单'!B:B,1)</f>
      </c>
      <c r="O565" s="63">
        <f t="shared" si="8"/>
      </c>
      <c r="P565" s="63" cm="1">
        <f t="array" ref="P565:P565">_xlfn.XLOOKUP(N565,'OA名单'!B:B,'OA名单'!G:G)</f>
      </c>
      <c r="Q565" s="63">
        <f t="shared" si="11"/>
      </c>
      <c r="R565" s="63" cm="1">
        <f t="array" ref="R565:R565">_xlfn.XLOOKUP(B565,'OA名单'!B:B,'OA名单'!F:F)</f>
      </c>
      <c r="S565" s="63">
        <f t="shared" si="10"/>
      </c>
      <c r="T565" s="70"/>
      <c r="U565" s="63" cm="1">
        <f t="array" ref="U565:U565">_xlfn.XLOOKUP(N565,'OA名单'!B:B,'OA名单'!E:E)</f>
      </c>
      <c r="V565" s="63">
        <f t="shared" si="12"/>
      </c>
      <c r="W565" s="71"/>
      <c r="X565" s="66"/>
      <c r="Y565" s="66"/>
    </row>
    <row hidden="true" r="566">
      <c r="A566" s="66"/>
      <c r="B566" s="66" t="s">
        <v>14064</v>
      </c>
      <c r="C566" s="67" t="s">
        <v>12713</v>
      </c>
      <c r="D566" s="67" t="s">
        <v>12714</v>
      </c>
      <c r="E566" s="66" t="s">
        <v>12715</v>
      </c>
      <c r="F566" s="66" t="s">
        <v>13187</v>
      </c>
      <c r="G566" s="66" t="s">
        <v>13629</v>
      </c>
      <c r="H566" s="66" t="s">
        <v>14065</v>
      </c>
      <c r="I566" s="68">
        <v>0.8178</v>
      </c>
      <c r="J566" s="69">
        <v>0.82</v>
      </c>
      <c r="K566" s="66">
        <v>0.82</v>
      </c>
      <c r="L566" s="66">
        <v>2395.83</v>
      </c>
      <c r="M566" s="66">
        <v>1200</v>
      </c>
      <c r="N566" s="63" cm="1">
        <f t="array" ref="N566:N566">_xlfn.XLOOKUP(H566,'OA名单'!C:C,'OA名单'!B:B,1)</f>
      </c>
      <c r="O566" s="63">
        <f t="shared" si="8"/>
      </c>
      <c r="P566" s="63" cm="1">
        <f t="array" ref="P566:P566">_xlfn.XLOOKUP(N566,'OA名单'!B:B,'OA名单'!G:G)</f>
      </c>
      <c r="Q566" s="63">
        <f t="shared" si="11"/>
      </c>
      <c r="R566" s="63" cm="1">
        <f t="array" ref="R566:R566">_xlfn.XLOOKUP(B566,'OA名单'!B:B,'OA名单'!F:F)</f>
      </c>
      <c r="S566" s="63">
        <f t="shared" si="10"/>
      </c>
      <c r="T566" s="70"/>
      <c r="U566" s="63" cm="1">
        <f t="array" ref="U566:U566">_xlfn.XLOOKUP(N566,'OA名单'!B:B,'OA名单'!E:E)</f>
      </c>
      <c r="V566" s="63">
        <f t="shared" si="12"/>
      </c>
      <c r="W566" s="71"/>
      <c r="X566" s="66"/>
      <c r="Y566" s="66"/>
    </row>
    <row hidden="true" r="567">
      <c r="A567" s="66"/>
      <c r="B567" s="66" t="s">
        <v>14066</v>
      </c>
      <c r="C567" s="67" t="s">
        <v>12713</v>
      </c>
      <c r="D567" s="67" t="s">
        <v>12714</v>
      </c>
      <c r="E567" s="66" t="s">
        <v>13277</v>
      </c>
      <c r="F567" s="66" t="s">
        <v>13278</v>
      </c>
      <c r="G567" s="66" t="s">
        <v>13279</v>
      </c>
      <c r="H567" s="66" t="s">
        <v>14067</v>
      </c>
      <c r="I567" s="68">
        <v>0.81581</v>
      </c>
      <c r="J567" s="69">
        <v>0.82</v>
      </c>
      <c r="K567" s="66">
        <v>0.82</v>
      </c>
      <c r="L567" s="66">
        <v>2769.23</v>
      </c>
      <c r="M567" s="66">
        <v>3000</v>
      </c>
      <c r="N567" s="63" cm="1">
        <f t="array" ref="N567:N567">_xlfn.XLOOKUP(H567,'OA名单'!C:C,'OA名单'!B:B,1)</f>
      </c>
      <c r="O567" s="63">
        <f t="shared" si="8"/>
      </c>
      <c r="P567" s="63" cm="1">
        <f t="array" ref="P567:P567">_xlfn.XLOOKUP(N567,'OA名单'!B:B,'OA名单'!G:G)</f>
      </c>
      <c r="Q567" s="63">
        <f t="shared" si="11"/>
      </c>
      <c r="R567" s="63" cm="1">
        <f t="array" ref="R567:R567">_xlfn.XLOOKUP(B567,'OA名单'!B:B,'OA名单'!F:F)</f>
      </c>
      <c r="S567" s="63">
        <f t="shared" si="10"/>
      </c>
      <c r="T567" s="70"/>
      <c r="U567" s="63" cm="1">
        <f t="array" ref="U567:U567">_xlfn.XLOOKUP(N567,'OA名单'!B:B,'OA名单'!E:E)</f>
      </c>
      <c r="V567" s="63">
        <f t="shared" si="12"/>
      </c>
      <c r="W567" s="71"/>
      <c r="X567" s="66"/>
      <c r="Y567" s="66"/>
    </row>
    <row hidden="true" r="568">
      <c r="A568" s="66"/>
      <c r="B568" s="66" t="s">
        <v>14068</v>
      </c>
      <c r="C568" s="67" t="s">
        <v>12713</v>
      </c>
      <c r="D568" s="67" t="s">
        <v>12714</v>
      </c>
      <c r="E568" s="66" t="s">
        <v>13027</v>
      </c>
      <c r="F568" s="66" t="s">
        <v>13028</v>
      </c>
      <c r="G568" s="66" t="s">
        <v>13636</v>
      </c>
      <c r="H568" s="66" t="s">
        <v>14069</v>
      </c>
      <c r="I568" s="68">
        <v>0.80827</v>
      </c>
      <c r="J568" s="69">
        <v>0.82</v>
      </c>
      <c r="K568" s="66">
        <v>0.82</v>
      </c>
      <c r="L568" s="66">
        <v>821</v>
      </c>
      <c r="M568" s="66">
        <v>1000</v>
      </c>
      <c r="N568" s="63" cm="1">
        <f t="array" ref="N568:N568">_xlfn.XLOOKUP(H568,'OA名单'!C:C,'OA名单'!B:B,1)</f>
      </c>
      <c r="O568" s="63">
        <f t="shared" si="8"/>
      </c>
      <c r="P568" s="63" cm="1">
        <f t="array" ref="P568:P568">_xlfn.XLOOKUP(N568,'OA名单'!B:B,'OA名单'!G:G)</f>
      </c>
      <c r="Q568" s="63">
        <f t="shared" si="11"/>
      </c>
      <c r="R568" s="63" cm="1">
        <f t="array" ref="R568:R568">_xlfn.XLOOKUP(B568,'OA名单'!B:B,'OA名单'!F:F)</f>
      </c>
      <c r="S568" s="63">
        <f t="shared" si="10"/>
      </c>
      <c r="T568" s="70"/>
      <c r="U568" s="63" cm="1">
        <f t="array" ref="U568:U568">_xlfn.XLOOKUP(N568,'OA名单'!B:B,'OA名单'!E:E)</f>
      </c>
      <c r="V568" s="63">
        <f t="shared" si="12"/>
      </c>
      <c r="W568" s="71"/>
      <c r="X568" s="66"/>
      <c r="Y568" s="66"/>
    </row>
    <row hidden="true" r="569">
      <c r="A569" s="66"/>
      <c r="B569" s="66" t="s">
        <v>14070</v>
      </c>
      <c r="C569" s="67" t="s">
        <v>12713</v>
      </c>
      <c r="D569" s="67" t="s">
        <v>12714</v>
      </c>
      <c r="E569" s="66" t="s">
        <v>12782</v>
      </c>
      <c r="F569" s="66" t="s">
        <v>13297</v>
      </c>
      <c r="G569" s="66" t="s">
        <v>12751</v>
      </c>
      <c r="H569" s="66" t="s">
        <v>14071</v>
      </c>
      <c r="I569" s="68">
        <v>0.821</v>
      </c>
      <c r="J569" s="69">
        <v>0.82</v>
      </c>
      <c r="K569" s="66">
        <v>0.82</v>
      </c>
      <c r="L569" s="66">
        <v>4926</v>
      </c>
      <c r="M569" s="66">
        <v>6000</v>
      </c>
      <c r="N569" s="63" cm="1">
        <f t="array" ref="N569:N569">_xlfn.XLOOKUP(H569,'OA名单'!C:C,'OA名单'!B:B,1)</f>
      </c>
      <c r="O569" s="63">
        <f t="shared" si="8"/>
      </c>
      <c r="P569" s="63" cm="1">
        <f t="array" ref="P569:P569">_xlfn.XLOOKUP(N569,'OA名单'!B:B,'OA名单'!G:G)</f>
      </c>
      <c r="Q569" s="63">
        <f t="shared" si="11"/>
      </c>
      <c r="R569" s="63" cm="1">
        <f t="array" ref="R569:R569">_xlfn.XLOOKUP(B569,'OA名单'!B:B,'OA名单'!F:F)</f>
      </c>
      <c r="S569" s="63">
        <f t="shared" si="10"/>
      </c>
      <c r="T569" s="70"/>
      <c r="U569" s="63" cm="1">
        <f t="array" ref="U569:U569">_xlfn.XLOOKUP(N569,'OA名单'!B:B,'OA名单'!E:E)</f>
      </c>
      <c r="V569" s="63">
        <f t="shared" si="12"/>
      </c>
      <c r="W569" s="71"/>
      <c r="X569" s="66"/>
      <c r="Y569" s="66"/>
    </row>
    <row hidden="true" r="570">
      <c r="A570" s="66"/>
      <c r="B570" s="66" t="s">
        <v>14072</v>
      </c>
      <c r="C570" s="67" t="s">
        <v>12713</v>
      </c>
      <c r="D570" s="67" t="s">
        <v>12714</v>
      </c>
      <c r="E570" s="66" t="s">
        <v>13177</v>
      </c>
      <c r="F570" s="66" t="s">
        <v>13851</v>
      </c>
      <c r="G570" s="66" t="s">
        <v>13965</v>
      </c>
      <c r="H570" s="66" t="s">
        <v>14073</v>
      </c>
      <c r="I570" s="68">
        <v>0.8985</v>
      </c>
      <c r="J570" s="69">
        <v>0.82</v>
      </c>
      <c r="K570" s="66">
        <v>0.82</v>
      </c>
      <c r="L570" s="66">
        <v>3360</v>
      </c>
      <c r="M570" s="66">
        <v>5000</v>
      </c>
      <c r="N570" s="63" cm="1">
        <f t="array" ref="N570:N570">_xlfn.XLOOKUP(H570,'OA名单'!C:C,'OA名单'!B:B,1)</f>
      </c>
      <c r="O570" s="63">
        <f t="shared" si="8"/>
      </c>
      <c r="P570" s="63" cm="1">
        <f t="array" ref="P570:P570">_xlfn.XLOOKUP(N570,'OA名单'!B:B,'OA名单'!G:G)</f>
      </c>
      <c r="Q570" s="63">
        <f t="shared" si="11"/>
      </c>
      <c r="R570" s="63" cm="1">
        <f t="array" ref="R570:R570">_xlfn.XLOOKUP(B570,'OA名单'!B:B,'OA名单'!F:F)</f>
      </c>
      <c r="S570" s="63">
        <f t="shared" si="10"/>
      </c>
      <c r="T570" s="70"/>
      <c r="U570" s="63" cm="1">
        <f t="array" ref="U570:U570">_xlfn.XLOOKUP(N570,'OA名单'!B:B,'OA名单'!E:E)</f>
      </c>
      <c r="V570" s="63">
        <f t="shared" si="12"/>
      </c>
      <c r="W570" s="71"/>
      <c r="X570" s="66"/>
      <c r="Y570" s="66"/>
    </row>
    <row hidden="true" r="571">
      <c r="A571" s="66"/>
      <c r="B571" s="66" t="s">
        <v>14074</v>
      </c>
      <c r="C571" s="67" t="s">
        <v>12713</v>
      </c>
      <c r="D571" s="67" t="s">
        <v>12714</v>
      </c>
      <c r="E571" s="66" t="s">
        <v>12715</v>
      </c>
      <c r="F571" s="66" t="s">
        <v>13190</v>
      </c>
      <c r="G571" s="66" t="s">
        <v>13079</v>
      </c>
      <c r="H571" s="66" t="s">
        <v>14075</v>
      </c>
      <c r="I571" s="68">
        <v>0.008257</v>
      </c>
      <c r="J571" s="69">
        <v>0.82</v>
      </c>
      <c r="K571" s="66">
        <v>0.82</v>
      </c>
      <c r="L571" s="66">
        <v>4100</v>
      </c>
      <c r="M571" s="66">
        <v>5000</v>
      </c>
      <c r="N571" s="63" cm="1">
        <f t="array" ref="N571:N571">_xlfn.XLOOKUP(H571,'OA名单'!C:C,'OA名单'!B:B,1)</f>
      </c>
      <c r="O571" s="63">
        <f t="shared" si="8"/>
      </c>
      <c r="P571" s="63" cm="1">
        <f t="array" ref="P571:P571">_xlfn.XLOOKUP(N571,'OA名单'!B:B,'OA名单'!G:G)</f>
      </c>
      <c r="Q571" s="63">
        <f t="shared" si="11"/>
      </c>
      <c r="R571" s="63" cm="1">
        <f t="array" ref="R571:R571">_xlfn.XLOOKUP(B571,'OA名单'!B:B,'OA名单'!F:F)</f>
      </c>
      <c r="S571" s="63">
        <f t="shared" si="10"/>
      </c>
      <c r="T571" s="70"/>
      <c r="U571" s="63" cm="1">
        <f t="array" ref="U571:U571">_xlfn.XLOOKUP(N571,'OA名单'!B:B,'OA名单'!E:E)</f>
      </c>
      <c r="V571" s="63">
        <f t="shared" si="12"/>
      </c>
      <c r="W571" s="71"/>
      <c r="X571" s="66"/>
      <c r="Y571" s="66"/>
    </row>
    <row hidden="true" r="572">
      <c r="A572" s="66"/>
      <c r="B572" s="66" t="s">
        <v>14076</v>
      </c>
      <c r="C572" s="67" t="s">
        <v>12713</v>
      </c>
      <c r="D572" s="67" t="s">
        <v>12714</v>
      </c>
      <c r="E572" s="66" t="s">
        <v>12782</v>
      </c>
      <c r="F572" s="66" t="s">
        <v>13064</v>
      </c>
      <c r="G572" s="66" t="s">
        <v>12982</v>
      </c>
      <c r="H572" s="66" t="s">
        <v>14077</v>
      </c>
      <c r="I572" s="68">
        <v>0.81991</v>
      </c>
      <c r="J572" s="69">
        <v>0.82</v>
      </c>
      <c r="K572" s="66">
        <v>0.82</v>
      </c>
      <c r="L572" s="66">
        <v>4700</v>
      </c>
      <c r="M572" s="66">
        <v>1500</v>
      </c>
      <c r="N572" s="63" cm="1">
        <f t="array" ref="N572:N572">_xlfn.XLOOKUP(H572,'OA名单'!C:C,'OA名单'!B:B,1)</f>
      </c>
      <c r="O572" s="63">
        <f t="shared" si="8"/>
      </c>
      <c r="P572" s="63" cm="1">
        <f t="array" ref="P572:P572">_xlfn.XLOOKUP(N572,'OA名单'!B:B,'OA名单'!G:G)</f>
      </c>
      <c r="Q572" s="63">
        <f t="shared" si="11"/>
      </c>
      <c r="R572" s="63" cm="1">
        <f t="array" ref="R572:R572">_xlfn.XLOOKUP(B572,'OA名单'!B:B,'OA名单'!F:F)</f>
      </c>
      <c r="S572" s="63">
        <f t="shared" si="10"/>
      </c>
      <c r="T572" s="70"/>
      <c r="U572" s="63" cm="1">
        <f t="array" ref="U572:U572">_xlfn.XLOOKUP(N572,'OA名单'!B:B,'OA名单'!E:E)</f>
      </c>
      <c r="V572" s="63">
        <f t="shared" si="12"/>
      </c>
      <c r="W572" s="71"/>
      <c r="X572" s="66"/>
      <c r="Y572" s="66"/>
    </row>
    <row hidden="true" r="573">
      <c r="A573" s="66"/>
      <c r="B573" s="66" t="s">
        <v>14078</v>
      </c>
      <c r="C573" s="67" t="s">
        <v>12713</v>
      </c>
      <c r="D573" s="67" t="s">
        <v>12714</v>
      </c>
      <c r="E573" s="66" t="s">
        <v>13027</v>
      </c>
      <c r="F573" s="66" t="s">
        <v>13054</v>
      </c>
      <c r="G573" s="66" t="s">
        <v>13139</v>
      </c>
      <c r="H573" s="66" t="s">
        <v>14079</v>
      </c>
      <c r="I573" s="68">
        <v>0.82416</v>
      </c>
      <c r="J573" s="69">
        <v>0.82</v>
      </c>
      <c r="K573" s="66">
        <v>0.82</v>
      </c>
      <c r="L573" s="66">
        <v>4100</v>
      </c>
      <c r="M573" s="66">
        <v>5000</v>
      </c>
      <c r="N573" s="63" cm="1">
        <f t="array" ref="N573:N573">_xlfn.XLOOKUP(H573,'OA名单'!C:C,'OA名单'!B:B,1)</f>
      </c>
      <c r="O573" s="63">
        <f t="shared" si="8"/>
      </c>
      <c r="P573" s="63" cm="1">
        <f t="array" ref="P573:P573">_xlfn.XLOOKUP(N573,'OA名单'!B:B,'OA名单'!G:G)</f>
      </c>
      <c r="Q573" s="63">
        <f t="shared" si="11"/>
      </c>
      <c r="R573" s="63" cm="1">
        <f t="array" ref="R573:R573">_xlfn.XLOOKUP(B573,'OA名单'!B:B,'OA名单'!F:F)</f>
      </c>
      <c r="S573" s="63">
        <f t="shared" si="10"/>
      </c>
      <c r="T573" s="70"/>
      <c r="U573" s="63" cm="1">
        <f t="array" ref="U573:U573">_xlfn.XLOOKUP(N573,'OA名单'!B:B,'OA名单'!E:E)</f>
      </c>
      <c r="V573" s="63">
        <f t="shared" si="12"/>
      </c>
      <c r="W573" s="71"/>
      <c r="X573" s="66"/>
      <c r="Y573" s="66"/>
    </row>
    <row hidden="true" r="574">
      <c r="A574" s="66"/>
      <c r="B574" s="66" t="s">
        <v>14080</v>
      </c>
      <c r="C574" s="67" t="s">
        <v>12713</v>
      </c>
      <c r="D574" s="67" t="s">
        <v>12714</v>
      </c>
      <c r="E574" s="66" t="s">
        <v>13318</v>
      </c>
      <c r="F574" s="66" t="s">
        <v>13761</v>
      </c>
      <c r="G574" s="66" t="s">
        <v>13682</v>
      </c>
      <c r="H574" s="66" t="s">
        <v>14081</v>
      </c>
      <c r="I574" s="68">
        <v>0.8235</v>
      </c>
      <c r="J574" s="69">
        <v>0.82</v>
      </c>
      <c r="K574" s="66">
        <v>0.82</v>
      </c>
      <c r="L574" s="66">
        <v>4100</v>
      </c>
      <c r="M574" s="66">
        <v>5000</v>
      </c>
      <c r="N574" s="63" cm="1">
        <f t="array" ref="N574:N574">_xlfn.XLOOKUP(H574,'OA名单'!C:C,'OA名单'!B:B,1)</f>
      </c>
      <c r="O574" s="63">
        <f t="shared" si="8"/>
      </c>
      <c r="P574" s="63" cm="1">
        <f t="array" ref="P574:P574">_xlfn.XLOOKUP(N574,'OA名单'!B:B,'OA名单'!G:G)</f>
      </c>
      <c r="Q574" s="63">
        <f t="shared" si="11"/>
      </c>
      <c r="R574" s="63" cm="1">
        <f t="array" ref="R574:R574">_xlfn.XLOOKUP(B574,'OA名单'!B:B,'OA名单'!F:F)</f>
      </c>
      <c r="S574" s="63">
        <f t="shared" si="10"/>
      </c>
      <c r="T574" s="70"/>
      <c r="U574" s="63" cm="1">
        <f t="array" ref="U574:U574">_xlfn.XLOOKUP(N574,'OA名单'!B:B,'OA名单'!E:E)</f>
      </c>
      <c r="V574" s="63">
        <f t="shared" si="12"/>
      </c>
      <c r="W574" s="71"/>
      <c r="X574" s="66"/>
      <c r="Y574" s="66"/>
    </row>
    <row hidden="true" r="575">
      <c r="A575" s="66"/>
      <c r="B575" s="66" t="s">
        <v>14082</v>
      </c>
      <c r="C575" s="67" t="s">
        <v>12713</v>
      </c>
      <c r="D575" s="67" t="s">
        <v>12714</v>
      </c>
      <c r="E575" s="66" t="s">
        <v>13146</v>
      </c>
      <c r="F575" s="66" t="s">
        <v>13348</v>
      </c>
      <c r="G575" s="66" t="s">
        <v>14083</v>
      </c>
      <c r="H575" s="66" t="s">
        <v>14084</v>
      </c>
      <c r="I575" s="68">
        <v>0.85829</v>
      </c>
      <c r="J575" s="69">
        <v>0.81</v>
      </c>
      <c r="K575" s="66">
        <v>0.81</v>
      </c>
      <c r="L575" s="66">
        <v>2128</v>
      </c>
      <c r="M575" s="66">
        <v>2200</v>
      </c>
      <c r="N575" s="63" cm="1">
        <f t="array" ref="N575:N575">_xlfn.XLOOKUP(H575,'OA名单'!C:C,'OA名单'!B:B,1)</f>
      </c>
      <c r="O575" s="63">
        <f t="shared" si="8"/>
      </c>
      <c r="P575" s="63" cm="1">
        <f t="array" ref="P575:P575">_xlfn.XLOOKUP(N575,'OA名单'!B:B,'OA名单'!G:G)</f>
      </c>
      <c r="Q575" s="63">
        <f t="shared" si="11"/>
      </c>
      <c r="R575" s="63" cm="1">
        <f t="array" ref="R575:R575">_xlfn.XLOOKUP(B575,'OA名单'!B:B,'OA名单'!F:F)</f>
      </c>
      <c r="S575" s="63">
        <f t="shared" si="10"/>
      </c>
      <c r="T575" s="70"/>
      <c r="U575" s="63" cm="1">
        <f t="array" ref="U575:U575">_xlfn.XLOOKUP(N575,'OA名单'!B:B,'OA名单'!E:E)</f>
      </c>
      <c r="V575" s="63">
        <f t="shared" si="12"/>
      </c>
      <c r="W575" s="71"/>
      <c r="X575" s="66"/>
      <c r="Y575" s="66"/>
    </row>
    <row hidden="true" r="576">
      <c r="A576" s="66"/>
      <c r="B576" s="66" t="s">
        <v>14085</v>
      </c>
      <c r="C576" s="67" t="s">
        <v>12713</v>
      </c>
      <c r="D576" s="67" t="s">
        <v>12714</v>
      </c>
      <c r="E576" s="66" t="s">
        <v>13027</v>
      </c>
      <c r="F576" s="66" t="s">
        <v>13054</v>
      </c>
      <c r="G576" s="66" t="s">
        <v>12751</v>
      </c>
      <c r="H576" s="66" t="s">
        <v>14086</v>
      </c>
      <c r="I576" s="68">
        <v>0.813489</v>
      </c>
      <c r="J576" s="69">
        <v>0.81</v>
      </c>
      <c r="K576" s="66">
        <v>0.81</v>
      </c>
      <c r="L576" s="66">
        <v>8000</v>
      </c>
      <c r="M576" s="66">
        <v>5000</v>
      </c>
      <c r="N576" s="63" cm="1">
        <f t="array" ref="N576:N576">_xlfn.XLOOKUP(H576,'OA名单'!C:C,'OA名单'!B:B,1)</f>
      </c>
      <c r="O576" s="63">
        <f t="shared" si="8"/>
      </c>
      <c r="P576" s="63" cm="1">
        <f t="array" ref="P576:P576">_xlfn.XLOOKUP(N576,'OA名单'!B:B,'OA名单'!G:G)</f>
      </c>
      <c r="Q576" s="63">
        <f t="shared" si="11"/>
      </c>
      <c r="R576" s="63" cm="1">
        <f t="array" ref="R576:R576">_xlfn.XLOOKUP(B576,'OA名单'!B:B,'OA名单'!F:F)</f>
      </c>
      <c r="S576" s="63">
        <f t="shared" si="10"/>
      </c>
      <c r="T576" s="70"/>
      <c r="U576" s="63" cm="1">
        <f t="array" ref="U576:U576">_xlfn.XLOOKUP(N576,'OA名单'!B:B,'OA名单'!E:E)</f>
      </c>
      <c r="V576" s="63">
        <f t="shared" si="12"/>
      </c>
      <c r="W576" s="71"/>
      <c r="X576" s="66"/>
      <c r="Y576" s="66"/>
    </row>
    <row hidden="true" r="577">
      <c r="A577" s="66"/>
      <c r="B577" s="66" t="s">
        <v>14087</v>
      </c>
      <c r="C577" s="67" t="s">
        <v>12713</v>
      </c>
      <c r="D577" s="67" t="s">
        <v>12714</v>
      </c>
      <c r="E577" s="66" t="s">
        <v>13182</v>
      </c>
      <c r="F577" s="66" t="s">
        <v>13183</v>
      </c>
      <c r="G577" s="66" t="s">
        <v>12751</v>
      </c>
      <c r="H577" s="66" t="s">
        <v>14088</v>
      </c>
      <c r="I577" s="68">
        <v>0.969</v>
      </c>
      <c r="J577" s="69">
        <v>0.81</v>
      </c>
      <c r="K577" s="66">
        <v>0.81</v>
      </c>
      <c r="L577" s="66">
        <v>3537.63</v>
      </c>
      <c r="M577" s="66">
        <v>5000</v>
      </c>
      <c r="N577" s="63" cm="1">
        <f t="array" ref="N577:N577">_xlfn.XLOOKUP(H577,'OA名单'!C:C,'OA名单'!B:B,1)</f>
      </c>
      <c r="O577" s="63">
        <f t="shared" si="8"/>
      </c>
      <c r="P577" s="63" cm="1">
        <f t="array" ref="P577:P577">_xlfn.XLOOKUP(N577,'OA名单'!B:B,'OA名单'!G:G)</f>
      </c>
      <c r="Q577" s="63">
        <f t="shared" si="11"/>
      </c>
      <c r="R577" s="63" cm="1">
        <f t="array" ref="R577:R577">_xlfn.XLOOKUP(B577,'OA名单'!B:B,'OA名单'!F:F)</f>
      </c>
      <c r="S577" s="63">
        <f t="shared" si="10"/>
      </c>
      <c r="T577" s="70"/>
      <c r="U577" s="63" cm="1">
        <f t="array" ref="U577:U577">_xlfn.XLOOKUP(N577,'OA名单'!B:B,'OA名单'!E:E)</f>
      </c>
      <c r="V577" s="63">
        <f t="shared" si="12"/>
      </c>
      <c r="W577" s="71"/>
      <c r="X577" s="66"/>
      <c r="Y577" s="66"/>
    </row>
    <row hidden="true" r="578">
      <c r="A578" s="66"/>
      <c r="B578" s="66" t="s">
        <v>14089</v>
      </c>
      <c r="C578" s="67" t="s">
        <v>12713</v>
      </c>
      <c r="D578" s="67" t="s">
        <v>12714</v>
      </c>
      <c r="E578" s="66" t="s">
        <v>12936</v>
      </c>
      <c r="F578" s="66" t="s">
        <v>14049</v>
      </c>
      <c r="G578" s="66" t="s">
        <v>13221</v>
      </c>
      <c r="H578" s="66" t="s">
        <v>14090</v>
      </c>
      <c r="I578" s="68">
        <v>0.812</v>
      </c>
      <c r="J578" s="69">
        <v>0.81</v>
      </c>
      <c r="K578" s="66">
        <v>0.81</v>
      </c>
      <c r="L578" s="66">
        <v>4050</v>
      </c>
      <c r="M578" s="66">
        <v>5000</v>
      </c>
      <c r="N578" s="63" cm="1">
        <f t="array" ref="N578:N578">_xlfn.XLOOKUP(H578,'OA名单'!C:C,'OA名单'!B:B,1)</f>
      </c>
      <c r="O578" s="63">
        <f t="shared" si="8"/>
      </c>
      <c r="P578" s="63" cm="1">
        <f t="array" ref="P578:P578">_xlfn.XLOOKUP(N578,'OA名单'!B:B,'OA名单'!G:G)</f>
      </c>
      <c r="Q578" s="63">
        <f t="shared" si="11"/>
      </c>
      <c r="R578" s="63" cm="1">
        <f t="array" ref="R578:R578">_xlfn.XLOOKUP(B578,'OA名单'!B:B,'OA名单'!F:F)</f>
      </c>
      <c r="S578" s="63">
        <f t="shared" si="10"/>
      </c>
      <c r="T578" s="70"/>
      <c r="U578" s="63" cm="1">
        <f t="array" ref="U578:U578">_xlfn.XLOOKUP(N578,'OA名单'!B:B,'OA名单'!E:E)</f>
      </c>
      <c r="V578" s="63">
        <f t="shared" si="12"/>
      </c>
      <c r="W578" s="71"/>
      <c r="X578" s="66"/>
      <c r="Y578" s="66"/>
    </row>
    <row hidden="true" r="579">
      <c r="A579" s="66"/>
      <c r="B579" s="66" t="s">
        <v>14091</v>
      </c>
      <c r="C579" s="67" t="s">
        <v>12713</v>
      </c>
      <c r="D579" s="67" t="s">
        <v>12714</v>
      </c>
      <c r="E579" s="66" t="s">
        <v>13277</v>
      </c>
      <c r="F579" s="66" t="s">
        <v>13278</v>
      </c>
      <c r="G579" s="66" t="s">
        <v>13279</v>
      </c>
      <c r="H579" s="66" t="s">
        <v>14092</v>
      </c>
      <c r="I579" s="68">
        <v>0.81354</v>
      </c>
      <c r="J579" s="69">
        <v>0.81</v>
      </c>
      <c r="K579" s="66">
        <v>0.81</v>
      </c>
      <c r="L579" s="66">
        <v>2769.23</v>
      </c>
      <c r="M579" s="66">
        <v>3000</v>
      </c>
      <c r="N579" s="63" cm="1">
        <f t="array" ref="N579:N579">_xlfn.XLOOKUP(H579,'OA名单'!C:C,'OA名单'!B:B,1)</f>
      </c>
      <c r="O579" s="63">
        <f t="shared" si="8"/>
      </c>
      <c r="P579" s="63" cm="1">
        <f t="array" ref="P579:P579">_xlfn.XLOOKUP(N579,'OA名单'!B:B,'OA名单'!G:G)</f>
      </c>
      <c r="Q579" s="63">
        <f t="shared" si="11"/>
      </c>
      <c r="R579" s="63" cm="1">
        <f t="array" ref="R579:R579">_xlfn.XLOOKUP(B579,'OA名单'!B:B,'OA名单'!F:F)</f>
      </c>
      <c r="S579" s="63">
        <f t="shared" si="10"/>
      </c>
      <c r="T579" s="70"/>
      <c r="U579" s="63" cm="1">
        <f t="array" ref="U579:U579">_xlfn.XLOOKUP(N579,'OA名单'!B:B,'OA名单'!E:E)</f>
      </c>
      <c r="V579" s="63">
        <f t="shared" si="12"/>
      </c>
      <c r="W579" s="71"/>
      <c r="X579" s="66"/>
      <c r="Y579" s="66"/>
    </row>
    <row hidden="true" r="580">
      <c r="A580" s="66"/>
      <c r="B580" s="66" t="s">
        <v>14093</v>
      </c>
      <c r="C580" s="67" t="s">
        <v>12713</v>
      </c>
      <c r="D580" s="67" t="s">
        <v>12714</v>
      </c>
      <c r="E580" s="66" t="s">
        <v>13146</v>
      </c>
      <c r="F580" s="66" t="s">
        <v>13348</v>
      </c>
      <c r="G580" s="66" t="s">
        <v>12751</v>
      </c>
      <c r="H580" s="66" t="s">
        <v>14094</v>
      </c>
      <c r="I580" s="68">
        <v>0.8</v>
      </c>
      <c r="J580" s="69">
        <v>0.8</v>
      </c>
      <c r="K580" s="66">
        <v>0.8</v>
      </c>
      <c r="L580" s="66">
        <v>4300</v>
      </c>
      <c r="M580" s="66">
        <v>5000</v>
      </c>
      <c r="N580" s="63" cm="1">
        <f t="array" ref="N580:N580">_xlfn.XLOOKUP(H580,'OA名单'!C:C,'OA名单'!B:B,1)</f>
      </c>
      <c r="O580" s="63">
        <f t="shared" si="8"/>
      </c>
      <c r="P580" s="63" cm="1">
        <f t="array" ref="P580:P580">_xlfn.XLOOKUP(N580,'OA名单'!B:B,'OA名单'!G:G)</f>
      </c>
      <c r="Q580" s="63">
        <f t="shared" si="11"/>
      </c>
      <c r="R580" s="63" cm="1">
        <f t="array" ref="R580:R580">_xlfn.XLOOKUP(B580,'OA名单'!B:B,'OA名单'!F:F)</f>
      </c>
      <c r="S580" s="63">
        <f t="shared" si="10"/>
      </c>
      <c r="T580" s="70"/>
      <c r="U580" s="63" cm="1">
        <f t="array" ref="U580:U580">_xlfn.XLOOKUP(N580,'OA名单'!B:B,'OA名单'!E:E)</f>
      </c>
      <c r="V580" s="63">
        <f t="shared" si="12"/>
      </c>
      <c r="W580" s="71"/>
      <c r="X580" s="66"/>
      <c r="Y580" s="66"/>
    </row>
    <row hidden="true" r="581">
      <c r="A581" s="66"/>
      <c r="B581" s="66" t="s">
        <v>14095</v>
      </c>
      <c r="C581" s="67" t="s">
        <v>12713</v>
      </c>
      <c r="D581" s="67" t="s">
        <v>12714</v>
      </c>
      <c r="E581" s="66" t="s">
        <v>12936</v>
      </c>
      <c r="F581" s="66" t="s">
        <v>12937</v>
      </c>
      <c r="G581" s="66" t="s">
        <v>13682</v>
      </c>
      <c r="H581" s="66" t="s">
        <v>14096</v>
      </c>
      <c r="I581" s="68">
        <v>0.845</v>
      </c>
      <c r="J581" s="69">
        <v>0.8</v>
      </c>
      <c r="K581" s="66">
        <v>0.8</v>
      </c>
      <c r="L581" s="66">
        <v>3990.1</v>
      </c>
      <c r="M581" s="66">
        <v>5000</v>
      </c>
      <c r="N581" s="63" cm="1">
        <f t="array" ref="N581:N581">_xlfn.XLOOKUP(H581,'OA名单'!C:C,'OA名单'!B:B,1)</f>
      </c>
      <c r="O581" s="63">
        <f t="shared" si="8"/>
      </c>
      <c r="P581" s="63" cm="1">
        <f t="array" ref="P581:P581">_xlfn.XLOOKUP(N581,'OA名单'!B:B,'OA名单'!G:G)</f>
      </c>
      <c r="Q581" s="63">
        <f t="shared" si="11"/>
      </c>
      <c r="R581" s="63" cm="1">
        <f t="array" ref="R581:R581">_xlfn.XLOOKUP(B581,'OA名单'!B:B,'OA名单'!F:F)</f>
      </c>
      <c r="S581" s="63">
        <f t="shared" si="10"/>
      </c>
      <c r="T581" s="70"/>
      <c r="U581" s="63" cm="1">
        <f t="array" ref="U581:U581">_xlfn.XLOOKUP(N581,'OA名单'!B:B,'OA名单'!E:E)</f>
      </c>
      <c r="V581" s="63">
        <f t="shared" si="12"/>
      </c>
      <c r="W581" s="71"/>
      <c r="X581" s="66"/>
      <c r="Y581" s="66"/>
    </row>
    <row hidden="true" r="582">
      <c r="A582" s="66"/>
      <c r="B582" s="66" t="s">
        <v>14097</v>
      </c>
      <c r="C582" s="67" t="s">
        <v>12713</v>
      </c>
      <c r="D582" s="67" t="s">
        <v>12714</v>
      </c>
      <c r="E582" s="66" t="s">
        <v>13097</v>
      </c>
      <c r="F582" s="66" t="s">
        <v>13130</v>
      </c>
      <c r="G582" s="66" t="s">
        <v>14098</v>
      </c>
      <c r="H582" s="66" t="s">
        <v>14099</v>
      </c>
      <c r="I582" s="68">
        <v>0.7505</v>
      </c>
      <c r="J582" s="69">
        <v>0.8</v>
      </c>
      <c r="K582" s="66">
        <v>0.8</v>
      </c>
      <c r="L582" s="66">
        <v>4000</v>
      </c>
      <c r="M582" s="66">
        <v>5000</v>
      </c>
      <c r="N582" s="63" cm="1">
        <f t="array" ref="N582:N582">_xlfn.XLOOKUP(H582,'OA名单'!C:C,'OA名单'!B:B,1)</f>
      </c>
      <c r="O582" s="63">
        <f t="shared" si="8"/>
      </c>
      <c r="P582" s="63" cm="1">
        <f t="array" ref="P582:P582">_xlfn.XLOOKUP(N582,'OA名单'!B:B,'OA名单'!G:G)</f>
      </c>
      <c r="Q582" s="63">
        <f t="shared" si="11"/>
      </c>
      <c r="R582" s="63" cm="1">
        <f t="array" ref="R582:R582">_xlfn.XLOOKUP(B582,'OA名单'!B:B,'OA名单'!F:F)</f>
      </c>
      <c r="S582" s="63">
        <f t="shared" si="10"/>
      </c>
      <c r="T582" s="70"/>
      <c r="U582" s="63" cm="1">
        <f t="array" ref="U582:U582">_xlfn.XLOOKUP(N582,'OA名单'!B:B,'OA名单'!E:E)</f>
      </c>
      <c r="V582" s="63">
        <f t="shared" si="12"/>
      </c>
      <c r="W582" s="71"/>
      <c r="X582" s="66"/>
      <c r="Y582" s="66"/>
    </row>
    <row hidden="true" r="583">
      <c r="A583" s="66"/>
      <c r="B583" s="66" t="s">
        <v>14100</v>
      </c>
      <c r="C583" s="67" t="s">
        <v>12713</v>
      </c>
      <c r="D583" s="67" t="s">
        <v>12714</v>
      </c>
      <c r="E583" s="66" t="s">
        <v>12776</v>
      </c>
      <c r="F583" s="66" t="s">
        <v>14101</v>
      </c>
      <c r="G583" s="66" t="s">
        <v>12982</v>
      </c>
      <c r="H583" s="66" t="s">
        <v>14102</v>
      </c>
      <c r="I583" s="68">
        <v>1.976</v>
      </c>
      <c r="J583" s="69">
        <v>0.8</v>
      </c>
      <c r="K583" s="66">
        <v>0.8</v>
      </c>
      <c r="L583" s="66">
        <v>1874</v>
      </c>
      <c r="M583" s="66">
        <v>1500</v>
      </c>
      <c r="N583" s="63" cm="1">
        <f t="array" ref="N583:N583">_xlfn.XLOOKUP(H583,'OA名单'!C:C,'OA名单'!B:B,1)</f>
      </c>
      <c r="O583" s="63">
        <f t="shared" si="8"/>
      </c>
      <c r="P583" s="63" cm="1">
        <f t="array" ref="P583:P583">_xlfn.XLOOKUP(N583,'OA名单'!B:B,'OA名单'!G:G)</f>
      </c>
      <c r="Q583" s="63">
        <f t="shared" si="11"/>
      </c>
      <c r="R583" s="63" cm="1">
        <f t="array" ref="R583:R583">_xlfn.XLOOKUP(B583,'OA名单'!B:B,'OA名单'!F:F)</f>
      </c>
      <c r="S583" s="63">
        <f t="shared" si="10"/>
      </c>
      <c r="T583" s="70"/>
      <c r="U583" s="63" cm="1">
        <f t="array" ref="U583:U583">_xlfn.XLOOKUP(N583,'OA名单'!B:B,'OA名单'!E:E)</f>
      </c>
      <c r="V583" s="63">
        <f t="shared" si="12"/>
      </c>
      <c r="W583" s="71"/>
      <c r="X583" s="66"/>
      <c r="Y583" s="66"/>
    </row>
    <row hidden="true" r="584">
      <c r="A584" s="66"/>
      <c r="B584" s="66" t="s">
        <v>14103</v>
      </c>
      <c r="C584" s="67" t="s">
        <v>12713</v>
      </c>
      <c r="D584" s="67" t="s">
        <v>12714</v>
      </c>
      <c r="E584" s="66" t="s">
        <v>12776</v>
      </c>
      <c r="F584" s="66" t="s">
        <v>14101</v>
      </c>
      <c r="G584" s="66" t="s">
        <v>12982</v>
      </c>
      <c r="H584" s="66" t="s">
        <v>14104</v>
      </c>
      <c r="I584" s="68">
        <v>1.68</v>
      </c>
      <c r="J584" s="69">
        <v>0.8</v>
      </c>
      <c r="K584" s="66">
        <v>0.8</v>
      </c>
      <c r="L584" s="66">
        <v>1537</v>
      </c>
      <c r="M584" s="66">
        <v>1500</v>
      </c>
      <c r="N584" s="63" cm="1">
        <f t="array" ref="N584:N584">_xlfn.XLOOKUP(H584,'OA名单'!C:C,'OA名单'!B:B,1)</f>
      </c>
      <c r="O584" s="63">
        <f t="shared" si="8"/>
      </c>
      <c r="P584" s="63" cm="1">
        <f t="array" ref="P584:P584">_xlfn.XLOOKUP(N584,'OA名单'!B:B,'OA名单'!G:G)</f>
      </c>
      <c r="Q584" s="63">
        <f t="shared" si="11"/>
      </c>
      <c r="R584" s="63" cm="1">
        <f t="array" ref="R584:R584">_xlfn.XLOOKUP(B584,'OA名单'!B:B,'OA名单'!F:F)</f>
      </c>
      <c r="S584" s="63">
        <f t="shared" si="10"/>
      </c>
      <c r="T584" s="70"/>
      <c r="U584" s="63" cm="1">
        <f t="array" ref="U584:U584">_xlfn.XLOOKUP(N584,'OA名单'!B:B,'OA名单'!E:E)</f>
      </c>
      <c r="V584" s="63">
        <f t="shared" si="12"/>
      </c>
      <c r="W584" s="71"/>
      <c r="X584" s="66"/>
      <c r="Y584" s="66"/>
    </row>
    <row hidden="true" r="585">
      <c r="A585" s="66"/>
      <c r="B585" s="66" t="s">
        <v>14105</v>
      </c>
      <c r="C585" s="67" t="s">
        <v>12713</v>
      </c>
      <c r="D585" s="67" t="s">
        <v>12714</v>
      </c>
      <c r="E585" s="66" t="s">
        <v>12749</v>
      </c>
      <c r="F585" s="66" t="s">
        <v>13157</v>
      </c>
      <c r="G585" s="66" t="s">
        <v>14106</v>
      </c>
      <c r="H585" s="66" t="s">
        <v>14107</v>
      </c>
      <c r="I585" s="68">
        <v>0.107</v>
      </c>
      <c r="J585" s="69">
        <v>0.8</v>
      </c>
      <c r="K585" s="66">
        <v>0.8</v>
      </c>
      <c r="L585" s="66">
        <v>4000</v>
      </c>
      <c r="M585" s="66">
        <v>5000</v>
      </c>
      <c r="N585" s="63" cm="1">
        <f t="array" ref="N585:N585">_xlfn.XLOOKUP(H585,'OA名单'!C:C,'OA名单'!B:B,1)</f>
      </c>
      <c r="O585" s="63">
        <f t="shared" si="8"/>
      </c>
      <c r="P585" s="63" cm="1">
        <f t="array" ref="P585:P585">_xlfn.XLOOKUP(N585,'OA名单'!B:B,'OA名单'!G:G)</f>
      </c>
      <c r="Q585" s="63">
        <f t="shared" si="11"/>
      </c>
      <c r="R585" s="63" cm="1">
        <f t="array" ref="R585:R585">_xlfn.XLOOKUP(B585,'OA名单'!B:B,'OA名单'!F:F)</f>
      </c>
      <c r="S585" s="63">
        <f t="shared" si="10"/>
      </c>
      <c r="T585" s="70"/>
      <c r="U585" s="63" cm="1">
        <f t="array" ref="U585:U585">_xlfn.XLOOKUP(N585,'OA名单'!B:B,'OA名单'!E:E)</f>
      </c>
      <c r="V585" s="63">
        <f t="shared" si="12"/>
      </c>
      <c r="W585" s="71"/>
      <c r="X585" s="66"/>
      <c r="Y585" s="66"/>
    </row>
    <row hidden="true" r="586">
      <c r="A586" s="66"/>
      <c r="B586" s="66" t="s">
        <v>14108</v>
      </c>
      <c r="C586" s="67" t="s">
        <v>12713</v>
      </c>
      <c r="D586" s="67" t="s">
        <v>12714</v>
      </c>
      <c r="E586" s="66" t="s">
        <v>13027</v>
      </c>
      <c r="F586" s="66" t="s">
        <v>13076</v>
      </c>
      <c r="G586" s="66" t="s">
        <v>12751</v>
      </c>
      <c r="H586" s="66" t="s">
        <v>14109</v>
      </c>
      <c r="I586" s="68">
        <v>0.84986</v>
      </c>
      <c r="J586" s="69">
        <v>0.8</v>
      </c>
      <c r="K586" s="66">
        <v>0.8</v>
      </c>
      <c r="L586" s="66">
        <v>5000</v>
      </c>
      <c r="M586" s="66">
        <v>5000</v>
      </c>
      <c r="N586" s="63" cm="1">
        <f t="array" ref="N586:N586">_xlfn.XLOOKUP(H586,'OA名单'!C:C,'OA名单'!B:B,1)</f>
      </c>
      <c r="O586" s="63">
        <f t="shared" si="8"/>
      </c>
      <c r="P586" s="63" cm="1">
        <f t="array" ref="P586:P586">_xlfn.XLOOKUP(N586,'OA名单'!B:B,'OA名单'!G:G)</f>
      </c>
      <c r="Q586" s="63">
        <f t="shared" si="11"/>
      </c>
      <c r="R586" s="63" cm="1">
        <f t="array" ref="R586:R586">_xlfn.XLOOKUP(B586,'OA名单'!B:B,'OA名单'!F:F)</f>
      </c>
      <c r="S586" s="63">
        <f t="shared" si="10"/>
      </c>
      <c r="T586" s="70"/>
      <c r="U586" s="63" cm="1">
        <f t="array" ref="U586:U586">_xlfn.XLOOKUP(N586,'OA名单'!B:B,'OA名单'!E:E)</f>
      </c>
      <c r="V586" s="63">
        <f t="shared" si="12"/>
      </c>
      <c r="W586" s="71"/>
      <c r="X586" s="66"/>
      <c r="Y586" s="66"/>
    </row>
    <row hidden="true" r="587">
      <c r="A587" s="66"/>
      <c r="B587" s="66" t="s">
        <v>14110</v>
      </c>
      <c r="C587" s="67" t="s">
        <v>12713</v>
      </c>
      <c r="D587" s="67" t="s">
        <v>12714</v>
      </c>
      <c r="E587" s="66" t="s">
        <v>13011</v>
      </c>
      <c r="F587" s="66" t="s">
        <v>13138</v>
      </c>
      <c r="G587" s="66" t="s">
        <v>13043</v>
      </c>
      <c r="H587" s="66" t="s">
        <v>14111</v>
      </c>
      <c r="I587" s="68">
        <v>0.71912</v>
      </c>
      <c r="J587" s="69">
        <v>0.8</v>
      </c>
      <c r="K587" s="66">
        <v>0.8</v>
      </c>
      <c r="L587" s="66">
        <v>2480</v>
      </c>
      <c r="M587" s="66">
        <v>3000</v>
      </c>
      <c r="N587" s="63" cm="1">
        <f t="array" ref="N587:N587">_xlfn.XLOOKUP(H587,'OA名单'!C:C,'OA名单'!B:B,1)</f>
      </c>
      <c r="O587" s="63">
        <f t="shared" si="8"/>
      </c>
      <c r="P587" s="63" cm="1">
        <f t="array" ref="P587:P587">_xlfn.XLOOKUP(N587,'OA名单'!B:B,'OA名单'!G:G)</f>
      </c>
      <c r="Q587" s="63">
        <f t="shared" si="11"/>
      </c>
      <c r="R587" s="63" cm="1">
        <f t="array" ref="R587:R587">_xlfn.XLOOKUP(B587,'OA名单'!B:B,'OA名单'!F:F)</f>
      </c>
      <c r="S587" s="63">
        <f t="shared" si="10"/>
      </c>
      <c r="T587" s="70"/>
      <c r="U587" s="63" cm="1">
        <f t="array" ref="U587:U587">_xlfn.XLOOKUP(N587,'OA名单'!B:B,'OA名单'!E:E)</f>
      </c>
      <c r="V587" s="63">
        <f t="shared" si="12"/>
      </c>
      <c r="W587" s="71"/>
      <c r="X587" s="66"/>
      <c r="Y587" s="66"/>
    </row>
    <row hidden="true" r="588">
      <c r="A588" s="66"/>
      <c r="B588" s="66" t="s">
        <v>14112</v>
      </c>
      <c r="C588" s="67" t="s">
        <v>12713</v>
      </c>
      <c r="D588" s="67" t="s">
        <v>12714</v>
      </c>
      <c r="E588" s="66" t="s">
        <v>12715</v>
      </c>
      <c r="F588" s="66" t="s">
        <v>13187</v>
      </c>
      <c r="G588" s="66" t="s">
        <v>13079</v>
      </c>
      <c r="H588" s="66" t="s">
        <v>14113</v>
      </c>
      <c r="I588" s="68">
        <v>0.949524</v>
      </c>
      <c r="J588" s="69">
        <v>0.8</v>
      </c>
      <c r="K588" s="66">
        <v>0.8</v>
      </c>
      <c r="L588" s="66">
        <v>6067.42</v>
      </c>
      <c r="M588" s="66">
        <v>5000</v>
      </c>
      <c r="N588" s="63" cm="1">
        <f t="array" ref="N588:N588">_xlfn.XLOOKUP(H588,'OA名单'!C:C,'OA名单'!B:B,1)</f>
      </c>
      <c r="O588" s="63">
        <f t="shared" si="8"/>
      </c>
      <c r="P588" s="63" cm="1">
        <f t="array" ref="P588:P588">_xlfn.XLOOKUP(N588,'OA名单'!B:B,'OA名单'!G:G)</f>
      </c>
      <c r="Q588" s="63">
        <f t="shared" si="11"/>
      </c>
      <c r="R588" s="63" cm="1">
        <f t="array" ref="R588:R588">_xlfn.XLOOKUP(B588,'OA名单'!B:B,'OA名单'!F:F)</f>
      </c>
      <c r="S588" s="63">
        <f t="shared" si="10"/>
      </c>
      <c r="T588" s="70"/>
      <c r="U588" s="63" cm="1">
        <f t="array" ref="U588:U588">_xlfn.XLOOKUP(N588,'OA名单'!B:B,'OA名单'!E:E)</f>
      </c>
      <c r="V588" s="63">
        <f t="shared" si="12"/>
      </c>
      <c r="W588" s="71"/>
      <c r="X588" s="66"/>
      <c r="Y588" s="66"/>
    </row>
    <row hidden="true" r="589">
      <c r="A589" s="66"/>
      <c r="B589" s="66" t="s">
        <v>14114</v>
      </c>
      <c r="C589" s="67" t="s">
        <v>12713</v>
      </c>
      <c r="D589" s="67" t="s">
        <v>12714</v>
      </c>
      <c r="E589" s="66" t="s">
        <v>13011</v>
      </c>
      <c r="F589" s="66" t="s">
        <v>13138</v>
      </c>
      <c r="G589" s="66" t="s">
        <v>12751</v>
      </c>
      <c r="H589" s="66" t="s">
        <v>14115</v>
      </c>
      <c r="I589" s="68">
        <v>0.76</v>
      </c>
      <c r="J589" s="69">
        <v>0.8</v>
      </c>
      <c r="K589" s="66">
        <v>0.8</v>
      </c>
      <c r="L589" s="66">
        <v>0</v>
      </c>
      <c r="M589" s="66">
        <v>5000</v>
      </c>
      <c r="N589" s="63" cm="1">
        <f t="array" ref="N589:N589">_xlfn.XLOOKUP(H589,'OA名单'!C:C,'OA名单'!B:B,1)</f>
      </c>
      <c r="O589" s="63">
        <f t="shared" si="8"/>
      </c>
      <c r="P589" s="63" cm="1">
        <f t="array" ref="P589:P589">_xlfn.XLOOKUP(N589,'OA名单'!B:B,'OA名单'!G:G)</f>
      </c>
      <c r="Q589" s="63">
        <f t="shared" si="11"/>
      </c>
      <c r="R589" s="63" cm="1">
        <f t="array" ref="R589:R589">_xlfn.XLOOKUP(B589,'OA名单'!B:B,'OA名单'!F:F)</f>
      </c>
      <c r="S589" s="63">
        <f t="shared" si="10"/>
      </c>
      <c r="T589" s="70"/>
      <c r="U589" s="63" cm="1">
        <f t="array" ref="U589:U589">_xlfn.XLOOKUP(N589,'OA名单'!B:B,'OA名单'!E:E)</f>
      </c>
      <c r="V589" s="63">
        <f t="shared" si="12"/>
      </c>
      <c r="W589" s="71"/>
      <c r="X589" s="66"/>
      <c r="Y589" s="66"/>
    </row>
    <row hidden="true" r="590">
      <c r="A590" s="66"/>
      <c r="B590" s="66" t="s">
        <v>14116</v>
      </c>
      <c r="C590" s="67" t="s">
        <v>12713</v>
      </c>
      <c r="D590" s="67" t="s">
        <v>12714</v>
      </c>
      <c r="E590" s="66" t="s">
        <v>13097</v>
      </c>
      <c r="F590" s="67" t="s">
        <v>13130</v>
      </c>
      <c r="G590" s="66" t="s">
        <v>13067</v>
      </c>
      <c r="H590" s="66" t="s">
        <v>14117</v>
      </c>
      <c r="I590" s="68">
        <v>0.8</v>
      </c>
      <c r="J590" s="69">
        <v>0.8</v>
      </c>
      <c r="K590" s="66">
        <v>0.8</v>
      </c>
      <c r="L590" s="66">
        <v>2000</v>
      </c>
      <c r="M590" s="66">
        <v>3000</v>
      </c>
      <c r="N590" s="63" cm="1">
        <f t="array" ref="N590:N590">_xlfn.XLOOKUP(H590,'OA名单'!C:C,'OA名单'!B:B,1)</f>
      </c>
      <c r="O590" s="63">
        <f t="shared" si="8"/>
      </c>
      <c r="P590" s="63" cm="1">
        <f t="array" ref="P590:P590">_xlfn.XLOOKUP(N590,'OA名单'!B:B,'OA名单'!G:G)</f>
      </c>
      <c r="Q590" s="63">
        <f t="shared" si="11"/>
      </c>
      <c r="R590" s="63" cm="1">
        <f t="array" ref="R590:R590">_xlfn.XLOOKUP(B590,'OA名单'!B:B,'OA名单'!F:F)</f>
      </c>
      <c r="S590" s="63">
        <f t="shared" si="10"/>
      </c>
      <c r="T590" s="64" cm="1">
        <f t="array" ref="T590:T590">_xlfn.XLOOKUP(B590,'系统-原始（副本）'!A:A,'系统-原始（副本）'!B:B)</f>
      </c>
      <c r="U590" s="63" cm="1">
        <f t="array" ref="U590:U590">_xlfn.XLOOKUP(N590,'OA名单'!B:B,'OA名单'!E:E)</f>
      </c>
      <c r="V590" s="63">
        <f t="shared" si="12"/>
      </c>
      <c r="W590" s="71"/>
      <c r="X590" s="66"/>
      <c r="Y590" s="66"/>
    </row>
    <row hidden="true" r="591">
      <c r="A591" s="66"/>
      <c r="B591" s="66" t="s">
        <v>14118</v>
      </c>
      <c r="C591" s="67" t="s">
        <v>12713</v>
      </c>
      <c r="D591" s="67" t="s">
        <v>12714</v>
      </c>
      <c r="E591" s="66" t="s">
        <v>12776</v>
      </c>
      <c r="F591" s="66" t="s">
        <v>13038</v>
      </c>
      <c r="G591" s="66" t="s">
        <v>14119</v>
      </c>
      <c r="H591" s="66" t="s">
        <v>14120</v>
      </c>
      <c r="I591" s="68">
        <v>0.85</v>
      </c>
      <c r="J591" s="69">
        <v>0.8</v>
      </c>
      <c r="K591" s="66">
        <v>0.8</v>
      </c>
      <c r="L591" s="66">
        <v>1600</v>
      </c>
      <c r="M591" s="66">
        <v>2000</v>
      </c>
      <c r="N591" s="63" cm="1">
        <f t="array" ref="N591:N591">_xlfn.XLOOKUP(H591,'OA名单'!C:C,'OA名单'!B:B,1)</f>
      </c>
      <c r="O591" s="63">
        <f t="shared" si="8"/>
      </c>
      <c r="P591" s="63" cm="1">
        <f t="array" ref="P591:P591">_xlfn.XLOOKUP(N591,'OA名单'!B:B,'OA名单'!G:G)</f>
      </c>
      <c r="Q591" s="63">
        <f t="shared" si="11"/>
      </c>
      <c r="R591" s="63" cm="1">
        <f t="array" ref="R591:R591">_xlfn.XLOOKUP(B591,'OA名单'!B:B,'OA名单'!F:F)</f>
      </c>
      <c r="S591" s="63">
        <f t="shared" si="10"/>
      </c>
      <c r="T591" s="70"/>
      <c r="U591" s="63" cm="1">
        <f t="array" ref="U591:U591">_xlfn.XLOOKUP(N591,'OA名单'!B:B,'OA名单'!E:E)</f>
      </c>
      <c r="V591" s="63">
        <f t="shared" si="12"/>
      </c>
      <c r="W591" s="71"/>
      <c r="X591" s="66"/>
      <c r="Y591" s="66"/>
    </row>
    <row hidden="true" r="592">
      <c r="A592" s="66"/>
      <c r="B592" s="66"/>
      <c r="C592" s="67" t="s">
        <v>12713</v>
      </c>
      <c r="D592" s="67" t="s">
        <v>12714</v>
      </c>
      <c r="E592" s="66"/>
      <c r="F592" s="66"/>
      <c r="G592" s="66"/>
      <c r="H592" s="66" t="s">
        <v>14107</v>
      </c>
      <c r="I592" s="68">
        <v>0.8</v>
      </c>
      <c r="J592" s="69">
        <v>0.8</v>
      </c>
      <c r="K592" s="66">
        <v>0.8</v>
      </c>
      <c r="L592" s="66">
        <v>4000</v>
      </c>
      <c r="M592" s="66">
        <v>4000</v>
      </c>
      <c r="N592" s="63" cm="1">
        <f t="array" ref="N592:N592">_xlfn.XLOOKUP(H592,'OA名单'!C:C,'OA名单'!B:B,1)</f>
      </c>
      <c r="O592" s="63">
        <f t="shared" si="8"/>
      </c>
      <c r="P592" s="63" cm="1">
        <f t="array" ref="P592:P592">_xlfn.XLOOKUP(N592,'OA名单'!B:B,'OA名单'!G:G)</f>
      </c>
      <c r="Q592" s="63">
        <f t="shared" si="11"/>
      </c>
      <c r="R592" s="63" cm="1">
        <f t="array" ref="R592:R592">_xlfn.XLOOKUP(B592,'OA名单'!B:B,'OA名单'!F:F)</f>
      </c>
      <c r="S592" s="63">
        <f t="shared" si="10"/>
      </c>
      <c r="T592" s="70"/>
      <c r="U592" s="63" cm="1">
        <f t="array" ref="U592:U592">_xlfn.XLOOKUP(N592,'OA名单'!B:B,'OA名单'!E:E)</f>
      </c>
      <c r="V592" s="63">
        <f t="shared" si="12"/>
      </c>
      <c r="W592" s="71"/>
      <c r="X592" s="66"/>
      <c r="Y592" s="66"/>
    </row>
    <row hidden="true" r="593">
      <c r="A593" s="66"/>
      <c r="B593" s="66" t="s">
        <v>14121</v>
      </c>
      <c r="C593" s="67" t="s">
        <v>12713</v>
      </c>
      <c r="D593" s="67" t="s">
        <v>12714</v>
      </c>
      <c r="E593" s="66" t="s">
        <v>13016</v>
      </c>
      <c r="F593" s="66" t="s">
        <v>13436</v>
      </c>
      <c r="G593" s="66" t="s">
        <v>13437</v>
      </c>
      <c r="H593" s="66" t="s">
        <v>14122</v>
      </c>
      <c r="I593" s="68">
        <v>0.79</v>
      </c>
      <c r="J593" s="69">
        <v>0.79</v>
      </c>
      <c r="K593" s="66">
        <v>0.79</v>
      </c>
      <c r="L593" s="66">
        <v>2212</v>
      </c>
      <c r="M593" s="66">
        <v>3500</v>
      </c>
      <c r="N593" s="63" cm="1">
        <f t="array" ref="N593:N593">_xlfn.XLOOKUP(H593,'OA名单'!C:C,'OA名单'!B:B,1)</f>
      </c>
      <c r="O593" s="63">
        <f t="shared" si="8"/>
      </c>
      <c r="P593" s="63" cm="1">
        <f t="array" ref="P593:P593">_xlfn.XLOOKUP(N593,'OA名单'!B:B,'OA名单'!G:G)</f>
      </c>
      <c r="Q593" s="63">
        <f t="shared" si="11"/>
      </c>
      <c r="R593" s="63" cm="1">
        <f t="array" ref="R593:R593">_xlfn.XLOOKUP(B593,'OA名单'!B:B,'OA名单'!F:F)</f>
      </c>
      <c r="S593" s="63">
        <f t="shared" si="10"/>
      </c>
      <c r="T593" s="70"/>
      <c r="U593" s="63" cm="1">
        <f t="array" ref="U593:U593">_xlfn.XLOOKUP(N593,'OA名单'!B:B,'OA名单'!E:E)</f>
      </c>
      <c r="V593" s="63">
        <f t="shared" si="12"/>
      </c>
      <c r="W593" s="71"/>
      <c r="X593" s="66"/>
      <c r="Y593" s="66"/>
    </row>
    <row hidden="true" r="594">
      <c r="A594" s="66"/>
      <c r="B594" s="66" t="s">
        <v>14123</v>
      </c>
      <c r="C594" s="67" t="s">
        <v>12713</v>
      </c>
      <c r="D594" s="67" t="s">
        <v>12714</v>
      </c>
      <c r="E594" s="66" t="s">
        <v>12776</v>
      </c>
      <c r="F594" s="66" t="s">
        <v>12716</v>
      </c>
      <c r="G594" s="66" t="s">
        <v>13089</v>
      </c>
      <c r="H594" s="66" t="s">
        <v>14124</v>
      </c>
      <c r="I594" s="68">
        <v>0.8143</v>
      </c>
      <c r="J594" s="69">
        <v>0.79</v>
      </c>
      <c r="K594" s="66">
        <v>0.79</v>
      </c>
      <c r="L594" s="66">
        <v>2370</v>
      </c>
      <c r="M594" s="66">
        <v>3000</v>
      </c>
      <c r="N594" s="63" cm="1">
        <f t="array" ref="N594:N594">_xlfn.XLOOKUP(H594,'OA名单'!C:C,'OA名单'!B:B,1)</f>
      </c>
      <c r="O594" s="63">
        <f t="shared" si="8"/>
      </c>
      <c r="P594" s="63" cm="1">
        <f t="array" ref="P594:P594">_xlfn.XLOOKUP(N594,'OA名单'!B:B,'OA名单'!G:G)</f>
      </c>
      <c r="Q594" s="63">
        <f t="shared" si="11"/>
      </c>
      <c r="R594" s="63" cm="1">
        <f t="array" ref="R594:R594">_xlfn.XLOOKUP(B594,'OA名单'!B:B,'OA名单'!F:F)</f>
      </c>
      <c r="S594" s="63">
        <f t="shared" si="10"/>
      </c>
      <c r="T594" s="70"/>
      <c r="U594" s="63" cm="1">
        <f t="array" ref="U594:U594">_xlfn.XLOOKUP(N594,'OA名单'!B:B,'OA名单'!E:E)</f>
      </c>
      <c r="V594" s="63">
        <f t="shared" si="12"/>
      </c>
      <c r="W594" s="71"/>
      <c r="X594" s="66"/>
      <c r="Y594" s="66"/>
    </row>
    <row hidden="true" r="595">
      <c r="A595" s="66"/>
      <c r="B595" s="66" t="s">
        <v>14125</v>
      </c>
      <c r="C595" s="67" t="s">
        <v>12713</v>
      </c>
      <c r="D595" s="67" t="s">
        <v>12714</v>
      </c>
      <c r="E595" s="66" t="s">
        <v>12776</v>
      </c>
      <c r="F595" s="66" t="s">
        <v>14101</v>
      </c>
      <c r="G595" s="66" t="s">
        <v>12982</v>
      </c>
      <c r="H595" s="66" t="s">
        <v>14126</v>
      </c>
      <c r="I595" s="68">
        <v>0.99</v>
      </c>
      <c r="J595" s="69">
        <v>0.79</v>
      </c>
      <c r="K595" s="66">
        <v>0.79</v>
      </c>
      <c r="L595" s="66">
        <v>1188</v>
      </c>
      <c r="M595" s="66">
        <v>1500</v>
      </c>
      <c r="N595" s="63" cm="1">
        <f t="array" ref="N595:N595">_xlfn.XLOOKUP(H595,'OA名单'!C:C,'OA名单'!B:B,1)</f>
      </c>
      <c r="O595" s="63">
        <f t="shared" si="8"/>
      </c>
      <c r="P595" s="63" cm="1">
        <f t="array" ref="P595:P595">_xlfn.XLOOKUP(N595,'OA名单'!B:B,'OA名单'!G:G)</f>
      </c>
      <c r="Q595" s="63">
        <f t="shared" si="11"/>
      </c>
      <c r="R595" s="63" cm="1">
        <f t="array" ref="R595:R595">_xlfn.XLOOKUP(B595,'OA名单'!B:B,'OA名单'!F:F)</f>
      </c>
      <c r="S595" s="63">
        <f t="shared" si="10"/>
      </c>
      <c r="T595" s="70"/>
      <c r="U595" s="63" cm="1">
        <f t="array" ref="U595:U595">_xlfn.XLOOKUP(N595,'OA名单'!B:B,'OA名单'!E:E)</f>
      </c>
      <c r="V595" s="63">
        <f t="shared" si="12"/>
      </c>
      <c r="W595" s="71"/>
      <c r="X595" s="66"/>
      <c r="Y595" s="66"/>
    </row>
    <row hidden="true" r="596">
      <c r="A596" s="66"/>
      <c r="B596" s="66" t="s">
        <v>14127</v>
      </c>
      <c r="C596" s="67" t="s">
        <v>12713</v>
      </c>
      <c r="D596" s="67" t="s">
        <v>12714</v>
      </c>
      <c r="E596" s="66" t="s">
        <v>13027</v>
      </c>
      <c r="F596" s="66" t="s">
        <v>13076</v>
      </c>
      <c r="G596" s="66" t="s">
        <v>13221</v>
      </c>
      <c r="H596" s="66" t="s">
        <v>14128</v>
      </c>
      <c r="I596" s="68">
        <v>0.895086</v>
      </c>
      <c r="J596" s="69">
        <v>0.79</v>
      </c>
      <c r="K596" s="66">
        <v>0.79</v>
      </c>
      <c r="L596" s="66">
        <v>3000</v>
      </c>
      <c r="M596" s="66">
        <v>5000</v>
      </c>
      <c r="N596" s="63" cm="1">
        <f t="array" ref="N596:N596">_xlfn.XLOOKUP(H596,'OA名单'!C:C,'OA名单'!B:B,1)</f>
      </c>
      <c r="O596" s="63">
        <f t="shared" si="8"/>
      </c>
      <c r="P596" s="63" cm="1">
        <f t="array" ref="P596:P596">_xlfn.XLOOKUP(N596,'OA名单'!B:B,'OA名单'!G:G)</f>
      </c>
      <c r="Q596" s="63">
        <f t="shared" si="11"/>
      </c>
      <c r="R596" s="63" cm="1">
        <f t="array" ref="R596:R596">_xlfn.XLOOKUP(B596,'OA名单'!B:B,'OA名单'!F:F)</f>
      </c>
      <c r="S596" s="63">
        <f t="shared" si="10"/>
      </c>
      <c r="T596" s="70"/>
      <c r="U596" s="63" cm="1">
        <f t="array" ref="U596:U596">_xlfn.XLOOKUP(N596,'OA名单'!B:B,'OA名单'!E:E)</f>
      </c>
      <c r="V596" s="63">
        <f t="shared" si="12"/>
      </c>
      <c r="W596" s="71"/>
      <c r="X596" s="66"/>
      <c r="Y596" s="66"/>
    </row>
    <row hidden="true" r="597">
      <c r="A597" s="66"/>
      <c r="B597" s="66" t="s">
        <v>14129</v>
      </c>
      <c r="C597" s="67" t="s">
        <v>12713</v>
      </c>
      <c r="D597" s="67" t="s">
        <v>12714</v>
      </c>
      <c r="E597" s="66" t="s">
        <v>13027</v>
      </c>
      <c r="F597" s="66" t="s">
        <v>13224</v>
      </c>
      <c r="G597" s="66" t="s">
        <v>12751</v>
      </c>
      <c r="H597" s="66" t="s">
        <v>14130</v>
      </c>
      <c r="I597" s="68">
        <v>0.7877</v>
      </c>
      <c r="J597" s="69">
        <v>0.79</v>
      </c>
      <c r="K597" s="66">
        <v>0.79</v>
      </c>
      <c r="L597" s="66">
        <v>6000</v>
      </c>
      <c r="M597" s="66">
        <v>5000</v>
      </c>
      <c r="N597" s="63" cm="1">
        <f t="array" ref="N597:N597">_xlfn.XLOOKUP(H597,'OA名单'!C:C,'OA名单'!B:B,1)</f>
      </c>
      <c r="O597" s="63">
        <f t="shared" si="8"/>
      </c>
      <c r="P597" s="63" cm="1">
        <f t="array" ref="P597:P597">_xlfn.XLOOKUP(N597,'OA名单'!B:B,'OA名单'!G:G)</f>
      </c>
      <c r="Q597" s="63">
        <f t="shared" si="11"/>
      </c>
      <c r="R597" s="63" cm="1">
        <f t="array" ref="R597:R597">_xlfn.XLOOKUP(B597,'OA名单'!B:B,'OA名单'!F:F)</f>
      </c>
      <c r="S597" s="63">
        <f t="shared" si="10"/>
      </c>
      <c r="T597" s="70"/>
      <c r="U597" s="63" cm="1">
        <f t="array" ref="U597:U597">_xlfn.XLOOKUP(N597,'OA名单'!B:B,'OA名单'!E:E)</f>
      </c>
      <c r="V597" s="63">
        <f t="shared" si="12"/>
      </c>
      <c r="W597" s="71"/>
      <c r="X597" s="66"/>
      <c r="Y597" s="66"/>
    </row>
    <row hidden="true" r="598">
      <c r="A598" s="66"/>
      <c r="B598" s="66" t="s">
        <v>14131</v>
      </c>
      <c r="C598" s="67" t="s">
        <v>12713</v>
      </c>
      <c r="D598" s="67" t="s">
        <v>12714</v>
      </c>
      <c r="E598" s="66" t="s">
        <v>13016</v>
      </c>
      <c r="F598" s="66" t="s">
        <v>13404</v>
      </c>
      <c r="G598" s="66" t="s">
        <v>12751</v>
      </c>
      <c r="H598" s="66" t="s">
        <v>14132</v>
      </c>
      <c r="I598" s="68">
        <v>0.7897</v>
      </c>
      <c r="J598" s="69">
        <v>0.79</v>
      </c>
      <c r="K598" s="66">
        <v>0.79</v>
      </c>
      <c r="L598" s="66">
        <v>0</v>
      </c>
      <c r="M598" s="66">
        <v>5000</v>
      </c>
      <c r="N598" s="63" cm="1">
        <f t="array" ref="N598:N598">_xlfn.XLOOKUP(H598,'OA名单'!C:C,'OA名单'!B:B,1)</f>
      </c>
      <c r="O598" s="63">
        <f t="shared" si="8"/>
      </c>
      <c r="P598" s="63" cm="1">
        <f t="array" ref="P598:P598">_xlfn.XLOOKUP(N598,'OA名单'!B:B,'OA名单'!G:G)</f>
      </c>
      <c r="Q598" s="63">
        <f t="shared" si="11"/>
      </c>
      <c r="R598" s="63" cm="1">
        <f t="array" ref="R598:R598">_xlfn.XLOOKUP(B598,'OA名单'!B:B,'OA名单'!F:F)</f>
      </c>
      <c r="S598" s="63">
        <f t="shared" si="10"/>
      </c>
      <c r="T598" s="70"/>
      <c r="U598" s="63" cm="1">
        <f t="array" ref="U598:U598">_xlfn.XLOOKUP(N598,'OA名单'!B:B,'OA名单'!E:E)</f>
      </c>
      <c r="V598" s="63">
        <f t="shared" si="12"/>
      </c>
      <c r="W598" s="71"/>
      <c r="X598" s="66"/>
      <c r="Y598" s="66"/>
    </row>
    <row hidden="true" r="599">
      <c r="A599" s="66"/>
      <c r="B599" s="66" t="s">
        <v>14133</v>
      </c>
      <c r="C599" s="67" t="s">
        <v>12713</v>
      </c>
      <c r="D599" s="67" t="s">
        <v>12714</v>
      </c>
      <c r="E599" s="66" t="s">
        <v>13027</v>
      </c>
      <c r="F599" s="66" t="s">
        <v>13028</v>
      </c>
      <c r="G599" s="66" t="s">
        <v>12751</v>
      </c>
      <c r="H599" s="66" t="s">
        <v>14134</v>
      </c>
      <c r="I599" s="68">
        <v>0.79</v>
      </c>
      <c r="J599" s="69">
        <v>0.79</v>
      </c>
      <c r="K599" s="66">
        <v>0.79</v>
      </c>
      <c r="L599" s="66">
        <v>3950</v>
      </c>
      <c r="M599" s="66">
        <v>5000</v>
      </c>
      <c r="N599" s="63" cm="1">
        <f t="array" ref="N599:N599">_xlfn.XLOOKUP(H599,'OA名单'!C:C,'OA名单'!B:B,1)</f>
      </c>
      <c r="O599" s="63">
        <f t="shared" si="8"/>
      </c>
      <c r="P599" s="63" cm="1">
        <f t="array" ref="P599:P599">_xlfn.XLOOKUP(N599,'OA名单'!B:B,'OA名单'!G:G)</f>
      </c>
      <c r="Q599" s="63">
        <f t="shared" si="11"/>
      </c>
      <c r="R599" s="63" cm="1">
        <f t="array" ref="R599:R599">_xlfn.XLOOKUP(B599,'OA名单'!B:B,'OA名单'!F:F)</f>
      </c>
      <c r="S599" s="63">
        <f t="shared" si="10"/>
      </c>
      <c r="T599" s="70"/>
      <c r="U599" s="63" cm="1">
        <f t="array" ref="U599:U599">_xlfn.XLOOKUP(N599,'OA名单'!B:B,'OA名单'!E:E)</f>
      </c>
      <c r="V599" s="63">
        <f t="shared" si="12"/>
      </c>
      <c r="W599" s="71"/>
      <c r="X599" s="66"/>
      <c r="Y599" s="66"/>
    </row>
    <row hidden="true" r="600">
      <c r="A600" s="66"/>
      <c r="B600" s="66" t="s">
        <v>14135</v>
      </c>
      <c r="C600" s="67" t="s">
        <v>12713</v>
      </c>
      <c r="D600" s="67" t="s">
        <v>12714</v>
      </c>
      <c r="E600" s="66" t="s">
        <v>13318</v>
      </c>
      <c r="F600" s="66" t="s">
        <v>13761</v>
      </c>
      <c r="G600" s="66" t="s">
        <v>12751</v>
      </c>
      <c r="H600" s="66" t="s">
        <v>14136</v>
      </c>
      <c r="I600" s="68">
        <v>0.7934</v>
      </c>
      <c r="J600" s="69">
        <v>0.79</v>
      </c>
      <c r="K600" s="66">
        <v>0.79</v>
      </c>
      <c r="L600" s="66">
        <v>4740</v>
      </c>
      <c r="M600" s="66">
        <v>6000</v>
      </c>
      <c r="N600" s="63" cm="1">
        <f t="array" ref="N600:N600">_xlfn.XLOOKUP(H600,'OA名单'!C:C,'OA名单'!B:B,1)</f>
      </c>
      <c r="O600" s="63">
        <f t="shared" si="8"/>
      </c>
      <c r="P600" s="63" cm="1">
        <f t="array" ref="P600:P600">_xlfn.XLOOKUP(N600,'OA名单'!B:B,'OA名单'!G:G)</f>
      </c>
      <c r="Q600" s="63">
        <f t="shared" si="11"/>
      </c>
      <c r="R600" s="63" cm="1">
        <f t="array" ref="R600:R600">_xlfn.XLOOKUP(B600,'OA名单'!B:B,'OA名单'!F:F)</f>
      </c>
      <c r="S600" s="63">
        <f t="shared" si="10"/>
      </c>
      <c r="T600" s="70"/>
      <c r="U600" s="63" cm="1">
        <f t="array" ref="U600:U600">_xlfn.XLOOKUP(N600,'OA名单'!B:B,'OA名单'!E:E)</f>
      </c>
      <c r="V600" s="63">
        <f t="shared" si="12"/>
      </c>
      <c r="W600" s="71"/>
      <c r="X600" s="66"/>
      <c r="Y600" s="66"/>
    </row>
    <row hidden="true" r="601">
      <c r="A601" s="66"/>
      <c r="B601" s="66" t="s">
        <v>14137</v>
      </c>
      <c r="C601" s="67" t="s">
        <v>12713</v>
      </c>
      <c r="D601" s="67" t="s">
        <v>12714</v>
      </c>
      <c r="E601" s="66" t="s">
        <v>12776</v>
      </c>
      <c r="F601" s="66" t="s">
        <v>14101</v>
      </c>
      <c r="G601" s="66" t="s">
        <v>12982</v>
      </c>
      <c r="H601" s="66" t="s">
        <v>14138</v>
      </c>
      <c r="I601" s="68">
        <v>1.372</v>
      </c>
      <c r="J601" s="69">
        <v>0.78</v>
      </c>
      <c r="K601" s="66">
        <v>0.78</v>
      </c>
      <c r="L601" s="66">
        <v>1681</v>
      </c>
      <c r="M601" s="66">
        <v>1500</v>
      </c>
      <c r="N601" s="63" cm="1">
        <f t="array" ref="N601:N601">_xlfn.XLOOKUP(H601,'OA名单'!C:C,'OA名单'!B:B,1)</f>
      </c>
      <c r="O601" s="63">
        <f t="shared" si="8"/>
      </c>
      <c r="P601" s="63" cm="1">
        <f t="array" ref="P601:P601">_xlfn.XLOOKUP(N601,'OA名单'!B:B,'OA名单'!G:G)</f>
      </c>
      <c r="Q601" s="63">
        <f t="shared" si="11"/>
      </c>
      <c r="R601" s="63" cm="1">
        <f t="array" ref="R601:R601">_xlfn.XLOOKUP(B601,'OA名单'!B:B,'OA名单'!F:F)</f>
      </c>
      <c r="S601" s="63">
        <f t="shared" si="10"/>
      </c>
      <c r="T601" s="70"/>
      <c r="U601" s="63" cm="1">
        <f t="array" ref="U601:U601">_xlfn.XLOOKUP(N601,'OA名单'!B:B,'OA名单'!E:E)</f>
      </c>
      <c r="V601" s="63">
        <f t="shared" si="12"/>
      </c>
      <c r="W601" s="71"/>
      <c r="X601" s="66"/>
      <c r="Y601" s="66"/>
    </row>
    <row hidden="true" r="602">
      <c r="A602" s="66"/>
      <c r="B602" s="66" t="s">
        <v>14139</v>
      </c>
      <c r="C602" s="67" t="s">
        <v>12713</v>
      </c>
      <c r="D602" s="67" t="s">
        <v>12714</v>
      </c>
      <c r="E602" s="66" t="s">
        <v>13277</v>
      </c>
      <c r="F602" s="66" t="s">
        <v>13278</v>
      </c>
      <c r="G602" s="66" t="s">
        <v>13279</v>
      </c>
      <c r="H602" s="66" t="s">
        <v>14140</v>
      </c>
      <c r="I602" s="68">
        <v>0.80377</v>
      </c>
      <c r="J602" s="69">
        <v>0.78</v>
      </c>
      <c r="K602" s="66">
        <v>0.78</v>
      </c>
      <c r="L602" s="66">
        <v>2769.23</v>
      </c>
      <c r="M602" s="66">
        <v>3000</v>
      </c>
      <c r="N602" s="63" cm="1">
        <f t="array" ref="N602:N602">_xlfn.XLOOKUP(H602,'OA名单'!C:C,'OA名单'!B:B,1)</f>
      </c>
      <c r="O602" s="63">
        <f t="shared" si="8"/>
      </c>
      <c r="P602" s="63" cm="1">
        <f t="array" ref="P602:P602">_xlfn.XLOOKUP(N602,'OA名单'!B:B,'OA名单'!G:G)</f>
      </c>
      <c r="Q602" s="63">
        <f t="shared" si="11"/>
      </c>
      <c r="R602" s="63" cm="1">
        <f t="array" ref="R602:R602">_xlfn.XLOOKUP(B602,'OA名单'!B:B,'OA名单'!F:F)</f>
      </c>
      <c r="S602" s="63">
        <f t="shared" si="10"/>
      </c>
      <c r="T602" s="70"/>
      <c r="U602" s="63" cm="1">
        <f t="array" ref="U602:U602">_xlfn.XLOOKUP(N602,'OA名单'!B:B,'OA名单'!E:E)</f>
      </c>
      <c r="V602" s="63">
        <f t="shared" si="12"/>
      </c>
      <c r="W602" s="71"/>
      <c r="X602" s="66"/>
      <c r="Y602" s="66"/>
    </row>
    <row hidden="true" r="603">
      <c r="A603" s="66"/>
      <c r="B603" s="66" t="s">
        <v>14141</v>
      </c>
      <c r="C603" s="67" t="s">
        <v>12713</v>
      </c>
      <c r="D603" s="67" t="s">
        <v>12714</v>
      </c>
      <c r="E603" s="66" t="s">
        <v>13318</v>
      </c>
      <c r="F603" s="66" t="s">
        <v>13319</v>
      </c>
      <c r="G603" s="66" t="s">
        <v>12751</v>
      </c>
      <c r="H603" s="66" t="s">
        <v>14142</v>
      </c>
      <c r="I603" s="68">
        <v>0.78909</v>
      </c>
      <c r="J603" s="69">
        <v>0.78</v>
      </c>
      <c r="K603" s="66">
        <v>0.78</v>
      </c>
      <c r="L603" s="66">
        <v>4680</v>
      </c>
      <c r="M603" s="66">
        <v>6000</v>
      </c>
      <c r="N603" s="63" cm="1">
        <f t="array" ref="N603:N603">_xlfn.XLOOKUP(H603,'OA名单'!C:C,'OA名单'!B:B,1)</f>
      </c>
      <c r="O603" s="63">
        <f t="shared" si="8"/>
      </c>
      <c r="P603" s="63" cm="1">
        <f t="array" ref="P603:P603">_xlfn.XLOOKUP(N603,'OA名单'!B:B,'OA名单'!G:G)</f>
      </c>
      <c r="Q603" s="63">
        <f t="shared" si="11"/>
      </c>
      <c r="R603" s="63" cm="1">
        <f t="array" ref="R603:R603">_xlfn.XLOOKUP(B603,'OA名单'!B:B,'OA名单'!F:F)</f>
      </c>
      <c r="S603" s="63">
        <f t="shared" si="10"/>
      </c>
      <c r="T603" s="70"/>
      <c r="U603" s="63" cm="1">
        <f t="array" ref="U603:U603">_xlfn.XLOOKUP(N603,'OA名单'!B:B,'OA名单'!E:E)</f>
      </c>
      <c r="V603" s="63">
        <f t="shared" si="12"/>
      </c>
      <c r="W603" s="71"/>
      <c r="X603" s="66"/>
      <c r="Y603" s="66"/>
    </row>
    <row hidden="true" r="604">
      <c r="A604" s="66"/>
      <c r="B604" s="66" t="s">
        <v>14143</v>
      </c>
      <c r="C604" s="67" t="s">
        <v>12713</v>
      </c>
      <c r="D604" s="67" t="s">
        <v>12714</v>
      </c>
      <c r="E604" s="66" t="s">
        <v>13027</v>
      </c>
      <c r="F604" s="66" t="s">
        <v>13954</v>
      </c>
      <c r="G604" s="66" t="s">
        <v>12751</v>
      </c>
      <c r="H604" s="66" t="s">
        <v>14144</v>
      </c>
      <c r="I604" s="68">
        <v>0.9145</v>
      </c>
      <c r="J604" s="69">
        <v>0.78</v>
      </c>
      <c r="K604" s="66">
        <v>0.78</v>
      </c>
      <c r="L604" s="66">
        <v>3889</v>
      </c>
      <c r="M604" s="66">
        <v>5000</v>
      </c>
      <c r="N604" s="63" cm="1">
        <f t="array" ref="N604:N604">_xlfn.XLOOKUP(H604,'OA名单'!C:C,'OA名单'!B:B,1)</f>
      </c>
      <c r="O604" s="63">
        <f t="shared" si="8"/>
      </c>
      <c r="P604" s="63" cm="1">
        <f t="array" ref="P604:P604">_xlfn.XLOOKUP(N604,'OA名单'!B:B,'OA名单'!G:G)</f>
      </c>
      <c r="Q604" s="63">
        <f t="shared" si="11"/>
      </c>
      <c r="R604" s="63" cm="1">
        <f t="array" ref="R604:R604">_xlfn.XLOOKUP(B604,'OA名单'!B:B,'OA名单'!F:F)</f>
      </c>
      <c r="S604" s="63">
        <f t="shared" si="10"/>
      </c>
      <c r="T604" s="70"/>
      <c r="U604" s="63" cm="1">
        <f t="array" ref="U604:U604">_xlfn.XLOOKUP(N604,'OA名单'!B:B,'OA名单'!E:E)</f>
      </c>
      <c r="V604" s="63">
        <f t="shared" si="12"/>
      </c>
      <c r="W604" s="71"/>
      <c r="X604" s="66"/>
      <c r="Y604" s="66"/>
    </row>
    <row hidden="true" r="605">
      <c r="A605" s="66"/>
      <c r="B605" s="66" t="s">
        <v>14145</v>
      </c>
      <c r="C605" s="67" t="s">
        <v>12713</v>
      </c>
      <c r="D605" s="67" t="s">
        <v>12714</v>
      </c>
      <c r="E605" s="66" t="s">
        <v>12936</v>
      </c>
      <c r="F605" s="66" t="s">
        <v>13028</v>
      </c>
      <c r="G605" s="66" t="s">
        <v>13288</v>
      </c>
      <c r="H605" s="66" t="s">
        <v>14146</v>
      </c>
      <c r="I605" s="68">
        <v>0.67</v>
      </c>
      <c r="J605" s="69">
        <v>0.77</v>
      </c>
      <c r="K605" s="66">
        <v>0.77</v>
      </c>
      <c r="L605" s="66">
        <v>2216</v>
      </c>
      <c r="M605" s="66">
        <v>2800</v>
      </c>
      <c r="N605" s="63" cm="1">
        <f t="array" ref="N605:N605">_xlfn.XLOOKUP(H605,'OA名单'!C:C,'OA名单'!B:B,1)</f>
      </c>
      <c r="O605" s="63">
        <f t="shared" si="8"/>
      </c>
      <c r="P605" s="63" cm="1">
        <f t="array" ref="P605:P605">_xlfn.XLOOKUP(N605,'OA名单'!B:B,'OA名单'!G:G)</f>
      </c>
      <c r="Q605" s="63">
        <f t="shared" si="11"/>
      </c>
      <c r="R605" s="63" cm="1">
        <f t="array" ref="R605:R605">_xlfn.XLOOKUP(B605,'OA名单'!B:B,'OA名单'!F:F)</f>
      </c>
      <c r="S605" s="63">
        <f t="shared" si="10"/>
      </c>
      <c r="T605" s="70"/>
      <c r="U605" s="63" cm="1">
        <f t="array" ref="U605:U605">_xlfn.XLOOKUP(N605,'OA名单'!B:B,'OA名单'!E:E)</f>
      </c>
      <c r="V605" s="63">
        <f t="shared" si="12"/>
      </c>
      <c r="W605" s="71"/>
      <c r="X605" s="66"/>
      <c r="Y605" s="66"/>
    </row>
    <row hidden="true" r="606">
      <c r="A606" s="66"/>
      <c r="B606" s="66" t="s">
        <v>14147</v>
      </c>
      <c r="C606" s="67" t="s">
        <v>12713</v>
      </c>
      <c r="D606" s="67" t="s">
        <v>12714</v>
      </c>
      <c r="E606" s="66" t="s">
        <v>12776</v>
      </c>
      <c r="F606" s="66" t="s">
        <v>12716</v>
      </c>
      <c r="G606" s="66" t="s">
        <v>13089</v>
      </c>
      <c r="H606" s="66" t="s">
        <v>14148</v>
      </c>
      <c r="I606" s="68">
        <v>0.9919</v>
      </c>
      <c r="J606" s="69">
        <v>0.77</v>
      </c>
      <c r="K606" s="66">
        <v>0.77</v>
      </c>
      <c r="L606" s="66">
        <v>2310</v>
      </c>
      <c r="M606" s="66">
        <v>3000</v>
      </c>
      <c r="N606" s="63" cm="1">
        <f t="array" ref="N606:N606">_xlfn.XLOOKUP(H606,'OA名单'!C:C,'OA名单'!B:B,1)</f>
      </c>
      <c r="O606" s="63">
        <f t="shared" si="8"/>
      </c>
      <c r="P606" s="63" cm="1">
        <f t="array" ref="P606:P606">_xlfn.XLOOKUP(N606,'OA名单'!B:B,'OA名单'!G:G)</f>
      </c>
      <c r="Q606" s="63">
        <f t="shared" si="11"/>
      </c>
      <c r="R606" s="63" cm="1">
        <f t="array" ref="R606:R606">_xlfn.XLOOKUP(B606,'OA名单'!B:B,'OA名单'!F:F)</f>
      </c>
      <c r="S606" s="63">
        <f t="shared" si="10"/>
      </c>
      <c r="T606" s="70"/>
      <c r="U606" s="63" cm="1">
        <f t="array" ref="U606:U606">_xlfn.XLOOKUP(N606,'OA名单'!B:B,'OA名单'!E:E)</f>
      </c>
      <c r="V606" s="63">
        <f t="shared" si="12"/>
      </c>
      <c r="W606" s="71"/>
      <c r="X606" s="66"/>
      <c r="Y606" s="66"/>
    </row>
    <row hidden="true" r="607">
      <c r="A607" s="66"/>
      <c r="B607" s="66" t="s">
        <v>14149</v>
      </c>
      <c r="C607" s="67" t="s">
        <v>12713</v>
      </c>
      <c r="D607" s="67" t="s">
        <v>12714</v>
      </c>
      <c r="E607" s="66" t="s">
        <v>12782</v>
      </c>
      <c r="F607" s="66" t="s">
        <v>12783</v>
      </c>
      <c r="G607" s="66" t="s">
        <v>12888</v>
      </c>
      <c r="H607" s="66" t="s">
        <v>14150</v>
      </c>
      <c r="I607" s="68">
        <v>0.0077</v>
      </c>
      <c r="J607" s="69">
        <v>0.77</v>
      </c>
      <c r="K607" s="66">
        <v>0.77</v>
      </c>
      <c r="L607" s="66">
        <v>2690.04</v>
      </c>
      <c r="M607" s="66">
        <v>2300</v>
      </c>
      <c r="N607" s="63" cm="1">
        <f t="array" ref="N607:N607">_xlfn.XLOOKUP(H607,'OA名单'!C:C,'OA名单'!B:B,1)</f>
      </c>
      <c r="O607" s="63">
        <f t="shared" si="8"/>
      </c>
      <c r="P607" s="63" cm="1">
        <f t="array" ref="P607:P607">_xlfn.XLOOKUP(N607,'OA名单'!B:B,'OA名单'!G:G)</f>
      </c>
      <c r="Q607" s="63">
        <f t="shared" si="11"/>
      </c>
      <c r="R607" s="63" cm="1">
        <f t="array" ref="R607:R607">_xlfn.XLOOKUP(B607,'OA名单'!B:B,'OA名单'!F:F)</f>
      </c>
      <c r="S607" s="63">
        <f t="shared" si="10"/>
      </c>
      <c r="T607" s="70"/>
      <c r="U607" s="63" cm="1">
        <f t="array" ref="U607:U607">_xlfn.XLOOKUP(N607,'OA名单'!B:B,'OA名单'!E:E)</f>
      </c>
      <c r="V607" s="63">
        <f t="shared" si="12"/>
      </c>
      <c r="W607" s="71"/>
      <c r="X607" s="66"/>
      <c r="Y607" s="66"/>
    </row>
    <row hidden="true" r="608">
      <c r="A608" s="66"/>
      <c r="B608" s="66" t="s">
        <v>14151</v>
      </c>
      <c r="C608" s="67" t="s">
        <v>12713</v>
      </c>
      <c r="D608" s="67" t="s">
        <v>12714</v>
      </c>
      <c r="E608" s="66" t="s">
        <v>12715</v>
      </c>
      <c r="F608" s="66" t="s">
        <v>13187</v>
      </c>
      <c r="G608" s="66" t="s">
        <v>12982</v>
      </c>
      <c r="H608" s="66" t="s">
        <v>14152</v>
      </c>
      <c r="I608" s="68">
        <v>0.771</v>
      </c>
      <c r="J608" s="69">
        <v>0.77</v>
      </c>
      <c r="K608" s="66">
        <v>0.77</v>
      </c>
      <c r="L608" s="66">
        <v>1155</v>
      </c>
      <c r="M608" s="66">
        <v>1500</v>
      </c>
      <c r="N608" s="63" cm="1">
        <f t="array" ref="N608:N608">_xlfn.XLOOKUP(H608,'OA名单'!C:C,'OA名单'!B:B,1)</f>
      </c>
      <c r="O608" s="63">
        <f t="shared" si="8"/>
      </c>
      <c r="P608" s="63" cm="1">
        <f t="array" ref="P608:P608">_xlfn.XLOOKUP(N608,'OA名单'!B:B,'OA名单'!G:G)</f>
      </c>
      <c r="Q608" s="63">
        <f t="shared" si="11"/>
      </c>
      <c r="R608" s="63" cm="1">
        <f t="array" ref="R608:R608">_xlfn.XLOOKUP(B608,'OA名单'!B:B,'OA名单'!F:F)</f>
      </c>
      <c r="S608" s="63">
        <f t="shared" si="10"/>
      </c>
      <c r="T608" s="70"/>
      <c r="U608" s="63" cm="1">
        <f t="array" ref="U608:U608">_xlfn.XLOOKUP(N608,'OA名单'!B:B,'OA名单'!E:E)</f>
      </c>
      <c r="V608" s="63">
        <f t="shared" si="12"/>
      </c>
      <c r="W608" s="71"/>
      <c r="X608" s="66"/>
      <c r="Y608" s="66"/>
    </row>
    <row hidden="true" r="609">
      <c r="A609" s="66"/>
      <c r="B609" s="66" t="s">
        <v>14153</v>
      </c>
      <c r="C609" s="67" t="s">
        <v>12713</v>
      </c>
      <c r="D609" s="67" t="s">
        <v>12714</v>
      </c>
      <c r="E609" s="66" t="s">
        <v>12776</v>
      </c>
      <c r="F609" s="66" t="s">
        <v>14000</v>
      </c>
      <c r="G609" s="66" t="s">
        <v>13576</v>
      </c>
      <c r="H609" s="66" t="s">
        <v>14154</v>
      </c>
      <c r="I609" s="68">
        <v>1.17996</v>
      </c>
      <c r="J609" s="69">
        <v>0.77</v>
      </c>
      <c r="K609" s="66">
        <v>0.77</v>
      </c>
      <c r="L609" s="66">
        <v>4850</v>
      </c>
      <c r="M609" s="66">
        <v>5000</v>
      </c>
      <c r="N609" s="63" cm="1">
        <f t="array" ref="N609:N609">_xlfn.XLOOKUP(H609,'OA名单'!C:C,'OA名单'!B:B,1)</f>
      </c>
      <c r="O609" s="63">
        <f t="shared" si="8"/>
      </c>
      <c r="P609" s="63" cm="1">
        <f t="array" ref="P609:P609">_xlfn.XLOOKUP(N609,'OA名单'!B:B,'OA名单'!G:G)</f>
      </c>
      <c r="Q609" s="63">
        <f t="shared" si="11"/>
      </c>
      <c r="R609" s="63" cm="1">
        <f t="array" ref="R609:R609">_xlfn.XLOOKUP(B609,'OA名单'!B:B,'OA名单'!F:F)</f>
      </c>
      <c r="S609" s="63">
        <f t="shared" si="10"/>
      </c>
      <c r="T609" s="70"/>
      <c r="U609" s="63" cm="1">
        <f t="array" ref="U609:U609">_xlfn.XLOOKUP(N609,'OA名单'!B:B,'OA名单'!E:E)</f>
      </c>
      <c r="V609" s="63">
        <f t="shared" si="12"/>
      </c>
      <c r="W609" s="71"/>
      <c r="X609" s="66"/>
      <c r="Y609" s="66"/>
    </row>
    <row hidden="true" r="610">
      <c r="A610" s="66"/>
      <c r="B610" s="66" t="s">
        <v>14155</v>
      </c>
      <c r="C610" s="67" t="s">
        <v>12713</v>
      </c>
      <c r="D610" s="67" t="s">
        <v>12714</v>
      </c>
      <c r="E610" s="66" t="s">
        <v>13027</v>
      </c>
      <c r="F610" s="66" t="s">
        <v>13954</v>
      </c>
      <c r="G610" s="66" t="s">
        <v>12982</v>
      </c>
      <c r="H610" s="66" t="s">
        <v>14156</v>
      </c>
      <c r="I610" s="68">
        <v>0.769155</v>
      </c>
      <c r="J610" s="69">
        <v>0.77</v>
      </c>
      <c r="K610" s="66">
        <v>0.77</v>
      </c>
      <c r="L610" s="66">
        <v>1153.73</v>
      </c>
      <c r="M610" s="66">
        <v>1500</v>
      </c>
      <c r="N610" s="63" cm="1">
        <f t="array" ref="N610:N610">_xlfn.XLOOKUP(H610,'OA名单'!C:C,'OA名单'!B:B,1)</f>
      </c>
      <c r="O610" s="63">
        <f t="shared" si="8"/>
      </c>
      <c r="P610" s="63" cm="1">
        <f t="array" ref="P610:P610">_xlfn.XLOOKUP(N610,'OA名单'!B:B,'OA名单'!G:G)</f>
      </c>
      <c r="Q610" s="63">
        <f t="shared" si="11"/>
      </c>
      <c r="R610" s="63" cm="1">
        <f t="array" ref="R610:R610">_xlfn.XLOOKUP(B610,'OA名单'!B:B,'OA名单'!F:F)</f>
      </c>
      <c r="S610" s="63">
        <f t="shared" si="10"/>
      </c>
      <c r="T610" s="70"/>
      <c r="U610" s="63" cm="1">
        <f t="array" ref="U610:U610">_xlfn.XLOOKUP(N610,'OA名单'!B:B,'OA名单'!E:E)</f>
      </c>
      <c r="V610" s="63">
        <f t="shared" si="12"/>
      </c>
      <c r="W610" s="71"/>
      <c r="X610" s="66"/>
      <c r="Y610" s="66"/>
    </row>
    <row hidden="true" r="611">
      <c r="A611" s="66"/>
      <c r="B611" s="66" t="s">
        <v>14157</v>
      </c>
      <c r="C611" s="67" t="s">
        <v>12713</v>
      </c>
      <c r="D611" s="67" t="s">
        <v>12714</v>
      </c>
      <c r="E611" s="66" t="s">
        <v>13097</v>
      </c>
      <c r="F611" s="67" t="s">
        <v>13130</v>
      </c>
      <c r="G611" s="66" t="s">
        <v>13067</v>
      </c>
      <c r="H611" s="66" t="s">
        <v>14158</v>
      </c>
      <c r="I611" s="68">
        <v>0.744</v>
      </c>
      <c r="J611" s="69">
        <v>0.77</v>
      </c>
      <c r="K611" s="66">
        <v>0.77</v>
      </c>
      <c r="L611" s="66">
        <v>0</v>
      </c>
      <c r="M611" s="66">
        <v>3000</v>
      </c>
      <c r="N611" s="63" cm="1">
        <f t="array" ref="N611:N611">_xlfn.XLOOKUP(H611,'OA名单'!C:C,'OA名单'!B:B,1)</f>
      </c>
      <c r="O611" s="63">
        <f t="shared" si="8"/>
      </c>
      <c r="P611" s="63" cm="1">
        <f t="array" ref="P611:P611">_xlfn.XLOOKUP(N611,'OA名单'!B:B,'OA名单'!G:G)</f>
      </c>
      <c r="Q611" s="63">
        <f t="shared" si="11"/>
      </c>
      <c r="R611" s="63" cm="1">
        <f t="array" ref="R611:R611">_xlfn.XLOOKUP(B611,'OA名单'!B:B,'OA名单'!F:F)</f>
      </c>
      <c r="S611" s="63">
        <f t="shared" si="10"/>
      </c>
      <c r="T611" s="64" cm="1">
        <f t="array" ref="T611:T611">_xlfn.XLOOKUP(B611,'系统-原始（副本）'!A:A,'系统-原始（副本）'!B:B)</f>
      </c>
      <c r="U611" s="63" cm="1">
        <f t="array" ref="U611:U611">_xlfn.XLOOKUP(N611,'OA名单'!B:B,'OA名单'!E:E)</f>
      </c>
      <c r="V611" s="63">
        <f t="shared" si="12"/>
      </c>
      <c r="W611" s="71"/>
      <c r="X611" s="66"/>
      <c r="Y611" s="66"/>
    </row>
    <row hidden="true" r="612">
      <c r="A612" s="66"/>
      <c r="B612" s="66" t="s">
        <v>14159</v>
      </c>
      <c r="C612" s="67" t="s">
        <v>12713</v>
      </c>
      <c r="D612" s="67" t="s">
        <v>12714</v>
      </c>
      <c r="E612" s="66" t="s">
        <v>13182</v>
      </c>
      <c r="F612" s="66" t="s">
        <v>13718</v>
      </c>
      <c r="G612" s="66" t="s">
        <v>13184</v>
      </c>
      <c r="H612" s="66" t="s">
        <v>14160</v>
      </c>
      <c r="I612" s="68">
        <v>0.815005</v>
      </c>
      <c r="J612" s="69">
        <v>0.76</v>
      </c>
      <c r="K612" s="66">
        <v>0.76</v>
      </c>
      <c r="L612" s="66">
        <v>2827</v>
      </c>
      <c r="M612" s="66">
        <v>5000</v>
      </c>
      <c r="N612" s="63" cm="1">
        <f t="array" ref="N612:N612">_xlfn.XLOOKUP(H612,'OA名单'!C:C,'OA名单'!B:B,1)</f>
      </c>
      <c r="O612" s="63">
        <f t="shared" si="8"/>
      </c>
      <c r="P612" s="63" cm="1">
        <f t="array" ref="P612:P612">_xlfn.XLOOKUP(N612,'OA名单'!B:B,'OA名单'!G:G)</f>
      </c>
      <c r="Q612" s="63">
        <f t="shared" si="11"/>
      </c>
      <c r="R612" s="63" cm="1">
        <f t="array" ref="R612:R612">_xlfn.XLOOKUP(B612,'OA名单'!B:B,'OA名单'!F:F)</f>
      </c>
      <c r="S612" s="63">
        <f t="shared" si="10"/>
      </c>
      <c r="T612" s="70"/>
      <c r="U612" s="63" cm="1">
        <f t="array" ref="U612:U612">_xlfn.XLOOKUP(N612,'OA名单'!B:B,'OA名单'!E:E)</f>
      </c>
      <c r="V612" s="63">
        <f t="shared" si="12"/>
      </c>
      <c r="W612" s="71"/>
      <c r="X612" s="66"/>
      <c r="Y612" s="66"/>
    </row>
    <row hidden="true" r="613">
      <c r="A613" s="66"/>
      <c r="B613" s="66" t="s">
        <v>14161</v>
      </c>
      <c r="C613" s="67" t="s">
        <v>12713</v>
      </c>
      <c r="D613" s="67" t="s">
        <v>12714</v>
      </c>
      <c r="E613" s="66" t="s">
        <v>12715</v>
      </c>
      <c r="F613" s="66" t="s">
        <v>13187</v>
      </c>
      <c r="G613" s="66" t="s">
        <v>12982</v>
      </c>
      <c r="H613" s="66" t="s">
        <v>14162</v>
      </c>
      <c r="I613" s="68">
        <v>0.71293</v>
      </c>
      <c r="J613" s="69">
        <v>0.76</v>
      </c>
      <c r="K613" s="66">
        <v>0.76</v>
      </c>
      <c r="L613" s="66">
        <v>1801.5</v>
      </c>
      <c r="M613" s="66">
        <v>1500</v>
      </c>
      <c r="N613" s="63" cm="1">
        <f t="array" ref="N613:N613">_xlfn.XLOOKUP(H613,'OA名单'!C:C,'OA名单'!B:B,1)</f>
      </c>
      <c r="O613" s="63">
        <f t="shared" si="8"/>
      </c>
      <c r="P613" s="63" cm="1">
        <f t="array" ref="P613:P613">_xlfn.XLOOKUP(N613,'OA名单'!B:B,'OA名单'!G:G)</f>
      </c>
      <c r="Q613" s="63">
        <f t="shared" si="11"/>
      </c>
      <c r="R613" s="63" cm="1">
        <f t="array" ref="R613:R613">_xlfn.XLOOKUP(B613,'OA名单'!B:B,'OA名单'!F:F)</f>
      </c>
      <c r="S613" s="63">
        <f t="shared" si="10"/>
      </c>
      <c r="T613" s="70"/>
      <c r="U613" s="63" cm="1">
        <f t="array" ref="U613:U613">_xlfn.XLOOKUP(N613,'OA名单'!B:B,'OA名单'!E:E)</f>
      </c>
      <c r="V613" s="63">
        <f t="shared" si="12"/>
      </c>
      <c r="W613" s="71"/>
      <c r="X613" s="66"/>
      <c r="Y613" s="66"/>
    </row>
    <row hidden="true" r="614">
      <c r="A614" s="66"/>
      <c r="B614" s="66" t="s">
        <v>14163</v>
      </c>
      <c r="C614" s="67" t="s">
        <v>12713</v>
      </c>
      <c r="D614" s="67" t="s">
        <v>12714</v>
      </c>
      <c r="E614" s="66" t="s">
        <v>13027</v>
      </c>
      <c r="F614" s="66" t="s">
        <v>13224</v>
      </c>
      <c r="G614" s="66" t="s">
        <v>13221</v>
      </c>
      <c r="H614" s="66" t="s">
        <v>14164</v>
      </c>
      <c r="I614" s="68">
        <v>0.76175</v>
      </c>
      <c r="J614" s="69">
        <v>0.76</v>
      </c>
      <c r="K614" s="66">
        <v>0.76</v>
      </c>
      <c r="L614" s="66">
        <v>4000</v>
      </c>
      <c r="M614" s="66">
        <v>5000</v>
      </c>
      <c r="N614" s="63" cm="1">
        <f t="array" ref="N614:N614">_xlfn.XLOOKUP(H614,'OA名单'!C:C,'OA名单'!B:B,1)</f>
      </c>
      <c r="O614" s="63">
        <f t="shared" si="8"/>
      </c>
      <c r="P614" s="63" cm="1">
        <f t="array" ref="P614:P614">_xlfn.XLOOKUP(N614,'OA名单'!B:B,'OA名单'!G:G)</f>
      </c>
      <c r="Q614" s="63">
        <f t="shared" si="11"/>
      </c>
      <c r="R614" s="63" cm="1">
        <f t="array" ref="R614:R614">_xlfn.XLOOKUP(B614,'OA名单'!B:B,'OA名单'!F:F)</f>
      </c>
      <c r="S614" s="63">
        <f t="shared" si="10"/>
      </c>
      <c r="T614" s="70"/>
      <c r="U614" s="63" cm="1">
        <f t="array" ref="U614:U614">_xlfn.XLOOKUP(N614,'OA名单'!B:B,'OA名单'!E:E)</f>
      </c>
      <c r="V614" s="63">
        <f t="shared" si="12"/>
      </c>
      <c r="W614" s="71"/>
      <c r="X614" s="66"/>
      <c r="Y614" s="66"/>
    </row>
    <row hidden="true" r="615">
      <c r="A615" s="66"/>
      <c r="B615" s="66" t="s">
        <v>14165</v>
      </c>
      <c r="C615" s="67" t="s">
        <v>12713</v>
      </c>
      <c r="D615" s="67" t="s">
        <v>12714</v>
      </c>
      <c r="E615" s="66" t="s">
        <v>13027</v>
      </c>
      <c r="F615" s="66" t="s">
        <v>13224</v>
      </c>
      <c r="G615" s="66" t="s">
        <v>12751</v>
      </c>
      <c r="H615" s="66" t="s">
        <v>14166</v>
      </c>
      <c r="I615" s="68">
        <v>0.77</v>
      </c>
      <c r="J615" s="69">
        <v>0.76</v>
      </c>
      <c r="K615" s="66">
        <v>0.76</v>
      </c>
      <c r="L615" s="66">
        <v>2000</v>
      </c>
      <c r="M615" s="66">
        <v>5000</v>
      </c>
      <c r="N615" s="63" cm="1">
        <f t="array" ref="N615:N615">_xlfn.XLOOKUP(H615,'OA名单'!C:C,'OA名单'!B:B,1)</f>
      </c>
      <c r="O615" s="63">
        <f t="shared" si="8"/>
      </c>
      <c r="P615" s="63" cm="1">
        <f t="array" ref="P615:P615">_xlfn.XLOOKUP(N615,'OA名单'!B:B,'OA名单'!G:G)</f>
      </c>
      <c r="Q615" s="63">
        <f t="shared" si="11"/>
      </c>
      <c r="R615" s="63" cm="1">
        <f t="array" ref="R615:R615">_xlfn.XLOOKUP(B615,'OA名单'!B:B,'OA名单'!F:F)</f>
      </c>
      <c r="S615" s="63">
        <f t="shared" si="10"/>
      </c>
      <c r="T615" s="70"/>
      <c r="U615" s="63" cm="1">
        <f t="array" ref="U615:U615">_xlfn.XLOOKUP(N615,'OA名单'!B:B,'OA名单'!E:E)</f>
      </c>
      <c r="V615" s="63">
        <f t="shared" si="12"/>
      </c>
      <c r="W615" s="71"/>
      <c r="X615" s="66"/>
      <c r="Y615" s="66"/>
    </row>
    <row hidden="true" r="616">
      <c r="A616" s="66"/>
      <c r="B616" s="66" t="s">
        <v>14167</v>
      </c>
      <c r="C616" s="67" t="s">
        <v>12713</v>
      </c>
      <c r="D616" s="67" t="s">
        <v>12714</v>
      </c>
      <c r="E616" s="66" t="s">
        <v>12936</v>
      </c>
      <c r="F616" s="66" t="s">
        <v>13028</v>
      </c>
      <c r="G616" s="66" t="s">
        <v>13174</v>
      </c>
      <c r="H616" s="66" t="s">
        <v>14168</v>
      </c>
      <c r="I616" s="68">
        <v>0.7</v>
      </c>
      <c r="J616" s="69">
        <v>0.75</v>
      </c>
      <c r="K616" s="66">
        <v>0.75</v>
      </c>
      <c r="L616" s="66">
        <v>3810</v>
      </c>
      <c r="M616" s="66">
        <v>5000</v>
      </c>
      <c r="N616" s="63" cm="1">
        <f t="array" ref="N616:N616">_xlfn.XLOOKUP(H616,'OA名单'!C:C,'OA名单'!B:B,1)</f>
      </c>
      <c r="O616" s="63">
        <f t="shared" si="8"/>
      </c>
      <c r="P616" s="63" cm="1">
        <f t="array" ref="P616:P616">_xlfn.XLOOKUP(N616,'OA名单'!B:B,'OA名单'!G:G)</f>
      </c>
      <c r="Q616" s="63">
        <f t="shared" si="11"/>
      </c>
      <c r="R616" s="63" cm="1">
        <f t="array" ref="R616:R616">_xlfn.XLOOKUP(B616,'OA名单'!B:B,'OA名单'!F:F)</f>
      </c>
      <c r="S616" s="63">
        <f t="shared" si="10"/>
      </c>
      <c r="T616" s="70"/>
      <c r="U616" s="63" cm="1">
        <f t="array" ref="U616:U616">_xlfn.XLOOKUP(N616,'OA名单'!B:B,'OA名单'!E:E)</f>
      </c>
      <c r="V616" s="63">
        <f t="shared" si="12"/>
      </c>
      <c r="W616" s="71"/>
      <c r="X616" s="66"/>
      <c r="Y616" s="66"/>
    </row>
    <row hidden="true" r="617">
      <c r="A617" s="66"/>
      <c r="B617" s="66" t="s">
        <v>14169</v>
      </c>
      <c r="C617" s="67" t="s">
        <v>12713</v>
      </c>
      <c r="D617" s="67" t="s">
        <v>12714</v>
      </c>
      <c r="E617" s="66" t="s">
        <v>12936</v>
      </c>
      <c r="F617" s="66" t="s">
        <v>14049</v>
      </c>
      <c r="G617" s="66" t="s">
        <v>13512</v>
      </c>
      <c r="H617" s="66" t="s">
        <v>14170</v>
      </c>
      <c r="I617" s="68">
        <v>0.75045</v>
      </c>
      <c r="J617" s="69">
        <v>0.75</v>
      </c>
      <c r="K617" s="66">
        <v>0.75</v>
      </c>
      <c r="L617" s="66">
        <v>0</v>
      </c>
      <c r="M617" s="66">
        <v>1200</v>
      </c>
      <c r="N617" s="63" cm="1">
        <f t="array" ref="N617:N617">_xlfn.XLOOKUP(H617,'OA名单'!C:C,'OA名单'!B:B,1)</f>
      </c>
      <c r="O617" s="63">
        <f t="shared" si="8"/>
      </c>
      <c r="P617" s="63" cm="1">
        <f t="array" ref="P617:P617">_xlfn.XLOOKUP(N617,'OA名单'!B:B,'OA名单'!G:G)</f>
      </c>
      <c r="Q617" s="63">
        <f t="shared" si="11"/>
      </c>
      <c r="R617" s="63" cm="1">
        <f t="array" ref="R617:R617">_xlfn.XLOOKUP(B617,'OA名单'!B:B,'OA名单'!F:F)</f>
      </c>
      <c r="S617" s="63">
        <f t="shared" si="10"/>
      </c>
      <c r="T617" s="70"/>
      <c r="U617" s="63" cm="1">
        <f t="array" ref="U617:U617">_xlfn.XLOOKUP(N617,'OA名单'!B:B,'OA名单'!E:E)</f>
      </c>
      <c r="V617" s="63">
        <f t="shared" si="12"/>
      </c>
      <c r="W617" s="71"/>
      <c r="X617" s="66"/>
      <c r="Y617" s="66"/>
    </row>
    <row hidden="true" r="618">
      <c r="A618" s="66"/>
      <c r="B618" s="66" t="s">
        <v>14171</v>
      </c>
      <c r="C618" s="67" t="s">
        <v>12713</v>
      </c>
      <c r="D618" s="67" t="s">
        <v>12714</v>
      </c>
      <c r="E618" s="66" t="s">
        <v>12715</v>
      </c>
      <c r="F618" s="66" t="s">
        <v>13187</v>
      </c>
      <c r="G618" s="66" t="s">
        <v>12751</v>
      </c>
      <c r="H618" s="66" t="s">
        <v>14172</v>
      </c>
      <c r="I618" s="68">
        <v>0.70436</v>
      </c>
      <c r="J618" s="69">
        <v>0.75</v>
      </c>
      <c r="K618" s="66">
        <v>0.75</v>
      </c>
      <c r="L618" s="66">
        <v>6438.2</v>
      </c>
      <c r="M618" s="66">
        <v>6000</v>
      </c>
      <c r="N618" s="63" cm="1">
        <f t="array" ref="N618:N618">_xlfn.XLOOKUP(H618,'OA名单'!C:C,'OA名单'!B:B,1)</f>
      </c>
      <c r="O618" s="63">
        <f t="shared" si="8"/>
      </c>
      <c r="P618" s="63" cm="1">
        <f t="array" ref="P618:P618">_xlfn.XLOOKUP(N618,'OA名单'!B:B,'OA名单'!G:G)</f>
      </c>
      <c r="Q618" s="63">
        <f t="shared" si="11"/>
      </c>
      <c r="R618" s="63" cm="1">
        <f t="array" ref="R618:R618">_xlfn.XLOOKUP(B618,'OA名单'!B:B,'OA名单'!F:F)</f>
      </c>
      <c r="S618" s="63">
        <f t="shared" si="10"/>
      </c>
      <c r="T618" s="70"/>
      <c r="U618" s="63" cm="1">
        <f t="array" ref="U618:U618">_xlfn.XLOOKUP(N618,'OA名单'!B:B,'OA名单'!E:E)</f>
      </c>
      <c r="V618" s="63">
        <f t="shared" si="12"/>
      </c>
      <c r="W618" s="71"/>
      <c r="X618" s="66"/>
      <c r="Y618" s="66"/>
    </row>
    <row hidden="true" r="619">
      <c r="A619" s="66"/>
      <c r="B619" s="66" t="s">
        <v>14173</v>
      </c>
      <c r="C619" s="67" t="s">
        <v>12713</v>
      </c>
      <c r="D619" s="67" t="s">
        <v>12714</v>
      </c>
      <c r="E619" s="66" t="s">
        <v>13146</v>
      </c>
      <c r="F619" s="66" t="s">
        <v>13260</v>
      </c>
      <c r="G619" s="66" t="s">
        <v>13557</v>
      </c>
      <c r="H619" s="66" t="s">
        <v>14174</v>
      </c>
      <c r="I619" s="68">
        <v>0.75</v>
      </c>
      <c r="J619" s="69">
        <v>0.75</v>
      </c>
      <c r="K619" s="66">
        <v>0.75</v>
      </c>
      <c r="L619" s="66">
        <v>900</v>
      </c>
      <c r="M619" s="66">
        <v>1200</v>
      </c>
      <c r="N619" s="63" cm="1">
        <f t="array" ref="N619:N619">_xlfn.XLOOKUP(H619,'OA名单'!C:C,'OA名单'!B:B,1)</f>
      </c>
      <c r="O619" s="63">
        <f t="shared" si="8"/>
      </c>
      <c r="P619" s="63" cm="1">
        <f t="array" ref="P619:P619">_xlfn.XLOOKUP(N619,'OA名单'!B:B,'OA名单'!G:G)</f>
      </c>
      <c r="Q619" s="63">
        <f t="shared" si="11"/>
      </c>
      <c r="R619" s="63" cm="1">
        <f t="array" ref="R619:R619">_xlfn.XLOOKUP(B619,'OA名单'!B:B,'OA名单'!F:F)</f>
      </c>
      <c r="S619" s="63">
        <f t="shared" si="10"/>
      </c>
      <c r="T619" s="70"/>
      <c r="U619" s="63" cm="1">
        <f t="array" ref="U619:U619">_xlfn.XLOOKUP(N619,'OA名单'!B:B,'OA名单'!E:E)</f>
      </c>
      <c r="V619" s="63">
        <f t="shared" si="12"/>
      </c>
      <c r="W619" s="71"/>
      <c r="X619" s="66"/>
      <c r="Y619" s="66"/>
    </row>
    <row hidden="true" r="620">
      <c r="A620" s="66"/>
      <c r="B620" s="66" t="s">
        <v>14175</v>
      </c>
      <c r="C620" s="67" t="s">
        <v>12713</v>
      </c>
      <c r="D620" s="67" t="s">
        <v>12714</v>
      </c>
      <c r="E620" s="66" t="s">
        <v>12715</v>
      </c>
      <c r="F620" s="66" t="s">
        <v>13190</v>
      </c>
      <c r="G620" s="66" t="s">
        <v>13079</v>
      </c>
      <c r="H620" s="66" t="s">
        <v>14176</v>
      </c>
      <c r="I620" s="68">
        <v>0.65292</v>
      </c>
      <c r="J620" s="69">
        <v>0.75</v>
      </c>
      <c r="K620" s="66">
        <v>0.75</v>
      </c>
      <c r="L620" s="66">
        <v>4723.6</v>
      </c>
      <c r="M620" s="66">
        <v>5000</v>
      </c>
      <c r="N620" s="63" cm="1">
        <f t="array" ref="N620:N620">_xlfn.XLOOKUP(H620,'OA名单'!C:C,'OA名单'!B:B,1)</f>
      </c>
      <c r="O620" s="63">
        <f t="shared" si="8"/>
      </c>
      <c r="P620" s="63" cm="1">
        <f t="array" ref="P620:P620">_xlfn.XLOOKUP(N620,'OA名单'!B:B,'OA名单'!G:G)</f>
      </c>
      <c r="Q620" s="63">
        <f t="shared" si="11"/>
      </c>
      <c r="R620" s="63" cm="1">
        <f t="array" ref="R620:R620">_xlfn.XLOOKUP(B620,'OA名单'!B:B,'OA名单'!F:F)</f>
      </c>
      <c r="S620" s="63">
        <f t="shared" si="10"/>
      </c>
      <c r="T620" s="70"/>
      <c r="U620" s="63" cm="1">
        <f t="array" ref="U620:U620">_xlfn.XLOOKUP(N620,'OA名单'!B:B,'OA名单'!E:E)</f>
      </c>
      <c r="V620" s="63">
        <f t="shared" si="12"/>
      </c>
      <c r="W620" s="71"/>
      <c r="X620" s="66"/>
      <c r="Y620" s="66"/>
    </row>
    <row hidden="true" r="621">
      <c r="A621" s="66"/>
      <c r="B621" s="66" t="s">
        <v>14177</v>
      </c>
      <c r="C621" s="67" t="s">
        <v>12713</v>
      </c>
      <c r="D621" s="67" t="s">
        <v>12714</v>
      </c>
      <c r="E621" s="66" t="s">
        <v>13027</v>
      </c>
      <c r="F621" s="66" t="s">
        <v>13028</v>
      </c>
      <c r="G621" s="66" t="s">
        <v>13195</v>
      </c>
      <c r="H621" s="66" t="s">
        <v>14178</v>
      </c>
      <c r="I621" s="68">
        <v>0.49</v>
      </c>
      <c r="J621" s="69">
        <v>0.75</v>
      </c>
      <c r="K621" s="66">
        <v>0.75</v>
      </c>
      <c r="L621" s="66">
        <v>1600</v>
      </c>
      <c r="M621" s="66">
        <v>4000</v>
      </c>
      <c r="N621" s="63" cm="1">
        <f t="array" ref="N621:N621">_xlfn.XLOOKUP(H621,'OA名单'!C:C,'OA名单'!B:B,1)</f>
      </c>
      <c r="O621" s="63">
        <f t="shared" si="8"/>
      </c>
      <c r="P621" s="63" cm="1">
        <f t="array" ref="P621:P621">_xlfn.XLOOKUP(N621,'OA名单'!B:B,'OA名单'!G:G)</f>
      </c>
      <c r="Q621" s="63">
        <f t="shared" si="11"/>
      </c>
      <c r="R621" s="63" cm="1">
        <f t="array" ref="R621:R621">_xlfn.XLOOKUP(B621,'OA名单'!B:B,'OA名单'!F:F)</f>
      </c>
      <c r="S621" s="63">
        <f t="shared" si="10"/>
      </c>
      <c r="T621" s="70"/>
      <c r="U621" s="63" cm="1">
        <f t="array" ref="U621:U621">_xlfn.XLOOKUP(N621,'OA名单'!B:B,'OA名单'!E:E)</f>
      </c>
      <c r="V621" s="63">
        <f t="shared" si="12"/>
      </c>
      <c r="W621" s="71"/>
      <c r="X621" s="66"/>
      <c r="Y621" s="66"/>
    </row>
    <row hidden="true" r="622">
      <c r="A622" s="66"/>
      <c r="B622" s="66" t="s">
        <v>14179</v>
      </c>
      <c r="C622" s="67" t="s">
        <v>12713</v>
      </c>
      <c r="D622" s="67" t="s">
        <v>12714</v>
      </c>
      <c r="E622" s="66" t="s">
        <v>13097</v>
      </c>
      <c r="F622" s="66" t="s">
        <v>13098</v>
      </c>
      <c r="G622" s="66" t="s">
        <v>14180</v>
      </c>
      <c r="H622" s="66" t="s">
        <v>14181</v>
      </c>
      <c r="I622" s="68">
        <v>0.011</v>
      </c>
      <c r="J622" s="69">
        <v>0.75</v>
      </c>
      <c r="K622" s="66">
        <v>0.75</v>
      </c>
      <c r="L622" s="66">
        <v>1725</v>
      </c>
      <c r="M622" s="66">
        <v>3000</v>
      </c>
      <c r="N622" s="63" cm="1">
        <f t="array" ref="N622:N622">_xlfn.XLOOKUP(H622,'OA名单'!C:C,'OA名单'!B:B,1)</f>
      </c>
      <c r="O622" s="63">
        <f t="shared" si="8"/>
      </c>
      <c r="P622" s="63" cm="1">
        <f t="array" ref="P622:P622">_xlfn.XLOOKUP(N622,'OA名单'!B:B,'OA名单'!G:G)</f>
      </c>
      <c r="Q622" s="63">
        <f t="shared" si="11"/>
      </c>
      <c r="R622" s="63" cm="1">
        <f t="array" ref="R622:R622">_xlfn.XLOOKUP(B622,'OA名单'!B:B,'OA名单'!F:F)</f>
      </c>
      <c r="S622" s="63">
        <f t="shared" si="10"/>
      </c>
      <c r="T622" s="70"/>
      <c r="U622" s="63" cm="1">
        <f t="array" ref="U622:U622">_xlfn.XLOOKUP(N622,'OA名单'!B:B,'OA名单'!E:E)</f>
      </c>
      <c r="V622" s="63">
        <f t="shared" si="12"/>
      </c>
      <c r="W622" s="71"/>
      <c r="X622" s="66"/>
      <c r="Y622" s="66"/>
    </row>
    <row hidden="true" r="623">
      <c r="A623" s="66"/>
      <c r="B623" s="66" t="s">
        <v>14182</v>
      </c>
      <c r="C623" s="67" t="s">
        <v>12713</v>
      </c>
      <c r="D623" s="67" t="s">
        <v>12714</v>
      </c>
      <c r="E623" s="66" t="s">
        <v>13097</v>
      </c>
      <c r="F623" s="66" t="s">
        <v>13098</v>
      </c>
      <c r="G623" s="66" t="s">
        <v>14183</v>
      </c>
      <c r="H623" s="66" t="s">
        <v>14184</v>
      </c>
      <c r="I623" s="68">
        <v>0.0075</v>
      </c>
      <c r="J623" s="69">
        <v>0.75</v>
      </c>
      <c r="K623" s="66">
        <v>0.75</v>
      </c>
      <c r="L623" s="66">
        <v>0</v>
      </c>
      <c r="M623" s="66">
        <v>3000</v>
      </c>
      <c r="N623" s="63" cm="1">
        <f t="array" ref="N623:N623">_xlfn.XLOOKUP(H623,'OA名单'!C:C,'OA名单'!B:B,1)</f>
      </c>
      <c r="O623" s="63">
        <f t="shared" si="8"/>
      </c>
      <c r="P623" s="63" cm="1">
        <f t="array" ref="P623:P623">_xlfn.XLOOKUP(N623,'OA名单'!B:B,'OA名单'!G:G)</f>
      </c>
      <c r="Q623" s="63">
        <f t="shared" si="11"/>
      </c>
      <c r="R623" s="63" cm="1">
        <f t="array" ref="R623:R623">_xlfn.XLOOKUP(B623,'OA名单'!B:B,'OA名单'!F:F)</f>
      </c>
      <c r="S623" s="63">
        <f t="shared" si="10"/>
      </c>
      <c r="T623" s="70"/>
      <c r="U623" s="63" cm="1">
        <f t="array" ref="U623:U623">_xlfn.XLOOKUP(N623,'OA名单'!B:B,'OA名单'!E:E)</f>
      </c>
      <c r="V623" s="63">
        <f t="shared" si="12"/>
      </c>
      <c r="W623" s="71"/>
      <c r="X623" s="66"/>
      <c r="Y623" s="66"/>
    </row>
    <row hidden="true" r="624">
      <c r="A624" s="66"/>
      <c r="B624" s="66" t="s">
        <v>14185</v>
      </c>
      <c r="C624" s="67" t="s">
        <v>12713</v>
      </c>
      <c r="D624" s="67" t="s">
        <v>12714</v>
      </c>
      <c r="E624" s="66" t="s">
        <v>13097</v>
      </c>
      <c r="F624" s="66" t="s">
        <v>13098</v>
      </c>
      <c r="G624" s="66" t="s">
        <v>14186</v>
      </c>
      <c r="H624" s="66" t="s">
        <v>14187</v>
      </c>
      <c r="I624" s="68">
        <v>0.0075</v>
      </c>
      <c r="J624" s="69">
        <v>0.75</v>
      </c>
      <c r="K624" s="66">
        <v>0.75</v>
      </c>
      <c r="L624" s="66">
        <v>250</v>
      </c>
      <c r="M624" s="66">
        <v>0</v>
      </c>
      <c r="N624" s="63" cm="1">
        <f t="array" ref="N624:N624">_xlfn.XLOOKUP(H624,'OA名单'!C:C,'OA名单'!B:B,1)</f>
      </c>
      <c r="O624" s="63">
        <f t="shared" si="8"/>
      </c>
      <c r="P624" s="63" cm="1">
        <f t="array" ref="P624:P624">_xlfn.XLOOKUP(N624,'OA名单'!B:B,'OA名单'!G:G)</f>
      </c>
      <c r="Q624" s="63">
        <f t="shared" si="11"/>
      </c>
      <c r="R624" s="63" cm="1">
        <f t="array" ref="R624:R624">_xlfn.XLOOKUP(B624,'OA名单'!B:B,'OA名单'!F:F)</f>
      </c>
      <c r="S624" s="63">
        <f t="shared" si="10"/>
      </c>
      <c r="T624" s="70"/>
      <c r="U624" s="63" cm="1">
        <f t="array" ref="U624:U624">_xlfn.XLOOKUP(N624,'OA名单'!B:B,'OA名单'!E:E)</f>
      </c>
      <c r="V624" s="63">
        <f t="shared" si="12"/>
      </c>
      <c r="W624" s="71"/>
      <c r="X624" s="66"/>
      <c r="Y624" s="66"/>
    </row>
    <row hidden="true" r="625">
      <c r="A625" s="66"/>
      <c r="B625" s="66" t="s">
        <v>14188</v>
      </c>
      <c r="C625" s="67" t="s">
        <v>12713</v>
      </c>
      <c r="D625" s="67" t="s">
        <v>12714</v>
      </c>
      <c r="E625" s="66" t="s">
        <v>13097</v>
      </c>
      <c r="F625" s="66" t="s">
        <v>13098</v>
      </c>
      <c r="G625" s="66" t="s">
        <v>14189</v>
      </c>
      <c r="H625" s="66" t="s">
        <v>14190</v>
      </c>
      <c r="I625" s="68">
        <v>0.0075</v>
      </c>
      <c r="J625" s="69">
        <v>0.75</v>
      </c>
      <c r="K625" s="66">
        <v>0.75</v>
      </c>
      <c r="L625" s="66">
        <v>250</v>
      </c>
      <c r="M625" s="66">
        <v>0</v>
      </c>
      <c r="N625" s="63" cm="1">
        <f t="array" ref="N625:N625">_xlfn.XLOOKUP(H625,'OA名单'!C:C,'OA名单'!B:B,1)</f>
      </c>
      <c r="O625" s="63">
        <f t="shared" si="8"/>
      </c>
      <c r="P625" s="63" cm="1">
        <f t="array" ref="P625:P625">_xlfn.XLOOKUP(N625,'OA名单'!B:B,'OA名单'!G:G)</f>
      </c>
      <c r="Q625" s="63">
        <f t="shared" si="11"/>
      </c>
      <c r="R625" s="63" cm="1">
        <f t="array" ref="R625:R625">_xlfn.XLOOKUP(B625,'OA名单'!B:B,'OA名单'!F:F)</f>
      </c>
      <c r="S625" s="63">
        <f t="shared" si="10"/>
      </c>
      <c r="T625" s="70"/>
      <c r="U625" s="63" cm="1">
        <f t="array" ref="U625:U625">_xlfn.XLOOKUP(N625,'OA名单'!B:B,'OA名单'!E:E)</f>
      </c>
      <c r="V625" s="63">
        <f t="shared" si="12"/>
      </c>
      <c r="W625" s="71"/>
      <c r="X625" s="66"/>
      <c r="Y625" s="66"/>
    </row>
    <row hidden="true" r="626">
      <c r="A626" s="66"/>
      <c r="B626" s="66" t="s">
        <v>14191</v>
      </c>
      <c r="C626" s="67" t="s">
        <v>12713</v>
      </c>
      <c r="D626" s="67" t="s">
        <v>12714</v>
      </c>
      <c r="E626" s="66" t="s">
        <v>12749</v>
      </c>
      <c r="F626" s="66" t="s">
        <v>13116</v>
      </c>
      <c r="G626" s="66" t="s">
        <v>14192</v>
      </c>
      <c r="H626" s="66" t="s">
        <v>14193</v>
      </c>
      <c r="I626" s="68">
        <v>0.7378</v>
      </c>
      <c r="J626" s="69">
        <v>0.74</v>
      </c>
      <c r="K626" s="66">
        <v>0.74</v>
      </c>
      <c r="L626" s="66">
        <v>3680</v>
      </c>
      <c r="M626" s="66">
        <v>5000</v>
      </c>
      <c r="N626" s="63" cm="1">
        <f t="array" ref="N626:N626">_xlfn.XLOOKUP(H626,'OA名单'!C:C,'OA名单'!B:B,1)</f>
      </c>
      <c r="O626" s="63">
        <f t="shared" si="8"/>
      </c>
      <c r="P626" s="63" cm="1">
        <f t="array" ref="P626:P626">_xlfn.XLOOKUP(N626,'OA名单'!B:B,'OA名单'!G:G)</f>
      </c>
      <c r="Q626" s="63">
        <f t="shared" si="11"/>
      </c>
      <c r="R626" s="63" cm="1">
        <f t="array" ref="R626:R626">_xlfn.XLOOKUP(B626,'OA名单'!B:B,'OA名单'!F:F)</f>
      </c>
      <c r="S626" s="63">
        <f t="shared" si="10"/>
      </c>
      <c r="T626" s="70"/>
      <c r="U626" s="63" cm="1">
        <f t="array" ref="U626:U626">_xlfn.XLOOKUP(N626,'OA名单'!B:B,'OA名单'!E:E)</f>
      </c>
      <c r="V626" s="63">
        <f t="shared" si="12"/>
      </c>
      <c r="W626" s="71"/>
      <c r="X626" s="66"/>
      <c r="Y626" s="66"/>
    </row>
    <row hidden="true" r="627">
      <c r="A627" s="66"/>
      <c r="B627" s="66" t="s">
        <v>14194</v>
      </c>
      <c r="C627" s="67" t="s">
        <v>12713</v>
      </c>
      <c r="D627" s="67" t="s">
        <v>12714</v>
      </c>
      <c r="E627" s="66" t="s">
        <v>12749</v>
      </c>
      <c r="F627" s="66" t="s">
        <v>13116</v>
      </c>
      <c r="G627" s="66" t="s">
        <v>13151</v>
      </c>
      <c r="H627" s="66" t="s">
        <v>14195</v>
      </c>
      <c r="I627" s="68">
        <v>0.74</v>
      </c>
      <c r="J627" s="69">
        <v>0.74</v>
      </c>
      <c r="K627" s="66">
        <v>0.74</v>
      </c>
      <c r="L627" s="66">
        <v>2307.69</v>
      </c>
      <c r="M627" s="66">
        <v>3000</v>
      </c>
      <c r="N627" s="63" cm="1">
        <f t="array" ref="N627:N627">_xlfn.XLOOKUP(H627,'OA名单'!C:C,'OA名单'!B:B,1)</f>
      </c>
      <c r="O627" s="63">
        <f t="shared" si="8"/>
      </c>
      <c r="P627" s="63" cm="1">
        <f t="array" ref="P627:P627">_xlfn.XLOOKUP(N627,'OA名单'!B:B,'OA名单'!G:G)</f>
      </c>
      <c r="Q627" s="63">
        <f t="shared" si="11"/>
      </c>
      <c r="R627" s="63" cm="1">
        <f t="array" ref="R627:R627">_xlfn.XLOOKUP(B627,'OA名单'!B:B,'OA名单'!F:F)</f>
      </c>
      <c r="S627" s="63">
        <f t="shared" si="10"/>
      </c>
      <c r="T627" s="70"/>
      <c r="U627" s="63" cm="1">
        <f t="array" ref="U627:U627">_xlfn.XLOOKUP(N627,'OA名单'!B:B,'OA名单'!E:E)</f>
      </c>
      <c r="V627" s="63">
        <f t="shared" si="12"/>
      </c>
      <c r="W627" s="71"/>
      <c r="X627" s="66"/>
      <c r="Y627" s="66"/>
    </row>
    <row hidden="true" r="628">
      <c r="A628" s="66"/>
      <c r="B628" s="66" t="s">
        <v>14196</v>
      </c>
      <c r="C628" s="67" t="s">
        <v>12713</v>
      </c>
      <c r="D628" s="67" t="s">
        <v>12714</v>
      </c>
      <c r="E628" s="66" t="s">
        <v>12776</v>
      </c>
      <c r="F628" s="66" t="s">
        <v>12716</v>
      </c>
      <c r="G628" s="66" t="s">
        <v>12751</v>
      </c>
      <c r="H628" s="66" t="s">
        <v>14197</v>
      </c>
      <c r="I628" s="68">
        <v>0.866057</v>
      </c>
      <c r="J628" s="69">
        <v>0.74</v>
      </c>
      <c r="K628" s="66">
        <v>0.74</v>
      </c>
      <c r="L628" s="66">
        <v>4920</v>
      </c>
      <c r="M628" s="66">
        <v>6000</v>
      </c>
      <c r="N628" s="63" cm="1">
        <f t="array" ref="N628:N628">_xlfn.XLOOKUP(H628,'OA名单'!C:C,'OA名单'!B:B,1)</f>
      </c>
      <c r="O628" s="63">
        <f t="shared" si="8"/>
      </c>
      <c r="P628" s="63" cm="1">
        <f t="array" ref="P628:P628">_xlfn.XLOOKUP(N628,'OA名单'!B:B,'OA名单'!G:G)</f>
      </c>
      <c r="Q628" s="63">
        <f t="shared" si="11"/>
      </c>
      <c r="R628" s="63" cm="1">
        <f t="array" ref="R628:R628">_xlfn.XLOOKUP(B628,'OA名单'!B:B,'OA名单'!F:F)</f>
      </c>
      <c r="S628" s="63">
        <f t="shared" si="10"/>
      </c>
      <c r="T628" s="70"/>
      <c r="U628" s="63" cm="1">
        <f t="array" ref="U628:U628">_xlfn.XLOOKUP(N628,'OA名单'!B:B,'OA名单'!E:E)</f>
      </c>
      <c r="V628" s="63">
        <f t="shared" si="12"/>
      </c>
      <c r="W628" s="71"/>
      <c r="X628" s="66"/>
      <c r="Y628" s="66"/>
    </row>
    <row hidden="true" r="629">
      <c r="A629" s="66"/>
      <c r="B629" s="66" t="s">
        <v>14198</v>
      </c>
      <c r="C629" s="67" t="s">
        <v>12713</v>
      </c>
      <c r="D629" s="67" t="s">
        <v>12714</v>
      </c>
      <c r="E629" s="66" t="s">
        <v>13097</v>
      </c>
      <c r="F629" s="66" t="s">
        <v>14199</v>
      </c>
      <c r="G629" s="66" t="s">
        <v>14200</v>
      </c>
      <c r="H629" s="66" t="s">
        <v>14201</v>
      </c>
      <c r="I629" s="68">
        <v>0.74332</v>
      </c>
      <c r="J629" s="69">
        <v>0.74</v>
      </c>
      <c r="K629" s="66">
        <v>0.74</v>
      </c>
      <c r="L629" s="66">
        <v>6710</v>
      </c>
      <c r="M629" s="66">
        <v>5000</v>
      </c>
      <c r="N629" s="63" cm="1">
        <f t="array" ref="N629:N629">_xlfn.XLOOKUP(H629,'OA名单'!C:C,'OA名单'!B:B,1)</f>
      </c>
      <c r="O629" s="63">
        <f t="shared" si="8"/>
      </c>
      <c r="P629" s="63" cm="1">
        <f t="array" ref="P629:P629">_xlfn.XLOOKUP(N629,'OA名单'!B:B,'OA名单'!G:G)</f>
      </c>
      <c r="Q629" s="63">
        <f t="shared" si="11"/>
      </c>
      <c r="R629" s="63" cm="1">
        <f t="array" ref="R629:R629">_xlfn.XLOOKUP(B629,'OA名单'!B:B,'OA名单'!F:F)</f>
      </c>
      <c r="S629" s="63">
        <f t="shared" si="10"/>
      </c>
      <c r="T629" s="70"/>
      <c r="U629" s="63" cm="1">
        <f t="array" ref="U629:U629">_xlfn.XLOOKUP(N629,'OA名单'!B:B,'OA名单'!E:E)</f>
      </c>
      <c r="V629" s="63">
        <f t="shared" si="12"/>
      </c>
      <c r="W629" s="71"/>
      <c r="X629" s="66"/>
      <c r="Y629" s="66"/>
    </row>
    <row hidden="true" r="630">
      <c r="A630" s="66"/>
      <c r="B630" s="66" t="s">
        <v>14202</v>
      </c>
      <c r="C630" s="67" t="s">
        <v>12713</v>
      </c>
      <c r="D630" s="67" t="s">
        <v>12714</v>
      </c>
      <c r="E630" s="66" t="s">
        <v>12776</v>
      </c>
      <c r="F630" s="66" t="s">
        <v>12716</v>
      </c>
      <c r="G630" s="66" t="s">
        <v>13102</v>
      </c>
      <c r="H630" s="66" t="s">
        <v>14203</v>
      </c>
      <c r="I630" s="68">
        <v>1.132</v>
      </c>
      <c r="J630" s="69">
        <v>0.74</v>
      </c>
      <c r="K630" s="66">
        <v>0.74</v>
      </c>
      <c r="L630" s="66">
        <v>3952</v>
      </c>
      <c r="M630" s="66">
        <v>5000</v>
      </c>
      <c r="N630" s="63" cm="1">
        <f t="array" ref="N630:N630">_xlfn.XLOOKUP(H630,'OA名单'!C:C,'OA名单'!B:B,1)</f>
      </c>
      <c r="O630" s="63">
        <f t="shared" si="8"/>
      </c>
      <c r="P630" s="63" cm="1">
        <f t="array" ref="P630:P630">_xlfn.XLOOKUP(N630,'OA名单'!B:B,'OA名单'!G:G)</f>
      </c>
      <c r="Q630" s="63">
        <f t="shared" si="11"/>
      </c>
      <c r="R630" s="63" cm="1">
        <f t="array" ref="R630:R630">_xlfn.XLOOKUP(B630,'OA名单'!B:B,'OA名单'!F:F)</f>
      </c>
      <c r="S630" s="63">
        <f t="shared" si="10"/>
      </c>
      <c r="T630" s="70"/>
      <c r="U630" s="63" cm="1">
        <f t="array" ref="U630:U630">_xlfn.XLOOKUP(N630,'OA名单'!B:B,'OA名单'!E:E)</f>
      </c>
      <c r="V630" s="63">
        <f t="shared" si="12"/>
      </c>
      <c r="W630" s="71"/>
      <c r="X630" s="66"/>
      <c r="Y630" s="66"/>
    </row>
    <row hidden="true" r="631">
      <c r="A631" s="66"/>
      <c r="B631" s="66" t="s">
        <v>14204</v>
      </c>
      <c r="C631" s="67" t="s">
        <v>12713</v>
      </c>
      <c r="D631" s="67" t="s">
        <v>12714</v>
      </c>
      <c r="E631" s="66" t="s">
        <v>13177</v>
      </c>
      <c r="F631" s="66" t="s">
        <v>13851</v>
      </c>
      <c r="G631" s="66" t="s">
        <v>13965</v>
      </c>
      <c r="H631" s="66" t="s">
        <v>14205</v>
      </c>
      <c r="I631" s="68">
        <v>0.7675</v>
      </c>
      <c r="J631" s="69">
        <v>0.73</v>
      </c>
      <c r="K631" s="66">
        <v>0.73</v>
      </c>
      <c r="L631" s="66">
        <v>0</v>
      </c>
      <c r="M631" s="66">
        <v>4000</v>
      </c>
      <c r="N631" s="63" cm="1">
        <f t="array" ref="N631:N631">_xlfn.XLOOKUP(H631,'OA名单'!C:C,'OA名单'!B:B,1)</f>
      </c>
      <c r="O631" s="63">
        <f t="shared" si="8"/>
      </c>
      <c r="P631" s="63" cm="1">
        <f t="array" ref="P631:P631">_xlfn.XLOOKUP(N631,'OA名单'!B:B,'OA名单'!G:G)</f>
      </c>
      <c r="Q631" s="63">
        <f t="shared" si="11"/>
      </c>
      <c r="R631" s="63" cm="1">
        <f t="array" ref="R631:R631">_xlfn.XLOOKUP(B631,'OA名单'!B:B,'OA名单'!F:F)</f>
      </c>
      <c r="S631" s="63">
        <f t="shared" si="10"/>
      </c>
      <c r="T631" s="70"/>
      <c r="U631" s="63" cm="1">
        <f t="array" ref="U631:U631">_xlfn.XLOOKUP(N631,'OA名单'!B:B,'OA名单'!E:E)</f>
      </c>
      <c r="V631" s="63">
        <f t="shared" si="12"/>
      </c>
      <c r="W631" s="71"/>
      <c r="X631" s="66"/>
      <c r="Y631" s="66"/>
    </row>
    <row hidden="true" r="632">
      <c r="A632" s="66"/>
      <c r="B632" s="66" t="s">
        <v>14206</v>
      </c>
      <c r="C632" s="67" t="s">
        <v>12713</v>
      </c>
      <c r="D632" s="67" t="s">
        <v>12714</v>
      </c>
      <c r="E632" s="66" t="s">
        <v>13097</v>
      </c>
      <c r="F632" s="66" t="s">
        <v>14199</v>
      </c>
      <c r="G632" s="66" t="s">
        <v>14200</v>
      </c>
      <c r="H632" s="66" t="s">
        <v>14207</v>
      </c>
      <c r="I632" s="68">
        <v>0.72376</v>
      </c>
      <c r="J632" s="69">
        <v>0.72</v>
      </c>
      <c r="K632" s="66">
        <v>0.72</v>
      </c>
      <c r="L632" s="66">
        <v>2886</v>
      </c>
      <c r="M632" s="66">
        <v>1500</v>
      </c>
      <c r="N632" s="63" cm="1">
        <f t="array" ref="N632:N632">_xlfn.XLOOKUP(H632,'OA名单'!C:C,'OA名单'!B:B,1)</f>
      </c>
      <c r="O632" s="63">
        <f t="shared" si="8"/>
      </c>
      <c r="P632" s="63" cm="1">
        <f t="array" ref="P632:P632">_xlfn.XLOOKUP(N632,'OA名单'!B:B,'OA名单'!G:G)</f>
      </c>
      <c r="Q632" s="63">
        <f t="shared" si="11"/>
      </c>
      <c r="R632" s="63" cm="1">
        <f t="array" ref="R632:R632">_xlfn.XLOOKUP(B632,'OA名单'!B:B,'OA名单'!F:F)</f>
      </c>
      <c r="S632" s="63">
        <f t="shared" si="10"/>
      </c>
      <c r="T632" s="70"/>
      <c r="U632" s="63" cm="1">
        <f t="array" ref="U632:U632">_xlfn.XLOOKUP(N632,'OA名单'!B:B,'OA名单'!E:E)</f>
      </c>
      <c r="V632" s="63">
        <f t="shared" si="12"/>
      </c>
      <c r="W632" s="71"/>
      <c r="X632" s="66"/>
      <c r="Y632" s="66"/>
    </row>
    <row hidden="true" r="633">
      <c r="A633" s="66"/>
      <c r="B633" s="66" t="s">
        <v>14208</v>
      </c>
      <c r="C633" s="67" t="s">
        <v>12713</v>
      </c>
      <c r="D633" s="67" t="s">
        <v>12714</v>
      </c>
      <c r="E633" s="66" t="s">
        <v>13146</v>
      </c>
      <c r="F633" s="66" t="s">
        <v>13260</v>
      </c>
      <c r="G633" s="66" t="s">
        <v>14209</v>
      </c>
      <c r="H633" s="66" t="s">
        <v>14210</v>
      </c>
      <c r="I633" s="68">
        <v>0.732</v>
      </c>
      <c r="J633" s="69">
        <v>0.71</v>
      </c>
      <c r="K633" s="66">
        <v>0.71</v>
      </c>
      <c r="L633" s="66">
        <v>3793.68</v>
      </c>
      <c r="M633" s="66">
        <v>5000</v>
      </c>
      <c r="N633" s="63" cm="1">
        <f t="array" ref="N633:N633">_xlfn.XLOOKUP(H633,'OA名单'!C:C,'OA名单'!B:B,1)</f>
      </c>
      <c r="O633" s="63">
        <f t="shared" si="8"/>
      </c>
      <c r="P633" s="63" cm="1">
        <f t="array" ref="P633:P633">_xlfn.XLOOKUP(N633,'OA名单'!B:B,'OA名单'!G:G)</f>
      </c>
      <c r="Q633" s="63">
        <f t="shared" si="11"/>
      </c>
      <c r="R633" s="63" cm="1">
        <f t="array" ref="R633:R633">_xlfn.XLOOKUP(B633,'OA名单'!B:B,'OA名单'!F:F)</f>
      </c>
      <c r="S633" s="63">
        <f t="shared" si="10"/>
      </c>
      <c r="T633" s="70"/>
      <c r="U633" s="63" cm="1">
        <f t="array" ref="U633:U633">_xlfn.XLOOKUP(N633,'OA名单'!B:B,'OA名单'!E:E)</f>
      </c>
      <c r="V633" s="63">
        <f t="shared" si="12"/>
      </c>
      <c r="W633" s="71"/>
      <c r="X633" s="66"/>
      <c r="Y633" s="66"/>
    </row>
    <row hidden="true" r="634">
      <c r="A634" s="66"/>
      <c r="B634" s="66" t="s">
        <v>14211</v>
      </c>
      <c r="C634" s="67" t="s">
        <v>12713</v>
      </c>
      <c r="D634" s="67" t="s">
        <v>12714</v>
      </c>
      <c r="E634" s="66" t="s">
        <v>13027</v>
      </c>
      <c r="F634" s="66" t="s">
        <v>13954</v>
      </c>
      <c r="G634" s="66" t="s">
        <v>13154</v>
      </c>
      <c r="H634" s="66" t="s">
        <v>14212</v>
      </c>
      <c r="I634" s="68">
        <v>0.813636</v>
      </c>
      <c r="J634" s="69">
        <v>0.71</v>
      </c>
      <c r="K634" s="66">
        <v>0.71</v>
      </c>
      <c r="L634" s="66">
        <v>3550</v>
      </c>
      <c r="M634" s="66">
        <v>5000</v>
      </c>
      <c r="N634" s="63" cm="1">
        <f t="array" ref="N634:N634">_xlfn.XLOOKUP(H634,'OA名单'!C:C,'OA名单'!B:B,1)</f>
      </c>
      <c r="O634" s="63">
        <f t="shared" si="8"/>
      </c>
      <c r="P634" s="63" cm="1">
        <f t="array" ref="P634:P634">_xlfn.XLOOKUP(N634,'OA名单'!B:B,'OA名单'!G:G)</f>
      </c>
      <c r="Q634" s="63">
        <f t="shared" si="11"/>
      </c>
      <c r="R634" s="63" cm="1">
        <f t="array" ref="R634:R634">_xlfn.XLOOKUP(B634,'OA名单'!B:B,'OA名单'!F:F)</f>
      </c>
      <c r="S634" s="63">
        <f t="shared" si="10"/>
      </c>
      <c r="T634" s="70"/>
      <c r="U634" s="63" cm="1">
        <f t="array" ref="U634:U634">_xlfn.XLOOKUP(N634,'OA名单'!B:B,'OA名单'!E:E)</f>
      </c>
      <c r="V634" s="63">
        <f t="shared" si="12"/>
      </c>
      <c r="W634" s="71"/>
      <c r="X634" s="66"/>
      <c r="Y634" s="66"/>
    </row>
    <row hidden="true" r="635">
      <c r="A635" s="66"/>
      <c r="B635" s="66" t="s">
        <v>14213</v>
      </c>
      <c r="C635" s="67" t="s">
        <v>12713</v>
      </c>
      <c r="D635" s="67" t="s">
        <v>12714</v>
      </c>
      <c r="E635" s="66" t="s">
        <v>14214</v>
      </c>
      <c r="F635" s="66" t="s">
        <v>14215</v>
      </c>
      <c r="G635" s="66" t="s">
        <v>14216</v>
      </c>
      <c r="H635" s="66" t="s">
        <v>14217</v>
      </c>
      <c r="I635" s="68">
        <v>1.11996</v>
      </c>
      <c r="J635" s="69">
        <v>0.7</v>
      </c>
      <c r="K635" s="66">
        <v>0.7</v>
      </c>
      <c r="L635" s="66">
        <v>3570</v>
      </c>
      <c r="M635" s="66">
        <v>5000</v>
      </c>
      <c r="N635" s="63" cm="1">
        <f t="array" ref="N635:N635">_xlfn.XLOOKUP(H635,'OA名单'!C:C,'OA名单'!B:B,1)</f>
      </c>
      <c r="O635" s="63">
        <f t="shared" si="8"/>
      </c>
      <c r="P635" s="63" cm="1">
        <f t="array" ref="P635:P635">_xlfn.XLOOKUP(N635,'OA名单'!B:B,'OA名单'!G:G)</f>
      </c>
      <c r="Q635" s="63">
        <f t="shared" si="11"/>
      </c>
      <c r="R635" s="63" cm="1">
        <f t="array" ref="R635:R635">_xlfn.XLOOKUP(B635,'OA名单'!B:B,'OA名单'!F:F)</f>
      </c>
      <c r="S635" s="63">
        <f t="shared" si="10"/>
      </c>
      <c r="T635" s="70"/>
      <c r="U635" s="63" cm="1">
        <f t="array" ref="U635:U635">_xlfn.XLOOKUP(N635,'OA名单'!B:B,'OA名单'!E:E)</f>
      </c>
      <c r="V635" s="63">
        <f t="shared" si="12"/>
      </c>
      <c r="W635" s="71"/>
      <c r="X635" s="66"/>
      <c r="Y635" s="66"/>
    </row>
    <row hidden="true" r="636">
      <c r="A636" s="66"/>
      <c r="B636" s="66" t="s">
        <v>14218</v>
      </c>
      <c r="C636" s="67" t="s">
        <v>12713</v>
      </c>
      <c r="D636" s="67" t="s">
        <v>12714</v>
      </c>
      <c r="E636" s="66" t="s">
        <v>12936</v>
      </c>
      <c r="F636" s="66" t="s">
        <v>14049</v>
      </c>
      <c r="G636" s="66" t="s">
        <v>13512</v>
      </c>
      <c r="H636" s="66" t="s">
        <v>14219</v>
      </c>
      <c r="I636" s="68">
        <v>0.695</v>
      </c>
      <c r="J636" s="69">
        <v>0.7</v>
      </c>
      <c r="K636" s="66">
        <v>0.7</v>
      </c>
      <c r="L636" s="66">
        <v>834</v>
      </c>
      <c r="M636" s="66">
        <v>1200</v>
      </c>
      <c r="N636" s="63" cm="1">
        <f t="array" ref="N636:N636">_xlfn.XLOOKUP(H636,'OA名单'!C:C,'OA名单'!B:B,1)</f>
      </c>
      <c r="O636" s="63">
        <f t="shared" si="8"/>
      </c>
      <c r="P636" s="63" cm="1">
        <f t="array" ref="P636:P636">_xlfn.XLOOKUP(N636,'OA名单'!B:B,'OA名单'!G:G)</f>
      </c>
      <c r="Q636" s="63">
        <f t="shared" si="11"/>
      </c>
      <c r="R636" s="63" cm="1">
        <f t="array" ref="R636:R636">_xlfn.XLOOKUP(B636,'OA名单'!B:B,'OA名单'!F:F)</f>
      </c>
      <c r="S636" s="63">
        <f t="shared" si="10"/>
      </c>
      <c r="T636" s="70"/>
      <c r="U636" s="63" cm="1">
        <f t="array" ref="U636:U636">_xlfn.XLOOKUP(N636,'OA名单'!B:B,'OA名单'!E:E)</f>
      </c>
      <c r="V636" s="63">
        <f t="shared" si="12"/>
      </c>
      <c r="W636" s="71"/>
      <c r="X636" s="66"/>
      <c r="Y636" s="66"/>
    </row>
    <row hidden="true" r="637">
      <c r="A637" s="66"/>
      <c r="B637" s="66" t="s">
        <v>14220</v>
      </c>
      <c r="C637" s="67" t="s">
        <v>12713</v>
      </c>
      <c r="D637" s="67" t="s">
        <v>12714</v>
      </c>
      <c r="E637" s="66" t="s">
        <v>12782</v>
      </c>
      <c r="F637" s="66" t="s">
        <v>12783</v>
      </c>
      <c r="G637" s="66" t="s">
        <v>13089</v>
      </c>
      <c r="H637" s="66" t="s">
        <v>14221</v>
      </c>
      <c r="I637" s="68">
        <v>0.70496</v>
      </c>
      <c r="J637" s="69">
        <v>0.7</v>
      </c>
      <c r="K637" s="66">
        <v>0.7</v>
      </c>
      <c r="L637" s="66">
        <v>2851.8</v>
      </c>
      <c r="M637" s="66">
        <v>3000</v>
      </c>
      <c r="N637" s="63" cm="1">
        <f t="array" ref="N637:N637">_xlfn.XLOOKUP(H637,'OA名单'!C:C,'OA名单'!B:B,1)</f>
      </c>
      <c r="O637" s="63">
        <f t="shared" si="8"/>
      </c>
      <c r="P637" s="63" cm="1">
        <f t="array" ref="P637:P637">_xlfn.XLOOKUP(N637,'OA名单'!B:B,'OA名单'!G:G)</f>
      </c>
      <c r="Q637" s="63">
        <f t="shared" si="11"/>
      </c>
      <c r="R637" s="63" cm="1">
        <f t="array" ref="R637:R637">_xlfn.XLOOKUP(B637,'OA名单'!B:B,'OA名单'!F:F)</f>
      </c>
      <c r="S637" s="63">
        <f t="shared" si="10"/>
      </c>
      <c r="T637" s="70"/>
      <c r="U637" s="63" cm="1">
        <f t="array" ref="U637:U637">_xlfn.XLOOKUP(N637,'OA名单'!B:B,'OA名单'!E:E)</f>
      </c>
      <c r="V637" s="63">
        <f t="shared" si="12"/>
      </c>
      <c r="W637" s="71"/>
      <c r="X637" s="66"/>
      <c r="Y637" s="66"/>
    </row>
    <row hidden="true" r="638">
      <c r="A638" s="66"/>
      <c r="B638" s="66" t="s">
        <v>14222</v>
      </c>
      <c r="C638" s="67" t="s">
        <v>12713</v>
      </c>
      <c r="D638" s="67" t="s">
        <v>12714</v>
      </c>
      <c r="E638" s="66" t="s">
        <v>13182</v>
      </c>
      <c r="F638" s="66" t="s">
        <v>14060</v>
      </c>
      <c r="G638" s="66" t="s">
        <v>13949</v>
      </c>
      <c r="H638" s="66" t="s">
        <v>14223</v>
      </c>
      <c r="I638" s="68">
        <v>0.7245</v>
      </c>
      <c r="J638" s="69">
        <v>0.7</v>
      </c>
      <c r="K638" s="66">
        <v>0.7</v>
      </c>
      <c r="L638" s="66">
        <v>8776.85</v>
      </c>
      <c r="M638" s="66">
        <v>6000</v>
      </c>
      <c r="N638" s="63" cm="1">
        <f t="array" ref="N638:N638">_xlfn.XLOOKUP(H638,'OA名单'!C:C,'OA名单'!B:B,1)</f>
      </c>
      <c r="O638" s="63">
        <f t="shared" si="8"/>
      </c>
      <c r="P638" s="63" cm="1">
        <f t="array" ref="P638:P638">_xlfn.XLOOKUP(N638,'OA名单'!B:B,'OA名单'!G:G)</f>
      </c>
      <c r="Q638" s="63">
        <f t="shared" si="11"/>
      </c>
      <c r="R638" s="63" cm="1">
        <f t="array" ref="R638:R638">_xlfn.XLOOKUP(B638,'OA名单'!B:B,'OA名单'!F:F)</f>
      </c>
      <c r="S638" s="63">
        <f t="shared" si="10"/>
      </c>
      <c r="T638" s="70"/>
      <c r="U638" s="63" cm="1">
        <f t="array" ref="U638:U638">_xlfn.XLOOKUP(N638,'OA名单'!B:B,'OA名单'!E:E)</f>
      </c>
      <c r="V638" s="63">
        <f t="shared" si="12"/>
      </c>
      <c r="W638" s="71"/>
      <c r="X638" s="66"/>
      <c r="Y638" s="66"/>
    </row>
    <row hidden="true" r="639">
      <c r="A639" s="66"/>
      <c r="B639" s="66" t="s">
        <v>14224</v>
      </c>
      <c r="C639" s="67" t="s">
        <v>12713</v>
      </c>
      <c r="D639" s="67" t="s">
        <v>12714</v>
      </c>
      <c r="E639" s="66" t="s">
        <v>12782</v>
      </c>
      <c r="F639" s="66" t="s">
        <v>12783</v>
      </c>
      <c r="G639" s="66" t="s">
        <v>13102</v>
      </c>
      <c r="H639" s="66" t="s">
        <v>14225</v>
      </c>
      <c r="I639" s="68">
        <v>0.95575</v>
      </c>
      <c r="J639" s="69">
        <v>0.7</v>
      </c>
      <c r="K639" s="66">
        <v>0.7</v>
      </c>
      <c r="L639" s="66">
        <v>0</v>
      </c>
      <c r="M639" s="66">
        <v>5000</v>
      </c>
      <c r="N639" s="63" cm="1">
        <f t="array" ref="N639:N639">_xlfn.XLOOKUP(H639,'OA名单'!C:C,'OA名单'!B:B,1)</f>
      </c>
      <c r="O639" s="63">
        <f t="shared" si="8"/>
      </c>
      <c r="P639" s="63" cm="1">
        <f t="array" ref="P639:P639">_xlfn.XLOOKUP(N639,'OA名单'!B:B,'OA名单'!G:G)</f>
      </c>
      <c r="Q639" s="63">
        <f t="shared" si="11"/>
      </c>
      <c r="R639" s="63" cm="1">
        <f t="array" ref="R639:R639">_xlfn.XLOOKUP(B639,'OA名单'!B:B,'OA名单'!F:F)</f>
      </c>
      <c r="S639" s="63">
        <f t="shared" si="10"/>
      </c>
      <c r="T639" s="70"/>
      <c r="U639" s="63" cm="1">
        <f t="array" ref="U639:U639">_xlfn.XLOOKUP(N639,'OA名单'!B:B,'OA名单'!E:E)</f>
      </c>
      <c r="V639" s="63">
        <f t="shared" si="12"/>
      </c>
      <c r="W639" s="71"/>
      <c r="X639" s="66"/>
      <c r="Y639" s="66"/>
    </row>
    <row hidden="true" r="640">
      <c r="A640" s="66"/>
      <c r="B640" s="66" t="s">
        <v>14226</v>
      </c>
      <c r="C640" s="67" t="s">
        <v>12713</v>
      </c>
      <c r="D640" s="67" t="s">
        <v>12714</v>
      </c>
      <c r="E640" s="66" t="s">
        <v>12715</v>
      </c>
      <c r="F640" s="66" t="s">
        <v>13020</v>
      </c>
      <c r="G640" s="66" t="s">
        <v>12982</v>
      </c>
      <c r="H640" s="66" t="s">
        <v>14227</v>
      </c>
      <c r="I640" s="68">
        <v>0.703</v>
      </c>
      <c r="J640" s="69">
        <v>0.7</v>
      </c>
      <c r="K640" s="66">
        <v>0.7</v>
      </c>
      <c r="L640" s="66">
        <v>3000</v>
      </c>
      <c r="M640" s="66">
        <v>1500</v>
      </c>
      <c r="N640" s="63" cm="1">
        <f t="array" ref="N640:N640">_xlfn.XLOOKUP(H640,'OA名单'!C:C,'OA名单'!B:B,1)</f>
      </c>
      <c r="O640" s="63">
        <f t="shared" si="8"/>
      </c>
      <c r="P640" s="63" cm="1">
        <f t="array" ref="P640:P640">_xlfn.XLOOKUP(N640,'OA名单'!B:B,'OA名单'!G:G)</f>
      </c>
      <c r="Q640" s="63">
        <f t="shared" si="11"/>
      </c>
      <c r="R640" s="63" cm="1">
        <f t="array" ref="R640:R640">_xlfn.XLOOKUP(B640,'OA名单'!B:B,'OA名单'!F:F)</f>
      </c>
      <c r="S640" s="63">
        <f t="shared" si="10"/>
      </c>
      <c r="T640" s="70"/>
      <c r="U640" s="63" cm="1">
        <f t="array" ref="U640:U640">_xlfn.XLOOKUP(N640,'OA名单'!B:B,'OA名单'!E:E)</f>
      </c>
      <c r="V640" s="63">
        <f t="shared" si="12"/>
      </c>
      <c r="W640" s="71"/>
      <c r="X640" s="66"/>
      <c r="Y640" s="66"/>
    </row>
    <row hidden="true" r="641">
      <c r="A641" s="66"/>
      <c r="B641" s="66" t="s">
        <v>14228</v>
      </c>
      <c r="C641" s="67" t="s">
        <v>12713</v>
      </c>
      <c r="D641" s="67" t="s">
        <v>12714</v>
      </c>
      <c r="E641" s="66" t="s">
        <v>13011</v>
      </c>
      <c r="F641" s="66" t="s">
        <v>13138</v>
      </c>
      <c r="G641" s="66" t="s">
        <v>12751</v>
      </c>
      <c r="H641" s="66" t="s">
        <v>14229</v>
      </c>
      <c r="I641" s="68">
        <v>0.36249</v>
      </c>
      <c r="J641" s="69">
        <v>0.7</v>
      </c>
      <c r="K641" s="66">
        <v>0.7</v>
      </c>
      <c r="L641" s="66">
        <v>3500</v>
      </c>
      <c r="M641" s="66">
        <v>5000</v>
      </c>
      <c r="N641" s="63" cm="1">
        <f t="array" ref="N641:N641">_xlfn.XLOOKUP(H641,'OA名单'!C:C,'OA名单'!B:B,1)</f>
      </c>
      <c r="O641" s="63">
        <f t="shared" si="8"/>
      </c>
      <c r="P641" s="63" cm="1">
        <f t="array" ref="P641:P641">_xlfn.XLOOKUP(N641,'OA名单'!B:B,'OA名单'!G:G)</f>
      </c>
      <c r="Q641" s="63">
        <f t="shared" si="11"/>
      </c>
      <c r="R641" s="63" cm="1">
        <f t="array" ref="R641:R641">_xlfn.XLOOKUP(B641,'OA名单'!B:B,'OA名单'!F:F)</f>
      </c>
      <c r="S641" s="63">
        <f t="shared" si="10"/>
      </c>
      <c r="T641" s="70"/>
      <c r="U641" s="63" cm="1">
        <f t="array" ref="U641:U641">_xlfn.XLOOKUP(N641,'OA名单'!B:B,'OA名单'!E:E)</f>
      </c>
      <c r="V641" s="63">
        <f t="shared" si="12"/>
      </c>
      <c r="W641" s="71"/>
      <c r="X641" s="66"/>
      <c r="Y641" s="66"/>
    </row>
    <row hidden="true" r="642">
      <c r="A642" s="66"/>
      <c r="B642" s="66" t="s">
        <v>14230</v>
      </c>
      <c r="C642" s="67" t="s">
        <v>12713</v>
      </c>
      <c r="D642" s="67" t="s">
        <v>12714</v>
      </c>
      <c r="E642" s="66" t="s">
        <v>12776</v>
      </c>
      <c r="F642" s="66" t="s">
        <v>13024</v>
      </c>
      <c r="G642" s="66" t="s">
        <v>12982</v>
      </c>
      <c r="H642" s="66" t="s">
        <v>14231</v>
      </c>
      <c r="I642" s="68">
        <v>0.7</v>
      </c>
      <c r="J642" s="69">
        <v>0.7</v>
      </c>
      <c r="K642" s="66">
        <v>0.7</v>
      </c>
      <c r="L642" s="66">
        <v>1395</v>
      </c>
      <c r="M642" s="66">
        <v>1500</v>
      </c>
      <c r="N642" s="63" cm="1">
        <f t="array" ref="N642:N642">_xlfn.XLOOKUP(H642,'OA名单'!C:C,'OA名单'!B:B,1)</f>
      </c>
      <c r="O642" s="63">
        <f t="shared" si="8"/>
      </c>
      <c r="P642" s="63" cm="1">
        <f t="array" ref="P642:P642">_xlfn.XLOOKUP(N642,'OA名单'!B:B,'OA名单'!G:G)</f>
      </c>
      <c r="Q642" s="63">
        <f t="shared" si="11"/>
      </c>
      <c r="R642" s="63" cm="1">
        <f t="array" ref="R642:R642">_xlfn.XLOOKUP(B642,'OA名单'!B:B,'OA名单'!F:F)</f>
      </c>
      <c r="S642" s="63">
        <f t="shared" si="10"/>
      </c>
      <c r="T642" s="70"/>
      <c r="U642" s="63" cm="1">
        <f t="array" ref="U642:U642">_xlfn.XLOOKUP(N642,'OA名单'!B:B,'OA名单'!E:E)</f>
      </c>
      <c r="V642" s="63">
        <f t="shared" si="12"/>
      </c>
      <c r="W642" s="71"/>
      <c r="X642" s="66"/>
      <c r="Y642" s="66"/>
    </row>
    <row hidden="true" r="643">
      <c r="A643" s="66"/>
      <c r="B643" s="66" t="s">
        <v>14232</v>
      </c>
      <c r="C643" s="67" t="s">
        <v>12713</v>
      </c>
      <c r="D643" s="67" t="s">
        <v>12714</v>
      </c>
      <c r="E643" s="66" t="s">
        <v>12936</v>
      </c>
      <c r="F643" s="66" t="s">
        <v>13028</v>
      </c>
      <c r="G643" s="66" t="s">
        <v>13288</v>
      </c>
      <c r="H643" s="66" t="s">
        <v>14233</v>
      </c>
      <c r="I643" s="68">
        <v>0.58</v>
      </c>
      <c r="J643" s="69">
        <v>0.68</v>
      </c>
      <c r="K643" s="66">
        <v>0.68</v>
      </c>
      <c r="L643" s="66">
        <v>0</v>
      </c>
      <c r="M643" s="66">
        <v>2800</v>
      </c>
      <c r="N643" s="63" cm="1">
        <f t="array" ref="N643:N643">_xlfn.XLOOKUP(H643,'OA名单'!C:C,'OA名单'!B:B,1)</f>
      </c>
      <c r="O643" s="63">
        <f t="shared" si="8"/>
      </c>
      <c r="P643" s="63" cm="1">
        <f t="array" ref="P643:P643">_xlfn.XLOOKUP(N643,'OA名单'!B:B,'OA名单'!G:G)</f>
      </c>
      <c r="Q643" s="63">
        <f t="shared" si="11"/>
      </c>
      <c r="R643" s="63" cm="1">
        <f t="array" ref="R643:R643">_xlfn.XLOOKUP(B643,'OA名单'!B:B,'OA名单'!F:F)</f>
      </c>
      <c r="S643" s="63">
        <f t="shared" si="10"/>
      </c>
      <c r="T643" s="70"/>
      <c r="U643" s="63" cm="1">
        <f t="array" ref="U643:U643">_xlfn.XLOOKUP(N643,'OA名单'!B:B,'OA名单'!E:E)</f>
      </c>
      <c r="V643" s="63">
        <f t="shared" si="12"/>
      </c>
      <c r="W643" s="71"/>
      <c r="X643" s="66"/>
      <c r="Y643" s="66"/>
    </row>
    <row hidden="true" r="644">
      <c r="A644" s="66"/>
      <c r="B644" s="66" t="s">
        <v>14234</v>
      </c>
      <c r="C644" s="67" t="s">
        <v>12713</v>
      </c>
      <c r="D644" s="67" t="s">
        <v>12714</v>
      </c>
      <c r="E644" s="66" t="s">
        <v>12776</v>
      </c>
      <c r="F644" s="66" t="s">
        <v>14101</v>
      </c>
      <c r="G644" s="66" t="s">
        <v>12982</v>
      </c>
      <c r="H644" s="66" t="s">
        <v>14235</v>
      </c>
      <c r="I644" s="68">
        <v>1.096</v>
      </c>
      <c r="J644" s="69">
        <v>0.68</v>
      </c>
      <c r="K644" s="66">
        <v>0.68</v>
      </c>
      <c r="L644" s="66">
        <v>1219</v>
      </c>
      <c r="M644" s="66">
        <v>1500</v>
      </c>
      <c r="N644" s="63" cm="1">
        <f t="array" ref="N644:N644">_xlfn.XLOOKUP(H644,'OA名单'!C:C,'OA名单'!B:B,1)</f>
      </c>
      <c r="O644" s="63">
        <f t="shared" si="8"/>
      </c>
      <c r="P644" s="63" cm="1">
        <f t="array" ref="P644:P644">_xlfn.XLOOKUP(N644,'OA名单'!B:B,'OA名单'!G:G)</f>
      </c>
      <c r="Q644" s="63">
        <f t="shared" si="11"/>
      </c>
      <c r="R644" s="63" cm="1">
        <f t="array" ref="R644:R644">_xlfn.XLOOKUP(B644,'OA名单'!B:B,'OA名单'!F:F)</f>
      </c>
      <c r="S644" s="63">
        <f t="shared" si="10"/>
      </c>
      <c r="T644" s="70"/>
      <c r="U644" s="63" cm="1">
        <f t="array" ref="U644:U644">_xlfn.XLOOKUP(N644,'OA名单'!B:B,'OA名单'!E:E)</f>
      </c>
      <c r="V644" s="63">
        <f t="shared" si="12"/>
      </c>
      <c r="W644" s="71"/>
      <c r="X644" s="66"/>
      <c r="Y644" s="66"/>
    </row>
    <row hidden="true" r="645">
      <c r="A645" s="66"/>
      <c r="B645" s="66" t="s">
        <v>14236</v>
      </c>
      <c r="C645" s="67" t="s">
        <v>12713</v>
      </c>
      <c r="D645" s="67" t="s">
        <v>12714</v>
      </c>
      <c r="E645" s="66" t="s">
        <v>13182</v>
      </c>
      <c r="F645" s="66" t="s">
        <v>13718</v>
      </c>
      <c r="G645" s="66" t="s">
        <v>13949</v>
      </c>
      <c r="H645" s="66" t="s">
        <v>14237</v>
      </c>
      <c r="I645" s="68">
        <v>0.779</v>
      </c>
      <c r="J645" s="69">
        <v>0.68</v>
      </c>
      <c r="K645" s="66">
        <v>0.68</v>
      </c>
      <c r="L645" s="66">
        <v>2900.34</v>
      </c>
      <c r="M645" s="66">
        <v>6000</v>
      </c>
      <c r="N645" s="63" cm="1">
        <f t="array" ref="N645:N645">_xlfn.XLOOKUP(H645,'OA名单'!C:C,'OA名单'!B:B,1)</f>
      </c>
      <c r="O645" s="63">
        <f t="shared" si="8"/>
      </c>
      <c r="P645" s="63" cm="1">
        <f t="array" ref="P645:P645">_xlfn.XLOOKUP(N645,'OA名单'!B:B,'OA名单'!G:G)</f>
      </c>
      <c r="Q645" s="63">
        <f t="shared" si="11"/>
      </c>
      <c r="R645" s="63" cm="1">
        <f t="array" ref="R645:R645">_xlfn.XLOOKUP(B645,'OA名单'!B:B,'OA名单'!F:F)</f>
      </c>
      <c r="S645" s="63">
        <f t="shared" si="10"/>
      </c>
      <c r="T645" s="70"/>
      <c r="U645" s="63" cm="1">
        <f t="array" ref="U645:U645">_xlfn.XLOOKUP(N645,'OA名单'!B:B,'OA名单'!E:E)</f>
      </c>
      <c r="V645" s="63">
        <f t="shared" si="12"/>
      </c>
      <c r="W645" s="71"/>
      <c r="X645" s="66"/>
      <c r="Y645" s="66"/>
    </row>
    <row hidden="true" r="646">
      <c r="A646" s="66"/>
      <c r="B646" s="66" t="s">
        <v>14238</v>
      </c>
      <c r="C646" s="67" t="s">
        <v>12713</v>
      </c>
      <c r="D646" s="67" t="s">
        <v>12714</v>
      </c>
      <c r="E646" s="66" t="s">
        <v>12782</v>
      </c>
      <c r="F646" s="66" t="s">
        <v>12997</v>
      </c>
      <c r="G646" s="66" t="s">
        <v>12751</v>
      </c>
      <c r="H646" s="66" t="s">
        <v>14239</v>
      </c>
      <c r="I646" s="68">
        <v>0.721</v>
      </c>
      <c r="J646" s="69">
        <v>0.67</v>
      </c>
      <c r="K646" s="66">
        <v>0.67</v>
      </c>
      <c r="L646" s="66">
        <v>3600</v>
      </c>
      <c r="M646" s="66">
        <v>6000</v>
      </c>
      <c r="N646" s="63" cm="1">
        <f t="array" ref="N646:N646">_xlfn.XLOOKUP(H646,'OA名单'!C:C,'OA名单'!B:B,1)</f>
      </c>
      <c r="O646" s="63">
        <f t="shared" si="8"/>
      </c>
      <c r="P646" s="63" cm="1">
        <f t="array" ref="P646:P646">_xlfn.XLOOKUP(N646,'OA名单'!B:B,'OA名单'!G:G)</f>
      </c>
      <c r="Q646" s="63">
        <f t="shared" si="11"/>
      </c>
      <c r="R646" s="63" cm="1">
        <f t="array" ref="R646:R646">_xlfn.XLOOKUP(B646,'OA名单'!B:B,'OA名单'!F:F)</f>
      </c>
      <c r="S646" s="63">
        <f t="shared" si="10"/>
      </c>
      <c r="T646" s="70"/>
      <c r="U646" s="63" cm="1">
        <f t="array" ref="U646:U646">_xlfn.XLOOKUP(N646,'OA名单'!B:B,'OA名单'!E:E)</f>
      </c>
      <c r="V646" s="63">
        <f t="shared" si="12"/>
      </c>
      <c r="W646" s="71"/>
      <c r="X646" s="66"/>
      <c r="Y646" s="66"/>
    </row>
    <row hidden="true" r="647">
      <c r="A647" s="66"/>
      <c r="B647" s="66" t="s">
        <v>14240</v>
      </c>
      <c r="C647" s="67" t="s">
        <v>12713</v>
      </c>
      <c r="D647" s="67" t="s">
        <v>12714</v>
      </c>
      <c r="E647" s="66" t="s">
        <v>13177</v>
      </c>
      <c r="F647" s="66" t="s">
        <v>13307</v>
      </c>
      <c r="G647" s="66" t="s">
        <v>13184</v>
      </c>
      <c r="H647" s="66" t="s">
        <v>14241</v>
      </c>
      <c r="I647" s="68">
        <v>0.89492</v>
      </c>
      <c r="J647" s="69">
        <v>0.67</v>
      </c>
      <c r="K647" s="66">
        <v>0.67</v>
      </c>
      <c r="L647" s="66">
        <v>2256</v>
      </c>
      <c r="M647" s="66">
        <v>5000</v>
      </c>
      <c r="N647" s="63" cm="1">
        <f t="array" ref="N647:N647">_xlfn.XLOOKUP(H647,'OA名单'!C:C,'OA名单'!B:B,1)</f>
      </c>
      <c r="O647" s="63">
        <f t="shared" si="8"/>
      </c>
      <c r="P647" s="63" cm="1">
        <f t="array" ref="P647:P647">_xlfn.XLOOKUP(N647,'OA名单'!B:B,'OA名单'!G:G)</f>
      </c>
      <c r="Q647" s="63">
        <f t="shared" si="11"/>
      </c>
      <c r="R647" s="63" cm="1">
        <f t="array" ref="R647:R647">_xlfn.XLOOKUP(B647,'OA名单'!B:B,'OA名单'!F:F)</f>
      </c>
      <c r="S647" s="63">
        <f t="shared" si="10"/>
      </c>
      <c r="T647" s="70"/>
      <c r="U647" s="63" cm="1">
        <f t="array" ref="U647:U647">_xlfn.XLOOKUP(N647,'OA名单'!B:B,'OA名单'!E:E)</f>
      </c>
      <c r="V647" s="63">
        <f t="shared" si="12"/>
      </c>
      <c r="W647" s="71"/>
      <c r="X647" s="66"/>
      <c r="Y647" s="66"/>
    </row>
    <row hidden="true" r="648">
      <c r="A648" s="66"/>
      <c r="B648" s="66" t="s">
        <v>14242</v>
      </c>
      <c r="C648" s="67" t="s">
        <v>12713</v>
      </c>
      <c r="D648" s="67" t="s">
        <v>12714</v>
      </c>
      <c r="E648" s="66" t="s">
        <v>12782</v>
      </c>
      <c r="F648" s="66" t="s">
        <v>12783</v>
      </c>
      <c r="G648" s="66" t="s">
        <v>12888</v>
      </c>
      <c r="H648" s="66" t="s">
        <v>14243</v>
      </c>
      <c r="I648" s="68">
        <v>0.0067</v>
      </c>
      <c r="J648" s="69">
        <v>0.67</v>
      </c>
      <c r="K648" s="66">
        <v>0.67</v>
      </c>
      <c r="L648" s="66">
        <v>2340.68</v>
      </c>
      <c r="M648" s="66">
        <v>2300</v>
      </c>
      <c r="N648" s="63" cm="1">
        <f t="array" ref="N648:N648">_xlfn.XLOOKUP(H648,'OA名单'!C:C,'OA名单'!B:B,1)</f>
      </c>
      <c r="O648" s="63">
        <f t="shared" si="8"/>
      </c>
      <c r="P648" s="63" cm="1">
        <f t="array" ref="P648:P648">_xlfn.XLOOKUP(N648,'OA名单'!B:B,'OA名单'!G:G)</f>
      </c>
      <c r="Q648" s="63">
        <f t="shared" si="11"/>
      </c>
      <c r="R648" s="63" cm="1">
        <f t="array" ref="R648:R648">_xlfn.XLOOKUP(B648,'OA名单'!B:B,'OA名单'!F:F)</f>
      </c>
      <c r="S648" s="63">
        <f t="shared" si="10"/>
      </c>
      <c r="T648" s="70"/>
      <c r="U648" s="63" cm="1">
        <f t="array" ref="U648:U648">_xlfn.XLOOKUP(N648,'OA名单'!B:B,'OA名单'!E:E)</f>
      </c>
      <c r="V648" s="63">
        <f t="shared" si="12"/>
      </c>
      <c r="W648" s="71"/>
      <c r="X648" s="66"/>
      <c r="Y648" s="66"/>
    </row>
    <row hidden="true" r="649">
      <c r="A649" s="66"/>
      <c r="B649" s="66" t="s">
        <v>14244</v>
      </c>
      <c r="C649" s="67" t="s">
        <v>12713</v>
      </c>
      <c r="D649" s="67" t="s">
        <v>12714</v>
      </c>
      <c r="E649" s="66" t="s">
        <v>13027</v>
      </c>
      <c r="F649" s="66" t="s">
        <v>13054</v>
      </c>
      <c r="G649" s="66" t="s">
        <v>12751</v>
      </c>
      <c r="H649" s="66" t="s">
        <v>14245</v>
      </c>
      <c r="I649" s="68">
        <v>0.671785</v>
      </c>
      <c r="J649" s="69">
        <v>0.66</v>
      </c>
      <c r="K649" s="66">
        <v>0.66</v>
      </c>
      <c r="L649" s="66">
        <v>5000</v>
      </c>
      <c r="M649" s="66">
        <v>5000</v>
      </c>
      <c r="N649" s="63" cm="1">
        <f t="array" ref="N649:N649">_xlfn.XLOOKUP(H649,'OA名单'!C:C,'OA名单'!B:B,1)</f>
      </c>
      <c r="O649" s="63">
        <f t="shared" si="8"/>
      </c>
      <c r="P649" s="63" cm="1">
        <f t="array" ref="P649:P649">_xlfn.XLOOKUP(N649,'OA名单'!B:B,'OA名单'!G:G)</f>
      </c>
      <c r="Q649" s="63">
        <f t="shared" si="11"/>
      </c>
      <c r="R649" s="63" cm="1">
        <f t="array" ref="R649:R649">_xlfn.XLOOKUP(B649,'OA名单'!B:B,'OA名单'!F:F)</f>
      </c>
      <c r="S649" s="63">
        <f t="shared" si="10"/>
      </c>
      <c r="T649" s="70"/>
      <c r="U649" s="63" cm="1">
        <f t="array" ref="U649:U649">_xlfn.XLOOKUP(N649,'OA名单'!B:B,'OA名单'!E:E)</f>
      </c>
      <c r="V649" s="63">
        <f t="shared" si="12"/>
      </c>
      <c r="W649" s="71"/>
      <c r="X649" s="66"/>
      <c r="Y649" s="66"/>
    </row>
    <row hidden="true" r="650">
      <c r="A650" s="66"/>
      <c r="B650" s="66" t="s">
        <v>14246</v>
      </c>
      <c r="C650" s="67" t="s">
        <v>12713</v>
      </c>
      <c r="D650" s="67" t="s">
        <v>12714</v>
      </c>
      <c r="E650" s="66" t="s">
        <v>12776</v>
      </c>
      <c r="F650" s="66" t="s">
        <v>13038</v>
      </c>
      <c r="G650" s="66" t="s">
        <v>14119</v>
      </c>
      <c r="H650" s="66" t="s">
        <v>14247</v>
      </c>
      <c r="I650" s="68">
        <v>0.6</v>
      </c>
      <c r="J650" s="69">
        <v>0.66</v>
      </c>
      <c r="K650" s="66">
        <v>0.66</v>
      </c>
      <c r="L650" s="66">
        <v>0</v>
      </c>
      <c r="M650" s="66">
        <v>2000</v>
      </c>
      <c r="N650" s="63" cm="1">
        <f t="array" ref="N650:N650">_xlfn.XLOOKUP(H650,'OA名单'!C:C,'OA名单'!B:B,1)</f>
      </c>
      <c r="O650" s="63">
        <f t="shared" si="8"/>
      </c>
      <c r="P650" s="63" cm="1">
        <f t="array" ref="P650:P650">_xlfn.XLOOKUP(N650,'OA名单'!B:B,'OA名单'!G:G)</f>
      </c>
      <c r="Q650" s="63">
        <f t="shared" si="11"/>
      </c>
      <c r="R650" s="63" cm="1">
        <f t="array" ref="R650:R650">_xlfn.XLOOKUP(B650,'OA名单'!B:B,'OA名单'!F:F)</f>
      </c>
      <c r="S650" s="63">
        <f t="shared" si="10"/>
      </c>
      <c r="T650" s="70"/>
      <c r="U650" s="63" cm="1">
        <f t="array" ref="U650:U650">_xlfn.XLOOKUP(N650,'OA名单'!B:B,'OA名单'!E:E)</f>
      </c>
      <c r="V650" s="63">
        <f t="shared" si="12"/>
      </c>
      <c r="W650" s="71"/>
      <c r="X650" s="66"/>
      <c r="Y650" s="66"/>
    </row>
    <row hidden="true" r="651">
      <c r="A651" s="66"/>
      <c r="B651" s="66" t="s">
        <v>14248</v>
      </c>
      <c r="C651" s="67" t="s">
        <v>12713</v>
      </c>
      <c r="D651" s="67" t="s">
        <v>12714</v>
      </c>
      <c r="E651" s="66" t="s">
        <v>13027</v>
      </c>
      <c r="F651" s="66" t="s">
        <v>13240</v>
      </c>
      <c r="G651" s="66" t="s">
        <v>12751</v>
      </c>
      <c r="H651" s="66" t="s">
        <v>14249</v>
      </c>
      <c r="I651" s="68">
        <v>0.78466</v>
      </c>
      <c r="J651" s="69">
        <v>0.66</v>
      </c>
      <c r="K651" s="66">
        <v>0.66</v>
      </c>
      <c r="L651" s="66">
        <v>6000</v>
      </c>
      <c r="M651" s="66">
        <v>5000</v>
      </c>
      <c r="N651" s="63" cm="1">
        <f t="array" ref="N651:N651">_xlfn.XLOOKUP(H651,'OA名单'!C:C,'OA名单'!B:B,1)</f>
      </c>
      <c r="O651" s="63">
        <f t="shared" si="8"/>
      </c>
      <c r="P651" s="63" cm="1">
        <f t="array" ref="P651:P651">_xlfn.XLOOKUP(N651,'OA名单'!B:B,'OA名单'!G:G)</f>
      </c>
      <c r="Q651" s="63">
        <f t="shared" si="11"/>
      </c>
      <c r="R651" s="63" cm="1">
        <f t="array" ref="R651:R651">_xlfn.XLOOKUP(B651,'OA名单'!B:B,'OA名单'!F:F)</f>
      </c>
      <c r="S651" s="63">
        <f t="shared" si="10"/>
      </c>
      <c r="T651" s="70"/>
      <c r="U651" s="63" cm="1">
        <f t="array" ref="U651:U651">_xlfn.XLOOKUP(N651,'OA名单'!B:B,'OA名单'!E:E)</f>
      </c>
      <c r="V651" s="63">
        <f t="shared" si="12"/>
      </c>
      <c r="W651" s="71"/>
      <c r="X651" s="66"/>
      <c r="Y651" s="66"/>
    </row>
    <row hidden="true" r="652">
      <c r="A652" s="66"/>
      <c r="B652" s="66" t="s">
        <v>14250</v>
      </c>
      <c r="C652" s="67" t="s">
        <v>12713</v>
      </c>
      <c r="D652" s="67" t="s">
        <v>12714</v>
      </c>
      <c r="E652" s="66" t="s">
        <v>12715</v>
      </c>
      <c r="F652" s="66" t="s">
        <v>13214</v>
      </c>
      <c r="G652" s="66" t="s">
        <v>12982</v>
      </c>
      <c r="H652" s="66" t="s">
        <v>14251</v>
      </c>
      <c r="I652" s="68">
        <v>1.434547</v>
      </c>
      <c r="J652" s="69">
        <v>0.66</v>
      </c>
      <c r="K652" s="66">
        <v>0.66</v>
      </c>
      <c r="L652" s="66">
        <v>990</v>
      </c>
      <c r="M652" s="66">
        <v>1500</v>
      </c>
      <c r="N652" s="63" cm="1">
        <f t="array" ref="N652:N652">_xlfn.XLOOKUP(H652,'OA名单'!C:C,'OA名单'!B:B,1)</f>
      </c>
      <c r="O652" s="63">
        <f t="shared" si="8"/>
      </c>
      <c r="P652" s="63" cm="1">
        <f t="array" ref="P652:P652">_xlfn.XLOOKUP(N652,'OA名单'!B:B,'OA名单'!G:G)</f>
      </c>
      <c r="Q652" s="63">
        <f t="shared" si="11"/>
      </c>
      <c r="R652" s="63" cm="1">
        <f t="array" ref="R652:R652">_xlfn.XLOOKUP(B652,'OA名单'!B:B,'OA名单'!F:F)</f>
      </c>
      <c r="S652" s="63">
        <f t="shared" si="10"/>
      </c>
      <c r="T652" s="70"/>
      <c r="U652" s="63" cm="1">
        <f t="array" ref="U652:U652">_xlfn.XLOOKUP(N652,'OA名单'!B:B,'OA名单'!E:E)</f>
      </c>
      <c r="V652" s="63">
        <f t="shared" si="12"/>
      </c>
      <c r="W652" s="71"/>
      <c r="X652" s="66"/>
      <c r="Y652" s="66"/>
    </row>
    <row hidden="true" r="653">
      <c r="A653" s="66"/>
      <c r="B653" s="66" t="s">
        <v>14252</v>
      </c>
      <c r="C653" s="67" t="s">
        <v>12713</v>
      </c>
      <c r="D653" s="67" t="s">
        <v>12714</v>
      </c>
      <c r="E653" s="66" t="s">
        <v>13011</v>
      </c>
      <c r="F653" s="66" t="s">
        <v>13138</v>
      </c>
      <c r="G653" s="66" t="s">
        <v>13043</v>
      </c>
      <c r="H653" s="66" t="s">
        <v>14253</v>
      </c>
      <c r="I653" s="68">
        <v>0.63797</v>
      </c>
      <c r="J653" s="69">
        <v>0.66</v>
      </c>
      <c r="K653" s="66">
        <v>0.66</v>
      </c>
      <c r="L653" s="66">
        <v>0</v>
      </c>
      <c r="M653" s="66">
        <v>2000</v>
      </c>
      <c r="N653" s="63" cm="1">
        <f t="array" ref="N653:N653">_xlfn.XLOOKUP(H653,'OA名单'!C:C,'OA名单'!B:B,1)</f>
      </c>
      <c r="O653" s="63">
        <f t="shared" si="8"/>
      </c>
      <c r="P653" s="63" cm="1">
        <f t="array" ref="P653:P653">_xlfn.XLOOKUP(N653,'OA名单'!B:B,'OA名单'!G:G)</f>
      </c>
      <c r="Q653" s="63">
        <f t="shared" si="11"/>
      </c>
      <c r="R653" s="63" cm="1">
        <f t="array" ref="R653:R653">_xlfn.XLOOKUP(B653,'OA名单'!B:B,'OA名单'!F:F)</f>
      </c>
      <c r="S653" s="63">
        <f t="shared" si="10"/>
      </c>
      <c r="T653" s="70"/>
      <c r="U653" s="63" cm="1">
        <f t="array" ref="U653:U653">_xlfn.XLOOKUP(N653,'OA名单'!B:B,'OA名单'!E:E)</f>
      </c>
      <c r="V653" s="63">
        <f t="shared" si="12"/>
      </c>
      <c r="W653" s="71"/>
      <c r="X653" s="66"/>
      <c r="Y653" s="66"/>
    </row>
    <row hidden="true" r="654">
      <c r="A654" s="66"/>
      <c r="B654" s="66" t="s">
        <v>14254</v>
      </c>
      <c r="C654" s="67" t="s">
        <v>12713</v>
      </c>
      <c r="D654" s="67" t="s">
        <v>12714</v>
      </c>
      <c r="E654" s="66" t="s">
        <v>13011</v>
      </c>
      <c r="F654" s="66" t="s">
        <v>13138</v>
      </c>
      <c r="G654" s="66" t="s">
        <v>12751</v>
      </c>
      <c r="H654" s="66" t="s">
        <v>14255</v>
      </c>
      <c r="I654" s="68">
        <v>0.6556</v>
      </c>
      <c r="J654" s="69">
        <v>0.66</v>
      </c>
      <c r="K654" s="66">
        <v>0.66</v>
      </c>
      <c r="L654" s="66">
        <v>0</v>
      </c>
      <c r="M654" s="66">
        <v>5000</v>
      </c>
      <c r="N654" s="63" cm="1">
        <f t="array" ref="N654:N654">_xlfn.XLOOKUP(H654,'OA名单'!C:C,'OA名单'!B:B,1)</f>
      </c>
      <c r="O654" s="63">
        <f t="shared" si="8"/>
      </c>
      <c r="P654" s="63" cm="1">
        <f t="array" ref="P654:P654">_xlfn.XLOOKUP(N654,'OA名单'!B:B,'OA名单'!G:G)</f>
      </c>
      <c r="Q654" s="63">
        <f t="shared" si="11"/>
      </c>
      <c r="R654" s="63" cm="1">
        <f t="array" ref="R654:R654">_xlfn.XLOOKUP(B654,'OA名单'!B:B,'OA名单'!F:F)</f>
      </c>
      <c r="S654" s="63">
        <f t="shared" si="10"/>
      </c>
      <c r="T654" s="70"/>
      <c r="U654" s="63" cm="1">
        <f t="array" ref="U654:U654">_xlfn.XLOOKUP(N654,'OA名单'!B:B,'OA名单'!E:E)</f>
      </c>
      <c r="V654" s="63">
        <f t="shared" si="12"/>
      </c>
      <c r="W654" s="71"/>
      <c r="X654" s="66"/>
      <c r="Y654" s="66"/>
    </row>
    <row hidden="true" r="655">
      <c r="A655" s="66"/>
      <c r="B655" s="66" t="s">
        <v>14256</v>
      </c>
      <c r="C655" s="67" t="s">
        <v>12713</v>
      </c>
      <c r="D655" s="67" t="s">
        <v>12714</v>
      </c>
      <c r="E655" s="66" t="s">
        <v>13352</v>
      </c>
      <c r="F655" s="66" t="s">
        <v>13846</v>
      </c>
      <c r="G655" s="66" t="s">
        <v>14257</v>
      </c>
      <c r="H655" s="66" t="s">
        <v>14258</v>
      </c>
      <c r="I655" s="68">
        <v>0.64741</v>
      </c>
      <c r="J655" s="69">
        <v>0.65</v>
      </c>
      <c r="K655" s="66">
        <v>0.65</v>
      </c>
      <c r="L655" s="66">
        <v>3237</v>
      </c>
      <c r="M655" s="66">
        <v>5000</v>
      </c>
      <c r="N655" s="63" cm="1">
        <f t="array" ref="N655:N655">_xlfn.XLOOKUP(H655,'OA名单'!C:C,'OA名单'!B:B,1)</f>
      </c>
      <c r="O655" s="63">
        <f t="shared" si="8"/>
      </c>
      <c r="P655" s="63" cm="1">
        <f t="array" ref="P655:P655">_xlfn.XLOOKUP(N655,'OA名单'!B:B,'OA名单'!G:G)</f>
      </c>
      <c r="Q655" s="63">
        <f t="shared" si="11"/>
      </c>
      <c r="R655" s="63" cm="1">
        <f t="array" ref="R655:R655">_xlfn.XLOOKUP(B655,'OA名单'!B:B,'OA名单'!F:F)</f>
      </c>
      <c r="S655" s="63">
        <f t="shared" si="10"/>
      </c>
      <c r="T655" s="70"/>
      <c r="U655" s="63" cm="1">
        <f t="array" ref="U655:U655">_xlfn.XLOOKUP(N655,'OA名单'!B:B,'OA名单'!E:E)</f>
      </c>
      <c r="V655" s="63">
        <f t="shared" si="12"/>
      </c>
      <c r="W655" s="71"/>
      <c r="X655" s="66"/>
      <c r="Y655" s="66"/>
    </row>
    <row hidden="true" r="656">
      <c r="A656" s="66"/>
      <c r="B656" s="66" t="s">
        <v>14259</v>
      </c>
      <c r="C656" s="67" t="s">
        <v>12713</v>
      </c>
      <c r="D656" s="67" t="s">
        <v>12714</v>
      </c>
      <c r="E656" s="66" t="s">
        <v>13027</v>
      </c>
      <c r="F656" s="66" t="s">
        <v>13054</v>
      </c>
      <c r="G656" s="66" t="s">
        <v>12751</v>
      </c>
      <c r="H656" s="66" t="s">
        <v>14260</v>
      </c>
      <c r="I656" s="68">
        <v>0.651226</v>
      </c>
      <c r="J656" s="69">
        <v>0.65</v>
      </c>
      <c r="K656" s="66">
        <v>0.65</v>
      </c>
      <c r="L656" s="66">
        <v>2000</v>
      </c>
      <c r="M656" s="66">
        <v>5000</v>
      </c>
      <c r="N656" s="63" cm="1">
        <f t="array" ref="N656:N656">_xlfn.XLOOKUP(H656,'OA名单'!C:C,'OA名单'!B:B,1)</f>
      </c>
      <c r="O656" s="63">
        <f t="shared" si="8"/>
      </c>
      <c r="P656" s="63" cm="1">
        <f t="array" ref="P656:P656">_xlfn.XLOOKUP(N656,'OA名单'!B:B,'OA名单'!G:G)</f>
      </c>
      <c r="Q656" s="63">
        <f t="shared" si="11"/>
      </c>
      <c r="R656" s="63" cm="1">
        <f t="array" ref="R656:R656">_xlfn.XLOOKUP(B656,'OA名单'!B:B,'OA名单'!F:F)</f>
      </c>
      <c r="S656" s="63">
        <f t="shared" si="10"/>
      </c>
      <c r="T656" s="70"/>
      <c r="U656" s="63" cm="1">
        <f t="array" ref="U656:U656">_xlfn.XLOOKUP(N656,'OA名单'!B:B,'OA名单'!E:E)</f>
      </c>
      <c r="V656" s="63">
        <f t="shared" si="12"/>
      </c>
      <c r="W656" s="71"/>
      <c r="X656" s="66"/>
      <c r="Y656" s="66"/>
    </row>
    <row hidden="true" r="657">
      <c r="A657" s="66"/>
      <c r="B657" s="66" t="s">
        <v>14261</v>
      </c>
      <c r="C657" s="67" t="s">
        <v>12713</v>
      </c>
      <c r="D657" s="67" t="s">
        <v>12714</v>
      </c>
      <c r="E657" s="66" t="s">
        <v>12782</v>
      </c>
      <c r="F657" s="66" t="s">
        <v>14262</v>
      </c>
      <c r="G657" s="66" t="s">
        <v>13033</v>
      </c>
      <c r="H657" s="66" t="s">
        <v>14263</v>
      </c>
      <c r="I657" s="68">
        <v>0.651</v>
      </c>
      <c r="J657" s="69">
        <v>0.65</v>
      </c>
      <c r="K657" s="66">
        <v>0.65</v>
      </c>
      <c r="L657" s="66">
        <v>1800</v>
      </c>
      <c r="M657" s="66">
        <v>5000</v>
      </c>
      <c r="N657" s="63" cm="1">
        <f t="array" ref="N657:N657">_xlfn.XLOOKUP(H657,'OA名单'!C:C,'OA名单'!B:B,1)</f>
      </c>
      <c r="O657" s="63">
        <f t="shared" si="8"/>
      </c>
      <c r="P657" s="63" cm="1">
        <f t="array" ref="P657:P657">_xlfn.XLOOKUP(N657,'OA名单'!B:B,'OA名单'!G:G)</f>
      </c>
      <c r="Q657" s="63">
        <f t="shared" si="11"/>
      </c>
      <c r="R657" s="63" cm="1">
        <f t="array" ref="R657:R657">_xlfn.XLOOKUP(B657,'OA名单'!B:B,'OA名单'!F:F)</f>
      </c>
      <c r="S657" s="63">
        <f t="shared" si="10"/>
      </c>
      <c r="T657" s="70"/>
      <c r="U657" s="63" cm="1">
        <f t="array" ref="U657:U657">_xlfn.XLOOKUP(N657,'OA名单'!B:B,'OA名单'!E:E)</f>
      </c>
      <c r="V657" s="63">
        <f t="shared" si="12"/>
      </c>
      <c r="W657" s="71"/>
      <c r="X657" s="66"/>
      <c r="Y657" s="66"/>
    </row>
    <row hidden="true" r="658">
      <c r="A658" s="66"/>
      <c r="B658" s="66" t="s">
        <v>14264</v>
      </c>
      <c r="C658" s="67" t="s">
        <v>12713</v>
      </c>
      <c r="D658" s="67" t="s">
        <v>12714</v>
      </c>
      <c r="E658" s="66" t="s">
        <v>12782</v>
      </c>
      <c r="F658" s="66" t="s">
        <v>12783</v>
      </c>
      <c r="G658" s="66" t="s">
        <v>13089</v>
      </c>
      <c r="H658" s="66" t="s">
        <v>14265</v>
      </c>
      <c r="I658" s="68">
        <v>0.8063</v>
      </c>
      <c r="J658" s="69">
        <v>0.64</v>
      </c>
      <c r="K658" s="66">
        <v>0.64</v>
      </c>
      <c r="L658" s="66">
        <v>2178.6</v>
      </c>
      <c r="M658" s="66">
        <v>3000</v>
      </c>
      <c r="N658" s="63" cm="1">
        <f t="array" ref="N658:N658">_xlfn.XLOOKUP(H658,'OA名单'!C:C,'OA名单'!B:B,1)</f>
      </c>
      <c r="O658" s="63">
        <f t="shared" si="8"/>
      </c>
      <c r="P658" s="63" cm="1">
        <f t="array" ref="P658:P658">_xlfn.XLOOKUP(N658,'OA名单'!B:B,'OA名单'!G:G)</f>
      </c>
      <c r="Q658" s="63">
        <f t="shared" si="11"/>
      </c>
      <c r="R658" s="63" cm="1">
        <f t="array" ref="R658:R658">_xlfn.XLOOKUP(B658,'OA名单'!B:B,'OA名单'!F:F)</f>
      </c>
      <c r="S658" s="63">
        <f t="shared" si="10"/>
      </c>
      <c r="T658" s="70"/>
      <c r="U658" s="63" cm="1">
        <f t="array" ref="U658:U658">_xlfn.XLOOKUP(N658,'OA名单'!B:B,'OA名单'!E:E)</f>
      </c>
      <c r="V658" s="63">
        <f t="shared" si="12"/>
      </c>
      <c r="W658" s="71"/>
      <c r="X658" s="66"/>
      <c r="Y658" s="66"/>
    </row>
    <row hidden="true" r="659">
      <c r="A659" s="66"/>
      <c r="B659" s="66" t="s">
        <v>14266</v>
      </c>
      <c r="C659" s="67" t="s">
        <v>12713</v>
      </c>
      <c r="D659" s="67" t="s">
        <v>12714</v>
      </c>
      <c r="E659" s="66" t="s">
        <v>12782</v>
      </c>
      <c r="F659" s="66" t="s">
        <v>13002</v>
      </c>
      <c r="G659" s="66" t="s">
        <v>12982</v>
      </c>
      <c r="H659" s="66" t="s">
        <v>14267</v>
      </c>
      <c r="I659" s="68">
        <v>0.6175</v>
      </c>
      <c r="J659" s="69">
        <v>0.64</v>
      </c>
      <c r="K659" s="66">
        <v>0.64</v>
      </c>
      <c r="L659" s="66">
        <v>960</v>
      </c>
      <c r="M659" s="66">
        <v>1500</v>
      </c>
      <c r="N659" s="63" cm="1">
        <f t="array" ref="N659:N659">_xlfn.XLOOKUP(H659,'OA名单'!C:C,'OA名单'!B:B,1)</f>
      </c>
      <c r="O659" s="63">
        <f t="shared" si="8"/>
      </c>
      <c r="P659" s="63" cm="1">
        <f t="array" ref="P659:P659">_xlfn.XLOOKUP(N659,'OA名单'!B:B,'OA名单'!G:G)</f>
      </c>
      <c r="Q659" s="63">
        <f t="shared" si="11"/>
      </c>
      <c r="R659" s="63" cm="1">
        <f t="array" ref="R659:R659">_xlfn.XLOOKUP(B659,'OA名单'!B:B,'OA名单'!F:F)</f>
      </c>
      <c r="S659" s="63">
        <f t="shared" si="10"/>
      </c>
      <c r="T659" s="70"/>
      <c r="U659" s="63" cm="1">
        <f t="array" ref="U659:U659">_xlfn.XLOOKUP(N659,'OA名单'!B:B,'OA名单'!E:E)</f>
      </c>
      <c r="V659" s="63">
        <f t="shared" si="12"/>
      </c>
      <c r="W659" s="71"/>
      <c r="X659" s="66"/>
      <c r="Y659" s="66"/>
    </row>
    <row hidden="true" r="660">
      <c r="A660" s="66"/>
      <c r="B660" s="66" t="s">
        <v>14268</v>
      </c>
      <c r="C660" s="67" t="s">
        <v>12713</v>
      </c>
      <c r="D660" s="67" t="s">
        <v>12714</v>
      </c>
      <c r="E660" s="66" t="s">
        <v>13097</v>
      </c>
      <c r="F660" s="67" t="s">
        <v>13130</v>
      </c>
      <c r="G660" s="66" t="s">
        <v>13067</v>
      </c>
      <c r="H660" s="66" t="s">
        <v>14269</v>
      </c>
      <c r="I660" s="68">
        <v>0.8843</v>
      </c>
      <c r="J660" s="69">
        <v>0.64</v>
      </c>
      <c r="K660" s="66">
        <v>0.64</v>
      </c>
      <c r="L660" s="66">
        <v>1280</v>
      </c>
      <c r="M660" s="66">
        <v>3000</v>
      </c>
      <c r="N660" s="63" cm="1">
        <f t="array" ref="N660:N660">_xlfn.XLOOKUP(H660,'OA名单'!C:C,'OA名单'!B:B,1)</f>
      </c>
      <c r="O660" s="63">
        <f t="shared" si="8"/>
      </c>
      <c r="P660" s="63" cm="1">
        <f t="array" ref="P660:P660">_xlfn.XLOOKUP(N660,'OA名单'!B:B,'OA名单'!G:G)</f>
      </c>
      <c r="Q660" s="63">
        <f t="shared" si="11"/>
      </c>
      <c r="R660" s="63" cm="1">
        <f t="array" ref="R660:R660">_xlfn.XLOOKUP(B660,'OA名单'!B:B,'OA名单'!F:F)</f>
      </c>
      <c r="S660" s="63">
        <f t="shared" si="10"/>
      </c>
      <c r="T660" s="64" cm="1">
        <f t="array" ref="T660:T660">_xlfn.XLOOKUP(B660,'系统-原始（副本）'!A:A,'系统-原始（副本）'!B:B)</f>
      </c>
      <c r="U660" s="63" cm="1">
        <f t="array" ref="U660:U660">_xlfn.XLOOKUP(N660,'OA名单'!B:B,'OA名单'!E:E)</f>
      </c>
      <c r="V660" s="63">
        <f t="shared" si="12"/>
      </c>
      <c r="W660" s="71"/>
      <c r="X660" s="66"/>
      <c r="Y660" s="66"/>
    </row>
    <row hidden="true" r="661">
      <c r="A661" s="66"/>
      <c r="B661" s="66" t="s">
        <v>14270</v>
      </c>
      <c r="C661" s="67" t="s">
        <v>12713</v>
      </c>
      <c r="D661" s="67" t="s">
        <v>12714</v>
      </c>
      <c r="E661" s="66" t="s">
        <v>13146</v>
      </c>
      <c r="F661" s="66" t="s">
        <v>13147</v>
      </c>
      <c r="G661" s="66" t="s">
        <v>13530</v>
      </c>
      <c r="H661" s="66" t="s">
        <v>14271</v>
      </c>
      <c r="I661" s="68">
        <v>0.64</v>
      </c>
      <c r="J661" s="69">
        <v>0.64</v>
      </c>
      <c r="K661" s="66">
        <v>0.64</v>
      </c>
      <c r="L661" s="66">
        <v>320</v>
      </c>
      <c r="M661" s="66">
        <v>500</v>
      </c>
      <c r="N661" s="63" cm="1">
        <f t="array" ref="N661:N661">_xlfn.XLOOKUP(H661,'OA名单'!C:C,'OA名单'!B:B,1)</f>
      </c>
      <c r="O661" s="63">
        <f t="shared" si="8"/>
      </c>
      <c r="P661" s="63" cm="1">
        <f t="array" ref="P661:P661">_xlfn.XLOOKUP(N661,'OA名单'!B:B,'OA名单'!G:G)</f>
      </c>
      <c r="Q661" s="63">
        <f t="shared" si="11"/>
      </c>
      <c r="R661" s="63" cm="1">
        <f t="array" ref="R661:R661">_xlfn.XLOOKUP(B661,'OA名单'!B:B,'OA名单'!F:F)</f>
      </c>
      <c r="S661" s="63">
        <f t="shared" si="10"/>
      </c>
      <c r="T661" s="70"/>
      <c r="U661" s="63" cm="1">
        <f t="array" ref="U661:U661">_xlfn.XLOOKUP(N661,'OA名单'!B:B,'OA名单'!E:E)</f>
      </c>
      <c r="V661" s="63">
        <f t="shared" si="12"/>
      </c>
      <c r="W661" s="71"/>
      <c r="X661" s="66"/>
      <c r="Y661" s="66"/>
    </row>
    <row hidden="true" r="662">
      <c r="A662" s="66"/>
      <c r="B662" s="66" t="s">
        <v>14272</v>
      </c>
      <c r="C662" s="67" t="s">
        <v>12713</v>
      </c>
      <c r="D662" s="67" t="s">
        <v>12714</v>
      </c>
      <c r="E662" s="66" t="s">
        <v>13097</v>
      </c>
      <c r="F662" s="66" t="s">
        <v>14199</v>
      </c>
      <c r="G662" s="66" t="s">
        <v>14200</v>
      </c>
      <c r="H662" s="66" t="s">
        <v>14273</v>
      </c>
      <c r="I662" s="68">
        <v>0.67064</v>
      </c>
      <c r="J662" s="69">
        <v>0.63</v>
      </c>
      <c r="K662" s="66">
        <v>0.63</v>
      </c>
      <c r="L662" s="66">
        <v>4354</v>
      </c>
      <c r="M662" s="66">
        <v>5000</v>
      </c>
      <c r="N662" s="63" cm="1">
        <f t="array" ref="N662:N662">_xlfn.XLOOKUP(H662,'OA名单'!C:C,'OA名单'!B:B,1)</f>
      </c>
      <c r="O662" s="63">
        <f t="shared" si="8"/>
      </c>
      <c r="P662" s="63" cm="1">
        <f t="array" ref="P662:P662">_xlfn.XLOOKUP(N662,'OA名单'!B:B,'OA名单'!G:G)</f>
      </c>
      <c r="Q662" s="63">
        <f t="shared" si="11"/>
      </c>
      <c r="R662" s="63" cm="1">
        <f t="array" ref="R662:R662">_xlfn.XLOOKUP(B662,'OA名单'!B:B,'OA名单'!F:F)</f>
      </c>
      <c r="S662" s="63">
        <f t="shared" si="10"/>
      </c>
      <c r="T662" s="70"/>
      <c r="U662" s="63" cm="1">
        <f t="array" ref="U662:U662">_xlfn.XLOOKUP(N662,'OA名单'!B:B,'OA名单'!E:E)</f>
      </c>
      <c r="V662" s="63">
        <f t="shared" si="12"/>
      </c>
      <c r="W662" s="71"/>
      <c r="X662" s="66"/>
      <c r="Y662" s="66"/>
    </row>
    <row hidden="true" r="663">
      <c r="A663" s="66"/>
      <c r="B663" s="66" t="s">
        <v>14274</v>
      </c>
      <c r="C663" s="67" t="s">
        <v>12713</v>
      </c>
      <c r="D663" s="67" t="s">
        <v>12714</v>
      </c>
      <c r="E663" s="66" t="s">
        <v>13027</v>
      </c>
      <c r="F663" s="66" t="s">
        <v>13054</v>
      </c>
      <c r="G663" s="66" t="s">
        <v>13061</v>
      </c>
      <c r="H663" s="66" t="s">
        <v>14275</v>
      </c>
      <c r="I663" s="68">
        <v>0.62279</v>
      </c>
      <c r="J663" s="69">
        <v>0.62</v>
      </c>
      <c r="K663" s="66">
        <v>0.62</v>
      </c>
      <c r="L663" s="66">
        <v>5301.2</v>
      </c>
      <c r="M663" s="66">
        <v>5000</v>
      </c>
      <c r="N663" s="63" cm="1">
        <f t="array" ref="N663:N663">_xlfn.XLOOKUP(H663,'OA名单'!C:C,'OA名单'!B:B,1)</f>
      </c>
      <c r="O663" s="63">
        <f t="shared" si="8"/>
      </c>
      <c r="P663" s="63" cm="1">
        <f t="array" ref="P663:P663">_xlfn.XLOOKUP(N663,'OA名单'!B:B,'OA名单'!G:G)</f>
      </c>
      <c r="Q663" s="63">
        <f t="shared" si="11"/>
      </c>
      <c r="R663" s="63" cm="1">
        <f t="array" ref="R663:R663">_xlfn.XLOOKUP(B663,'OA名单'!B:B,'OA名单'!F:F)</f>
      </c>
      <c r="S663" s="63">
        <f t="shared" si="10"/>
      </c>
      <c r="T663" s="70"/>
      <c r="U663" s="63" cm="1">
        <f t="array" ref="U663:U663">_xlfn.XLOOKUP(N663,'OA名单'!B:B,'OA名单'!E:E)</f>
      </c>
      <c r="V663" s="63">
        <f t="shared" si="12"/>
      </c>
      <c r="W663" s="71"/>
      <c r="X663" s="66"/>
      <c r="Y663" s="66"/>
    </row>
    <row hidden="true" r="664">
      <c r="A664" s="66"/>
      <c r="B664" s="66" t="s">
        <v>14276</v>
      </c>
      <c r="C664" s="67" t="s">
        <v>12713</v>
      </c>
      <c r="D664" s="67" t="s">
        <v>12714</v>
      </c>
      <c r="E664" s="66" t="s">
        <v>13146</v>
      </c>
      <c r="F664" s="66" t="s">
        <v>13147</v>
      </c>
      <c r="G664" s="66" t="s">
        <v>13294</v>
      </c>
      <c r="H664" s="66" t="s">
        <v>14277</v>
      </c>
      <c r="I664" s="68">
        <v>0.62</v>
      </c>
      <c r="J664" s="69">
        <v>0.62</v>
      </c>
      <c r="K664" s="66">
        <v>0.62</v>
      </c>
      <c r="L664" s="66">
        <v>1113.16</v>
      </c>
      <c r="M664" s="66">
        <v>3000</v>
      </c>
      <c r="N664" s="63" cm="1">
        <f t="array" ref="N664:N664">_xlfn.XLOOKUP(H664,'OA名单'!C:C,'OA名单'!B:B,1)</f>
      </c>
      <c r="O664" s="63">
        <f t="shared" si="8"/>
      </c>
      <c r="P664" s="63" cm="1">
        <f t="array" ref="P664:P664">_xlfn.XLOOKUP(N664,'OA名单'!B:B,'OA名单'!G:G)</f>
      </c>
      <c r="Q664" s="63">
        <f t="shared" si="11"/>
      </c>
      <c r="R664" s="63" cm="1">
        <f t="array" ref="R664:R664">_xlfn.XLOOKUP(B664,'OA名单'!B:B,'OA名单'!F:F)</f>
      </c>
      <c r="S664" s="63">
        <f t="shared" si="10"/>
      </c>
      <c r="T664" s="70"/>
      <c r="U664" s="63" cm="1">
        <f t="array" ref="U664:U664">_xlfn.XLOOKUP(N664,'OA名单'!B:B,'OA名单'!E:E)</f>
      </c>
      <c r="V664" s="63">
        <f t="shared" si="12"/>
      </c>
      <c r="W664" s="71"/>
      <c r="X664" s="66"/>
      <c r="Y664" s="66"/>
    </row>
    <row hidden="true" r="665">
      <c r="A665" s="66"/>
      <c r="B665" s="66" t="s">
        <v>14278</v>
      </c>
      <c r="C665" s="67" t="s">
        <v>12713</v>
      </c>
      <c r="D665" s="67" t="s">
        <v>12714</v>
      </c>
      <c r="E665" s="66" t="s">
        <v>13097</v>
      </c>
      <c r="F665" s="66" t="s">
        <v>13130</v>
      </c>
      <c r="G665" s="66" t="s">
        <v>13443</v>
      </c>
      <c r="H665" s="66" t="s">
        <v>14279</v>
      </c>
      <c r="I665" s="68">
        <v>0.62425</v>
      </c>
      <c r="J665" s="69">
        <v>0.61</v>
      </c>
      <c r="K665" s="66">
        <v>0.61</v>
      </c>
      <c r="L665" s="66">
        <v>4610</v>
      </c>
      <c r="M665" s="66">
        <v>5000</v>
      </c>
      <c r="N665" s="63" cm="1">
        <f t="array" ref="N665:N665">_xlfn.XLOOKUP(H665,'OA名单'!C:C,'OA名单'!B:B,1)</f>
      </c>
      <c r="O665" s="63">
        <f t="shared" si="8"/>
      </c>
      <c r="P665" s="63" cm="1">
        <f t="array" ref="P665:P665">_xlfn.XLOOKUP(N665,'OA名单'!B:B,'OA名单'!G:G)</f>
      </c>
      <c r="Q665" s="63">
        <f t="shared" si="11"/>
      </c>
      <c r="R665" s="63" cm="1">
        <f t="array" ref="R665:R665">_xlfn.XLOOKUP(B665,'OA名单'!B:B,'OA名单'!F:F)</f>
      </c>
      <c r="S665" s="63">
        <f t="shared" si="10"/>
      </c>
      <c r="T665" s="70"/>
      <c r="U665" s="63" cm="1">
        <f t="array" ref="U665:U665">_xlfn.XLOOKUP(N665,'OA名单'!B:B,'OA名单'!E:E)</f>
      </c>
      <c r="V665" s="63">
        <f t="shared" si="12"/>
      </c>
      <c r="W665" s="71"/>
      <c r="X665" s="66"/>
      <c r="Y665" s="66"/>
    </row>
    <row hidden="true" r="666">
      <c r="A666" s="66"/>
      <c r="B666" s="66" t="s">
        <v>14280</v>
      </c>
      <c r="C666" s="67" t="s">
        <v>12713</v>
      </c>
      <c r="D666" s="67" t="s">
        <v>12714</v>
      </c>
      <c r="E666" s="66" t="s">
        <v>12715</v>
      </c>
      <c r="F666" s="66" t="s">
        <v>13187</v>
      </c>
      <c r="G666" s="66" t="s">
        <v>13079</v>
      </c>
      <c r="H666" s="66" t="s">
        <v>14281</v>
      </c>
      <c r="I666" s="68">
        <v>0.6508</v>
      </c>
      <c r="J666" s="69">
        <v>0.61</v>
      </c>
      <c r="K666" s="66">
        <v>0.61</v>
      </c>
      <c r="L666" s="66">
        <v>4626.4</v>
      </c>
      <c r="M666" s="66">
        <v>5000</v>
      </c>
      <c r="N666" s="63" cm="1">
        <f t="array" ref="N666:N666">_xlfn.XLOOKUP(H666,'OA名单'!C:C,'OA名单'!B:B,1)</f>
      </c>
      <c r="O666" s="63">
        <f t="shared" si="8"/>
      </c>
      <c r="P666" s="63" cm="1">
        <f t="array" ref="P666:P666">_xlfn.XLOOKUP(N666,'OA名单'!B:B,'OA名单'!G:G)</f>
      </c>
      <c r="Q666" s="63">
        <f t="shared" si="11"/>
      </c>
      <c r="R666" s="63" cm="1">
        <f t="array" ref="R666:R666">_xlfn.XLOOKUP(B666,'OA名单'!B:B,'OA名单'!F:F)</f>
      </c>
      <c r="S666" s="63">
        <f t="shared" si="10"/>
      </c>
      <c r="T666" s="70"/>
      <c r="U666" s="63" cm="1">
        <f t="array" ref="U666:U666">_xlfn.XLOOKUP(N666,'OA名单'!B:B,'OA名单'!E:E)</f>
      </c>
      <c r="V666" s="63">
        <f t="shared" si="12"/>
      </c>
      <c r="W666" s="71"/>
      <c r="X666" s="66"/>
      <c r="Y666" s="66"/>
    </row>
    <row hidden="true" r="667">
      <c r="A667" s="66"/>
      <c r="B667" s="66" t="s">
        <v>14282</v>
      </c>
      <c r="C667" s="67" t="s">
        <v>12713</v>
      </c>
      <c r="D667" s="67" t="s">
        <v>12714</v>
      </c>
      <c r="E667" s="66" t="s">
        <v>12715</v>
      </c>
      <c r="F667" s="66" t="s">
        <v>13187</v>
      </c>
      <c r="G667" s="66" t="s">
        <v>12982</v>
      </c>
      <c r="H667" s="66" t="s">
        <v>14283</v>
      </c>
      <c r="I667" s="68">
        <v>0.562465</v>
      </c>
      <c r="J667" s="69">
        <v>0.61</v>
      </c>
      <c r="K667" s="66">
        <v>0.61</v>
      </c>
      <c r="L667" s="66">
        <v>1198.5</v>
      </c>
      <c r="M667" s="66">
        <v>1500</v>
      </c>
      <c r="N667" s="63" cm="1">
        <f t="array" ref="N667:N667">_xlfn.XLOOKUP(H667,'OA名单'!C:C,'OA名单'!B:B,1)</f>
      </c>
      <c r="O667" s="63">
        <f t="shared" si="8"/>
      </c>
      <c r="P667" s="63" cm="1">
        <f t="array" ref="P667:P667">_xlfn.XLOOKUP(N667,'OA名单'!B:B,'OA名单'!G:G)</f>
      </c>
      <c r="Q667" s="63">
        <f t="shared" si="11"/>
      </c>
      <c r="R667" s="63" cm="1">
        <f t="array" ref="R667:R667">_xlfn.XLOOKUP(B667,'OA名单'!B:B,'OA名单'!F:F)</f>
      </c>
      <c r="S667" s="63">
        <f t="shared" si="10"/>
      </c>
      <c r="T667" s="70"/>
      <c r="U667" s="63" cm="1">
        <f t="array" ref="U667:U667">_xlfn.XLOOKUP(N667,'OA名单'!B:B,'OA名单'!E:E)</f>
      </c>
      <c r="V667" s="63">
        <f t="shared" si="12"/>
      </c>
      <c r="W667" s="71"/>
      <c r="X667" s="66"/>
      <c r="Y667" s="66"/>
    </row>
    <row hidden="true" r="668">
      <c r="A668" s="66"/>
      <c r="B668" s="66" t="s">
        <v>14284</v>
      </c>
      <c r="C668" s="67" t="s">
        <v>12713</v>
      </c>
      <c r="D668" s="67" t="s">
        <v>12714</v>
      </c>
      <c r="E668" s="66" t="s">
        <v>12782</v>
      </c>
      <c r="F668" s="66" t="s">
        <v>12997</v>
      </c>
      <c r="G668" s="66" t="s">
        <v>12751</v>
      </c>
      <c r="H668" s="66" t="s">
        <v>14285</v>
      </c>
      <c r="I668" s="68">
        <v>0.6008</v>
      </c>
      <c r="J668" s="69">
        <v>0.6</v>
      </c>
      <c r="K668" s="66">
        <v>0.6</v>
      </c>
      <c r="L668" s="66">
        <v>0</v>
      </c>
      <c r="M668" s="66">
        <v>6000</v>
      </c>
      <c r="N668" s="63" cm="1">
        <f t="array" ref="N668:N668">_xlfn.XLOOKUP(H668,'OA名单'!C:C,'OA名单'!B:B,1)</f>
      </c>
      <c r="O668" s="63">
        <f t="shared" si="8"/>
      </c>
      <c r="P668" s="63" cm="1">
        <f t="array" ref="P668:P668">_xlfn.XLOOKUP(N668,'OA名单'!B:B,'OA名单'!G:G)</f>
      </c>
      <c r="Q668" s="63">
        <f t="shared" si="11"/>
      </c>
      <c r="R668" s="63" cm="1">
        <f t="array" ref="R668:R668">_xlfn.XLOOKUP(B668,'OA名单'!B:B,'OA名单'!F:F)</f>
      </c>
      <c r="S668" s="63">
        <f t="shared" si="10"/>
      </c>
      <c r="T668" s="70"/>
      <c r="U668" s="63" cm="1">
        <f t="array" ref="U668:U668">_xlfn.XLOOKUP(N668,'OA名单'!B:B,'OA名单'!E:E)</f>
      </c>
      <c r="V668" s="63">
        <f t="shared" si="12"/>
      </c>
      <c r="W668" s="71"/>
      <c r="X668" s="66"/>
      <c r="Y668" s="66"/>
    </row>
    <row hidden="true" r="669">
      <c r="A669" s="66"/>
      <c r="B669" s="66" t="s">
        <v>14286</v>
      </c>
      <c r="C669" s="67" t="s">
        <v>12713</v>
      </c>
      <c r="D669" s="67" t="s">
        <v>12714</v>
      </c>
      <c r="E669" s="66" t="s">
        <v>12776</v>
      </c>
      <c r="F669" s="66" t="s">
        <v>12981</v>
      </c>
      <c r="G669" s="66" t="s">
        <v>13079</v>
      </c>
      <c r="H669" s="66" t="s">
        <v>14287</v>
      </c>
      <c r="I669" s="68">
        <v>0.5971</v>
      </c>
      <c r="J669" s="69">
        <v>0.6</v>
      </c>
      <c r="K669" s="66">
        <v>0.6</v>
      </c>
      <c r="L669" s="66">
        <v>0</v>
      </c>
      <c r="M669" s="66">
        <v>5000</v>
      </c>
      <c r="N669" s="63" cm="1">
        <f t="array" ref="N669:N669">_xlfn.XLOOKUP(H669,'OA名单'!C:C,'OA名单'!B:B,1)</f>
      </c>
      <c r="O669" s="63">
        <f t="shared" si="8"/>
      </c>
      <c r="P669" s="63" cm="1">
        <f t="array" ref="P669:P669">_xlfn.XLOOKUP(N669,'OA名单'!B:B,'OA名单'!G:G)</f>
      </c>
      <c r="Q669" s="63">
        <f t="shared" si="11"/>
      </c>
      <c r="R669" s="63" cm="1">
        <f t="array" ref="R669:R669">_xlfn.XLOOKUP(B669,'OA名单'!B:B,'OA名单'!F:F)</f>
      </c>
      <c r="S669" s="63">
        <f t="shared" si="10"/>
      </c>
      <c r="T669" s="70"/>
      <c r="U669" s="63" cm="1">
        <f t="array" ref="U669:U669">_xlfn.XLOOKUP(N669,'OA名单'!B:B,'OA名单'!E:E)</f>
      </c>
      <c r="V669" s="63">
        <f t="shared" si="12"/>
      </c>
      <c r="W669" s="71"/>
      <c r="X669" s="66"/>
      <c r="Y669" s="66"/>
    </row>
    <row hidden="true" r="670">
      <c r="A670" s="66"/>
      <c r="B670" s="66" t="s">
        <v>14288</v>
      </c>
      <c r="C670" s="67" t="s">
        <v>12713</v>
      </c>
      <c r="D670" s="67" t="s">
        <v>12714</v>
      </c>
      <c r="E670" s="66" t="s">
        <v>13027</v>
      </c>
      <c r="F670" s="66" t="s">
        <v>13240</v>
      </c>
      <c r="G670" s="66" t="s">
        <v>12751</v>
      </c>
      <c r="H670" s="66" t="s">
        <v>14289</v>
      </c>
      <c r="I670" s="68">
        <v>0.664</v>
      </c>
      <c r="J670" s="69">
        <v>0.6</v>
      </c>
      <c r="K670" s="66">
        <v>0.6</v>
      </c>
      <c r="L670" s="66">
        <v>0</v>
      </c>
      <c r="M670" s="66">
        <v>5000</v>
      </c>
      <c r="N670" s="63" cm="1">
        <f t="array" ref="N670:N670">_xlfn.XLOOKUP(H670,'OA名单'!C:C,'OA名单'!B:B,1)</f>
      </c>
      <c r="O670" s="63">
        <f t="shared" si="8"/>
      </c>
      <c r="P670" s="63" cm="1">
        <f t="array" ref="P670:P670">_xlfn.XLOOKUP(N670,'OA名单'!B:B,'OA名单'!G:G)</f>
      </c>
      <c r="Q670" s="63">
        <f t="shared" si="11"/>
      </c>
      <c r="R670" s="63" cm="1">
        <f t="array" ref="R670:R670">_xlfn.XLOOKUP(B670,'OA名单'!B:B,'OA名单'!F:F)</f>
      </c>
      <c r="S670" s="63">
        <f t="shared" si="10"/>
      </c>
      <c r="T670" s="70"/>
      <c r="U670" s="63" cm="1">
        <f t="array" ref="U670:U670">_xlfn.XLOOKUP(N670,'OA名单'!B:B,'OA名单'!E:E)</f>
      </c>
      <c r="V670" s="63">
        <f t="shared" si="12"/>
      </c>
      <c r="W670" s="71"/>
      <c r="X670" s="66"/>
      <c r="Y670" s="66"/>
    </row>
    <row hidden="true" r="671">
      <c r="A671" s="66"/>
      <c r="B671" s="66" t="s">
        <v>14290</v>
      </c>
      <c r="C671" s="67" t="s">
        <v>12713</v>
      </c>
      <c r="D671" s="67" t="s">
        <v>12714</v>
      </c>
      <c r="E671" s="66" t="s">
        <v>13011</v>
      </c>
      <c r="F671" s="66" t="s">
        <v>13042</v>
      </c>
      <c r="G671" s="66" t="s">
        <v>13043</v>
      </c>
      <c r="H671" s="66" t="s">
        <v>14291</v>
      </c>
      <c r="I671" s="68">
        <v>0.416386</v>
      </c>
      <c r="J671" s="69">
        <v>0.6</v>
      </c>
      <c r="K671" s="66">
        <v>0.6</v>
      </c>
      <c r="L671" s="66">
        <v>792.77</v>
      </c>
      <c r="M671" s="66">
        <v>2000</v>
      </c>
      <c r="N671" s="63" cm="1">
        <f t="array" ref="N671:N671">_xlfn.XLOOKUP(H671,'OA名单'!C:C,'OA名单'!B:B,1)</f>
      </c>
      <c r="O671" s="63">
        <f t="shared" si="8"/>
      </c>
      <c r="P671" s="63" cm="1">
        <f t="array" ref="P671:P671">_xlfn.XLOOKUP(N671,'OA名单'!B:B,'OA名单'!G:G)</f>
      </c>
      <c r="Q671" s="63">
        <f t="shared" si="11"/>
      </c>
      <c r="R671" s="63" cm="1">
        <f t="array" ref="R671:R671">_xlfn.XLOOKUP(B671,'OA名单'!B:B,'OA名单'!F:F)</f>
      </c>
      <c r="S671" s="63">
        <f t="shared" si="10"/>
      </c>
      <c r="T671" s="70"/>
      <c r="U671" s="63" cm="1">
        <f t="array" ref="U671:U671">_xlfn.XLOOKUP(N671,'OA名单'!B:B,'OA名单'!E:E)</f>
      </c>
      <c r="V671" s="63">
        <f t="shared" si="12"/>
      </c>
      <c r="W671" s="71"/>
      <c r="X671" s="66"/>
      <c r="Y671" s="66"/>
    </row>
    <row hidden="true" r="672">
      <c r="A672" s="66"/>
      <c r="B672" s="66" t="s">
        <v>14292</v>
      </c>
      <c r="C672" s="67" t="s">
        <v>12713</v>
      </c>
      <c r="D672" s="67" t="s">
        <v>12714</v>
      </c>
      <c r="E672" s="66" t="s">
        <v>12715</v>
      </c>
      <c r="F672" s="66" t="s">
        <v>13214</v>
      </c>
      <c r="G672" s="66" t="s">
        <v>13079</v>
      </c>
      <c r="H672" s="66" t="s">
        <v>14293</v>
      </c>
      <c r="I672" s="68">
        <v>0.712435</v>
      </c>
      <c r="J672" s="69">
        <v>0.59</v>
      </c>
      <c r="K672" s="66">
        <v>0.59</v>
      </c>
      <c r="L672" s="66">
        <v>6000</v>
      </c>
      <c r="M672" s="66">
        <v>5000</v>
      </c>
      <c r="N672" s="63" cm="1">
        <f t="array" ref="N672:N672">_xlfn.XLOOKUP(H672,'OA名单'!C:C,'OA名单'!B:B,1)</f>
      </c>
      <c r="O672" s="63">
        <f t="shared" si="8"/>
      </c>
      <c r="P672" s="63" cm="1">
        <f t="array" ref="P672:P672">_xlfn.XLOOKUP(N672,'OA名单'!B:B,'OA名单'!G:G)</f>
      </c>
      <c r="Q672" s="63">
        <f t="shared" si="11"/>
      </c>
      <c r="R672" s="63" cm="1">
        <f t="array" ref="R672:R672">_xlfn.XLOOKUP(B672,'OA名单'!B:B,'OA名单'!F:F)</f>
      </c>
      <c r="S672" s="63">
        <f t="shared" si="10"/>
      </c>
      <c r="T672" s="70"/>
      <c r="U672" s="63" cm="1">
        <f t="array" ref="U672:U672">_xlfn.XLOOKUP(N672,'OA名单'!B:B,'OA名单'!E:E)</f>
      </c>
      <c r="V672" s="63">
        <f t="shared" si="12"/>
      </c>
      <c r="W672" s="71"/>
      <c r="X672" s="66"/>
      <c r="Y672" s="66"/>
    </row>
    <row hidden="true" r="673">
      <c r="A673" s="66"/>
      <c r="B673" s="66" t="s">
        <v>14294</v>
      </c>
      <c r="C673" s="67" t="s">
        <v>12713</v>
      </c>
      <c r="D673" s="67" t="s">
        <v>12714</v>
      </c>
      <c r="E673" s="66" t="s">
        <v>12782</v>
      </c>
      <c r="F673" s="66" t="s">
        <v>13297</v>
      </c>
      <c r="G673" s="66" t="s">
        <v>12982</v>
      </c>
      <c r="H673" s="66" t="s">
        <v>14295</v>
      </c>
      <c r="I673" s="68">
        <v>0.585</v>
      </c>
      <c r="J673" s="69">
        <v>0.59</v>
      </c>
      <c r="K673" s="66">
        <v>0.59</v>
      </c>
      <c r="L673" s="66">
        <v>1509</v>
      </c>
      <c r="M673" s="66">
        <v>1500</v>
      </c>
      <c r="N673" s="63" cm="1">
        <f t="array" ref="N673:N673">_xlfn.XLOOKUP(H673,'OA名单'!C:C,'OA名单'!B:B,1)</f>
      </c>
      <c r="O673" s="63">
        <f t="shared" si="8"/>
      </c>
      <c r="P673" s="63" cm="1">
        <f t="array" ref="P673:P673">_xlfn.XLOOKUP(N673,'OA名单'!B:B,'OA名单'!G:G)</f>
      </c>
      <c r="Q673" s="63">
        <f t="shared" si="11"/>
      </c>
      <c r="R673" s="63" cm="1">
        <f t="array" ref="R673:R673">_xlfn.XLOOKUP(B673,'OA名单'!B:B,'OA名单'!F:F)</f>
      </c>
      <c r="S673" s="63">
        <f t="shared" si="10"/>
      </c>
      <c r="T673" s="70"/>
      <c r="U673" s="63" cm="1">
        <f t="array" ref="U673:U673">_xlfn.XLOOKUP(N673,'OA名单'!B:B,'OA名单'!E:E)</f>
      </c>
      <c r="V673" s="63">
        <f t="shared" si="12"/>
      </c>
      <c r="W673" s="71"/>
      <c r="X673" s="66"/>
      <c r="Y673" s="66"/>
    </row>
    <row hidden="true" r="674">
      <c r="A674" s="66"/>
      <c r="B674" s="66" t="s">
        <v>14296</v>
      </c>
      <c r="C674" s="67" t="s">
        <v>12713</v>
      </c>
      <c r="D674" s="67" t="s">
        <v>12714</v>
      </c>
      <c r="E674" s="66" t="s">
        <v>12715</v>
      </c>
      <c r="F674" s="66" t="s">
        <v>13187</v>
      </c>
      <c r="G674" s="66" t="s">
        <v>13079</v>
      </c>
      <c r="H674" s="66" t="s">
        <v>14297</v>
      </c>
      <c r="I674" s="68">
        <v>0.5492</v>
      </c>
      <c r="J674" s="69">
        <v>0.58</v>
      </c>
      <c r="K674" s="66">
        <v>0.58</v>
      </c>
      <c r="L674" s="66">
        <v>0</v>
      </c>
      <c r="M674" s="66">
        <v>5000</v>
      </c>
      <c r="N674" s="63" cm="1">
        <f t="array" ref="N674:N674">_xlfn.XLOOKUP(H674,'OA名单'!C:C,'OA名单'!B:B,1)</f>
      </c>
      <c r="O674" s="63">
        <f t="shared" si="8"/>
      </c>
      <c r="P674" s="63" cm="1">
        <f t="array" ref="P674:P674">_xlfn.XLOOKUP(N674,'OA名单'!B:B,'OA名单'!G:G)</f>
      </c>
      <c r="Q674" s="63">
        <f t="shared" si="11"/>
      </c>
      <c r="R674" s="63" cm="1">
        <f t="array" ref="R674:R674">_xlfn.XLOOKUP(B674,'OA名单'!B:B,'OA名单'!F:F)</f>
      </c>
      <c r="S674" s="63">
        <f t="shared" si="10"/>
      </c>
      <c r="T674" s="70"/>
      <c r="U674" s="63" cm="1">
        <f t="array" ref="U674:U674">_xlfn.XLOOKUP(N674,'OA名单'!B:B,'OA名单'!E:E)</f>
      </c>
      <c r="V674" s="63">
        <f t="shared" si="12"/>
      </c>
      <c r="W674" s="71"/>
      <c r="X674" s="66"/>
      <c r="Y674" s="66"/>
    </row>
    <row hidden="true" r="675">
      <c r="A675" s="66"/>
      <c r="B675" s="66" t="s">
        <v>14298</v>
      </c>
      <c r="C675" s="67" t="s">
        <v>12713</v>
      </c>
      <c r="D675" s="67" t="s">
        <v>12714</v>
      </c>
      <c r="E675" s="66" t="s">
        <v>12782</v>
      </c>
      <c r="F675" s="66" t="s">
        <v>12997</v>
      </c>
      <c r="G675" s="66" t="s">
        <v>12982</v>
      </c>
      <c r="H675" s="66" t="s">
        <v>14299</v>
      </c>
      <c r="I675" s="68">
        <v>0.51</v>
      </c>
      <c r="J675" s="69">
        <v>0.56</v>
      </c>
      <c r="K675" s="66">
        <v>0.56</v>
      </c>
      <c r="L675" s="66">
        <v>1706.9</v>
      </c>
      <c r="M675" s="66">
        <v>1500</v>
      </c>
      <c r="N675" s="63" cm="1">
        <f t="array" ref="N675:N675">_xlfn.XLOOKUP(H675,'OA名单'!C:C,'OA名单'!B:B,1)</f>
      </c>
      <c r="O675" s="63">
        <f t="shared" si="8"/>
      </c>
      <c r="P675" s="63" cm="1">
        <f t="array" ref="P675:P675">_xlfn.XLOOKUP(N675,'OA名单'!B:B,'OA名单'!G:G)</f>
      </c>
      <c r="Q675" s="63">
        <f t="shared" si="11"/>
      </c>
      <c r="R675" s="63" cm="1">
        <f t="array" ref="R675:R675">_xlfn.XLOOKUP(B675,'OA名单'!B:B,'OA名单'!F:F)</f>
      </c>
      <c r="S675" s="63">
        <f t="shared" si="10"/>
      </c>
      <c r="T675" s="70"/>
      <c r="U675" s="63" cm="1">
        <f t="array" ref="U675:U675">_xlfn.XLOOKUP(N675,'OA名单'!B:B,'OA名单'!E:E)</f>
      </c>
      <c r="V675" s="63">
        <f t="shared" si="12"/>
      </c>
      <c r="W675" s="71"/>
      <c r="X675" s="66"/>
      <c r="Y675" s="66"/>
    </row>
    <row hidden="true" r="676">
      <c r="A676" s="66"/>
      <c r="B676" s="66" t="s">
        <v>14300</v>
      </c>
      <c r="C676" s="67" t="s">
        <v>12713</v>
      </c>
      <c r="D676" s="67" t="s">
        <v>12714</v>
      </c>
      <c r="E676" s="66" t="s">
        <v>13146</v>
      </c>
      <c r="F676" s="66" t="s">
        <v>13147</v>
      </c>
      <c r="G676" s="66" t="s">
        <v>13148</v>
      </c>
      <c r="H676" s="66" t="s">
        <v>14301</v>
      </c>
      <c r="I676" s="68">
        <v>0.62</v>
      </c>
      <c r="J676" s="69">
        <v>0.56</v>
      </c>
      <c r="K676" s="66">
        <v>0.56</v>
      </c>
      <c r="L676" s="66">
        <v>2545.45</v>
      </c>
      <c r="M676" s="66">
        <v>3000</v>
      </c>
      <c r="N676" s="63" cm="1">
        <f t="array" ref="N676:N676">_xlfn.XLOOKUP(H676,'OA名单'!C:C,'OA名单'!B:B,1)</f>
      </c>
      <c r="O676" s="63">
        <f t="shared" si="8"/>
      </c>
      <c r="P676" s="63" cm="1">
        <f t="array" ref="P676:P676">_xlfn.XLOOKUP(N676,'OA名单'!B:B,'OA名单'!G:G)</f>
      </c>
      <c r="Q676" s="63">
        <f t="shared" si="11"/>
      </c>
      <c r="R676" s="63" cm="1">
        <f t="array" ref="R676:R676">_xlfn.XLOOKUP(B676,'OA名单'!B:B,'OA名单'!F:F)</f>
      </c>
      <c r="S676" s="63">
        <f t="shared" si="10"/>
      </c>
      <c r="T676" s="70"/>
      <c r="U676" s="63" cm="1">
        <f t="array" ref="U676:U676">_xlfn.XLOOKUP(N676,'OA名单'!B:B,'OA名单'!E:E)</f>
      </c>
      <c r="V676" s="63">
        <f t="shared" si="12"/>
      </c>
      <c r="W676" s="71"/>
      <c r="X676" s="66"/>
      <c r="Y676" s="66"/>
    </row>
    <row hidden="true" r="677">
      <c r="A677" s="66"/>
      <c r="B677" s="66" t="s">
        <v>14302</v>
      </c>
      <c r="C677" s="67" t="s">
        <v>12713</v>
      </c>
      <c r="D677" s="67" t="s">
        <v>12714</v>
      </c>
      <c r="E677" s="66" t="s">
        <v>13177</v>
      </c>
      <c r="F677" s="66" t="s">
        <v>14303</v>
      </c>
      <c r="G677" s="66" t="s">
        <v>13949</v>
      </c>
      <c r="H677" s="66" t="s">
        <v>14304</v>
      </c>
      <c r="I677" s="68">
        <v>0.55653</v>
      </c>
      <c r="J677" s="69">
        <v>0.56</v>
      </c>
      <c r="K677" s="66">
        <v>0.56</v>
      </c>
      <c r="L677" s="66">
        <v>2399</v>
      </c>
      <c r="M677" s="66">
        <v>6000</v>
      </c>
      <c r="N677" s="63" cm="1">
        <f t="array" ref="N677:N677">_xlfn.XLOOKUP(H677,'OA名单'!C:C,'OA名单'!B:B,1)</f>
      </c>
      <c r="O677" s="63">
        <f t="shared" si="8"/>
      </c>
      <c r="P677" s="63" cm="1">
        <f t="array" ref="P677:P677">_xlfn.XLOOKUP(N677,'OA名单'!B:B,'OA名单'!G:G)</f>
      </c>
      <c r="Q677" s="63">
        <f t="shared" si="11"/>
      </c>
      <c r="R677" s="63" cm="1">
        <f t="array" ref="R677:R677">_xlfn.XLOOKUP(B677,'OA名单'!B:B,'OA名单'!F:F)</f>
      </c>
      <c r="S677" s="63">
        <f t="shared" si="10"/>
      </c>
      <c r="T677" s="70"/>
      <c r="U677" s="63" cm="1">
        <f t="array" ref="U677:U677">_xlfn.XLOOKUP(N677,'OA名单'!B:B,'OA名单'!E:E)</f>
      </c>
      <c r="V677" s="63">
        <f t="shared" si="12"/>
      </c>
      <c r="W677" s="71"/>
      <c r="X677" s="66"/>
      <c r="Y677" s="66"/>
    </row>
    <row hidden="true" r="678">
      <c r="A678" s="66"/>
      <c r="B678" s="66" t="s">
        <v>14305</v>
      </c>
      <c r="C678" s="67" t="s">
        <v>12713</v>
      </c>
      <c r="D678" s="67" t="s">
        <v>12714</v>
      </c>
      <c r="E678" s="66" t="s">
        <v>12776</v>
      </c>
      <c r="F678" s="66" t="s">
        <v>13024</v>
      </c>
      <c r="G678" s="66" t="s">
        <v>13021</v>
      </c>
      <c r="H678" s="66" t="s">
        <v>14306</v>
      </c>
      <c r="I678" s="68">
        <v>0.69701</v>
      </c>
      <c r="J678" s="69">
        <v>0.56</v>
      </c>
      <c r="K678" s="66">
        <v>0.56</v>
      </c>
      <c r="L678" s="66">
        <v>3410</v>
      </c>
      <c r="M678" s="66">
        <v>2000</v>
      </c>
      <c r="N678" s="63" cm="1">
        <f t="array" ref="N678:N678">_xlfn.XLOOKUP(H678,'OA名单'!C:C,'OA名单'!B:B,1)</f>
      </c>
      <c r="O678" s="63">
        <f t="shared" si="8"/>
      </c>
      <c r="P678" s="63" cm="1">
        <f t="array" ref="P678:P678">_xlfn.XLOOKUP(N678,'OA名单'!B:B,'OA名单'!G:G)</f>
      </c>
      <c r="Q678" s="63">
        <f t="shared" si="11"/>
      </c>
      <c r="R678" s="63" cm="1">
        <f t="array" ref="R678:R678">_xlfn.XLOOKUP(B678,'OA名单'!B:B,'OA名单'!F:F)</f>
      </c>
      <c r="S678" s="63">
        <f t="shared" si="10"/>
      </c>
      <c r="T678" s="70"/>
      <c r="U678" s="63" cm="1">
        <f t="array" ref="U678:U678">_xlfn.XLOOKUP(N678,'OA名单'!B:B,'OA名单'!E:E)</f>
      </c>
      <c r="V678" s="63">
        <f t="shared" si="12"/>
      </c>
      <c r="W678" s="71"/>
      <c r="X678" s="66"/>
      <c r="Y678" s="66"/>
    </row>
    <row hidden="true" r="679">
      <c r="A679" s="66"/>
      <c r="B679" s="66" t="s">
        <v>14307</v>
      </c>
      <c r="C679" s="67" t="s">
        <v>12713</v>
      </c>
      <c r="D679" s="67" t="s">
        <v>12714</v>
      </c>
      <c r="E679" s="66" t="s">
        <v>13352</v>
      </c>
      <c r="F679" s="66" t="s">
        <v>13846</v>
      </c>
      <c r="G679" s="66" t="s">
        <v>14308</v>
      </c>
      <c r="H679" s="66" t="s">
        <v>14309</v>
      </c>
      <c r="I679" s="68">
        <v>0.54712</v>
      </c>
      <c r="J679" s="69">
        <v>0.55</v>
      </c>
      <c r="K679" s="66">
        <v>0.55</v>
      </c>
      <c r="L679" s="66">
        <v>2750</v>
      </c>
      <c r="M679" s="66">
        <v>5000</v>
      </c>
      <c r="N679" s="63" cm="1">
        <f t="array" ref="N679:N679">_xlfn.XLOOKUP(H679,'OA名单'!C:C,'OA名单'!B:B,1)</f>
      </c>
      <c r="O679" s="63">
        <f t="shared" si="8"/>
      </c>
      <c r="P679" s="63" cm="1">
        <f t="array" ref="P679:P679">_xlfn.XLOOKUP(N679,'OA名单'!B:B,'OA名单'!G:G)</f>
      </c>
      <c r="Q679" s="63">
        <f t="shared" si="11"/>
      </c>
      <c r="R679" s="63" cm="1">
        <f t="array" ref="R679:R679">_xlfn.XLOOKUP(B679,'OA名单'!B:B,'OA名单'!F:F)</f>
      </c>
      <c r="S679" s="63">
        <f t="shared" si="10"/>
      </c>
      <c r="T679" s="70"/>
      <c r="U679" s="63" cm="1">
        <f t="array" ref="U679:U679">_xlfn.XLOOKUP(N679,'OA名单'!B:B,'OA名单'!E:E)</f>
      </c>
      <c r="V679" s="63">
        <f t="shared" si="12"/>
      </c>
      <c r="W679" s="71"/>
      <c r="X679" s="66"/>
      <c r="Y679" s="66"/>
    </row>
    <row hidden="true" r="680">
      <c r="A680" s="66"/>
      <c r="B680" s="66" t="s">
        <v>14310</v>
      </c>
      <c r="C680" s="67" t="s">
        <v>12713</v>
      </c>
      <c r="D680" s="67" t="s">
        <v>12714</v>
      </c>
      <c r="E680" s="66" t="s">
        <v>13177</v>
      </c>
      <c r="F680" s="66" t="s">
        <v>14311</v>
      </c>
      <c r="G680" s="66" t="s">
        <v>13179</v>
      </c>
      <c r="H680" s="66" t="s">
        <v>14312</v>
      </c>
      <c r="I680" s="68">
        <v>0.589</v>
      </c>
      <c r="J680" s="69">
        <v>0.55</v>
      </c>
      <c r="K680" s="66">
        <v>0.55</v>
      </c>
      <c r="L680" s="66">
        <v>5270.08</v>
      </c>
      <c r="M680" s="66">
        <v>6000</v>
      </c>
      <c r="N680" s="63" cm="1">
        <f t="array" ref="N680:N680">_xlfn.XLOOKUP(H680,'OA名单'!C:C,'OA名单'!B:B,1)</f>
      </c>
      <c r="O680" s="63">
        <f t="shared" si="8"/>
      </c>
      <c r="P680" s="63" cm="1">
        <f t="array" ref="P680:P680">_xlfn.XLOOKUP(N680,'OA名单'!B:B,'OA名单'!G:G)</f>
      </c>
      <c r="Q680" s="63">
        <f t="shared" si="11"/>
      </c>
      <c r="R680" s="63" cm="1">
        <f t="array" ref="R680:R680">_xlfn.XLOOKUP(B680,'OA名单'!B:B,'OA名单'!F:F)</f>
      </c>
      <c r="S680" s="63">
        <f t="shared" si="10"/>
      </c>
      <c r="T680" s="70"/>
      <c r="U680" s="63" cm="1">
        <f t="array" ref="U680:U680">_xlfn.XLOOKUP(N680,'OA名单'!B:B,'OA名单'!E:E)</f>
      </c>
      <c r="V680" s="63">
        <f t="shared" si="12"/>
      </c>
      <c r="W680" s="71"/>
      <c r="X680" s="66"/>
      <c r="Y680" s="66"/>
    </row>
    <row hidden="true" r="681">
      <c r="A681" s="66"/>
      <c r="B681" s="66" t="s">
        <v>14313</v>
      </c>
      <c r="C681" s="67" t="s">
        <v>12713</v>
      </c>
      <c r="D681" s="67" t="s">
        <v>12714</v>
      </c>
      <c r="E681" s="66" t="s">
        <v>12776</v>
      </c>
      <c r="F681" s="66" t="s">
        <v>13032</v>
      </c>
      <c r="G681" s="66" t="s">
        <v>12982</v>
      </c>
      <c r="H681" s="66" t="s">
        <v>14314</v>
      </c>
      <c r="I681" s="68">
        <v>0.569826</v>
      </c>
      <c r="J681" s="69">
        <v>0.55</v>
      </c>
      <c r="K681" s="66">
        <v>0.55</v>
      </c>
      <c r="L681" s="66">
        <v>1627</v>
      </c>
      <c r="M681" s="66">
        <v>1500</v>
      </c>
      <c r="N681" s="63" cm="1">
        <f t="array" ref="N681:N681">_xlfn.XLOOKUP(H681,'OA名单'!C:C,'OA名单'!B:B,1)</f>
      </c>
      <c r="O681" s="63">
        <f t="shared" si="8"/>
      </c>
      <c r="P681" s="63" cm="1">
        <f t="array" ref="P681:P681">_xlfn.XLOOKUP(N681,'OA名单'!B:B,'OA名单'!G:G)</f>
      </c>
      <c r="Q681" s="63">
        <f t="shared" si="11"/>
      </c>
      <c r="R681" s="63" cm="1">
        <f t="array" ref="R681:R681">_xlfn.XLOOKUP(B681,'OA名单'!B:B,'OA名单'!F:F)</f>
      </c>
      <c r="S681" s="63">
        <f t="shared" si="10"/>
      </c>
      <c r="T681" s="70"/>
      <c r="U681" s="63" cm="1">
        <f t="array" ref="U681:U681">_xlfn.XLOOKUP(N681,'OA名单'!B:B,'OA名单'!E:E)</f>
      </c>
      <c r="V681" s="63">
        <f t="shared" si="12"/>
      </c>
      <c r="W681" s="71"/>
      <c r="X681" s="66"/>
      <c r="Y681" s="66"/>
    </row>
    <row hidden="true" r="682">
      <c r="A682" s="66"/>
      <c r="B682" s="66" t="s">
        <v>14315</v>
      </c>
      <c r="C682" s="67" t="s">
        <v>12713</v>
      </c>
      <c r="D682" s="67" t="s">
        <v>12714</v>
      </c>
      <c r="E682" s="66" t="s">
        <v>13277</v>
      </c>
      <c r="F682" s="66" t="s">
        <v>13278</v>
      </c>
      <c r="G682" s="66" t="s">
        <v>13279</v>
      </c>
      <c r="H682" s="66" t="s">
        <v>14316</v>
      </c>
      <c r="I682" s="68">
        <v>0.545</v>
      </c>
      <c r="J682" s="69">
        <v>0.55</v>
      </c>
      <c r="K682" s="66">
        <v>0.55</v>
      </c>
      <c r="L682" s="66">
        <v>2461.54</v>
      </c>
      <c r="M682" s="66">
        <v>3000</v>
      </c>
      <c r="N682" s="63" cm="1">
        <f t="array" ref="N682:N682">_xlfn.XLOOKUP(H682,'OA名单'!C:C,'OA名单'!B:B,1)</f>
      </c>
      <c r="O682" s="63">
        <f t="shared" si="8"/>
      </c>
      <c r="P682" s="63" cm="1">
        <f t="array" ref="P682:P682">_xlfn.XLOOKUP(N682,'OA名单'!B:B,'OA名单'!G:G)</f>
      </c>
      <c r="Q682" s="63">
        <f t="shared" si="11"/>
      </c>
      <c r="R682" s="63" cm="1">
        <f t="array" ref="R682:R682">_xlfn.XLOOKUP(B682,'OA名单'!B:B,'OA名单'!F:F)</f>
      </c>
      <c r="S682" s="63">
        <f t="shared" si="10"/>
      </c>
      <c r="T682" s="70"/>
      <c r="U682" s="63" cm="1">
        <f t="array" ref="U682:U682">_xlfn.XLOOKUP(N682,'OA名单'!B:B,'OA名单'!E:E)</f>
      </c>
      <c r="V682" s="63">
        <f t="shared" si="12"/>
      </c>
      <c r="W682" s="71"/>
      <c r="X682" s="66"/>
      <c r="Y682" s="66"/>
    </row>
    <row hidden="true" r="683">
      <c r="A683" s="66"/>
      <c r="B683" s="66" t="s">
        <v>14317</v>
      </c>
      <c r="C683" s="67" t="s">
        <v>12713</v>
      </c>
      <c r="D683" s="67" t="s">
        <v>12714</v>
      </c>
      <c r="E683" s="66" t="s">
        <v>13097</v>
      </c>
      <c r="F683" s="67" t="s">
        <v>13130</v>
      </c>
      <c r="G683" s="66" t="s">
        <v>13067</v>
      </c>
      <c r="H683" s="66" t="s">
        <v>14318</v>
      </c>
      <c r="I683" s="68">
        <v>0.807</v>
      </c>
      <c r="J683" s="69">
        <v>0.55</v>
      </c>
      <c r="K683" s="66">
        <v>0.55</v>
      </c>
      <c r="L683" s="66">
        <v>0</v>
      </c>
      <c r="M683" s="66">
        <v>3000</v>
      </c>
      <c r="N683" s="63" cm="1">
        <f t="array" ref="N683:N683">_xlfn.XLOOKUP(H683,'OA名单'!C:C,'OA名单'!B:B,1)</f>
      </c>
      <c r="O683" s="63">
        <f t="shared" si="8"/>
      </c>
      <c r="P683" s="63" cm="1">
        <f t="array" ref="P683:P683">_xlfn.XLOOKUP(N683,'OA名单'!B:B,'OA名单'!G:G)</f>
      </c>
      <c r="Q683" s="63">
        <f t="shared" si="11"/>
      </c>
      <c r="R683" s="63" cm="1">
        <f t="array" ref="R683:R683">_xlfn.XLOOKUP(B683,'OA名单'!B:B,'OA名单'!F:F)</f>
      </c>
      <c r="S683" s="63">
        <f t="shared" si="10"/>
      </c>
      <c r="T683" s="64" cm="1">
        <f t="array" ref="T683:T683">_xlfn.XLOOKUP(B683,'系统-原始（副本）'!A:A,'系统-原始（副本）'!B:B)</f>
      </c>
      <c r="U683" s="63" cm="1">
        <f t="array" ref="U683:U683">_xlfn.XLOOKUP(N683,'OA名单'!B:B,'OA名单'!E:E)</f>
      </c>
      <c r="V683" s="63">
        <f t="shared" si="12"/>
      </c>
      <c r="W683" s="71"/>
      <c r="X683" s="66"/>
      <c r="Y683" s="66"/>
    </row>
    <row hidden="true" r="684">
      <c r="A684" s="66"/>
      <c r="B684" s="66" t="s">
        <v>14319</v>
      </c>
      <c r="C684" s="67" t="s">
        <v>12713</v>
      </c>
      <c r="D684" s="67" t="s">
        <v>12714</v>
      </c>
      <c r="E684" s="66" t="s">
        <v>13177</v>
      </c>
      <c r="F684" s="66" t="s">
        <v>14320</v>
      </c>
      <c r="G684" s="66" t="s">
        <v>13179</v>
      </c>
      <c r="H684" s="66" t="s">
        <v>14321</v>
      </c>
      <c r="I684" s="68">
        <v>0.63</v>
      </c>
      <c r="J684" s="69">
        <v>0.54</v>
      </c>
      <c r="K684" s="66">
        <v>0.54</v>
      </c>
      <c r="L684" s="66">
        <v>4817.63</v>
      </c>
      <c r="M684" s="66">
        <v>6000</v>
      </c>
      <c r="N684" s="63" cm="1">
        <f t="array" ref="N684:N684">_xlfn.XLOOKUP(H684,'OA名单'!C:C,'OA名单'!B:B,1)</f>
      </c>
      <c r="O684" s="63">
        <f t="shared" si="8"/>
      </c>
      <c r="P684" s="63" cm="1">
        <f t="array" ref="P684:P684">_xlfn.XLOOKUP(N684,'OA名单'!B:B,'OA名单'!G:G)</f>
      </c>
      <c r="Q684" s="63">
        <f t="shared" si="11"/>
      </c>
      <c r="R684" s="63" cm="1">
        <f t="array" ref="R684:R684">_xlfn.XLOOKUP(B684,'OA名单'!B:B,'OA名单'!F:F)</f>
      </c>
      <c r="S684" s="63">
        <f t="shared" si="10"/>
      </c>
      <c r="T684" s="70"/>
      <c r="U684" s="63" cm="1">
        <f t="array" ref="U684:U684">_xlfn.XLOOKUP(N684,'OA名单'!B:B,'OA名单'!E:E)</f>
      </c>
      <c r="V684" s="63">
        <f t="shared" si="12"/>
      </c>
      <c r="W684" s="71"/>
      <c r="X684" s="66"/>
      <c r="Y684" s="66"/>
    </row>
    <row hidden="true" r="685">
      <c r="A685" s="66"/>
      <c r="B685" s="66" t="s">
        <v>14322</v>
      </c>
      <c r="C685" s="67" t="s">
        <v>12713</v>
      </c>
      <c r="D685" s="67" t="s">
        <v>12714</v>
      </c>
      <c r="E685" s="66" t="s">
        <v>12776</v>
      </c>
      <c r="F685" s="66" t="s">
        <v>12981</v>
      </c>
      <c r="G685" s="66" t="s">
        <v>13094</v>
      </c>
      <c r="H685" s="66" t="s">
        <v>14323</v>
      </c>
      <c r="I685" s="68">
        <v>0.56422</v>
      </c>
      <c r="J685" s="69">
        <v>0.54</v>
      </c>
      <c r="K685" s="66">
        <v>0.54</v>
      </c>
      <c r="L685" s="66">
        <v>0</v>
      </c>
      <c r="M685" s="66">
        <v>0</v>
      </c>
      <c r="N685" s="63" cm="1">
        <f t="array" ref="N685:N685">_xlfn.XLOOKUP(H685,'OA名单'!C:C,'OA名单'!B:B,1)</f>
      </c>
      <c r="O685" s="63">
        <f t="shared" si="8"/>
      </c>
      <c r="P685" s="63" cm="1">
        <f t="array" ref="P685:P685">_xlfn.XLOOKUP(N685,'OA名单'!B:B,'OA名单'!G:G)</f>
      </c>
      <c r="Q685" s="63">
        <f t="shared" si="11"/>
      </c>
      <c r="R685" s="63" cm="1">
        <f t="array" ref="R685:R685">_xlfn.XLOOKUP(B685,'OA名单'!B:B,'OA名单'!F:F)</f>
      </c>
      <c r="S685" s="63">
        <f t="shared" si="10"/>
      </c>
      <c r="T685" s="70"/>
      <c r="U685" s="63" cm="1">
        <f t="array" ref="U685:U685">_xlfn.XLOOKUP(N685,'OA名单'!B:B,'OA名单'!E:E)</f>
      </c>
      <c r="V685" s="63">
        <f t="shared" si="12"/>
      </c>
      <c r="W685" s="71"/>
      <c r="X685" s="66"/>
      <c r="Y685" s="66"/>
    </row>
    <row hidden="true" r="686">
      <c r="A686" s="66"/>
      <c r="B686" s="66" t="s">
        <v>14324</v>
      </c>
      <c r="C686" s="67" t="s">
        <v>12713</v>
      </c>
      <c r="D686" s="67" t="s">
        <v>12714</v>
      </c>
      <c r="E686" s="66" t="s">
        <v>12776</v>
      </c>
      <c r="F686" s="66" t="s">
        <v>13024</v>
      </c>
      <c r="G686" s="66" t="s">
        <v>13079</v>
      </c>
      <c r="H686" s="66" t="s">
        <v>14325</v>
      </c>
      <c r="I686" s="68">
        <v>0.66816</v>
      </c>
      <c r="J686" s="69">
        <v>0.54</v>
      </c>
      <c r="K686" s="66">
        <v>0.54</v>
      </c>
      <c r="L686" s="66">
        <v>2015</v>
      </c>
      <c r="M686" s="66">
        <v>5000</v>
      </c>
      <c r="N686" s="63" cm="1">
        <f t="array" ref="N686:N686">_xlfn.XLOOKUP(H686,'OA名单'!C:C,'OA名单'!B:B,1)</f>
      </c>
      <c r="O686" s="63">
        <f t="shared" si="8"/>
      </c>
      <c r="P686" s="63" cm="1">
        <f t="array" ref="P686:P686">_xlfn.XLOOKUP(N686,'OA名单'!B:B,'OA名单'!G:G)</f>
      </c>
      <c r="Q686" s="63">
        <f t="shared" si="11"/>
      </c>
      <c r="R686" s="63" cm="1">
        <f t="array" ref="R686:R686">_xlfn.XLOOKUP(B686,'OA名单'!B:B,'OA名单'!F:F)</f>
      </c>
      <c r="S686" s="63">
        <f t="shared" si="10"/>
      </c>
      <c r="T686" s="70"/>
      <c r="U686" s="63" cm="1">
        <f t="array" ref="U686:U686">_xlfn.XLOOKUP(N686,'OA名单'!B:B,'OA名单'!E:E)</f>
      </c>
      <c r="V686" s="63">
        <f t="shared" si="12"/>
      </c>
      <c r="W686" s="71"/>
      <c r="X686" s="66"/>
      <c r="Y686" s="66"/>
    </row>
    <row hidden="true" r="687">
      <c r="A687" s="66"/>
      <c r="B687" s="66" t="s">
        <v>14326</v>
      </c>
      <c r="C687" s="67" t="s">
        <v>12713</v>
      </c>
      <c r="D687" s="67" t="s">
        <v>12714</v>
      </c>
      <c r="E687" s="66" t="s">
        <v>13146</v>
      </c>
      <c r="F687" s="66" t="s">
        <v>13364</v>
      </c>
      <c r="G687" s="66" t="s">
        <v>12751</v>
      </c>
      <c r="H687" s="66" t="s">
        <v>14327</v>
      </c>
      <c r="I687" s="68">
        <v>0.477</v>
      </c>
      <c r="J687" s="69">
        <v>0.54</v>
      </c>
      <c r="K687" s="66">
        <v>0.54</v>
      </c>
      <c r="L687" s="66">
        <v>0</v>
      </c>
      <c r="M687" s="66">
        <v>5000</v>
      </c>
      <c r="N687" s="63" cm="1">
        <f t="array" ref="N687:N687">_xlfn.XLOOKUP(H687,'OA名单'!C:C,'OA名单'!B:B,1)</f>
      </c>
      <c r="O687" s="63">
        <f t="shared" si="8"/>
      </c>
      <c r="P687" s="63" cm="1">
        <f t="array" ref="P687:P687">_xlfn.XLOOKUP(N687,'OA名单'!B:B,'OA名单'!G:G)</f>
      </c>
      <c r="Q687" s="63">
        <f t="shared" si="11"/>
      </c>
      <c r="R687" s="63" cm="1">
        <f t="array" ref="R687:R687">_xlfn.XLOOKUP(B687,'OA名单'!B:B,'OA名单'!F:F)</f>
      </c>
      <c r="S687" s="63">
        <f t="shared" si="10"/>
      </c>
      <c r="T687" s="70"/>
      <c r="U687" s="63" cm="1">
        <f t="array" ref="U687:U687">_xlfn.XLOOKUP(N687,'OA名单'!B:B,'OA名单'!E:E)</f>
      </c>
      <c r="V687" s="63">
        <f t="shared" si="12"/>
      </c>
      <c r="W687" s="71"/>
      <c r="X687" s="66"/>
      <c r="Y687" s="66"/>
    </row>
    <row hidden="true" r="688">
      <c r="A688" s="66"/>
      <c r="B688" s="66" t="s">
        <v>14328</v>
      </c>
      <c r="C688" s="67" t="s">
        <v>12713</v>
      </c>
      <c r="D688" s="67" t="s">
        <v>12714</v>
      </c>
      <c r="E688" s="66" t="s">
        <v>13146</v>
      </c>
      <c r="F688" s="66" t="s">
        <v>13147</v>
      </c>
      <c r="G688" s="66" t="s">
        <v>13530</v>
      </c>
      <c r="H688" s="66" t="s">
        <v>14329</v>
      </c>
      <c r="I688" s="68">
        <v>0.54</v>
      </c>
      <c r="J688" s="69">
        <v>0.54</v>
      </c>
      <c r="K688" s="66">
        <v>0.54</v>
      </c>
      <c r="L688" s="66">
        <v>270</v>
      </c>
      <c r="M688" s="66">
        <v>500</v>
      </c>
      <c r="N688" s="63" cm="1">
        <f t="array" ref="N688:N688">_xlfn.XLOOKUP(H688,'OA名单'!C:C,'OA名单'!B:B,1)</f>
      </c>
      <c r="O688" s="63">
        <f t="shared" si="8"/>
      </c>
      <c r="P688" s="63" cm="1">
        <f t="array" ref="P688:P688">_xlfn.XLOOKUP(N688,'OA名单'!B:B,'OA名单'!G:G)</f>
      </c>
      <c r="Q688" s="63">
        <f t="shared" si="11"/>
      </c>
      <c r="R688" s="63" cm="1">
        <f t="array" ref="R688:R688">_xlfn.XLOOKUP(B688,'OA名单'!B:B,'OA名单'!F:F)</f>
      </c>
      <c r="S688" s="63">
        <f t="shared" si="10"/>
      </c>
      <c r="T688" s="70"/>
      <c r="U688" s="63" cm="1">
        <f t="array" ref="U688:U688">_xlfn.XLOOKUP(N688,'OA名单'!B:B,'OA名单'!E:E)</f>
      </c>
      <c r="V688" s="63">
        <f t="shared" si="12"/>
      </c>
      <c r="W688" s="71"/>
      <c r="X688" s="66"/>
      <c r="Y688" s="66"/>
    </row>
    <row hidden="true" r="689">
      <c r="A689" s="66"/>
      <c r="B689" s="66" t="s">
        <v>14330</v>
      </c>
      <c r="C689" s="67" t="s">
        <v>12713</v>
      </c>
      <c r="D689" s="67" t="s">
        <v>12714</v>
      </c>
      <c r="E689" s="66" t="s">
        <v>13011</v>
      </c>
      <c r="F689" s="66" t="s">
        <v>13138</v>
      </c>
      <c r="G689" s="66" t="s">
        <v>13545</v>
      </c>
      <c r="H689" s="66" t="s">
        <v>14331</v>
      </c>
      <c r="I689" s="68">
        <v>0.5272</v>
      </c>
      <c r="J689" s="69">
        <v>0.53</v>
      </c>
      <c r="K689" s="66">
        <v>0.53</v>
      </c>
      <c r="L689" s="66">
        <v>263.5</v>
      </c>
      <c r="M689" s="66">
        <v>500</v>
      </c>
      <c r="N689" s="63" cm="1">
        <f t="array" ref="N689:N689">_xlfn.XLOOKUP(H689,'OA名单'!C:C,'OA名单'!B:B,1)</f>
      </c>
      <c r="O689" s="63">
        <f t="shared" si="8"/>
      </c>
      <c r="P689" s="63" cm="1">
        <f t="array" ref="P689:P689">_xlfn.XLOOKUP(N689,'OA名单'!B:B,'OA名单'!G:G)</f>
      </c>
      <c r="Q689" s="63">
        <f t="shared" si="11"/>
      </c>
      <c r="R689" s="63" cm="1">
        <f t="array" ref="R689:R689">_xlfn.XLOOKUP(B689,'OA名单'!B:B,'OA名单'!F:F)</f>
      </c>
      <c r="S689" s="63">
        <f t="shared" si="10"/>
      </c>
      <c r="T689" s="70"/>
      <c r="U689" s="63" cm="1">
        <f t="array" ref="U689:U689">_xlfn.XLOOKUP(N689,'OA名单'!B:B,'OA名单'!E:E)</f>
      </c>
      <c r="V689" s="63">
        <f t="shared" si="12"/>
      </c>
      <c r="W689" s="71"/>
      <c r="X689" s="66"/>
      <c r="Y689" s="66"/>
    </row>
    <row hidden="true" r="690">
      <c r="A690" s="66"/>
      <c r="B690" s="66" t="s">
        <v>14332</v>
      </c>
      <c r="C690" s="67" t="s">
        <v>12713</v>
      </c>
      <c r="D690" s="67" t="s">
        <v>12714</v>
      </c>
      <c r="E690" s="66" t="s">
        <v>13177</v>
      </c>
      <c r="F690" s="66" t="s">
        <v>13851</v>
      </c>
      <c r="G690" s="66" t="s">
        <v>13965</v>
      </c>
      <c r="H690" s="66" t="s">
        <v>14333</v>
      </c>
      <c r="I690" s="68">
        <v>0.5465</v>
      </c>
      <c r="J690" s="69">
        <v>0.53</v>
      </c>
      <c r="K690" s="66">
        <v>0.53</v>
      </c>
      <c r="L690" s="66">
        <v>1680</v>
      </c>
      <c r="M690" s="66">
        <v>5000</v>
      </c>
      <c r="N690" s="63" cm="1">
        <f t="array" ref="N690:N690">_xlfn.XLOOKUP(H690,'OA名单'!C:C,'OA名单'!B:B,1)</f>
      </c>
      <c r="O690" s="63">
        <f t="shared" si="8"/>
      </c>
      <c r="P690" s="63" cm="1">
        <f t="array" ref="P690:P690">_xlfn.XLOOKUP(N690,'OA名单'!B:B,'OA名单'!G:G)</f>
      </c>
      <c r="Q690" s="63">
        <f t="shared" si="11"/>
      </c>
      <c r="R690" s="63" cm="1">
        <f t="array" ref="R690:R690">_xlfn.XLOOKUP(B690,'OA名单'!B:B,'OA名单'!F:F)</f>
      </c>
      <c r="S690" s="63">
        <f t="shared" si="10"/>
      </c>
      <c r="T690" s="70"/>
      <c r="U690" s="63" cm="1">
        <f t="array" ref="U690:U690">_xlfn.XLOOKUP(N690,'OA名单'!B:B,'OA名单'!E:E)</f>
      </c>
      <c r="V690" s="63">
        <f t="shared" si="12"/>
      </c>
      <c r="W690" s="71"/>
      <c r="X690" s="66"/>
      <c r="Y690" s="66"/>
    </row>
    <row hidden="true" r="691">
      <c r="A691" s="66"/>
      <c r="B691" s="66" t="s">
        <v>14334</v>
      </c>
      <c r="C691" s="67" t="s">
        <v>12713</v>
      </c>
      <c r="D691" s="67" t="s">
        <v>12714</v>
      </c>
      <c r="E691" s="66" t="s">
        <v>13182</v>
      </c>
      <c r="F691" s="66" t="s">
        <v>13718</v>
      </c>
      <c r="G691" s="66" t="s">
        <v>12751</v>
      </c>
      <c r="H691" s="66" t="s">
        <v>14335</v>
      </c>
      <c r="I691" s="68">
        <v>1.342471</v>
      </c>
      <c r="J691" s="69">
        <v>0.53</v>
      </c>
      <c r="K691" s="66">
        <v>0.53</v>
      </c>
      <c r="L691" s="66">
        <v>102.25</v>
      </c>
      <c r="M691" s="66">
        <v>5000</v>
      </c>
      <c r="N691" s="63" cm="1">
        <f t="array" ref="N691:N691">_xlfn.XLOOKUP(H691,'OA名单'!C:C,'OA名单'!B:B,1)</f>
      </c>
      <c r="O691" s="63">
        <f t="shared" si="8"/>
      </c>
      <c r="P691" s="63" cm="1">
        <f t="array" ref="P691:P691">_xlfn.XLOOKUP(N691,'OA名单'!B:B,'OA名单'!G:G)</f>
      </c>
      <c r="Q691" s="63">
        <f t="shared" si="11"/>
      </c>
      <c r="R691" s="63" cm="1">
        <f t="array" ref="R691:R691">_xlfn.XLOOKUP(B691,'OA名单'!B:B,'OA名单'!F:F)</f>
      </c>
      <c r="S691" s="63">
        <f t="shared" si="10"/>
      </c>
      <c r="T691" s="70"/>
      <c r="U691" s="63" cm="1">
        <f t="array" ref="U691:U691">_xlfn.XLOOKUP(N691,'OA名单'!B:B,'OA名单'!E:E)</f>
      </c>
      <c r="V691" s="63">
        <f t="shared" si="12"/>
      </c>
      <c r="W691" s="71"/>
      <c r="X691" s="66"/>
      <c r="Y691" s="66"/>
    </row>
    <row hidden="true" r="692">
      <c r="A692" s="66"/>
      <c r="B692" s="66" t="s">
        <v>14336</v>
      </c>
      <c r="C692" s="67" t="s">
        <v>12713</v>
      </c>
      <c r="D692" s="67" t="s">
        <v>12714</v>
      </c>
      <c r="E692" s="66" t="s">
        <v>13146</v>
      </c>
      <c r="F692" s="66" t="s">
        <v>13394</v>
      </c>
      <c r="G692" s="66" t="s">
        <v>13148</v>
      </c>
      <c r="H692" s="66" t="s">
        <v>14337</v>
      </c>
      <c r="I692" s="68">
        <v>0.6</v>
      </c>
      <c r="J692" s="69">
        <v>0.52</v>
      </c>
      <c r="K692" s="66">
        <v>0.52</v>
      </c>
      <c r="L692" s="66">
        <v>3000</v>
      </c>
      <c r="M692" s="66">
        <v>3000</v>
      </c>
      <c r="N692" s="63" cm="1">
        <f t="array" ref="N692:N692">_xlfn.XLOOKUP(H692,'OA名单'!C:C,'OA名单'!B:B,1)</f>
      </c>
      <c r="O692" s="63">
        <f t="shared" si="8"/>
      </c>
      <c r="P692" s="63" cm="1">
        <f t="array" ref="P692:P692">_xlfn.XLOOKUP(N692,'OA名单'!B:B,'OA名单'!G:G)</f>
      </c>
      <c r="Q692" s="63">
        <f t="shared" si="11"/>
      </c>
      <c r="R692" s="63" cm="1">
        <f t="array" ref="R692:R692">_xlfn.XLOOKUP(B692,'OA名单'!B:B,'OA名单'!F:F)</f>
      </c>
      <c r="S692" s="63">
        <f t="shared" si="10"/>
      </c>
      <c r="T692" s="70"/>
      <c r="U692" s="63" cm="1">
        <f t="array" ref="U692:U692">_xlfn.XLOOKUP(N692,'OA名单'!B:B,'OA名单'!E:E)</f>
      </c>
      <c r="V692" s="63">
        <f t="shared" si="12"/>
      </c>
      <c r="W692" s="71"/>
      <c r="X692" s="66"/>
      <c r="Y692" s="66"/>
    </row>
    <row hidden="true" r="693">
      <c r="A693" s="66"/>
      <c r="B693" s="66" t="s">
        <v>14338</v>
      </c>
      <c r="C693" s="67" t="s">
        <v>12713</v>
      </c>
      <c r="D693" s="67" t="s">
        <v>12714</v>
      </c>
      <c r="E693" s="66" t="s">
        <v>12715</v>
      </c>
      <c r="F693" s="66" t="s">
        <v>13187</v>
      </c>
      <c r="G693" s="66" t="s">
        <v>12982</v>
      </c>
      <c r="H693" s="66" t="s">
        <v>14339</v>
      </c>
      <c r="I693" s="68">
        <v>0.52</v>
      </c>
      <c r="J693" s="69">
        <v>0.52</v>
      </c>
      <c r="K693" s="66">
        <v>0.52</v>
      </c>
      <c r="L693" s="66">
        <v>780</v>
      </c>
      <c r="M693" s="66">
        <v>1500</v>
      </c>
      <c r="N693" s="63" cm="1">
        <f t="array" ref="N693:N693">_xlfn.XLOOKUP(H693,'OA名单'!C:C,'OA名单'!B:B,1)</f>
      </c>
      <c r="O693" s="63">
        <f t="shared" si="8"/>
      </c>
      <c r="P693" s="63" cm="1">
        <f t="array" ref="P693:P693">_xlfn.XLOOKUP(N693,'OA名单'!B:B,'OA名单'!G:G)</f>
      </c>
      <c r="Q693" s="63">
        <f t="shared" si="11"/>
      </c>
      <c r="R693" s="63" cm="1">
        <f t="array" ref="R693:R693">_xlfn.XLOOKUP(B693,'OA名单'!B:B,'OA名单'!F:F)</f>
      </c>
      <c r="S693" s="63">
        <f t="shared" si="10"/>
      </c>
      <c r="T693" s="70"/>
      <c r="U693" s="63" cm="1">
        <f t="array" ref="U693:U693">_xlfn.XLOOKUP(N693,'OA名单'!B:B,'OA名单'!E:E)</f>
      </c>
      <c r="V693" s="63">
        <f t="shared" si="12"/>
      </c>
      <c r="W693" s="71"/>
      <c r="X693" s="66"/>
      <c r="Y693" s="66"/>
    </row>
    <row hidden="true" r="694">
      <c r="A694" s="66"/>
      <c r="B694" s="66" t="s">
        <v>14340</v>
      </c>
      <c r="C694" s="67" t="s">
        <v>12713</v>
      </c>
      <c r="D694" s="67" t="s">
        <v>12714</v>
      </c>
      <c r="E694" s="66" t="s">
        <v>12782</v>
      </c>
      <c r="F694" s="66" t="s">
        <v>12783</v>
      </c>
      <c r="G694" s="66" t="s">
        <v>12751</v>
      </c>
      <c r="H694" s="66" t="s">
        <v>14341</v>
      </c>
      <c r="I694" s="68">
        <v>0.5175</v>
      </c>
      <c r="J694" s="69">
        <v>0.52</v>
      </c>
      <c r="K694" s="66">
        <v>0.52</v>
      </c>
      <c r="L694" s="66">
        <v>0</v>
      </c>
      <c r="M694" s="66">
        <v>5000</v>
      </c>
      <c r="N694" s="63" cm="1">
        <f t="array" ref="N694:N694">_xlfn.XLOOKUP(H694,'OA名单'!C:C,'OA名单'!B:B,1)</f>
      </c>
      <c r="O694" s="63">
        <f t="shared" si="8"/>
      </c>
      <c r="P694" s="63" cm="1">
        <f t="array" ref="P694:P694">_xlfn.XLOOKUP(N694,'OA名单'!B:B,'OA名单'!G:G)</f>
      </c>
      <c r="Q694" s="63">
        <f t="shared" si="11"/>
      </c>
      <c r="R694" s="63" cm="1">
        <f t="array" ref="R694:R694">_xlfn.XLOOKUP(B694,'OA名单'!B:B,'OA名单'!F:F)</f>
      </c>
      <c r="S694" s="63">
        <f t="shared" si="10"/>
      </c>
      <c r="T694" s="70"/>
      <c r="U694" s="63" cm="1">
        <f t="array" ref="U694:U694">_xlfn.XLOOKUP(N694,'OA名单'!B:B,'OA名单'!E:E)</f>
      </c>
      <c r="V694" s="63">
        <f t="shared" si="12"/>
      </c>
      <c r="W694" s="71"/>
      <c r="X694" s="66"/>
      <c r="Y694" s="66"/>
    </row>
    <row hidden="true" r="695">
      <c r="A695" s="66"/>
      <c r="B695" s="66" t="s">
        <v>14342</v>
      </c>
      <c r="C695" s="67" t="s">
        <v>12713</v>
      </c>
      <c r="D695" s="67" t="s">
        <v>12714</v>
      </c>
      <c r="E695" s="66" t="s">
        <v>12782</v>
      </c>
      <c r="F695" s="66" t="s">
        <v>13297</v>
      </c>
      <c r="G695" s="66" t="s">
        <v>13079</v>
      </c>
      <c r="H695" s="66" t="s">
        <v>14343</v>
      </c>
      <c r="I695" s="68">
        <v>0.54</v>
      </c>
      <c r="J695" s="69">
        <v>0.52</v>
      </c>
      <c r="K695" s="66">
        <v>0.52</v>
      </c>
      <c r="L695" s="66">
        <v>600</v>
      </c>
      <c r="M695" s="66">
        <v>5000</v>
      </c>
      <c r="N695" s="63" cm="1">
        <f t="array" ref="N695:N695">_xlfn.XLOOKUP(H695,'OA名单'!C:C,'OA名单'!B:B,1)</f>
      </c>
      <c r="O695" s="63">
        <f t="shared" si="8"/>
      </c>
      <c r="P695" s="63" cm="1">
        <f t="array" ref="P695:P695">_xlfn.XLOOKUP(N695,'OA名单'!B:B,'OA名单'!G:G)</f>
      </c>
      <c r="Q695" s="63">
        <f t="shared" si="11"/>
      </c>
      <c r="R695" s="63" cm="1">
        <f t="array" ref="R695:R695">_xlfn.XLOOKUP(B695,'OA名单'!B:B,'OA名单'!F:F)</f>
      </c>
      <c r="S695" s="63">
        <f t="shared" si="10"/>
      </c>
      <c r="T695" s="70"/>
      <c r="U695" s="63" cm="1">
        <f t="array" ref="U695:U695">_xlfn.XLOOKUP(N695,'OA名单'!B:B,'OA名单'!E:E)</f>
      </c>
      <c r="V695" s="63">
        <f t="shared" si="12"/>
      </c>
      <c r="W695" s="71"/>
      <c r="X695" s="66"/>
      <c r="Y695" s="66"/>
    </row>
    <row hidden="true" r="696">
      <c r="A696" s="66"/>
      <c r="B696" s="66" t="s">
        <v>14344</v>
      </c>
      <c r="C696" s="67" t="s">
        <v>12713</v>
      </c>
      <c r="D696" s="67" t="s">
        <v>12714</v>
      </c>
      <c r="E696" s="66" t="s">
        <v>12782</v>
      </c>
      <c r="F696" s="66" t="s">
        <v>13064</v>
      </c>
      <c r="G696" s="66" t="s">
        <v>13079</v>
      </c>
      <c r="H696" s="66" t="s">
        <v>14345</v>
      </c>
      <c r="I696" s="68">
        <v>0.52</v>
      </c>
      <c r="J696" s="69">
        <v>0.52</v>
      </c>
      <c r="K696" s="66">
        <v>0.52</v>
      </c>
      <c r="L696" s="66">
        <v>3000</v>
      </c>
      <c r="M696" s="66">
        <v>5000</v>
      </c>
      <c r="N696" s="74" cm="1">
        <f t="array" ref="N696:N696">_xlfn.XLOOKUP(B696,'OA名单'!B:B,'OA名单'!C:C,1)</f>
      </c>
      <c r="O696" s="63">
        <f>IF(N696=H696,1)</f>
      </c>
      <c r="P696" s="63" cm="1">
        <f t="array" ref="P696:P696">_xlfn.XLOOKUP(B696,'OA名单'!B:B,'OA名单'!G:G)</f>
      </c>
      <c r="Q696" s="63">
        <f t="shared" si="11"/>
      </c>
      <c r="R696" s="63" cm="1">
        <f t="array" ref="R696:R696">_xlfn.XLOOKUP(B696,'OA名单'!B:B,'OA名单'!F:F)</f>
      </c>
      <c r="S696" s="63">
        <f t="shared" si="10"/>
      </c>
      <c r="T696" s="70"/>
      <c r="U696" s="63" cm="1">
        <f t="array" ref="U696:U696">_xlfn.XLOOKUP(B696,'OA名单'!B:B,'OA名单'!E:E)</f>
      </c>
      <c r="V696" s="63">
        <f t="shared" si="12"/>
      </c>
      <c r="W696" s="71"/>
      <c r="X696" s="66"/>
      <c r="Y696" s="66"/>
    </row>
    <row hidden="true" r="697">
      <c r="A697" s="66"/>
      <c r="B697" s="66" t="s">
        <v>14346</v>
      </c>
      <c r="C697" s="67" t="s">
        <v>12713</v>
      </c>
      <c r="D697" s="67" t="s">
        <v>12714</v>
      </c>
      <c r="E697" s="66" t="s">
        <v>12715</v>
      </c>
      <c r="F697" s="66" t="s">
        <v>13187</v>
      </c>
      <c r="G697" s="66" t="s">
        <v>13079</v>
      </c>
      <c r="H697" s="66" t="s">
        <v>14347</v>
      </c>
      <c r="I697" s="68">
        <v>0.7282</v>
      </c>
      <c r="J697" s="69">
        <v>0.51</v>
      </c>
      <c r="K697" s="66">
        <v>0.51</v>
      </c>
      <c r="L697" s="66">
        <v>3867.98</v>
      </c>
      <c r="M697" s="66">
        <v>5000</v>
      </c>
      <c r="N697" s="63" cm="1">
        <f t="array" ref="N697:N697">_xlfn.XLOOKUP(H697,'OA名单'!C:C,'OA名单'!B:B,1)</f>
      </c>
      <c r="O697" s="63">
        <f t="shared" ref="O697:O837" si="9">IF(N697=B697,1)</f>
      </c>
      <c r="P697" s="63" cm="1">
        <f t="array" ref="P697:P697">_xlfn.XLOOKUP(N697,'OA名单'!B:B,'OA名单'!G:G)</f>
      </c>
      <c r="Q697" s="63">
        <f t="shared" si="11"/>
      </c>
      <c r="R697" s="63" cm="1">
        <f t="array" ref="R697:R697">_xlfn.XLOOKUP(B697,'OA名单'!B:B,'OA名单'!F:F)</f>
      </c>
      <c r="S697" s="63">
        <f t="shared" si="10"/>
      </c>
      <c r="T697" s="70"/>
      <c r="U697" s="63" cm="1">
        <f t="array" ref="U697:U697">_xlfn.XLOOKUP(N697,'OA名单'!B:B,'OA名单'!E:E)</f>
      </c>
      <c r="V697" s="63">
        <f t="shared" si="12"/>
      </c>
      <c r="W697" s="71"/>
      <c r="X697" s="66"/>
      <c r="Y697" s="66"/>
    </row>
    <row hidden="true" r="698">
      <c r="A698" s="66"/>
      <c r="B698" s="66" t="s">
        <v>14348</v>
      </c>
      <c r="C698" s="67" t="s">
        <v>12713</v>
      </c>
      <c r="D698" s="67" t="s">
        <v>12714</v>
      </c>
      <c r="E698" s="66" t="s">
        <v>13097</v>
      </c>
      <c r="F698" s="66" t="s">
        <v>14199</v>
      </c>
      <c r="G698" s="66" t="s">
        <v>14200</v>
      </c>
      <c r="H698" s="66" t="s">
        <v>14349</v>
      </c>
      <c r="I698" s="68">
        <v>0.51792</v>
      </c>
      <c r="J698" s="69">
        <v>0.51</v>
      </c>
      <c r="K698" s="66">
        <v>0.51</v>
      </c>
      <c r="L698" s="66">
        <v>2550</v>
      </c>
      <c r="M698" s="66">
        <v>5000</v>
      </c>
      <c r="N698" s="63" cm="1">
        <f t="array" ref="N698:N698">_xlfn.XLOOKUP(H698,'OA名单'!C:C,'OA名单'!B:B,1)</f>
      </c>
      <c r="O698" s="63">
        <f t="shared" si="9"/>
      </c>
      <c r="P698" s="63" cm="1">
        <f t="array" ref="P698:P698">_xlfn.XLOOKUP(N698,'OA名单'!B:B,'OA名单'!G:G)</f>
      </c>
      <c r="Q698" s="63">
        <f t="shared" si="11"/>
      </c>
      <c r="R698" s="63" cm="1">
        <f t="array" ref="R698:R698">_xlfn.XLOOKUP(B698,'OA名单'!B:B,'OA名单'!F:F)</f>
      </c>
      <c r="S698" s="63">
        <f t="shared" si="10"/>
      </c>
      <c r="T698" s="70"/>
      <c r="U698" s="63" cm="1">
        <f t="array" ref="U698:U698">_xlfn.XLOOKUP(N698,'OA名单'!B:B,'OA名单'!E:E)</f>
      </c>
      <c r="V698" s="63">
        <f t="shared" si="12"/>
      </c>
      <c r="W698" s="71"/>
      <c r="X698" s="66"/>
      <c r="Y698" s="66"/>
    </row>
    <row hidden="true" r="699">
      <c r="A699" s="66"/>
      <c r="B699" s="66" t="s">
        <v>14350</v>
      </c>
      <c r="C699" s="67" t="s">
        <v>12713</v>
      </c>
      <c r="D699" s="67" t="s">
        <v>12714</v>
      </c>
      <c r="E699" s="66" t="s">
        <v>13011</v>
      </c>
      <c r="F699" s="66" t="s">
        <v>13138</v>
      </c>
      <c r="G699" s="66" t="s">
        <v>13043</v>
      </c>
      <c r="H699" s="66" t="s">
        <v>14351</v>
      </c>
      <c r="I699" s="68">
        <v>0.00548</v>
      </c>
      <c r="J699" s="69">
        <v>0.51</v>
      </c>
      <c r="K699" s="66">
        <v>0.51</v>
      </c>
      <c r="L699" s="66">
        <v>1174</v>
      </c>
      <c r="M699" s="66">
        <v>2000</v>
      </c>
      <c r="N699" s="63" cm="1">
        <f t="array" ref="N699:N699">_xlfn.XLOOKUP(H699,'OA名单'!C:C,'OA名单'!B:B,1)</f>
      </c>
      <c r="O699" s="63">
        <f t="shared" si="9"/>
      </c>
      <c r="P699" s="63" cm="1">
        <f t="array" ref="P699:P699">_xlfn.XLOOKUP(N699,'OA名单'!B:B,'OA名单'!G:G)</f>
      </c>
      <c r="Q699" s="63">
        <f t="shared" si="11"/>
      </c>
      <c r="R699" s="63" cm="1">
        <f t="array" ref="R699:R699">_xlfn.XLOOKUP(B699,'OA名单'!B:B,'OA名单'!F:F)</f>
      </c>
      <c r="S699" s="63">
        <f t="shared" si="10"/>
      </c>
      <c r="T699" s="70"/>
      <c r="U699" s="63" cm="1">
        <f t="array" ref="U699:U699">_xlfn.XLOOKUP(N699,'OA名单'!B:B,'OA名单'!E:E)</f>
      </c>
      <c r="V699" s="63">
        <f t="shared" si="12"/>
      </c>
      <c r="W699" s="71"/>
      <c r="X699" s="66"/>
      <c r="Y699" s="66"/>
    </row>
    <row hidden="true" r="700">
      <c r="A700" s="66"/>
      <c r="B700" s="66" t="s">
        <v>14352</v>
      </c>
      <c r="C700" s="67" t="s">
        <v>12713</v>
      </c>
      <c r="D700" s="67" t="s">
        <v>12714</v>
      </c>
      <c r="E700" s="66" t="s">
        <v>12782</v>
      </c>
      <c r="F700" s="66" t="s">
        <v>13064</v>
      </c>
      <c r="G700" s="66" t="s">
        <v>12982</v>
      </c>
      <c r="H700" s="66" t="s">
        <v>14353</v>
      </c>
      <c r="I700" s="68">
        <v>0.614125</v>
      </c>
      <c r="J700" s="69">
        <v>0.51</v>
      </c>
      <c r="K700" s="66">
        <v>0.51</v>
      </c>
      <c r="L700" s="66">
        <v>900</v>
      </c>
      <c r="M700" s="66">
        <v>1500</v>
      </c>
      <c r="N700" s="63" cm="1">
        <f t="array" ref="N700:N700">_xlfn.XLOOKUP(H700,'OA名单'!C:C,'OA名单'!B:B,1)</f>
      </c>
      <c r="O700" s="63">
        <f t="shared" si="9"/>
      </c>
      <c r="P700" s="63" cm="1">
        <f t="array" ref="P700:P700">_xlfn.XLOOKUP(N700,'OA名单'!B:B,'OA名单'!G:G)</f>
      </c>
      <c r="Q700" s="63">
        <f t="shared" si="11"/>
      </c>
      <c r="R700" s="63" cm="1">
        <f t="array" ref="R700:R700">_xlfn.XLOOKUP(B700,'OA名单'!B:B,'OA名单'!F:F)</f>
      </c>
      <c r="S700" s="63">
        <f t="shared" si="10"/>
      </c>
      <c r="T700" s="70"/>
      <c r="U700" s="63" cm="1">
        <f t="array" ref="U700:U700">_xlfn.XLOOKUP(N700,'OA名单'!B:B,'OA名单'!E:E)</f>
      </c>
      <c r="V700" s="63">
        <f t="shared" si="12"/>
      </c>
      <c r="W700" s="71"/>
      <c r="X700" s="66"/>
      <c r="Y700" s="66"/>
    </row>
    <row hidden="true" r="701">
      <c r="A701" s="66"/>
      <c r="B701" s="66" t="s">
        <v>14354</v>
      </c>
      <c r="C701" s="67" t="s">
        <v>12713</v>
      </c>
      <c r="D701" s="67" t="s">
        <v>12714</v>
      </c>
      <c r="E701" s="66" t="s">
        <v>13352</v>
      </c>
      <c r="F701" s="66" t="s">
        <v>14355</v>
      </c>
      <c r="G701" s="66" t="s">
        <v>14356</v>
      </c>
      <c r="H701" s="66" t="s">
        <v>14357</v>
      </c>
      <c r="I701" s="68">
        <v>0.5</v>
      </c>
      <c r="J701" s="69">
        <v>0.5</v>
      </c>
      <c r="K701" s="66">
        <v>0.5</v>
      </c>
      <c r="L701" s="66">
        <v>2500</v>
      </c>
      <c r="M701" s="66">
        <v>5000</v>
      </c>
      <c r="N701" s="63" cm="1">
        <f t="array" ref="N701:N701">_xlfn.XLOOKUP(H701,'OA名单'!C:C,'OA名单'!B:B,1)</f>
      </c>
      <c r="O701" s="63">
        <f t="shared" si="9"/>
      </c>
      <c r="P701" s="63" cm="1">
        <f t="array" ref="P701:P701">_xlfn.XLOOKUP(N701,'OA名单'!B:B,'OA名单'!G:G)</f>
      </c>
      <c r="Q701" s="63">
        <f t="shared" si="11"/>
      </c>
      <c r="R701" s="63" cm="1">
        <f t="array" ref="R701:R701">_xlfn.XLOOKUP(B701,'OA名单'!B:B,'OA名单'!F:F)</f>
      </c>
      <c r="S701" s="63">
        <f t="shared" si="10"/>
      </c>
      <c r="T701" s="70"/>
      <c r="U701" s="63" cm="1">
        <f t="array" ref="U701:U701">_xlfn.XLOOKUP(N701,'OA名单'!B:B,'OA名单'!E:E)</f>
      </c>
      <c r="V701" s="63">
        <f t="shared" si="12"/>
      </c>
      <c r="W701" s="71"/>
      <c r="X701" s="66"/>
      <c r="Y701" s="66"/>
    </row>
    <row hidden="true" r="702">
      <c r="A702" s="66"/>
      <c r="B702" s="66" t="s">
        <v>14358</v>
      </c>
      <c r="C702" s="67" t="s">
        <v>12713</v>
      </c>
      <c r="D702" s="67" t="s">
        <v>12714</v>
      </c>
      <c r="E702" s="66" t="s">
        <v>12776</v>
      </c>
      <c r="F702" s="66" t="s">
        <v>12981</v>
      </c>
      <c r="G702" s="66" t="s">
        <v>12982</v>
      </c>
      <c r="H702" s="66" t="s">
        <v>14359</v>
      </c>
      <c r="I702" s="68">
        <v>0.5158</v>
      </c>
      <c r="J702" s="69">
        <v>0.5</v>
      </c>
      <c r="K702" s="66">
        <v>0.5</v>
      </c>
      <c r="L702" s="66">
        <v>1184</v>
      </c>
      <c r="M702" s="66">
        <v>1500</v>
      </c>
      <c r="N702" s="63" cm="1">
        <f t="array" ref="N702:N702">_xlfn.XLOOKUP(H702,'OA名单'!C:C,'OA名单'!B:B,1)</f>
      </c>
      <c r="O702" s="63">
        <f t="shared" si="9"/>
      </c>
      <c r="P702" s="63" cm="1">
        <f t="array" ref="P702:P702">_xlfn.XLOOKUP(N702,'OA名单'!B:B,'OA名单'!G:G)</f>
      </c>
      <c r="Q702" s="63">
        <f t="shared" si="11"/>
      </c>
      <c r="R702" s="63" cm="1">
        <f t="array" ref="R702:R702">_xlfn.XLOOKUP(B702,'OA名单'!B:B,'OA名单'!F:F)</f>
      </c>
      <c r="S702" s="63">
        <f t="shared" si="10"/>
      </c>
      <c r="T702" s="70"/>
      <c r="U702" s="63" cm="1">
        <f t="array" ref="U702:U702">_xlfn.XLOOKUP(N702,'OA名单'!B:B,'OA名单'!E:E)</f>
      </c>
      <c r="V702" s="63">
        <f t="shared" si="12"/>
      </c>
      <c r="W702" s="71"/>
      <c r="X702" s="66"/>
      <c r="Y702" s="66"/>
    </row>
    <row hidden="true" r="703">
      <c r="A703" s="66"/>
      <c r="B703" s="66" t="s">
        <v>14360</v>
      </c>
      <c r="C703" s="67" t="s">
        <v>12713</v>
      </c>
      <c r="D703" s="67" t="s">
        <v>12714</v>
      </c>
      <c r="E703" s="66" t="s">
        <v>12715</v>
      </c>
      <c r="F703" s="66" t="s">
        <v>13214</v>
      </c>
      <c r="G703" s="66" t="s">
        <v>12982</v>
      </c>
      <c r="H703" s="66" t="s">
        <v>14361</v>
      </c>
      <c r="I703" s="68">
        <v>0.504</v>
      </c>
      <c r="J703" s="69">
        <v>0.5</v>
      </c>
      <c r="K703" s="66">
        <v>0.5</v>
      </c>
      <c r="L703" s="66">
        <v>3000</v>
      </c>
      <c r="M703" s="66">
        <v>1500</v>
      </c>
      <c r="N703" s="63" cm="1">
        <f t="array" ref="N703:N703">_xlfn.XLOOKUP(H703,'OA名单'!C:C,'OA名单'!B:B,1)</f>
      </c>
      <c r="O703" s="63">
        <f t="shared" si="9"/>
      </c>
      <c r="P703" s="63" cm="1">
        <f t="array" ref="P703:P703">_xlfn.XLOOKUP(N703,'OA名单'!B:B,'OA名单'!G:G)</f>
      </c>
      <c r="Q703" s="63">
        <f t="shared" si="11"/>
      </c>
      <c r="R703" s="63" cm="1">
        <f t="array" ref="R703:R703">_xlfn.XLOOKUP(B703,'OA名单'!B:B,'OA名单'!F:F)</f>
      </c>
      <c r="S703" s="63">
        <f t="shared" si="10"/>
      </c>
      <c r="T703" s="70"/>
      <c r="U703" s="63" cm="1">
        <f t="array" ref="U703:U703">_xlfn.XLOOKUP(N703,'OA名单'!B:B,'OA名单'!E:E)</f>
      </c>
      <c r="V703" s="63">
        <f t="shared" si="12"/>
      </c>
      <c r="W703" s="71"/>
      <c r="X703" s="66"/>
      <c r="Y703" s="66"/>
    </row>
    <row hidden="true" r="704">
      <c r="A704" s="66"/>
      <c r="B704" s="66" t="s">
        <v>14362</v>
      </c>
      <c r="C704" s="67" t="s">
        <v>12713</v>
      </c>
      <c r="D704" s="67" t="s">
        <v>12714</v>
      </c>
      <c r="E704" s="66" t="s">
        <v>13146</v>
      </c>
      <c r="F704" s="66" t="s">
        <v>13364</v>
      </c>
      <c r="G704" s="66" t="s">
        <v>14363</v>
      </c>
      <c r="H704" s="66" t="s">
        <v>14364</v>
      </c>
      <c r="I704" s="68">
        <v>0.448</v>
      </c>
      <c r="J704" s="69">
        <v>0.5</v>
      </c>
      <c r="K704" s="66">
        <v>0.5</v>
      </c>
      <c r="L704" s="66">
        <v>4500</v>
      </c>
      <c r="M704" s="66">
        <v>3000</v>
      </c>
      <c r="N704" s="63" cm="1">
        <f t="array" ref="N704:N704">_xlfn.XLOOKUP(H704,'OA名单'!C:C,'OA名单'!B:B,1)</f>
      </c>
      <c r="O704" s="63">
        <f t="shared" si="9"/>
      </c>
      <c r="P704" s="63" cm="1">
        <f t="array" ref="P704:P704">_xlfn.XLOOKUP(N704,'OA名单'!B:B,'OA名单'!G:G)</f>
      </c>
      <c r="Q704" s="63">
        <f t="shared" si="11"/>
      </c>
      <c r="R704" s="63" cm="1">
        <f t="array" ref="R704:R704">_xlfn.XLOOKUP(B704,'OA名单'!B:B,'OA名单'!F:F)</f>
      </c>
      <c r="S704" s="63">
        <f t="shared" si="10"/>
      </c>
      <c r="T704" s="70"/>
      <c r="U704" s="63" cm="1">
        <f t="array" ref="U704:U704">_xlfn.XLOOKUP(N704,'OA名单'!B:B,'OA名单'!E:E)</f>
      </c>
      <c r="V704" s="63">
        <f t="shared" si="12"/>
      </c>
      <c r="W704" s="71"/>
      <c r="X704" s="66"/>
      <c r="Y704" s="66"/>
    </row>
    <row hidden="true" r="705">
      <c r="A705" s="66"/>
      <c r="B705" s="66" t="s">
        <v>14365</v>
      </c>
      <c r="C705" s="67" t="s">
        <v>12713</v>
      </c>
      <c r="D705" s="67" t="s">
        <v>12714</v>
      </c>
      <c r="E705" s="66" t="s">
        <v>13146</v>
      </c>
      <c r="F705" s="66" t="s">
        <v>13484</v>
      </c>
      <c r="G705" s="66" t="s">
        <v>12751</v>
      </c>
      <c r="H705" s="66" t="s">
        <v>14366</v>
      </c>
      <c r="I705" s="68">
        <v>0.525</v>
      </c>
      <c r="J705" s="69">
        <v>0.49</v>
      </c>
      <c r="K705" s="66">
        <v>0.49</v>
      </c>
      <c r="L705" s="66">
        <v>0</v>
      </c>
      <c r="M705" s="66">
        <v>5000</v>
      </c>
      <c r="N705" s="63" cm="1">
        <f t="array" ref="N705:N705">_xlfn.XLOOKUP(H705,'OA名单'!C:C,'OA名单'!B:B,1)</f>
      </c>
      <c r="O705" s="63">
        <f t="shared" si="9"/>
      </c>
      <c r="P705" s="63" cm="1">
        <f t="array" ref="P705:P705">_xlfn.XLOOKUP(N705,'OA名单'!B:B,'OA名单'!G:G)</f>
      </c>
      <c r="Q705" s="63">
        <f t="shared" si="11"/>
      </c>
      <c r="R705" s="63" cm="1">
        <f t="array" ref="R705:R705">_xlfn.XLOOKUP(B705,'OA名单'!B:B,'OA名单'!F:F)</f>
      </c>
      <c r="S705" s="63">
        <f t="shared" si="10"/>
      </c>
      <c r="T705" s="70"/>
      <c r="U705" s="63" cm="1">
        <f t="array" ref="U705:U705">_xlfn.XLOOKUP(N705,'OA名单'!B:B,'OA名单'!E:E)</f>
      </c>
      <c r="V705" s="63">
        <f t="shared" si="12"/>
      </c>
      <c r="W705" s="71"/>
      <c r="X705" s="66"/>
      <c r="Y705" s="66"/>
    </row>
    <row hidden="true" r="706">
      <c r="A706" s="66"/>
      <c r="B706" s="66" t="s">
        <v>14367</v>
      </c>
      <c r="C706" s="67" t="s">
        <v>12713</v>
      </c>
      <c r="D706" s="67" t="s">
        <v>12714</v>
      </c>
      <c r="E706" s="66" t="s">
        <v>13027</v>
      </c>
      <c r="F706" s="66" t="s">
        <v>13240</v>
      </c>
      <c r="G706" s="66" t="s">
        <v>12751</v>
      </c>
      <c r="H706" s="66" t="s">
        <v>14368</v>
      </c>
      <c r="I706" s="68">
        <v>0.590544</v>
      </c>
      <c r="J706" s="69">
        <v>0.49</v>
      </c>
      <c r="K706" s="66">
        <v>0.49</v>
      </c>
      <c r="L706" s="66">
        <v>4000</v>
      </c>
      <c r="M706" s="66">
        <v>5000</v>
      </c>
      <c r="N706" s="63" cm="1">
        <f t="array" ref="N706:N706">_xlfn.XLOOKUP(H706,'OA名单'!C:C,'OA名单'!B:B,1)</f>
      </c>
      <c r="O706" s="63">
        <f t="shared" si="9"/>
      </c>
      <c r="P706" s="63" cm="1">
        <f t="array" ref="P706:P706">_xlfn.XLOOKUP(N706,'OA名单'!B:B,'OA名单'!G:G)</f>
      </c>
      <c r="Q706" s="63">
        <f t="shared" si="11"/>
      </c>
      <c r="R706" s="63" cm="1">
        <f t="array" ref="R706:R706">_xlfn.XLOOKUP(B706,'OA名单'!B:B,'OA名单'!F:F)</f>
      </c>
      <c r="S706" s="63">
        <f t="shared" si="10"/>
      </c>
      <c r="T706" s="70"/>
      <c r="U706" s="63" cm="1">
        <f t="array" ref="U706:U706">_xlfn.XLOOKUP(N706,'OA名单'!B:B,'OA名单'!E:E)</f>
      </c>
      <c r="V706" s="63">
        <f t="shared" si="12"/>
      </c>
      <c r="W706" s="71"/>
      <c r="X706" s="66"/>
      <c r="Y706" s="66"/>
    </row>
    <row hidden="true" r="707">
      <c r="A707" s="66"/>
      <c r="B707" s="66" t="s">
        <v>14369</v>
      </c>
      <c r="C707" s="67" t="s">
        <v>12713</v>
      </c>
      <c r="D707" s="67" t="s">
        <v>12714</v>
      </c>
      <c r="E707" s="66" t="s">
        <v>12715</v>
      </c>
      <c r="F707" s="66" t="s">
        <v>12716</v>
      </c>
      <c r="G707" s="66" t="s">
        <v>12751</v>
      </c>
      <c r="H707" s="66" t="s">
        <v>14370</v>
      </c>
      <c r="I707" s="68">
        <v>0.493</v>
      </c>
      <c r="J707" s="69">
        <v>0.49</v>
      </c>
      <c r="K707" s="66">
        <v>0.49</v>
      </c>
      <c r="L707" s="66">
        <v>0</v>
      </c>
      <c r="M707" s="66">
        <v>6000</v>
      </c>
      <c r="N707" s="63" cm="1">
        <f t="array" ref="N707:N707">_xlfn.XLOOKUP(H707,'OA名单'!C:C,'OA名单'!B:B,1)</f>
      </c>
      <c r="O707" s="63">
        <f t="shared" si="9"/>
      </c>
      <c r="P707" s="63" cm="1">
        <f t="array" ref="P707:P707">_xlfn.XLOOKUP(N707,'OA名单'!B:B,'OA名单'!G:G)</f>
      </c>
      <c r="Q707" s="63">
        <f t="shared" si="11"/>
      </c>
      <c r="R707" s="63" cm="1">
        <f t="array" ref="R707:R707">_xlfn.XLOOKUP(B707,'OA名单'!B:B,'OA名单'!F:F)</f>
      </c>
      <c r="S707" s="63">
        <f t="shared" si="10"/>
      </c>
      <c r="T707" s="70"/>
      <c r="U707" s="63" cm="1">
        <f t="array" ref="U707:U707">_xlfn.XLOOKUP(N707,'OA名单'!B:B,'OA名单'!E:E)</f>
      </c>
      <c r="V707" s="63">
        <f t="shared" si="12"/>
      </c>
      <c r="W707" s="71"/>
      <c r="X707" s="66"/>
      <c r="Y707" s="66"/>
    </row>
    <row hidden="true" r="708">
      <c r="A708" s="66"/>
      <c r="B708" s="66" t="s">
        <v>14371</v>
      </c>
      <c r="C708" s="67" t="s">
        <v>12713</v>
      </c>
      <c r="D708" s="67" t="s">
        <v>12714</v>
      </c>
      <c r="E708" s="66" t="s">
        <v>12715</v>
      </c>
      <c r="F708" s="66" t="s">
        <v>13187</v>
      </c>
      <c r="G708" s="66" t="s">
        <v>12982</v>
      </c>
      <c r="H708" s="66" t="s">
        <v>14372</v>
      </c>
      <c r="I708" s="68">
        <v>0.508444</v>
      </c>
      <c r="J708" s="69">
        <v>0.49</v>
      </c>
      <c r="K708" s="66">
        <v>0.49</v>
      </c>
      <c r="L708" s="66">
        <v>1638.8</v>
      </c>
      <c r="M708" s="66">
        <v>1500</v>
      </c>
      <c r="N708" s="63" cm="1">
        <f t="array" ref="N708:N708">_xlfn.XLOOKUP(H708,'OA名单'!C:C,'OA名单'!B:B,1)</f>
      </c>
      <c r="O708" s="63">
        <f t="shared" si="9"/>
      </c>
      <c r="P708" s="63" cm="1">
        <f t="array" ref="P708:P708">_xlfn.XLOOKUP(N708,'OA名单'!B:B,'OA名单'!G:G)</f>
      </c>
      <c r="Q708" s="63">
        <f t="shared" si="11"/>
      </c>
      <c r="R708" s="63" cm="1">
        <f t="array" ref="R708:R708">_xlfn.XLOOKUP(B708,'OA名单'!B:B,'OA名单'!F:F)</f>
      </c>
      <c r="S708" s="63">
        <f t="shared" si="10"/>
      </c>
      <c r="T708" s="70"/>
      <c r="U708" s="63" cm="1">
        <f t="array" ref="U708:U708">_xlfn.XLOOKUP(N708,'OA名单'!B:B,'OA名单'!E:E)</f>
      </c>
      <c r="V708" s="63">
        <f t="shared" si="12"/>
      </c>
      <c r="W708" s="71"/>
      <c r="X708" s="66"/>
      <c r="Y708" s="66"/>
    </row>
    <row hidden="true" r="709">
      <c r="A709" s="66"/>
      <c r="B709" s="66" t="s">
        <v>14373</v>
      </c>
      <c r="C709" s="67" t="s">
        <v>12713</v>
      </c>
      <c r="D709" s="67" t="s">
        <v>12714</v>
      </c>
      <c r="E709" s="66" t="s">
        <v>13146</v>
      </c>
      <c r="F709" s="66" t="s">
        <v>13394</v>
      </c>
      <c r="G709" s="66" t="s">
        <v>13294</v>
      </c>
      <c r="H709" s="66" t="s">
        <v>14374</v>
      </c>
      <c r="I709" s="68">
        <v>0.4</v>
      </c>
      <c r="J709" s="69">
        <v>0.48</v>
      </c>
      <c r="K709" s="66">
        <v>0.48</v>
      </c>
      <c r="L709" s="66">
        <v>1440</v>
      </c>
      <c r="M709" s="66">
        <v>3000</v>
      </c>
      <c r="N709" s="63" cm="1">
        <f t="array" ref="N709:N709">_xlfn.XLOOKUP(H709,'OA名单'!C:C,'OA名单'!B:B,1)</f>
      </c>
      <c r="O709" s="63">
        <f t="shared" si="9"/>
      </c>
      <c r="P709" s="63" cm="1">
        <f t="array" ref="P709:P709">_xlfn.XLOOKUP(N709,'OA名单'!B:B,'OA名单'!G:G)</f>
      </c>
      <c r="Q709" s="63">
        <f t="shared" si="11"/>
      </c>
      <c r="R709" s="63" cm="1">
        <f t="array" ref="R709:R709">_xlfn.XLOOKUP(B709,'OA名单'!B:B,'OA名单'!F:F)</f>
      </c>
      <c r="S709" s="63">
        <f t="shared" si="10"/>
      </c>
      <c r="T709" s="70"/>
      <c r="U709" s="63" cm="1">
        <f t="array" ref="U709:U709">_xlfn.XLOOKUP(N709,'OA名单'!B:B,'OA名单'!E:E)</f>
      </c>
      <c r="V709" s="63">
        <f t="shared" si="12"/>
      </c>
      <c r="W709" s="71"/>
      <c r="X709" s="66"/>
      <c r="Y709" s="66"/>
    </row>
    <row hidden="true" r="710">
      <c r="A710" s="66"/>
      <c r="B710" s="66" t="s">
        <v>14375</v>
      </c>
      <c r="C710" s="67" t="s">
        <v>12713</v>
      </c>
      <c r="D710" s="67" t="s">
        <v>12714</v>
      </c>
      <c r="E710" s="66" t="s">
        <v>12763</v>
      </c>
      <c r="F710" s="66" t="s">
        <v>13072</v>
      </c>
      <c r="G710" s="66" t="s">
        <v>14376</v>
      </c>
      <c r="H710" s="66" t="s">
        <v>14377</v>
      </c>
      <c r="I710" s="68">
        <v>0.4555</v>
      </c>
      <c r="J710" s="69">
        <v>0.48</v>
      </c>
      <c r="K710" s="66">
        <v>0.48</v>
      </c>
      <c r="L710" s="66">
        <v>1785</v>
      </c>
      <c r="M710" s="66">
        <v>5000</v>
      </c>
      <c r="N710" s="63" cm="1">
        <f t="array" ref="N710:N710">_xlfn.XLOOKUP(H710,'OA名单'!C:C,'OA名单'!B:B,1)</f>
      </c>
      <c r="O710" s="63">
        <f t="shared" si="9"/>
      </c>
      <c r="P710" s="63" cm="1">
        <f t="array" ref="P710:P710">_xlfn.XLOOKUP(N710,'OA名单'!B:B,'OA名单'!G:G)</f>
      </c>
      <c r="Q710" s="63">
        <f t="shared" si="11"/>
      </c>
      <c r="R710" s="63" cm="1">
        <f t="array" ref="R710:R710">_xlfn.XLOOKUP(B710,'OA名单'!B:B,'OA名单'!F:F)</f>
      </c>
      <c r="S710" s="63">
        <f t="shared" si="10"/>
      </c>
      <c r="T710" s="70"/>
      <c r="U710" s="63" cm="1">
        <f t="array" ref="U710:U710">_xlfn.XLOOKUP(N710,'OA名单'!B:B,'OA名单'!E:E)</f>
      </c>
      <c r="V710" s="63">
        <f t="shared" si="12"/>
      </c>
      <c r="W710" s="71"/>
      <c r="X710" s="66"/>
      <c r="Y710" s="66"/>
    </row>
    <row hidden="true" r="711">
      <c r="A711" s="66"/>
      <c r="B711" s="66" t="s">
        <v>14378</v>
      </c>
      <c r="C711" s="67" t="s">
        <v>12713</v>
      </c>
      <c r="D711" s="67" t="s">
        <v>12714</v>
      </c>
      <c r="E711" s="66" t="s">
        <v>12715</v>
      </c>
      <c r="F711" s="66" t="s">
        <v>13020</v>
      </c>
      <c r="G711" s="66" t="s">
        <v>13079</v>
      </c>
      <c r="H711" s="66" t="s">
        <v>14379</v>
      </c>
      <c r="I711" s="68">
        <v>0.47865</v>
      </c>
      <c r="J711" s="69">
        <v>0.48</v>
      </c>
      <c r="K711" s="66">
        <v>0.48</v>
      </c>
      <c r="L711" s="66">
        <v>2711.22</v>
      </c>
      <c r="M711" s="66">
        <v>5000</v>
      </c>
      <c r="N711" s="63" cm="1">
        <f t="array" ref="N711:N711">_xlfn.XLOOKUP(H711,'OA名单'!C:C,'OA名单'!B:B,1)</f>
      </c>
      <c r="O711" s="63">
        <f t="shared" si="9"/>
      </c>
      <c r="P711" s="63" cm="1">
        <f t="array" ref="P711:P711">_xlfn.XLOOKUP(N711,'OA名单'!B:B,'OA名单'!G:G)</f>
      </c>
      <c r="Q711" s="63">
        <f t="shared" si="11"/>
      </c>
      <c r="R711" s="63" cm="1">
        <f t="array" ref="R711:R711">_xlfn.XLOOKUP(B711,'OA名单'!B:B,'OA名单'!F:F)</f>
      </c>
      <c r="S711" s="63">
        <f t="shared" si="10"/>
      </c>
      <c r="T711" s="70"/>
      <c r="U711" s="63" cm="1">
        <f t="array" ref="U711:U711">_xlfn.XLOOKUP(N711,'OA名单'!B:B,'OA名单'!E:E)</f>
      </c>
      <c r="V711" s="63">
        <f t="shared" si="12"/>
      </c>
      <c r="W711" s="71"/>
      <c r="X711" s="66"/>
      <c r="Y711" s="66"/>
    </row>
    <row hidden="true" r="712">
      <c r="A712" s="66"/>
      <c r="B712" s="66" t="s">
        <v>14380</v>
      </c>
      <c r="C712" s="67" t="s">
        <v>12713</v>
      </c>
      <c r="D712" s="67" t="s">
        <v>12714</v>
      </c>
      <c r="E712" s="66" t="s">
        <v>13146</v>
      </c>
      <c r="F712" s="66" t="s">
        <v>13364</v>
      </c>
      <c r="G712" s="66" t="s">
        <v>14363</v>
      </c>
      <c r="H712" s="66" t="s">
        <v>14381</v>
      </c>
      <c r="I712" s="68">
        <v>0.373333</v>
      </c>
      <c r="J712" s="69">
        <v>0.48</v>
      </c>
      <c r="K712" s="66">
        <v>0.48</v>
      </c>
      <c r="L712" s="66">
        <v>3000</v>
      </c>
      <c r="M712" s="66">
        <v>3000</v>
      </c>
      <c r="N712" s="63" cm="1">
        <f t="array" ref="N712:N712">_xlfn.XLOOKUP(H712,'OA名单'!C:C,'OA名单'!B:B,1)</f>
      </c>
      <c r="O712" s="63">
        <f t="shared" si="9"/>
      </c>
      <c r="P712" s="63" cm="1">
        <f t="array" ref="P712:P712">_xlfn.XLOOKUP(N712,'OA名单'!B:B,'OA名单'!G:G)</f>
      </c>
      <c r="Q712" s="63">
        <f t="shared" si="11"/>
      </c>
      <c r="R712" s="63" cm="1">
        <f t="array" ref="R712:R712">_xlfn.XLOOKUP(B712,'OA名单'!B:B,'OA名单'!F:F)</f>
      </c>
      <c r="S712" s="63">
        <f t="shared" si="10"/>
      </c>
      <c r="T712" s="70"/>
      <c r="U712" s="63" cm="1">
        <f t="array" ref="U712:U712">_xlfn.XLOOKUP(N712,'OA名单'!B:B,'OA名单'!E:E)</f>
      </c>
      <c r="V712" s="63">
        <f t="shared" si="12"/>
      </c>
      <c r="W712" s="71"/>
      <c r="X712" s="66"/>
      <c r="Y712" s="66"/>
    </row>
    <row hidden="true" r="713">
      <c r="A713" s="66"/>
      <c r="B713" s="66" t="s">
        <v>14382</v>
      </c>
      <c r="C713" s="67" t="s">
        <v>12713</v>
      </c>
      <c r="D713" s="67" t="s">
        <v>12714</v>
      </c>
      <c r="E713" s="66" t="s">
        <v>13182</v>
      </c>
      <c r="F713" s="66" t="s">
        <v>14383</v>
      </c>
      <c r="G713" s="66" t="s">
        <v>13184</v>
      </c>
      <c r="H713" s="66" t="s">
        <v>14384</v>
      </c>
      <c r="I713" s="68">
        <v>0.653705</v>
      </c>
      <c r="J713" s="69">
        <v>0.47</v>
      </c>
      <c r="K713" s="66">
        <v>0.47</v>
      </c>
      <c r="L713" s="66">
        <v>723.67</v>
      </c>
      <c r="M713" s="66">
        <v>5000</v>
      </c>
      <c r="N713" s="63" cm="1">
        <f t="array" ref="N713:N713">_xlfn.XLOOKUP(H713,'OA名单'!C:C,'OA名单'!B:B,1)</f>
      </c>
      <c r="O713" s="63">
        <f t="shared" si="9"/>
      </c>
      <c r="P713" s="63" cm="1">
        <f t="array" ref="P713:P713">_xlfn.XLOOKUP(N713,'OA名单'!B:B,'OA名单'!G:G)</f>
      </c>
      <c r="Q713" s="63">
        <f t="shared" si="11"/>
      </c>
      <c r="R713" s="63" cm="1">
        <f t="array" ref="R713:R713">_xlfn.XLOOKUP(B713,'OA名单'!B:B,'OA名单'!F:F)</f>
      </c>
      <c r="S713" s="63">
        <f t="shared" si="10"/>
      </c>
      <c r="T713" s="70"/>
      <c r="U713" s="63" cm="1">
        <f t="array" ref="U713:U713">_xlfn.XLOOKUP(N713,'OA名单'!B:B,'OA名单'!E:E)</f>
      </c>
      <c r="V713" s="63">
        <f t="shared" si="12"/>
      </c>
      <c r="W713" s="71"/>
      <c r="X713" s="66"/>
      <c r="Y713" s="66"/>
    </row>
    <row hidden="true" r="714">
      <c r="A714" s="66"/>
      <c r="B714" s="66" t="s">
        <v>14385</v>
      </c>
      <c r="C714" s="67" t="s">
        <v>12713</v>
      </c>
      <c r="D714" s="67" t="s">
        <v>12714</v>
      </c>
      <c r="E714" s="66" t="s">
        <v>13177</v>
      </c>
      <c r="F714" s="66" t="s">
        <v>14386</v>
      </c>
      <c r="G714" s="66" t="s">
        <v>13184</v>
      </c>
      <c r="H714" s="66" t="s">
        <v>14345</v>
      </c>
      <c r="I714" s="68">
        <v>0.541</v>
      </c>
      <c r="J714" s="69">
        <v>0.47</v>
      </c>
      <c r="K714" s="66">
        <v>0.47</v>
      </c>
      <c r="L714" s="66">
        <v>1421</v>
      </c>
      <c r="M714" s="66">
        <v>5000</v>
      </c>
      <c r="N714" s="63" cm="1">
        <f t="array" ref="N714:N714">_xlfn.XLOOKUP(H714,'OA名单'!C:C,'OA名单'!B:B,1)</f>
      </c>
      <c r="O714" s="63">
        <f t="shared" si="9"/>
      </c>
      <c r="P714" s="63" cm="1">
        <f t="array" ref="P714:P714">_xlfn.XLOOKUP(N714,'OA名单'!B:B,'OA名单'!G:G)</f>
      </c>
      <c r="Q714" s="63">
        <f t="shared" si="11"/>
      </c>
      <c r="R714" s="63" cm="1">
        <f t="array" ref="R714:R714">_xlfn.XLOOKUP(B714,'OA名单'!B:B,'OA名单'!F:F)</f>
      </c>
      <c r="S714" s="63">
        <f t="shared" si="10"/>
      </c>
      <c r="T714" s="70"/>
      <c r="U714" s="63" cm="1">
        <f t="array" ref="U714:U714">_xlfn.XLOOKUP(N714,'OA名单'!B:B,'OA名单'!E:E)</f>
      </c>
      <c r="V714" s="63">
        <f t="shared" si="12"/>
      </c>
      <c r="W714" s="71"/>
      <c r="X714" s="66"/>
      <c r="Y714" s="66"/>
    </row>
    <row hidden="true" r="715">
      <c r="A715" s="66"/>
      <c r="B715" s="66" t="s">
        <v>14387</v>
      </c>
      <c r="C715" s="67" t="s">
        <v>12713</v>
      </c>
      <c r="D715" s="67" t="s">
        <v>12714</v>
      </c>
      <c r="E715" s="66" t="s">
        <v>12776</v>
      </c>
      <c r="F715" s="66" t="s">
        <v>13032</v>
      </c>
      <c r="G715" s="66" t="s">
        <v>12982</v>
      </c>
      <c r="H715" s="66" t="s">
        <v>14388</v>
      </c>
      <c r="I715" s="68">
        <v>0.463886</v>
      </c>
      <c r="J715" s="69">
        <v>0.47</v>
      </c>
      <c r="K715" s="66">
        <v>0.47</v>
      </c>
      <c r="L715" s="66">
        <v>675</v>
      </c>
      <c r="M715" s="66">
        <v>1500</v>
      </c>
      <c r="N715" s="63" cm="1">
        <f t="array" ref="N715:N715">_xlfn.XLOOKUP(H715,'OA名单'!C:C,'OA名单'!B:B,1)</f>
      </c>
      <c r="O715" s="63">
        <f t="shared" si="9"/>
      </c>
      <c r="P715" s="63" cm="1">
        <f t="array" ref="P715:P715">_xlfn.XLOOKUP(N715,'OA名单'!B:B,'OA名单'!G:G)</f>
      </c>
      <c r="Q715" s="63">
        <f t="shared" si="11"/>
      </c>
      <c r="R715" s="63" cm="1">
        <f t="array" ref="R715:R715">_xlfn.XLOOKUP(B715,'OA名单'!B:B,'OA名单'!F:F)</f>
      </c>
      <c r="S715" s="63">
        <f t="shared" si="10"/>
      </c>
      <c r="T715" s="70"/>
      <c r="U715" s="63" cm="1">
        <f t="array" ref="U715:U715">_xlfn.XLOOKUP(N715,'OA名单'!B:B,'OA名单'!E:E)</f>
      </c>
      <c r="V715" s="63">
        <f t="shared" si="12"/>
      </c>
      <c r="W715" s="71"/>
      <c r="X715" s="66"/>
      <c r="Y715" s="66"/>
    </row>
    <row hidden="true" r="716">
      <c r="A716" s="66"/>
      <c r="B716" s="66" t="s">
        <v>14389</v>
      </c>
      <c r="C716" s="67" t="s">
        <v>12713</v>
      </c>
      <c r="D716" s="67" t="s">
        <v>12714</v>
      </c>
      <c r="E716" s="66" t="s">
        <v>12715</v>
      </c>
      <c r="F716" s="66" t="s">
        <v>13214</v>
      </c>
      <c r="G716" s="66" t="s">
        <v>13079</v>
      </c>
      <c r="H716" s="66" t="s">
        <v>14390</v>
      </c>
      <c r="I716" s="68">
        <v>0.00567</v>
      </c>
      <c r="J716" s="69">
        <v>0.47</v>
      </c>
      <c r="K716" s="66">
        <v>0.47</v>
      </c>
      <c r="L716" s="66">
        <v>4000</v>
      </c>
      <c r="M716" s="66">
        <v>5000</v>
      </c>
      <c r="N716" s="63" cm="1">
        <f t="array" ref="N716:N716">_xlfn.XLOOKUP(H716,'OA名单'!C:C,'OA名单'!B:B,1)</f>
      </c>
      <c r="O716" s="63">
        <f t="shared" si="9"/>
      </c>
      <c r="P716" s="63" cm="1">
        <f t="array" ref="P716:P716">_xlfn.XLOOKUP(N716,'OA名单'!B:B,'OA名单'!G:G)</f>
      </c>
      <c r="Q716" s="63">
        <f t="shared" si="11"/>
      </c>
      <c r="R716" s="63" cm="1">
        <f t="array" ref="R716:R716">_xlfn.XLOOKUP(B716,'OA名单'!B:B,'OA名单'!F:F)</f>
      </c>
      <c r="S716" s="63">
        <f t="shared" si="10"/>
      </c>
      <c r="T716" s="70"/>
      <c r="U716" s="63" cm="1">
        <f t="array" ref="U716:U716">_xlfn.XLOOKUP(N716,'OA名单'!B:B,'OA名单'!E:E)</f>
      </c>
      <c r="V716" s="63">
        <f t="shared" si="12"/>
      </c>
      <c r="W716" s="71"/>
      <c r="X716" s="66"/>
      <c r="Y716" s="66"/>
    </row>
    <row hidden="true" r="717">
      <c r="A717" s="66"/>
      <c r="B717" s="66" t="s">
        <v>14391</v>
      </c>
      <c r="C717" s="67" t="s">
        <v>12713</v>
      </c>
      <c r="D717" s="67" t="s">
        <v>12714</v>
      </c>
      <c r="E717" s="66" t="s">
        <v>13146</v>
      </c>
      <c r="F717" s="66" t="s">
        <v>13364</v>
      </c>
      <c r="G717" s="66" t="s">
        <v>12751</v>
      </c>
      <c r="H717" s="66" t="s">
        <v>14392</v>
      </c>
      <c r="I717" s="68">
        <v>0.458</v>
      </c>
      <c r="J717" s="69">
        <v>0.46</v>
      </c>
      <c r="K717" s="66">
        <v>0.46</v>
      </c>
      <c r="L717" s="66">
        <v>0</v>
      </c>
      <c r="M717" s="66">
        <v>5000</v>
      </c>
      <c r="N717" s="63" cm="1">
        <f t="array" ref="N717:N717">_xlfn.XLOOKUP(H717,'OA名单'!C:C,'OA名单'!B:B,1)</f>
      </c>
      <c r="O717" s="63">
        <f t="shared" si="9"/>
      </c>
      <c r="P717" s="63" cm="1">
        <f t="array" ref="P717:P717">_xlfn.XLOOKUP(N717,'OA名单'!B:B,'OA名单'!G:G)</f>
      </c>
      <c r="Q717" s="63">
        <f t="shared" si="11"/>
      </c>
      <c r="R717" s="63" cm="1">
        <f t="array" ref="R717:R717">_xlfn.XLOOKUP(B717,'OA名单'!B:B,'OA名单'!F:F)</f>
      </c>
      <c r="S717" s="63">
        <f t="shared" si="10"/>
      </c>
      <c r="T717" s="70"/>
      <c r="U717" s="63" cm="1">
        <f t="array" ref="U717:U717">_xlfn.XLOOKUP(N717,'OA名单'!B:B,'OA名单'!E:E)</f>
      </c>
      <c r="V717" s="63">
        <f t="shared" si="12"/>
      </c>
      <c r="W717" s="71"/>
      <c r="X717" s="66"/>
      <c r="Y717" s="66"/>
    </row>
    <row hidden="true" r="718">
      <c r="A718" s="66"/>
      <c r="B718" s="66" t="s">
        <v>14393</v>
      </c>
      <c r="C718" s="67" t="s">
        <v>12713</v>
      </c>
      <c r="D718" s="67" t="s">
        <v>12714</v>
      </c>
      <c r="E718" s="66" t="s">
        <v>13277</v>
      </c>
      <c r="F718" s="66" t="s">
        <v>13278</v>
      </c>
      <c r="G718" s="66" t="s">
        <v>13279</v>
      </c>
      <c r="H718" s="66" t="s">
        <v>14394</v>
      </c>
      <c r="I718" s="68">
        <v>0.6</v>
      </c>
      <c r="J718" s="69">
        <v>0.45</v>
      </c>
      <c r="K718" s="66">
        <v>0.45</v>
      </c>
      <c r="L718" s="66">
        <v>2461.54</v>
      </c>
      <c r="M718" s="66">
        <v>3000</v>
      </c>
      <c r="N718" s="63" cm="1">
        <f t="array" ref="N718:N718">_xlfn.XLOOKUP(H718,'OA名单'!C:C,'OA名单'!B:B,1)</f>
      </c>
      <c r="O718" s="63">
        <f t="shared" si="9"/>
      </c>
      <c r="P718" s="63" cm="1">
        <f t="array" ref="P718:P718">_xlfn.XLOOKUP(N718,'OA名单'!B:B,'OA名单'!G:G)</f>
      </c>
      <c r="Q718" s="63">
        <f t="shared" si="11"/>
      </c>
      <c r="R718" s="63" cm="1">
        <f t="array" ref="R718:R718">_xlfn.XLOOKUP(B718,'OA名单'!B:B,'OA名单'!F:F)</f>
      </c>
      <c r="S718" s="63">
        <f t="shared" si="10"/>
      </c>
      <c r="T718" s="70"/>
      <c r="U718" s="63" cm="1">
        <f t="array" ref="U718:U718">_xlfn.XLOOKUP(N718,'OA名单'!B:B,'OA名单'!E:E)</f>
      </c>
      <c r="V718" s="63">
        <f t="shared" si="12"/>
      </c>
      <c r="W718" s="71"/>
      <c r="X718" s="66"/>
      <c r="Y718" s="66"/>
    </row>
    <row hidden="true" r="719">
      <c r="A719" s="66"/>
      <c r="B719" s="66" t="s">
        <v>14395</v>
      </c>
      <c r="C719" s="67" t="s">
        <v>12713</v>
      </c>
      <c r="D719" s="67" t="s">
        <v>12714</v>
      </c>
      <c r="E719" s="66" t="s">
        <v>12715</v>
      </c>
      <c r="F719" s="66" t="s">
        <v>13020</v>
      </c>
      <c r="G719" s="66" t="s">
        <v>12982</v>
      </c>
      <c r="H719" s="66" t="s">
        <v>14396</v>
      </c>
      <c r="I719" s="68">
        <v>0.4457</v>
      </c>
      <c r="J719" s="69">
        <v>0.45</v>
      </c>
      <c r="K719" s="66">
        <v>0.45</v>
      </c>
      <c r="L719" s="66">
        <v>800</v>
      </c>
      <c r="M719" s="66">
        <v>1500</v>
      </c>
      <c r="N719" s="63" cm="1">
        <f t="array" ref="N719:N719">_xlfn.XLOOKUP(H719,'OA名单'!C:C,'OA名单'!B:B,1)</f>
      </c>
      <c r="O719" s="63">
        <f t="shared" si="9"/>
      </c>
      <c r="P719" s="63" cm="1">
        <f t="array" ref="P719:P719">_xlfn.XLOOKUP(N719,'OA名单'!B:B,'OA名单'!G:G)</f>
      </c>
      <c r="Q719" s="63">
        <f t="shared" si="11"/>
      </c>
      <c r="R719" s="63" cm="1">
        <f t="array" ref="R719:R719">_xlfn.XLOOKUP(B719,'OA名单'!B:B,'OA名单'!F:F)</f>
      </c>
      <c r="S719" s="63">
        <f t="shared" si="10"/>
      </c>
      <c r="T719" s="70"/>
      <c r="U719" s="63" cm="1">
        <f t="array" ref="U719:U719">_xlfn.XLOOKUP(N719,'OA名单'!B:B,'OA名单'!E:E)</f>
      </c>
      <c r="V719" s="63">
        <f t="shared" si="12"/>
      </c>
      <c r="W719" s="71"/>
      <c r="X719" s="66"/>
      <c r="Y719" s="66"/>
    </row>
    <row hidden="true" r="720">
      <c r="A720" s="66"/>
      <c r="B720" s="66" t="s">
        <v>14397</v>
      </c>
      <c r="C720" s="67" t="s">
        <v>12713</v>
      </c>
      <c r="D720" s="67" t="s">
        <v>12714</v>
      </c>
      <c r="E720" s="66" t="s">
        <v>12715</v>
      </c>
      <c r="F720" s="66" t="s">
        <v>13020</v>
      </c>
      <c r="G720" s="66" t="s">
        <v>12982</v>
      </c>
      <c r="H720" s="66" t="s">
        <v>14398</v>
      </c>
      <c r="I720" s="68">
        <v>0.4543</v>
      </c>
      <c r="J720" s="69">
        <v>0.45</v>
      </c>
      <c r="K720" s="66">
        <v>0.45</v>
      </c>
      <c r="L720" s="66">
        <v>1700</v>
      </c>
      <c r="M720" s="66">
        <v>1500</v>
      </c>
      <c r="N720" s="63" cm="1">
        <f t="array" ref="N720:N720">_xlfn.XLOOKUP(H720,'OA名单'!C:C,'OA名单'!B:B,1)</f>
      </c>
      <c r="O720" s="63">
        <f t="shared" si="9"/>
      </c>
      <c r="P720" s="63" cm="1">
        <f t="array" ref="P720:P720">_xlfn.XLOOKUP(N720,'OA名单'!B:B,'OA名单'!G:G)</f>
      </c>
      <c r="Q720" s="63">
        <f t="shared" si="11"/>
      </c>
      <c r="R720" s="63" cm="1">
        <f t="array" ref="R720:R720">_xlfn.XLOOKUP(B720,'OA名单'!B:B,'OA名单'!F:F)</f>
      </c>
      <c r="S720" s="63">
        <f t="shared" si="10"/>
      </c>
      <c r="T720" s="70"/>
      <c r="U720" s="63" cm="1">
        <f t="array" ref="U720:U720">_xlfn.XLOOKUP(N720,'OA名单'!B:B,'OA名单'!E:E)</f>
      </c>
      <c r="V720" s="63">
        <f t="shared" si="12"/>
      </c>
      <c r="W720" s="71"/>
      <c r="X720" s="66"/>
      <c r="Y720" s="66"/>
    </row>
    <row hidden="true" r="721">
      <c r="A721" s="66"/>
      <c r="B721" s="66" t="s">
        <v>14399</v>
      </c>
      <c r="C721" s="67" t="s">
        <v>12713</v>
      </c>
      <c r="D721" s="67" t="s">
        <v>12714</v>
      </c>
      <c r="E721" s="66" t="s">
        <v>12715</v>
      </c>
      <c r="F721" s="66" t="s">
        <v>13214</v>
      </c>
      <c r="G721" s="66" t="s">
        <v>12751</v>
      </c>
      <c r="H721" s="66" t="s">
        <v>14400</v>
      </c>
      <c r="I721" s="68">
        <v>0.518475</v>
      </c>
      <c r="J721" s="69">
        <v>0.44</v>
      </c>
      <c r="K721" s="66">
        <v>0.44</v>
      </c>
      <c r="L721" s="66">
        <v>0</v>
      </c>
      <c r="M721" s="66">
        <v>6000</v>
      </c>
      <c r="N721" s="63" cm="1">
        <f t="array" ref="N721:N721">_xlfn.XLOOKUP(H721,'OA名单'!C:C,'OA名单'!B:B,1)</f>
      </c>
      <c r="O721" s="63">
        <f t="shared" si="9"/>
      </c>
      <c r="P721" s="63" cm="1">
        <f t="array" ref="P721:P721">_xlfn.XLOOKUP(N721,'OA名单'!B:B,'OA名单'!G:G)</f>
      </c>
      <c r="Q721" s="63">
        <f t="shared" si="11"/>
      </c>
      <c r="R721" s="63" cm="1">
        <f t="array" ref="R721:R721">_xlfn.XLOOKUP(B721,'OA名单'!B:B,'OA名单'!F:F)</f>
      </c>
      <c r="S721" s="63">
        <f t="shared" si="10"/>
      </c>
      <c r="T721" s="70"/>
      <c r="U721" s="63" cm="1">
        <f t="array" ref="U721:U721">_xlfn.XLOOKUP(N721,'OA名单'!B:B,'OA名单'!E:E)</f>
      </c>
      <c r="V721" s="63">
        <f t="shared" si="12"/>
      </c>
      <c r="W721" s="71"/>
      <c r="X721" s="66"/>
      <c r="Y721" s="66"/>
    </row>
    <row hidden="true" r="722">
      <c r="A722" s="66"/>
      <c r="B722" s="66" t="s">
        <v>14401</v>
      </c>
      <c r="C722" s="67" t="s">
        <v>12713</v>
      </c>
      <c r="D722" s="67" t="s">
        <v>12714</v>
      </c>
      <c r="E722" s="66" t="s">
        <v>12782</v>
      </c>
      <c r="F722" s="66" t="s">
        <v>12997</v>
      </c>
      <c r="G722" s="66" t="s">
        <v>12982</v>
      </c>
      <c r="H722" s="66" t="s">
        <v>14402</v>
      </c>
      <c r="I722" s="68">
        <v>0.539</v>
      </c>
      <c r="J722" s="69">
        <v>0.43</v>
      </c>
      <c r="K722" s="66">
        <v>0.43</v>
      </c>
      <c r="L722" s="66">
        <v>1241.38</v>
      </c>
      <c r="M722" s="66">
        <v>1500</v>
      </c>
      <c r="N722" s="63" cm="1">
        <f t="array" ref="N722:N722">_xlfn.XLOOKUP(H722,'OA名单'!C:C,'OA名单'!B:B,1)</f>
      </c>
      <c r="O722" s="63">
        <f t="shared" si="9"/>
      </c>
      <c r="P722" s="63" cm="1">
        <f t="array" ref="P722:P722">_xlfn.XLOOKUP(N722,'OA名单'!B:B,'OA名单'!G:G)</f>
      </c>
      <c r="Q722" s="63">
        <f t="shared" si="11"/>
      </c>
      <c r="R722" s="63" cm="1">
        <f t="array" ref="R722:R722">_xlfn.XLOOKUP(B722,'OA名单'!B:B,'OA名单'!F:F)</f>
      </c>
      <c r="S722" s="63">
        <f t="shared" si="10"/>
      </c>
      <c r="T722" s="70"/>
      <c r="U722" s="63" cm="1">
        <f t="array" ref="U722:U722">_xlfn.XLOOKUP(N722,'OA名单'!B:B,'OA名单'!E:E)</f>
      </c>
      <c r="V722" s="63">
        <f t="shared" si="12"/>
      </c>
      <c r="W722" s="71"/>
      <c r="X722" s="66"/>
      <c r="Y722" s="66"/>
    </row>
    <row hidden="true" r="723">
      <c r="A723" s="66"/>
      <c r="B723" s="66" t="s">
        <v>14403</v>
      </c>
      <c r="C723" s="67" t="s">
        <v>12713</v>
      </c>
      <c r="D723" s="67" t="s">
        <v>12714</v>
      </c>
      <c r="E723" s="66" t="s">
        <v>13177</v>
      </c>
      <c r="F723" s="66" t="s">
        <v>14386</v>
      </c>
      <c r="G723" s="66" t="s">
        <v>13179</v>
      </c>
      <c r="H723" s="66" t="s">
        <v>14404</v>
      </c>
      <c r="I723" s="68">
        <v>0.477</v>
      </c>
      <c r="J723" s="69">
        <v>0.43</v>
      </c>
      <c r="K723" s="66">
        <v>0.43</v>
      </c>
      <c r="L723" s="66">
        <v>4327.47</v>
      </c>
      <c r="M723" s="66">
        <v>6000</v>
      </c>
      <c r="N723" s="63" cm="1">
        <f t="array" ref="N723:N723">_xlfn.XLOOKUP(H723,'OA名单'!C:C,'OA名单'!B:B,1)</f>
      </c>
      <c r="O723" s="63">
        <f t="shared" si="9"/>
      </c>
      <c r="P723" s="63" cm="1">
        <f t="array" ref="P723:P723">_xlfn.XLOOKUP(N723,'OA名单'!B:B,'OA名单'!G:G)</f>
      </c>
      <c r="Q723" s="63">
        <f t="shared" si="11"/>
      </c>
      <c r="R723" s="63" cm="1">
        <f t="array" ref="R723:R723">_xlfn.XLOOKUP(B723,'OA名单'!B:B,'OA名单'!F:F)</f>
      </c>
      <c r="S723" s="63">
        <f t="shared" si="10"/>
      </c>
      <c r="T723" s="70"/>
      <c r="U723" s="63" cm="1">
        <f t="array" ref="U723:U723">_xlfn.XLOOKUP(N723,'OA名单'!B:B,'OA名单'!E:E)</f>
      </c>
      <c r="V723" s="63">
        <f t="shared" si="12"/>
      </c>
      <c r="W723" s="71"/>
      <c r="X723" s="66"/>
      <c r="Y723" s="66"/>
    </row>
    <row hidden="true" r="724">
      <c r="A724" s="66"/>
      <c r="B724" s="66" t="s">
        <v>14405</v>
      </c>
      <c r="C724" s="67" t="s">
        <v>12713</v>
      </c>
      <c r="D724" s="67" t="s">
        <v>12714</v>
      </c>
      <c r="E724" s="66" t="s">
        <v>12782</v>
      </c>
      <c r="F724" s="66" t="s">
        <v>12783</v>
      </c>
      <c r="G724" s="66" t="s">
        <v>12888</v>
      </c>
      <c r="H724" s="66" t="s">
        <v>14406</v>
      </c>
      <c r="I724" s="68">
        <v>0.43</v>
      </c>
      <c r="J724" s="69">
        <v>0.43</v>
      </c>
      <c r="K724" s="66">
        <v>0.43</v>
      </c>
      <c r="L724" s="66">
        <v>1502.23</v>
      </c>
      <c r="M724" s="66">
        <v>2300</v>
      </c>
      <c r="N724" s="63" cm="1">
        <f t="array" ref="N724:N724">_xlfn.XLOOKUP(H724,'OA名单'!C:C,'OA名单'!B:B,1)</f>
      </c>
      <c r="O724" s="63">
        <f t="shared" si="9"/>
      </c>
      <c r="P724" s="63" cm="1">
        <f t="array" ref="P724:P724">_xlfn.XLOOKUP(N724,'OA名单'!B:B,'OA名单'!G:G)</f>
      </c>
      <c r="Q724" s="63">
        <f t="shared" si="11"/>
      </c>
      <c r="R724" s="63" cm="1">
        <f t="array" ref="R724:R724">_xlfn.XLOOKUP(B724,'OA名单'!B:B,'OA名单'!F:F)</f>
      </c>
      <c r="S724" s="63">
        <f t="shared" si="10"/>
      </c>
      <c r="T724" s="70"/>
      <c r="U724" s="63" cm="1">
        <f t="array" ref="U724:U724">_xlfn.XLOOKUP(N724,'OA名单'!B:B,'OA名单'!E:E)</f>
      </c>
      <c r="V724" s="63">
        <f t="shared" si="12"/>
      </c>
      <c r="W724" s="71"/>
      <c r="X724" s="66"/>
      <c r="Y724" s="66"/>
    </row>
    <row hidden="true" r="725">
      <c r="A725" s="66"/>
      <c r="B725" s="66" t="s">
        <v>14407</v>
      </c>
      <c r="C725" s="67" t="s">
        <v>12713</v>
      </c>
      <c r="D725" s="67" t="s">
        <v>12714</v>
      </c>
      <c r="E725" s="66" t="s">
        <v>12776</v>
      </c>
      <c r="F725" s="66" t="s">
        <v>12981</v>
      </c>
      <c r="G725" s="66" t="s">
        <v>12982</v>
      </c>
      <c r="H725" s="66" t="s">
        <v>14408</v>
      </c>
      <c r="I725" s="68">
        <v>0.490204</v>
      </c>
      <c r="J725" s="69">
        <v>0.42</v>
      </c>
      <c r="K725" s="66">
        <v>0.42</v>
      </c>
      <c r="L725" s="66">
        <v>816</v>
      </c>
      <c r="M725" s="66">
        <v>1500</v>
      </c>
      <c r="N725" s="63" cm="1">
        <f t="array" ref="N725:N725">_xlfn.XLOOKUP(H725,'OA名单'!C:C,'OA名单'!B:B,1)</f>
      </c>
      <c r="O725" s="63">
        <f t="shared" si="9"/>
      </c>
      <c r="P725" s="63" cm="1">
        <f t="array" ref="P725:P725">_xlfn.XLOOKUP(N725,'OA名单'!B:B,'OA名单'!G:G)</f>
      </c>
      <c r="Q725" s="63">
        <f t="shared" si="11"/>
      </c>
      <c r="R725" s="63" cm="1">
        <f t="array" ref="R725:R725">_xlfn.XLOOKUP(B725,'OA名单'!B:B,'OA名单'!F:F)</f>
      </c>
      <c r="S725" s="63">
        <f t="shared" si="10"/>
      </c>
      <c r="T725" s="70"/>
      <c r="U725" s="63" cm="1">
        <f t="array" ref="U725:U725">_xlfn.XLOOKUP(N725,'OA名单'!B:B,'OA名单'!E:E)</f>
      </c>
      <c r="V725" s="63">
        <f t="shared" si="12"/>
      </c>
      <c r="W725" s="71"/>
      <c r="X725" s="66"/>
      <c r="Y725" s="66"/>
    </row>
    <row hidden="true" r="726">
      <c r="A726" s="66"/>
      <c r="B726" s="66" t="s">
        <v>14409</v>
      </c>
      <c r="C726" s="67" t="s">
        <v>12713</v>
      </c>
      <c r="D726" s="67" t="s">
        <v>12714</v>
      </c>
      <c r="E726" s="66" t="s">
        <v>13027</v>
      </c>
      <c r="F726" s="66" t="s">
        <v>13240</v>
      </c>
      <c r="G726" s="66" t="s">
        <v>13221</v>
      </c>
      <c r="H726" s="66" t="s">
        <v>14410</v>
      </c>
      <c r="I726" s="68">
        <v>0.587133</v>
      </c>
      <c r="J726" s="69">
        <v>0.42</v>
      </c>
      <c r="K726" s="66">
        <v>0.42</v>
      </c>
      <c r="L726" s="66">
        <v>2000</v>
      </c>
      <c r="M726" s="66">
        <v>5000</v>
      </c>
      <c r="N726" s="63" cm="1">
        <f t="array" ref="N726:N726">_xlfn.XLOOKUP(H726,'OA名单'!C:C,'OA名单'!B:B,1)</f>
      </c>
      <c r="O726" s="63">
        <f t="shared" si="9"/>
      </c>
      <c r="P726" s="63" cm="1">
        <f t="array" ref="P726:P726">_xlfn.XLOOKUP(N726,'OA名单'!B:B,'OA名单'!G:G)</f>
      </c>
      <c r="Q726" s="63">
        <f t="shared" si="11"/>
      </c>
      <c r="R726" s="63" cm="1">
        <f t="array" ref="R726:R726">_xlfn.XLOOKUP(B726,'OA名单'!B:B,'OA名单'!F:F)</f>
      </c>
      <c r="S726" s="63">
        <f t="shared" si="10"/>
      </c>
      <c r="T726" s="70"/>
      <c r="U726" s="63" cm="1">
        <f t="array" ref="U726:U726">_xlfn.XLOOKUP(N726,'OA名单'!B:B,'OA名单'!E:E)</f>
      </c>
      <c r="V726" s="63">
        <f t="shared" si="12"/>
      </c>
      <c r="W726" s="71"/>
      <c r="X726" s="66"/>
      <c r="Y726" s="66"/>
    </row>
    <row hidden="true" r="727">
      <c r="A727" s="66"/>
      <c r="B727" s="66" t="s">
        <v>14411</v>
      </c>
      <c r="C727" s="67" t="s">
        <v>12713</v>
      </c>
      <c r="D727" s="67" t="s">
        <v>12714</v>
      </c>
      <c r="E727" s="66" t="s">
        <v>13146</v>
      </c>
      <c r="F727" s="66" t="s">
        <v>13147</v>
      </c>
      <c r="G727" s="66" t="s">
        <v>13530</v>
      </c>
      <c r="H727" s="66" t="s">
        <v>14412</v>
      </c>
      <c r="I727" s="68">
        <v>0.42</v>
      </c>
      <c r="J727" s="69">
        <v>0.42</v>
      </c>
      <c r="K727" s="66">
        <v>0.42</v>
      </c>
      <c r="L727" s="66">
        <v>210</v>
      </c>
      <c r="M727" s="66">
        <v>500</v>
      </c>
      <c r="N727" s="63" cm="1">
        <f t="array" ref="N727:N727">_xlfn.XLOOKUP(H727,'OA名单'!C:C,'OA名单'!B:B,1)</f>
      </c>
      <c r="O727" s="63">
        <f t="shared" si="9"/>
      </c>
      <c r="P727" s="63" cm="1">
        <f t="array" ref="P727:P727">_xlfn.XLOOKUP(N727,'OA名单'!B:B,'OA名单'!G:G)</f>
      </c>
      <c r="Q727" s="63">
        <f t="shared" si="11"/>
      </c>
      <c r="R727" s="63" cm="1">
        <f t="array" ref="R727:R727">_xlfn.XLOOKUP(B727,'OA名单'!B:B,'OA名单'!F:F)</f>
      </c>
      <c r="S727" s="63">
        <f t="shared" si="10"/>
      </c>
      <c r="T727" s="70"/>
      <c r="U727" s="63" cm="1">
        <f t="array" ref="U727:U727">_xlfn.XLOOKUP(N727,'OA名单'!B:B,'OA名单'!E:E)</f>
      </c>
      <c r="V727" s="63">
        <f t="shared" si="12"/>
      </c>
      <c r="W727" s="71"/>
      <c r="X727" s="66"/>
      <c r="Y727" s="66"/>
    </row>
    <row hidden="true" r="728">
      <c r="A728" s="66"/>
      <c r="B728" s="66" t="s">
        <v>14413</v>
      </c>
      <c r="C728" s="67" t="s">
        <v>12713</v>
      </c>
      <c r="D728" s="67" t="s">
        <v>12714</v>
      </c>
      <c r="E728" s="66" t="s">
        <v>13027</v>
      </c>
      <c r="F728" s="66" t="s">
        <v>13054</v>
      </c>
      <c r="G728" s="66" t="s">
        <v>12751</v>
      </c>
      <c r="H728" s="66" t="s">
        <v>14414</v>
      </c>
      <c r="I728" s="68">
        <v>0.408095</v>
      </c>
      <c r="J728" s="69">
        <v>0.41</v>
      </c>
      <c r="K728" s="66">
        <v>0.41</v>
      </c>
      <c r="L728" s="66">
        <v>0</v>
      </c>
      <c r="M728" s="66">
        <v>5000</v>
      </c>
      <c r="N728" s="63" cm="1">
        <f t="array" ref="N728:N728">_xlfn.XLOOKUP(H728,'OA名单'!C:C,'OA名单'!B:B,1)</f>
      </c>
      <c r="O728" s="63">
        <f t="shared" si="9"/>
      </c>
      <c r="P728" s="63" cm="1">
        <f t="array" ref="P728:P728">_xlfn.XLOOKUP(N728,'OA名单'!B:B,'OA名单'!G:G)</f>
      </c>
      <c r="Q728" s="63">
        <f t="shared" si="11"/>
      </c>
      <c r="R728" s="63" cm="1">
        <f t="array" ref="R728:R728">_xlfn.XLOOKUP(B728,'OA名单'!B:B,'OA名单'!F:F)</f>
      </c>
      <c r="S728" s="63">
        <f t="shared" si="10"/>
      </c>
      <c r="T728" s="70"/>
      <c r="U728" s="63" cm="1">
        <f t="array" ref="U728:U728">_xlfn.XLOOKUP(N728,'OA名单'!B:B,'OA名单'!E:E)</f>
      </c>
      <c r="V728" s="63">
        <f t="shared" si="12"/>
      </c>
      <c r="W728" s="71"/>
      <c r="X728" s="66"/>
      <c r="Y728" s="66"/>
    </row>
    <row hidden="true" r="729">
      <c r="A729" s="66"/>
      <c r="B729" s="66" t="s">
        <v>14415</v>
      </c>
      <c r="C729" s="67" t="s">
        <v>12713</v>
      </c>
      <c r="D729" s="67" t="s">
        <v>12714</v>
      </c>
      <c r="E729" s="66" t="s">
        <v>13146</v>
      </c>
      <c r="F729" s="66" t="s">
        <v>13147</v>
      </c>
      <c r="G729" s="66" t="s">
        <v>13294</v>
      </c>
      <c r="H729" s="66" t="s">
        <v>14416</v>
      </c>
      <c r="I729" s="68">
        <v>0.4367</v>
      </c>
      <c r="J729" s="69">
        <v>0.41</v>
      </c>
      <c r="K729" s="66">
        <v>0.41</v>
      </c>
      <c r="L729" s="66">
        <v>2957.75</v>
      </c>
      <c r="M729" s="66">
        <v>3000</v>
      </c>
      <c r="N729" s="63" cm="1">
        <f t="array" ref="N729:N729">_xlfn.XLOOKUP(H729,'OA名单'!C:C,'OA名单'!B:B,1)</f>
      </c>
      <c r="O729" s="63">
        <f t="shared" si="9"/>
      </c>
      <c r="P729" s="63" cm="1">
        <f t="array" ref="P729:P729">_xlfn.XLOOKUP(N729,'OA名单'!B:B,'OA名单'!G:G)</f>
      </c>
      <c r="Q729" s="63">
        <f t="shared" si="11"/>
      </c>
      <c r="R729" s="63" cm="1">
        <f t="array" ref="R729:R729">_xlfn.XLOOKUP(B729,'OA名单'!B:B,'OA名单'!F:F)</f>
      </c>
      <c r="S729" s="63">
        <f t="shared" si="10"/>
      </c>
      <c r="T729" s="70"/>
      <c r="U729" s="63" cm="1">
        <f t="array" ref="U729:U729">_xlfn.XLOOKUP(N729,'OA名单'!B:B,'OA名单'!E:E)</f>
      </c>
      <c r="V729" s="63">
        <f t="shared" si="12"/>
      </c>
      <c r="W729" s="71"/>
      <c r="X729" s="66"/>
      <c r="Y729" s="66"/>
    </row>
    <row hidden="true" r="730">
      <c r="A730" s="66"/>
      <c r="B730" s="66" t="s">
        <v>14417</v>
      </c>
      <c r="C730" s="67" t="s">
        <v>12713</v>
      </c>
      <c r="D730" s="67" t="s">
        <v>12714</v>
      </c>
      <c r="E730" s="66" t="s">
        <v>12715</v>
      </c>
      <c r="F730" s="66" t="s">
        <v>13214</v>
      </c>
      <c r="G730" s="66" t="s">
        <v>12751</v>
      </c>
      <c r="H730" s="66" t="s">
        <v>14418</v>
      </c>
      <c r="I730" s="68">
        <v>0.635175</v>
      </c>
      <c r="J730" s="69">
        <v>0.41</v>
      </c>
      <c r="K730" s="66">
        <v>0.41</v>
      </c>
      <c r="L730" s="66">
        <v>2408</v>
      </c>
      <c r="M730" s="66">
        <v>6000</v>
      </c>
      <c r="N730" s="63" cm="1">
        <f t="array" ref="N730:N730">_xlfn.XLOOKUP(H730,'OA名单'!C:C,'OA名单'!B:B,1)</f>
      </c>
      <c r="O730" s="63">
        <f t="shared" si="9"/>
      </c>
      <c r="P730" s="63" cm="1">
        <f t="array" ref="P730:P730">_xlfn.XLOOKUP(N730,'OA名单'!B:B,'OA名单'!G:G)</f>
      </c>
      <c r="Q730" s="63">
        <f t="shared" si="11"/>
      </c>
      <c r="R730" s="63" cm="1">
        <f t="array" ref="R730:R730">_xlfn.XLOOKUP(B730,'OA名单'!B:B,'OA名单'!F:F)</f>
      </c>
      <c r="S730" s="63">
        <f t="shared" si="10"/>
      </c>
      <c r="T730" s="70"/>
      <c r="U730" s="63" cm="1">
        <f t="array" ref="U730:U730">_xlfn.XLOOKUP(N730,'OA名单'!B:B,'OA名单'!E:E)</f>
      </c>
      <c r="V730" s="63">
        <f t="shared" si="12"/>
      </c>
      <c r="W730" s="71"/>
      <c r="X730" s="66"/>
      <c r="Y730" s="66"/>
    </row>
    <row hidden="true" r="731">
      <c r="A731" s="66"/>
      <c r="B731" s="66" t="s">
        <v>14419</v>
      </c>
      <c r="C731" s="67" t="s">
        <v>12713</v>
      </c>
      <c r="D731" s="67" t="s">
        <v>12714</v>
      </c>
      <c r="E731" s="66" t="s">
        <v>12715</v>
      </c>
      <c r="F731" s="66" t="s">
        <v>13187</v>
      </c>
      <c r="G731" s="66" t="s">
        <v>12982</v>
      </c>
      <c r="H731" s="66" t="s">
        <v>14420</v>
      </c>
      <c r="I731" s="68">
        <v>0.452517</v>
      </c>
      <c r="J731" s="69">
        <v>0.41</v>
      </c>
      <c r="K731" s="66">
        <v>0.41</v>
      </c>
      <c r="L731" s="66">
        <v>1091.73</v>
      </c>
      <c r="M731" s="66">
        <v>1500</v>
      </c>
      <c r="N731" s="63" cm="1">
        <f t="array" ref="N731:N731">_xlfn.XLOOKUP(H731,'OA名单'!C:C,'OA名单'!B:B,1)</f>
      </c>
      <c r="O731" s="63">
        <f t="shared" si="9"/>
      </c>
      <c r="P731" s="63" cm="1">
        <f t="array" ref="P731:P731">_xlfn.XLOOKUP(N731,'OA名单'!B:B,'OA名单'!G:G)</f>
      </c>
      <c r="Q731" s="63">
        <f t="shared" si="11"/>
      </c>
      <c r="R731" s="63" cm="1">
        <f t="array" ref="R731:R731">_xlfn.XLOOKUP(B731,'OA名单'!B:B,'OA名单'!F:F)</f>
      </c>
      <c r="S731" s="63">
        <f t="shared" si="10"/>
      </c>
      <c r="T731" s="70"/>
      <c r="U731" s="63" cm="1">
        <f t="array" ref="U731:U731">_xlfn.XLOOKUP(N731,'OA名单'!B:B,'OA名单'!E:E)</f>
      </c>
      <c r="V731" s="63">
        <f t="shared" si="12"/>
      </c>
      <c r="W731" s="71"/>
      <c r="X731" s="66"/>
      <c r="Y731" s="66"/>
    </row>
    <row hidden="true" r="732">
      <c r="A732" s="66"/>
      <c r="B732" s="66" t="s">
        <v>14421</v>
      </c>
      <c r="C732" s="67" t="s">
        <v>12713</v>
      </c>
      <c r="D732" s="67" t="s">
        <v>12714</v>
      </c>
      <c r="E732" s="66" t="s">
        <v>12715</v>
      </c>
      <c r="F732" s="66" t="s">
        <v>13187</v>
      </c>
      <c r="G732" s="66" t="s">
        <v>12982</v>
      </c>
      <c r="H732" s="66" t="s">
        <v>14422</v>
      </c>
      <c r="I732" s="68">
        <v>0.408035</v>
      </c>
      <c r="J732" s="69">
        <v>0.41</v>
      </c>
      <c r="K732" s="66">
        <v>0.41</v>
      </c>
      <c r="L732" s="66">
        <v>1361.2</v>
      </c>
      <c r="M732" s="66">
        <v>1500</v>
      </c>
      <c r="N732" s="63" cm="1">
        <f t="array" ref="N732:N732">_xlfn.XLOOKUP(H732,'OA名单'!C:C,'OA名单'!B:B,1)</f>
      </c>
      <c r="O732" s="63">
        <f t="shared" si="9"/>
      </c>
      <c r="P732" s="63" cm="1">
        <f t="array" ref="P732:P732">_xlfn.XLOOKUP(N732,'OA名单'!B:B,'OA名单'!G:G)</f>
      </c>
      <c r="Q732" s="63">
        <f t="shared" si="11"/>
      </c>
      <c r="R732" s="63" cm="1">
        <f t="array" ref="R732:R732">_xlfn.XLOOKUP(B732,'OA名单'!B:B,'OA名单'!F:F)</f>
      </c>
      <c r="S732" s="63">
        <f t="shared" si="10"/>
      </c>
      <c r="T732" s="70"/>
      <c r="U732" s="63" cm="1">
        <f t="array" ref="U732:U732">_xlfn.XLOOKUP(N732,'OA名单'!B:B,'OA名单'!E:E)</f>
      </c>
      <c r="V732" s="63">
        <f t="shared" si="12"/>
      </c>
      <c r="W732" s="71"/>
      <c r="X732" s="66"/>
      <c r="Y732" s="66"/>
    </row>
    <row hidden="true" r="733">
      <c r="A733" s="66"/>
      <c r="B733" s="66" t="s">
        <v>14423</v>
      </c>
      <c r="C733" s="67" t="s">
        <v>12713</v>
      </c>
      <c r="D733" s="67" t="s">
        <v>12714</v>
      </c>
      <c r="E733" s="66" t="s">
        <v>13146</v>
      </c>
      <c r="F733" s="66" t="s">
        <v>13204</v>
      </c>
      <c r="G733" s="66" t="s">
        <v>13530</v>
      </c>
      <c r="H733" s="66" t="s">
        <v>14424</v>
      </c>
      <c r="I733" s="68">
        <v>0.4</v>
      </c>
      <c r="J733" s="69">
        <v>0.4</v>
      </c>
      <c r="K733" s="66">
        <v>0.4</v>
      </c>
      <c r="L733" s="66">
        <v>200</v>
      </c>
      <c r="M733" s="66">
        <v>500</v>
      </c>
      <c r="N733" s="63" cm="1">
        <f t="array" ref="N733:N733">_xlfn.XLOOKUP(H733,'OA名单'!C:C,'OA名单'!B:B,1)</f>
      </c>
      <c r="O733" s="63">
        <f t="shared" si="9"/>
      </c>
      <c r="P733" s="63" cm="1">
        <f t="array" ref="P733:P733">_xlfn.XLOOKUP(N733,'OA名单'!B:B,'OA名单'!G:G)</f>
      </c>
      <c r="Q733" s="63">
        <f t="shared" si="11"/>
      </c>
      <c r="R733" s="63" cm="1">
        <f t="array" ref="R733:R733">_xlfn.XLOOKUP(B733,'OA名单'!B:B,'OA名单'!F:F)</f>
      </c>
      <c r="S733" s="63">
        <f t="shared" si="10"/>
      </c>
      <c r="T733" s="70"/>
      <c r="U733" s="63" cm="1">
        <f t="array" ref="U733:U733">_xlfn.XLOOKUP(N733,'OA名单'!B:B,'OA名单'!E:E)</f>
      </c>
      <c r="V733" s="63">
        <f t="shared" si="12"/>
      </c>
      <c r="W733" s="71"/>
      <c r="X733" s="66"/>
      <c r="Y733" s="66"/>
    </row>
    <row hidden="true" r="734">
      <c r="A734" s="66"/>
      <c r="B734" s="66" t="s">
        <v>14425</v>
      </c>
      <c r="C734" s="67" t="s">
        <v>12713</v>
      </c>
      <c r="D734" s="67" t="s">
        <v>12714</v>
      </c>
      <c r="E734" s="66" t="s">
        <v>13146</v>
      </c>
      <c r="F734" s="66" t="s">
        <v>13484</v>
      </c>
      <c r="G734" s="66" t="s">
        <v>14426</v>
      </c>
      <c r="H734" s="66" t="s">
        <v>14427</v>
      </c>
      <c r="I734" s="68">
        <v>0.4</v>
      </c>
      <c r="J734" s="69">
        <v>0.4</v>
      </c>
      <c r="K734" s="66">
        <v>0.4</v>
      </c>
      <c r="L734" s="66">
        <v>1000</v>
      </c>
      <c r="M734" s="66">
        <v>1000</v>
      </c>
      <c r="N734" s="63" cm="1">
        <f t="array" ref="N734:N734">_xlfn.XLOOKUP(H734,'OA名单'!C:C,'OA名单'!B:B,1)</f>
      </c>
      <c r="O734" s="63">
        <f t="shared" si="9"/>
      </c>
      <c r="P734" s="63" cm="1">
        <f t="array" ref="P734:P734">_xlfn.XLOOKUP(N734,'OA名单'!B:B,'OA名单'!G:G)</f>
      </c>
      <c r="Q734" s="63">
        <f t="shared" si="11"/>
      </c>
      <c r="R734" s="63" cm="1">
        <f t="array" ref="R734:R734">_xlfn.XLOOKUP(B734,'OA名单'!B:B,'OA名单'!F:F)</f>
      </c>
      <c r="S734" s="63">
        <f t="shared" si="10"/>
      </c>
      <c r="T734" s="70"/>
      <c r="U734" s="63" cm="1">
        <f t="array" ref="U734:U734">_xlfn.XLOOKUP(N734,'OA名单'!B:B,'OA名单'!E:E)</f>
      </c>
      <c r="V734" s="63">
        <f t="shared" si="12"/>
      </c>
      <c r="W734" s="71"/>
      <c r="X734" s="66"/>
      <c r="Y734" s="66"/>
    </row>
    <row hidden="true" r="735">
      <c r="A735" s="66"/>
      <c r="B735" s="66" t="s">
        <v>14428</v>
      </c>
      <c r="C735" s="67" t="s">
        <v>12713</v>
      </c>
      <c r="D735" s="67" t="s">
        <v>12714</v>
      </c>
      <c r="E735" s="66" t="s">
        <v>13182</v>
      </c>
      <c r="F735" s="66" t="s">
        <v>14383</v>
      </c>
      <c r="G735" s="66" t="s">
        <v>13949</v>
      </c>
      <c r="H735" s="66" t="s">
        <v>14429</v>
      </c>
      <c r="I735" s="68">
        <v>0.3925</v>
      </c>
      <c r="J735" s="69">
        <v>0.4</v>
      </c>
      <c r="K735" s="66">
        <v>0.4</v>
      </c>
      <c r="L735" s="66">
        <v>4481.44</v>
      </c>
      <c r="M735" s="66">
        <v>6000</v>
      </c>
      <c r="N735" s="63" cm="1">
        <f t="array" ref="N735:N735">_xlfn.XLOOKUP(H735,'OA名单'!C:C,'OA名单'!B:B,1)</f>
      </c>
      <c r="O735" s="63">
        <f t="shared" si="9"/>
      </c>
      <c r="P735" s="63" cm="1">
        <f t="array" ref="P735:P735">_xlfn.XLOOKUP(N735,'OA名单'!B:B,'OA名单'!G:G)</f>
      </c>
      <c r="Q735" s="63">
        <f t="shared" si="11"/>
      </c>
      <c r="R735" s="63" cm="1">
        <f t="array" ref="R735:R735">_xlfn.XLOOKUP(B735,'OA名单'!B:B,'OA名单'!F:F)</f>
      </c>
      <c r="S735" s="63">
        <f t="shared" si="10"/>
      </c>
      <c r="T735" s="70"/>
      <c r="U735" s="63" cm="1">
        <f t="array" ref="U735:U735">_xlfn.XLOOKUP(N735,'OA名单'!B:B,'OA名单'!E:E)</f>
      </c>
      <c r="V735" s="63">
        <f t="shared" si="12"/>
      </c>
      <c r="W735" s="71"/>
      <c r="X735" s="66"/>
      <c r="Y735" s="66"/>
    </row>
    <row hidden="true" r="736">
      <c r="A736" s="66"/>
      <c r="B736" s="66" t="s">
        <v>14430</v>
      </c>
      <c r="C736" s="67" t="s">
        <v>12713</v>
      </c>
      <c r="D736" s="67" t="s">
        <v>12714</v>
      </c>
      <c r="E736" s="66" t="s">
        <v>13177</v>
      </c>
      <c r="F736" s="66" t="s">
        <v>14386</v>
      </c>
      <c r="G736" s="66" t="s">
        <v>12751</v>
      </c>
      <c r="H736" s="66" t="s">
        <v>14431</v>
      </c>
      <c r="I736" s="68">
        <v>0.4515</v>
      </c>
      <c r="J736" s="69">
        <v>0.39</v>
      </c>
      <c r="K736" s="66">
        <v>0.39</v>
      </c>
      <c r="L736" s="66">
        <v>-771.67</v>
      </c>
      <c r="M736" s="66">
        <v>5000</v>
      </c>
      <c r="N736" s="63" cm="1">
        <f t="array" ref="N736:N736">_xlfn.XLOOKUP(H736,'OA名单'!C:C,'OA名单'!B:B,1)</f>
      </c>
      <c r="O736" s="63">
        <f t="shared" si="9"/>
      </c>
      <c r="P736" s="63" cm="1">
        <f t="array" ref="P736:P736">_xlfn.XLOOKUP(N736,'OA名单'!B:B,'OA名单'!G:G)</f>
      </c>
      <c r="Q736" s="63">
        <f t="shared" si="11"/>
      </c>
      <c r="R736" s="63" cm="1">
        <f t="array" ref="R736:R736">_xlfn.XLOOKUP(B736,'OA名单'!B:B,'OA名单'!F:F)</f>
      </c>
      <c r="S736" s="63">
        <f t="shared" si="10"/>
      </c>
      <c r="T736" s="70"/>
      <c r="U736" s="63" cm="1">
        <f t="array" ref="U736:U736">_xlfn.XLOOKUP(N736,'OA名单'!B:B,'OA名单'!E:E)</f>
      </c>
      <c r="V736" s="63">
        <f t="shared" si="12"/>
      </c>
      <c r="W736" s="71"/>
      <c r="X736" s="66"/>
      <c r="Y736" s="66"/>
    </row>
    <row hidden="true" r="737">
      <c r="A737" s="66"/>
      <c r="B737" s="66" t="s">
        <v>14432</v>
      </c>
      <c r="C737" s="67" t="s">
        <v>12713</v>
      </c>
      <c r="D737" s="67" t="s">
        <v>12714</v>
      </c>
      <c r="E737" s="66" t="s">
        <v>12776</v>
      </c>
      <c r="F737" s="66" t="s">
        <v>12981</v>
      </c>
      <c r="G737" s="66" t="s">
        <v>12982</v>
      </c>
      <c r="H737" s="66" t="s">
        <v>14433</v>
      </c>
      <c r="I737" s="68">
        <v>0.4591</v>
      </c>
      <c r="J737" s="69">
        <v>0.39</v>
      </c>
      <c r="K737" s="66">
        <v>0.39</v>
      </c>
      <c r="L737" s="66">
        <v>20</v>
      </c>
      <c r="M737" s="66">
        <v>1500</v>
      </c>
      <c r="N737" s="63" cm="1">
        <f t="array" ref="N737:N737">_xlfn.XLOOKUP(H737,'OA名单'!C:C,'OA名单'!B:B,1)</f>
      </c>
      <c r="O737" s="63">
        <f t="shared" si="9"/>
      </c>
      <c r="P737" s="63" cm="1">
        <f t="array" ref="P737:P737">_xlfn.XLOOKUP(N737,'OA名单'!B:B,'OA名单'!G:G)</f>
      </c>
      <c r="Q737" s="63">
        <f t="shared" si="11"/>
      </c>
      <c r="R737" s="63" cm="1">
        <f t="array" ref="R737:R737">_xlfn.XLOOKUP(B737,'OA名单'!B:B,'OA名单'!F:F)</f>
      </c>
      <c r="S737" s="63">
        <f t="shared" si="10"/>
      </c>
      <c r="T737" s="70"/>
      <c r="U737" s="63" cm="1">
        <f t="array" ref="U737:U737">_xlfn.XLOOKUP(N737,'OA名单'!B:B,'OA名单'!E:E)</f>
      </c>
      <c r="V737" s="63">
        <f t="shared" si="12"/>
      </c>
      <c r="W737" s="71"/>
      <c r="X737" s="66"/>
      <c r="Y737" s="66"/>
    </row>
    <row hidden="true" r="738">
      <c r="A738" s="66"/>
      <c r="B738" s="66" t="s">
        <v>14434</v>
      </c>
      <c r="C738" s="67" t="s">
        <v>12713</v>
      </c>
      <c r="D738" s="67" t="s">
        <v>12714</v>
      </c>
      <c r="E738" s="66" t="s">
        <v>13027</v>
      </c>
      <c r="F738" s="66" t="s">
        <v>13076</v>
      </c>
      <c r="G738" s="66" t="s">
        <v>12751</v>
      </c>
      <c r="H738" s="66" t="s">
        <v>14435</v>
      </c>
      <c r="I738" s="68">
        <v>0.4955</v>
      </c>
      <c r="J738" s="69">
        <v>0.38</v>
      </c>
      <c r="K738" s="66">
        <v>0.38</v>
      </c>
      <c r="L738" s="66">
        <v>0</v>
      </c>
      <c r="M738" s="66">
        <v>5000</v>
      </c>
      <c r="N738" s="63" cm="1">
        <f t="array" ref="N738:N738">_xlfn.XLOOKUP(H738,'OA名单'!C:C,'OA名单'!B:B,1)</f>
      </c>
      <c r="O738" s="63">
        <f t="shared" si="9"/>
      </c>
      <c r="P738" s="63" cm="1">
        <f t="array" ref="P738:P738">_xlfn.XLOOKUP(N738,'OA名单'!B:B,'OA名单'!G:G)</f>
      </c>
      <c r="Q738" s="63">
        <f t="shared" si="11"/>
      </c>
      <c r="R738" s="63" cm="1">
        <f t="array" ref="R738:R738">_xlfn.XLOOKUP(B738,'OA名单'!B:B,'OA名单'!F:F)</f>
      </c>
      <c r="S738" s="63">
        <f t="shared" si="10"/>
      </c>
      <c r="T738" s="70"/>
      <c r="U738" s="63" cm="1">
        <f t="array" ref="U738:U738">_xlfn.XLOOKUP(N738,'OA名单'!B:B,'OA名单'!E:E)</f>
      </c>
      <c r="V738" s="63">
        <f t="shared" si="12"/>
      </c>
      <c r="W738" s="71"/>
      <c r="X738" s="66"/>
      <c r="Y738" s="66"/>
    </row>
    <row hidden="true" r="739">
      <c r="A739" s="66"/>
      <c r="B739" s="66" t="s">
        <v>14436</v>
      </c>
      <c r="C739" s="67" t="s">
        <v>12713</v>
      </c>
      <c r="D739" s="67" t="s">
        <v>12714</v>
      </c>
      <c r="E739" s="66" t="s">
        <v>12782</v>
      </c>
      <c r="F739" s="66" t="s">
        <v>13297</v>
      </c>
      <c r="G739" s="66" t="s">
        <v>13033</v>
      </c>
      <c r="H739" s="66" t="s">
        <v>14437</v>
      </c>
      <c r="I739" s="68">
        <v>0.384</v>
      </c>
      <c r="J739" s="69">
        <v>0.38</v>
      </c>
      <c r="K739" s="66">
        <v>0.38</v>
      </c>
      <c r="L739" s="66">
        <v>0</v>
      </c>
      <c r="M739" s="66">
        <v>5000</v>
      </c>
      <c r="N739" s="63" cm="1">
        <f t="array" ref="N739:N739">_xlfn.XLOOKUP(H739,'OA名单'!C:C,'OA名单'!B:B,1)</f>
      </c>
      <c r="O739" s="63">
        <f t="shared" si="9"/>
      </c>
      <c r="P739" s="63" cm="1">
        <f t="array" ref="P739:P739">_xlfn.XLOOKUP(N739,'OA名单'!B:B,'OA名单'!G:G)</f>
      </c>
      <c r="Q739" s="63">
        <f t="shared" si="11"/>
      </c>
      <c r="R739" s="63" cm="1">
        <f t="array" ref="R739:R739">_xlfn.XLOOKUP(B739,'OA名单'!B:B,'OA名单'!F:F)</f>
      </c>
      <c r="S739" s="63">
        <f t="shared" si="10"/>
      </c>
      <c r="T739" s="70"/>
      <c r="U739" s="63" cm="1">
        <f t="array" ref="U739:U739">_xlfn.XLOOKUP(N739,'OA名单'!B:B,'OA名单'!E:E)</f>
      </c>
      <c r="V739" s="63">
        <f t="shared" si="12"/>
      </c>
      <c r="W739" s="71"/>
      <c r="X739" s="66"/>
      <c r="Y739" s="66"/>
    </row>
    <row hidden="true" r="740">
      <c r="A740" s="66"/>
      <c r="B740" s="66" t="s">
        <v>14438</v>
      </c>
      <c r="C740" s="67" t="s">
        <v>12713</v>
      </c>
      <c r="D740" s="67" t="s">
        <v>12714</v>
      </c>
      <c r="E740" s="66" t="s">
        <v>13027</v>
      </c>
      <c r="F740" s="66" t="s">
        <v>13954</v>
      </c>
      <c r="G740" s="66" t="s">
        <v>12982</v>
      </c>
      <c r="H740" s="66" t="s">
        <v>14439</v>
      </c>
      <c r="I740" s="68">
        <v>0.424608</v>
      </c>
      <c r="J740" s="69">
        <v>0.38</v>
      </c>
      <c r="K740" s="66">
        <v>0.38</v>
      </c>
      <c r="L740" s="66">
        <v>0</v>
      </c>
      <c r="M740" s="66">
        <v>1500</v>
      </c>
      <c r="N740" s="63" cm="1">
        <f t="array" ref="N740:N740">_xlfn.XLOOKUP(H740,'OA名单'!C:C,'OA名单'!B:B,1)</f>
      </c>
      <c r="O740" s="63">
        <f t="shared" si="9"/>
      </c>
      <c r="P740" s="63" cm="1">
        <f t="array" ref="P740:P740">_xlfn.XLOOKUP(N740,'OA名单'!B:B,'OA名单'!G:G)</f>
      </c>
      <c r="Q740" s="63">
        <f t="shared" si="11"/>
      </c>
      <c r="R740" s="63" cm="1">
        <f t="array" ref="R740:R740">_xlfn.XLOOKUP(B740,'OA名单'!B:B,'OA名单'!F:F)</f>
      </c>
      <c r="S740" s="63">
        <f t="shared" si="10"/>
      </c>
      <c r="T740" s="70"/>
      <c r="U740" s="63" cm="1">
        <f t="array" ref="U740:U740">_xlfn.XLOOKUP(N740,'OA名单'!B:B,'OA名单'!E:E)</f>
      </c>
      <c r="V740" s="63">
        <f t="shared" si="12"/>
      </c>
      <c r="W740" s="71"/>
      <c r="X740" s="66"/>
      <c r="Y740" s="66"/>
    </row>
    <row hidden="true" r="741">
      <c r="A741" s="66"/>
      <c r="B741" s="66" t="s">
        <v>14440</v>
      </c>
      <c r="C741" s="67" t="s">
        <v>12713</v>
      </c>
      <c r="D741" s="67" t="s">
        <v>12714</v>
      </c>
      <c r="E741" s="66" t="s">
        <v>13027</v>
      </c>
      <c r="F741" s="66" t="s">
        <v>13054</v>
      </c>
      <c r="G741" s="66" t="s">
        <v>13061</v>
      </c>
      <c r="H741" s="66" t="s">
        <v>14441</v>
      </c>
      <c r="I741" s="68">
        <v>0.373905</v>
      </c>
      <c r="J741" s="69">
        <v>0.37</v>
      </c>
      <c r="K741" s="66">
        <v>0.37</v>
      </c>
      <c r="L741" s="66">
        <v>3534.14</v>
      </c>
      <c r="M741" s="66">
        <v>5000</v>
      </c>
      <c r="N741" s="63" cm="1">
        <f t="array" ref="N741:N741">_xlfn.XLOOKUP(H741,'OA名单'!C:C,'OA名单'!B:B,1)</f>
      </c>
      <c r="O741" s="63">
        <f t="shared" si="9"/>
      </c>
      <c r="P741" s="63" cm="1">
        <f t="array" ref="P741:P741">_xlfn.XLOOKUP(N741,'OA名单'!B:B,'OA名单'!G:G)</f>
      </c>
      <c r="Q741" s="63">
        <f t="shared" si="11"/>
      </c>
      <c r="R741" s="63" cm="1">
        <f t="array" ref="R741:R741">_xlfn.XLOOKUP(B741,'OA名单'!B:B,'OA名单'!F:F)</f>
      </c>
      <c r="S741" s="63">
        <f t="shared" si="10"/>
      </c>
      <c r="T741" s="70"/>
      <c r="U741" s="63" cm="1">
        <f t="array" ref="U741:U741">_xlfn.XLOOKUP(N741,'OA名单'!B:B,'OA名单'!E:E)</f>
      </c>
      <c r="V741" s="63">
        <f t="shared" si="12"/>
      </c>
      <c r="W741" s="71"/>
      <c r="X741" s="66"/>
      <c r="Y741" s="66"/>
    </row>
    <row hidden="true" r="742">
      <c r="A742" s="66"/>
      <c r="B742" s="66" t="s">
        <v>14442</v>
      </c>
      <c r="C742" s="67" t="s">
        <v>12713</v>
      </c>
      <c r="D742" s="67" t="s">
        <v>12714</v>
      </c>
      <c r="E742" s="66" t="s">
        <v>13146</v>
      </c>
      <c r="F742" s="66" t="s">
        <v>13204</v>
      </c>
      <c r="G742" s="66" t="s">
        <v>14443</v>
      </c>
      <c r="H742" s="66" t="s">
        <v>14444</v>
      </c>
      <c r="I742" s="68">
        <v>0.4</v>
      </c>
      <c r="J742" s="69">
        <v>0.36</v>
      </c>
      <c r="K742" s="66">
        <v>0.36</v>
      </c>
      <c r="L742" s="66">
        <v>3000</v>
      </c>
      <c r="M742" s="66">
        <v>3000</v>
      </c>
      <c r="N742" s="63" cm="1">
        <f t="array" ref="N742:N742">_xlfn.XLOOKUP(H742,'OA名单'!C:C,'OA名单'!B:B,1)</f>
      </c>
      <c r="O742" s="63">
        <f t="shared" si="9"/>
      </c>
      <c r="P742" s="63" cm="1">
        <f t="array" ref="P742:P742">_xlfn.XLOOKUP(N742,'OA名单'!B:B,'OA名单'!G:G)</f>
      </c>
      <c r="Q742" s="63">
        <f t="shared" si="11"/>
      </c>
      <c r="R742" s="63" cm="1">
        <f t="array" ref="R742:R742">_xlfn.XLOOKUP(B742,'OA名单'!B:B,'OA名单'!F:F)</f>
      </c>
      <c r="S742" s="63">
        <f t="shared" si="10"/>
      </c>
      <c r="T742" s="70"/>
      <c r="U742" s="63" cm="1">
        <f t="array" ref="U742:U742">_xlfn.XLOOKUP(N742,'OA名单'!B:B,'OA名单'!E:E)</f>
      </c>
      <c r="V742" s="63">
        <f t="shared" si="12"/>
      </c>
      <c r="W742" s="71"/>
      <c r="X742" s="66"/>
      <c r="Y742" s="66"/>
    </row>
    <row hidden="true" r="743">
      <c r="A743" s="66"/>
      <c r="B743" s="66" t="s">
        <v>14445</v>
      </c>
      <c r="C743" s="67" t="s">
        <v>12713</v>
      </c>
      <c r="D743" s="67" t="s">
        <v>12714</v>
      </c>
      <c r="E743" s="66" t="s">
        <v>12782</v>
      </c>
      <c r="F743" s="66" t="s">
        <v>13297</v>
      </c>
      <c r="G743" s="66" t="s">
        <v>13079</v>
      </c>
      <c r="H743" s="66" t="s">
        <v>14446</v>
      </c>
      <c r="I743" s="68">
        <v>0.364</v>
      </c>
      <c r="J743" s="69">
        <v>0.36</v>
      </c>
      <c r="K743" s="66">
        <v>0.36</v>
      </c>
      <c r="L743" s="66">
        <v>1820</v>
      </c>
      <c r="M743" s="66">
        <v>5000</v>
      </c>
      <c r="N743" s="63" cm="1">
        <f t="array" ref="N743:N743">_xlfn.XLOOKUP(H743,'OA名单'!C:C,'OA名单'!B:B,1)</f>
      </c>
      <c r="O743" s="63">
        <f t="shared" si="9"/>
      </c>
      <c r="P743" s="63" cm="1">
        <f t="array" ref="P743:P743">_xlfn.XLOOKUP(N743,'OA名单'!B:B,'OA名单'!G:G)</f>
      </c>
      <c r="Q743" s="63">
        <f t="shared" si="11"/>
      </c>
      <c r="R743" s="63" cm="1">
        <f t="array" ref="R743:R743">_xlfn.XLOOKUP(B743,'OA名单'!B:B,'OA名单'!F:F)</f>
      </c>
      <c r="S743" s="63">
        <f t="shared" si="10"/>
      </c>
      <c r="T743" s="70"/>
      <c r="U743" s="63" cm="1">
        <f t="array" ref="U743:U743">_xlfn.XLOOKUP(N743,'OA名单'!B:B,'OA名单'!E:E)</f>
      </c>
      <c r="V743" s="63">
        <f t="shared" si="12"/>
      </c>
      <c r="W743" s="71"/>
      <c r="X743" s="66"/>
      <c r="Y743" s="66"/>
    </row>
    <row hidden="true" r="744">
      <c r="A744" s="66"/>
      <c r="B744" s="66" t="s">
        <v>14447</v>
      </c>
      <c r="C744" s="67" t="s">
        <v>12713</v>
      </c>
      <c r="D744" s="67" t="s">
        <v>12714</v>
      </c>
      <c r="E744" s="66" t="s">
        <v>13182</v>
      </c>
      <c r="F744" s="66" t="s">
        <v>13718</v>
      </c>
      <c r="G744" s="66" t="s">
        <v>13949</v>
      </c>
      <c r="H744" s="66" t="s">
        <v>14448</v>
      </c>
      <c r="I744" s="68">
        <v>0.372</v>
      </c>
      <c r="J744" s="69">
        <v>0.36</v>
      </c>
      <c r="K744" s="66">
        <v>0.36</v>
      </c>
      <c r="L744" s="66">
        <v>2624.14</v>
      </c>
      <c r="M744" s="66">
        <v>6000</v>
      </c>
      <c r="N744" s="63" cm="1">
        <f t="array" ref="N744:N744">_xlfn.XLOOKUP(H744,'OA名单'!C:C,'OA名单'!B:B,1)</f>
      </c>
      <c r="O744" s="63">
        <f t="shared" si="9"/>
      </c>
      <c r="P744" s="63" cm="1">
        <f t="array" ref="P744:P744">_xlfn.XLOOKUP(N744,'OA名单'!B:B,'OA名单'!G:G)</f>
      </c>
      <c r="Q744" s="63">
        <f t="shared" si="11"/>
      </c>
      <c r="R744" s="63" cm="1">
        <f t="array" ref="R744:R744">_xlfn.XLOOKUP(B744,'OA名单'!B:B,'OA名单'!F:F)</f>
      </c>
      <c r="S744" s="63">
        <f t="shared" si="10"/>
      </c>
      <c r="T744" s="70"/>
      <c r="U744" s="63" cm="1">
        <f t="array" ref="U744:U744">_xlfn.XLOOKUP(N744,'OA名单'!B:B,'OA名单'!E:E)</f>
      </c>
      <c r="V744" s="63">
        <f t="shared" si="12"/>
      </c>
      <c r="W744" s="71"/>
      <c r="X744" s="66"/>
      <c r="Y744" s="66"/>
    </row>
    <row hidden="true" r="745">
      <c r="A745" s="66"/>
      <c r="B745" s="66" t="s">
        <v>14449</v>
      </c>
      <c r="C745" s="67" t="s">
        <v>12713</v>
      </c>
      <c r="D745" s="67" t="s">
        <v>12714</v>
      </c>
      <c r="E745" s="66" t="s">
        <v>13146</v>
      </c>
      <c r="F745" s="66" t="s">
        <v>13147</v>
      </c>
      <c r="G745" s="66" t="s">
        <v>12751</v>
      </c>
      <c r="H745" s="66" t="s">
        <v>14450</v>
      </c>
      <c r="I745" s="68">
        <v>0.4667</v>
      </c>
      <c r="J745" s="69">
        <v>0.33</v>
      </c>
      <c r="K745" s="66">
        <v>0.33</v>
      </c>
      <c r="L745" s="66">
        <v>3181.82</v>
      </c>
      <c r="M745" s="66">
        <v>5000</v>
      </c>
      <c r="N745" s="63" cm="1">
        <f t="array" ref="N745:N745">_xlfn.XLOOKUP(H745,'OA名单'!C:C,'OA名单'!B:B,1)</f>
      </c>
      <c r="O745" s="63">
        <f t="shared" si="9"/>
      </c>
      <c r="P745" s="63" cm="1">
        <f t="array" ref="P745:P745">_xlfn.XLOOKUP(N745,'OA名单'!B:B,'OA名单'!G:G)</f>
      </c>
      <c r="Q745" s="63">
        <f t="shared" si="11"/>
      </c>
      <c r="R745" s="63" cm="1">
        <f t="array" ref="R745:R745">_xlfn.XLOOKUP(B745,'OA名单'!B:B,'OA名单'!F:F)</f>
      </c>
      <c r="S745" s="63">
        <f t="shared" si="10"/>
      </c>
      <c r="T745" s="70"/>
      <c r="U745" s="63" cm="1">
        <f t="array" ref="U745:U745">_xlfn.XLOOKUP(N745,'OA名单'!B:B,'OA名单'!E:E)</f>
      </c>
      <c r="V745" s="63">
        <f t="shared" si="12"/>
      </c>
      <c r="W745" s="71"/>
      <c r="X745" s="66"/>
      <c r="Y745" s="66"/>
    </row>
    <row hidden="true" r="746">
      <c r="A746" s="66"/>
      <c r="B746" s="66" t="s">
        <v>14451</v>
      </c>
      <c r="C746" s="67" t="s">
        <v>12713</v>
      </c>
      <c r="D746" s="67" t="s">
        <v>12714</v>
      </c>
      <c r="E746" s="66" t="s">
        <v>12715</v>
      </c>
      <c r="F746" s="66" t="s">
        <v>13187</v>
      </c>
      <c r="G746" s="66" t="s">
        <v>12982</v>
      </c>
      <c r="H746" s="66" t="s">
        <v>14452</v>
      </c>
      <c r="I746" s="68">
        <v>0.39322</v>
      </c>
      <c r="J746" s="69">
        <v>0.33</v>
      </c>
      <c r="K746" s="66">
        <v>0.33</v>
      </c>
      <c r="L746" s="66">
        <v>1063.17</v>
      </c>
      <c r="M746" s="66">
        <v>1500</v>
      </c>
      <c r="N746" s="63" cm="1">
        <f t="array" ref="N746:N746">_xlfn.XLOOKUP(H746,'OA名单'!C:C,'OA名单'!B:B,1)</f>
      </c>
      <c r="O746" s="63">
        <f t="shared" si="9"/>
      </c>
      <c r="P746" s="63" cm="1">
        <f t="array" ref="P746:P746">_xlfn.XLOOKUP(N746,'OA名单'!B:B,'OA名单'!G:G)</f>
      </c>
      <c r="Q746" s="63">
        <f t="shared" si="11"/>
      </c>
      <c r="R746" s="63" cm="1">
        <f t="array" ref="R746:R746">_xlfn.XLOOKUP(B746,'OA名单'!B:B,'OA名单'!F:F)</f>
      </c>
      <c r="S746" s="63">
        <f t="shared" si="10"/>
      </c>
      <c r="T746" s="70"/>
      <c r="U746" s="63" cm="1">
        <f t="array" ref="U746:U746">_xlfn.XLOOKUP(N746,'OA名单'!B:B,'OA名单'!E:E)</f>
      </c>
      <c r="V746" s="63">
        <f t="shared" si="12"/>
      </c>
      <c r="W746" s="71"/>
      <c r="X746" s="66"/>
      <c r="Y746" s="66"/>
    </row>
    <row hidden="true" r="747">
      <c r="A747" s="66"/>
      <c r="B747" s="66" t="s">
        <v>14453</v>
      </c>
      <c r="C747" s="67" t="s">
        <v>12713</v>
      </c>
      <c r="D747" s="67" t="s">
        <v>12714</v>
      </c>
      <c r="E747" s="66" t="s">
        <v>12782</v>
      </c>
      <c r="F747" s="66" t="s">
        <v>12997</v>
      </c>
      <c r="G747" s="66" t="s">
        <v>12751</v>
      </c>
      <c r="H747" s="66" t="s">
        <v>14454</v>
      </c>
      <c r="I747" s="68">
        <v>0.314</v>
      </c>
      <c r="J747" s="69">
        <v>0.31</v>
      </c>
      <c r="K747" s="66">
        <v>0.31</v>
      </c>
      <c r="L747" s="66">
        <v>0</v>
      </c>
      <c r="M747" s="66">
        <v>6000</v>
      </c>
      <c r="N747" s="63" cm="1">
        <f t="array" ref="N747:N747">_xlfn.XLOOKUP(H747,'OA名单'!C:C,'OA名单'!B:B,1)</f>
      </c>
      <c r="O747" s="63">
        <f t="shared" si="9"/>
      </c>
      <c r="P747" s="63" cm="1">
        <f t="array" ref="P747:P747">_xlfn.XLOOKUP(N747,'OA名单'!B:B,'OA名单'!G:G)</f>
      </c>
      <c r="Q747" s="63">
        <f t="shared" si="11"/>
      </c>
      <c r="R747" s="63" cm="1">
        <f t="array" ref="R747:R747">_xlfn.XLOOKUP(B747,'OA名单'!B:B,'OA名单'!F:F)</f>
      </c>
      <c r="S747" s="63">
        <f t="shared" si="10"/>
      </c>
      <c r="T747" s="70"/>
      <c r="U747" s="63" cm="1">
        <f t="array" ref="U747:U747">_xlfn.XLOOKUP(N747,'OA名单'!B:B,'OA名单'!E:E)</f>
      </c>
      <c r="V747" s="63">
        <f t="shared" si="12"/>
      </c>
      <c r="W747" s="71"/>
      <c r="X747" s="66"/>
      <c r="Y747" s="66"/>
    </row>
    <row hidden="true" r="748">
      <c r="A748" s="66"/>
      <c r="B748" s="66" t="s">
        <v>14455</v>
      </c>
      <c r="C748" s="67" t="s">
        <v>12713</v>
      </c>
      <c r="D748" s="67" t="s">
        <v>12714</v>
      </c>
      <c r="E748" s="66" t="s">
        <v>13146</v>
      </c>
      <c r="F748" s="66" t="s">
        <v>13394</v>
      </c>
      <c r="G748" s="66" t="s">
        <v>13148</v>
      </c>
      <c r="H748" s="66" t="s">
        <v>14456</v>
      </c>
      <c r="I748" s="68">
        <v>0.325</v>
      </c>
      <c r="J748" s="69">
        <v>0.3</v>
      </c>
      <c r="K748" s="66">
        <v>0.3</v>
      </c>
      <c r="L748" s="66">
        <v>3000</v>
      </c>
      <c r="M748" s="66">
        <v>3000</v>
      </c>
      <c r="N748" s="63" cm="1">
        <f t="array" ref="N748:N748">_xlfn.XLOOKUP(H748,'OA名单'!C:C,'OA名单'!B:B,1)</f>
      </c>
      <c r="O748" s="63">
        <f t="shared" si="9"/>
      </c>
      <c r="P748" s="63" cm="1">
        <f t="array" ref="P748:P748">_xlfn.XLOOKUP(N748,'OA名单'!B:B,'OA名单'!G:G)</f>
      </c>
      <c r="Q748" s="63">
        <f t="shared" si="11"/>
      </c>
      <c r="R748" s="63" cm="1">
        <f t="array" ref="R748:R748">_xlfn.XLOOKUP(B748,'OA名单'!B:B,'OA名单'!F:F)</f>
      </c>
      <c r="S748" s="63">
        <f t="shared" si="10"/>
      </c>
      <c r="T748" s="70"/>
      <c r="U748" s="63" cm="1">
        <f t="array" ref="U748:U748">_xlfn.XLOOKUP(N748,'OA名单'!B:B,'OA名单'!E:E)</f>
      </c>
      <c r="V748" s="63">
        <f t="shared" si="12"/>
      </c>
      <c r="W748" s="71"/>
      <c r="X748" s="66"/>
      <c r="Y748" s="66"/>
    </row>
    <row hidden="true" r="749">
      <c r="A749" s="66"/>
      <c r="B749" s="66" t="s">
        <v>14457</v>
      </c>
      <c r="C749" s="67" t="s">
        <v>12713</v>
      </c>
      <c r="D749" s="67" t="s">
        <v>12714</v>
      </c>
      <c r="E749" s="66" t="s">
        <v>12782</v>
      </c>
      <c r="F749" s="66" t="s">
        <v>13064</v>
      </c>
      <c r="G749" s="66" t="s">
        <v>12982</v>
      </c>
      <c r="H749" s="66" t="s">
        <v>14458</v>
      </c>
      <c r="I749" s="68">
        <v>0.27712</v>
      </c>
      <c r="J749" s="69">
        <v>0.3</v>
      </c>
      <c r="K749" s="66">
        <v>0.3</v>
      </c>
      <c r="L749" s="66">
        <v>900</v>
      </c>
      <c r="M749" s="66">
        <v>1500</v>
      </c>
      <c r="N749" s="63" cm="1">
        <f t="array" ref="N749:N749">_xlfn.XLOOKUP(H749,'OA名单'!C:C,'OA名单'!B:B,1)</f>
      </c>
      <c r="O749" s="63">
        <f t="shared" si="9"/>
      </c>
      <c r="P749" s="63" cm="1">
        <f t="array" ref="P749:P749">_xlfn.XLOOKUP(N749,'OA名单'!B:B,'OA名单'!G:G)</f>
      </c>
      <c r="Q749" s="63">
        <f t="shared" si="11"/>
      </c>
      <c r="R749" s="63" cm="1">
        <f t="array" ref="R749:R749">_xlfn.XLOOKUP(B749,'OA名单'!B:B,'OA名单'!F:F)</f>
      </c>
      <c r="S749" s="63">
        <f t="shared" si="10"/>
      </c>
      <c r="T749" s="70"/>
      <c r="U749" s="63" cm="1">
        <f t="array" ref="U749:U749">_xlfn.XLOOKUP(N749,'OA名单'!B:B,'OA名单'!E:E)</f>
      </c>
      <c r="V749" s="63">
        <f t="shared" si="12"/>
      </c>
      <c r="W749" s="71"/>
      <c r="X749" s="66"/>
      <c r="Y749" s="66"/>
    </row>
    <row hidden="true" r="750">
      <c r="A750" s="66"/>
      <c r="B750" s="66" t="s">
        <v>14459</v>
      </c>
      <c r="C750" s="67" t="s">
        <v>12713</v>
      </c>
      <c r="D750" s="67" t="s">
        <v>12714</v>
      </c>
      <c r="E750" s="66" t="s">
        <v>13027</v>
      </c>
      <c r="F750" s="66" t="s">
        <v>13054</v>
      </c>
      <c r="G750" s="66" t="s">
        <v>13043</v>
      </c>
      <c r="H750" s="66" t="s">
        <v>14460</v>
      </c>
      <c r="I750" s="68">
        <v>0.286188</v>
      </c>
      <c r="J750" s="69">
        <v>0.29</v>
      </c>
      <c r="K750" s="66">
        <v>0.29</v>
      </c>
      <c r="L750" s="66">
        <v>0</v>
      </c>
      <c r="M750" s="66">
        <v>2000</v>
      </c>
      <c r="N750" s="63" cm="1">
        <f t="array" ref="N750:N750">_xlfn.XLOOKUP(H750,'OA名单'!C:C,'OA名单'!B:B,1)</f>
      </c>
      <c r="O750" s="63">
        <f t="shared" si="9"/>
      </c>
      <c r="P750" s="63" cm="1">
        <f t="array" ref="P750:P750">_xlfn.XLOOKUP(N750,'OA名单'!B:B,'OA名单'!G:G)</f>
      </c>
      <c r="Q750" s="63">
        <f t="shared" si="11"/>
      </c>
      <c r="R750" s="63" cm="1">
        <f t="array" ref="R750:R750">_xlfn.XLOOKUP(B750,'OA名单'!B:B,'OA名单'!F:F)</f>
      </c>
      <c r="S750" s="63">
        <f t="shared" si="10"/>
      </c>
      <c r="T750" s="70"/>
      <c r="U750" s="63" cm="1">
        <f t="array" ref="U750:U750">_xlfn.XLOOKUP(N750,'OA名单'!B:B,'OA名单'!E:E)</f>
      </c>
      <c r="V750" s="63">
        <f t="shared" si="12"/>
      </c>
      <c r="W750" s="71"/>
      <c r="X750" s="66"/>
      <c r="Y750" s="66"/>
    </row>
    <row hidden="true" r="751">
      <c r="A751" s="66"/>
      <c r="B751" s="66" t="s">
        <v>14461</v>
      </c>
      <c r="C751" s="67" t="s">
        <v>12713</v>
      </c>
      <c r="D751" s="67" t="s">
        <v>12714</v>
      </c>
      <c r="E751" s="66" t="s">
        <v>12715</v>
      </c>
      <c r="F751" s="66" t="s">
        <v>13214</v>
      </c>
      <c r="G751" s="66" t="s">
        <v>12751</v>
      </c>
      <c r="H751" s="66" t="s">
        <v>14462</v>
      </c>
      <c r="I751" s="68">
        <v>0.378993</v>
      </c>
      <c r="J751" s="69">
        <v>0.29</v>
      </c>
      <c r="K751" s="66">
        <v>0.29</v>
      </c>
      <c r="L751" s="66">
        <v>1729.8</v>
      </c>
      <c r="M751" s="66">
        <v>6000</v>
      </c>
      <c r="N751" s="63" cm="1">
        <f t="array" ref="N751:N751">_xlfn.XLOOKUP(H751,'OA名单'!C:C,'OA名单'!B:B,1)</f>
      </c>
      <c r="O751" s="63">
        <f t="shared" si="9"/>
      </c>
      <c r="P751" s="63" cm="1">
        <f t="array" ref="P751:P751">_xlfn.XLOOKUP(N751,'OA名单'!B:B,'OA名单'!G:G)</f>
      </c>
      <c r="Q751" s="63">
        <f t="shared" si="11"/>
      </c>
      <c r="R751" s="63" cm="1">
        <f t="array" ref="R751:R751">_xlfn.XLOOKUP(B751,'OA名单'!B:B,'OA名单'!F:F)</f>
      </c>
      <c r="S751" s="63">
        <f t="shared" si="10"/>
      </c>
      <c r="T751" s="70"/>
      <c r="U751" s="63" cm="1">
        <f t="array" ref="U751:U751">_xlfn.XLOOKUP(N751,'OA名单'!B:B,'OA名单'!E:E)</f>
      </c>
      <c r="V751" s="63">
        <f t="shared" si="12"/>
      </c>
      <c r="W751" s="71"/>
      <c r="X751" s="66"/>
      <c r="Y751" s="66"/>
    </row>
    <row hidden="true" r="752">
      <c r="A752" s="66"/>
      <c r="B752" s="66" t="s">
        <v>14463</v>
      </c>
      <c r="C752" s="67" t="s">
        <v>12713</v>
      </c>
      <c r="D752" s="67" t="s">
        <v>12714</v>
      </c>
      <c r="E752" s="66" t="s">
        <v>13182</v>
      </c>
      <c r="F752" s="66" t="s">
        <v>14383</v>
      </c>
      <c r="G752" s="66" t="s">
        <v>12751</v>
      </c>
      <c r="H752" s="66" t="s">
        <v>14464</v>
      </c>
      <c r="I752" s="68">
        <v>0.376</v>
      </c>
      <c r="J752" s="69">
        <v>0.29</v>
      </c>
      <c r="K752" s="66">
        <v>0.29</v>
      </c>
      <c r="L752" s="66">
        <v>4026.65</v>
      </c>
      <c r="M752" s="66">
        <v>5000</v>
      </c>
      <c r="N752" s="63" cm="1">
        <f t="array" ref="N752:N752">_xlfn.XLOOKUP(H752,'OA名单'!C:C,'OA名单'!B:B,1)</f>
      </c>
      <c r="O752" s="63">
        <f t="shared" si="9"/>
      </c>
      <c r="P752" s="63" cm="1">
        <f t="array" ref="P752:P752">_xlfn.XLOOKUP(N752,'OA名单'!B:B,'OA名单'!G:G)</f>
      </c>
      <c r="Q752" s="63">
        <f t="shared" si="11"/>
      </c>
      <c r="R752" s="63" cm="1">
        <f t="array" ref="R752:R752">_xlfn.XLOOKUP(B752,'OA名单'!B:B,'OA名单'!F:F)</f>
      </c>
      <c r="S752" s="63">
        <f t="shared" si="10"/>
      </c>
      <c r="T752" s="70"/>
      <c r="U752" s="63" cm="1">
        <f t="array" ref="U752:U752">_xlfn.XLOOKUP(N752,'OA名单'!B:B,'OA名单'!E:E)</f>
      </c>
      <c r="V752" s="63">
        <f t="shared" si="12"/>
      </c>
      <c r="W752" s="71"/>
      <c r="X752" s="66"/>
      <c r="Y752" s="66"/>
    </row>
    <row hidden="true" r="753">
      <c r="A753" s="66"/>
      <c r="B753" s="66" t="s">
        <v>14465</v>
      </c>
      <c r="C753" s="67" t="s">
        <v>12713</v>
      </c>
      <c r="D753" s="67" t="s">
        <v>12714</v>
      </c>
      <c r="E753" s="66" t="s">
        <v>12782</v>
      </c>
      <c r="F753" s="66" t="s">
        <v>13297</v>
      </c>
      <c r="G753" s="66" t="s">
        <v>12982</v>
      </c>
      <c r="H753" s="66" t="s">
        <v>14466</v>
      </c>
      <c r="I753" s="68">
        <v>0.255</v>
      </c>
      <c r="J753" s="69">
        <v>0.28</v>
      </c>
      <c r="K753" s="66">
        <v>0.28</v>
      </c>
      <c r="L753" s="66">
        <v>2230</v>
      </c>
      <c r="M753" s="66">
        <v>3000</v>
      </c>
      <c r="N753" s="63" cm="1">
        <f t="array" ref="N753:N753">_xlfn.XLOOKUP(H753,'OA名单'!C:C,'OA名单'!B:B,1)</f>
      </c>
      <c r="O753" s="63">
        <f t="shared" si="9"/>
      </c>
      <c r="P753" s="63" cm="1">
        <f t="array" ref="P753:P753">_xlfn.XLOOKUP(N753,'OA名单'!B:B,'OA名单'!G:G)</f>
      </c>
      <c r="Q753" s="63">
        <f t="shared" si="11"/>
      </c>
      <c r="R753" s="63" cm="1">
        <f t="array" ref="R753:R753">_xlfn.XLOOKUP(B753,'OA名单'!B:B,'OA名单'!F:F)</f>
      </c>
      <c r="S753" s="63">
        <f t="shared" si="10"/>
      </c>
      <c r="T753" s="70"/>
      <c r="U753" s="63" cm="1">
        <f t="array" ref="U753:U753">_xlfn.XLOOKUP(N753,'OA名单'!B:B,'OA名单'!E:E)</f>
      </c>
      <c r="V753" s="63">
        <f t="shared" si="12"/>
      </c>
      <c r="W753" s="71"/>
      <c r="X753" s="66"/>
      <c r="Y753" s="66"/>
    </row>
    <row hidden="true" r="754">
      <c r="A754" s="66"/>
      <c r="B754" s="66" t="s">
        <v>14467</v>
      </c>
      <c r="C754" s="67" t="s">
        <v>12713</v>
      </c>
      <c r="D754" s="67" t="s">
        <v>12714</v>
      </c>
      <c r="E754" s="66" t="s">
        <v>13146</v>
      </c>
      <c r="F754" s="66" t="s">
        <v>13147</v>
      </c>
      <c r="G754" s="66" t="s">
        <v>13530</v>
      </c>
      <c r="H754" s="66" t="s">
        <v>14468</v>
      </c>
      <c r="I754" s="68">
        <v>0.28</v>
      </c>
      <c r="J754" s="69">
        <v>0.28</v>
      </c>
      <c r="K754" s="66">
        <v>0.28</v>
      </c>
      <c r="L754" s="66">
        <v>140</v>
      </c>
      <c r="M754" s="66">
        <v>500</v>
      </c>
      <c r="N754" s="63" cm="1">
        <f t="array" ref="N754:N754">_xlfn.XLOOKUP(H754,'OA名单'!C:C,'OA名单'!B:B,1)</f>
      </c>
      <c r="O754" s="63">
        <f t="shared" si="9"/>
      </c>
      <c r="P754" s="63" cm="1">
        <f t="array" ref="P754:P754">_xlfn.XLOOKUP(N754,'OA名单'!B:B,'OA名单'!G:G)</f>
      </c>
      <c r="Q754" s="63">
        <f t="shared" si="11"/>
      </c>
      <c r="R754" s="63" cm="1">
        <f t="array" ref="R754:R754">_xlfn.XLOOKUP(B754,'OA名单'!B:B,'OA名单'!F:F)</f>
      </c>
      <c r="S754" s="63">
        <f t="shared" si="10"/>
      </c>
      <c r="T754" s="70"/>
      <c r="U754" s="63" cm="1">
        <f t="array" ref="U754:U754">_xlfn.XLOOKUP(N754,'OA名单'!B:B,'OA名单'!E:E)</f>
      </c>
      <c r="V754" s="63">
        <f t="shared" si="12"/>
      </c>
      <c r="W754" s="71"/>
      <c r="X754" s="66"/>
      <c r="Y754" s="66"/>
    </row>
    <row hidden="true" r="755">
      <c r="A755" s="66"/>
      <c r="B755" s="66" t="s">
        <v>14469</v>
      </c>
      <c r="C755" s="67" t="s">
        <v>12713</v>
      </c>
      <c r="D755" s="67" t="s">
        <v>12714</v>
      </c>
      <c r="E755" s="66" t="s">
        <v>12776</v>
      </c>
      <c r="F755" s="66" t="s">
        <v>12981</v>
      </c>
      <c r="G755" s="66" t="s">
        <v>12982</v>
      </c>
      <c r="H755" s="66" t="s">
        <v>14470</v>
      </c>
      <c r="I755" s="68">
        <v>0.336</v>
      </c>
      <c r="J755" s="69">
        <v>0.27</v>
      </c>
      <c r="K755" s="66">
        <v>0.27</v>
      </c>
      <c r="L755" s="66">
        <v>0</v>
      </c>
      <c r="M755" s="66">
        <v>1500</v>
      </c>
      <c r="N755" s="63" cm="1">
        <f t="array" ref="N755:N755">_xlfn.XLOOKUP(H755,'OA名单'!C:C,'OA名单'!B:B,1)</f>
      </c>
      <c r="O755" s="63">
        <f t="shared" si="9"/>
      </c>
      <c r="P755" s="63" cm="1">
        <f t="array" ref="P755:P755">_xlfn.XLOOKUP(N755,'OA名单'!B:B,'OA名单'!G:G)</f>
      </c>
      <c r="Q755" s="63">
        <f t="shared" si="11"/>
      </c>
      <c r="R755" s="63" cm="1">
        <f t="array" ref="R755:R755">_xlfn.XLOOKUP(B755,'OA名单'!B:B,'OA名单'!F:F)</f>
      </c>
      <c r="S755" s="63">
        <f t="shared" si="10"/>
      </c>
      <c r="T755" s="70"/>
      <c r="U755" s="63" cm="1">
        <f t="array" ref="U755:U755">_xlfn.XLOOKUP(N755,'OA名单'!B:B,'OA名单'!E:E)</f>
      </c>
      <c r="V755" s="63">
        <f t="shared" si="12"/>
      </c>
      <c r="W755" s="71"/>
      <c r="X755" s="66"/>
      <c r="Y755" s="66"/>
    </row>
    <row hidden="true" r="756">
      <c r="A756" s="66"/>
      <c r="B756" s="66" t="s">
        <v>14471</v>
      </c>
      <c r="C756" s="67" t="s">
        <v>12713</v>
      </c>
      <c r="D756" s="67" t="s">
        <v>12714</v>
      </c>
      <c r="E756" s="66" t="s">
        <v>12776</v>
      </c>
      <c r="F756" s="66" t="s">
        <v>13038</v>
      </c>
      <c r="G756" s="66" t="s">
        <v>13021</v>
      </c>
      <c r="H756" s="66" t="s">
        <v>14472</v>
      </c>
      <c r="I756" s="68">
        <v>0.272735</v>
      </c>
      <c r="J756" s="69">
        <v>0.26</v>
      </c>
      <c r="K756" s="66">
        <v>0.26</v>
      </c>
      <c r="L756" s="66">
        <v>0</v>
      </c>
      <c r="M756" s="66">
        <v>2000</v>
      </c>
      <c r="N756" s="63" cm="1">
        <f t="array" ref="N756:N756">_xlfn.XLOOKUP(H756,'OA名单'!C:C,'OA名单'!B:B,1)</f>
      </c>
      <c r="O756" s="63">
        <f t="shared" si="9"/>
      </c>
      <c r="P756" s="63" cm="1">
        <f t="array" ref="P756:P756">_xlfn.XLOOKUP(N756,'OA名单'!B:B,'OA名单'!G:G)</f>
      </c>
      <c r="Q756" s="63">
        <f t="shared" si="11"/>
      </c>
      <c r="R756" s="63" cm="1">
        <f t="array" ref="R756:R756">_xlfn.XLOOKUP(B756,'OA名单'!B:B,'OA名单'!F:F)</f>
      </c>
      <c r="S756" s="63">
        <f t="shared" si="10"/>
      </c>
      <c r="T756" s="70"/>
      <c r="U756" s="63" cm="1">
        <f t="array" ref="U756:U756">_xlfn.XLOOKUP(N756,'OA名单'!B:B,'OA名单'!E:E)</f>
      </c>
      <c r="V756" s="63">
        <f t="shared" si="12"/>
      </c>
      <c r="W756" s="71"/>
      <c r="X756" s="66"/>
      <c r="Y756" s="66"/>
    </row>
    <row hidden="true" r="757">
      <c r="A757" s="66"/>
      <c r="B757" s="66" t="s">
        <v>14473</v>
      </c>
      <c r="C757" s="67" t="s">
        <v>12713</v>
      </c>
      <c r="D757" s="67" t="s">
        <v>12714</v>
      </c>
      <c r="E757" s="66" t="s">
        <v>12776</v>
      </c>
      <c r="F757" s="66" t="s">
        <v>13024</v>
      </c>
      <c r="G757" s="66" t="s">
        <v>13079</v>
      </c>
      <c r="H757" s="66" t="s">
        <v>14474</v>
      </c>
      <c r="I757" s="68">
        <v>0.329</v>
      </c>
      <c r="J757" s="69">
        <v>0.26</v>
      </c>
      <c r="K757" s="66">
        <v>0.26</v>
      </c>
      <c r="L757" s="66">
        <v>0</v>
      </c>
      <c r="M757" s="66">
        <v>5000</v>
      </c>
      <c r="N757" s="63" cm="1">
        <f t="array" ref="N757:N757">_xlfn.XLOOKUP(H757,'OA名单'!C:C,'OA名单'!B:B,1)</f>
      </c>
      <c r="O757" s="63">
        <f t="shared" si="9"/>
      </c>
      <c r="P757" s="63" cm="1">
        <f t="array" ref="P757:P757">_xlfn.XLOOKUP(N757,'OA名单'!B:B,'OA名单'!G:G)</f>
      </c>
      <c r="Q757" s="63">
        <f t="shared" si="11"/>
      </c>
      <c r="R757" s="63" cm="1">
        <f t="array" ref="R757:R757">_xlfn.XLOOKUP(B757,'OA名单'!B:B,'OA名单'!F:F)</f>
      </c>
      <c r="S757" s="63">
        <f t="shared" si="10"/>
      </c>
      <c r="T757" s="70"/>
      <c r="U757" s="63" cm="1">
        <f t="array" ref="U757:U757">_xlfn.XLOOKUP(N757,'OA名单'!B:B,'OA名单'!E:E)</f>
      </c>
      <c r="V757" s="63">
        <f t="shared" si="12"/>
      </c>
      <c r="W757" s="71"/>
      <c r="X757" s="66"/>
      <c r="Y757" s="66"/>
    </row>
    <row hidden="true" r="758">
      <c r="A758" s="66"/>
      <c r="B758" s="66" t="s">
        <v>14475</v>
      </c>
      <c r="C758" s="67" t="s">
        <v>12713</v>
      </c>
      <c r="D758" s="67" t="s">
        <v>12714</v>
      </c>
      <c r="E758" s="66" t="s">
        <v>13027</v>
      </c>
      <c r="F758" s="66" t="s">
        <v>13076</v>
      </c>
      <c r="G758" s="66" t="s">
        <v>12982</v>
      </c>
      <c r="H758" s="66" t="s">
        <v>14476</v>
      </c>
      <c r="I758" s="68">
        <v>0.365</v>
      </c>
      <c r="J758" s="69">
        <v>0.26</v>
      </c>
      <c r="K758" s="66">
        <v>0.26</v>
      </c>
      <c r="L758" s="66">
        <v>385.5</v>
      </c>
      <c r="M758" s="66">
        <v>1500</v>
      </c>
      <c r="N758" s="63" cm="1">
        <f t="array" ref="N758:N758">_xlfn.XLOOKUP(H758,'OA名单'!C:C,'OA名单'!B:B,1)</f>
      </c>
      <c r="O758" s="63">
        <f t="shared" si="9"/>
      </c>
      <c r="P758" s="63" cm="1">
        <f t="array" ref="P758:P758">_xlfn.XLOOKUP(N758,'OA名单'!B:B,'OA名单'!G:G)</f>
      </c>
      <c r="Q758" s="63">
        <f t="shared" si="11"/>
      </c>
      <c r="R758" s="63" cm="1">
        <f t="array" ref="R758:R758">_xlfn.XLOOKUP(B758,'OA名单'!B:B,'OA名单'!F:F)</f>
      </c>
      <c r="S758" s="63">
        <f t="shared" si="10"/>
      </c>
      <c r="T758" s="70"/>
      <c r="U758" s="63" cm="1">
        <f t="array" ref="U758:U758">_xlfn.XLOOKUP(N758,'OA名单'!B:B,'OA名单'!E:E)</f>
      </c>
      <c r="V758" s="63">
        <f t="shared" si="12"/>
      </c>
      <c r="W758" s="71"/>
      <c r="X758" s="66"/>
      <c r="Y758" s="66"/>
    </row>
    <row hidden="true" r="759">
      <c r="A759" s="66"/>
      <c r="B759" s="66" t="s">
        <v>14477</v>
      </c>
      <c r="C759" s="67" t="s">
        <v>12713</v>
      </c>
      <c r="D759" s="67" t="s">
        <v>12714</v>
      </c>
      <c r="E759" s="66" t="s">
        <v>12776</v>
      </c>
      <c r="F759" s="66" t="s">
        <v>13032</v>
      </c>
      <c r="G759" s="66" t="s">
        <v>12982</v>
      </c>
      <c r="H759" s="66" t="s">
        <v>14478</v>
      </c>
      <c r="I759" s="68">
        <v>0.2905</v>
      </c>
      <c r="J759" s="69">
        <v>0.25</v>
      </c>
      <c r="K759" s="66">
        <v>0.25</v>
      </c>
      <c r="L759" s="66">
        <v>750</v>
      </c>
      <c r="M759" s="66">
        <v>1500</v>
      </c>
      <c r="N759" s="63" cm="1">
        <f t="array" ref="N759:N759">_xlfn.XLOOKUP(H759,'OA名单'!C:C,'OA名单'!B:B,1)</f>
      </c>
      <c r="O759" s="63">
        <f t="shared" si="9"/>
      </c>
      <c r="P759" s="63" cm="1">
        <f t="array" ref="P759:P759">_xlfn.XLOOKUP(N759,'OA名单'!B:B,'OA名单'!G:G)</f>
      </c>
      <c r="Q759" s="63">
        <f t="shared" si="11"/>
      </c>
      <c r="R759" s="63" cm="1">
        <f t="array" ref="R759:R759">_xlfn.XLOOKUP(B759,'OA名单'!B:B,'OA名单'!F:F)</f>
      </c>
      <c r="S759" s="63">
        <f t="shared" si="10"/>
      </c>
      <c r="T759" s="70"/>
      <c r="U759" s="63" cm="1">
        <f t="array" ref="U759:U759">_xlfn.XLOOKUP(N759,'OA名单'!B:B,'OA名单'!E:E)</f>
      </c>
      <c r="V759" s="63">
        <f t="shared" si="12"/>
      </c>
      <c r="W759" s="71"/>
      <c r="X759" s="66"/>
      <c r="Y759" s="66"/>
    </row>
    <row hidden="true" r="760">
      <c r="A760" s="66"/>
      <c r="B760" s="66" t="s">
        <v>14479</v>
      </c>
      <c r="C760" s="67" t="s">
        <v>12713</v>
      </c>
      <c r="D760" s="67" t="s">
        <v>12714</v>
      </c>
      <c r="E760" s="66" t="s">
        <v>13146</v>
      </c>
      <c r="F760" s="66" t="s">
        <v>13147</v>
      </c>
      <c r="G760" s="66" t="s">
        <v>13294</v>
      </c>
      <c r="H760" s="66" t="s">
        <v>14480</v>
      </c>
      <c r="I760" s="68">
        <v>0.337525</v>
      </c>
      <c r="J760" s="69">
        <v>0.24</v>
      </c>
      <c r="K760" s="66">
        <v>0.24</v>
      </c>
      <c r="L760" s="66">
        <v>1577.46</v>
      </c>
      <c r="M760" s="66">
        <v>2000</v>
      </c>
      <c r="N760" s="63" cm="1">
        <f t="array" ref="N760:N760">_xlfn.XLOOKUP(H760,'OA名单'!C:C,'OA名单'!B:B,1)</f>
      </c>
      <c r="O760" s="63">
        <f t="shared" si="9"/>
      </c>
      <c r="P760" s="63" cm="1">
        <f t="array" ref="P760:P760">_xlfn.XLOOKUP(N760,'OA名单'!B:B,'OA名单'!G:G)</f>
      </c>
      <c r="Q760" s="63">
        <f t="shared" si="11"/>
      </c>
      <c r="R760" s="63" cm="1">
        <f t="array" ref="R760:R760">_xlfn.XLOOKUP(B760,'OA名单'!B:B,'OA名单'!F:F)</f>
      </c>
      <c r="S760" s="63">
        <f t="shared" si="10"/>
      </c>
      <c r="T760" s="70"/>
      <c r="U760" s="63" cm="1">
        <f t="array" ref="U760:U760">_xlfn.XLOOKUP(N760,'OA名单'!B:B,'OA名单'!E:E)</f>
      </c>
      <c r="V760" s="63">
        <f t="shared" si="12"/>
      </c>
      <c r="W760" s="71"/>
      <c r="X760" s="66"/>
      <c r="Y760" s="66"/>
    </row>
    <row hidden="true" r="761">
      <c r="A761" s="66"/>
      <c r="B761" s="66" t="s">
        <v>14481</v>
      </c>
      <c r="C761" s="67" t="s">
        <v>12713</v>
      </c>
      <c r="D761" s="67" t="s">
        <v>12714</v>
      </c>
      <c r="E761" s="66" t="s">
        <v>12715</v>
      </c>
      <c r="F761" s="66" t="s">
        <v>13187</v>
      </c>
      <c r="G761" s="66" t="s">
        <v>12982</v>
      </c>
      <c r="H761" s="66" t="s">
        <v>14482</v>
      </c>
      <c r="I761" s="68">
        <v>0.24308</v>
      </c>
      <c r="J761" s="69">
        <v>0.24</v>
      </c>
      <c r="K761" s="66">
        <v>0.24</v>
      </c>
      <c r="L761" s="66">
        <v>2779.21</v>
      </c>
      <c r="M761" s="66">
        <v>1500</v>
      </c>
      <c r="N761" s="63" cm="1">
        <f t="array" ref="N761:N761">_xlfn.XLOOKUP(H761,'OA名单'!C:C,'OA名单'!B:B,1)</f>
      </c>
      <c r="O761" s="63">
        <f t="shared" si="9"/>
      </c>
      <c r="P761" s="63" cm="1">
        <f t="array" ref="P761:P761">_xlfn.XLOOKUP(N761,'OA名单'!B:B,'OA名单'!G:G)</f>
      </c>
      <c r="Q761" s="63">
        <f t="shared" si="11"/>
      </c>
      <c r="R761" s="63" cm="1">
        <f t="array" ref="R761:R761">_xlfn.XLOOKUP(B761,'OA名单'!B:B,'OA名单'!F:F)</f>
      </c>
      <c r="S761" s="63">
        <f t="shared" si="10"/>
      </c>
      <c r="T761" s="70"/>
      <c r="U761" s="63" cm="1">
        <f t="array" ref="U761:U761">_xlfn.XLOOKUP(N761,'OA名单'!B:B,'OA名单'!E:E)</f>
      </c>
      <c r="V761" s="63">
        <f t="shared" si="12"/>
      </c>
      <c r="W761" s="71"/>
      <c r="X761" s="66"/>
      <c r="Y761" s="66"/>
    </row>
    <row hidden="true" r="762">
      <c r="A762" s="66"/>
      <c r="B762" s="66" t="s">
        <v>14483</v>
      </c>
      <c r="C762" s="67" t="s">
        <v>12713</v>
      </c>
      <c r="D762" s="67" t="s">
        <v>12714</v>
      </c>
      <c r="E762" s="66" t="s">
        <v>12782</v>
      </c>
      <c r="F762" s="66" t="s">
        <v>13064</v>
      </c>
      <c r="G762" s="66" t="s">
        <v>12982</v>
      </c>
      <c r="H762" s="66" t="s">
        <v>14484</v>
      </c>
      <c r="I762" s="68">
        <v>0.2359</v>
      </c>
      <c r="J762" s="69">
        <v>0.24</v>
      </c>
      <c r="K762" s="66">
        <v>0.24</v>
      </c>
      <c r="L762" s="66">
        <v>0</v>
      </c>
      <c r="M762" s="66">
        <v>1500</v>
      </c>
      <c r="N762" s="63" cm="1">
        <f t="array" ref="N762:N762">_xlfn.XLOOKUP(H762,'OA名单'!C:C,'OA名单'!B:B,1)</f>
      </c>
      <c r="O762" s="63">
        <f t="shared" si="9"/>
      </c>
      <c r="P762" s="63" cm="1">
        <f t="array" ref="P762:P762">_xlfn.XLOOKUP(N762,'OA名单'!B:B,'OA名单'!G:G)</f>
      </c>
      <c r="Q762" s="63">
        <f t="shared" si="11"/>
      </c>
      <c r="R762" s="63" cm="1">
        <f t="array" ref="R762:R762">_xlfn.XLOOKUP(B762,'OA名单'!B:B,'OA名单'!F:F)</f>
      </c>
      <c r="S762" s="63">
        <f t="shared" si="10"/>
      </c>
      <c r="T762" s="70"/>
      <c r="U762" s="63" cm="1">
        <f t="array" ref="U762:U762">_xlfn.XLOOKUP(N762,'OA名单'!B:B,'OA名单'!E:E)</f>
      </c>
      <c r="V762" s="63">
        <f t="shared" si="12"/>
      </c>
      <c r="W762" s="71"/>
      <c r="X762" s="66"/>
      <c r="Y762" s="66"/>
    </row>
    <row hidden="true" r="763">
      <c r="A763" s="66"/>
      <c r="B763" s="66" t="s">
        <v>14485</v>
      </c>
      <c r="C763" s="67" t="s">
        <v>12713</v>
      </c>
      <c r="D763" s="67" t="s">
        <v>12714</v>
      </c>
      <c r="E763" s="66" t="s">
        <v>12782</v>
      </c>
      <c r="F763" s="66" t="s">
        <v>13064</v>
      </c>
      <c r="G763" s="66" t="s">
        <v>12982</v>
      </c>
      <c r="H763" s="66" t="s">
        <v>14486</v>
      </c>
      <c r="I763" s="68">
        <v>0.24355</v>
      </c>
      <c r="J763" s="69">
        <v>0.24</v>
      </c>
      <c r="K763" s="66">
        <v>0.24</v>
      </c>
      <c r="L763" s="66">
        <v>0</v>
      </c>
      <c r="M763" s="66">
        <v>1500</v>
      </c>
      <c r="N763" s="63" cm="1">
        <f t="array" ref="N763:N763">_xlfn.XLOOKUP(H763,'OA名单'!C:C,'OA名单'!B:B,1)</f>
      </c>
      <c r="O763" s="63">
        <f t="shared" si="9"/>
      </c>
      <c r="P763" s="63" cm="1">
        <f t="array" ref="P763:P763">_xlfn.XLOOKUP(N763,'OA名单'!B:B,'OA名单'!G:G)</f>
      </c>
      <c r="Q763" s="63">
        <f t="shared" si="11"/>
      </c>
      <c r="R763" s="63" cm="1">
        <f t="array" ref="R763:R763">_xlfn.XLOOKUP(B763,'OA名单'!B:B,'OA名单'!F:F)</f>
      </c>
      <c r="S763" s="63">
        <f t="shared" si="10"/>
      </c>
      <c r="T763" s="70"/>
      <c r="U763" s="63" cm="1">
        <f t="array" ref="U763:U763">_xlfn.XLOOKUP(N763,'OA名单'!B:B,'OA名单'!E:E)</f>
      </c>
      <c r="V763" s="63">
        <f t="shared" si="12"/>
      </c>
      <c r="W763" s="71"/>
      <c r="X763" s="66"/>
      <c r="Y763" s="66"/>
    </row>
    <row hidden="true" r="764">
      <c r="A764" s="66"/>
      <c r="B764" s="66" t="s">
        <v>14487</v>
      </c>
      <c r="C764" s="67" t="s">
        <v>12713</v>
      </c>
      <c r="D764" s="67" t="s">
        <v>12714</v>
      </c>
      <c r="E764" s="66" t="s">
        <v>13146</v>
      </c>
      <c r="F764" s="66" t="s">
        <v>13147</v>
      </c>
      <c r="G764" s="66" t="s">
        <v>12751</v>
      </c>
      <c r="H764" s="66" t="s">
        <v>14488</v>
      </c>
      <c r="I764" s="68">
        <v>0.333</v>
      </c>
      <c r="J764" s="69">
        <v>0.23</v>
      </c>
      <c r="K764" s="66">
        <v>0.23</v>
      </c>
      <c r="L764" s="66">
        <v>0</v>
      </c>
      <c r="M764" s="66">
        <v>5000</v>
      </c>
      <c r="N764" s="63" cm="1">
        <f t="array" ref="N764:N764">_xlfn.XLOOKUP(H764,'OA名单'!C:C,'OA名单'!B:B,1)</f>
      </c>
      <c r="O764" s="63">
        <f t="shared" si="9"/>
      </c>
      <c r="P764" s="63" cm="1">
        <f t="array" ref="P764:P764">_xlfn.XLOOKUP(N764,'OA名单'!B:B,'OA名单'!G:G)</f>
      </c>
      <c r="Q764" s="63">
        <f t="shared" si="11"/>
      </c>
      <c r="R764" s="63" cm="1">
        <f t="array" ref="R764:R764">_xlfn.XLOOKUP(B764,'OA名单'!B:B,'OA名单'!F:F)</f>
      </c>
      <c r="S764" s="63">
        <f t="shared" si="10"/>
      </c>
      <c r="T764" s="70"/>
      <c r="U764" s="63" cm="1">
        <f t="array" ref="U764:U764">_xlfn.XLOOKUP(N764,'OA名单'!B:B,'OA名单'!E:E)</f>
      </c>
      <c r="V764" s="63">
        <f t="shared" si="12"/>
      </c>
      <c r="W764" s="71"/>
      <c r="X764" s="66"/>
      <c r="Y764" s="66"/>
    </row>
    <row hidden="true" r="765">
      <c r="A765" s="66"/>
      <c r="B765" s="66" t="s">
        <v>14489</v>
      </c>
      <c r="C765" s="67" t="s">
        <v>12713</v>
      </c>
      <c r="D765" s="67" t="s">
        <v>12714</v>
      </c>
      <c r="E765" s="66" t="s">
        <v>12715</v>
      </c>
      <c r="F765" s="66" t="s">
        <v>13187</v>
      </c>
      <c r="G765" s="66" t="s">
        <v>12982</v>
      </c>
      <c r="H765" s="66" t="s">
        <v>14490</v>
      </c>
      <c r="I765" s="68">
        <v>0.276</v>
      </c>
      <c r="J765" s="69">
        <v>0.23</v>
      </c>
      <c r="K765" s="66">
        <v>0.23</v>
      </c>
      <c r="L765" s="66">
        <v>741</v>
      </c>
      <c r="M765" s="66">
        <v>1500</v>
      </c>
      <c r="N765" s="63" cm="1">
        <f t="array" ref="N765:N765">_xlfn.XLOOKUP(H765,'OA名单'!C:C,'OA名单'!B:B,1)</f>
      </c>
      <c r="O765" s="63">
        <f t="shared" si="9"/>
      </c>
      <c r="P765" s="63" cm="1">
        <f t="array" ref="P765:P765">_xlfn.XLOOKUP(N765,'OA名单'!B:B,'OA名单'!G:G)</f>
      </c>
      <c r="Q765" s="63">
        <f t="shared" si="11"/>
      </c>
      <c r="R765" s="63" cm="1">
        <f t="array" ref="R765:R765">_xlfn.XLOOKUP(B765,'OA名单'!B:B,'OA名单'!F:F)</f>
      </c>
      <c r="S765" s="63">
        <f t="shared" si="10"/>
      </c>
      <c r="T765" s="70"/>
      <c r="U765" s="63" cm="1">
        <f t="array" ref="U765:U765">_xlfn.XLOOKUP(N765,'OA名单'!B:B,'OA名单'!E:E)</f>
      </c>
      <c r="V765" s="63">
        <f t="shared" si="12"/>
      </c>
      <c r="W765" s="71"/>
      <c r="X765" s="66"/>
      <c r="Y765" s="66"/>
    </row>
    <row hidden="true" r="766">
      <c r="A766" s="66"/>
      <c r="B766" s="66" t="s">
        <v>14491</v>
      </c>
      <c r="C766" s="67" t="s">
        <v>12713</v>
      </c>
      <c r="D766" s="67" t="s">
        <v>12714</v>
      </c>
      <c r="E766" s="66" t="s">
        <v>13146</v>
      </c>
      <c r="F766" s="66" t="s">
        <v>13364</v>
      </c>
      <c r="G766" s="66" t="s">
        <v>13148</v>
      </c>
      <c r="H766" s="66" t="s">
        <v>14492</v>
      </c>
      <c r="I766" s="68">
        <v>0.27</v>
      </c>
      <c r="J766" s="69">
        <v>0.23</v>
      </c>
      <c r="K766" s="66">
        <v>0.23</v>
      </c>
      <c r="L766" s="66">
        <v>1500</v>
      </c>
      <c r="M766" s="66">
        <v>3000</v>
      </c>
      <c r="N766" s="63" cm="1">
        <f t="array" ref="N766:N766">_xlfn.XLOOKUP(H766,'OA名单'!C:C,'OA名单'!B:B,1)</f>
      </c>
      <c r="O766" s="63">
        <f t="shared" si="9"/>
      </c>
      <c r="P766" s="63" cm="1">
        <f t="array" ref="P766:P766">_xlfn.XLOOKUP(N766,'OA名单'!B:B,'OA名单'!G:G)</f>
      </c>
      <c r="Q766" s="63">
        <f t="shared" si="11"/>
      </c>
      <c r="R766" s="63" cm="1">
        <f t="array" ref="R766:R766">_xlfn.XLOOKUP(B766,'OA名单'!B:B,'OA名单'!F:F)</f>
      </c>
      <c r="S766" s="63">
        <f t="shared" si="10"/>
      </c>
      <c r="T766" s="70"/>
      <c r="U766" s="63" cm="1">
        <f t="array" ref="U766:U766">_xlfn.XLOOKUP(N766,'OA名单'!B:B,'OA名单'!E:E)</f>
      </c>
      <c r="V766" s="63">
        <f t="shared" si="12"/>
      </c>
      <c r="W766" s="71"/>
      <c r="X766" s="66"/>
      <c r="Y766" s="66"/>
    </row>
    <row hidden="true" r="767">
      <c r="A767" s="66"/>
      <c r="B767" s="66" t="s">
        <v>14493</v>
      </c>
      <c r="C767" s="67" t="s">
        <v>12713</v>
      </c>
      <c r="D767" s="67" t="s">
        <v>12714</v>
      </c>
      <c r="E767" s="66" t="s">
        <v>12715</v>
      </c>
      <c r="F767" s="66" t="s">
        <v>13187</v>
      </c>
      <c r="G767" s="66" t="s">
        <v>12982</v>
      </c>
      <c r="H767" s="66" t="s">
        <v>14494</v>
      </c>
      <c r="I767" s="68">
        <v>0.2558</v>
      </c>
      <c r="J767" s="69">
        <v>0.2</v>
      </c>
      <c r="K767" s="66">
        <v>0.2</v>
      </c>
      <c r="L767" s="66">
        <v>532.55</v>
      </c>
      <c r="M767" s="66">
        <v>1500</v>
      </c>
      <c r="N767" s="63" cm="1">
        <f t="array" ref="N767:N767">_xlfn.XLOOKUP(H767,'OA名单'!C:C,'OA名单'!B:B,1)</f>
      </c>
      <c r="O767" s="63">
        <f t="shared" si="9"/>
      </c>
      <c r="P767" s="63" cm="1">
        <f t="array" ref="P767:P767">_xlfn.XLOOKUP(N767,'OA名单'!B:B,'OA名单'!G:G)</f>
      </c>
      <c r="Q767" s="63">
        <f t="shared" si="11"/>
      </c>
      <c r="R767" s="63" cm="1">
        <f t="array" ref="R767:R767">_xlfn.XLOOKUP(B767,'OA名单'!B:B,'OA名单'!F:F)</f>
      </c>
      <c r="S767" s="63">
        <f t="shared" si="10"/>
      </c>
      <c r="T767" s="70"/>
      <c r="U767" s="63" cm="1">
        <f t="array" ref="U767:U767">_xlfn.XLOOKUP(N767,'OA名单'!B:B,'OA名单'!E:E)</f>
      </c>
      <c r="V767" s="63">
        <f t="shared" si="12"/>
      </c>
      <c r="W767" s="71"/>
      <c r="X767" s="66"/>
      <c r="Y767" s="66"/>
    </row>
    <row hidden="true" r="768">
      <c r="A768" s="66"/>
      <c r="B768" s="66" t="s">
        <v>14495</v>
      </c>
      <c r="C768" s="67" t="s">
        <v>12713</v>
      </c>
      <c r="D768" s="67" t="s">
        <v>12714</v>
      </c>
      <c r="E768" s="66" t="s">
        <v>12782</v>
      </c>
      <c r="F768" s="66" t="s">
        <v>12997</v>
      </c>
      <c r="G768" s="66" t="s">
        <v>12982</v>
      </c>
      <c r="H768" s="66" t="s">
        <v>14496</v>
      </c>
      <c r="I768" s="68">
        <v>0.217</v>
      </c>
      <c r="J768" s="69">
        <v>0.17</v>
      </c>
      <c r="K768" s="66">
        <v>0.17</v>
      </c>
      <c r="L768" s="66">
        <v>775.86</v>
      </c>
      <c r="M768" s="66">
        <v>1500</v>
      </c>
      <c r="N768" s="63" cm="1">
        <f t="array" ref="N768:N768">_xlfn.XLOOKUP(H768,'OA名单'!C:C,'OA名单'!B:B,1)</f>
      </c>
      <c r="O768" s="63">
        <f t="shared" si="9"/>
      </c>
      <c r="P768" s="63" cm="1">
        <f t="array" ref="P768:P768">_xlfn.XLOOKUP(N768,'OA名单'!B:B,'OA名单'!G:G)</f>
      </c>
      <c r="Q768" s="63">
        <f t="shared" si="11"/>
      </c>
      <c r="R768" s="63" cm="1">
        <f t="array" ref="R768:R768">_xlfn.XLOOKUP(B768,'OA名单'!B:B,'OA名单'!F:F)</f>
      </c>
      <c r="S768" s="63">
        <f t="shared" si="10"/>
      </c>
      <c r="T768" s="70"/>
      <c r="U768" s="63" cm="1">
        <f t="array" ref="U768:U768">_xlfn.XLOOKUP(N768,'OA名单'!B:B,'OA名单'!E:E)</f>
      </c>
      <c r="V768" s="63">
        <f t="shared" si="12"/>
      </c>
      <c r="W768" s="71"/>
      <c r="X768" s="66"/>
      <c r="Y768" s="66"/>
    </row>
    <row hidden="true" r="769">
      <c r="A769" s="66"/>
      <c r="B769" s="66" t="s">
        <v>14497</v>
      </c>
      <c r="C769" s="67" t="s">
        <v>12713</v>
      </c>
      <c r="D769" s="67" t="s">
        <v>12714</v>
      </c>
      <c r="E769" s="66" t="s">
        <v>13146</v>
      </c>
      <c r="F769" s="66" t="s">
        <v>13147</v>
      </c>
      <c r="G769" s="66" t="s">
        <v>13294</v>
      </c>
      <c r="H769" s="66" t="s">
        <v>14498</v>
      </c>
      <c r="I769" s="68">
        <v>0.09999</v>
      </c>
      <c r="J769" s="69">
        <v>0.17</v>
      </c>
      <c r="K769" s="66">
        <v>0.17</v>
      </c>
      <c r="L769" s="66">
        <v>1774.65</v>
      </c>
      <c r="M769" s="66">
        <v>3000</v>
      </c>
      <c r="N769" s="63" cm="1">
        <f t="array" ref="N769:N769">_xlfn.XLOOKUP(H769,'OA名单'!C:C,'OA名单'!B:B,1)</f>
      </c>
      <c r="O769" s="63">
        <f t="shared" si="9"/>
      </c>
      <c r="P769" s="63" cm="1">
        <f t="array" ref="P769:P769">_xlfn.XLOOKUP(N769,'OA名单'!B:B,'OA名单'!G:G)</f>
      </c>
      <c r="Q769" s="63">
        <f t="shared" si="11"/>
      </c>
      <c r="R769" s="63" cm="1">
        <f t="array" ref="R769:R769">_xlfn.XLOOKUP(B769,'OA名单'!B:B,'OA名单'!F:F)</f>
      </c>
      <c r="S769" s="63">
        <f t="shared" si="10"/>
      </c>
      <c r="T769" s="70"/>
      <c r="U769" s="63" cm="1">
        <f t="array" ref="U769:U769">_xlfn.XLOOKUP(N769,'OA名单'!B:B,'OA名单'!E:E)</f>
      </c>
      <c r="V769" s="63">
        <f t="shared" si="12"/>
      </c>
      <c r="W769" s="71"/>
      <c r="X769" s="66"/>
      <c r="Y769" s="66"/>
    </row>
    <row hidden="true" r="770">
      <c r="A770" s="66"/>
      <c r="B770" s="66" t="s">
        <v>14499</v>
      </c>
      <c r="C770" s="67" t="s">
        <v>12713</v>
      </c>
      <c r="D770" s="67" t="s">
        <v>12714</v>
      </c>
      <c r="E770" s="66" t="s">
        <v>12749</v>
      </c>
      <c r="F770" s="66" t="s">
        <v>13132</v>
      </c>
      <c r="G770" s="66" t="s">
        <v>13945</v>
      </c>
      <c r="H770" s="66" t="s">
        <v>14500</v>
      </c>
      <c r="I770" s="68">
        <v>0.85</v>
      </c>
      <c r="J770" s="69">
        <v>0.17</v>
      </c>
      <c r="K770" s="66">
        <v>0.17</v>
      </c>
      <c r="L770" s="66">
        <v>960</v>
      </c>
      <c r="M770" s="66">
        <v>1200</v>
      </c>
      <c r="N770" s="63" cm="1">
        <f t="array" ref="N770:N770">_xlfn.XLOOKUP(H770,'OA名单'!C:C,'OA名单'!B:B,1)</f>
      </c>
      <c r="O770" s="63">
        <f t="shared" si="9"/>
      </c>
      <c r="P770" s="63" cm="1">
        <f t="array" ref="P770:P770">_xlfn.XLOOKUP(N770,'OA名单'!B:B,'OA名单'!G:G)</f>
      </c>
      <c r="Q770" s="63">
        <f t="shared" si="11"/>
      </c>
      <c r="R770" s="63" cm="1">
        <f t="array" ref="R770:R770">_xlfn.XLOOKUP(B770,'OA名单'!B:B,'OA名单'!F:F)</f>
      </c>
      <c r="S770" s="63">
        <f t="shared" si="10"/>
      </c>
      <c r="T770" s="70"/>
      <c r="U770" s="63" cm="1">
        <f t="array" ref="U770:U770">_xlfn.XLOOKUP(N770,'OA名单'!B:B,'OA名单'!E:E)</f>
      </c>
      <c r="V770" s="63">
        <f t="shared" si="12"/>
      </c>
      <c r="W770" s="71"/>
      <c r="X770" s="66"/>
      <c r="Y770" s="66"/>
    </row>
    <row hidden="true" r="771">
      <c r="A771" s="66"/>
      <c r="B771" s="66" t="s">
        <v>14501</v>
      </c>
      <c r="C771" s="67" t="s">
        <v>12713</v>
      </c>
      <c r="D771" s="67" t="s">
        <v>12714</v>
      </c>
      <c r="E771" s="66" t="s">
        <v>12749</v>
      </c>
      <c r="F771" s="66" t="s">
        <v>13132</v>
      </c>
      <c r="G771" s="66" t="s">
        <v>13945</v>
      </c>
      <c r="H771" s="66" t="s">
        <v>14502</v>
      </c>
      <c r="I771" s="68">
        <v>0.9</v>
      </c>
      <c r="J771" s="69">
        <v>0.17</v>
      </c>
      <c r="K771" s="66">
        <v>0.17</v>
      </c>
      <c r="L771" s="66">
        <v>0</v>
      </c>
      <c r="M771" s="66">
        <v>1200</v>
      </c>
      <c r="N771" s="63" cm="1">
        <f t="array" ref="N771:N771">_xlfn.XLOOKUP(H771,'OA名单'!C:C,'OA名单'!B:B,1)</f>
      </c>
      <c r="O771" s="63">
        <f t="shared" si="9"/>
      </c>
      <c r="P771" s="63" cm="1">
        <f t="array" ref="P771:P771">_xlfn.XLOOKUP(N771,'OA名单'!B:B,'OA名单'!G:G)</f>
      </c>
      <c r="Q771" s="63">
        <f t="shared" si="11"/>
      </c>
      <c r="R771" s="63" cm="1">
        <f t="array" ref="R771:R771">_xlfn.XLOOKUP(B771,'OA名单'!B:B,'OA名单'!F:F)</f>
      </c>
      <c r="S771" s="63">
        <f t="shared" si="10"/>
      </c>
      <c r="T771" s="70"/>
      <c r="U771" s="63" cm="1">
        <f t="array" ref="U771:U771">_xlfn.XLOOKUP(N771,'OA名单'!B:B,'OA名单'!E:E)</f>
      </c>
      <c r="V771" s="63">
        <f t="shared" si="12"/>
      </c>
      <c r="W771" s="71"/>
      <c r="X771" s="66"/>
      <c r="Y771" s="66"/>
    </row>
    <row hidden="true" r="772">
      <c r="A772" s="66"/>
      <c r="B772" s="66" t="s">
        <v>14503</v>
      </c>
      <c r="C772" s="67" t="s">
        <v>12713</v>
      </c>
      <c r="D772" s="67" t="s">
        <v>12714</v>
      </c>
      <c r="E772" s="66" t="s">
        <v>12782</v>
      </c>
      <c r="F772" s="66" t="s">
        <v>14504</v>
      </c>
      <c r="G772" s="66" t="s">
        <v>13033</v>
      </c>
      <c r="H772" s="66" t="s">
        <v>14505</v>
      </c>
      <c r="I772" s="68">
        <v>0.1702</v>
      </c>
      <c r="J772" s="69">
        <v>0.17</v>
      </c>
      <c r="K772" s="66">
        <v>0.17</v>
      </c>
      <c r="L772" s="66">
        <v>0</v>
      </c>
      <c r="M772" s="66">
        <v>5000</v>
      </c>
      <c r="N772" s="63" cm="1">
        <f t="array" ref="N772:N772">_xlfn.XLOOKUP(H772,'OA名单'!C:C,'OA名单'!B:B,1)</f>
      </c>
      <c r="O772" s="63">
        <f t="shared" si="9"/>
      </c>
      <c r="P772" s="63" cm="1">
        <f t="array" ref="P772:P772">_xlfn.XLOOKUP(N772,'OA名单'!B:B,'OA名单'!G:G)</f>
      </c>
      <c r="Q772" s="63">
        <f t="shared" si="11"/>
      </c>
      <c r="R772" s="63" cm="1">
        <f t="array" ref="R772:R772">_xlfn.XLOOKUP(B772,'OA名单'!B:B,'OA名单'!F:F)</f>
      </c>
      <c r="S772" s="63">
        <f t="shared" si="10"/>
      </c>
      <c r="T772" s="70"/>
      <c r="U772" s="63" cm="1">
        <f t="array" ref="U772:U772">_xlfn.XLOOKUP(N772,'OA名单'!B:B,'OA名单'!E:E)</f>
      </c>
      <c r="V772" s="63">
        <f t="shared" si="12"/>
      </c>
      <c r="W772" s="71"/>
      <c r="X772" s="66"/>
      <c r="Y772" s="66"/>
    </row>
    <row hidden="true" r="773">
      <c r="A773" s="66"/>
      <c r="B773" s="66" t="s">
        <v>14506</v>
      </c>
      <c r="C773" s="67" t="s">
        <v>12713</v>
      </c>
      <c r="D773" s="67" t="s">
        <v>12714</v>
      </c>
      <c r="E773" s="66" t="s">
        <v>12776</v>
      </c>
      <c r="F773" s="66" t="s">
        <v>13032</v>
      </c>
      <c r="G773" s="66" t="s">
        <v>12982</v>
      </c>
      <c r="H773" s="66" t="s">
        <v>14507</v>
      </c>
      <c r="I773" s="68">
        <v>0.180035</v>
      </c>
      <c r="J773" s="69">
        <v>0.16</v>
      </c>
      <c r="K773" s="66">
        <v>0.16</v>
      </c>
      <c r="L773" s="66">
        <v>405</v>
      </c>
      <c r="M773" s="66">
        <v>1500</v>
      </c>
      <c r="N773" s="63" cm="1">
        <f t="array" ref="N773:N773">_xlfn.XLOOKUP(H773,'OA名单'!C:C,'OA名单'!B:B,1)</f>
      </c>
      <c r="O773" s="63">
        <f t="shared" si="9"/>
      </c>
      <c r="P773" s="63" cm="1">
        <f t="array" ref="P773:P773">_xlfn.XLOOKUP(N773,'OA名单'!B:B,'OA名单'!G:G)</f>
      </c>
      <c r="Q773" s="63">
        <f t="shared" si="11"/>
      </c>
      <c r="R773" s="63" cm="1">
        <f t="array" ref="R773:R773">_xlfn.XLOOKUP(B773,'OA名单'!B:B,'OA名单'!F:F)</f>
      </c>
      <c r="S773" s="63">
        <f t="shared" si="10"/>
      </c>
      <c r="T773" s="70"/>
      <c r="U773" s="63" cm="1">
        <f t="array" ref="U773:U773">_xlfn.XLOOKUP(N773,'OA名单'!B:B,'OA名单'!E:E)</f>
      </c>
      <c r="V773" s="63">
        <f t="shared" si="12"/>
      </c>
      <c r="W773" s="71"/>
      <c r="X773" s="66"/>
      <c r="Y773" s="66"/>
    </row>
    <row hidden="true" r="774">
      <c r="A774" s="66"/>
      <c r="B774" s="66" t="s">
        <v>14508</v>
      </c>
      <c r="C774" s="67" t="s">
        <v>12713</v>
      </c>
      <c r="D774" s="67" t="s">
        <v>12714</v>
      </c>
      <c r="E774" s="66" t="s">
        <v>13146</v>
      </c>
      <c r="F774" s="66" t="s">
        <v>13147</v>
      </c>
      <c r="G774" s="66" t="s">
        <v>13530</v>
      </c>
      <c r="H774" s="66" t="s">
        <v>14509</v>
      </c>
      <c r="I774" s="68">
        <v>0.16</v>
      </c>
      <c r="J774" s="69">
        <v>0.16</v>
      </c>
      <c r="K774" s="66">
        <v>0.16</v>
      </c>
      <c r="L774" s="66">
        <v>80</v>
      </c>
      <c r="M774" s="66">
        <v>500</v>
      </c>
      <c r="N774" s="63" cm="1">
        <f t="array" ref="N774:N774">_xlfn.XLOOKUP(H774,'OA名单'!C:C,'OA名单'!B:B,1)</f>
      </c>
      <c r="O774" s="63">
        <f t="shared" si="9"/>
      </c>
      <c r="P774" s="63" cm="1">
        <f t="array" ref="P774:P774">_xlfn.XLOOKUP(N774,'OA名单'!B:B,'OA名单'!G:G)</f>
      </c>
      <c r="Q774" s="63">
        <f t="shared" si="11"/>
      </c>
      <c r="R774" s="63" cm="1">
        <f t="array" ref="R774:R774">_xlfn.XLOOKUP(B774,'OA名单'!B:B,'OA名单'!F:F)</f>
      </c>
      <c r="S774" s="63">
        <f t="shared" si="10"/>
      </c>
      <c r="T774" s="70"/>
      <c r="U774" s="63" cm="1">
        <f t="array" ref="U774:U774">_xlfn.XLOOKUP(N774,'OA名单'!B:B,'OA名单'!E:E)</f>
      </c>
      <c r="V774" s="63">
        <f t="shared" si="12"/>
      </c>
      <c r="W774" s="71"/>
      <c r="X774" s="66"/>
      <c r="Y774" s="66"/>
    </row>
    <row hidden="true" r="775">
      <c r="A775" s="66"/>
      <c r="B775" s="66" t="s">
        <v>14510</v>
      </c>
      <c r="C775" s="67" t="s">
        <v>12713</v>
      </c>
      <c r="D775" s="67" t="s">
        <v>12714</v>
      </c>
      <c r="E775" s="66" t="s">
        <v>12715</v>
      </c>
      <c r="F775" s="66" t="s">
        <v>13187</v>
      </c>
      <c r="G775" s="66" t="s">
        <v>12982</v>
      </c>
      <c r="H775" s="66" t="s">
        <v>14511</v>
      </c>
      <c r="I775" s="68">
        <v>0.15</v>
      </c>
      <c r="J775" s="69">
        <v>0.15</v>
      </c>
      <c r="K775" s="66">
        <v>0.15</v>
      </c>
      <c r="L775" s="66">
        <v>399.41</v>
      </c>
      <c r="M775" s="66">
        <v>1500</v>
      </c>
      <c r="N775" s="63" cm="1">
        <f t="array" ref="N775:N775">_xlfn.XLOOKUP(H775,'OA名单'!C:C,'OA名单'!B:B,1)</f>
      </c>
      <c r="O775" s="63">
        <f t="shared" si="9"/>
      </c>
      <c r="P775" s="63" cm="1">
        <f t="array" ref="P775:P775">_xlfn.XLOOKUP(N775,'OA名单'!B:B,'OA名单'!G:G)</f>
      </c>
      <c r="Q775" s="63">
        <f t="shared" si="11"/>
      </c>
      <c r="R775" s="63" cm="1">
        <f t="array" ref="R775:R775">_xlfn.XLOOKUP(B775,'OA名单'!B:B,'OA名单'!F:F)</f>
      </c>
      <c r="S775" s="63">
        <f t="shared" si="10"/>
      </c>
      <c r="T775" s="70"/>
      <c r="U775" s="63" cm="1">
        <f t="array" ref="U775:U775">_xlfn.XLOOKUP(N775,'OA名单'!B:B,'OA名单'!E:E)</f>
      </c>
      <c r="V775" s="63">
        <f t="shared" si="12"/>
      </c>
      <c r="W775" s="71"/>
      <c r="X775" s="66"/>
      <c r="Y775" s="66"/>
    </row>
    <row hidden="true" r="776">
      <c r="A776" s="66"/>
      <c r="B776" s="66" t="s">
        <v>14512</v>
      </c>
      <c r="C776" s="67" t="s">
        <v>12713</v>
      </c>
      <c r="D776" s="67" t="s">
        <v>12714</v>
      </c>
      <c r="E776" s="66" t="s">
        <v>12715</v>
      </c>
      <c r="F776" s="66" t="s">
        <v>13190</v>
      </c>
      <c r="G776" s="66" t="s">
        <v>12982</v>
      </c>
      <c r="H776" s="66" t="s">
        <v>14513</v>
      </c>
      <c r="I776" s="68">
        <v>0.1517</v>
      </c>
      <c r="J776" s="69">
        <v>0.15</v>
      </c>
      <c r="K776" s="66">
        <v>0.15</v>
      </c>
      <c r="L776" s="66">
        <v>225</v>
      </c>
      <c r="M776" s="66">
        <v>1500</v>
      </c>
      <c r="N776" s="63" cm="1">
        <f t="array" ref="N776:N776">_xlfn.XLOOKUP(H776,'OA名单'!C:C,'OA名单'!B:B,1)</f>
      </c>
      <c r="O776" s="63">
        <f t="shared" si="9"/>
      </c>
      <c r="P776" s="63" cm="1">
        <f t="array" ref="P776:P776">_xlfn.XLOOKUP(N776,'OA名单'!B:B,'OA名单'!G:G)</f>
      </c>
      <c r="Q776" s="63">
        <f t="shared" si="11"/>
      </c>
      <c r="R776" s="63" cm="1">
        <f t="array" ref="R776:R776">_xlfn.XLOOKUP(B776,'OA名单'!B:B,'OA名单'!F:F)</f>
      </c>
      <c r="S776" s="63">
        <f t="shared" si="10"/>
      </c>
      <c r="T776" s="70"/>
      <c r="U776" s="63" cm="1">
        <f t="array" ref="U776:U776">_xlfn.XLOOKUP(N776,'OA名单'!B:B,'OA名单'!E:E)</f>
      </c>
      <c r="V776" s="63">
        <f t="shared" si="12"/>
      </c>
      <c r="W776" s="71"/>
      <c r="X776" s="66"/>
      <c r="Y776" s="66"/>
    </row>
    <row hidden="true" r="777">
      <c r="A777" s="66"/>
      <c r="B777" s="66" t="s">
        <v>14514</v>
      </c>
      <c r="C777" s="67" t="s">
        <v>12713</v>
      </c>
      <c r="D777" s="67" t="s">
        <v>12714</v>
      </c>
      <c r="E777" s="66" t="s">
        <v>12776</v>
      </c>
      <c r="F777" s="66" t="s">
        <v>13032</v>
      </c>
      <c r="G777" s="66" t="s">
        <v>12982</v>
      </c>
      <c r="H777" s="66" t="s">
        <v>14515</v>
      </c>
      <c r="I777" s="68">
        <v>0.14461</v>
      </c>
      <c r="J777" s="69">
        <v>0.15</v>
      </c>
      <c r="K777" s="66">
        <v>0.15</v>
      </c>
      <c r="L777" s="66">
        <v>0</v>
      </c>
      <c r="M777" s="66">
        <v>1500</v>
      </c>
      <c r="N777" s="63" cm="1">
        <f t="array" ref="N777:N777">_xlfn.XLOOKUP(H777,'OA名单'!C:C,'OA名单'!B:B,1)</f>
      </c>
      <c r="O777" s="63">
        <f t="shared" si="9"/>
      </c>
      <c r="P777" s="63" cm="1">
        <f t="array" ref="P777:P777">_xlfn.XLOOKUP(N777,'OA名单'!B:B,'OA名单'!G:G)</f>
      </c>
      <c r="Q777" s="63">
        <f t="shared" si="11"/>
      </c>
      <c r="R777" s="63" cm="1">
        <f t="array" ref="R777:R777">_xlfn.XLOOKUP(B777,'OA名单'!B:B,'OA名单'!F:F)</f>
      </c>
      <c r="S777" s="63">
        <f t="shared" si="10"/>
      </c>
      <c r="T777" s="70"/>
      <c r="U777" s="63" cm="1">
        <f t="array" ref="U777:U777">_xlfn.XLOOKUP(N777,'OA名单'!B:B,'OA名单'!E:E)</f>
      </c>
      <c r="V777" s="63">
        <f t="shared" si="12"/>
      </c>
      <c r="W777" s="71"/>
      <c r="X777" s="66"/>
      <c r="Y777" s="66"/>
    </row>
    <row hidden="true" r="778">
      <c r="A778" s="66"/>
      <c r="B778" s="66" t="s">
        <v>14516</v>
      </c>
      <c r="C778" s="67" t="s">
        <v>12713</v>
      </c>
      <c r="D778" s="67" t="s">
        <v>12714</v>
      </c>
      <c r="E778" s="66" t="s">
        <v>12715</v>
      </c>
      <c r="F778" s="66" t="s">
        <v>13214</v>
      </c>
      <c r="G778" s="66" t="s">
        <v>12982</v>
      </c>
      <c r="H778" s="66" t="s">
        <v>14517</v>
      </c>
      <c r="I778" s="68">
        <v>0.198</v>
      </c>
      <c r="J778" s="69">
        <v>0.13</v>
      </c>
      <c r="K778" s="66">
        <v>0.13</v>
      </c>
      <c r="L778" s="66">
        <v>1500</v>
      </c>
      <c r="M778" s="66">
        <v>1500</v>
      </c>
      <c r="N778" s="63" cm="1">
        <f t="array" ref="N778:N778">_xlfn.XLOOKUP(H778,'OA名单'!C:C,'OA名单'!B:B,1)</f>
      </c>
      <c r="O778" s="63">
        <f t="shared" si="9"/>
      </c>
      <c r="P778" s="63" cm="1">
        <f t="array" ref="P778:P778">_xlfn.XLOOKUP(N778,'OA名单'!B:B,'OA名单'!G:G)</f>
      </c>
      <c r="Q778" s="63">
        <f t="shared" si="11"/>
      </c>
      <c r="R778" s="63" cm="1">
        <f t="array" ref="R778:R778">_xlfn.XLOOKUP(B778,'OA名单'!B:B,'OA名单'!F:F)</f>
      </c>
      <c r="S778" s="63">
        <f t="shared" si="10"/>
      </c>
      <c r="T778" s="70"/>
      <c r="U778" s="63" cm="1">
        <f t="array" ref="U778:U778">_xlfn.XLOOKUP(N778,'OA名单'!B:B,'OA名单'!E:E)</f>
      </c>
      <c r="V778" s="63">
        <f t="shared" si="12"/>
      </c>
      <c r="W778" s="71"/>
      <c r="X778" s="66"/>
      <c r="Y778" s="66"/>
    </row>
    <row hidden="true" r="779">
      <c r="A779" s="66"/>
      <c r="B779" s="66" t="s">
        <v>14518</v>
      </c>
      <c r="C779" s="67" t="s">
        <v>12713</v>
      </c>
      <c r="D779" s="67" t="s">
        <v>12714</v>
      </c>
      <c r="E779" s="66" t="s">
        <v>13027</v>
      </c>
      <c r="F779" s="66" t="s">
        <v>13054</v>
      </c>
      <c r="G779" s="66" t="s">
        <v>13061</v>
      </c>
      <c r="H779" s="66" t="s">
        <v>14519</v>
      </c>
      <c r="I779" s="68">
        <v>0.118188</v>
      </c>
      <c r="J779" s="69">
        <v>0.12</v>
      </c>
      <c r="K779" s="66">
        <v>0.12</v>
      </c>
      <c r="L779" s="66">
        <v>2208.84</v>
      </c>
      <c r="M779" s="66">
        <v>5000</v>
      </c>
      <c r="N779" s="63" cm="1">
        <f t="array" ref="N779:N779">_xlfn.XLOOKUP(H779,'OA名单'!C:C,'OA名单'!B:B,1)</f>
      </c>
      <c r="O779" s="63">
        <f t="shared" si="9"/>
      </c>
      <c r="P779" s="63" cm="1">
        <f t="array" ref="P779:P779">_xlfn.XLOOKUP(N779,'OA名单'!B:B,'OA名单'!G:G)</f>
      </c>
      <c r="Q779" s="63">
        <f t="shared" si="11"/>
      </c>
      <c r="R779" s="63" cm="1">
        <f t="array" ref="R779:R779">_xlfn.XLOOKUP(B779,'OA名单'!B:B,'OA名单'!F:F)</f>
      </c>
      <c r="S779" s="63">
        <f t="shared" si="10"/>
      </c>
      <c r="T779" s="70"/>
      <c r="U779" s="63" cm="1">
        <f t="array" ref="U779:U779">_xlfn.XLOOKUP(N779,'OA名单'!B:B,'OA名单'!E:E)</f>
      </c>
      <c r="V779" s="63">
        <f t="shared" si="12"/>
      </c>
      <c r="W779" s="71"/>
      <c r="X779" s="66"/>
      <c r="Y779" s="66"/>
    </row>
    <row customHeight="true" ht="18" r="780">
      <c r="A780" s="66"/>
      <c r="B780" s="66" t="s">
        <v>14520</v>
      </c>
      <c r="C780" s="67" t="s">
        <v>12713</v>
      </c>
      <c r="D780" s="67" t="s">
        <v>12714</v>
      </c>
      <c r="E780" s="66" t="s">
        <v>12936</v>
      </c>
      <c r="F780" s="66" t="s">
        <v>14049</v>
      </c>
      <c r="G780" s="66" t="s">
        <v>12982</v>
      </c>
      <c r="H780" s="66" t="s">
        <v>14521</v>
      </c>
      <c r="I780" s="68">
        <v>0.1</v>
      </c>
      <c r="J780" s="69">
        <v>0.1</v>
      </c>
      <c r="K780" s="66">
        <v>0.1</v>
      </c>
      <c r="L780" s="66">
        <v>150</v>
      </c>
      <c r="M780" s="66">
        <v>1500</v>
      </c>
      <c r="N780" s="63" cm="1">
        <f t="array" ref="N780:N780">_xlfn.XLOOKUP(H780,'OA名单'!C:C,'OA名单'!B:B,1)</f>
      </c>
      <c r="O780" s="63">
        <f t="shared" si="9"/>
      </c>
      <c r="P780" s="63" cm="1">
        <f t="array" ref="P780:P780">_xlfn.XLOOKUP(N780,'OA名单'!B:B,'OA名单'!G:G)</f>
      </c>
      <c r="Q780" s="63">
        <f t="shared" si="11"/>
      </c>
      <c r="R780" s="63" cm="1">
        <f t="array" ref="R780:R780">_xlfn.XLOOKUP(B780,'OA名单'!B:B,'OA名单'!F:F)</f>
      </c>
      <c r="S780" s="63">
        <f t="shared" si="10"/>
      </c>
      <c r="T780" s="64" cm="1">
        <f t="array" ref="T780:T780">_xlfn.XLOOKUP(B780,'系统-原始（副本）'!A:A,'系统-原始（副本）'!B:B)</f>
      </c>
      <c r="U780" s="63" cm="1">
        <f t="array" ref="U780:U780">_xlfn.XLOOKUP(N780,'OA名单'!B:B,'OA名单'!E:E)</f>
      </c>
      <c r="V780" s="63">
        <f t="shared" si="12"/>
      </c>
      <c r="W780" s="71" t="s">
        <v>14522</v>
      </c>
      <c r="X780" s="66"/>
      <c r="Y780" s="66"/>
    </row>
    <row hidden="true" r="781">
      <c r="A781" s="66"/>
      <c r="B781" s="66" t="s">
        <v>14523</v>
      </c>
      <c r="C781" s="67" t="s">
        <v>12713</v>
      </c>
      <c r="D781" s="67" t="s">
        <v>12714</v>
      </c>
      <c r="E781" s="66" t="s">
        <v>12715</v>
      </c>
      <c r="F781" s="66" t="s">
        <v>13020</v>
      </c>
      <c r="G781" s="66" t="s">
        <v>12982</v>
      </c>
      <c r="H781" s="66" t="s">
        <v>14524</v>
      </c>
      <c r="I781" s="68">
        <v>0.1</v>
      </c>
      <c r="J781" s="69">
        <v>0.1</v>
      </c>
      <c r="K781" s="66">
        <v>0.1</v>
      </c>
      <c r="L781" s="66">
        <v>500</v>
      </c>
      <c r="M781" s="66">
        <v>1500</v>
      </c>
      <c r="N781" s="63" cm="1">
        <f t="array" ref="N781:N781">_xlfn.XLOOKUP(H781,'OA名单'!C:C,'OA名单'!B:B,1)</f>
      </c>
      <c r="O781" s="63">
        <f t="shared" si="9"/>
      </c>
      <c r="P781" s="63" cm="1">
        <f t="array" ref="P781:P781">_xlfn.XLOOKUP(N781,'OA名单'!B:B,'OA名单'!G:G)</f>
      </c>
      <c r="Q781" s="63">
        <f t="shared" si="11"/>
      </c>
      <c r="R781" s="63" cm="1">
        <f t="array" ref="R781:R781">_xlfn.XLOOKUP(B781,'OA名单'!B:B,'OA名单'!F:F)</f>
      </c>
      <c r="S781" s="63">
        <f t="shared" si="10"/>
      </c>
      <c r="T781" s="70"/>
      <c r="U781" s="63" cm="1">
        <f t="array" ref="U781:U781">_xlfn.XLOOKUP(N781,'OA名单'!B:B,'OA名单'!E:E)</f>
      </c>
      <c r="V781" s="63">
        <f t="shared" si="12"/>
      </c>
      <c r="W781" s="71"/>
      <c r="X781" s="66"/>
      <c r="Y781" s="66"/>
    </row>
    <row hidden="true" r="782">
      <c r="A782" s="66"/>
      <c r="B782" s="66" t="s">
        <v>14525</v>
      </c>
      <c r="C782" s="67" t="s">
        <v>12713</v>
      </c>
      <c r="D782" s="67" t="s">
        <v>12714</v>
      </c>
      <c r="E782" s="66" t="s">
        <v>12715</v>
      </c>
      <c r="F782" s="66" t="s">
        <v>13020</v>
      </c>
      <c r="G782" s="66" t="s">
        <v>12982</v>
      </c>
      <c r="H782" s="66" t="s">
        <v>14526</v>
      </c>
      <c r="I782" s="68">
        <v>0.000992</v>
      </c>
      <c r="J782" s="69">
        <v>0.1</v>
      </c>
      <c r="K782" s="66">
        <v>0.1</v>
      </c>
      <c r="L782" s="66">
        <v>0</v>
      </c>
      <c r="M782" s="66">
        <v>1500</v>
      </c>
      <c r="N782" s="63" cm="1">
        <f t="array" ref="N782:N782">_xlfn.XLOOKUP(H782,'OA名单'!C:C,'OA名单'!B:B,1)</f>
      </c>
      <c r="O782" s="63">
        <f t="shared" si="9"/>
      </c>
      <c r="P782" s="63" cm="1">
        <f t="array" ref="P782:P782">_xlfn.XLOOKUP(N782,'OA名单'!B:B,'OA名单'!G:G)</f>
      </c>
      <c r="Q782" s="63">
        <f t="shared" si="11"/>
      </c>
      <c r="R782" s="63" cm="1">
        <f t="array" ref="R782:R782">_xlfn.XLOOKUP(B782,'OA名单'!B:B,'OA名单'!F:F)</f>
      </c>
      <c r="S782" s="63">
        <f t="shared" si="10"/>
      </c>
      <c r="T782" s="70"/>
      <c r="U782" s="63" cm="1">
        <f t="array" ref="U782:U782">_xlfn.XLOOKUP(N782,'OA名单'!B:B,'OA名单'!E:E)</f>
      </c>
      <c r="V782" s="63">
        <f t="shared" si="12"/>
      </c>
      <c r="W782" s="71"/>
      <c r="X782" s="66"/>
      <c r="Y782" s="66"/>
    </row>
    <row hidden="true" r="783">
      <c r="A783" s="66"/>
      <c r="B783" s="66" t="s">
        <v>14527</v>
      </c>
      <c r="C783" s="67" t="s">
        <v>12713</v>
      </c>
      <c r="D783" s="67" t="s">
        <v>12714</v>
      </c>
      <c r="E783" s="66" t="s">
        <v>13027</v>
      </c>
      <c r="F783" s="66" t="s">
        <v>13110</v>
      </c>
      <c r="G783" s="66" t="s">
        <v>13221</v>
      </c>
      <c r="H783" s="66" t="s">
        <v>14528</v>
      </c>
      <c r="I783" s="68">
        <v>0.000968</v>
      </c>
      <c r="J783" s="69">
        <v>0.1</v>
      </c>
      <c r="K783" s="66">
        <v>0.1</v>
      </c>
      <c r="L783" s="66">
        <v>483.87</v>
      </c>
      <c r="M783" s="66">
        <v>5000</v>
      </c>
      <c r="N783" s="63" cm="1">
        <f t="array" ref="N783:N783">_xlfn.XLOOKUP(H783,'OA名单'!C:C,'OA名单'!B:B,1)</f>
      </c>
      <c r="O783" s="63">
        <f t="shared" si="9"/>
      </c>
      <c r="P783" s="63" cm="1">
        <f t="array" ref="P783:P783">_xlfn.XLOOKUP(N783,'OA名单'!B:B,'OA名单'!G:G)</f>
      </c>
      <c r="Q783" s="63">
        <f t="shared" si="11"/>
      </c>
      <c r="R783" s="63" cm="1">
        <f t="array" ref="R783:R783">_xlfn.XLOOKUP(B783,'OA名单'!B:B,'OA名单'!F:F)</f>
      </c>
      <c r="S783" s="63">
        <f t="shared" si="10"/>
      </c>
      <c r="T783" s="70"/>
      <c r="U783" s="63" cm="1">
        <f t="array" ref="U783:U783">_xlfn.XLOOKUP(N783,'OA名单'!B:B,'OA名单'!E:E)</f>
      </c>
      <c r="V783" s="63">
        <f t="shared" si="12"/>
      </c>
      <c r="W783" s="71"/>
      <c r="X783" s="66"/>
      <c r="Y783" s="66"/>
    </row>
    <row hidden="true" r="784">
      <c r="A784" s="66"/>
      <c r="B784" s="66" t="s">
        <v>14529</v>
      </c>
      <c r="C784" s="67" t="s">
        <v>12713</v>
      </c>
      <c r="D784" s="67" t="s">
        <v>12714</v>
      </c>
      <c r="E784" s="66" t="s">
        <v>12715</v>
      </c>
      <c r="F784" s="66" t="s">
        <v>13187</v>
      </c>
      <c r="G784" s="66" t="s">
        <v>12982</v>
      </c>
      <c r="H784" s="66" t="s">
        <v>14530</v>
      </c>
      <c r="I784" s="68">
        <v>0.151175</v>
      </c>
      <c r="J784" s="69">
        <v>0.08</v>
      </c>
      <c r="K784" s="66">
        <v>0.08</v>
      </c>
      <c r="L784" s="66">
        <v>926.4</v>
      </c>
      <c r="M784" s="66">
        <v>1500</v>
      </c>
      <c r="N784" s="63" cm="1">
        <f t="array" ref="N784:N784">_xlfn.XLOOKUP(H784,'OA名单'!C:C,'OA名单'!B:B,1)</f>
      </c>
      <c r="O784" s="63">
        <f t="shared" si="9"/>
      </c>
      <c r="P784" s="63" cm="1">
        <f t="array" ref="P784:P784">_xlfn.XLOOKUP(N784,'OA名单'!B:B,'OA名单'!G:G)</f>
      </c>
      <c r="Q784" s="63">
        <f t="shared" si="11"/>
      </c>
      <c r="R784" s="63" cm="1">
        <f t="array" ref="R784:R784">_xlfn.XLOOKUP(B784,'OA名单'!B:B,'OA名单'!F:F)</f>
      </c>
      <c r="S784" s="63">
        <f t="shared" si="10"/>
      </c>
      <c r="T784" s="70"/>
      <c r="U784" s="63" cm="1">
        <f t="array" ref="U784:U784">_xlfn.XLOOKUP(N784,'OA名单'!B:B,'OA名单'!E:E)</f>
      </c>
      <c r="V784" s="63">
        <f t="shared" si="12"/>
      </c>
      <c r="W784" s="71"/>
      <c r="X784" s="66"/>
      <c r="Y784" s="66"/>
    </row>
    <row hidden="true" r="785">
      <c r="A785" s="66"/>
      <c r="B785" s="66" t="s">
        <v>14531</v>
      </c>
      <c r="C785" s="67" t="s">
        <v>12713</v>
      </c>
      <c r="D785" s="67" t="s">
        <v>12714</v>
      </c>
      <c r="E785" s="66" t="s">
        <v>12782</v>
      </c>
      <c r="F785" s="66" t="s">
        <v>12997</v>
      </c>
      <c r="G785" s="66" t="s">
        <v>12982</v>
      </c>
      <c r="H785" s="66" t="s">
        <v>14532</v>
      </c>
      <c r="I785" s="68">
        <v>0.0938</v>
      </c>
      <c r="J785" s="69">
        <v>0.07</v>
      </c>
      <c r="K785" s="66">
        <v>0.07</v>
      </c>
      <c r="L785" s="66">
        <v>310.34</v>
      </c>
      <c r="M785" s="66">
        <v>1500</v>
      </c>
      <c r="N785" s="63" cm="1">
        <f t="array" ref="N785:N785">_xlfn.XLOOKUP(H785,'OA名单'!C:C,'OA名单'!B:B,1)</f>
      </c>
      <c r="O785" s="63">
        <f t="shared" si="9"/>
      </c>
      <c r="P785" s="63" cm="1">
        <f t="array" ref="P785:P785">_xlfn.XLOOKUP(N785,'OA名单'!B:B,'OA名单'!G:G)</f>
      </c>
      <c r="Q785" s="63">
        <f t="shared" si="11"/>
      </c>
      <c r="R785" s="63" cm="1">
        <f t="array" ref="R785:R785">_xlfn.XLOOKUP(B785,'OA名单'!B:B,'OA名单'!F:F)</f>
      </c>
      <c r="S785" s="63">
        <f t="shared" si="10"/>
      </c>
      <c r="T785" s="70"/>
      <c r="U785" s="63" cm="1">
        <f t="array" ref="U785:U785">_xlfn.XLOOKUP(N785,'OA名单'!B:B,'OA名单'!E:E)</f>
      </c>
      <c r="V785" s="63">
        <f t="shared" si="12"/>
      </c>
      <c r="W785" s="71"/>
      <c r="X785" s="66"/>
      <c r="Y785" s="66"/>
    </row>
    <row hidden="true" r="786">
      <c r="A786" s="66"/>
      <c r="B786" s="66" t="s">
        <v>14533</v>
      </c>
      <c r="C786" s="67" t="s">
        <v>12713</v>
      </c>
      <c r="D786" s="67" t="s">
        <v>12714</v>
      </c>
      <c r="E786" s="66" t="s">
        <v>12715</v>
      </c>
      <c r="F786" s="66" t="s">
        <v>13214</v>
      </c>
      <c r="G786" s="66" t="s">
        <v>12982</v>
      </c>
      <c r="H786" s="66" t="s">
        <v>14534</v>
      </c>
      <c r="I786" s="68">
        <v>0.2148</v>
      </c>
      <c r="J786" s="69">
        <v>0.07</v>
      </c>
      <c r="K786" s="66">
        <v>0.07</v>
      </c>
      <c r="L786" s="66">
        <v>0</v>
      </c>
      <c r="M786" s="66">
        <v>1500</v>
      </c>
      <c r="N786" s="63" cm="1">
        <f t="array" ref="N786:N786">_xlfn.XLOOKUP(H786,'OA名单'!C:C,'OA名单'!B:B,1)</f>
      </c>
      <c r="O786" s="63">
        <f t="shared" si="9"/>
      </c>
      <c r="P786" s="63" cm="1">
        <f t="array" ref="P786:P786">_xlfn.XLOOKUP(N786,'OA名单'!B:B,'OA名单'!G:G)</f>
      </c>
      <c r="Q786" s="63">
        <f t="shared" si="11"/>
      </c>
      <c r="R786" s="63" cm="1">
        <f t="array" ref="R786:R786">_xlfn.XLOOKUP(B786,'OA名单'!B:B,'OA名单'!F:F)</f>
      </c>
      <c r="S786" s="63">
        <f t="shared" si="10"/>
      </c>
      <c r="T786" s="70"/>
      <c r="U786" s="63" cm="1">
        <f t="array" ref="U786:U786">_xlfn.XLOOKUP(N786,'OA名单'!B:B,'OA名单'!E:E)</f>
      </c>
      <c r="V786" s="63">
        <f t="shared" si="12"/>
      </c>
      <c r="W786" s="71"/>
      <c r="X786" s="66"/>
      <c r="Y786" s="66"/>
    </row>
    <row hidden="true" r="787">
      <c r="A787" s="66"/>
      <c r="B787" s="66" t="s">
        <v>14535</v>
      </c>
      <c r="C787" s="67" t="s">
        <v>12713</v>
      </c>
      <c r="D787" s="67" t="s">
        <v>12714</v>
      </c>
      <c r="E787" s="66" t="s">
        <v>12715</v>
      </c>
      <c r="F787" s="66" t="s">
        <v>13187</v>
      </c>
      <c r="G787" s="66" t="s">
        <v>12982</v>
      </c>
      <c r="H787" s="66" t="s">
        <v>14536</v>
      </c>
      <c r="I787" s="68">
        <v>0.000686</v>
      </c>
      <c r="J787" s="69">
        <v>0.07</v>
      </c>
      <c r="K787" s="66">
        <v>0.07</v>
      </c>
      <c r="L787" s="66">
        <v>794.39</v>
      </c>
      <c r="M787" s="66">
        <v>1500</v>
      </c>
      <c r="N787" s="63" cm="1">
        <f t="array" ref="N787:N787">_xlfn.XLOOKUP(H787,'OA名单'!C:C,'OA名单'!B:B,1)</f>
      </c>
      <c r="O787" s="63">
        <f t="shared" si="9"/>
      </c>
      <c r="P787" s="63" cm="1">
        <f t="array" ref="P787:P787">_xlfn.XLOOKUP(N787,'OA名单'!B:B,'OA名单'!G:G)</f>
      </c>
      <c r="Q787" s="63">
        <f t="shared" si="11"/>
      </c>
      <c r="R787" s="63" cm="1">
        <f t="array" ref="R787:R787">_xlfn.XLOOKUP(B787,'OA名单'!B:B,'OA名单'!F:F)</f>
      </c>
      <c r="S787" s="63">
        <f t="shared" si="10"/>
      </c>
      <c r="T787" s="70"/>
      <c r="U787" s="63" cm="1">
        <f t="array" ref="U787:U787">_xlfn.XLOOKUP(N787,'OA名单'!B:B,'OA名单'!E:E)</f>
      </c>
      <c r="V787" s="63">
        <f t="shared" si="12"/>
      </c>
      <c r="W787" s="71"/>
      <c r="X787" s="66"/>
      <c r="Y787" s="66"/>
    </row>
    <row hidden="true" r="788">
      <c r="A788" s="66"/>
      <c r="B788" s="66" t="s">
        <v>14537</v>
      </c>
      <c r="C788" s="67" t="s">
        <v>12713</v>
      </c>
      <c r="D788" s="67" t="s">
        <v>12714</v>
      </c>
      <c r="E788" s="66" t="s">
        <v>12776</v>
      </c>
      <c r="F788" s="66" t="s">
        <v>13024</v>
      </c>
      <c r="G788" s="66" t="s">
        <v>13094</v>
      </c>
      <c r="H788" s="66" t="s">
        <v>14538</v>
      </c>
      <c r="I788" s="68">
        <v>0.07399</v>
      </c>
      <c r="J788" s="69">
        <v>0.06</v>
      </c>
      <c r="K788" s="66">
        <v>0.06</v>
      </c>
      <c r="L788" s="66">
        <v>1240</v>
      </c>
      <c r="M788" s="66">
        <v>500</v>
      </c>
      <c r="N788" s="63" cm="1">
        <f t="array" ref="N788:N788">_xlfn.XLOOKUP(H788,'OA名单'!C:C,'OA名单'!B:B,1)</f>
      </c>
      <c r="O788" s="63">
        <f t="shared" si="9"/>
      </c>
      <c r="P788" s="63" cm="1">
        <f t="array" ref="P788:P788">_xlfn.XLOOKUP(N788,'OA名单'!B:B,'OA名单'!G:G)</f>
      </c>
      <c r="Q788" s="63">
        <f t="shared" si="11"/>
      </c>
      <c r="R788" s="63" cm="1">
        <f t="array" ref="R788:R788">_xlfn.XLOOKUP(B788,'OA名单'!B:B,'OA名单'!F:F)</f>
      </c>
      <c r="S788" s="63">
        <f t="shared" si="10"/>
      </c>
      <c r="T788" s="70"/>
      <c r="U788" s="63" cm="1">
        <f t="array" ref="U788:U788">_xlfn.XLOOKUP(N788,'OA名单'!B:B,'OA名单'!E:E)</f>
      </c>
      <c r="V788" s="63">
        <f t="shared" si="12"/>
      </c>
      <c r="W788" s="71"/>
      <c r="X788" s="66"/>
      <c r="Y788" s="66"/>
    </row>
    <row hidden="true" r="789">
      <c r="A789" s="66"/>
      <c r="B789" s="66" t="s">
        <v>14539</v>
      </c>
      <c r="C789" s="67" t="s">
        <v>12713</v>
      </c>
      <c r="D789" s="67" t="s">
        <v>12714</v>
      </c>
      <c r="E789" s="66" t="s">
        <v>12782</v>
      </c>
      <c r="F789" s="66" t="s">
        <v>13297</v>
      </c>
      <c r="G789" s="66" t="s">
        <v>12982</v>
      </c>
      <c r="H789" s="66" t="s">
        <v>14540</v>
      </c>
      <c r="I789" s="68">
        <v>0.0456</v>
      </c>
      <c r="J789" s="69">
        <v>0.05</v>
      </c>
      <c r="K789" s="66">
        <v>0.05</v>
      </c>
      <c r="L789" s="66">
        <v>118</v>
      </c>
      <c r="M789" s="66">
        <v>1500</v>
      </c>
      <c r="N789" s="63" cm="1">
        <f t="array" ref="N789:N789">_xlfn.XLOOKUP(H789,'OA名单'!C:C,'OA名单'!B:B,1)</f>
      </c>
      <c r="O789" s="63">
        <f t="shared" si="9"/>
      </c>
      <c r="P789" s="63" cm="1">
        <f t="array" ref="P789:P789">_xlfn.XLOOKUP(N789,'OA名单'!B:B,'OA名单'!G:G)</f>
      </c>
      <c r="Q789" s="63">
        <f t="shared" si="11"/>
      </c>
      <c r="R789" s="63" cm="1">
        <f t="array" ref="R789:R789">_xlfn.XLOOKUP(B789,'OA名单'!B:B,'OA名单'!F:F)</f>
      </c>
      <c r="S789" s="63">
        <f t="shared" si="10"/>
      </c>
      <c r="T789" s="70"/>
      <c r="U789" s="63" cm="1">
        <f t="array" ref="U789:U789">_xlfn.XLOOKUP(N789,'OA名单'!B:B,'OA名单'!E:E)</f>
      </c>
      <c r="V789" s="63">
        <f t="shared" si="12"/>
      </c>
      <c r="W789" s="71"/>
      <c r="X789" s="66"/>
      <c r="Y789" s="66"/>
    </row>
    <row hidden="true" r="790">
      <c r="A790" s="66"/>
      <c r="B790" s="66" t="s">
        <v>14541</v>
      </c>
      <c r="C790" s="67" t="s">
        <v>12713</v>
      </c>
      <c r="D790" s="67" t="s">
        <v>12714</v>
      </c>
      <c r="E790" s="66" t="s">
        <v>12782</v>
      </c>
      <c r="F790" s="66" t="s">
        <v>12997</v>
      </c>
      <c r="G790" s="66" t="s">
        <v>12982</v>
      </c>
      <c r="H790" s="66" t="s">
        <v>14542</v>
      </c>
      <c r="I790" s="68">
        <v>0.0245</v>
      </c>
      <c r="J790" s="69">
        <v>0.02</v>
      </c>
      <c r="K790" s="66">
        <v>0.02</v>
      </c>
      <c r="L790" s="66">
        <v>0</v>
      </c>
      <c r="M790" s="66">
        <v>1500</v>
      </c>
      <c r="N790" s="63" cm="1">
        <f t="array" ref="N790:N790">_xlfn.XLOOKUP(H790,'OA名单'!C:C,'OA名单'!B:B,1)</f>
      </c>
      <c r="O790" s="63">
        <f t="shared" si="9"/>
      </c>
      <c r="P790" s="63" cm="1">
        <f t="array" ref="P790:P790">_xlfn.XLOOKUP(N790,'OA名单'!B:B,'OA名单'!G:G)</f>
      </c>
      <c r="Q790" s="63">
        <f t="shared" si="11"/>
      </c>
      <c r="R790" s="63" cm="1">
        <f t="array" ref="R790:R790">_xlfn.XLOOKUP(B790,'OA名单'!B:B,'OA名单'!F:F)</f>
      </c>
      <c r="S790" s="63">
        <f t="shared" si="10"/>
      </c>
      <c r="T790" s="70"/>
      <c r="U790" s="63" cm="1">
        <f t="array" ref="U790:U790">_xlfn.XLOOKUP(N790,'OA名单'!B:B,'OA名单'!E:E)</f>
      </c>
      <c r="V790" s="63">
        <f t="shared" si="12"/>
      </c>
      <c r="W790" s="71"/>
      <c r="X790" s="66"/>
      <c r="Y790" s="66"/>
    </row>
    <row hidden="true" r="791">
      <c r="A791" s="66"/>
      <c r="B791" s="66" t="s">
        <v>14543</v>
      </c>
      <c r="C791" s="67" t="s">
        <v>12713</v>
      </c>
      <c r="D791" s="67" t="s">
        <v>12714</v>
      </c>
      <c r="E791" s="66" t="s">
        <v>12715</v>
      </c>
      <c r="F791" s="66" t="s">
        <v>13020</v>
      </c>
      <c r="G791" s="66" t="s">
        <v>12982</v>
      </c>
      <c r="H791" s="66" t="s">
        <v>14544</v>
      </c>
      <c r="I791" s="68">
        <v>0.0151</v>
      </c>
      <c r="J791" s="69">
        <v>0.02</v>
      </c>
      <c r="K791" s="66">
        <v>0.02</v>
      </c>
      <c r="L791" s="66">
        <v>30</v>
      </c>
      <c r="M791" s="66">
        <v>1500</v>
      </c>
      <c r="N791" s="63" cm="1">
        <f t="array" ref="N791:N791">_xlfn.XLOOKUP(H791,'OA名单'!C:C,'OA名单'!B:B,1)</f>
      </c>
      <c r="O791" s="63">
        <f t="shared" si="9"/>
      </c>
      <c r="P791" s="63" cm="1">
        <f t="array" ref="P791:P791">_xlfn.XLOOKUP(N791,'OA名单'!B:B,'OA名单'!G:G)</f>
      </c>
      <c r="Q791" s="63">
        <f t="shared" si="11"/>
      </c>
      <c r="R791" s="63" cm="1">
        <f t="array" ref="R791:R791">_xlfn.XLOOKUP(B791,'OA名单'!B:B,'OA名单'!F:F)</f>
      </c>
      <c r="S791" s="63">
        <f t="shared" si="10"/>
      </c>
      <c r="T791" s="70"/>
      <c r="U791" s="63" cm="1">
        <f t="array" ref="U791:U791">_xlfn.XLOOKUP(N791,'OA名单'!B:B,'OA名单'!E:E)</f>
      </c>
      <c r="V791" s="63">
        <f t="shared" si="12"/>
      </c>
      <c r="W791" s="71"/>
      <c r="X791" s="66"/>
      <c r="Y791" s="66"/>
    </row>
    <row hidden="true" r="792">
      <c r="A792" s="66"/>
      <c r="B792" s="66" t="s">
        <v>14545</v>
      </c>
      <c r="C792" s="67" t="s">
        <v>12713</v>
      </c>
      <c r="D792" s="67" t="s">
        <v>12714</v>
      </c>
      <c r="E792" s="66" t="s">
        <v>12715</v>
      </c>
      <c r="F792" s="66" t="s">
        <v>13020</v>
      </c>
      <c r="G792" s="66" t="s">
        <v>12982</v>
      </c>
      <c r="H792" s="66" t="s">
        <v>14546</v>
      </c>
      <c r="I792" s="68">
        <v>0.000159</v>
      </c>
      <c r="J792" s="69">
        <v>0.02</v>
      </c>
      <c r="K792" s="66">
        <v>0.02</v>
      </c>
      <c r="L792" s="66">
        <v>23.91</v>
      </c>
      <c r="M792" s="66">
        <v>1500</v>
      </c>
      <c r="N792" s="63" cm="1">
        <f t="array" ref="N792:N792">_xlfn.XLOOKUP(H792,'OA名单'!C:C,'OA名单'!B:B,1)</f>
      </c>
      <c r="O792" s="63">
        <f t="shared" si="9"/>
      </c>
      <c r="P792" s="63" cm="1">
        <f t="array" ref="P792:P792">_xlfn.XLOOKUP(N792,'OA名单'!B:B,'OA名单'!G:G)</f>
      </c>
      <c r="Q792" s="63">
        <f t="shared" si="11"/>
      </c>
      <c r="R792" s="63" cm="1">
        <f t="array" ref="R792:R792">_xlfn.XLOOKUP(B792,'OA名单'!B:B,'OA名单'!F:F)</f>
      </c>
      <c r="S792" s="63">
        <f t="shared" si="10"/>
      </c>
      <c r="T792" s="70"/>
      <c r="U792" s="63" cm="1">
        <f t="array" ref="U792:U792">_xlfn.XLOOKUP(N792,'OA名单'!B:B,'OA名单'!E:E)</f>
      </c>
      <c r="V792" s="63">
        <f t="shared" si="12"/>
      </c>
      <c r="W792" s="71"/>
      <c r="X792" s="66"/>
      <c r="Y792" s="66"/>
    </row>
    <row hidden="true" r="793">
      <c r="A793" s="66"/>
      <c r="B793" s="66" t="s">
        <v>14547</v>
      </c>
      <c r="C793" s="67" t="s">
        <v>12713</v>
      </c>
      <c r="D793" s="67" t="s">
        <v>12714</v>
      </c>
      <c r="E793" s="66" t="s">
        <v>13352</v>
      </c>
      <c r="F793" s="66" t="s">
        <v>13353</v>
      </c>
      <c r="G793" s="66" t="s">
        <v>13354</v>
      </c>
      <c r="H793" s="66" t="s">
        <v>14548</v>
      </c>
      <c r="I793" s="68">
        <v>0</v>
      </c>
      <c r="J793" s="69">
        <v>0</v>
      </c>
      <c r="K793" s="66">
        <v>0</v>
      </c>
      <c r="L793" s="66">
        <v>0</v>
      </c>
      <c r="M793" s="66">
        <v>4000</v>
      </c>
      <c r="N793" s="63" cm="1">
        <f t="array" ref="N793:N793">_xlfn.XLOOKUP(H793,'OA名单'!C:C,'OA名单'!B:B,1)</f>
      </c>
      <c r="O793" s="63">
        <f t="shared" si="9"/>
      </c>
      <c r="P793" s="63" cm="1">
        <f t="array" ref="P793:P793">_xlfn.XLOOKUP(N793,'OA名单'!B:B,'OA名单'!G:G)</f>
      </c>
      <c r="Q793" s="63">
        <f t="shared" si="11"/>
      </c>
      <c r="R793" s="63" cm="1">
        <f t="array" ref="R793:R793">_xlfn.XLOOKUP(B793,'OA名单'!B:B,'OA名单'!F:F)</f>
      </c>
      <c r="S793" s="63">
        <f t="shared" si="10"/>
      </c>
      <c r="T793" s="70"/>
      <c r="U793" s="63" cm="1">
        <f t="array" ref="U793:U793">_xlfn.XLOOKUP(N793,'OA名单'!B:B,'OA名单'!E:E)</f>
      </c>
      <c r="V793" s="63">
        <f t="shared" si="12"/>
      </c>
      <c r="W793" s="71"/>
      <c r="X793" s="66"/>
      <c r="Y793" s="66"/>
    </row>
    <row hidden="true" r="794">
      <c r="A794" s="66"/>
      <c r="B794" s="66" t="s">
        <v>14549</v>
      </c>
      <c r="C794" s="67" t="s">
        <v>12713</v>
      </c>
      <c r="D794" s="67" t="s">
        <v>12714</v>
      </c>
      <c r="E794" s="66" t="s">
        <v>13146</v>
      </c>
      <c r="F794" s="66" t="s">
        <v>13204</v>
      </c>
      <c r="G794" s="66" t="s">
        <v>13530</v>
      </c>
      <c r="H794" s="66" t="s">
        <v>14550</v>
      </c>
      <c r="I794" s="68">
        <v>0</v>
      </c>
      <c r="J794" s="69">
        <v>0</v>
      </c>
      <c r="K794" s="66">
        <v>0</v>
      </c>
      <c r="L794" s="66">
        <v>0</v>
      </c>
      <c r="M794" s="66">
        <v>500</v>
      </c>
      <c r="N794" s="63" cm="1">
        <f t="array" ref="N794:N794">_xlfn.XLOOKUP(H794,'OA名单'!C:C,'OA名单'!B:B,1)</f>
      </c>
      <c r="O794" s="63">
        <f t="shared" si="9"/>
      </c>
      <c r="P794" s="63" cm="1">
        <f t="array" ref="P794:P794">_xlfn.XLOOKUP(N794,'OA名单'!B:B,'OA名单'!G:G)</f>
      </c>
      <c r="Q794" s="63">
        <f t="shared" si="11"/>
      </c>
      <c r="R794" s="63" cm="1">
        <f t="array" ref="R794:R794">_xlfn.XLOOKUP(B794,'OA名单'!B:B,'OA名单'!F:F)</f>
      </c>
      <c r="S794" s="63">
        <f t="shared" si="10"/>
      </c>
      <c r="T794" s="70"/>
      <c r="U794" s="63" cm="1">
        <f t="array" ref="U794:U794">_xlfn.XLOOKUP(N794,'OA名单'!B:B,'OA名单'!E:E)</f>
      </c>
      <c r="V794" s="63">
        <f t="shared" si="12"/>
      </c>
      <c r="W794" s="71"/>
      <c r="X794" s="66"/>
      <c r="Y794" s="66"/>
    </row>
    <row hidden="true" r="795">
      <c r="A795" s="66"/>
      <c r="B795" s="66" t="s">
        <v>14551</v>
      </c>
      <c r="C795" s="67" t="s">
        <v>12713</v>
      </c>
      <c r="D795" s="67" t="s">
        <v>12714</v>
      </c>
      <c r="E795" s="66" t="s">
        <v>12715</v>
      </c>
      <c r="F795" s="66" t="s">
        <v>13187</v>
      </c>
      <c r="G795" s="66" t="s">
        <v>13033</v>
      </c>
      <c r="H795" s="66" t="s">
        <v>14552</v>
      </c>
      <c r="I795" s="68">
        <v>0.403395</v>
      </c>
      <c r="J795" s="69">
        <v>0</v>
      </c>
      <c r="K795" s="66">
        <v>0</v>
      </c>
      <c r="L795" s="66">
        <v>2000</v>
      </c>
      <c r="M795" s="66">
        <v>5000</v>
      </c>
      <c r="N795" s="63" cm="1">
        <f t="array" ref="N795:N795">_xlfn.XLOOKUP(H795,'OA名单'!C:C,'OA名单'!B:B,1)</f>
      </c>
      <c r="O795" s="63">
        <f t="shared" si="9"/>
      </c>
      <c r="P795" s="63" cm="1">
        <f t="array" ref="P795:P795">_xlfn.XLOOKUP(N795,'OA名单'!B:B,'OA名单'!G:G)</f>
      </c>
      <c r="Q795" s="63">
        <f t="shared" si="11"/>
      </c>
      <c r="R795" s="63" cm="1">
        <f t="array" ref="R795:R795">_xlfn.XLOOKUP(B795,'OA名单'!B:B,'OA名单'!F:F)</f>
      </c>
      <c r="S795" s="63">
        <f t="shared" si="10"/>
      </c>
      <c r="T795" s="70"/>
      <c r="U795" s="63" cm="1">
        <f t="array" ref="U795:U795">_xlfn.XLOOKUP(N795,'OA名单'!B:B,'OA名单'!E:E)</f>
      </c>
      <c r="V795" s="63">
        <f t="shared" si="12"/>
      </c>
      <c r="W795" s="71"/>
      <c r="X795" s="66"/>
      <c r="Y795" s="66"/>
    </row>
    <row hidden="true" r="796">
      <c r="A796" s="66"/>
      <c r="B796" s="66" t="s">
        <v>14553</v>
      </c>
      <c r="C796" s="67" t="s">
        <v>12713</v>
      </c>
      <c r="D796" s="67" t="s">
        <v>12714</v>
      </c>
      <c r="E796" s="66" t="s">
        <v>12782</v>
      </c>
      <c r="F796" s="66" t="s">
        <v>12783</v>
      </c>
      <c r="G796" s="66" t="s">
        <v>12817</v>
      </c>
      <c r="H796" s="66" t="s">
        <v>14554</v>
      </c>
      <c r="I796" s="68">
        <v>0</v>
      </c>
      <c r="J796" s="69">
        <v>0</v>
      </c>
      <c r="K796" s="66">
        <v>0</v>
      </c>
      <c r="L796" s="66">
        <v>0</v>
      </c>
      <c r="M796" s="66">
        <v>1000</v>
      </c>
      <c r="N796" s="63" cm="1">
        <f t="array" ref="N796:N796">_xlfn.XLOOKUP(H796,'OA名单'!C:C,'OA名单'!B:B,1)</f>
      </c>
      <c r="O796" s="63">
        <f t="shared" si="9"/>
      </c>
      <c r="P796" s="63" cm="1">
        <f t="array" ref="P796:P796">_xlfn.XLOOKUP(N796,'OA名单'!B:B,'OA名单'!G:G)</f>
      </c>
      <c r="Q796" s="63">
        <f t="shared" si="11"/>
      </c>
      <c r="R796" s="63" cm="1">
        <f t="array" ref="R796:R796">_xlfn.XLOOKUP(B796,'OA名单'!B:B,'OA名单'!F:F)</f>
      </c>
      <c r="S796" s="63">
        <f t="shared" si="10"/>
      </c>
      <c r="T796" s="70"/>
      <c r="U796" s="63" cm="1">
        <f t="array" ref="U796:U796">_xlfn.XLOOKUP(N796,'OA名单'!B:B,'OA名单'!E:E)</f>
      </c>
      <c r="V796" s="63">
        <f t="shared" si="12"/>
      </c>
      <c r="W796" s="71"/>
      <c r="X796" s="66"/>
      <c r="Y796" s="66"/>
    </row>
    <row hidden="true" r="797">
      <c r="A797" s="66"/>
      <c r="B797" s="66" t="s">
        <v>14555</v>
      </c>
      <c r="C797" s="67" t="s">
        <v>12713</v>
      </c>
      <c r="D797" s="67" t="s">
        <v>12714</v>
      </c>
      <c r="E797" s="66" t="s">
        <v>12782</v>
      </c>
      <c r="F797" s="66" t="s">
        <v>12783</v>
      </c>
      <c r="G797" s="66" t="s">
        <v>12817</v>
      </c>
      <c r="H797" s="66" t="s">
        <v>14556</v>
      </c>
      <c r="I797" s="68">
        <v>0</v>
      </c>
      <c r="J797" s="69">
        <v>0</v>
      </c>
      <c r="K797" s="66">
        <v>0</v>
      </c>
      <c r="L797" s="66">
        <v>200</v>
      </c>
      <c r="M797" s="66">
        <v>1000</v>
      </c>
      <c r="N797" s="63" cm="1">
        <f t="array" ref="N797:N797">_xlfn.XLOOKUP(H797,'OA名单'!C:C,'OA名单'!B:B,1)</f>
      </c>
      <c r="O797" s="63">
        <f t="shared" si="9"/>
      </c>
      <c r="P797" s="63" cm="1">
        <f t="array" ref="P797:P797">_xlfn.XLOOKUP(N797,'OA名单'!B:B,'OA名单'!G:G)</f>
      </c>
      <c r="Q797" s="63">
        <f t="shared" si="11"/>
      </c>
      <c r="R797" s="63" cm="1">
        <f t="array" ref="R797:R797">_xlfn.XLOOKUP(B797,'OA名单'!B:B,'OA名单'!F:F)</f>
      </c>
      <c r="S797" s="63">
        <f t="shared" si="10"/>
      </c>
      <c r="T797" s="70"/>
      <c r="U797" s="63" cm="1">
        <f t="array" ref="U797:U797">_xlfn.XLOOKUP(N797,'OA名单'!B:B,'OA名单'!E:E)</f>
      </c>
      <c r="V797" s="63">
        <f t="shared" si="12"/>
      </c>
      <c r="W797" s="71"/>
      <c r="X797" s="66"/>
      <c r="Y797" s="66"/>
    </row>
    <row hidden="true" r="798">
      <c r="A798" s="66"/>
      <c r="B798" s="66" t="s">
        <v>14557</v>
      </c>
      <c r="C798" s="67" t="s">
        <v>12713</v>
      </c>
      <c r="D798" s="67" t="s">
        <v>12714</v>
      </c>
      <c r="E798" s="66" t="s">
        <v>12782</v>
      </c>
      <c r="F798" s="66" t="s">
        <v>12783</v>
      </c>
      <c r="G798" s="66" t="s">
        <v>12817</v>
      </c>
      <c r="H798" s="66" t="s">
        <v>14558</v>
      </c>
      <c r="I798" s="68">
        <v>0</v>
      </c>
      <c r="J798" s="69">
        <v>0</v>
      </c>
      <c r="K798" s="66">
        <v>0</v>
      </c>
      <c r="L798" s="66">
        <v>0</v>
      </c>
      <c r="M798" s="66">
        <v>1000</v>
      </c>
      <c r="N798" s="63" cm="1">
        <f t="array" ref="N798:N798">_xlfn.XLOOKUP(H798,'OA名单'!C:C,'OA名单'!B:B,1)</f>
      </c>
      <c r="O798" s="63">
        <f t="shared" si="9"/>
      </c>
      <c r="P798" s="63" cm="1">
        <f t="array" ref="P798:P798">_xlfn.XLOOKUP(N798,'OA名单'!B:B,'OA名单'!G:G)</f>
      </c>
      <c r="Q798" s="63">
        <f t="shared" si="11"/>
      </c>
      <c r="R798" s="63" cm="1">
        <f t="array" ref="R798:R798">_xlfn.XLOOKUP(B798,'OA名单'!B:B,'OA名单'!F:F)</f>
      </c>
      <c r="S798" s="63">
        <f t="shared" si="10"/>
      </c>
      <c r="T798" s="70"/>
      <c r="U798" s="63" cm="1">
        <f t="array" ref="U798:U798">_xlfn.XLOOKUP(N798,'OA名单'!B:B,'OA名单'!E:E)</f>
      </c>
      <c r="V798" s="63">
        <f t="shared" si="12"/>
      </c>
      <c r="W798" s="71"/>
      <c r="X798" s="66"/>
      <c r="Y798" s="66"/>
    </row>
    <row hidden="true" r="799">
      <c r="A799" s="66"/>
      <c r="B799" s="66" t="s">
        <v>14559</v>
      </c>
      <c r="C799" s="67" t="s">
        <v>12713</v>
      </c>
      <c r="D799" s="67" t="s">
        <v>12714</v>
      </c>
      <c r="E799" s="66" t="s">
        <v>12782</v>
      </c>
      <c r="F799" s="66" t="s">
        <v>12783</v>
      </c>
      <c r="G799" s="66" t="s">
        <v>12717</v>
      </c>
      <c r="H799" s="66" t="s">
        <v>14560</v>
      </c>
      <c r="I799" s="68">
        <v>0</v>
      </c>
      <c r="J799" s="69">
        <v>0</v>
      </c>
      <c r="K799" s="66">
        <v>0</v>
      </c>
      <c r="L799" s="66">
        <v>0</v>
      </c>
      <c r="M799" s="66">
        <v>10000</v>
      </c>
      <c r="N799" s="63" cm="1">
        <f t="array" ref="N799:N799">_xlfn.XLOOKUP(H799,'OA名单'!C:C,'OA名单'!B:B,1)</f>
      </c>
      <c r="O799" s="63">
        <f t="shared" si="9"/>
      </c>
      <c r="P799" s="63" cm="1">
        <f t="array" ref="P799:P799">_xlfn.XLOOKUP(N799,'OA名单'!B:B,'OA名单'!G:G)</f>
      </c>
      <c r="Q799" s="63">
        <f t="shared" si="11"/>
      </c>
      <c r="R799" s="63" cm="1">
        <f t="array" ref="R799:R799">_xlfn.XLOOKUP(B799,'OA名单'!B:B,'OA名单'!F:F)</f>
      </c>
      <c r="S799" s="63">
        <f t="shared" si="10"/>
      </c>
      <c r="T799" s="70"/>
      <c r="U799" s="63" cm="1">
        <f t="array" ref="U799:U799">_xlfn.XLOOKUP(N799,'OA名单'!B:B,'OA名单'!E:E)</f>
      </c>
      <c r="V799" s="63">
        <f t="shared" si="12"/>
      </c>
      <c r="W799" s="71"/>
      <c r="X799" s="66"/>
      <c r="Y799" s="66"/>
    </row>
    <row hidden="true" r="800">
      <c r="A800" s="66"/>
      <c r="B800" s="66" t="s">
        <v>14561</v>
      </c>
      <c r="C800" s="67" t="s">
        <v>12713</v>
      </c>
      <c r="D800" s="67" t="s">
        <v>12714</v>
      </c>
      <c r="E800" s="66" t="s">
        <v>12782</v>
      </c>
      <c r="F800" s="66" t="s">
        <v>12783</v>
      </c>
      <c r="G800" s="66" t="s">
        <v>12817</v>
      </c>
      <c r="H800" s="66" t="s">
        <v>14562</v>
      </c>
      <c r="I800" s="68">
        <v>0</v>
      </c>
      <c r="J800" s="69">
        <v>0</v>
      </c>
      <c r="K800" s="66">
        <v>0</v>
      </c>
      <c r="L800" s="66">
        <v>100</v>
      </c>
      <c r="M800" s="66">
        <v>1000</v>
      </c>
      <c r="N800" s="63" cm="1">
        <f t="array" ref="N800:N800">_xlfn.XLOOKUP(H800,'OA名单'!C:C,'OA名单'!B:B,1)</f>
      </c>
      <c r="O800" s="63">
        <f t="shared" si="9"/>
      </c>
      <c r="P800" s="63" cm="1">
        <f t="array" ref="P800:P800">_xlfn.XLOOKUP(N800,'OA名单'!B:B,'OA名单'!G:G)</f>
      </c>
      <c r="Q800" s="63">
        <f t="shared" si="11"/>
      </c>
      <c r="R800" s="63" cm="1">
        <f t="array" ref="R800:R800">_xlfn.XLOOKUP(B800,'OA名单'!B:B,'OA名单'!F:F)</f>
      </c>
      <c r="S800" s="63">
        <f t="shared" si="10"/>
      </c>
      <c r="T800" s="70"/>
      <c r="U800" s="63" cm="1">
        <f t="array" ref="U800:U800">_xlfn.XLOOKUP(N800,'OA名单'!B:B,'OA名单'!E:E)</f>
      </c>
      <c r="V800" s="63">
        <f t="shared" si="12"/>
      </c>
      <c r="W800" s="71"/>
      <c r="X800" s="66"/>
      <c r="Y800" s="66"/>
    </row>
    <row hidden="true" r="801">
      <c r="A801" s="66"/>
      <c r="B801" s="66" t="s">
        <v>14563</v>
      </c>
      <c r="C801" s="67" t="s">
        <v>12713</v>
      </c>
      <c r="D801" s="67" t="s">
        <v>12714</v>
      </c>
      <c r="E801" s="66" t="s">
        <v>13097</v>
      </c>
      <c r="F801" s="66" t="s">
        <v>13098</v>
      </c>
      <c r="G801" s="66" t="s">
        <v>14183</v>
      </c>
      <c r="H801" s="66" t="s">
        <v>14564</v>
      </c>
      <c r="I801" s="68">
        <v>0</v>
      </c>
      <c r="J801" s="69">
        <v>0</v>
      </c>
      <c r="K801" s="66">
        <v>0</v>
      </c>
      <c r="L801" s="66">
        <v>0</v>
      </c>
      <c r="M801" s="66">
        <v>3000</v>
      </c>
      <c r="N801" s="63" cm="1">
        <f t="array" ref="N801:N801">_xlfn.XLOOKUP(H801,'OA名单'!C:C,'OA名单'!B:B,1)</f>
      </c>
      <c r="O801" s="63">
        <f t="shared" si="9"/>
      </c>
      <c r="P801" s="63" cm="1">
        <f t="array" ref="P801:P801">_xlfn.XLOOKUP(N801,'OA名单'!B:B,'OA名单'!G:G)</f>
      </c>
      <c r="Q801" s="63">
        <f t="shared" si="11"/>
      </c>
      <c r="R801" s="63" cm="1">
        <f t="array" ref="R801:R801">_xlfn.XLOOKUP(B801,'OA名单'!B:B,'OA名单'!F:F)</f>
      </c>
      <c r="S801" s="63">
        <f t="shared" si="10"/>
      </c>
      <c r="T801" s="70"/>
      <c r="U801" s="63" cm="1">
        <f t="array" ref="U801:U801">_xlfn.XLOOKUP(N801,'OA名单'!B:B,'OA名单'!E:E)</f>
      </c>
      <c r="V801" s="63">
        <f t="shared" si="12"/>
      </c>
      <c r="W801" s="71"/>
      <c r="X801" s="66"/>
      <c r="Y801" s="66"/>
    </row>
    <row hidden="true" r="802">
      <c r="A802" s="66"/>
      <c r="B802" s="66" t="s">
        <v>14565</v>
      </c>
      <c r="C802" s="67" t="s">
        <v>12713</v>
      </c>
      <c r="D802" s="67" t="s">
        <v>12714</v>
      </c>
      <c r="E802" s="66" t="s">
        <v>13097</v>
      </c>
      <c r="F802" s="66" t="s">
        <v>13098</v>
      </c>
      <c r="G802" s="66" t="s">
        <v>14566</v>
      </c>
      <c r="H802" s="66" t="s">
        <v>14567</v>
      </c>
      <c r="I802" s="68">
        <v>0</v>
      </c>
      <c r="J802" s="69">
        <v>0</v>
      </c>
      <c r="K802" s="66">
        <v>0</v>
      </c>
      <c r="L802" s="66">
        <v>0</v>
      </c>
      <c r="M802" s="66">
        <v>0</v>
      </c>
      <c r="N802" s="63" cm="1">
        <f t="array" ref="N802:N802">_xlfn.XLOOKUP(H802,'OA名单'!C:C,'OA名单'!B:B,1)</f>
      </c>
      <c r="O802" s="63">
        <f t="shared" si="9"/>
      </c>
      <c r="P802" s="63" cm="1">
        <f t="array" ref="P802:P802">_xlfn.XLOOKUP(N802,'OA名单'!B:B,'OA名单'!G:G)</f>
      </c>
      <c r="Q802" s="63">
        <f t="shared" si="11"/>
      </c>
      <c r="R802" s="63" cm="1">
        <f t="array" ref="R802:R802">_xlfn.XLOOKUP(B802,'OA名单'!B:B,'OA名单'!F:F)</f>
      </c>
      <c r="S802" s="63">
        <f t="shared" si="10"/>
      </c>
      <c r="T802" s="70"/>
      <c r="U802" s="63" cm="1">
        <f t="array" ref="U802:U802">_xlfn.XLOOKUP(N802,'OA名单'!B:B,'OA名单'!E:E)</f>
      </c>
      <c r="V802" s="63">
        <f t="shared" si="12"/>
      </c>
      <c r="W802" s="71"/>
      <c r="X802" s="66"/>
      <c r="Y802" s="66"/>
    </row>
    <row hidden="true" r="803">
      <c r="A803" s="66"/>
      <c r="B803" s="66" t="s">
        <v>14568</v>
      </c>
      <c r="C803" s="67" t="s">
        <v>12713</v>
      </c>
      <c r="D803" s="67" t="s">
        <v>12714</v>
      </c>
      <c r="E803" s="67" t="s">
        <v>12715</v>
      </c>
      <c r="F803" s="67" t="s">
        <v>12716</v>
      </c>
      <c r="G803" s="66" t="s">
        <v>12717</v>
      </c>
      <c r="H803" s="66" t="s">
        <v>14569</v>
      </c>
      <c r="I803" s="68">
        <v>1</v>
      </c>
      <c r="J803" s="69">
        <v>0</v>
      </c>
      <c r="K803" s="66">
        <v>0</v>
      </c>
      <c r="L803" s="66">
        <v>0</v>
      </c>
      <c r="M803" s="66">
        <v>10000</v>
      </c>
      <c r="N803" s="63" cm="1">
        <f t="array" ref="N803:N803">_xlfn.XLOOKUP(H803,'OA名单'!C:C,'OA名单'!B:B,1)</f>
      </c>
      <c r="O803" s="63">
        <f t="shared" si="9"/>
      </c>
      <c r="P803" s="63" cm="1">
        <f t="array" ref="P803:P803">_xlfn.XLOOKUP(N803,'OA名单'!B:B,'OA名单'!G:G)</f>
      </c>
      <c r="Q803" s="63">
        <f t="shared" si="11"/>
      </c>
      <c r="R803" s="63" cm="1">
        <f t="array" ref="R803:R803">_xlfn.XLOOKUP(B803,'OA名单'!B:B,'OA名单'!F:F)</f>
      </c>
      <c r="S803" s="63">
        <f t="shared" si="10"/>
      </c>
      <c r="T803" s="70"/>
      <c r="U803" s="63" cm="1">
        <f t="array" ref="U803:U803">_xlfn.XLOOKUP(N803,'OA名单'!B:B,'OA名单'!E:E)</f>
      </c>
      <c r="V803" s="63">
        <f t="shared" si="12"/>
      </c>
      <c r="W803" s="71"/>
      <c r="X803" s="66"/>
      <c r="Y803" s="66"/>
    </row>
    <row hidden="true" r="804">
      <c r="A804" s="66"/>
      <c r="B804" s="66" t="s">
        <v>14570</v>
      </c>
      <c r="C804" s="67" t="s">
        <v>12713</v>
      </c>
      <c r="D804" s="67" t="s">
        <v>12714</v>
      </c>
      <c r="E804" s="67" t="s">
        <v>12715</v>
      </c>
      <c r="F804" s="67" t="s">
        <v>12716</v>
      </c>
      <c r="G804" s="66" t="s">
        <v>12717</v>
      </c>
      <c r="H804" s="66" t="s">
        <v>14571</v>
      </c>
      <c r="I804" s="68">
        <v>1</v>
      </c>
      <c r="J804" s="69">
        <v>0</v>
      </c>
      <c r="K804" s="66">
        <v>0</v>
      </c>
      <c r="L804" s="66">
        <v>0</v>
      </c>
      <c r="M804" s="66">
        <v>10000</v>
      </c>
      <c r="N804" s="63" cm="1">
        <f t="array" ref="N804:N804">_xlfn.XLOOKUP(H804,'OA名单'!C:C,'OA名单'!B:B,1)</f>
      </c>
      <c r="O804" s="63">
        <f t="shared" si="9"/>
      </c>
      <c r="P804" s="63" cm="1">
        <f t="array" ref="P804:P804">_xlfn.XLOOKUP(N804,'OA名单'!B:B,'OA名单'!G:G)</f>
      </c>
      <c r="Q804" s="63">
        <f t="shared" si="11"/>
      </c>
      <c r="R804" s="63" cm="1">
        <f t="array" ref="R804:R804">_xlfn.XLOOKUP(B804,'OA名单'!B:B,'OA名单'!F:F)</f>
      </c>
      <c r="S804" s="63">
        <f t="shared" si="10"/>
      </c>
      <c r="T804" s="70"/>
      <c r="U804" s="63" cm="1">
        <f t="array" ref="U804:U804">_xlfn.XLOOKUP(N804,'OA名单'!B:B,'OA名单'!E:E)</f>
      </c>
      <c r="V804" s="63">
        <f t="shared" si="12"/>
      </c>
      <c r="W804" s="71"/>
      <c r="X804" s="66"/>
      <c r="Y804" s="66"/>
    </row>
    <row hidden="true" r="805">
      <c r="A805" s="66"/>
      <c r="B805" s="66" t="s">
        <v>14572</v>
      </c>
      <c r="C805" s="67" t="s">
        <v>12713</v>
      </c>
      <c r="D805" s="67" t="s">
        <v>12714</v>
      </c>
      <c r="E805" s="67" t="s">
        <v>12715</v>
      </c>
      <c r="F805" s="67" t="s">
        <v>12716</v>
      </c>
      <c r="G805" s="66" t="s">
        <v>12717</v>
      </c>
      <c r="H805" s="66" t="s">
        <v>14573</v>
      </c>
      <c r="I805" s="68">
        <v>1</v>
      </c>
      <c r="J805" s="69">
        <v>0</v>
      </c>
      <c r="K805" s="66">
        <v>0</v>
      </c>
      <c r="L805" s="66">
        <v>0</v>
      </c>
      <c r="M805" s="66">
        <v>10000</v>
      </c>
      <c r="N805" s="63" cm="1">
        <f t="array" ref="N805:N805">_xlfn.XLOOKUP(H805,'OA名单'!C:C,'OA名单'!B:B,1)</f>
      </c>
      <c r="O805" s="63">
        <f t="shared" si="9"/>
      </c>
      <c r="P805" s="63" cm="1">
        <f t="array" ref="P805:P805">_xlfn.XLOOKUP(N805,'OA名单'!B:B,'OA名单'!G:G)</f>
      </c>
      <c r="Q805" s="63">
        <f t="shared" si="11"/>
      </c>
      <c r="R805" s="63" cm="1">
        <f t="array" ref="R805:R805">_xlfn.XLOOKUP(B805,'OA名单'!B:B,'OA名单'!F:F)</f>
      </c>
      <c r="S805" s="63">
        <f t="shared" si="10"/>
      </c>
      <c r="T805" s="70"/>
      <c r="U805" s="63" cm="1">
        <f t="array" ref="U805:U805">_xlfn.XLOOKUP(N805,'OA名单'!B:B,'OA名单'!E:E)</f>
      </c>
      <c r="V805" s="63">
        <f t="shared" si="12"/>
      </c>
      <c r="W805" s="71"/>
      <c r="X805" s="66"/>
      <c r="Y805" s="66"/>
    </row>
    <row hidden="true" r="806">
      <c r="A806" s="66"/>
      <c r="B806" s="66" t="s">
        <v>14574</v>
      </c>
      <c r="C806" s="67" t="s">
        <v>12713</v>
      </c>
      <c r="D806" s="67" t="s">
        <v>12714</v>
      </c>
      <c r="E806" s="67" t="s">
        <v>12715</v>
      </c>
      <c r="F806" s="67" t="s">
        <v>12716</v>
      </c>
      <c r="G806" s="66" t="s">
        <v>12717</v>
      </c>
      <c r="H806" s="66" t="s">
        <v>14575</v>
      </c>
      <c r="I806" s="68">
        <v>1</v>
      </c>
      <c r="J806" s="69">
        <v>0</v>
      </c>
      <c r="K806" s="66">
        <v>0</v>
      </c>
      <c r="L806" s="66">
        <v>0</v>
      </c>
      <c r="M806" s="66">
        <v>10000</v>
      </c>
      <c r="N806" s="63" cm="1">
        <f t="array" ref="N806:N806">_xlfn.XLOOKUP(H806,'OA名单'!C:C,'OA名单'!B:B,1)</f>
      </c>
      <c r="O806" s="63">
        <f t="shared" si="9"/>
      </c>
      <c r="P806" s="63" cm="1">
        <f t="array" ref="P806:P806">_xlfn.XLOOKUP(N806,'OA名单'!B:B,'OA名单'!G:G)</f>
      </c>
      <c r="Q806" s="63">
        <f t="shared" si="11"/>
      </c>
      <c r="R806" s="63" cm="1">
        <f t="array" ref="R806:R806">_xlfn.XLOOKUP(B806,'OA名单'!B:B,'OA名单'!F:F)</f>
      </c>
      <c r="S806" s="63">
        <f t="shared" si="10"/>
      </c>
      <c r="T806" s="70"/>
      <c r="U806" s="63" cm="1">
        <f t="array" ref="U806:U806">_xlfn.XLOOKUP(N806,'OA名单'!B:B,'OA名单'!E:E)</f>
      </c>
      <c r="V806" s="63">
        <f t="shared" si="12"/>
      </c>
      <c r="W806" s="71"/>
      <c r="X806" s="66"/>
      <c r="Y806" s="66"/>
    </row>
    <row hidden="true" r="807">
      <c r="A807" s="66"/>
      <c r="B807" s="66" t="s">
        <v>14576</v>
      </c>
      <c r="C807" s="67" t="s">
        <v>12713</v>
      </c>
      <c r="D807" s="67" t="s">
        <v>12714</v>
      </c>
      <c r="E807" s="67" t="s">
        <v>12715</v>
      </c>
      <c r="F807" s="67" t="s">
        <v>12716</v>
      </c>
      <c r="G807" s="66" t="s">
        <v>12888</v>
      </c>
      <c r="H807" s="66" t="s">
        <v>14577</v>
      </c>
      <c r="I807" s="68">
        <v>0</v>
      </c>
      <c r="J807" s="69">
        <v>0</v>
      </c>
      <c r="K807" s="66">
        <v>0</v>
      </c>
      <c r="L807" s="66">
        <v>0</v>
      </c>
      <c r="M807" s="66">
        <v>1000</v>
      </c>
      <c r="N807" s="63" cm="1">
        <f t="array" ref="N807:N807">_xlfn.XLOOKUP(H807,'OA名单'!C:C,'OA名单'!B:B,1)</f>
      </c>
      <c r="O807" s="63">
        <f t="shared" si="9"/>
      </c>
      <c r="P807" s="63" cm="1">
        <f t="array" ref="P807:P807">_xlfn.XLOOKUP(N807,'OA名单'!B:B,'OA名单'!G:G)</f>
      </c>
      <c r="Q807" s="63">
        <f t="shared" si="11"/>
      </c>
      <c r="R807" s="63" cm="1">
        <f t="array" ref="R807:R807">_xlfn.XLOOKUP(B807,'OA名单'!B:B,'OA名单'!F:F)</f>
      </c>
      <c r="S807" s="63">
        <f t="shared" si="10"/>
      </c>
      <c r="T807" s="70"/>
      <c r="U807" s="63" cm="1">
        <f t="array" ref="U807:U807">_xlfn.XLOOKUP(N807,'OA名单'!B:B,'OA名单'!E:E)</f>
      </c>
      <c r="V807" s="63">
        <f t="shared" si="12"/>
      </c>
      <c r="W807" s="71"/>
      <c r="X807" s="66"/>
      <c r="Y807" s="66"/>
    </row>
    <row r="808">
      <c r="A808" s="66"/>
      <c r="B808" s="66" t="s">
        <v>14578</v>
      </c>
      <c r="C808" s="67" t="s">
        <v>12713</v>
      </c>
      <c r="D808" s="67" t="s">
        <v>12714</v>
      </c>
      <c r="E808" s="67" t="s">
        <v>12776</v>
      </c>
      <c r="F808" s="67" t="s">
        <v>12716</v>
      </c>
      <c r="G808" s="66" t="s">
        <v>12717</v>
      </c>
      <c r="H808" s="66" t="s">
        <v>14579</v>
      </c>
      <c r="I808" s="68">
        <v>1</v>
      </c>
      <c r="J808" s="69">
        <v>0</v>
      </c>
      <c r="K808" s="66">
        <v>0</v>
      </c>
      <c r="L808" s="66">
        <v>1700</v>
      </c>
      <c r="M808" s="66">
        <v>10000</v>
      </c>
      <c r="N808" s="63" cm="1">
        <f t="array" ref="N808:N808">_xlfn.XLOOKUP(H808,'OA名单'!C:C,'OA名单'!B:B,1)</f>
      </c>
      <c r="O808" s="63">
        <f t="shared" si="9"/>
      </c>
      <c r="P808" s="63" cm="1">
        <f t="array" ref="P808:P808">_xlfn.XLOOKUP(N808,'OA名单'!B:B,'OA名单'!G:G)</f>
      </c>
      <c r="Q808" s="63">
        <f t="shared" si="11"/>
      </c>
      <c r="R808" s="63" cm="1">
        <f t="array" ref="R808:R808">_xlfn.XLOOKUP(B808,'OA名单'!B:B,'OA名单'!F:F)</f>
      </c>
      <c r="S808" s="63">
        <f t="shared" si="10"/>
      </c>
      <c r="T808" s="64" cm="1">
        <f t="array" ref="T808:T808">_xlfn.XLOOKUP(B808,'系统-原始（副本）'!A:A,'系统-原始（副本）'!B:B)</f>
      </c>
      <c r="U808" s="63" cm="1">
        <f t="array" ref="U808:U808">_xlfn.XLOOKUP(N808,'OA名单'!B:B,'OA名单'!E:E)</f>
      </c>
      <c r="V808" s="63">
        <f t="shared" si="12"/>
      </c>
      <c r="W808" s="71"/>
      <c r="X808" s="66"/>
      <c r="Y808" s="66"/>
    </row>
    <row hidden="true" r="809">
      <c r="A809" s="66"/>
      <c r="B809" s="66" t="s">
        <v>14580</v>
      </c>
      <c r="C809" s="67" t="s">
        <v>12713</v>
      </c>
      <c r="D809" s="67" t="s">
        <v>12714</v>
      </c>
      <c r="E809" s="67" t="s">
        <v>12776</v>
      </c>
      <c r="F809" s="67" t="s">
        <v>12716</v>
      </c>
      <c r="G809" s="66" t="s">
        <v>12717</v>
      </c>
      <c r="H809" s="66" t="s">
        <v>14581</v>
      </c>
      <c r="I809" s="68">
        <v>1</v>
      </c>
      <c r="J809" s="69">
        <v>0</v>
      </c>
      <c r="K809" s="66">
        <v>0</v>
      </c>
      <c r="L809" s="66">
        <v>1000</v>
      </c>
      <c r="M809" s="66">
        <v>10000</v>
      </c>
      <c r="N809" s="63" cm="1">
        <f t="array" ref="N809:N809">_xlfn.XLOOKUP(H809,'OA名单'!C:C,'OA名单'!B:B,1)</f>
      </c>
      <c r="O809" s="63">
        <f t="shared" si="9"/>
      </c>
      <c r="P809" s="63" cm="1">
        <f t="array" ref="P809:P809">_xlfn.XLOOKUP(N809,'OA名单'!B:B,'OA名单'!G:G)</f>
      </c>
      <c r="Q809" s="63">
        <f t="shared" si="11"/>
      </c>
      <c r="R809" s="63" cm="1">
        <f t="array" ref="R809:R809">_xlfn.XLOOKUP(B809,'OA名单'!B:B,'OA名单'!F:F)</f>
      </c>
      <c r="S809" s="63">
        <f t="shared" si="10"/>
      </c>
      <c r="T809" s="70"/>
      <c r="U809" s="63" cm="1">
        <f t="array" ref="U809:U809">_xlfn.XLOOKUP(N809,'OA名单'!B:B,'OA名单'!E:E)</f>
      </c>
      <c r="V809" s="63">
        <f t="shared" si="12"/>
      </c>
      <c r="W809" s="71"/>
      <c r="X809" s="66"/>
      <c r="Y809" s="66"/>
    </row>
    <row hidden="true" r="810">
      <c r="A810" s="66"/>
      <c r="B810" s="66" t="s">
        <v>14582</v>
      </c>
      <c r="C810" s="67" t="s">
        <v>12713</v>
      </c>
      <c r="D810" s="67" t="s">
        <v>12714</v>
      </c>
      <c r="E810" s="67" t="s">
        <v>12776</v>
      </c>
      <c r="F810" s="67" t="s">
        <v>12716</v>
      </c>
      <c r="G810" s="66" t="s">
        <v>12717</v>
      </c>
      <c r="H810" s="66" t="s">
        <v>14583</v>
      </c>
      <c r="I810" s="68">
        <v>1</v>
      </c>
      <c r="J810" s="69">
        <v>0</v>
      </c>
      <c r="K810" s="66">
        <v>0</v>
      </c>
      <c r="L810" s="66">
        <v>700</v>
      </c>
      <c r="M810" s="66">
        <v>10000</v>
      </c>
      <c r="N810" s="63" cm="1">
        <f t="array" ref="N810:N810">_xlfn.XLOOKUP(H810,'OA名单'!C:C,'OA名单'!B:B,1)</f>
      </c>
      <c r="O810" s="63">
        <f t="shared" si="9"/>
      </c>
      <c r="P810" s="63" cm="1">
        <f t="array" ref="P810:P810">_xlfn.XLOOKUP(N810,'OA名单'!B:B,'OA名单'!G:G)</f>
      </c>
      <c r="Q810" s="63">
        <f t="shared" si="11"/>
      </c>
      <c r="R810" s="63" cm="1">
        <f t="array" ref="R810:R810">_xlfn.XLOOKUP(B810,'OA名单'!B:B,'OA名单'!F:F)</f>
      </c>
      <c r="S810" s="63">
        <f t="shared" si="10"/>
      </c>
      <c r="T810" s="70"/>
      <c r="U810" s="63" cm="1">
        <f t="array" ref="U810:U810">_xlfn.XLOOKUP(N810,'OA名单'!B:B,'OA名单'!E:E)</f>
      </c>
      <c r="V810" s="63">
        <f t="shared" si="12"/>
      </c>
      <c r="W810" s="71"/>
      <c r="X810" s="66"/>
      <c r="Y810" s="66"/>
    </row>
    <row hidden="true" r="811">
      <c r="A811" s="66"/>
      <c r="B811" s="66" t="s">
        <v>14584</v>
      </c>
      <c r="C811" s="67" t="s">
        <v>12713</v>
      </c>
      <c r="D811" s="67" t="s">
        <v>12714</v>
      </c>
      <c r="E811" s="67" t="s">
        <v>12776</v>
      </c>
      <c r="F811" s="67" t="s">
        <v>12716</v>
      </c>
      <c r="G811" s="66" t="s">
        <v>12717</v>
      </c>
      <c r="H811" s="66" t="s">
        <v>14585</v>
      </c>
      <c r="I811" s="68">
        <v>1</v>
      </c>
      <c r="J811" s="69">
        <v>0</v>
      </c>
      <c r="K811" s="66">
        <v>0</v>
      </c>
      <c r="L811" s="66">
        <v>500</v>
      </c>
      <c r="M811" s="66">
        <v>10000</v>
      </c>
      <c r="N811" s="63" cm="1">
        <f t="array" ref="N811:N811">_xlfn.XLOOKUP(H811,'OA名单'!C:C,'OA名单'!B:B,1)</f>
      </c>
      <c r="O811" s="63">
        <f t="shared" si="9"/>
      </c>
      <c r="P811" s="63" cm="1">
        <f t="array" ref="P811:P811">_xlfn.XLOOKUP(N811,'OA名单'!B:B,'OA名单'!G:G)</f>
      </c>
      <c r="Q811" s="63">
        <f t="shared" si="11"/>
      </c>
      <c r="R811" s="63" cm="1">
        <f t="array" ref="R811:R811">_xlfn.XLOOKUP(B811,'OA名单'!B:B,'OA名单'!F:F)</f>
      </c>
      <c r="S811" s="63">
        <f t="shared" si="10"/>
      </c>
      <c r="T811" s="70"/>
      <c r="U811" s="63" cm="1">
        <f t="array" ref="U811:U811">_xlfn.XLOOKUP(N811,'OA名单'!B:B,'OA名单'!E:E)</f>
      </c>
      <c r="V811" s="63">
        <f t="shared" si="12"/>
      </c>
      <c r="W811" s="71"/>
      <c r="X811" s="66"/>
      <c r="Y811" s="66"/>
    </row>
    <row r="812">
      <c r="A812" s="66"/>
      <c r="B812" s="66" t="s">
        <v>14586</v>
      </c>
      <c r="C812" s="67" t="s">
        <v>12713</v>
      </c>
      <c r="D812" s="67" t="s">
        <v>12714</v>
      </c>
      <c r="E812" s="67" t="s">
        <v>12776</v>
      </c>
      <c r="F812" s="67" t="s">
        <v>12716</v>
      </c>
      <c r="G812" s="66" t="s">
        <v>12720</v>
      </c>
      <c r="H812" s="66" t="s">
        <v>14587</v>
      </c>
      <c r="I812" s="68">
        <v>1</v>
      </c>
      <c r="J812" s="69">
        <v>0</v>
      </c>
      <c r="K812" s="66">
        <v>0</v>
      </c>
      <c r="L812" s="66">
        <v>68000</v>
      </c>
      <c r="M812" s="66">
        <v>55000</v>
      </c>
      <c r="N812" s="63" cm="1">
        <f t="array" ref="N812:N812">_xlfn.XLOOKUP(H812,'OA名单'!C:C,'OA名单'!B:B,1)</f>
      </c>
      <c r="O812" s="63">
        <f t="shared" si="9"/>
      </c>
      <c r="P812" s="63" cm="1">
        <f t="array" ref="P812:P812">_xlfn.XLOOKUP(N812,'OA名单'!B:B,'OA名单'!G:G)</f>
      </c>
      <c r="Q812" s="63">
        <f t="shared" si="11"/>
      </c>
      <c r="R812" s="63" cm="1">
        <f t="array" ref="R812:R812">_xlfn.XLOOKUP(B812,'OA名单'!B:B,'OA名单'!F:F)</f>
      </c>
      <c r="S812" s="63">
        <f t="shared" si="10"/>
      </c>
      <c r="T812" s="64" cm="1">
        <f t="array" ref="T812:T812">_xlfn.XLOOKUP(B812,'系统-原始（副本）'!A:A,'系统-原始（副本）'!B:B)</f>
      </c>
      <c r="U812" s="63" cm="1">
        <f t="array" ref="U812:U812">_xlfn.XLOOKUP(N812,'OA名单'!B:B,'OA名单'!E:E)</f>
      </c>
      <c r="V812" s="63">
        <f t="shared" si="12"/>
      </c>
      <c r="W812" s="71"/>
      <c r="X812" s="66"/>
      <c r="Y812" s="66"/>
    </row>
    <row r="813">
      <c r="A813" s="66"/>
      <c r="B813" s="66" t="s">
        <v>14588</v>
      </c>
      <c r="C813" s="67" t="s">
        <v>12713</v>
      </c>
      <c r="D813" s="67" t="s">
        <v>12714</v>
      </c>
      <c r="E813" s="67" t="s">
        <v>12776</v>
      </c>
      <c r="F813" s="67" t="s">
        <v>12716</v>
      </c>
      <c r="G813" s="66" t="s">
        <v>12784</v>
      </c>
      <c r="H813" s="66" t="s">
        <v>14589</v>
      </c>
      <c r="I813" s="68">
        <v>1</v>
      </c>
      <c r="J813" s="69">
        <v>0</v>
      </c>
      <c r="K813" s="66">
        <v>0</v>
      </c>
      <c r="L813" s="66">
        <v>44600</v>
      </c>
      <c r="M813" s="66">
        <v>10000</v>
      </c>
      <c r="N813" s="63" cm="1">
        <f t="array" ref="N813:N813">_xlfn.XLOOKUP(H813,'OA名单'!C:C,'OA名单'!B:B,1)</f>
      </c>
      <c r="O813" s="63">
        <f t="shared" si="9"/>
      </c>
      <c r="P813" s="63" cm="1">
        <f t="array" ref="P813:P813">_xlfn.XLOOKUP(N813,'OA名单'!B:B,'OA名单'!G:G)</f>
      </c>
      <c r="Q813" s="63">
        <f t="shared" si="11"/>
      </c>
      <c r="R813" s="63" cm="1">
        <f t="array" ref="R813:R813">_xlfn.XLOOKUP(B813,'OA名单'!B:B,'OA名单'!F:F)</f>
      </c>
      <c r="S813" s="63">
        <f t="shared" si="10"/>
      </c>
      <c r="T813" s="64" cm="1">
        <f t="array" ref="T813:T813">_xlfn.XLOOKUP(B813,'系统-原始（副本）'!A:A,'系统-原始（副本）'!B:B)</f>
      </c>
      <c r="U813" s="63" cm="1">
        <f t="array" ref="U813:U813">_xlfn.XLOOKUP(N813,'OA名单'!B:B,'OA名单'!E:E)</f>
      </c>
      <c r="V813" s="63">
        <f t="shared" si="12"/>
      </c>
      <c r="W813" s="71"/>
      <c r="X813" s="66"/>
      <c r="Y813" s="66"/>
    </row>
    <row r="814">
      <c r="A814" s="66"/>
      <c r="B814" s="66" t="s">
        <v>14590</v>
      </c>
      <c r="C814" s="67" t="s">
        <v>12713</v>
      </c>
      <c r="D814" s="67" t="s">
        <v>12714</v>
      </c>
      <c r="E814" s="67" t="s">
        <v>12776</v>
      </c>
      <c r="F814" s="67" t="s">
        <v>12716</v>
      </c>
      <c r="G814" s="66" t="s">
        <v>12717</v>
      </c>
      <c r="H814" s="66" t="s">
        <v>14591</v>
      </c>
      <c r="I814" s="68">
        <v>1</v>
      </c>
      <c r="J814" s="69">
        <v>0</v>
      </c>
      <c r="K814" s="66">
        <v>0</v>
      </c>
      <c r="L814" s="66">
        <v>30200</v>
      </c>
      <c r="M814" s="66">
        <v>10000</v>
      </c>
      <c r="N814" s="63" cm="1">
        <f t="array" ref="N814:N814">_xlfn.XLOOKUP(H814,'OA名单'!C:C,'OA名单'!B:B,1)</f>
      </c>
      <c r="O814" s="63">
        <f t="shared" si="9"/>
      </c>
      <c r="P814" s="63" cm="1">
        <f t="array" ref="P814:P814">_xlfn.XLOOKUP(N814,'OA名单'!B:B,'OA名单'!G:G)</f>
      </c>
      <c r="Q814" s="63">
        <f t="shared" si="11"/>
      </c>
      <c r="R814" s="63" cm="1">
        <f t="array" ref="R814:R814">_xlfn.XLOOKUP(B814,'OA名单'!B:B,'OA名单'!F:F)</f>
      </c>
      <c r="S814" s="63">
        <f t="shared" si="10"/>
      </c>
      <c r="T814" s="64" cm="1">
        <f t="array" ref="T814:T814">_xlfn.XLOOKUP(B814,'系统-原始（副本）'!A:A,'系统-原始（副本）'!B:B)</f>
      </c>
      <c r="U814" s="63" cm="1">
        <f t="array" ref="U814:U814">_xlfn.XLOOKUP(N814,'OA名单'!B:B,'OA名单'!E:E)</f>
      </c>
      <c r="V814" s="63">
        <f t="shared" si="12"/>
      </c>
      <c r="W814" s="71"/>
      <c r="X814" s="66"/>
      <c r="Y814" s="66"/>
    </row>
    <row r="815">
      <c r="A815" s="66"/>
      <c r="B815" s="66" t="s">
        <v>14592</v>
      </c>
      <c r="C815" s="67" t="s">
        <v>12713</v>
      </c>
      <c r="D815" s="67" t="s">
        <v>12714</v>
      </c>
      <c r="E815" s="67" t="s">
        <v>12776</v>
      </c>
      <c r="F815" s="67" t="s">
        <v>12716</v>
      </c>
      <c r="G815" s="66" t="s">
        <v>12717</v>
      </c>
      <c r="H815" s="66" t="s">
        <v>14593</v>
      </c>
      <c r="I815" s="68">
        <v>1</v>
      </c>
      <c r="J815" s="69">
        <v>0</v>
      </c>
      <c r="K815" s="66">
        <v>0</v>
      </c>
      <c r="L815" s="66">
        <v>23600</v>
      </c>
      <c r="M815" s="66">
        <v>10000</v>
      </c>
      <c r="N815" s="63" cm="1">
        <f t="array" ref="N815:N815">_xlfn.XLOOKUP(H815,'OA名单'!C:C,'OA名单'!B:B,1)</f>
      </c>
      <c r="O815" s="63">
        <f t="shared" si="9"/>
      </c>
      <c r="P815" s="63" cm="1">
        <f t="array" ref="P815:P815">_xlfn.XLOOKUP(N815,'OA名单'!B:B,'OA名单'!G:G)</f>
      </c>
      <c r="Q815" s="63">
        <f t="shared" si="11"/>
      </c>
      <c r="R815" s="63" cm="1">
        <f t="array" ref="R815:R815">_xlfn.XLOOKUP(B815,'OA名单'!B:B,'OA名单'!F:F)</f>
      </c>
      <c r="S815" s="63">
        <f t="shared" si="10"/>
      </c>
      <c r="T815" s="64" cm="1">
        <f t="array" ref="T815:T815">_xlfn.XLOOKUP(B815,'系统-原始（副本）'!A:A,'系统-原始（副本）'!B:B)</f>
      </c>
      <c r="U815" s="63" cm="1">
        <f t="array" ref="U815:U815">_xlfn.XLOOKUP(N815,'OA名单'!B:B,'OA名单'!E:E)</f>
      </c>
      <c r="V815" s="63">
        <f t="shared" si="12"/>
      </c>
      <c r="W815" s="71"/>
      <c r="X815" s="66"/>
      <c r="Y815" s="66"/>
    </row>
    <row r="816">
      <c r="A816" s="66"/>
      <c r="B816" s="66" t="s">
        <v>14594</v>
      </c>
      <c r="C816" s="67" t="s">
        <v>12713</v>
      </c>
      <c r="D816" s="67" t="s">
        <v>12714</v>
      </c>
      <c r="E816" s="67" t="s">
        <v>12776</v>
      </c>
      <c r="F816" s="67" t="s">
        <v>12716</v>
      </c>
      <c r="G816" s="66" t="s">
        <v>12720</v>
      </c>
      <c r="H816" s="66" t="s">
        <v>14595</v>
      </c>
      <c r="I816" s="68">
        <v>1</v>
      </c>
      <c r="J816" s="69">
        <v>0</v>
      </c>
      <c r="K816" s="66">
        <v>0</v>
      </c>
      <c r="L816" s="66">
        <v>19200</v>
      </c>
      <c r="M816" s="66">
        <v>55000</v>
      </c>
      <c r="N816" s="63" cm="1">
        <f t="array" ref="N816:N816">_xlfn.XLOOKUP(H816,'OA名单'!C:C,'OA名单'!B:B,1)</f>
      </c>
      <c r="O816" s="63">
        <f t="shared" si="9"/>
      </c>
      <c r="P816" s="63" cm="1">
        <f t="array" ref="P816:P816">_xlfn.XLOOKUP(N816,'OA名单'!B:B,'OA名单'!G:G)</f>
      </c>
      <c r="Q816" s="63">
        <f t="shared" si="11"/>
      </c>
      <c r="R816" s="63" cm="1">
        <f t="array" ref="R816:R816">_xlfn.XLOOKUP(B816,'OA名单'!B:B,'OA名单'!F:F)</f>
      </c>
      <c r="S816" s="63">
        <f t="shared" si="10"/>
      </c>
      <c r="T816" s="64" cm="1">
        <f t="array" ref="T816:T816">_xlfn.XLOOKUP(B816,'系统-原始（副本）'!A:A,'系统-原始（副本）'!B:B)</f>
      </c>
      <c r="U816" s="63" cm="1">
        <f t="array" ref="U816:U816">_xlfn.XLOOKUP(N816,'OA名单'!B:B,'OA名单'!E:E)</f>
      </c>
      <c r="V816" s="63">
        <f t="shared" si="12"/>
      </c>
      <c r="W816" s="71"/>
      <c r="X816" s="66"/>
      <c r="Y816" s="66"/>
    </row>
    <row r="817">
      <c r="A817" s="66"/>
      <c r="B817" s="66" t="s">
        <v>14596</v>
      </c>
      <c r="C817" s="67" t="s">
        <v>12713</v>
      </c>
      <c r="D817" s="67" t="s">
        <v>12714</v>
      </c>
      <c r="E817" s="67" t="s">
        <v>12776</v>
      </c>
      <c r="F817" s="67" t="s">
        <v>12716</v>
      </c>
      <c r="G817" s="66" t="s">
        <v>12720</v>
      </c>
      <c r="H817" s="66" t="s">
        <v>14456</v>
      </c>
      <c r="I817" s="68">
        <v>1</v>
      </c>
      <c r="J817" s="69">
        <v>0</v>
      </c>
      <c r="K817" s="66">
        <v>0</v>
      </c>
      <c r="L817" s="66">
        <v>16400</v>
      </c>
      <c r="M817" s="66">
        <v>55000</v>
      </c>
      <c r="N817" s="63" cm="1">
        <f t="array" ref="N817:N817">_xlfn.XLOOKUP(H817,'OA名单'!C:C,'OA名单'!B:B,1)</f>
      </c>
      <c r="O817" s="63">
        <f t="shared" si="9"/>
      </c>
      <c r="P817" s="63" cm="1">
        <f t="array" ref="P817:P817">_xlfn.XLOOKUP(N817,'OA名单'!B:B,'OA名单'!G:G)</f>
      </c>
      <c r="Q817" s="63">
        <f t="shared" si="11"/>
      </c>
      <c r="R817" s="63" cm="1">
        <f t="array" ref="R817:R817">_xlfn.XLOOKUP(B817,'OA名单'!B:B,'OA名单'!F:F)</f>
      </c>
      <c r="S817" s="63">
        <f t="shared" si="10"/>
      </c>
      <c r="T817" s="64" cm="1">
        <f t="array" ref="T817:T817">_xlfn.XLOOKUP(B817,'系统-原始（副本）'!A:A,'系统-原始（副本）'!B:B)</f>
      </c>
      <c r="U817" s="63" cm="1">
        <f t="array" ref="U817:U817">_xlfn.XLOOKUP(N817,'OA名单'!B:B,'OA名单'!E:E)</f>
      </c>
      <c r="V817" s="63">
        <f t="shared" si="12"/>
      </c>
      <c r="W817" s="71"/>
      <c r="X817" s="66"/>
      <c r="Y817" s="66"/>
    </row>
    <row r="818">
      <c r="A818" s="66"/>
      <c r="B818" s="66" t="s">
        <v>14597</v>
      </c>
      <c r="C818" s="67" t="s">
        <v>12713</v>
      </c>
      <c r="D818" s="67" t="s">
        <v>12714</v>
      </c>
      <c r="E818" s="67" t="s">
        <v>12776</v>
      </c>
      <c r="F818" s="67" t="s">
        <v>12716</v>
      </c>
      <c r="G818" s="66" t="s">
        <v>12717</v>
      </c>
      <c r="H818" s="66" t="s">
        <v>14598</v>
      </c>
      <c r="I818" s="68">
        <v>1</v>
      </c>
      <c r="J818" s="69">
        <v>0</v>
      </c>
      <c r="K818" s="66">
        <v>0</v>
      </c>
      <c r="L818" s="66">
        <v>11200</v>
      </c>
      <c r="M818" s="66">
        <v>10000</v>
      </c>
      <c r="N818" s="63" cm="1">
        <f t="array" ref="N818:N818">_xlfn.XLOOKUP(H818,'OA名单'!C:C,'OA名单'!B:B,1)</f>
      </c>
      <c r="O818" s="63">
        <f t="shared" si="9"/>
      </c>
      <c r="P818" s="63" cm="1">
        <f t="array" ref="P818:P818">_xlfn.XLOOKUP(N818,'OA名单'!B:B,'OA名单'!G:G)</f>
      </c>
      <c r="Q818" s="63">
        <f t="shared" si="11"/>
      </c>
      <c r="R818" s="63" cm="1">
        <f t="array" ref="R818:R818">_xlfn.XLOOKUP(B818,'OA名单'!B:B,'OA名单'!F:F)</f>
      </c>
      <c r="S818" s="63">
        <f t="shared" si="10"/>
      </c>
      <c r="T818" s="64" cm="1">
        <f t="array" ref="T818:T818">_xlfn.XLOOKUP(B818,'系统-原始（副本）'!A:A,'系统-原始（副本）'!B:B)</f>
      </c>
      <c r="U818" s="63" cm="1">
        <f t="array" ref="U818:U818">_xlfn.XLOOKUP(N818,'OA名单'!B:B,'OA名单'!E:E)</f>
      </c>
      <c r="V818" s="63">
        <f t="shared" si="12"/>
      </c>
      <c r="W818" s="71"/>
      <c r="X818" s="66"/>
      <c r="Y818" s="66"/>
    </row>
    <row r="819">
      <c r="A819" s="66"/>
      <c r="B819" s="66" t="s">
        <v>14599</v>
      </c>
      <c r="C819" s="67" t="s">
        <v>12713</v>
      </c>
      <c r="D819" s="67" t="s">
        <v>12714</v>
      </c>
      <c r="E819" s="67" t="s">
        <v>12776</v>
      </c>
      <c r="F819" s="67" t="s">
        <v>12716</v>
      </c>
      <c r="G819" s="66" t="s">
        <v>12720</v>
      </c>
      <c r="H819" s="66" t="s">
        <v>14600</v>
      </c>
      <c r="I819" s="68">
        <v>1</v>
      </c>
      <c r="J819" s="69">
        <v>0</v>
      </c>
      <c r="K819" s="66">
        <v>0</v>
      </c>
      <c r="L819" s="66">
        <v>12700</v>
      </c>
      <c r="M819" s="66">
        <v>55000</v>
      </c>
      <c r="N819" s="63" cm="1">
        <f t="array" ref="N819:N819">_xlfn.XLOOKUP(H819,'OA名单'!C:C,'OA名单'!B:B,1)</f>
      </c>
      <c r="O819" s="63">
        <f t="shared" si="9"/>
      </c>
      <c r="P819" s="63" cm="1">
        <f t="array" ref="P819:P819">_xlfn.XLOOKUP(N819,'OA名单'!B:B,'OA名单'!G:G)</f>
      </c>
      <c r="Q819" s="63">
        <f t="shared" si="11"/>
      </c>
      <c r="R819" s="63" cm="1">
        <f t="array" ref="R819:R819">_xlfn.XLOOKUP(B819,'OA名单'!B:B,'OA名单'!F:F)</f>
      </c>
      <c r="S819" s="63">
        <f t="shared" si="10"/>
      </c>
      <c r="T819" s="64" cm="1">
        <f t="array" ref="T819:T819">_xlfn.XLOOKUP(B819,'系统-原始（副本）'!A:A,'系统-原始（副本）'!B:B)</f>
      </c>
      <c r="U819" s="63" cm="1">
        <f t="array" ref="U819:U819">_xlfn.XLOOKUP(N819,'OA名单'!B:B,'OA名单'!E:E)</f>
      </c>
      <c r="V819" s="63">
        <f t="shared" si="12"/>
      </c>
      <c r="W819" s="71"/>
      <c r="X819" s="66"/>
      <c r="Y819" s="66"/>
    </row>
    <row r="820">
      <c r="A820" s="66"/>
      <c r="B820" s="66" t="s">
        <v>14601</v>
      </c>
      <c r="C820" s="67" t="s">
        <v>12713</v>
      </c>
      <c r="D820" s="67" t="s">
        <v>12714</v>
      </c>
      <c r="E820" s="67" t="s">
        <v>12776</v>
      </c>
      <c r="F820" s="67" t="s">
        <v>12716</v>
      </c>
      <c r="G820" s="66" t="s">
        <v>12717</v>
      </c>
      <c r="H820" s="66" t="s">
        <v>14602</v>
      </c>
      <c r="I820" s="68">
        <v>1</v>
      </c>
      <c r="J820" s="69">
        <v>0</v>
      </c>
      <c r="K820" s="66">
        <v>0</v>
      </c>
      <c r="L820" s="66">
        <v>11900</v>
      </c>
      <c r="M820" s="66">
        <v>10000</v>
      </c>
      <c r="N820" s="63" cm="1">
        <f t="array" ref="N820:N820">_xlfn.XLOOKUP(H820,'OA名单'!C:C,'OA名单'!B:B,1)</f>
      </c>
      <c r="O820" s="63">
        <f t="shared" si="9"/>
      </c>
      <c r="P820" s="63" cm="1">
        <f t="array" ref="P820:P820">_xlfn.XLOOKUP(N820,'OA名单'!B:B,'OA名单'!G:G)</f>
      </c>
      <c r="Q820" s="63">
        <f t="shared" si="11"/>
      </c>
      <c r="R820" s="63" cm="1">
        <f t="array" ref="R820:R820">_xlfn.XLOOKUP(B820,'OA名单'!B:B,'OA名单'!F:F)</f>
      </c>
      <c r="S820" s="63">
        <f t="shared" si="10"/>
      </c>
      <c r="T820" s="64" cm="1">
        <f t="array" ref="T820:T820">_xlfn.XLOOKUP(B820,'系统-原始（副本）'!A:A,'系统-原始（副本）'!B:B)</f>
      </c>
      <c r="U820" s="63" cm="1">
        <f t="array" ref="U820:U820">_xlfn.XLOOKUP(N820,'OA名单'!B:B,'OA名单'!E:E)</f>
      </c>
      <c r="V820" s="63">
        <f t="shared" si="12"/>
      </c>
      <c r="W820" s="71"/>
      <c r="X820" s="66"/>
      <c r="Y820" s="66"/>
    </row>
    <row r="821">
      <c r="A821" s="66"/>
      <c r="B821" s="66" t="s">
        <v>14603</v>
      </c>
      <c r="C821" s="67" t="s">
        <v>12713</v>
      </c>
      <c r="D821" s="67" t="s">
        <v>12714</v>
      </c>
      <c r="E821" s="67" t="s">
        <v>12776</v>
      </c>
      <c r="F821" s="67" t="s">
        <v>12716</v>
      </c>
      <c r="G821" s="66" t="s">
        <v>12717</v>
      </c>
      <c r="H821" s="66" t="s">
        <v>14604</v>
      </c>
      <c r="I821" s="68">
        <v>1</v>
      </c>
      <c r="J821" s="69">
        <v>0</v>
      </c>
      <c r="K821" s="66">
        <v>0</v>
      </c>
      <c r="L821" s="66">
        <v>10100</v>
      </c>
      <c r="M821" s="66">
        <v>10000</v>
      </c>
      <c r="N821" s="63" cm="1">
        <f t="array" ref="N821:N821">_xlfn.XLOOKUP(H821,'OA名单'!C:C,'OA名单'!B:B,1)</f>
      </c>
      <c r="O821" s="63">
        <f t="shared" si="9"/>
      </c>
      <c r="P821" s="63" cm="1">
        <f t="array" ref="P821:P821">_xlfn.XLOOKUP(N821,'OA名单'!B:B,'OA名单'!G:G)</f>
      </c>
      <c r="Q821" s="63">
        <f t="shared" si="11"/>
      </c>
      <c r="R821" s="63" cm="1">
        <f t="array" ref="R821:R821">_xlfn.XLOOKUP(B821,'OA名单'!B:B,'OA名单'!F:F)</f>
      </c>
      <c r="S821" s="63">
        <f t="shared" si="10"/>
      </c>
      <c r="T821" s="64" cm="1">
        <f t="array" ref="T821:T821">_xlfn.XLOOKUP(B821,'系统-原始（副本）'!A:A,'系统-原始（副本）'!B:B)</f>
      </c>
      <c r="U821" s="63" cm="1">
        <f t="array" ref="U821:U821">_xlfn.XLOOKUP(N821,'OA名单'!B:B,'OA名单'!E:E)</f>
      </c>
      <c r="V821" s="63">
        <f t="shared" si="12"/>
      </c>
      <c r="W821" s="71"/>
      <c r="X821" s="66"/>
      <c r="Y821" s="66"/>
    </row>
    <row r="822">
      <c r="A822" s="66"/>
      <c r="B822" s="66" t="s">
        <v>14605</v>
      </c>
      <c r="C822" s="67" t="s">
        <v>12713</v>
      </c>
      <c r="D822" s="67" t="s">
        <v>12714</v>
      </c>
      <c r="E822" s="67" t="s">
        <v>12776</v>
      </c>
      <c r="F822" s="67" t="s">
        <v>12716</v>
      </c>
      <c r="G822" s="66" t="s">
        <v>12717</v>
      </c>
      <c r="H822" s="66" t="s">
        <v>14606</v>
      </c>
      <c r="I822" s="68">
        <v>1</v>
      </c>
      <c r="J822" s="69">
        <v>0</v>
      </c>
      <c r="K822" s="66">
        <v>0</v>
      </c>
      <c r="L822" s="66">
        <v>8800</v>
      </c>
      <c r="M822" s="66">
        <v>10000</v>
      </c>
      <c r="N822" s="63" cm="1">
        <f t="array" ref="N822:N822">_xlfn.XLOOKUP(H822,'OA名单'!C:C,'OA名单'!B:B,1)</f>
      </c>
      <c r="O822" s="63">
        <f t="shared" si="9"/>
      </c>
      <c r="P822" s="63" cm="1">
        <f t="array" ref="P822:P822">_xlfn.XLOOKUP(N822,'OA名单'!B:B,'OA名单'!G:G)</f>
      </c>
      <c r="Q822" s="63">
        <f t="shared" si="11"/>
      </c>
      <c r="R822" s="63" cm="1">
        <f t="array" ref="R822:R822">_xlfn.XLOOKUP(B822,'OA名单'!B:B,'OA名单'!F:F)</f>
      </c>
      <c r="S822" s="63">
        <f t="shared" si="10"/>
      </c>
      <c r="T822" s="64" cm="1">
        <f t="array" ref="T822:T822">_xlfn.XLOOKUP(B822,'系统-原始（副本）'!A:A,'系统-原始（副本）'!B:B)</f>
      </c>
      <c r="U822" s="63" cm="1">
        <f t="array" ref="U822:U822">_xlfn.XLOOKUP(N822,'OA名单'!B:B,'OA名单'!E:E)</f>
      </c>
      <c r="V822" s="63">
        <f t="shared" si="12"/>
      </c>
      <c r="W822" s="71"/>
      <c r="X822" s="66"/>
      <c r="Y822" s="66"/>
    </row>
    <row hidden="true" r="823">
      <c r="A823" s="66"/>
      <c r="B823" s="66" t="s">
        <v>14607</v>
      </c>
      <c r="C823" s="67" t="s">
        <v>12713</v>
      </c>
      <c r="D823" s="67" t="s">
        <v>12714</v>
      </c>
      <c r="E823" s="67" t="s">
        <v>12776</v>
      </c>
      <c r="F823" s="67" t="s">
        <v>12716</v>
      </c>
      <c r="G823" s="66" t="s">
        <v>12717</v>
      </c>
      <c r="H823" s="66" t="s">
        <v>14608</v>
      </c>
      <c r="I823" s="68">
        <v>1</v>
      </c>
      <c r="J823" s="69">
        <v>0</v>
      </c>
      <c r="K823" s="66">
        <v>0</v>
      </c>
      <c r="L823" s="66">
        <v>7800</v>
      </c>
      <c r="M823" s="66">
        <v>10000</v>
      </c>
      <c r="N823" s="63" cm="1">
        <f t="array" ref="N823:N823">_xlfn.XLOOKUP(H823,'OA名单'!C:C,'OA名单'!B:B,1)</f>
      </c>
      <c r="O823" s="63">
        <f t="shared" si="9"/>
      </c>
      <c r="P823" s="63" cm="1">
        <f t="array" ref="P823:P823">_xlfn.XLOOKUP(N823,'OA名单'!B:B,'OA名单'!G:G)</f>
      </c>
      <c r="Q823" s="63">
        <f t="shared" si="11"/>
      </c>
      <c r="R823" s="63" cm="1">
        <f t="array" ref="R823:R823">_xlfn.XLOOKUP(B823,'OA名单'!B:B,'OA名单'!F:F)</f>
      </c>
      <c r="S823" s="63">
        <f t="shared" si="10"/>
      </c>
      <c r="T823" s="70"/>
      <c r="U823" s="63" cm="1">
        <f t="array" ref="U823:U823">_xlfn.XLOOKUP(N823,'OA名单'!B:B,'OA名单'!E:E)</f>
      </c>
      <c r="V823" s="63">
        <f t="shared" si="12"/>
      </c>
      <c r="W823" s="71"/>
      <c r="X823" s="66"/>
      <c r="Y823" s="66"/>
    </row>
    <row r="824">
      <c r="A824" s="66"/>
      <c r="B824" s="66" t="s">
        <v>14609</v>
      </c>
      <c r="C824" s="67" t="s">
        <v>12713</v>
      </c>
      <c r="D824" s="67" t="s">
        <v>12714</v>
      </c>
      <c r="E824" s="67" t="s">
        <v>12776</v>
      </c>
      <c r="F824" s="67" t="s">
        <v>12716</v>
      </c>
      <c r="G824" s="66" t="s">
        <v>12717</v>
      </c>
      <c r="H824" s="66" t="s">
        <v>14610</v>
      </c>
      <c r="I824" s="68">
        <v>1</v>
      </c>
      <c r="J824" s="69">
        <v>0</v>
      </c>
      <c r="K824" s="66">
        <v>0</v>
      </c>
      <c r="L824" s="66">
        <v>6800</v>
      </c>
      <c r="M824" s="66">
        <v>10000</v>
      </c>
      <c r="N824" s="63" cm="1">
        <f t="array" ref="N824:N824">_xlfn.XLOOKUP(H824,'OA名单'!C:C,'OA名单'!B:B,1)</f>
      </c>
      <c r="O824" s="63">
        <f t="shared" si="9"/>
      </c>
      <c r="P824" s="63" cm="1">
        <f t="array" ref="P824:P824">_xlfn.XLOOKUP(N824,'OA名单'!B:B,'OA名单'!G:G)</f>
      </c>
      <c r="Q824" s="63">
        <f t="shared" si="11"/>
      </c>
      <c r="R824" s="63" cm="1">
        <f t="array" ref="R824:R824">_xlfn.XLOOKUP(B824,'OA名单'!B:B,'OA名单'!F:F)</f>
      </c>
      <c r="S824" s="63">
        <f t="shared" si="10"/>
      </c>
      <c r="T824" s="64" cm="1">
        <f t="array" ref="T824:T824">_xlfn.XLOOKUP(B824,'系统-原始（副本）'!A:A,'系统-原始（副本）'!B:B)</f>
      </c>
      <c r="U824" s="63" cm="1">
        <f t="array" ref="U824:U824">_xlfn.XLOOKUP(N824,'OA名单'!B:B,'OA名单'!E:E)</f>
      </c>
      <c r="V824" s="63">
        <f t="shared" si="12"/>
      </c>
      <c r="W824" s="71"/>
      <c r="X824" s="66"/>
      <c r="Y824" s="66"/>
    </row>
    <row r="825">
      <c r="A825" s="66"/>
      <c r="B825" s="66" t="s">
        <v>14611</v>
      </c>
      <c r="C825" s="67" t="s">
        <v>12713</v>
      </c>
      <c r="D825" s="67" t="s">
        <v>12714</v>
      </c>
      <c r="E825" s="67" t="s">
        <v>12776</v>
      </c>
      <c r="F825" s="67" t="s">
        <v>12716</v>
      </c>
      <c r="G825" s="66" t="s">
        <v>12717</v>
      </c>
      <c r="H825" s="66" t="s">
        <v>14612</v>
      </c>
      <c r="I825" s="68">
        <v>1</v>
      </c>
      <c r="J825" s="69">
        <v>0</v>
      </c>
      <c r="K825" s="66">
        <v>0</v>
      </c>
      <c r="L825" s="66">
        <v>6100</v>
      </c>
      <c r="M825" s="66">
        <v>10000</v>
      </c>
      <c r="N825" s="63" cm="1">
        <f t="array" ref="N825:N825">_xlfn.XLOOKUP(H825,'OA名单'!C:C,'OA名单'!B:B,1)</f>
      </c>
      <c r="O825" s="63">
        <f t="shared" si="9"/>
      </c>
      <c r="P825" s="63" cm="1">
        <f t="array" ref="P825:P825">_xlfn.XLOOKUP(N825,'OA名单'!B:B,'OA名单'!G:G)</f>
      </c>
      <c r="Q825" s="63">
        <f t="shared" si="11"/>
      </c>
      <c r="R825" s="63" cm="1">
        <f t="array" ref="R825:R825">_xlfn.XLOOKUP(B825,'OA名单'!B:B,'OA名单'!F:F)</f>
      </c>
      <c r="S825" s="63">
        <f t="shared" si="10"/>
      </c>
      <c r="T825" s="64" cm="1">
        <f t="array" ref="T825:T825">_xlfn.XLOOKUP(B825,'系统-原始（副本）'!A:A,'系统-原始（副本）'!B:B)</f>
      </c>
      <c r="U825" s="63" cm="1">
        <f t="array" ref="U825:U825">_xlfn.XLOOKUP(N825,'OA名单'!B:B,'OA名单'!E:E)</f>
      </c>
      <c r="V825" s="63">
        <f t="shared" si="12"/>
      </c>
      <c r="W825" s="71"/>
      <c r="X825" s="66"/>
      <c r="Y825" s="66"/>
    </row>
    <row r="826">
      <c r="A826" s="66"/>
      <c r="B826" s="66" t="s">
        <v>14613</v>
      </c>
      <c r="C826" s="67" t="s">
        <v>12713</v>
      </c>
      <c r="D826" s="67" t="s">
        <v>12714</v>
      </c>
      <c r="E826" s="67" t="s">
        <v>12776</v>
      </c>
      <c r="F826" s="67" t="s">
        <v>12716</v>
      </c>
      <c r="G826" s="66" t="s">
        <v>12717</v>
      </c>
      <c r="H826" s="66" t="s">
        <v>14614</v>
      </c>
      <c r="I826" s="68">
        <v>1</v>
      </c>
      <c r="J826" s="69">
        <v>0</v>
      </c>
      <c r="K826" s="66">
        <v>0</v>
      </c>
      <c r="L826" s="66">
        <v>2400</v>
      </c>
      <c r="M826" s="66">
        <v>10000</v>
      </c>
      <c r="N826" s="63" cm="1">
        <f t="array" ref="N826:N826">_xlfn.XLOOKUP(H826,'OA名单'!C:C,'OA名单'!B:B,1)</f>
      </c>
      <c r="O826" s="63">
        <f t="shared" si="9"/>
      </c>
      <c r="P826" s="63" cm="1">
        <f t="array" ref="P826:P826">_xlfn.XLOOKUP(N826,'OA名单'!B:B,'OA名单'!G:G)</f>
      </c>
      <c r="Q826" s="63">
        <f t="shared" si="11"/>
      </c>
      <c r="R826" s="63" cm="1">
        <f t="array" ref="R826:R826">_xlfn.XLOOKUP(B826,'OA名单'!B:B,'OA名单'!F:F)</f>
      </c>
      <c r="S826" s="63">
        <f t="shared" si="10"/>
      </c>
      <c r="T826" s="64" cm="1">
        <f t="array" ref="T826:T826">_xlfn.XLOOKUP(B826,'系统-原始（副本）'!A:A,'系统-原始（副本）'!B:B)</f>
      </c>
      <c r="U826" s="63" cm="1">
        <f t="array" ref="U826:U826">_xlfn.XLOOKUP(N826,'OA名单'!B:B,'OA名单'!E:E)</f>
      </c>
      <c r="V826" s="63">
        <f t="shared" si="12"/>
      </c>
      <c r="W826" s="71"/>
      <c r="X826" s="66"/>
      <c r="Y826" s="66"/>
    </row>
    <row hidden="true" r="827">
      <c r="A827" s="66"/>
      <c r="B827" s="66" t="s">
        <v>14615</v>
      </c>
      <c r="C827" s="67" t="s">
        <v>12713</v>
      </c>
      <c r="D827" s="67" t="s">
        <v>12714</v>
      </c>
      <c r="E827" s="67" t="s">
        <v>12776</v>
      </c>
      <c r="F827" s="67" t="s">
        <v>12716</v>
      </c>
      <c r="G827" s="66" t="s">
        <v>12717</v>
      </c>
      <c r="H827" s="66" t="s">
        <v>14616</v>
      </c>
      <c r="I827" s="68">
        <v>1</v>
      </c>
      <c r="J827" s="69">
        <v>0</v>
      </c>
      <c r="K827" s="66">
        <v>0</v>
      </c>
      <c r="L827" s="66">
        <v>4700</v>
      </c>
      <c r="M827" s="66">
        <v>10000</v>
      </c>
      <c r="N827" s="63" cm="1">
        <f t="array" ref="N827:N827">_xlfn.XLOOKUP(H827,'OA名单'!C:C,'OA名单'!B:B,1)</f>
      </c>
      <c r="O827" s="63">
        <f t="shared" si="9"/>
      </c>
      <c r="P827" s="63" cm="1">
        <f t="array" ref="P827:P827">_xlfn.XLOOKUP(N827,'OA名单'!B:B,'OA名单'!G:G)</f>
      </c>
      <c r="Q827" s="63">
        <f t="shared" si="11"/>
      </c>
      <c r="R827" s="63" cm="1">
        <f t="array" ref="R827:R827">_xlfn.XLOOKUP(B827,'OA名单'!B:B,'OA名单'!F:F)</f>
      </c>
      <c r="S827" s="63">
        <f t="shared" si="10"/>
      </c>
      <c r="T827" s="70"/>
      <c r="U827" s="63" cm="1">
        <f t="array" ref="U827:U827">_xlfn.XLOOKUP(N827,'OA名单'!B:B,'OA名单'!E:E)</f>
      </c>
      <c r="V827" s="63">
        <f t="shared" si="12"/>
      </c>
      <c r="W827" s="71"/>
      <c r="X827" s="66"/>
      <c r="Y827" s="66"/>
    </row>
    <row hidden="true" r="828">
      <c r="A828" s="66"/>
      <c r="B828" s="66" t="s">
        <v>14617</v>
      </c>
      <c r="C828" s="67" t="s">
        <v>12713</v>
      </c>
      <c r="D828" s="67" t="s">
        <v>12714</v>
      </c>
      <c r="E828" s="67" t="s">
        <v>12776</v>
      </c>
      <c r="F828" s="67" t="s">
        <v>12716</v>
      </c>
      <c r="G828" s="66" t="s">
        <v>12717</v>
      </c>
      <c r="H828" s="66" t="s">
        <v>14618</v>
      </c>
      <c r="I828" s="68">
        <v>1</v>
      </c>
      <c r="J828" s="69">
        <v>0</v>
      </c>
      <c r="K828" s="66">
        <v>0</v>
      </c>
      <c r="L828" s="66">
        <v>4100</v>
      </c>
      <c r="M828" s="66">
        <v>10000</v>
      </c>
      <c r="N828" s="63" cm="1">
        <f t="array" ref="N828:N828">_xlfn.XLOOKUP(H828,'OA名单'!C:C,'OA名单'!B:B,1)</f>
      </c>
      <c r="O828" s="63">
        <f t="shared" si="9"/>
      </c>
      <c r="P828" s="63" cm="1">
        <f t="array" ref="P828:P828">_xlfn.XLOOKUP(N828,'OA名单'!B:B,'OA名单'!G:G)</f>
      </c>
      <c r="Q828" s="63">
        <f t="shared" si="11"/>
      </c>
      <c r="R828" s="63" cm="1">
        <f t="array" ref="R828:R828">_xlfn.XLOOKUP(B828,'OA名单'!B:B,'OA名单'!F:F)</f>
      </c>
      <c r="S828" s="63">
        <f t="shared" si="10"/>
      </c>
      <c r="T828" s="70"/>
      <c r="U828" s="63" cm="1">
        <f t="array" ref="U828:U828">_xlfn.XLOOKUP(N828,'OA名单'!B:B,'OA名单'!E:E)</f>
      </c>
      <c r="V828" s="63">
        <f t="shared" si="12"/>
      </c>
      <c r="W828" s="71"/>
      <c r="X828" s="66"/>
      <c r="Y828" s="66"/>
    </row>
    <row hidden="true" r="829">
      <c r="A829" s="66"/>
      <c r="B829" s="66" t="s">
        <v>14619</v>
      </c>
      <c r="C829" s="67" t="s">
        <v>12713</v>
      </c>
      <c r="D829" s="67" t="s">
        <v>12714</v>
      </c>
      <c r="E829" s="67" t="s">
        <v>12776</v>
      </c>
      <c r="F829" s="67" t="s">
        <v>12716</v>
      </c>
      <c r="G829" s="66" t="s">
        <v>12717</v>
      </c>
      <c r="H829" s="66" t="s">
        <v>14620</v>
      </c>
      <c r="I829" s="68">
        <v>1</v>
      </c>
      <c r="J829" s="69">
        <v>0</v>
      </c>
      <c r="K829" s="66">
        <v>0</v>
      </c>
      <c r="L829" s="66">
        <v>3500</v>
      </c>
      <c r="M829" s="66">
        <v>10000</v>
      </c>
      <c r="N829" s="63" cm="1">
        <f t="array" ref="N829:N829">_xlfn.XLOOKUP(H829,'OA名单'!C:C,'OA名单'!B:B,1)</f>
      </c>
      <c r="O829" s="63">
        <f t="shared" si="9"/>
      </c>
      <c r="P829" s="63" cm="1">
        <f t="array" ref="P829:P829">_xlfn.XLOOKUP(N829,'OA名单'!B:B,'OA名单'!G:G)</f>
      </c>
      <c r="Q829" s="63">
        <f t="shared" si="11"/>
      </c>
      <c r="R829" s="63" cm="1">
        <f t="array" ref="R829:R829">_xlfn.XLOOKUP(B829,'OA名单'!B:B,'OA名单'!F:F)</f>
      </c>
      <c r="S829" s="63">
        <f t="shared" si="10"/>
      </c>
      <c r="T829" s="70"/>
      <c r="U829" s="63" cm="1">
        <f t="array" ref="U829:U829">_xlfn.XLOOKUP(N829,'OA名单'!B:B,'OA名单'!E:E)</f>
      </c>
      <c r="V829" s="63">
        <f t="shared" si="12"/>
      </c>
      <c r="W829" s="71"/>
      <c r="X829" s="66"/>
      <c r="Y829" s="66"/>
    </row>
    <row hidden="true" r="830">
      <c r="A830" s="66"/>
      <c r="B830" s="66" t="s">
        <v>14621</v>
      </c>
      <c r="C830" s="67" t="s">
        <v>12713</v>
      </c>
      <c r="D830" s="67" t="s">
        <v>12714</v>
      </c>
      <c r="E830" s="67" t="s">
        <v>12776</v>
      </c>
      <c r="F830" s="67" t="s">
        <v>12716</v>
      </c>
      <c r="G830" s="66" t="s">
        <v>12717</v>
      </c>
      <c r="H830" s="66" t="s">
        <v>14622</v>
      </c>
      <c r="I830" s="68">
        <v>1</v>
      </c>
      <c r="J830" s="69">
        <v>0</v>
      </c>
      <c r="K830" s="66">
        <v>0</v>
      </c>
      <c r="L830" s="66">
        <v>3000</v>
      </c>
      <c r="M830" s="66">
        <v>10000</v>
      </c>
      <c r="N830" s="63" cm="1">
        <f t="array" ref="N830:N830">_xlfn.XLOOKUP(H830,'OA名单'!C:C,'OA名单'!B:B,1)</f>
      </c>
      <c r="O830" s="63">
        <f t="shared" si="9"/>
      </c>
      <c r="P830" s="63" cm="1">
        <f t="array" ref="P830:P830">_xlfn.XLOOKUP(N830,'OA名单'!B:B,'OA名单'!G:G)</f>
      </c>
      <c r="Q830" s="63">
        <f t="shared" si="11"/>
      </c>
      <c r="R830" s="63" cm="1">
        <f t="array" ref="R830:R830">_xlfn.XLOOKUP(B830,'OA名单'!B:B,'OA名单'!F:F)</f>
      </c>
      <c r="S830" s="63">
        <f t="shared" si="10"/>
      </c>
      <c r="T830" s="70"/>
      <c r="U830" s="63" cm="1">
        <f t="array" ref="U830:U830">_xlfn.XLOOKUP(N830,'OA名单'!B:B,'OA名单'!E:E)</f>
      </c>
      <c r="V830" s="63">
        <f t="shared" si="12"/>
      </c>
      <c r="W830" s="71"/>
      <c r="X830" s="66"/>
      <c r="Y830" s="66"/>
    </row>
    <row r="831">
      <c r="A831" s="66"/>
      <c r="B831" s="66" t="s">
        <v>14623</v>
      </c>
      <c r="C831" s="67" t="s">
        <v>12713</v>
      </c>
      <c r="D831" s="67" t="s">
        <v>12714</v>
      </c>
      <c r="E831" s="67" t="s">
        <v>12776</v>
      </c>
      <c r="F831" s="67" t="s">
        <v>12716</v>
      </c>
      <c r="G831" s="66" t="s">
        <v>12717</v>
      </c>
      <c r="H831" s="66" t="s">
        <v>14624</v>
      </c>
      <c r="I831" s="68">
        <v>1</v>
      </c>
      <c r="J831" s="69">
        <v>0</v>
      </c>
      <c r="K831" s="66">
        <v>0</v>
      </c>
      <c r="L831" s="66">
        <v>2500</v>
      </c>
      <c r="M831" s="66">
        <v>10000</v>
      </c>
      <c r="N831" s="63" cm="1">
        <f t="array" ref="N831:N831">_xlfn.XLOOKUP(H831,'OA名单'!C:C,'OA名单'!B:B,1)</f>
      </c>
      <c r="O831" s="63">
        <f t="shared" si="9"/>
      </c>
      <c r="P831" s="63" cm="1">
        <f t="array" ref="P831:P831">_xlfn.XLOOKUP(N831,'OA名单'!B:B,'OA名单'!G:G)</f>
      </c>
      <c r="Q831" s="63">
        <f t="shared" si="11"/>
      </c>
      <c r="R831" s="63" cm="1">
        <f t="array" ref="R831:R831">_xlfn.XLOOKUP(B831,'OA名单'!B:B,'OA名单'!F:F)</f>
      </c>
      <c r="S831" s="63">
        <f t="shared" si="10"/>
      </c>
      <c r="T831" s="64" cm="1">
        <f t="array" ref="T831:T831">_xlfn.XLOOKUP(B831,'系统-原始（副本）'!A:A,'系统-原始（副本）'!B:B)</f>
      </c>
      <c r="U831" s="63" cm="1">
        <f t="array" ref="U831:U831">_xlfn.XLOOKUP(N831,'OA名单'!B:B,'OA名单'!E:E)</f>
      </c>
      <c r="V831" s="63">
        <f t="shared" si="12"/>
      </c>
      <c r="W831" s="71"/>
      <c r="X831" s="66"/>
      <c r="Y831" s="66"/>
    </row>
    <row hidden="true" r="832">
      <c r="A832" s="66"/>
      <c r="B832" s="66" t="s">
        <v>14625</v>
      </c>
      <c r="C832" s="67" t="s">
        <v>12713</v>
      </c>
      <c r="D832" s="67" t="s">
        <v>12714</v>
      </c>
      <c r="E832" s="67" t="s">
        <v>12776</v>
      </c>
      <c r="F832" s="67" t="s">
        <v>12716</v>
      </c>
      <c r="G832" s="66" t="s">
        <v>12717</v>
      </c>
      <c r="H832" s="66" t="s">
        <v>14626</v>
      </c>
      <c r="I832" s="68">
        <v>1</v>
      </c>
      <c r="J832" s="69">
        <v>0</v>
      </c>
      <c r="K832" s="66">
        <v>0</v>
      </c>
      <c r="L832" s="66">
        <v>1900</v>
      </c>
      <c r="M832" s="66">
        <v>10000</v>
      </c>
      <c r="N832" s="63" cm="1">
        <f t="array" ref="N832:N832">_xlfn.XLOOKUP(H832,'OA名单'!C:C,'OA名单'!B:B,1)</f>
      </c>
      <c r="O832" s="63">
        <f t="shared" si="9"/>
      </c>
      <c r="P832" s="63" cm="1">
        <f t="array" ref="P832:P832">_xlfn.XLOOKUP(N832,'OA名单'!B:B,'OA名单'!G:G)</f>
      </c>
      <c r="Q832" s="63">
        <f t="shared" si="11"/>
      </c>
      <c r="R832" s="63" cm="1">
        <f t="array" ref="R832:R832">_xlfn.XLOOKUP(B832,'OA名单'!B:B,'OA名单'!F:F)</f>
      </c>
      <c r="S832" s="63">
        <f t="shared" si="10"/>
      </c>
      <c r="T832" s="70"/>
      <c r="U832" s="63" cm="1">
        <f t="array" ref="U832:U832">_xlfn.XLOOKUP(N832,'OA名单'!B:B,'OA名单'!E:E)</f>
      </c>
      <c r="V832" s="63">
        <f t="shared" si="12"/>
      </c>
      <c r="W832" s="71"/>
      <c r="X832" s="66"/>
      <c r="Y832" s="66"/>
    </row>
    <row hidden="true" r="833">
      <c r="A833" s="66"/>
      <c r="B833" s="66" t="s">
        <v>14627</v>
      </c>
      <c r="C833" s="67" t="s">
        <v>12713</v>
      </c>
      <c r="D833" s="67" t="s">
        <v>12714</v>
      </c>
      <c r="E833" s="67" t="s">
        <v>12776</v>
      </c>
      <c r="F833" s="67" t="s">
        <v>12716</v>
      </c>
      <c r="G833" s="66" t="s">
        <v>12717</v>
      </c>
      <c r="H833" s="66" t="s">
        <v>14628</v>
      </c>
      <c r="I833" s="68">
        <v>1</v>
      </c>
      <c r="J833" s="69">
        <v>0</v>
      </c>
      <c r="K833" s="66">
        <v>0</v>
      </c>
      <c r="L833" s="66">
        <v>200</v>
      </c>
      <c r="M833" s="66">
        <v>10000</v>
      </c>
      <c r="N833" s="63" cm="1">
        <f t="array" ref="N833:N833">_xlfn.XLOOKUP(H833,'OA名单'!C:C,'OA名单'!B:B,1)</f>
      </c>
      <c r="O833" s="63">
        <f t="shared" si="9"/>
      </c>
      <c r="P833" s="63" cm="1">
        <f t="array" ref="P833:P833">_xlfn.XLOOKUP(N833,'OA名单'!B:B,'OA名单'!G:G)</f>
      </c>
      <c r="Q833" s="63">
        <f t="shared" si="11"/>
      </c>
      <c r="R833" s="63" cm="1">
        <f t="array" ref="R833:R833">_xlfn.XLOOKUP(B833,'OA名单'!B:B,'OA名单'!F:F)</f>
      </c>
      <c r="S833" s="63">
        <f t="shared" si="10"/>
      </c>
      <c r="T833" s="70"/>
      <c r="U833" s="63" cm="1">
        <f t="array" ref="U833:U833">_xlfn.XLOOKUP(N833,'OA名单'!B:B,'OA名单'!E:E)</f>
      </c>
      <c r="V833" s="63">
        <f t="shared" si="12"/>
      </c>
      <c r="W833" s="71"/>
      <c r="X833" s="66"/>
      <c r="Y833" s="66"/>
    </row>
    <row hidden="true" r="834">
      <c r="A834" s="66"/>
      <c r="B834" s="66" t="s">
        <v>14629</v>
      </c>
      <c r="C834" s="67" t="s">
        <v>12713</v>
      </c>
      <c r="D834" s="67" t="s">
        <v>12714</v>
      </c>
      <c r="E834" s="67" t="s">
        <v>12776</v>
      </c>
      <c r="F834" s="67" t="s">
        <v>12716</v>
      </c>
      <c r="G834" s="66" t="s">
        <v>12717</v>
      </c>
      <c r="H834" s="66" t="s">
        <v>14630</v>
      </c>
      <c r="I834" s="68">
        <v>1</v>
      </c>
      <c r="J834" s="69">
        <v>0</v>
      </c>
      <c r="K834" s="66">
        <v>0</v>
      </c>
      <c r="L834" s="66">
        <v>0</v>
      </c>
      <c r="M834" s="66">
        <v>10000</v>
      </c>
      <c r="N834" s="63" cm="1">
        <f t="array" ref="N834:N834">_xlfn.XLOOKUP(H834,'OA名单'!C:C,'OA名单'!B:B,1)</f>
      </c>
      <c r="O834" s="63">
        <f t="shared" si="9"/>
      </c>
      <c r="P834" s="63" cm="1">
        <f t="array" ref="P834:P834">_xlfn.XLOOKUP(N834,'OA名单'!B:B,'OA名单'!G:G)</f>
      </c>
      <c r="Q834" s="63">
        <f t="shared" si="11"/>
      </c>
      <c r="R834" s="63" cm="1">
        <f t="array" ref="R834:R834">_xlfn.XLOOKUP(B834,'OA名单'!B:B,'OA名单'!F:F)</f>
      </c>
      <c r="S834" s="63">
        <f t="shared" si="10"/>
      </c>
      <c r="T834" s="70"/>
      <c r="U834" s="63" cm="1">
        <f t="array" ref="U834:U834">_xlfn.XLOOKUP(N834,'OA名单'!B:B,'OA名单'!E:E)</f>
      </c>
      <c r="V834" s="63">
        <f t="shared" si="12"/>
      </c>
      <c r="W834" s="71"/>
      <c r="X834" s="66"/>
      <c r="Y834" s="66"/>
    </row>
    <row hidden="true" r="835">
      <c r="A835" s="66"/>
      <c r="B835" s="66" t="s">
        <v>14631</v>
      </c>
      <c r="C835" s="67" t="s">
        <v>12713</v>
      </c>
      <c r="D835" s="67" t="s">
        <v>12714</v>
      </c>
      <c r="E835" s="67" t="s">
        <v>12776</v>
      </c>
      <c r="F835" s="67" t="s">
        <v>12716</v>
      </c>
      <c r="G835" s="66" t="s">
        <v>12717</v>
      </c>
      <c r="H835" s="66" t="s">
        <v>14632</v>
      </c>
      <c r="I835" s="68">
        <v>1</v>
      </c>
      <c r="J835" s="69">
        <v>0</v>
      </c>
      <c r="K835" s="66">
        <v>0</v>
      </c>
      <c r="L835" s="66">
        <v>0</v>
      </c>
      <c r="M835" s="66">
        <v>10000</v>
      </c>
      <c r="N835" s="63" cm="1">
        <f t="array" ref="N835:N835">_xlfn.XLOOKUP(H835,'OA名单'!C:C,'OA名单'!B:B,1)</f>
      </c>
      <c r="O835" s="63">
        <f t="shared" si="9"/>
      </c>
      <c r="P835" s="63" cm="1">
        <f t="array" ref="P835:P835">_xlfn.XLOOKUP(N835,'OA名单'!B:B,'OA名单'!G:G)</f>
      </c>
      <c r="Q835" s="63">
        <f t="shared" si="11"/>
      </c>
      <c r="R835" s="63" cm="1">
        <f t="array" ref="R835:R835">_xlfn.XLOOKUP(B835,'OA名单'!B:B,'OA名单'!F:F)</f>
      </c>
      <c r="S835" s="63">
        <f t="shared" si="10"/>
      </c>
      <c r="T835" s="70"/>
      <c r="U835" s="63" cm="1">
        <f t="array" ref="U835:U835">_xlfn.XLOOKUP(N835,'OA名单'!B:B,'OA名单'!E:E)</f>
      </c>
      <c r="V835" s="63">
        <f t="shared" si="12"/>
      </c>
      <c r="W835" s="71"/>
      <c r="X835" s="66"/>
      <c r="Y835" s="66"/>
    </row>
    <row hidden="true" r="836">
      <c r="A836" s="66"/>
      <c r="B836" s="66" t="s">
        <v>14633</v>
      </c>
      <c r="C836" s="67" t="s">
        <v>12713</v>
      </c>
      <c r="D836" s="67" t="s">
        <v>12714</v>
      </c>
      <c r="E836" s="67" t="s">
        <v>12776</v>
      </c>
      <c r="F836" s="67" t="s">
        <v>12716</v>
      </c>
      <c r="G836" s="66" t="s">
        <v>12717</v>
      </c>
      <c r="H836" s="66" t="s">
        <v>14634</v>
      </c>
      <c r="I836" s="68">
        <v>1</v>
      </c>
      <c r="J836" s="69">
        <v>0</v>
      </c>
      <c r="K836" s="66">
        <v>0</v>
      </c>
      <c r="L836" s="66">
        <v>1100</v>
      </c>
      <c r="M836" s="66">
        <v>10000</v>
      </c>
      <c r="N836" s="63" cm="1">
        <f t="array" ref="N836:N836">_xlfn.XLOOKUP(H836,'OA名单'!C:C,'OA名单'!B:B,1)</f>
      </c>
      <c r="O836" s="63">
        <f t="shared" si="9"/>
      </c>
      <c r="P836" s="63" cm="1">
        <f t="array" ref="P836:P836">_xlfn.XLOOKUP(N836,'OA名单'!B:B,'OA名单'!G:G)</f>
      </c>
      <c r="Q836" s="63">
        <f t="shared" si="11"/>
      </c>
      <c r="R836" s="63" cm="1">
        <f t="array" ref="R836:R836">_xlfn.XLOOKUP(B836,'OA名单'!B:B,'OA名单'!F:F)</f>
      </c>
      <c r="S836" s="63">
        <f t="shared" si="10"/>
      </c>
      <c r="T836" s="70"/>
      <c r="U836" s="63" cm="1">
        <f t="array" ref="U836:U836">_xlfn.XLOOKUP(N836,'OA名单'!B:B,'OA名单'!E:E)</f>
      </c>
      <c r="V836" s="63">
        <f t="shared" si="12"/>
      </c>
      <c r="W836" s="71"/>
      <c r="X836" s="66"/>
      <c r="Y836" s="66"/>
    </row>
    <row hidden="true" r="837">
      <c r="A837" s="66"/>
      <c r="B837" s="66" t="s">
        <v>14635</v>
      </c>
      <c r="C837" s="67" t="s">
        <v>12713</v>
      </c>
      <c r="D837" s="67" t="s">
        <v>12714</v>
      </c>
      <c r="E837" s="67" t="s">
        <v>13011</v>
      </c>
      <c r="F837" s="67" t="s">
        <v>13042</v>
      </c>
      <c r="G837" s="66" t="s">
        <v>12751</v>
      </c>
      <c r="H837" s="66" t="s">
        <v>14636</v>
      </c>
      <c r="I837" s="68">
        <v>0.809148</v>
      </c>
      <c r="J837" s="69">
        <v>0</v>
      </c>
      <c r="K837" s="66">
        <v>0</v>
      </c>
      <c r="L837" s="66">
        <v>0</v>
      </c>
      <c r="M837" s="66">
        <v>5000</v>
      </c>
      <c r="N837" s="63" cm="1">
        <f t="array" ref="N837:N837">_xlfn.XLOOKUP(H837,'OA名单'!C:C,'OA名单'!B:B,1)</f>
      </c>
      <c r="O837" s="63">
        <f t="shared" si="9"/>
      </c>
      <c r="P837" s="63" cm="1">
        <f t="array" ref="P837:P837">_xlfn.XLOOKUP(N837,'OA名单'!B:B,'OA名单'!G:G)</f>
      </c>
      <c r="Q837" s="63">
        <f t="shared" si="11"/>
      </c>
      <c r="R837" s="63" cm="1">
        <f t="array" ref="R837:R837">_xlfn.XLOOKUP(B837,'OA名单'!B:B,'OA名单'!F:F)</f>
      </c>
      <c r="S837" s="63">
        <f t="shared" si="10"/>
      </c>
      <c r="T837" s="70"/>
      <c r="U837" s="63" cm="1">
        <f t="array" ref="U837:U837">_xlfn.XLOOKUP(N837,'OA名单'!B:B,'OA名单'!E:E)</f>
      </c>
      <c r="V837" s="63">
        <f t="shared" si="12"/>
      </c>
      <c r="W837" s="71"/>
      <c r="X837" s="66"/>
      <c r="Y837" s="66"/>
    </row>
    <row hidden="true" r="838">
      <c r="N838" s="66"/>
      <c r="O838" s="66"/>
      <c r="P838" s="66"/>
      <c r="Q838" s="66"/>
      <c r="R838" s="66"/>
      <c r="S838" s="66"/>
      <c r="T838" s="69"/>
      <c r="U838" s="66"/>
      <c r="V838" s="66"/>
      <c r="W838" s="75"/>
      <c r="X838" s="66"/>
      <c r="Y838" s="66"/>
    </row>
    <row hidden="true" r="839">
      <c r="N839" s="66"/>
      <c r="O839" s="66"/>
      <c r="P839" s="66"/>
      <c r="Q839" s="66"/>
      <c r="R839" s="66"/>
      <c r="S839" s="66"/>
      <c r="T839" s="69"/>
      <c r="U839" s="66"/>
      <c r="V839" s="66"/>
      <c r="W839" s="75"/>
      <c r="X839" s="66"/>
      <c r="Y839" s="66"/>
    </row>
    <row hidden="true" r="840">
      <c r="N840" s="66"/>
      <c r="O840" s="66"/>
      <c r="P840" s="66"/>
      <c r="Q840" s="66"/>
      <c r="R840" s="66"/>
      <c r="S840" s="66"/>
      <c r="T840" s="69"/>
      <c r="U840" s="66"/>
      <c r="V840" s="66"/>
      <c r="W840" s="75"/>
      <c r="X840" s="66"/>
      <c r="Y840" s="66"/>
    </row>
    <row hidden="true" r="841">
      <c r="N841" s="66"/>
      <c r="O841" s="66"/>
      <c r="P841" s="66"/>
      <c r="Q841" s="66"/>
      <c r="R841" s="66"/>
      <c r="S841" s="66"/>
      <c r="T841" s="69"/>
      <c r="U841" s="66"/>
      <c r="V841" s="66"/>
      <c r="W841" s="75"/>
      <c r="X841" s="66"/>
      <c r="Y841" s="66"/>
    </row>
    <row hidden="true" r="842">
      <c r="N842" s="66"/>
      <c r="O842" s="66"/>
      <c r="P842" s="66"/>
      <c r="Q842" s="66"/>
      <c r="R842" s="66"/>
      <c r="S842" s="66"/>
      <c r="T842" s="69"/>
      <c r="U842" s="66"/>
      <c r="V842" s="66"/>
      <c r="W842" s="75"/>
      <c r="X842" s="66"/>
      <c r="Y842" s="66"/>
    </row>
    <row hidden="true" r="843">
      <c r="N843" s="66"/>
      <c r="O843" s="66"/>
      <c r="P843" s="66"/>
      <c r="Q843" s="66"/>
      <c r="R843" s="66"/>
      <c r="S843" s="66"/>
      <c r="T843" s="69"/>
      <c r="U843" s="66"/>
      <c r="V843" s="66"/>
      <c r="W843" s="75"/>
      <c r="X843" s="66"/>
      <c r="Y843" s="66"/>
    </row>
    <row hidden="true" r="844">
      <c r="N844" s="66"/>
      <c r="O844" s="66"/>
      <c r="P844" s="66"/>
      <c r="Q844" s="66"/>
      <c r="R844" s="66"/>
      <c r="S844" s="66"/>
      <c r="T844" s="69"/>
      <c r="U844" s="66"/>
      <c r="V844" s="66"/>
      <c r="W844" s="75"/>
      <c r="X844" s="66"/>
      <c r="Y844" s="66"/>
    </row>
    <row hidden="true" r="845">
      <c r="N845" s="66"/>
      <c r="O845" s="66"/>
      <c r="P845" s="66"/>
      <c r="Q845" s="66"/>
      <c r="R845" s="66"/>
      <c r="S845" s="66"/>
      <c r="T845" s="69"/>
      <c r="U845" s="66"/>
      <c r="V845" s="66"/>
      <c r="W845" s="75"/>
      <c r="X845" s="66"/>
      <c r="Y845" s="66"/>
    </row>
    <row hidden="true" r="846">
      <c r="N846" s="66"/>
      <c r="O846" s="66"/>
      <c r="P846" s="66"/>
      <c r="Q846" s="66"/>
      <c r="R846" s="66"/>
      <c r="S846" s="66"/>
      <c r="T846" s="69"/>
      <c r="U846" s="66"/>
      <c r="V846" s="66"/>
      <c r="W846" s="75"/>
      <c r="X846" s="66"/>
      <c r="Y846" s="66"/>
    </row>
    <row hidden="true" r="847">
      <c r="N847" s="66"/>
      <c r="O847" s="66"/>
      <c r="P847" s="66"/>
      <c r="Q847" s="66"/>
      <c r="R847" s="66"/>
      <c r="S847" s="66"/>
      <c r="T847" s="69"/>
      <c r="U847" s="66"/>
      <c r="V847" s="66"/>
      <c r="W847" s="75"/>
      <c r="X847" s="66"/>
      <c r="Y847" s="66"/>
    </row>
    <row hidden="true" r="848">
      <c r="N848" s="66"/>
      <c r="O848" s="66"/>
      <c r="P848" s="66"/>
      <c r="Q848" s="66"/>
      <c r="R848" s="66"/>
      <c r="S848" s="66"/>
      <c r="T848" s="69"/>
      <c r="U848" s="66"/>
      <c r="V848" s="66"/>
      <c r="W848" s="75"/>
      <c r="X848" s="66"/>
      <c r="Y848" s="66"/>
    </row>
    <row hidden="true" r="849">
      <c r="N849" s="66"/>
      <c r="O849" s="66"/>
      <c r="P849" s="66"/>
      <c r="Q849" s="66"/>
      <c r="R849" s="66"/>
      <c r="S849" s="66"/>
      <c r="T849" s="69"/>
      <c r="U849" s="66"/>
      <c r="V849" s="66"/>
      <c r="W849" s="75"/>
      <c r="X849" s="66"/>
      <c r="Y849" s="66"/>
    </row>
    <row hidden="true" r="850">
      <c r="N850" s="66"/>
      <c r="O850" s="66"/>
      <c r="P850" s="66"/>
      <c r="Q850" s="66"/>
      <c r="R850" s="66"/>
      <c r="S850" s="66"/>
      <c r="T850" s="69"/>
      <c r="U850" s="66"/>
      <c r="V850" s="66"/>
      <c r="W850" s="75"/>
      <c r="X850" s="66"/>
      <c r="Y850" s="66"/>
    </row>
    <row hidden="true" r="851">
      <c r="N851" s="66"/>
      <c r="O851" s="66"/>
      <c r="P851" s="66"/>
      <c r="Q851" s="66"/>
      <c r="R851" s="66"/>
      <c r="S851" s="66"/>
      <c r="T851" s="69"/>
      <c r="U851" s="66"/>
      <c r="V851" s="66"/>
      <c r="W851" s="75"/>
      <c r="X851" s="66"/>
      <c r="Y851" s="66"/>
    </row>
    <row hidden="true" r="852">
      <c r="N852" s="66"/>
      <c r="O852" s="66"/>
      <c r="P852" s="66"/>
      <c r="Q852" s="66"/>
      <c r="R852" s="66"/>
      <c r="S852" s="66"/>
      <c r="T852" s="69"/>
      <c r="U852" s="66"/>
      <c r="V852" s="66"/>
      <c r="W852" s="75"/>
      <c r="X852" s="66"/>
      <c r="Y852" s="66"/>
    </row>
    <row hidden="true" r="853">
      <c r="N853" s="66"/>
      <c r="O853" s="66"/>
      <c r="P853" s="66"/>
      <c r="Q853" s="66"/>
      <c r="R853" s="66"/>
      <c r="S853" s="66"/>
      <c r="T853" s="69"/>
      <c r="U853" s="66"/>
      <c r="V853" s="66"/>
      <c r="W853" s="75"/>
      <c r="X853" s="66"/>
      <c r="Y853" s="66"/>
    </row>
    <row hidden="true" r="854">
      <c r="N854" s="66"/>
      <c r="O854" s="66"/>
      <c r="P854" s="66"/>
      <c r="Q854" s="66"/>
      <c r="R854" s="66"/>
      <c r="S854" s="66"/>
      <c r="T854" s="69"/>
      <c r="U854" s="66"/>
      <c r="V854" s="66"/>
      <c r="W854" s="75"/>
      <c r="X854" s="66"/>
      <c r="Y854" s="66"/>
    </row>
    <row hidden="true" r="855">
      <c r="N855" s="66"/>
      <c r="O855" s="66"/>
      <c r="P855" s="66"/>
      <c r="Q855" s="66"/>
      <c r="R855" s="66"/>
      <c r="S855" s="66"/>
      <c r="T855" s="69"/>
      <c r="U855" s="66"/>
      <c r="V855" s="66"/>
      <c r="W855" s="75"/>
      <c r="X855" s="66"/>
      <c r="Y855" s="66"/>
    </row>
    <row hidden="true" r="856">
      <c r="N856" s="66"/>
      <c r="O856" s="66"/>
      <c r="P856" s="66"/>
      <c r="Q856" s="66"/>
      <c r="R856" s="66"/>
      <c r="S856" s="66"/>
      <c r="T856" s="69"/>
      <c r="U856" s="66"/>
      <c r="V856" s="66"/>
      <c r="W856" s="75"/>
      <c r="X856" s="66"/>
      <c r="Y856" s="66"/>
    </row>
    <row hidden="true" r="857">
      <c r="N857" s="66"/>
      <c r="O857" s="66"/>
      <c r="P857" s="66"/>
      <c r="Q857" s="66"/>
      <c r="R857" s="66"/>
      <c r="S857" s="66"/>
      <c r="T857" s="69"/>
      <c r="U857" s="66"/>
      <c r="V857" s="66"/>
      <c r="W857" s="75"/>
      <c r="X857" s="66"/>
      <c r="Y857" s="66"/>
    </row>
    <row hidden="true" r="858">
      <c r="N858" s="66"/>
      <c r="O858" s="66"/>
      <c r="P858" s="66"/>
      <c r="Q858" s="66"/>
      <c r="R858" s="66"/>
      <c r="S858" s="66"/>
      <c r="T858" s="69"/>
      <c r="U858" s="66"/>
      <c r="V858" s="66"/>
      <c r="W858" s="75"/>
      <c r="X858" s="66"/>
      <c r="Y858" s="66"/>
    </row>
    <row hidden="true" r="859">
      <c r="N859" s="66"/>
      <c r="O859" s="66"/>
      <c r="P859" s="66"/>
      <c r="Q859" s="66"/>
      <c r="R859" s="66"/>
      <c r="S859" s="66"/>
      <c r="T859" s="69"/>
      <c r="U859" s="66"/>
      <c r="V859" s="66"/>
      <c r="W859" s="75"/>
      <c r="X859" s="66"/>
      <c r="Y859" s="66"/>
    </row>
    <row hidden="true" r="860">
      <c r="N860" s="66"/>
      <c r="O860" s="66"/>
      <c r="P860" s="66"/>
      <c r="Q860" s="66"/>
      <c r="R860" s="66"/>
      <c r="S860" s="66"/>
      <c r="T860" s="69"/>
      <c r="U860" s="66"/>
      <c r="V860" s="66"/>
      <c r="W860" s="75"/>
      <c r="X860" s="66"/>
      <c r="Y860" s="66"/>
    </row>
    <row hidden="true" r="861">
      <c r="N861" s="66"/>
      <c r="O861" s="66"/>
      <c r="P861" s="66"/>
      <c r="Q861" s="66"/>
      <c r="R861" s="66"/>
      <c r="S861" s="66"/>
      <c r="T861" s="69"/>
      <c r="U861" s="66"/>
      <c r="V861" s="66"/>
      <c r="W861" s="75"/>
      <c r="X861" s="66"/>
      <c r="Y861" s="66"/>
    </row>
    <row hidden="true" r="862">
      <c r="N862" s="66"/>
      <c r="O862" s="66"/>
      <c r="P862" s="66"/>
      <c r="Q862" s="66"/>
      <c r="R862" s="66"/>
      <c r="S862" s="66"/>
      <c r="T862" s="69"/>
      <c r="U862" s="66"/>
      <c r="V862" s="66"/>
      <c r="W862" s="75"/>
      <c r="X862" s="66"/>
      <c r="Y862" s="66"/>
    </row>
    <row hidden="true" r="863">
      <c r="N863" s="66"/>
      <c r="O863" s="66"/>
      <c r="P863" s="66"/>
      <c r="Q863" s="66"/>
      <c r="R863" s="66"/>
      <c r="S863" s="66"/>
      <c r="T863" s="69"/>
      <c r="U863" s="66"/>
      <c r="V863" s="66"/>
      <c r="W863" s="75"/>
      <c r="X863" s="66"/>
      <c r="Y863" s="66"/>
    </row>
    <row hidden="true" r="864">
      <c r="N864" s="66"/>
      <c r="O864" s="66"/>
      <c r="P864" s="66"/>
      <c r="Q864" s="66"/>
      <c r="R864" s="66"/>
      <c r="S864" s="66"/>
      <c r="T864" s="69"/>
      <c r="U864" s="66"/>
      <c r="V864" s="66"/>
      <c r="W864" s="75"/>
      <c r="X864" s="66"/>
      <c r="Y864" s="66"/>
    </row>
    <row hidden="true" r="865">
      <c r="N865" s="66"/>
      <c r="O865" s="66"/>
      <c r="P865" s="66"/>
      <c r="Q865" s="66"/>
      <c r="R865" s="66"/>
      <c r="S865" s="66"/>
      <c r="T865" s="69"/>
      <c r="U865" s="66"/>
      <c r="V865" s="66"/>
      <c r="W865" s="75"/>
      <c r="X865" s="66"/>
      <c r="Y865" s="66"/>
    </row>
    <row hidden="true" r="866">
      <c r="N866" s="66"/>
      <c r="O866" s="66"/>
      <c r="P866" s="66"/>
      <c r="Q866" s="66"/>
      <c r="R866" s="66"/>
      <c r="S866" s="66"/>
      <c r="T866" s="69"/>
      <c r="U866" s="66"/>
      <c r="V866" s="66"/>
      <c r="W866" s="75"/>
      <c r="X866" s="66"/>
      <c r="Y866" s="66"/>
    </row>
    <row hidden="true" r="867">
      <c r="N867" s="66"/>
      <c r="O867" s="66"/>
      <c r="P867" s="66"/>
      <c r="Q867" s="66"/>
      <c r="R867" s="66"/>
      <c r="S867" s="66"/>
      <c r="T867" s="69"/>
      <c r="U867" s="66"/>
      <c r="V867" s="66"/>
      <c r="W867" s="75"/>
      <c r="X867" s="66"/>
      <c r="Y867" s="66"/>
    </row>
    <row hidden="true" r="868">
      <c r="N868" s="66"/>
      <c r="O868" s="66"/>
      <c r="P868" s="66"/>
      <c r="Q868" s="66"/>
      <c r="R868" s="66"/>
      <c r="S868" s="66"/>
      <c r="T868" s="69"/>
      <c r="U868" s="66"/>
      <c r="V868" s="66"/>
      <c r="W868" s="75"/>
      <c r="X868" s="66"/>
      <c r="Y868" s="66"/>
    </row>
    <row hidden="true" r="869">
      <c r="N869" s="66"/>
      <c r="O869" s="66"/>
      <c r="P869" s="66"/>
      <c r="Q869" s="66"/>
      <c r="R869" s="66"/>
      <c r="S869" s="66"/>
      <c r="T869" s="69"/>
      <c r="U869" s="66"/>
      <c r="V869" s="66"/>
      <c r="W869" s="75"/>
      <c r="X869" s="66"/>
      <c r="Y869" s="66"/>
    </row>
    <row hidden="true" r="870">
      <c r="N870" s="66"/>
      <c r="O870" s="66"/>
      <c r="P870" s="66"/>
      <c r="Q870" s="66"/>
      <c r="R870" s="66"/>
      <c r="S870" s="66"/>
      <c r="T870" s="69"/>
      <c r="U870" s="66"/>
      <c r="V870" s="66"/>
      <c r="W870" s="75"/>
      <c r="X870" s="66"/>
      <c r="Y870" s="66"/>
    </row>
    <row hidden="true" r="871">
      <c r="N871" s="66"/>
      <c r="O871" s="66"/>
      <c r="P871" s="66"/>
      <c r="Q871" s="66"/>
      <c r="R871" s="66"/>
      <c r="S871" s="66"/>
      <c r="T871" s="69"/>
      <c r="U871" s="66"/>
      <c r="V871" s="66"/>
      <c r="W871" s="75"/>
      <c r="X871" s="66"/>
      <c r="Y871" s="66"/>
    </row>
    <row hidden="true" r="872">
      <c r="N872" s="66"/>
      <c r="O872" s="66"/>
      <c r="P872" s="66"/>
      <c r="Q872" s="66"/>
      <c r="R872" s="66"/>
      <c r="S872" s="66"/>
      <c r="T872" s="69"/>
      <c r="U872" s="66"/>
      <c r="V872" s="66"/>
      <c r="W872" s="75"/>
      <c r="X872" s="66"/>
      <c r="Y872" s="66"/>
    </row>
    <row hidden="true" r="873">
      <c r="N873" s="66"/>
      <c r="O873" s="66"/>
      <c r="P873" s="66"/>
      <c r="Q873" s="66"/>
      <c r="R873" s="66"/>
      <c r="S873" s="66"/>
      <c r="T873" s="69"/>
      <c r="U873" s="66"/>
      <c r="V873" s="66"/>
      <c r="W873" s="75"/>
      <c r="X873" s="66"/>
      <c r="Y873" s="66"/>
    </row>
    <row hidden="true" r="874">
      <c r="N874" s="66"/>
      <c r="O874" s="66"/>
      <c r="P874" s="66"/>
      <c r="Q874" s="66"/>
      <c r="R874" s="66"/>
      <c r="S874" s="66"/>
      <c r="T874" s="69"/>
      <c r="U874" s="66"/>
      <c r="V874" s="66"/>
      <c r="W874" s="75"/>
      <c r="X874" s="66"/>
      <c r="Y874" s="66"/>
    </row>
    <row hidden="true" r="875">
      <c r="N875" s="66"/>
      <c r="O875" s="66"/>
      <c r="P875" s="66"/>
      <c r="Q875" s="66"/>
      <c r="R875" s="66"/>
      <c r="S875" s="66"/>
      <c r="T875" s="69"/>
      <c r="U875" s="66"/>
      <c r="V875" s="66"/>
      <c r="W875" s="75"/>
      <c r="X875" s="66"/>
      <c r="Y875" s="66"/>
    </row>
    <row hidden="true" r="876">
      <c r="N876" s="66"/>
      <c r="O876" s="66"/>
      <c r="P876" s="66"/>
      <c r="Q876" s="66"/>
      <c r="R876" s="66"/>
      <c r="S876" s="66"/>
      <c r="T876" s="69"/>
      <c r="U876" s="66"/>
      <c r="V876" s="66"/>
      <c r="W876" s="75"/>
      <c r="X876" s="66"/>
      <c r="Y876" s="66"/>
    </row>
    <row hidden="true" r="877">
      <c r="N877" s="66"/>
      <c r="O877" s="66"/>
      <c r="P877" s="66"/>
      <c r="Q877" s="66"/>
      <c r="R877" s="66"/>
      <c r="S877" s="66"/>
      <c r="T877" s="69"/>
      <c r="U877" s="66"/>
      <c r="V877" s="66"/>
      <c r="W877" s="75"/>
      <c r="X877" s="66"/>
      <c r="Y877" s="66"/>
    </row>
    <row hidden="true" r="878">
      <c r="N878" s="66"/>
      <c r="O878" s="66"/>
      <c r="P878" s="66"/>
      <c r="Q878" s="66"/>
      <c r="R878" s="66"/>
      <c r="S878" s="66"/>
      <c r="T878" s="69"/>
      <c r="U878" s="66"/>
      <c r="V878" s="66"/>
      <c r="W878" s="75"/>
      <c r="X878" s="66"/>
      <c r="Y878" s="66"/>
    </row>
    <row hidden="true" r="879">
      <c r="N879" s="66"/>
      <c r="O879" s="66"/>
      <c r="P879" s="66"/>
      <c r="Q879" s="66"/>
      <c r="R879" s="66"/>
      <c r="S879" s="66"/>
      <c r="T879" s="69"/>
      <c r="U879" s="66"/>
      <c r="V879" s="66"/>
      <c r="W879" s="75"/>
      <c r="X879" s="66"/>
      <c r="Y879" s="66"/>
    </row>
    <row hidden="true" r="880">
      <c r="N880" s="66"/>
      <c r="O880" s="66"/>
      <c r="P880" s="66"/>
      <c r="Q880" s="66"/>
      <c r="R880" s="66"/>
      <c r="S880" s="66"/>
      <c r="T880" s="69"/>
      <c r="U880" s="66"/>
      <c r="V880" s="66"/>
      <c r="W880" s="75"/>
      <c r="X880" s="66"/>
      <c r="Y880" s="66"/>
    </row>
    <row hidden="true" r="881">
      <c r="N881" s="66"/>
      <c r="O881" s="66"/>
      <c r="P881" s="66"/>
      <c r="Q881" s="66"/>
      <c r="R881" s="66"/>
      <c r="S881" s="66"/>
      <c r="T881" s="69"/>
      <c r="U881" s="66"/>
      <c r="V881" s="66"/>
      <c r="W881" s="75"/>
      <c r="X881" s="66"/>
      <c r="Y881" s="66"/>
    </row>
    <row hidden="true" r="882">
      <c r="N882" s="66"/>
      <c r="O882" s="66"/>
      <c r="P882" s="66"/>
      <c r="Q882" s="66"/>
      <c r="R882" s="66"/>
      <c r="S882" s="66"/>
      <c r="T882" s="69"/>
      <c r="U882" s="66"/>
      <c r="V882" s="66"/>
      <c r="W882" s="75"/>
      <c r="X882" s="66"/>
      <c r="Y882" s="66"/>
    </row>
    <row hidden="true" r="883">
      <c r="N883" s="66"/>
      <c r="O883" s="66"/>
      <c r="P883" s="66"/>
      <c r="Q883" s="66"/>
      <c r="R883" s="66"/>
      <c r="S883" s="66"/>
      <c r="T883" s="69"/>
      <c r="U883" s="66"/>
      <c r="V883" s="66"/>
      <c r="W883" s="75"/>
      <c r="X883" s="66"/>
      <c r="Y883" s="66"/>
    </row>
    <row hidden="true" r="884">
      <c r="N884" s="66"/>
      <c r="O884" s="66"/>
      <c r="P884" s="66"/>
      <c r="Q884" s="66"/>
      <c r="R884" s="66"/>
      <c r="S884" s="66"/>
      <c r="T884" s="69"/>
      <c r="U884" s="66"/>
      <c r="V884" s="66"/>
      <c r="W884" s="75"/>
      <c r="X884" s="66"/>
      <c r="Y884" s="66"/>
    </row>
    <row hidden="true" r="885">
      <c r="N885" s="66"/>
      <c r="O885" s="66"/>
      <c r="P885" s="66"/>
      <c r="Q885" s="66"/>
      <c r="R885" s="66"/>
      <c r="S885" s="66"/>
      <c r="T885" s="69"/>
      <c r="U885" s="66"/>
      <c r="V885" s="66"/>
      <c r="W885" s="75"/>
      <c r="X885" s="66"/>
      <c r="Y885" s="66"/>
    </row>
    <row hidden="true" r="886">
      <c r="N886" s="66"/>
      <c r="O886" s="66"/>
      <c r="P886" s="66"/>
      <c r="Q886" s="66"/>
      <c r="R886" s="66"/>
      <c r="S886" s="66"/>
      <c r="T886" s="69"/>
      <c r="U886" s="66"/>
      <c r="V886" s="66"/>
      <c r="W886" s="75"/>
      <c r="X886" s="66"/>
      <c r="Y886" s="66"/>
    </row>
    <row hidden="true" r="887">
      <c r="N887" s="66"/>
      <c r="O887" s="66"/>
      <c r="P887" s="66"/>
      <c r="Q887" s="66"/>
      <c r="R887" s="66"/>
      <c r="S887" s="66"/>
      <c r="T887" s="69"/>
      <c r="U887" s="66"/>
      <c r="V887" s="66"/>
      <c r="W887" s="75"/>
      <c r="X887" s="66"/>
      <c r="Y887" s="66"/>
    </row>
    <row hidden="true" r="888">
      <c r="N888" s="66"/>
      <c r="O888" s="66"/>
      <c r="P888" s="66"/>
      <c r="Q888" s="66"/>
      <c r="R888" s="66"/>
      <c r="S888" s="66"/>
      <c r="T888" s="69"/>
      <c r="U888" s="66"/>
      <c r="V888" s="66"/>
      <c r="W888" s="75"/>
      <c r="X888" s="66"/>
      <c r="Y888" s="66"/>
    </row>
    <row hidden="true" r="889">
      <c r="N889" s="66"/>
      <c r="O889" s="66"/>
      <c r="P889" s="66"/>
      <c r="Q889" s="66"/>
      <c r="R889" s="66"/>
      <c r="S889" s="66"/>
      <c r="T889" s="69"/>
      <c r="U889" s="66"/>
      <c r="V889" s="66"/>
      <c r="W889" s="75"/>
      <c r="X889" s="66"/>
      <c r="Y889" s="66"/>
    </row>
    <row hidden="true" r="890">
      <c r="N890" s="66"/>
      <c r="O890" s="66"/>
      <c r="P890" s="66"/>
      <c r="Q890" s="66"/>
      <c r="R890" s="66"/>
      <c r="S890" s="66"/>
      <c r="T890" s="69"/>
      <c r="U890" s="66"/>
      <c r="V890" s="66"/>
      <c r="W890" s="75"/>
      <c r="X890" s="66"/>
      <c r="Y890" s="66"/>
    </row>
    <row hidden="true" r="891">
      <c r="N891" s="66"/>
      <c r="O891" s="66"/>
      <c r="P891" s="66"/>
      <c r="Q891" s="66"/>
      <c r="R891" s="66"/>
      <c r="S891" s="66"/>
      <c r="T891" s="69"/>
      <c r="U891" s="66"/>
      <c r="V891" s="66"/>
      <c r="W891" s="75"/>
      <c r="X891" s="66"/>
      <c r="Y891" s="66"/>
    </row>
    <row hidden="true" r="892">
      <c r="N892" s="66"/>
      <c r="O892" s="66"/>
      <c r="P892" s="66"/>
      <c r="Q892" s="66"/>
      <c r="R892" s="66"/>
      <c r="S892" s="66"/>
      <c r="T892" s="69"/>
      <c r="U892" s="66"/>
      <c r="V892" s="66"/>
      <c r="W892" s="75"/>
      <c r="X892" s="66"/>
      <c r="Y892" s="66"/>
    </row>
    <row hidden="true" r="893">
      <c r="N893" s="66"/>
      <c r="O893" s="66"/>
      <c r="P893" s="66"/>
      <c r="Q893" s="66"/>
      <c r="R893" s="66"/>
      <c r="S893" s="66"/>
      <c r="T893" s="69"/>
      <c r="U893" s="66"/>
      <c r="V893" s="66"/>
      <c r="W893" s="75"/>
      <c r="X893" s="66"/>
      <c r="Y893" s="66"/>
    </row>
    <row hidden="true" r="894">
      <c r="N894" s="66"/>
      <c r="O894" s="66"/>
      <c r="P894" s="66"/>
      <c r="Q894" s="66"/>
      <c r="R894" s="66"/>
      <c r="S894" s="66"/>
      <c r="T894" s="69"/>
      <c r="U894" s="66"/>
      <c r="V894" s="66"/>
      <c r="W894" s="75"/>
      <c r="X894" s="66"/>
      <c r="Y894" s="66"/>
    </row>
    <row hidden="true" r="895">
      <c r="N895" s="66"/>
      <c r="O895" s="66"/>
      <c r="P895" s="66"/>
      <c r="Q895" s="66"/>
      <c r="R895" s="66"/>
      <c r="S895" s="66"/>
      <c r="T895" s="69"/>
      <c r="U895" s="66"/>
      <c r="V895" s="66"/>
      <c r="W895" s="75"/>
      <c r="X895" s="66"/>
      <c r="Y895" s="66"/>
    </row>
    <row hidden="true" r="896">
      <c r="N896" s="66"/>
      <c r="O896" s="66"/>
      <c r="P896" s="66"/>
      <c r="Q896" s="66"/>
      <c r="R896" s="66"/>
      <c r="S896" s="66"/>
      <c r="T896" s="69"/>
      <c r="U896" s="66"/>
      <c r="V896" s="66"/>
      <c r="W896" s="75"/>
      <c r="X896" s="66"/>
      <c r="Y896" s="66"/>
    </row>
    <row hidden="true" r="897">
      <c r="N897" s="66"/>
      <c r="O897" s="66"/>
      <c r="P897" s="66"/>
      <c r="Q897" s="66"/>
      <c r="R897" s="66"/>
      <c r="S897" s="66"/>
      <c r="T897" s="69"/>
      <c r="U897" s="66"/>
      <c r="V897" s="66"/>
      <c r="W897" s="75"/>
      <c r="X897" s="66"/>
      <c r="Y897" s="66"/>
    </row>
    <row hidden="true" r="898">
      <c r="N898" s="66"/>
      <c r="O898" s="66"/>
      <c r="P898" s="66"/>
      <c r="Q898" s="66"/>
      <c r="R898" s="66"/>
      <c r="S898" s="66"/>
      <c r="T898" s="69"/>
      <c r="U898" s="66"/>
      <c r="V898" s="66"/>
      <c r="W898" s="75"/>
      <c r="X898" s="66"/>
      <c r="Y898" s="66"/>
    </row>
    <row hidden="true" r="899">
      <c r="N899" s="66"/>
      <c r="O899" s="66"/>
      <c r="P899" s="66"/>
      <c r="Q899" s="66"/>
      <c r="R899" s="66"/>
      <c r="S899" s="66"/>
      <c r="T899" s="69"/>
      <c r="U899" s="66"/>
      <c r="V899" s="66"/>
      <c r="W899" s="75"/>
      <c r="X899" s="66"/>
      <c r="Y899" s="66"/>
    </row>
    <row hidden="true" r="900">
      <c r="N900" s="66"/>
      <c r="O900" s="66"/>
      <c r="P900" s="66"/>
      <c r="Q900" s="66"/>
      <c r="R900" s="66"/>
      <c r="S900" s="66"/>
      <c r="T900" s="69"/>
      <c r="U900" s="66"/>
      <c r="V900" s="66"/>
      <c r="W900" s="75"/>
      <c r="X900" s="66"/>
      <c r="Y900" s="66"/>
    </row>
    <row hidden="true" r="901">
      <c r="N901" s="66"/>
      <c r="O901" s="66"/>
      <c r="P901" s="66"/>
      <c r="Q901" s="66"/>
      <c r="R901" s="66"/>
      <c r="S901" s="66"/>
      <c r="T901" s="69"/>
      <c r="U901" s="66"/>
      <c r="V901" s="66"/>
      <c r="W901" s="75"/>
      <c r="X901" s="66"/>
      <c r="Y901" s="66"/>
    </row>
    <row hidden="true" r="902">
      <c r="N902" s="66"/>
      <c r="O902" s="66"/>
      <c r="P902" s="66"/>
      <c r="Q902" s="66"/>
      <c r="R902" s="66"/>
      <c r="S902" s="66"/>
      <c r="T902" s="69"/>
      <c r="U902" s="66"/>
      <c r="V902" s="66"/>
      <c r="W902" s="75"/>
      <c r="X902" s="66"/>
      <c r="Y902" s="66"/>
    </row>
    <row hidden="true" r="903">
      <c r="N903" s="66"/>
      <c r="O903" s="66"/>
      <c r="P903" s="66"/>
      <c r="Q903" s="66"/>
      <c r="R903" s="66"/>
      <c r="S903" s="66"/>
      <c r="T903" s="69"/>
      <c r="U903" s="66"/>
      <c r="V903" s="66"/>
      <c r="W903" s="75"/>
      <c r="X903" s="66"/>
      <c r="Y903" s="66"/>
    </row>
    <row hidden="true" r="904">
      <c r="N904" s="66"/>
      <c r="O904" s="66"/>
      <c r="P904" s="66"/>
      <c r="Q904" s="66"/>
      <c r="R904" s="66"/>
      <c r="S904" s="66"/>
      <c r="T904" s="69"/>
      <c r="U904" s="66"/>
      <c r="V904" s="66"/>
      <c r="W904" s="75"/>
      <c r="X904" s="66"/>
      <c r="Y904" s="66"/>
    </row>
    <row hidden="true" r="905">
      <c r="N905" s="66"/>
      <c r="O905" s="66"/>
      <c r="P905" s="66"/>
      <c r="Q905" s="66"/>
      <c r="R905" s="66"/>
      <c r="S905" s="66"/>
      <c r="T905" s="69"/>
      <c r="U905" s="66"/>
      <c r="V905" s="66"/>
      <c r="W905" s="75"/>
      <c r="X905" s="66"/>
      <c r="Y905" s="66"/>
    </row>
    <row hidden="true" r="906">
      <c r="N906" s="66"/>
      <c r="O906" s="66"/>
      <c r="P906" s="66"/>
      <c r="Q906" s="66"/>
      <c r="R906" s="66"/>
      <c r="S906" s="66"/>
      <c r="T906" s="69"/>
      <c r="U906" s="66"/>
      <c r="V906" s="66"/>
      <c r="W906" s="75"/>
      <c r="X906" s="66"/>
      <c r="Y906" s="66"/>
    </row>
    <row hidden="true" r="907">
      <c r="N907" s="66"/>
      <c r="O907" s="66"/>
      <c r="P907" s="66"/>
      <c r="Q907" s="66"/>
      <c r="R907" s="66"/>
      <c r="S907" s="66"/>
      <c r="T907" s="69"/>
      <c r="U907" s="66"/>
      <c r="V907" s="66"/>
      <c r="W907" s="75"/>
      <c r="X907" s="66"/>
      <c r="Y907" s="66"/>
    </row>
    <row hidden="true" r="908">
      <c r="N908" s="66"/>
      <c r="O908" s="66"/>
      <c r="P908" s="66"/>
      <c r="Q908" s="66"/>
      <c r="R908" s="66"/>
      <c r="S908" s="66"/>
      <c r="T908" s="69"/>
      <c r="U908" s="66"/>
      <c r="V908" s="66"/>
      <c r="W908" s="75"/>
      <c r="X908" s="66"/>
      <c r="Y908" s="66"/>
    </row>
    <row hidden="true" r="909">
      <c r="N909" s="66"/>
      <c r="O909" s="66"/>
      <c r="P909" s="66"/>
      <c r="Q909" s="66"/>
      <c r="R909" s="66"/>
      <c r="S909" s="66"/>
      <c r="T909" s="69"/>
      <c r="U909" s="66"/>
      <c r="V909" s="66"/>
      <c r="W909" s="75"/>
      <c r="X909" s="66"/>
      <c r="Y909" s="66"/>
    </row>
    <row hidden="true" r="910">
      <c r="N910" s="66"/>
      <c r="O910" s="66"/>
      <c r="P910" s="66"/>
      <c r="Q910" s="66"/>
      <c r="R910" s="66"/>
      <c r="S910" s="66"/>
      <c r="T910" s="69"/>
      <c r="U910" s="66"/>
      <c r="V910" s="66"/>
      <c r="W910" s="75"/>
      <c r="X910" s="66"/>
      <c r="Y910" s="66"/>
    </row>
    <row hidden="true" r="911">
      <c r="N911" s="66"/>
      <c r="O911" s="66"/>
      <c r="P911" s="66"/>
      <c r="Q911" s="66"/>
      <c r="R911" s="66"/>
      <c r="S911" s="66"/>
      <c r="T911" s="69"/>
      <c r="U911" s="66"/>
      <c r="V911" s="66"/>
      <c r="W911" s="75"/>
      <c r="X911" s="66"/>
      <c r="Y911" s="66"/>
    </row>
    <row hidden="true" r="912">
      <c r="N912" s="66"/>
      <c r="O912" s="66"/>
      <c r="P912" s="66"/>
      <c r="Q912" s="66"/>
      <c r="R912" s="66"/>
      <c r="S912" s="66"/>
      <c r="T912" s="69"/>
      <c r="U912" s="66"/>
      <c r="V912" s="66"/>
      <c r="W912" s="75"/>
      <c r="X912" s="66"/>
      <c r="Y912" s="66"/>
    </row>
    <row hidden="true" r="913">
      <c r="N913" s="66"/>
      <c r="O913" s="66"/>
      <c r="P913" s="66"/>
      <c r="Q913" s="66"/>
      <c r="R913" s="66"/>
      <c r="S913" s="66"/>
      <c r="T913" s="69"/>
      <c r="U913" s="66"/>
      <c r="V913" s="66"/>
      <c r="W913" s="75"/>
      <c r="X913" s="66"/>
      <c r="Y913" s="66"/>
    </row>
    <row hidden="true" r="914">
      <c r="N914" s="66"/>
      <c r="O914" s="66"/>
      <c r="P914" s="66"/>
      <c r="Q914" s="66"/>
      <c r="R914" s="66"/>
      <c r="S914" s="66"/>
      <c r="T914" s="69"/>
      <c r="U914" s="66"/>
      <c r="V914" s="66"/>
      <c r="W914" s="75"/>
      <c r="X914" s="66"/>
      <c r="Y914" s="66"/>
    </row>
    <row hidden="true" r="915">
      <c r="N915" s="66"/>
      <c r="O915" s="66"/>
      <c r="P915" s="66"/>
      <c r="Q915" s="66"/>
      <c r="R915" s="66"/>
      <c r="S915" s="66"/>
      <c r="T915" s="69"/>
      <c r="U915" s="66"/>
      <c r="V915" s="66"/>
      <c r="W915" s="75"/>
      <c r="X915" s="66"/>
      <c r="Y915" s="66"/>
    </row>
    <row hidden="true" r="916">
      <c r="N916" s="66"/>
      <c r="O916" s="66"/>
      <c r="P916" s="66"/>
      <c r="Q916" s="66"/>
      <c r="R916" s="66"/>
      <c r="S916" s="66"/>
      <c r="T916" s="69"/>
      <c r="U916" s="66"/>
      <c r="V916" s="66"/>
      <c r="W916" s="75"/>
      <c r="X916" s="66"/>
      <c r="Y916" s="66"/>
    </row>
    <row hidden="true" r="917">
      <c r="N917" s="66"/>
      <c r="O917" s="66"/>
      <c r="P917" s="66"/>
      <c r="Q917" s="66"/>
      <c r="R917" s="66"/>
      <c r="S917" s="66"/>
      <c r="T917" s="69"/>
      <c r="U917" s="66"/>
      <c r="V917" s="66"/>
      <c r="W917" s="75"/>
      <c r="X917" s="66"/>
      <c r="Y917" s="66"/>
    </row>
    <row hidden="true" r="918">
      <c r="N918" s="66"/>
      <c r="O918" s="66"/>
      <c r="P918" s="66"/>
      <c r="Q918" s="66"/>
      <c r="R918" s="66"/>
      <c r="S918" s="66"/>
      <c r="T918" s="69"/>
      <c r="U918" s="66"/>
      <c r="V918" s="66"/>
      <c r="W918" s="75"/>
      <c r="X918" s="66"/>
      <c r="Y918" s="66"/>
    </row>
    <row hidden="true" r="919">
      <c r="N919" s="66"/>
      <c r="O919" s="66"/>
      <c r="P919" s="66"/>
      <c r="Q919" s="66"/>
      <c r="R919" s="66"/>
      <c r="S919" s="66"/>
      <c r="T919" s="69"/>
      <c r="U919" s="66"/>
      <c r="V919" s="66"/>
      <c r="W919" s="75"/>
      <c r="X919" s="66"/>
      <c r="Y919" s="66"/>
    </row>
    <row hidden="true" r="920">
      <c r="N920" s="66"/>
      <c r="O920" s="66"/>
      <c r="P920" s="66"/>
      <c r="Q920" s="66"/>
      <c r="R920" s="66"/>
      <c r="S920" s="66"/>
      <c r="T920" s="69"/>
      <c r="U920" s="66"/>
      <c r="V920" s="66"/>
      <c r="W920" s="75"/>
      <c r="X920" s="66"/>
      <c r="Y920" s="66"/>
    </row>
    <row hidden="true" r="921">
      <c r="N921" s="66"/>
      <c r="O921" s="66"/>
      <c r="P921" s="66"/>
      <c r="Q921" s="66"/>
      <c r="R921" s="66"/>
      <c r="S921" s="66"/>
      <c r="T921" s="69"/>
      <c r="U921" s="66"/>
      <c r="V921" s="66"/>
      <c r="W921" s="75"/>
      <c r="X921" s="66"/>
      <c r="Y921" s="66"/>
    </row>
    <row hidden="true" r="922">
      <c r="N922" s="66"/>
      <c r="O922" s="66"/>
      <c r="P922" s="66"/>
      <c r="Q922" s="66"/>
      <c r="R922" s="66"/>
      <c r="S922" s="66"/>
      <c r="T922" s="69"/>
      <c r="U922" s="66"/>
      <c r="V922" s="66"/>
      <c r="W922" s="75"/>
      <c r="X922" s="66"/>
      <c r="Y922" s="66"/>
    </row>
    <row hidden="true" r="923">
      <c r="N923" s="66"/>
      <c r="O923" s="66"/>
      <c r="P923" s="66"/>
      <c r="Q923" s="66"/>
      <c r="R923" s="66"/>
      <c r="S923" s="66"/>
      <c r="T923" s="69"/>
      <c r="U923" s="66"/>
      <c r="V923" s="66"/>
      <c r="W923" s="75"/>
      <c r="X923" s="66"/>
      <c r="Y923" s="66"/>
    </row>
    <row hidden="true" r="924">
      <c r="N924" s="66"/>
      <c r="O924" s="66"/>
      <c r="P924" s="66"/>
      <c r="Q924" s="66"/>
      <c r="R924" s="66"/>
      <c r="S924" s="66"/>
      <c r="T924" s="69"/>
      <c r="U924" s="66"/>
      <c r="V924" s="66"/>
      <c r="W924" s="75"/>
      <c r="X924" s="66"/>
      <c r="Y924" s="66"/>
    </row>
    <row hidden="true" r="925">
      <c r="N925" s="66"/>
      <c r="O925" s="66"/>
      <c r="P925" s="66"/>
      <c r="Q925" s="66"/>
      <c r="R925" s="66"/>
      <c r="S925" s="66"/>
      <c r="T925" s="69"/>
      <c r="U925" s="66"/>
      <c r="V925" s="66"/>
      <c r="W925" s="75"/>
      <c r="X925" s="66"/>
      <c r="Y925" s="66"/>
    </row>
    <row hidden="true" r="926">
      <c r="N926" s="66"/>
      <c r="O926" s="66"/>
      <c r="P926" s="66"/>
      <c r="Q926" s="66"/>
      <c r="R926" s="66"/>
      <c r="S926" s="66"/>
      <c r="T926" s="69"/>
      <c r="U926" s="66"/>
      <c r="V926" s="66"/>
      <c r="W926" s="75"/>
      <c r="X926" s="66"/>
      <c r="Y926" s="66"/>
    </row>
    <row hidden="true" r="927">
      <c r="N927" s="66"/>
      <c r="O927" s="66"/>
      <c r="P927" s="66"/>
      <c r="Q927" s="66"/>
      <c r="R927" s="66"/>
      <c r="S927" s="66"/>
      <c r="T927" s="69"/>
      <c r="U927" s="66"/>
      <c r="V927" s="66"/>
      <c r="W927" s="75"/>
      <c r="X927" s="66"/>
      <c r="Y927" s="66"/>
    </row>
    <row hidden="true" r="928">
      <c r="N928" s="66"/>
      <c r="O928" s="66"/>
      <c r="P928" s="66"/>
      <c r="Q928" s="66"/>
      <c r="R928" s="66"/>
      <c r="S928" s="66"/>
      <c r="T928" s="69"/>
      <c r="U928" s="66"/>
      <c r="V928" s="66"/>
      <c r="W928" s="75"/>
      <c r="X928" s="66"/>
      <c r="Y928" s="66"/>
    </row>
    <row hidden="true" r="929">
      <c r="N929" s="66"/>
      <c r="O929" s="66"/>
      <c r="P929" s="66"/>
      <c r="Q929" s="66"/>
      <c r="R929" s="66"/>
      <c r="S929" s="66"/>
      <c r="T929" s="69"/>
      <c r="U929" s="66"/>
      <c r="V929" s="66"/>
      <c r="W929" s="75"/>
      <c r="X929" s="66"/>
      <c r="Y929" s="66"/>
    </row>
    <row hidden="true" r="930">
      <c r="N930" s="66"/>
      <c r="O930" s="66"/>
      <c r="P930" s="66"/>
      <c r="Q930" s="66"/>
      <c r="R930" s="66"/>
      <c r="S930" s="66"/>
      <c r="T930" s="69"/>
      <c r="U930" s="66"/>
      <c r="V930" s="66"/>
      <c r="W930" s="75"/>
      <c r="X930" s="66"/>
      <c r="Y930" s="66"/>
    </row>
    <row hidden="true" r="931">
      <c r="N931" s="66"/>
      <c r="O931" s="66"/>
      <c r="P931" s="66"/>
      <c r="Q931" s="66"/>
      <c r="R931" s="66"/>
      <c r="S931" s="66"/>
      <c r="T931" s="69"/>
      <c r="U931" s="66"/>
      <c r="V931" s="66"/>
      <c r="W931" s="75"/>
      <c r="X931" s="66"/>
      <c r="Y931" s="66"/>
    </row>
    <row hidden="true" r="932">
      <c r="N932" s="66"/>
      <c r="O932" s="66"/>
      <c r="P932" s="66"/>
      <c r="Q932" s="66"/>
      <c r="R932" s="66"/>
      <c r="S932" s="66"/>
      <c r="T932" s="69"/>
      <c r="U932" s="66"/>
      <c r="V932" s="66"/>
      <c r="W932" s="75"/>
      <c r="X932" s="66"/>
      <c r="Y932" s="66"/>
    </row>
    <row hidden="true" r="933">
      <c r="N933" s="66"/>
      <c r="O933" s="66"/>
      <c r="P933" s="66"/>
      <c r="Q933" s="66"/>
      <c r="R933" s="66"/>
      <c r="S933" s="66"/>
      <c r="T933" s="69"/>
      <c r="U933" s="66"/>
      <c r="V933" s="66"/>
      <c r="W933" s="75"/>
      <c r="X933" s="66"/>
      <c r="Y933" s="66"/>
    </row>
    <row hidden="true" r="934">
      <c r="N934" s="66"/>
      <c r="O934" s="66"/>
      <c r="P934" s="66"/>
      <c r="Q934" s="66"/>
      <c r="R934" s="66"/>
      <c r="S934" s="66"/>
      <c r="T934" s="69"/>
      <c r="U934" s="66"/>
      <c r="V934" s="66"/>
      <c r="W934" s="75"/>
      <c r="X934" s="66"/>
      <c r="Y934" s="66"/>
    </row>
    <row hidden="true" r="935">
      <c r="N935" s="66"/>
      <c r="O935" s="66"/>
      <c r="P935" s="66"/>
      <c r="Q935" s="66"/>
      <c r="R935" s="66"/>
      <c r="S935" s="66"/>
      <c r="T935" s="69"/>
      <c r="U935" s="66"/>
      <c r="V935" s="66"/>
      <c r="W935" s="75"/>
      <c r="X935" s="66"/>
      <c r="Y935" s="66"/>
    </row>
    <row hidden="true" r="936">
      <c r="N936" s="66"/>
      <c r="O936" s="66"/>
      <c r="P936" s="66"/>
      <c r="Q936" s="66"/>
      <c r="R936" s="66"/>
      <c r="S936" s="66"/>
      <c r="T936" s="69"/>
      <c r="U936" s="66"/>
      <c r="V936" s="66"/>
      <c r="W936" s="75"/>
      <c r="X936" s="66"/>
      <c r="Y936" s="66"/>
    </row>
    <row hidden="true" r="937">
      <c r="N937" s="66"/>
      <c r="O937" s="66"/>
      <c r="P937" s="66"/>
      <c r="Q937" s="66"/>
      <c r="R937" s="66"/>
      <c r="S937" s="66"/>
      <c r="T937" s="69"/>
      <c r="U937" s="66"/>
      <c r="V937" s="66"/>
      <c r="W937" s="75"/>
      <c r="X937" s="66"/>
      <c r="Y937" s="66"/>
    </row>
    <row hidden="true" r="938">
      <c r="N938" s="66"/>
      <c r="O938" s="66"/>
      <c r="P938" s="66"/>
      <c r="Q938" s="66"/>
      <c r="R938" s="66"/>
      <c r="S938" s="66"/>
      <c r="T938" s="69"/>
      <c r="U938" s="66"/>
      <c r="V938" s="66"/>
      <c r="W938" s="75"/>
      <c r="X938" s="66"/>
      <c r="Y938" s="66"/>
    </row>
    <row hidden="true" r="939">
      <c r="N939" s="66"/>
      <c r="O939" s="66"/>
      <c r="P939" s="66"/>
      <c r="Q939" s="66"/>
      <c r="R939" s="66"/>
      <c r="S939" s="66"/>
      <c r="T939" s="69"/>
      <c r="U939" s="66"/>
      <c r="V939" s="66"/>
      <c r="W939" s="75"/>
      <c r="X939" s="66"/>
      <c r="Y939" s="66"/>
    </row>
    <row hidden="true" r="940">
      <c r="N940" s="66"/>
      <c r="O940" s="66"/>
      <c r="P940" s="66"/>
      <c r="Q940" s="66"/>
      <c r="R940" s="66"/>
      <c r="S940" s="66"/>
      <c r="T940" s="69"/>
      <c r="U940" s="66"/>
      <c r="V940" s="66"/>
      <c r="W940" s="75"/>
      <c r="X940" s="66"/>
      <c r="Y940" s="66"/>
    </row>
    <row hidden="true" r="941">
      <c r="N941" s="66"/>
      <c r="O941" s="66"/>
      <c r="P941" s="66"/>
      <c r="Q941" s="66"/>
      <c r="R941" s="66"/>
      <c r="S941" s="66"/>
      <c r="T941" s="69"/>
      <c r="U941" s="66"/>
      <c r="V941" s="66"/>
      <c r="W941" s="75"/>
      <c r="X941" s="66"/>
      <c r="Y941" s="66"/>
    </row>
    <row hidden="true" r="942">
      <c r="N942" s="66"/>
      <c r="O942" s="66"/>
      <c r="P942" s="66"/>
      <c r="Q942" s="66"/>
      <c r="R942" s="66"/>
      <c r="S942" s="66"/>
      <c r="T942" s="69"/>
      <c r="U942" s="66"/>
      <c r="V942" s="66"/>
      <c r="W942" s="75"/>
      <c r="X942" s="66"/>
      <c r="Y942" s="66"/>
    </row>
    <row hidden="true" r="943">
      <c r="N943" s="66"/>
      <c r="O943" s="66"/>
      <c r="P943" s="66"/>
      <c r="Q943" s="66"/>
      <c r="R943" s="66"/>
      <c r="S943" s="66"/>
      <c r="T943" s="69"/>
      <c r="U943" s="66"/>
      <c r="V943" s="66"/>
      <c r="W943" s="75"/>
      <c r="X943" s="66"/>
      <c r="Y943" s="66"/>
    </row>
    <row hidden="true" r="944">
      <c r="N944" s="66"/>
      <c r="O944" s="66"/>
      <c r="P944" s="66"/>
      <c r="Q944" s="66"/>
      <c r="R944" s="66"/>
      <c r="S944" s="66"/>
      <c r="T944" s="69"/>
      <c r="U944" s="66"/>
      <c r="V944" s="66"/>
      <c r="W944" s="75"/>
      <c r="X944" s="66"/>
      <c r="Y944" s="66"/>
    </row>
    <row hidden="true" r="945">
      <c r="N945" s="66"/>
      <c r="O945" s="66"/>
      <c r="P945" s="66"/>
      <c r="Q945" s="66"/>
      <c r="R945" s="66"/>
      <c r="S945" s="66"/>
      <c r="T945" s="69"/>
      <c r="U945" s="66"/>
      <c r="V945" s="66"/>
      <c r="W945" s="75"/>
      <c r="X945" s="66"/>
      <c r="Y945" s="66"/>
    </row>
    <row hidden="true" r="946">
      <c r="N946" s="66"/>
      <c r="O946" s="66"/>
      <c r="P946" s="66"/>
      <c r="Q946" s="66"/>
      <c r="R946" s="66"/>
      <c r="S946" s="66"/>
      <c r="T946" s="69"/>
      <c r="U946" s="66"/>
      <c r="V946" s="66"/>
      <c r="W946" s="75"/>
      <c r="X946" s="66"/>
      <c r="Y946" s="66"/>
    </row>
    <row hidden="true" r="947">
      <c r="N947" s="66"/>
      <c r="O947" s="66"/>
      <c r="P947" s="66"/>
      <c r="Q947" s="66"/>
      <c r="R947" s="66"/>
      <c r="S947" s="66"/>
      <c r="T947" s="69"/>
      <c r="U947" s="66"/>
      <c r="V947" s="66"/>
      <c r="W947" s="75"/>
      <c r="X947" s="66"/>
      <c r="Y947" s="66"/>
    </row>
    <row hidden="true" r="948">
      <c r="N948" s="66"/>
      <c r="O948" s="66"/>
      <c r="P948" s="66"/>
      <c r="Q948" s="66"/>
      <c r="R948" s="66"/>
      <c r="S948" s="66"/>
      <c r="T948" s="69"/>
      <c r="U948" s="66"/>
      <c r="V948" s="66"/>
      <c r="W948" s="75"/>
      <c r="X948" s="66"/>
      <c r="Y948" s="66"/>
    </row>
    <row hidden="true" r="949">
      <c r="N949" s="66"/>
      <c r="O949" s="66"/>
      <c r="P949" s="66"/>
      <c r="Q949" s="66"/>
      <c r="R949" s="66"/>
      <c r="S949" s="66"/>
      <c r="T949" s="69"/>
      <c r="U949" s="66"/>
      <c r="V949" s="66"/>
      <c r="W949" s="75"/>
      <c r="X949" s="66"/>
      <c r="Y949" s="66"/>
    </row>
    <row hidden="true" r="950">
      <c r="N950" s="66"/>
      <c r="O950" s="66"/>
      <c r="P950" s="66"/>
      <c r="Q950" s="66"/>
      <c r="R950" s="66"/>
      <c r="S950" s="66"/>
      <c r="T950" s="69"/>
      <c r="U950" s="66"/>
      <c r="V950" s="66"/>
      <c r="W950" s="75"/>
      <c r="X950" s="66"/>
      <c r="Y950" s="66"/>
    </row>
    <row hidden="true" r="951">
      <c r="N951" s="66"/>
      <c r="O951" s="66"/>
      <c r="P951" s="66"/>
      <c r="Q951" s="66"/>
      <c r="R951" s="66"/>
      <c r="S951" s="66"/>
      <c r="T951" s="69"/>
      <c r="U951" s="66"/>
      <c r="V951" s="66"/>
      <c r="W951" s="75"/>
      <c r="X951" s="66"/>
      <c r="Y951" s="66"/>
    </row>
    <row hidden="true" r="952">
      <c r="N952" s="66"/>
      <c r="O952" s="66"/>
      <c r="P952" s="66"/>
      <c r="Q952" s="66"/>
      <c r="R952" s="66"/>
      <c r="S952" s="66"/>
      <c r="T952" s="69"/>
      <c r="U952" s="66"/>
      <c r="V952" s="66"/>
      <c r="W952" s="75"/>
      <c r="X952" s="66"/>
      <c r="Y952" s="66"/>
    </row>
    <row hidden="true" r="953">
      <c r="N953" s="66"/>
      <c r="O953" s="66"/>
      <c r="P953" s="66"/>
      <c r="Q953" s="66"/>
      <c r="R953" s="66"/>
      <c r="S953" s="66"/>
      <c r="T953" s="69"/>
      <c r="U953" s="66"/>
      <c r="V953" s="66"/>
      <c r="W953" s="75"/>
      <c r="X953" s="66"/>
      <c r="Y953" s="66"/>
    </row>
    <row hidden="true" r="954">
      <c r="N954" s="66"/>
      <c r="O954" s="66"/>
      <c r="P954" s="66"/>
      <c r="Q954" s="66"/>
      <c r="R954" s="66"/>
      <c r="S954" s="66"/>
      <c r="T954" s="69"/>
      <c r="U954" s="66"/>
      <c r="V954" s="66"/>
      <c r="W954" s="75"/>
      <c r="X954" s="66"/>
      <c r="Y954" s="66"/>
    </row>
    <row hidden="true" r="955">
      <c r="N955" s="66"/>
      <c r="O955" s="66"/>
      <c r="P955" s="66"/>
      <c r="Q955" s="66"/>
      <c r="R955" s="66"/>
      <c r="S955" s="66"/>
      <c r="T955" s="69"/>
      <c r="U955" s="66"/>
      <c r="V955" s="66"/>
      <c r="W955" s="75"/>
      <c r="X955" s="66"/>
      <c r="Y955" s="66"/>
    </row>
    <row hidden="true" r="956">
      <c r="N956" s="66"/>
      <c r="O956" s="66"/>
      <c r="P956" s="66"/>
      <c r="Q956" s="66"/>
      <c r="R956" s="66"/>
      <c r="S956" s="66"/>
      <c r="T956" s="69"/>
      <c r="U956" s="66"/>
      <c r="V956" s="66"/>
      <c r="W956" s="75"/>
      <c r="X956" s="66"/>
      <c r="Y956" s="66"/>
    </row>
    <row hidden="true" r="957">
      <c r="N957" s="66"/>
      <c r="O957" s="66"/>
      <c r="P957" s="66"/>
      <c r="Q957" s="66"/>
      <c r="R957" s="66"/>
      <c r="S957" s="66"/>
      <c r="T957" s="69"/>
      <c r="U957" s="66"/>
      <c r="V957" s="66"/>
      <c r="W957" s="75"/>
      <c r="X957" s="66"/>
      <c r="Y957" s="66"/>
    </row>
    <row hidden="true" r="958">
      <c r="N958" s="66"/>
      <c r="O958" s="66"/>
      <c r="P958" s="66"/>
      <c r="Q958" s="66"/>
      <c r="R958" s="66"/>
      <c r="S958" s="66"/>
      <c r="T958" s="69"/>
      <c r="U958" s="66"/>
      <c r="V958" s="66"/>
      <c r="W958" s="75"/>
      <c r="X958" s="66"/>
      <c r="Y958" s="66"/>
    </row>
    <row hidden="true" r="959">
      <c r="N959" s="66"/>
      <c r="O959" s="66"/>
      <c r="P959" s="66"/>
      <c r="Q959" s="66"/>
      <c r="R959" s="66"/>
      <c r="S959" s="66"/>
      <c r="T959" s="69"/>
      <c r="U959" s="66"/>
      <c r="V959" s="66"/>
      <c r="W959" s="75"/>
      <c r="X959" s="66"/>
      <c r="Y959" s="66"/>
    </row>
    <row hidden="true" r="960">
      <c r="N960" s="66"/>
      <c r="O960" s="66"/>
      <c r="P960" s="66"/>
      <c r="Q960" s="66"/>
      <c r="R960" s="66"/>
      <c r="S960" s="66"/>
      <c r="T960" s="69"/>
      <c r="U960" s="66"/>
      <c r="V960" s="66"/>
      <c r="W960" s="75"/>
      <c r="X960" s="66"/>
      <c r="Y960" s="66"/>
    </row>
    <row hidden="true" r="961">
      <c r="N961" s="66"/>
      <c r="O961" s="66"/>
      <c r="P961" s="66"/>
      <c r="Q961" s="66"/>
      <c r="R961" s="66"/>
      <c r="S961" s="66"/>
      <c r="T961" s="69"/>
      <c r="U961" s="66"/>
      <c r="V961" s="66"/>
      <c r="W961" s="75"/>
      <c r="X961" s="66"/>
      <c r="Y961" s="66"/>
    </row>
    <row hidden="true" r="962">
      <c r="N962" s="66"/>
      <c r="O962" s="66"/>
      <c r="P962" s="66"/>
      <c r="Q962" s="66"/>
      <c r="R962" s="66"/>
      <c r="S962" s="66"/>
      <c r="T962" s="69"/>
      <c r="U962" s="66"/>
      <c r="V962" s="66"/>
      <c r="W962" s="75"/>
      <c r="X962" s="66"/>
      <c r="Y962" s="66"/>
    </row>
    <row hidden="true" r="963">
      <c r="N963" s="66"/>
      <c r="O963" s="66"/>
      <c r="P963" s="66"/>
      <c r="Q963" s="66"/>
      <c r="R963" s="66"/>
      <c r="S963" s="66"/>
      <c r="T963" s="69"/>
      <c r="U963" s="66"/>
      <c r="V963" s="66"/>
      <c r="W963" s="75"/>
      <c r="X963" s="66"/>
      <c r="Y963" s="66"/>
    </row>
    <row hidden="true" r="964">
      <c r="N964" s="66"/>
      <c r="O964" s="66"/>
      <c r="P964" s="66"/>
      <c r="Q964" s="66"/>
      <c r="R964" s="66"/>
      <c r="S964" s="66"/>
      <c r="T964" s="69"/>
      <c r="U964" s="66"/>
      <c r="V964" s="66"/>
      <c r="W964" s="75"/>
      <c r="X964" s="66"/>
      <c r="Y964" s="66"/>
    </row>
    <row hidden="true" r="965">
      <c r="N965" s="66"/>
      <c r="O965" s="66"/>
      <c r="P965" s="66"/>
      <c r="Q965" s="66"/>
      <c r="R965" s="66"/>
      <c r="S965" s="66"/>
      <c r="T965" s="69"/>
      <c r="U965" s="66"/>
      <c r="V965" s="66"/>
      <c r="W965" s="75"/>
      <c r="X965" s="66"/>
      <c r="Y965" s="66"/>
    </row>
    <row hidden="true" r="966">
      <c r="N966" s="66"/>
      <c r="O966" s="66"/>
      <c r="P966" s="66"/>
      <c r="Q966" s="66"/>
      <c r="R966" s="66"/>
      <c r="S966" s="66"/>
      <c r="T966" s="69"/>
      <c r="U966" s="66"/>
      <c r="V966" s="66"/>
      <c r="W966" s="75"/>
      <c r="X966" s="66"/>
      <c r="Y966" s="66"/>
    </row>
    <row hidden="true" r="967">
      <c r="N967" s="66"/>
      <c r="O967" s="66"/>
      <c r="P967" s="66"/>
      <c r="Q967" s="66"/>
      <c r="R967" s="66"/>
      <c r="S967" s="66"/>
      <c r="T967" s="69"/>
      <c r="U967" s="66"/>
      <c r="V967" s="66"/>
      <c r="W967" s="75"/>
      <c r="X967" s="66"/>
      <c r="Y967" s="66"/>
    </row>
    <row hidden="true" r="968">
      <c r="N968" s="66"/>
      <c r="O968" s="66"/>
      <c r="P968" s="66"/>
      <c r="Q968" s="66"/>
      <c r="R968" s="66"/>
      <c r="S968" s="66"/>
      <c r="T968" s="69"/>
      <c r="U968" s="66"/>
      <c r="V968" s="66"/>
      <c r="W968" s="75"/>
      <c r="X968" s="66"/>
      <c r="Y968" s="66"/>
    </row>
    <row hidden="true" r="969">
      <c r="N969" s="66"/>
      <c r="O969" s="66"/>
      <c r="P969" s="66"/>
      <c r="Q969" s="66"/>
      <c r="R969" s="66"/>
      <c r="S969" s="66"/>
      <c r="T969" s="69"/>
      <c r="U969" s="66"/>
      <c r="V969" s="66"/>
      <c r="W969" s="75"/>
      <c r="X969" s="66"/>
      <c r="Y969" s="66"/>
    </row>
    <row hidden="true" r="970">
      <c r="N970" s="66"/>
      <c r="O970" s="66"/>
      <c r="P970" s="66"/>
      <c r="Q970" s="66"/>
      <c r="R970" s="66"/>
      <c r="S970" s="66"/>
      <c r="T970" s="69"/>
      <c r="U970" s="66"/>
      <c r="V970" s="66"/>
      <c r="W970" s="75"/>
      <c r="X970" s="66"/>
      <c r="Y970" s="66"/>
    </row>
    <row hidden="true" r="971">
      <c r="N971" s="66"/>
      <c r="O971" s="66"/>
      <c r="P971" s="66"/>
      <c r="Q971" s="66"/>
      <c r="R971" s="66"/>
      <c r="S971" s="66"/>
      <c r="T971" s="69"/>
      <c r="U971" s="66"/>
      <c r="V971" s="66"/>
      <c r="W971" s="75"/>
      <c r="X971" s="66"/>
      <c r="Y971" s="66"/>
    </row>
    <row hidden="true" r="972">
      <c r="N972" s="66"/>
      <c r="O972" s="66"/>
      <c r="P972" s="66"/>
      <c r="Q972" s="66"/>
      <c r="R972" s="66"/>
      <c r="S972" s="66"/>
      <c r="T972" s="69"/>
      <c r="U972" s="66"/>
      <c r="V972" s="66"/>
      <c r="W972" s="75"/>
      <c r="X972" s="66"/>
      <c r="Y972" s="66"/>
    </row>
    <row hidden="true" r="973">
      <c r="N973" s="66"/>
      <c r="O973" s="66"/>
      <c r="P973" s="66"/>
      <c r="Q973" s="66"/>
      <c r="R973" s="66"/>
      <c r="S973" s="66"/>
      <c r="T973" s="69"/>
      <c r="U973" s="66"/>
      <c r="V973" s="66"/>
      <c r="W973" s="75"/>
      <c r="X973" s="66"/>
      <c r="Y973" s="66"/>
    </row>
    <row hidden="true" r="974">
      <c r="N974" s="66"/>
      <c r="O974" s="66"/>
      <c r="P974" s="66"/>
      <c r="Q974" s="66"/>
      <c r="R974" s="66"/>
      <c r="S974" s="66"/>
      <c r="T974" s="69"/>
      <c r="U974" s="66"/>
      <c r="V974" s="66"/>
      <c r="W974" s="75"/>
      <c r="X974" s="66"/>
      <c r="Y974" s="66"/>
    </row>
    <row hidden="true" r="975">
      <c r="N975" s="66"/>
      <c r="O975" s="66"/>
      <c r="P975" s="66"/>
      <c r="Q975" s="66"/>
      <c r="R975" s="66"/>
      <c r="S975" s="66"/>
      <c r="T975" s="69"/>
      <c r="U975" s="66"/>
      <c r="V975" s="66"/>
      <c r="W975" s="75"/>
      <c r="X975" s="66"/>
      <c r="Y975" s="66"/>
    </row>
    <row hidden="true" r="976">
      <c r="N976" s="66"/>
      <c r="O976" s="66"/>
      <c r="P976" s="66"/>
      <c r="Q976" s="66"/>
      <c r="R976" s="66"/>
      <c r="S976" s="66"/>
      <c r="T976" s="69"/>
      <c r="U976" s="66"/>
      <c r="V976" s="66"/>
      <c r="W976" s="75"/>
      <c r="X976" s="66"/>
      <c r="Y976" s="66"/>
    </row>
    <row hidden="true" r="977">
      <c r="N977" s="66"/>
      <c r="O977" s="66"/>
      <c r="P977" s="66"/>
      <c r="Q977" s="66"/>
      <c r="R977" s="66"/>
      <c r="S977" s="66"/>
      <c r="T977" s="69"/>
      <c r="U977" s="66"/>
      <c r="V977" s="66"/>
      <c r="W977" s="75"/>
      <c r="X977" s="66"/>
      <c r="Y977" s="66"/>
    </row>
    <row hidden="true" r="978">
      <c r="N978" s="66"/>
      <c r="O978" s="66"/>
      <c r="P978" s="66"/>
      <c r="Q978" s="66"/>
      <c r="R978" s="66"/>
      <c r="S978" s="66"/>
      <c r="T978" s="69"/>
      <c r="U978" s="66"/>
      <c r="V978" s="66"/>
      <c r="W978" s="75"/>
      <c r="X978" s="66"/>
      <c r="Y978" s="66"/>
    </row>
    <row hidden="true" r="979">
      <c r="N979" s="66"/>
      <c r="O979" s="66"/>
      <c r="P979" s="66"/>
      <c r="Q979" s="66"/>
      <c r="R979" s="66"/>
      <c r="S979" s="66"/>
      <c r="T979" s="69"/>
      <c r="U979" s="66"/>
      <c r="V979" s="66"/>
      <c r="W979" s="75"/>
      <c r="X979" s="66"/>
      <c r="Y979" s="66"/>
    </row>
    <row hidden="true" r="980">
      <c r="N980" s="66"/>
      <c r="O980" s="66"/>
      <c r="P980" s="66"/>
      <c r="Q980" s="66"/>
      <c r="R980" s="66"/>
      <c r="S980" s="66"/>
      <c r="T980" s="69"/>
      <c r="U980" s="66"/>
      <c r="V980" s="66"/>
      <c r="W980" s="75"/>
      <c r="X980" s="66"/>
      <c r="Y980" s="66"/>
    </row>
    <row hidden="true" r="981">
      <c r="N981" s="66"/>
      <c r="O981" s="66"/>
      <c r="P981" s="66"/>
      <c r="Q981" s="66"/>
      <c r="R981" s="66"/>
      <c r="S981" s="66"/>
      <c r="T981" s="69"/>
      <c r="U981" s="66"/>
      <c r="V981" s="66"/>
      <c r="W981" s="75"/>
      <c r="X981" s="66"/>
      <c r="Y981" s="66"/>
    </row>
    <row hidden="true" r="982">
      <c r="N982" s="66"/>
      <c r="O982" s="66"/>
      <c r="P982" s="66"/>
      <c r="Q982" s="66"/>
      <c r="R982" s="66"/>
      <c r="S982" s="66"/>
      <c r="T982" s="69"/>
      <c r="U982" s="66"/>
      <c r="V982" s="66"/>
      <c r="W982" s="75"/>
      <c r="X982" s="66"/>
      <c r="Y982" s="66"/>
    </row>
    <row hidden="true" r="983">
      <c r="N983" s="66"/>
      <c r="O983" s="66"/>
      <c r="P983" s="66"/>
      <c r="Q983" s="66"/>
      <c r="R983" s="66"/>
      <c r="S983" s="66"/>
      <c r="T983" s="69"/>
      <c r="U983" s="66"/>
      <c r="V983" s="66"/>
      <c r="W983" s="75"/>
      <c r="X983" s="66"/>
      <c r="Y983" s="66"/>
    </row>
    <row hidden="true" r="984">
      <c r="N984" s="66"/>
      <c r="O984" s="66"/>
      <c r="P984" s="66"/>
      <c r="Q984" s="66"/>
      <c r="R984" s="66"/>
      <c r="S984" s="66"/>
      <c r="T984" s="69"/>
      <c r="U984" s="66"/>
      <c r="V984" s="66"/>
      <c r="W984" s="75"/>
      <c r="X984" s="66"/>
      <c r="Y984" s="66"/>
    </row>
    <row hidden="true" r="985">
      <c r="N985" s="66"/>
      <c r="O985" s="66"/>
      <c r="P985" s="66"/>
      <c r="Q985" s="66"/>
      <c r="R985" s="66"/>
      <c r="S985" s="66"/>
      <c r="T985" s="69"/>
      <c r="U985" s="66"/>
      <c r="V985" s="66"/>
      <c r="W985" s="75"/>
      <c r="X985" s="66"/>
      <c r="Y985" s="66"/>
    </row>
    <row hidden="true" r="986">
      <c r="N986" s="66"/>
      <c r="O986" s="66"/>
      <c r="P986" s="66"/>
      <c r="Q986" s="66"/>
      <c r="R986" s="66"/>
      <c r="S986" s="66"/>
      <c r="T986" s="69"/>
      <c r="U986" s="66"/>
      <c r="V986" s="66"/>
      <c r="W986" s="75"/>
      <c r="X986" s="66"/>
      <c r="Y986" s="66"/>
    </row>
    <row hidden="true" r="987">
      <c r="N987" s="66"/>
      <c r="O987" s="66"/>
      <c r="P987" s="66"/>
      <c r="Q987" s="66"/>
      <c r="R987" s="66"/>
      <c r="S987" s="66"/>
      <c r="T987" s="69"/>
      <c r="U987" s="66"/>
      <c r="V987" s="66"/>
      <c r="W987" s="75"/>
      <c r="X987" s="66"/>
      <c r="Y987" s="66"/>
    </row>
    <row hidden="true" r="988">
      <c r="N988" s="66"/>
      <c r="O988" s="66"/>
      <c r="P988" s="66"/>
      <c r="Q988" s="66"/>
      <c r="R988" s="66"/>
      <c r="S988" s="66"/>
      <c r="T988" s="69"/>
      <c r="U988" s="66"/>
      <c r="V988" s="66"/>
      <c r="W988" s="75"/>
      <c r="X988" s="66"/>
      <c r="Y988" s="66"/>
    </row>
    <row hidden="true" r="989">
      <c r="N989" s="66"/>
      <c r="O989" s="66"/>
      <c r="P989" s="66"/>
      <c r="Q989" s="66"/>
      <c r="R989" s="66"/>
      <c r="S989" s="66"/>
      <c r="T989" s="69"/>
      <c r="U989" s="66"/>
      <c r="V989" s="66"/>
      <c r="W989" s="75"/>
      <c r="X989" s="66"/>
      <c r="Y989" s="66"/>
    </row>
    <row hidden="true" r="990">
      <c r="N990" s="66"/>
      <c r="O990" s="66"/>
      <c r="P990" s="66"/>
      <c r="Q990" s="66"/>
      <c r="R990" s="66"/>
      <c r="S990" s="66"/>
      <c r="T990" s="69"/>
      <c r="U990" s="66"/>
      <c r="V990" s="66"/>
      <c r="W990" s="75"/>
      <c r="X990" s="66"/>
      <c r="Y990" s="66"/>
    </row>
    <row hidden="true" r="991">
      <c r="N991" s="66"/>
      <c r="O991" s="66"/>
      <c r="P991" s="66"/>
      <c r="Q991" s="66"/>
      <c r="R991" s="66"/>
      <c r="S991" s="66"/>
      <c r="T991" s="69"/>
      <c r="U991" s="66"/>
      <c r="V991" s="66"/>
      <c r="W991" s="75"/>
      <c r="X991" s="66"/>
      <c r="Y991" s="66"/>
    </row>
    <row hidden="true" r="992">
      <c r="N992" s="66"/>
      <c r="O992" s="66"/>
      <c r="P992" s="66"/>
      <c r="Q992" s="66"/>
      <c r="R992" s="66"/>
      <c r="S992" s="66"/>
      <c r="T992" s="69"/>
      <c r="U992" s="66"/>
      <c r="V992" s="66"/>
      <c r="W992" s="75"/>
      <c r="X992" s="66"/>
      <c r="Y992" s="66"/>
    </row>
    <row hidden="true" r="993">
      <c r="N993" s="66"/>
      <c r="O993" s="66"/>
      <c r="P993" s="66"/>
      <c r="Q993" s="66"/>
      <c r="R993" s="66"/>
      <c r="S993" s="66"/>
      <c r="T993" s="69"/>
      <c r="U993" s="66"/>
      <c r="V993" s="66"/>
      <c r="W993" s="75"/>
      <c r="X993" s="66"/>
      <c r="Y993" s="66"/>
    </row>
    <row hidden="true" r="994">
      <c r="N994" s="66"/>
      <c r="O994" s="66"/>
      <c r="P994" s="66"/>
      <c r="Q994" s="66"/>
      <c r="R994" s="66"/>
      <c r="S994" s="66"/>
      <c r="T994" s="69"/>
      <c r="U994" s="66"/>
      <c r="V994" s="66"/>
      <c r="W994" s="75"/>
      <c r="X994" s="66"/>
      <c r="Y994" s="66"/>
    </row>
    <row hidden="true" r="995">
      <c r="N995" s="66"/>
      <c r="O995" s="66"/>
      <c r="P995" s="66"/>
      <c r="Q995" s="66"/>
      <c r="R995" s="66"/>
      <c r="S995" s="66"/>
      <c r="T995" s="69"/>
      <c r="U995" s="66"/>
      <c r="V995" s="66"/>
      <c r="W995" s="75"/>
      <c r="X995" s="66"/>
      <c r="Y995" s="66"/>
    </row>
    <row hidden="true" r="996">
      <c r="N996" s="66"/>
      <c r="O996" s="66"/>
      <c r="P996" s="66"/>
      <c r="Q996" s="66"/>
      <c r="R996" s="66"/>
      <c r="S996" s="66"/>
      <c r="T996" s="69"/>
      <c r="U996" s="66"/>
      <c r="V996" s="66"/>
      <c r="W996" s="75"/>
      <c r="X996" s="66"/>
      <c r="Y996" s="66"/>
    </row>
    <row hidden="true" r="997">
      <c r="N997" s="66"/>
      <c r="O997" s="66"/>
      <c r="P997" s="66"/>
      <c r="Q997" s="66"/>
      <c r="R997" s="66"/>
      <c r="S997" s="66"/>
      <c r="T997" s="69"/>
      <c r="U997" s="66"/>
      <c r="V997" s="66"/>
      <c r="W997" s="75"/>
      <c r="X997" s="66"/>
      <c r="Y997" s="66"/>
    </row>
    <row hidden="true" r="998">
      <c r="N998" s="66"/>
      <c r="O998" s="66"/>
      <c r="P998" s="66"/>
      <c r="Q998" s="66"/>
      <c r="R998" s="66"/>
      <c r="S998" s="66"/>
      <c r="T998" s="69"/>
      <c r="U998" s="66"/>
      <c r="V998" s="66"/>
      <c r="W998" s="75"/>
      <c r="X998" s="66"/>
      <c r="Y998" s="66"/>
    </row>
    <row hidden="true" r="999">
      <c r="N999" s="66"/>
      <c r="O999" s="66"/>
      <c r="P999" s="66"/>
      <c r="Q999" s="66"/>
      <c r="R999" s="66"/>
      <c r="S999" s="66"/>
      <c r="T999" s="69"/>
      <c r="U999" s="66"/>
      <c r="V999" s="66"/>
      <c r="W999" s="75"/>
      <c r="X999" s="66"/>
      <c r="Y999" s="66"/>
    </row>
    <row hidden="true" r="1000">
      <c r="N1000" s="66"/>
      <c r="O1000" s="66"/>
      <c r="P1000" s="66"/>
      <c r="Q1000" s="66"/>
      <c r="R1000" s="66"/>
      <c r="S1000" s="66"/>
      <c r="T1000" s="69"/>
      <c r="U1000" s="66"/>
      <c r="V1000" s="66"/>
      <c r="W1000" s="75"/>
      <c r="X1000" s="66"/>
      <c r="Y1000" s="66"/>
    </row>
    <row hidden="true" r="1001">
      <c r="N1001" s="66"/>
      <c r="O1001" s="66"/>
      <c r="P1001" s="66"/>
      <c r="Q1001" s="66"/>
      <c r="R1001" s="66"/>
      <c r="S1001" s="66"/>
      <c r="T1001" s="69"/>
      <c r="U1001" s="66"/>
      <c r="V1001" s="66"/>
      <c r="W1001" s="75"/>
      <c r="X1001" s="66"/>
      <c r="Y1001" s="66"/>
    </row>
    <row hidden="true" r="1002">
      <c r="N1002" s="66"/>
      <c r="O1002" s="66"/>
      <c r="P1002" s="66"/>
      <c r="Q1002" s="66"/>
      <c r="R1002" s="66"/>
      <c r="S1002" s="66"/>
      <c r="T1002" s="69"/>
      <c r="U1002" s="66"/>
      <c r="V1002" s="66"/>
      <c r="W1002" s="75"/>
      <c r="X1002" s="66"/>
      <c r="Y1002" s="66"/>
    </row>
    <row hidden="true" r="1003">
      <c r="N1003" s="66"/>
      <c r="O1003" s="66"/>
      <c r="P1003" s="66"/>
      <c r="Q1003" s="66"/>
      <c r="R1003" s="66"/>
      <c r="S1003" s="66"/>
      <c r="T1003" s="69"/>
      <c r="U1003" s="66"/>
      <c r="V1003" s="66"/>
      <c r="W1003" s="75"/>
      <c r="X1003" s="66"/>
      <c r="Y1003" s="66"/>
    </row>
    <row hidden="true" r="1004">
      <c r="N1004" s="66"/>
      <c r="O1004" s="66"/>
      <c r="P1004" s="66"/>
      <c r="Q1004" s="66"/>
      <c r="R1004" s="66"/>
      <c r="S1004" s="66"/>
      <c r="T1004" s="69"/>
      <c r="U1004" s="66"/>
      <c r="V1004" s="66"/>
      <c r="W1004" s="75"/>
      <c r="X1004" s="66"/>
      <c r="Y1004" s="66"/>
    </row>
    <row hidden="true" r="1005">
      <c r="N1005" s="66"/>
      <c r="O1005" s="66"/>
      <c r="P1005" s="66"/>
      <c r="Q1005" s="66"/>
      <c r="R1005" s="66"/>
      <c r="S1005" s="66"/>
      <c r="T1005" s="69"/>
      <c r="U1005" s="66"/>
      <c r="V1005" s="66"/>
      <c r="W1005" s="75"/>
      <c r="X1005" s="66"/>
      <c r="Y1005" s="66"/>
    </row>
    <row hidden="true" r="1006">
      <c r="N1006" s="66"/>
      <c r="O1006" s="66"/>
      <c r="P1006" s="66"/>
      <c r="Q1006" s="66"/>
      <c r="R1006" s="66"/>
      <c r="S1006" s="66"/>
      <c r="T1006" s="69"/>
      <c r="U1006" s="66"/>
      <c r="V1006" s="66"/>
      <c r="W1006" s="75"/>
      <c r="X1006" s="66"/>
      <c r="Y1006" s="66"/>
    </row>
    <row hidden="true" r="1007">
      <c r="N1007" s="66"/>
      <c r="O1007" s="66"/>
      <c r="P1007" s="66"/>
      <c r="Q1007" s="66"/>
      <c r="R1007" s="66"/>
      <c r="S1007" s="66"/>
      <c r="T1007" s="69"/>
      <c r="U1007" s="66"/>
      <c r="V1007" s="66"/>
      <c r="W1007" s="75"/>
      <c r="X1007" s="66"/>
      <c r="Y1007" s="66"/>
    </row>
    <row hidden="true" r="1008">
      <c r="N1008" s="66"/>
      <c r="O1008" s="66"/>
      <c r="P1008" s="66"/>
      <c r="Q1008" s="66"/>
      <c r="R1008" s="66"/>
      <c r="S1008" s="66"/>
      <c r="T1008" s="69"/>
      <c r="U1008" s="66"/>
      <c r="V1008" s="66"/>
      <c r="W1008" s="75"/>
      <c r="X1008" s="66"/>
      <c r="Y1008" s="66"/>
    </row>
    <row hidden="true" r="1009">
      <c r="N1009" s="66"/>
      <c r="O1009" s="66"/>
      <c r="P1009" s="66"/>
      <c r="Q1009" s="66"/>
      <c r="R1009" s="66"/>
      <c r="S1009" s="66"/>
      <c r="T1009" s="69"/>
      <c r="U1009" s="66"/>
      <c r="V1009" s="66"/>
      <c r="W1009" s="75"/>
      <c r="X1009" s="66"/>
      <c r="Y1009" s="66"/>
    </row>
    <row hidden="true" r="1010">
      <c r="N1010" s="66"/>
      <c r="O1010" s="66"/>
      <c r="P1010" s="66"/>
      <c r="Q1010" s="66"/>
      <c r="R1010" s="66"/>
      <c r="S1010" s="66"/>
      <c r="T1010" s="69"/>
      <c r="U1010" s="66"/>
      <c r="V1010" s="66"/>
      <c r="W1010" s="75"/>
      <c r="X1010" s="66"/>
      <c r="Y1010" s="66"/>
    </row>
    <row hidden="true" r="1011">
      <c r="N1011" s="66"/>
      <c r="O1011" s="66"/>
      <c r="P1011" s="66"/>
      <c r="Q1011" s="66"/>
      <c r="R1011" s="66"/>
      <c r="S1011" s="66"/>
      <c r="T1011" s="69"/>
      <c r="U1011" s="66"/>
      <c r="V1011" s="66"/>
      <c r="W1011" s="75"/>
      <c r="X1011" s="66"/>
      <c r="Y1011" s="66"/>
    </row>
    <row hidden="true" r="1012">
      <c r="N1012" s="66"/>
      <c r="O1012" s="66"/>
      <c r="P1012" s="66"/>
      <c r="Q1012" s="66"/>
      <c r="R1012" s="66"/>
      <c r="S1012" s="66"/>
      <c r="T1012" s="69"/>
      <c r="U1012" s="66"/>
      <c r="V1012" s="66"/>
      <c r="W1012" s="75"/>
      <c r="X1012" s="66"/>
      <c r="Y1012" s="66"/>
    </row>
    <row hidden="true" r="1013">
      <c r="N1013" s="66"/>
      <c r="O1013" s="66"/>
      <c r="P1013" s="66"/>
      <c r="Q1013" s="66"/>
      <c r="R1013" s="66"/>
      <c r="S1013" s="66"/>
      <c r="T1013" s="69"/>
      <c r="U1013" s="66"/>
      <c r="V1013" s="66"/>
      <c r="W1013" s="75"/>
      <c r="X1013" s="66"/>
      <c r="Y1013" s="66"/>
    </row>
    <row hidden="true" r="1014">
      <c r="N1014" s="66"/>
      <c r="O1014" s="66"/>
      <c r="P1014" s="66"/>
      <c r="Q1014" s="66"/>
      <c r="R1014" s="66"/>
      <c r="S1014" s="66"/>
      <c r="T1014" s="69"/>
      <c r="U1014" s="66"/>
      <c r="V1014" s="66"/>
      <c r="W1014" s="75"/>
      <c r="X1014" s="66"/>
      <c r="Y1014" s="66"/>
    </row>
    <row hidden="true" r="1015">
      <c r="N1015" s="66"/>
      <c r="O1015" s="66"/>
      <c r="P1015" s="66"/>
      <c r="Q1015" s="66"/>
      <c r="R1015" s="66"/>
      <c r="S1015" s="66"/>
      <c r="T1015" s="69"/>
      <c r="U1015" s="66"/>
      <c r="V1015" s="66"/>
      <c r="W1015" s="75"/>
      <c r="X1015" s="66"/>
      <c r="Y1015" s="66"/>
    </row>
    <row hidden="true" r="1016">
      <c r="N1016" s="66"/>
      <c r="O1016" s="66"/>
      <c r="P1016" s="66"/>
      <c r="Q1016" s="66"/>
      <c r="R1016" s="66"/>
      <c r="S1016" s="66"/>
      <c r="T1016" s="69"/>
      <c r="U1016" s="66"/>
      <c r="V1016" s="66"/>
      <c r="W1016" s="75"/>
      <c r="X1016" s="66"/>
      <c r="Y1016" s="66"/>
    </row>
    <row hidden="true" r="1017">
      <c r="N1017" s="66"/>
      <c r="O1017" s="66"/>
      <c r="P1017" s="66"/>
      <c r="Q1017" s="66"/>
      <c r="R1017" s="66"/>
      <c r="S1017" s="66"/>
      <c r="T1017" s="69"/>
      <c r="U1017" s="66"/>
      <c r="V1017" s="66"/>
      <c r="W1017" s="75"/>
      <c r="X1017" s="66"/>
      <c r="Y1017" s="66"/>
    </row>
    <row hidden="true" r="1018">
      <c r="N1018" s="66"/>
      <c r="O1018" s="66"/>
      <c r="P1018" s="66"/>
      <c r="Q1018" s="66"/>
      <c r="R1018" s="66"/>
      <c r="S1018" s="66"/>
      <c r="T1018" s="69"/>
      <c r="U1018" s="66"/>
      <c r="V1018" s="66"/>
      <c r="W1018" s="75"/>
      <c r="X1018" s="66"/>
      <c r="Y1018" s="66"/>
    </row>
    <row hidden="true" r="1019">
      <c r="N1019" s="66"/>
      <c r="O1019" s="66"/>
      <c r="P1019" s="66"/>
      <c r="Q1019" s="66"/>
      <c r="R1019" s="66"/>
      <c r="S1019" s="66"/>
      <c r="T1019" s="69"/>
      <c r="U1019" s="66"/>
      <c r="V1019" s="66"/>
      <c r="W1019" s="75"/>
      <c r="X1019" s="66"/>
      <c r="Y1019" s="66"/>
    </row>
    <row hidden="true" r="1020">
      <c r="N1020" s="66"/>
      <c r="O1020" s="66"/>
      <c r="P1020" s="66"/>
      <c r="Q1020" s="66"/>
      <c r="R1020" s="66"/>
      <c r="S1020" s="66"/>
      <c r="T1020" s="69"/>
      <c r="U1020" s="66"/>
      <c r="V1020" s="66"/>
      <c r="W1020" s="75"/>
      <c r="X1020" s="66"/>
      <c r="Y1020" s="66"/>
    </row>
    <row hidden="true" r="1021">
      <c r="N1021" s="66"/>
      <c r="O1021" s="66"/>
      <c r="P1021" s="66"/>
      <c r="Q1021" s="66"/>
      <c r="R1021" s="66"/>
      <c r="S1021" s="66"/>
      <c r="T1021" s="69"/>
      <c r="U1021" s="66"/>
      <c r="V1021" s="66"/>
      <c r="W1021" s="75"/>
      <c r="X1021" s="66"/>
      <c r="Y1021" s="66"/>
    </row>
    <row hidden="true" r="1022">
      <c r="N1022" s="66"/>
      <c r="O1022" s="66"/>
      <c r="P1022" s="66"/>
      <c r="Q1022" s="66"/>
      <c r="R1022" s="66"/>
      <c r="S1022" s="66"/>
      <c r="T1022" s="69"/>
      <c r="U1022" s="66"/>
      <c r="V1022" s="66"/>
      <c r="W1022" s="75"/>
      <c r="X1022" s="66"/>
      <c r="Y1022" s="66"/>
    </row>
    <row hidden="true" r="1023">
      <c r="N1023" s="66"/>
      <c r="O1023" s="66"/>
      <c r="P1023" s="66"/>
      <c r="Q1023" s="66"/>
      <c r="R1023" s="66"/>
      <c r="S1023" s="66"/>
      <c r="T1023" s="69"/>
      <c r="U1023" s="66"/>
      <c r="V1023" s="66"/>
      <c r="W1023" s="75"/>
      <c r="X1023" s="66"/>
      <c r="Y1023" s="66"/>
    </row>
    <row hidden="true" r="1024">
      <c r="N1024" s="66"/>
      <c r="O1024" s="66"/>
      <c r="P1024" s="66"/>
      <c r="Q1024" s="66"/>
      <c r="R1024" s="66"/>
      <c r="S1024" s="66"/>
      <c r="T1024" s="69"/>
      <c r="U1024" s="66"/>
      <c r="V1024" s="66"/>
      <c r="W1024" s="75"/>
      <c r="X1024" s="66"/>
      <c r="Y1024" s="66"/>
    </row>
    <row hidden="true" r="1025">
      <c r="N1025" s="66"/>
      <c r="O1025" s="66"/>
      <c r="P1025" s="66"/>
      <c r="Q1025" s="66"/>
      <c r="R1025" s="66"/>
      <c r="S1025" s="66"/>
      <c r="T1025" s="69"/>
      <c r="U1025" s="66"/>
      <c r="V1025" s="66"/>
      <c r="W1025" s="75"/>
      <c r="X1025" s="66"/>
      <c r="Y1025" s="66"/>
    </row>
    <row hidden="true" r="1026">
      <c r="N1026" s="66"/>
      <c r="O1026" s="66"/>
      <c r="P1026" s="66"/>
      <c r="Q1026" s="66"/>
      <c r="R1026" s="66"/>
      <c r="S1026" s="66"/>
      <c r="T1026" s="69"/>
      <c r="U1026" s="66"/>
      <c r="V1026" s="66"/>
      <c r="W1026" s="75"/>
      <c r="X1026" s="66"/>
      <c r="Y1026" s="66"/>
    </row>
    <row hidden="true" r="1027">
      <c r="N1027" s="66"/>
      <c r="O1027" s="66"/>
      <c r="P1027" s="66"/>
      <c r="Q1027" s="66"/>
      <c r="R1027" s="66"/>
      <c r="S1027" s="66"/>
      <c r="T1027" s="69"/>
      <c r="U1027" s="66"/>
      <c r="V1027" s="66"/>
      <c r="W1027" s="75"/>
      <c r="X1027" s="66"/>
      <c r="Y1027" s="66"/>
    </row>
    <row hidden="true" r="1028">
      <c r="N1028" s="66"/>
      <c r="O1028" s="66"/>
      <c r="P1028" s="66"/>
      <c r="Q1028" s="66"/>
      <c r="R1028" s="66"/>
      <c r="S1028" s="66"/>
      <c r="T1028" s="69"/>
      <c r="U1028" s="66"/>
      <c r="V1028" s="66"/>
      <c r="W1028" s="75"/>
      <c r="X1028" s="66"/>
      <c r="Y1028" s="66"/>
    </row>
    <row hidden="true" r="1029">
      <c r="N1029" s="66"/>
      <c r="O1029" s="66"/>
      <c r="P1029" s="66"/>
      <c r="Q1029" s="66"/>
      <c r="R1029" s="66"/>
      <c r="S1029" s="66"/>
      <c r="T1029" s="69"/>
      <c r="U1029" s="66"/>
      <c r="V1029" s="66"/>
      <c r="W1029" s="75"/>
      <c r="X1029" s="66"/>
      <c r="Y1029" s="66"/>
    </row>
    <row hidden="true" r="1030">
      <c r="N1030" s="66"/>
      <c r="O1030" s="66"/>
      <c r="P1030" s="66"/>
      <c r="Q1030" s="66"/>
      <c r="R1030" s="66"/>
      <c r="S1030" s="66"/>
      <c r="T1030" s="69"/>
      <c r="U1030" s="66"/>
      <c r="V1030" s="66"/>
      <c r="W1030" s="75"/>
      <c r="X1030" s="66"/>
      <c r="Y1030" s="66"/>
    </row>
    <row hidden="true" r="1031">
      <c r="N1031" s="66"/>
      <c r="O1031" s="66"/>
      <c r="P1031" s="66"/>
      <c r="Q1031" s="66"/>
      <c r="R1031" s="66"/>
      <c r="S1031" s="66"/>
      <c r="T1031" s="69"/>
      <c r="U1031" s="66"/>
      <c r="V1031" s="66"/>
      <c r="W1031" s="75"/>
      <c r="X1031" s="66"/>
      <c r="Y1031" s="66"/>
    </row>
    <row hidden="true" r="1032">
      <c r="N1032" s="66"/>
      <c r="O1032" s="66"/>
      <c r="P1032" s="66"/>
      <c r="Q1032" s="66"/>
      <c r="R1032" s="66"/>
      <c r="S1032" s="66"/>
      <c r="T1032" s="69"/>
      <c r="U1032" s="66"/>
      <c r="V1032" s="66"/>
      <c r="W1032" s="75"/>
      <c r="X1032" s="66"/>
      <c r="Y1032" s="66"/>
    </row>
    <row hidden="true" r="1033">
      <c r="N1033" s="66"/>
      <c r="O1033" s="66"/>
      <c r="P1033" s="66"/>
      <c r="Q1033" s="66"/>
      <c r="R1033" s="66"/>
      <c r="S1033" s="66"/>
      <c r="T1033" s="69"/>
      <c r="U1033" s="66"/>
      <c r="V1033" s="66"/>
      <c r="W1033" s="75"/>
      <c r="X1033" s="66"/>
      <c r="Y1033" s="66"/>
    </row>
    <row hidden="true" r="1034">
      <c r="N1034" s="66"/>
      <c r="O1034" s="66"/>
      <c r="P1034" s="66"/>
      <c r="Q1034" s="66"/>
      <c r="R1034" s="66"/>
      <c r="S1034" s="66"/>
      <c r="T1034" s="69"/>
      <c r="U1034" s="66"/>
      <c r="V1034" s="66"/>
      <c r="W1034" s="75"/>
      <c r="X1034" s="66"/>
      <c r="Y1034" s="66"/>
    </row>
    <row hidden="true" r="1035">
      <c r="N1035" s="66"/>
      <c r="O1035" s="66"/>
      <c r="P1035" s="66"/>
      <c r="Q1035" s="66"/>
      <c r="R1035" s="66"/>
      <c r="S1035" s="66"/>
      <c r="T1035" s="69"/>
      <c r="U1035" s="66"/>
      <c r="V1035" s="66"/>
      <c r="W1035" s="75"/>
      <c r="X1035" s="66"/>
      <c r="Y1035" s="66"/>
    </row>
    <row hidden="true" r="1036">
      <c r="N1036" s="66"/>
      <c r="O1036" s="66"/>
      <c r="P1036" s="66"/>
      <c r="Q1036" s="66"/>
      <c r="R1036" s="66"/>
      <c r="S1036" s="66"/>
      <c r="T1036" s="69"/>
      <c r="U1036" s="66"/>
      <c r="V1036" s="66"/>
      <c r="W1036" s="75"/>
      <c r="X1036" s="66"/>
      <c r="Y1036" s="66"/>
    </row>
    <row hidden="true" r="1037">
      <c r="N1037" s="66"/>
      <c r="O1037" s="66"/>
      <c r="P1037" s="66"/>
      <c r="Q1037" s="66"/>
      <c r="R1037" s="66"/>
      <c r="S1037" s="66"/>
      <c r="T1037" s="69"/>
      <c r="U1037" s="66"/>
      <c r="V1037" s="66"/>
      <c r="W1037" s="75"/>
      <c r="X1037" s="66"/>
      <c r="Y1037" s="66"/>
    </row>
    <row hidden="true" r="1038">
      <c r="N1038" s="66"/>
      <c r="O1038" s="66"/>
      <c r="P1038" s="66"/>
      <c r="Q1038" s="66"/>
      <c r="R1038" s="66"/>
      <c r="S1038" s="66"/>
      <c r="T1038" s="69"/>
      <c r="U1038" s="66"/>
      <c r="V1038" s="66"/>
      <c r="W1038" s="75"/>
      <c r="X1038" s="66"/>
      <c r="Y1038" s="66"/>
    </row>
    <row hidden="true" r="1039">
      <c r="N1039" s="66"/>
      <c r="O1039" s="66"/>
      <c r="P1039" s="66"/>
      <c r="Q1039" s="66"/>
      <c r="R1039" s="66"/>
      <c r="S1039" s="66"/>
      <c r="T1039" s="69"/>
      <c r="U1039" s="66"/>
      <c r="V1039" s="66"/>
      <c r="W1039" s="75"/>
      <c r="X1039" s="66"/>
      <c r="Y1039" s="66"/>
    </row>
    <row hidden="true" r="1040">
      <c r="N1040" s="66"/>
      <c r="O1040" s="66"/>
      <c r="P1040" s="66"/>
      <c r="Q1040" s="66"/>
      <c r="R1040" s="66"/>
      <c r="S1040" s="66"/>
      <c r="T1040" s="69"/>
      <c r="U1040" s="66"/>
      <c r="V1040" s="66"/>
      <c r="W1040" s="75"/>
      <c r="X1040" s="66"/>
      <c r="Y1040" s="66"/>
    </row>
    <row hidden="true" r="1041">
      <c r="N1041" s="66"/>
      <c r="O1041" s="66"/>
      <c r="P1041" s="66"/>
      <c r="Q1041" s="66"/>
      <c r="R1041" s="66"/>
      <c r="S1041" s="66"/>
      <c r="T1041" s="69"/>
      <c r="U1041" s="66"/>
      <c r="V1041" s="66"/>
      <c r="W1041" s="75"/>
      <c r="X1041" s="66"/>
      <c r="Y1041" s="66"/>
    </row>
    <row hidden="true" r="1042">
      <c r="N1042" s="66"/>
      <c r="O1042" s="66"/>
      <c r="P1042" s="66"/>
      <c r="Q1042" s="66"/>
      <c r="R1042" s="66"/>
      <c r="S1042" s="66"/>
      <c r="T1042" s="69"/>
      <c r="U1042" s="66"/>
      <c r="V1042" s="66"/>
      <c r="W1042" s="75"/>
      <c r="X1042" s="66"/>
      <c r="Y1042" s="66"/>
    </row>
    <row hidden="true" r="1043">
      <c r="N1043" s="66"/>
      <c r="O1043" s="66"/>
      <c r="P1043" s="66"/>
      <c r="Q1043" s="66"/>
      <c r="R1043" s="66"/>
      <c r="S1043" s="66"/>
      <c r="T1043" s="69"/>
      <c r="U1043" s="66"/>
      <c r="V1043" s="66"/>
      <c r="W1043" s="75"/>
      <c r="X1043" s="66"/>
      <c r="Y1043" s="66"/>
    </row>
    <row hidden="true" r="1044">
      <c r="N1044" s="66"/>
      <c r="O1044" s="66"/>
      <c r="P1044" s="66"/>
      <c r="Q1044" s="66"/>
      <c r="R1044" s="66"/>
      <c r="S1044" s="66"/>
      <c r="T1044" s="69"/>
      <c r="U1044" s="66"/>
      <c r="V1044" s="66"/>
      <c r="W1044" s="75"/>
      <c r="X1044" s="66"/>
      <c r="Y1044" s="66"/>
    </row>
    <row hidden="true" r="1045">
      <c r="N1045" s="66"/>
      <c r="O1045" s="66"/>
      <c r="P1045" s="66"/>
      <c r="Q1045" s="66"/>
      <c r="R1045" s="66"/>
      <c r="S1045" s="66"/>
      <c r="T1045" s="69"/>
      <c r="U1045" s="66"/>
      <c r="V1045" s="66"/>
      <c r="W1045" s="75"/>
      <c r="X1045" s="66"/>
      <c r="Y1045" s="66"/>
    </row>
    <row hidden="true" r="1046">
      <c r="N1046" s="66"/>
      <c r="O1046" s="66"/>
      <c r="P1046" s="66"/>
      <c r="Q1046" s="66"/>
      <c r="R1046" s="66"/>
      <c r="S1046" s="66"/>
      <c r="T1046" s="69"/>
      <c r="U1046" s="66"/>
      <c r="V1046" s="66"/>
      <c r="W1046" s="75"/>
      <c r="X1046" s="66"/>
      <c r="Y1046" s="66"/>
    </row>
    <row hidden="true" r="1047">
      <c r="N1047" s="66"/>
      <c r="O1047" s="66"/>
      <c r="P1047" s="66"/>
      <c r="Q1047" s="66"/>
      <c r="R1047" s="66"/>
      <c r="S1047" s="66"/>
      <c r="T1047" s="69"/>
      <c r="U1047" s="66"/>
      <c r="V1047" s="66"/>
      <c r="W1047" s="75"/>
      <c r="X1047" s="66"/>
      <c r="Y1047" s="66"/>
    </row>
    <row hidden="true" r="1048">
      <c r="N1048" s="66"/>
      <c r="O1048" s="66"/>
      <c r="P1048" s="66"/>
      <c r="Q1048" s="66"/>
      <c r="R1048" s="66"/>
      <c r="S1048" s="66"/>
      <c r="T1048" s="69"/>
      <c r="U1048" s="66"/>
      <c r="V1048" s="66"/>
      <c r="W1048" s="75"/>
      <c r="X1048" s="66"/>
      <c r="Y1048" s="66"/>
    </row>
    <row hidden="true" r="1049">
      <c r="N1049" s="66"/>
      <c r="O1049" s="66"/>
      <c r="P1049" s="66"/>
      <c r="Q1049" s="66"/>
      <c r="R1049" s="66"/>
      <c r="S1049" s="66"/>
      <c r="T1049" s="69"/>
      <c r="U1049" s="66"/>
      <c r="V1049" s="66"/>
      <c r="W1049" s="75"/>
      <c r="X1049" s="66"/>
      <c r="Y1049" s="66"/>
    </row>
    <row hidden="true" r="1050">
      <c r="N1050" s="66"/>
      <c r="O1050" s="66"/>
      <c r="P1050" s="66"/>
      <c r="Q1050" s="66"/>
      <c r="R1050" s="66"/>
      <c r="S1050" s="66"/>
      <c r="T1050" s="69"/>
      <c r="U1050" s="66"/>
      <c r="V1050" s="66"/>
      <c r="W1050" s="75"/>
      <c r="X1050" s="66"/>
      <c r="Y1050" s="66"/>
    </row>
    <row hidden="true" r="1051">
      <c r="N1051" s="66"/>
      <c r="O1051" s="66"/>
      <c r="P1051" s="66"/>
      <c r="Q1051" s="66"/>
      <c r="R1051" s="66"/>
      <c r="S1051" s="66"/>
      <c r="T1051" s="69"/>
      <c r="U1051" s="66"/>
      <c r="V1051" s="66"/>
      <c r="W1051" s="75"/>
      <c r="X1051" s="66"/>
      <c r="Y1051" s="66"/>
    </row>
    <row hidden="true" r="1052">
      <c r="N1052" s="66"/>
      <c r="O1052" s="66"/>
      <c r="P1052" s="66"/>
      <c r="Q1052" s="66"/>
      <c r="R1052" s="66"/>
      <c r="S1052" s="66"/>
      <c r="T1052" s="69"/>
      <c r="U1052" s="66"/>
      <c r="V1052" s="66"/>
      <c r="W1052" s="75"/>
      <c r="X1052" s="66"/>
      <c r="Y1052" s="66"/>
    </row>
    <row hidden="true" r="1053">
      <c r="N1053" s="66"/>
      <c r="O1053" s="66"/>
      <c r="P1053" s="66"/>
      <c r="Q1053" s="66"/>
      <c r="R1053" s="66"/>
      <c r="S1053" s="66"/>
      <c r="T1053" s="69"/>
      <c r="U1053" s="66"/>
      <c r="V1053" s="66"/>
      <c r="W1053" s="75"/>
      <c r="X1053" s="66"/>
      <c r="Y1053" s="66"/>
    </row>
    <row hidden="true" r="1054">
      <c r="N1054" s="66"/>
      <c r="O1054" s="66"/>
      <c r="P1054" s="66"/>
      <c r="Q1054" s="66"/>
      <c r="R1054" s="66"/>
      <c r="S1054" s="66"/>
      <c r="T1054" s="69"/>
      <c r="U1054" s="66"/>
      <c r="V1054" s="66"/>
      <c r="W1054" s="75"/>
      <c r="X1054" s="66"/>
      <c r="Y1054" s="66"/>
    </row>
    <row hidden="true" r="1055">
      <c r="N1055" s="66"/>
      <c r="O1055" s="66"/>
      <c r="P1055" s="66"/>
      <c r="Q1055" s="66"/>
      <c r="R1055" s="66"/>
      <c r="S1055" s="66"/>
      <c r="T1055" s="69"/>
      <c r="U1055" s="66"/>
      <c r="V1055" s="66"/>
      <c r="W1055" s="75"/>
      <c r="X1055" s="66"/>
      <c r="Y1055" s="66"/>
    </row>
    <row hidden="true" r="1056">
      <c r="N1056" s="66"/>
      <c r="O1056" s="66"/>
      <c r="P1056" s="66"/>
      <c r="Q1056" s="66"/>
      <c r="R1056" s="66"/>
      <c r="S1056" s="66"/>
      <c r="T1056" s="69"/>
      <c r="U1056" s="66"/>
      <c r="V1056" s="66"/>
      <c r="W1056" s="75"/>
      <c r="X1056" s="66"/>
      <c r="Y1056" s="66"/>
    </row>
    <row hidden="true" r="1057">
      <c r="N1057" s="66"/>
      <c r="O1057" s="66"/>
      <c r="P1057" s="66"/>
      <c r="Q1057" s="66"/>
      <c r="R1057" s="66"/>
      <c r="S1057" s="66"/>
      <c r="T1057" s="69"/>
      <c r="U1057" s="66"/>
      <c r="V1057" s="66"/>
      <c r="W1057" s="75"/>
      <c r="X1057" s="66"/>
      <c r="Y1057" s="66"/>
    </row>
    <row hidden="true" r="1058">
      <c r="N1058" s="66"/>
      <c r="O1058" s="66"/>
      <c r="P1058" s="66"/>
      <c r="Q1058" s="66"/>
      <c r="R1058" s="66"/>
      <c r="S1058" s="66"/>
      <c r="T1058" s="69"/>
      <c r="U1058" s="66"/>
      <c r="V1058" s="66"/>
      <c r="W1058" s="75"/>
      <c r="X1058" s="66"/>
      <c r="Y1058" s="66"/>
    </row>
    <row hidden="true" r="1059">
      <c r="N1059" s="66"/>
      <c r="O1059" s="66"/>
      <c r="P1059" s="66"/>
      <c r="Q1059" s="66"/>
      <c r="R1059" s="66"/>
      <c r="S1059" s="66"/>
      <c r="T1059" s="69"/>
      <c r="U1059" s="66"/>
      <c r="V1059" s="66"/>
      <c r="W1059" s="75"/>
      <c r="X1059" s="66"/>
      <c r="Y1059" s="66"/>
    </row>
    <row hidden="true" r="1060">
      <c r="N1060" s="66"/>
      <c r="O1060" s="66"/>
      <c r="P1060" s="66"/>
      <c r="Q1060" s="66"/>
      <c r="R1060" s="66"/>
      <c r="S1060" s="66"/>
      <c r="T1060" s="69"/>
      <c r="U1060" s="66"/>
      <c r="V1060" s="66"/>
      <c r="W1060" s="75"/>
      <c r="X1060" s="66"/>
      <c r="Y1060" s="66"/>
    </row>
    <row hidden="true" r="1061">
      <c r="N1061" s="66"/>
      <c r="O1061" s="66"/>
      <c r="P1061" s="66"/>
      <c r="Q1061" s="66"/>
      <c r="R1061" s="66"/>
      <c r="S1061" s="66"/>
      <c r="T1061" s="69"/>
      <c r="U1061" s="66"/>
      <c r="V1061" s="66"/>
      <c r="W1061" s="75"/>
      <c r="X1061" s="66"/>
      <c r="Y1061" s="66"/>
    </row>
    <row hidden="true" r="1062">
      <c r="N1062" s="66"/>
      <c r="O1062" s="66"/>
      <c r="P1062" s="66"/>
      <c r="Q1062" s="66"/>
      <c r="R1062" s="66"/>
      <c r="S1062" s="66"/>
      <c r="T1062" s="69"/>
      <c r="U1062" s="66"/>
      <c r="V1062" s="66"/>
      <c r="W1062" s="75"/>
      <c r="X1062" s="66"/>
      <c r="Y1062" s="66"/>
    </row>
    <row hidden="true" r="1063">
      <c r="N1063" s="66"/>
      <c r="O1063" s="66"/>
      <c r="P1063" s="66"/>
      <c r="Q1063" s="66"/>
      <c r="R1063" s="66"/>
      <c r="S1063" s="66"/>
      <c r="T1063" s="69"/>
      <c r="U1063" s="66"/>
      <c r="V1063" s="66"/>
      <c r="W1063" s="75"/>
      <c r="X1063" s="66"/>
      <c r="Y1063" s="66"/>
    </row>
    <row hidden="true" r="1064">
      <c r="N1064" s="66"/>
      <c r="O1064" s="66"/>
      <c r="P1064" s="66"/>
      <c r="Q1064" s="66"/>
      <c r="R1064" s="66"/>
      <c r="S1064" s="66"/>
      <c r="T1064" s="69"/>
      <c r="U1064" s="66"/>
      <c r="V1064" s="66"/>
      <c r="W1064" s="75"/>
      <c r="X1064" s="66"/>
      <c r="Y1064" s="66"/>
    </row>
    <row hidden="true" r="1065">
      <c r="N1065" s="66"/>
      <c r="O1065" s="66"/>
      <c r="P1065" s="66"/>
      <c r="Q1065" s="66"/>
      <c r="R1065" s="66"/>
      <c r="S1065" s="66"/>
      <c r="T1065" s="69"/>
      <c r="U1065" s="66"/>
      <c r="V1065" s="66"/>
      <c r="W1065" s="75"/>
      <c r="X1065" s="66"/>
      <c r="Y1065" s="66"/>
    </row>
    <row hidden="true" r="1066">
      <c r="N1066" s="66"/>
      <c r="O1066" s="66"/>
      <c r="P1066" s="66"/>
      <c r="Q1066" s="66"/>
      <c r="R1066" s="66"/>
      <c r="S1066" s="66"/>
      <c r="T1066" s="69"/>
      <c r="U1066" s="66"/>
      <c r="V1066" s="66"/>
      <c r="W1066" s="75"/>
      <c r="X1066" s="66"/>
      <c r="Y1066" s="66"/>
    </row>
    <row hidden="true" r="1067">
      <c r="N1067" s="66"/>
      <c r="O1067" s="66"/>
      <c r="P1067" s="66"/>
      <c r="Q1067" s="66"/>
      <c r="R1067" s="66"/>
      <c r="S1067" s="66"/>
      <c r="T1067" s="69"/>
      <c r="U1067" s="66"/>
      <c r="V1067" s="66"/>
      <c r="W1067" s="75"/>
      <c r="X1067" s="66"/>
      <c r="Y1067" s="66"/>
    </row>
    <row hidden="true" r="1068">
      <c r="N1068" s="66"/>
      <c r="O1068" s="66"/>
      <c r="P1068" s="66"/>
      <c r="Q1068" s="66"/>
      <c r="R1068" s="66"/>
      <c r="S1068" s="66"/>
      <c r="T1068" s="69"/>
      <c r="U1068" s="66"/>
      <c r="V1068" s="66"/>
      <c r="W1068" s="75"/>
      <c r="X1068" s="66"/>
      <c r="Y1068" s="66"/>
    </row>
    <row hidden="true" r="1069">
      <c r="N1069" s="66"/>
      <c r="O1069" s="66"/>
      <c r="P1069" s="66"/>
      <c r="Q1069" s="66"/>
      <c r="R1069" s="66"/>
      <c r="S1069" s="66"/>
      <c r="T1069" s="69"/>
      <c r="U1069" s="66"/>
      <c r="V1069" s="66"/>
      <c r="W1069" s="75"/>
      <c r="X1069" s="66"/>
      <c r="Y1069" s="66"/>
    </row>
    <row hidden="true" r="1070">
      <c r="N1070" s="66"/>
      <c r="O1070" s="66"/>
      <c r="P1070" s="66"/>
      <c r="Q1070" s="66"/>
      <c r="R1070" s="66"/>
      <c r="S1070" s="66"/>
      <c r="T1070" s="69"/>
      <c r="U1070" s="66"/>
      <c r="V1070" s="66"/>
      <c r="W1070" s="75"/>
      <c r="X1070" s="66"/>
      <c r="Y1070" s="66"/>
    </row>
    <row hidden="true" r="1071">
      <c r="N1071" s="66"/>
      <c r="O1071" s="66"/>
      <c r="P1071" s="66"/>
      <c r="Q1071" s="66"/>
      <c r="R1071" s="66"/>
      <c r="S1071" s="66"/>
      <c r="T1071" s="69"/>
      <c r="U1071" s="66"/>
      <c r="V1071" s="66"/>
      <c r="W1071" s="75"/>
      <c r="X1071" s="66"/>
      <c r="Y1071" s="66"/>
    </row>
    <row hidden="true" r="1072">
      <c r="N1072" s="66"/>
      <c r="O1072" s="66"/>
      <c r="P1072" s="66"/>
      <c r="Q1072" s="66"/>
      <c r="R1072" s="66"/>
      <c r="S1072" s="66"/>
      <c r="T1072" s="69"/>
      <c r="U1072" s="66"/>
      <c r="V1072" s="66"/>
      <c r="W1072" s="75"/>
      <c r="X1072" s="66"/>
      <c r="Y1072" s="66"/>
    </row>
    <row hidden="true" r="1073">
      <c r="N1073" s="66"/>
      <c r="O1073" s="66"/>
      <c r="P1073" s="66"/>
      <c r="Q1073" s="66"/>
      <c r="R1073" s="66"/>
      <c r="S1073" s="66"/>
      <c r="T1073" s="69"/>
      <c r="U1073" s="66"/>
      <c r="V1073" s="66"/>
      <c r="W1073" s="75"/>
      <c r="X1073" s="66"/>
      <c r="Y1073" s="66"/>
    </row>
    <row hidden="true" r="1074">
      <c r="N1074" s="66"/>
      <c r="O1074" s="66"/>
      <c r="P1074" s="66"/>
      <c r="Q1074" s="66"/>
      <c r="R1074" s="66"/>
      <c r="S1074" s="66"/>
      <c r="T1074" s="69"/>
      <c r="U1074" s="66"/>
      <c r="V1074" s="66"/>
      <c r="W1074" s="75"/>
      <c r="X1074" s="66"/>
      <c r="Y1074" s="66"/>
    </row>
    <row hidden="true" r="1075">
      <c r="N1075" s="66"/>
      <c r="O1075" s="66"/>
      <c r="P1075" s="66"/>
      <c r="Q1075" s="66"/>
      <c r="R1075" s="66"/>
      <c r="S1075" s="66"/>
      <c r="T1075" s="69"/>
      <c r="U1075" s="66"/>
      <c r="V1075" s="66"/>
      <c r="W1075" s="75"/>
      <c r="X1075" s="66"/>
      <c r="Y1075" s="66"/>
    </row>
    <row hidden="true" r="1076">
      <c r="N1076" s="66"/>
      <c r="O1076" s="66"/>
      <c r="P1076" s="66"/>
      <c r="Q1076" s="66"/>
      <c r="R1076" s="66"/>
      <c r="S1076" s="66"/>
      <c r="T1076" s="69"/>
      <c r="U1076" s="66"/>
      <c r="V1076" s="66"/>
      <c r="W1076" s="75"/>
      <c r="X1076" s="66"/>
      <c r="Y1076" s="66"/>
    </row>
    <row hidden="true" r="1077">
      <c r="N1077" s="66"/>
      <c r="O1077" s="66"/>
      <c r="P1077" s="66"/>
      <c r="Q1077" s="66"/>
      <c r="R1077" s="66"/>
      <c r="S1077" s="66"/>
      <c r="T1077" s="69"/>
      <c r="U1077" s="66"/>
      <c r="V1077" s="66"/>
      <c r="W1077" s="75"/>
      <c r="X1077" s="66"/>
      <c r="Y1077" s="66"/>
    </row>
    <row hidden="true" r="1078">
      <c r="N1078" s="66"/>
      <c r="O1078" s="66"/>
      <c r="P1078" s="66"/>
      <c r="Q1078" s="66"/>
      <c r="R1078" s="66"/>
      <c r="S1078" s="66"/>
      <c r="T1078" s="69"/>
      <c r="U1078" s="66"/>
      <c r="V1078" s="66"/>
      <c r="W1078" s="75"/>
      <c r="X1078" s="66"/>
      <c r="Y1078" s="66"/>
    </row>
    <row hidden="true" r="1079">
      <c r="N1079" s="66"/>
      <c r="O1079" s="66"/>
      <c r="P1079" s="66"/>
      <c r="Q1079" s="66"/>
      <c r="R1079" s="66"/>
      <c r="S1079" s="66"/>
      <c r="T1079" s="69"/>
      <c r="U1079" s="66"/>
      <c r="V1079" s="66"/>
      <c r="W1079" s="75"/>
      <c r="X1079" s="66"/>
      <c r="Y1079" s="66"/>
    </row>
    <row hidden="true" r="1080">
      <c r="N1080" s="66"/>
      <c r="O1080" s="66"/>
      <c r="P1080" s="66"/>
      <c r="Q1080" s="66"/>
      <c r="R1080" s="66"/>
      <c r="S1080" s="66"/>
      <c r="T1080" s="69"/>
      <c r="U1080" s="66"/>
      <c r="V1080" s="66"/>
      <c r="W1080" s="75"/>
      <c r="X1080" s="66"/>
      <c r="Y1080" s="66"/>
    </row>
    <row hidden="true" r="1081">
      <c r="N1081" s="66"/>
      <c r="O1081" s="66"/>
      <c r="P1081" s="66"/>
      <c r="Q1081" s="66"/>
      <c r="R1081" s="66"/>
      <c r="S1081" s="66"/>
      <c r="T1081" s="69"/>
      <c r="U1081" s="66"/>
      <c r="V1081" s="66"/>
      <c r="W1081" s="75"/>
      <c r="X1081" s="66"/>
      <c r="Y1081" s="66"/>
    </row>
    <row hidden="true" r="1082">
      <c r="N1082" s="66"/>
      <c r="O1082" s="66"/>
      <c r="P1082" s="66"/>
      <c r="Q1082" s="66"/>
      <c r="R1082" s="66"/>
      <c r="S1082" s="66"/>
      <c r="T1082" s="69"/>
      <c r="U1082" s="66"/>
      <c r="V1082" s="66"/>
      <c r="W1082" s="75"/>
      <c r="X1082" s="66"/>
      <c r="Y1082" s="66"/>
    </row>
    <row hidden="true" r="1083">
      <c r="N1083" s="66"/>
      <c r="O1083" s="66"/>
      <c r="P1083" s="66"/>
      <c r="Q1083" s="66"/>
      <c r="R1083" s="66"/>
      <c r="S1083" s="66"/>
      <c r="T1083" s="69"/>
      <c r="U1083" s="66"/>
      <c r="V1083" s="66"/>
      <c r="W1083" s="75"/>
      <c r="X1083" s="66"/>
      <c r="Y1083" s="66"/>
    </row>
    <row hidden="true" r="1084">
      <c r="N1084" s="66"/>
      <c r="O1084" s="66"/>
      <c r="P1084" s="66"/>
      <c r="Q1084" s="66"/>
      <c r="R1084" s="66"/>
      <c r="S1084" s="66"/>
      <c r="T1084" s="69"/>
      <c r="U1084" s="66"/>
      <c r="V1084" s="66"/>
      <c r="W1084" s="75"/>
      <c r="X1084" s="66"/>
      <c r="Y1084" s="66"/>
    </row>
    <row hidden="true" r="1085">
      <c r="N1085" s="66"/>
      <c r="O1085" s="66"/>
      <c r="P1085" s="66"/>
      <c r="Q1085" s="66"/>
      <c r="R1085" s="66"/>
      <c r="S1085" s="66"/>
      <c r="T1085" s="69"/>
      <c r="U1085" s="66"/>
      <c r="V1085" s="66"/>
      <c r="W1085" s="75"/>
      <c r="X1085" s="66"/>
      <c r="Y1085" s="66"/>
    </row>
    <row hidden="true" r="1086">
      <c r="N1086" s="66"/>
      <c r="O1086" s="66"/>
      <c r="P1086" s="66"/>
      <c r="Q1086" s="66"/>
      <c r="R1086" s="66"/>
      <c r="S1086" s="66"/>
      <c r="T1086" s="69"/>
      <c r="U1086" s="66"/>
      <c r="V1086" s="66"/>
      <c r="W1086" s="75"/>
      <c r="X1086" s="66"/>
      <c r="Y1086" s="66"/>
    </row>
    <row hidden="true" r="1087">
      <c r="N1087" s="66"/>
      <c r="O1087" s="66"/>
      <c r="P1087" s="66"/>
      <c r="Q1087" s="66"/>
      <c r="R1087" s="66"/>
      <c r="S1087" s="66"/>
      <c r="T1087" s="69"/>
      <c r="U1087" s="66"/>
      <c r="V1087" s="66"/>
      <c r="W1087" s="75"/>
      <c r="X1087" s="66"/>
      <c r="Y1087" s="66"/>
    </row>
    <row hidden="true" r="1088">
      <c r="N1088" s="66"/>
      <c r="O1088" s="66"/>
      <c r="P1088" s="66"/>
      <c r="Q1088" s="66"/>
      <c r="R1088" s="66"/>
      <c r="S1088" s="66"/>
      <c r="T1088" s="69"/>
      <c r="U1088" s="66"/>
      <c r="V1088" s="66"/>
      <c r="W1088" s="75"/>
      <c r="X1088" s="66"/>
      <c r="Y1088" s="66"/>
    </row>
    <row hidden="true" r="1089">
      <c r="N1089" s="66"/>
      <c r="O1089" s="66"/>
      <c r="P1089" s="66"/>
      <c r="Q1089" s="66"/>
      <c r="R1089" s="66"/>
      <c r="S1089" s="66"/>
      <c r="T1089" s="69"/>
      <c r="U1089" s="66"/>
      <c r="V1089" s="66"/>
      <c r="W1089" s="75"/>
      <c r="X1089" s="66"/>
      <c r="Y1089" s="66"/>
    </row>
    <row hidden="true" r="1090">
      <c r="N1090" s="66"/>
      <c r="O1090" s="66"/>
      <c r="P1090" s="66"/>
      <c r="Q1090" s="66"/>
      <c r="R1090" s="66"/>
      <c r="S1090" s="66"/>
      <c r="T1090" s="69"/>
      <c r="U1090" s="66"/>
      <c r="V1090" s="66"/>
      <c r="W1090" s="75"/>
      <c r="X1090" s="66"/>
      <c r="Y1090" s="66"/>
    </row>
    <row hidden="true" r="1091">
      <c r="N1091" s="66"/>
      <c r="O1091" s="66"/>
      <c r="P1091" s="66"/>
      <c r="Q1091" s="66"/>
      <c r="R1091" s="66"/>
      <c r="S1091" s="66"/>
      <c r="T1091" s="69"/>
      <c r="U1091" s="66"/>
      <c r="V1091" s="66"/>
      <c r="W1091" s="75"/>
      <c r="X1091" s="66"/>
      <c r="Y1091" s="66"/>
    </row>
    <row hidden="true" r="1092">
      <c r="N1092" s="66"/>
      <c r="O1092" s="66"/>
      <c r="P1092" s="66"/>
      <c r="Q1092" s="66"/>
      <c r="R1092" s="66"/>
      <c r="S1092" s="66"/>
      <c r="T1092" s="69"/>
      <c r="U1092" s="66"/>
      <c r="V1092" s="66"/>
      <c r="W1092" s="75"/>
      <c r="X1092" s="66"/>
      <c r="Y1092" s="66"/>
    </row>
    <row hidden="true" r="1093">
      <c r="N1093" s="66"/>
      <c r="O1093" s="66"/>
      <c r="P1093" s="66"/>
      <c r="Q1093" s="66"/>
      <c r="R1093" s="66"/>
      <c r="S1093" s="66"/>
      <c r="T1093" s="69"/>
      <c r="U1093" s="66"/>
      <c r="V1093" s="66"/>
      <c r="W1093" s="75"/>
      <c r="X1093" s="66"/>
      <c r="Y1093" s="66"/>
    </row>
    <row hidden="true" r="1094">
      <c r="N1094" s="66"/>
      <c r="O1094" s="66"/>
      <c r="P1094" s="66"/>
      <c r="Q1094" s="66"/>
      <c r="R1094" s="66"/>
      <c r="S1094" s="66"/>
      <c r="T1094" s="69"/>
      <c r="U1094" s="66"/>
      <c r="V1094" s="66"/>
      <c r="W1094" s="75"/>
      <c r="X1094" s="66"/>
      <c r="Y1094" s="66"/>
    </row>
    <row hidden="true" r="1095">
      <c r="N1095" s="66"/>
      <c r="O1095" s="66"/>
      <c r="P1095" s="66"/>
      <c r="Q1095" s="66"/>
      <c r="R1095" s="66"/>
      <c r="S1095" s="66"/>
      <c r="T1095" s="69"/>
      <c r="U1095" s="66"/>
      <c r="V1095" s="66"/>
      <c r="W1095" s="75"/>
      <c r="X1095" s="66"/>
      <c r="Y1095" s="66"/>
    </row>
    <row hidden="true" r="1096">
      <c r="N1096" s="66"/>
      <c r="O1096" s="66"/>
      <c r="P1096" s="66"/>
      <c r="Q1096" s="66"/>
      <c r="R1096" s="66"/>
      <c r="S1096" s="66"/>
      <c r="T1096" s="69"/>
      <c r="U1096" s="66"/>
      <c r="V1096" s="66"/>
      <c r="W1096" s="75"/>
      <c r="X1096" s="66"/>
      <c r="Y1096" s="66"/>
    </row>
    <row hidden="true" r="1097">
      <c r="N1097" s="66"/>
      <c r="O1097" s="66"/>
      <c r="P1097" s="66"/>
      <c r="Q1097" s="66"/>
      <c r="R1097" s="66"/>
      <c r="S1097" s="66"/>
      <c r="T1097" s="69"/>
      <c r="U1097" s="66"/>
      <c r="V1097" s="66"/>
      <c r="W1097" s="75"/>
      <c r="X1097" s="66"/>
      <c r="Y1097" s="66"/>
    </row>
    <row hidden="true" r="1098">
      <c r="N1098" s="66"/>
      <c r="O1098" s="66"/>
      <c r="P1098" s="66"/>
      <c r="Q1098" s="66"/>
      <c r="R1098" s="66"/>
      <c r="S1098" s="66"/>
      <c r="T1098" s="69"/>
      <c r="U1098" s="66"/>
      <c r="V1098" s="66"/>
      <c r="W1098" s="75"/>
      <c r="X1098" s="66"/>
      <c r="Y1098" s="66"/>
    </row>
    <row hidden="true" r="1099">
      <c r="N1099" s="66"/>
      <c r="O1099" s="66"/>
      <c r="P1099" s="66"/>
      <c r="Q1099" s="66"/>
      <c r="R1099" s="66"/>
      <c r="S1099" s="66"/>
      <c r="T1099" s="69"/>
      <c r="U1099" s="66"/>
      <c r="V1099" s="66"/>
      <c r="W1099" s="75"/>
      <c r="X1099" s="66"/>
      <c r="Y1099" s="66"/>
    </row>
    <row hidden="true" r="1100">
      <c r="N1100" s="66"/>
      <c r="O1100" s="66"/>
      <c r="P1100" s="66"/>
      <c r="Q1100" s="66"/>
      <c r="R1100" s="66"/>
      <c r="S1100" s="66"/>
      <c r="T1100" s="69"/>
      <c r="U1100" s="66"/>
      <c r="V1100" s="66"/>
      <c r="W1100" s="75"/>
      <c r="X1100" s="66"/>
      <c r="Y1100" s="66"/>
    </row>
    <row hidden="true" r="1101">
      <c r="N1101" s="66"/>
      <c r="O1101" s="66"/>
      <c r="P1101" s="66"/>
      <c r="Q1101" s="66"/>
      <c r="R1101" s="66"/>
      <c r="S1101" s="66"/>
      <c r="T1101" s="69"/>
      <c r="U1101" s="66"/>
      <c r="V1101" s="66"/>
      <c r="W1101" s="75"/>
      <c r="X1101" s="66"/>
      <c r="Y1101" s="66"/>
    </row>
    <row hidden="true" r="1102">
      <c r="N1102" s="66"/>
      <c r="O1102" s="66"/>
      <c r="P1102" s="66"/>
      <c r="Q1102" s="66"/>
      <c r="R1102" s="66"/>
      <c r="S1102" s="66"/>
      <c r="T1102" s="69"/>
      <c r="U1102" s="66"/>
      <c r="V1102" s="66"/>
      <c r="W1102" s="75"/>
      <c r="X1102" s="66"/>
      <c r="Y1102" s="66"/>
    </row>
    <row hidden="true" r="1103">
      <c r="N1103" s="66"/>
      <c r="O1103" s="66"/>
      <c r="P1103" s="66"/>
      <c r="Q1103" s="66"/>
      <c r="R1103" s="66"/>
      <c r="S1103" s="66"/>
      <c r="T1103" s="69"/>
      <c r="U1103" s="66"/>
      <c r="V1103" s="66"/>
      <c r="W1103" s="75"/>
      <c r="X1103" s="66"/>
      <c r="Y1103" s="66"/>
    </row>
    <row hidden="true" r="1104">
      <c r="N1104" s="66"/>
      <c r="O1104" s="66"/>
      <c r="P1104" s="66"/>
      <c r="Q1104" s="66"/>
      <c r="R1104" s="66"/>
      <c r="S1104" s="66"/>
      <c r="T1104" s="69"/>
      <c r="U1104" s="66"/>
      <c r="V1104" s="66"/>
      <c r="W1104" s="75"/>
      <c r="X1104" s="66"/>
      <c r="Y1104" s="66"/>
    </row>
    <row hidden="true" r="1105">
      <c r="N1105" s="66"/>
      <c r="O1105" s="66"/>
      <c r="P1105" s="66"/>
      <c r="Q1105" s="66"/>
      <c r="R1105" s="66"/>
      <c r="S1105" s="66"/>
      <c r="T1105" s="69"/>
      <c r="U1105" s="66"/>
      <c r="V1105" s="66"/>
      <c r="W1105" s="75"/>
      <c r="X1105" s="66"/>
      <c r="Y1105" s="66"/>
    </row>
    <row hidden="true" r="1106">
      <c r="N1106" s="66"/>
      <c r="O1106" s="66"/>
      <c r="P1106" s="66"/>
      <c r="Q1106" s="66"/>
      <c r="R1106" s="66"/>
      <c r="S1106" s="66"/>
      <c r="T1106" s="69"/>
      <c r="U1106" s="66"/>
      <c r="V1106" s="66"/>
      <c r="W1106" s="75"/>
      <c r="X1106" s="66"/>
      <c r="Y1106" s="66"/>
    </row>
    <row hidden="true" r="1107">
      <c r="N1107" s="66"/>
      <c r="O1107" s="66"/>
      <c r="P1107" s="66"/>
      <c r="Q1107" s="66"/>
      <c r="R1107" s="66"/>
      <c r="S1107" s="66"/>
      <c r="T1107" s="69"/>
      <c r="U1107" s="66"/>
      <c r="V1107" s="66"/>
      <c r="W1107" s="75"/>
      <c r="X1107" s="66"/>
      <c r="Y1107" s="66"/>
    </row>
    <row hidden="true" r="1108">
      <c r="N1108" s="66"/>
      <c r="O1108" s="66"/>
      <c r="P1108" s="66"/>
      <c r="Q1108" s="66"/>
      <c r="R1108" s="66"/>
      <c r="S1108" s="66"/>
      <c r="T1108" s="69"/>
      <c r="U1108" s="66"/>
      <c r="V1108" s="66"/>
      <c r="W1108" s="75"/>
      <c r="X1108" s="66"/>
      <c r="Y1108" s="66"/>
    </row>
    <row hidden="true" r="1109">
      <c r="N1109" s="66"/>
      <c r="O1109" s="66"/>
      <c r="P1109" s="66"/>
      <c r="Q1109" s="66"/>
      <c r="R1109" s="66"/>
      <c r="S1109" s="66"/>
      <c r="T1109" s="69"/>
      <c r="U1109" s="66"/>
      <c r="V1109" s="66"/>
      <c r="W1109" s="75"/>
      <c r="X1109" s="66"/>
      <c r="Y1109" s="66"/>
    </row>
    <row hidden="true" r="1110">
      <c r="N1110" s="66"/>
      <c r="O1110" s="66"/>
      <c r="P1110" s="66"/>
      <c r="Q1110" s="66"/>
      <c r="R1110" s="66"/>
      <c r="S1110" s="66"/>
      <c r="T1110" s="69"/>
      <c r="U1110" s="66"/>
      <c r="V1110" s="66"/>
      <c r="W1110" s="75"/>
      <c r="X1110" s="66"/>
      <c r="Y1110" s="66"/>
    </row>
    <row hidden="true" r="1111">
      <c r="N1111" s="66"/>
      <c r="O1111" s="66"/>
      <c r="P1111" s="66"/>
      <c r="Q1111" s="66"/>
      <c r="R1111" s="66"/>
      <c r="S1111" s="66"/>
      <c r="T1111" s="69"/>
      <c r="U1111" s="66"/>
      <c r="V1111" s="66"/>
      <c r="W1111" s="75"/>
      <c r="X1111" s="66"/>
      <c r="Y1111" s="66"/>
    </row>
    <row hidden="true" r="1112">
      <c r="N1112" s="66"/>
      <c r="O1112" s="66"/>
      <c r="P1112" s="66"/>
      <c r="Q1112" s="66"/>
      <c r="R1112" s="66"/>
      <c r="S1112" s="66"/>
      <c r="T1112" s="69"/>
      <c r="U1112" s="66"/>
      <c r="V1112" s="66"/>
      <c r="W1112" s="75"/>
      <c r="X1112" s="66"/>
      <c r="Y1112" s="66"/>
    </row>
    <row hidden="true" r="1113">
      <c r="N1113" s="66"/>
      <c r="O1113" s="66"/>
      <c r="P1113" s="66"/>
      <c r="Q1113" s="66"/>
      <c r="R1113" s="66"/>
      <c r="S1113" s="66"/>
      <c r="T1113" s="69"/>
      <c r="U1113" s="66"/>
      <c r="V1113" s="66"/>
      <c r="W1113" s="75"/>
      <c r="X1113" s="66"/>
      <c r="Y1113" s="66"/>
    </row>
    <row hidden="true" r="1114">
      <c r="N1114" s="66"/>
      <c r="O1114" s="66"/>
      <c r="P1114" s="66"/>
      <c r="Q1114" s="66"/>
      <c r="R1114" s="66"/>
      <c r="S1114" s="66"/>
      <c r="T1114" s="69"/>
      <c r="U1114" s="66"/>
      <c r="V1114" s="66"/>
      <c r="W1114" s="75"/>
      <c r="X1114" s="66"/>
      <c r="Y1114" s="66"/>
    </row>
    <row hidden="true" r="1115">
      <c r="N1115" s="66"/>
      <c r="O1115" s="66"/>
      <c r="P1115" s="66"/>
      <c r="Q1115" s="66"/>
      <c r="R1115" s="66"/>
      <c r="S1115" s="66"/>
      <c r="T1115" s="69"/>
      <c r="U1115" s="66"/>
      <c r="V1115" s="66"/>
      <c r="W1115" s="75"/>
      <c r="X1115" s="66"/>
      <c r="Y1115" s="66"/>
    </row>
    <row hidden="true" r="1116">
      <c r="N1116" s="66"/>
      <c r="O1116" s="66"/>
      <c r="P1116" s="66"/>
      <c r="Q1116" s="66"/>
      <c r="R1116" s="66"/>
      <c r="S1116" s="66"/>
      <c r="T1116" s="69"/>
      <c r="U1116" s="66"/>
      <c r="V1116" s="66"/>
      <c r="W1116" s="75"/>
      <c r="X1116" s="66"/>
      <c r="Y1116" s="66"/>
    </row>
    <row hidden="true" r="1117">
      <c r="N1117" s="66"/>
      <c r="O1117" s="66"/>
      <c r="P1117" s="66"/>
      <c r="Q1117" s="66"/>
      <c r="R1117" s="66"/>
      <c r="S1117" s="66"/>
      <c r="T1117" s="69"/>
      <c r="U1117" s="66"/>
      <c r="V1117" s="66"/>
      <c r="W1117" s="75"/>
      <c r="X1117" s="66"/>
      <c r="Y1117" s="66"/>
    </row>
    <row hidden="true" r="1118">
      <c r="N1118" s="66"/>
      <c r="O1118" s="66"/>
      <c r="P1118" s="66"/>
      <c r="Q1118" s="66"/>
      <c r="R1118" s="66"/>
      <c r="S1118" s="66"/>
      <c r="T1118" s="69"/>
      <c r="U1118" s="66"/>
      <c r="V1118" s="66"/>
      <c r="W1118" s="75"/>
      <c r="X1118" s="66"/>
      <c r="Y1118" s="66"/>
    </row>
    <row hidden="true" r="1119">
      <c r="N1119" s="66"/>
      <c r="O1119" s="66"/>
      <c r="P1119" s="66"/>
      <c r="Q1119" s="66"/>
      <c r="R1119" s="66"/>
      <c r="S1119" s="66"/>
      <c r="T1119" s="69"/>
      <c r="U1119" s="66"/>
      <c r="V1119" s="66"/>
      <c r="W1119" s="75"/>
      <c r="X1119" s="66"/>
      <c r="Y1119" s="66"/>
    </row>
    <row hidden="true" r="1120">
      <c r="N1120" s="66"/>
      <c r="O1120" s="66"/>
      <c r="P1120" s="66"/>
      <c r="Q1120" s="66"/>
      <c r="R1120" s="66"/>
      <c r="S1120" s="66"/>
      <c r="T1120" s="69"/>
      <c r="U1120" s="66"/>
      <c r="V1120" s="66"/>
      <c r="W1120" s="75"/>
      <c r="X1120" s="66"/>
      <c r="Y1120" s="66"/>
    </row>
    <row hidden="true" r="1121">
      <c r="N1121" s="66"/>
      <c r="O1121" s="66"/>
      <c r="P1121" s="66"/>
      <c r="Q1121" s="66"/>
      <c r="R1121" s="66"/>
      <c r="S1121" s="66"/>
      <c r="T1121" s="69"/>
      <c r="U1121" s="66"/>
      <c r="V1121" s="66"/>
      <c r="W1121" s="75"/>
      <c r="X1121" s="66"/>
      <c r="Y1121" s="66"/>
    </row>
    <row hidden="true" r="1122">
      <c r="N1122" s="66"/>
      <c r="O1122" s="66"/>
      <c r="P1122" s="66"/>
      <c r="Q1122" s="66"/>
      <c r="R1122" s="66"/>
      <c r="S1122" s="66"/>
      <c r="T1122" s="69"/>
      <c r="U1122" s="66"/>
      <c r="V1122" s="66"/>
      <c r="W1122" s="75"/>
      <c r="X1122" s="66"/>
      <c r="Y1122" s="66"/>
    </row>
    <row hidden="true" r="1123">
      <c r="N1123" s="66"/>
      <c r="O1123" s="66"/>
      <c r="P1123" s="66"/>
      <c r="Q1123" s="66"/>
      <c r="R1123" s="66"/>
      <c r="S1123" s="66"/>
      <c r="T1123" s="69"/>
      <c r="U1123" s="66"/>
      <c r="V1123" s="66"/>
      <c r="W1123" s="75"/>
      <c r="X1123" s="66"/>
      <c r="Y1123" s="66"/>
    </row>
    <row hidden="true" r="1124">
      <c r="N1124" s="66"/>
      <c r="O1124" s="66"/>
      <c r="P1124" s="66"/>
      <c r="Q1124" s="66"/>
      <c r="R1124" s="66"/>
      <c r="S1124" s="66"/>
      <c r="T1124" s="69"/>
      <c r="U1124" s="66"/>
      <c r="V1124" s="66"/>
      <c r="W1124" s="75"/>
      <c r="X1124" s="66"/>
      <c r="Y1124" s="66"/>
    </row>
    <row hidden="true" r="1125">
      <c r="N1125" s="66"/>
      <c r="O1125" s="66"/>
      <c r="P1125" s="66"/>
      <c r="Q1125" s="66"/>
      <c r="R1125" s="66"/>
      <c r="S1125" s="66"/>
      <c r="T1125" s="69"/>
      <c r="U1125" s="66"/>
      <c r="V1125" s="66"/>
      <c r="W1125" s="75"/>
      <c r="X1125" s="66"/>
      <c r="Y1125" s="66"/>
    </row>
    <row hidden="true" r="1126">
      <c r="N1126" s="66"/>
      <c r="O1126" s="66"/>
      <c r="P1126" s="66"/>
      <c r="Q1126" s="66"/>
      <c r="R1126" s="66"/>
      <c r="S1126" s="66"/>
      <c r="T1126" s="69"/>
      <c r="U1126" s="66"/>
      <c r="V1126" s="66"/>
      <c r="W1126" s="75"/>
      <c r="X1126" s="66"/>
      <c r="Y1126" s="66"/>
    </row>
    <row hidden="true" r="1127">
      <c r="N1127" s="66"/>
      <c r="O1127" s="66"/>
      <c r="P1127" s="66"/>
      <c r="Q1127" s="66"/>
      <c r="R1127" s="66"/>
      <c r="S1127" s="66"/>
      <c r="T1127" s="69"/>
      <c r="U1127" s="66"/>
      <c r="V1127" s="66"/>
      <c r="W1127" s="75"/>
      <c r="X1127" s="66"/>
      <c r="Y1127" s="66"/>
    </row>
    <row hidden="true" r="1128">
      <c r="N1128" s="66"/>
      <c r="O1128" s="66"/>
      <c r="P1128" s="66"/>
      <c r="Q1128" s="66"/>
      <c r="R1128" s="66"/>
      <c r="S1128" s="66"/>
      <c r="T1128" s="69"/>
      <c r="U1128" s="66"/>
      <c r="V1128" s="66"/>
      <c r="W1128" s="75"/>
      <c r="X1128" s="66"/>
      <c r="Y1128" s="66"/>
    </row>
    <row hidden="true" r="1129">
      <c r="N1129" s="66"/>
      <c r="O1129" s="66"/>
      <c r="P1129" s="66"/>
      <c r="Q1129" s="66"/>
      <c r="R1129" s="66"/>
      <c r="S1129" s="66"/>
      <c r="T1129" s="69"/>
      <c r="U1129" s="66"/>
      <c r="V1129" s="66"/>
      <c r="W1129" s="75"/>
      <c r="X1129" s="66"/>
      <c r="Y1129" s="66"/>
    </row>
    <row hidden="true" r="1130">
      <c r="N1130" s="66"/>
      <c r="O1130" s="66"/>
      <c r="P1130" s="66"/>
      <c r="Q1130" s="66"/>
      <c r="R1130" s="66"/>
      <c r="S1130" s="66"/>
      <c r="T1130" s="69"/>
      <c r="U1130" s="66"/>
      <c r="V1130" s="66"/>
      <c r="W1130" s="75"/>
      <c r="X1130" s="66"/>
      <c r="Y1130" s="66"/>
    </row>
    <row hidden="true" r="1131">
      <c r="N1131" s="66"/>
      <c r="O1131" s="66"/>
      <c r="P1131" s="66"/>
      <c r="Q1131" s="66"/>
      <c r="R1131" s="66"/>
      <c r="S1131" s="66"/>
      <c r="T1131" s="69"/>
      <c r="U1131" s="66"/>
      <c r="V1131" s="66"/>
      <c r="W1131" s="75"/>
      <c r="X1131" s="66"/>
      <c r="Y1131" s="66"/>
    </row>
    <row hidden="true" r="1132">
      <c r="N1132" s="66"/>
      <c r="O1132" s="66"/>
      <c r="P1132" s="66"/>
      <c r="Q1132" s="66"/>
      <c r="R1132" s="66"/>
      <c r="S1132" s="66"/>
      <c r="T1132" s="69"/>
      <c r="U1132" s="66"/>
      <c r="V1132" s="66"/>
      <c r="W1132" s="75"/>
      <c r="X1132" s="66"/>
      <c r="Y1132" s="66"/>
    </row>
    <row hidden="true" r="1133">
      <c r="N1133" s="66"/>
      <c r="O1133" s="66"/>
      <c r="P1133" s="66"/>
      <c r="Q1133" s="66"/>
      <c r="R1133" s="66"/>
      <c r="S1133" s="66"/>
      <c r="T1133" s="69"/>
      <c r="U1133" s="66"/>
      <c r="V1133" s="66"/>
      <c r="W1133" s="75"/>
      <c r="X1133" s="66"/>
      <c r="Y1133" s="66"/>
    </row>
    <row hidden="true" r="1134">
      <c r="N1134" s="66"/>
      <c r="O1134" s="66"/>
      <c r="P1134" s="66"/>
      <c r="Q1134" s="66"/>
      <c r="R1134" s="66"/>
      <c r="S1134" s="66"/>
      <c r="T1134" s="69"/>
      <c r="U1134" s="66"/>
      <c r="V1134" s="66"/>
      <c r="W1134" s="75"/>
      <c r="X1134" s="66"/>
      <c r="Y1134" s="66"/>
    </row>
    <row hidden="true" r="1135">
      <c r="N1135" s="66"/>
      <c r="O1135" s="66"/>
      <c r="P1135" s="66"/>
      <c r="Q1135" s="66"/>
      <c r="R1135" s="66"/>
      <c r="S1135" s="66"/>
      <c r="T1135" s="69"/>
      <c r="U1135" s="66"/>
      <c r="V1135" s="66"/>
      <c r="W1135" s="75"/>
      <c r="X1135" s="66"/>
      <c r="Y1135" s="66"/>
    </row>
    <row hidden="true" r="1136">
      <c r="N1136" s="66"/>
      <c r="O1136" s="66"/>
      <c r="P1136" s="66"/>
      <c r="Q1136" s="66"/>
      <c r="R1136" s="66"/>
      <c r="S1136" s="66"/>
      <c r="T1136" s="69"/>
      <c r="U1136" s="66"/>
      <c r="V1136" s="66"/>
      <c r="W1136" s="75"/>
      <c r="X1136" s="66"/>
      <c r="Y1136" s="66"/>
    </row>
    <row hidden="true" r="1137">
      <c r="N1137" s="66"/>
      <c r="O1137" s="66"/>
      <c r="P1137" s="66"/>
      <c r="Q1137" s="66"/>
      <c r="R1137" s="66"/>
      <c r="S1137" s="66"/>
      <c r="T1137" s="69"/>
      <c r="U1137" s="66"/>
      <c r="V1137" s="66"/>
      <c r="W1137" s="75"/>
      <c r="X1137" s="66"/>
      <c r="Y1137" s="66"/>
    </row>
    <row hidden="true" r="1138">
      <c r="N1138" s="66"/>
      <c r="O1138" s="66"/>
      <c r="P1138" s="66"/>
      <c r="Q1138" s="66"/>
      <c r="R1138" s="66"/>
      <c r="S1138" s="66"/>
      <c r="T1138" s="69"/>
      <c r="U1138" s="66"/>
      <c r="V1138" s="66"/>
      <c r="W1138" s="75"/>
      <c r="X1138" s="66"/>
      <c r="Y1138" s="66"/>
    </row>
    <row hidden="true" r="1139">
      <c r="N1139" s="66"/>
      <c r="O1139" s="66"/>
      <c r="P1139" s="66"/>
      <c r="Q1139" s="66"/>
      <c r="R1139" s="66"/>
      <c r="S1139" s="66"/>
      <c r="T1139" s="69"/>
      <c r="U1139" s="66"/>
      <c r="V1139" s="66"/>
      <c r="W1139" s="75"/>
      <c r="X1139" s="66"/>
      <c r="Y1139" s="66"/>
    </row>
    <row hidden="true" r="1140">
      <c r="N1140" s="66"/>
      <c r="O1140" s="66"/>
      <c r="P1140" s="66"/>
      <c r="Q1140" s="66"/>
      <c r="R1140" s="66"/>
      <c r="S1140" s="66"/>
      <c r="T1140" s="69"/>
      <c r="U1140" s="66"/>
      <c r="V1140" s="66"/>
      <c r="W1140" s="75"/>
      <c r="X1140" s="66"/>
      <c r="Y1140" s="66"/>
    </row>
    <row hidden="true" r="1141">
      <c r="N1141" s="66"/>
      <c r="O1141" s="66"/>
      <c r="P1141" s="66"/>
      <c r="Q1141" s="66"/>
      <c r="R1141" s="66"/>
      <c r="S1141" s="66"/>
      <c r="T1141" s="69"/>
      <c r="U1141" s="66"/>
      <c r="V1141" s="66"/>
      <c r="W1141" s="75"/>
      <c r="X1141" s="66"/>
      <c r="Y1141" s="66"/>
    </row>
    <row hidden="true" r="1142">
      <c r="N1142" s="66"/>
      <c r="O1142" s="66"/>
      <c r="P1142" s="66"/>
      <c r="Q1142" s="66"/>
      <c r="R1142" s="66"/>
      <c r="S1142" s="66"/>
      <c r="T1142" s="69"/>
      <c r="U1142" s="66"/>
      <c r="V1142" s="66"/>
      <c r="W1142" s="75"/>
      <c r="X1142" s="66"/>
      <c r="Y1142" s="66"/>
    </row>
    <row hidden="true" r="1143">
      <c r="N1143" s="66"/>
      <c r="O1143" s="66"/>
      <c r="P1143" s="66"/>
      <c r="Q1143" s="66"/>
      <c r="R1143" s="66"/>
      <c r="S1143" s="66"/>
      <c r="T1143" s="69"/>
      <c r="U1143" s="66"/>
      <c r="V1143" s="66"/>
      <c r="W1143" s="75"/>
      <c r="X1143" s="66"/>
      <c r="Y1143" s="66"/>
    </row>
    <row hidden="true" r="1144">
      <c r="N1144" s="66"/>
      <c r="O1144" s="66"/>
      <c r="P1144" s="66"/>
      <c r="Q1144" s="66"/>
      <c r="R1144" s="66"/>
      <c r="S1144" s="66"/>
      <c r="T1144" s="69"/>
      <c r="U1144" s="66"/>
      <c r="V1144" s="66"/>
      <c r="W1144" s="75"/>
      <c r="X1144" s="66"/>
      <c r="Y1144" s="66"/>
    </row>
    <row hidden="true" r="1145">
      <c r="N1145" s="66"/>
      <c r="O1145" s="66"/>
      <c r="P1145" s="66"/>
      <c r="Q1145" s="66"/>
      <c r="R1145" s="66"/>
      <c r="S1145" s="66"/>
      <c r="T1145" s="69"/>
      <c r="U1145" s="66"/>
      <c r="V1145" s="66"/>
      <c r="W1145" s="75"/>
      <c r="X1145" s="66"/>
      <c r="Y1145" s="66"/>
    </row>
    <row hidden="true" r="1146">
      <c r="N1146" s="66"/>
      <c r="O1146" s="66"/>
      <c r="P1146" s="66"/>
      <c r="Q1146" s="66"/>
      <c r="R1146" s="66"/>
      <c r="S1146" s="66"/>
      <c r="T1146" s="69"/>
      <c r="U1146" s="66"/>
      <c r="V1146" s="66"/>
      <c r="W1146" s="75"/>
      <c r="X1146" s="66"/>
      <c r="Y1146" s="66"/>
    </row>
    <row hidden="true" r="1147">
      <c r="N1147" s="66"/>
      <c r="O1147" s="66"/>
      <c r="P1147" s="66"/>
      <c r="Q1147" s="66"/>
      <c r="R1147" s="66"/>
      <c r="S1147" s="66"/>
      <c r="T1147" s="69"/>
      <c r="U1147" s="66"/>
      <c r="V1147" s="66"/>
      <c r="W1147" s="75"/>
      <c r="X1147" s="66"/>
      <c r="Y1147" s="66"/>
    </row>
    <row hidden="true" r="1148">
      <c r="N1148" s="66"/>
      <c r="O1148" s="66"/>
      <c r="P1148" s="66"/>
      <c r="Q1148" s="66"/>
      <c r="R1148" s="66"/>
      <c r="S1148" s="66"/>
      <c r="T1148" s="69"/>
      <c r="U1148" s="66"/>
      <c r="V1148" s="66"/>
      <c r="W1148" s="75"/>
      <c r="X1148" s="66"/>
      <c r="Y1148" s="66"/>
    </row>
    <row hidden="true" r="1149">
      <c r="N1149" s="66"/>
      <c r="O1149" s="66"/>
      <c r="P1149" s="66"/>
      <c r="Q1149" s="66"/>
      <c r="R1149" s="66"/>
      <c r="S1149" s="66"/>
      <c r="T1149" s="69"/>
      <c r="U1149" s="66"/>
      <c r="V1149" s="66"/>
      <c r="W1149" s="75"/>
      <c r="X1149" s="66"/>
      <c r="Y1149" s="66"/>
    </row>
    <row hidden="true" r="1150">
      <c r="N1150" s="66"/>
      <c r="O1150" s="66"/>
      <c r="P1150" s="66"/>
      <c r="Q1150" s="66"/>
      <c r="R1150" s="66"/>
      <c r="S1150" s="66"/>
      <c r="T1150" s="69"/>
      <c r="U1150" s="66"/>
      <c r="V1150" s="66"/>
      <c r="W1150" s="75"/>
      <c r="X1150" s="66"/>
      <c r="Y1150" s="66"/>
    </row>
    <row hidden="true" r="1151">
      <c r="N1151" s="66"/>
      <c r="O1151" s="66"/>
      <c r="P1151" s="66"/>
      <c r="Q1151" s="66"/>
      <c r="R1151" s="66"/>
      <c r="S1151" s="66"/>
      <c r="T1151" s="69"/>
      <c r="U1151" s="66"/>
      <c r="V1151" s="66"/>
      <c r="W1151" s="75"/>
      <c r="X1151" s="66"/>
      <c r="Y1151" s="66"/>
    </row>
    <row hidden="true" r="1152">
      <c r="N1152" s="66"/>
      <c r="O1152" s="66"/>
      <c r="P1152" s="66"/>
      <c r="Q1152" s="66"/>
      <c r="R1152" s="66"/>
      <c r="S1152" s="66"/>
      <c r="T1152" s="69"/>
      <c r="U1152" s="66"/>
      <c r="V1152" s="66"/>
      <c r="W1152" s="75"/>
      <c r="X1152" s="66"/>
      <c r="Y1152" s="66"/>
    </row>
    <row hidden="true" r="1153">
      <c r="N1153" s="66"/>
      <c r="O1153" s="66"/>
      <c r="P1153" s="66"/>
      <c r="Q1153" s="66"/>
      <c r="R1153" s="66"/>
      <c r="S1153" s="66"/>
      <c r="T1153" s="69"/>
      <c r="U1153" s="66"/>
      <c r="V1153" s="66"/>
      <c r="W1153" s="75"/>
      <c r="X1153" s="66"/>
      <c r="Y1153" s="66"/>
    </row>
    <row hidden="true" r="1154">
      <c r="N1154" s="66"/>
      <c r="O1154" s="66"/>
      <c r="P1154" s="66"/>
      <c r="Q1154" s="66"/>
      <c r="R1154" s="66"/>
      <c r="S1154" s="66"/>
      <c r="T1154" s="69"/>
      <c r="U1154" s="66"/>
      <c r="V1154" s="66"/>
      <c r="W1154" s="75"/>
      <c r="X1154" s="66"/>
      <c r="Y1154" s="66"/>
    </row>
    <row hidden="true" r="1155">
      <c r="N1155" s="66"/>
      <c r="O1155" s="66"/>
      <c r="P1155" s="66"/>
      <c r="Q1155" s="66"/>
      <c r="R1155" s="66"/>
      <c r="S1155" s="66"/>
      <c r="T1155" s="69"/>
      <c r="U1155" s="66"/>
      <c r="V1155" s="66"/>
      <c r="W1155" s="75"/>
      <c r="X1155" s="66"/>
      <c r="Y1155" s="66"/>
    </row>
    <row hidden="true" r="1156">
      <c r="N1156" s="66"/>
      <c r="O1156" s="66"/>
      <c r="P1156" s="66"/>
      <c r="Q1156" s="66"/>
      <c r="R1156" s="66"/>
      <c r="S1156" s="66"/>
      <c r="T1156" s="69"/>
      <c r="U1156" s="66"/>
      <c r="V1156" s="66"/>
      <c r="W1156" s="75"/>
      <c r="X1156" s="66"/>
      <c r="Y1156" s="66"/>
    </row>
    <row hidden="true" r="1157">
      <c r="N1157" s="66"/>
      <c r="O1157" s="66"/>
      <c r="P1157" s="66"/>
      <c r="Q1157" s="66"/>
      <c r="R1157" s="66"/>
      <c r="S1157" s="66"/>
      <c r="T1157" s="69"/>
      <c r="U1157" s="66"/>
      <c r="V1157" s="66"/>
      <c r="W1157" s="75"/>
      <c r="X1157" s="66"/>
      <c r="Y1157" s="66"/>
    </row>
    <row hidden="true" r="1158">
      <c r="N1158" s="66"/>
      <c r="O1158" s="66"/>
      <c r="P1158" s="66"/>
      <c r="Q1158" s="66"/>
      <c r="R1158" s="66"/>
      <c r="S1158" s="66"/>
      <c r="T1158" s="69"/>
      <c r="U1158" s="66"/>
      <c r="V1158" s="66"/>
      <c r="W1158" s="75"/>
      <c r="X1158" s="66"/>
      <c r="Y1158" s="66"/>
    </row>
    <row hidden="true" r="1159">
      <c r="N1159" s="66"/>
      <c r="O1159" s="66"/>
      <c r="P1159" s="66"/>
      <c r="Q1159" s="66"/>
      <c r="R1159" s="66"/>
      <c r="S1159" s="66"/>
      <c r="T1159" s="69"/>
      <c r="U1159" s="66"/>
      <c r="V1159" s="66"/>
      <c r="W1159" s="75"/>
      <c r="X1159" s="66"/>
      <c r="Y1159" s="66"/>
    </row>
    <row hidden="true" r="1160">
      <c r="N1160" s="66"/>
      <c r="O1160" s="66"/>
      <c r="P1160" s="66"/>
      <c r="Q1160" s="66"/>
      <c r="R1160" s="66"/>
      <c r="S1160" s="66"/>
      <c r="T1160" s="69"/>
      <c r="U1160" s="66"/>
      <c r="V1160" s="66"/>
      <c r="W1160" s="75"/>
      <c r="X1160" s="66"/>
      <c r="Y1160" s="66"/>
    </row>
    <row hidden="true" r="1161">
      <c r="N1161" s="66"/>
      <c r="O1161" s="66"/>
      <c r="P1161" s="66"/>
      <c r="Q1161" s="66"/>
      <c r="R1161" s="66"/>
      <c r="S1161" s="66"/>
      <c r="T1161" s="69"/>
      <c r="U1161" s="66"/>
      <c r="V1161" s="66"/>
      <c r="W1161" s="75"/>
      <c r="X1161" s="66"/>
      <c r="Y1161" s="66"/>
    </row>
    <row hidden="true" r="1162">
      <c r="N1162" s="66"/>
      <c r="O1162" s="66"/>
      <c r="P1162" s="66"/>
      <c r="Q1162" s="66"/>
      <c r="R1162" s="66"/>
      <c r="S1162" s="66"/>
      <c r="T1162" s="69"/>
      <c r="U1162" s="66"/>
      <c r="V1162" s="66"/>
      <c r="W1162" s="75"/>
      <c r="X1162" s="66"/>
      <c r="Y1162" s="66"/>
    </row>
    <row hidden="true" r="1163">
      <c r="N1163" s="66"/>
      <c r="O1163" s="66"/>
      <c r="P1163" s="66"/>
      <c r="Q1163" s="66"/>
      <c r="R1163" s="66"/>
      <c r="S1163" s="66"/>
      <c r="T1163" s="69"/>
      <c r="U1163" s="66"/>
      <c r="V1163" s="66"/>
      <c r="W1163" s="75"/>
      <c r="X1163" s="66"/>
      <c r="Y1163" s="66"/>
    </row>
    <row hidden="true" r="1164">
      <c r="N1164" s="66"/>
      <c r="O1164" s="66"/>
      <c r="P1164" s="66"/>
      <c r="Q1164" s="66"/>
      <c r="R1164" s="66"/>
      <c r="S1164" s="66"/>
      <c r="T1164" s="69"/>
      <c r="U1164" s="66"/>
      <c r="V1164" s="66"/>
      <c r="W1164" s="75"/>
      <c r="X1164" s="66"/>
      <c r="Y1164" s="66"/>
    </row>
    <row hidden="true" r="1165">
      <c r="N1165" s="66"/>
      <c r="O1165" s="66"/>
      <c r="P1165" s="66"/>
      <c r="Q1165" s="66"/>
      <c r="R1165" s="66"/>
      <c r="S1165" s="66"/>
      <c r="T1165" s="69"/>
      <c r="U1165" s="66"/>
      <c r="V1165" s="66"/>
      <c r="W1165" s="75"/>
      <c r="X1165" s="66"/>
      <c r="Y1165" s="66"/>
    </row>
    <row hidden="true" r="1166">
      <c r="N1166" s="66"/>
      <c r="O1166" s="66"/>
      <c r="P1166" s="66"/>
      <c r="Q1166" s="66"/>
      <c r="R1166" s="66"/>
      <c r="S1166" s="66"/>
      <c r="T1166" s="69"/>
      <c r="U1166" s="66"/>
      <c r="V1166" s="66"/>
      <c r="W1166" s="75"/>
      <c r="X1166" s="66"/>
      <c r="Y1166" s="66"/>
    </row>
    <row hidden="true" r="1167">
      <c r="N1167" s="66"/>
      <c r="O1167" s="66"/>
      <c r="P1167" s="66"/>
      <c r="Q1167" s="66"/>
      <c r="R1167" s="66"/>
      <c r="S1167" s="66"/>
      <c r="T1167" s="69"/>
      <c r="U1167" s="66"/>
      <c r="V1167" s="66"/>
      <c r="W1167" s="75"/>
      <c r="X1167" s="66"/>
      <c r="Y1167" s="66"/>
    </row>
    <row hidden="true" r="1168">
      <c r="N1168" s="66"/>
      <c r="O1168" s="66"/>
      <c r="P1168" s="66"/>
      <c r="Q1168" s="66"/>
      <c r="R1168" s="66"/>
      <c r="S1168" s="66"/>
      <c r="T1168" s="69"/>
      <c r="U1168" s="66"/>
      <c r="V1168" s="66"/>
      <c r="W1168" s="75"/>
      <c r="X1168" s="66"/>
      <c r="Y1168" s="66"/>
    </row>
    <row hidden="true" r="1169">
      <c r="N1169" s="66"/>
      <c r="O1169" s="66"/>
      <c r="P1169" s="66"/>
      <c r="Q1169" s="66"/>
      <c r="R1169" s="66"/>
      <c r="S1169" s="66"/>
      <c r="T1169" s="69"/>
      <c r="U1169" s="66"/>
      <c r="V1169" s="66"/>
      <c r="W1169" s="75"/>
      <c r="X1169" s="66"/>
      <c r="Y1169" s="66"/>
    </row>
    <row hidden="true" r="1170">
      <c r="N1170" s="66"/>
      <c r="O1170" s="66"/>
      <c r="P1170" s="66"/>
      <c r="Q1170" s="66"/>
      <c r="R1170" s="66"/>
      <c r="S1170" s="66"/>
      <c r="T1170" s="69"/>
      <c r="U1170" s="66"/>
      <c r="V1170" s="66"/>
      <c r="W1170" s="75"/>
      <c r="X1170" s="66"/>
      <c r="Y1170" s="66"/>
    </row>
    <row hidden="true" r="1171">
      <c r="N1171" s="66"/>
      <c r="O1171" s="66"/>
      <c r="P1171" s="66"/>
      <c r="Q1171" s="66"/>
      <c r="R1171" s="66"/>
      <c r="S1171" s="66"/>
      <c r="T1171" s="69"/>
      <c r="U1171" s="66"/>
      <c r="V1171" s="66"/>
      <c r="W1171" s="75"/>
      <c r="X1171" s="66"/>
      <c r="Y1171" s="66"/>
    </row>
    <row hidden="true" r="1172">
      <c r="N1172" s="66"/>
      <c r="O1172" s="66"/>
      <c r="P1172" s="66"/>
      <c r="Q1172" s="66"/>
      <c r="R1172" s="66"/>
      <c r="S1172" s="66"/>
      <c r="T1172" s="69"/>
      <c r="U1172" s="66"/>
      <c r="V1172" s="66"/>
      <c r="W1172" s="75"/>
      <c r="X1172" s="66"/>
      <c r="Y1172" s="66"/>
    </row>
    <row hidden="true" r="1173">
      <c r="N1173" s="66"/>
      <c r="O1173" s="66"/>
      <c r="P1173" s="66"/>
      <c r="Q1173" s="66"/>
      <c r="R1173" s="66"/>
      <c r="S1173" s="66"/>
      <c r="T1173" s="69"/>
      <c r="U1173" s="66"/>
      <c r="V1173" s="66"/>
      <c r="W1173" s="75"/>
      <c r="X1173" s="66"/>
      <c r="Y1173" s="66"/>
    </row>
    <row hidden="true" r="1174">
      <c r="N1174" s="66"/>
      <c r="O1174" s="66"/>
      <c r="P1174" s="66"/>
      <c r="Q1174" s="66"/>
      <c r="R1174" s="66"/>
      <c r="S1174" s="66"/>
      <c r="T1174" s="69"/>
      <c r="U1174" s="66"/>
      <c r="V1174" s="66"/>
      <c r="W1174" s="75"/>
      <c r="X1174" s="66"/>
      <c r="Y1174" s="66"/>
    </row>
    <row hidden="true" r="1175">
      <c r="N1175" s="66"/>
      <c r="O1175" s="66"/>
      <c r="P1175" s="66"/>
      <c r="Q1175" s="66"/>
      <c r="R1175" s="66"/>
      <c r="S1175" s="66"/>
      <c r="T1175" s="69"/>
      <c r="U1175" s="66"/>
      <c r="V1175" s="66"/>
      <c r="W1175" s="75"/>
      <c r="X1175" s="66"/>
      <c r="Y1175" s="66"/>
    </row>
    <row hidden="true" r="1176">
      <c r="N1176" s="66"/>
      <c r="O1176" s="66"/>
      <c r="P1176" s="66"/>
      <c r="Q1176" s="66"/>
      <c r="R1176" s="66"/>
      <c r="S1176" s="66"/>
      <c r="T1176" s="69"/>
      <c r="U1176" s="66"/>
      <c r="V1176" s="66"/>
      <c r="W1176" s="75"/>
      <c r="X1176" s="66"/>
      <c r="Y1176" s="66"/>
    </row>
    <row hidden="true" r="1177">
      <c r="N1177" s="66"/>
      <c r="O1177" s="66"/>
      <c r="P1177" s="66"/>
      <c r="Q1177" s="66"/>
      <c r="R1177" s="66"/>
      <c r="S1177" s="66"/>
      <c r="T1177" s="69"/>
      <c r="U1177" s="66"/>
      <c r="V1177" s="66"/>
      <c r="W1177" s="75"/>
      <c r="X1177" s="66"/>
      <c r="Y1177" s="66"/>
    </row>
    <row hidden="true" r="1178">
      <c r="N1178" s="66"/>
      <c r="O1178" s="66"/>
      <c r="P1178" s="66"/>
      <c r="Q1178" s="66"/>
      <c r="R1178" s="66"/>
      <c r="S1178" s="66"/>
      <c r="T1178" s="69"/>
      <c r="U1178" s="66"/>
      <c r="V1178" s="66"/>
      <c r="W1178" s="75"/>
      <c r="X1178" s="66"/>
      <c r="Y1178" s="66"/>
    </row>
    <row hidden="true" r="1179">
      <c r="N1179" s="66"/>
      <c r="O1179" s="66"/>
      <c r="P1179" s="66"/>
      <c r="Q1179" s="66"/>
      <c r="R1179" s="66"/>
      <c r="S1179" s="66"/>
      <c r="T1179" s="69"/>
      <c r="U1179" s="66"/>
      <c r="V1179" s="66"/>
      <c r="W1179" s="75"/>
      <c r="X1179" s="66"/>
      <c r="Y1179" s="66"/>
    </row>
    <row hidden="true" r="1180">
      <c r="N1180" s="66"/>
      <c r="O1180" s="66"/>
      <c r="P1180" s="66"/>
      <c r="Q1180" s="66"/>
      <c r="R1180" s="66"/>
      <c r="S1180" s="66"/>
      <c r="T1180" s="69"/>
      <c r="U1180" s="66"/>
      <c r="V1180" s="66"/>
      <c r="W1180" s="75"/>
      <c r="X1180" s="66"/>
      <c r="Y1180" s="66"/>
    </row>
    <row hidden="true" r="1181">
      <c r="N1181" s="66"/>
      <c r="O1181" s="66"/>
      <c r="P1181" s="66"/>
      <c r="Q1181" s="66"/>
      <c r="R1181" s="66"/>
      <c r="S1181" s="66"/>
      <c r="T1181" s="69"/>
      <c r="U1181" s="66"/>
      <c r="V1181" s="66"/>
      <c r="W1181" s="75"/>
      <c r="X1181" s="66"/>
      <c r="Y1181" s="66"/>
    </row>
    <row hidden="true" r="1182">
      <c r="N1182" s="66"/>
      <c r="O1182" s="66"/>
      <c r="P1182" s="66"/>
      <c r="Q1182" s="66"/>
      <c r="R1182" s="66"/>
      <c r="S1182" s="66"/>
      <c r="T1182" s="69"/>
      <c r="U1182" s="66"/>
      <c r="V1182" s="66"/>
      <c r="W1182" s="75"/>
      <c r="X1182" s="66"/>
      <c r="Y1182" s="66"/>
    </row>
    <row hidden="true" r="1183">
      <c r="N1183" s="66"/>
      <c r="O1183" s="66"/>
      <c r="P1183" s="66"/>
      <c r="Q1183" s="66"/>
      <c r="R1183" s="66"/>
      <c r="S1183" s="66"/>
      <c r="T1183" s="69"/>
      <c r="U1183" s="66"/>
      <c r="V1183" s="66"/>
      <c r="W1183" s="75"/>
      <c r="X1183" s="66"/>
      <c r="Y1183" s="66"/>
    </row>
    <row hidden="true" r="1184">
      <c r="N1184" s="66"/>
      <c r="O1184" s="66"/>
      <c r="P1184" s="66"/>
      <c r="Q1184" s="66"/>
      <c r="R1184" s="66"/>
      <c r="S1184" s="66"/>
      <c r="T1184" s="69"/>
      <c r="U1184" s="66"/>
      <c r="V1184" s="66"/>
      <c r="W1184" s="75"/>
      <c r="X1184" s="66"/>
      <c r="Y1184" s="66"/>
    </row>
    <row hidden="true" r="1185">
      <c r="N1185" s="66"/>
      <c r="O1185" s="66"/>
      <c r="P1185" s="66"/>
      <c r="Q1185" s="66"/>
      <c r="R1185" s="66"/>
      <c r="S1185" s="66"/>
      <c r="T1185" s="69"/>
      <c r="U1185" s="66"/>
      <c r="V1185" s="66"/>
      <c r="W1185" s="75"/>
      <c r="X1185" s="66"/>
      <c r="Y1185" s="66"/>
    </row>
    <row hidden="true" r="1186">
      <c r="N1186" s="66"/>
      <c r="O1186" s="66"/>
      <c r="P1186" s="66"/>
      <c r="Q1186" s="66"/>
      <c r="R1186" s="66"/>
      <c r="S1186" s="66"/>
      <c r="T1186" s="69"/>
      <c r="U1186" s="66"/>
      <c r="V1186" s="66"/>
      <c r="W1186" s="75"/>
      <c r="X1186" s="66"/>
      <c r="Y1186" s="66"/>
    </row>
    <row hidden="true" r="1187">
      <c r="N1187" s="66"/>
      <c r="O1187" s="66"/>
      <c r="P1187" s="66"/>
      <c r="Q1187" s="66"/>
      <c r="R1187" s="66"/>
      <c r="S1187" s="66"/>
      <c r="T1187" s="69"/>
      <c r="U1187" s="66"/>
      <c r="V1187" s="66"/>
      <c r="W1187" s="75"/>
      <c r="X1187" s="66"/>
      <c r="Y1187" s="66"/>
    </row>
    <row hidden="true" r="1188">
      <c r="N1188" s="66"/>
      <c r="O1188" s="66"/>
      <c r="P1188" s="66"/>
      <c r="Q1188" s="66"/>
      <c r="R1188" s="66"/>
      <c r="S1188" s="66"/>
      <c r="T1188" s="69"/>
      <c r="U1188" s="66"/>
      <c r="V1188" s="66"/>
      <c r="W1188" s="75"/>
      <c r="X1188" s="66"/>
      <c r="Y1188" s="66"/>
    </row>
    <row hidden="true" r="1189">
      <c r="N1189" s="66"/>
      <c r="O1189" s="66"/>
      <c r="P1189" s="66"/>
      <c r="Q1189" s="66"/>
      <c r="R1189" s="66"/>
      <c r="S1189" s="66"/>
      <c r="T1189" s="69"/>
      <c r="U1189" s="66"/>
      <c r="V1189" s="66"/>
      <c r="W1189" s="75"/>
      <c r="X1189" s="66"/>
      <c r="Y1189" s="66"/>
    </row>
    <row hidden="true" r="1190">
      <c r="N1190" s="66"/>
      <c r="O1190" s="66"/>
      <c r="P1190" s="66"/>
      <c r="Q1190" s="66"/>
      <c r="R1190" s="66"/>
      <c r="S1190" s="66"/>
      <c r="T1190" s="69"/>
      <c r="U1190" s="66"/>
      <c r="V1190" s="66"/>
      <c r="W1190" s="75"/>
      <c r="X1190" s="66"/>
      <c r="Y1190" s="66"/>
    </row>
    <row hidden="true" r="1191">
      <c r="N1191" s="66"/>
      <c r="O1191" s="66"/>
      <c r="P1191" s="66"/>
      <c r="Q1191" s="66"/>
      <c r="R1191" s="66"/>
      <c r="S1191" s="66"/>
      <c r="T1191" s="69"/>
      <c r="U1191" s="66"/>
      <c r="V1191" s="66"/>
      <c r="W1191" s="75"/>
      <c r="X1191" s="66"/>
      <c r="Y1191" s="66"/>
    </row>
    <row hidden="true" r="1192">
      <c r="N1192" s="66"/>
      <c r="O1192" s="66"/>
      <c r="P1192" s="66"/>
      <c r="Q1192" s="66"/>
      <c r="R1192" s="66"/>
      <c r="S1192" s="66"/>
      <c r="T1192" s="69"/>
      <c r="U1192" s="66"/>
      <c r="V1192" s="66"/>
      <c r="W1192" s="75"/>
      <c r="X1192" s="66"/>
      <c r="Y1192" s="66"/>
    </row>
    <row hidden="true" r="1193">
      <c r="N1193" s="66"/>
      <c r="O1193" s="66"/>
      <c r="P1193" s="66"/>
      <c r="Q1193" s="66"/>
      <c r="R1193" s="66"/>
      <c r="S1193" s="66"/>
      <c r="T1193" s="69"/>
      <c r="U1193" s="66"/>
      <c r="V1193" s="66"/>
      <c r="W1193" s="75"/>
      <c r="X1193" s="66"/>
      <c r="Y1193" s="66"/>
    </row>
    <row hidden="true" r="1194">
      <c r="N1194" s="66"/>
      <c r="O1194" s="66"/>
      <c r="P1194" s="66"/>
      <c r="Q1194" s="66"/>
      <c r="R1194" s="66"/>
      <c r="S1194" s="66"/>
      <c r="T1194" s="69"/>
      <c r="U1194" s="66"/>
      <c r="V1194" s="66"/>
      <c r="W1194" s="75"/>
      <c r="X1194" s="66"/>
      <c r="Y1194" s="66"/>
    </row>
    <row hidden="true" r="1195">
      <c r="N1195" s="66"/>
      <c r="O1195" s="66"/>
      <c r="P1195" s="66"/>
      <c r="Q1195" s="66"/>
      <c r="R1195" s="66"/>
      <c r="S1195" s="66"/>
      <c r="T1195" s="69"/>
      <c r="U1195" s="66"/>
      <c r="V1195" s="66"/>
      <c r="W1195" s="75"/>
      <c r="X1195" s="66"/>
      <c r="Y1195" s="66"/>
    </row>
    <row hidden="true" r="1196">
      <c r="N1196" s="66"/>
      <c r="O1196" s="66"/>
      <c r="P1196" s="66"/>
      <c r="Q1196" s="66"/>
      <c r="R1196" s="66"/>
      <c r="S1196" s="66"/>
      <c r="T1196" s="69"/>
      <c r="U1196" s="66"/>
      <c r="V1196" s="66"/>
      <c r="W1196" s="75"/>
      <c r="X1196" s="66"/>
      <c r="Y1196" s="66"/>
    </row>
    <row hidden="true" r="1197">
      <c r="N1197" s="66"/>
      <c r="O1197" s="66"/>
      <c r="P1197" s="66"/>
      <c r="Q1197" s="66"/>
      <c r="R1197" s="66"/>
      <c r="S1197" s="66"/>
      <c r="T1197" s="69"/>
      <c r="U1197" s="66"/>
      <c r="V1197" s="66"/>
      <c r="W1197" s="75"/>
      <c r="X1197" s="66"/>
      <c r="Y1197" s="66"/>
    </row>
    <row hidden="true" r="1198">
      <c r="N1198" s="66"/>
      <c r="O1198" s="66"/>
      <c r="P1198" s="66"/>
      <c r="Q1198" s="66"/>
      <c r="R1198" s="66"/>
      <c r="S1198" s="66"/>
      <c r="T1198" s="69"/>
      <c r="U1198" s="66"/>
      <c r="V1198" s="66"/>
      <c r="W1198" s="75"/>
      <c r="X1198" s="66"/>
      <c r="Y1198" s="66"/>
    </row>
    <row hidden="true" r="1199">
      <c r="N1199" s="66"/>
      <c r="O1199" s="66"/>
      <c r="P1199" s="66"/>
      <c r="Q1199" s="66"/>
      <c r="R1199" s="66"/>
      <c r="S1199" s="66"/>
      <c r="T1199" s="69"/>
      <c r="U1199" s="66"/>
      <c r="V1199" s="66"/>
      <c r="W1199" s="75"/>
      <c r="X1199" s="66"/>
      <c r="Y1199" s="66"/>
    </row>
    <row hidden="true" r="1200">
      <c r="N1200" s="66"/>
      <c r="O1200" s="66"/>
      <c r="P1200" s="66"/>
      <c r="Q1200" s="66"/>
      <c r="R1200" s="66"/>
      <c r="S1200" s="66"/>
      <c r="T1200" s="69"/>
      <c r="U1200" s="66"/>
      <c r="V1200" s="66"/>
      <c r="W1200" s="75"/>
      <c r="X1200" s="66"/>
      <c r="Y1200" s="66"/>
    </row>
    <row hidden="true" r="1201">
      <c r="N1201" s="66"/>
      <c r="O1201" s="66"/>
      <c r="P1201" s="66"/>
      <c r="Q1201" s="66"/>
      <c r="R1201" s="66"/>
      <c r="S1201" s="66"/>
      <c r="T1201" s="69"/>
      <c r="U1201" s="66"/>
      <c r="V1201" s="66"/>
      <c r="W1201" s="75"/>
      <c r="X1201" s="66"/>
      <c r="Y1201" s="66"/>
    </row>
    <row hidden="true" r="1202">
      <c r="N1202" s="66"/>
      <c r="O1202" s="66"/>
      <c r="P1202" s="66"/>
      <c r="Q1202" s="66"/>
      <c r="R1202" s="66"/>
      <c r="S1202" s="66"/>
      <c r="T1202" s="69"/>
      <c r="U1202" s="66"/>
      <c r="V1202" s="66"/>
      <c r="W1202" s="75"/>
      <c r="X1202" s="66"/>
      <c r="Y1202" s="66"/>
    </row>
    <row hidden="true" r="1203">
      <c r="N1203" s="66"/>
      <c r="O1203" s="66"/>
      <c r="P1203" s="66"/>
      <c r="Q1203" s="66"/>
      <c r="R1203" s="66"/>
      <c r="S1203" s="66"/>
      <c r="T1203" s="69"/>
      <c r="U1203" s="66"/>
      <c r="V1203" s="66"/>
      <c r="W1203" s="75"/>
      <c r="X1203" s="66"/>
      <c r="Y1203" s="66"/>
    </row>
    <row hidden="true" r="1204">
      <c r="N1204" s="66"/>
      <c r="O1204" s="66"/>
      <c r="P1204" s="66"/>
      <c r="Q1204" s="66"/>
      <c r="R1204" s="66"/>
      <c r="S1204" s="66"/>
      <c r="T1204" s="69"/>
      <c r="U1204" s="66"/>
      <c r="V1204" s="66"/>
      <c r="W1204" s="75"/>
      <c r="X1204" s="66"/>
      <c r="Y1204" s="66"/>
    </row>
    <row hidden="true" r="1205">
      <c r="N1205" s="66"/>
      <c r="O1205" s="66"/>
      <c r="P1205" s="66"/>
      <c r="Q1205" s="66"/>
      <c r="R1205" s="66"/>
      <c r="S1205" s="66"/>
      <c r="T1205" s="69"/>
      <c r="U1205" s="66"/>
      <c r="V1205" s="66"/>
      <c r="W1205" s="75"/>
      <c r="X1205" s="66"/>
      <c r="Y1205" s="66"/>
    </row>
    <row hidden="true" r="1206">
      <c r="N1206" s="66"/>
      <c r="O1206" s="66"/>
      <c r="P1206" s="66"/>
      <c r="Q1206" s="66"/>
      <c r="R1206" s="66"/>
      <c r="S1206" s="66"/>
      <c r="T1206" s="69"/>
      <c r="U1206" s="66"/>
      <c r="V1206" s="66"/>
      <c r="W1206" s="75"/>
      <c r="X1206" s="66"/>
      <c r="Y1206" s="66"/>
    </row>
    <row hidden="true" r="1207">
      <c r="N1207" s="66"/>
      <c r="O1207" s="66"/>
      <c r="P1207" s="66"/>
      <c r="Q1207" s="66"/>
      <c r="R1207" s="66"/>
      <c r="S1207" s="66"/>
      <c r="T1207" s="69"/>
      <c r="U1207" s="66"/>
      <c r="V1207" s="66"/>
      <c r="W1207" s="75"/>
      <c r="X1207" s="66"/>
      <c r="Y1207" s="66"/>
    </row>
    <row hidden="true" r="1208">
      <c r="N1208" s="66"/>
      <c r="O1208" s="66"/>
      <c r="P1208" s="66"/>
      <c r="Q1208" s="66"/>
      <c r="R1208" s="66"/>
      <c r="S1208" s="66"/>
      <c r="T1208" s="69"/>
      <c r="U1208" s="66"/>
      <c r="V1208" s="66"/>
      <c r="W1208" s="75"/>
      <c r="X1208" s="66"/>
      <c r="Y1208" s="66"/>
    </row>
    <row hidden="true" r="1209">
      <c r="N1209" s="66"/>
      <c r="O1209" s="66"/>
      <c r="P1209" s="66"/>
      <c r="Q1209" s="66"/>
      <c r="R1209" s="66"/>
      <c r="S1209" s="66"/>
      <c r="T1209" s="69"/>
      <c r="U1209" s="66"/>
      <c r="V1209" s="66"/>
      <c r="W1209" s="75"/>
      <c r="X1209" s="66"/>
      <c r="Y1209" s="66"/>
    </row>
    <row hidden="true" r="1210">
      <c r="N1210" s="66"/>
      <c r="O1210" s="66"/>
      <c r="P1210" s="66"/>
      <c r="Q1210" s="66"/>
      <c r="R1210" s="66"/>
      <c r="S1210" s="66"/>
      <c r="T1210" s="69"/>
      <c r="U1210" s="66"/>
      <c r="V1210" s="66"/>
      <c r="W1210" s="75"/>
      <c r="X1210" s="66"/>
      <c r="Y1210" s="66"/>
    </row>
    <row hidden="true" r="1211">
      <c r="N1211" s="66"/>
      <c r="O1211" s="66"/>
      <c r="P1211" s="66"/>
      <c r="Q1211" s="66"/>
      <c r="R1211" s="66"/>
      <c r="S1211" s="66"/>
      <c r="T1211" s="69"/>
      <c r="U1211" s="66"/>
      <c r="V1211" s="66"/>
      <c r="W1211" s="75"/>
      <c r="X1211" s="66"/>
      <c r="Y1211" s="66"/>
    </row>
    <row hidden="true" r="1212">
      <c r="N1212" s="66"/>
      <c r="O1212" s="66"/>
      <c r="P1212" s="66"/>
      <c r="Q1212" s="66"/>
      <c r="R1212" s="66"/>
      <c r="S1212" s="66"/>
      <c r="T1212" s="69"/>
      <c r="U1212" s="66"/>
      <c r="V1212" s="66"/>
      <c r="W1212" s="75"/>
      <c r="X1212" s="66"/>
      <c r="Y1212" s="66"/>
    </row>
    <row hidden="true" r="1213">
      <c r="N1213" s="66"/>
      <c r="O1213" s="66"/>
      <c r="P1213" s="66"/>
      <c r="Q1213" s="66"/>
      <c r="R1213" s="66"/>
      <c r="S1213" s="66"/>
      <c r="T1213" s="69"/>
      <c r="U1213" s="66"/>
      <c r="V1213" s="66"/>
      <c r="W1213" s="75"/>
      <c r="X1213" s="66"/>
      <c r="Y1213" s="66"/>
    </row>
    <row hidden="true" r="1214">
      <c r="N1214" s="66"/>
      <c r="O1214" s="66"/>
      <c r="P1214" s="66"/>
      <c r="Q1214" s="66"/>
      <c r="R1214" s="66"/>
      <c r="S1214" s="66"/>
      <c r="T1214" s="69"/>
      <c r="U1214" s="66"/>
      <c r="V1214" s="66"/>
      <c r="W1214" s="75"/>
      <c r="X1214" s="66"/>
      <c r="Y1214" s="66"/>
    </row>
    <row hidden="true" r="1215">
      <c r="N1215" s="66"/>
      <c r="O1215" s="66"/>
      <c r="P1215" s="66"/>
      <c r="Q1215" s="66"/>
      <c r="R1215" s="66"/>
      <c r="S1215" s="66"/>
      <c r="T1215" s="69"/>
      <c r="U1215" s="66"/>
      <c r="V1215" s="66"/>
      <c r="W1215" s="75"/>
      <c r="X1215" s="66"/>
      <c r="Y1215" s="66"/>
    </row>
    <row hidden="true" r="1216">
      <c r="N1216" s="66"/>
      <c r="O1216" s="66"/>
      <c r="P1216" s="66"/>
      <c r="Q1216" s="66"/>
      <c r="R1216" s="66"/>
      <c r="S1216" s="66"/>
      <c r="T1216" s="69"/>
      <c r="U1216" s="66"/>
      <c r="V1216" s="66"/>
      <c r="W1216" s="75"/>
      <c r="X1216" s="66"/>
      <c r="Y1216" s="66"/>
    </row>
    <row hidden="true" r="1217">
      <c r="N1217" s="66"/>
      <c r="O1217" s="66"/>
      <c r="P1217" s="66"/>
      <c r="Q1217" s="66"/>
      <c r="R1217" s="66"/>
      <c r="S1217" s="66"/>
      <c r="T1217" s="69"/>
      <c r="U1217" s="66"/>
      <c r="V1217" s="66"/>
      <c r="W1217" s="75"/>
      <c r="X1217" s="66"/>
      <c r="Y1217" s="66"/>
    </row>
    <row hidden="true" r="1218">
      <c r="N1218" s="66"/>
      <c r="O1218" s="66"/>
      <c r="P1218" s="66"/>
      <c r="Q1218" s="66"/>
      <c r="R1218" s="66"/>
      <c r="S1218" s="66"/>
      <c r="T1218" s="69"/>
      <c r="U1218" s="66"/>
      <c r="V1218" s="66"/>
      <c r="W1218" s="75"/>
      <c r="X1218" s="66"/>
      <c r="Y1218" s="66"/>
    </row>
    <row hidden="true" r="1219">
      <c r="N1219" s="66"/>
      <c r="O1219" s="66"/>
      <c r="P1219" s="66"/>
      <c r="Q1219" s="66"/>
      <c r="R1219" s="66"/>
      <c r="S1219" s="66"/>
      <c r="T1219" s="69"/>
      <c r="U1219" s="66"/>
      <c r="V1219" s="66"/>
      <c r="W1219" s="75"/>
      <c r="X1219" s="66"/>
      <c r="Y1219" s="66"/>
    </row>
    <row hidden="true" r="1220">
      <c r="N1220" s="66"/>
      <c r="O1220" s="66"/>
      <c r="P1220" s="66"/>
      <c r="Q1220" s="66"/>
      <c r="R1220" s="66"/>
      <c r="S1220" s="66"/>
      <c r="T1220" s="69"/>
      <c r="U1220" s="66"/>
      <c r="V1220" s="66"/>
      <c r="W1220" s="75"/>
      <c r="X1220" s="66"/>
      <c r="Y1220" s="66"/>
    </row>
    <row hidden="true" r="1221">
      <c r="N1221" s="66"/>
      <c r="O1221" s="66"/>
      <c r="P1221" s="66"/>
      <c r="Q1221" s="66"/>
      <c r="R1221" s="66"/>
      <c r="S1221" s="66"/>
      <c r="T1221" s="69"/>
      <c r="U1221" s="66"/>
      <c r="V1221" s="66"/>
      <c r="W1221" s="75"/>
      <c r="X1221" s="66"/>
      <c r="Y1221" s="66"/>
    </row>
    <row hidden="true" r="1222">
      <c r="N1222" s="66"/>
      <c r="O1222" s="66"/>
      <c r="P1222" s="66"/>
      <c r="Q1222" s="66"/>
      <c r="R1222" s="66"/>
      <c r="S1222" s="66"/>
      <c r="T1222" s="69"/>
      <c r="U1222" s="66"/>
      <c r="V1222" s="66"/>
      <c r="W1222" s="75"/>
      <c r="X1222" s="66"/>
      <c r="Y1222" s="66"/>
    </row>
    <row hidden="true" r="1223">
      <c r="N1223" s="66"/>
      <c r="O1223" s="66"/>
      <c r="P1223" s="66"/>
      <c r="Q1223" s="66"/>
      <c r="R1223" s="66"/>
      <c r="S1223" s="66"/>
      <c r="T1223" s="69"/>
      <c r="U1223" s="66"/>
      <c r="V1223" s="66"/>
      <c r="W1223" s="75"/>
      <c r="X1223" s="66"/>
      <c r="Y1223" s="66"/>
    </row>
    <row hidden="true" r="1224">
      <c r="N1224" s="66"/>
      <c r="O1224" s="66"/>
      <c r="P1224" s="66"/>
      <c r="Q1224" s="66"/>
      <c r="R1224" s="66"/>
      <c r="S1224" s="66"/>
      <c r="T1224" s="69"/>
      <c r="U1224" s="66"/>
      <c r="V1224" s="66"/>
      <c r="W1224" s="75"/>
      <c r="X1224" s="66"/>
      <c r="Y1224" s="66"/>
    </row>
    <row hidden="true" r="1225">
      <c r="N1225" s="66"/>
      <c r="O1225" s="66"/>
      <c r="P1225" s="66"/>
      <c r="Q1225" s="66"/>
      <c r="R1225" s="66"/>
      <c r="S1225" s="66"/>
      <c r="T1225" s="69"/>
      <c r="U1225" s="66"/>
      <c r="V1225" s="66"/>
      <c r="W1225" s="75"/>
      <c r="X1225" s="66"/>
      <c r="Y1225" s="66"/>
    </row>
    <row hidden="true" r="1226">
      <c r="N1226" s="66"/>
      <c r="O1226" s="66"/>
      <c r="P1226" s="66"/>
      <c r="Q1226" s="66"/>
      <c r="R1226" s="66"/>
      <c r="S1226" s="66"/>
      <c r="T1226" s="69"/>
      <c r="U1226" s="66"/>
      <c r="V1226" s="66"/>
      <c r="W1226" s="75"/>
      <c r="X1226" s="66"/>
      <c r="Y1226" s="66"/>
    </row>
    <row hidden="true" r="1227">
      <c r="N1227" s="66"/>
      <c r="O1227" s="66"/>
      <c r="P1227" s="66"/>
      <c r="Q1227" s="66"/>
      <c r="R1227" s="66"/>
      <c r="S1227" s="66"/>
      <c r="T1227" s="69"/>
      <c r="U1227" s="66"/>
      <c r="V1227" s="66"/>
      <c r="W1227" s="75"/>
      <c r="X1227" s="66"/>
      <c r="Y1227" s="66"/>
    </row>
    <row hidden="true" r="1228">
      <c r="N1228" s="66"/>
      <c r="O1228" s="66"/>
      <c r="P1228" s="66"/>
      <c r="Q1228" s="66"/>
      <c r="R1228" s="66"/>
      <c r="S1228" s="66"/>
      <c r="T1228" s="69"/>
      <c r="U1228" s="66"/>
      <c r="V1228" s="66"/>
      <c r="W1228" s="75"/>
      <c r="X1228" s="66"/>
      <c r="Y1228" s="66"/>
    </row>
    <row hidden="true" r="1229">
      <c r="N1229" s="66"/>
      <c r="O1229" s="66"/>
      <c r="P1229" s="66"/>
      <c r="Q1229" s="66"/>
      <c r="R1229" s="66"/>
      <c r="S1229" s="66"/>
      <c r="T1229" s="69"/>
      <c r="U1229" s="66"/>
      <c r="V1229" s="66"/>
      <c r="W1229" s="75"/>
      <c r="X1229" s="66"/>
      <c r="Y1229" s="66"/>
    </row>
    <row hidden="true" r="1230">
      <c r="N1230" s="66"/>
      <c r="O1230" s="66"/>
      <c r="P1230" s="66"/>
      <c r="Q1230" s="66"/>
      <c r="R1230" s="66"/>
      <c r="S1230" s="66"/>
      <c r="T1230" s="69"/>
      <c r="U1230" s="66"/>
      <c r="V1230" s="66"/>
      <c r="W1230" s="75"/>
      <c r="X1230" s="66"/>
      <c r="Y1230" s="66"/>
    </row>
    <row hidden="true" r="1231">
      <c r="N1231" s="66"/>
      <c r="O1231" s="66"/>
      <c r="P1231" s="66"/>
      <c r="Q1231" s="66"/>
      <c r="R1231" s="66"/>
      <c r="S1231" s="66"/>
      <c r="T1231" s="69"/>
      <c r="U1231" s="66"/>
      <c r="V1231" s="66"/>
      <c r="W1231" s="75"/>
      <c r="X1231" s="66"/>
      <c r="Y1231" s="66"/>
    </row>
    <row hidden="true" r="1232">
      <c r="N1232" s="66"/>
      <c r="O1232" s="66"/>
      <c r="P1232" s="66"/>
      <c r="Q1232" s="66"/>
      <c r="R1232" s="66"/>
      <c r="S1232" s="66"/>
      <c r="T1232" s="69"/>
      <c r="U1232" s="66"/>
      <c r="V1232" s="66"/>
      <c r="W1232" s="75"/>
      <c r="X1232" s="66"/>
      <c r="Y1232" s="66"/>
    </row>
    <row hidden="true" r="1233">
      <c r="N1233" s="66"/>
      <c r="O1233" s="66"/>
      <c r="P1233" s="66"/>
      <c r="Q1233" s="66"/>
      <c r="R1233" s="66"/>
      <c r="S1233" s="66"/>
      <c r="T1233" s="69"/>
      <c r="U1233" s="66"/>
      <c r="V1233" s="66"/>
      <c r="W1233" s="75"/>
      <c r="X1233" s="66"/>
      <c r="Y1233" s="66"/>
    </row>
    <row hidden="true" r="1234">
      <c r="N1234" s="66"/>
      <c r="O1234" s="66"/>
      <c r="P1234" s="66"/>
      <c r="Q1234" s="66"/>
      <c r="R1234" s="66"/>
      <c r="S1234" s="66"/>
      <c r="T1234" s="69"/>
      <c r="U1234" s="66"/>
      <c r="V1234" s="66"/>
      <c r="W1234" s="75"/>
      <c r="X1234" s="66"/>
      <c r="Y1234" s="66"/>
    </row>
    <row hidden="true" r="1235">
      <c r="N1235" s="66"/>
      <c r="O1235" s="66"/>
      <c r="P1235" s="66"/>
      <c r="Q1235" s="66"/>
      <c r="R1235" s="66"/>
      <c r="S1235" s="66"/>
      <c r="T1235" s="69"/>
      <c r="U1235" s="66"/>
      <c r="V1235" s="66"/>
      <c r="W1235" s="75"/>
      <c r="X1235" s="66"/>
      <c r="Y1235" s="66"/>
    </row>
    <row hidden="true" r="1236">
      <c r="N1236" s="66"/>
      <c r="O1236" s="66"/>
      <c r="P1236" s="66"/>
      <c r="Q1236" s="66"/>
      <c r="R1236" s="66"/>
      <c r="S1236" s="66"/>
      <c r="T1236" s="69"/>
      <c r="U1236" s="66"/>
      <c r="V1236" s="66"/>
      <c r="W1236" s="75"/>
      <c r="X1236" s="66"/>
      <c r="Y1236" s="66"/>
    </row>
    <row hidden="true" r="1237">
      <c r="N1237" s="66"/>
      <c r="O1237" s="66"/>
      <c r="P1237" s="66"/>
      <c r="Q1237" s="66"/>
      <c r="R1237" s="66"/>
      <c r="S1237" s="66"/>
      <c r="T1237" s="69"/>
      <c r="U1237" s="66"/>
      <c r="V1237" s="66"/>
      <c r="W1237" s="75"/>
      <c r="X1237" s="66"/>
      <c r="Y1237" s="66"/>
    </row>
    <row hidden="true" r="1238">
      <c r="N1238" s="66"/>
      <c r="O1238" s="66"/>
      <c r="P1238" s="66"/>
      <c r="Q1238" s="66"/>
      <c r="R1238" s="66"/>
      <c r="S1238" s="66"/>
      <c r="T1238" s="69"/>
      <c r="U1238" s="66"/>
      <c r="V1238" s="66"/>
      <c r="W1238" s="75"/>
      <c r="X1238" s="66"/>
      <c r="Y1238" s="66"/>
    </row>
    <row hidden="true" r="1239">
      <c r="N1239" s="66"/>
      <c r="O1239" s="66"/>
      <c r="P1239" s="66"/>
      <c r="Q1239" s="66"/>
      <c r="R1239" s="66"/>
      <c r="S1239" s="66"/>
      <c r="T1239" s="69"/>
      <c r="U1239" s="66"/>
      <c r="V1239" s="66"/>
      <c r="W1239" s="75"/>
      <c r="X1239" s="66"/>
      <c r="Y1239" s="66"/>
    </row>
    <row hidden="true" r="1240">
      <c r="N1240" s="66"/>
      <c r="O1240" s="66"/>
      <c r="P1240" s="66"/>
      <c r="Q1240" s="66"/>
      <c r="R1240" s="66"/>
      <c r="S1240" s="66"/>
      <c r="T1240" s="69"/>
      <c r="U1240" s="66"/>
      <c r="V1240" s="66"/>
      <c r="W1240" s="75"/>
      <c r="X1240" s="66"/>
      <c r="Y1240" s="66"/>
    </row>
    <row hidden="true" r="1241">
      <c r="N1241" s="66"/>
      <c r="O1241" s="66"/>
      <c r="P1241" s="66"/>
      <c r="Q1241" s="66"/>
      <c r="R1241" s="66"/>
      <c r="S1241" s="66"/>
      <c r="T1241" s="69"/>
      <c r="U1241" s="66"/>
      <c r="V1241" s="66"/>
      <c r="W1241" s="75"/>
      <c r="X1241" s="66"/>
      <c r="Y1241" s="66"/>
    </row>
    <row hidden="true" r="1242">
      <c r="N1242" s="66"/>
      <c r="O1242" s="66"/>
      <c r="P1242" s="66"/>
      <c r="Q1242" s="66"/>
      <c r="R1242" s="66"/>
      <c r="S1242" s="66"/>
      <c r="T1242" s="69"/>
      <c r="U1242" s="66"/>
      <c r="V1242" s="66"/>
      <c r="W1242" s="75"/>
      <c r="X1242" s="66"/>
      <c r="Y1242" s="66"/>
    </row>
    <row hidden="true" r="1243">
      <c r="N1243" s="66"/>
      <c r="O1243" s="66"/>
      <c r="P1243" s="66"/>
      <c r="Q1243" s="66"/>
      <c r="R1243" s="66"/>
      <c r="S1243" s="66"/>
      <c r="T1243" s="69"/>
      <c r="U1243" s="66"/>
      <c r="V1243" s="66"/>
      <c r="W1243" s="75"/>
      <c r="X1243" s="66"/>
      <c r="Y1243" s="66"/>
    </row>
    <row hidden="true" r="1244">
      <c r="N1244" s="66"/>
      <c r="O1244" s="66"/>
      <c r="P1244" s="66"/>
      <c r="Q1244" s="66"/>
      <c r="R1244" s="66"/>
      <c r="S1244" s="66"/>
      <c r="T1244" s="69"/>
      <c r="U1244" s="66"/>
      <c r="V1244" s="66"/>
      <c r="W1244" s="75"/>
      <c r="X1244" s="66"/>
      <c r="Y1244" s="66"/>
    </row>
    <row hidden="true" r="1245">
      <c r="N1245" s="66"/>
      <c r="O1245" s="66"/>
      <c r="P1245" s="66"/>
      <c r="Q1245" s="66"/>
      <c r="R1245" s="66"/>
      <c r="S1245" s="66"/>
      <c r="T1245" s="69"/>
      <c r="U1245" s="66"/>
      <c r="V1245" s="66"/>
      <c r="W1245" s="75"/>
      <c r="X1245" s="66"/>
      <c r="Y1245" s="66"/>
    </row>
    <row hidden="true" r="1246">
      <c r="N1246" s="66"/>
      <c r="O1246" s="66"/>
      <c r="P1246" s="66"/>
      <c r="Q1246" s="66"/>
      <c r="R1246" s="66"/>
      <c r="S1246" s="66"/>
      <c r="T1246" s="69"/>
      <c r="U1246" s="66"/>
      <c r="V1246" s="66"/>
      <c r="W1246" s="75"/>
      <c r="X1246" s="66"/>
      <c r="Y1246" s="66"/>
    </row>
    <row hidden="true" r="1247">
      <c r="N1247" s="66"/>
      <c r="O1247" s="66"/>
      <c r="P1247" s="66"/>
      <c r="Q1247" s="66"/>
      <c r="R1247" s="66"/>
      <c r="S1247" s="66"/>
      <c r="T1247" s="69"/>
      <c r="U1247" s="66"/>
      <c r="V1247" s="66"/>
      <c r="W1247" s="75"/>
      <c r="X1247" s="66"/>
      <c r="Y1247" s="66"/>
    </row>
    <row hidden="true" r="1248">
      <c r="N1248" s="66"/>
      <c r="O1248" s="66"/>
      <c r="P1248" s="66"/>
      <c r="Q1248" s="66"/>
      <c r="R1248" s="66"/>
      <c r="S1248" s="66"/>
      <c r="T1248" s="69"/>
      <c r="U1248" s="66"/>
      <c r="V1248" s="66"/>
      <c r="W1248" s="75"/>
      <c r="X1248" s="66"/>
      <c r="Y1248" s="66"/>
    </row>
    <row hidden="true" r="1249">
      <c r="N1249" s="66"/>
      <c r="O1249" s="66"/>
      <c r="P1249" s="66"/>
      <c r="Q1249" s="66"/>
      <c r="R1249" s="66"/>
      <c r="S1249" s="66"/>
      <c r="T1249" s="69"/>
      <c r="U1249" s="66"/>
      <c r="V1249" s="66"/>
      <c r="W1249" s="75"/>
      <c r="X1249" s="66"/>
      <c r="Y1249" s="66"/>
    </row>
    <row hidden="true" r="1250">
      <c r="N1250" s="66"/>
      <c r="O1250" s="66"/>
      <c r="P1250" s="66"/>
      <c r="Q1250" s="66"/>
      <c r="R1250" s="66"/>
      <c r="S1250" s="66"/>
      <c r="T1250" s="69"/>
      <c r="U1250" s="66"/>
      <c r="V1250" s="66"/>
      <c r="W1250" s="75"/>
      <c r="X1250" s="66"/>
      <c r="Y1250" s="66"/>
    </row>
    <row hidden="true" r="1251">
      <c r="N1251" s="66"/>
      <c r="O1251" s="66"/>
      <c r="P1251" s="66"/>
      <c r="Q1251" s="66"/>
      <c r="R1251" s="66"/>
      <c r="S1251" s="66"/>
      <c r="T1251" s="69"/>
      <c r="U1251" s="66"/>
      <c r="V1251" s="66"/>
      <c r="W1251" s="75"/>
      <c r="X1251" s="66"/>
      <c r="Y1251" s="66"/>
    </row>
    <row hidden="true" r="1252">
      <c r="N1252" s="66"/>
      <c r="O1252" s="66"/>
      <c r="P1252" s="66"/>
      <c r="Q1252" s="66"/>
      <c r="R1252" s="66"/>
      <c r="S1252" s="66"/>
      <c r="T1252" s="69"/>
      <c r="U1252" s="66"/>
      <c r="V1252" s="66"/>
      <c r="W1252" s="75"/>
      <c r="X1252" s="66"/>
      <c r="Y1252" s="66"/>
    </row>
    <row hidden="true" r="1253">
      <c r="N1253" s="66"/>
      <c r="O1253" s="66"/>
      <c r="P1253" s="66"/>
      <c r="Q1253" s="66"/>
      <c r="R1253" s="66"/>
      <c r="S1253" s="66"/>
      <c r="T1253" s="69"/>
      <c r="U1253" s="66"/>
      <c r="V1253" s="66"/>
      <c r="W1253" s="75"/>
      <c r="X1253" s="66"/>
      <c r="Y1253" s="66"/>
    </row>
    <row hidden="true" r="1254">
      <c r="N1254" s="66"/>
      <c r="O1254" s="66"/>
      <c r="P1254" s="66"/>
      <c r="Q1254" s="66"/>
      <c r="R1254" s="66"/>
      <c r="S1254" s="66"/>
      <c r="T1254" s="69"/>
      <c r="U1254" s="66"/>
      <c r="V1254" s="66"/>
      <c r="W1254" s="75"/>
      <c r="X1254" s="66"/>
      <c r="Y1254" s="66"/>
    </row>
    <row hidden="true" r="1255">
      <c r="N1255" s="66"/>
      <c r="O1255" s="66"/>
      <c r="P1255" s="66"/>
      <c r="Q1255" s="66"/>
      <c r="R1255" s="66"/>
      <c r="S1255" s="66"/>
      <c r="T1255" s="69"/>
      <c r="U1255" s="66"/>
      <c r="V1255" s="66"/>
      <c r="W1255" s="75"/>
      <c r="X1255" s="66"/>
      <c r="Y1255" s="66"/>
    </row>
    <row hidden="true" r="1256">
      <c r="N1256" s="66"/>
      <c r="O1256" s="66"/>
      <c r="P1256" s="66"/>
      <c r="Q1256" s="66"/>
      <c r="R1256" s="66"/>
      <c r="S1256" s="66"/>
      <c r="T1256" s="69"/>
      <c r="U1256" s="66"/>
      <c r="V1256" s="66"/>
      <c r="W1256" s="75"/>
      <c r="X1256" s="66"/>
      <c r="Y1256" s="66"/>
    </row>
    <row hidden="true" r="1257">
      <c r="N1257" s="66"/>
      <c r="O1257" s="66"/>
      <c r="P1257" s="66"/>
      <c r="Q1257" s="66"/>
      <c r="R1257" s="66"/>
      <c r="S1257" s="66"/>
      <c r="T1257" s="69"/>
      <c r="U1257" s="66"/>
      <c r="V1257" s="66"/>
      <c r="W1257" s="75"/>
      <c r="X1257" s="66"/>
      <c r="Y1257" s="66"/>
    </row>
    <row hidden="true" r="1258">
      <c r="N1258" s="66"/>
      <c r="O1258" s="66"/>
      <c r="P1258" s="66"/>
      <c r="Q1258" s="66"/>
      <c r="R1258" s="66"/>
      <c r="S1258" s="66"/>
      <c r="T1258" s="69"/>
      <c r="U1258" s="66"/>
      <c r="V1258" s="66"/>
      <c r="W1258" s="75"/>
      <c r="X1258" s="66"/>
      <c r="Y1258" s="66"/>
    </row>
    <row hidden="true" r="1259">
      <c r="N1259" s="66"/>
      <c r="O1259" s="66"/>
      <c r="P1259" s="66"/>
      <c r="Q1259" s="66"/>
      <c r="R1259" s="66"/>
      <c r="S1259" s="66"/>
      <c r="T1259" s="69"/>
      <c r="U1259" s="66"/>
      <c r="V1259" s="66"/>
      <c r="W1259" s="75"/>
      <c r="X1259" s="66"/>
      <c r="Y1259" s="66"/>
    </row>
    <row hidden="true" r="1260">
      <c r="N1260" s="66"/>
      <c r="O1260" s="66"/>
      <c r="P1260" s="66"/>
      <c r="Q1260" s="66"/>
      <c r="R1260" s="66"/>
      <c r="S1260" s="66"/>
      <c r="T1260" s="69"/>
      <c r="U1260" s="66"/>
      <c r="V1260" s="66"/>
      <c r="W1260" s="75"/>
      <c r="X1260" s="66"/>
      <c r="Y1260" s="66"/>
    </row>
    <row hidden="true" r="1261">
      <c r="N1261" s="66"/>
      <c r="O1261" s="66"/>
      <c r="P1261" s="66"/>
      <c r="Q1261" s="66"/>
      <c r="R1261" s="66"/>
      <c r="S1261" s="66"/>
      <c r="T1261" s="69"/>
      <c r="U1261" s="66"/>
      <c r="V1261" s="66"/>
      <c r="W1261" s="75"/>
      <c r="X1261" s="66"/>
      <c r="Y1261" s="66"/>
    </row>
    <row hidden="true" r="1262">
      <c r="N1262" s="66"/>
      <c r="O1262" s="66"/>
      <c r="P1262" s="66"/>
      <c r="Q1262" s="66"/>
      <c r="R1262" s="66"/>
      <c r="S1262" s="66"/>
      <c r="T1262" s="69"/>
      <c r="U1262" s="66"/>
      <c r="V1262" s="66"/>
      <c r="W1262" s="75"/>
      <c r="X1262" s="66"/>
      <c r="Y1262" s="66"/>
    </row>
    <row hidden="true" r="1263">
      <c r="N1263" s="66"/>
      <c r="O1263" s="66"/>
      <c r="P1263" s="66"/>
      <c r="Q1263" s="66"/>
      <c r="R1263" s="66"/>
      <c r="S1263" s="66"/>
      <c r="T1263" s="69"/>
      <c r="U1263" s="66"/>
      <c r="V1263" s="66"/>
      <c r="W1263" s="75"/>
      <c r="X1263" s="66"/>
      <c r="Y1263" s="66"/>
    </row>
    <row hidden="true" r="1264">
      <c r="N1264" s="66"/>
      <c r="O1264" s="66"/>
      <c r="P1264" s="66"/>
      <c r="Q1264" s="66"/>
      <c r="R1264" s="66"/>
      <c r="S1264" s="66"/>
      <c r="T1264" s="69"/>
      <c r="U1264" s="66"/>
      <c r="V1264" s="66"/>
      <c r="W1264" s="75"/>
      <c r="X1264" s="66"/>
      <c r="Y1264" s="66"/>
    </row>
    <row hidden="true" r="1265">
      <c r="N1265" s="66"/>
      <c r="O1265" s="66"/>
      <c r="P1265" s="66"/>
      <c r="Q1265" s="66"/>
      <c r="R1265" s="66"/>
      <c r="S1265" s="66"/>
      <c r="T1265" s="69"/>
      <c r="U1265" s="66"/>
      <c r="V1265" s="66"/>
      <c r="W1265" s="75"/>
      <c r="X1265" s="66"/>
      <c r="Y1265" s="66"/>
    </row>
    <row hidden="true" r="1266">
      <c r="N1266" s="66"/>
      <c r="O1266" s="66"/>
      <c r="P1266" s="66"/>
      <c r="Q1266" s="66"/>
      <c r="R1266" s="66"/>
      <c r="S1266" s="66"/>
      <c r="T1266" s="69"/>
      <c r="U1266" s="66"/>
      <c r="V1266" s="66"/>
      <c r="W1266" s="75"/>
      <c r="X1266" s="66"/>
      <c r="Y1266" s="66"/>
    </row>
    <row hidden="true" r="1267">
      <c r="N1267" s="66"/>
      <c r="O1267" s="66"/>
      <c r="P1267" s="66"/>
      <c r="Q1267" s="66"/>
      <c r="R1267" s="66"/>
      <c r="S1267" s="66"/>
      <c r="T1267" s="69"/>
      <c r="U1267" s="66"/>
      <c r="V1267" s="66"/>
      <c r="W1267" s="75"/>
      <c r="X1267" s="66"/>
      <c r="Y1267" s="66"/>
    </row>
    <row hidden="true" r="1268">
      <c r="N1268" s="66"/>
      <c r="O1268" s="66"/>
      <c r="P1268" s="66"/>
      <c r="Q1268" s="66"/>
      <c r="R1268" s="66"/>
      <c r="S1268" s="66"/>
      <c r="T1268" s="69"/>
      <c r="U1268" s="66"/>
      <c r="V1268" s="66"/>
      <c r="W1268" s="75"/>
      <c r="X1268" s="66"/>
      <c r="Y1268" s="66"/>
    </row>
    <row hidden="true" r="1269">
      <c r="N1269" s="66"/>
      <c r="O1269" s="66"/>
      <c r="P1269" s="66"/>
      <c r="Q1269" s="66"/>
      <c r="R1269" s="66"/>
      <c r="S1269" s="66"/>
      <c r="T1269" s="69"/>
      <c r="U1269" s="66"/>
      <c r="V1269" s="66"/>
      <c r="W1269" s="75"/>
      <c r="X1269" s="66"/>
      <c r="Y1269" s="66"/>
    </row>
    <row hidden="true" r="1270">
      <c r="N1270" s="66"/>
      <c r="O1270" s="66"/>
      <c r="P1270" s="66"/>
      <c r="Q1270" s="66"/>
      <c r="R1270" s="66"/>
      <c r="S1270" s="66"/>
      <c r="T1270" s="69"/>
      <c r="U1270" s="66"/>
      <c r="V1270" s="66"/>
      <c r="W1270" s="75"/>
      <c r="X1270" s="66"/>
      <c r="Y1270" s="66"/>
    </row>
    <row hidden="true" r="1271">
      <c r="N1271" s="66"/>
      <c r="O1271" s="66"/>
      <c r="P1271" s="66"/>
      <c r="Q1271" s="66"/>
      <c r="R1271" s="66"/>
      <c r="S1271" s="66"/>
      <c r="T1271" s="69"/>
      <c r="U1271" s="66"/>
      <c r="V1271" s="66"/>
      <c r="W1271" s="75"/>
      <c r="X1271" s="66"/>
      <c r="Y1271" s="66"/>
    </row>
    <row hidden="true" r="1272">
      <c r="N1272" s="66"/>
      <c r="O1272" s="66"/>
      <c r="P1272" s="66"/>
      <c r="Q1272" s="66"/>
      <c r="R1272" s="66"/>
      <c r="S1272" s="66"/>
      <c r="T1272" s="69"/>
      <c r="U1272" s="66"/>
      <c r="V1272" s="66"/>
      <c r="W1272" s="75"/>
      <c r="X1272" s="66"/>
      <c r="Y1272" s="66"/>
    </row>
    <row hidden="true" r="1273">
      <c r="N1273" s="66"/>
      <c r="O1273" s="66"/>
      <c r="P1273" s="66"/>
      <c r="Q1273" s="66"/>
      <c r="R1273" s="66"/>
      <c r="S1273" s="66"/>
      <c r="T1273" s="69"/>
      <c r="U1273" s="66"/>
      <c r="V1273" s="66"/>
      <c r="W1273" s="75"/>
      <c r="X1273" s="66"/>
      <c r="Y1273" s="66"/>
    </row>
    <row hidden="true" r="1274">
      <c r="N1274" s="66"/>
      <c r="O1274" s="66"/>
      <c r="P1274" s="66"/>
      <c r="Q1274" s="66"/>
      <c r="R1274" s="66"/>
      <c r="S1274" s="66"/>
      <c r="T1274" s="69"/>
      <c r="U1274" s="66"/>
      <c r="V1274" s="66"/>
      <c r="W1274" s="75"/>
      <c r="X1274" s="66"/>
      <c r="Y1274" s="66"/>
    </row>
    <row hidden="true" r="1275">
      <c r="N1275" s="66"/>
      <c r="O1275" s="66"/>
      <c r="P1275" s="66"/>
      <c r="Q1275" s="66"/>
      <c r="R1275" s="66"/>
      <c r="S1275" s="66"/>
      <c r="T1275" s="69"/>
      <c r="U1275" s="66"/>
      <c r="V1275" s="66"/>
      <c r="W1275" s="75"/>
      <c r="X1275" s="66"/>
      <c r="Y1275" s="66"/>
    </row>
    <row hidden="true" r="1276">
      <c r="N1276" s="66"/>
      <c r="O1276" s="66"/>
      <c r="P1276" s="66"/>
      <c r="Q1276" s="66"/>
      <c r="R1276" s="66"/>
      <c r="S1276" s="66"/>
      <c r="T1276" s="69"/>
      <c r="U1276" s="66"/>
      <c r="V1276" s="66"/>
      <c r="W1276" s="75"/>
      <c r="X1276" s="66"/>
      <c r="Y1276" s="66"/>
    </row>
    <row hidden="true" r="1277">
      <c r="N1277" s="66"/>
      <c r="O1277" s="66"/>
      <c r="P1277" s="66"/>
      <c r="Q1277" s="66"/>
      <c r="R1277" s="66"/>
      <c r="S1277" s="66"/>
      <c r="T1277" s="69"/>
      <c r="U1277" s="66"/>
      <c r="V1277" s="66"/>
      <c r="W1277" s="75"/>
      <c r="X1277" s="66"/>
      <c r="Y1277" s="66"/>
    </row>
    <row hidden="true" r="1278">
      <c r="N1278" s="66"/>
      <c r="O1278" s="66"/>
      <c r="P1278" s="66"/>
      <c r="Q1278" s="66"/>
      <c r="R1278" s="66"/>
      <c r="S1278" s="66"/>
      <c r="T1278" s="69"/>
      <c r="U1278" s="66"/>
      <c r="V1278" s="66"/>
      <c r="W1278" s="75"/>
      <c r="X1278" s="66"/>
      <c r="Y1278" s="66"/>
    </row>
    <row hidden="true" r="1279">
      <c r="N1279" s="66"/>
      <c r="O1279" s="66"/>
      <c r="P1279" s="66"/>
      <c r="Q1279" s="66"/>
      <c r="R1279" s="66"/>
      <c r="S1279" s="66"/>
      <c r="T1279" s="69"/>
      <c r="U1279" s="66"/>
      <c r="V1279" s="66"/>
      <c r="W1279" s="75"/>
      <c r="X1279" s="66"/>
      <c r="Y1279" s="66"/>
    </row>
    <row hidden="true" r="1280">
      <c r="N1280" s="66"/>
      <c r="O1280" s="66"/>
      <c r="P1280" s="66"/>
      <c r="Q1280" s="66"/>
      <c r="R1280" s="66"/>
      <c r="S1280" s="66"/>
      <c r="T1280" s="69"/>
      <c r="U1280" s="66"/>
      <c r="V1280" s="66"/>
      <c r="W1280" s="75"/>
      <c r="X1280" s="66"/>
      <c r="Y1280" s="66"/>
    </row>
    <row hidden="true" r="1281">
      <c r="N1281" s="66"/>
      <c r="O1281" s="66"/>
      <c r="P1281" s="66"/>
      <c r="Q1281" s="66"/>
      <c r="R1281" s="66"/>
      <c r="S1281" s="66"/>
      <c r="T1281" s="69"/>
      <c r="U1281" s="66"/>
      <c r="V1281" s="66"/>
      <c r="W1281" s="75"/>
      <c r="X1281" s="66"/>
      <c r="Y1281" s="66"/>
    </row>
    <row hidden="true" r="1282">
      <c r="N1282" s="66"/>
      <c r="O1282" s="66"/>
      <c r="P1282" s="66"/>
      <c r="Q1282" s="66"/>
      <c r="R1282" s="66"/>
      <c r="S1282" s="66"/>
      <c r="T1282" s="69"/>
      <c r="U1282" s="66"/>
      <c r="V1282" s="66"/>
      <c r="W1282" s="75"/>
      <c r="X1282" s="66"/>
      <c r="Y1282" s="66"/>
    </row>
    <row hidden="true" r="1283">
      <c r="N1283" s="66"/>
      <c r="O1283" s="66"/>
      <c r="P1283" s="66"/>
      <c r="Q1283" s="66"/>
      <c r="R1283" s="66"/>
      <c r="S1283" s="66"/>
      <c r="T1283" s="69"/>
      <c r="U1283" s="66"/>
      <c r="V1283" s="66"/>
      <c r="W1283" s="75"/>
      <c r="X1283" s="66"/>
      <c r="Y1283" s="66"/>
    </row>
    <row hidden="true" r="1284">
      <c r="N1284" s="66"/>
      <c r="O1284" s="66"/>
      <c r="P1284" s="66"/>
      <c r="Q1284" s="66"/>
      <c r="R1284" s="66"/>
      <c r="S1284" s="66"/>
      <c r="T1284" s="69"/>
      <c r="U1284" s="66"/>
      <c r="V1284" s="66"/>
      <c r="W1284" s="75"/>
      <c r="X1284" s="66"/>
      <c r="Y1284" s="66"/>
    </row>
    <row hidden="true" r="1285">
      <c r="N1285" s="66"/>
      <c r="O1285" s="66"/>
      <c r="P1285" s="66"/>
      <c r="Q1285" s="66"/>
      <c r="R1285" s="66"/>
      <c r="S1285" s="66"/>
      <c r="T1285" s="69"/>
      <c r="U1285" s="66"/>
      <c r="V1285" s="66"/>
      <c r="W1285" s="75"/>
      <c r="X1285" s="66"/>
      <c r="Y1285" s="66"/>
    </row>
    <row hidden="true" r="1286">
      <c r="N1286" s="66"/>
      <c r="O1286" s="66"/>
      <c r="P1286" s="66"/>
      <c r="Q1286" s="66"/>
      <c r="R1286" s="66"/>
      <c r="S1286" s="66"/>
      <c r="T1286" s="69"/>
      <c r="U1286" s="66"/>
      <c r="V1286" s="66"/>
      <c r="W1286" s="75"/>
      <c r="X1286" s="66"/>
      <c r="Y1286" s="66"/>
    </row>
    <row hidden="true" r="1287">
      <c r="N1287" s="66"/>
      <c r="O1287" s="66"/>
      <c r="P1287" s="66"/>
      <c r="Q1287" s="66"/>
      <c r="R1287" s="66"/>
      <c r="S1287" s="66"/>
      <c r="T1287" s="69"/>
      <c r="U1287" s="66"/>
      <c r="V1287" s="66"/>
      <c r="W1287" s="75"/>
      <c r="X1287" s="66"/>
      <c r="Y1287" s="66"/>
    </row>
    <row hidden="true" r="1288">
      <c r="N1288" s="66"/>
      <c r="O1288" s="66"/>
      <c r="P1288" s="66"/>
      <c r="Q1288" s="66"/>
      <c r="R1288" s="66"/>
      <c r="S1288" s="66"/>
      <c r="T1288" s="69"/>
      <c r="U1288" s="66"/>
      <c r="V1288" s="66"/>
      <c r="W1288" s="75"/>
      <c r="X1288" s="66"/>
      <c r="Y1288" s="66"/>
    </row>
    <row hidden="true" r="1289">
      <c r="N1289" s="66"/>
      <c r="O1289" s="66"/>
      <c r="P1289" s="66"/>
      <c r="Q1289" s="66"/>
      <c r="R1289" s="66"/>
      <c r="S1289" s="66"/>
      <c r="T1289" s="69"/>
      <c r="U1289" s="66"/>
      <c r="V1289" s="66"/>
      <c r="W1289" s="75"/>
      <c r="X1289" s="66"/>
      <c r="Y1289" s="66"/>
    </row>
    <row hidden="true" r="1290">
      <c r="N1290" s="66"/>
      <c r="O1290" s="66"/>
      <c r="P1290" s="66"/>
      <c r="Q1290" s="66"/>
      <c r="R1290" s="66"/>
      <c r="S1290" s="66"/>
      <c r="T1290" s="69"/>
      <c r="U1290" s="66"/>
      <c r="V1290" s="66"/>
      <c r="W1290" s="75"/>
      <c r="X1290" s="66"/>
      <c r="Y1290" s="66"/>
    </row>
    <row hidden="true" r="1291">
      <c r="N1291" s="66"/>
      <c r="O1291" s="66"/>
      <c r="P1291" s="66"/>
      <c r="Q1291" s="66"/>
      <c r="R1291" s="66"/>
      <c r="S1291" s="66"/>
      <c r="T1291" s="69"/>
      <c r="U1291" s="66"/>
      <c r="V1291" s="66"/>
      <c r="W1291" s="75"/>
      <c r="X1291" s="66"/>
      <c r="Y1291" s="66"/>
    </row>
    <row hidden="true" r="1292">
      <c r="N1292" s="66"/>
      <c r="O1292" s="66"/>
      <c r="P1292" s="66"/>
      <c r="Q1292" s="66"/>
      <c r="R1292" s="66"/>
      <c r="S1292" s="66"/>
      <c r="T1292" s="69"/>
      <c r="U1292" s="66"/>
      <c r="V1292" s="66"/>
      <c r="W1292" s="75"/>
      <c r="X1292" s="66"/>
      <c r="Y1292" s="66"/>
    </row>
    <row hidden="true" r="1293">
      <c r="N1293" s="66"/>
      <c r="O1293" s="66"/>
      <c r="P1293" s="66"/>
      <c r="Q1293" s="66"/>
      <c r="R1293" s="66"/>
      <c r="S1293" s="66"/>
      <c r="T1293" s="69"/>
      <c r="U1293" s="66"/>
      <c r="V1293" s="66"/>
      <c r="W1293" s="75"/>
      <c r="X1293" s="66"/>
      <c r="Y1293" s="66"/>
    </row>
    <row hidden="true" r="1294">
      <c r="N1294" s="66"/>
      <c r="O1294" s="66"/>
      <c r="P1294" s="66"/>
      <c r="Q1294" s="66"/>
      <c r="R1294" s="66"/>
      <c r="S1294" s="66"/>
      <c r="T1294" s="69"/>
      <c r="U1294" s="66"/>
      <c r="V1294" s="66"/>
      <c r="W1294" s="75"/>
      <c r="X1294" s="66"/>
      <c r="Y1294" s="66"/>
    </row>
    <row hidden="true" r="1295">
      <c r="N1295" s="66"/>
      <c r="O1295" s="66"/>
      <c r="P1295" s="66"/>
      <c r="Q1295" s="66"/>
      <c r="R1295" s="66"/>
      <c r="S1295" s="66"/>
      <c r="T1295" s="69"/>
      <c r="U1295" s="66"/>
      <c r="V1295" s="66"/>
      <c r="W1295" s="75"/>
      <c r="X1295" s="66"/>
      <c r="Y1295" s="66"/>
    </row>
    <row hidden="true" r="1296">
      <c r="N1296" s="66"/>
      <c r="O1296" s="66"/>
      <c r="P1296" s="66"/>
      <c r="Q1296" s="66"/>
      <c r="R1296" s="66"/>
      <c r="S1296" s="66"/>
      <c r="T1296" s="69"/>
      <c r="U1296" s="66"/>
      <c r="V1296" s="66"/>
      <c r="W1296" s="75"/>
      <c r="X1296" s="66"/>
      <c r="Y1296" s="66"/>
    </row>
    <row hidden="true" r="1297">
      <c r="N1297" s="66"/>
      <c r="O1297" s="66"/>
      <c r="P1297" s="66"/>
      <c r="Q1297" s="66"/>
      <c r="R1297" s="66"/>
      <c r="S1297" s="66"/>
      <c r="T1297" s="69"/>
      <c r="U1297" s="66"/>
      <c r="V1297" s="66"/>
      <c r="W1297" s="75"/>
      <c r="X1297" s="66"/>
      <c r="Y1297" s="66"/>
    </row>
    <row hidden="true" r="1298">
      <c r="N1298" s="66"/>
      <c r="O1298" s="66"/>
      <c r="P1298" s="66"/>
      <c r="Q1298" s="66"/>
      <c r="R1298" s="66"/>
      <c r="S1298" s="66"/>
      <c r="T1298" s="69"/>
      <c r="U1298" s="66"/>
      <c r="V1298" s="66"/>
      <c r="W1298" s="75"/>
      <c r="X1298" s="66"/>
      <c r="Y1298" s="66"/>
    </row>
    <row hidden="true" r="1299">
      <c r="N1299" s="66"/>
      <c r="O1299" s="66"/>
      <c r="P1299" s="66"/>
      <c r="Q1299" s="66"/>
      <c r="R1299" s="66"/>
      <c r="S1299" s="66"/>
      <c r="T1299" s="69"/>
      <c r="U1299" s="66"/>
      <c r="V1299" s="66"/>
      <c r="W1299" s="75"/>
      <c r="X1299" s="66"/>
      <c r="Y1299" s="66"/>
    </row>
    <row hidden="true" r="1300">
      <c r="N1300" s="66"/>
      <c r="O1300" s="66"/>
      <c r="P1300" s="66"/>
      <c r="Q1300" s="66"/>
      <c r="R1300" s="66"/>
      <c r="S1300" s="66"/>
      <c r="T1300" s="69"/>
      <c r="U1300" s="66"/>
      <c r="V1300" s="66"/>
      <c r="W1300" s="75"/>
      <c r="X1300" s="66"/>
      <c r="Y1300" s="66"/>
    </row>
    <row hidden="true" r="1301">
      <c r="N1301" s="66"/>
      <c r="O1301" s="66"/>
      <c r="P1301" s="66"/>
      <c r="Q1301" s="66"/>
      <c r="R1301" s="66"/>
      <c r="S1301" s="66"/>
      <c r="T1301" s="69"/>
      <c r="U1301" s="66"/>
      <c r="V1301" s="66"/>
      <c r="W1301" s="75"/>
      <c r="X1301" s="66"/>
      <c r="Y1301" s="66"/>
    </row>
    <row hidden="true" r="1302">
      <c r="N1302" s="66"/>
      <c r="O1302" s="66"/>
      <c r="P1302" s="66"/>
      <c r="Q1302" s="66"/>
      <c r="R1302" s="66"/>
      <c r="S1302" s="66"/>
      <c r="T1302" s="69"/>
      <c r="U1302" s="66"/>
      <c r="V1302" s="66"/>
      <c r="W1302" s="75"/>
      <c r="X1302" s="66"/>
      <c r="Y1302" s="66"/>
    </row>
    <row hidden="true" r="1303">
      <c r="N1303" s="66"/>
      <c r="O1303" s="66"/>
      <c r="P1303" s="66"/>
      <c r="Q1303" s="66"/>
      <c r="R1303" s="66"/>
      <c r="S1303" s="66"/>
      <c r="T1303" s="69"/>
      <c r="U1303" s="66"/>
      <c r="V1303" s="66"/>
      <c r="W1303" s="75"/>
      <c r="X1303" s="66"/>
      <c r="Y1303" s="66"/>
    </row>
    <row hidden="true" r="1304">
      <c r="N1304" s="66"/>
      <c r="O1304" s="66"/>
      <c r="P1304" s="66"/>
      <c r="Q1304" s="66"/>
      <c r="R1304" s="66"/>
      <c r="S1304" s="66"/>
      <c r="T1304" s="69"/>
      <c r="U1304" s="66"/>
      <c r="V1304" s="66"/>
      <c r="W1304" s="75"/>
      <c r="X1304" s="66"/>
      <c r="Y1304" s="66"/>
    </row>
    <row hidden="true" r="1305">
      <c r="N1305" s="66"/>
      <c r="O1305" s="66"/>
      <c r="P1305" s="66"/>
      <c r="Q1305" s="66"/>
      <c r="R1305" s="66"/>
      <c r="S1305" s="66"/>
      <c r="T1305" s="69"/>
      <c r="U1305" s="66"/>
      <c r="V1305" s="66"/>
      <c r="W1305" s="75"/>
      <c r="X1305" s="66"/>
      <c r="Y1305" s="66"/>
    </row>
    <row hidden="true" r="1306">
      <c r="N1306" s="66"/>
      <c r="O1306" s="66"/>
      <c r="P1306" s="66"/>
      <c r="Q1306" s="66"/>
      <c r="R1306" s="66"/>
      <c r="S1306" s="66"/>
      <c r="T1306" s="69"/>
      <c r="U1306" s="66"/>
      <c r="V1306" s="66"/>
      <c r="W1306" s="75"/>
      <c r="X1306" s="66"/>
      <c r="Y1306" s="66"/>
    </row>
    <row hidden="true" r="1307">
      <c r="N1307" s="66"/>
      <c r="O1307" s="66"/>
      <c r="P1307" s="66"/>
      <c r="Q1307" s="66"/>
      <c r="R1307" s="66"/>
      <c r="S1307" s="66"/>
      <c r="T1307" s="69"/>
      <c r="U1307" s="66"/>
      <c r="V1307" s="66"/>
      <c r="W1307" s="75"/>
      <c r="X1307" s="66"/>
      <c r="Y1307" s="66"/>
    </row>
    <row hidden="true" r="1308">
      <c r="N1308" s="66"/>
      <c r="O1308" s="66"/>
      <c r="P1308" s="66"/>
      <c r="Q1308" s="66"/>
      <c r="R1308" s="66"/>
      <c r="S1308" s="66"/>
      <c r="T1308" s="69"/>
      <c r="U1308" s="66"/>
      <c r="V1308" s="66"/>
      <c r="W1308" s="75"/>
      <c r="X1308" s="66"/>
      <c r="Y1308" s="66"/>
    </row>
    <row hidden="true" r="1309">
      <c r="N1309" s="66"/>
      <c r="O1309" s="66"/>
      <c r="P1309" s="66"/>
      <c r="Q1309" s="66"/>
      <c r="R1309" s="66"/>
      <c r="S1309" s="66"/>
      <c r="T1309" s="69"/>
      <c r="U1309" s="66"/>
      <c r="V1309" s="66"/>
      <c r="W1309" s="75"/>
      <c r="X1309" s="66"/>
      <c r="Y1309" s="66"/>
    </row>
    <row hidden="true" r="1310">
      <c r="N1310" s="66"/>
      <c r="O1310" s="66"/>
      <c r="P1310" s="66"/>
      <c r="Q1310" s="66"/>
      <c r="R1310" s="66"/>
      <c r="S1310" s="66"/>
      <c r="T1310" s="69"/>
      <c r="U1310" s="66"/>
      <c r="V1310" s="66"/>
      <c r="W1310" s="75"/>
      <c r="X1310" s="66"/>
      <c r="Y1310" s="66"/>
    </row>
    <row hidden="true" r="1311">
      <c r="N1311" s="66"/>
      <c r="O1311" s="66"/>
      <c r="P1311" s="66"/>
      <c r="Q1311" s="66"/>
      <c r="R1311" s="66"/>
      <c r="S1311" s="66"/>
      <c r="T1311" s="69"/>
      <c r="U1311" s="66"/>
      <c r="V1311" s="66"/>
      <c r="W1311" s="75"/>
      <c r="X1311" s="66"/>
      <c r="Y1311" s="66"/>
    </row>
    <row hidden="true" r="1312">
      <c r="N1312" s="66"/>
      <c r="O1312" s="66"/>
      <c r="P1312" s="66"/>
      <c r="Q1312" s="66"/>
      <c r="R1312" s="66"/>
      <c r="S1312" s="66"/>
      <c r="T1312" s="69"/>
      <c r="U1312" s="66"/>
      <c r="V1312" s="66"/>
      <c r="W1312" s="75"/>
      <c r="X1312" s="66"/>
      <c r="Y1312" s="66"/>
    </row>
    <row hidden="true" r="1313">
      <c r="N1313" s="66"/>
      <c r="O1313" s="66"/>
      <c r="P1313" s="66"/>
      <c r="Q1313" s="66"/>
      <c r="R1313" s="66"/>
      <c r="S1313" s="66"/>
      <c r="T1313" s="69"/>
      <c r="U1313" s="66"/>
      <c r="V1313" s="66"/>
      <c r="W1313" s="75"/>
      <c r="X1313" s="66"/>
      <c r="Y1313" s="66"/>
    </row>
    <row hidden="true" r="1314">
      <c r="N1314" s="66"/>
      <c r="O1314" s="66"/>
      <c r="P1314" s="66"/>
      <c r="Q1314" s="66"/>
      <c r="R1314" s="66"/>
      <c r="S1314" s="66"/>
      <c r="T1314" s="69"/>
      <c r="U1314" s="66"/>
      <c r="V1314" s="66"/>
      <c r="W1314" s="75"/>
      <c r="X1314" s="66"/>
      <c r="Y1314" s="66"/>
    </row>
    <row hidden="true" r="1315">
      <c r="N1315" s="66"/>
      <c r="O1315" s="66"/>
      <c r="P1315" s="66"/>
      <c r="Q1315" s="66"/>
      <c r="R1315" s="66"/>
      <c r="S1315" s="66"/>
      <c r="T1315" s="69"/>
      <c r="U1315" s="66"/>
      <c r="V1315" s="66"/>
      <c r="W1315" s="75"/>
      <c r="X1315" s="66"/>
      <c r="Y1315" s="66"/>
    </row>
    <row hidden="true" r="1316">
      <c r="N1316" s="66"/>
      <c r="O1316" s="66"/>
      <c r="P1316" s="66"/>
      <c r="Q1316" s="66"/>
      <c r="R1316" s="66"/>
      <c r="S1316" s="66"/>
      <c r="T1316" s="69"/>
      <c r="U1316" s="66"/>
      <c r="V1316" s="66"/>
      <c r="W1316" s="75"/>
      <c r="X1316" s="66"/>
      <c r="Y1316" s="66"/>
    </row>
    <row hidden="true" r="1317">
      <c r="N1317" s="66"/>
      <c r="O1317" s="66"/>
      <c r="P1317" s="66"/>
      <c r="Q1317" s="66"/>
      <c r="R1317" s="66"/>
      <c r="S1317" s="66"/>
      <c r="T1317" s="69"/>
      <c r="U1317" s="66"/>
      <c r="V1317" s="66"/>
      <c r="W1317" s="75"/>
      <c r="X1317" s="66"/>
      <c r="Y1317" s="66"/>
    </row>
    <row hidden="true" r="1318">
      <c r="N1318" s="66"/>
      <c r="O1318" s="66"/>
      <c r="P1318" s="66"/>
      <c r="Q1318" s="66"/>
      <c r="R1318" s="66"/>
      <c r="S1318" s="66"/>
      <c r="T1318" s="69"/>
      <c r="U1318" s="66"/>
      <c r="V1318" s="66"/>
      <c r="W1318" s="75"/>
      <c r="X1318" s="66"/>
      <c r="Y1318" s="66"/>
    </row>
    <row hidden="true" r="1319">
      <c r="N1319" s="66"/>
      <c r="O1319" s="66"/>
      <c r="P1319" s="66"/>
      <c r="Q1319" s="66"/>
      <c r="R1319" s="66"/>
      <c r="S1319" s="66"/>
      <c r="T1319" s="69"/>
      <c r="U1319" s="66"/>
      <c r="V1319" s="66"/>
      <c r="W1319" s="75"/>
      <c r="X1319" s="66"/>
      <c r="Y1319" s="66"/>
    </row>
    <row hidden="true" r="1320">
      <c r="N1320" s="66"/>
      <c r="O1320" s="66"/>
      <c r="P1320" s="66"/>
      <c r="Q1320" s="66"/>
      <c r="R1320" s="66"/>
      <c r="S1320" s="66"/>
      <c r="T1320" s="69"/>
      <c r="U1320" s="66"/>
      <c r="V1320" s="66"/>
      <c r="W1320" s="75"/>
      <c r="X1320" s="66"/>
      <c r="Y1320" s="66"/>
    </row>
    <row hidden="true" r="1321">
      <c r="N1321" s="66"/>
      <c r="O1321" s="66"/>
      <c r="P1321" s="66"/>
      <c r="Q1321" s="66"/>
      <c r="R1321" s="66"/>
      <c r="S1321" s="66"/>
      <c r="T1321" s="69"/>
      <c r="U1321" s="66"/>
      <c r="V1321" s="66"/>
      <c r="W1321" s="75"/>
      <c r="X1321" s="66"/>
      <c r="Y1321" s="66"/>
    </row>
    <row hidden="true" r="1322">
      <c r="N1322" s="66"/>
      <c r="O1322" s="66"/>
      <c r="P1322" s="66"/>
      <c r="Q1322" s="66"/>
      <c r="R1322" s="66"/>
      <c r="S1322" s="66"/>
      <c r="T1322" s="69"/>
      <c r="U1322" s="66"/>
      <c r="V1322" s="66"/>
      <c r="W1322" s="75"/>
      <c r="X1322" s="66"/>
      <c r="Y1322" s="66"/>
    </row>
    <row hidden="true" r="1323">
      <c r="N1323" s="66"/>
      <c r="O1323" s="66"/>
      <c r="P1323" s="66"/>
      <c r="Q1323" s="66"/>
      <c r="R1323" s="66"/>
      <c r="S1323" s="66"/>
      <c r="T1323" s="69"/>
      <c r="U1323" s="66"/>
      <c r="V1323" s="66"/>
      <c r="W1323" s="75"/>
      <c r="X1323" s="66"/>
      <c r="Y1323" s="66"/>
    </row>
    <row hidden="true" r="1324">
      <c r="N1324" s="66"/>
      <c r="O1324" s="66"/>
      <c r="P1324" s="66"/>
      <c r="Q1324" s="66"/>
      <c r="R1324" s="66"/>
      <c r="S1324" s="66"/>
      <c r="T1324" s="69"/>
      <c r="U1324" s="66"/>
      <c r="V1324" s="66"/>
      <c r="W1324" s="75"/>
      <c r="X1324" s="66"/>
      <c r="Y1324" s="66"/>
    </row>
    <row hidden="true" r="1325">
      <c r="N1325" s="66"/>
      <c r="O1325" s="66"/>
      <c r="P1325" s="66"/>
      <c r="Q1325" s="66"/>
      <c r="R1325" s="66"/>
      <c r="S1325" s="66"/>
      <c r="T1325" s="69"/>
      <c r="U1325" s="66"/>
      <c r="V1325" s="66"/>
      <c r="W1325" s="75"/>
      <c r="X1325" s="66"/>
      <c r="Y1325" s="66"/>
    </row>
    <row hidden="true" r="1326">
      <c r="N1326" s="66"/>
      <c r="O1326" s="66"/>
      <c r="P1326" s="66"/>
      <c r="Q1326" s="66"/>
      <c r="R1326" s="66"/>
      <c r="S1326" s="66"/>
      <c r="T1326" s="69"/>
      <c r="U1326" s="66"/>
      <c r="V1326" s="66"/>
      <c r="W1326" s="75"/>
      <c r="X1326" s="66"/>
      <c r="Y1326" s="66"/>
    </row>
    <row hidden="true" r="1327">
      <c r="N1327" s="66"/>
      <c r="O1327" s="66"/>
      <c r="P1327" s="66"/>
      <c r="Q1327" s="66"/>
      <c r="R1327" s="66"/>
      <c r="S1327" s="66"/>
      <c r="T1327" s="69"/>
      <c r="U1327" s="66"/>
      <c r="V1327" s="66"/>
      <c r="W1327" s="75"/>
      <c r="X1327" s="66"/>
      <c r="Y1327" s="66"/>
    </row>
    <row hidden="true" r="1328">
      <c r="N1328" s="66"/>
      <c r="O1328" s="66"/>
      <c r="P1328" s="66"/>
      <c r="Q1328" s="66"/>
      <c r="R1328" s="66"/>
      <c r="S1328" s="66"/>
      <c r="T1328" s="69"/>
      <c r="U1328" s="66"/>
      <c r="V1328" s="66"/>
      <c r="W1328" s="75"/>
      <c r="X1328" s="66"/>
      <c r="Y1328" s="66"/>
    </row>
    <row hidden="true" r="1329">
      <c r="N1329" s="66"/>
      <c r="O1329" s="66"/>
      <c r="P1329" s="66"/>
      <c r="Q1329" s="66"/>
      <c r="R1329" s="66"/>
      <c r="S1329" s="66"/>
      <c r="T1329" s="69"/>
      <c r="U1329" s="66"/>
      <c r="V1329" s="66"/>
      <c r="W1329" s="75"/>
      <c r="X1329" s="66"/>
      <c r="Y1329" s="66"/>
    </row>
    <row hidden="true" r="1330">
      <c r="N1330" s="66"/>
      <c r="O1330" s="66"/>
      <c r="P1330" s="66"/>
      <c r="Q1330" s="66"/>
      <c r="R1330" s="66"/>
      <c r="S1330" s="66"/>
      <c r="T1330" s="69"/>
      <c r="U1330" s="66"/>
      <c r="V1330" s="66"/>
      <c r="W1330" s="75"/>
      <c r="X1330" s="66"/>
      <c r="Y1330" s="66"/>
    </row>
    <row hidden="true" r="1331">
      <c r="N1331" s="66"/>
      <c r="O1331" s="66"/>
      <c r="P1331" s="66"/>
      <c r="Q1331" s="66"/>
      <c r="R1331" s="66"/>
      <c r="S1331" s="66"/>
      <c r="T1331" s="69"/>
      <c r="U1331" s="66"/>
      <c r="V1331" s="66"/>
      <c r="W1331" s="75"/>
      <c r="X1331" s="66"/>
      <c r="Y1331" s="66"/>
    </row>
    <row hidden="true" r="1332">
      <c r="N1332" s="66"/>
      <c r="O1332" s="66"/>
      <c r="P1332" s="66"/>
      <c r="Q1332" s="66"/>
      <c r="R1332" s="66"/>
      <c r="S1332" s="66"/>
      <c r="T1332" s="69"/>
      <c r="U1332" s="66"/>
      <c r="V1332" s="66"/>
      <c r="W1332" s="75"/>
      <c r="X1332" s="66"/>
      <c r="Y1332" s="66"/>
    </row>
    <row hidden="true" r="1333">
      <c r="N1333" s="66"/>
      <c r="O1333" s="66"/>
      <c r="P1333" s="66"/>
      <c r="Q1333" s="66"/>
      <c r="R1333" s="66"/>
      <c r="S1333" s="66"/>
      <c r="T1333" s="69"/>
      <c r="U1333" s="66"/>
      <c r="V1333" s="66"/>
      <c r="W1333" s="75"/>
      <c r="X1333" s="66"/>
      <c r="Y1333" s="66"/>
    </row>
    <row hidden="true" r="1334">
      <c r="N1334" s="66"/>
      <c r="O1334" s="66"/>
      <c r="P1334" s="66"/>
      <c r="Q1334" s="66"/>
      <c r="R1334" s="66"/>
      <c r="S1334" s="66"/>
      <c r="T1334" s="69"/>
      <c r="U1334" s="66"/>
      <c r="V1334" s="66"/>
      <c r="W1334" s="75"/>
      <c r="X1334" s="66"/>
      <c r="Y1334" s="66"/>
    </row>
    <row hidden="true" r="1335">
      <c r="N1335" s="66"/>
      <c r="O1335" s="66"/>
      <c r="P1335" s="66"/>
      <c r="Q1335" s="66"/>
      <c r="R1335" s="66"/>
      <c r="S1335" s="66"/>
      <c r="T1335" s="69"/>
      <c r="U1335" s="66"/>
      <c r="V1335" s="66"/>
      <c r="W1335" s="75"/>
      <c r="X1335" s="66"/>
      <c r="Y1335" s="66"/>
    </row>
    <row hidden="true" r="1336">
      <c r="N1336" s="66"/>
      <c r="O1336" s="66"/>
      <c r="P1336" s="66"/>
      <c r="Q1336" s="66"/>
      <c r="R1336" s="66"/>
      <c r="S1336" s="66"/>
      <c r="T1336" s="69"/>
      <c r="U1336" s="66"/>
      <c r="V1336" s="66"/>
      <c r="W1336" s="75"/>
      <c r="X1336" s="66"/>
      <c r="Y1336" s="66"/>
    </row>
    <row hidden="true" r="1337">
      <c r="N1337" s="66"/>
      <c r="O1337" s="66"/>
      <c r="P1337" s="66"/>
      <c r="Q1337" s="66"/>
      <c r="R1337" s="66"/>
      <c r="S1337" s="66"/>
      <c r="T1337" s="69"/>
      <c r="U1337" s="66"/>
      <c r="V1337" s="66"/>
      <c r="W1337" s="75"/>
      <c r="X1337" s="66"/>
      <c r="Y1337" s="66"/>
    </row>
    <row hidden="true" r="1338">
      <c r="N1338" s="66"/>
      <c r="O1338" s="66"/>
      <c r="P1338" s="66"/>
      <c r="Q1338" s="66"/>
      <c r="R1338" s="66"/>
      <c r="S1338" s="66"/>
      <c r="T1338" s="69"/>
      <c r="U1338" s="66"/>
      <c r="V1338" s="66"/>
      <c r="W1338" s="75"/>
      <c r="X1338" s="66"/>
      <c r="Y1338" s="66"/>
    </row>
    <row hidden="true" r="1339">
      <c r="N1339" s="66"/>
      <c r="O1339" s="66"/>
      <c r="P1339" s="66"/>
      <c r="Q1339" s="66"/>
      <c r="R1339" s="66"/>
      <c r="S1339" s="66"/>
      <c r="T1339" s="69"/>
      <c r="U1339" s="66"/>
      <c r="V1339" s="66"/>
      <c r="W1339" s="75"/>
      <c r="X1339" s="66"/>
      <c r="Y1339" s="66"/>
    </row>
    <row hidden="true" r="1340">
      <c r="N1340" s="66"/>
      <c r="O1340" s="66"/>
      <c r="P1340" s="66"/>
      <c r="Q1340" s="66"/>
      <c r="R1340" s="66"/>
      <c r="S1340" s="66"/>
      <c r="T1340" s="69"/>
      <c r="U1340" s="66"/>
      <c r="V1340" s="66"/>
      <c r="W1340" s="75"/>
      <c r="X1340" s="66"/>
      <c r="Y1340" s="66"/>
    </row>
    <row hidden="true" r="1341">
      <c r="N1341" s="66"/>
      <c r="O1341" s="66"/>
      <c r="P1341" s="66"/>
      <c r="Q1341" s="66"/>
      <c r="R1341" s="66"/>
      <c r="S1341" s="66"/>
      <c r="T1341" s="69"/>
      <c r="U1341" s="66"/>
      <c r="V1341" s="66"/>
      <c r="W1341" s="75"/>
      <c r="X1341" s="66"/>
      <c r="Y1341" s="66"/>
    </row>
    <row hidden="true" r="1342">
      <c r="N1342" s="66"/>
      <c r="O1342" s="66"/>
      <c r="P1342" s="66"/>
      <c r="Q1342" s="66"/>
      <c r="R1342" s="66"/>
      <c r="S1342" s="66"/>
      <c r="T1342" s="69"/>
      <c r="U1342" s="66"/>
      <c r="V1342" s="66"/>
      <c r="W1342" s="75"/>
      <c r="X1342" s="66"/>
      <c r="Y1342" s="66"/>
    </row>
    <row hidden="true" r="1343">
      <c r="N1343" s="66"/>
      <c r="O1343" s="66"/>
      <c r="P1343" s="66"/>
      <c r="Q1343" s="66"/>
      <c r="R1343" s="66"/>
      <c r="S1343" s="66"/>
      <c r="T1343" s="69"/>
      <c r="U1343" s="66"/>
      <c r="V1343" s="66"/>
      <c r="W1343" s="75"/>
      <c r="X1343" s="66"/>
      <c r="Y1343" s="66"/>
    </row>
    <row hidden="true" r="1344">
      <c r="N1344" s="66"/>
      <c r="O1344" s="66"/>
      <c r="P1344" s="66"/>
      <c r="Q1344" s="66"/>
      <c r="R1344" s="66"/>
      <c r="S1344" s="66"/>
      <c r="T1344" s="69"/>
      <c r="U1344" s="66"/>
      <c r="V1344" s="66"/>
      <c r="W1344" s="75"/>
      <c r="X1344" s="66"/>
      <c r="Y1344" s="66"/>
    </row>
    <row hidden="true" r="1345">
      <c r="N1345" s="66"/>
      <c r="O1345" s="66"/>
      <c r="P1345" s="66"/>
      <c r="Q1345" s="66"/>
      <c r="R1345" s="66"/>
      <c r="S1345" s="66"/>
      <c r="T1345" s="69"/>
      <c r="U1345" s="66"/>
      <c r="V1345" s="66"/>
      <c r="W1345" s="75"/>
      <c r="X1345" s="66"/>
      <c r="Y1345" s="66"/>
    </row>
    <row hidden="true" r="1346">
      <c r="N1346" s="66"/>
      <c r="O1346" s="66"/>
      <c r="P1346" s="66"/>
      <c r="Q1346" s="66"/>
      <c r="R1346" s="66"/>
      <c r="S1346" s="66"/>
      <c r="T1346" s="69"/>
      <c r="U1346" s="66"/>
      <c r="V1346" s="66"/>
      <c r="W1346" s="75"/>
      <c r="X1346" s="66"/>
      <c r="Y1346" s="66"/>
    </row>
    <row hidden="true" r="1347">
      <c r="N1347" s="66"/>
      <c r="O1347" s="66"/>
      <c r="P1347" s="66"/>
      <c r="Q1347" s="66"/>
      <c r="R1347" s="66"/>
      <c r="S1347" s="66"/>
      <c r="T1347" s="69"/>
      <c r="U1347" s="66"/>
      <c r="V1347" s="66"/>
      <c r="W1347" s="75"/>
      <c r="X1347" s="66"/>
      <c r="Y1347" s="66"/>
    </row>
    <row hidden="true" r="1348">
      <c r="N1348" s="66"/>
      <c r="O1348" s="66"/>
      <c r="P1348" s="66"/>
      <c r="Q1348" s="66"/>
      <c r="R1348" s="66"/>
      <c r="S1348" s="66"/>
      <c r="T1348" s="69"/>
      <c r="U1348" s="66"/>
      <c r="V1348" s="66"/>
      <c r="W1348" s="75"/>
      <c r="X1348" s="66"/>
      <c r="Y1348" s="66"/>
    </row>
    <row hidden="true" r="1349">
      <c r="N1349" s="66"/>
      <c r="O1349" s="66"/>
      <c r="P1349" s="66"/>
      <c r="Q1349" s="66"/>
      <c r="R1349" s="66"/>
      <c r="S1349" s="66"/>
      <c r="T1349" s="69"/>
      <c r="U1349" s="66"/>
      <c r="V1349" s="66"/>
      <c r="W1349" s="75"/>
      <c r="X1349" s="66"/>
      <c r="Y1349" s="66"/>
    </row>
    <row hidden="true" r="1350">
      <c r="N1350" s="66"/>
      <c r="O1350" s="66"/>
      <c r="P1350" s="66"/>
      <c r="Q1350" s="66"/>
      <c r="R1350" s="66"/>
      <c r="S1350" s="66"/>
      <c r="T1350" s="69"/>
      <c r="U1350" s="66"/>
      <c r="V1350" s="66"/>
      <c r="W1350" s="75"/>
      <c r="X1350" s="66"/>
      <c r="Y1350" s="66"/>
    </row>
    <row hidden="true" r="1351">
      <c r="N1351" s="66"/>
      <c r="O1351" s="66"/>
      <c r="P1351" s="66"/>
      <c r="Q1351" s="66"/>
      <c r="R1351" s="66"/>
      <c r="S1351" s="66"/>
      <c r="T1351" s="69"/>
      <c r="U1351" s="66"/>
      <c r="V1351" s="66"/>
      <c r="W1351" s="75"/>
      <c r="X1351" s="66"/>
      <c r="Y1351" s="66"/>
    </row>
    <row hidden="true" r="1352">
      <c r="N1352" s="66"/>
      <c r="O1352" s="66"/>
      <c r="P1352" s="66"/>
      <c r="Q1352" s="66"/>
      <c r="R1352" s="66"/>
      <c r="S1352" s="66"/>
      <c r="T1352" s="69"/>
      <c r="U1352" s="66"/>
      <c r="V1352" s="66"/>
      <c r="W1352" s="75"/>
      <c r="X1352" s="66"/>
      <c r="Y1352" s="66"/>
    </row>
    <row hidden="true" r="1353">
      <c r="N1353" s="66"/>
      <c r="O1353" s="66"/>
      <c r="P1353" s="66"/>
      <c r="Q1353" s="66"/>
      <c r="R1353" s="66"/>
      <c r="S1353" s="66"/>
      <c r="T1353" s="69"/>
      <c r="U1353" s="66"/>
      <c r="V1353" s="66"/>
      <c r="W1353" s="75"/>
      <c r="X1353" s="66"/>
      <c r="Y1353" s="66"/>
    </row>
    <row hidden="true" r="1354">
      <c r="N1354" s="66"/>
      <c r="O1354" s="66"/>
      <c r="P1354" s="66"/>
      <c r="Q1354" s="66"/>
      <c r="R1354" s="66"/>
      <c r="S1354" s="66"/>
      <c r="T1354" s="69"/>
      <c r="U1354" s="66"/>
      <c r="V1354" s="66"/>
      <c r="W1354" s="75"/>
      <c r="X1354" s="66"/>
      <c r="Y1354" s="66"/>
    </row>
    <row hidden="true" r="1355">
      <c r="N1355" s="66"/>
      <c r="O1355" s="66"/>
      <c r="P1355" s="66"/>
      <c r="Q1355" s="66"/>
      <c r="R1355" s="66"/>
      <c r="S1355" s="66"/>
      <c r="T1355" s="69"/>
      <c r="U1355" s="66"/>
      <c r="V1355" s="66"/>
      <c r="W1355" s="75"/>
      <c r="X1355" s="66"/>
      <c r="Y1355" s="66"/>
    </row>
    <row hidden="true" r="1356">
      <c r="N1356" s="66"/>
      <c r="O1356" s="66"/>
      <c r="P1356" s="66"/>
      <c r="Q1356" s="66"/>
      <c r="R1356" s="66"/>
      <c r="S1356" s="66"/>
      <c r="T1356" s="69"/>
      <c r="U1356" s="66"/>
      <c r="V1356" s="66"/>
      <c r="W1356" s="75"/>
      <c r="X1356" s="66"/>
      <c r="Y1356" s="66"/>
    </row>
    <row hidden="true" r="1357">
      <c r="N1357" s="66"/>
      <c r="O1357" s="66"/>
      <c r="P1357" s="66"/>
      <c r="Q1357" s="66"/>
      <c r="R1357" s="66"/>
      <c r="S1357" s="66"/>
      <c r="T1357" s="69"/>
      <c r="U1357" s="66"/>
      <c r="V1357" s="66"/>
      <c r="W1357" s="75"/>
      <c r="X1357" s="66"/>
      <c r="Y1357" s="66"/>
    </row>
    <row hidden="true" r="1358">
      <c r="N1358" s="66"/>
      <c r="O1358" s="66"/>
      <c r="P1358" s="66"/>
      <c r="Q1358" s="66"/>
      <c r="R1358" s="66"/>
      <c r="S1358" s="66"/>
      <c r="T1358" s="69"/>
      <c r="U1358" s="66"/>
      <c r="V1358" s="66"/>
      <c r="W1358" s="75"/>
      <c r="X1358" s="66"/>
      <c r="Y1358" s="66"/>
    </row>
    <row hidden="true" r="1359">
      <c r="N1359" s="66"/>
      <c r="O1359" s="66"/>
      <c r="P1359" s="66"/>
      <c r="Q1359" s="66"/>
      <c r="R1359" s="66"/>
      <c r="S1359" s="66"/>
      <c r="T1359" s="69"/>
      <c r="U1359" s="66"/>
      <c r="V1359" s="66"/>
      <c r="W1359" s="75"/>
      <c r="X1359" s="66"/>
      <c r="Y1359" s="66"/>
    </row>
    <row hidden="true" r="1360">
      <c r="N1360" s="66"/>
      <c r="O1360" s="66"/>
      <c r="P1360" s="66"/>
      <c r="Q1360" s="66"/>
      <c r="R1360" s="66"/>
      <c r="S1360" s="66"/>
      <c r="T1360" s="69"/>
      <c r="U1360" s="66"/>
      <c r="V1360" s="66"/>
      <c r="W1360" s="75"/>
      <c r="X1360" s="66"/>
      <c r="Y1360" s="66"/>
    </row>
    <row hidden="true" r="1361">
      <c r="N1361" s="66"/>
      <c r="O1361" s="66"/>
      <c r="P1361" s="66"/>
      <c r="Q1361" s="66"/>
      <c r="R1361" s="66"/>
      <c r="S1361" s="66"/>
      <c r="T1361" s="69"/>
      <c r="U1361" s="66"/>
      <c r="V1361" s="66"/>
      <c r="W1361" s="75"/>
      <c r="X1361" s="66"/>
      <c r="Y1361" s="66"/>
    </row>
    <row hidden="true" r="1362">
      <c r="N1362" s="66"/>
      <c r="O1362" s="66"/>
      <c r="P1362" s="66"/>
      <c r="Q1362" s="66"/>
      <c r="R1362" s="66"/>
      <c r="S1362" s="66"/>
      <c r="T1362" s="69"/>
      <c r="U1362" s="66"/>
      <c r="V1362" s="66"/>
      <c r="W1362" s="75"/>
      <c r="X1362" s="66"/>
      <c r="Y1362" s="66"/>
    </row>
    <row hidden="true" r="1363">
      <c r="N1363" s="66"/>
      <c r="O1363" s="66"/>
      <c r="P1363" s="66"/>
      <c r="Q1363" s="66"/>
      <c r="R1363" s="66"/>
      <c r="S1363" s="66"/>
      <c r="T1363" s="69"/>
      <c r="U1363" s="66"/>
      <c r="V1363" s="66"/>
      <c r="W1363" s="75"/>
      <c r="X1363" s="66"/>
      <c r="Y1363" s="66"/>
    </row>
    <row hidden="true" r="1364">
      <c r="N1364" s="66"/>
      <c r="O1364" s="66"/>
      <c r="P1364" s="66"/>
      <c r="Q1364" s="66"/>
      <c r="R1364" s="66"/>
      <c r="S1364" s="66"/>
      <c r="T1364" s="69"/>
      <c r="U1364" s="66"/>
      <c r="V1364" s="66"/>
      <c r="W1364" s="75"/>
      <c r="X1364" s="66"/>
      <c r="Y1364" s="66"/>
    </row>
    <row hidden="true" r="1365">
      <c r="N1365" s="66"/>
      <c r="O1365" s="66"/>
      <c r="P1365" s="66"/>
      <c r="Q1365" s="66"/>
      <c r="R1365" s="66"/>
      <c r="S1365" s="66"/>
      <c r="T1365" s="69"/>
      <c r="U1365" s="66"/>
      <c r="V1365" s="66"/>
      <c r="W1365" s="75"/>
      <c r="X1365" s="66"/>
      <c r="Y1365" s="66"/>
    </row>
    <row hidden="true" r="1366">
      <c r="N1366" s="66"/>
      <c r="O1366" s="66"/>
      <c r="P1366" s="66"/>
      <c r="Q1366" s="66"/>
      <c r="R1366" s="66"/>
      <c r="S1366" s="66"/>
      <c r="T1366" s="69"/>
      <c r="U1366" s="66"/>
      <c r="V1366" s="66"/>
      <c r="W1366" s="75"/>
      <c r="X1366" s="66"/>
      <c r="Y1366" s="66"/>
    </row>
    <row hidden="true" r="1367">
      <c r="N1367" s="66"/>
      <c r="O1367" s="66"/>
      <c r="P1367" s="66"/>
      <c r="Q1367" s="66"/>
      <c r="R1367" s="66"/>
      <c r="S1367" s="66"/>
      <c r="T1367" s="69"/>
      <c r="U1367" s="66"/>
      <c r="V1367" s="66"/>
      <c r="W1367" s="75"/>
      <c r="X1367" s="66"/>
      <c r="Y1367" s="66"/>
    </row>
    <row hidden="true" r="1368">
      <c r="N1368" s="66"/>
      <c r="O1368" s="66"/>
      <c r="P1368" s="66"/>
      <c r="Q1368" s="66"/>
      <c r="R1368" s="66"/>
      <c r="S1368" s="66"/>
      <c r="T1368" s="69"/>
      <c r="U1368" s="66"/>
      <c r="V1368" s="66"/>
      <c r="W1368" s="75"/>
      <c r="X1368" s="66"/>
      <c r="Y1368" s="66"/>
    </row>
    <row hidden="true" r="1369">
      <c r="N1369" s="66"/>
      <c r="O1369" s="66"/>
      <c r="P1369" s="66"/>
      <c r="Q1369" s="66"/>
      <c r="R1369" s="66"/>
      <c r="S1369" s="66"/>
      <c r="T1369" s="69"/>
      <c r="U1369" s="66"/>
      <c r="V1369" s="66"/>
      <c r="W1369" s="75"/>
      <c r="X1369" s="66"/>
      <c r="Y1369" s="66"/>
    </row>
    <row hidden="true" r="1370">
      <c r="N1370" s="66"/>
      <c r="O1370" s="66"/>
      <c r="P1370" s="66"/>
      <c r="Q1370" s="66"/>
      <c r="R1370" s="66"/>
      <c r="S1370" s="66"/>
      <c r="T1370" s="69"/>
      <c r="U1370" s="66"/>
      <c r="V1370" s="66"/>
      <c r="W1370" s="75"/>
      <c r="X1370" s="66"/>
      <c r="Y1370" s="66"/>
    </row>
    <row hidden="true" r="1371">
      <c r="N1371" s="66"/>
      <c r="O1371" s="66"/>
      <c r="P1371" s="66"/>
      <c r="Q1371" s="66"/>
      <c r="R1371" s="66"/>
      <c r="S1371" s="66"/>
      <c r="T1371" s="69"/>
      <c r="U1371" s="66"/>
      <c r="V1371" s="66"/>
      <c r="W1371" s="75"/>
      <c r="X1371" s="66"/>
      <c r="Y1371" s="66"/>
    </row>
    <row hidden="true" r="1372">
      <c r="N1372" s="66"/>
      <c r="O1372" s="66"/>
      <c r="P1372" s="66"/>
      <c r="Q1372" s="66"/>
      <c r="R1372" s="66"/>
      <c r="S1372" s="66"/>
      <c r="T1372" s="69"/>
      <c r="U1372" s="66"/>
      <c r="V1372" s="66"/>
      <c r="W1372" s="75"/>
      <c r="X1372" s="66"/>
      <c r="Y1372" s="66"/>
    </row>
    <row hidden="true" r="1373">
      <c r="N1373" s="66"/>
      <c r="O1373" s="66"/>
      <c r="P1373" s="66"/>
      <c r="Q1373" s="66"/>
      <c r="R1373" s="66"/>
      <c r="S1373" s="66"/>
      <c r="T1373" s="69"/>
      <c r="U1373" s="66"/>
      <c r="V1373" s="66"/>
      <c r="W1373" s="75"/>
      <c r="X1373" s="66"/>
      <c r="Y1373" s="66"/>
    </row>
    <row hidden="true" r="1374">
      <c r="N1374" s="66"/>
      <c r="O1374" s="66"/>
      <c r="P1374" s="66"/>
      <c r="Q1374" s="66"/>
      <c r="R1374" s="66"/>
      <c r="S1374" s="66"/>
      <c r="T1374" s="69"/>
      <c r="U1374" s="66"/>
      <c r="V1374" s="66"/>
      <c r="W1374" s="75"/>
      <c r="X1374" s="66"/>
      <c r="Y1374" s="66"/>
    </row>
    <row hidden="true" r="1375">
      <c r="N1375" s="66"/>
      <c r="O1375" s="66"/>
      <c r="P1375" s="66"/>
      <c r="Q1375" s="66"/>
      <c r="R1375" s="66"/>
      <c r="S1375" s="66"/>
      <c r="T1375" s="69"/>
      <c r="U1375" s="66"/>
      <c r="V1375" s="66"/>
      <c r="W1375" s="75"/>
      <c r="X1375" s="66"/>
      <c r="Y1375" s="66"/>
    </row>
    <row hidden="true" r="1376">
      <c r="N1376" s="66"/>
      <c r="O1376" s="66"/>
      <c r="P1376" s="66"/>
      <c r="Q1376" s="66"/>
      <c r="R1376" s="66"/>
      <c r="S1376" s="66"/>
      <c r="T1376" s="69"/>
      <c r="U1376" s="66"/>
      <c r="V1376" s="66"/>
      <c r="W1376" s="75"/>
      <c r="X1376" s="66"/>
      <c r="Y1376" s="66"/>
    </row>
    <row hidden="true" r="1377">
      <c r="N1377" s="66"/>
      <c r="O1377" s="66"/>
      <c r="P1377" s="66"/>
      <c r="Q1377" s="66"/>
      <c r="R1377" s="66"/>
      <c r="S1377" s="66"/>
      <c r="T1377" s="69"/>
      <c r="U1377" s="66"/>
      <c r="V1377" s="66"/>
      <c r="W1377" s="75"/>
      <c r="X1377" s="66"/>
      <c r="Y1377" s="66"/>
    </row>
    <row hidden="true" r="1378">
      <c r="N1378" s="66"/>
      <c r="O1378" s="66"/>
      <c r="P1378" s="66"/>
      <c r="Q1378" s="66"/>
      <c r="R1378" s="66"/>
      <c r="S1378" s="66"/>
      <c r="T1378" s="69"/>
      <c r="U1378" s="66"/>
      <c r="V1378" s="66"/>
      <c r="W1378" s="75"/>
      <c r="X1378" s="66"/>
      <c r="Y1378" s="66"/>
    </row>
    <row hidden="true" r="1379">
      <c r="N1379" s="66"/>
      <c r="O1379" s="66"/>
      <c r="P1379" s="66"/>
      <c r="Q1379" s="66"/>
      <c r="R1379" s="66"/>
      <c r="S1379" s="66"/>
      <c r="T1379" s="69"/>
      <c r="U1379" s="66"/>
      <c r="V1379" s="66"/>
      <c r="W1379" s="75"/>
      <c r="X1379" s="66"/>
      <c r="Y1379" s="66"/>
    </row>
    <row hidden="true" r="1380">
      <c r="N1380" s="66"/>
      <c r="O1380" s="66"/>
      <c r="P1380" s="66"/>
      <c r="Q1380" s="66"/>
      <c r="R1380" s="66"/>
      <c r="S1380" s="66"/>
      <c r="T1380" s="69"/>
      <c r="U1380" s="66"/>
      <c r="V1380" s="66"/>
      <c r="W1380" s="75"/>
      <c r="X1380" s="66"/>
      <c r="Y1380" s="66"/>
    </row>
    <row hidden="true" r="1381">
      <c r="N1381" s="66"/>
      <c r="O1381" s="66"/>
      <c r="P1381" s="66"/>
      <c r="Q1381" s="66"/>
      <c r="R1381" s="66"/>
      <c r="S1381" s="66"/>
      <c r="T1381" s="69"/>
      <c r="U1381" s="66"/>
      <c r="V1381" s="66"/>
      <c r="W1381" s="75"/>
      <c r="X1381" s="66"/>
      <c r="Y1381" s="66"/>
    </row>
    <row hidden="true" r="1382">
      <c r="N1382" s="66"/>
      <c r="O1382" s="66"/>
      <c r="P1382" s="66"/>
      <c r="Q1382" s="66"/>
      <c r="R1382" s="66"/>
      <c r="S1382" s="66"/>
      <c r="T1382" s="69"/>
      <c r="U1382" s="66"/>
      <c r="V1382" s="66"/>
      <c r="W1382" s="75"/>
      <c r="X1382" s="66"/>
      <c r="Y1382" s="66"/>
    </row>
    <row hidden="true" r="1383">
      <c r="N1383" s="66"/>
      <c r="O1383" s="66"/>
      <c r="P1383" s="66"/>
      <c r="Q1383" s="66"/>
      <c r="R1383" s="66"/>
      <c r="S1383" s="66"/>
      <c r="T1383" s="69"/>
      <c r="U1383" s="66"/>
      <c r="V1383" s="66"/>
      <c r="W1383" s="75"/>
      <c r="X1383" s="66"/>
      <c r="Y1383" s="66"/>
    </row>
    <row hidden="true" r="1384">
      <c r="N1384" s="66"/>
      <c r="O1384" s="66"/>
      <c r="P1384" s="66"/>
      <c r="Q1384" s="66"/>
      <c r="R1384" s="66"/>
      <c r="S1384" s="66"/>
      <c r="T1384" s="69"/>
      <c r="U1384" s="66"/>
      <c r="V1384" s="66"/>
      <c r="W1384" s="75"/>
      <c r="X1384" s="66"/>
      <c r="Y1384" s="66"/>
    </row>
    <row hidden="true" r="1385">
      <c r="N1385" s="66"/>
      <c r="O1385" s="66"/>
      <c r="P1385" s="66"/>
      <c r="Q1385" s="66"/>
      <c r="R1385" s="66"/>
      <c r="S1385" s="66"/>
      <c r="T1385" s="69"/>
      <c r="U1385" s="66"/>
      <c r="V1385" s="66"/>
      <c r="W1385" s="75"/>
      <c r="X1385" s="66"/>
      <c r="Y1385" s="66"/>
    </row>
    <row hidden="true" r="1386">
      <c r="N1386" s="66"/>
      <c r="O1386" s="66"/>
      <c r="P1386" s="66"/>
      <c r="Q1386" s="66"/>
      <c r="R1386" s="66"/>
      <c r="S1386" s="66"/>
      <c r="T1386" s="69"/>
      <c r="U1386" s="66"/>
      <c r="V1386" s="66"/>
      <c r="W1386" s="75"/>
      <c r="X1386" s="66"/>
      <c r="Y1386" s="66"/>
    </row>
    <row hidden="true" r="1387">
      <c r="N1387" s="66"/>
      <c r="O1387" s="66"/>
      <c r="P1387" s="66"/>
      <c r="Q1387" s="66"/>
      <c r="R1387" s="66"/>
      <c r="S1387" s="66"/>
      <c r="T1387" s="69"/>
      <c r="U1387" s="66"/>
      <c r="V1387" s="66"/>
      <c r="W1387" s="75"/>
      <c r="X1387" s="66"/>
      <c r="Y1387" s="66"/>
    </row>
    <row hidden="true" r="1388">
      <c r="N1388" s="66"/>
      <c r="O1388" s="66"/>
      <c r="P1388" s="66"/>
      <c r="Q1388" s="66"/>
      <c r="R1388" s="66"/>
      <c r="S1388" s="66"/>
      <c r="T1388" s="69"/>
      <c r="U1388" s="66"/>
      <c r="V1388" s="66"/>
      <c r="W1388" s="75"/>
      <c r="X1388" s="66"/>
      <c r="Y1388" s="66"/>
    </row>
    <row hidden="true" r="1389">
      <c r="N1389" s="66"/>
      <c r="O1389" s="66"/>
      <c r="P1389" s="66"/>
      <c r="Q1389" s="66"/>
      <c r="R1389" s="66"/>
      <c r="S1389" s="66"/>
      <c r="T1389" s="69"/>
      <c r="U1389" s="66"/>
      <c r="V1389" s="66"/>
      <c r="W1389" s="75"/>
      <c r="X1389" s="66"/>
      <c r="Y1389" s="66"/>
    </row>
    <row hidden="true" r="1390">
      <c r="N1390" s="66"/>
      <c r="O1390" s="66"/>
      <c r="P1390" s="66"/>
      <c r="Q1390" s="66"/>
      <c r="R1390" s="66"/>
      <c r="S1390" s="66"/>
      <c r="T1390" s="69"/>
      <c r="U1390" s="66"/>
      <c r="V1390" s="66"/>
      <c r="W1390" s="75"/>
      <c r="X1390" s="66"/>
      <c r="Y1390" s="66"/>
    </row>
    <row hidden="true" r="1391">
      <c r="N1391" s="66"/>
      <c r="O1391" s="66"/>
      <c r="P1391" s="66"/>
      <c r="Q1391" s="66"/>
      <c r="R1391" s="66"/>
      <c r="S1391" s="66"/>
      <c r="T1391" s="69"/>
      <c r="U1391" s="66"/>
      <c r="V1391" s="66"/>
      <c r="W1391" s="75"/>
      <c r="X1391" s="66"/>
      <c r="Y1391" s="66"/>
    </row>
    <row hidden="true" r="1392">
      <c r="N1392" s="66"/>
      <c r="O1392" s="66"/>
      <c r="P1392" s="66"/>
      <c r="Q1392" s="66"/>
      <c r="R1392" s="66"/>
      <c r="S1392" s="66"/>
      <c r="T1392" s="69"/>
      <c r="U1392" s="66"/>
      <c r="V1392" s="66"/>
      <c r="W1392" s="75"/>
      <c r="X1392" s="66"/>
      <c r="Y1392" s="66"/>
    </row>
    <row hidden="true" r="1393">
      <c r="N1393" s="66"/>
      <c r="O1393" s="66"/>
      <c r="P1393" s="66"/>
      <c r="Q1393" s="66"/>
      <c r="R1393" s="66"/>
      <c r="S1393" s="66"/>
      <c r="T1393" s="69"/>
      <c r="U1393" s="66"/>
      <c r="V1393" s="66"/>
      <c r="W1393" s="75"/>
      <c r="X1393" s="66"/>
      <c r="Y1393" s="66"/>
    </row>
    <row hidden="true" r="1394">
      <c r="N1394" s="66"/>
      <c r="O1394" s="66"/>
      <c r="P1394" s="66"/>
      <c r="Q1394" s="66"/>
      <c r="R1394" s="66"/>
      <c r="S1394" s="66"/>
      <c r="T1394" s="69"/>
      <c r="U1394" s="66"/>
      <c r="V1394" s="66"/>
      <c r="W1394" s="75"/>
      <c r="X1394" s="66"/>
      <c r="Y1394" s="66"/>
    </row>
    <row hidden="true" r="1395">
      <c r="N1395" s="66"/>
      <c r="O1395" s="66"/>
      <c r="P1395" s="66"/>
      <c r="Q1395" s="66"/>
      <c r="R1395" s="66"/>
      <c r="S1395" s="66"/>
      <c r="T1395" s="69"/>
      <c r="U1395" s="66"/>
      <c r="V1395" s="66"/>
      <c r="W1395" s="75"/>
      <c r="X1395" s="66"/>
      <c r="Y1395" s="66"/>
    </row>
    <row hidden="true" r="1396">
      <c r="N1396" s="66"/>
      <c r="O1396" s="66"/>
      <c r="P1396" s="66"/>
      <c r="Q1396" s="66"/>
      <c r="R1396" s="66"/>
      <c r="S1396" s="66"/>
      <c r="T1396" s="69"/>
      <c r="U1396" s="66"/>
      <c r="V1396" s="66"/>
      <c r="W1396" s="75"/>
      <c r="X1396" s="66"/>
      <c r="Y1396" s="66"/>
    </row>
    <row hidden="true" r="1397">
      <c r="N1397" s="66"/>
      <c r="O1397" s="66"/>
      <c r="P1397" s="66"/>
      <c r="Q1397" s="66"/>
      <c r="R1397" s="66"/>
      <c r="S1397" s="66"/>
      <c r="T1397" s="69"/>
      <c r="U1397" s="66"/>
      <c r="V1397" s="66"/>
      <c r="W1397" s="75"/>
      <c r="X1397" s="66"/>
      <c r="Y1397" s="66"/>
    </row>
    <row hidden="true" r="1398">
      <c r="N1398" s="66"/>
      <c r="O1398" s="66"/>
      <c r="P1398" s="66"/>
      <c r="Q1398" s="66"/>
      <c r="R1398" s="66"/>
      <c r="S1398" s="66"/>
      <c r="T1398" s="69"/>
      <c r="U1398" s="66"/>
      <c r="V1398" s="66"/>
      <c r="W1398" s="75"/>
      <c r="X1398" s="66"/>
      <c r="Y1398" s="66"/>
    </row>
    <row hidden="true" r="1399">
      <c r="N1399" s="66"/>
      <c r="O1399" s="66"/>
      <c r="P1399" s="66"/>
      <c r="Q1399" s="66"/>
      <c r="R1399" s="66"/>
      <c r="S1399" s="66"/>
      <c r="T1399" s="69"/>
      <c r="U1399" s="66"/>
      <c r="V1399" s="66"/>
      <c r="W1399" s="75"/>
      <c r="X1399" s="66"/>
      <c r="Y1399" s="66"/>
    </row>
    <row hidden="true" r="1400">
      <c r="N1400" s="66"/>
      <c r="O1400" s="66"/>
      <c r="P1400" s="66"/>
      <c r="Q1400" s="66"/>
      <c r="R1400" s="66"/>
      <c r="S1400" s="66"/>
      <c r="T1400" s="69"/>
      <c r="U1400" s="66"/>
      <c r="V1400" s="66"/>
      <c r="W1400" s="75"/>
      <c r="X1400" s="66"/>
      <c r="Y1400" s="66"/>
    </row>
    <row hidden="true" r="1401">
      <c r="N1401" s="66"/>
      <c r="O1401" s="66"/>
      <c r="P1401" s="66"/>
      <c r="Q1401" s="66"/>
      <c r="R1401" s="66"/>
      <c r="S1401" s="66"/>
      <c r="T1401" s="69"/>
      <c r="U1401" s="66"/>
      <c r="V1401" s="66"/>
      <c r="W1401" s="75"/>
      <c r="X1401" s="66"/>
      <c r="Y1401" s="66"/>
    </row>
    <row hidden="true" r="1402">
      <c r="N1402" s="66"/>
      <c r="O1402" s="66"/>
      <c r="P1402" s="66"/>
      <c r="Q1402" s="66"/>
      <c r="R1402" s="66"/>
      <c r="S1402" s="66"/>
      <c r="T1402" s="69"/>
      <c r="U1402" s="66"/>
      <c r="V1402" s="66"/>
      <c r="W1402" s="75"/>
      <c r="X1402" s="66"/>
      <c r="Y1402" s="66"/>
    </row>
    <row hidden="true" r="1403">
      <c r="N1403" s="66"/>
      <c r="O1403" s="66"/>
      <c r="P1403" s="66"/>
      <c r="Q1403" s="66"/>
      <c r="R1403" s="66"/>
      <c r="S1403" s="66"/>
      <c r="T1403" s="69"/>
      <c r="U1403" s="66"/>
      <c r="V1403" s="66"/>
      <c r="W1403" s="75"/>
      <c r="X1403" s="66"/>
      <c r="Y1403" s="66"/>
    </row>
    <row hidden="true" r="1404">
      <c r="N1404" s="66"/>
      <c r="O1404" s="66"/>
      <c r="P1404" s="66"/>
      <c r="Q1404" s="66"/>
      <c r="R1404" s="66"/>
      <c r="S1404" s="66"/>
      <c r="T1404" s="69"/>
      <c r="U1404" s="66"/>
      <c r="V1404" s="66"/>
      <c r="W1404" s="75"/>
      <c r="X1404" s="66"/>
      <c r="Y1404" s="66"/>
    </row>
    <row hidden="true" r="1405">
      <c r="N1405" s="66"/>
      <c r="O1405" s="66"/>
      <c r="P1405" s="66"/>
      <c r="Q1405" s="66"/>
      <c r="R1405" s="66"/>
      <c r="S1405" s="66"/>
      <c r="T1405" s="69"/>
      <c r="U1405" s="66"/>
      <c r="V1405" s="66"/>
      <c r="W1405" s="75"/>
      <c r="X1405" s="66"/>
      <c r="Y1405" s="66"/>
    </row>
    <row hidden="true" r="1406">
      <c r="N1406" s="66"/>
      <c r="O1406" s="66"/>
      <c r="P1406" s="66"/>
      <c r="Q1406" s="66"/>
      <c r="R1406" s="66"/>
      <c r="S1406" s="66"/>
      <c r="T1406" s="69"/>
      <c r="U1406" s="66"/>
      <c r="V1406" s="66"/>
      <c r="W1406" s="75"/>
      <c r="X1406" s="66"/>
      <c r="Y1406" s="66"/>
    </row>
    <row hidden="true" r="1407">
      <c r="N1407" s="66"/>
      <c r="O1407" s="66"/>
      <c r="P1407" s="66"/>
      <c r="Q1407" s="66"/>
      <c r="R1407" s="66"/>
      <c r="S1407" s="66"/>
      <c r="T1407" s="69"/>
      <c r="U1407" s="66"/>
      <c r="V1407" s="66"/>
      <c r="W1407" s="75"/>
      <c r="X1407" s="66"/>
      <c r="Y1407" s="66"/>
    </row>
    <row hidden="true" r="1408">
      <c r="N1408" s="66"/>
      <c r="O1408" s="66"/>
      <c r="P1408" s="66"/>
      <c r="Q1408" s="66"/>
      <c r="R1408" s="66"/>
      <c r="S1408" s="66"/>
      <c r="T1408" s="69"/>
      <c r="U1408" s="66"/>
      <c r="V1408" s="66"/>
      <c r="W1408" s="75"/>
      <c r="X1408" s="66"/>
      <c r="Y1408" s="66"/>
    </row>
    <row hidden="true" r="1409">
      <c r="N1409" s="66"/>
      <c r="O1409" s="66"/>
      <c r="P1409" s="66"/>
      <c r="Q1409" s="66"/>
      <c r="R1409" s="66"/>
      <c r="S1409" s="66"/>
      <c r="T1409" s="69"/>
      <c r="U1409" s="66"/>
      <c r="V1409" s="66"/>
      <c r="W1409" s="75"/>
      <c r="X1409" s="66"/>
      <c r="Y1409" s="66"/>
    </row>
    <row hidden="true" r="1410">
      <c r="N1410" s="66"/>
      <c r="O1410" s="66"/>
      <c r="P1410" s="66"/>
      <c r="Q1410" s="66"/>
      <c r="R1410" s="66"/>
      <c r="S1410" s="66"/>
      <c r="T1410" s="69"/>
      <c r="U1410" s="66"/>
      <c r="V1410" s="66"/>
      <c r="W1410" s="75"/>
      <c r="X1410" s="66"/>
      <c r="Y1410" s="66"/>
    </row>
    <row hidden="true" r="1411">
      <c r="N1411" s="66"/>
      <c r="O1411" s="66"/>
      <c r="P1411" s="66"/>
      <c r="Q1411" s="66"/>
      <c r="R1411" s="66"/>
      <c r="S1411" s="66"/>
      <c r="T1411" s="69"/>
      <c r="U1411" s="66"/>
      <c r="V1411" s="66"/>
      <c r="W1411" s="75"/>
      <c r="X1411" s="66"/>
      <c r="Y1411" s="66"/>
    </row>
    <row hidden="true" r="1412">
      <c r="N1412" s="66"/>
      <c r="O1412" s="66"/>
      <c r="P1412" s="66"/>
      <c r="Q1412" s="66"/>
      <c r="R1412" s="66"/>
      <c r="S1412" s="66"/>
      <c r="T1412" s="69"/>
      <c r="U1412" s="66"/>
      <c r="V1412" s="66"/>
      <c r="W1412" s="75"/>
      <c r="X1412" s="66"/>
      <c r="Y1412" s="66"/>
    </row>
    <row hidden="true" r="1413">
      <c r="N1413" s="66"/>
      <c r="O1413" s="66"/>
      <c r="P1413" s="66"/>
      <c r="Q1413" s="66"/>
      <c r="R1413" s="66"/>
      <c r="S1413" s="66"/>
      <c r="T1413" s="69"/>
      <c r="U1413" s="66"/>
      <c r="V1413" s="66"/>
      <c r="W1413" s="75"/>
      <c r="X1413" s="66"/>
      <c r="Y1413" s="66"/>
    </row>
    <row hidden="true" r="1414">
      <c r="N1414" s="66"/>
      <c r="O1414" s="66"/>
      <c r="P1414" s="66"/>
      <c r="Q1414" s="66"/>
      <c r="R1414" s="66"/>
      <c r="S1414" s="66"/>
      <c r="T1414" s="69"/>
      <c r="U1414" s="66"/>
      <c r="V1414" s="66"/>
      <c r="W1414" s="75"/>
      <c r="X1414" s="66"/>
      <c r="Y1414" s="66"/>
    </row>
    <row hidden="true" r="1415">
      <c r="N1415" s="66"/>
      <c r="O1415" s="66"/>
      <c r="P1415" s="66"/>
      <c r="Q1415" s="66"/>
      <c r="R1415" s="66"/>
      <c r="S1415" s="66"/>
      <c r="T1415" s="69"/>
      <c r="U1415" s="66"/>
      <c r="V1415" s="66"/>
      <c r="W1415" s="75"/>
      <c r="X1415" s="66"/>
      <c r="Y1415" s="66"/>
    </row>
    <row hidden="true" r="1416">
      <c r="N1416" s="66"/>
      <c r="O1416" s="66"/>
      <c r="P1416" s="66"/>
      <c r="Q1416" s="66"/>
      <c r="R1416" s="66"/>
      <c r="S1416" s="66"/>
      <c r="T1416" s="69"/>
      <c r="U1416" s="66"/>
      <c r="V1416" s="66"/>
      <c r="W1416" s="75"/>
      <c r="X1416" s="66"/>
      <c r="Y1416" s="66"/>
    </row>
    <row hidden="true" r="1417">
      <c r="N1417" s="66"/>
      <c r="O1417" s="66"/>
      <c r="P1417" s="66"/>
      <c r="Q1417" s="66"/>
      <c r="R1417" s="66"/>
      <c r="S1417" s="66"/>
      <c r="T1417" s="69"/>
      <c r="U1417" s="66"/>
      <c r="V1417" s="66"/>
      <c r="W1417" s="75"/>
      <c r="X1417" s="66"/>
      <c r="Y1417" s="66"/>
    </row>
    <row hidden="true" r="1418">
      <c r="N1418" s="66"/>
      <c r="O1418" s="66"/>
      <c r="P1418" s="66"/>
      <c r="Q1418" s="66"/>
      <c r="R1418" s="66"/>
      <c r="S1418" s="66"/>
      <c r="T1418" s="69"/>
      <c r="U1418" s="66"/>
      <c r="V1418" s="66"/>
      <c r="W1418" s="75"/>
      <c r="X1418" s="66"/>
      <c r="Y1418" s="66"/>
    </row>
    <row hidden="true" r="1419">
      <c r="N1419" s="66"/>
      <c r="O1419" s="66"/>
      <c r="P1419" s="66"/>
      <c r="Q1419" s="66"/>
      <c r="R1419" s="66"/>
      <c r="S1419" s="66"/>
      <c r="T1419" s="69"/>
      <c r="U1419" s="66"/>
      <c r="V1419" s="66"/>
      <c r="W1419" s="75"/>
      <c r="X1419" s="66"/>
      <c r="Y1419" s="66"/>
    </row>
    <row hidden="true" r="1420">
      <c r="N1420" s="66"/>
      <c r="O1420" s="66"/>
      <c r="P1420" s="66"/>
      <c r="Q1420" s="66"/>
      <c r="R1420" s="66"/>
      <c r="S1420" s="66"/>
      <c r="T1420" s="69"/>
      <c r="U1420" s="66"/>
      <c r="V1420" s="66"/>
      <c r="W1420" s="75"/>
      <c r="X1420" s="66"/>
      <c r="Y1420" s="66"/>
    </row>
    <row hidden="true" r="1421">
      <c r="N1421" s="66"/>
      <c r="O1421" s="66"/>
      <c r="P1421" s="66"/>
      <c r="Q1421" s="66"/>
      <c r="R1421" s="66"/>
      <c r="S1421" s="66"/>
      <c r="T1421" s="69"/>
      <c r="U1421" s="66"/>
      <c r="V1421" s="66"/>
      <c r="W1421" s="75"/>
      <c r="X1421" s="66"/>
      <c r="Y1421" s="66"/>
    </row>
    <row hidden="true" r="1422">
      <c r="N1422" s="66"/>
      <c r="O1422" s="66"/>
      <c r="P1422" s="66"/>
      <c r="Q1422" s="66"/>
      <c r="R1422" s="66"/>
      <c r="S1422" s="66"/>
      <c r="T1422" s="69"/>
      <c r="U1422" s="66"/>
      <c r="V1422" s="66"/>
      <c r="W1422" s="75"/>
      <c r="X1422" s="66"/>
      <c r="Y1422" s="66"/>
    </row>
    <row hidden="true" r="1423">
      <c r="N1423" s="66"/>
      <c r="O1423" s="66"/>
      <c r="P1423" s="66"/>
      <c r="Q1423" s="66"/>
      <c r="R1423" s="66"/>
      <c r="S1423" s="66"/>
      <c r="T1423" s="69"/>
      <c r="U1423" s="66"/>
      <c r="V1423" s="66"/>
      <c r="W1423" s="75"/>
      <c r="X1423" s="66"/>
      <c r="Y1423" s="66"/>
    </row>
    <row hidden="true" r="1424">
      <c r="N1424" s="66"/>
      <c r="O1424" s="66"/>
      <c r="P1424" s="66"/>
      <c r="Q1424" s="66"/>
      <c r="R1424" s="66"/>
      <c r="S1424" s="66"/>
      <c r="T1424" s="69"/>
      <c r="U1424" s="66"/>
      <c r="V1424" s="66"/>
      <c r="W1424" s="75"/>
      <c r="X1424" s="66"/>
      <c r="Y1424" s="66"/>
    </row>
    <row hidden="true" r="1425">
      <c r="N1425" s="66"/>
      <c r="O1425" s="66"/>
      <c r="P1425" s="66"/>
      <c r="Q1425" s="66"/>
      <c r="R1425" s="66"/>
      <c r="S1425" s="66"/>
      <c r="T1425" s="69"/>
      <c r="U1425" s="66"/>
      <c r="V1425" s="66"/>
      <c r="W1425" s="75"/>
      <c r="X1425" s="66"/>
      <c r="Y1425" s="66"/>
    </row>
    <row hidden="true" r="1426">
      <c r="N1426" s="66"/>
      <c r="O1426" s="66"/>
      <c r="P1426" s="66"/>
      <c r="Q1426" s="66"/>
      <c r="R1426" s="66"/>
      <c r="S1426" s="66"/>
      <c r="T1426" s="69"/>
      <c r="U1426" s="66"/>
      <c r="V1426" s="66"/>
      <c r="W1426" s="75"/>
      <c r="X1426" s="66"/>
      <c r="Y1426" s="66"/>
    </row>
    <row hidden="true" r="1427">
      <c r="N1427" s="66"/>
      <c r="O1427" s="66"/>
      <c r="P1427" s="66"/>
      <c r="Q1427" s="66"/>
      <c r="R1427" s="66"/>
      <c r="S1427" s="66"/>
      <c r="T1427" s="69"/>
      <c r="U1427" s="66"/>
      <c r="V1427" s="66"/>
      <c r="W1427" s="75"/>
      <c r="X1427" s="66"/>
      <c r="Y1427" s="66"/>
    </row>
    <row hidden="true" r="1428">
      <c r="N1428" s="66"/>
      <c r="O1428" s="66"/>
      <c r="P1428" s="66"/>
      <c r="Q1428" s="66"/>
      <c r="R1428" s="66"/>
      <c r="S1428" s="66"/>
      <c r="T1428" s="69"/>
      <c r="U1428" s="66"/>
      <c r="V1428" s="66"/>
      <c r="W1428" s="75"/>
      <c r="X1428" s="66"/>
      <c r="Y1428" s="66"/>
    </row>
    <row hidden="true" r="1429">
      <c r="N1429" s="66"/>
      <c r="O1429" s="66"/>
      <c r="P1429" s="66"/>
      <c r="Q1429" s="66"/>
      <c r="R1429" s="66"/>
      <c r="S1429" s="66"/>
      <c r="T1429" s="69"/>
      <c r="U1429" s="66"/>
      <c r="V1429" s="66"/>
      <c r="W1429" s="75"/>
      <c r="X1429" s="66"/>
      <c r="Y1429" s="66"/>
    </row>
    <row hidden="true" r="1430">
      <c r="N1430" s="66"/>
      <c r="O1430" s="66"/>
      <c r="P1430" s="66"/>
      <c r="Q1430" s="66"/>
      <c r="R1430" s="66"/>
      <c r="S1430" s="66"/>
      <c r="T1430" s="69"/>
      <c r="U1430" s="66"/>
      <c r="V1430" s="66"/>
      <c r="W1430" s="75"/>
      <c r="X1430" s="66"/>
      <c r="Y1430" s="66"/>
    </row>
    <row hidden="true" r="1431">
      <c r="N1431" s="66"/>
      <c r="O1431" s="66"/>
      <c r="P1431" s="66"/>
      <c r="Q1431" s="66"/>
      <c r="R1431" s="66"/>
      <c r="S1431" s="66"/>
      <c r="T1431" s="69"/>
      <c r="U1431" s="66"/>
      <c r="V1431" s="66"/>
      <c r="W1431" s="75"/>
      <c r="X1431" s="66"/>
      <c r="Y1431" s="66"/>
    </row>
    <row hidden="true" r="1432">
      <c r="N1432" s="66"/>
      <c r="O1432" s="66"/>
      <c r="P1432" s="66"/>
      <c r="Q1432" s="66"/>
      <c r="R1432" s="66"/>
      <c r="S1432" s="66"/>
      <c r="T1432" s="69"/>
      <c r="U1432" s="66"/>
      <c r="V1432" s="66"/>
      <c r="W1432" s="75"/>
      <c r="X1432" s="66"/>
      <c r="Y1432" s="66"/>
    </row>
    <row hidden="true" r="1433">
      <c r="N1433" s="66"/>
      <c r="O1433" s="66"/>
      <c r="P1433" s="66"/>
      <c r="Q1433" s="66"/>
      <c r="R1433" s="66"/>
      <c r="S1433" s="66"/>
      <c r="T1433" s="69"/>
      <c r="U1433" s="66"/>
      <c r="V1433" s="66"/>
      <c r="W1433" s="75"/>
      <c r="X1433" s="66"/>
      <c r="Y1433" s="66"/>
    </row>
    <row hidden="true" r="1434">
      <c r="N1434" s="66"/>
      <c r="O1434" s="66"/>
      <c r="P1434" s="66"/>
      <c r="Q1434" s="66"/>
      <c r="R1434" s="66"/>
      <c r="S1434" s="66"/>
      <c r="T1434" s="69"/>
      <c r="U1434" s="66"/>
      <c r="V1434" s="66"/>
      <c r="W1434" s="75"/>
      <c r="X1434" s="66"/>
      <c r="Y1434" s="66"/>
    </row>
    <row hidden="true" r="1435">
      <c r="N1435" s="66"/>
      <c r="O1435" s="66"/>
      <c r="P1435" s="66"/>
      <c r="Q1435" s="66"/>
      <c r="R1435" s="66"/>
      <c r="S1435" s="66"/>
      <c r="T1435" s="69"/>
      <c r="U1435" s="66"/>
      <c r="V1435" s="66"/>
      <c r="W1435" s="75"/>
      <c r="X1435" s="66"/>
      <c r="Y1435" s="66"/>
    </row>
    <row hidden="true" r="1436">
      <c r="N1436" s="66"/>
      <c r="O1436" s="66"/>
      <c r="P1436" s="66"/>
      <c r="Q1436" s="66"/>
      <c r="R1436" s="66"/>
      <c r="S1436" s="66"/>
      <c r="T1436" s="69"/>
      <c r="U1436" s="66"/>
      <c r="V1436" s="66"/>
      <c r="W1436" s="75"/>
      <c r="X1436" s="66"/>
      <c r="Y1436" s="66"/>
    </row>
    <row hidden="true" r="1437">
      <c r="N1437" s="66"/>
      <c r="O1437" s="66"/>
      <c r="P1437" s="66"/>
      <c r="Q1437" s="66"/>
      <c r="R1437" s="66"/>
      <c r="S1437" s="66"/>
      <c r="T1437" s="69"/>
      <c r="U1437" s="66"/>
      <c r="V1437" s="66"/>
      <c r="W1437" s="75"/>
      <c r="X1437" s="66"/>
      <c r="Y1437" s="66"/>
    </row>
    <row hidden="true" r="1438">
      <c r="N1438" s="66"/>
      <c r="O1438" s="66"/>
      <c r="P1438" s="66"/>
      <c r="Q1438" s="66"/>
      <c r="R1438" s="66"/>
      <c r="S1438" s="66"/>
      <c r="T1438" s="69"/>
      <c r="U1438" s="66"/>
      <c r="V1438" s="66"/>
      <c r="W1438" s="75"/>
      <c r="X1438" s="66"/>
      <c r="Y1438" s="66"/>
    </row>
    <row hidden="true" r="1439">
      <c r="N1439" s="66"/>
      <c r="O1439" s="66"/>
      <c r="P1439" s="66"/>
      <c r="Q1439" s="66"/>
      <c r="R1439" s="66"/>
      <c r="S1439" s="66"/>
      <c r="T1439" s="69"/>
      <c r="U1439" s="66"/>
      <c r="V1439" s="66"/>
      <c r="W1439" s="75"/>
      <c r="X1439" s="66"/>
      <c r="Y1439" s="66"/>
    </row>
    <row hidden="true" r="1440">
      <c r="N1440" s="66"/>
      <c r="O1440" s="66"/>
      <c r="P1440" s="66"/>
      <c r="Q1440" s="66"/>
      <c r="R1440" s="66"/>
      <c r="S1440" s="66"/>
      <c r="T1440" s="69"/>
      <c r="U1440" s="66"/>
      <c r="V1440" s="66"/>
      <c r="W1440" s="75"/>
      <c r="X1440" s="66"/>
      <c r="Y1440" s="66"/>
    </row>
    <row hidden="true" r="1441">
      <c r="N1441" s="66"/>
      <c r="O1441" s="66"/>
      <c r="P1441" s="66"/>
      <c r="Q1441" s="66"/>
      <c r="R1441" s="66"/>
      <c r="S1441" s="66"/>
      <c r="T1441" s="69"/>
      <c r="U1441" s="66"/>
      <c r="V1441" s="66"/>
      <c r="W1441" s="75"/>
      <c r="X1441" s="66"/>
      <c r="Y1441" s="66"/>
    </row>
    <row hidden="true" r="1442">
      <c r="N1442" s="66"/>
      <c r="O1442" s="66"/>
      <c r="P1442" s="66"/>
      <c r="Q1442" s="66"/>
      <c r="R1442" s="66"/>
      <c r="S1442" s="66"/>
      <c r="T1442" s="69"/>
      <c r="U1442" s="66"/>
      <c r="V1442" s="66"/>
      <c r="W1442" s="75"/>
      <c r="X1442" s="66"/>
      <c r="Y1442" s="66"/>
    </row>
    <row hidden="true" r="1443">
      <c r="N1443" s="66"/>
      <c r="O1443" s="66"/>
      <c r="P1443" s="66"/>
      <c r="Q1443" s="66"/>
      <c r="R1443" s="66"/>
      <c r="S1443" s="66"/>
      <c r="T1443" s="69"/>
      <c r="U1443" s="66"/>
      <c r="V1443" s="66"/>
      <c r="W1443" s="75"/>
      <c r="X1443" s="66"/>
      <c r="Y1443" s="66"/>
    </row>
    <row hidden="true" r="1444">
      <c r="N1444" s="66"/>
      <c r="O1444" s="66"/>
      <c r="P1444" s="66"/>
      <c r="Q1444" s="66"/>
      <c r="R1444" s="66"/>
      <c r="S1444" s="66"/>
      <c r="T1444" s="69"/>
      <c r="U1444" s="66"/>
      <c r="V1444" s="66"/>
      <c r="W1444" s="75"/>
      <c r="X1444" s="66"/>
      <c r="Y1444" s="66"/>
    </row>
    <row hidden="true" r="1445">
      <c r="N1445" s="66"/>
      <c r="O1445" s="66"/>
      <c r="P1445" s="66"/>
      <c r="Q1445" s="66"/>
      <c r="R1445" s="66"/>
      <c r="S1445" s="66"/>
      <c r="T1445" s="69"/>
      <c r="U1445" s="66"/>
      <c r="V1445" s="66"/>
      <c r="W1445" s="75"/>
      <c r="X1445" s="66"/>
      <c r="Y1445" s="66"/>
    </row>
    <row hidden="true" r="1446">
      <c r="N1446" s="66"/>
      <c r="O1446" s="66"/>
      <c r="P1446" s="66"/>
      <c r="Q1446" s="66"/>
      <c r="R1446" s="66"/>
      <c r="S1446" s="66"/>
      <c r="T1446" s="69"/>
      <c r="U1446" s="66"/>
      <c r="V1446" s="66"/>
      <c r="W1446" s="75"/>
      <c r="X1446" s="66"/>
      <c r="Y1446" s="66"/>
    </row>
    <row hidden="true" r="1447">
      <c r="N1447" s="66"/>
      <c r="O1447" s="66"/>
      <c r="P1447" s="66"/>
      <c r="Q1447" s="66"/>
      <c r="R1447" s="66"/>
      <c r="S1447" s="66"/>
      <c r="T1447" s="69"/>
      <c r="U1447" s="66"/>
      <c r="V1447" s="66"/>
      <c r="W1447" s="75"/>
      <c r="X1447" s="66"/>
      <c r="Y1447" s="66"/>
    </row>
    <row hidden="true" r="1448">
      <c r="N1448" s="66"/>
      <c r="O1448" s="66"/>
      <c r="P1448" s="66"/>
      <c r="Q1448" s="66"/>
      <c r="R1448" s="66"/>
      <c r="S1448" s="66"/>
      <c r="T1448" s="69"/>
      <c r="U1448" s="66"/>
      <c r="V1448" s="66"/>
      <c r="W1448" s="75"/>
      <c r="X1448" s="66"/>
      <c r="Y1448" s="66"/>
    </row>
    <row hidden="true" r="1449">
      <c r="N1449" s="66"/>
      <c r="O1449" s="66"/>
      <c r="P1449" s="66"/>
      <c r="Q1449" s="66"/>
      <c r="R1449" s="66"/>
      <c r="S1449" s="66"/>
      <c r="T1449" s="69"/>
      <c r="U1449" s="66"/>
      <c r="V1449" s="66"/>
      <c r="W1449" s="75"/>
      <c r="X1449" s="66"/>
      <c r="Y1449" s="66"/>
    </row>
    <row hidden="true" r="1450">
      <c r="N1450" s="66"/>
      <c r="O1450" s="66"/>
      <c r="P1450" s="66"/>
      <c r="Q1450" s="66"/>
      <c r="R1450" s="66"/>
      <c r="S1450" s="66"/>
      <c r="T1450" s="69"/>
      <c r="U1450" s="66"/>
      <c r="V1450" s="66"/>
      <c r="W1450" s="75"/>
      <c r="X1450" s="66"/>
      <c r="Y1450" s="66"/>
    </row>
    <row hidden="true" r="1451">
      <c r="N1451" s="66"/>
      <c r="O1451" s="66"/>
      <c r="P1451" s="66"/>
      <c r="Q1451" s="66"/>
      <c r="R1451" s="66"/>
      <c r="S1451" s="66"/>
      <c r="T1451" s="69"/>
      <c r="U1451" s="66"/>
      <c r="V1451" s="66"/>
      <c r="W1451" s="75"/>
      <c r="X1451" s="66"/>
      <c r="Y1451" s="66"/>
    </row>
    <row hidden="true" r="1452">
      <c r="N1452" s="66"/>
      <c r="O1452" s="66"/>
      <c r="P1452" s="66"/>
      <c r="Q1452" s="66"/>
      <c r="R1452" s="66"/>
      <c r="S1452" s="66"/>
      <c r="T1452" s="69"/>
      <c r="U1452" s="66"/>
      <c r="V1452" s="66"/>
      <c r="W1452" s="75"/>
      <c r="X1452" s="66"/>
      <c r="Y1452" s="66"/>
    </row>
    <row hidden="true" r="1453">
      <c r="N1453" s="66"/>
      <c r="O1453" s="66"/>
      <c r="P1453" s="66"/>
      <c r="Q1453" s="66"/>
      <c r="R1453" s="66"/>
      <c r="S1453" s="66"/>
      <c r="T1453" s="69"/>
      <c r="U1453" s="66"/>
      <c r="V1453" s="66"/>
      <c r="W1453" s="75"/>
      <c r="X1453" s="66"/>
      <c r="Y1453" s="66"/>
    </row>
    <row hidden="true" r="1454">
      <c r="N1454" s="66"/>
      <c r="O1454" s="66"/>
      <c r="P1454" s="66"/>
      <c r="Q1454" s="66"/>
      <c r="R1454" s="66"/>
      <c r="S1454" s="66"/>
      <c r="T1454" s="69"/>
      <c r="U1454" s="66"/>
      <c r="V1454" s="66"/>
      <c r="W1454" s="75"/>
      <c r="X1454" s="66"/>
      <c r="Y1454" s="66"/>
    </row>
    <row hidden="true" r="1455">
      <c r="N1455" s="66"/>
      <c r="O1455" s="66"/>
      <c r="P1455" s="66"/>
      <c r="Q1455" s="66"/>
      <c r="R1455" s="66"/>
      <c r="S1455" s="66"/>
      <c r="T1455" s="69"/>
      <c r="U1455" s="66"/>
      <c r="V1455" s="66"/>
      <c r="W1455" s="75"/>
      <c r="X1455" s="66"/>
      <c r="Y1455" s="66"/>
    </row>
    <row hidden="true" r="1456">
      <c r="N1456" s="66"/>
      <c r="O1456" s="66"/>
      <c r="P1456" s="66"/>
      <c r="Q1456" s="66"/>
      <c r="R1456" s="66"/>
      <c r="S1456" s="66"/>
      <c r="T1456" s="69"/>
      <c r="U1456" s="66"/>
      <c r="V1456" s="66"/>
      <c r="W1456" s="75"/>
      <c r="X1456" s="66"/>
      <c r="Y1456" s="66"/>
    </row>
    <row hidden="true" r="1457">
      <c r="N1457" s="66"/>
      <c r="O1457" s="66"/>
      <c r="P1457" s="66"/>
      <c r="Q1457" s="66"/>
      <c r="R1457" s="66"/>
      <c r="S1457" s="66"/>
      <c r="T1457" s="69"/>
      <c r="U1457" s="66"/>
      <c r="V1457" s="66"/>
      <c r="W1457" s="75"/>
      <c r="X1457" s="66"/>
      <c r="Y1457" s="66"/>
    </row>
    <row hidden="true" r="1458">
      <c r="N1458" s="66"/>
      <c r="O1458" s="66"/>
      <c r="P1458" s="66"/>
      <c r="Q1458" s="66"/>
      <c r="R1458" s="66"/>
      <c r="S1458" s="66"/>
      <c r="T1458" s="69"/>
      <c r="U1458" s="66"/>
      <c r="V1458" s="66"/>
      <c r="W1458" s="75"/>
      <c r="X1458" s="66"/>
      <c r="Y1458" s="66"/>
    </row>
    <row hidden="true" r="1459">
      <c r="N1459" s="66"/>
      <c r="O1459" s="66"/>
      <c r="P1459" s="66"/>
      <c r="Q1459" s="66"/>
      <c r="R1459" s="66"/>
      <c r="S1459" s="66"/>
      <c r="T1459" s="69"/>
      <c r="U1459" s="66"/>
      <c r="V1459" s="66"/>
      <c r="W1459" s="75"/>
      <c r="X1459" s="66"/>
      <c r="Y1459" s="66"/>
    </row>
    <row hidden="true" r="1460">
      <c r="N1460" s="66"/>
      <c r="O1460" s="66"/>
      <c r="P1460" s="66"/>
      <c r="Q1460" s="66"/>
      <c r="R1460" s="66"/>
      <c r="S1460" s="66"/>
      <c r="T1460" s="69"/>
      <c r="U1460" s="66"/>
      <c r="V1460" s="66"/>
      <c r="W1460" s="75"/>
      <c r="X1460" s="66"/>
      <c r="Y1460" s="66"/>
    </row>
    <row hidden="true" r="1461">
      <c r="N1461" s="66"/>
      <c r="O1461" s="66"/>
      <c r="P1461" s="66"/>
      <c r="Q1461" s="66"/>
      <c r="R1461" s="66"/>
      <c r="S1461" s="66"/>
      <c r="T1461" s="69"/>
      <c r="U1461" s="66"/>
      <c r="V1461" s="66"/>
      <c r="W1461" s="75"/>
      <c r="X1461" s="66"/>
      <c r="Y1461" s="66"/>
    </row>
    <row hidden="true" r="1462">
      <c r="N1462" s="66"/>
      <c r="O1462" s="66"/>
      <c r="P1462" s="66"/>
      <c r="Q1462" s="66"/>
      <c r="R1462" s="66"/>
      <c r="S1462" s="66"/>
      <c r="T1462" s="69"/>
      <c r="U1462" s="66"/>
      <c r="V1462" s="66"/>
      <c r="W1462" s="75"/>
      <c r="X1462" s="66"/>
      <c r="Y1462" s="66"/>
    </row>
    <row hidden="true" r="1463">
      <c r="N1463" s="66"/>
      <c r="O1463" s="66"/>
      <c r="P1463" s="66"/>
      <c r="Q1463" s="66"/>
      <c r="R1463" s="66"/>
      <c r="S1463" s="66"/>
      <c r="T1463" s="69"/>
      <c r="U1463" s="66"/>
      <c r="V1463" s="66"/>
      <c r="W1463" s="75"/>
      <c r="X1463" s="66"/>
      <c r="Y1463" s="66"/>
    </row>
    <row hidden="true" r="1464">
      <c r="N1464" s="66"/>
      <c r="O1464" s="66"/>
      <c r="P1464" s="66"/>
      <c r="Q1464" s="66"/>
      <c r="R1464" s="66"/>
      <c r="S1464" s="66"/>
      <c r="T1464" s="69"/>
      <c r="U1464" s="66"/>
      <c r="V1464" s="66"/>
      <c r="W1464" s="75"/>
      <c r="X1464" s="66"/>
      <c r="Y1464" s="66"/>
    </row>
    <row hidden="true" r="1465">
      <c r="N1465" s="66"/>
      <c r="O1465" s="66"/>
      <c r="P1465" s="66"/>
      <c r="Q1465" s="66"/>
      <c r="R1465" s="66"/>
      <c r="S1465" s="66"/>
      <c r="T1465" s="69"/>
      <c r="U1465" s="66"/>
      <c r="V1465" s="66"/>
      <c r="W1465" s="75"/>
      <c r="X1465" s="66"/>
      <c r="Y1465" s="66"/>
    </row>
    <row hidden="true" r="1466">
      <c r="N1466" s="66"/>
      <c r="O1466" s="66"/>
      <c r="P1466" s="66"/>
      <c r="Q1466" s="66"/>
      <c r="R1466" s="66"/>
      <c r="S1466" s="66"/>
      <c r="T1466" s="69"/>
      <c r="U1466" s="66"/>
      <c r="V1466" s="66"/>
      <c r="W1466" s="75"/>
      <c r="X1466" s="66"/>
      <c r="Y1466" s="66"/>
    </row>
    <row hidden="true" r="1467">
      <c r="N1467" s="66"/>
      <c r="O1467" s="66"/>
      <c r="P1467" s="66"/>
      <c r="Q1467" s="66"/>
      <c r="R1467" s="66"/>
      <c r="S1467" s="66"/>
      <c r="T1467" s="69"/>
      <c r="U1467" s="66"/>
      <c r="V1467" s="66"/>
      <c r="W1467" s="75"/>
      <c r="X1467" s="66"/>
      <c r="Y1467" s="66"/>
    </row>
    <row hidden="true" r="1468">
      <c r="N1468" s="66"/>
      <c r="O1468" s="66"/>
      <c r="P1468" s="66"/>
      <c r="Q1468" s="66"/>
      <c r="R1468" s="66"/>
      <c r="S1468" s="66"/>
      <c r="T1468" s="69"/>
      <c r="U1468" s="66"/>
      <c r="V1468" s="66"/>
      <c r="W1468" s="75"/>
      <c r="X1468" s="66"/>
      <c r="Y1468" s="66"/>
    </row>
    <row hidden="true" r="1469">
      <c r="N1469" s="66"/>
      <c r="O1469" s="66"/>
      <c r="P1469" s="66"/>
      <c r="Q1469" s="66"/>
      <c r="R1469" s="66"/>
      <c r="S1469" s="66"/>
      <c r="T1469" s="69"/>
      <c r="U1469" s="66"/>
      <c r="V1469" s="66"/>
      <c r="W1469" s="75"/>
      <c r="X1469" s="66"/>
      <c r="Y1469" s="66"/>
    </row>
    <row hidden="true" r="1470">
      <c r="N1470" s="66"/>
      <c r="O1470" s="66"/>
      <c r="P1470" s="66"/>
      <c r="Q1470" s="66"/>
      <c r="R1470" s="66"/>
      <c r="S1470" s="66"/>
      <c r="T1470" s="69"/>
      <c r="U1470" s="66"/>
      <c r="V1470" s="66"/>
      <c r="W1470" s="75"/>
      <c r="X1470" s="66"/>
      <c r="Y1470" s="66"/>
    </row>
    <row hidden="true" r="1471">
      <c r="N1471" s="66"/>
      <c r="O1471" s="66"/>
      <c r="P1471" s="66"/>
      <c r="Q1471" s="66"/>
      <c r="R1471" s="66"/>
      <c r="S1471" s="66"/>
      <c r="T1471" s="69"/>
      <c r="U1471" s="66"/>
      <c r="V1471" s="66"/>
      <c r="W1471" s="75"/>
      <c r="X1471" s="66"/>
      <c r="Y1471" s="66"/>
    </row>
    <row hidden="true" r="1472">
      <c r="N1472" s="66"/>
      <c r="O1472" s="66"/>
      <c r="P1472" s="66"/>
      <c r="Q1472" s="66"/>
      <c r="R1472" s="66"/>
      <c r="S1472" s="66"/>
      <c r="T1472" s="69"/>
      <c r="U1472" s="66"/>
      <c r="V1472" s="66"/>
      <c r="W1472" s="75"/>
      <c r="X1472" s="66"/>
      <c r="Y1472" s="66"/>
    </row>
    <row hidden="true" r="1473">
      <c r="N1473" s="66"/>
      <c r="O1473" s="66"/>
      <c r="P1473" s="66"/>
      <c r="Q1473" s="66"/>
      <c r="R1473" s="66"/>
      <c r="S1473" s="66"/>
      <c r="T1473" s="69"/>
      <c r="U1473" s="66"/>
      <c r="V1473" s="66"/>
      <c r="W1473" s="75"/>
      <c r="X1473" s="66"/>
      <c r="Y1473" s="66"/>
    </row>
    <row hidden="true" r="1474">
      <c r="N1474" s="66"/>
      <c r="O1474" s="66"/>
      <c r="P1474" s="66"/>
      <c r="Q1474" s="66"/>
      <c r="R1474" s="66"/>
      <c r="S1474" s="66"/>
      <c r="T1474" s="69"/>
      <c r="U1474" s="66"/>
      <c r="V1474" s="66"/>
      <c r="W1474" s="75"/>
      <c r="X1474" s="66"/>
      <c r="Y1474" s="66"/>
    </row>
    <row hidden="true" r="1475">
      <c r="N1475" s="66"/>
      <c r="O1475" s="66"/>
      <c r="P1475" s="66"/>
      <c r="Q1475" s="66"/>
      <c r="R1475" s="66"/>
      <c r="S1475" s="66"/>
      <c r="T1475" s="69"/>
      <c r="U1475" s="66"/>
      <c r="V1475" s="66"/>
      <c r="W1475" s="75"/>
      <c r="X1475" s="66"/>
      <c r="Y1475" s="66"/>
    </row>
    <row hidden="true" r="1476">
      <c r="N1476" s="66"/>
      <c r="O1476" s="66"/>
      <c r="P1476" s="66"/>
      <c r="Q1476" s="66"/>
      <c r="R1476" s="66"/>
      <c r="S1476" s="66"/>
      <c r="T1476" s="69"/>
      <c r="U1476" s="66"/>
      <c r="V1476" s="66"/>
      <c r="W1476" s="75"/>
      <c r="X1476" s="66"/>
      <c r="Y1476" s="66"/>
    </row>
    <row hidden="true" r="1477">
      <c r="N1477" s="66"/>
      <c r="O1477" s="66"/>
      <c r="P1477" s="66"/>
      <c r="Q1477" s="66"/>
      <c r="R1477" s="66"/>
      <c r="S1477" s="66"/>
      <c r="T1477" s="69"/>
      <c r="U1477" s="66"/>
      <c r="V1477" s="66"/>
      <c r="W1477" s="75"/>
      <c r="X1477" s="66"/>
      <c r="Y1477" s="66"/>
    </row>
    <row hidden="true" r="1478">
      <c r="N1478" s="66"/>
      <c r="O1478" s="66"/>
      <c r="P1478" s="66"/>
      <c r="Q1478" s="66"/>
      <c r="R1478" s="66"/>
      <c r="S1478" s="66"/>
      <c r="T1478" s="69"/>
      <c r="U1478" s="66"/>
      <c r="V1478" s="66"/>
      <c r="W1478" s="75"/>
      <c r="X1478" s="66"/>
      <c r="Y1478" s="66"/>
    </row>
    <row hidden="true" r="1479">
      <c r="N1479" s="66"/>
      <c r="O1479" s="66"/>
      <c r="P1479" s="66"/>
      <c r="Q1479" s="66"/>
      <c r="R1479" s="66"/>
      <c r="S1479" s="66"/>
      <c r="T1479" s="69"/>
      <c r="U1479" s="66"/>
      <c r="V1479" s="66"/>
      <c r="W1479" s="75"/>
      <c r="X1479" s="66"/>
      <c r="Y1479" s="66"/>
    </row>
    <row hidden="true" r="1480">
      <c r="N1480" s="66"/>
      <c r="O1480" s="66"/>
      <c r="P1480" s="66"/>
      <c r="Q1480" s="66"/>
      <c r="R1480" s="66"/>
      <c r="S1480" s="66"/>
      <c r="T1480" s="69"/>
      <c r="U1480" s="66"/>
      <c r="V1480" s="66"/>
      <c r="W1480" s="75"/>
      <c r="X1480" s="66"/>
      <c r="Y1480" s="66"/>
    </row>
    <row hidden="true" r="1481">
      <c r="N1481" s="66"/>
      <c r="O1481" s="66"/>
      <c r="P1481" s="66"/>
      <c r="Q1481" s="66"/>
      <c r="R1481" s="66"/>
      <c r="S1481" s="66"/>
      <c r="T1481" s="69"/>
      <c r="U1481" s="66"/>
      <c r="V1481" s="66"/>
      <c r="W1481" s="75"/>
      <c r="X1481" s="66"/>
      <c r="Y1481" s="66"/>
    </row>
    <row hidden="true" r="1482">
      <c r="N1482" s="66"/>
      <c r="O1482" s="66"/>
      <c r="P1482" s="66"/>
      <c r="Q1482" s="66"/>
      <c r="R1482" s="66"/>
      <c r="S1482" s="66"/>
      <c r="T1482" s="69"/>
      <c r="U1482" s="66"/>
      <c r="V1482" s="66"/>
      <c r="W1482" s="75"/>
      <c r="X1482" s="66"/>
      <c r="Y1482" s="66"/>
    </row>
    <row hidden="true" r="1483">
      <c r="N1483" s="66"/>
      <c r="O1483" s="66"/>
      <c r="P1483" s="66"/>
      <c r="Q1483" s="66"/>
      <c r="R1483" s="66"/>
      <c r="S1483" s="66"/>
      <c r="T1483" s="69"/>
      <c r="U1483" s="66"/>
      <c r="V1483" s="66"/>
      <c r="W1483" s="75"/>
      <c r="X1483" s="66"/>
      <c r="Y1483" s="66"/>
    </row>
    <row hidden="true" r="1484">
      <c r="N1484" s="66"/>
      <c r="O1484" s="66"/>
      <c r="P1484" s="66"/>
      <c r="Q1484" s="66"/>
      <c r="R1484" s="66"/>
      <c r="S1484" s="66"/>
      <c r="T1484" s="69"/>
      <c r="U1484" s="66"/>
      <c r="V1484" s="66"/>
      <c r="W1484" s="75"/>
      <c r="X1484" s="66"/>
      <c r="Y1484" s="66"/>
    </row>
    <row hidden="true" r="1485">
      <c r="N1485" s="66"/>
      <c r="O1485" s="66"/>
      <c r="P1485" s="66"/>
      <c r="Q1485" s="66"/>
      <c r="R1485" s="66"/>
      <c r="S1485" s="66"/>
      <c r="T1485" s="69"/>
      <c r="U1485" s="66"/>
      <c r="V1485" s="66"/>
      <c r="W1485" s="75"/>
      <c r="X1485" s="66"/>
      <c r="Y1485" s="66"/>
    </row>
    <row hidden="true" r="1486">
      <c r="N1486" s="66"/>
      <c r="O1486" s="66"/>
      <c r="P1486" s="66"/>
      <c r="Q1486" s="66"/>
      <c r="R1486" s="66"/>
      <c r="S1486" s="66"/>
      <c r="T1486" s="69"/>
      <c r="U1486" s="66"/>
      <c r="V1486" s="66"/>
      <c r="W1486" s="75"/>
      <c r="X1486" s="66"/>
      <c r="Y1486" s="66"/>
    </row>
    <row hidden="true" r="1487">
      <c r="N1487" s="66"/>
      <c r="O1487" s="66"/>
      <c r="P1487" s="66"/>
      <c r="Q1487" s="66"/>
      <c r="R1487" s="66"/>
      <c r="S1487" s="66"/>
      <c r="T1487" s="69"/>
      <c r="U1487" s="66"/>
      <c r="V1487" s="66"/>
      <c r="W1487" s="75"/>
      <c r="X1487" s="66"/>
      <c r="Y1487" s="66"/>
    </row>
    <row hidden="true" r="1488">
      <c r="N1488" s="66"/>
      <c r="O1488" s="66"/>
      <c r="P1488" s="66"/>
      <c r="Q1488" s="66"/>
      <c r="R1488" s="66"/>
      <c r="S1488" s="66"/>
      <c r="T1488" s="69"/>
      <c r="U1488" s="66"/>
      <c r="V1488" s="66"/>
      <c r="W1488" s="75"/>
      <c r="X1488" s="66"/>
      <c r="Y1488" s="66"/>
    </row>
    <row hidden="true" r="1489">
      <c r="N1489" s="66"/>
      <c r="O1489" s="66"/>
      <c r="P1489" s="66"/>
      <c r="Q1489" s="66"/>
      <c r="R1489" s="66"/>
      <c r="S1489" s="66"/>
      <c r="T1489" s="69"/>
      <c r="U1489" s="66"/>
      <c r="V1489" s="66"/>
      <c r="W1489" s="75"/>
      <c r="X1489" s="66"/>
      <c r="Y1489" s="66"/>
    </row>
    <row hidden="true" r="1490">
      <c r="N1490" s="66"/>
      <c r="O1490" s="66"/>
      <c r="P1490" s="66"/>
      <c r="Q1490" s="66"/>
      <c r="R1490" s="66"/>
      <c r="S1490" s="66"/>
      <c r="T1490" s="69"/>
      <c r="U1490" s="66"/>
      <c r="V1490" s="66"/>
      <c r="W1490" s="75"/>
      <c r="X1490" s="66"/>
      <c r="Y1490" s="66"/>
    </row>
    <row hidden="true" r="1491">
      <c r="N1491" s="66"/>
      <c r="O1491" s="66"/>
      <c r="P1491" s="66"/>
      <c r="Q1491" s="66"/>
      <c r="R1491" s="66"/>
      <c r="S1491" s="66"/>
      <c r="T1491" s="69"/>
      <c r="U1491" s="66"/>
      <c r="V1491" s="66"/>
      <c r="W1491" s="75"/>
      <c r="X1491" s="66"/>
      <c r="Y1491" s="66"/>
    </row>
    <row hidden="true" r="1492">
      <c r="N1492" s="66"/>
      <c r="O1492" s="66"/>
      <c r="P1492" s="66"/>
      <c r="Q1492" s="66"/>
      <c r="R1492" s="66"/>
      <c r="S1492" s="66"/>
      <c r="T1492" s="69"/>
      <c r="U1492" s="66"/>
      <c r="V1492" s="66"/>
      <c r="W1492" s="75"/>
      <c r="X1492" s="66"/>
      <c r="Y1492" s="66"/>
    </row>
    <row hidden="true" r="1493">
      <c r="N1493" s="66"/>
      <c r="O1493" s="66"/>
      <c r="P1493" s="66"/>
      <c r="Q1493" s="66"/>
      <c r="R1493" s="66"/>
      <c r="S1493" s="66"/>
      <c r="T1493" s="69"/>
      <c r="U1493" s="66"/>
      <c r="V1493" s="66"/>
      <c r="W1493" s="75"/>
      <c r="X1493" s="66"/>
      <c r="Y1493" s="66"/>
    </row>
    <row hidden="true" r="1494">
      <c r="N1494" s="66"/>
      <c r="O1494" s="66"/>
      <c r="P1494" s="66"/>
      <c r="Q1494" s="66"/>
      <c r="R1494" s="66"/>
      <c r="S1494" s="66"/>
      <c r="T1494" s="69"/>
      <c r="U1494" s="66"/>
      <c r="V1494" s="66"/>
      <c r="W1494" s="75"/>
      <c r="X1494" s="66"/>
      <c r="Y1494" s="66"/>
    </row>
    <row hidden="true" r="1495">
      <c r="N1495" s="66"/>
      <c r="O1495" s="66"/>
      <c r="P1495" s="66"/>
      <c r="Q1495" s="66"/>
      <c r="R1495" s="66"/>
      <c r="S1495" s="66"/>
      <c r="T1495" s="69"/>
      <c r="U1495" s="66"/>
      <c r="V1495" s="66"/>
      <c r="W1495" s="75"/>
      <c r="X1495" s="66"/>
      <c r="Y1495" s="66"/>
    </row>
    <row hidden="true" r="1496">
      <c r="N1496" s="66"/>
      <c r="O1496" s="66"/>
      <c r="P1496" s="66"/>
      <c r="Q1496" s="66"/>
      <c r="R1496" s="66"/>
      <c r="S1496" s="66"/>
      <c r="T1496" s="69"/>
      <c r="U1496" s="66"/>
      <c r="V1496" s="66"/>
      <c r="W1496" s="75"/>
      <c r="X1496" s="66"/>
      <c r="Y1496" s="66"/>
    </row>
    <row hidden="true" r="1497">
      <c r="N1497" s="66"/>
      <c r="O1497" s="66"/>
      <c r="P1497" s="66"/>
      <c r="Q1497" s="66"/>
      <c r="R1497" s="66"/>
      <c r="S1497" s="66"/>
      <c r="T1497" s="69"/>
      <c r="U1497" s="66"/>
      <c r="V1497" s="66"/>
      <c r="W1497" s="75"/>
      <c r="X1497" s="66"/>
      <c r="Y1497" s="66"/>
    </row>
    <row hidden="true" r="1498">
      <c r="N1498" s="66"/>
      <c r="O1498" s="66"/>
      <c r="P1498" s="66"/>
      <c r="Q1498" s="66"/>
      <c r="R1498" s="66"/>
      <c r="S1498" s="66"/>
      <c r="T1498" s="69"/>
      <c r="U1498" s="66"/>
      <c r="V1498" s="66"/>
      <c r="W1498" s="75"/>
      <c r="X1498" s="66"/>
      <c r="Y1498" s="66"/>
    </row>
    <row hidden="true" r="1499">
      <c r="N1499" s="66"/>
      <c r="O1499" s="66"/>
      <c r="P1499" s="66"/>
      <c r="Q1499" s="66"/>
      <c r="R1499" s="66"/>
      <c r="S1499" s="66"/>
      <c r="T1499" s="69"/>
      <c r="U1499" s="66"/>
      <c r="V1499" s="66"/>
      <c r="W1499" s="75"/>
      <c r="X1499" s="66"/>
      <c r="Y1499" s="66"/>
    </row>
    <row hidden="true" r="1500">
      <c r="N1500" s="66"/>
      <c r="O1500" s="66"/>
      <c r="P1500" s="66"/>
      <c r="Q1500" s="66"/>
      <c r="R1500" s="66"/>
      <c r="S1500" s="66"/>
      <c r="T1500" s="69"/>
      <c r="U1500" s="66"/>
      <c r="V1500" s="66"/>
      <c r="W1500" s="75"/>
      <c r="X1500" s="66"/>
      <c r="Y1500" s="66"/>
    </row>
    <row hidden="true" r="1501">
      <c r="N1501" s="66"/>
      <c r="O1501" s="66"/>
      <c r="P1501" s="66"/>
      <c r="Q1501" s="66"/>
      <c r="R1501" s="66"/>
      <c r="S1501" s="66"/>
      <c r="T1501" s="69"/>
      <c r="U1501" s="66"/>
      <c r="V1501" s="66"/>
      <c r="W1501" s="75"/>
      <c r="X1501" s="66"/>
      <c r="Y1501" s="66"/>
    </row>
    <row hidden="true" r="1502">
      <c r="N1502" s="66"/>
      <c r="O1502" s="66"/>
      <c r="P1502" s="66"/>
      <c r="Q1502" s="66"/>
      <c r="R1502" s="66"/>
      <c r="S1502" s="66"/>
      <c r="T1502" s="69"/>
      <c r="U1502" s="66"/>
      <c r="V1502" s="66"/>
      <c r="W1502" s="75"/>
      <c r="X1502" s="66"/>
      <c r="Y1502" s="66"/>
    </row>
    <row hidden="true" r="1503">
      <c r="N1503" s="66"/>
      <c r="O1503" s="66"/>
      <c r="P1503" s="66"/>
      <c r="Q1503" s="66"/>
      <c r="R1503" s="66"/>
      <c r="S1503" s="66"/>
      <c r="T1503" s="69"/>
      <c r="U1503" s="66"/>
      <c r="V1503" s="66"/>
      <c r="W1503" s="75"/>
      <c r="X1503" s="66"/>
      <c r="Y1503" s="66"/>
    </row>
    <row hidden="true" r="1504">
      <c r="N1504" s="66"/>
      <c r="O1504" s="66"/>
      <c r="P1504" s="66"/>
      <c r="Q1504" s="66"/>
      <c r="R1504" s="66"/>
      <c r="S1504" s="66"/>
      <c r="T1504" s="69"/>
      <c r="U1504" s="66"/>
      <c r="V1504" s="66"/>
      <c r="W1504" s="75"/>
      <c r="X1504" s="66"/>
      <c r="Y1504" s="66"/>
    </row>
    <row hidden="true" r="1505">
      <c r="N1505" s="66"/>
      <c r="O1505" s="66"/>
      <c r="P1505" s="66"/>
      <c r="Q1505" s="66"/>
      <c r="R1505" s="66"/>
      <c r="S1505" s="66"/>
      <c r="T1505" s="69"/>
      <c r="U1505" s="66"/>
      <c r="V1505" s="66"/>
      <c r="W1505" s="75"/>
      <c r="X1505" s="66"/>
      <c r="Y1505" s="66"/>
    </row>
    <row hidden="true" r="1506">
      <c r="N1506" s="66"/>
      <c r="O1506" s="66"/>
      <c r="P1506" s="66"/>
      <c r="Q1506" s="66"/>
      <c r="R1506" s="66"/>
      <c r="S1506" s="66"/>
      <c r="T1506" s="69"/>
      <c r="U1506" s="66"/>
      <c r="V1506" s="66"/>
      <c r="W1506" s="75"/>
      <c r="X1506" s="66"/>
      <c r="Y1506" s="66"/>
    </row>
    <row hidden="true" r="1507">
      <c r="N1507" s="66"/>
      <c r="O1507" s="66"/>
      <c r="P1507" s="66"/>
      <c r="Q1507" s="66"/>
      <c r="R1507" s="66"/>
      <c r="S1507" s="66"/>
      <c r="T1507" s="69"/>
      <c r="U1507" s="66"/>
      <c r="V1507" s="66"/>
      <c r="W1507" s="75"/>
      <c r="X1507" s="66"/>
      <c r="Y1507" s="66"/>
    </row>
    <row hidden="true" r="1508">
      <c r="N1508" s="66"/>
      <c r="O1508" s="66"/>
      <c r="P1508" s="66"/>
      <c r="Q1508" s="66"/>
      <c r="R1508" s="66"/>
      <c r="S1508" s="66"/>
      <c r="T1508" s="69"/>
      <c r="U1508" s="66"/>
      <c r="V1508" s="66"/>
      <c r="W1508" s="75"/>
      <c r="X1508" s="66"/>
      <c r="Y1508" s="66"/>
    </row>
    <row hidden="true" r="1509">
      <c r="N1509" s="66"/>
      <c r="O1509" s="66"/>
      <c r="P1509" s="66"/>
      <c r="Q1509" s="66"/>
      <c r="R1509" s="66"/>
      <c r="S1509" s="66"/>
      <c r="T1509" s="69"/>
      <c r="U1509" s="66"/>
      <c r="V1509" s="66"/>
      <c r="W1509" s="75"/>
      <c r="X1509" s="66"/>
      <c r="Y1509" s="66"/>
    </row>
    <row hidden="true" r="1510">
      <c r="N1510" s="66"/>
      <c r="O1510" s="66"/>
      <c r="P1510" s="66"/>
      <c r="Q1510" s="66"/>
      <c r="R1510" s="66"/>
      <c r="S1510" s="66"/>
      <c r="T1510" s="69"/>
      <c r="U1510" s="66"/>
      <c r="V1510" s="66"/>
      <c r="W1510" s="75"/>
      <c r="X1510" s="66"/>
      <c r="Y1510" s="66"/>
    </row>
    <row hidden="true" r="1511">
      <c r="N1511" s="66"/>
      <c r="O1511" s="66"/>
      <c r="P1511" s="66"/>
      <c r="Q1511" s="66"/>
      <c r="R1511" s="66"/>
      <c r="S1511" s="66"/>
      <c r="T1511" s="69"/>
      <c r="U1511" s="66"/>
      <c r="V1511" s="66"/>
      <c r="W1511" s="75"/>
      <c r="X1511" s="66"/>
      <c r="Y1511" s="66"/>
    </row>
    <row hidden="true" r="1512">
      <c r="N1512" s="66"/>
      <c r="O1512" s="66"/>
      <c r="P1512" s="66"/>
      <c r="Q1512" s="66"/>
      <c r="R1512" s="66"/>
      <c r="S1512" s="66"/>
      <c r="T1512" s="69"/>
      <c r="U1512" s="66"/>
      <c r="V1512" s="66"/>
      <c r="W1512" s="75"/>
      <c r="X1512" s="66"/>
      <c r="Y1512" s="66"/>
    </row>
    <row hidden="true" r="1513">
      <c r="N1513" s="66"/>
      <c r="O1513" s="66"/>
      <c r="P1513" s="66"/>
      <c r="Q1513" s="66"/>
      <c r="R1513" s="66"/>
      <c r="S1513" s="66"/>
      <c r="T1513" s="69"/>
      <c r="U1513" s="66"/>
      <c r="V1513" s="66"/>
      <c r="W1513" s="75"/>
      <c r="X1513" s="66"/>
      <c r="Y1513" s="66"/>
    </row>
    <row hidden="true" r="1514">
      <c r="N1514" s="66"/>
      <c r="O1514" s="66"/>
      <c r="P1514" s="66"/>
      <c r="Q1514" s="66"/>
      <c r="R1514" s="66"/>
      <c r="S1514" s="66"/>
      <c r="T1514" s="69"/>
      <c r="U1514" s="66"/>
      <c r="V1514" s="66"/>
      <c r="W1514" s="75"/>
      <c r="X1514" s="66"/>
      <c r="Y1514" s="66"/>
    </row>
    <row hidden="true" r="1515">
      <c r="N1515" s="66"/>
      <c r="O1515" s="66"/>
      <c r="P1515" s="66"/>
      <c r="Q1515" s="66"/>
      <c r="R1515" s="66"/>
      <c r="S1515" s="66"/>
      <c r="T1515" s="69"/>
      <c r="U1515" s="66"/>
      <c r="V1515" s="66"/>
      <c r="W1515" s="75"/>
      <c r="X1515" s="66"/>
      <c r="Y1515" s="66"/>
    </row>
    <row hidden="true" r="1516">
      <c r="N1516" s="66"/>
      <c r="O1516" s="66"/>
      <c r="P1516" s="66"/>
      <c r="Q1516" s="66"/>
      <c r="R1516" s="66"/>
      <c r="S1516" s="66"/>
      <c r="T1516" s="69"/>
      <c r="U1516" s="66"/>
      <c r="V1516" s="66"/>
      <c r="W1516" s="75"/>
      <c r="X1516" s="66"/>
      <c r="Y1516" s="66"/>
    </row>
    <row hidden="true" r="1517">
      <c r="N1517" s="66"/>
      <c r="O1517" s="66"/>
      <c r="P1517" s="66"/>
      <c r="Q1517" s="66"/>
      <c r="R1517" s="66"/>
      <c r="S1517" s="66"/>
      <c r="T1517" s="69"/>
      <c r="U1517" s="66"/>
      <c r="V1517" s="66"/>
      <c r="W1517" s="75"/>
      <c r="X1517" s="66"/>
      <c r="Y1517" s="66"/>
    </row>
    <row hidden="true" r="1518">
      <c r="N1518" s="66"/>
      <c r="O1518" s="66"/>
      <c r="P1518" s="66"/>
      <c r="Q1518" s="66"/>
      <c r="R1518" s="66"/>
      <c r="S1518" s="66"/>
      <c r="T1518" s="69"/>
      <c r="U1518" s="66"/>
      <c r="V1518" s="66"/>
      <c r="W1518" s="75"/>
      <c r="X1518" s="66"/>
      <c r="Y1518" s="66"/>
    </row>
    <row hidden="true" r="1519">
      <c r="N1519" s="66"/>
      <c r="O1519" s="66"/>
      <c r="P1519" s="66"/>
      <c r="Q1519" s="66"/>
      <c r="R1519" s="66"/>
      <c r="S1519" s="66"/>
      <c r="T1519" s="69"/>
      <c r="U1519" s="66"/>
      <c r="V1519" s="66"/>
      <c r="W1519" s="75"/>
      <c r="X1519" s="66"/>
      <c r="Y1519" s="66"/>
    </row>
    <row hidden="true" r="1520">
      <c r="N1520" s="66"/>
      <c r="O1520" s="66"/>
      <c r="P1520" s="66"/>
      <c r="Q1520" s="66"/>
      <c r="R1520" s="66"/>
      <c r="S1520" s="66"/>
      <c r="T1520" s="69"/>
      <c r="U1520" s="66"/>
      <c r="V1520" s="66"/>
      <c r="W1520" s="75"/>
      <c r="X1520" s="66"/>
      <c r="Y1520" s="66"/>
    </row>
    <row hidden="true" r="1521">
      <c r="N1521" s="66"/>
      <c r="O1521" s="66"/>
      <c r="P1521" s="66"/>
      <c r="Q1521" s="66"/>
      <c r="R1521" s="66"/>
      <c r="S1521" s="66"/>
      <c r="T1521" s="69"/>
      <c r="U1521" s="66"/>
      <c r="V1521" s="66"/>
      <c r="W1521" s="75"/>
      <c r="X1521" s="66"/>
      <c r="Y1521" s="66"/>
    </row>
    <row hidden="true" r="1522">
      <c r="N1522" s="66"/>
      <c r="O1522" s="66"/>
      <c r="P1522" s="66"/>
      <c r="Q1522" s="66"/>
      <c r="R1522" s="66"/>
      <c r="S1522" s="66"/>
      <c r="T1522" s="69"/>
      <c r="U1522" s="66"/>
      <c r="V1522" s="66"/>
      <c r="W1522" s="75"/>
      <c r="X1522" s="66"/>
      <c r="Y1522" s="66"/>
    </row>
    <row hidden="true" r="1523">
      <c r="N1523" s="66"/>
      <c r="O1523" s="66"/>
      <c r="P1523" s="66"/>
      <c r="Q1523" s="66"/>
      <c r="R1523" s="66"/>
      <c r="S1523" s="66"/>
      <c r="T1523" s="69"/>
      <c r="U1523" s="66"/>
      <c r="V1523" s="66"/>
      <c r="W1523" s="75"/>
      <c r="X1523" s="66"/>
      <c r="Y1523" s="66"/>
    </row>
    <row hidden="true" r="1524">
      <c r="N1524" s="66"/>
      <c r="O1524" s="66"/>
      <c r="P1524" s="66"/>
      <c r="Q1524" s="66"/>
      <c r="R1524" s="66"/>
      <c r="S1524" s="66"/>
      <c r="T1524" s="69"/>
      <c r="U1524" s="66"/>
      <c r="V1524" s="66"/>
      <c r="W1524" s="75"/>
      <c r="X1524" s="66"/>
      <c r="Y1524" s="66"/>
    </row>
    <row hidden="true" r="1525">
      <c r="N1525" s="66"/>
      <c r="O1525" s="66"/>
      <c r="P1525" s="66"/>
      <c r="Q1525" s="66"/>
      <c r="R1525" s="66"/>
      <c r="S1525" s="66"/>
      <c r="T1525" s="69"/>
      <c r="U1525" s="66"/>
      <c r="V1525" s="66"/>
      <c r="W1525" s="75"/>
      <c r="X1525" s="66"/>
      <c r="Y1525" s="66"/>
    </row>
    <row hidden="true" r="1526">
      <c r="N1526" s="66"/>
      <c r="O1526" s="66"/>
      <c r="P1526" s="66"/>
      <c r="Q1526" s="66"/>
      <c r="R1526" s="66"/>
      <c r="S1526" s="66"/>
      <c r="T1526" s="69"/>
      <c r="U1526" s="66"/>
      <c r="V1526" s="66"/>
      <c r="W1526" s="75"/>
      <c r="X1526" s="66"/>
      <c r="Y1526" s="66"/>
    </row>
    <row hidden="true" r="1527">
      <c r="N1527" s="66"/>
      <c r="O1527" s="66"/>
      <c r="P1527" s="66"/>
      <c r="Q1527" s="66"/>
      <c r="R1527" s="66"/>
      <c r="S1527" s="66"/>
      <c r="T1527" s="69"/>
      <c r="U1527" s="66"/>
      <c r="V1527" s="66"/>
      <c r="W1527" s="75"/>
      <c r="X1527" s="66"/>
      <c r="Y1527" s="66"/>
    </row>
    <row hidden="true" r="1528">
      <c r="N1528" s="66"/>
      <c r="O1528" s="66"/>
      <c r="P1528" s="66"/>
      <c r="Q1528" s="66"/>
      <c r="R1528" s="66"/>
      <c r="S1528" s="66"/>
      <c r="T1528" s="69"/>
      <c r="U1528" s="66"/>
      <c r="V1528" s="66"/>
      <c r="W1528" s="75"/>
      <c r="X1528" s="66"/>
      <c r="Y1528" s="66"/>
    </row>
    <row hidden="true" r="1529">
      <c r="N1529" s="66"/>
      <c r="O1529" s="66"/>
      <c r="P1529" s="66"/>
      <c r="Q1529" s="66"/>
      <c r="R1529" s="66"/>
      <c r="S1529" s="66"/>
      <c r="T1529" s="69"/>
      <c r="U1529" s="66"/>
      <c r="V1529" s="66"/>
      <c r="W1529" s="75"/>
      <c r="X1529" s="66"/>
      <c r="Y1529" s="66"/>
    </row>
    <row hidden="true" r="1530">
      <c r="N1530" s="66"/>
      <c r="O1530" s="66"/>
      <c r="P1530" s="66"/>
      <c r="Q1530" s="66"/>
      <c r="R1530" s="66"/>
      <c r="S1530" s="66"/>
      <c r="T1530" s="69"/>
      <c r="U1530" s="66"/>
      <c r="V1530" s="66"/>
      <c r="W1530" s="75"/>
      <c r="X1530" s="66"/>
      <c r="Y1530" s="66"/>
    </row>
    <row hidden="true" r="1531">
      <c r="N1531" s="66"/>
      <c r="O1531" s="66"/>
      <c r="P1531" s="66"/>
      <c r="Q1531" s="66"/>
      <c r="R1531" s="66"/>
      <c r="S1531" s="66"/>
      <c r="T1531" s="69"/>
      <c r="U1531" s="66"/>
      <c r="V1531" s="66"/>
      <c r="W1531" s="75"/>
      <c r="X1531" s="66"/>
      <c r="Y1531" s="66"/>
    </row>
    <row hidden="true" r="1532">
      <c r="N1532" s="66"/>
      <c r="O1532" s="66"/>
      <c r="P1532" s="66"/>
      <c r="Q1532" s="66"/>
      <c r="R1532" s="66"/>
      <c r="S1532" s="66"/>
      <c r="T1532" s="69"/>
      <c r="U1532" s="66"/>
      <c r="V1532" s="66"/>
      <c r="W1532" s="75"/>
      <c r="X1532" s="66"/>
      <c r="Y1532" s="66"/>
    </row>
    <row hidden="true" r="1533">
      <c r="N1533" s="66"/>
      <c r="O1533" s="66"/>
      <c r="P1533" s="66"/>
      <c r="Q1533" s="66"/>
      <c r="R1533" s="66"/>
      <c r="S1533" s="66"/>
      <c r="T1533" s="69"/>
      <c r="U1533" s="66"/>
      <c r="V1533" s="66"/>
      <c r="W1533" s="75"/>
      <c r="X1533" s="66"/>
      <c r="Y1533" s="66"/>
    </row>
    <row hidden="true" r="1534">
      <c r="N1534" s="66"/>
      <c r="O1534" s="66"/>
      <c r="P1534" s="66"/>
      <c r="Q1534" s="66"/>
      <c r="R1534" s="66"/>
      <c r="S1534" s="66"/>
      <c r="T1534" s="69"/>
      <c r="U1534" s="66"/>
      <c r="V1534" s="66"/>
      <c r="W1534" s="75"/>
      <c r="X1534" s="66"/>
      <c r="Y1534" s="66"/>
    </row>
    <row hidden="true" r="1535">
      <c r="N1535" s="66"/>
      <c r="O1535" s="66"/>
      <c r="P1535" s="66"/>
      <c r="Q1535" s="66"/>
      <c r="R1535" s="66"/>
      <c r="S1535" s="66"/>
      <c r="T1535" s="69"/>
      <c r="U1535" s="66"/>
      <c r="V1535" s="66"/>
      <c r="W1535" s="75"/>
      <c r="X1535" s="66"/>
      <c r="Y1535" s="66"/>
    </row>
    <row hidden="true" r="1536">
      <c r="N1536" s="66"/>
      <c r="O1536" s="66"/>
      <c r="P1536" s="66"/>
      <c r="Q1536" s="66"/>
      <c r="R1536" s="66"/>
      <c r="S1536" s="66"/>
      <c r="T1536" s="69"/>
      <c r="U1536" s="66"/>
      <c r="V1536" s="66"/>
      <c r="W1536" s="75"/>
      <c r="X1536" s="66"/>
      <c r="Y1536" s="66"/>
    </row>
    <row hidden="true" r="1537">
      <c r="N1537" s="66"/>
      <c r="O1537" s="66"/>
      <c r="P1537" s="66"/>
      <c r="Q1537" s="66"/>
      <c r="R1537" s="66"/>
      <c r="S1537" s="66"/>
      <c r="T1537" s="69"/>
      <c r="U1537" s="66"/>
      <c r="V1537" s="66"/>
      <c r="W1537" s="75"/>
      <c r="X1537" s="66"/>
      <c r="Y1537" s="66"/>
    </row>
    <row hidden="true" r="1538">
      <c r="N1538" s="66"/>
      <c r="O1538" s="66"/>
      <c r="P1538" s="66"/>
      <c r="Q1538" s="66"/>
      <c r="R1538" s="66"/>
      <c r="S1538" s="66"/>
      <c r="T1538" s="69"/>
      <c r="U1538" s="66"/>
      <c r="V1538" s="66"/>
      <c r="W1538" s="75"/>
      <c r="X1538" s="66"/>
      <c r="Y1538" s="66"/>
    </row>
    <row hidden="true" r="1539">
      <c r="N1539" s="66"/>
      <c r="O1539" s="66"/>
      <c r="P1539" s="66"/>
      <c r="Q1539" s="66"/>
      <c r="R1539" s="66"/>
      <c r="S1539" s="66"/>
      <c r="T1539" s="69"/>
      <c r="U1539" s="66"/>
      <c r="V1539" s="66"/>
      <c r="W1539" s="75"/>
      <c r="X1539" s="66"/>
      <c r="Y1539" s="66"/>
    </row>
    <row hidden="true" r="1540">
      <c r="N1540" s="66"/>
      <c r="O1540" s="66"/>
      <c r="P1540" s="66"/>
      <c r="Q1540" s="66"/>
      <c r="R1540" s="66"/>
      <c r="S1540" s="66"/>
      <c r="T1540" s="69"/>
      <c r="U1540" s="66"/>
      <c r="V1540" s="66"/>
      <c r="W1540" s="75"/>
      <c r="X1540" s="66"/>
      <c r="Y1540" s="66"/>
    </row>
    <row hidden="true" r="1541">
      <c r="N1541" s="66"/>
      <c r="O1541" s="66"/>
      <c r="P1541" s="66"/>
      <c r="Q1541" s="66"/>
      <c r="R1541" s="66"/>
      <c r="S1541" s="66"/>
      <c r="T1541" s="69"/>
      <c r="U1541" s="66"/>
      <c r="V1541" s="66"/>
      <c r="W1541" s="75"/>
      <c r="X1541" s="66"/>
      <c r="Y1541" s="66"/>
    </row>
    <row hidden="true" r="1542">
      <c r="N1542" s="66"/>
      <c r="O1542" s="66"/>
      <c r="P1542" s="66"/>
      <c r="Q1542" s="66"/>
      <c r="R1542" s="66"/>
      <c r="S1542" s="66"/>
      <c r="T1542" s="69"/>
      <c r="U1542" s="66"/>
      <c r="V1542" s="66"/>
      <c r="W1542" s="75"/>
      <c r="X1542" s="66"/>
      <c r="Y1542" s="66"/>
    </row>
    <row hidden="true" r="1543">
      <c r="N1543" s="66"/>
      <c r="O1543" s="66"/>
      <c r="P1543" s="66"/>
      <c r="Q1543" s="66"/>
      <c r="R1543" s="66"/>
      <c r="S1543" s="66"/>
      <c r="T1543" s="69"/>
      <c r="U1543" s="66"/>
      <c r="V1543" s="66"/>
      <c r="W1543" s="75"/>
      <c r="X1543" s="66"/>
      <c r="Y1543" s="66"/>
    </row>
    <row hidden="true" r="1544">
      <c r="N1544" s="66"/>
      <c r="O1544" s="66"/>
      <c r="P1544" s="66"/>
      <c r="Q1544" s="66"/>
      <c r="R1544" s="66"/>
      <c r="S1544" s="66"/>
      <c r="T1544" s="69"/>
      <c r="U1544" s="66"/>
      <c r="V1544" s="66"/>
      <c r="W1544" s="75"/>
      <c r="X1544" s="66"/>
      <c r="Y1544" s="66"/>
    </row>
    <row hidden="true" r="1545">
      <c r="N1545" s="66"/>
      <c r="O1545" s="66"/>
      <c r="P1545" s="66"/>
      <c r="Q1545" s="66"/>
      <c r="R1545" s="66"/>
      <c r="S1545" s="66"/>
      <c r="T1545" s="69"/>
      <c r="U1545" s="66"/>
      <c r="V1545" s="66"/>
      <c r="W1545" s="75"/>
      <c r="X1545" s="66"/>
      <c r="Y1545" s="66"/>
    </row>
    <row hidden="true" r="1546">
      <c r="N1546" s="66"/>
      <c r="O1546" s="66"/>
      <c r="P1546" s="66"/>
      <c r="Q1546" s="66"/>
      <c r="R1546" s="66"/>
      <c r="S1546" s="66"/>
      <c r="T1546" s="69"/>
      <c r="U1546" s="66"/>
      <c r="V1546" s="66"/>
      <c r="W1546" s="75"/>
      <c r="X1546" s="66"/>
      <c r="Y1546" s="66"/>
    </row>
    <row hidden="true" r="1547">
      <c r="N1547" s="66"/>
      <c r="O1547" s="66"/>
      <c r="P1547" s="66"/>
      <c r="Q1547" s="66"/>
      <c r="R1547" s="66"/>
      <c r="S1547" s="66"/>
      <c r="T1547" s="69"/>
      <c r="U1547" s="66"/>
      <c r="V1547" s="66"/>
      <c r="W1547" s="75"/>
      <c r="X1547" s="66"/>
      <c r="Y1547" s="66"/>
    </row>
    <row hidden="true" r="1548">
      <c r="N1548" s="66"/>
      <c r="O1548" s="66"/>
      <c r="P1548" s="66"/>
      <c r="Q1548" s="66"/>
      <c r="R1548" s="66"/>
      <c r="S1548" s="66"/>
      <c r="T1548" s="69"/>
      <c r="U1548" s="66"/>
      <c r="V1548" s="66"/>
      <c r="W1548" s="75"/>
      <c r="X1548" s="66"/>
      <c r="Y1548" s="66"/>
    </row>
    <row hidden="true" r="1549">
      <c r="N1549" s="66"/>
      <c r="O1549" s="66"/>
      <c r="P1549" s="66"/>
      <c r="Q1549" s="66"/>
      <c r="R1549" s="66"/>
      <c r="S1549" s="66"/>
      <c r="T1549" s="69"/>
      <c r="U1549" s="66"/>
      <c r="V1549" s="66"/>
      <c r="W1549" s="75"/>
      <c r="X1549" s="66"/>
      <c r="Y1549" s="66"/>
    </row>
    <row hidden="true" r="1550">
      <c r="N1550" s="66"/>
      <c r="O1550" s="66"/>
      <c r="P1550" s="66"/>
      <c r="Q1550" s="66"/>
      <c r="R1550" s="66"/>
      <c r="S1550" s="66"/>
      <c r="T1550" s="69"/>
      <c r="U1550" s="66"/>
      <c r="V1550" s="66"/>
      <c r="W1550" s="75"/>
      <c r="X1550" s="66"/>
      <c r="Y1550" s="66"/>
    </row>
    <row hidden="true" r="1551">
      <c r="N1551" s="66"/>
      <c r="O1551" s="66"/>
      <c r="P1551" s="66"/>
      <c r="Q1551" s="66"/>
      <c r="R1551" s="66"/>
      <c r="S1551" s="66"/>
      <c r="T1551" s="69"/>
      <c r="U1551" s="66"/>
      <c r="V1551" s="66"/>
      <c r="W1551" s="75"/>
      <c r="X1551" s="66"/>
      <c r="Y1551" s="66"/>
    </row>
    <row hidden="true" r="1552">
      <c r="N1552" s="66"/>
      <c r="O1552" s="66"/>
      <c r="P1552" s="66"/>
      <c r="Q1552" s="66"/>
      <c r="R1552" s="66"/>
      <c r="S1552" s="66"/>
      <c r="T1552" s="69"/>
      <c r="U1552" s="66"/>
      <c r="V1552" s="66"/>
      <c r="W1552" s="75"/>
      <c r="X1552" s="66"/>
      <c r="Y1552" s="66"/>
    </row>
    <row hidden="true" r="1553">
      <c r="N1553" s="66"/>
      <c r="O1553" s="66"/>
      <c r="P1553" s="66"/>
      <c r="Q1553" s="66"/>
      <c r="R1553" s="66"/>
      <c r="S1553" s="66"/>
      <c r="T1553" s="69"/>
      <c r="U1553" s="66"/>
      <c r="V1553" s="66"/>
      <c r="W1553" s="75"/>
      <c r="X1553" s="66"/>
      <c r="Y1553" s="66"/>
    </row>
    <row hidden="true" r="1554">
      <c r="N1554" s="66"/>
      <c r="O1554" s="66"/>
      <c r="P1554" s="66"/>
      <c r="Q1554" s="66"/>
      <c r="R1554" s="66"/>
      <c r="S1554" s="66"/>
      <c r="T1554" s="69"/>
      <c r="U1554" s="66"/>
      <c r="V1554" s="66"/>
      <c r="W1554" s="75"/>
      <c r="X1554" s="66"/>
      <c r="Y1554" s="66"/>
    </row>
    <row hidden="true" r="1555">
      <c r="N1555" s="66"/>
      <c r="O1555" s="66"/>
      <c r="P1555" s="66"/>
      <c r="Q1555" s="66"/>
      <c r="R1555" s="66"/>
      <c r="S1555" s="66"/>
      <c r="T1555" s="69"/>
      <c r="U1555" s="66"/>
      <c r="V1555" s="66"/>
      <c r="W1555" s="75"/>
      <c r="X1555" s="66"/>
      <c r="Y1555" s="66"/>
    </row>
    <row hidden="true" r="1556">
      <c r="N1556" s="66"/>
      <c r="O1556" s="66"/>
      <c r="P1556" s="66"/>
      <c r="Q1556" s="66"/>
      <c r="R1556" s="66"/>
      <c r="S1556" s="66"/>
      <c r="T1556" s="69"/>
      <c r="U1556" s="66"/>
      <c r="V1556" s="66"/>
      <c r="W1556" s="75"/>
      <c r="X1556" s="66"/>
      <c r="Y1556" s="66"/>
    </row>
    <row hidden="true" r="1557">
      <c r="N1557" s="66"/>
      <c r="O1557" s="66"/>
      <c r="P1557" s="66"/>
      <c r="Q1557" s="66"/>
      <c r="R1557" s="66"/>
      <c r="S1557" s="66"/>
      <c r="T1557" s="69"/>
      <c r="U1557" s="66"/>
      <c r="V1557" s="66"/>
      <c r="W1557" s="75"/>
      <c r="X1557" s="66"/>
      <c r="Y1557" s="66"/>
    </row>
    <row hidden="true" r="1558">
      <c r="N1558" s="66"/>
      <c r="O1558" s="66"/>
      <c r="P1558" s="66"/>
      <c r="Q1558" s="66"/>
      <c r="R1558" s="66"/>
      <c r="S1558" s="66"/>
      <c r="T1558" s="69"/>
      <c r="U1558" s="66"/>
      <c r="V1558" s="66"/>
      <c r="W1558" s="75"/>
      <c r="X1558" s="66"/>
      <c r="Y1558" s="66"/>
    </row>
    <row hidden="true" r="1559">
      <c r="N1559" s="66"/>
      <c r="O1559" s="66"/>
      <c r="P1559" s="66"/>
      <c r="Q1559" s="66"/>
      <c r="R1559" s="66"/>
      <c r="S1559" s="66"/>
      <c r="T1559" s="69"/>
      <c r="U1559" s="66"/>
      <c r="V1559" s="66"/>
      <c r="W1559" s="75"/>
      <c r="X1559" s="66"/>
      <c r="Y1559" s="66"/>
    </row>
    <row hidden="true" r="1560">
      <c r="N1560" s="66"/>
      <c r="O1560" s="66"/>
      <c r="P1560" s="66"/>
      <c r="Q1560" s="66"/>
      <c r="R1560" s="66"/>
      <c r="S1560" s="66"/>
      <c r="T1560" s="69"/>
      <c r="U1560" s="66"/>
      <c r="V1560" s="66"/>
      <c r="W1560" s="75"/>
      <c r="X1560" s="66"/>
      <c r="Y1560" s="66"/>
    </row>
    <row hidden="true" r="1561">
      <c r="N1561" s="66"/>
      <c r="O1561" s="66"/>
      <c r="P1561" s="66"/>
      <c r="Q1561" s="66"/>
      <c r="R1561" s="66"/>
      <c r="S1561" s="66"/>
      <c r="T1561" s="69"/>
      <c r="U1561" s="66"/>
      <c r="V1561" s="66"/>
      <c r="W1561" s="75"/>
      <c r="X1561" s="66"/>
      <c r="Y1561" s="66"/>
    </row>
    <row hidden="true" r="1562">
      <c r="N1562" s="66"/>
      <c r="O1562" s="66"/>
      <c r="P1562" s="66"/>
      <c r="Q1562" s="66"/>
      <c r="R1562" s="66"/>
      <c r="S1562" s="66"/>
      <c r="T1562" s="69"/>
      <c r="U1562" s="66"/>
      <c r="V1562" s="66"/>
      <c r="W1562" s="75"/>
      <c r="X1562" s="66"/>
      <c r="Y1562" s="66"/>
    </row>
    <row hidden="true" r="1563">
      <c r="N1563" s="66"/>
      <c r="O1563" s="66"/>
      <c r="P1563" s="66"/>
      <c r="Q1563" s="66"/>
      <c r="R1563" s="66"/>
      <c r="S1563" s="66"/>
      <c r="T1563" s="69"/>
      <c r="U1563" s="66"/>
      <c r="V1563" s="66"/>
      <c r="W1563" s="75"/>
      <c r="X1563" s="66"/>
      <c r="Y1563" s="66"/>
    </row>
    <row hidden="true" r="1564">
      <c r="N1564" s="66"/>
      <c r="O1564" s="66"/>
      <c r="P1564" s="66"/>
      <c r="Q1564" s="66"/>
      <c r="R1564" s="66"/>
      <c r="S1564" s="66"/>
      <c r="T1564" s="69"/>
      <c r="U1564" s="66"/>
      <c r="V1564" s="66"/>
      <c r="W1564" s="75"/>
      <c r="X1564" s="66"/>
      <c r="Y1564" s="66"/>
    </row>
    <row hidden="true" r="1565">
      <c r="N1565" s="66"/>
      <c r="O1565" s="66"/>
      <c r="P1565" s="66"/>
      <c r="Q1565" s="66"/>
      <c r="R1565" s="66"/>
      <c r="S1565" s="66"/>
      <c r="T1565" s="69"/>
      <c r="U1565" s="66"/>
      <c r="V1565" s="66"/>
      <c r="W1565" s="75"/>
      <c r="X1565" s="66"/>
      <c r="Y1565" s="66"/>
    </row>
    <row hidden="true" r="1566">
      <c r="N1566" s="66"/>
      <c r="O1566" s="66"/>
      <c r="P1566" s="66"/>
      <c r="Q1566" s="66"/>
      <c r="R1566" s="66"/>
      <c r="S1566" s="66"/>
      <c r="T1566" s="69"/>
      <c r="U1566" s="66"/>
      <c r="V1566" s="66"/>
      <c r="W1566" s="75"/>
      <c r="X1566" s="66"/>
      <c r="Y1566" s="66"/>
    </row>
    <row hidden="true" r="1567">
      <c r="N1567" s="66"/>
      <c r="O1567" s="66"/>
      <c r="P1567" s="66"/>
      <c r="Q1567" s="66"/>
      <c r="R1567" s="66"/>
      <c r="S1567" s="66"/>
      <c r="T1567" s="69"/>
      <c r="U1567" s="66"/>
      <c r="V1567" s="66"/>
      <c r="W1567" s="75"/>
      <c r="X1567" s="66"/>
      <c r="Y1567" s="66"/>
    </row>
    <row hidden="true" r="1568">
      <c r="N1568" s="66"/>
      <c r="O1568" s="66"/>
      <c r="P1568" s="66"/>
      <c r="Q1568" s="66"/>
      <c r="R1568" s="66"/>
      <c r="S1568" s="66"/>
      <c r="T1568" s="69"/>
      <c r="U1568" s="66"/>
      <c r="V1568" s="66"/>
      <c r="W1568" s="75"/>
      <c r="X1568" s="66"/>
      <c r="Y1568" s="66"/>
    </row>
    <row hidden="true" r="1569">
      <c r="N1569" s="66"/>
      <c r="O1569" s="66"/>
      <c r="P1569" s="66"/>
      <c r="Q1569" s="66"/>
      <c r="R1569" s="66"/>
      <c r="S1569" s="66"/>
      <c r="T1569" s="69"/>
      <c r="U1569" s="66"/>
      <c r="V1569" s="66"/>
      <c r="W1569" s="75"/>
      <c r="X1569" s="66"/>
      <c r="Y1569" s="66"/>
    </row>
    <row hidden="true" r="1570">
      <c r="N1570" s="66"/>
      <c r="O1570" s="66"/>
      <c r="P1570" s="66"/>
      <c r="Q1570" s="66"/>
      <c r="R1570" s="66"/>
      <c r="S1570" s="66"/>
      <c r="T1570" s="69"/>
      <c r="U1570" s="66"/>
      <c r="V1570" s="66"/>
      <c r="W1570" s="75"/>
      <c r="X1570" s="66"/>
      <c r="Y1570" s="66"/>
    </row>
    <row hidden="true" r="1571">
      <c r="N1571" s="66"/>
      <c r="O1571" s="66"/>
      <c r="P1571" s="66"/>
      <c r="Q1571" s="66"/>
      <c r="R1571" s="66"/>
      <c r="S1571" s="66"/>
      <c r="T1571" s="69"/>
      <c r="U1571" s="66"/>
      <c r="V1571" s="66"/>
      <c r="W1571" s="75"/>
      <c r="X1571" s="66"/>
      <c r="Y1571" s="66"/>
    </row>
    <row hidden="true" r="1572">
      <c r="N1572" s="66"/>
      <c r="O1572" s="66"/>
      <c r="P1572" s="66"/>
      <c r="Q1572" s="66"/>
      <c r="R1572" s="66"/>
      <c r="S1572" s="66"/>
      <c r="T1572" s="69"/>
      <c r="U1572" s="66"/>
      <c r="V1572" s="66"/>
      <c r="W1572" s="75"/>
      <c r="X1572" s="66"/>
      <c r="Y1572" s="66"/>
    </row>
    <row hidden="true" r="1573">
      <c r="N1573" s="66"/>
      <c r="O1573" s="66"/>
      <c r="P1573" s="66"/>
      <c r="Q1573" s="66"/>
      <c r="R1573" s="66"/>
      <c r="S1573" s="66"/>
      <c r="T1573" s="69"/>
      <c r="U1573" s="66"/>
      <c r="V1573" s="66"/>
      <c r="W1573" s="75"/>
      <c r="X1573" s="66"/>
      <c r="Y1573" s="66"/>
    </row>
    <row hidden="true" r="1574">
      <c r="N1574" s="66"/>
      <c r="O1574" s="66"/>
      <c r="P1574" s="66"/>
      <c r="Q1574" s="66"/>
      <c r="R1574" s="66"/>
      <c r="S1574" s="66"/>
      <c r="T1574" s="69"/>
      <c r="U1574" s="66"/>
      <c r="V1574" s="66"/>
      <c r="W1574" s="75"/>
      <c r="X1574" s="66"/>
      <c r="Y1574" s="66"/>
    </row>
    <row hidden="true" r="1575">
      <c r="N1575" s="66"/>
      <c r="O1575" s="66"/>
      <c r="P1575" s="66"/>
      <c r="Q1575" s="66"/>
      <c r="R1575" s="66"/>
      <c r="S1575" s="66"/>
      <c r="T1575" s="69"/>
      <c r="U1575" s="66"/>
      <c r="V1575" s="66"/>
      <c r="W1575" s="75"/>
      <c r="X1575" s="66"/>
      <c r="Y1575" s="66"/>
    </row>
    <row hidden="true" r="1576">
      <c r="N1576" s="66"/>
      <c r="O1576" s="66"/>
      <c r="P1576" s="66"/>
      <c r="Q1576" s="66"/>
      <c r="R1576" s="66"/>
      <c r="S1576" s="66"/>
      <c r="T1576" s="69"/>
      <c r="U1576" s="66"/>
      <c r="V1576" s="66"/>
      <c r="W1576" s="75"/>
      <c r="X1576" s="66"/>
      <c r="Y1576" s="66"/>
    </row>
    <row hidden="true" r="1577">
      <c r="N1577" s="66"/>
      <c r="O1577" s="66"/>
      <c r="P1577" s="66"/>
      <c r="Q1577" s="66"/>
      <c r="R1577" s="66"/>
      <c r="S1577" s="66"/>
      <c r="T1577" s="69"/>
      <c r="U1577" s="66"/>
      <c r="V1577" s="66"/>
      <c r="W1577" s="75"/>
      <c r="X1577" s="66"/>
      <c r="Y1577" s="66"/>
    </row>
    <row hidden="true" r="1578">
      <c r="N1578" s="66"/>
      <c r="O1578" s="66"/>
      <c r="P1578" s="66"/>
      <c r="Q1578" s="66"/>
      <c r="R1578" s="66"/>
      <c r="S1578" s="66"/>
      <c r="T1578" s="69"/>
      <c r="U1578" s="66"/>
      <c r="V1578" s="66"/>
      <c r="W1578" s="75"/>
      <c r="X1578" s="66"/>
      <c r="Y1578" s="66"/>
    </row>
    <row hidden="true" r="1579">
      <c r="N1579" s="66"/>
      <c r="O1579" s="66"/>
      <c r="P1579" s="66"/>
      <c r="Q1579" s="66"/>
      <c r="R1579" s="66"/>
      <c r="S1579" s="66"/>
      <c r="T1579" s="69"/>
      <c r="U1579" s="66"/>
      <c r="V1579" s="66"/>
      <c r="W1579" s="75"/>
      <c r="X1579" s="66"/>
      <c r="Y1579" s="66"/>
    </row>
    <row hidden="true" r="1580">
      <c r="N1580" s="66"/>
      <c r="O1580" s="66"/>
      <c r="P1580" s="66"/>
      <c r="Q1580" s="66"/>
      <c r="R1580" s="66"/>
      <c r="S1580" s="66"/>
      <c r="T1580" s="69"/>
      <c r="U1580" s="66"/>
      <c r="V1580" s="66"/>
      <c r="W1580" s="75"/>
      <c r="X1580" s="66"/>
      <c r="Y1580" s="66"/>
    </row>
    <row hidden="true" r="1581">
      <c r="N1581" s="66"/>
      <c r="O1581" s="66"/>
      <c r="P1581" s="66"/>
      <c r="Q1581" s="66"/>
      <c r="R1581" s="66"/>
      <c r="S1581" s="66"/>
      <c r="T1581" s="69"/>
      <c r="U1581" s="66"/>
      <c r="V1581" s="66"/>
      <c r="W1581" s="75"/>
      <c r="X1581" s="66"/>
      <c r="Y1581" s="66"/>
    </row>
    <row hidden="true" r="1582">
      <c r="N1582" s="66"/>
      <c r="O1582" s="66"/>
      <c r="P1582" s="66"/>
      <c r="Q1582" s="66"/>
      <c r="R1582" s="66"/>
      <c r="S1582" s="66"/>
      <c r="T1582" s="69"/>
      <c r="U1582" s="66"/>
      <c r="V1582" s="66"/>
      <c r="W1582" s="75"/>
      <c r="X1582" s="66"/>
      <c r="Y1582" s="66"/>
    </row>
    <row hidden="true" r="1583">
      <c r="N1583" s="66"/>
      <c r="O1583" s="66"/>
      <c r="P1583" s="66"/>
      <c r="Q1583" s="66"/>
      <c r="R1583" s="66"/>
      <c r="S1583" s="66"/>
      <c r="T1583" s="69"/>
      <c r="U1583" s="66"/>
      <c r="V1583" s="66"/>
      <c r="W1583" s="75"/>
      <c r="X1583" s="66"/>
      <c r="Y1583" s="66"/>
    </row>
    <row hidden="true" r="1584">
      <c r="N1584" s="66"/>
      <c r="O1584" s="66"/>
      <c r="P1584" s="66"/>
      <c r="Q1584" s="66"/>
      <c r="R1584" s="66"/>
      <c r="S1584" s="66"/>
      <c r="T1584" s="69"/>
      <c r="U1584" s="66"/>
      <c r="V1584" s="66"/>
      <c r="W1584" s="75"/>
      <c r="X1584" s="66"/>
      <c r="Y1584" s="66"/>
    </row>
    <row hidden="true" r="1585">
      <c r="N1585" s="66"/>
      <c r="O1585" s="66"/>
      <c r="P1585" s="66"/>
      <c r="Q1585" s="66"/>
      <c r="R1585" s="66"/>
      <c r="S1585" s="66"/>
      <c r="T1585" s="69"/>
      <c r="U1585" s="66"/>
      <c r="V1585" s="66"/>
      <c r="W1585" s="75"/>
      <c r="X1585" s="66"/>
      <c r="Y1585" s="66"/>
    </row>
    <row hidden="true" r="1586">
      <c r="N1586" s="66"/>
      <c r="O1586" s="66"/>
      <c r="P1586" s="66"/>
      <c r="Q1586" s="66"/>
      <c r="R1586" s="66"/>
      <c r="S1586" s="66"/>
      <c r="T1586" s="69"/>
      <c r="U1586" s="66"/>
      <c r="V1586" s="66"/>
      <c r="W1586" s="75"/>
      <c r="X1586" s="66"/>
      <c r="Y1586" s="66"/>
    </row>
    <row hidden="true" r="1587">
      <c r="N1587" s="66"/>
      <c r="O1587" s="66"/>
      <c r="P1587" s="66"/>
      <c r="Q1587" s="66"/>
      <c r="R1587" s="66"/>
      <c r="S1587" s="66"/>
      <c r="T1587" s="69"/>
      <c r="U1587" s="66"/>
      <c r="V1587" s="66"/>
      <c r="W1587" s="75"/>
      <c r="X1587" s="66"/>
      <c r="Y1587" s="66"/>
    </row>
    <row hidden="true" r="1588">
      <c r="N1588" s="66"/>
      <c r="O1588" s="66"/>
      <c r="P1588" s="66"/>
      <c r="Q1588" s="66"/>
      <c r="R1588" s="66"/>
      <c r="S1588" s="66"/>
      <c r="T1588" s="69"/>
      <c r="U1588" s="66"/>
      <c r="V1588" s="66"/>
      <c r="W1588" s="75"/>
      <c r="X1588" s="66"/>
      <c r="Y1588" s="66"/>
    </row>
    <row hidden="true" r="1589">
      <c r="N1589" s="66"/>
      <c r="O1589" s="66"/>
      <c r="P1589" s="66"/>
      <c r="Q1589" s="66"/>
      <c r="R1589" s="66"/>
      <c r="S1589" s="66"/>
      <c r="T1589" s="69"/>
      <c r="U1589" s="66"/>
      <c r="V1589" s="66"/>
      <c r="W1589" s="75"/>
      <c r="X1589" s="66"/>
      <c r="Y1589" s="66"/>
    </row>
    <row hidden="true" r="1590">
      <c r="N1590" s="66"/>
      <c r="O1590" s="66"/>
      <c r="P1590" s="66"/>
      <c r="Q1590" s="66"/>
      <c r="R1590" s="66"/>
      <c r="S1590" s="66"/>
      <c r="T1590" s="69"/>
      <c r="U1590" s="66"/>
      <c r="V1590" s="66"/>
      <c r="W1590" s="75"/>
      <c r="X1590" s="66"/>
      <c r="Y1590" s="66"/>
    </row>
    <row hidden="true" r="1591">
      <c r="N1591" s="66"/>
      <c r="O1591" s="66"/>
      <c r="P1591" s="66"/>
      <c r="Q1591" s="66"/>
      <c r="R1591" s="66"/>
      <c r="S1591" s="66"/>
      <c r="T1591" s="69"/>
      <c r="U1591" s="66"/>
      <c r="V1591" s="66"/>
      <c r="W1591" s="75"/>
      <c r="X1591" s="66"/>
      <c r="Y1591" s="66"/>
    </row>
    <row hidden="true" r="1592">
      <c r="N1592" s="66"/>
      <c r="O1592" s="66"/>
      <c r="P1592" s="66"/>
      <c r="Q1592" s="66"/>
      <c r="R1592" s="66"/>
      <c r="S1592" s="66"/>
      <c r="T1592" s="69"/>
      <c r="U1592" s="66"/>
      <c r="V1592" s="66"/>
      <c r="W1592" s="75"/>
      <c r="X1592" s="66"/>
      <c r="Y1592" s="66"/>
    </row>
    <row hidden="true" r="1593">
      <c r="N1593" s="66"/>
      <c r="O1593" s="66"/>
      <c r="P1593" s="66"/>
      <c r="Q1593" s="66"/>
      <c r="R1593" s="66"/>
      <c r="S1593" s="66"/>
      <c r="T1593" s="69"/>
      <c r="U1593" s="66"/>
      <c r="V1593" s="66"/>
      <c r="W1593" s="75"/>
      <c r="X1593" s="66"/>
      <c r="Y1593" s="66"/>
    </row>
    <row hidden="true" r="1594">
      <c r="N1594" s="66"/>
      <c r="O1594" s="66"/>
      <c r="P1594" s="66"/>
      <c r="Q1594" s="66"/>
      <c r="R1594" s="66"/>
      <c r="S1594" s="66"/>
      <c r="T1594" s="69"/>
      <c r="U1594" s="66"/>
      <c r="V1594" s="66"/>
      <c r="W1594" s="75"/>
      <c r="X1594" s="66"/>
      <c r="Y1594" s="66"/>
    </row>
    <row hidden="true" r="1595">
      <c r="N1595" s="66"/>
      <c r="O1595" s="66"/>
      <c r="P1595" s="66"/>
      <c r="Q1595" s="66"/>
      <c r="R1595" s="66"/>
      <c r="S1595" s="66"/>
      <c r="T1595" s="69"/>
      <c r="U1595" s="66"/>
      <c r="V1595" s="66"/>
      <c r="W1595" s="75"/>
      <c r="X1595" s="66"/>
      <c r="Y1595" s="66"/>
    </row>
    <row hidden="true" r="1596">
      <c r="N1596" s="66"/>
      <c r="O1596" s="66"/>
      <c r="P1596" s="66"/>
      <c r="Q1596" s="66"/>
      <c r="R1596" s="66"/>
      <c r="S1596" s="66"/>
      <c r="T1596" s="69"/>
      <c r="U1596" s="66"/>
      <c r="V1596" s="66"/>
      <c r="W1596" s="75"/>
      <c r="X1596" s="66"/>
      <c r="Y1596" s="66"/>
    </row>
    <row hidden="true" r="1597">
      <c r="N1597" s="66"/>
      <c r="O1597" s="66"/>
      <c r="P1597" s="66"/>
      <c r="Q1597" s="66"/>
      <c r="R1597" s="66"/>
      <c r="S1597" s="66"/>
      <c r="T1597" s="69"/>
      <c r="U1597" s="66"/>
      <c r="V1597" s="66"/>
      <c r="W1597" s="75"/>
      <c r="X1597" s="66"/>
      <c r="Y1597" s="66"/>
    </row>
    <row hidden="true" r="1598">
      <c r="N1598" s="66"/>
      <c r="O1598" s="66"/>
      <c r="P1598" s="66"/>
      <c r="Q1598" s="66"/>
      <c r="R1598" s="66"/>
      <c r="S1598" s="66"/>
      <c r="T1598" s="69"/>
      <c r="U1598" s="66"/>
      <c r="V1598" s="66"/>
      <c r="W1598" s="75"/>
      <c r="X1598" s="66"/>
      <c r="Y1598" s="66"/>
    </row>
    <row hidden="true" r="1599">
      <c r="N1599" s="66"/>
      <c r="O1599" s="66"/>
      <c r="P1599" s="66"/>
      <c r="Q1599" s="66"/>
      <c r="R1599" s="66"/>
      <c r="S1599" s="66"/>
      <c r="T1599" s="69"/>
      <c r="U1599" s="66"/>
      <c r="V1599" s="66"/>
      <c r="W1599" s="75"/>
      <c r="X1599" s="66"/>
      <c r="Y1599" s="66"/>
    </row>
    <row hidden="true" r="1600">
      <c r="N1600" s="66"/>
      <c r="O1600" s="66"/>
      <c r="P1600" s="66"/>
      <c r="Q1600" s="66"/>
      <c r="R1600" s="66"/>
      <c r="S1600" s="66"/>
      <c r="T1600" s="69"/>
      <c r="U1600" s="66"/>
      <c r="V1600" s="66"/>
      <c r="W1600" s="75"/>
      <c r="X1600" s="66"/>
      <c r="Y1600" s="66"/>
    </row>
    <row hidden="true" r="1601">
      <c r="N1601" s="66"/>
      <c r="O1601" s="66"/>
      <c r="P1601" s="66"/>
      <c r="Q1601" s="66"/>
      <c r="R1601" s="66"/>
      <c r="S1601" s="66"/>
      <c r="T1601" s="69"/>
      <c r="U1601" s="66"/>
      <c r="V1601" s="66"/>
      <c r="W1601" s="75"/>
      <c r="X1601" s="66"/>
      <c r="Y1601" s="66"/>
    </row>
    <row hidden="true" r="1602">
      <c r="N1602" s="66"/>
      <c r="O1602" s="66"/>
      <c r="P1602" s="66"/>
      <c r="Q1602" s="66"/>
      <c r="R1602" s="66"/>
      <c r="S1602" s="66"/>
      <c r="T1602" s="69"/>
      <c r="U1602" s="66"/>
      <c r="V1602" s="66"/>
      <c r="W1602" s="75"/>
      <c r="X1602" s="66"/>
      <c r="Y1602" s="66"/>
    </row>
    <row hidden="true" r="1603">
      <c r="N1603" s="66"/>
      <c r="O1603" s="66"/>
      <c r="P1603" s="66"/>
      <c r="Q1603" s="66"/>
      <c r="R1603" s="66"/>
      <c r="S1603" s="66"/>
      <c r="T1603" s="69"/>
      <c r="U1603" s="66"/>
      <c r="V1603" s="66"/>
      <c r="W1603" s="75"/>
      <c r="X1603" s="66"/>
      <c r="Y1603" s="66"/>
    </row>
    <row hidden="true" r="1604">
      <c r="N1604" s="66"/>
      <c r="O1604" s="66"/>
      <c r="P1604" s="66"/>
      <c r="Q1604" s="66"/>
      <c r="R1604" s="66"/>
      <c r="S1604" s="66"/>
      <c r="T1604" s="69"/>
      <c r="U1604" s="66"/>
      <c r="V1604" s="66"/>
      <c r="W1604" s="75"/>
      <c r="X1604" s="66"/>
      <c r="Y1604" s="66"/>
    </row>
    <row hidden="true" r="1605">
      <c r="N1605" s="66"/>
      <c r="O1605" s="66"/>
      <c r="P1605" s="66"/>
      <c r="Q1605" s="66"/>
      <c r="R1605" s="66"/>
      <c r="S1605" s="66"/>
      <c r="T1605" s="69"/>
      <c r="U1605" s="66"/>
      <c r="V1605" s="66"/>
      <c r="W1605" s="75"/>
      <c r="X1605" s="66"/>
      <c r="Y1605" s="66"/>
    </row>
    <row hidden="true" r="1606">
      <c r="N1606" s="66"/>
      <c r="O1606" s="66"/>
      <c r="P1606" s="66"/>
      <c r="Q1606" s="66"/>
      <c r="R1606" s="66"/>
      <c r="S1606" s="66"/>
      <c r="T1606" s="69"/>
      <c r="U1606" s="66"/>
      <c r="V1606" s="66"/>
      <c r="W1606" s="75"/>
      <c r="X1606" s="66"/>
      <c r="Y1606" s="66"/>
    </row>
    <row hidden="true" r="1607">
      <c r="N1607" s="66"/>
      <c r="O1607" s="66"/>
      <c r="P1607" s="66"/>
      <c r="Q1607" s="66"/>
      <c r="R1607" s="66"/>
      <c r="S1607" s="66"/>
      <c r="T1607" s="69"/>
      <c r="U1607" s="66"/>
      <c r="V1607" s="66"/>
      <c r="W1607" s="75"/>
      <c r="X1607" s="66"/>
      <c r="Y1607" s="66"/>
    </row>
    <row hidden="true" r="1608">
      <c r="N1608" s="66"/>
      <c r="O1608" s="66"/>
      <c r="P1608" s="66"/>
      <c r="Q1608" s="66"/>
      <c r="R1608" s="66"/>
      <c r="S1608" s="66"/>
      <c r="T1608" s="69"/>
      <c r="U1608" s="66"/>
      <c r="V1608" s="66"/>
      <c r="W1608" s="75"/>
      <c r="X1608" s="66"/>
      <c r="Y1608" s="66"/>
    </row>
    <row hidden="true" r="1609">
      <c r="N1609" s="66"/>
      <c r="O1609" s="66"/>
      <c r="P1609" s="66"/>
      <c r="Q1609" s="66"/>
      <c r="R1609" s="66"/>
      <c r="S1609" s="66"/>
      <c r="T1609" s="69"/>
      <c r="U1609" s="66"/>
      <c r="V1609" s="66"/>
      <c r="W1609" s="75"/>
      <c r="X1609" s="66"/>
      <c r="Y1609" s="66"/>
    </row>
    <row hidden="true" r="1610">
      <c r="N1610" s="66"/>
      <c r="O1610" s="66"/>
      <c r="P1610" s="66"/>
      <c r="Q1610" s="66"/>
      <c r="R1610" s="66"/>
      <c r="S1610" s="66"/>
      <c r="T1610" s="69"/>
      <c r="U1610" s="66"/>
      <c r="V1610" s="66"/>
      <c r="W1610" s="75"/>
      <c r="X1610" s="66"/>
      <c r="Y1610" s="66"/>
    </row>
    <row hidden="true" r="1611">
      <c r="N1611" s="66"/>
      <c r="O1611" s="66"/>
      <c r="P1611" s="66"/>
      <c r="Q1611" s="66"/>
      <c r="R1611" s="66"/>
      <c r="S1611" s="66"/>
      <c r="T1611" s="69"/>
      <c r="U1611" s="66"/>
      <c r="V1611" s="66"/>
      <c r="W1611" s="75"/>
      <c r="X1611" s="66"/>
      <c r="Y1611" s="66"/>
    </row>
    <row hidden="true" r="1612">
      <c r="N1612" s="66"/>
      <c r="O1612" s="66"/>
      <c r="P1612" s="66"/>
      <c r="Q1612" s="66"/>
      <c r="R1612" s="66"/>
      <c r="S1612" s="66"/>
      <c r="T1612" s="69"/>
      <c r="U1612" s="66"/>
      <c r="V1612" s="66"/>
      <c r="W1612" s="75"/>
      <c r="X1612" s="66"/>
      <c r="Y1612" s="66"/>
    </row>
    <row hidden="true" r="1613">
      <c r="N1613" s="66"/>
      <c r="O1613" s="66"/>
      <c r="P1613" s="66"/>
      <c r="Q1613" s="66"/>
      <c r="R1613" s="66"/>
      <c r="S1613" s="66"/>
      <c r="T1613" s="69"/>
      <c r="U1613" s="66"/>
      <c r="V1613" s="66"/>
      <c r="W1613" s="75"/>
      <c r="X1613" s="66"/>
      <c r="Y1613" s="66"/>
    </row>
    <row hidden="true" r="1614">
      <c r="N1614" s="66"/>
      <c r="O1614" s="66"/>
      <c r="P1614" s="66"/>
      <c r="Q1614" s="66"/>
      <c r="R1614" s="66"/>
      <c r="S1614" s="66"/>
      <c r="T1614" s="69"/>
      <c r="U1614" s="66"/>
      <c r="V1614" s="66"/>
      <c r="W1614" s="75"/>
      <c r="X1614" s="66"/>
      <c r="Y1614" s="66"/>
    </row>
    <row hidden="true" r="1615">
      <c r="N1615" s="66"/>
      <c r="O1615" s="66"/>
      <c r="P1615" s="66"/>
      <c r="Q1615" s="66"/>
      <c r="R1615" s="66"/>
      <c r="S1615" s="66"/>
      <c r="T1615" s="69"/>
      <c r="U1615" s="66"/>
      <c r="V1615" s="66"/>
      <c r="W1615" s="75"/>
      <c r="X1615" s="66"/>
      <c r="Y1615" s="66"/>
    </row>
    <row hidden="true" r="1616">
      <c r="N1616" s="66"/>
      <c r="O1616" s="66"/>
      <c r="P1616" s="66"/>
      <c r="Q1616" s="66"/>
      <c r="R1616" s="66"/>
      <c r="S1616" s="66"/>
      <c r="T1616" s="69"/>
      <c r="U1616" s="66"/>
      <c r="V1616" s="66"/>
      <c r="W1616" s="75"/>
      <c r="X1616" s="66"/>
      <c r="Y1616" s="66"/>
    </row>
    <row hidden="true" r="1617">
      <c r="N1617" s="66"/>
      <c r="O1617" s="66"/>
      <c r="P1617" s="66"/>
      <c r="Q1617" s="66"/>
      <c r="R1617" s="66"/>
      <c r="S1617" s="66"/>
      <c r="T1617" s="69"/>
      <c r="U1617" s="66"/>
      <c r="V1617" s="66"/>
      <c r="W1617" s="75"/>
      <c r="X1617" s="66"/>
      <c r="Y1617" s="66"/>
    </row>
    <row hidden="true" r="1618">
      <c r="N1618" s="66"/>
      <c r="O1618" s="66"/>
      <c r="P1618" s="66"/>
      <c r="Q1618" s="66"/>
      <c r="R1618" s="66"/>
      <c r="S1618" s="66"/>
      <c r="T1618" s="69"/>
      <c r="U1618" s="66"/>
      <c r="V1618" s="66"/>
      <c r="W1618" s="75"/>
      <c r="X1618" s="66"/>
      <c r="Y1618" s="66"/>
    </row>
    <row hidden="true" r="1619">
      <c r="N1619" s="66"/>
      <c r="O1619" s="66"/>
      <c r="P1619" s="66"/>
      <c r="Q1619" s="66"/>
      <c r="R1619" s="66"/>
      <c r="S1619" s="66"/>
      <c r="T1619" s="69"/>
      <c r="U1619" s="66"/>
      <c r="V1619" s="66"/>
      <c r="W1619" s="75"/>
      <c r="X1619" s="66"/>
      <c r="Y1619" s="66"/>
    </row>
    <row hidden="true" r="1620">
      <c r="N1620" s="66"/>
      <c r="O1620" s="66"/>
      <c r="P1620" s="66"/>
      <c r="Q1620" s="66"/>
      <c r="R1620" s="66"/>
      <c r="S1620" s="66"/>
      <c r="T1620" s="69"/>
      <c r="U1620" s="66"/>
      <c r="V1620" s="66"/>
      <c r="W1620" s="75"/>
      <c r="X1620" s="66"/>
      <c r="Y1620" s="66"/>
    </row>
    <row hidden="true" r="1621">
      <c r="N1621" s="66"/>
      <c r="O1621" s="66"/>
      <c r="P1621" s="66"/>
      <c r="Q1621" s="66"/>
      <c r="R1621" s="66"/>
      <c r="S1621" s="66"/>
      <c r="T1621" s="69"/>
      <c r="U1621" s="66"/>
      <c r="V1621" s="66"/>
      <c r="W1621" s="75"/>
      <c r="X1621" s="66"/>
      <c r="Y1621" s="66"/>
    </row>
    <row hidden="true" r="1622">
      <c r="N1622" s="66"/>
      <c r="O1622" s="66"/>
      <c r="P1622" s="66"/>
      <c r="Q1622" s="66"/>
      <c r="R1622" s="66"/>
      <c r="S1622" s="66"/>
      <c r="T1622" s="69"/>
      <c r="U1622" s="66"/>
      <c r="V1622" s="66"/>
      <c r="W1622" s="75"/>
      <c r="X1622" s="66"/>
      <c r="Y1622" s="66"/>
    </row>
    <row hidden="true" r="1623">
      <c r="N1623" s="66"/>
      <c r="O1623" s="66"/>
      <c r="P1623" s="66"/>
      <c r="Q1623" s="66"/>
      <c r="R1623" s="66"/>
      <c r="S1623" s="66"/>
      <c r="T1623" s="69"/>
      <c r="U1623" s="66"/>
      <c r="V1623" s="66"/>
      <c r="W1623" s="75"/>
      <c r="X1623" s="66"/>
      <c r="Y1623" s="66"/>
    </row>
    <row hidden="true" r="1624">
      <c r="N1624" s="66"/>
      <c r="O1624" s="66"/>
      <c r="P1624" s="66"/>
      <c r="Q1624" s="66"/>
      <c r="R1624" s="66"/>
      <c r="S1624" s="66"/>
      <c r="T1624" s="69"/>
      <c r="U1624" s="66"/>
      <c r="V1624" s="66"/>
      <c r="W1624" s="75"/>
      <c r="X1624" s="66"/>
      <c r="Y1624" s="66"/>
    </row>
    <row hidden="true" r="1625">
      <c r="N1625" s="66"/>
      <c r="O1625" s="66"/>
      <c r="P1625" s="66"/>
      <c r="Q1625" s="66"/>
      <c r="R1625" s="66"/>
      <c r="S1625" s="66"/>
      <c r="T1625" s="69"/>
      <c r="U1625" s="66"/>
      <c r="V1625" s="66"/>
      <c r="W1625" s="75"/>
      <c r="X1625" s="66"/>
      <c r="Y1625" s="66"/>
    </row>
    <row hidden="true" r="1626">
      <c r="N1626" s="66"/>
      <c r="O1626" s="66"/>
      <c r="P1626" s="66"/>
      <c r="Q1626" s="66"/>
      <c r="R1626" s="66"/>
      <c r="S1626" s="66"/>
      <c r="T1626" s="69"/>
      <c r="U1626" s="66"/>
      <c r="V1626" s="66"/>
      <c r="W1626" s="75"/>
      <c r="X1626" s="66"/>
      <c r="Y1626" s="66"/>
    </row>
    <row hidden="true" r="1627">
      <c r="N1627" s="66"/>
      <c r="O1627" s="66"/>
      <c r="P1627" s="66"/>
      <c r="Q1627" s="66"/>
      <c r="R1627" s="66"/>
      <c r="S1627" s="66"/>
      <c r="T1627" s="69"/>
      <c r="U1627" s="66"/>
      <c r="V1627" s="66"/>
      <c r="W1627" s="75"/>
      <c r="X1627" s="66"/>
      <c r="Y1627" s="66"/>
    </row>
    <row hidden="true" r="1628">
      <c r="N1628" s="66"/>
      <c r="O1628" s="66"/>
      <c r="P1628" s="66"/>
      <c r="Q1628" s="66"/>
      <c r="R1628" s="66"/>
      <c r="S1628" s="66"/>
      <c r="T1628" s="69"/>
      <c r="U1628" s="66"/>
      <c r="V1628" s="66"/>
      <c r="W1628" s="75"/>
      <c r="X1628" s="66"/>
      <c r="Y1628" s="66"/>
    </row>
    <row hidden="true" r="1629">
      <c r="N1629" s="66"/>
      <c r="O1629" s="66"/>
      <c r="P1629" s="66"/>
      <c r="Q1629" s="66"/>
      <c r="R1629" s="66"/>
      <c r="S1629" s="66"/>
      <c r="T1629" s="69"/>
      <c r="U1629" s="66"/>
      <c r="V1629" s="66"/>
      <c r="W1629" s="75"/>
      <c r="X1629" s="66"/>
      <c r="Y1629" s="66"/>
    </row>
    <row hidden="true" r="1630">
      <c r="N1630" s="66"/>
      <c r="O1630" s="66"/>
      <c r="P1630" s="66"/>
      <c r="Q1630" s="66"/>
      <c r="R1630" s="66"/>
      <c r="S1630" s="66"/>
      <c r="T1630" s="69"/>
      <c r="U1630" s="66"/>
      <c r="V1630" s="66"/>
      <c r="W1630" s="75"/>
      <c r="X1630" s="66"/>
      <c r="Y1630" s="66"/>
    </row>
    <row hidden="true" r="1631">
      <c r="N1631" s="66"/>
      <c r="O1631" s="66"/>
      <c r="P1631" s="66"/>
      <c r="Q1631" s="66"/>
      <c r="R1631" s="66"/>
      <c r="S1631" s="66"/>
      <c r="T1631" s="69"/>
      <c r="U1631" s="66"/>
      <c r="V1631" s="66"/>
      <c r="W1631" s="75"/>
      <c r="X1631" s="66"/>
      <c r="Y1631" s="66"/>
    </row>
    <row hidden="true" r="1632">
      <c r="N1632" s="66"/>
      <c r="O1632" s="66"/>
      <c r="P1632" s="66"/>
      <c r="Q1632" s="66"/>
      <c r="R1632" s="66"/>
      <c r="S1632" s="66"/>
      <c r="T1632" s="69"/>
      <c r="U1632" s="66"/>
      <c r="V1632" s="66"/>
      <c r="W1632" s="75"/>
      <c r="X1632" s="66"/>
      <c r="Y1632" s="66"/>
    </row>
    <row hidden="true" r="1633">
      <c r="N1633" s="66"/>
      <c r="O1633" s="66"/>
      <c r="P1633" s="66"/>
      <c r="Q1633" s="66"/>
      <c r="R1633" s="66"/>
      <c r="S1633" s="66"/>
      <c r="T1633" s="69"/>
      <c r="U1633" s="66"/>
      <c r="V1633" s="66"/>
      <c r="W1633" s="75"/>
      <c r="X1633" s="66"/>
      <c r="Y1633" s="66"/>
    </row>
    <row hidden="true" r="1634">
      <c r="N1634" s="66"/>
      <c r="O1634" s="66"/>
      <c r="P1634" s="66"/>
      <c r="Q1634" s="66"/>
      <c r="R1634" s="66"/>
      <c r="S1634" s="66"/>
      <c r="T1634" s="69"/>
      <c r="U1634" s="66"/>
      <c r="V1634" s="66"/>
      <c r="W1634" s="75"/>
      <c r="X1634" s="66"/>
      <c r="Y1634" s="66"/>
    </row>
    <row hidden="true" r="1635">
      <c r="N1635" s="66"/>
      <c r="O1635" s="66"/>
      <c r="P1635" s="66"/>
      <c r="Q1635" s="66"/>
      <c r="R1635" s="66"/>
      <c r="S1635" s="66"/>
      <c r="T1635" s="69"/>
      <c r="U1635" s="66"/>
      <c r="V1635" s="66"/>
      <c r="W1635" s="75"/>
      <c r="X1635" s="66"/>
      <c r="Y1635" s="66"/>
    </row>
    <row hidden="true" r="1636">
      <c r="N1636" s="66"/>
      <c r="O1636" s="66"/>
      <c r="P1636" s="66"/>
      <c r="Q1636" s="66"/>
      <c r="R1636" s="66"/>
      <c r="S1636" s="66"/>
      <c r="T1636" s="69"/>
      <c r="U1636" s="66"/>
      <c r="V1636" s="66"/>
      <c r="W1636" s="75"/>
      <c r="X1636" s="66"/>
      <c r="Y1636" s="66"/>
    </row>
    <row hidden="true" r="1637">
      <c r="N1637" s="66"/>
      <c r="O1637" s="66"/>
      <c r="P1637" s="66"/>
      <c r="Q1637" s="66"/>
      <c r="R1637" s="66"/>
      <c r="S1637" s="66"/>
      <c r="T1637" s="69"/>
      <c r="U1637" s="66"/>
      <c r="V1637" s="66"/>
      <c r="W1637" s="75"/>
      <c r="X1637" s="66"/>
      <c r="Y1637" s="66"/>
    </row>
    <row hidden="true" r="1638">
      <c r="N1638" s="66"/>
      <c r="O1638" s="66"/>
      <c r="P1638" s="66"/>
      <c r="Q1638" s="66"/>
      <c r="R1638" s="66"/>
      <c r="S1638" s="66"/>
      <c r="T1638" s="69"/>
      <c r="U1638" s="66"/>
      <c r="V1638" s="66"/>
      <c r="W1638" s="75"/>
      <c r="X1638" s="66"/>
      <c r="Y1638" s="66"/>
    </row>
    <row hidden="true" r="1639">
      <c r="N1639" s="66"/>
      <c r="O1639" s="66"/>
      <c r="P1639" s="66"/>
      <c r="Q1639" s="66"/>
      <c r="R1639" s="66"/>
      <c r="S1639" s="66"/>
      <c r="T1639" s="69"/>
      <c r="U1639" s="66"/>
      <c r="V1639" s="66"/>
      <c r="W1639" s="75"/>
      <c r="X1639" s="66"/>
      <c r="Y1639" s="66"/>
    </row>
    <row hidden="true" r="1640">
      <c r="N1640" s="66"/>
      <c r="O1640" s="66"/>
      <c r="P1640" s="66"/>
      <c r="Q1640" s="66"/>
      <c r="R1640" s="66"/>
      <c r="S1640" s="66"/>
      <c r="T1640" s="69"/>
      <c r="U1640" s="66"/>
      <c r="V1640" s="66"/>
      <c r="W1640" s="75"/>
      <c r="X1640" s="66"/>
      <c r="Y1640" s="66"/>
    </row>
    <row hidden="true" r="1641">
      <c r="N1641" s="66"/>
      <c r="O1641" s="66"/>
      <c r="P1641" s="66"/>
      <c r="Q1641" s="66"/>
      <c r="R1641" s="66"/>
      <c r="S1641" s="66"/>
      <c r="T1641" s="69"/>
      <c r="U1641" s="66"/>
      <c r="V1641" s="66"/>
      <c r="W1641" s="75"/>
      <c r="X1641" s="66"/>
      <c r="Y1641" s="66"/>
    </row>
    <row hidden="true" r="1642">
      <c r="N1642" s="66"/>
      <c r="O1642" s="66"/>
      <c r="P1642" s="66"/>
      <c r="Q1642" s="66"/>
      <c r="R1642" s="66"/>
      <c r="S1642" s="66"/>
      <c r="T1642" s="69"/>
      <c r="U1642" s="66"/>
      <c r="V1642" s="66"/>
      <c r="W1642" s="75"/>
      <c r="X1642" s="66"/>
      <c r="Y1642" s="66"/>
    </row>
    <row hidden="true" r="1643">
      <c r="N1643" s="66"/>
      <c r="O1643" s="66"/>
      <c r="P1643" s="66"/>
      <c r="Q1643" s="66"/>
      <c r="R1643" s="66"/>
      <c r="S1643" s="66"/>
      <c r="T1643" s="69"/>
      <c r="U1643" s="66"/>
      <c r="V1643" s="66"/>
      <c r="W1643" s="75"/>
      <c r="X1643" s="66"/>
      <c r="Y1643" s="66"/>
    </row>
    <row hidden="true" r="1644">
      <c r="N1644" s="66"/>
      <c r="O1644" s="66"/>
      <c r="P1644" s="66"/>
      <c r="Q1644" s="66"/>
      <c r="R1644" s="66"/>
      <c r="S1644" s="66"/>
      <c r="T1644" s="69"/>
      <c r="U1644" s="66"/>
      <c r="V1644" s="66"/>
      <c r="W1644" s="75"/>
      <c r="X1644" s="66"/>
      <c r="Y1644" s="66"/>
    </row>
    <row hidden="true" r="1645">
      <c r="N1645" s="66"/>
      <c r="O1645" s="66"/>
      <c r="P1645" s="66"/>
      <c r="Q1645" s="66"/>
      <c r="R1645" s="66"/>
      <c r="S1645" s="66"/>
      <c r="T1645" s="69"/>
      <c r="U1645" s="66"/>
      <c r="V1645" s="66"/>
      <c r="W1645" s="75"/>
      <c r="X1645" s="66"/>
      <c r="Y1645" s="66"/>
    </row>
    <row hidden="true" r="1646">
      <c r="N1646" s="66"/>
      <c r="O1646" s="66"/>
      <c r="P1646" s="66"/>
      <c r="Q1646" s="66"/>
      <c r="R1646" s="66"/>
      <c r="S1646" s="66"/>
      <c r="T1646" s="69"/>
      <c r="U1646" s="66"/>
      <c r="V1646" s="66"/>
      <c r="W1646" s="75"/>
      <c r="X1646" s="66"/>
      <c r="Y1646" s="66"/>
    </row>
    <row hidden="true" r="1647">
      <c r="N1647" s="66"/>
      <c r="O1647" s="66"/>
      <c r="P1647" s="66"/>
      <c r="Q1647" s="66"/>
      <c r="R1647" s="66"/>
      <c r="S1647" s="66"/>
      <c r="T1647" s="69"/>
      <c r="U1647" s="66"/>
      <c r="V1647" s="66"/>
      <c r="W1647" s="75"/>
      <c r="X1647" s="66"/>
      <c r="Y1647" s="66"/>
    </row>
    <row hidden="true" r="1648">
      <c r="N1648" s="66"/>
      <c r="O1648" s="66"/>
      <c r="P1648" s="66"/>
      <c r="Q1648" s="66"/>
      <c r="R1648" s="66"/>
      <c r="S1648" s="66"/>
      <c r="T1648" s="69"/>
      <c r="U1648" s="66"/>
      <c r="V1648" s="66"/>
      <c r="W1648" s="75"/>
      <c r="X1648" s="66"/>
      <c r="Y1648" s="66"/>
    </row>
    <row hidden="true" r="1649">
      <c r="N1649" s="66"/>
      <c r="O1649" s="66"/>
      <c r="P1649" s="66"/>
      <c r="Q1649" s="66"/>
      <c r="R1649" s="66"/>
      <c r="S1649" s="66"/>
      <c r="T1649" s="69"/>
      <c r="U1649" s="66"/>
      <c r="V1649" s="66"/>
      <c r="W1649" s="75"/>
      <c r="X1649" s="66"/>
      <c r="Y1649" s="66"/>
    </row>
    <row hidden="true" r="1650">
      <c r="N1650" s="66"/>
      <c r="O1650" s="66"/>
      <c r="P1650" s="66"/>
      <c r="Q1650" s="66"/>
      <c r="R1650" s="66"/>
      <c r="S1650" s="66"/>
      <c r="T1650" s="69"/>
      <c r="U1650" s="66"/>
      <c r="V1650" s="66"/>
      <c r="W1650" s="75"/>
      <c r="X1650" s="66"/>
      <c r="Y1650" s="66"/>
    </row>
    <row hidden="true" r="1651">
      <c r="N1651" s="66"/>
      <c r="O1651" s="66"/>
      <c r="P1651" s="66"/>
      <c r="Q1651" s="66"/>
      <c r="R1651" s="66"/>
      <c r="S1651" s="66"/>
      <c r="T1651" s="69"/>
      <c r="U1651" s="66"/>
      <c r="V1651" s="66"/>
      <c r="W1651" s="75"/>
      <c r="X1651" s="66"/>
      <c r="Y1651" s="66"/>
    </row>
    <row hidden="true" r="1652">
      <c r="N1652" s="66"/>
      <c r="O1652" s="66"/>
      <c r="P1652" s="66"/>
      <c r="Q1652" s="66"/>
      <c r="R1652" s="66"/>
      <c r="S1652" s="66"/>
      <c r="T1652" s="69"/>
      <c r="U1652" s="66"/>
      <c r="V1652" s="66"/>
      <c r="W1652" s="75"/>
      <c r="X1652" s="66"/>
      <c r="Y1652" s="66"/>
    </row>
    <row hidden="true" r="1653">
      <c r="N1653" s="66"/>
      <c r="O1653" s="66"/>
      <c r="P1653" s="66"/>
      <c r="Q1653" s="66"/>
      <c r="R1653" s="66"/>
      <c r="S1653" s="66"/>
      <c r="T1653" s="69"/>
      <c r="U1653" s="66"/>
      <c r="V1653" s="66"/>
      <c r="W1653" s="75"/>
      <c r="X1653" s="66"/>
      <c r="Y1653" s="66"/>
    </row>
    <row hidden="true" r="1654">
      <c r="N1654" s="66"/>
      <c r="O1654" s="66"/>
      <c r="P1654" s="66"/>
      <c r="Q1654" s="66"/>
      <c r="R1654" s="66"/>
      <c r="S1654" s="66"/>
      <c r="T1654" s="69"/>
      <c r="U1654" s="66"/>
      <c r="V1654" s="66"/>
      <c r="W1654" s="75"/>
      <c r="X1654" s="66"/>
      <c r="Y1654" s="66"/>
    </row>
    <row hidden="true" r="1655">
      <c r="N1655" s="66"/>
      <c r="O1655" s="66"/>
      <c r="P1655" s="66"/>
      <c r="Q1655" s="66"/>
      <c r="R1655" s="66"/>
      <c r="S1655" s="66"/>
      <c r="T1655" s="69"/>
      <c r="U1655" s="66"/>
      <c r="V1655" s="66"/>
      <c r="W1655" s="75"/>
      <c r="X1655" s="66"/>
      <c r="Y1655" s="66"/>
    </row>
    <row hidden="true" r="1656">
      <c r="N1656" s="66"/>
      <c r="O1656" s="66"/>
      <c r="P1656" s="66"/>
      <c r="Q1656" s="66"/>
      <c r="R1656" s="66"/>
      <c r="S1656" s="66"/>
      <c r="T1656" s="69"/>
      <c r="U1656" s="66"/>
      <c r="V1656" s="66"/>
      <c r="W1656" s="75"/>
      <c r="X1656" s="66"/>
      <c r="Y1656" s="66"/>
    </row>
    <row hidden="true" r="1657">
      <c r="N1657" s="66"/>
      <c r="O1657" s="66"/>
      <c r="P1657" s="66"/>
      <c r="Q1657" s="66"/>
      <c r="R1657" s="66"/>
      <c r="S1657" s="66"/>
      <c r="T1657" s="69"/>
      <c r="U1657" s="66"/>
      <c r="V1657" s="66"/>
      <c r="W1657" s="75"/>
      <c r="X1657" s="66"/>
      <c r="Y1657" s="66"/>
    </row>
    <row hidden="true" r="1658">
      <c r="N1658" s="66"/>
      <c r="O1658" s="66"/>
      <c r="P1658" s="66"/>
      <c r="Q1658" s="66"/>
      <c r="R1658" s="66"/>
      <c r="S1658" s="66"/>
      <c r="T1658" s="69"/>
      <c r="U1658" s="66"/>
      <c r="V1658" s="66"/>
      <c r="W1658" s="75"/>
      <c r="X1658" s="66"/>
      <c r="Y1658" s="66"/>
    </row>
    <row hidden="true" r="1659">
      <c r="N1659" s="66"/>
      <c r="O1659" s="66"/>
      <c r="P1659" s="66"/>
      <c r="Q1659" s="66"/>
      <c r="R1659" s="66"/>
      <c r="S1659" s="66"/>
      <c r="T1659" s="69"/>
      <c r="U1659" s="66"/>
      <c r="V1659" s="66"/>
      <c r="W1659" s="75"/>
      <c r="X1659" s="66"/>
      <c r="Y1659" s="66"/>
    </row>
    <row hidden="true" r="1660">
      <c r="N1660" s="66"/>
      <c r="O1660" s="66"/>
      <c r="P1660" s="66"/>
      <c r="Q1660" s="66"/>
      <c r="R1660" s="66"/>
      <c r="S1660" s="66"/>
      <c r="T1660" s="69"/>
      <c r="U1660" s="66"/>
      <c r="V1660" s="66"/>
      <c r="W1660" s="75"/>
      <c r="X1660" s="66"/>
      <c r="Y1660" s="66"/>
    </row>
    <row hidden="true" r="1661">
      <c r="N1661" s="66"/>
      <c r="O1661" s="66"/>
      <c r="P1661" s="66"/>
      <c r="Q1661" s="66"/>
      <c r="R1661" s="66"/>
      <c r="S1661" s="66"/>
      <c r="T1661" s="69"/>
      <c r="U1661" s="66"/>
      <c r="V1661" s="66"/>
      <c r="W1661" s="75"/>
      <c r="X1661" s="66"/>
      <c r="Y1661" s="66"/>
    </row>
    <row hidden="true" r="1662">
      <c r="N1662" s="66"/>
      <c r="O1662" s="66"/>
      <c r="P1662" s="66"/>
      <c r="Q1662" s="66"/>
      <c r="R1662" s="66"/>
      <c r="S1662" s="66"/>
      <c r="T1662" s="69"/>
      <c r="U1662" s="66"/>
      <c r="V1662" s="66"/>
      <c r="W1662" s="75"/>
      <c r="X1662" s="66"/>
      <c r="Y1662" s="66"/>
    </row>
    <row hidden="true" r="1663">
      <c r="N1663" s="66"/>
      <c r="O1663" s="66"/>
      <c r="P1663" s="66"/>
      <c r="Q1663" s="66"/>
      <c r="R1663" s="66"/>
      <c r="S1663" s="66"/>
      <c r="T1663" s="69"/>
      <c r="U1663" s="66"/>
      <c r="V1663" s="66"/>
      <c r="W1663" s="75"/>
      <c r="X1663" s="66"/>
      <c r="Y1663" s="66"/>
    </row>
    <row hidden="true" r="1664">
      <c r="N1664" s="66"/>
      <c r="O1664" s="66"/>
      <c r="P1664" s="66"/>
      <c r="Q1664" s="66"/>
      <c r="R1664" s="66"/>
      <c r="S1664" s="66"/>
      <c r="T1664" s="69"/>
      <c r="U1664" s="66"/>
      <c r="V1664" s="66"/>
      <c r="W1664" s="75"/>
      <c r="X1664" s="66"/>
      <c r="Y1664" s="66"/>
    </row>
    <row hidden="true" r="1665">
      <c r="N1665" s="66"/>
      <c r="O1665" s="66"/>
      <c r="P1665" s="66"/>
      <c r="Q1665" s="66"/>
      <c r="R1665" s="66"/>
      <c r="S1665" s="66"/>
      <c r="T1665" s="69"/>
      <c r="U1665" s="66"/>
      <c r="V1665" s="66"/>
      <c r="W1665" s="75"/>
      <c r="X1665" s="66"/>
      <c r="Y1665" s="66"/>
    </row>
    <row hidden="true" r="1666">
      <c r="N1666" s="66"/>
      <c r="O1666" s="66"/>
      <c r="P1666" s="66"/>
      <c r="Q1666" s="66"/>
      <c r="R1666" s="66"/>
      <c r="S1666" s="66"/>
      <c r="T1666" s="69"/>
      <c r="U1666" s="66"/>
      <c r="V1666" s="66"/>
      <c r="W1666" s="75"/>
      <c r="X1666" s="66"/>
      <c r="Y1666" s="66"/>
    </row>
    <row hidden="true" r="1667">
      <c r="N1667" s="66"/>
      <c r="O1667" s="66"/>
      <c r="P1667" s="66"/>
      <c r="Q1667" s="66"/>
      <c r="R1667" s="66"/>
      <c r="S1667" s="66"/>
      <c r="T1667" s="69"/>
      <c r="U1667" s="66"/>
      <c r="V1667" s="66"/>
      <c r="W1667" s="75"/>
      <c r="X1667" s="66"/>
      <c r="Y1667" s="66"/>
    </row>
    <row hidden="true" r="1668">
      <c r="N1668" s="66"/>
      <c r="O1668" s="66"/>
      <c r="P1668" s="66"/>
      <c r="Q1668" s="66"/>
      <c r="R1668" s="66"/>
      <c r="S1668" s="66"/>
      <c r="T1668" s="69"/>
      <c r="U1668" s="66"/>
      <c r="V1668" s="66"/>
      <c r="W1668" s="75"/>
      <c r="X1668" s="66"/>
      <c r="Y1668" s="66"/>
    </row>
    <row hidden="true" r="1669">
      <c r="N1669" s="66"/>
      <c r="O1669" s="66"/>
      <c r="P1669" s="66"/>
      <c r="Q1669" s="66"/>
      <c r="R1669" s="66"/>
      <c r="S1669" s="66"/>
      <c r="T1669" s="69"/>
      <c r="U1669" s="66"/>
      <c r="V1669" s="66"/>
      <c r="W1669" s="75"/>
      <c r="X1669" s="66"/>
      <c r="Y1669" s="66"/>
    </row>
    <row hidden="true" r="1670">
      <c r="N1670" s="66"/>
      <c r="O1670" s="66"/>
      <c r="P1670" s="66"/>
      <c r="Q1670" s="66"/>
      <c r="R1670" s="66"/>
      <c r="S1670" s="66"/>
      <c r="T1670" s="69"/>
      <c r="U1670" s="66"/>
      <c r="V1670" s="66"/>
      <c r="W1670" s="75"/>
      <c r="X1670" s="66"/>
      <c r="Y1670" s="66"/>
    </row>
    <row hidden="true" r="1671">
      <c r="N1671" s="66"/>
      <c r="O1671" s="66"/>
      <c r="P1671" s="66"/>
      <c r="Q1671" s="66"/>
      <c r="R1671" s="66"/>
      <c r="S1671" s="66"/>
      <c r="T1671" s="69"/>
      <c r="U1671" s="66"/>
      <c r="V1671" s="66"/>
      <c r="W1671" s="75"/>
      <c r="X1671" s="66"/>
      <c r="Y1671" s="66"/>
    </row>
    <row hidden="true" r="1672">
      <c r="N1672" s="66"/>
      <c r="O1672" s="66"/>
      <c r="P1672" s="66"/>
      <c r="Q1672" s="66"/>
      <c r="R1672" s="66"/>
      <c r="S1672" s="66"/>
      <c r="T1672" s="69"/>
      <c r="U1672" s="66"/>
      <c r="V1672" s="66"/>
      <c r="W1672" s="75"/>
      <c r="X1672" s="66"/>
      <c r="Y1672" s="66"/>
    </row>
    <row hidden="true" r="1673">
      <c r="N1673" s="66"/>
      <c r="O1673" s="66"/>
      <c r="P1673" s="66"/>
      <c r="Q1673" s="66"/>
      <c r="R1673" s="66"/>
      <c r="S1673" s="66"/>
      <c r="T1673" s="69"/>
      <c r="U1673" s="66"/>
      <c r="V1673" s="66"/>
      <c r="W1673" s="75"/>
      <c r="X1673" s="66"/>
      <c r="Y1673" s="66"/>
    </row>
    <row hidden="true" r="1674">
      <c r="N1674" s="66"/>
      <c r="O1674" s="66"/>
      <c r="P1674" s="66"/>
      <c r="Q1674" s="66"/>
      <c r="R1674" s="66"/>
      <c r="S1674" s="66"/>
      <c r="T1674" s="69"/>
      <c r="U1674" s="66"/>
      <c r="V1674" s="66"/>
      <c r="W1674" s="75"/>
      <c r="X1674" s="66"/>
      <c r="Y1674" s="66"/>
    </row>
    <row hidden="true" r="1675">
      <c r="N1675" s="66"/>
      <c r="O1675" s="66"/>
      <c r="P1675" s="66"/>
      <c r="Q1675" s="66"/>
      <c r="R1675" s="66"/>
      <c r="S1675" s="66"/>
      <c r="T1675" s="69"/>
      <c r="U1675" s="66"/>
      <c r="V1675" s="66"/>
      <c r="W1675" s="75"/>
      <c r="X1675" s="66"/>
      <c r="Y1675" s="66"/>
    </row>
    <row hidden="true" r="1676">
      <c r="N1676" s="66"/>
      <c r="O1676" s="66"/>
      <c r="P1676" s="66"/>
      <c r="Q1676" s="66"/>
      <c r="R1676" s="66"/>
      <c r="S1676" s="66"/>
      <c r="T1676" s="69"/>
      <c r="U1676" s="66"/>
      <c r="V1676" s="66"/>
      <c r="W1676" s="75"/>
      <c r="X1676" s="66"/>
      <c r="Y1676" s="66"/>
    </row>
    <row hidden="true" r="1677">
      <c r="N1677" s="66"/>
      <c r="O1677" s="66"/>
      <c r="P1677" s="66"/>
      <c r="Q1677" s="66"/>
      <c r="R1677" s="66"/>
      <c r="S1677" s="66"/>
      <c r="T1677" s="69"/>
      <c r="U1677" s="66"/>
      <c r="V1677" s="66"/>
      <c r="W1677" s="75"/>
      <c r="X1677" s="66"/>
      <c r="Y1677" s="66"/>
    </row>
    <row hidden="true" r="1678">
      <c r="N1678" s="66"/>
      <c r="O1678" s="66"/>
      <c r="P1678" s="66"/>
      <c r="Q1678" s="66"/>
      <c r="R1678" s="66"/>
      <c r="S1678" s="66"/>
      <c r="T1678" s="69"/>
      <c r="U1678" s="66"/>
      <c r="V1678" s="66"/>
      <c r="W1678" s="75"/>
      <c r="X1678" s="66"/>
      <c r="Y1678" s="66"/>
    </row>
    <row hidden="true" r="1679">
      <c r="N1679" s="66"/>
      <c r="O1679" s="66"/>
      <c r="P1679" s="66"/>
      <c r="Q1679" s="66"/>
      <c r="R1679" s="66"/>
      <c r="S1679" s="66"/>
      <c r="T1679" s="69"/>
      <c r="U1679" s="66"/>
      <c r="V1679" s="66"/>
      <c r="W1679" s="75"/>
      <c r="X1679" s="66"/>
      <c r="Y1679" s="66"/>
    </row>
    <row hidden="true" r="1680">
      <c r="N1680" s="66"/>
      <c r="O1680" s="66"/>
      <c r="P1680" s="66"/>
      <c r="Q1680" s="66"/>
      <c r="R1680" s="66"/>
      <c r="S1680" s="66"/>
      <c r="T1680" s="69"/>
      <c r="U1680" s="66"/>
      <c r="V1680" s="66"/>
      <c r="W1680" s="75"/>
      <c r="X1680" s="66"/>
      <c r="Y1680" s="66"/>
    </row>
    <row hidden="true" r="1681">
      <c r="N1681" s="66"/>
      <c r="O1681" s="66"/>
      <c r="P1681" s="66"/>
      <c r="Q1681" s="66"/>
      <c r="R1681" s="66"/>
      <c r="S1681" s="66"/>
      <c r="T1681" s="69"/>
      <c r="U1681" s="66"/>
      <c r="V1681" s="66"/>
      <c r="W1681" s="75"/>
      <c r="X1681" s="66"/>
      <c r="Y1681" s="66"/>
    </row>
    <row hidden="true" r="1682">
      <c r="N1682" s="66"/>
      <c r="O1682" s="66"/>
      <c r="P1682" s="66"/>
      <c r="Q1682" s="66"/>
      <c r="R1682" s="66"/>
      <c r="S1682" s="66"/>
      <c r="T1682" s="69"/>
      <c r="U1682" s="66"/>
      <c r="V1682" s="66"/>
      <c r="W1682" s="75"/>
      <c r="X1682" s="66"/>
      <c r="Y1682" s="66"/>
    </row>
    <row hidden="true" r="1683">
      <c r="N1683" s="66"/>
      <c r="O1683" s="66"/>
      <c r="P1683" s="66"/>
      <c r="Q1683" s="66"/>
      <c r="R1683" s="66"/>
      <c r="S1683" s="66"/>
      <c r="T1683" s="69"/>
      <c r="U1683" s="66"/>
      <c r="V1683" s="66"/>
      <c r="W1683" s="75"/>
      <c r="X1683" s="66"/>
      <c r="Y1683" s="66"/>
    </row>
    <row hidden="true" r="1684">
      <c r="N1684" s="66"/>
      <c r="O1684" s="66"/>
      <c r="P1684" s="66"/>
      <c r="Q1684" s="66"/>
      <c r="R1684" s="66"/>
      <c r="S1684" s="66"/>
      <c r="T1684" s="69"/>
      <c r="U1684" s="66"/>
      <c r="V1684" s="66"/>
      <c r="W1684" s="75"/>
      <c r="X1684" s="66"/>
      <c r="Y1684" s="66"/>
    </row>
    <row hidden="true" r="1685">
      <c r="N1685" s="66"/>
      <c r="O1685" s="66"/>
      <c r="P1685" s="66"/>
      <c r="Q1685" s="66"/>
      <c r="R1685" s="66"/>
      <c r="S1685" s="66"/>
      <c r="T1685" s="69"/>
      <c r="U1685" s="66"/>
      <c r="V1685" s="66"/>
      <c r="W1685" s="75"/>
      <c r="X1685" s="66"/>
      <c r="Y1685" s="66"/>
    </row>
    <row hidden="true" r="1686">
      <c r="N1686" s="66"/>
      <c r="O1686" s="66"/>
      <c r="P1686" s="66"/>
      <c r="Q1686" s="66"/>
      <c r="R1686" s="66"/>
      <c r="S1686" s="66"/>
      <c r="T1686" s="69"/>
      <c r="U1686" s="66"/>
      <c r="V1686" s="66"/>
      <c r="W1686" s="75"/>
      <c r="X1686" s="66"/>
      <c r="Y1686" s="66"/>
    </row>
    <row hidden="true" r="1687">
      <c r="N1687" s="66"/>
      <c r="O1687" s="66"/>
      <c r="P1687" s="66"/>
      <c r="Q1687" s="66"/>
      <c r="R1687" s="66"/>
      <c r="S1687" s="66"/>
      <c r="T1687" s="69"/>
      <c r="U1687" s="66"/>
      <c r="V1687" s="66"/>
      <c r="W1687" s="75"/>
      <c r="X1687" s="66"/>
      <c r="Y1687" s="66"/>
    </row>
    <row hidden="true" r="1688">
      <c r="N1688" s="66"/>
      <c r="O1688" s="66"/>
      <c r="P1688" s="66"/>
      <c r="Q1688" s="66"/>
      <c r="R1688" s="66"/>
      <c r="S1688" s="66"/>
      <c r="T1688" s="69"/>
      <c r="U1688" s="66"/>
      <c r="V1688" s="66"/>
      <c r="W1688" s="75"/>
      <c r="X1688" s="66"/>
      <c r="Y1688" s="66"/>
    </row>
    <row hidden="true" r="1689">
      <c r="N1689" s="66"/>
      <c r="O1689" s="66"/>
      <c r="P1689" s="66"/>
      <c r="Q1689" s="66"/>
      <c r="R1689" s="66"/>
      <c r="S1689" s="66"/>
      <c r="T1689" s="69"/>
      <c r="U1689" s="66"/>
      <c r="V1689" s="66"/>
      <c r="W1689" s="75"/>
      <c r="X1689" s="66"/>
      <c r="Y1689" s="66"/>
    </row>
    <row hidden="true" r="1690">
      <c r="N1690" s="66"/>
      <c r="O1690" s="66"/>
      <c r="P1690" s="66"/>
      <c r="Q1690" s="66"/>
      <c r="R1690" s="66"/>
      <c r="S1690" s="66"/>
      <c r="T1690" s="69"/>
      <c r="U1690" s="66"/>
      <c r="V1690" s="66"/>
      <c r="W1690" s="75"/>
      <c r="X1690" s="66"/>
      <c r="Y1690" s="66"/>
    </row>
    <row hidden="true" r="1691">
      <c r="N1691" s="66"/>
      <c r="O1691" s="66"/>
      <c r="P1691" s="66"/>
      <c r="Q1691" s="66"/>
      <c r="R1691" s="66"/>
      <c r="S1691" s="66"/>
      <c r="T1691" s="69"/>
      <c r="U1691" s="66"/>
      <c r="V1691" s="66"/>
      <c r="W1691" s="75"/>
      <c r="X1691" s="66"/>
      <c r="Y1691" s="66"/>
    </row>
    <row hidden="true" r="1692">
      <c r="N1692" s="66"/>
      <c r="O1692" s="66"/>
      <c r="P1692" s="66"/>
      <c r="Q1692" s="66"/>
      <c r="R1692" s="66"/>
      <c r="S1692" s="66"/>
      <c r="T1692" s="69"/>
      <c r="U1692" s="66"/>
      <c r="V1692" s="66"/>
      <c r="W1692" s="75"/>
      <c r="X1692" s="66"/>
      <c r="Y1692" s="66"/>
    </row>
    <row hidden="true" r="1693">
      <c r="N1693" s="66"/>
      <c r="O1693" s="66"/>
      <c r="P1693" s="66"/>
      <c r="Q1693" s="66"/>
      <c r="R1693" s="66"/>
      <c r="S1693" s="66"/>
      <c r="T1693" s="69"/>
      <c r="U1693" s="66"/>
      <c r="V1693" s="66"/>
      <c r="W1693" s="75"/>
      <c r="X1693" s="66"/>
      <c r="Y1693" s="66"/>
    </row>
    <row hidden="true" r="1694">
      <c r="N1694" s="66"/>
      <c r="O1694" s="66"/>
      <c r="P1694" s="66"/>
      <c r="Q1694" s="66"/>
      <c r="R1694" s="66"/>
      <c r="S1694" s="66"/>
      <c r="T1694" s="69"/>
      <c r="U1694" s="66"/>
      <c r="V1694" s="66"/>
      <c r="W1694" s="75"/>
      <c r="X1694" s="66"/>
      <c r="Y1694" s="66"/>
    </row>
    <row hidden="true" r="1695">
      <c r="N1695" s="66"/>
      <c r="O1695" s="66"/>
      <c r="P1695" s="66"/>
      <c r="Q1695" s="66"/>
      <c r="R1695" s="66"/>
      <c r="S1695" s="66"/>
      <c r="T1695" s="69"/>
      <c r="U1695" s="66"/>
      <c r="V1695" s="66"/>
      <c r="W1695" s="75"/>
      <c r="X1695" s="66"/>
      <c r="Y1695" s="66"/>
    </row>
    <row hidden="true" r="1696">
      <c r="N1696" s="66"/>
      <c r="O1696" s="66"/>
      <c r="P1696" s="66"/>
      <c r="Q1696" s="66"/>
      <c r="R1696" s="66"/>
      <c r="S1696" s="66"/>
      <c r="T1696" s="69"/>
      <c r="U1696" s="66"/>
      <c r="V1696" s="66"/>
      <c r="W1696" s="75"/>
      <c r="X1696" s="66"/>
      <c r="Y1696" s="66"/>
    </row>
    <row hidden="true" r="1697">
      <c r="N1697" s="66"/>
      <c r="O1697" s="66"/>
      <c r="P1697" s="66"/>
      <c r="Q1697" s="66"/>
      <c r="R1697" s="66"/>
      <c r="S1697" s="66"/>
      <c r="T1697" s="69"/>
      <c r="U1697" s="66"/>
      <c r="V1697" s="66"/>
      <c r="W1697" s="75"/>
      <c r="X1697" s="66"/>
      <c r="Y1697" s="66"/>
    </row>
    <row hidden="true" r="1698">
      <c r="N1698" s="66"/>
      <c r="O1698" s="66"/>
      <c r="P1698" s="66"/>
      <c r="Q1698" s="66"/>
      <c r="R1698" s="66"/>
      <c r="S1698" s="66"/>
      <c r="T1698" s="69"/>
      <c r="U1698" s="66"/>
      <c r="V1698" s="66"/>
      <c r="W1698" s="75"/>
      <c r="X1698" s="66"/>
      <c r="Y1698" s="66"/>
    </row>
    <row hidden="true" r="1699">
      <c r="N1699" s="66"/>
      <c r="O1699" s="66"/>
      <c r="P1699" s="66"/>
      <c r="Q1699" s="66"/>
      <c r="R1699" s="66"/>
      <c r="S1699" s="66"/>
      <c r="T1699" s="69"/>
      <c r="U1699" s="66"/>
      <c r="V1699" s="66"/>
      <c r="W1699" s="75"/>
      <c r="X1699" s="66"/>
      <c r="Y1699" s="66"/>
    </row>
    <row hidden="true" r="1700">
      <c r="N1700" s="66"/>
      <c r="O1700" s="66"/>
      <c r="P1700" s="66"/>
      <c r="Q1700" s="66"/>
      <c r="R1700" s="66"/>
      <c r="S1700" s="66"/>
      <c r="T1700" s="69"/>
      <c r="U1700" s="66"/>
      <c r="V1700" s="66"/>
      <c r="W1700" s="75"/>
      <c r="X1700" s="66"/>
      <c r="Y1700" s="66"/>
    </row>
    <row hidden="true" r="1701">
      <c r="N1701" s="66"/>
      <c r="O1701" s="66"/>
      <c r="P1701" s="66"/>
      <c r="Q1701" s="66"/>
      <c r="R1701" s="66"/>
      <c r="S1701" s="66"/>
      <c r="T1701" s="69"/>
      <c r="U1701" s="66"/>
      <c r="V1701" s="66"/>
      <c r="W1701" s="75"/>
      <c r="X1701" s="66"/>
      <c r="Y1701" s="66"/>
    </row>
    <row hidden="true" r="1702">
      <c r="N1702" s="66"/>
      <c r="O1702" s="66"/>
      <c r="P1702" s="66"/>
      <c r="Q1702" s="66"/>
      <c r="R1702" s="66"/>
      <c r="S1702" s="66"/>
      <c r="T1702" s="69"/>
      <c r="U1702" s="66"/>
      <c r="V1702" s="66"/>
      <c r="W1702" s="75"/>
      <c r="X1702" s="66"/>
      <c r="Y1702" s="66"/>
    </row>
    <row hidden="true" r="1703">
      <c r="N1703" s="66"/>
      <c r="O1703" s="66"/>
      <c r="P1703" s="66"/>
      <c r="Q1703" s="66"/>
      <c r="R1703" s="66"/>
      <c r="S1703" s="66"/>
      <c r="T1703" s="69"/>
      <c r="U1703" s="66"/>
      <c r="V1703" s="66"/>
      <c r="W1703" s="75"/>
      <c r="X1703" s="66"/>
      <c r="Y1703" s="66"/>
    </row>
    <row hidden="true" r="1704">
      <c r="N1704" s="66"/>
      <c r="O1704" s="66"/>
      <c r="P1704" s="66"/>
      <c r="Q1704" s="66"/>
      <c r="R1704" s="66"/>
      <c r="S1704" s="66"/>
      <c r="T1704" s="69"/>
      <c r="U1704" s="66"/>
      <c r="V1704" s="66"/>
      <c r="W1704" s="75"/>
      <c r="X1704" s="66"/>
      <c r="Y1704" s="66"/>
    </row>
    <row hidden="true" r="1705">
      <c r="N1705" s="66"/>
      <c r="O1705" s="66"/>
      <c r="P1705" s="66"/>
      <c r="Q1705" s="66"/>
      <c r="R1705" s="66"/>
      <c r="S1705" s="66"/>
      <c r="T1705" s="69"/>
      <c r="U1705" s="66"/>
      <c r="V1705" s="66"/>
      <c r="W1705" s="75"/>
      <c r="X1705" s="66"/>
      <c r="Y1705" s="66"/>
    </row>
    <row hidden="true" r="1706">
      <c r="N1706" s="66"/>
      <c r="O1706" s="66"/>
      <c r="P1706" s="66"/>
      <c r="Q1706" s="66"/>
      <c r="R1706" s="66"/>
      <c r="S1706" s="66"/>
      <c r="T1706" s="69"/>
      <c r="U1706" s="66"/>
      <c r="V1706" s="66"/>
      <c r="W1706" s="75"/>
      <c r="X1706" s="66"/>
      <c r="Y1706" s="66"/>
    </row>
    <row hidden="true" r="1707">
      <c r="N1707" s="66"/>
      <c r="O1707" s="66"/>
      <c r="P1707" s="66"/>
      <c r="Q1707" s="66"/>
      <c r="R1707" s="66"/>
      <c r="S1707" s="66"/>
      <c r="T1707" s="69"/>
      <c r="U1707" s="66"/>
      <c r="V1707" s="66"/>
      <c r="W1707" s="75"/>
      <c r="X1707" s="66"/>
      <c r="Y1707" s="66"/>
    </row>
    <row hidden="true" r="1708">
      <c r="N1708" s="66"/>
      <c r="O1708" s="66"/>
      <c r="P1708" s="66"/>
      <c r="Q1708" s="66"/>
      <c r="R1708" s="66"/>
      <c r="S1708" s="66"/>
      <c r="T1708" s="69"/>
      <c r="U1708" s="66"/>
      <c r="V1708" s="66"/>
      <c r="W1708" s="75"/>
      <c r="X1708" s="66"/>
      <c r="Y1708" s="66"/>
    </row>
    <row hidden="true" r="1709">
      <c r="N1709" s="66"/>
      <c r="O1709" s="66"/>
      <c r="P1709" s="66"/>
      <c r="Q1709" s="66"/>
      <c r="R1709" s="66"/>
      <c r="S1709" s="66"/>
      <c r="T1709" s="69"/>
      <c r="U1709" s="66"/>
      <c r="V1709" s="66"/>
      <c r="W1709" s="75"/>
      <c r="X1709" s="66"/>
      <c r="Y1709" s="66"/>
    </row>
    <row hidden="true" r="1710">
      <c r="N1710" s="66"/>
      <c r="O1710" s="66"/>
      <c r="P1710" s="66"/>
      <c r="Q1710" s="66"/>
      <c r="R1710" s="66"/>
      <c r="S1710" s="66"/>
      <c r="T1710" s="69"/>
      <c r="U1710" s="66"/>
      <c r="V1710" s="66"/>
      <c r="W1710" s="75"/>
      <c r="X1710" s="66"/>
      <c r="Y1710" s="66"/>
    </row>
    <row hidden="true" r="1711">
      <c r="N1711" s="66"/>
      <c r="O1711" s="66"/>
      <c r="P1711" s="66"/>
      <c r="Q1711" s="66"/>
      <c r="R1711" s="66"/>
      <c r="S1711" s="66"/>
      <c r="T1711" s="69"/>
      <c r="U1711" s="66"/>
      <c r="V1711" s="66"/>
      <c r="W1711" s="75"/>
      <c r="X1711" s="66"/>
      <c r="Y1711" s="66"/>
    </row>
    <row hidden="true" r="1712">
      <c r="N1712" s="66"/>
      <c r="O1712" s="66"/>
      <c r="P1712" s="66"/>
      <c r="Q1712" s="66"/>
      <c r="R1712" s="66"/>
      <c r="S1712" s="66"/>
      <c r="T1712" s="69"/>
      <c r="U1712" s="66"/>
      <c r="V1712" s="66"/>
      <c r="W1712" s="75"/>
      <c r="X1712" s="66"/>
      <c r="Y1712" s="66"/>
    </row>
    <row hidden="true" r="1713">
      <c r="N1713" s="66"/>
      <c r="O1713" s="66"/>
      <c r="P1713" s="66"/>
      <c r="Q1713" s="66"/>
      <c r="R1713" s="66"/>
      <c r="S1713" s="66"/>
      <c r="T1713" s="69"/>
      <c r="U1713" s="66"/>
      <c r="V1713" s="66"/>
      <c r="W1713" s="75"/>
      <c r="X1713" s="66"/>
      <c r="Y1713" s="66"/>
    </row>
    <row hidden="true" r="1714">
      <c r="N1714" s="66"/>
      <c r="O1714" s="66"/>
      <c r="P1714" s="66"/>
      <c r="Q1714" s="66"/>
      <c r="R1714" s="66"/>
      <c r="S1714" s="66"/>
      <c r="T1714" s="69"/>
      <c r="U1714" s="66"/>
      <c r="V1714" s="66"/>
      <c r="W1714" s="75"/>
      <c r="X1714" s="66"/>
      <c r="Y1714" s="66"/>
    </row>
    <row hidden="true" r="1715">
      <c r="N1715" s="66"/>
      <c r="O1715" s="66"/>
      <c r="P1715" s="66"/>
      <c r="Q1715" s="66"/>
      <c r="R1715" s="66"/>
      <c r="S1715" s="66"/>
      <c r="T1715" s="69"/>
      <c r="U1715" s="66"/>
      <c r="V1715" s="66"/>
      <c r="W1715" s="75"/>
      <c r="X1715" s="66"/>
      <c r="Y1715" s="66"/>
    </row>
    <row hidden="true" r="1716">
      <c r="N1716" s="66"/>
      <c r="O1716" s="66"/>
      <c r="P1716" s="66"/>
      <c r="Q1716" s="66"/>
      <c r="R1716" s="66"/>
      <c r="S1716" s="66"/>
      <c r="T1716" s="69"/>
      <c r="U1716" s="66"/>
      <c r="V1716" s="66"/>
      <c r="W1716" s="75"/>
      <c r="X1716" s="66"/>
      <c r="Y1716" s="66"/>
    </row>
    <row hidden="true" r="1717">
      <c r="N1717" s="66"/>
      <c r="O1717" s="66"/>
      <c r="P1717" s="66"/>
      <c r="Q1717" s="66"/>
      <c r="R1717" s="66"/>
      <c r="S1717" s="66"/>
      <c r="T1717" s="69"/>
      <c r="U1717" s="66"/>
      <c r="V1717" s="66"/>
      <c r="W1717" s="75"/>
      <c r="X1717" s="66"/>
      <c r="Y1717" s="66"/>
    </row>
    <row hidden="true" r="1718">
      <c r="N1718" s="66"/>
      <c r="O1718" s="66"/>
      <c r="P1718" s="66"/>
      <c r="Q1718" s="66"/>
      <c r="R1718" s="66"/>
      <c r="S1718" s="66"/>
      <c r="T1718" s="69"/>
      <c r="U1718" s="66"/>
      <c r="V1718" s="66"/>
      <c r="W1718" s="75"/>
      <c r="X1718" s="66"/>
      <c r="Y1718" s="66"/>
    </row>
    <row hidden="true" r="1719">
      <c r="N1719" s="66"/>
      <c r="O1719" s="66"/>
      <c r="P1719" s="66"/>
      <c r="Q1719" s="66"/>
      <c r="R1719" s="66"/>
      <c r="S1719" s="66"/>
      <c r="T1719" s="69"/>
      <c r="U1719" s="66"/>
      <c r="V1719" s="66"/>
      <c r="W1719" s="75"/>
      <c r="X1719" s="66"/>
      <c r="Y1719" s="66"/>
    </row>
    <row hidden="true" r="1720">
      <c r="N1720" s="66"/>
      <c r="O1720" s="66"/>
      <c r="P1720" s="66"/>
      <c r="Q1720" s="66"/>
      <c r="R1720" s="66"/>
      <c r="S1720" s="66"/>
      <c r="T1720" s="69"/>
      <c r="U1720" s="66"/>
      <c r="V1720" s="66"/>
      <c r="W1720" s="75"/>
      <c r="X1720" s="66"/>
      <c r="Y1720" s="66"/>
    </row>
    <row hidden="true" r="1721">
      <c r="N1721" s="66"/>
      <c r="O1721" s="66"/>
      <c r="P1721" s="66"/>
      <c r="Q1721" s="66"/>
      <c r="R1721" s="66"/>
      <c r="S1721" s="66"/>
      <c r="T1721" s="69"/>
      <c r="U1721" s="66"/>
      <c r="V1721" s="66"/>
      <c r="W1721" s="75"/>
      <c r="X1721" s="66"/>
      <c r="Y1721" s="66"/>
    </row>
    <row hidden="true" r="1722">
      <c r="N1722" s="66"/>
      <c r="O1722" s="66"/>
      <c r="P1722" s="66"/>
      <c r="Q1722" s="66"/>
      <c r="R1722" s="66"/>
      <c r="S1722" s="66"/>
      <c r="T1722" s="69"/>
      <c r="U1722" s="66"/>
      <c r="V1722" s="66"/>
      <c r="W1722" s="75"/>
      <c r="X1722" s="66"/>
      <c r="Y1722" s="66"/>
    </row>
    <row hidden="true" r="1723">
      <c r="N1723" s="66"/>
      <c r="O1723" s="66"/>
      <c r="P1723" s="66"/>
      <c r="Q1723" s="66"/>
      <c r="R1723" s="66"/>
      <c r="S1723" s="66"/>
      <c r="T1723" s="69"/>
      <c r="U1723" s="66"/>
      <c r="V1723" s="66"/>
      <c r="W1723" s="75"/>
      <c r="X1723" s="66"/>
      <c r="Y1723" s="66"/>
    </row>
    <row hidden="true" r="1724">
      <c r="N1724" s="66"/>
      <c r="O1724" s="66"/>
      <c r="P1724" s="66"/>
      <c r="Q1724" s="66"/>
      <c r="R1724" s="66"/>
      <c r="S1724" s="66"/>
      <c r="T1724" s="69"/>
      <c r="U1724" s="66"/>
      <c r="V1724" s="66"/>
      <c r="W1724" s="75"/>
      <c r="X1724" s="66"/>
      <c r="Y1724" s="66"/>
    </row>
    <row hidden="true" r="1725">
      <c r="N1725" s="66"/>
      <c r="O1725" s="66"/>
      <c r="P1725" s="66"/>
      <c r="Q1725" s="66"/>
      <c r="R1725" s="66"/>
      <c r="S1725" s="66"/>
      <c r="T1725" s="69"/>
      <c r="U1725" s="66"/>
      <c r="V1725" s="66"/>
      <c r="W1725" s="75"/>
      <c r="X1725" s="66"/>
      <c r="Y1725" s="66"/>
    </row>
    <row hidden="true" r="1726">
      <c r="N1726" s="66"/>
      <c r="O1726" s="66"/>
      <c r="P1726" s="66"/>
      <c r="Q1726" s="66"/>
      <c r="R1726" s="66"/>
      <c r="S1726" s="66"/>
      <c r="T1726" s="69"/>
      <c r="U1726" s="66"/>
      <c r="V1726" s="66"/>
      <c r="W1726" s="75"/>
      <c r="X1726" s="66"/>
      <c r="Y1726" s="66"/>
    </row>
    <row hidden="true" r="1727">
      <c r="N1727" s="66"/>
      <c r="O1727" s="66"/>
      <c r="P1727" s="66"/>
      <c r="Q1727" s="66"/>
      <c r="R1727" s="66"/>
      <c r="S1727" s="66"/>
      <c r="T1727" s="69"/>
      <c r="U1727" s="66"/>
      <c r="V1727" s="66"/>
      <c r="W1727" s="75"/>
      <c r="X1727" s="66"/>
      <c r="Y1727" s="66"/>
    </row>
    <row hidden="true" r="1728">
      <c r="N1728" s="66"/>
      <c r="O1728" s="66"/>
      <c r="P1728" s="66"/>
      <c r="Q1728" s="66"/>
      <c r="R1728" s="66"/>
      <c r="S1728" s="66"/>
      <c r="T1728" s="69"/>
      <c r="U1728" s="66"/>
      <c r="V1728" s="66"/>
      <c r="W1728" s="75"/>
      <c r="X1728" s="66"/>
      <c r="Y1728" s="66"/>
    </row>
    <row hidden="true" r="1729">
      <c r="N1729" s="66"/>
      <c r="O1729" s="66"/>
      <c r="P1729" s="66"/>
      <c r="Q1729" s="66"/>
      <c r="R1729" s="66"/>
      <c r="S1729" s="66"/>
      <c r="T1729" s="69"/>
      <c r="U1729" s="66"/>
      <c r="V1729" s="66"/>
      <c r="W1729" s="75"/>
      <c r="X1729" s="66"/>
      <c r="Y1729" s="66"/>
    </row>
    <row hidden="true" r="1730">
      <c r="N1730" s="66"/>
      <c r="O1730" s="66"/>
      <c r="P1730" s="66"/>
      <c r="Q1730" s="66"/>
      <c r="R1730" s="66"/>
      <c r="S1730" s="66"/>
      <c r="T1730" s="69"/>
      <c r="U1730" s="66"/>
      <c r="V1730" s="66"/>
      <c r="W1730" s="75"/>
      <c r="X1730" s="66"/>
      <c r="Y1730" s="66"/>
    </row>
    <row hidden="true" r="1731">
      <c r="N1731" s="66"/>
      <c r="O1731" s="66"/>
      <c r="P1731" s="66"/>
      <c r="Q1731" s="66"/>
      <c r="R1731" s="66"/>
      <c r="S1731" s="66"/>
      <c r="T1731" s="69"/>
      <c r="U1731" s="66"/>
      <c r="V1731" s="66"/>
      <c r="W1731" s="75"/>
      <c r="X1731" s="66"/>
      <c r="Y1731" s="66"/>
    </row>
    <row hidden="true" r="1732">
      <c r="N1732" s="66"/>
      <c r="O1732" s="66"/>
      <c r="P1732" s="66"/>
      <c r="Q1732" s="66"/>
      <c r="R1732" s="66"/>
      <c r="S1732" s="66"/>
      <c r="T1732" s="69"/>
      <c r="U1732" s="66"/>
      <c r="V1732" s="66"/>
      <c r="W1732" s="75"/>
      <c r="X1732" s="66"/>
      <c r="Y1732" s="66"/>
    </row>
    <row hidden="true" r="1733">
      <c r="N1733" s="66"/>
      <c r="O1733" s="66"/>
      <c r="P1733" s="66"/>
      <c r="Q1733" s="66"/>
      <c r="R1733" s="66"/>
      <c r="S1733" s="66"/>
      <c r="T1733" s="69"/>
      <c r="U1733" s="66"/>
      <c r="V1733" s="66"/>
      <c r="W1733" s="75"/>
      <c r="X1733" s="66"/>
      <c r="Y1733" s="66"/>
    </row>
    <row hidden="true" r="1734">
      <c r="N1734" s="66"/>
      <c r="O1734" s="66"/>
      <c r="P1734" s="66"/>
      <c r="Q1734" s="66"/>
      <c r="R1734" s="66"/>
      <c r="S1734" s="66"/>
      <c r="T1734" s="69"/>
      <c r="U1734" s="66"/>
      <c r="V1734" s="66"/>
      <c r="W1734" s="75"/>
      <c r="X1734" s="66"/>
      <c r="Y1734" s="66"/>
    </row>
    <row hidden="true" r="1735">
      <c r="N1735" s="66"/>
      <c r="O1735" s="66"/>
      <c r="P1735" s="66"/>
      <c r="Q1735" s="66"/>
      <c r="R1735" s="66"/>
      <c r="S1735" s="66"/>
      <c r="T1735" s="69"/>
      <c r="U1735" s="66"/>
      <c r="V1735" s="66"/>
      <c r="W1735" s="75"/>
      <c r="X1735" s="66"/>
      <c r="Y1735" s="66"/>
    </row>
    <row hidden="true" r="1736">
      <c r="N1736" s="66"/>
      <c r="O1736" s="66"/>
      <c r="P1736" s="66"/>
      <c r="Q1736" s="66"/>
      <c r="R1736" s="66"/>
      <c r="S1736" s="66"/>
      <c r="T1736" s="69"/>
      <c r="U1736" s="66"/>
      <c r="V1736" s="66"/>
      <c r="W1736" s="75"/>
      <c r="X1736" s="66"/>
      <c r="Y1736" s="66"/>
    </row>
    <row hidden="true" r="1737">
      <c r="N1737" s="66"/>
      <c r="O1737" s="66"/>
      <c r="P1737" s="66"/>
      <c r="Q1737" s="66"/>
      <c r="R1737" s="66"/>
      <c r="S1737" s="66"/>
      <c r="T1737" s="69"/>
      <c r="U1737" s="66"/>
      <c r="V1737" s="66"/>
      <c r="W1737" s="75"/>
      <c r="X1737" s="66"/>
      <c r="Y1737" s="66"/>
    </row>
    <row hidden="true" r="1738">
      <c r="N1738" s="66"/>
      <c r="O1738" s="66"/>
      <c r="P1738" s="66"/>
      <c r="Q1738" s="66"/>
      <c r="R1738" s="66"/>
      <c r="S1738" s="66"/>
      <c r="T1738" s="69"/>
      <c r="U1738" s="66"/>
      <c r="V1738" s="66"/>
      <c r="W1738" s="75"/>
      <c r="X1738" s="66"/>
      <c r="Y1738" s="66"/>
    </row>
    <row hidden="true" r="1739">
      <c r="N1739" s="66"/>
      <c r="O1739" s="66"/>
      <c r="P1739" s="66"/>
      <c r="Q1739" s="66"/>
      <c r="R1739" s="66"/>
      <c r="S1739" s="66"/>
      <c r="T1739" s="69"/>
      <c r="U1739" s="66"/>
      <c r="V1739" s="66"/>
      <c r="W1739" s="75"/>
      <c r="X1739" s="66"/>
      <c r="Y1739" s="66"/>
    </row>
    <row hidden="true" r="1740">
      <c r="N1740" s="66"/>
      <c r="O1740" s="66"/>
      <c r="P1740" s="66"/>
      <c r="Q1740" s="66"/>
      <c r="R1740" s="66"/>
      <c r="S1740" s="66"/>
      <c r="T1740" s="69"/>
      <c r="U1740" s="66"/>
      <c r="V1740" s="66"/>
      <c r="W1740" s="75"/>
      <c r="X1740" s="66"/>
      <c r="Y1740" s="66"/>
    </row>
    <row hidden="true" r="1741">
      <c r="N1741" s="66"/>
      <c r="O1741" s="66"/>
      <c r="P1741" s="66"/>
      <c r="Q1741" s="66"/>
      <c r="R1741" s="66"/>
      <c r="S1741" s="66"/>
      <c r="T1741" s="69"/>
      <c r="U1741" s="66"/>
      <c r="V1741" s="66"/>
      <c r="W1741" s="75"/>
      <c r="X1741" s="66"/>
      <c r="Y1741" s="66"/>
    </row>
    <row hidden="true" r="1742">
      <c r="N1742" s="66"/>
      <c r="O1742" s="66"/>
      <c r="P1742" s="66"/>
      <c r="Q1742" s="66"/>
      <c r="R1742" s="66"/>
      <c r="S1742" s="66"/>
      <c r="T1742" s="69"/>
      <c r="U1742" s="66"/>
      <c r="V1742" s="66"/>
      <c r="W1742" s="75"/>
      <c r="X1742" s="66"/>
      <c r="Y1742" s="66"/>
    </row>
    <row hidden="true" r="1743">
      <c r="N1743" s="66"/>
      <c r="O1743" s="66"/>
      <c r="P1743" s="66"/>
      <c r="Q1743" s="66"/>
      <c r="R1743" s="66"/>
      <c r="S1743" s="66"/>
      <c r="T1743" s="69"/>
      <c r="U1743" s="66"/>
      <c r="V1743" s="66"/>
      <c r="W1743" s="75"/>
      <c r="X1743" s="66"/>
      <c r="Y1743" s="66"/>
    </row>
    <row hidden="true" r="1744">
      <c r="N1744" s="66"/>
      <c r="O1744" s="66"/>
      <c r="P1744" s="66"/>
      <c r="Q1744" s="66"/>
      <c r="R1744" s="66"/>
      <c r="S1744" s="66"/>
      <c r="T1744" s="69"/>
      <c r="U1744" s="66"/>
      <c r="V1744" s="66"/>
      <c r="W1744" s="75"/>
      <c r="X1744" s="66"/>
      <c r="Y1744" s="66"/>
    </row>
    <row hidden="true" r="1745">
      <c r="N1745" s="66"/>
      <c r="O1745" s="66"/>
      <c r="P1745" s="66"/>
      <c r="Q1745" s="66"/>
      <c r="R1745" s="66"/>
      <c r="S1745" s="66"/>
      <c r="T1745" s="69"/>
      <c r="U1745" s="66"/>
      <c r="V1745" s="66"/>
      <c r="W1745" s="75"/>
      <c r="X1745" s="66"/>
      <c r="Y1745" s="66"/>
    </row>
    <row hidden="true" r="1746">
      <c r="N1746" s="66"/>
      <c r="O1746" s="66"/>
      <c r="P1746" s="66"/>
      <c r="Q1746" s="66"/>
      <c r="R1746" s="66"/>
      <c r="S1746" s="66"/>
      <c r="T1746" s="69"/>
      <c r="U1746" s="66"/>
      <c r="V1746" s="66"/>
      <c r="W1746" s="75"/>
      <c r="X1746" s="66"/>
      <c r="Y1746" s="66"/>
    </row>
    <row hidden="true" r="1747">
      <c r="N1747" s="66"/>
      <c r="O1747" s="66"/>
      <c r="P1747" s="66"/>
      <c r="Q1747" s="66"/>
      <c r="R1747" s="66"/>
      <c r="S1747" s="66"/>
      <c r="T1747" s="69"/>
      <c r="U1747" s="66"/>
      <c r="V1747" s="66"/>
      <c r="W1747" s="75"/>
      <c r="X1747" s="66"/>
      <c r="Y1747" s="66"/>
    </row>
    <row hidden="true" r="1748">
      <c r="N1748" s="66"/>
      <c r="O1748" s="66"/>
      <c r="P1748" s="66"/>
      <c r="Q1748" s="66"/>
      <c r="R1748" s="66"/>
      <c r="S1748" s="66"/>
      <c r="T1748" s="69"/>
      <c r="U1748" s="66"/>
      <c r="V1748" s="66"/>
      <c r="W1748" s="75"/>
      <c r="X1748" s="66"/>
      <c r="Y1748" s="66"/>
    </row>
    <row hidden="true" r="1749">
      <c r="N1749" s="66"/>
      <c r="O1749" s="66"/>
      <c r="P1749" s="66"/>
      <c r="Q1749" s="66"/>
      <c r="R1749" s="66"/>
      <c r="S1749" s="66"/>
      <c r="T1749" s="69"/>
      <c r="U1749" s="66"/>
      <c r="V1749" s="66"/>
      <c r="W1749" s="75"/>
      <c r="X1749" s="66"/>
      <c r="Y1749" s="66"/>
    </row>
    <row hidden="true" r="1750">
      <c r="N1750" s="66"/>
      <c r="O1750" s="66"/>
      <c r="P1750" s="66"/>
      <c r="Q1750" s="66"/>
      <c r="R1750" s="66"/>
      <c r="S1750" s="66"/>
      <c r="T1750" s="69"/>
      <c r="U1750" s="66"/>
      <c r="V1750" s="66"/>
      <c r="W1750" s="75"/>
      <c r="X1750" s="66"/>
      <c r="Y1750" s="66"/>
    </row>
    <row hidden="true" r="1751">
      <c r="N1751" s="66"/>
      <c r="O1751" s="66"/>
      <c r="P1751" s="66"/>
      <c r="Q1751" s="66"/>
      <c r="R1751" s="66"/>
      <c r="S1751" s="66"/>
      <c r="T1751" s="69"/>
      <c r="U1751" s="66"/>
      <c r="V1751" s="66"/>
      <c r="W1751" s="75"/>
      <c r="X1751" s="66"/>
      <c r="Y1751" s="66"/>
    </row>
    <row hidden="true" r="1752">
      <c r="N1752" s="66"/>
      <c r="O1752" s="66"/>
      <c r="P1752" s="66"/>
      <c r="Q1752" s="66"/>
      <c r="R1752" s="66"/>
      <c r="S1752" s="66"/>
      <c r="T1752" s="69"/>
      <c r="U1752" s="66"/>
      <c r="V1752" s="66"/>
      <c r="W1752" s="75"/>
      <c r="X1752" s="66"/>
      <c r="Y1752" s="66"/>
    </row>
    <row hidden="true" r="1753">
      <c r="N1753" s="66"/>
      <c r="O1753" s="66"/>
      <c r="P1753" s="66"/>
      <c r="Q1753" s="66"/>
      <c r="R1753" s="66"/>
      <c r="S1753" s="66"/>
      <c r="T1753" s="69"/>
      <c r="U1753" s="66"/>
      <c r="V1753" s="66"/>
      <c r="W1753" s="75"/>
      <c r="X1753" s="66"/>
      <c r="Y1753" s="66"/>
    </row>
    <row hidden="true" r="1754">
      <c r="N1754" s="66"/>
      <c r="O1754" s="66"/>
      <c r="P1754" s="66"/>
      <c r="Q1754" s="66"/>
      <c r="R1754" s="66"/>
      <c r="S1754" s="66"/>
      <c r="T1754" s="69"/>
      <c r="U1754" s="66"/>
      <c r="V1754" s="66"/>
      <c r="W1754" s="75"/>
      <c r="X1754" s="66"/>
      <c r="Y1754" s="66"/>
    </row>
    <row hidden="true" r="1755">
      <c r="N1755" s="66"/>
      <c r="O1755" s="66"/>
      <c r="P1755" s="66"/>
      <c r="Q1755" s="66"/>
      <c r="R1755" s="66"/>
      <c r="S1755" s="66"/>
      <c r="T1755" s="69"/>
      <c r="U1755" s="66"/>
      <c r="V1755" s="66"/>
      <c r="W1755" s="75"/>
      <c r="X1755" s="66"/>
      <c r="Y1755" s="66"/>
    </row>
    <row hidden="true" r="1756">
      <c r="N1756" s="66"/>
      <c r="O1756" s="66"/>
      <c r="P1756" s="66"/>
      <c r="Q1756" s="66"/>
      <c r="R1756" s="66"/>
      <c r="S1756" s="66"/>
      <c r="T1756" s="69"/>
      <c r="U1756" s="66"/>
      <c r="V1756" s="66"/>
      <c r="W1756" s="75"/>
      <c r="X1756" s="66"/>
      <c r="Y1756" s="66"/>
    </row>
    <row hidden="true" r="1757">
      <c r="N1757" s="66"/>
      <c r="O1757" s="66"/>
      <c r="P1757" s="66"/>
      <c r="Q1757" s="66"/>
      <c r="R1757" s="66"/>
      <c r="S1757" s="66"/>
      <c r="T1757" s="69"/>
      <c r="U1757" s="66"/>
      <c r="V1757" s="66"/>
      <c r="W1757" s="75"/>
      <c r="X1757" s="66"/>
      <c r="Y1757" s="66"/>
    </row>
    <row hidden="true" r="1758">
      <c r="N1758" s="66"/>
      <c r="O1758" s="66"/>
      <c r="P1758" s="66"/>
      <c r="Q1758" s="66"/>
      <c r="R1758" s="66"/>
      <c r="S1758" s="66"/>
      <c r="T1758" s="69"/>
      <c r="U1758" s="66"/>
      <c r="V1758" s="66"/>
      <c r="W1758" s="75"/>
      <c r="X1758" s="66"/>
      <c r="Y1758" s="66"/>
    </row>
    <row hidden="true" r="1759">
      <c r="N1759" s="66"/>
      <c r="O1759" s="66"/>
      <c r="P1759" s="66"/>
      <c r="Q1759" s="66"/>
      <c r="R1759" s="66"/>
      <c r="S1759" s="66"/>
      <c r="T1759" s="69"/>
      <c r="U1759" s="66"/>
      <c r="V1759" s="66"/>
      <c r="W1759" s="75"/>
      <c r="X1759" s="66"/>
      <c r="Y1759" s="66"/>
    </row>
    <row hidden="true" r="1760">
      <c r="N1760" s="66"/>
      <c r="O1760" s="66"/>
      <c r="P1760" s="66"/>
      <c r="Q1760" s="66"/>
      <c r="R1760" s="66"/>
      <c r="S1760" s="66"/>
      <c r="T1760" s="69"/>
      <c r="U1760" s="66"/>
      <c r="V1760" s="66"/>
      <c r="W1760" s="75"/>
      <c r="X1760" s="66"/>
      <c r="Y1760" s="66"/>
    </row>
    <row hidden="true" r="1761">
      <c r="N1761" s="66"/>
      <c r="O1761" s="66"/>
      <c r="P1761" s="66"/>
      <c r="Q1761" s="66"/>
      <c r="R1761" s="66"/>
      <c r="S1761" s="66"/>
      <c r="T1761" s="69"/>
      <c r="U1761" s="66"/>
      <c r="V1761" s="66"/>
      <c r="W1761" s="75"/>
      <c r="X1761" s="66"/>
      <c r="Y1761" s="66"/>
    </row>
    <row hidden="true" r="1762">
      <c r="N1762" s="66"/>
      <c r="O1762" s="66"/>
      <c r="P1762" s="66"/>
      <c r="Q1762" s="66"/>
      <c r="R1762" s="66"/>
      <c r="S1762" s="66"/>
      <c r="T1762" s="69"/>
      <c r="U1762" s="66"/>
      <c r="V1762" s="66"/>
      <c r="W1762" s="75"/>
      <c r="X1762" s="66"/>
      <c r="Y1762" s="66"/>
    </row>
    <row hidden="true" r="1763">
      <c r="N1763" s="66"/>
      <c r="O1763" s="66"/>
      <c r="P1763" s="66"/>
      <c r="Q1763" s="66"/>
      <c r="R1763" s="66"/>
      <c r="S1763" s="66"/>
      <c r="T1763" s="69"/>
      <c r="U1763" s="66"/>
      <c r="V1763" s="66"/>
      <c r="W1763" s="75"/>
      <c r="X1763" s="66"/>
      <c r="Y1763" s="66"/>
    </row>
    <row hidden="true" r="1764">
      <c r="N1764" s="66"/>
      <c r="O1764" s="66"/>
      <c r="P1764" s="66"/>
      <c r="Q1764" s="66"/>
      <c r="R1764" s="66"/>
      <c r="S1764" s="66"/>
      <c r="T1764" s="69"/>
      <c r="U1764" s="66"/>
      <c r="V1764" s="66"/>
      <c r="W1764" s="75"/>
      <c r="X1764" s="66"/>
      <c r="Y1764" s="66"/>
    </row>
    <row hidden="true" r="1765">
      <c r="N1765" s="66"/>
      <c r="O1765" s="66"/>
      <c r="P1765" s="66"/>
      <c r="Q1765" s="66"/>
      <c r="R1765" s="66"/>
      <c r="S1765" s="66"/>
      <c r="T1765" s="69"/>
      <c r="U1765" s="66"/>
      <c r="V1765" s="66"/>
      <c r="W1765" s="75"/>
      <c r="X1765" s="66"/>
      <c r="Y1765" s="66"/>
    </row>
    <row hidden="true" r="1766">
      <c r="N1766" s="66"/>
      <c r="O1766" s="66"/>
      <c r="P1766" s="66"/>
      <c r="Q1766" s="66"/>
      <c r="R1766" s="66"/>
      <c r="S1766" s="66"/>
      <c r="T1766" s="69"/>
      <c r="U1766" s="66"/>
      <c r="V1766" s="66"/>
      <c r="W1766" s="75"/>
      <c r="X1766" s="66"/>
      <c r="Y1766" s="66"/>
    </row>
    <row hidden="true" r="1767">
      <c r="N1767" s="66"/>
      <c r="O1767" s="66"/>
      <c r="P1767" s="66"/>
      <c r="Q1767" s="66"/>
      <c r="R1767" s="66"/>
      <c r="S1767" s="66"/>
      <c r="T1767" s="69"/>
      <c r="U1767" s="66"/>
      <c r="V1767" s="66"/>
      <c r="W1767" s="75"/>
      <c r="X1767" s="66"/>
      <c r="Y1767" s="66"/>
    </row>
    <row hidden="true" r="1768">
      <c r="N1768" s="66"/>
      <c r="O1768" s="66"/>
      <c r="P1768" s="66"/>
      <c r="Q1768" s="66"/>
      <c r="R1768" s="66"/>
      <c r="S1768" s="66"/>
      <c r="T1768" s="69"/>
      <c r="U1768" s="66"/>
      <c r="V1768" s="66"/>
      <c r="W1768" s="75"/>
      <c r="X1768" s="66"/>
      <c r="Y1768" s="66"/>
    </row>
    <row hidden="true" r="1769">
      <c r="N1769" s="66"/>
      <c r="O1769" s="66"/>
      <c r="P1769" s="66"/>
      <c r="Q1769" s="66"/>
      <c r="R1769" s="66"/>
      <c r="S1769" s="66"/>
      <c r="T1769" s="69"/>
      <c r="U1769" s="66"/>
      <c r="V1769" s="66"/>
      <c r="W1769" s="75"/>
      <c r="X1769" s="66"/>
      <c r="Y1769" s="66"/>
    </row>
    <row hidden="true" r="1770">
      <c r="N1770" s="66"/>
      <c r="O1770" s="66"/>
      <c r="P1770" s="66"/>
      <c r="Q1770" s="66"/>
      <c r="R1770" s="66"/>
      <c r="S1770" s="66"/>
      <c r="T1770" s="69"/>
      <c r="U1770" s="66"/>
      <c r="V1770" s="66"/>
      <c r="W1770" s="75"/>
      <c r="X1770" s="66"/>
      <c r="Y1770" s="66"/>
    </row>
    <row hidden="true" r="1771">
      <c r="N1771" s="66"/>
      <c r="O1771" s="66"/>
      <c r="P1771" s="66"/>
      <c r="Q1771" s="66"/>
      <c r="R1771" s="66"/>
      <c r="S1771" s="66"/>
      <c r="T1771" s="69"/>
      <c r="U1771" s="66"/>
      <c r="V1771" s="66"/>
      <c r="W1771" s="75"/>
      <c r="X1771" s="66"/>
      <c r="Y1771" s="66"/>
    </row>
    <row hidden="true" r="1772">
      <c r="N1772" s="66"/>
      <c r="O1772" s="66"/>
      <c r="P1772" s="66"/>
      <c r="Q1772" s="66"/>
      <c r="R1772" s="66"/>
      <c r="S1772" s="66"/>
      <c r="T1772" s="69"/>
      <c r="U1772" s="66"/>
      <c r="V1772" s="66"/>
      <c r="W1772" s="75"/>
      <c r="X1772" s="66"/>
      <c r="Y1772" s="66"/>
    </row>
    <row hidden="true" r="1773">
      <c r="N1773" s="66"/>
      <c r="O1773" s="66"/>
      <c r="P1773" s="66"/>
      <c r="Q1773" s="66"/>
      <c r="R1773" s="66"/>
      <c r="S1773" s="66"/>
      <c r="T1773" s="69"/>
      <c r="U1773" s="66"/>
      <c r="V1773" s="66"/>
      <c r="W1773" s="75"/>
      <c r="X1773" s="66"/>
      <c r="Y1773" s="66"/>
    </row>
    <row hidden="true" r="1774">
      <c r="N1774" s="66"/>
      <c r="O1774" s="66"/>
      <c r="P1774" s="66"/>
      <c r="Q1774" s="66"/>
      <c r="R1774" s="66"/>
      <c r="S1774" s="66"/>
      <c r="T1774" s="69"/>
      <c r="U1774" s="66"/>
      <c r="V1774" s="66"/>
      <c r="W1774" s="75"/>
      <c r="X1774" s="66"/>
      <c r="Y1774" s="66"/>
    </row>
    <row hidden="true" r="1775">
      <c r="N1775" s="66"/>
      <c r="O1775" s="66"/>
      <c r="P1775" s="66"/>
      <c r="Q1775" s="66"/>
      <c r="R1775" s="66"/>
      <c r="S1775" s="66"/>
      <c r="T1775" s="69"/>
      <c r="U1775" s="66"/>
      <c r="V1775" s="66"/>
      <c r="W1775" s="75"/>
      <c r="X1775" s="66"/>
      <c r="Y1775" s="66"/>
    </row>
    <row hidden="true" r="1776">
      <c r="N1776" s="66"/>
      <c r="O1776" s="66"/>
      <c r="P1776" s="66"/>
      <c r="Q1776" s="66"/>
      <c r="R1776" s="66"/>
      <c r="S1776" s="66"/>
      <c r="T1776" s="69"/>
      <c r="U1776" s="66"/>
      <c r="V1776" s="66"/>
      <c r="W1776" s="75"/>
      <c r="X1776" s="66"/>
      <c r="Y1776" s="66"/>
    </row>
    <row hidden="true" r="1777">
      <c r="N1777" s="66"/>
      <c r="O1777" s="66"/>
      <c r="P1777" s="66"/>
      <c r="Q1777" s="66"/>
      <c r="R1777" s="66"/>
      <c r="S1777" s="66"/>
      <c r="T1777" s="69"/>
      <c r="U1777" s="66"/>
      <c r="V1777" s="66"/>
      <c r="W1777" s="75"/>
      <c r="X1777" s="66"/>
      <c r="Y1777" s="66"/>
    </row>
    <row hidden="true" r="1778">
      <c r="N1778" s="66"/>
      <c r="O1778" s="66"/>
      <c r="P1778" s="66"/>
      <c r="Q1778" s="66"/>
      <c r="R1778" s="66"/>
      <c r="S1778" s="66"/>
      <c r="T1778" s="69"/>
      <c r="U1778" s="66"/>
      <c r="V1778" s="66"/>
      <c r="W1778" s="75"/>
      <c r="X1778" s="66"/>
      <c r="Y1778" s="66"/>
    </row>
    <row hidden="true" r="1779">
      <c r="N1779" s="66"/>
      <c r="O1779" s="66"/>
      <c r="P1779" s="66"/>
      <c r="Q1779" s="66"/>
      <c r="R1779" s="66"/>
      <c r="S1779" s="66"/>
      <c r="T1779" s="69"/>
      <c r="U1779" s="66"/>
      <c r="V1779" s="66"/>
      <c r="W1779" s="75"/>
      <c r="X1779" s="66"/>
      <c r="Y1779" s="66"/>
    </row>
    <row hidden="true" r="1780">
      <c r="N1780" s="66"/>
      <c r="O1780" s="66"/>
      <c r="P1780" s="66"/>
      <c r="Q1780" s="66"/>
      <c r="R1780" s="66"/>
      <c r="S1780" s="66"/>
      <c r="T1780" s="69"/>
      <c r="U1780" s="66"/>
      <c r="V1780" s="66"/>
      <c r="W1780" s="75"/>
      <c r="X1780" s="66"/>
      <c r="Y1780" s="66"/>
    </row>
    <row hidden="true" r="1781">
      <c r="N1781" s="66"/>
      <c r="O1781" s="66"/>
      <c r="P1781" s="66"/>
      <c r="Q1781" s="66"/>
      <c r="R1781" s="66"/>
      <c r="S1781" s="66"/>
      <c r="T1781" s="69"/>
      <c r="U1781" s="66"/>
      <c r="V1781" s="66"/>
      <c r="W1781" s="75"/>
      <c r="X1781" s="66"/>
      <c r="Y1781" s="66"/>
    </row>
    <row hidden="true" r="1782">
      <c r="N1782" s="66"/>
      <c r="O1782" s="66"/>
      <c r="P1782" s="66"/>
      <c r="Q1782" s="66"/>
      <c r="R1782" s="66"/>
      <c r="S1782" s="66"/>
      <c r="T1782" s="69"/>
      <c r="U1782" s="66"/>
      <c r="V1782" s="66"/>
      <c r="W1782" s="75"/>
      <c r="X1782" s="66"/>
      <c r="Y1782" s="66"/>
    </row>
    <row hidden="true" r="1783">
      <c r="N1783" s="66"/>
      <c r="O1783" s="66"/>
      <c r="P1783" s="66"/>
      <c r="Q1783" s="66"/>
      <c r="R1783" s="66"/>
      <c r="S1783" s="66"/>
      <c r="T1783" s="69"/>
      <c r="U1783" s="66"/>
      <c r="V1783" s="66"/>
      <c r="W1783" s="75"/>
      <c r="X1783" s="66"/>
      <c r="Y1783" s="66"/>
    </row>
    <row hidden="true" r="1784">
      <c r="N1784" s="66"/>
      <c r="O1784" s="66"/>
      <c r="P1784" s="66"/>
      <c r="Q1784" s="66"/>
      <c r="R1784" s="66"/>
      <c r="S1784" s="66"/>
      <c r="T1784" s="69"/>
      <c r="U1784" s="66"/>
      <c r="V1784" s="66"/>
      <c r="W1784" s="75"/>
      <c r="X1784" s="66"/>
      <c r="Y1784" s="66"/>
    </row>
    <row hidden="true" r="1785">
      <c r="N1785" s="66"/>
      <c r="O1785" s="66"/>
      <c r="P1785" s="66"/>
      <c r="Q1785" s="66"/>
      <c r="R1785" s="66"/>
      <c r="S1785" s="66"/>
      <c r="T1785" s="69"/>
      <c r="U1785" s="66"/>
      <c r="V1785" s="66"/>
      <c r="W1785" s="75"/>
      <c r="X1785" s="66"/>
      <c r="Y1785" s="66"/>
    </row>
    <row hidden="true" r="1786">
      <c r="N1786" s="66"/>
      <c r="O1786" s="66"/>
      <c r="P1786" s="66"/>
      <c r="Q1786" s="66"/>
      <c r="R1786" s="66"/>
      <c r="S1786" s="66"/>
      <c r="T1786" s="69"/>
      <c r="U1786" s="66"/>
      <c r="V1786" s="66"/>
      <c r="W1786" s="75"/>
      <c r="X1786" s="66"/>
      <c r="Y1786" s="66"/>
    </row>
    <row hidden="true" r="1787">
      <c r="N1787" s="66"/>
      <c r="O1787" s="66"/>
      <c r="P1787" s="66"/>
      <c r="Q1787" s="66"/>
      <c r="R1787" s="66"/>
      <c r="S1787" s="66"/>
      <c r="T1787" s="69"/>
      <c r="U1787" s="66"/>
      <c r="V1787" s="66"/>
      <c r="W1787" s="75"/>
      <c r="X1787" s="66"/>
      <c r="Y1787" s="66"/>
    </row>
    <row hidden="true" r="1788">
      <c r="N1788" s="66"/>
      <c r="O1788" s="66"/>
      <c r="P1788" s="66"/>
      <c r="Q1788" s="66"/>
      <c r="R1788" s="66"/>
      <c r="S1788" s="66"/>
      <c r="T1788" s="69"/>
      <c r="U1788" s="66"/>
      <c r="V1788" s="66"/>
      <c r="W1788" s="75"/>
      <c r="X1788" s="66"/>
      <c r="Y1788" s="66"/>
    </row>
    <row hidden="true" r="1789">
      <c r="N1789" s="66"/>
      <c r="O1789" s="66"/>
      <c r="P1789" s="66"/>
      <c r="Q1789" s="66"/>
      <c r="R1789" s="66"/>
      <c r="S1789" s="66"/>
      <c r="T1789" s="69"/>
      <c r="U1789" s="66"/>
      <c r="V1789" s="66"/>
      <c r="W1789" s="75"/>
      <c r="X1789" s="66"/>
      <c r="Y1789" s="66"/>
    </row>
    <row hidden="true" r="1790">
      <c r="N1790" s="66"/>
      <c r="O1790" s="66"/>
      <c r="P1790" s="66"/>
      <c r="Q1790" s="66"/>
      <c r="R1790" s="66"/>
      <c r="S1790" s="66"/>
      <c r="T1790" s="69"/>
      <c r="U1790" s="66"/>
      <c r="V1790" s="66"/>
      <c r="W1790" s="75"/>
      <c r="X1790" s="66"/>
      <c r="Y1790" s="66"/>
    </row>
    <row hidden="true" r="1791">
      <c r="N1791" s="66"/>
      <c r="O1791" s="66"/>
      <c r="P1791" s="66"/>
      <c r="Q1791" s="66"/>
      <c r="R1791" s="66"/>
      <c r="S1791" s="66"/>
      <c r="T1791" s="69"/>
      <c r="U1791" s="66"/>
      <c r="V1791" s="66"/>
      <c r="W1791" s="75"/>
      <c r="X1791" s="66"/>
      <c r="Y1791" s="66"/>
    </row>
    <row hidden="true" r="1792">
      <c r="N1792" s="66"/>
      <c r="O1792" s="66"/>
      <c r="P1792" s="66"/>
      <c r="Q1792" s="66"/>
      <c r="R1792" s="66"/>
      <c r="S1792" s="66"/>
      <c r="T1792" s="69"/>
      <c r="U1792" s="66"/>
      <c r="V1792" s="66"/>
      <c r="W1792" s="75"/>
      <c r="X1792" s="66"/>
      <c r="Y1792" s="66"/>
    </row>
    <row hidden="true" r="1793">
      <c r="N1793" s="66"/>
      <c r="O1793" s="66"/>
      <c r="P1793" s="66"/>
      <c r="Q1793" s="66"/>
      <c r="R1793" s="66"/>
      <c r="S1793" s="66"/>
      <c r="T1793" s="69"/>
      <c r="U1793" s="66"/>
      <c r="V1793" s="66"/>
      <c r="W1793" s="75"/>
      <c r="X1793" s="66"/>
      <c r="Y1793" s="66"/>
    </row>
    <row hidden="true" r="1794">
      <c r="N1794" s="66"/>
      <c r="O1794" s="66"/>
      <c r="P1794" s="66"/>
      <c r="Q1794" s="66"/>
      <c r="R1794" s="66"/>
      <c r="S1794" s="66"/>
      <c r="T1794" s="69"/>
      <c r="U1794" s="66"/>
      <c r="V1794" s="66"/>
      <c r="W1794" s="75"/>
      <c r="X1794" s="66"/>
      <c r="Y1794" s="66"/>
    </row>
    <row hidden="true" r="1795">
      <c r="N1795" s="66"/>
      <c r="O1795" s="66"/>
      <c r="P1795" s="66"/>
      <c r="Q1795" s="66"/>
      <c r="R1795" s="66"/>
      <c r="S1795" s="66"/>
      <c r="T1795" s="69"/>
      <c r="U1795" s="66"/>
      <c r="V1795" s="66"/>
      <c r="W1795" s="75"/>
      <c r="X1795" s="66"/>
      <c r="Y1795" s="66"/>
    </row>
    <row hidden="true" r="1796">
      <c r="N1796" s="66"/>
      <c r="O1796" s="66"/>
      <c r="P1796" s="66"/>
      <c r="Q1796" s="66"/>
      <c r="R1796" s="66"/>
      <c r="S1796" s="66"/>
      <c r="T1796" s="69"/>
      <c r="U1796" s="66"/>
      <c r="V1796" s="66"/>
      <c r="W1796" s="75"/>
      <c r="X1796" s="66"/>
      <c r="Y1796" s="66"/>
    </row>
    <row hidden="true" r="1797">
      <c r="N1797" s="66"/>
      <c r="O1797" s="66"/>
      <c r="P1797" s="66"/>
      <c r="Q1797" s="66"/>
      <c r="R1797" s="66"/>
      <c r="S1797" s="66"/>
      <c r="T1797" s="69"/>
      <c r="U1797" s="66"/>
      <c r="V1797" s="66"/>
      <c r="W1797" s="75"/>
      <c r="X1797" s="66"/>
      <c r="Y1797" s="66"/>
    </row>
    <row hidden="true" r="1798">
      <c r="N1798" s="66"/>
      <c r="O1798" s="66"/>
      <c r="P1798" s="66"/>
      <c r="Q1798" s="66"/>
      <c r="R1798" s="66"/>
      <c r="S1798" s="66"/>
      <c r="T1798" s="69"/>
      <c r="U1798" s="66"/>
      <c r="V1798" s="66"/>
      <c r="W1798" s="75"/>
      <c r="X1798" s="66"/>
      <c r="Y1798" s="66"/>
    </row>
    <row hidden="true" r="1799">
      <c r="N1799" s="66"/>
      <c r="O1799" s="66"/>
      <c r="P1799" s="66"/>
      <c r="Q1799" s="66"/>
      <c r="R1799" s="66"/>
      <c r="S1799" s="66"/>
      <c r="T1799" s="69"/>
      <c r="U1799" s="66"/>
      <c r="V1799" s="66"/>
      <c r="W1799" s="75"/>
      <c r="X1799" s="66"/>
      <c r="Y1799" s="66"/>
    </row>
    <row hidden="true" r="1800">
      <c r="N1800" s="66"/>
      <c r="O1800" s="66"/>
      <c r="P1800" s="66"/>
      <c r="Q1800" s="66"/>
      <c r="R1800" s="66"/>
      <c r="S1800" s="66"/>
      <c r="T1800" s="69"/>
      <c r="U1800" s="66"/>
      <c r="V1800" s="66"/>
      <c r="W1800" s="75"/>
      <c r="X1800" s="66"/>
      <c r="Y1800" s="66"/>
    </row>
    <row hidden="true" r="1801">
      <c r="N1801" s="66"/>
      <c r="O1801" s="66"/>
      <c r="P1801" s="66"/>
      <c r="Q1801" s="66"/>
      <c r="R1801" s="66"/>
      <c r="S1801" s="66"/>
      <c r="T1801" s="69"/>
      <c r="U1801" s="66"/>
      <c r="V1801" s="66"/>
      <c r="W1801" s="75"/>
      <c r="X1801" s="66"/>
      <c r="Y1801" s="66"/>
    </row>
    <row hidden="true" r="1802">
      <c r="N1802" s="66"/>
      <c r="O1802" s="66"/>
      <c r="P1802" s="66"/>
      <c r="Q1802" s="66"/>
      <c r="R1802" s="66"/>
      <c r="S1802" s="66"/>
      <c r="T1802" s="69"/>
      <c r="U1802" s="66"/>
      <c r="V1802" s="66"/>
      <c r="W1802" s="75"/>
      <c r="X1802" s="66"/>
      <c r="Y1802" s="66"/>
    </row>
    <row hidden="true" r="1803">
      <c r="N1803" s="66"/>
      <c r="O1803" s="66"/>
      <c r="P1803" s="66"/>
      <c r="Q1803" s="66"/>
      <c r="R1803" s="66"/>
      <c r="S1803" s="66"/>
      <c r="T1803" s="69"/>
      <c r="U1803" s="66"/>
      <c r="V1803" s="66"/>
      <c r="W1803" s="75"/>
      <c r="X1803" s="66"/>
      <c r="Y1803" s="66"/>
    </row>
    <row hidden="true" r="1804">
      <c r="N1804" s="66"/>
      <c r="O1804" s="66"/>
      <c r="P1804" s="66"/>
      <c r="Q1804" s="66"/>
      <c r="R1804" s="66"/>
      <c r="S1804" s="66"/>
      <c r="T1804" s="69"/>
      <c r="U1804" s="66"/>
      <c r="V1804" s="66"/>
      <c r="W1804" s="75"/>
      <c r="X1804" s="66"/>
      <c r="Y1804" s="66"/>
    </row>
    <row hidden="true" r="1805">
      <c r="N1805" s="66"/>
      <c r="O1805" s="66"/>
      <c r="P1805" s="66"/>
      <c r="Q1805" s="66"/>
      <c r="R1805" s="66"/>
      <c r="S1805" s="66"/>
      <c r="T1805" s="69"/>
      <c r="U1805" s="66"/>
      <c r="V1805" s="66"/>
      <c r="W1805" s="75"/>
      <c r="X1805" s="66"/>
      <c r="Y1805" s="66"/>
    </row>
    <row hidden="true" r="1806">
      <c r="N1806" s="66"/>
      <c r="O1806" s="66"/>
      <c r="P1806" s="66"/>
      <c r="Q1806" s="66"/>
      <c r="R1806" s="66"/>
      <c r="S1806" s="66"/>
      <c r="T1806" s="69"/>
      <c r="U1806" s="66"/>
      <c r="V1806" s="66"/>
      <c r="W1806" s="75"/>
      <c r="X1806" s="66"/>
      <c r="Y1806" s="66"/>
    </row>
    <row hidden="true" r="1807">
      <c r="N1807" s="66"/>
      <c r="O1807" s="66"/>
      <c r="P1807" s="66"/>
      <c r="Q1807" s="66"/>
      <c r="R1807" s="66"/>
      <c r="S1807" s="66"/>
      <c r="T1807" s="69"/>
      <c r="U1807" s="66"/>
      <c r="V1807" s="66"/>
      <c r="W1807" s="75"/>
      <c r="X1807" s="66"/>
      <c r="Y1807" s="66"/>
    </row>
    <row hidden="true" r="1808">
      <c r="N1808" s="66"/>
      <c r="O1808" s="66"/>
      <c r="P1808" s="66"/>
      <c r="Q1808" s="66"/>
      <c r="R1808" s="66"/>
      <c r="S1808" s="66"/>
      <c r="T1808" s="69"/>
      <c r="U1808" s="66"/>
      <c r="V1808" s="66"/>
      <c r="W1808" s="75"/>
      <c r="X1808" s="66"/>
      <c r="Y1808" s="66"/>
    </row>
    <row hidden="true" r="1809">
      <c r="N1809" s="66"/>
      <c r="O1809" s="66"/>
      <c r="P1809" s="66"/>
      <c r="Q1809" s="66"/>
      <c r="R1809" s="66"/>
      <c r="S1809" s="66"/>
      <c r="T1809" s="69"/>
      <c r="U1809" s="66"/>
      <c r="V1809" s="66"/>
      <c r="W1809" s="75"/>
      <c r="X1809" s="66"/>
      <c r="Y1809" s="66"/>
    </row>
    <row hidden="true" r="1810">
      <c r="N1810" s="66"/>
      <c r="O1810" s="66"/>
      <c r="P1810" s="66"/>
      <c r="Q1810" s="66"/>
      <c r="R1810" s="66"/>
      <c r="S1810" s="66"/>
      <c r="T1810" s="69"/>
      <c r="U1810" s="66"/>
      <c r="V1810" s="66"/>
      <c r="W1810" s="75"/>
      <c r="X1810" s="66"/>
      <c r="Y1810" s="66"/>
    </row>
    <row hidden="true" r="1811">
      <c r="N1811" s="66"/>
      <c r="O1811" s="66"/>
      <c r="P1811" s="66"/>
      <c r="Q1811" s="66"/>
      <c r="R1811" s="66"/>
      <c r="S1811" s="66"/>
      <c r="T1811" s="69"/>
      <c r="U1811" s="66"/>
      <c r="V1811" s="66"/>
      <c r="W1811" s="75"/>
      <c r="X1811" s="66"/>
      <c r="Y1811" s="66"/>
    </row>
    <row hidden="true" r="1812">
      <c r="N1812" s="66"/>
      <c r="O1812" s="66"/>
      <c r="P1812" s="66"/>
      <c r="Q1812" s="66"/>
      <c r="R1812" s="66"/>
      <c r="S1812" s="66"/>
      <c r="T1812" s="69"/>
      <c r="U1812" s="66"/>
      <c r="V1812" s="66"/>
      <c r="W1812" s="75"/>
      <c r="X1812" s="66"/>
      <c r="Y1812" s="66"/>
    </row>
    <row hidden="true" r="1813">
      <c r="N1813" s="66"/>
      <c r="O1813" s="66"/>
      <c r="P1813" s="66"/>
      <c r="Q1813" s="66"/>
      <c r="R1813" s="66"/>
      <c r="S1813" s="66"/>
      <c r="T1813" s="69"/>
      <c r="U1813" s="66"/>
      <c r="V1813" s="66"/>
      <c r="W1813" s="75"/>
      <c r="X1813" s="66"/>
      <c r="Y1813" s="66"/>
    </row>
    <row hidden="true" r="1814">
      <c r="N1814" s="66"/>
      <c r="O1814" s="66"/>
      <c r="P1814" s="66"/>
      <c r="Q1814" s="66"/>
      <c r="R1814" s="66"/>
      <c r="S1814" s="66"/>
      <c r="T1814" s="69"/>
      <c r="U1814" s="66"/>
      <c r="V1814" s="66"/>
      <c r="W1814" s="75"/>
      <c r="X1814" s="66"/>
      <c r="Y1814" s="66"/>
    </row>
    <row hidden="true" r="1815">
      <c r="N1815" s="66"/>
      <c r="O1815" s="66"/>
      <c r="P1815" s="66"/>
      <c r="Q1815" s="66"/>
      <c r="R1815" s="66"/>
      <c r="S1815" s="66"/>
      <c r="T1815" s="69"/>
      <c r="U1815" s="66"/>
      <c r="V1815" s="66"/>
      <c r="W1815" s="75"/>
      <c r="X1815" s="66"/>
      <c r="Y1815" s="66"/>
    </row>
    <row hidden="true" r="1816">
      <c r="N1816" s="66"/>
      <c r="O1816" s="66"/>
      <c r="P1816" s="66"/>
      <c r="Q1816" s="66"/>
      <c r="R1816" s="66"/>
      <c r="S1816" s="66"/>
      <c r="T1816" s="69"/>
      <c r="U1816" s="66"/>
      <c r="V1816" s="66"/>
      <c r="W1816" s="75"/>
      <c r="X1816" s="66"/>
      <c r="Y1816" s="66"/>
    </row>
    <row hidden="true" r="1817">
      <c r="N1817" s="66"/>
      <c r="O1817" s="66"/>
      <c r="P1817" s="66"/>
      <c r="Q1817" s="66"/>
      <c r="R1817" s="66"/>
      <c r="S1817" s="66"/>
      <c r="T1817" s="69"/>
      <c r="U1817" s="66"/>
      <c r="V1817" s="66"/>
      <c r="W1817" s="75"/>
      <c r="X1817" s="66"/>
      <c r="Y1817" s="66"/>
    </row>
    <row hidden="true" r="1818">
      <c r="N1818" s="66"/>
      <c r="O1818" s="66"/>
      <c r="P1818" s="66"/>
      <c r="Q1818" s="66"/>
      <c r="R1818" s="66"/>
      <c r="S1818" s="66"/>
      <c r="T1818" s="69"/>
      <c r="U1818" s="66"/>
      <c r="V1818" s="66"/>
      <c r="W1818" s="75"/>
      <c r="X1818" s="66"/>
      <c r="Y1818" s="66"/>
    </row>
    <row hidden="true" r="1819">
      <c r="N1819" s="66"/>
      <c r="O1819" s="66"/>
      <c r="P1819" s="66"/>
      <c r="Q1819" s="66"/>
      <c r="R1819" s="66"/>
      <c r="S1819" s="66"/>
      <c r="T1819" s="69"/>
      <c r="U1819" s="66"/>
      <c r="V1819" s="66"/>
      <c r="W1819" s="75"/>
      <c r="X1819" s="66"/>
      <c r="Y1819" s="66"/>
    </row>
    <row hidden="true" r="1820">
      <c r="N1820" s="66"/>
      <c r="O1820" s="66"/>
      <c r="P1820" s="66"/>
      <c r="Q1820" s="66"/>
      <c r="R1820" s="66"/>
      <c r="S1820" s="66"/>
      <c r="T1820" s="69"/>
      <c r="U1820" s="66"/>
      <c r="V1820" s="66"/>
      <c r="W1820" s="75"/>
      <c r="X1820" s="66"/>
      <c r="Y1820" s="66"/>
    </row>
    <row hidden="true" r="1821">
      <c r="N1821" s="66"/>
      <c r="O1821" s="66"/>
      <c r="P1821" s="66"/>
      <c r="Q1821" s="66"/>
      <c r="R1821" s="66"/>
      <c r="S1821" s="66"/>
      <c r="T1821" s="69"/>
      <c r="U1821" s="66"/>
      <c r="V1821" s="66"/>
      <c r="W1821" s="75"/>
      <c r="X1821" s="66"/>
      <c r="Y1821" s="66"/>
    </row>
    <row hidden="true" r="1822">
      <c r="N1822" s="66"/>
      <c r="O1822" s="66"/>
      <c r="P1822" s="66"/>
      <c r="Q1822" s="66"/>
      <c r="R1822" s="66"/>
      <c r="S1822" s="66"/>
      <c r="T1822" s="69"/>
      <c r="U1822" s="66"/>
      <c r="V1822" s="66"/>
      <c r="W1822" s="75"/>
      <c r="X1822" s="66"/>
      <c r="Y1822" s="66"/>
    </row>
    <row hidden="true" r="1823">
      <c r="N1823" s="66"/>
      <c r="O1823" s="66"/>
      <c r="P1823" s="66"/>
      <c r="Q1823" s="66"/>
      <c r="R1823" s="66"/>
      <c r="S1823" s="66"/>
      <c r="T1823" s="69"/>
      <c r="U1823" s="66"/>
      <c r="V1823" s="66"/>
      <c r="W1823" s="75"/>
      <c r="X1823" s="66"/>
      <c r="Y1823" s="66"/>
    </row>
    <row hidden="true" r="1824">
      <c r="N1824" s="66"/>
      <c r="O1824" s="66"/>
      <c r="P1824" s="66"/>
      <c r="Q1824" s="66"/>
      <c r="R1824" s="66"/>
      <c r="S1824" s="66"/>
      <c r="T1824" s="69"/>
      <c r="U1824" s="66"/>
      <c r="V1824" s="66"/>
      <c r="W1824" s="75"/>
      <c r="X1824" s="66"/>
      <c r="Y1824" s="66"/>
    </row>
    <row hidden="true" r="1825">
      <c r="N1825" s="66"/>
      <c r="O1825" s="66"/>
      <c r="P1825" s="66"/>
      <c r="Q1825" s="66"/>
      <c r="R1825" s="66"/>
      <c r="S1825" s="66"/>
      <c r="T1825" s="69"/>
      <c r="U1825" s="66"/>
      <c r="V1825" s="66"/>
      <c r="W1825" s="75"/>
      <c r="X1825" s="66"/>
      <c r="Y1825" s="66"/>
    </row>
    <row hidden="true" r="1826">
      <c r="N1826" s="66"/>
      <c r="O1826" s="66"/>
      <c r="P1826" s="66"/>
      <c r="Q1826" s="66"/>
      <c r="R1826" s="66"/>
      <c r="S1826" s="66"/>
      <c r="T1826" s="69"/>
      <c r="U1826" s="66"/>
      <c r="V1826" s="66"/>
      <c r="W1826" s="75"/>
      <c r="X1826" s="66"/>
      <c r="Y1826" s="66"/>
    </row>
    <row hidden="true" r="1827">
      <c r="N1827" s="66"/>
      <c r="O1827" s="66"/>
      <c r="P1827" s="66"/>
      <c r="Q1827" s="66"/>
      <c r="R1827" s="66"/>
      <c r="S1827" s="66"/>
      <c r="T1827" s="69"/>
      <c r="U1827" s="66"/>
      <c r="V1827" s="66"/>
      <c r="W1827" s="75"/>
      <c r="X1827" s="66"/>
      <c r="Y1827" s="66"/>
    </row>
    <row hidden="true" r="1828">
      <c r="N1828" s="66"/>
      <c r="O1828" s="66"/>
      <c r="P1828" s="66"/>
      <c r="Q1828" s="66"/>
      <c r="R1828" s="66"/>
      <c r="S1828" s="66"/>
      <c r="T1828" s="69"/>
      <c r="U1828" s="66"/>
      <c r="V1828" s="66"/>
      <c r="W1828" s="75"/>
      <c r="X1828" s="66"/>
      <c r="Y1828" s="66"/>
    </row>
    <row hidden="true" r="1829">
      <c r="N1829" s="66"/>
      <c r="O1829" s="66"/>
      <c r="P1829" s="66"/>
      <c r="Q1829" s="66"/>
      <c r="R1829" s="66"/>
      <c r="S1829" s="66"/>
      <c r="T1829" s="69"/>
      <c r="U1829" s="66"/>
      <c r="V1829" s="66"/>
      <c r="W1829" s="75"/>
      <c r="X1829" s="66"/>
      <c r="Y1829" s="66"/>
    </row>
    <row hidden="true" r="1830">
      <c r="N1830" s="66"/>
      <c r="O1830" s="66"/>
      <c r="P1830" s="66"/>
      <c r="Q1830" s="66"/>
      <c r="R1830" s="66"/>
      <c r="S1830" s="66"/>
      <c r="T1830" s="69"/>
      <c r="U1830" s="66"/>
      <c r="V1830" s="66"/>
      <c r="W1830" s="75"/>
      <c r="X1830" s="66"/>
      <c r="Y1830" s="66"/>
    </row>
    <row hidden="true" r="1831">
      <c r="N1831" s="66"/>
      <c r="O1831" s="66"/>
      <c r="P1831" s="66"/>
      <c r="Q1831" s="66"/>
      <c r="R1831" s="66"/>
      <c r="S1831" s="66"/>
      <c r="T1831" s="69"/>
      <c r="U1831" s="66"/>
      <c r="V1831" s="66"/>
      <c r="W1831" s="75"/>
      <c r="X1831" s="66"/>
      <c r="Y1831" s="66"/>
    </row>
    <row hidden="true" r="1832">
      <c r="N1832" s="66"/>
      <c r="O1832" s="66"/>
      <c r="P1832" s="66"/>
      <c r="Q1832" s="66"/>
      <c r="R1832" s="66"/>
      <c r="S1832" s="66"/>
      <c r="T1832" s="69"/>
      <c r="U1832" s="66"/>
      <c r="V1832" s="66"/>
      <c r="W1832" s="75"/>
      <c r="X1832" s="66"/>
      <c r="Y1832" s="66"/>
    </row>
    <row hidden="true" r="1833">
      <c r="N1833" s="66"/>
      <c r="O1833" s="66"/>
      <c r="P1833" s="66"/>
      <c r="Q1833" s="66"/>
      <c r="R1833" s="66"/>
      <c r="S1833" s="66"/>
      <c r="T1833" s="69"/>
      <c r="U1833" s="66"/>
      <c r="V1833" s="66"/>
      <c r="W1833" s="75"/>
      <c r="X1833" s="66"/>
      <c r="Y1833" s="66"/>
    </row>
    <row hidden="true" r="1834">
      <c r="N1834" s="66"/>
      <c r="O1834" s="66"/>
      <c r="P1834" s="66"/>
      <c r="Q1834" s="66"/>
      <c r="R1834" s="66"/>
      <c r="S1834" s="66"/>
      <c r="T1834" s="69"/>
      <c r="U1834" s="66"/>
      <c r="V1834" s="66"/>
      <c r="W1834" s="75"/>
      <c r="X1834" s="66"/>
      <c r="Y1834" s="66"/>
    </row>
    <row hidden="true" r="1835">
      <c r="N1835" s="66"/>
      <c r="O1835" s="66"/>
      <c r="P1835" s="66"/>
      <c r="Q1835" s="66"/>
      <c r="R1835" s="66"/>
      <c r="S1835" s="66"/>
      <c r="T1835" s="69"/>
      <c r="U1835" s="66"/>
      <c r="V1835" s="66"/>
      <c r="W1835" s="75"/>
      <c r="X1835" s="66"/>
      <c r="Y1835" s="66"/>
    </row>
    <row hidden="true" r="1836">
      <c r="N1836" s="66"/>
      <c r="O1836" s="66"/>
      <c r="P1836" s="66"/>
      <c r="Q1836" s="66"/>
      <c r="R1836" s="66"/>
      <c r="S1836" s="66"/>
      <c r="T1836" s="69"/>
      <c r="U1836" s="66"/>
      <c r="V1836" s="66"/>
      <c r="W1836" s="75"/>
      <c r="X1836" s="66"/>
      <c r="Y1836" s="66"/>
    </row>
    <row hidden="true" r="1837">
      <c r="N1837" s="66"/>
      <c r="O1837" s="66"/>
      <c r="P1837" s="66"/>
      <c r="Q1837" s="66"/>
      <c r="R1837" s="66"/>
      <c r="S1837" s="66"/>
      <c r="T1837" s="69"/>
      <c r="U1837" s="66"/>
      <c r="V1837" s="66"/>
      <c r="W1837" s="75"/>
      <c r="X1837" s="66"/>
      <c r="Y1837" s="66"/>
    </row>
    <row hidden="true" r="1838">
      <c r="N1838" s="66"/>
      <c r="O1838" s="66"/>
      <c r="P1838" s="66"/>
      <c r="Q1838" s="66"/>
      <c r="R1838" s="66"/>
      <c r="S1838" s="66"/>
      <c r="T1838" s="69"/>
      <c r="U1838" s="66"/>
      <c r="V1838" s="66"/>
      <c r="W1838" s="75"/>
      <c r="X1838" s="66"/>
      <c r="Y1838" s="66"/>
    </row>
    <row hidden="true" r="1839">
      <c r="N1839" s="66"/>
      <c r="O1839" s="66"/>
      <c r="P1839" s="66"/>
      <c r="Q1839" s="66"/>
      <c r="R1839" s="66"/>
      <c r="S1839" s="66"/>
      <c r="T1839" s="69"/>
      <c r="U1839" s="66"/>
      <c r="V1839" s="66"/>
      <c r="W1839" s="75"/>
      <c r="X1839" s="66"/>
      <c r="Y1839" s="66"/>
    </row>
    <row hidden="true" r="1840">
      <c r="N1840" s="66"/>
      <c r="O1840" s="66"/>
      <c r="P1840" s="66"/>
      <c r="Q1840" s="66"/>
      <c r="R1840" s="66"/>
      <c r="S1840" s="66"/>
      <c r="T1840" s="69"/>
      <c r="U1840" s="66"/>
      <c r="V1840" s="66"/>
      <c r="W1840" s="75"/>
      <c r="X1840" s="66"/>
      <c r="Y1840" s="66"/>
    </row>
    <row hidden="true" r="1841">
      <c r="N1841" s="66"/>
      <c r="O1841" s="66"/>
      <c r="P1841" s="66"/>
      <c r="Q1841" s="66"/>
      <c r="R1841" s="66"/>
      <c r="S1841" s="66"/>
      <c r="T1841" s="69"/>
      <c r="U1841" s="66"/>
      <c r="V1841" s="66"/>
      <c r="W1841" s="75"/>
      <c r="X1841" s="66"/>
      <c r="Y1841" s="66"/>
    </row>
    <row hidden="true" r="1842">
      <c r="N1842" s="66"/>
      <c r="O1842" s="66"/>
      <c r="P1842" s="66"/>
      <c r="Q1842" s="66"/>
      <c r="R1842" s="66"/>
      <c r="S1842" s="66"/>
      <c r="T1842" s="69"/>
      <c r="U1842" s="66"/>
      <c r="V1842" s="66"/>
      <c r="W1842" s="75"/>
      <c r="X1842" s="66"/>
      <c r="Y1842" s="66"/>
    </row>
    <row hidden="true" r="1843">
      <c r="N1843" s="66"/>
      <c r="O1843" s="66"/>
      <c r="P1843" s="66"/>
      <c r="Q1843" s="66"/>
      <c r="R1843" s="66"/>
      <c r="S1843" s="66"/>
      <c r="T1843" s="69"/>
      <c r="U1843" s="66"/>
      <c r="V1843" s="66"/>
      <c r="W1843" s="75"/>
      <c r="X1843" s="66"/>
      <c r="Y1843" s="66"/>
    </row>
    <row hidden="true" r="1844">
      <c r="N1844" s="66"/>
      <c r="O1844" s="66"/>
      <c r="P1844" s="66"/>
      <c r="Q1844" s="66"/>
      <c r="R1844" s="66"/>
      <c r="S1844" s="66"/>
      <c r="T1844" s="69"/>
      <c r="U1844" s="66"/>
      <c r="V1844" s="66"/>
      <c r="W1844" s="75"/>
      <c r="X1844" s="66"/>
      <c r="Y1844" s="66"/>
    </row>
    <row hidden="true" r="1845">
      <c r="N1845" s="66"/>
      <c r="O1845" s="66"/>
      <c r="P1845" s="66"/>
      <c r="Q1845" s="66"/>
      <c r="R1845" s="66"/>
      <c r="S1845" s="66"/>
      <c r="T1845" s="69"/>
      <c r="U1845" s="66"/>
      <c r="V1845" s="66"/>
      <c r="W1845" s="75"/>
      <c r="X1845" s="66"/>
      <c r="Y1845" s="66"/>
    </row>
    <row hidden="true" r="1846">
      <c r="N1846" s="66"/>
      <c r="O1846" s="66"/>
      <c r="P1846" s="66"/>
      <c r="Q1846" s="66"/>
      <c r="R1846" s="66"/>
      <c r="S1846" s="66"/>
      <c r="T1846" s="69"/>
      <c r="U1846" s="66"/>
      <c r="V1846" s="66"/>
      <c r="W1846" s="75"/>
      <c r="X1846" s="66"/>
      <c r="Y1846" s="66"/>
    </row>
    <row hidden="true" r="1847">
      <c r="N1847" s="66"/>
      <c r="O1847" s="66"/>
      <c r="P1847" s="66"/>
      <c r="Q1847" s="66"/>
      <c r="R1847" s="66"/>
      <c r="S1847" s="66"/>
      <c r="T1847" s="69"/>
      <c r="U1847" s="66"/>
      <c r="V1847" s="66"/>
      <c r="W1847" s="75"/>
      <c r="X1847" s="66"/>
      <c r="Y1847" s="66"/>
    </row>
    <row hidden="true" r="1848">
      <c r="N1848" s="66"/>
      <c r="O1848" s="66"/>
      <c r="P1848" s="66"/>
      <c r="Q1848" s="66"/>
      <c r="R1848" s="66"/>
      <c r="S1848" s="66"/>
      <c r="T1848" s="69"/>
      <c r="U1848" s="66"/>
      <c r="V1848" s="66"/>
      <c r="W1848" s="75"/>
      <c r="X1848" s="66"/>
      <c r="Y1848" s="66"/>
    </row>
    <row hidden="true" r="1849">
      <c r="N1849" s="66"/>
      <c r="O1849" s="66"/>
      <c r="P1849" s="66"/>
      <c r="Q1849" s="66"/>
      <c r="R1849" s="66"/>
      <c r="S1849" s="66"/>
      <c r="T1849" s="69"/>
      <c r="U1849" s="66"/>
      <c r="V1849" s="66"/>
      <c r="W1849" s="75"/>
      <c r="X1849" s="66"/>
      <c r="Y1849" s="66"/>
    </row>
    <row hidden="true" r="1850">
      <c r="N1850" s="66"/>
      <c r="O1850" s="66"/>
      <c r="P1850" s="66"/>
      <c r="Q1850" s="66"/>
      <c r="R1850" s="66"/>
      <c r="S1850" s="66"/>
      <c r="T1850" s="69"/>
      <c r="U1850" s="66"/>
      <c r="V1850" s="66"/>
      <c r="W1850" s="75"/>
      <c r="X1850" s="66"/>
      <c r="Y1850" s="66"/>
    </row>
    <row hidden="true" r="1851">
      <c r="N1851" s="66"/>
      <c r="O1851" s="66"/>
      <c r="P1851" s="66"/>
      <c r="Q1851" s="66"/>
      <c r="R1851" s="66"/>
      <c r="S1851" s="66"/>
      <c r="T1851" s="69"/>
      <c r="U1851" s="66"/>
      <c r="V1851" s="66"/>
      <c r="W1851" s="75"/>
      <c r="X1851" s="66"/>
      <c r="Y1851" s="66"/>
    </row>
    <row hidden="true" r="1852">
      <c r="N1852" s="66"/>
      <c r="O1852" s="66"/>
      <c r="P1852" s="66"/>
      <c r="Q1852" s="66"/>
      <c r="R1852" s="66"/>
      <c r="S1852" s="66"/>
      <c r="T1852" s="69"/>
      <c r="U1852" s="66"/>
      <c r="V1852" s="66"/>
      <c r="W1852" s="75"/>
      <c r="X1852" s="66"/>
      <c r="Y1852" s="66"/>
    </row>
    <row hidden="true" r="1853">
      <c r="N1853" s="66"/>
      <c r="O1853" s="66"/>
      <c r="P1853" s="66"/>
      <c r="Q1853" s="66"/>
      <c r="R1853" s="66"/>
      <c r="S1853" s="66"/>
      <c r="T1853" s="69"/>
      <c r="U1853" s="66"/>
      <c r="V1853" s="66"/>
      <c r="W1853" s="75"/>
      <c r="X1853" s="66"/>
      <c r="Y1853" s="66"/>
    </row>
    <row hidden="true" r="1854">
      <c r="N1854" s="66"/>
      <c r="O1854" s="66"/>
      <c r="P1854" s="66"/>
      <c r="Q1854" s="66"/>
      <c r="R1854" s="66"/>
      <c r="S1854" s="66"/>
      <c r="T1854" s="69"/>
      <c r="U1854" s="66"/>
      <c r="V1854" s="66"/>
      <c r="W1854" s="75"/>
      <c r="X1854" s="66"/>
      <c r="Y1854" s="66"/>
    </row>
    <row hidden="true" r="1855">
      <c r="N1855" s="66"/>
      <c r="O1855" s="66"/>
      <c r="P1855" s="66"/>
      <c r="Q1855" s="66"/>
      <c r="R1855" s="66"/>
      <c r="S1855" s="66"/>
      <c r="T1855" s="69"/>
      <c r="U1855" s="66"/>
      <c r="V1855" s="66"/>
      <c r="W1855" s="75"/>
      <c r="X1855" s="66"/>
      <c r="Y1855" s="66"/>
    </row>
    <row hidden="true" r="1856">
      <c r="N1856" s="66"/>
      <c r="O1856" s="66"/>
      <c r="P1856" s="66"/>
      <c r="Q1856" s="66"/>
      <c r="R1856" s="66"/>
      <c r="S1856" s="66"/>
      <c r="T1856" s="69"/>
      <c r="U1856" s="66"/>
      <c r="V1856" s="66"/>
      <c r="W1856" s="75"/>
      <c r="X1856" s="66"/>
      <c r="Y1856" s="66"/>
    </row>
    <row hidden="true" r="1857">
      <c r="N1857" s="66"/>
      <c r="O1857" s="66"/>
      <c r="P1857" s="66"/>
      <c r="Q1857" s="66"/>
      <c r="R1857" s="66"/>
      <c r="S1857" s="66"/>
      <c r="T1857" s="69"/>
      <c r="U1857" s="66"/>
      <c r="V1857" s="66"/>
      <c r="W1857" s="75"/>
      <c r="X1857" s="66"/>
      <c r="Y1857" s="66"/>
    </row>
    <row hidden="true" r="1858">
      <c r="N1858" s="66"/>
      <c r="O1858" s="66"/>
      <c r="P1858" s="66"/>
      <c r="Q1858" s="66"/>
      <c r="R1858" s="66"/>
      <c r="S1858" s="66"/>
      <c r="T1858" s="69"/>
      <c r="U1858" s="66"/>
      <c r="V1858" s="66"/>
      <c r="W1858" s="75"/>
      <c r="X1858" s="66"/>
      <c r="Y1858" s="66"/>
    </row>
    <row hidden="true" r="1859">
      <c r="N1859" s="66"/>
      <c r="O1859" s="66"/>
      <c r="P1859" s="66"/>
      <c r="Q1859" s="66"/>
      <c r="R1859" s="66"/>
      <c r="S1859" s="66"/>
      <c r="T1859" s="69"/>
      <c r="U1859" s="66"/>
      <c r="V1859" s="66"/>
      <c r="W1859" s="75"/>
      <c r="X1859" s="66"/>
      <c r="Y1859" s="66"/>
    </row>
    <row hidden="true" r="1860">
      <c r="N1860" s="66"/>
      <c r="O1860" s="66"/>
      <c r="P1860" s="66"/>
      <c r="Q1860" s="66"/>
      <c r="R1860" s="66"/>
      <c r="S1860" s="66"/>
      <c r="T1860" s="69"/>
      <c r="U1860" s="66"/>
      <c r="V1860" s="66"/>
      <c r="W1860" s="75"/>
      <c r="X1860" s="66"/>
      <c r="Y1860" s="66"/>
    </row>
    <row hidden="true" r="1861">
      <c r="N1861" s="66"/>
      <c r="O1861" s="66"/>
      <c r="P1861" s="66"/>
      <c r="Q1861" s="66"/>
      <c r="R1861" s="66"/>
      <c r="S1861" s="66"/>
      <c r="T1861" s="69"/>
      <c r="U1861" s="66"/>
      <c r="V1861" s="66"/>
      <c r="W1861" s="75"/>
      <c r="X1861" s="66"/>
      <c r="Y1861" s="66"/>
    </row>
    <row hidden="true" r="1862">
      <c r="N1862" s="66"/>
      <c r="O1862" s="66"/>
      <c r="P1862" s="66"/>
      <c r="Q1862" s="66"/>
      <c r="R1862" s="66"/>
      <c r="S1862" s="66"/>
      <c r="T1862" s="69"/>
      <c r="U1862" s="66"/>
      <c r="V1862" s="66"/>
      <c r="W1862" s="75"/>
      <c r="X1862" s="66"/>
      <c r="Y1862" s="66"/>
    </row>
    <row hidden="true" r="1863">
      <c r="N1863" s="66"/>
      <c r="O1863" s="66"/>
      <c r="P1863" s="66"/>
      <c r="Q1863" s="66"/>
      <c r="R1863" s="66"/>
      <c r="S1863" s="66"/>
      <c r="T1863" s="69"/>
      <c r="U1863" s="66"/>
      <c r="V1863" s="66"/>
      <c r="W1863" s="75"/>
      <c r="X1863" s="66"/>
      <c r="Y1863" s="66"/>
    </row>
    <row hidden="true" r="1864">
      <c r="N1864" s="66"/>
      <c r="O1864" s="66"/>
      <c r="P1864" s="66"/>
      <c r="Q1864" s="66"/>
      <c r="R1864" s="66"/>
      <c r="S1864" s="66"/>
      <c r="T1864" s="69"/>
      <c r="U1864" s="66"/>
      <c r="V1864" s="66"/>
      <c r="W1864" s="75"/>
      <c r="X1864" s="66"/>
      <c r="Y1864" s="66"/>
    </row>
    <row hidden="true" r="1865">
      <c r="N1865" s="66"/>
      <c r="O1865" s="66"/>
      <c r="P1865" s="66"/>
      <c r="Q1865" s="66"/>
      <c r="R1865" s="66"/>
      <c r="S1865" s="66"/>
      <c r="T1865" s="69"/>
      <c r="U1865" s="66"/>
      <c r="V1865" s="66"/>
      <c r="W1865" s="75"/>
      <c r="X1865" s="66"/>
      <c r="Y1865" s="66"/>
    </row>
    <row hidden="true" r="1866">
      <c r="N1866" s="66"/>
      <c r="O1866" s="66"/>
      <c r="P1866" s="66"/>
      <c r="Q1866" s="66"/>
      <c r="R1866" s="66"/>
      <c r="S1866" s="66"/>
      <c r="T1866" s="69"/>
      <c r="U1866" s="66"/>
      <c r="V1866" s="66"/>
      <c r="W1866" s="75"/>
      <c r="X1866" s="66"/>
      <c r="Y1866" s="66"/>
    </row>
    <row hidden="true" r="1867">
      <c r="N1867" s="66"/>
      <c r="O1867" s="66"/>
      <c r="P1867" s="66"/>
      <c r="Q1867" s="66"/>
      <c r="R1867" s="66"/>
      <c r="S1867" s="66"/>
      <c r="T1867" s="69"/>
      <c r="U1867" s="66"/>
      <c r="V1867" s="66"/>
      <c r="W1867" s="75"/>
      <c r="X1867" s="66"/>
      <c r="Y1867" s="66"/>
    </row>
    <row hidden="true" r="1868">
      <c r="N1868" s="66"/>
      <c r="O1868" s="66"/>
      <c r="P1868" s="66"/>
      <c r="Q1868" s="66"/>
      <c r="R1868" s="66"/>
      <c r="S1868" s="66"/>
      <c r="T1868" s="69"/>
      <c r="U1868" s="66"/>
      <c r="V1868" s="66"/>
      <c r="W1868" s="75"/>
      <c r="X1868" s="66"/>
      <c r="Y1868" s="66"/>
    </row>
    <row hidden="true" r="1869">
      <c r="N1869" s="66"/>
      <c r="O1869" s="66"/>
      <c r="P1869" s="66"/>
      <c r="Q1869" s="66"/>
      <c r="R1869" s="66"/>
      <c r="S1869" s="66"/>
      <c r="T1869" s="69"/>
      <c r="U1869" s="66"/>
      <c r="V1869" s="66"/>
      <c r="W1869" s="75"/>
      <c r="X1869" s="66"/>
      <c r="Y1869" s="66"/>
    </row>
    <row hidden="true" r="1870">
      <c r="N1870" s="66"/>
      <c r="O1870" s="66"/>
      <c r="P1870" s="66"/>
      <c r="Q1870" s="66"/>
      <c r="R1870" s="66"/>
      <c r="S1870" s="66"/>
      <c r="T1870" s="69"/>
      <c r="U1870" s="66"/>
      <c r="V1870" s="66"/>
      <c r="W1870" s="75"/>
      <c r="X1870" s="66"/>
      <c r="Y1870" s="66"/>
    </row>
    <row hidden="true" r="1871">
      <c r="N1871" s="66"/>
      <c r="O1871" s="66"/>
      <c r="P1871" s="66"/>
      <c r="Q1871" s="66"/>
      <c r="R1871" s="66"/>
      <c r="S1871" s="66"/>
      <c r="T1871" s="69"/>
      <c r="U1871" s="66"/>
      <c r="V1871" s="66"/>
      <c r="W1871" s="75"/>
      <c r="X1871" s="66"/>
      <c r="Y1871" s="66"/>
    </row>
    <row hidden="true" r="1872">
      <c r="N1872" s="66"/>
      <c r="O1872" s="66"/>
      <c r="P1872" s="66"/>
      <c r="Q1872" s="66"/>
      <c r="R1872" s="66"/>
      <c r="S1872" s="66"/>
      <c r="T1872" s="69"/>
      <c r="U1872" s="66"/>
      <c r="V1872" s="66"/>
      <c r="W1872" s="75"/>
      <c r="X1872" s="66"/>
      <c r="Y1872" s="66"/>
    </row>
    <row hidden="true" r="1873">
      <c r="N1873" s="66"/>
      <c r="O1873" s="66"/>
      <c r="P1873" s="66"/>
      <c r="Q1873" s="66"/>
      <c r="R1873" s="66"/>
      <c r="S1873" s="66"/>
      <c r="T1873" s="69"/>
      <c r="U1873" s="66"/>
      <c r="V1873" s="66"/>
      <c r="W1873" s="75"/>
      <c r="X1873" s="66"/>
      <c r="Y1873" s="66"/>
    </row>
    <row hidden="true" r="1874">
      <c r="N1874" s="66"/>
      <c r="O1874" s="66"/>
      <c r="P1874" s="66"/>
      <c r="Q1874" s="66"/>
      <c r="R1874" s="66"/>
      <c r="S1874" s="66"/>
      <c r="T1874" s="69"/>
      <c r="U1874" s="66"/>
      <c r="V1874" s="66"/>
      <c r="W1874" s="75"/>
      <c r="X1874" s="66"/>
      <c r="Y1874" s="66"/>
    </row>
    <row hidden="true" r="1875">
      <c r="N1875" s="66"/>
      <c r="O1875" s="66"/>
      <c r="P1875" s="66"/>
      <c r="Q1875" s="66"/>
      <c r="R1875" s="66"/>
      <c r="S1875" s="66"/>
      <c r="T1875" s="69"/>
      <c r="U1875" s="66"/>
      <c r="V1875" s="66"/>
      <c r="W1875" s="75"/>
      <c r="X1875" s="66"/>
      <c r="Y1875" s="66"/>
    </row>
    <row hidden="true" r="1876">
      <c r="N1876" s="66"/>
      <c r="O1876" s="66"/>
      <c r="P1876" s="66"/>
      <c r="Q1876" s="66"/>
      <c r="R1876" s="66"/>
      <c r="S1876" s="66"/>
      <c r="T1876" s="69"/>
      <c r="U1876" s="66"/>
      <c r="V1876" s="66"/>
      <c r="W1876" s="75"/>
      <c r="X1876" s="66"/>
      <c r="Y1876" s="66"/>
    </row>
    <row hidden="true" r="1877">
      <c r="N1877" s="66"/>
      <c r="O1877" s="66"/>
      <c r="P1877" s="66"/>
      <c r="Q1877" s="66"/>
      <c r="R1877" s="66"/>
      <c r="S1877" s="66"/>
      <c r="T1877" s="69"/>
      <c r="U1877" s="66"/>
      <c r="V1877" s="66"/>
      <c r="W1877" s="75"/>
      <c r="X1877" s="66"/>
      <c r="Y1877" s="66"/>
    </row>
    <row hidden="true" r="1878">
      <c r="N1878" s="66"/>
      <c r="O1878" s="66"/>
      <c r="P1878" s="66"/>
      <c r="Q1878" s="66"/>
      <c r="R1878" s="66"/>
      <c r="S1878" s="66"/>
      <c r="T1878" s="69"/>
      <c r="U1878" s="66"/>
      <c r="V1878" s="66"/>
      <c r="W1878" s="75"/>
      <c r="X1878" s="66"/>
      <c r="Y1878" s="66"/>
    </row>
    <row hidden="true" r="1879">
      <c r="N1879" s="66"/>
      <c r="O1879" s="66"/>
      <c r="P1879" s="66"/>
      <c r="Q1879" s="66"/>
      <c r="R1879" s="66"/>
      <c r="S1879" s="66"/>
      <c r="T1879" s="69"/>
      <c r="U1879" s="66"/>
      <c r="V1879" s="66"/>
      <c r="W1879" s="75"/>
      <c r="X1879" s="66"/>
      <c r="Y1879" s="66"/>
    </row>
    <row hidden="true" r="1880">
      <c r="N1880" s="66"/>
      <c r="O1880" s="66"/>
      <c r="P1880" s="66"/>
      <c r="Q1880" s="66"/>
      <c r="R1880" s="66"/>
      <c r="S1880" s="66"/>
      <c r="T1880" s="69"/>
      <c r="U1880" s="66"/>
      <c r="V1880" s="66"/>
      <c r="W1880" s="75"/>
      <c r="X1880" s="66"/>
      <c r="Y1880" s="66"/>
    </row>
    <row hidden="true" r="1881">
      <c r="N1881" s="66"/>
      <c r="O1881" s="66"/>
      <c r="P1881" s="66"/>
      <c r="Q1881" s="66"/>
      <c r="R1881" s="66"/>
      <c r="S1881" s="66"/>
      <c r="T1881" s="69"/>
      <c r="U1881" s="66"/>
      <c r="V1881" s="66"/>
      <c r="W1881" s="75"/>
      <c r="X1881" s="66"/>
      <c r="Y1881" s="66"/>
    </row>
    <row hidden="true" r="1882">
      <c r="N1882" s="66"/>
      <c r="O1882" s="66"/>
      <c r="P1882" s="66"/>
      <c r="Q1882" s="66"/>
      <c r="R1882" s="66"/>
      <c r="S1882" s="66"/>
      <c r="T1882" s="69"/>
      <c r="U1882" s="66"/>
      <c r="V1882" s="66"/>
      <c r="W1882" s="75"/>
      <c r="X1882" s="66"/>
      <c r="Y1882" s="66"/>
    </row>
    <row hidden="true" r="1883">
      <c r="N1883" s="66"/>
      <c r="O1883" s="66"/>
      <c r="P1883" s="66"/>
      <c r="Q1883" s="66"/>
      <c r="R1883" s="66"/>
      <c r="S1883" s="66"/>
      <c r="T1883" s="69"/>
      <c r="U1883" s="66"/>
      <c r="V1883" s="66"/>
      <c r="W1883" s="75"/>
      <c r="X1883" s="66"/>
      <c r="Y1883" s="66"/>
    </row>
    <row hidden="true" r="1884">
      <c r="N1884" s="66"/>
      <c r="O1884" s="66"/>
      <c r="P1884" s="66"/>
      <c r="Q1884" s="66"/>
      <c r="R1884" s="66"/>
      <c r="S1884" s="66"/>
      <c r="T1884" s="69"/>
      <c r="U1884" s="66"/>
      <c r="V1884" s="66"/>
      <c r="W1884" s="75"/>
      <c r="X1884" s="66"/>
      <c r="Y1884" s="66"/>
    </row>
    <row hidden="true" r="1885">
      <c r="N1885" s="66"/>
      <c r="O1885" s="66"/>
      <c r="P1885" s="66"/>
      <c r="Q1885" s="66"/>
      <c r="R1885" s="66"/>
      <c r="S1885" s="66"/>
      <c r="T1885" s="69"/>
      <c r="U1885" s="66"/>
      <c r="V1885" s="66"/>
      <c r="W1885" s="75"/>
      <c r="X1885" s="66"/>
      <c r="Y1885" s="66"/>
    </row>
    <row hidden="true" r="1886">
      <c r="N1886" s="66"/>
      <c r="O1886" s="66"/>
      <c r="P1886" s="66"/>
      <c r="Q1886" s="66"/>
      <c r="R1886" s="66"/>
      <c r="S1886" s="66"/>
      <c r="T1886" s="69"/>
      <c r="U1886" s="66"/>
      <c r="V1886" s="66"/>
      <c r="W1886" s="75"/>
      <c r="X1886" s="66"/>
      <c r="Y1886" s="66"/>
    </row>
    <row hidden="true" r="1887">
      <c r="N1887" s="66"/>
      <c r="O1887" s="66"/>
      <c r="P1887" s="66"/>
      <c r="Q1887" s="66"/>
      <c r="R1887" s="66"/>
      <c r="S1887" s="66"/>
      <c r="T1887" s="69"/>
      <c r="U1887" s="66"/>
      <c r="V1887" s="66"/>
      <c r="W1887" s="75"/>
      <c r="X1887" s="66"/>
      <c r="Y1887" s="66"/>
    </row>
    <row hidden="true" r="1888">
      <c r="N1888" s="66"/>
      <c r="O1888" s="66"/>
      <c r="P1888" s="66"/>
      <c r="Q1888" s="66"/>
      <c r="R1888" s="66"/>
      <c r="S1888" s="66"/>
      <c r="T1888" s="69"/>
      <c r="U1888" s="66"/>
      <c r="V1888" s="66"/>
      <c r="W1888" s="75"/>
      <c r="X1888" s="66"/>
      <c r="Y1888" s="66"/>
    </row>
    <row hidden="true" r="1889">
      <c r="N1889" s="66"/>
      <c r="O1889" s="66"/>
      <c r="P1889" s="66"/>
      <c r="Q1889" s="66"/>
      <c r="R1889" s="66"/>
      <c r="S1889" s="66"/>
      <c r="T1889" s="69"/>
      <c r="U1889" s="66"/>
      <c r="V1889" s="66"/>
      <c r="W1889" s="75"/>
      <c r="X1889" s="66"/>
      <c r="Y1889" s="66"/>
    </row>
    <row hidden="true" r="1890">
      <c r="N1890" s="66"/>
      <c r="O1890" s="66"/>
      <c r="P1890" s="66"/>
      <c r="Q1890" s="66"/>
      <c r="R1890" s="66"/>
      <c r="S1890" s="66"/>
      <c r="T1890" s="69"/>
      <c r="U1890" s="66"/>
      <c r="V1890" s="66"/>
      <c r="W1890" s="75"/>
      <c r="X1890" s="66"/>
      <c r="Y1890" s="66"/>
    </row>
    <row hidden="true" r="1891">
      <c r="N1891" s="66"/>
      <c r="O1891" s="66"/>
      <c r="P1891" s="66"/>
      <c r="Q1891" s="66"/>
      <c r="R1891" s="66"/>
      <c r="S1891" s="66"/>
      <c r="T1891" s="69"/>
      <c r="U1891" s="66"/>
      <c r="V1891" s="66"/>
      <c r="W1891" s="75"/>
      <c r="X1891" s="66"/>
      <c r="Y1891" s="66"/>
    </row>
    <row hidden="true" r="1892">
      <c r="N1892" s="66"/>
      <c r="O1892" s="66"/>
      <c r="P1892" s="66"/>
      <c r="Q1892" s="66"/>
      <c r="R1892" s="66"/>
      <c r="S1892" s="66"/>
      <c r="T1892" s="69"/>
      <c r="U1892" s="66"/>
      <c r="V1892" s="66"/>
      <c r="W1892" s="75"/>
      <c r="X1892" s="66"/>
      <c r="Y1892" s="66"/>
    </row>
    <row hidden="true" r="1893">
      <c r="N1893" s="66"/>
      <c r="O1893" s="66"/>
      <c r="P1893" s="66"/>
      <c r="Q1893" s="66"/>
      <c r="R1893" s="66"/>
      <c r="S1893" s="66"/>
      <c r="T1893" s="69"/>
      <c r="U1893" s="66"/>
      <c r="V1893" s="66"/>
      <c r="W1893" s="75"/>
      <c r="X1893" s="66"/>
      <c r="Y1893" s="66"/>
    </row>
    <row hidden="true" r="1894">
      <c r="N1894" s="66"/>
      <c r="O1894" s="66"/>
      <c r="P1894" s="66"/>
      <c r="Q1894" s="66"/>
      <c r="R1894" s="66"/>
      <c r="S1894" s="66"/>
      <c r="T1894" s="69"/>
      <c r="U1894" s="66"/>
      <c r="V1894" s="66"/>
      <c r="W1894" s="75"/>
      <c r="X1894" s="66"/>
      <c r="Y1894" s="66"/>
    </row>
    <row hidden="true" r="1895">
      <c r="N1895" s="66"/>
      <c r="O1895" s="66"/>
      <c r="P1895" s="66"/>
      <c r="Q1895" s="66"/>
      <c r="R1895" s="66"/>
      <c r="S1895" s="66"/>
      <c r="T1895" s="69"/>
      <c r="U1895" s="66"/>
      <c r="V1895" s="66"/>
      <c r="W1895" s="75"/>
      <c r="X1895" s="66"/>
      <c r="Y1895" s="66"/>
    </row>
    <row hidden="true" r="1896">
      <c r="N1896" s="66"/>
      <c r="O1896" s="66"/>
      <c r="P1896" s="66"/>
      <c r="Q1896" s="66"/>
      <c r="R1896" s="66"/>
      <c r="S1896" s="66"/>
      <c r="T1896" s="69"/>
      <c r="U1896" s="66"/>
      <c r="V1896" s="66"/>
      <c r="W1896" s="75"/>
      <c r="X1896" s="66"/>
      <c r="Y1896" s="66"/>
    </row>
    <row hidden="true" r="1897">
      <c r="N1897" s="66"/>
      <c r="O1897" s="66"/>
      <c r="P1897" s="66"/>
      <c r="Q1897" s="66"/>
      <c r="R1897" s="66"/>
      <c r="S1897" s="66"/>
      <c r="T1897" s="69"/>
      <c r="U1897" s="66"/>
      <c r="V1897" s="66"/>
      <c r="W1897" s="75"/>
      <c r="X1897" s="66"/>
      <c r="Y1897" s="66"/>
    </row>
    <row hidden="true" r="1898">
      <c r="N1898" s="66"/>
      <c r="O1898" s="66"/>
      <c r="P1898" s="66"/>
      <c r="Q1898" s="66"/>
      <c r="R1898" s="66"/>
      <c r="S1898" s="66"/>
      <c r="T1898" s="69"/>
      <c r="U1898" s="66"/>
      <c r="V1898" s="66"/>
      <c r="W1898" s="75"/>
      <c r="X1898" s="66"/>
      <c r="Y1898" s="66"/>
    </row>
    <row hidden="true" r="1899">
      <c r="N1899" s="66"/>
      <c r="O1899" s="66"/>
      <c r="P1899" s="66"/>
      <c r="Q1899" s="66"/>
      <c r="R1899" s="66"/>
      <c r="S1899" s="66"/>
      <c r="T1899" s="69"/>
      <c r="U1899" s="66"/>
      <c r="V1899" s="66"/>
      <c r="W1899" s="75"/>
      <c r="X1899" s="66"/>
      <c r="Y1899" s="66"/>
    </row>
    <row hidden="true" r="1900">
      <c r="N1900" s="66"/>
      <c r="O1900" s="66"/>
      <c r="P1900" s="66"/>
      <c r="Q1900" s="66"/>
      <c r="R1900" s="66"/>
      <c r="S1900" s="66"/>
      <c r="T1900" s="69"/>
      <c r="U1900" s="66"/>
      <c r="V1900" s="66"/>
      <c r="W1900" s="75"/>
      <c r="X1900" s="66"/>
      <c r="Y1900" s="66"/>
    </row>
    <row hidden="true" r="1901">
      <c r="N1901" s="66"/>
      <c r="O1901" s="66"/>
      <c r="P1901" s="66"/>
      <c r="Q1901" s="66"/>
      <c r="R1901" s="66"/>
      <c r="S1901" s="66"/>
      <c r="T1901" s="69"/>
      <c r="U1901" s="66"/>
      <c r="V1901" s="66"/>
      <c r="W1901" s="75"/>
      <c r="X1901" s="66"/>
      <c r="Y1901" s="66"/>
    </row>
    <row hidden="true" r="1902">
      <c r="N1902" s="66"/>
      <c r="O1902" s="66"/>
      <c r="P1902" s="66"/>
      <c r="Q1902" s="66"/>
      <c r="R1902" s="66"/>
      <c r="S1902" s="66"/>
      <c r="T1902" s="69"/>
      <c r="U1902" s="66"/>
      <c r="V1902" s="66"/>
      <c r="W1902" s="75"/>
      <c r="X1902" s="66"/>
      <c r="Y1902" s="66"/>
    </row>
    <row hidden="true" r="1903">
      <c r="N1903" s="66"/>
      <c r="O1903" s="66"/>
      <c r="P1903" s="66"/>
      <c r="Q1903" s="66"/>
      <c r="R1903" s="66"/>
      <c r="S1903" s="66"/>
      <c r="T1903" s="69"/>
      <c r="U1903" s="66"/>
      <c r="V1903" s="66"/>
      <c r="W1903" s="75"/>
      <c r="X1903" s="66"/>
      <c r="Y1903" s="66"/>
    </row>
    <row hidden="true" r="1904">
      <c r="N1904" s="66"/>
      <c r="O1904" s="66"/>
      <c r="P1904" s="66"/>
      <c r="Q1904" s="66"/>
      <c r="R1904" s="66"/>
      <c r="S1904" s="66"/>
      <c r="T1904" s="69"/>
      <c r="U1904" s="66"/>
      <c r="V1904" s="66"/>
      <c r="W1904" s="75"/>
      <c r="X1904" s="66"/>
      <c r="Y1904" s="66"/>
    </row>
    <row hidden="true" r="1905">
      <c r="N1905" s="66"/>
      <c r="O1905" s="66"/>
      <c r="P1905" s="66"/>
      <c r="Q1905" s="66"/>
      <c r="R1905" s="66"/>
      <c r="S1905" s="66"/>
      <c r="T1905" s="69"/>
      <c r="U1905" s="66"/>
      <c r="V1905" s="66"/>
      <c r="W1905" s="75"/>
      <c r="X1905" s="66"/>
      <c r="Y1905" s="66"/>
    </row>
    <row hidden="true" r="1906">
      <c r="N1906" s="66"/>
      <c r="O1906" s="66"/>
      <c r="P1906" s="66"/>
      <c r="Q1906" s="66"/>
      <c r="R1906" s="66"/>
      <c r="S1906" s="66"/>
      <c r="T1906" s="69"/>
      <c r="U1906" s="66"/>
      <c r="V1906" s="66"/>
      <c r="W1906" s="75"/>
      <c r="X1906" s="66"/>
      <c r="Y1906" s="66"/>
    </row>
    <row hidden="true" r="1907">
      <c r="N1907" s="66"/>
      <c r="O1907" s="66"/>
      <c r="P1907" s="66"/>
      <c r="Q1907" s="66"/>
      <c r="R1907" s="66"/>
      <c r="S1907" s="66"/>
      <c r="T1907" s="69"/>
      <c r="U1907" s="66"/>
      <c r="V1907" s="66"/>
      <c r="W1907" s="75"/>
      <c r="X1907" s="66"/>
      <c r="Y1907" s="66"/>
    </row>
    <row hidden="true" r="1908">
      <c r="N1908" s="66"/>
      <c r="O1908" s="66"/>
      <c r="P1908" s="66"/>
      <c r="Q1908" s="66"/>
      <c r="R1908" s="66"/>
      <c r="S1908" s="66"/>
      <c r="T1908" s="69"/>
      <c r="U1908" s="66"/>
      <c r="V1908" s="66"/>
      <c r="W1908" s="75"/>
      <c r="X1908" s="66"/>
      <c r="Y1908" s="66"/>
    </row>
    <row hidden="true" r="1909">
      <c r="N1909" s="66"/>
      <c r="O1909" s="66"/>
      <c r="P1909" s="66"/>
      <c r="Q1909" s="66"/>
      <c r="R1909" s="66"/>
      <c r="S1909" s="66"/>
      <c r="T1909" s="69"/>
      <c r="U1909" s="66"/>
      <c r="V1909" s="66"/>
      <c r="W1909" s="75"/>
      <c r="X1909" s="66"/>
      <c r="Y1909" s="66"/>
    </row>
    <row hidden="true" r="1910">
      <c r="N1910" s="66"/>
      <c r="O1910" s="66"/>
      <c r="P1910" s="66"/>
      <c r="Q1910" s="66"/>
      <c r="R1910" s="66"/>
      <c r="S1910" s="66"/>
      <c r="T1910" s="69"/>
      <c r="U1910" s="66"/>
      <c r="V1910" s="66"/>
      <c r="W1910" s="75"/>
      <c r="X1910" s="66"/>
      <c r="Y1910" s="66"/>
    </row>
    <row hidden="true" r="1911">
      <c r="N1911" s="66"/>
      <c r="O1911" s="66"/>
      <c r="P1911" s="66"/>
      <c r="Q1911" s="66"/>
      <c r="R1911" s="66"/>
      <c r="S1911" s="66"/>
      <c r="T1911" s="69"/>
      <c r="U1911" s="66"/>
      <c r="V1911" s="66"/>
      <c r="W1911" s="75"/>
      <c r="X1911" s="66"/>
      <c r="Y1911" s="66"/>
    </row>
    <row hidden="true" r="1912">
      <c r="N1912" s="66"/>
      <c r="O1912" s="66"/>
      <c r="P1912" s="66"/>
      <c r="Q1912" s="66"/>
      <c r="R1912" s="66"/>
      <c r="S1912" s="66"/>
      <c r="T1912" s="69"/>
      <c r="U1912" s="66"/>
      <c r="V1912" s="66"/>
      <c r="W1912" s="75"/>
      <c r="X1912" s="66"/>
      <c r="Y1912" s="66"/>
    </row>
    <row hidden="true" r="1913">
      <c r="N1913" s="66"/>
      <c r="O1913" s="66"/>
      <c r="P1913" s="66"/>
      <c r="Q1913" s="66"/>
      <c r="R1913" s="66"/>
      <c r="S1913" s="66"/>
      <c r="T1913" s="69"/>
      <c r="U1913" s="66"/>
      <c r="V1913" s="66"/>
      <c r="W1913" s="75"/>
      <c r="X1913" s="66"/>
      <c r="Y1913" s="66"/>
    </row>
    <row hidden="true" r="1914">
      <c r="N1914" s="66"/>
      <c r="O1914" s="66"/>
      <c r="P1914" s="66"/>
      <c r="Q1914" s="66"/>
      <c r="R1914" s="66"/>
      <c r="S1914" s="66"/>
      <c r="T1914" s="69"/>
      <c r="U1914" s="66"/>
      <c r="V1914" s="66"/>
      <c r="W1914" s="75"/>
      <c r="X1914" s="66"/>
      <c r="Y1914" s="66"/>
    </row>
    <row hidden="true" r="1915">
      <c r="N1915" s="66"/>
      <c r="O1915" s="66"/>
      <c r="P1915" s="66"/>
      <c r="Q1915" s="66"/>
      <c r="R1915" s="66"/>
      <c r="S1915" s="66"/>
      <c r="T1915" s="69"/>
      <c r="U1915" s="66"/>
      <c r="V1915" s="66"/>
      <c r="W1915" s="75"/>
      <c r="X1915" s="66"/>
      <c r="Y1915" s="66"/>
    </row>
    <row hidden="true" r="1916">
      <c r="N1916" s="66"/>
      <c r="O1916" s="66"/>
      <c r="P1916" s="66"/>
      <c r="Q1916" s="66"/>
      <c r="R1916" s="66"/>
      <c r="S1916" s="66"/>
      <c r="T1916" s="69"/>
      <c r="U1916" s="66"/>
      <c r="V1916" s="66"/>
      <c r="W1916" s="75"/>
      <c r="X1916" s="66"/>
      <c r="Y1916" s="66"/>
    </row>
    <row hidden="true" r="1917">
      <c r="N1917" s="66"/>
      <c r="O1917" s="66"/>
      <c r="P1917" s="66"/>
      <c r="Q1917" s="66"/>
      <c r="R1917" s="66"/>
      <c r="S1917" s="66"/>
      <c r="T1917" s="69"/>
      <c r="U1917" s="66"/>
      <c r="V1917" s="66"/>
      <c r="W1917" s="75"/>
      <c r="X1917" s="66"/>
      <c r="Y1917" s="66"/>
    </row>
    <row hidden="true" r="1918">
      <c r="N1918" s="66"/>
      <c r="O1918" s="66"/>
      <c r="P1918" s="66"/>
      <c r="Q1918" s="66"/>
      <c r="R1918" s="66"/>
      <c r="S1918" s="66"/>
      <c r="T1918" s="69"/>
      <c r="U1918" s="66"/>
      <c r="V1918" s="66"/>
      <c r="W1918" s="75"/>
      <c r="X1918" s="66"/>
      <c r="Y1918" s="66"/>
    </row>
    <row hidden="true" r="1919">
      <c r="N1919" s="66"/>
      <c r="O1919" s="66"/>
      <c r="P1919" s="66"/>
      <c r="Q1919" s="66"/>
      <c r="R1919" s="66"/>
      <c r="S1919" s="66"/>
      <c r="T1919" s="69"/>
      <c r="U1919" s="66"/>
      <c r="V1919" s="66"/>
      <c r="W1919" s="75"/>
      <c r="X1919" s="66"/>
      <c r="Y1919" s="66"/>
    </row>
    <row hidden="true" r="1920">
      <c r="N1920" s="66"/>
      <c r="O1920" s="66"/>
      <c r="P1920" s="66"/>
      <c r="Q1920" s="66"/>
      <c r="R1920" s="66"/>
      <c r="S1920" s="66"/>
      <c r="T1920" s="69"/>
      <c r="U1920" s="66"/>
      <c r="V1920" s="66"/>
      <c r="W1920" s="75"/>
      <c r="X1920" s="66"/>
      <c r="Y1920" s="66"/>
    </row>
    <row hidden="true" r="1921">
      <c r="N1921" s="66"/>
      <c r="O1921" s="66"/>
      <c r="P1921" s="66"/>
      <c r="Q1921" s="66"/>
      <c r="R1921" s="66"/>
      <c r="S1921" s="66"/>
      <c r="T1921" s="69"/>
      <c r="U1921" s="66"/>
      <c r="V1921" s="66"/>
      <c r="W1921" s="75"/>
      <c r="X1921" s="66"/>
      <c r="Y1921" s="66"/>
    </row>
    <row hidden="true" r="1922">
      <c r="N1922" s="66"/>
      <c r="O1922" s="66"/>
      <c r="P1922" s="66"/>
      <c r="Q1922" s="66"/>
      <c r="R1922" s="66"/>
      <c r="S1922" s="66"/>
      <c r="T1922" s="69"/>
      <c r="U1922" s="66"/>
      <c r="V1922" s="66"/>
      <c r="W1922" s="75"/>
      <c r="X1922" s="66"/>
      <c r="Y1922" s="66"/>
    </row>
    <row hidden="true" r="1923">
      <c r="N1923" s="66"/>
      <c r="O1923" s="66"/>
      <c r="P1923" s="66"/>
      <c r="Q1923" s="66"/>
      <c r="R1923" s="66"/>
      <c r="S1923" s="66"/>
      <c r="T1923" s="69"/>
      <c r="U1923" s="66"/>
      <c r="V1923" s="66"/>
      <c r="W1923" s="75"/>
      <c r="X1923" s="66"/>
      <c r="Y1923" s="66"/>
    </row>
    <row hidden="true" r="1924">
      <c r="N1924" s="66"/>
      <c r="O1924" s="66"/>
      <c r="P1924" s="66"/>
      <c r="Q1924" s="66"/>
      <c r="R1924" s="66"/>
      <c r="S1924" s="66"/>
      <c r="T1924" s="69"/>
      <c r="U1924" s="66"/>
      <c r="V1924" s="66"/>
      <c r="W1924" s="75"/>
      <c r="X1924" s="66"/>
      <c r="Y1924" s="66"/>
    </row>
    <row hidden="true" r="1925">
      <c r="N1925" s="66"/>
      <c r="O1925" s="66"/>
      <c r="P1925" s="66"/>
      <c r="Q1925" s="66"/>
      <c r="R1925" s="66"/>
      <c r="S1925" s="66"/>
      <c r="T1925" s="69"/>
      <c r="U1925" s="66"/>
      <c r="V1925" s="66"/>
      <c r="W1925" s="75"/>
      <c r="X1925" s="66"/>
      <c r="Y1925" s="66"/>
    </row>
    <row hidden="true" r="1926">
      <c r="N1926" s="66"/>
      <c r="O1926" s="66"/>
      <c r="P1926" s="66"/>
      <c r="Q1926" s="66"/>
      <c r="R1926" s="66"/>
      <c r="S1926" s="66"/>
      <c r="T1926" s="69"/>
      <c r="U1926" s="66"/>
      <c r="V1926" s="66"/>
      <c r="W1926" s="75"/>
      <c r="X1926" s="66"/>
      <c r="Y1926" s="66"/>
    </row>
    <row hidden="true" r="1927">
      <c r="N1927" s="66"/>
      <c r="O1927" s="66"/>
      <c r="P1927" s="66"/>
      <c r="Q1927" s="66"/>
      <c r="R1927" s="66"/>
      <c r="S1927" s="66"/>
      <c r="T1927" s="69"/>
      <c r="U1927" s="66"/>
      <c r="V1927" s="66"/>
      <c r="W1927" s="75"/>
      <c r="X1927" s="66"/>
      <c r="Y1927" s="66"/>
    </row>
    <row hidden="true" r="1928">
      <c r="N1928" s="66"/>
      <c r="O1928" s="66"/>
      <c r="P1928" s="66"/>
      <c r="Q1928" s="66"/>
      <c r="R1928" s="66"/>
      <c r="S1928" s="66"/>
      <c r="T1928" s="69"/>
      <c r="U1928" s="66"/>
      <c r="V1928" s="66"/>
      <c r="W1928" s="75"/>
      <c r="X1928" s="66"/>
      <c r="Y1928" s="66"/>
    </row>
    <row hidden="true" r="1929">
      <c r="N1929" s="66"/>
      <c r="O1929" s="66"/>
      <c r="P1929" s="66"/>
      <c r="Q1929" s="66"/>
      <c r="R1929" s="66"/>
      <c r="S1929" s="66"/>
      <c r="T1929" s="69"/>
      <c r="U1929" s="66"/>
      <c r="V1929" s="66"/>
      <c r="W1929" s="75"/>
      <c r="X1929" s="66"/>
      <c r="Y1929" s="66"/>
    </row>
    <row hidden="true" r="1930">
      <c r="N1930" s="66"/>
      <c r="O1930" s="66"/>
      <c r="P1930" s="66"/>
      <c r="Q1930" s="66"/>
      <c r="R1930" s="66"/>
      <c r="S1930" s="66"/>
      <c r="T1930" s="69"/>
      <c r="U1930" s="66"/>
      <c r="V1930" s="66"/>
      <c r="W1930" s="75"/>
      <c r="X1930" s="66"/>
      <c r="Y1930" s="66"/>
    </row>
    <row hidden="true" r="1931">
      <c r="N1931" s="66"/>
      <c r="O1931" s="66"/>
      <c r="P1931" s="66"/>
      <c r="Q1931" s="66"/>
      <c r="R1931" s="66"/>
      <c r="S1931" s="66"/>
      <c r="T1931" s="69"/>
      <c r="U1931" s="66"/>
      <c r="V1931" s="66"/>
      <c r="W1931" s="75"/>
      <c r="X1931" s="66"/>
      <c r="Y1931" s="66"/>
    </row>
    <row hidden="true" r="1932">
      <c r="N1932" s="66"/>
      <c r="O1932" s="66"/>
      <c r="P1932" s="66"/>
      <c r="Q1932" s="66"/>
      <c r="R1932" s="66"/>
      <c r="S1932" s="66"/>
      <c r="T1932" s="69"/>
      <c r="U1932" s="66"/>
      <c r="V1932" s="66"/>
      <c r="W1932" s="75"/>
      <c r="X1932" s="66"/>
      <c r="Y1932" s="66"/>
    </row>
    <row hidden="true" r="1933">
      <c r="N1933" s="66"/>
      <c r="O1933" s="66"/>
      <c r="P1933" s="66"/>
      <c r="Q1933" s="66"/>
      <c r="R1933" s="66"/>
      <c r="S1933" s="66"/>
      <c r="T1933" s="69"/>
      <c r="U1933" s="66"/>
      <c r="V1933" s="66"/>
      <c r="W1933" s="75"/>
      <c r="X1933" s="66"/>
      <c r="Y1933" s="66"/>
    </row>
    <row hidden="true" r="1934">
      <c r="N1934" s="66"/>
      <c r="O1934" s="66"/>
      <c r="P1934" s="66"/>
      <c r="Q1934" s="66"/>
      <c r="R1934" s="66"/>
      <c r="S1934" s="66"/>
      <c r="T1934" s="69"/>
      <c r="U1934" s="66"/>
      <c r="V1934" s="66"/>
      <c r="W1934" s="75"/>
      <c r="X1934" s="66"/>
      <c r="Y1934" s="66"/>
    </row>
    <row hidden="true" r="1935">
      <c r="N1935" s="66"/>
      <c r="O1935" s="66"/>
      <c r="P1935" s="66"/>
      <c r="Q1935" s="66"/>
      <c r="R1935" s="66"/>
      <c r="S1935" s="66"/>
      <c r="T1935" s="69"/>
      <c r="U1935" s="66"/>
      <c r="V1935" s="66"/>
      <c r="W1935" s="75"/>
      <c r="X1935" s="66"/>
      <c r="Y1935" s="66"/>
    </row>
    <row hidden="true" r="1936">
      <c r="N1936" s="66"/>
      <c r="O1936" s="66"/>
      <c r="P1936" s="66"/>
      <c r="Q1936" s="66"/>
      <c r="R1936" s="66"/>
      <c r="S1936" s="66"/>
      <c r="T1936" s="69"/>
      <c r="U1936" s="66"/>
      <c r="V1936" s="66"/>
      <c r="W1936" s="75"/>
      <c r="X1936" s="66"/>
      <c r="Y1936" s="66"/>
    </row>
    <row hidden="true" r="1937">
      <c r="N1937" s="66"/>
      <c r="O1937" s="66"/>
      <c r="P1937" s="66"/>
      <c r="Q1937" s="66"/>
      <c r="R1937" s="66"/>
      <c r="S1937" s="66"/>
      <c r="T1937" s="69"/>
      <c r="U1937" s="66"/>
      <c r="V1937" s="66"/>
      <c r="W1937" s="75"/>
      <c r="X1937" s="66"/>
      <c r="Y1937" s="66"/>
    </row>
    <row hidden="true" r="1938">
      <c r="N1938" s="66"/>
      <c r="O1938" s="66"/>
      <c r="P1938" s="66"/>
      <c r="Q1938" s="66"/>
      <c r="R1938" s="66"/>
      <c r="S1938" s="66"/>
      <c r="T1938" s="69"/>
      <c r="U1938" s="66"/>
      <c r="V1938" s="66"/>
      <c r="W1938" s="75"/>
      <c r="X1938" s="66"/>
      <c r="Y1938" s="66"/>
    </row>
    <row hidden="true" r="1939">
      <c r="N1939" s="66"/>
      <c r="O1939" s="66"/>
      <c r="P1939" s="66"/>
      <c r="Q1939" s="66"/>
      <c r="R1939" s="66"/>
      <c r="S1939" s="66"/>
      <c r="T1939" s="69"/>
      <c r="U1939" s="66"/>
      <c r="V1939" s="66"/>
      <c r="W1939" s="75"/>
      <c r="X1939" s="66"/>
      <c r="Y1939" s="66"/>
    </row>
    <row hidden="true" r="1940">
      <c r="N1940" s="66"/>
      <c r="O1940" s="66"/>
      <c r="P1940" s="66"/>
      <c r="Q1940" s="66"/>
      <c r="R1940" s="66"/>
      <c r="S1940" s="66"/>
      <c r="T1940" s="69"/>
      <c r="U1940" s="66"/>
      <c r="V1940" s="66"/>
      <c r="W1940" s="75"/>
      <c r="X1940" s="66"/>
      <c r="Y1940" s="66"/>
    </row>
    <row hidden="true" r="1941">
      <c r="N1941" s="66"/>
      <c r="O1941" s="66"/>
      <c r="P1941" s="66"/>
      <c r="Q1941" s="66"/>
      <c r="R1941" s="66"/>
      <c r="S1941" s="66"/>
      <c r="T1941" s="69"/>
      <c r="U1941" s="66"/>
      <c r="V1941" s="66"/>
      <c r="W1941" s="75"/>
      <c r="X1941" s="66"/>
      <c r="Y1941" s="66"/>
    </row>
    <row hidden="true" r="1942">
      <c r="N1942" s="66"/>
      <c r="O1942" s="66"/>
      <c r="P1942" s="66"/>
      <c r="Q1942" s="66"/>
      <c r="R1942" s="66"/>
      <c r="S1942" s="66"/>
      <c r="T1942" s="69"/>
      <c r="U1942" s="66"/>
      <c r="V1942" s="66"/>
      <c r="W1942" s="75"/>
      <c r="X1942" s="66"/>
      <c r="Y1942" s="66"/>
    </row>
    <row hidden="true" r="1943">
      <c r="N1943" s="66"/>
      <c r="O1943" s="66"/>
      <c r="P1943" s="66"/>
      <c r="Q1943" s="66"/>
      <c r="R1943" s="66"/>
      <c r="S1943" s="66"/>
      <c r="T1943" s="69"/>
      <c r="U1943" s="66"/>
      <c r="V1943" s="66"/>
      <c r="W1943" s="75"/>
      <c r="X1943" s="66"/>
      <c r="Y1943" s="66"/>
    </row>
    <row hidden="true" r="1944">
      <c r="N1944" s="66"/>
      <c r="O1944" s="66"/>
      <c r="P1944" s="66"/>
      <c r="Q1944" s="66"/>
      <c r="R1944" s="66"/>
      <c r="S1944" s="66"/>
      <c r="T1944" s="69"/>
      <c r="U1944" s="66"/>
      <c r="V1944" s="66"/>
      <c r="W1944" s="75"/>
      <c r="X1944" s="66"/>
      <c r="Y1944" s="66"/>
    </row>
    <row hidden="true" r="1945">
      <c r="N1945" s="66"/>
      <c r="O1945" s="66"/>
      <c r="P1945" s="66"/>
      <c r="Q1945" s="66"/>
      <c r="R1945" s="66"/>
      <c r="S1945" s="66"/>
      <c r="T1945" s="69"/>
      <c r="U1945" s="66"/>
      <c r="V1945" s="66"/>
      <c r="W1945" s="75"/>
      <c r="X1945" s="66"/>
      <c r="Y1945" s="66"/>
    </row>
    <row hidden="true" r="1946">
      <c r="N1946" s="66"/>
      <c r="O1946" s="66"/>
      <c r="P1946" s="66"/>
      <c r="Q1946" s="66"/>
      <c r="R1946" s="66"/>
      <c r="S1946" s="66"/>
      <c r="T1946" s="69"/>
      <c r="U1946" s="66"/>
      <c r="V1946" s="66"/>
      <c r="W1946" s="75"/>
      <c r="X1946" s="66"/>
      <c r="Y1946" s="66"/>
    </row>
    <row hidden="true" r="1947">
      <c r="N1947" s="66"/>
      <c r="O1947" s="66"/>
      <c r="P1947" s="66"/>
      <c r="Q1947" s="66"/>
      <c r="R1947" s="66"/>
      <c r="S1947" s="66"/>
      <c r="T1947" s="69"/>
      <c r="U1947" s="66"/>
      <c r="V1947" s="66"/>
      <c r="W1947" s="75"/>
      <c r="X1947" s="66"/>
      <c r="Y1947" s="66"/>
    </row>
    <row hidden="true" r="1948">
      <c r="N1948" s="66"/>
      <c r="O1948" s="66"/>
      <c r="P1948" s="66"/>
      <c r="Q1948" s="66"/>
      <c r="R1948" s="66"/>
      <c r="S1948" s="66"/>
      <c r="T1948" s="69"/>
      <c r="U1948" s="66"/>
      <c r="V1948" s="66"/>
      <c r="W1948" s="75"/>
      <c r="X1948" s="66"/>
      <c r="Y1948" s="66"/>
    </row>
    <row hidden="true" r="1949">
      <c r="N1949" s="66"/>
      <c r="O1949" s="66"/>
      <c r="P1949" s="66"/>
      <c r="Q1949" s="66"/>
      <c r="R1949" s="66"/>
      <c r="S1949" s="66"/>
      <c r="T1949" s="69"/>
      <c r="U1949" s="66"/>
      <c r="V1949" s="66"/>
      <c r="W1949" s="75"/>
      <c r="X1949" s="66"/>
      <c r="Y1949" s="66"/>
    </row>
    <row hidden="true" r="1950">
      <c r="N1950" s="66"/>
      <c r="O1950" s="66"/>
      <c r="P1950" s="66"/>
      <c r="Q1950" s="66"/>
      <c r="R1950" s="66"/>
      <c r="S1950" s="66"/>
      <c r="T1950" s="69"/>
      <c r="U1950" s="66"/>
      <c r="V1950" s="66"/>
      <c r="W1950" s="75"/>
      <c r="X1950" s="66"/>
      <c r="Y1950" s="66"/>
    </row>
    <row hidden="true" r="1951">
      <c r="N1951" s="66"/>
      <c r="O1951" s="66"/>
      <c r="P1951" s="66"/>
      <c r="Q1951" s="66"/>
      <c r="R1951" s="66"/>
      <c r="S1951" s="66"/>
      <c r="T1951" s="69"/>
      <c r="U1951" s="66"/>
      <c r="V1951" s="66"/>
      <c r="W1951" s="75"/>
      <c r="X1951" s="66"/>
      <c r="Y1951" s="66"/>
    </row>
    <row hidden="true" r="1952">
      <c r="N1952" s="66"/>
      <c r="O1952" s="66"/>
      <c r="P1952" s="66"/>
      <c r="Q1952" s="66"/>
      <c r="R1952" s="66"/>
      <c r="S1952" s="66"/>
      <c r="T1952" s="69"/>
      <c r="U1952" s="66"/>
      <c r="V1952" s="66"/>
      <c r="W1952" s="75"/>
      <c r="X1952" s="66"/>
      <c r="Y1952" s="66"/>
    </row>
    <row hidden="true" r="1953">
      <c r="N1953" s="66"/>
      <c r="O1953" s="66"/>
      <c r="P1953" s="66"/>
      <c r="Q1953" s="66"/>
      <c r="R1953" s="66"/>
      <c r="S1953" s="66"/>
      <c r="T1953" s="69"/>
      <c r="U1953" s="66"/>
      <c r="V1953" s="66"/>
      <c r="W1953" s="75"/>
      <c r="X1953" s="66"/>
      <c r="Y1953" s="66"/>
    </row>
    <row hidden="true" r="1954">
      <c r="N1954" s="66"/>
      <c r="O1954" s="66"/>
      <c r="P1954" s="66"/>
      <c r="Q1954" s="66"/>
      <c r="R1954" s="66"/>
      <c r="S1954" s="66"/>
      <c r="T1954" s="69"/>
      <c r="U1954" s="66"/>
      <c r="V1954" s="66"/>
      <c r="W1954" s="75"/>
      <c r="X1954" s="66"/>
      <c r="Y1954" s="66"/>
    </row>
    <row hidden="true" r="1955">
      <c r="N1955" s="66"/>
      <c r="O1955" s="66"/>
      <c r="P1955" s="66"/>
      <c r="Q1955" s="66"/>
      <c r="R1955" s="66"/>
      <c r="S1955" s="66"/>
      <c r="T1955" s="69"/>
      <c r="U1955" s="66"/>
      <c r="V1955" s="66"/>
      <c r="W1955" s="75"/>
      <c r="X1955" s="66"/>
      <c r="Y1955" s="66"/>
    </row>
    <row hidden="true" r="1956">
      <c r="N1956" s="66"/>
      <c r="O1956" s="66"/>
      <c r="P1956" s="66"/>
      <c r="Q1956" s="66"/>
      <c r="R1956" s="66"/>
      <c r="S1956" s="66"/>
      <c r="T1956" s="69"/>
      <c r="U1956" s="66"/>
      <c r="V1956" s="66"/>
      <c r="W1956" s="75"/>
      <c r="X1956" s="66"/>
      <c r="Y1956" s="66"/>
    </row>
    <row hidden="true" r="1957">
      <c r="N1957" s="66"/>
      <c r="O1957" s="66"/>
      <c r="P1957" s="66"/>
      <c r="Q1957" s="66"/>
      <c r="R1957" s="66"/>
      <c r="S1957" s="66"/>
      <c r="T1957" s="69"/>
      <c r="U1957" s="66"/>
      <c r="V1957" s="66"/>
      <c r="W1957" s="75"/>
      <c r="X1957" s="66"/>
      <c r="Y1957" s="66"/>
    </row>
    <row hidden="true" r="1958">
      <c r="N1958" s="66"/>
      <c r="O1958" s="66"/>
      <c r="P1958" s="66"/>
      <c r="Q1958" s="66"/>
      <c r="R1958" s="66"/>
      <c r="S1958" s="66"/>
      <c r="T1958" s="69"/>
      <c r="U1958" s="66"/>
      <c r="V1958" s="66"/>
      <c r="W1958" s="75"/>
      <c r="X1958" s="66"/>
      <c r="Y1958" s="66"/>
    </row>
    <row hidden="true" r="1959">
      <c r="N1959" s="66"/>
      <c r="O1959" s="66"/>
      <c r="P1959" s="66"/>
      <c r="Q1959" s="66"/>
      <c r="R1959" s="66"/>
      <c r="S1959" s="66"/>
      <c r="T1959" s="69"/>
      <c r="U1959" s="66"/>
      <c r="V1959" s="66"/>
      <c r="W1959" s="75"/>
      <c r="X1959" s="66"/>
      <c r="Y1959" s="66"/>
    </row>
    <row hidden="true" r="1960">
      <c r="N1960" s="66"/>
      <c r="O1960" s="66"/>
      <c r="P1960" s="66"/>
      <c r="Q1960" s="66"/>
      <c r="R1960" s="66"/>
      <c r="S1960" s="66"/>
      <c r="T1960" s="69"/>
      <c r="U1960" s="66"/>
      <c r="V1960" s="66"/>
      <c r="W1960" s="75"/>
      <c r="X1960" s="66"/>
      <c r="Y1960" s="66"/>
    </row>
    <row hidden="true" r="1961">
      <c r="N1961" s="66"/>
      <c r="O1961" s="66"/>
      <c r="P1961" s="66"/>
      <c r="Q1961" s="66"/>
      <c r="R1961" s="66"/>
      <c r="S1961" s="66"/>
      <c r="T1961" s="69"/>
      <c r="U1961" s="66"/>
      <c r="V1961" s="66"/>
      <c r="W1961" s="75"/>
      <c r="X1961" s="66"/>
      <c r="Y1961" s="66"/>
    </row>
    <row hidden="true" r="1962">
      <c r="N1962" s="66"/>
      <c r="O1962" s="66"/>
      <c r="P1962" s="66"/>
      <c r="Q1962" s="66"/>
      <c r="R1962" s="66"/>
      <c r="S1962" s="66"/>
      <c r="T1962" s="69"/>
      <c r="U1962" s="66"/>
      <c r="V1962" s="66"/>
      <c r="W1962" s="75"/>
      <c r="X1962" s="66"/>
      <c r="Y1962" s="66"/>
    </row>
    <row hidden="true" r="1963">
      <c r="N1963" s="66"/>
      <c r="O1963" s="66"/>
      <c r="P1963" s="66"/>
      <c r="Q1963" s="66"/>
      <c r="R1963" s="66"/>
      <c r="S1963" s="66"/>
      <c r="T1963" s="69"/>
      <c r="U1963" s="66"/>
      <c r="V1963" s="66"/>
      <c r="W1963" s="75"/>
      <c r="X1963" s="66"/>
      <c r="Y1963" s="66"/>
    </row>
    <row hidden="true" r="1964">
      <c r="N1964" s="66"/>
      <c r="O1964" s="66"/>
      <c r="P1964" s="66"/>
      <c r="Q1964" s="66"/>
      <c r="R1964" s="66"/>
      <c r="S1964" s="66"/>
      <c r="T1964" s="69"/>
      <c r="U1964" s="66"/>
      <c r="V1964" s="66"/>
      <c r="W1964" s="75"/>
      <c r="X1964" s="66"/>
      <c r="Y1964" s="66"/>
    </row>
    <row hidden="true" r="1965">
      <c r="N1965" s="66"/>
      <c r="O1965" s="66"/>
      <c r="P1965" s="66"/>
      <c r="Q1965" s="66"/>
      <c r="R1965" s="66"/>
      <c r="S1965" s="66"/>
      <c r="T1965" s="69"/>
      <c r="U1965" s="66"/>
      <c r="V1965" s="66"/>
      <c r="W1965" s="75"/>
      <c r="X1965" s="66"/>
      <c r="Y1965" s="66"/>
    </row>
    <row hidden="true" r="1966">
      <c r="N1966" s="66"/>
      <c r="O1966" s="66"/>
      <c r="P1966" s="66"/>
      <c r="Q1966" s="66"/>
      <c r="R1966" s="66"/>
      <c r="S1966" s="66"/>
      <c r="T1966" s="69"/>
      <c r="U1966" s="66"/>
      <c r="V1966" s="66"/>
      <c r="W1966" s="75"/>
      <c r="X1966" s="66"/>
      <c r="Y1966" s="66"/>
    </row>
    <row hidden="true" r="1967">
      <c r="N1967" s="66"/>
      <c r="O1967" s="66"/>
      <c r="P1967" s="66"/>
      <c r="Q1967" s="66"/>
      <c r="R1967" s="66"/>
      <c r="S1967" s="66"/>
      <c r="T1967" s="69"/>
      <c r="U1967" s="66"/>
      <c r="V1967" s="66"/>
      <c r="W1967" s="75"/>
      <c r="X1967" s="66"/>
      <c r="Y1967" s="66"/>
    </row>
    <row hidden="true" r="1968">
      <c r="N1968" s="66"/>
      <c r="O1968" s="66"/>
      <c r="P1968" s="66"/>
      <c r="Q1968" s="66"/>
      <c r="R1968" s="66"/>
      <c r="S1968" s="66"/>
      <c r="T1968" s="69"/>
      <c r="U1968" s="66"/>
      <c r="V1968" s="66"/>
      <c r="W1968" s="75"/>
      <c r="X1968" s="66"/>
      <c r="Y1968" s="66"/>
    </row>
    <row hidden="true" r="1969">
      <c r="N1969" s="66"/>
      <c r="O1969" s="66"/>
      <c r="P1969" s="66"/>
      <c r="Q1969" s="66"/>
      <c r="R1969" s="66"/>
      <c r="S1969" s="66"/>
      <c r="T1969" s="69"/>
      <c r="U1969" s="66"/>
      <c r="V1969" s="66"/>
      <c r="W1969" s="75"/>
      <c r="X1969" s="66"/>
      <c r="Y1969" s="66"/>
    </row>
    <row hidden="true" r="1970">
      <c r="N1970" s="66"/>
      <c r="O1970" s="66"/>
      <c r="P1970" s="66"/>
      <c r="Q1970" s="66"/>
      <c r="R1970" s="66"/>
      <c r="S1970" s="66"/>
      <c r="T1970" s="69"/>
      <c r="U1970" s="66"/>
      <c r="V1970" s="66"/>
      <c r="W1970" s="75"/>
      <c r="X1970" s="66"/>
      <c r="Y1970" s="66"/>
    </row>
    <row hidden="true" r="1971">
      <c r="N1971" s="66"/>
      <c r="O1971" s="66"/>
      <c r="P1971" s="66"/>
      <c r="Q1971" s="66"/>
      <c r="R1971" s="66"/>
      <c r="S1971" s="66"/>
      <c r="T1971" s="69"/>
      <c r="U1971" s="66"/>
      <c r="V1971" s="66"/>
      <c r="W1971" s="75"/>
      <c r="X1971" s="66"/>
      <c r="Y1971" s="66"/>
    </row>
    <row hidden="true" r="1972">
      <c r="N1972" s="66"/>
      <c r="O1972" s="66"/>
      <c r="P1972" s="66"/>
      <c r="Q1972" s="66"/>
      <c r="R1972" s="66"/>
      <c r="S1972" s="66"/>
      <c r="T1972" s="69"/>
      <c r="U1972" s="66"/>
      <c r="V1972" s="66"/>
      <c r="W1972" s="75"/>
      <c r="X1972" s="66"/>
      <c r="Y1972" s="66"/>
    </row>
    <row hidden="true" r="1973">
      <c r="N1973" s="66"/>
      <c r="O1973" s="66"/>
      <c r="P1973" s="66"/>
      <c r="Q1973" s="66"/>
      <c r="R1973" s="66"/>
      <c r="S1973" s="66"/>
      <c r="T1973" s="69"/>
      <c r="U1973" s="66"/>
      <c r="V1973" s="66"/>
      <c r="W1973" s="75"/>
      <c r="X1973" s="66"/>
      <c r="Y1973" s="66"/>
    </row>
    <row hidden="true" r="1974">
      <c r="N1974" s="66"/>
      <c r="O1974" s="66"/>
      <c r="P1974" s="66"/>
      <c r="Q1974" s="66"/>
      <c r="R1974" s="66"/>
      <c r="S1974" s="66"/>
      <c r="T1974" s="69"/>
      <c r="U1974" s="66"/>
      <c r="V1974" s="66"/>
      <c r="W1974" s="75"/>
      <c r="X1974" s="66"/>
      <c r="Y1974" s="66"/>
    </row>
    <row hidden="true" r="1975">
      <c r="N1975" s="66"/>
      <c r="O1975" s="66"/>
      <c r="P1975" s="66"/>
      <c r="Q1975" s="66"/>
      <c r="R1975" s="66"/>
      <c r="S1975" s="66"/>
      <c r="T1975" s="69"/>
      <c r="U1975" s="66"/>
      <c r="V1975" s="66"/>
      <c r="W1975" s="75"/>
      <c r="X1975" s="66"/>
      <c r="Y1975" s="66"/>
    </row>
    <row hidden="true" r="1976">
      <c r="N1976" s="66"/>
      <c r="O1976" s="66"/>
      <c r="P1976" s="66"/>
      <c r="Q1976" s="66"/>
      <c r="R1976" s="66"/>
      <c r="S1976" s="66"/>
      <c r="T1976" s="69"/>
      <c r="U1976" s="66"/>
      <c r="V1976" s="66"/>
      <c r="W1976" s="75"/>
      <c r="X1976" s="66"/>
      <c r="Y1976" s="66"/>
    </row>
    <row hidden="true" r="1977">
      <c r="N1977" s="66"/>
      <c r="O1977" s="66"/>
      <c r="P1977" s="66"/>
      <c r="Q1977" s="66"/>
      <c r="R1977" s="66"/>
      <c r="S1977" s="66"/>
      <c r="T1977" s="69"/>
      <c r="U1977" s="66"/>
      <c r="V1977" s="66"/>
      <c r="W1977" s="75"/>
      <c r="X1977" s="66"/>
      <c r="Y1977" s="66"/>
    </row>
    <row hidden="true" r="1978">
      <c r="N1978" s="66"/>
      <c r="O1978" s="66"/>
      <c r="P1978" s="66"/>
      <c r="Q1978" s="66"/>
      <c r="R1978" s="66"/>
      <c r="S1978" s="66"/>
      <c r="T1978" s="69"/>
      <c r="U1978" s="66"/>
      <c r="V1978" s="66"/>
      <c r="W1978" s="75"/>
      <c r="X1978" s="66"/>
      <c r="Y1978" s="66"/>
    </row>
    <row hidden="true" r="1979">
      <c r="N1979" s="66"/>
      <c r="O1979" s="66"/>
      <c r="P1979" s="66"/>
      <c r="Q1979" s="66"/>
      <c r="R1979" s="66"/>
      <c r="S1979" s="66"/>
      <c r="T1979" s="69"/>
      <c r="U1979" s="66"/>
      <c r="V1979" s="66"/>
      <c r="W1979" s="75"/>
      <c r="X1979" s="66"/>
      <c r="Y1979" s="66"/>
    </row>
    <row hidden="true" r="1980">
      <c r="N1980" s="66"/>
      <c r="O1980" s="66"/>
      <c r="P1980" s="66"/>
      <c r="Q1980" s="66"/>
      <c r="R1980" s="66"/>
      <c r="S1980" s="66"/>
      <c r="T1980" s="69"/>
      <c r="U1980" s="66"/>
      <c r="V1980" s="66"/>
      <c r="W1980" s="75"/>
      <c r="X1980" s="66"/>
      <c r="Y1980" s="66"/>
    </row>
    <row hidden="true" r="1981">
      <c r="N1981" s="66"/>
      <c r="O1981" s="66"/>
      <c r="P1981" s="66"/>
      <c r="Q1981" s="66"/>
      <c r="R1981" s="66"/>
      <c r="S1981" s="66"/>
      <c r="T1981" s="69"/>
      <c r="U1981" s="66"/>
      <c r="V1981" s="66"/>
      <c r="W1981" s="75"/>
      <c r="X1981" s="66"/>
      <c r="Y1981" s="66"/>
    </row>
    <row hidden="true" r="1982">
      <c r="N1982" s="66"/>
      <c r="O1982" s="66"/>
      <c r="P1982" s="66"/>
      <c r="Q1982" s="66"/>
      <c r="R1982" s="66"/>
      <c r="S1982" s="66"/>
      <c r="T1982" s="69"/>
      <c r="U1982" s="66"/>
      <c r="V1982" s="66"/>
      <c r="W1982" s="75"/>
      <c r="X1982" s="66"/>
      <c r="Y1982" s="66"/>
    </row>
    <row hidden="true" r="1983">
      <c r="N1983" s="66"/>
      <c r="O1983" s="66"/>
      <c r="P1983" s="66"/>
      <c r="Q1983" s="66"/>
      <c r="R1983" s="66"/>
      <c r="S1983" s="66"/>
      <c r="T1983" s="69"/>
      <c r="U1983" s="66"/>
      <c r="V1983" s="66"/>
      <c r="W1983" s="75"/>
      <c r="X1983" s="66"/>
      <c r="Y1983" s="66"/>
    </row>
    <row hidden="true" r="1984">
      <c r="N1984" s="66"/>
      <c r="O1984" s="66"/>
      <c r="P1984" s="66"/>
      <c r="Q1984" s="66"/>
      <c r="R1984" s="66"/>
      <c r="S1984" s="66"/>
      <c r="T1984" s="69"/>
      <c r="U1984" s="66"/>
      <c r="V1984" s="66"/>
      <c r="W1984" s="75"/>
      <c r="X1984" s="66"/>
      <c r="Y1984" s="66"/>
    </row>
    <row hidden="true" r="1985">
      <c r="N1985" s="66"/>
      <c r="O1985" s="66"/>
      <c r="P1985" s="66"/>
      <c r="Q1985" s="66"/>
      <c r="R1985" s="66"/>
      <c r="S1985" s="66"/>
      <c r="T1985" s="69"/>
      <c r="U1985" s="66"/>
      <c r="V1985" s="66"/>
      <c r="W1985" s="75"/>
      <c r="X1985" s="66"/>
      <c r="Y1985" s="66"/>
    </row>
    <row hidden="true" r="1986">
      <c r="N1986" s="66"/>
      <c r="O1986" s="66"/>
      <c r="P1986" s="66"/>
      <c r="Q1986" s="66"/>
      <c r="R1986" s="66"/>
      <c r="S1986" s="66"/>
      <c r="T1986" s="69"/>
      <c r="U1986" s="66"/>
      <c r="V1986" s="66"/>
      <c r="W1986" s="75"/>
      <c r="X1986" s="66"/>
      <c r="Y1986" s="66"/>
    </row>
    <row hidden="true" r="1987">
      <c r="N1987" s="66"/>
      <c r="O1987" s="66"/>
      <c r="P1987" s="66"/>
      <c r="Q1987" s="66"/>
      <c r="R1987" s="66"/>
      <c r="S1987" s="66"/>
      <c r="T1987" s="69"/>
      <c r="U1987" s="66"/>
      <c r="V1987" s="66"/>
      <c r="W1987" s="75"/>
      <c r="X1987" s="66"/>
      <c r="Y1987" s="66"/>
    </row>
    <row hidden="true" r="1988">
      <c r="N1988" s="66"/>
      <c r="O1988" s="66"/>
      <c r="P1988" s="66"/>
      <c r="Q1988" s="66"/>
      <c r="R1988" s="66"/>
      <c r="S1988" s="66"/>
      <c r="T1988" s="69"/>
      <c r="U1988" s="66"/>
      <c r="V1988" s="66"/>
      <c r="W1988" s="75"/>
      <c r="X1988" s="66"/>
      <c r="Y1988" s="66"/>
    </row>
    <row hidden="true" r="1989">
      <c r="N1989" s="66"/>
      <c r="O1989" s="66"/>
      <c r="P1989" s="66"/>
      <c r="Q1989" s="66"/>
      <c r="R1989" s="66"/>
      <c r="S1989" s="66"/>
      <c r="T1989" s="69"/>
      <c r="U1989" s="66"/>
      <c r="V1989" s="66"/>
      <c r="W1989" s="75"/>
      <c r="X1989" s="66"/>
      <c r="Y1989" s="66"/>
    </row>
    <row hidden="true" r="1990">
      <c r="N1990" s="66"/>
      <c r="O1990" s="66"/>
      <c r="P1990" s="66"/>
      <c r="Q1990" s="66"/>
      <c r="R1990" s="66"/>
      <c r="S1990" s="66"/>
      <c r="T1990" s="69"/>
      <c r="U1990" s="66"/>
      <c r="V1990" s="66"/>
      <c r="W1990" s="75"/>
      <c r="X1990" s="66"/>
      <c r="Y1990" s="66"/>
    </row>
    <row hidden="true" r="1991">
      <c r="N1991" s="66"/>
      <c r="O1991" s="66"/>
      <c r="P1991" s="66"/>
      <c r="Q1991" s="66"/>
      <c r="R1991" s="66"/>
      <c r="S1991" s="66"/>
      <c r="T1991" s="69"/>
      <c r="U1991" s="66"/>
      <c r="V1991" s="66"/>
      <c r="W1991" s="75"/>
      <c r="X1991" s="66"/>
      <c r="Y1991" s="66"/>
    </row>
    <row hidden="true" r="1992">
      <c r="N1992" s="66"/>
      <c r="O1992" s="66"/>
      <c r="P1992" s="66"/>
      <c r="Q1992" s="66"/>
      <c r="R1992" s="66"/>
      <c r="S1992" s="66"/>
      <c r="T1992" s="69"/>
      <c r="U1992" s="66"/>
      <c r="V1992" s="66"/>
      <c r="W1992" s="75"/>
      <c r="X1992" s="66"/>
      <c r="Y1992" s="66"/>
    </row>
    <row hidden="true" r="1993">
      <c r="N1993" s="66"/>
      <c r="O1993" s="66"/>
      <c r="P1993" s="66"/>
      <c r="Q1993" s="66"/>
      <c r="R1993" s="66"/>
      <c r="S1993" s="66"/>
      <c r="T1993" s="69"/>
      <c r="U1993" s="66"/>
      <c r="V1993" s="66"/>
      <c r="W1993" s="75"/>
      <c r="X1993" s="66"/>
      <c r="Y1993" s="66"/>
    </row>
    <row hidden="true" r="1994">
      <c r="N1994" s="66"/>
      <c r="O1994" s="66"/>
      <c r="P1994" s="66"/>
      <c r="Q1994" s="66"/>
      <c r="R1994" s="66"/>
      <c r="S1994" s="66"/>
      <c r="T1994" s="69"/>
      <c r="U1994" s="66"/>
      <c r="V1994" s="66"/>
      <c r="W1994" s="75"/>
      <c r="X1994" s="66"/>
      <c r="Y1994" s="66"/>
    </row>
    <row hidden="true" r="1995">
      <c r="N1995" s="66"/>
      <c r="O1995" s="66"/>
      <c r="P1995" s="66"/>
      <c r="Q1995" s="66"/>
      <c r="R1995" s="66"/>
      <c r="S1995" s="66"/>
      <c r="T1995" s="69"/>
      <c r="U1995" s="66"/>
      <c r="V1995" s="66"/>
      <c r="W1995" s="75"/>
      <c r="X1995" s="66"/>
      <c r="Y1995" s="66"/>
    </row>
    <row hidden="true" r="1996">
      <c r="N1996" s="66"/>
      <c r="O1996" s="66"/>
      <c r="P1996" s="66"/>
      <c r="Q1996" s="66"/>
      <c r="R1996" s="66"/>
      <c r="S1996" s="66"/>
      <c r="T1996" s="69"/>
      <c r="U1996" s="66"/>
      <c r="V1996" s="66"/>
      <c r="W1996" s="75"/>
      <c r="X1996" s="66"/>
      <c r="Y1996" s="66"/>
    </row>
    <row hidden="true" r="1997">
      <c r="N1997" s="66"/>
      <c r="O1997" s="66"/>
      <c r="P1997" s="66"/>
      <c r="Q1997" s="66"/>
      <c r="R1997" s="66"/>
      <c r="S1997" s="66"/>
      <c r="T1997" s="69"/>
      <c r="U1997" s="66"/>
      <c r="V1997" s="66"/>
      <c r="W1997" s="75"/>
      <c r="X1997" s="66"/>
      <c r="Y1997" s="66"/>
    </row>
    <row hidden="true" r="1998">
      <c r="N1998" s="66"/>
      <c r="O1998" s="66"/>
      <c r="P1998" s="66"/>
      <c r="Q1998" s="66"/>
      <c r="R1998" s="66"/>
      <c r="S1998" s="66"/>
      <c r="T1998" s="69"/>
      <c r="U1998" s="66"/>
      <c r="V1998" s="66"/>
      <c r="W1998" s="75"/>
      <c r="X1998" s="66"/>
      <c r="Y1998" s="66"/>
    </row>
    <row hidden="true" r="1999">
      <c r="N1999" s="66"/>
      <c r="O1999" s="66"/>
      <c r="P1999" s="66"/>
      <c r="Q1999" s="66"/>
      <c r="R1999" s="66"/>
      <c r="S1999" s="66"/>
      <c r="T1999" s="69"/>
      <c r="U1999" s="66"/>
      <c r="V1999" s="66"/>
      <c r="W1999" s="75"/>
      <c r="X1999" s="66"/>
      <c r="Y1999" s="66"/>
    </row>
    <row hidden="true" r="2000">
      <c r="N2000" s="66"/>
      <c r="O2000" s="66"/>
      <c r="P2000" s="66"/>
      <c r="Q2000" s="66"/>
      <c r="R2000" s="66"/>
      <c r="S2000" s="66"/>
      <c r="T2000" s="69"/>
      <c r="U2000" s="66"/>
      <c r="V2000" s="66"/>
      <c r="W2000" s="75"/>
      <c r="X2000" s="66"/>
      <c r="Y2000" s="66"/>
    </row>
    <row hidden="true" r="2001">
      <c r="N2001" s="66"/>
      <c r="O2001" s="66"/>
      <c r="P2001" s="66"/>
      <c r="Q2001" s="66"/>
      <c r="R2001" s="66"/>
      <c r="S2001" s="66"/>
      <c r="T2001" s="69"/>
      <c r="U2001" s="66"/>
      <c r="V2001" s="66"/>
      <c r="W2001" s="75"/>
      <c r="X2001" s="66"/>
      <c r="Y2001" s="66"/>
    </row>
    <row hidden="true" r="2002">
      <c r="N2002" s="66"/>
      <c r="O2002" s="66"/>
      <c r="P2002" s="66"/>
      <c r="Q2002" s="66"/>
      <c r="R2002" s="66"/>
      <c r="S2002" s="66"/>
      <c r="T2002" s="69"/>
      <c r="U2002" s="66"/>
      <c r="V2002" s="66"/>
      <c r="W2002" s="75"/>
      <c r="X2002" s="66"/>
      <c r="Y2002" s="66"/>
    </row>
    <row hidden="true" r="2003">
      <c r="N2003" s="66"/>
      <c r="O2003" s="66"/>
      <c r="P2003" s="66"/>
      <c r="Q2003" s="66"/>
      <c r="R2003" s="66"/>
      <c r="S2003" s="66"/>
      <c r="T2003" s="69"/>
      <c r="U2003" s="66"/>
      <c r="V2003" s="66"/>
      <c r="W2003" s="75"/>
      <c r="X2003" s="66"/>
      <c r="Y2003" s="66"/>
    </row>
    <row hidden="true" r="2004">
      <c r="N2004" s="66"/>
      <c r="O2004" s="66"/>
      <c r="P2004" s="66"/>
      <c r="Q2004" s="66"/>
      <c r="R2004" s="66"/>
      <c r="S2004" s="66"/>
      <c r="T2004" s="69"/>
      <c r="U2004" s="66"/>
      <c r="V2004" s="66"/>
      <c r="W2004" s="75"/>
      <c r="X2004" s="66"/>
      <c r="Y2004" s="66"/>
    </row>
    <row hidden="true" r="2005">
      <c r="N2005" s="66"/>
      <c r="O2005" s="66"/>
      <c r="P2005" s="66"/>
      <c r="Q2005" s="66"/>
      <c r="R2005" s="66"/>
      <c r="S2005" s="66"/>
      <c r="T2005" s="69"/>
      <c r="U2005" s="66"/>
      <c r="V2005" s="66"/>
      <c r="W2005" s="75"/>
      <c r="X2005" s="66"/>
      <c r="Y2005" s="66"/>
    </row>
    <row hidden="true" r="2006">
      <c r="N2006" s="66"/>
      <c r="O2006" s="66"/>
      <c r="P2006" s="66"/>
      <c r="Q2006" s="66"/>
      <c r="R2006" s="66"/>
      <c r="S2006" s="66"/>
      <c r="T2006" s="69"/>
      <c r="U2006" s="66"/>
      <c r="V2006" s="66"/>
      <c r="W2006" s="75"/>
      <c r="X2006" s="66"/>
      <c r="Y2006" s="66"/>
    </row>
    <row hidden="true" r="2007">
      <c r="N2007" s="66"/>
      <c r="O2007" s="66"/>
      <c r="P2007" s="66"/>
      <c r="Q2007" s="66"/>
      <c r="R2007" s="66"/>
      <c r="S2007" s="66"/>
      <c r="T2007" s="69"/>
      <c r="U2007" s="66"/>
      <c r="V2007" s="66"/>
      <c r="W2007" s="75"/>
      <c r="X2007" s="66"/>
      <c r="Y2007" s="66"/>
    </row>
    <row hidden="true" r="2008">
      <c r="N2008" s="66"/>
      <c r="O2008" s="66"/>
      <c r="P2008" s="66"/>
      <c r="Q2008" s="66"/>
      <c r="R2008" s="66"/>
      <c r="S2008" s="66"/>
      <c r="T2008" s="69"/>
      <c r="U2008" s="66"/>
      <c r="V2008" s="66"/>
      <c r="W2008" s="75"/>
      <c r="X2008" s="66"/>
      <c r="Y2008" s="66"/>
    </row>
    <row hidden="true" r="2009">
      <c r="N2009" s="66"/>
      <c r="O2009" s="66"/>
      <c r="P2009" s="66"/>
      <c r="Q2009" s="66"/>
      <c r="R2009" s="66"/>
      <c r="S2009" s="66"/>
      <c r="T2009" s="69"/>
      <c r="U2009" s="66"/>
      <c r="V2009" s="66"/>
      <c r="W2009" s="75"/>
      <c r="X2009" s="66"/>
      <c r="Y2009" s="66"/>
    </row>
    <row hidden="true" r="2010">
      <c r="N2010" s="66"/>
      <c r="O2010" s="66"/>
      <c r="P2010" s="66"/>
      <c r="Q2010" s="66"/>
      <c r="R2010" s="66"/>
      <c r="S2010" s="66"/>
      <c r="T2010" s="69"/>
      <c r="U2010" s="66"/>
      <c r="V2010" s="66"/>
      <c r="W2010" s="75"/>
      <c r="X2010" s="66"/>
      <c r="Y2010" s="66"/>
    </row>
    <row hidden="true" r="2011">
      <c r="N2011" s="66"/>
      <c r="O2011" s="66"/>
      <c r="P2011" s="66"/>
      <c r="Q2011" s="66"/>
      <c r="R2011" s="66"/>
      <c r="S2011" s="66"/>
      <c r="T2011" s="69"/>
      <c r="U2011" s="66"/>
      <c r="V2011" s="66"/>
      <c r="W2011" s="75"/>
      <c r="X2011" s="66"/>
      <c r="Y2011" s="66"/>
    </row>
    <row hidden="true" r="2012">
      <c r="N2012" s="66"/>
      <c r="O2012" s="66"/>
      <c r="P2012" s="66"/>
      <c r="Q2012" s="66"/>
      <c r="R2012" s="66"/>
      <c r="S2012" s="66"/>
      <c r="T2012" s="69"/>
      <c r="U2012" s="66"/>
      <c r="V2012" s="66"/>
      <c r="W2012" s="75"/>
      <c r="X2012" s="66"/>
      <c r="Y2012" s="66"/>
    </row>
    <row hidden="true" r="2013">
      <c r="N2013" s="66"/>
      <c r="O2013" s="66"/>
      <c r="P2013" s="66"/>
      <c r="Q2013" s="66"/>
      <c r="R2013" s="66"/>
      <c r="S2013" s="66"/>
      <c r="T2013" s="69"/>
      <c r="U2013" s="66"/>
      <c r="V2013" s="66"/>
      <c r="W2013" s="75"/>
      <c r="X2013" s="66"/>
      <c r="Y2013" s="66"/>
    </row>
    <row hidden="true" r="2014">
      <c r="N2014" s="66"/>
      <c r="O2014" s="66"/>
      <c r="P2014" s="66"/>
      <c r="Q2014" s="66"/>
      <c r="R2014" s="66"/>
      <c r="S2014" s="66"/>
      <c r="T2014" s="69"/>
      <c r="U2014" s="66"/>
      <c r="V2014" s="66"/>
      <c r="W2014" s="75"/>
      <c r="X2014" s="66"/>
      <c r="Y2014" s="66"/>
    </row>
    <row hidden="true" r="2015">
      <c r="N2015" s="66"/>
      <c r="O2015" s="66"/>
      <c r="P2015" s="66"/>
      <c r="Q2015" s="66"/>
      <c r="R2015" s="66"/>
      <c r="S2015" s="66"/>
      <c r="T2015" s="69"/>
      <c r="U2015" s="66"/>
      <c r="V2015" s="66"/>
      <c r="W2015" s="75"/>
      <c r="X2015" s="66"/>
      <c r="Y2015" s="66"/>
    </row>
    <row hidden="true" r="2016">
      <c r="N2016" s="66"/>
      <c r="O2016" s="66"/>
      <c r="P2016" s="66"/>
      <c r="Q2016" s="66"/>
      <c r="R2016" s="66"/>
      <c r="S2016" s="66"/>
      <c r="T2016" s="69"/>
      <c r="U2016" s="66"/>
      <c r="V2016" s="66"/>
      <c r="W2016" s="75"/>
      <c r="X2016" s="66"/>
      <c r="Y2016" s="66"/>
    </row>
    <row hidden="true" r="2017">
      <c r="N2017" s="66"/>
      <c r="O2017" s="66"/>
      <c r="P2017" s="66"/>
      <c r="Q2017" s="66"/>
      <c r="R2017" s="66"/>
      <c r="S2017" s="66"/>
      <c r="T2017" s="69"/>
      <c r="U2017" s="66"/>
      <c r="V2017" s="66"/>
      <c r="W2017" s="75"/>
      <c r="X2017" s="66"/>
      <c r="Y2017" s="66"/>
    </row>
    <row hidden="true" r="2018">
      <c r="N2018" s="66"/>
      <c r="O2018" s="66"/>
      <c r="P2018" s="66"/>
      <c r="Q2018" s="66"/>
      <c r="R2018" s="66"/>
      <c r="S2018" s="66"/>
      <c r="T2018" s="69"/>
      <c r="U2018" s="66"/>
      <c r="V2018" s="66"/>
      <c r="W2018" s="75"/>
      <c r="X2018" s="66"/>
      <c r="Y2018" s="66"/>
    </row>
    <row hidden="true" r="2019">
      <c r="N2019" s="66"/>
      <c r="O2019" s="66"/>
      <c r="P2019" s="66"/>
      <c r="Q2019" s="66"/>
      <c r="R2019" s="66"/>
      <c r="S2019" s="66"/>
      <c r="T2019" s="69"/>
      <c r="U2019" s="66"/>
      <c r="V2019" s="66"/>
      <c r="W2019" s="75"/>
      <c r="X2019" s="66"/>
      <c r="Y2019" s="66"/>
    </row>
    <row hidden="true" r="2020">
      <c r="N2020" s="66"/>
      <c r="O2020" s="66"/>
      <c r="P2020" s="66"/>
      <c r="Q2020" s="66"/>
      <c r="R2020" s="66"/>
      <c r="S2020" s="66"/>
      <c r="T2020" s="69"/>
      <c r="U2020" s="66"/>
      <c r="V2020" s="66"/>
      <c r="W2020" s="75"/>
      <c r="X2020" s="66"/>
      <c r="Y2020" s="66"/>
    </row>
    <row hidden="true" r="2021">
      <c r="N2021" s="66"/>
      <c r="O2021" s="66"/>
      <c r="P2021" s="66"/>
      <c r="Q2021" s="66"/>
      <c r="R2021" s="66"/>
      <c r="S2021" s="66"/>
      <c r="T2021" s="69"/>
      <c r="U2021" s="66"/>
      <c r="V2021" s="66"/>
      <c r="W2021" s="75"/>
      <c r="X2021" s="66"/>
      <c r="Y2021" s="66"/>
    </row>
    <row hidden="true" r="2022">
      <c r="N2022" s="66"/>
      <c r="O2022" s="66"/>
      <c r="P2022" s="66"/>
      <c r="Q2022" s="66"/>
      <c r="R2022" s="66"/>
      <c r="S2022" s="66"/>
      <c r="T2022" s="69"/>
      <c r="U2022" s="66"/>
      <c r="V2022" s="66"/>
      <c r="W2022" s="75"/>
      <c r="X2022" s="66"/>
      <c r="Y2022" s="66"/>
    </row>
    <row hidden="true" r="2023">
      <c r="N2023" s="66"/>
      <c r="O2023" s="66"/>
      <c r="P2023" s="66"/>
      <c r="Q2023" s="66"/>
      <c r="R2023" s="66"/>
      <c r="S2023" s="66"/>
      <c r="T2023" s="69"/>
      <c r="U2023" s="66"/>
      <c r="V2023" s="66"/>
      <c r="W2023" s="75"/>
      <c r="X2023" s="66"/>
      <c r="Y2023" s="66"/>
    </row>
    <row hidden="true" r="2024">
      <c r="N2024" s="66"/>
      <c r="O2024" s="66"/>
      <c r="P2024" s="66"/>
      <c r="Q2024" s="66"/>
      <c r="R2024" s="66"/>
      <c r="S2024" s="66"/>
      <c r="T2024" s="69"/>
      <c r="U2024" s="66"/>
      <c r="V2024" s="66"/>
      <c r="W2024" s="75"/>
      <c r="X2024" s="66"/>
      <c r="Y2024" s="66"/>
    </row>
    <row hidden="true" r="2025">
      <c r="N2025" s="66"/>
      <c r="O2025" s="66"/>
      <c r="P2025" s="66"/>
      <c r="Q2025" s="66"/>
      <c r="R2025" s="66"/>
      <c r="S2025" s="66"/>
      <c r="T2025" s="69"/>
      <c r="U2025" s="66"/>
      <c r="V2025" s="66"/>
      <c r="W2025" s="75"/>
      <c r="X2025" s="66"/>
      <c r="Y2025" s="66"/>
    </row>
    <row hidden="true" r="2026">
      <c r="N2026" s="66"/>
      <c r="O2026" s="66"/>
      <c r="P2026" s="66"/>
      <c r="Q2026" s="66"/>
      <c r="R2026" s="66"/>
      <c r="S2026" s="66"/>
      <c r="T2026" s="69"/>
      <c r="U2026" s="66"/>
      <c r="V2026" s="66"/>
      <c r="W2026" s="75"/>
      <c r="X2026" s="66"/>
      <c r="Y2026" s="66"/>
    </row>
    <row hidden="true" r="2027">
      <c r="N2027" s="66"/>
      <c r="O2027" s="66"/>
      <c r="P2027" s="66"/>
      <c r="Q2027" s="66"/>
      <c r="R2027" s="66"/>
      <c r="S2027" s="66"/>
      <c r="T2027" s="69"/>
      <c r="U2027" s="66"/>
      <c r="V2027" s="66"/>
      <c r="W2027" s="75"/>
      <c r="X2027" s="66"/>
      <c r="Y2027" s="66"/>
    </row>
    <row hidden="true" r="2028">
      <c r="N2028" s="66"/>
      <c r="O2028" s="66"/>
      <c r="P2028" s="66"/>
      <c r="Q2028" s="66"/>
      <c r="R2028" s="66"/>
      <c r="S2028" s="66"/>
      <c r="T2028" s="69"/>
      <c r="U2028" s="66"/>
      <c r="V2028" s="66"/>
      <c r="W2028" s="75"/>
      <c r="X2028" s="66"/>
      <c r="Y2028" s="66"/>
    </row>
    <row hidden="true" r="2029">
      <c r="N2029" s="66"/>
      <c r="O2029" s="66"/>
      <c r="P2029" s="66"/>
      <c r="Q2029" s="66"/>
      <c r="R2029" s="66"/>
      <c r="S2029" s="66"/>
      <c r="T2029" s="69"/>
      <c r="U2029" s="66"/>
      <c r="V2029" s="66"/>
      <c r="W2029" s="75"/>
      <c r="X2029" s="66"/>
      <c r="Y2029" s="66"/>
    </row>
    <row hidden="true" r="2030">
      <c r="N2030" s="66"/>
      <c r="O2030" s="66"/>
      <c r="P2030" s="66"/>
      <c r="Q2030" s="66"/>
      <c r="R2030" s="66"/>
      <c r="S2030" s="66"/>
      <c r="T2030" s="69"/>
      <c r="U2030" s="66"/>
      <c r="V2030" s="66"/>
      <c r="W2030" s="75"/>
      <c r="X2030" s="66"/>
      <c r="Y2030" s="66"/>
    </row>
    <row hidden="true" r="2031">
      <c r="N2031" s="66"/>
      <c r="O2031" s="66"/>
      <c r="P2031" s="66"/>
      <c r="Q2031" s="66"/>
      <c r="R2031" s="66"/>
      <c r="S2031" s="66"/>
      <c r="T2031" s="69"/>
      <c r="U2031" s="66"/>
      <c r="V2031" s="66"/>
      <c r="W2031" s="75"/>
      <c r="X2031" s="66"/>
      <c r="Y2031" s="66"/>
    </row>
    <row hidden="true" r="2032">
      <c r="N2032" s="66"/>
      <c r="O2032" s="66"/>
      <c r="P2032" s="66"/>
      <c r="Q2032" s="66"/>
      <c r="R2032" s="66"/>
      <c r="S2032" s="66"/>
      <c r="T2032" s="69"/>
      <c r="U2032" s="66"/>
      <c r="V2032" s="66"/>
      <c r="W2032" s="75"/>
      <c r="X2032" s="66"/>
      <c r="Y2032" s="66"/>
    </row>
    <row hidden="true" r="2033">
      <c r="N2033" s="66"/>
      <c r="O2033" s="66"/>
      <c r="P2033" s="66"/>
      <c r="Q2033" s="66"/>
      <c r="R2033" s="66"/>
      <c r="S2033" s="66"/>
      <c r="T2033" s="69"/>
      <c r="U2033" s="66"/>
      <c r="V2033" s="66"/>
      <c r="W2033" s="75"/>
      <c r="X2033" s="66"/>
      <c r="Y2033" s="66"/>
    </row>
    <row hidden="true" r="2034">
      <c r="N2034" s="66"/>
      <c r="O2034" s="66"/>
      <c r="P2034" s="66"/>
      <c r="Q2034" s="66"/>
      <c r="R2034" s="66"/>
      <c r="S2034" s="66"/>
      <c r="T2034" s="69"/>
      <c r="U2034" s="66"/>
      <c r="V2034" s="66"/>
      <c r="W2034" s="75"/>
      <c r="X2034" s="66"/>
      <c r="Y2034" s="66"/>
    </row>
    <row hidden="true" r="2035">
      <c r="N2035" s="66"/>
      <c r="O2035" s="66"/>
      <c r="P2035" s="66"/>
      <c r="Q2035" s="66"/>
      <c r="R2035" s="66"/>
      <c r="S2035" s="66"/>
      <c r="T2035" s="69"/>
      <c r="U2035" s="66"/>
      <c r="V2035" s="66"/>
      <c r="W2035" s="75"/>
      <c r="X2035" s="66"/>
      <c r="Y2035" s="66"/>
    </row>
    <row hidden="true" r="2036">
      <c r="N2036" s="66"/>
      <c r="O2036" s="66"/>
      <c r="P2036" s="66"/>
      <c r="Q2036" s="66"/>
      <c r="R2036" s="66"/>
      <c r="S2036" s="66"/>
      <c r="T2036" s="69"/>
      <c r="U2036" s="66"/>
      <c r="V2036" s="66"/>
      <c r="W2036" s="75"/>
      <c r="X2036" s="66"/>
      <c r="Y2036" s="66"/>
    </row>
    <row hidden="true" r="2037">
      <c r="N2037" s="66"/>
      <c r="O2037" s="66"/>
      <c r="P2037" s="66"/>
      <c r="Q2037" s="66"/>
      <c r="R2037" s="66"/>
      <c r="S2037" s="66"/>
      <c r="T2037" s="69"/>
      <c r="U2037" s="66"/>
      <c r="V2037" s="66"/>
      <c r="W2037" s="75"/>
      <c r="X2037" s="66"/>
      <c r="Y2037" s="66"/>
    </row>
    <row hidden="true" r="2038">
      <c r="N2038" s="66"/>
      <c r="O2038" s="66"/>
      <c r="P2038" s="66"/>
      <c r="Q2038" s="66"/>
      <c r="R2038" s="66"/>
      <c r="S2038" s="66"/>
      <c r="T2038" s="69"/>
      <c r="U2038" s="66"/>
      <c r="V2038" s="66"/>
      <c r="W2038" s="75"/>
      <c r="X2038" s="66"/>
      <c r="Y2038" s="66"/>
    </row>
    <row hidden="true" r="2039">
      <c r="N2039" s="66"/>
      <c r="O2039" s="66"/>
      <c r="P2039" s="66"/>
      <c r="Q2039" s="66"/>
      <c r="R2039" s="66"/>
      <c r="S2039" s="66"/>
      <c r="T2039" s="69"/>
      <c r="U2039" s="66"/>
      <c r="V2039" s="66"/>
      <c r="W2039" s="75"/>
      <c r="X2039" s="66"/>
      <c r="Y2039" s="66"/>
    </row>
    <row hidden="true" r="2040">
      <c r="N2040" s="66"/>
      <c r="O2040" s="66"/>
      <c r="P2040" s="66"/>
      <c r="Q2040" s="66"/>
      <c r="R2040" s="66"/>
      <c r="S2040" s="66"/>
      <c r="T2040" s="69"/>
      <c r="U2040" s="66"/>
      <c r="V2040" s="66"/>
      <c r="W2040" s="75"/>
      <c r="X2040" s="66"/>
      <c r="Y2040" s="66"/>
    </row>
    <row hidden="true" r="2041">
      <c r="N2041" s="66"/>
      <c r="O2041" s="66"/>
      <c r="P2041" s="66"/>
      <c r="Q2041" s="66"/>
      <c r="R2041" s="66"/>
      <c r="S2041" s="66"/>
      <c r="T2041" s="69"/>
      <c r="U2041" s="66"/>
      <c r="V2041" s="66"/>
      <c r="W2041" s="75"/>
      <c r="X2041" s="66"/>
      <c r="Y2041" s="66"/>
    </row>
    <row hidden="true" r="2042">
      <c r="N2042" s="66"/>
      <c r="O2042" s="66"/>
      <c r="P2042" s="66"/>
      <c r="Q2042" s="66"/>
      <c r="R2042" s="66"/>
      <c r="S2042" s="66"/>
      <c r="T2042" s="69"/>
      <c r="U2042" s="66"/>
      <c r="V2042" s="66"/>
      <c r="W2042" s="75"/>
      <c r="X2042" s="66"/>
      <c r="Y2042" s="66"/>
    </row>
    <row hidden="true" r="2043">
      <c r="N2043" s="66"/>
      <c r="O2043" s="66"/>
      <c r="P2043" s="66"/>
      <c r="Q2043" s="66"/>
      <c r="R2043" s="66"/>
      <c r="S2043" s="66"/>
      <c r="T2043" s="69"/>
      <c r="U2043" s="66"/>
      <c r="V2043" s="66"/>
      <c r="W2043" s="75"/>
      <c r="X2043" s="66"/>
      <c r="Y2043" s="66"/>
    </row>
    <row hidden="true" r="2044">
      <c r="N2044" s="66"/>
      <c r="O2044" s="66"/>
      <c r="P2044" s="66"/>
      <c r="Q2044" s="66"/>
      <c r="R2044" s="66"/>
      <c r="S2044" s="66"/>
      <c r="T2044" s="69"/>
      <c r="U2044" s="66"/>
      <c r="V2044" s="66"/>
      <c r="W2044" s="75"/>
      <c r="X2044" s="66"/>
      <c r="Y2044" s="66"/>
    </row>
    <row hidden="true" r="2045">
      <c r="N2045" s="66"/>
      <c r="O2045" s="66"/>
      <c r="P2045" s="66"/>
      <c r="Q2045" s="66"/>
      <c r="R2045" s="66"/>
      <c r="S2045" s="66"/>
      <c r="T2045" s="69"/>
      <c r="U2045" s="66"/>
      <c r="V2045" s="66"/>
      <c r="W2045" s="75"/>
      <c r="X2045" s="66"/>
      <c r="Y2045" s="66"/>
    </row>
    <row hidden="true" r="2046">
      <c r="N2046" s="66"/>
      <c r="O2046" s="66"/>
      <c r="P2046" s="66"/>
      <c r="Q2046" s="66"/>
      <c r="R2046" s="66"/>
      <c r="S2046" s="66"/>
      <c r="T2046" s="69"/>
      <c r="U2046" s="66"/>
      <c r="V2046" s="66"/>
      <c r="W2046" s="75"/>
      <c r="X2046" s="66"/>
      <c r="Y2046" s="66"/>
    </row>
    <row hidden="true" r="2047">
      <c r="N2047" s="66"/>
      <c r="O2047" s="66"/>
      <c r="P2047" s="66"/>
      <c r="Q2047" s="66"/>
      <c r="R2047" s="66"/>
      <c r="S2047" s="66"/>
      <c r="T2047" s="69"/>
      <c r="U2047" s="66"/>
      <c r="V2047" s="66"/>
      <c r="W2047" s="75"/>
      <c r="X2047" s="66"/>
      <c r="Y2047" s="66"/>
    </row>
    <row hidden="true" r="2048">
      <c r="N2048" s="66"/>
      <c r="O2048" s="66"/>
      <c r="P2048" s="66"/>
      <c r="Q2048" s="66"/>
      <c r="R2048" s="66"/>
      <c r="S2048" s="66"/>
      <c r="T2048" s="69"/>
      <c r="U2048" s="66"/>
      <c r="V2048" s="66"/>
      <c r="W2048" s="75"/>
      <c r="X2048" s="66"/>
      <c r="Y2048" s="66"/>
    </row>
    <row hidden="true" r="2049">
      <c r="N2049" s="66"/>
      <c r="O2049" s="66"/>
      <c r="P2049" s="66"/>
      <c r="Q2049" s="66"/>
      <c r="R2049" s="66"/>
      <c r="S2049" s="66"/>
      <c r="T2049" s="69"/>
      <c r="U2049" s="66"/>
      <c r="V2049" s="66"/>
      <c r="W2049" s="75"/>
      <c r="X2049" s="66"/>
      <c r="Y2049" s="66"/>
    </row>
    <row hidden="true" r="2050">
      <c r="N2050" s="66"/>
      <c r="O2050" s="66"/>
      <c r="P2050" s="66"/>
      <c r="Q2050" s="66"/>
      <c r="R2050" s="66"/>
      <c r="S2050" s="66"/>
      <c r="T2050" s="69"/>
      <c r="U2050" s="66"/>
      <c r="V2050" s="66"/>
      <c r="W2050" s="75"/>
      <c r="X2050" s="66"/>
      <c r="Y2050" s="66"/>
    </row>
    <row hidden="true" r="2051">
      <c r="N2051" s="66"/>
      <c r="O2051" s="66"/>
      <c r="P2051" s="66"/>
      <c r="Q2051" s="66"/>
      <c r="R2051" s="66"/>
      <c r="S2051" s="66"/>
      <c r="T2051" s="69"/>
      <c r="U2051" s="66"/>
      <c r="V2051" s="66"/>
      <c r="W2051" s="75"/>
      <c r="X2051" s="66"/>
      <c r="Y2051" s="66"/>
    </row>
    <row hidden="true" r="2052">
      <c r="N2052" s="66"/>
      <c r="O2052" s="66"/>
      <c r="P2052" s="66"/>
      <c r="Q2052" s="66"/>
      <c r="R2052" s="66"/>
      <c r="S2052" s="66"/>
      <c r="T2052" s="69"/>
      <c r="U2052" s="66"/>
      <c r="V2052" s="66"/>
      <c r="W2052" s="75"/>
      <c r="X2052" s="66"/>
      <c r="Y2052" s="66"/>
    </row>
    <row hidden="true" r="2053">
      <c r="N2053" s="66"/>
      <c r="O2053" s="66"/>
      <c r="P2053" s="66"/>
      <c r="Q2053" s="66"/>
      <c r="R2053" s="66"/>
      <c r="S2053" s="66"/>
      <c r="T2053" s="69"/>
      <c r="U2053" s="66"/>
      <c r="V2053" s="66"/>
      <c r="W2053" s="75"/>
      <c r="X2053" s="66"/>
      <c r="Y2053" s="66"/>
    </row>
    <row hidden="true" r="2054">
      <c r="N2054" s="66"/>
      <c r="O2054" s="66"/>
      <c r="P2054" s="66"/>
      <c r="Q2054" s="66"/>
      <c r="R2054" s="66"/>
      <c r="S2054" s="66"/>
      <c r="T2054" s="69"/>
      <c r="U2054" s="66"/>
      <c r="V2054" s="66"/>
      <c r="W2054" s="75"/>
      <c r="X2054" s="66"/>
      <c r="Y2054" s="66"/>
    </row>
    <row hidden="true" r="2055">
      <c r="N2055" s="66"/>
      <c r="O2055" s="66"/>
      <c r="P2055" s="66"/>
      <c r="Q2055" s="66"/>
      <c r="R2055" s="66"/>
      <c r="S2055" s="66"/>
      <c r="T2055" s="69"/>
      <c r="U2055" s="66"/>
      <c r="V2055" s="66"/>
      <c r="W2055" s="75"/>
      <c r="X2055" s="66"/>
      <c r="Y2055" s="66"/>
    </row>
    <row hidden="true" r="2056">
      <c r="N2056" s="66"/>
      <c r="O2056" s="66"/>
      <c r="P2056" s="66"/>
      <c r="Q2056" s="66"/>
      <c r="R2056" s="66"/>
      <c r="S2056" s="66"/>
      <c r="T2056" s="69"/>
      <c r="U2056" s="66"/>
      <c r="V2056" s="66"/>
      <c r="W2056" s="75"/>
      <c r="X2056" s="66"/>
      <c r="Y2056" s="66"/>
    </row>
    <row hidden="true" r="2057">
      <c r="N2057" s="66"/>
      <c r="O2057" s="66"/>
      <c r="P2057" s="66"/>
      <c r="Q2057" s="66"/>
      <c r="R2057" s="66"/>
      <c r="S2057" s="66"/>
      <c r="T2057" s="69"/>
      <c r="U2057" s="66"/>
      <c r="V2057" s="66"/>
      <c r="W2057" s="75"/>
      <c r="X2057" s="66"/>
      <c r="Y2057" s="66"/>
    </row>
    <row hidden="true" r="2058">
      <c r="N2058" s="66"/>
      <c r="O2058" s="66"/>
      <c r="P2058" s="66"/>
      <c r="Q2058" s="66"/>
      <c r="R2058" s="66"/>
      <c r="S2058" s="66"/>
      <c r="T2058" s="69"/>
      <c r="U2058" s="66"/>
      <c r="V2058" s="66"/>
      <c r="W2058" s="75"/>
      <c r="X2058" s="66"/>
      <c r="Y2058" s="66"/>
    </row>
    <row hidden="true" r="2059">
      <c r="N2059" s="66"/>
      <c r="O2059" s="66"/>
      <c r="P2059" s="66"/>
      <c r="Q2059" s="66"/>
      <c r="R2059" s="66"/>
      <c r="S2059" s="66"/>
      <c r="T2059" s="69"/>
      <c r="U2059" s="66"/>
      <c r="V2059" s="66"/>
      <c r="W2059" s="75"/>
      <c r="X2059" s="66"/>
      <c r="Y2059" s="66"/>
    </row>
    <row hidden="true" r="2060">
      <c r="N2060" s="66"/>
      <c r="O2060" s="66"/>
      <c r="P2060" s="66"/>
      <c r="Q2060" s="66"/>
      <c r="R2060" s="66"/>
      <c r="S2060" s="66"/>
      <c r="T2060" s="69"/>
      <c r="U2060" s="66"/>
      <c r="V2060" s="66"/>
      <c r="W2060" s="75"/>
      <c r="X2060" s="66"/>
      <c r="Y2060" s="66"/>
    </row>
    <row hidden="true" r="2061">
      <c r="N2061" s="66"/>
      <c r="O2061" s="66"/>
      <c r="P2061" s="66"/>
      <c r="Q2061" s="66"/>
      <c r="R2061" s="66"/>
      <c r="S2061" s="66"/>
      <c r="T2061" s="69"/>
      <c r="U2061" s="66"/>
      <c r="V2061" s="66"/>
      <c r="W2061" s="75"/>
      <c r="X2061" s="66"/>
      <c r="Y2061" s="66"/>
    </row>
    <row hidden="true" r="2062">
      <c r="N2062" s="66"/>
      <c r="O2062" s="66"/>
      <c r="P2062" s="66"/>
      <c r="Q2062" s="66"/>
      <c r="R2062" s="66"/>
      <c r="S2062" s="66"/>
      <c r="T2062" s="69"/>
      <c r="U2062" s="66"/>
      <c r="V2062" s="66"/>
      <c r="W2062" s="75"/>
      <c r="X2062" s="66"/>
      <c r="Y2062" s="66"/>
    </row>
    <row hidden="true" r="2063">
      <c r="N2063" s="66"/>
      <c r="O2063" s="66"/>
      <c r="P2063" s="66"/>
      <c r="Q2063" s="66"/>
      <c r="R2063" s="66"/>
      <c r="S2063" s="66"/>
      <c r="T2063" s="69"/>
      <c r="U2063" s="66"/>
      <c r="V2063" s="66"/>
      <c r="W2063" s="75"/>
      <c r="X2063" s="66"/>
      <c r="Y2063" s="66"/>
    </row>
    <row hidden="true" r="2064">
      <c r="N2064" s="66"/>
      <c r="O2064" s="66"/>
      <c r="P2064" s="66"/>
      <c r="Q2064" s="66"/>
      <c r="R2064" s="66"/>
      <c r="S2064" s="66"/>
      <c r="T2064" s="69"/>
      <c r="U2064" s="66"/>
      <c r="V2064" s="66"/>
      <c r="W2064" s="75"/>
      <c r="X2064" s="66"/>
      <c r="Y2064" s="66"/>
    </row>
    <row hidden="true" r="2065">
      <c r="N2065" s="66"/>
      <c r="O2065" s="66"/>
      <c r="P2065" s="66"/>
      <c r="Q2065" s="66"/>
      <c r="R2065" s="66"/>
      <c r="S2065" s="66"/>
      <c r="T2065" s="69"/>
      <c r="U2065" s="66"/>
      <c r="V2065" s="66"/>
      <c r="W2065" s="75"/>
      <c r="X2065" s="66"/>
      <c r="Y2065" s="66"/>
    </row>
    <row hidden="true" r="2066">
      <c r="N2066" s="66"/>
      <c r="O2066" s="66"/>
      <c r="P2066" s="66"/>
      <c r="Q2066" s="66"/>
      <c r="R2066" s="66"/>
      <c r="S2066" s="66"/>
      <c r="T2066" s="69"/>
      <c r="U2066" s="66"/>
      <c r="V2066" s="66"/>
      <c r="W2066" s="75"/>
      <c r="X2066" s="66"/>
      <c r="Y2066" s="66"/>
    </row>
    <row hidden="true" r="2067">
      <c r="N2067" s="66"/>
      <c r="O2067" s="66"/>
      <c r="P2067" s="66"/>
      <c r="Q2067" s="66"/>
      <c r="R2067" s="66"/>
      <c r="S2067" s="66"/>
      <c r="T2067" s="69"/>
      <c r="U2067" s="66"/>
      <c r="V2067" s="66"/>
      <c r="W2067" s="75"/>
      <c r="X2067" s="66"/>
      <c r="Y2067" s="66"/>
    </row>
    <row hidden="true" r="2068">
      <c r="N2068" s="66"/>
      <c r="O2068" s="66"/>
      <c r="P2068" s="66"/>
      <c r="Q2068" s="66"/>
      <c r="R2068" s="66"/>
      <c r="S2068" s="66"/>
      <c r="T2068" s="69"/>
      <c r="U2068" s="66"/>
      <c r="V2068" s="66"/>
      <c r="W2068" s="75"/>
      <c r="X2068" s="66"/>
      <c r="Y2068" s="66"/>
    </row>
    <row hidden="true" r="2069">
      <c r="N2069" s="66"/>
      <c r="O2069" s="66"/>
      <c r="P2069" s="66"/>
      <c r="Q2069" s="66"/>
      <c r="R2069" s="66"/>
      <c r="S2069" s="66"/>
      <c r="T2069" s="69"/>
      <c r="U2069" s="66"/>
      <c r="V2069" s="66"/>
      <c r="W2069" s="75"/>
      <c r="X2069" s="66"/>
      <c r="Y2069" s="66"/>
    </row>
    <row hidden="true" r="2070">
      <c r="N2070" s="66"/>
      <c r="O2070" s="66"/>
      <c r="P2070" s="66"/>
      <c r="Q2070" s="66"/>
      <c r="R2070" s="66"/>
      <c r="S2070" s="66"/>
      <c r="T2070" s="69"/>
      <c r="U2070" s="66"/>
      <c r="V2070" s="66"/>
      <c r="W2070" s="75"/>
      <c r="X2070" s="66"/>
      <c r="Y2070" s="66"/>
    </row>
    <row hidden="true" r="2071">
      <c r="N2071" s="66"/>
      <c r="O2071" s="66"/>
      <c r="P2071" s="66"/>
      <c r="Q2071" s="66"/>
      <c r="R2071" s="66"/>
      <c r="S2071" s="66"/>
      <c r="T2071" s="69"/>
      <c r="U2071" s="66"/>
      <c r="V2071" s="66"/>
      <c r="W2071" s="75"/>
      <c r="X2071" s="66"/>
      <c r="Y2071" s="66"/>
    </row>
    <row hidden="true" r="2072">
      <c r="N2072" s="66"/>
      <c r="O2072" s="66"/>
      <c r="P2072" s="66"/>
      <c r="Q2072" s="66"/>
      <c r="R2072" s="66"/>
      <c r="S2072" s="66"/>
      <c r="T2072" s="69"/>
      <c r="U2072" s="66"/>
      <c r="V2072" s="66"/>
      <c r="W2072" s="75"/>
      <c r="X2072" s="66"/>
      <c r="Y2072" s="66"/>
    </row>
    <row hidden="true" r="2073">
      <c r="N2073" s="66"/>
      <c r="O2073" s="66"/>
      <c r="P2073" s="66"/>
      <c r="Q2073" s="66"/>
      <c r="R2073" s="66"/>
      <c r="S2073" s="66"/>
      <c r="T2073" s="69"/>
      <c r="U2073" s="66"/>
      <c r="V2073" s="66"/>
      <c r="W2073" s="75"/>
      <c r="X2073" s="66"/>
      <c r="Y2073" s="66"/>
    </row>
    <row hidden="true" r="2074">
      <c r="N2074" s="66"/>
      <c r="O2074" s="66"/>
      <c r="P2074" s="66"/>
      <c r="Q2074" s="66"/>
      <c r="R2074" s="66"/>
      <c r="S2074" s="66"/>
      <c r="T2074" s="69"/>
      <c r="U2074" s="66"/>
      <c r="V2074" s="66"/>
      <c r="W2074" s="75"/>
      <c r="X2074" s="66"/>
      <c r="Y2074" s="66"/>
    </row>
    <row hidden="true" r="2075">
      <c r="N2075" s="66"/>
      <c r="O2075" s="66"/>
      <c r="P2075" s="66"/>
      <c r="Q2075" s="66"/>
      <c r="R2075" s="66"/>
      <c r="S2075" s="66"/>
      <c r="T2075" s="69"/>
      <c r="U2075" s="66"/>
      <c r="V2075" s="66"/>
      <c r="W2075" s="75"/>
      <c r="X2075" s="66"/>
      <c r="Y2075" s="66"/>
    </row>
    <row hidden="true" r="2076">
      <c r="N2076" s="66"/>
      <c r="O2076" s="66"/>
      <c r="P2076" s="66"/>
      <c r="Q2076" s="66"/>
      <c r="R2076" s="66"/>
      <c r="S2076" s="66"/>
      <c r="T2076" s="69"/>
      <c r="U2076" s="66"/>
      <c r="V2076" s="66"/>
      <c r="W2076" s="75"/>
      <c r="X2076" s="66"/>
      <c r="Y2076" s="66"/>
    </row>
    <row hidden="true" r="2077">
      <c r="N2077" s="66"/>
      <c r="O2077" s="66"/>
      <c r="P2077" s="66"/>
      <c r="Q2077" s="66"/>
      <c r="R2077" s="66"/>
      <c r="S2077" s="66"/>
      <c r="T2077" s="69"/>
      <c r="U2077" s="66"/>
      <c r="V2077" s="66"/>
      <c r="W2077" s="75"/>
      <c r="X2077" s="66"/>
      <c r="Y2077" s="66"/>
    </row>
    <row hidden="true" r="2078">
      <c r="N2078" s="66"/>
      <c r="O2078" s="66"/>
      <c r="P2078" s="66"/>
      <c r="Q2078" s="66"/>
      <c r="R2078" s="66"/>
      <c r="S2078" s="66"/>
      <c r="T2078" s="69"/>
      <c r="U2078" s="66"/>
      <c r="V2078" s="66"/>
      <c r="W2078" s="75"/>
      <c r="X2078" s="66"/>
      <c r="Y2078" s="66"/>
    </row>
    <row hidden="true" r="2079">
      <c r="N2079" s="66"/>
      <c r="O2079" s="66"/>
      <c r="P2079" s="66"/>
      <c r="Q2079" s="66"/>
      <c r="R2079" s="66"/>
      <c r="S2079" s="66"/>
      <c r="T2079" s="69"/>
      <c r="U2079" s="66"/>
      <c r="V2079" s="66"/>
      <c r="W2079" s="75"/>
      <c r="X2079" s="66"/>
      <c r="Y2079" s="66"/>
    </row>
    <row hidden="true" r="2080">
      <c r="N2080" s="66"/>
      <c r="O2080" s="66"/>
      <c r="P2080" s="66"/>
      <c r="Q2080" s="66"/>
      <c r="R2080" s="66"/>
      <c r="S2080" s="66"/>
      <c r="T2080" s="69"/>
      <c r="U2080" s="66"/>
      <c r="V2080" s="66"/>
      <c r="W2080" s="75"/>
      <c r="X2080" s="66"/>
      <c r="Y2080" s="66"/>
    </row>
    <row hidden="true" r="2081">
      <c r="N2081" s="66"/>
      <c r="O2081" s="66"/>
      <c r="P2081" s="66"/>
      <c r="Q2081" s="66"/>
      <c r="R2081" s="66"/>
      <c r="S2081" s="66"/>
      <c r="T2081" s="69"/>
      <c r="U2081" s="66"/>
      <c r="V2081" s="66"/>
      <c r="W2081" s="75"/>
      <c r="X2081" s="66"/>
      <c r="Y2081" s="66"/>
    </row>
    <row hidden="true" r="2082">
      <c r="N2082" s="66"/>
      <c r="O2082" s="66"/>
      <c r="P2082" s="66"/>
      <c r="Q2082" s="66"/>
      <c r="R2082" s="66"/>
      <c r="S2082" s="66"/>
      <c r="T2082" s="69"/>
      <c r="U2082" s="66"/>
      <c r="V2082" s="66"/>
      <c r="W2082" s="75"/>
      <c r="X2082" s="66"/>
      <c r="Y2082" s="66"/>
    </row>
    <row hidden="true" r="2083">
      <c r="N2083" s="66"/>
      <c r="O2083" s="66"/>
      <c r="P2083" s="66"/>
      <c r="Q2083" s="66"/>
      <c r="R2083" s="66"/>
      <c r="S2083" s="66"/>
      <c r="T2083" s="69"/>
      <c r="U2083" s="66"/>
      <c r="V2083" s="66"/>
      <c r="W2083" s="75"/>
      <c r="X2083" s="66"/>
      <c r="Y2083" s="66"/>
    </row>
    <row hidden="true" r="2084">
      <c r="N2084" s="66"/>
      <c r="O2084" s="66"/>
      <c r="P2084" s="66"/>
      <c r="Q2084" s="66"/>
      <c r="R2084" s="66"/>
      <c r="S2084" s="66"/>
      <c r="T2084" s="69"/>
      <c r="U2084" s="66"/>
      <c r="V2084" s="66"/>
      <c r="W2084" s="75"/>
      <c r="X2084" s="66"/>
      <c r="Y2084" s="66"/>
    </row>
    <row hidden="true" r="2085">
      <c r="N2085" s="66"/>
      <c r="O2085" s="66"/>
      <c r="P2085" s="66"/>
      <c r="Q2085" s="66"/>
      <c r="R2085" s="66"/>
      <c r="S2085" s="66"/>
      <c r="T2085" s="69"/>
      <c r="U2085" s="66"/>
      <c r="V2085" s="66"/>
      <c r="W2085" s="75"/>
      <c r="X2085" s="66"/>
      <c r="Y2085" s="66"/>
    </row>
    <row hidden="true" r="2086">
      <c r="N2086" s="66"/>
      <c r="O2086" s="66"/>
      <c r="P2086" s="66"/>
      <c r="Q2086" s="66"/>
      <c r="R2086" s="66"/>
      <c r="S2086" s="66"/>
      <c r="T2086" s="69"/>
      <c r="U2086" s="66"/>
      <c r="V2086" s="66"/>
      <c r="W2086" s="75"/>
      <c r="X2086" s="66"/>
      <c r="Y2086" s="66"/>
    </row>
    <row hidden="true" r="2087">
      <c r="N2087" s="66"/>
      <c r="O2087" s="66"/>
      <c r="P2087" s="66"/>
      <c r="Q2087" s="66"/>
      <c r="R2087" s="66"/>
      <c r="S2087" s="66"/>
      <c r="T2087" s="69"/>
      <c r="U2087" s="66"/>
      <c r="V2087" s="66"/>
      <c r="W2087" s="75"/>
      <c r="X2087" s="66"/>
      <c r="Y2087" s="66"/>
    </row>
    <row hidden="true" r="2088">
      <c r="N2088" s="66"/>
      <c r="O2088" s="66"/>
      <c r="P2088" s="66"/>
      <c r="Q2088" s="66"/>
      <c r="R2088" s="66"/>
      <c r="S2088" s="66"/>
      <c r="T2088" s="69"/>
      <c r="U2088" s="66"/>
      <c r="V2088" s="66"/>
      <c r="W2088" s="75"/>
      <c r="X2088" s="66"/>
      <c r="Y2088" s="66"/>
    </row>
    <row hidden="true" r="2089">
      <c r="N2089" s="66"/>
      <c r="O2089" s="66"/>
      <c r="P2089" s="66"/>
      <c r="Q2089" s="66"/>
      <c r="R2089" s="66"/>
      <c r="S2089" s="66"/>
      <c r="T2089" s="69"/>
      <c r="U2089" s="66"/>
      <c r="V2089" s="66"/>
      <c r="W2089" s="75"/>
      <c r="X2089" s="66"/>
      <c r="Y2089" s="66"/>
    </row>
    <row hidden="true" r="2090">
      <c r="N2090" s="66"/>
      <c r="O2090" s="66"/>
      <c r="P2090" s="66"/>
      <c r="Q2090" s="66"/>
      <c r="R2090" s="66"/>
      <c r="S2090" s="66"/>
      <c r="T2090" s="69"/>
      <c r="U2090" s="66"/>
      <c r="V2090" s="66"/>
      <c r="W2090" s="75"/>
      <c r="X2090" s="66"/>
      <c r="Y2090" s="66"/>
    </row>
    <row hidden="true" r="2091">
      <c r="N2091" s="66"/>
      <c r="O2091" s="66"/>
      <c r="P2091" s="66"/>
      <c r="Q2091" s="66"/>
      <c r="R2091" s="66"/>
      <c r="S2091" s="66"/>
      <c r="T2091" s="69"/>
      <c r="U2091" s="66"/>
      <c r="V2091" s="66"/>
      <c r="W2091" s="75"/>
      <c r="X2091" s="66"/>
      <c r="Y2091" s="66"/>
    </row>
    <row hidden="true" r="2092">
      <c r="N2092" s="66"/>
      <c r="O2092" s="66"/>
      <c r="P2092" s="66"/>
      <c r="Q2092" s="66"/>
      <c r="R2092" s="66"/>
      <c r="S2092" s="66"/>
      <c r="T2092" s="69"/>
      <c r="U2092" s="66"/>
      <c r="V2092" s="66"/>
      <c r="W2092" s="75"/>
      <c r="X2092" s="66"/>
      <c r="Y2092" s="66"/>
    </row>
    <row hidden="true" r="2093">
      <c r="N2093" s="66"/>
      <c r="O2093" s="66"/>
      <c r="P2093" s="66"/>
      <c r="Q2093" s="66"/>
      <c r="R2093" s="66"/>
      <c r="S2093" s="66"/>
      <c r="T2093" s="69"/>
      <c r="U2093" s="66"/>
      <c r="V2093" s="66"/>
      <c r="W2093" s="75"/>
      <c r="X2093" s="66"/>
      <c r="Y2093" s="66"/>
    </row>
    <row hidden="true" r="2094">
      <c r="N2094" s="66"/>
      <c r="O2094" s="66"/>
      <c r="P2094" s="66"/>
      <c r="Q2094" s="66"/>
      <c r="R2094" s="66"/>
      <c r="S2094" s="66"/>
      <c r="T2094" s="69"/>
      <c r="U2094" s="66"/>
      <c r="V2094" s="66"/>
      <c r="W2094" s="75"/>
      <c r="X2094" s="66"/>
      <c r="Y2094" s="66"/>
    </row>
    <row hidden="true" r="2095">
      <c r="N2095" s="66"/>
      <c r="O2095" s="66"/>
      <c r="P2095" s="66"/>
      <c r="Q2095" s="66"/>
      <c r="R2095" s="66"/>
      <c r="S2095" s="66"/>
      <c r="T2095" s="69"/>
      <c r="U2095" s="66"/>
      <c r="V2095" s="66"/>
      <c r="W2095" s="75"/>
      <c r="X2095" s="66"/>
      <c r="Y2095" s="66"/>
    </row>
    <row hidden="true" r="2096">
      <c r="N2096" s="66"/>
      <c r="O2096" s="66"/>
      <c r="P2096" s="66"/>
      <c r="Q2096" s="66"/>
      <c r="R2096" s="66"/>
      <c r="S2096" s="66"/>
      <c r="T2096" s="69"/>
      <c r="U2096" s="66"/>
      <c r="V2096" s="66"/>
      <c r="W2096" s="75"/>
      <c r="X2096" s="66"/>
      <c r="Y2096" s="66"/>
    </row>
    <row hidden="true" r="2097">
      <c r="N2097" s="66"/>
      <c r="O2097" s="66"/>
      <c r="P2097" s="66"/>
      <c r="Q2097" s="66"/>
      <c r="R2097" s="66"/>
      <c r="S2097" s="66"/>
      <c r="T2097" s="69"/>
      <c r="U2097" s="66"/>
      <c r="V2097" s="66"/>
      <c r="W2097" s="75"/>
      <c r="X2097" s="66"/>
      <c r="Y2097" s="66"/>
    </row>
    <row hidden="true" r="2098">
      <c r="N2098" s="66"/>
      <c r="O2098" s="66"/>
      <c r="P2098" s="66"/>
      <c r="Q2098" s="66"/>
      <c r="R2098" s="66"/>
      <c r="S2098" s="66"/>
      <c r="T2098" s="69"/>
      <c r="U2098" s="66"/>
      <c r="V2098" s="66"/>
      <c r="W2098" s="75"/>
      <c r="X2098" s="66"/>
      <c r="Y2098" s="66"/>
    </row>
    <row hidden="true" r="2099">
      <c r="N2099" s="66"/>
      <c r="O2099" s="66"/>
      <c r="P2099" s="66"/>
      <c r="Q2099" s="66"/>
      <c r="R2099" s="66"/>
      <c r="S2099" s="66"/>
      <c r="T2099" s="69"/>
      <c r="U2099" s="66"/>
      <c r="V2099" s="66"/>
      <c r="W2099" s="75"/>
      <c r="X2099" s="66"/>
      <c r="Y2099" s="66"/>
    </row>
    <row hidden="true" r="2100">
      <c r="N2100" s="66"/>
      <c r="O2100" s="66"/>
      <c r="P2100" s="66"/>
      <c r="Q2100" s="66"/>
      <c r="R2100" s="66"/>
      <c r="S2100" s="66"/>
      <c r="T2100" s="69"/>
      <c r="U2100" s="66"/>
      <c r="V2100" s="66"/>
      <c r="W2100" s="75"/>
      <c r="X2100" s="66"/>
      <c r="Y2100" s="66"/>
    </row>
    <row hidden="true" r="2101">
      <c r="N2101" s="66"/>
      <c r="O2101" s="66"/>
      <c r="P2101" s="66"/>
      <c r="Q2101" s="66"/>
      <c r="R2101" s="66"/>
      <c r="S2101" s="66"/>
      <c r="T2101" s="69"/>
      <c r="U2101" s="66"/>
      <c r="V2101" s="66"/>
      <c r="W2101" s="75"/>
      <c r="X2101" s="66"/>
      <c r="Y2101" s="66"/>
    </row>
    <row hidden="true" r="2102">
      <c r="N2102" s="66"/>
      <c r="O2102" s="66"/>
      <c r="P2102" s="66"/>
      <c r="Q2102" s="66"/>
      <c r="R2102" s="66"/>
      <c r="S2102" s="66"/>
      <c r="T2102" s="69"/>
      <c r="U2102" s="66"/>
      <c r="V2102" s="66"/>
      <c r="W2102" s="75"/>
      <c r="X2102" s="66"/>
      <c r="Y2102" s="66"/>
    </row>
    <row hidden="true" r="2103">
      <c r="N2103" s="66"/>
      <c r="O2103" s="66"/>
      <c r="P2103" s="66"/>
      <c r="Q2103" s="66"/>
      <c r="R2103" s="66"/>
      <c r="S2103" s="66"/>
      <c r="T2103" s="69"/>
      <c r="U2103" s="66"/>
      <c r="V2103" s="66"/>
      <c r="W2103" s="75"/>
      <c r="X2103" s="66"/>
      <c r="Y2103" s="66"/>
    </row>
    <row hidden="true" r="2104">
      <c r="N2104" s="66"/>
      <c r="O2104" s="66"/>
      <c r="P2104" s="66"/>
      <c r="Q2104" s="66"/>
      <c r="R2104" s="66"/>
      <c r="S2104" s="66"/>
      <c r="T2104" s="69"/>
      <c r="U2104" s="66"/>
      <c r="V2104" s="66"/>
      <c r="W2104" s="75"/>
      <c r="X2104" s="66"/>
      <c r="Y2104" s="66"/>
    </row>
    <row hidden="true" r="2105">
      <c r="N2105" s="66"/>
      <c r="O2105" s="66"/>
      <c r="P2105" s="66"/>
      <c r="Q2105" s="66"/>
      <c r="R2105" s="66"/>
      <c r="S2105" s="66"/>
      <c r="T2105" s="69"/>
      <c r="U2105" s="66"/>
      <c r="V2105" s="66"/>
      <c r="W2105" s="75"/>
      <c r="X2105" s="66"/>
      <c r="Y2105" s="66"/>
    </row>
    <row hidden="true" r="2106">
      <c r="N2106" s="66"/>
      <c r="O2106" s="66"/>
      <c r="P2106" s="66"/>
      <c r="Q2106" s="66"/>
      <c r="R2106" s="66"/>
      <c r="S2106" s="66"/>
      <c r="T2106" s="69"/>
      <c r="U2106" s="66"/>
      <c r="V2106" s="66"/>
      <c r="W2106" s="75"/>
      <c r="X2106" s="66"/>
      <c r="Y2106" s="66"/>
    </row>
    <row hidden="true" r="2107">
      <c r="N2107" s="66"/>
      <c r="O2107" s="66"/>
      <c r="P2107" s="66"/>
      <c r="Q2107" s="66"/>
      <c r="R2107" s="66"/>
      <c r="S2107" s="66"/>
      <c r="T2107" s="69"/>
      <c r="U2107" s="66"/>
      <c r="V2107" s="66"/>
      <c r="W2107" s="75"/>
      <c r="X2107" s="66"/>
      <c r="Y2107" s="66"/>
    </row>
    <row hidden="true" r="2108">
      <c r="N2108" s="66"/>
      <c r="O2108" s="66"/>
      <c r="P2108" s="66"/>
      <c r="Q2108" s="66"/>
      <c r="R2108" s="66"/>
      <c r="S2108" s="66"/>
      <c r="T2108" s="69"/>
      <c r="U2108" s="66"/>
      <c r="V2108" s="66"/>
      <c r="W2108" s="75"/>
      <c r="X2108" s="66"/>
      <c r="Y2108" s="66"/>
    </row>
    <row hidden="true" r="2109">
      <c r="N2109" s="66"/>
      <c r="O2109" s="66"/>
      <c r="P2109" s="66"/>
      <c r="Q2109" s="66"/>
      <c r="R2109" s="66"/>
      <c r="S2109" s="66"/>
      <c r="T2109" s="69"/>
      <c r="U2109" s="66"/>
      <c r="V2109" s="66"/>
      <c r="W2109" s="75"/>
      <c r="X2109" s="66"/>
      <c r="Y2109" s="66"/>
    </row>
    <row hidden="true" r="2110">
      <c r="N2110" s="66"/>
      <c r="O2110" s="66"/>
      <c r="P2110" s="66"/>
      <c r="Q2110" s="66"/>
      <c r="R2110" s="66"/>
      <c r="S2110" s="66"/>
      <c r="T2110" s="69"/>
      <c r="U2110" s="66"/>
      <c r="V2110" s="66"/>
      <c r="W2110" s="75"/>
      <c r="X2110" s="66"/>
      <c r="Y2110" s="66"/>
    </row>
    <row hidden="true" r="2111">
      <c r="N2111" s="66"/>
      <c r="O2111" s="66"/>
      <c r="P2111" s="66"/>
      <c r="Q2111" s="66"/>
      <c r="R2111" s="66"/>
      <c r="S2111" s="66"/>
      <c r="T2111" s="69"/>
      <c r="U2111" s="66"/>
      <c r="V2111" s="66"/>
      <c r="W2111" s="75"/>
      <c r="X2111" s="66"/>
      <c r="Y2111" s="66"/>
    </row>
    <row hidden="true" r="2112">
      <c r="N2112" s="66"/>
      <c r="O2112" s="66"/>
      <c r="P2112" s="66"/>
      <c r="Q2112" s="66"/>
      <c r="R2112" s="66"/>
      <c r="S2112" s="66"/>
      <c r="T2112" s="69"/>
      <c r="U2112" s="66"/>
      <c r="V2112" s="66"/>
      <c r="W2112" s="75"/>
      <c r="X2112" s="66"/>
      <c r="Y2112" s="66"/>
    </row>
    <row hidden="true" r="2113">
      <c r="N2113" s="66"/>
      <c r="O2113" s="66"/>
      <c r="P2113" s="66"/>
      <c r="Q2113" s="66"/>
      <c r="R2113" s="66"/>
      <c r="S2113" s="66"/>
      <c r="T2113" s="69"/>
      <c r="U2113" s="66"/>
      <c r="V2113" s="66"/>
      <c r="W2113" s="75"/>
      <c r="X2113" s="66"/>
      <c r="Y2113" s="66"/>
    </row>
    <row hidden="true" r="2114">
      <c r="N2114" s="66"/>
      <c r="O2114" s="66"/>
      <c r="P2114" s="66"/>
      <c r="Q2114" s="66"/>
      <c r="R2114" s="66"/>
      <c r="S2114" s="66"/>
      <c r="T2114" s="69"/>
      <c r="U2114" s="66"/>
      <c r="V2114" s="66"/>
      <c r="W2114" s="75"/>
      <c r="X2114" s="66"/>
      <c r="Y2114" s="66"/>
    </row>
    <row hidden="true" r="2115">
      <c r="N2115" s="66"/>
      <c r="O2115" s="66"/>
      <c r="P2115" s="66"/>
      <c r="Q2115" s="66"/>
      <c r="R2115" s="66"/>
      <c r="S2115" s="66"/>
      <c r="T2115" s="69"/>
      <c r="U2115" s="66"/>
      <c r="V2115" s="66"/>
      <c r="W2115" s="75"/>
      <c r="X2115" s="66"/>
      <c r="Y2115" s="66"/>
    </row>
    <row hidden="true" r="2116">
      <c r="N2116" s="66"/>
      <c r="O2116" s="66"/>
      <c r="P2116" s="66"/>
      <c r="Q2116" s="66"/>
      <c r="R2116" s="66"/>
      <c r="S2116" s="66"/>
      <c r="T2116" s="69"/>
      <c r="U2116" s="66"/>
      <c r="V2116" s="66"/>
      <c r="W2116" s="75"/>
      <c r="X2116" s="66"/>
      <c r="Y2116" s="66"/>
    </row>
    <row hidden="true" r="2117">
      <c r="N2117" s="66"/>
      <c r="O2117" s="66"/>
      <c r="P2117" s="66"/>
      <c r="Q2117" s="66"/>
      <c r="R2117" s="66"/>
      <c r="S2117" s="66"/>
      <c r="T2117" s="69"/>
      <c r="U2117" s="66"/>
      <c r="V2117" s="66"/>
      <c r="W2117" s="75"/>
      <c r="X2117" s="66"/>
      <c r="Y2117" s="66"/>
    </row>
    <row hidden="true" r="2118">
      <c r="N2118" s="66"/>
      <c r="O2118" s="66"/>
      <c r="P2118" s="66"/>
      <c r="Q2118" s="66"/>
      <c r="R2118" s="66"/>
      <c r="S2118" s="66"/>
      <c r="T2118" s="69"/>
      <c r="U2118" s="66"/>
      <c r="V2118" s="66"/>
      <c r="W2118" s="75"/>
      <c r="X2118" s="66"/>
      <c r="Y2118" s="66"/>
    </row>
    <row hidden="true" r="2119">
      <c r="N2119" s="66"/>
      <c r="O2119" s="66"/>
      <c r="P2119" s="66"/>
      <c r="Q2119" s="66"/>
      <c r="R2119" s="66"/>
      <c r="S2119" s="66"/>
      <c r="T2119" s="69"/>
      <c r="U2119" s="66"/>
      <c r="V2119" s="66"/>
      <c r="W2119" s="75"/>
      <c r="X2119" s="66"/>
      <c r="Y2119" s="66"/>
    </row>
    <row hidden="true" r="2120">
      <c r="N2120" s="66"/>
      <c r="O2120" s="66"/>
      <c r="P2120" s="66"/>
      <c r="Q2120" s="66"/>
      <c r="R2120" s="66"/>
      <c r="S2120" s="66"/>
      <c r="T2120" s="69"/>
      <c r="U2120" s="66"/>
      <c r="V2120" s="66"/>
      <c r="W2120" s="75"/>
      <c r="X2120" s="66"/>
      <c r="Y2120" s="66"/>
    </row>
    <row hidden="true" r="2121">
      <c r="N2121" s="66"/>
      <c r="O2121" s="66"/>
      <c r="P2121" s="66"/>
      <c r="Q2121" s="66"/>
      <c r="R2121" s="66"/>
      <c r="S2121" s="66"/>
      <c r="T2121" s="69"/>
      <c r="U2121" s="66"/>
      <c r="V2121" s="66"/>
      <c r="W2121" s="75"/>
      <c r="X2121" s="66"/>
      <c r="Y2121" s="66"/>
    </row>
    <row hidden="true" r="2122">
      <c r="N2122" s="66"/>
      <c r="O2122" s="66"/>
      <c r="P2122" s="66"/>
      <c r="Q2122" s="66"/>
      <c r="R2122" s="66"/>
      <c r="S2122" s="66"/>
      <c r="T2122" s="69"/>
      <c r="U2122" s="66"/>
      <c r="V2122" s="66"/>
      <c r="W2122" s="75"/>
      <c r="X2122" s="66"/>
      <c r="Y2122" s="66"/>
    </row>
    <row hidden="true" r="2123">
      <c r="N2123" s="66"/>
      <c r="O2123" s="66"/>
      <c r="P2123" s="66"/>
      <c r="Q2123" s="66"/>
      <c r="R2123" s="66"/>
      <c r="S2123" s="66"/>
      <c r="T2123" s="69"/>
      <c r="U2123" s="66"/>
      <c r="V2123" s="66"/>
      <c r="W2123" s="75"/>
      <c r="X2123" s="66"/>
      <c r="Y2123" s="66"/>
    </row>
    <row hidden="true" r="2124">
      <c r="N2124" s="66"/>
      <c r="O2124" s="66"/>
      <c r="P2124" s="66"/>
      <c r="Q2124" s="66"/>
      <c r="R2124" s="66"/>
      <c r="S2124" s="66"/>
      <c r="T2124" s="69"/>
      <c r="U2124" s="66"/>
      <c r="V2124" s="66"/>
      <c r="W2124" s="75"/>
      <c r="X2124" s="66"/>
      <c r="Y2124" s="66"/>
    </row>
    <row hidden="true" r="2125">
      <c r="N2125" s="66"/>
      <c r="O2125" s="66"/>
      <c r="P2125" s="66"/>
      <c r="Q2125" s="66"/>
      <c r="R2125" s="66"/>
      <c r="S2125" s="66"/>
      <c r="T2125" s="69"/>
      <c r="U2125" s="66"/>
      <c r="V2125" s="66"/>
      <c r="W2125" s="75"/>
      <c r="X2125" s="66"/>
      <c r="Y2125" s="66"/>
    </row>
    <row hidden="true" r="2126">
      <c r="N2126" s="66"/>
      <c r="O2126" s="66"/>
      <c r="P2126" s="66"/>
      <c r="Q2126" s="66"/>
      <c r="R2126" s="66"/>
      <c r="S2126" s="66"/>
      <c r="T2126" s="69"/>
      <c r="U2126" s="66"/>
      <c r="V2126" s="66"/>
      <c r="W2126" s="75"/>
      <c r="X2126" s="66"/>
      <c r="Y2126" s="66"/>
    </row>
    <row hidden="true" r="2127">
      <c r="N2127" s="66"/>
      <c r="O2127" s="66"/>
      <c r="P2127" s="66"/>
      <c r="Q2127" s="66"/>
      <c r="R2127" s="66"/>
      <c r="S2127" s="66"/>
      <c r="T2127" s="69"/>
      <c r="U2127" s="66"/>
      <c r="V2127" s="66"/>
      <c r="W2127" s="75"/>
      <c r="X2127" s="66"/>
      <c r="Y2127" s="66"/>
    </row>
    <row hidden="true" r="2128">
      <c r="N2128" s="66"/>
      <c r="O2128" s="66"/>
      <c r="P2128" s="66"/>
      <c r="Q2128" s="66"/>
      <c r="R2128" s="66"/>
      <c r="S2128" s="66"/>
      <c r="T2128" s="69"/>
      <c r="U2128" s="66"/>
      <c r="V2128" s="66"/>
      <c r="W2128" s="75"/>
      <c r="X2128" s="66"/>
      <c r="Y2128" s="66"/>
    </row>
    <row hidden="true" r="2129">
      <c r="N2129" s="66"/>
      <c r="O2129" s="66"/>
      <c r="P2129" s="66"/>
      <c r="Q2129" s="66"/>
      <c r="R2129" s="66"/>
      <c r="S2129" s="66"/>
      <c r="T2129" s="69"/>
      <c r="U2129" s="66"/>
      <c r="V2129" s="66"/>
      <c r="W2129" s="75"/>
      <c r="X2129" s="66"/>
      <c r="Y2129" s="66"/>
    </row>
    <row hidden="true" r="2130">
      <c r="N2130" s="66"/>
      <c r="O2130" s="66"/>
      <c r="P2130" s="66"/>
      <c r="Q2130" s="66"/>
      <c r="R2130" s="66"/>
      <c r="S2130" s="66"/>
      <c r="T2130" s="69"/>
      <c r="U2130" s="66"/>
      <c r="V2130" s="66"/>
      <c r="W2130" s="75"/>
      <c r="X2130" s="66"/>
      <c r="Y2130" s="66"/>
    </row>
    <row hidden="true" r="2131">
      <c r="N2131" s="66"/>
      <c r="O2131" s="66"/>
      <c r="P2131" s="66"/>
      <c r="Q2131" s="66"/>
      <c r="R2131" s="66"/>
      <c r="S2131" s="66"/>
      <c r="T2131" s="69"/>
      <c r="U2131" s="66"/>
      <c r="V2131" s="66"/>
      <c r="W2131" s="75"/>
      <c r="X2131" s="66"/>
      <c r="Y2131" s="66"/>
    </row>
    <row hidden="true" r="2132">
      <c r="N2132" s="66"/>
      <c r="O2132" s="66"/>
      <c r="P2132" s="66"/>
      <c r="Q2132" s="66"/>
      <c r="R2132" s="66"/>
      <c r="S2132" s="66"/>
      <c r="T2132" s="69"/>
      <c r="U2132" s="66"/>
      <c r="V2132" s="66"/>
      <c r="W2132" s="75"/>
      <c r="X2132" s="66"/>
      <c r="Y2132" s="66"/>
    </row>
    <row hidden="true" r="2133">
      <c r="N2133" s="66"/>
      <c r="O2133" s="66"/>
      <c r="P2133" s="66"/>
      <c r="Q2133" s="66"/>
      <c r="R2133" s="66"/>
      <c r="S2133" s="66"/>
      <c r="T2133" s="69"/>
      <c r="U2133" s="66"/>
      <c r="V2133" s="66"/>
      <c r="W2133" s="75"/>
      <c r="X2133" s="66"/>
      <c r="Y2133" s="66"/>
    </row>
    <row hidden="true" r="2134">
      <c r="N2134" s="66"/>
      <c r="O2134" s="66"/>
      <c r="P2134" s="66"/>
      <c r="Q2134" s="66"/>
      <c r="R2134" s="66"/>
      <c r="S2134" s="66"/>
      <c r="T2134" s="69"/>
      <c r="U2134" s="66"/>
      <c r="V2134" s="66"/>
      <c r="W2134" s="75"/>
      <c r="X2134" s="66"/>
      <c r="Y2134" s="66"/>
    </row>
    <row hidden="true" r="2135">
      <c r="N2135" s="66"/>
      <c r="O2135" s="66"/>
      <c r="P2135" s="66"/>
      <c r="Q2135" s="66"/>
      <c r="R2135" s="66"/>
      <c r="S2135" s="66"/>
      <c r="T2135" s="69"/>
      <c r="U2135" s="66"/>
      <c r="V2135" s="66"/>
      <c r="W2135" s="75"/>
      <c r="X2135" s="66"/>
      <c r="Y2135" s="66"/>
    </row>
    <row hidden="true" r="2136">
      <c r="N2136" s="66"/>
      <c r="O2136" s="66"/>
      <c r="P2136" s="66"/>
      <c r="Q2136" s="66"/>
      <c r="R2136" s="66"/>
      <c r="S2136" s="66"/>
      <c r="T2136" s="69"/>
      <c r="U2136" s="66"/>
      <c r="V2136" s="66"/>
      <c r="W2136" s="75"/>
      <c r="X2136" s="66"/>
      <c r="Y2136" s="66"/>
    </row>
    <row hidden="true" r="2137">
      <c r="N2137" s="66"/>
      <c r="O2137" s="66"/>
      <c r="P2137" s="66"/>
      <c r="Q2137" s="66"/>
      <c r="R2137" s="66"/>
      <c r="S2137" s="66"/>
      <c r="T2137" s="69"/>
      <c r="U2137" s="66"/>
      <c r="V2137" s="66"/>
      <c r="W2137" s="75"/>
      <c r="X2137" s="66"/>
      <c r="Y2137" s="66"/>
    </row>
    <row hidden="true" r="2138">
      <c r="N2138" s="66"/>
      <c r="O2138" s="66"/>
      <c r="P2138" s="66"/>
      <c r="Q2138" s="66"/>
      <c r="R2138" s="66"/>
      <c r="S2138" s="66"/>
      <c r="T2138" s="69"/>
      <c r="U2138" s="66"/>
      <c r="V2138" s="66"/>
      <c r="W2138" s="75"/>
      <c r="X2138" s="66"/>
      <c r="Y2138" s="66"/>
    </row>
    <row hidden="true" r="2139">
      <c r="N2139" s="66"/>
      <c r="O2139" s="66"/>
      <c r="P2139" s="66"/>
      <c r="Q2139" s="66"/>
      <c r="R2139" s="66"/>
      <c r="S2139" s="66"/>
      <c r="T2139" s="69"/>
      <c r="U2139" s="66"/>
      <c r="V2139" s="66"/>
      <c r="W2139" s="75"/>
      <c r="X2139" s="66"/>
      <c r="Y2139" s="66"/>
    </row>
    <row hidden="true" r="2140">
      <c r="N2140" s="66"/>
      <c r="O2140" s="66"/>
      <c r="P2140" s="66"/>
      <c r="Q2140" s="66"/>
      <c r="R2140" s="66"/>
      <c r="S2140" s="66"/>
      <c r="T2140" s="69"/>
      <c r="U2140" s="66"/>
      <c r="V2140" s="66"/>
      <c r="W2140" s="75"/>
      <c r="X2140" s="66"/>
      <c r="Y2140" s="66"/>
    </row>
    <row hidden="true" r="2141">
      <c r="N2141" s="66"/>
      <c r="O2141" s="66"/>
      <c r="P2141" s="66"/>
      <c r="Q2141" s="66"/>
      <c r="R2141" s="66"/>
      <c r="S2141" s="66"/>
      <c r="T2141" s="69"/>
      <c r="U2141" s="66"/>
      <c r="V2141" s="66"/>
      <c r="W2141" s="75"/>
      <c r="X2141" s="66"/>
      <c r="Y2141" s="66"/>
    </row>
    <row hidden="true" r="2142">
      <c r="N2142" s="66"/>
      <c r="O2142" s="66"/>
      <c r="P2142" s="66"/>
      <c r="Q2142" s="66"/>
      <c r="R2142" s="66"/>
      <c r="S2142" s="66"/>
      <c r="T2142" s="69"/>
      <c r="U2142" s="66"/>
      <c r="V2142" s="66"/>
      <c r="W2142" s="75"/>
      <c r="X2142" s="66"/>
      <c r="Y2142" s="66"/>
    </row>
    <row hidden="true" r="2143">
      <c r="N2143" s="66"/>
      <c r="O2143" s="66"/>
      <c r="P2143" s="66"/>
      <c r="Q2143" s="66"/>
      <c r="R2143" s="66"/>
      <c r="S2143" s="66"/>
      <c r="T2143" s="69"/>
      <c r="U2143" s="66"/>
      <c r="V2143" s="66"/>
      <c r="W2143" s="75"/>
      <c r="X2143" s="66"/>
      <c r="Y2143" s="66"/>
    </row>
    <row hidden="true" r="2144">
      <c r="N2144" s="66"/>
      <c r="O2144" s="66"/>
      <c r="P2144" s="66"/>
      <c r="Q2144" s="66"/>
      <c r="R2144" s="66"/>
      <c r="S2144" s="66"/>
      <c r="T2144" s="69"/>
      <c r="U2144" s="66"/>
      <c r="V2144" s="66"/>
      <c r="W2144" s="75"/>
      <c r="X2144" s="66"/>
      <c r="Y2144" s="66"/>
    </row>
    <row hidden="true" r="2145">
      <c r="N2145" s="66"/>
      <c r="O2145" s="66"/>
      <c r="P2145" s="66"/>
      <c r="Q2145" s="66"/>
      <c r="R2145" s="66"/>
      <c r="S2145" s="66"/>
      <c r="T2145" s="69"/>
      <c r="U2145" s="66"/>
      <c r="V2145" s="66"/>
      <c r="W2145" s="75"/>
      <c r="X2145" s="66"/>
      <c r="Y2145" s="66"/>
    </row>
    <row hidden="true" r="2146">
      <c r="N2146" s="66"/>
      <c r="O2146" s="66"/>
      <c r="P2146" s="66"/>
      <c r="Q2146" s="66"/>
      <c r="R2146" s="66"/>
      <c r="S2146" s="66"/>
      <c r="T2146" s="69"/>
      <c r="U2146" s="66"/>
      <c r="V2146" s="66"/>
      <c r="W2146" s="75"/>
      <c r="X2146" s="66"/>
      <c r="Y2146" s="66"/>
    </row>
    <row hidden="true" r="2147">
      <c r="N2147" s="66"/>
      <c r="O2147" s="66"/>
      <c r="P2147" s="66"/>
      <c r="Q2147" s="66"/>
      <c r="R2147" s="66"/>
      <c r="S2147" s="66"/>
      <c r="T2147" s="69"/>
      <c r="U2147" s="66"/>
      <c r="V2147" s="66"/>
      <c r="W2147" s="75"/>
      <c r="X2147" s="66"/>
      <c r="Y2147" s="66"/>
    </row>
    <row hidden="true" r="2148">
      <c r="N2148" s="66"/>
      <c r="O2148" s="66"/>
      <c r="P2148" s="66"/>
      <c r="Q2148" s="66"/>
      <c r="R2148" s="66"/>
      <c r="S2148" s="66"/>
      <c r="T2148" s="69"/>
      <c r="U2148" s="66"/>
      <c r="V2148" s="66"/>
      <c r="W2148" s="75"/>
      <c r="X2148" s="66"/>
      <c r="Y2148" s="66"/>
    </row>
    <row hidden="true" r="2149">
      <c r="N2149" s="66"/>
      <c r="O2149" s="66"/>
      <c r="P2149" s="66"/>
      <c r="Q2149" s="66"/>
      <c r="R2149" s="66"/>
      <c r="S2149" s="66"/>
      <c r="T2149" s="69"/>
      <c r="U2149" s="66"/>
      <c r="V2149" s="66"/>
      <c r="W2149" s="75"/>
      <c r="X2149" s="66"/>
      <c r="Y2149" s="66"/>
    </row>
    <row hidden="true" r="2150">
      <c r="N2150" s="66"/>
      <c r="O2150" s="66"/>
      <c r="P2150" s="66"/>
      <c r="Q2150" s="66"/>
      <c r="R2150" s="66"/>
      <c r="S2150" s="66"/>
      <c r="T2150" s="69"/>
      <c r="U2150" s="66"/>
      <c r="V2150" s="66"/>
      <c r="W2150" s="75"/>
      <c r="X2150" s="66"/>
      <c r="Y2150" s="66"/>
    </row>
    <row hidden="true" r="2151">
      <c r="N2151" s="66"/>
      <c r="O2151" s="66"/>
      <c r="P2151" s="66"/>
      <c r="Q2151" s="66"/>
      <c r="R2151" s="66"/>
      <c r="S2151" s="66"/>
      <c r="T2151" s="69"/>
      <c r="U2151" s="66"/>
      <c r="V2151" s="66"/>
      <c r="W2151" s="75"/>
      <c r="X2151" s="66"/>
      <c r="Y2151" s="66"/>
    </row>
    <row hidden="true" r="2152">
      <c r="N2152" s="66"/>
      <c r="O2152" s="66"/>
      <c r="P2152" s="66"/>
      <c r="Q2152" s="66"/>
      <c r="R2152" s="66"/>
      <c r="S2152" s="66"/>
      <c r="T2152" s="69"/>
      <c r="U2152" s="66"/>
      <c r="V2152" s="66"/>
      <c r="W2152" s="75"/>
      <c r="X2152" s="66"/>
      <c r="Y2152" s="66"/>
    </row>
    <row hidden="true" r="2153">
      <c r="N2153" s="66"/>
      <c r="O2153" s="66"/>
      <c r="P2153" s="66"/>
      <c r="Q2153" s="66"/>
      <c r="R2153" s="66"/>
      <c r="S2153" s="66"/>
      <c r="T2153" s="69"/>
      <c r="U2153" s="66"/>
      <c r="V2153" s="66"/>
      <c r="W2153" s="75"/>
      <c r="X2153" s="66"/>
      <c r="Y2153" s="66"/>
    </row>
    <row hidden="true" r="2154">
      <c r="N2154" s="66"/>
      <c r="O2154" s="66"/>
      <c r="P2154" s="66"/>
      <c r="Q2154" s="66"/>
      <c r="R2154" s="66"/>
      <c r="S2154" s="66"/>
      <c r="T2154" s="69"/>
      <c r="U2154" s="66"/>
      <c r="V2154" s="66"/>
      <c r="W2154" s="75"/>
      <c r="X2154" s="66"/>
      <c r="Y2154" s="66"/>
    </row>
    <row hidden="true" r="2155">
      <c r="N2155" s="66"/>
      <c r="O2155" s="66"/>
      <c r="P2155" s="66"/>
      <c r="Q2155" s="66"/>
      <c r="R2155" s="66"/>
      <c r="S2155" s="66"/>
      <c r="T2155" s="69"/>
      <c r="U2155" s="66"/>
      <c r="V2155" s="66"/>
      <c r="W2155" s="75"/>
      <c r="X2155" s="66"/>
      <c r="Y2155" s="66"/>
    </row>
    <row hidden="true" r="2156">
      <c r="N2156" s="66"/>
      <c r="O2156" s="66"/>
      <c r="P2156" s="66"/>
      <c r="Q2156" s="66"/>
      <c r="R2156" s="66"/>
      <c r="S2156" s="66"/>
      <c r="T2156" s="69"/>
      <c r="U2156" s="66"/>
      <c r="V2156" s="66"/>
      <c r="W2156" s="75"/>
      <c r="X2156" s="66"/>
      <c r="Y2156" s="66"/>
    </row>
    <row hidden="true" r="2157">
      <c r="N2157" s="66"/>
      <c r="O2157" s="66"/>
      <c r="P2157" s="66"/>
      <c r="Q2157" s="66"/>
      <c r="R2157" s="66"/>
      <c r="S2157" s="66"/>
      <c r="T2157" s="69"/>
      <c r="U2157" s="66"/>
      <c r="V2157" s="66"/>
      <c r="W2157" s="75"/>
      <c r="X2157" s="66"/>
      <c r="Y2157" s="66"/>
    </row>
    <row hidden="true" r="2158">
      <c r="N2158" s="66"/>
      <c r="O2158" s="66"/>
      <c r="P2158" s="66"/>
      <c r="Q2158" s="66"/>
      <c r="R2158" s="66"/>
      <c r="S2158" s="66"/>
      <c r="T2158" s="69"/>
      <c r="U2158" s="66"/>
      <c r="V2158" s="66"/>
      <c r="W2158" s="75"/>
      <c r="X2158" s="66"/>
      <c r="Y2158" s="66"/>
    </row>
    <row hidden="true" r="2159">
      <c r="N2159" s="66"/>
      <c r="O2159" s="66"/>
      <c r="P2159" s="66"/>
      <c r="Q2159" s="66"/>
      <c r="R2159" s="66"/>
      <c r="S2159" s="66"/>
      <c r="T2159" s="69"/>
      <c r="U2159" s="66"/>
      <c r="V2159" s="66"/>
      <c r="W2159" s="75"/>
      <c r="X2159" s="66"/>
      <c r="Y2159" s="66"/>
    </row>
    <row hidden="true" r="2160">
      <c r="N2160" s="66"/>
      <c r="O2160" s="66"/>
      <c r="P2160" s="66"/>
      <c r="Q2160" s="66"/>
      <c r="R2160" s="66"/>
      <c r="S2160" s="66"/>
      <c r="T2160" s="69"/>
      <c r="U2160" s="66"/>
      <c r="V2160" s="66"/>
      <c r="W2160" s="75"/>
      <c r="X2160" s="66"/>
      <c r="Y2160" s="66"/>
    </row>
    <row hidden="true" r="2161">
      <c r="N2161" s="66"/>
      <c r="O2161" s="66"/>
      <c r="P2161" s="66"/>
      <c r="Q2161" s="66"/>
      <c r="R2161" s="66"/>
      <c r="S2161" s="66"/>
      <c r="T2161" s="69"/>
      <c r="U2161" s="66"/>
      <c r="V2161" s="66"/>
      <c r="W2161" s="75"/>
      <c r="X2161" s="66"/>
      <c r="Y2161" s="66"/>
    </row>
    <row hidden="true" r="2162">
      <c r="N2162" s="66"/>
      <c r="O2162" s="66"/>
      <c r="P2162" s="66"/>
      <c r="Q2162" s="66"/>
      <c r="R2162" s="66"/>
      <c r="S2162" s="66"/>
      <c r="T2162" s="69"/>
      <c r="U2162" s="66"/>
      <c r="V2162" s="66"/>
      <c r="W2162" s="75"/>
      <c r="X2162" s="66"/>
      <c r="Y2162" s="66"/>
    </row>
    <row hidden="true" r="2163">
      <c r="N2163" s="66"/>
      <c r="O2163" s="66"/>
      <c r="P2163" s="66"/>
      <c r="Q2163" s="66"/>
      <c r="R2163" s="66"/>
      <c r="S2163" s="66"/>
      <c r="T2163" s="69"/>
      <c r="U2163" s="66"/>
      <c r="V2163" s="66"/>
      <c r="W2163" s="75"/>
      <c r="X2163" s="66"/>
      <c r="Y2163" s="66"/>
    </row>
    <row hidden="true" r="2164">
      <c r="N2164" s="66"/>
      <c r="O2164" s="66"/>
      <c r="P2164" s="66"/>
      <c r="Q2164" s="66"/>
      <c r="R2164" s="66"/>
      <c r="S2164" s="66"/>
      <c r="T2164" s="69"/>
      <c r="U2164" s="66"/>
      <c r="V2164" s="66"/>
      <c r="W2164" s="75"/>
      <c r="X2164" s="66"/>
      <c r="Y2164" s="66"/>
    </row>
    <row hidden="true" r="2165">
      <c r="N2165" s="66"/>
      <c r="O2165" s="66"/>
      <c r="P2165" s="66"/>
      <c r="Q2165" s="66"/>
      <c r="R2165" s="66"/>
      <c r="S2165" s="66"/>
      <c r="T2165" s="69"/>
      <c r="U2165" s="66"/>
      <c r="V2165" s="66"/>
      <c r="W2165" s="75"/>
      <c r="X2165" s="66"/>
      <c r="Y2165" s="66"/>
    </row>
    <row hidden="true" r="2166">
      <c r="N2166" s="66"/>
      <c r="O2166" s="66"/>
      <c r="P2166" s="66"/>
      <c r="Q2166" s="66"/>
      <c r="R2166" s="66"/>
      <c r="S2166" s="66"/>
      <c r="T2166" s="69"/>
      <c r="U2166" s="66"/>
      <c r="V2166" s="66"/>
      <c r="W2166" s="75"/>
      <c r="X2166" s="66"/>
      <c r="Y2166" s="66"/>
    </row>
    <row hidden="true" r="2167">
      <c r="N2167" s="66"/>
      <c r="O2167" s="66"/>
      <c r="P2167" s="66"/>
      <c r="Q2167" s="66"/>
      <c r="R2167" s="66"/>
      <c r="S2167" s="66"/>
      <c r="T2167" s="69"/>
      <c r="U2167" s="66"/>
      <c r="V2167" s="66"/>
      <c r="W2167" s="75"/>
      <c r="X2167" s="66"/>
      <c r="Y2167" s="66"/>
    </row>
    <row hidden="true" r="2168">
      <c r="N2168" s="66"/>
      <c r="O2168" s="66"/>
      <c r="P2168" s="66"/>
      <c r="Q2168" s="66"/>
      <c r="R2168" s="66"/>
      <c r="S2168" s="66"/>
      <c r="T2168" s="69"/>
      <c r="U2168" s="66"/>
      <c r="V2168" s="66"/>
      <c r="W2168" s="75"/>
      <c r="X2168" s="66"/>
      <c r="Y2168" s="66"/>
    </row>
    <row hidden="true" r="2169">
      <c r="N2169" s="66"/>
      <c r="O2169" s="66"/>
      <c r="P2169" s="66"/>
      <c r="Q2169" s="66"/>
      <c r="R2169" s="66"/>
      <c r="S2169" s="66"/>
      <c r="T2169" s="69"/>
      <c r="U2169" s="66"/>
      <c r="V2169" s="66"/>
      <c r="W2169" s="75"/>
      <c r="X2169" s="66"/>
      <c r="Y2169" s="66"/>
    </row>
    <row hidden="true" r="2170">
      <c r="N2170" s="66"/>
      <c r="O2170" s="66"/>
      <c r="P2170" s="66"/>
      <c r="Q2170" s="66"/>
      <c r="R2170" s="66"/>
      <c r="S2170" s="66"/>
      <c r="T2170" s="69"/>
      <c r="U2170" s="66"/>
      <c r="V2170" s="66"/>
      <c r="W2170" s="75"/>
      <c r="X2170" s="66"/>
      <c r="Y2170" s="66"/>
    </row>
    <row hidden="true" r="2171">
      <c r="N2171" s="66"/>
      <c r="O2171" s="66"/>
      <c r="P2171" s="66"/>
      <c r="Q2171" s="66"/>
      <c r="R2171" s="66"/>
      <c r="S2171" s="66"/>
      <c r="T2171" s="69"/>
      <c r="U2171" s="66"/>
      <c r="V2171" s="66"/>
      <c r="W2171" s="75"/>
      <c r="X2171" s="66"/>
      <c r="Y2171" s="66"/>
    </row>
    <row hidden="true" r="2172">
      <c r="N2172" s="66"/>
      <c r="O2172" s="66"/>
      <c r="P2172" s="66"/>
      <c r="Q2172" s="66"/>
      <c r="R2172" s="66"/>
      <c r="S2172" s="66"/>
      <c r="T2172" s="69"/>
      <c r="U2172" s="66"/>
      <c r="V2172" s="66"/>
      <c r="W2172" s="75"/>
      <c r="X2172" s="66"/>
      <c r="Y2172" s="66"/>
    </row>
    <row hidden="true" r="2173">
      <c r="N2173" s="66"/>
      <c r="O2173" s="66"/>
      <c r="P2173" s="66"/>
      <c r="Q2173" s="66"/>
      <c r="R2173" s="66"/>
      <c r="S2173" s="66"/>
      <c r="T2173" s="69"/>
      <c r="U2173" s="66"/>
      <c r="V2173" s="66"/>
      <c r="W2173" s="75"/>
      <c r="X2173" s="66"/>
      <c r="Y2173" s="66"/>
    </row>
    <row hidden="true" r="2174">
      <c r="N2174" s="66"/>
      <c r="O2174" s="66"/>
      <c r="P2174" s="66"/>
      <c r="Q2174" s="66"/>
      <c r="R2174" s="66"/>
      <c r="S2174" s="66"/>
      <c r="T2174" s="69"/>
      <c r="U2174" s="66"/>
      <c r="V2174" s="66"/>
      <c r="W2174" s="75"/>
      <c r="X2174" s="66"/>
      <c r="Y2174" s="66"/>
    </row>
    <row hidden="true" r="2175">
      <c r="N2175" s="66"/>
      <c r="O2175" s="66"/>
      <c r="P2175" s="66"/>
      <c r="Q2175" s="66"/>
      <c r="R2175" s="66"/>
      <c r="S2175" s="66"/>
      <c r="T2175" s="69"/>
      <c r="U2175" s="66"/>
      <c r="V2175" s="66"/>
      <c r="W2175" s="75"/>
      <c r="X2175" s="66"/>
      <c r="Y2175" s="66"/>
    </row>
    <row hidden="true" r="2176">
      <c r="N2176" s="66"/>
      <c r="O2176" s="66"/>
      <c r="P2176" s="66"/>
      <c r="Q2176" s="66"/>
      <c r="R2176" s="66"/>
      <c r="S2176" s="66"/>
      <c r="T2176" s="69"/>
      <c r="U2176" s="66"/>
      <c r="V2176" s="66"/>
      <c r="W2176" s="75"/>
      <c r="X2176" s="66"/>
      <c r="Y2176" s="66"/>
    </row>
    <row hidden="true" r="2177">
      <c r="N2177" s="66"/>
      <c r="O2177" s="66"/>
      <c r="P2177" s="66"/>
      <c r="Q2177" s="66"/>
      <c r="R2177" s="66"/>
      <c r="S2177" s="66"/>
      <c r="T2177" s="69"/>
      <c r="U2177" s="66"/>
      <c r="V2177" s="66"/>
      <c r="W2177" s="75"/>
      <c r="X2177" s="66"/>
      <c r="Y2177" s="66"/>
    </row>
    <row hidden="true" r="2178">
      <c r="N2178" s="66"/>
      <c r="O2178" s="66"/>
      <c r="P2178" s="66"/>
      <c r="Q2178" s="66"/>
      <c r="R2178" s="66"/>
      <c r="S2178" s="66"/>
      <c r="T2178" s="69"/>
      <c r="U2178" s="66"/>
      <c r="V2178" s="66"/>
      <c r="W2178" s="75"/>
      <c r="X2178" s="66"/>
      <c r="Y2178" s="66"/>
    </row>
    <row hidden="true" r="2179">
      <c r="N2179" s="66"/>
      <c r="O2179" s="66"/>
      <c r="P2179" s="66"/>
      <c r="Q2179" s="66"/>
      <c r="R2179" s="66"/>
      <c r="S2179" s="66"/>
      <c r="T2179" s="69"/>
      <c r="U2179" s="66"/>
      <c r="V2179" s="66"/>
      <c r="W2179" s="75"/>
      <c r="X2179" s="66"/>
      <c r="Y2179" s="66"/>
    </row>
    <row hidden="true" r="2180">
      <c r="N2180" s="66"/>
      <c r="O2180" s="66"/>
      <c r="P2180" s="66"/>
      <c r="Q2180" s="66"/>
      <c r="R2180" s="66"/>
      <c r="S2180" s="66"/>
      <c r="T2180" s="69"/>
      <c r="U2180" s="66"/>
      <c r="V2180" s="66"/>
      <c r="W2180" s="75"/>
      <c r="X2180" s="66"/>
      <c r="Y2180" s="66"/>
    </row>
    <row hidden="true" r="2181">
      <c r="N2181" s="66"/>
      <c r="O2181" s="66"/>
      <c r="P2181" s="66"/>
      <c r="Q2181" s="66"/>
      <c r="R2181" s="66"/>
      <c r="S2181" s="66"/>
      <c r="T2181" s="69"/>
      <c r="U2181" s="66"/>
      <c r="V2181" s="66"/>
      <c r="W2181" s="75"/>
      <c r="X2181" s="66"/>
      <c r="Y2181" s="66"/>
    </row>
    <row hidden="true" r="2182">
      <c r="N2182" s="66"/>
      <c r="O2182" s="66"/>
      <c r="P2182" s="66"/>
      <c r="Q2182" s="66"/>
      <c r="R2182" s="66"/>
      <c r="S2182" s="66"/>
      <c r="T2182" s="69"/>
      <c r="U2182" s="66"/>
      <c r="V2182" s="66"/>
      <c r="W2182" s="75"/>
      <c r="X2182" s="66"/>
      <c r="Y2182" s="66"/>
    </row>
    <row hidden="true" r="2183">
      <c r="N2183" s="66"/>
      <c r="O2183" s="66"/>
      <c r="P2183" s="66"/>
      <c r="Q2183" s="66"/>
      <c r="R2183" s="66"/>
      <c r="S2183" s="66"/>
      <c r="T2183" s="69"/>
      <c r="U2183" s="66"/>
      <c r="V2183" s="66"/>
      <c r="W2183" s="75"/>
      <c r="X2183" s="66"/>
      <c r="Y2183" s="66"/>
    </row>
    <row hidden="true" r="2184">
      <c r="N2184" s="66"/>
      <c r="O2184" s="66"/>
      <c r="P2184" s="66"/>
      <c r="Q2184" s="66"/>
      <c r="R2184" s="66"/>
      <c r="S2184" s="66"/>
      <c r="T2184" s="69"/>
      <c r="U2184" s="66"/>
      <c r="V2184" s="66"/>
      <c r="W2184" s="75"/>
      <c r="X2184" s="66"/>
      <c r="Y2184" s="66"/>
    </row>
    <row hidden="true" r="2185">
      <c r="N2185" s="66"/>
      <c r="O2185" s="66"/>
      <c r="P2185" s="66"/>
      <c r="Q2185" s="66"/>
      <c r="R2185" s="66"/>
      <c r="S2185" s="66"/>
      <c r="T2185" s="69"/>
      <c r="U2185" s="66"/>
      <c r="V2185" s="66"/>
      <c r="W2185" s="75"/>
      <c r="X2185" s="66"/>
      <c r="Y2185" s="66"/>
    </row>
    <row hidden="true" r="2186">
      <c r="N2186" s="66"/>
      <c r="O2186" s="66"/>
      <c r="P2186" s="66"/>
      <c r="Q2186" s="66"/>
      <c r="R2186" s="66"/>
      <c r="S2186" s="66"/>
      <c r="T2186" s="69"/>
      <c r="U2186" s="66"/>
      <c r="V2186" s="66"/>
      <c r="W2186" s="75"/>
      <c r="X2186" s="66"/>
      <c r="Y2186" s="66"/>
    </row>
    <row hidden="true" r="2187">
      <c r="N2187" s="66"/>
      <c r="O2187" s="66"/>
      <c r="P2187" s="66"/>
      <c r="Q2187" s="66"/>
      <c r="R2187" s="66"/>
      <c r="S2187" s="66"/>
      <c r="T2187" s="69"/>
      <c r="U2187" s="66"/>
      <c r="V2187" s="66"/>
      <c r="W2187" s="75"/>
      <c r="X2187" s="66"/>
      <c r="Y2187" s="66"/>
    </row>
    <row hidden="true" r="2188">
      <c r="N2188" s="66"/>
      <c r="O2188" s="66"/>
      <c r="P2188" s="66"/>
      <c r="Q2188" s="66"/>
      <c r="R2188" s="66"/>
      <c r="S2188" s="66"/>
      <c r="T2188" s="69"/>
      <c r="U2188" s="66"/>
      <c r="V2188" s="66"/>
      <c r="W2188" s="75"/>
      <c r="X2188" s="66"/>
      <c r="Y2188" s="66"/>
    </row>
    <row hidden="true" r="2189">
      <c r="N2189" s="66"/>
      <c r="O2189" s="66"/>
      <c r="P2189" s="66"/>
      <c r="Q2189" s="66"/>
      <c r="R2189" s="66"/>
      <c r="S2189" s="66"/>
      <c r="T2189" s="69"/>
      <c r="U2189" s="66"/>
      <c r="V2189" s="66"/>
      <c r="W2189" s="75"/>
      <c r="X2189" s="66"/>
      <c r="Y2189" s="66"/>
    </row>
    <row hidden="true" r="2190">
      <c r="N2190" s="66"/>
      <c r="O2190" s="66"/>
      <c r="P2190" s="66"/>
      <c r="Q2190" s="66"/>
      <c r="R2190" s="66"/>
      <c r="S2190" s="66"/>
      <c r="T2190" s="69"/>
      <c r="U2190" s="66"/>
      <c r="V2190" s="66"/>
      <c r="W2190" s="75"/>
      <c r="X2190" s="66"/>
      <c r="Y2190" s="66"/>
    </row>
    <row hidden="true" r="2191">
      <c r="N2191" s="66"/>
      <c r="O2191" s="66"/>
      <c r="P2191" s="66"/>
      <c r="Q2191" s="66"/>
      <c r="R2191" s="66"/>
      <c r="S2191" s="66"/>
      <c r="T2191" s="69"/>
      <c r="U2191" s="66"/>
      <c r="V2191" s="66"/>
      <c r="W2191" s="75"/>
      <c r="X2191" s="66"/>
      <c r="Y2191" s="66"/>
    </row>
    <row hidden="true" r="2192">
      <c r="N2192" s="66"/>
      <c r="O2192" s="66"/>
      <c r="P2192" s="66"/>
      <c r="Q2192" s="66"/>
      <c r="R2192" s="66"/>
      <c r="S2192" s="66"/>
      <c r="T2192" s="69"/>
      <c r="U2192" s="66"/>
      <c r="V2192" s="66"/>
      <c r="W2192" s="75"/>
      <c r="X2192" s="66"/>
      <c r="Y2192" s="66"/>
    </row>
    <row hidden="true" r="2193">
      <c r="N2193" s="66"/>
      <c r="O2193" s="66"/>
      <c r="P2193" s="66"/>
      <c r="Q2193" s="66"/>
      <c r="R2193" s="66"/>
      <c r="S2193" s="66"/>
      <c r="T2193" s="69"/>
      <c r="U2193" s="66"/>
      <c r="V2193" s="66"/>
      <c r="W2193" s="75"/>
      <c r="X2193" s="66"/>
      <c r="Y2193" s="66"/>
    </row>
    <row hidden="true" r="2194">
      <c r="N2194" s="66"/>
      <c r="O2194" s="66"/>
      <c r="P2194" s="66"/>
      <c r="Q2194" s="66"/>
      <c r="R2194" s="66"/>
      <c r="S2194" s="66"/>
      <c r="T2194" s="69"/>
      <c r="U2194" s="66"/>
      <c r="V2194" s="66"/>
      <c r="W2194" s="75"/>
      <c r="X2194" s="66"/>
      <c r="Y2194" s="66"/>
    </row>
    <row hidden="true" r="2195">
      <c r="N2195" s="66"/>
      <c r="O2195" s="66"/>
      <c r="P2195" s="66"/>
      <c r="Q2195" s="66"/>
      <c r="R2195" s="66"/>
      <c r="S2195" s="66"/>
      <c r="T2195" s="69"/>
      <c r="U2195" s="66"/>
      <c r="V2195" s="66"/>
      <c r="W2195" s="75"/>
      <c r="X2195" s="66"/>
      <c r="Y2195" s="66"/>
    </row>
    <row hidden="true" r="2196">
      <c r="N2196" s="66"/>
      <c r="O2196" s="66"/>
      <c r="P2196" s="66"/>
      <c r="Q2196" s="66"/>
      <c r="R2196" s="66"/>
      <c r="S2196" s="66"/>
      <c r="T2196" s="69"/>
      <c r="U2196" s="66"/>
      <c r="V2196" s="66"/>
      <c r="W2196" s="75"/>
      <c r="X2196" s="66"/>
      <c r="Y2196" s="66"/>
    </row>
    <row hidden="true" r="2197">
      <c r="N2197" s="66"/>
      <c r="O2197" s="66"/>
      <c r="P2197" s="66"/>
      <c r="Q2197" s="66"/>
      <c r="R2197" s="66"/>
      <c r="S2197" s="66"/>
      <c r="T2197" s="69"/>
      <c r="U2197" s="66"/>
      <c r="V2197" s="66"/>
      <c r="W2197" s="75"/>
      <c r="X2197" s="66"/>
      <c r="Y2197" s="66"/>
    </row>
    <row hidden="true" r="2198">
      <c r="N2198" s="66"/>
      <c r="O2198" s="66"/>
      <c r="P2198" s="66"/>
      <c r="Q2198" s="66"/>
      <c r="R2198" s="66"/>
      <c r="S2198" s="66"/>
      <c r="T2198" s="69"/>
      <c r="U2198" s="66"/>
      <c r="V2198" s="66"/>
      <c r="W2198" s="75"/>
      <c r="X2198" s="66"/>
      <c r="Y2198" s="66"/>
    </row>
    <row hidden="true" r="2199">
      <c r="N2199" s="66"/>
      <c r="O2199" s="66"/>
      <c r="P2199" s="66"/>
      <c r="Q2199" s="66"/>
      <c r="R2199" s="66"/>
      <c r="S2199" s="66"/>
      <c r="T2199" s="69"/>
      <c r="U2199" s="66"/>
      <c r="V2199" s="66"/>
      <c r="W2199" s="75"/>
      <c r="X2199" s="66"/>
      <c r="Y2199" s="66"/>
    </row>
    <row hidden="true" r="2200">
      <c r="N2200" s="66"/>
      <c r="O2200" s="66"/>
      <c r="P2200" s="66"/>
      <c r="Q2200" s="66"/>
      <c r="R2200" s="66"/>
      <c r="S2200" s="66"/>
      <c r="T2200" s="69"/>
      <c r="U2200" s="66"/>
      <c r="V2200" s="66"/>
      <c r="W2200" s="75"/>
      <c r="X2200" s="66"/>
      <c r="Y2200" s="66"/>
    </row>
    <row hidden="true" r="2201">
      <c r="N2201" s="66"/>
      <c r="O2201" s="66"/>
      <c r="P2201" s="66"/>
      <c r="Q2201" s="66"/>
      <c r="R2201" s="66"/>
      <c r="S2201" s="66"/>
      <c r="T2201" s="69"/>
      <c r="U2201" s="66"/>
      <c r="V2201" s="66"/>
      <c r="W2201" s="75"/>
      <c r="X2201" s="66"/>
      <c r="Y2201" s="66"/>
    </row>
    <row hidden="true" r="2202">
      <c r="N2202" s="66"/>
      <c r="O2202" s="66"/>
      <c r="P2202" s="66"/>
      <c r="Q2202" s="66"/>
      <c r="R2202" s="66"/>
      <c r="S2202" s="66"/>
      <c r="T2202" s="69"/>
      <c r="U2202" s="66"/>
      <c r="V2202" s="66"/>
      <c r="W2202" s="75"/>
      <c r="X2202" s="66"/>
      <c r="Y2202" s="66"/>
    </row>
    <row hidden="true" r="2203">
      <c r="N2203" s="66"/>
      <c r="O2203" s="66"/>
      <c r="P2203" s="66"/>
      <c r="Q2203" s="66"/>
      <c r="R2203" s="66"/>
      <c r="S2203" s="66"/>
      <c r="T2203" s="69"/>
      <c r="U2203" s="66"/>
      <c r="V2203" s="66"/>
      <c r="W2203" s="75"/>
      <c r="X2203" s="66"/>
      <c r="Y2203" s="66"/>
    </row>
    <row hidden="true" r="2204">
      <c r="N2204" s="66"/>
      <c r="O2204" s="66"/>
      <c r="P2204" s="66"/>
      <c r="Q2204" s="66"/>
      <c r="R2204" s="66"/>
      <c r="S2204" s="66"/>
      <c r="T2204" s="69"/>
      <c r="U2204" s="66"/>
      <c r="V2204" s="66"/>
      <c r="W2204" s="75"/>
      <c r="X2204" s="66"/>
      <c r="Y2204" s="66"/>
    </row>
    <row hidden="true" r="2205">
      <c r="N2205" s="66"/>
      <c r="O2205" s="66"/>
      <c r="P2205" s="66"/>
      <c r="Q2205" s="66"/>
      <c r="R2205" s="66"/>
      <c r="S2205" s="66"/>
      <c r="T2205" s="69"/>
      <c r="U2205" s="66"/>
      <c r="V2205" s="66"/>
      <c r="W2205" s="75"/>
      <c r="X2205" s="66"/>
      <c r="Y2205" s="66"/>
    </row>
    <row hidden="true" r="2206">
      <c r="N2206" s="66"/>
      <c r="O2206" s="66"/>
      <c r="P2206" s="66"/>
      <c r="Q2206" s="66"/>
      <c r="R2206" s="66"/>
      <c r="S2206" s="66"/>
      <c r="T2206" s="69"/>
      <c r="U2206" s="66"/>
      <c r="V2206" s="66"/>
      <c r="W2206" s="75"/>
      <c r="X2206" s="66"/>
      <c r="Y2206" s="66"/>
    </row>
    <row hidden="true" r="2207">
      <c r="N2207" s="66"/>
      <c r="O2207" s="66"/>
      <c r="P2207" s="66"/>
      <c r="Q2207" s="66"/>
      <c r="R2207" s="66"/>
      <c r="S2207" s="66"/>
      <c r="T2207" s="69"/>
      <c r="U2207" s="66"/>
      <c r="V2207" s="66"/>
      <c r="W2207" s="75"/>
      <c r="X2207" s="66"/>
      <c r="Y2207" s="66"/>
    </row>
    <row hidden="true" r="2208">
      <c r="N2208" s="66"/>
      <c r="O2208" s="66"/>
      <c r="P2208" s="66"/>
      <c r="Q2208" s="66"/>
      <c r="R2208" s="66"/>
      <c r="S2208" s="66"/>
      <c r="T2208" s="69"/>
      <c r="U2208" s="66"/>
      <c r="V2208" s="66"/>
      <c r="W2208" s="75"/>
      <c r="X2208" s="66"/>
      <c r="Y2208" s="66"/>
    </row>
    <row hidden="true" r="2209">
      <c r="N2209" s="66"/>
      <c r="O2209" s="66"/>
      <c r="P2209" s="66"/>
      <c r="Q2209" s="66"/>
      <c r="R2209" s="66"/>
      <c r="S2209" s="66"/>
      <c r="T2209" s="69"/>
      <c r="U2209" s="66"/>
      <c r="V2209" s="66"/>
      <c r="W2209" s="75"/>
      <c r="X2209" s="66"/>
      <c r="Y2209" s="66"/>
    </row>
    <row hidden="true" r="2210">
      <c r="N2210" s="66"/>
      <c r="O2210" s="66"/>
      <c r="P2210" s="66"/>
      <c r="Q2210" s="66"/>
      <c r="R2210" s="66"/>
      <c r="S2210" s="66"/>
      <c r="T2210" s="69"/>
      <c r="U2210" s="66"/>
      <c r="V2210" s="66"/>
      <c r="W2210" s="75"/>
      <c r="X2210" s="66"/>
      <c r="Y2210" s="66"/>
    </row>
    <row hidden="true" r="2211">
      <c r="N2211" s="66"/>
      <c r="O2211" s="66"/>
      <c r="P2211" s="66"/>
      <c r="Q2211" s="66"/>
      <c r="R2211" s="66"/>
      <c r="S2211" s="66"/>
      <c r="T2211" s="69"/>
      <c r="U2211" s="66"/>
      <c r="V2211" s="66"/>
      <c r="W2211" s="75"/>
      <c r="X2211" s="66"/>
      <c r="Y2211" s="66"/>
    </row>
    <row hidden="true" r="2212">
      <c r="N2212" s="66"/>
      <c r="O2212" s="66"/>
      <c r="P2212" s="66"/>
      <c r="Q2212" s="66"/>
      <c r="R2212" s="66"/>
      <c r="S2212" s="66"/>
      <c r="T2212" s="69"/>
      <c r="U2212" s="66"/>
      <c r="V2212" s="66"/>
      <c r="W2212" s="75"/>
      <c r="X2212" s="66"/>
      <c r="Y2212" s="66"/>
    </row>
    <row hidden="true" r="2213">
      <c r="N2213" s="66"/>
      <c r="O2213" s="66"/>
      <c r="P2213" s="66"/>
      <c r="Q2213" s="66"/>
      <c r="R2213" s="66"/>
      <c r="S2213" s="66"/>
      <c r="T2213" s="69"/>
      <c r="U2213" s="66"/>
      <c r="V2213" s="66"/>
      <c r="W2213" s="75"/>
      <c r="X2213" s="66"/>
      <c r="Y2213" s="66"/>
    </row>
    <row hidden="true" r="2214">
      <c r="N2214" s="66"/>
      <c r="O2214" s="66"/>
      <c r="P2214" s="66"/>
      <c r="Q2214" s="66"/>
      <c r="R2214" s="66"/>
      <c r="S2214" s="66"/>
      <c r="T2214" s="69"/>
      <c r="U2214" s="66"/>
      <c r="V2214" s="66"/>
      <c r="W2214" s="75"/>
      <c r="X2214" s="66"/>
      <c r="Y2214" s="66"/>
    </row>
    <row hidden="true" r="2215">
      <c r="N2215" s="66"/>
      <c r="O2215" s="66"/>
      <c r="P2215" s="66"/>
      <c r="Q2215" s="66"/>
      <c r="R2215" s="66"/>
      <c r="S2215" s="66"/>
      <c r="T2215" s="69"/>
      <c r="U2215" s="66"/>
      <c r="V2215" s="66"/>
      <c r="W2215" s="75"/>
      <c r="X2215" s="66"/>
      <c r="Y2215" s="66"/>
    </row>
    <row hidden="true" r="2216">
      <c r="N2216" s="66"/>
      <c r="O2216" s="66"/>
      <c r="P2216" s="66"/>
      <c r="Q2216" s="66"/>
      <c r="R2216" s="66"/>
      <c r="S2216" s="66"/>
      <c r="T2216" s="69"/>
      <c r="U2216" s="66"/>
      <c r="V2216" s="66"/>
      <c r="W2216" s="75"/>
      <c r="X2216" s="66"/>
      <c r="Y2216" s="66"/>
    </row>
    <row hidden="true" r="2217">
      <c r="N2217" s="66"/>
      <c r="O2217" s="66"/>
      <c r="P2217" s="66"/>
      <c r="Q2217" s="66"/>
      <c r="R2217" s="66"/>
      <c r="S2217" s="66"/>
      <c r="T2217" s="69"/>
      <c r="U2217" s="66"/>
      <c r="V2217" s="66"/>
      <c r="W2217" s="75"/>
      <c r="X2217" s="66"/>
      <c r="Y2217" s="66"/>
    </row>
    <row hidden="true" r="2218">
      <c r="N2218" s="66"/>
      <c r="O2218" s="66"/>
      <c r="P2218" s="66"/>
      <c r="Q2218" s="66"/>
      <c r="R2218" s="66"/>
      <c r="S2218" s="66"/>
      <c r="T2218" s="69"/>
      <c r="U2218" s="66"/>
      <c r="V2218" s="66"/>
      <c r="W2218" s="75"/>
      <c r="X2218" s="66"/>
      <c r="Y2218" s="66"/>
    </row>
    <row hidden="true" r="2219">
      <c r="N2219" s="66"/>
      <c r="O2219" s="66"/>
      <c r="P2219" s="66"/>
      <c r="Q2219" s="66"/>
      <c r="R2219" s="66"/>
      <c r="S2219" s="66"/>
      <c r="T2219" s="69"/>
      <c r="U2219" s="66"/>
      <c r="V2219" s="66"/>
      <c r="W2219" s="75"/>
      <c r="X2219" s="66"/>
      <c r="Y2219" s="66"/>
    </row>
    <row hidden="true" r="2220">
      <c r="N2220" s="66"/>
      <c r="O2220" s="66"/>
      <c r="P2220" s="66"/>
      <c r="Q2220" s="66"/>
      <c r="R2220" s="66"/>
      <c r="S2220" s="66"/>
      <c r="T2220" s="69"/>
      <c r="U2220" s="66"/>
      <c r="V2220" s="66"/>
      <c r="W2220" s="75"/>
      <c r="X2220" s="66"/>
      <c r="Y2220" s="66"/>
    </row>
    <row hidden="true" r="2221">
      <c r="N2221" s="66"/>
      <c r="O2221" s="66"/>
      <c r="P2221" s="66"/>
      <c r="Q2221" s="66"/>
      <c r="R2221" s="66"/>
      <c r="S2221" s="66"/>
      <c r="T2221" s="69"/>
      <c r="U2221" s="66"/>
      <c r="V2221" s="66"/>
      <c r="W2221" s="75"/>
      <c r="X2221" s="66"/>
      <c r="Y2221" s="66"/>
    </row>
    <row hidden="true" r="2222">
      <c r="N2222" s="66"/>
      <c r="O2222" s="66"/>
      <c r="P2222" s="66"/>
      <c r="Q2222" s="66"/>
      <c r="R2222" s="66"/>
      <c r="S2222" s="66"/>
      <c r="T2222" s="69"/>
      <c r="U2222" s="66"/>
      <c r="V2222" s="66"/>
      <c r="W2222" s="75"/>
      <c r="X2222" s="66"/>
      <c r="Y2222" s="66"/>
    </row>
    <row hidden="true" r="2223">
      <c r="N2223" s="66"/>
      <c r="O2223" s="66"/>
      <c r="P2223" s="66"/>
      <c r="Q2223" s="66"/>
      <c r="R2223" s="66"/>
      <c r="S2223" s="66"/>
      <c r="T2223" s="69"/>
      <c r="U2223" s="66"/>
      <c r="V2223" s="66"/>
      <c r="W2223" s="75"/>
      <c r="X2223" s="66"/>
      <c r="Y2223" s="66"/>
    </row>
    <row hidden="true" r="2224">
      <c r="N2224" s="66"/>
      <c r="O2224" s="66"/>
      <c r="P2224" s="66"/>
      <c r="Q2224" s="66"/>
      <c r="R2224" s="66"/>
      <c r="S2224" s="66"/>
      <c r="T2224" s="69"/>
      <c r="U2224" s="66"/>
      <c r="V2224" s="66"/>
      <c r="W2224" s="75"/>
      <c r="X2224" s="66"/>
      <c r="Y2224" s="66"/>
    </row>
    <row hidden="true" r="2225">
      <c r="N2225" s="66"/>
      <c r="O2225" s="66"/>
      <c r="P2225" s="66"/>
      <c r="Q2225" s="66"/>
      <c r="R2225" s="66"/>
      <c r="S2225" s="66"/>
      <c r="T2225" s="69"/>
      <c r="U2225" s="66"/>
      <c r="V2225" s="66"/>
      <c r="W2225" s="75"/>
      <c r="X2225" s="66"/>
      <c r="Y2225" s="66"/>
    </row>
    <row hidden="true" r="2226">
      <c r="N2226" s="66"/>
      <c r="O2226" s="66"/>
      <c r="P2226" s="66"/>
      <c r="Q2226" s="66"/>
      <c r="R2226" s="66"/>
      <c r="S2226" s="66"/>
      <c r="T2226" s="69"/>
      <c r="U2226" s="66"/>
      <c r="V2226" s="66"/>
      <c r="W2226" s="75"/>
      <c r="X2226" s="66"/>
      <c r="Y2226" s="66"/>
    </row>
    <row hidden="true" r="2227">
      <c r="N2227" s="66"/>
      <c r="O2227" s="66"/>
      <c r="P2227" s="66"/>
      <c r="Q2227" s="66"/>
      <c r="R2227" s="66"/>
      <c r="S2227" s="66"/>
      <c r="T2227" s="69"/>
      <c r="U2227" s="66"/>
      <c r="V2227" s="66"/>
      <c r="W2227" s="75"/>
      <c r="X2227" s="66"/>
      <c r="Y2227" s="66"/>
    </row>
    <row hidden="true" r="2228">
      <c r="N2228" s="66"/>
      <c r="O2228" s="66"/>
      <c r="P2228" s="66"/>
      <c r="Q2228" s="66"/>
      <c r="R2228" s="66"/>
      <c r="S2228" s="66"/>
      <c r="T2228" s="69"/>
      <c r="U2228" s="66"/>
      <c r="V2228" s="66"/>
      <c r="W2228" s="75"/>
      <c r="X2228" s="66"/>
      <c r="Y2228" s="66"/>
    </row>
    <row hidden="true" r="2229">
      <c r="N2229" s="66"/>
      <c r="O2229" s="66"/>
      <c r="P2229" s="66"/>
      <c r="Q2229" s="66"/>
      <c r="R2229" s="66"/>
      <c r="S2229" s="66"/>
      <c r="T2229" s="69"/>
      <c r="U2229" s="66"/>
      <c r="V2229" s="66"/>
      <c r="W2229" s="75"/>
      <c r="X2229" s="66"/>
      <c r="Y2229" s="66"/>
    </row>
    <row hidden="true" r="2230">
      <c r="N2230" s="66"/>
      <c r="O2230" s="66"/>
      <c r="P2230" s="66"/>
      <c r="Q2230" s="66"/>
      <c r="R2230" s="66"/>
      <c r="S2230" s="66"/>
      <c r="T2230" s="69"/>
      <c r="U2230" s="66"/>
      <c r="V2230" s="66"/>
      <c r="W2230" s="75"/>
      <c r="X2230" s="66"/>
      <c r="Y2230" s="66"/>
    </row>
    <row hidden="true" r="2231">
      <c r="N2231" s="66"/>
      <c r="O2231" s="66"/>
      <c r="P2231" s="66"/>
      <c r="Q2231" s="66"/>
      <c r="R2231" s="66"/>
      <c r="S2231" s="66"/>
      <c r="T2231" s="69"/>
      <c r="U2231" s="66"/>
      <c r="V2231" s="66"/>
      <c r="W2231" s="75"/>
      <c r="X2231" s="66"/>
      <c r="Y2231" s="66"/>
    </row>
    <row hidden="true" r="2232">
      <c r="N2232" s="66"/>
      <c r="O2232" s="66"/>
      <c r="P2232" s="66"/>
      <c r="Q2232" s="66"/>
      <c r="R2232" s="66"/>
      <c r="S2232" s="66"/>
      <c r="T2232" s="69"/>
      <c r="U2232" s="66"/>
      <c r="V2232" s="66"/>
      <c r="W2232" s="75"/>
      <c r="X2232" s="66"/>
      <c r="Y2232" s="66"/>
    </row>
    <row hidden="true" r="2233">
      <c r="N2233" s="66"/>
      <c r="O2233" s="66"/>
      <c r="P2233" s="66"/>
      <c r="Q2233" s="66"/>
      <c r="R2233" s="66"/>
      <c r="S2233" s="66"/>
      <c r="T2233" s="69"/>
      <c r="U2233" s="66"/>
      <c r="V2233" s="66"/>
      <c r="W2233" s="75"/>
      <c r="X2233" s="66"/>
      <c r="Y2233" s="66"/>
    </row>
    <row hidden="true" r="2234">
      <c r="N2234" s="66"/>
      <c r="O2234" s="66"/>
      <c r="P2234" s="66"/>
      <c r="Q2234" s="66"/>
      <c r="R2234" s="66"/>
      <c r="S2234" s="66"/>
      <c r="T2234" s="69"/>
      <c r="U2234" s="66"/>
      <c r="V2234" s="66"/>
      <c r="W2234" s="75"/>
      <c r="X2234" s="66"/>
      <c r="Y2234" s="66"/>
    </row>
    <row hidden="true" r="2235">
      <c r="N2235" s="66"/>
      <c r="O2235" s="66"/>
      <c r="P2235" s="66"/>
      <c r="Q2235" s="66"/>
      <c r="R2235" s="66"/>
      <c r="S2235" s="66"/>
      <c r="T2235" s="69"/>
      <c r="U2235" s="66"/>
      <c r="V2235" s="66"/>
      <c r="W2235" s="75"/>
      <c r="X2235" s="66"/>
      <c r="Y2235" s="66"/>
    </row>
    <row hidden="true" r="2236">
      <c r="N2236" s="66"/>
      <c r="O2236" s="66"/>
      <c r="P2236" s="66"/>
      <c r="Q2236" s="66"/>
      <c r="R2236" s="66"/>
      <c r="S2236" s="66"/>
      <c r="T2236" s="69"/>
      <c r="U2236" s="66"/>
      <c r="V2236" s="66"/>
      <c r="W2236" s="75"/>
      <c r="X2236" s="66"/>
      <c r="Y2236" s="66"/>
    </row>
    <row hidden="true" r="2237">
      <c r="N2237" s="66"/>
      <c r="O2237" s="66"/>
      <c r="P2237" s="66"/>
      <c r="Q2237" s="66"/>
      <c r="R2237" s="66"/>
      <c r="S2237" s="66"/>
      <c r="T2237" s="69"/>
      <c r="U2237" s="66"/>
      <c r="V2237" s="66"/>
      <c r="W2237" s="75"/>
      <c r="X2237" s="66"/>
      <c r="Y2237" s="66"/>
    </row>
    <row hidden="true" r="2238">
      <c r="N2238" s="66"/>
      <c r="O2238" s="66"/>
      <c r="P2238" s="66"/>
      <c r="Q2238" s="66"/>
      <c r="R2238" s="66"/>
      <c r="S2238" s="66"/>
      <c r="T2238" s="69"/>
      <c r="U2238" s="66"/>
      <c r="V2238" s="66"/>
      <c r="W2238" s="75"/>
      <c r="X2238" s="66"/>
      <c r="Y2238" s="66"/>
    </row>
    <row hidden="true" r="2239">
      <c r="N2239" s="66"/>
      <c r="O2239" s="66"/>
      <c r="P2239" s="66"/>
      <c r="Q2239" s="66"/>
      <c r="R2239" s="66"/>
      <c r="S2239" s="66"/>
      <c r="T2239" s="69"/>
      <c r="U2239" s="66"/>
      <c r="V2239" s="66"/>
      <c r="W2239" s="75"/>
      <c r="X2239" s="66"/>
      <c r="Y2239" s="66"/>
    </row>
    <row hidden="true" r="2240">
      <c r="N2240" s="66"/>
      <c r="O2240" s="66"/>
      <c r="P2240" s="66"/>
      <c r="Q2240" s="66"/>
      <c r="R2240" s="66"/>
      <c r="S2240" s="66"/>
      <c r="T2240" s="69"/>
      <c r="U2240" s="66"/>
      <c r="V2240" s="66"/>
      <c r="W2240" s="75"/>
      <c r="X2240" s="66"/>
      <c r="Y2240" s="66"/>
    </row>
    <row hidden="true" r="2241">
      <c r="N2241" s="66"/>
      <c r="O2241" s="66"/>
      <c r="P2241" s="66"/>
      <c r="Q2241" s="66"/>
      <c r="R2241" s="66"/>
      <c r="S2241" s="66"/>
      <c r="T2241" s="69"/>
      <c r="U2241" s="66"/>
      <c r="V2241" s="66"/>
      <c r="W2241" s="75"/>
      <c r="X2241" s="66"/>
      <c r="Y2241" s="66"/>
    </row>
    <row hidden="true" r="2242">
      <c r="N2242" s="66"/>
      <c r="O2242" s="66"/>
      <c r="P2242" s="66"/>
      <c r="Q2242" s="66"/>
      <c r="R2242" s="66"/>
      <c r="S2242" s="66"/>
      <c r="T2242" s="69"/>
      <c r="U2242" s="66"/>
      <c r="V2242" s="66"/>
      <c r="W2242" s="75"/>
      <c r="X2242" s="66"/>
      <c r="Y2242" s="66"/>
    </row>
    <row hidden="true" r="2243">
      <c r="N2243" s="66"/>
      <c r="O2243" s="66"/>
      <c r="P2243" s="66"/>
      <c r="Q2243" s="66"/>
      <c r="R2243" s="66"/>
      <c r="S2243" s="66"/>
      <c r="T2243" s="69"/>
      <c r="U2243" s="66"/>
      <c r="V2243" s="66"/>
      <c r="W2243" s="75"/>
      <c r="X2243" s="66"/>
      <c r="Y2243" s="66"/>
    </row>
    <row hidden="true" r="2244">
      <c r="N2244" s="66"/>
      <c r="O2244" s="66"/>
      <c r="P2244" s="66"/>
      <c r="Q2244" s="66"/>
      <c r="R2244" s="66"/>
      <c r="S2244" s="66"/>
      <c r="T2244" s="69"/>
      <c r="U2244" s="66"/>
      <c r="V2244" s="66"/>
      <c r="W2244" s="75"/>
      <c r="X2244" s="66"/>
      <c r="Y2244" s="66"/>
    </row>
    <row hidden="true" r="2245">
      <c r="N2245" s="66"/>
      <c r="O2245" s="66"/>
      <c r="P2245" s="66"/>
      <c r="Q2245" s="66"/>
      <c r="R2245" s="66"/>
      <c r="S2245" s="66"/>
      <c r="T2245" s="69"/>
      <c r="U2245" s="66"/>
      <c r="V2245" s="66"/>
      <c r="W2245" s="75"/>
      <c r="X2245" s="66"/>
      <c r="Y2245" s="66"/>
    </row>
    <row hidden="true" r="2246">
      <c r="N2246" s="66"/>
      <c r="O2246" s="66"/>
      <c r="P2246" s="66"/>
      <c r="Q2246" s="66"/>
      <c r="R2246" s="66"/>
      <c r="S2246" s="66"/>
      <c r="T2246" s="69"/>
      <c r="U2246" s="66"/>
      <c r="V2246" s="66"/>
      <c r="W2246" s="75"/>
      <c r="X2246" s="66"/>
      <c r="Y2246" s="66"/>
    </row>
    <row hidden="true" r="2247">
      <c r="N2247" s="66"/>
      <c r="O2247" s="66"/>
      <c r="P2247" s="66"/>
      <c r="Q2247" s="66"/>
      <c r="R2247" s="66"/>
      <c r="S2247" s="66"/>
      <c r="T2247" s="69"/>
      <c r="U2247" s="66"/>
      <c r="V2247" s="66"/>
      <c r="W2247" s="75"/>
      <c r="X2247" s="66"/>
      <c r="Y2247" s="66"/>
    </row>
    <row hidden="true" r="2248">
      <c r="N2248" s="66"/>
      <c r="O2248" s="66"/>
      <c r="P2248" s="66"/>
      <c r="Q2248" s="66"/>
      <c r="R2248" s="66"/>
      <c r="S2248" s="66"/>
      <c r="T2248" s="69"/>
      <c r="U2248" s="66"/>
      <c r="V2248" s="66"/>
      <c r="W2248" s="75"/>
      <c r="X2248" s="66"/>
      <c r="Y2248" s="66"/>
    </row>
    <row hidden="true" r="2249">
      <c r="N2249" s="66"/>
      <c r="O2249" s="66"/>
      <c r="P2249" s="66"/>
      <c r="Q2249" s="66"/>
      <c r="R2249" s="66"/>
      <c r="S2249" s="66"/>
      <c r="T2249" s="69"/>
      <c r="U2249" s="66"/>
      <c r="V2249" s="66"/>
      <c r="W2249" s="75"/>
      <c r="X2249" s="66"/>
      <c r="Y2249" s="66"/>
    </row>
    <row hidden="true" r="2250">
      <c r="N2250" s="66"/>
      <c r="O2250" s="66"/>
      <c r="P2250" s="66"/>
      <c r="Q2250" s="66"/>
      <c r="R2250" s="66"/>
      <c r="S2250" s="66"/>
      <c r="T2250" s="69"/>
      <c r="U2250" s="66"/>
      <c r="V2250" s="66"/>
      <c r="W2250" s="75"/>
      <c r="X2250" s="66"/>
      <c r="Y2250" s="66"/>
    </row>
    <row hidden="true" r="2251">
      <c r="N2251" s="66"/>
      <c r="O2251" s="66"/>
      <c r="P2251" s="66"/>
      <c r="Q2251" s="66"/>
      <c r="R2251" s="66"/>
      <c r="S2251" s="66"/>
      <c r="T2251" s="69"/>
      <c r="U2251" s="66"/>
      <c r="V2251" s="66"/>
      <c r="W2251" s="75"/>
      <c r="X2251" s="66"/>
      <c r="Y2251" s="66"/>
    </row>
    <row hidden="true" r="2252">
      <c r="N2252" s="66"/>
      <c r="O2252" s="66"/>
      <c r="P2252" s="66"/>
      <c r="Q2252" s="66"/>
      <c r="R2252" s="66"/>
      <c r="S2252" s="66"/>
      <c r="T2252" s="69"/>
      <c r="U2252" s="66"/>
      <c r="V2252" s="66"/>
      <c r="W2252" s="75"/>
      <c r="X2252" s="66"/>
      <c r="Y2252" s="66"/>
    </row>
    <row hidden="true" r="2253">
      <c r="N2253" s="66"/>
      <c r="O2253" s="66"/>
      <c r="P2253" s="66"/>
      <c r="Q2253" s="66"/>
      <c r="R2253" s="66"/>
      <c r="S2253" s="66"/>
      <c r="T2253" s="69"/>
      <c r="U2253" s="66"/>
      <c r="V2253" s="66"/>
      <c r="W2253" s="75"/>
      <c r="X2253" s="66"/>
      <c r="Y2253" s="66"/>
    </row>
    <row hidden="true" r="2254">
      <c r="N2254" s="66"/>
      <c r="O2254" s="66"/>
      <c r="P2254" s="66"/>
      <c r="Q2254" s="66"/>
      <c r="R2254" s="66"/>
      <c r="S2254" s="66"/>
      <c r="T2254" s="69"/>
      <c r="U2254" s="66"/>
      <c r="V2254" s="66"/>
      <c r="W2254" s="75"/>
      <c r="X2254" s="66"/>
      <c r="Y2254" s="66"/>
    </row>
    <row hidden="true" r="2255">
      <c r="N2255" s="66"/>
      <c r="O2255" s="66"/>
      <c r="P2255" s="66"/>
      <c r="Q2255" s="66"/>
      <c r="R2255" s="66"/>
      <c r="S2255" s="66"/>
      <c r="T2255" s="69"/>
      <c r="U2255" s="66"/>
      <c r="V2255" s="66"/>
      <c r="W2255" s="75"/>
      <c r="X2255" s="66"/>
      <c r="Y2255" s="66"/>
    </row>
    <row hidden="true" r="2256">
      <c r="N2256" s="66"/>
      <c r="O2256" s="66"/>
      <c r="P2256" s="66"/>
      <c r="Q2256" s="66"/>
      <c r="R2256" s="66"/>
      <c r="S2256" s="66"/>
      <c r="T2256" s="69"/>
      <c r="U2256" s="66"/>
      <c r="V2256" s="66"/>
      <c r="W2256" s="75"/>
      <c r="X2256" s="66"/>
      <c r="Y2256" s="66"/>
    </row>
    <row hidden="true" r="2257">
      <c r="N2257" s="66"/>
      <c r="O2257" s="66"/>
      <c r="P2257" s="66"/>
      <c r="Q2257" s="66"/>
      <c r="R2257" s="66"/>
      <c r="S2257" s="66"/>
      <c r="T2257" s="69"/>
      <c r="U2257" s="66"/>
      <c r="V2257" s="66"/>
      <c r="W2257" s="75"/>
      <c r="X2257" s="66"/>
      <c r="Y2257" s="66"/>
    </row>
    <row hidden="true" r="2258">
      <c r="N2258" s="66"/>
      <c r="O2258" s="66"/>
      <c r="P2258" s="66"/>
      <c r="Q2258" s="66"/>
      <c r="R2258" s="66"/>
      <c r="S2258" s="66"/>
      <c r="T2258" s="69"/>
      <c r="U2258" s="66"/>
      <c r="V2258" s="66"/>
      <c r="W2258" s="75"/>
      <c r="X2258" s="66"/>
      <c r="Y2258" s="66"/>
    </row>
    <row hidden="true" r="2259">
      <c r="N2259" s="66"/>
      <c r="O2259" s="66"/>
      <c r="P2259" s="66"/>
      <c r="Q2259" s="66"/>
      <c r="R2259" s="66"/>
      <c r="S2259" s="66"/>
      <c r="T2259" s="69"/>
      <c r="U2259" s="66"/>
      <c r="V2259" s="66"/>
      <c r="W2259" s="75"/>
      <c r="X2259" s="66"/>
      <c r="Y2259" s="66"/>
    </row>
    <row hidden="true" r="2260">
      <c r="N2260" s="66"/>
      <c r="O2260" s="66"/>
      <c r="P2260" s="66"/>
      <c r="Q2260" s="66"/>
      <c r="R2260" s="66"/>
      <c r="S2260" s="66"/>
      <c r="T2260" s="69"/>
      <c r="U2260" s="66"/>
      <c r="V2260" s="66"/>
      <c r="W2260" s="75"/>
      <c r="X2260" s="66"/>
      <c r="Y2260" s="66"/>
    </row>
    <row hidden="true" r="2261">
      <c r="N2261" s="66"/>
      <c r="O2261" s="66"/>
      <c r="P2261" s="66"/>
      <c r="Q2261" s="66"/>
      <c r="R2261" s="66"/>
      <c r="S2261" s="66"/>
      <c r="T2261" s="69"/>
      <c r="U2261" s="66"/>
      <c r="V2261" s="66"/>
      <c r="W2261" s="75"/>
      <c r="X2261" s="66"/>
      <c r="Y2261" s="66"/>
    </row>
    <row hidden="true" r="2262">
      <c r="N2262" s="66"/>
      <c r="O2262" s="66"/>
      <c r="P2262" s="66"/>
      <c r="Q2262" s="66"/>
      <c r="R2262" s="66"/>
      <c r="S2262" s="66"/>
      <c r="T2262" s="69"/>
      <c r="U2262" s="66"/>
      <c r="V2262" s="66"/>
      <c r="W2262" s="75"/>
      <c r="X2262" s="66"/>
      <c r="Y2262" s="66"/>
    </row>
    <row hidden="true" r="2263">
      <c r="N2263" s="66"/>
      <c r="O2263" s="66"/>
      <c r="P2263" s="66"/>
      <c r="Q2263" s="66"/>
      <c r="R2263" s="66"/>
      <c r="S2263" s="66"/>
      <c r="T2263" s="69"/>
      <c r="U2263" s="66"/>
      <c r="V2263" s="66"/>
      <c r="W2263" s="75"/>
      <c r="X2263" s="66"/>
      <c r="Y2263" s="66"/>
    </row>
    <row hidden="true" r="2264">
      <c r="N2264" s="66"/>
      <c r="O2264" s="66"/>
      <c r="P2264" s="66"/>
      <c r="Q2264" s="66"/>
      <c r="R2264" s="66"/>
      <c r="S2264" s="66"/>
      <c r="T2264" s="69"/>
      <c r="U2264" s="66"/>
      <c r="V2264" s="66"/>
      <c r="W2264" s="75"/>
      <c r="X2264" s="66"/>
      <c r="Y2264" s="66"/>
    </row>
    <row hidden="true" r="2265">
      <c r="N2265" s="66"/>
      <c r="O2265" s="66"/>
      <c r="P2265" s="66"/>
      <c r="Q2265" s="66"/>
      <c r="R2265" s="66"/>
      <c r="S2265" s="66"/>
      <c r="T2265" s="69"/>
      <c r="U2265" s="66"/>
      <c r="V2265" s="66"/>
      <c r="W2265" s="75"/>
      <c r="X2265" s="66"/>
      <c r="Y2265" s="66"/>
    </row>
    <row hidden="true" r="2266">
      <c r="N2266" s="66"/>
      <c r="O2266" s="66"/>
      <c r="P2266" s="66"/>
      <c r="Q2266" s="66"/>
      <c r="R2266" s="66"/>
      <c r="S2266" s="66"/>
      <c r="T2266" s="69"/>
      <c r="U2266" s="66"/>
      <c r="V2266" s="66"/>
      <c r="W2266" s="75"/>
      <c r="X2266" s="66"/>
      <c r="Y2266" s="66"/>
    </row>
    <row hidden="true" r="2267">
      <c r="N2267" s="66"/>
      <c r="O2267" s="66"/>
      <c r="P2267" s="66"/>
      <c r="Q2267" s="66"/>
      <c r="R2267" s="66"/>
      <c r="S2267" s="66"/>
      <c r="T2267" s="69"/>
      <c r="U2267" s="66"/>
      <c r="V2267" s="66"/>
      <c r="W2267" s="75"/>
      <c r="X2267" s="66"/>
      <c r="Y2267" s="66"/>
    </row>
    <row hidden="true" r="2268">
      <c r="N2268" s="66"/>
      <c r="O2268" s="66"/>
      <c r="P2268" s="66"/>
      <c r="Q2268" s="66"/>
      <c r="R2268" s="66"/>
      <c r="S2268" s="66"/>
      <c r="T2268" s="69"/>
      <c r="U2268" s="66"/>
      <c r="V2268" s="66"/>
      <c r="W2268" s="75"/>
      <c r="X2268" s="66"/>
      <c r="Y2268" s="66"/>
    </row>
    <row hidden="true" r="2269">
      <c r="N2269" s="66"/>
      <c r="O2269" s="66"/>
      <c r="P2269" s="66"/>
      <c r="Q2269" s="66"/>
      <c r="R2269" s="66"/>
      <c r="S2269" s="66"/>
      <c r="T2269" s="69"/>
      <c r="U2269" s="66"/>
      <c r="V2269" s="66"/>
      <c r="W2269" s="75"/>
      <c r="X2269" s="66"/>
      <c r="Y2269" s="66"/>
    </row>
    <row hidden="true" r="2270">
      <c r="N2270" s="66"/>
      <c r="O2270" s="66"/>
      <c r="P2270" s="66"/>
      <c r="Q2270" s="66"/>
      <c r="R2270" s="66"/>
      <c r="S2270" s="66"/>
      <c r="T2270" s="69"/>
      <c r="U2270" s="66"/>
      <c r="V2270" s="66"/>
      <c r="W2270" s="75"/>
      <c r="X2270" s="66"/>
      <c r="Y2270" s="66"/>
    </row>
    <row hidden="true" r="2271">
      <c r="N2271" s="66"/>
      <c r="O2271" s="66"/>
      <c r="P2271" s="66"/>
      <c r="Q2271" s="66"/>
      <c r="R2271" s="66"/>
      <c r="S2271" s="66"/>
      <c r="T2271" s="69"/>
      <c r="U2271" s="66"/>
      <c r="V2271" s="66"/>
      <c r="W2271" s="75"/>
      <c r="X2271" s="66"/>
      <c r="Y2271" s="66"/>
    </row>
    <row hidden="true" r="2272">
      <c r="N2272" s="66"/>
      <c r="O2272" s="66"/>
      <c r="P2272" s="66"/>
      <c r="Q2272" s="66"/>
      <c r="R2272" s="66"/>
      <c r="S2272" s="66"/>
      <c r="T2272" s="69"/>
      <c r="U2272" s="66"/>
      <c r="V2272" s="66"/>
      <c r="W2272" s="75"/>
      <c r="X2272" s="66"/>
      <c r="Y2272" s="66"/>
    </row>
    <row hidden="true" r="2273">
      <c r="N2273" s="66"/>
      <c r="O2273" s="66"/>
      <c r="P2273" s="66"/>
      <c r="Q2273" s="66"/>
      <c r="R2273" s="66"/>
      <c r="S2273" s="66"/>
      <c r="T2273" s="69"/>
      <c r="U2273" s="66"/>
      <c r="V2273" s="66"/>
      <c r="W2273" s="75"/>
      <c r="X2273" s="66"/>
      <c r="Y2273" s="66"/>
    </row>
    <row hidden="true" r="2274">
      <c r="N2274" s="66"/>
      <c r="O2274" s="66"/>
      <c r="P2274" s="66"/>
      <c r="Q2274" s="66"/>
      <c r="R2274" s="66"/>
      <c r="S2274" s="66"/>
      <c r="T2274" s="69"/>
      <c r="U2274" s="66"/>
      <c r="V2274" s="66"/>
      <c r="W2274" s="75"/>
      <c r="X2274" s="66"/>
      <c r="Y2274" s="66"/>
    </row>
    <row hidden="true" r="2275">
      <c r="N2275" s="66"/>
      <c r="O2275" s="66"/>
      <c r="P2275" s="66"/>
      <c r="Q2275" s="66"/>
      <c r="R2275" s="66"/>
      <c r="S2275" s="66"/>
      <c r="T2275" s="69"/>
      <c r="U2275" s="66"/>
      <c r="V2275" s="66"/>
      <c r="W2275" s="75"/>
      <c r="X2275" s="66"/>
      <c r="Y2275" s="66"/>
    </row>
    <row hidden="true" r="2276">
      <c r="N2276" s="66"/>
      <c r="O2276" s="66"/>
      <c r="P2276" s="66"/>
      <c r="Q2276" s="66"/>
      <c r="R2276" s="66"/>
      <c r="S2276" s="66"/>
      <c r="T2276" s="69"/>
      <c r="U2276" s="66"/>
      <c r="V2276" s="66"/>
      <c r="W2276" s="75"/>
      <c r="X2276" s="66"/>
      <c r="Y2276" s="66"/>
    </row>
    <row hidden="true" r="2277">
      <c r="N2277" s="66"/>
      <c r="O2277" s="66"/>
      <c r="P2277" s="66"/>
      <c r="Q2277" s="66"/>
      <c r="R2277" s="66"/>
      <c r="S2277" s="66"/>
      <c r="T2277" s="69"/>
      <c r="U2277" s="66"/>
      <c r="V2277" s="66"/>
      <c r="W2277" s="75"/>
      <c r="X2277" s="66"/>
      <c r="Y2277" s="66"/>
    </row>
    <row hidden="true" r="2278">
      <c r="N2278" s="66"/>
      <c r="O2278" s="66"/>
      <c r="P2278" s="66"/>
      <c r="Q2278" s="66"/>
      <c r="R2278" s="66"/>
      <c r="S2278" s="66"/>
      <c r="T2278" s="69"/>
      <c r="U2278" s="66"/>
      <c r="V2278" s="66"/>
      <c r="W2278" s="75"/>
      <c r="X2278" s="66"/>
      <c r="Y2278" s="66"/>
    </row>
    <row hidden="true" r="2279">
      <c r="N2279" s="66"/>
      <c r="O2279" s="66"/>
      <c r="P2279" s="66"/>
      <c r="Q2279" s="66"/>
      <c r="R2279" s="66"/>
      <c r="S2279" s="66"/>
      <c r="T2279" s="69"/>
      <c r="U2279" s="66"/>
      <c r="V2279" s="66"/>
      <c r="W2279" s="75"/>
      <c r="X2279" s="66"/>
      <c r="Y2279" s="66"/>
    </row>
    <row hidden="true" r="2280">
      <c r="N2280" s="66"/>
      <c r="O2280" s="66"/>
      <c r="P2280" s="66"/>
      <c r="Q2280" s="66"/>
      <c r="R2280" s="66"/>
      <c r="S2280" s="66"/>
      <c r="T2280" s="69"/>
      <c r="U2280" s="66"/>
      <c r="V2280" s="66"/>
      <c r="W2280" s="75"/>
      <c r="X2280" s="66"/>
      <c r="Y2280" s="66"/>
    </row>
    <row hidden="true" r="2281">
      <c r="N2281" s="66"/>
      <c r="O2281" s="66"/>
      <c r="P2281" s="66"/>
      <c r="Q2281" s="66"/>
      <c r="R2281" s="66"/>
      <c r="S2281" s="66"/>
      <c r="T2281" s="69"/>
      <c r="U2281" s="66"/>
      <c r="V2281" s="66"/>
      <c r="W2281" s="75"/>
      <c r="X2281" s="66"/>
      <c r="Y2281" s="66"/>
    </row>
    <row hidden="true" r="2282">
      <c r="N2282" s="66"/>
      <c r="O2282" s="66"/>
      <c r="P2282" s="66"/>
      <c r="Q2282" s="66"/>
      <c r="R2282" s="66"/>
      <c r="S2282" s="66"/>
      <c r="T2282" s="69"/>
      <c r="U2282" s="66"/>
      <c r="V2282" s="66"/>
      <c r="W2282" s="75"/>
      <c r="X2282" s="66"/>
      <c r="Y2282" s="66"/>
    </row>
    <row hidden="true" r="2283">
      <c r="N2283" s="66"/>
      <c r="O2283" s="66"/>
      <c r="P2283" s="66"/>
      <c r="Q2283" s="66"/>
      <c r="R2283" s="66"/>
      <c r="S2283" s="66"/>
      <c r="T2283" s="69"/>
      <c r="U2283" s="66"/>
      <c r="V2283" s="66"/>
      <c r="W2283" s="75"/>
      <c r="X2283" s="66"/>
      <c r="Y2283" s="66"/>
    </row>
    <row hidden="true" r="2284">
      <c r="N2284" s="66"/>
      <c r="O2284" s="66"/>
      <c r="P2284" s="66"/>
      <c r="Q2284" s="66"/>
      <c r="R2284" s="66"/>
      <c r="S2284" s="66"/>
      <c r="T2284" s="69"/>
      <c r="U2284" s="66"/>
      <c r="V2284" s="66"/>
      <c r="W2284" s="75"/>
      <c r="X2284" s="66"/>
      <c r="Y2284" s="66"/>
    </row>
    <row hidden="true" r="2285">
      <c r="N2285" s="66"/>
      <c r="O2285" s="66"/>
      <c r="P2285" s="66"/>
      <c r="Q2285" s="66"/>
      <c r="R2285" s="66"/>
      <c r="S2285" s="66"/>
      <c r="T2285" s="69"/>
      <c r="U2285" s="66"/>
      <c r="V2285" s="66"/>
      <c r="W2285" s="75"/>
      <c r="X2285" s="66"/>
      <c r="Y2285" s="66"/>
    </row>
    <row hidden="true" r="2286">
      <c r="N2286" s="66"/>
      <c r="O2286" s="66"/>
      <c r="P2286" s="66"/>
      <c r="Q2286" s="66"/>
      <c r="R2286" s="66"/>
      <c r="S2286" s="66"/>
      <c r="T2286" s="69"/>
      <c r="U2286" s="66"/>
      <c r="V2286" s="66"/>
      <c r="W2286" s="75"/>
      <c r="X2286" s="66"/>
      <c r="Y2286" s="66"/>
    </row>
    <row hidden="true" r="2287">
      <c r="N2287" s="66"/>
      <c r="O2287" s="66"/>
      <c r="P2287" s="66"/>
      <c r="Q2287" s="66"/>
      <c r="R2287" s="66"/>
      <c r="S2287" s="66"/>
      <c r="T2287" s="69"/>
      <c r="U2287" s="66"/>
      <c r="V2287" s="66"/>
      <c r="W2287" s="75"/>
      <c r="X2287" s="66"/>
      <c r="Y2287" s="66"/>
    </row>
    <row hidden="true" r="2288">
      <c r="N2288" s="66"/>
      <c r="O2288" s="66"/>
      <c r="P2288" s="66"/>
      <c r="Q2288" s="66"/>
      <c r="R2288" s="66"/>
      <c r="S2288" s="66"/>
      <c r="T2288" s="69"/>
      <c r="U2288" s="66"/>
      <c r="V2288" s="66"/>
      <c r="W2288" s="75"/>
      <c r="X2288" s="66"/>
      <c r="Y2288" s="66"/>
    </row>
    <row hidden="true" r="2289">
      <c r="N2289" s="66"/>
      <c r="O2289" s="66"/>
      <c r="P2289" s="66"/>
      <c r="Q2289" s="66"/>
      <c r="R2289" s="66"/>
      <c r="S2289" s="66"/>
      <c r="T2289" s="69"/>
      <c r="U2289" s="66"/>
      <c r="V2289" s="66"/>
      <c r="W2289" s="75"/>
      <c r="X2289" s="66"/>
      <c r="Y2289" s="66"/>
    </row>
    <row hidden="true" r="2290">
      <c r="N2290" s="66"/>
      <c r="O2290" s="66"/>
      <c r="P2290" s="66"/>
      <c r="Q2290" s="66"/>
      <c r="R2290" s="66"/>
      <c r="S2290" s="66"/>
      <c r="T2290" s="69"/>
      <c r="U2290" s="66"/>
      <c r="V2290" s="66"/>
      <c r="W2290" s="75"/>
      <c r="X2290" s="66"/>
      <c r="Y2290" s="66"/>
    </row>
    <row hidden="true" r="2291">
      <c r="N2291" s="66"/>
      <c r="O2291" s="66"/>
      <c r="P2291" s="66"/>
      <c r="Q2291" s="66"/>
      <c r="R2291" s="66"/>
      <c r="S2291" s="66"/>
      <c r="T2291" s="69"/>
      <c r="U2291" s="66"/>
      <c r="V2291" s="66"/>
      <c r="W2291" s="75"/>
      <c r="X2291" s="66"/>
      <c r="Y2291" s="66"/>
    </row>
    <row hidden="true" r="2292">
      <c r="N2292" s="66"/>
      <c r="O2292" s="66"/>
      <c r="P2292" s="66"/>
      <c r="Q2292" s="66"/>
      <c r="R2292" s="66"/>
      <c r="S2292" s="66"/>
      <c r="T2292" s="69"/>
      <c r="U2292" s="66"/>
      <c r="V2292" s="66"/>
      <c r="W2292" s="75"/>
      <c r="X2292" s="66"/>
      <c r="Y2292" s="66"/>
    </row>
    <row hidden="true" r="2293">
      <c r="N2293" s="66"/>
      <c r="O2293" s="66"/>
      <c r="P2293" s="66"/>
      <c r="Q2293" s="66"/>
      <c r="R2293" s="66"/>
      <c r="S2293" s="66"/>
      <c r="T2293" s="69"/>
      <c r="U2293" s="66"/>
      <c r="V2293" s="66"/>
      <c r="W2293" s="75"/>
      <c r="X2293" s="66"/>
      <c r="Y2293" s="66"/>
    </row>
    <row hidden="true" r="2294">
      <c r="N2294" s="66"/>
      <c r="O2294" s="66"/>
      <c r="P2294" s="66"/>
      <c r="Q2294" s="66"/>
      <c r="R2294" s="66"/>
      <c r="S2294" s="66"/>
      <c r="T2294" s="69"/>
      <c r="U2294" s="66"/>
      <c r="V2294" s="66"/>
      <c r="W2294" s="75"/>
      <c r="X2294" s="66"/>
      <c r="Y2294" s="66"/>
    </row>
    <row hidden="true" r="2295">
      <c r="N2295" s="66"/>
      <c r="O2295" s="66"/>
      <c r="P2295" s="66"/>
      <c r="Q2295" s="66"/>
      <c r="R2295" s="66"/>
      <c r="S2295" s="66"/>
      <c r="T2295" s="69"/>
      <c r="U2295" s="66"/>
      <c r="V2295" s="66"/>
      <c r="W2295" s="75"/>
      <c r="X2295" s="66"/>
      <c r="Y2295" s="66"/>
    </row>
    <row hidden="true" r="2296">
      <c r="N2296" s="66"/>
      <c r="O2296" s="66"/>
      <c r="P2296" s="66"/>
      <c r="Q2296" s="66"/>
      <c r="R2296" s="66"/>
      <c r="S2296" s="66"/>
      <c r="T2296" s="69"/>
      <c r="U2296" s="66"/>
      <c r="V2296" s="66"/>
      <c r="W2296" s="75"/>
      <c r="X2296" s="66"/>
      <c r="Y2296" s="66"/>
    </row>
    <row hidden="true" r="2297">
      <c r="N2297" s="66"/>
      <c r="O2297" s="66"/>
      <c r="P2297" s="66"/>
      <c r="Q2297" s="66"/>
      <c r="R2297" s="66"/>
      <c r="S2297" s="66"/>
      <c r="T2297" s="69"/>
      <c r="U2297" s="66"/>
      <c r="V2297" s="66"/>
      <c r="W2297" s="75"/>
      <c r="X2297" s="66"/>
      <c r="Y2297" s="66"/>
    </row>
    <row hidden="true" r="2298">
      <c r="N2298" s="66"/>
      <c r="O2298" s="66"/>
      <c r="P2298" s="66"/>
      <c r="Q2298" s="66"/>
      <c r="R2298" s="66"/>
      <c r="S2298" s="66"/>
      <c r="T2298" s="69"/>
      <c r="U2298" s="66"/>
      <c r="V2298" s="66"/>
      <c r="W2298" s="75"/>
      <c r="X2298" s="66"/>
      <c r="Y2298" s="66"/>
    </row>
    <row hidden="true" r="2299">
      <c r="N2299" s="66"/>
      <c r="O2299" s="66"/>
      <c r="P2299" s="66"/>
      <c r="Q2299" s="66"/>
      <c r="R2299" s="66"/>
      <c r="S2299" s="66"/>
      <c r="T2299" s="69"/>
      <c r="U2299" s="66"/>
      <c r="V2299" s="66"/>
      <c r="W2299" s="75"/>
      <c r="X2299" s="66"/>
      <c r="Y2299" s="66"/>
    </row>
    <row hidden="true" r="2300">
      <c r="N2300" s="66"/>
      <c r="O2300" s="66"/>
      <c r="P2300" s="66"/>
      <c r="Q2300" s="66"/>
      <c r="R2300" s="66"/>
      <c r="S2300" s="66"/>
      <c r="T2300" s="69"/>
      <c r="U2300" s="66"/>
      <c r="V2300" s="66"/>
      <c r="W2300" s="75"/>
      <c r="X2300" s="66"/>
      <c r="Y2300" s="66"/>
    </row>
    <row hidden="true" r="2301">
      <c r="N2301" s="66"/>
      <c r="O2301" s="66"/>
      <c r="P2301" s="66"/>
      <c r="Q2301" s="66"/>
      <c r="R2301" s="66"/>
      <c r="S2301" s="66"/>
      <c r="T2301" s="69"/>
      <c r="U2301" s="66"/>
      <c r="V2301" s="66"/>
      <c r="W2301" s="75"/>
      <c r="X2301" s="66"/>
      <c r="Y2301" s="66"/>
    </row>
    <row hidden="true" r="2302">
      <c r="N2302" s="66"/>
      <c r="O2302" s="66"/>
      <c r="P2302" s="66"/>
      <c r="Q2302" s="66"/>
      <c r="R2302" s="66"/>
      <c r="S2302" s="66"/>
      <c r="T2302" s="69"/>
      <c r="U2302" s="66"/>
      <c r="V2302" s="66"/>
      <c r="W2302" s="75"/>
      <c r="X2302" s="66"/>
      <c r="Y2302" s="66"/>
    </row>
    <row hidden="true" r="2303">
      <c r="N2303" s="66"/>
      <c r="O2303" s="66"/>
      <c r="P2303" s="66"/>
      <c r="Q2303" s="66"/>
      <c r="R2303" s="66"/>
      <c r="S2303" s="66"/>
      <c r="T2303" s="69"/>
      <c r="U2303" s="66"/>
      <c r="V2303" s="66"/>
      <c r="W2303" s="75"/>
      <c r="X2303" s="66"/>
      <c r="Y2303" s="66"/>
    </row>
    <row hidden="true" r="2304">
      <c r="N2304" s="66"/>
      <c r="O2304" s="66"/>
      <c r="P2304" s="66"/>
      <c r="Q2304" s="66"/>
      <c r="R2304" s="66"/>
      <c r="S2304" s="66"/>
      <c r="T2304" s="69"/>
      <c r="U2304" s="66"/>
      <c r="V2304" s="66"/>
      <c r="W2304" s="75"/>
      <c r="X2304" s="66"/>
      <c r="Y2304" s="66"/>
    </row>
    <row hidden="true" r="2305">
      <c r="N2305" s="66"/>
      <c r="O2305" s="66"/>
      <c r="P2305" s="66"/>
      <c r="Q2305" s="66"/>
      <c r="R2305" s="66"/>
      <c r="S2305" s="66"/>
      <c r="T2305" s="69"/>
      <c r="U2305" s="66"/>
      <c r="V2305" s="66"/>
      <c r="W2305" s="75"/>
      <c r="X2305" s="66"/>
      <c r="Y2305" s="66"/>
    </row>
    <row hidden="true" r="2306">
      <c r="N2306" s="66"/>
      <c r="O2306" s="66"/>
      <c r="P2306" s="66"/>
      <c r="Q2306" s="66"/>
      <c r="R2306" s="66"/>
      <c r="S2306" s="66"/>
      <c r="T2306" s="69"/>
      <c r="U2306" s="66"/>
      <c r="V2306" s="66"/>
      <c r="W2306" s="75"/>
      <c r="X2306" s="66"/>
      <c r="Y2306" s="66"/>
    </row>
    <row hidden="true" r="2307">
      <c r="N2307" s="66"/>
      <c r="O2307" s="66"/>
      <c r="P2307" s="66"/>
      <c r="Q2307" s="66"/>
      <c r="R2307" s="66"/>
      <c r="S2307" s="66"/>
      <c r="T2307" s="69"/>
      <c r="U2307" s="66"/>
      <c r="V2307" s="66"/>
      <c r="W2307" s="75"/>
      <c r="X2307" s="66"/>
      <c r="Y2307" s="66"/>
    </row>
    <row hidden="true" r="2308">
      <c r="N2308" s="66"/>
      <c r="O2308" s="66"/>
      <c r="P2308" s="66"/>
      <c r="Q2308" s="66"/>
      <c r="R2308" s="66"/>
      <c r="S2308" s="66"/>
      <c r="T2308" s="69"/>
      <c r="U2308" s="66"/>
      <c r="V2308" s="66"/>
      <c r="W2308" s="75"/>
      <c r="X2308" s="66"/>
      <c r="Y2308" s="66"/>
    </row>
    <row hidden="true" r="2309">
      <c r="N2309" s="66"/>
      <c r="O2309" s="66"/>
      <c r="P2309" s="66"/>
      <c r="Q2309" s="66"/>
      <c r="R2309" s="66"/>
      <c r="S2309" s="66"/>
      <c r="T2309" s="69"/>
      <c r="U2309" s="66"/>
      <c r="V2309" s="66"/>
      <c r="W2309" s="75"/>
      <c r="X2309" s="66"/>
      <c r="Y2309" s="66"/>
    </row>
    <row hidden="true" r="2310">
      <c r="N2310" s="66"/>
      <c r="O2310" s="66"/>
      <c r="P2310" s="66"/>
      <c r="Q2310" s="66"/>
      <c r="R2310" s="66"/>
      <c r="S2310" s="66"/>
      <c r="T2310" s="69"/>
      <c r="U2310" s="66"/>
      <c r="V2310" s="66"/>
      <c r="W2310" s="75"/>
      <c r="X2310" s="66"/>
      <c r="Y2310" s="66"/>
    </row>
    <row hidden="true" r="2311">
      <c r="N2311" s="66"/>
      <c r="O2311" s="66"/>
      <c r="P2311" s="66"/>
      <c r="Q2311" s="66"/>
      <c r="R2311" s="66"/>
      <c r="S2311" s="66"/>
      <c r="T2311" s="69"/>
      <c r="U2311" s="66"/>
      <c r="V2311" s="66"/>
      <c r="W2311" s="75"/>
      <c r="X2311" s="66"/>
      <c r="Y2311" s="66"/>
    </row>
    <row hidden="true" r="2312">
      <c r="N2312" s="66"/>
      <c r="O2312" s="66"/>
      <c r="P2312" s="66"/>
      <c r="Q2312" s="66"/>
      <c r="R2312" s="66"/>
      <c r="S2312" s="66"/>
      <c r="T2312" s="69"/>
      <c r="U2312" s="66"/>
      <c r="V2312" s="66"/>
      <c r="W2312" s="75"/>
      <c r="X2312" s="66"/>
      <c r="Y2312" s="66"/>
    </row>
    <row hidden="true" r="2313">
      <c r="N2313" s="66"/>
      <c r="O2313" s="66"/>
      <c r="P2313" s="66"/>
      <c r="Q2313" s="66"/>
      <c r="R2313" s="66"/>
      <c r="S2313" s="66"/>
      <c r="T2313" s="69"/>
      <c r="U2313" s="66"/>
      <c r="V2313" s="66"/>
      <c r="W2313" s="75"/>
      <c r="X2313" s="66"/>
      <c r="Y2313" s="66"/>
    </row>
    <row hidden="true" r="2314">
      <c r="N2314" s="66"/>
      <c r="O2314" s="66"/>
      <c r="P2314" s="66"/>
      <c r="Q2314" s="66"/>
      <c r="R2314" s="66"/>
      <c r="S2314" s="66"/>
      <c r="T2314" s="69"/>
      <c r="U2314" s="66"/>
      <c r="V2314" s="66"/>
      <c r="W2314" s="75"/>
      <c r="X2314" s="66"/>
      <c r="Y2314" s="66"/>
    </row>
    <row hidden="true" r="2315">
      <c r="N2315" s="66"/>
      <c r="O2315" s="66"/>
      <c r="P2315" s="66"/>
      <c r="Q2315" s="66"/>
      <c r="R2315" s="66"/>
      <c r="S2315" s="66"/>
      <c r="T2315" s="69"/>
      <c r="U2315" s="66"/>
      <c r="V2315" s="66"/>
      <c r="W2315" s="75"/>
      <c r="X2315" s="66"/>
      <c r="Y2315" s="66"/>
    </row>
    <row hidden="true" r="2316">
      <c r="N2316" s="66"/>
      <c r="O2316" s="66"/>
      <c r="P2316" s="66"/>
      <c r="Q2316" s="66"/>
      <c r="R2316" s="66"/>
      <c r="S2316" s="66"/>
      <c r="T2316" s="69"/>
      <c r="U2316" s="66"/>
      <c r="V2316" s="66"/>
      <c r="W2316" s="75"/>
      <c r="X2316" s="66"/>
      <c r="Y2316" s="66"/>
    </row>
    <row hidden="true" r="2317">
      <c r="N2317" s="66"/>
      <c r="O2317" s="66"/>
      <c r="P2317" s="66"/>
      <c r="Q2317" s="66"/>
      <c r="R2317" s="66"/>
      <c r="S2317" s="66"/>
      <c r="T2317" s="69"/>
      <c r="U2317" s="66"/>
      <c r="V2317" s="66"/>
      <c r="W2317" s="75"/>
      <c r="X2317" s="66"/>
      <c r="Y2317" s="66"/>
    </row>
    <row hidden="true" r="2318">
      <c r="N2318" s="66"/>
      <c r="O2318" s="66"/>
      <c r="P2318" s="66"/>
      <c r="Q2318" s="66"/>
      <c r="R2318" s="66"/>
      <c r="S2318" s="66"/>
      <c r="T2318" s="69"/>
      <c r="U2318" s="66"/>
      <c r="V2318" s="66"/>
      <c r="W2318" s="75"/>
      <c r="X2318" s="66"/>
      <c r="Y2318" s="66"/>
    </row>
    <row hidden="true" r="2319">
      <c r="N2319" s="66"/>
      <c r="O2319" s="66"/>
      <c r="P2319" s="66"/>
      <c r="Q2319" s="66"/>
      <c r="R2319" s="66"/>
      <c r="S2319" s="66"/>
      <c r="T2319" s="69"/>
      <c r="U2319" s="66"/>
      <c r="V2319" s="66"/>
      <c r="W2319" s="75"/>
      <c r="X2319" s="66"/>
      <c r="Y2319" s="66"/>
    </row>
    <row hidden="true" r="2320">
      <c r="N2320" s="66"/>
      <c r="O2320" s="66"/>
      <c r="P2320" s="66"/>
      <c r="Q2320" s="66"/>
      <c r="R2320" s="66"/>
      <c r="S2320" s="66"/>
      <c r="T2320" s="69"/>
      <c r="U2320" s="66"/>
      <c r="V2320" s="66"/>
      <c r="W2320" s="75"/>
      <c r="X2320" s="66"/>
      <c r="Y2320" s="66"/>
    </row>
    <row hidden="true" r="2321">
      <c r="N2321" s="66"/>
      <c r="O2321" s="66"/>
      <c r="P2321" s="66"/>
      <c r="Q2321" s="66"/>
      <c r="R2321" s="66"/>
      <c r="S2321" s="66"/>
      <c r="T2321" s="69"/>
      <c r="U2321" s="66"/>
      <c r="V2321" s="66"/>
      <c r="W2321" s="75"/>
      <c r="X2321" s="66"/>
      <c r="Y2321" s="66"/>
    </row>
    <row hidden="true" r="2322">
      <c r="N2322" s="66"/>
      <c r="O2322" s="66"/>
      <c r="P2322" s="66"/>
      <c r="Q2322" s="66"/>
      <c r="R2322" s="66"/>
      <c r="S2322" s="66"/>
      <c r="T2322" s="69"/>
      <c r="U2322" s="66"/>
      <c r="V2322" s="66"/>
      <c r="W2322" s="75"/>
      <c r="X2322" s="66"/>
      <c r="Y2322" s="66"/>
    </row>
    <row hidden="true" r="2323">
      <c r="N2323" s="66"/>
      <c r="O2323" s="66"/>
      <c r="P2323" s="66"/>
      <c r="Q2323" s="66"/>
      <c r="R2323" s="66"/>
      <c r="S2323" s="66"/>
      <c r="T2323" s="69"/>
      <c r="U2323" s="66"/>
      <c r="V2323" s="66"/>
      <c r="W2323" s="75"/>
      <c r="X2323" s="66"/>
      <c r="Y2323" s="66"/>
    </row>
    <row hidden="true" r="2324">
      <c r="N2324" s="66"/>
      <c r="O2324" s="66"/>
      <c r="P2324" s="66"/>
      <c r="Q2324" s="66"/>
      <c r="R2324" s="66"/>
      <c r="S2324" s="66"/>
      <c r="T2324" s="69"/>
      <c r="U2324" s="66"/>
      <c r="V2324" s="66"/>
      <c r="W2324" s="75"/>
      <c r="X2324" s="66"/>
      <c r="Y2324" s="66"/>
    </row>
    <row hidden="true" r="2325">
      <c r="N2325" s="66"/>
      <c r="O2325" s="66"/>
      <c r="P2325" s="66"/>
      <c r="Q2325" s="66"/>
      <c r="R2325" s="66"/>
      <c r="S2325" s="66"/>
      <c r="T2325" s="69"/>
      <c r="U2325" s="66"/>
      <c r="V2325" s="66"/>
      <c r="W2325" s="75"/>
      <c r="X2325" s="66"/>
      <c r="Y2325" s="66"/>
    </row>
    <row hidden="true" r="2326">
      <c r="N2326" s="66"/>
      <c r="O2326" s="66"/>
      <c r="P2326" s="66"/>
      <c r="Q2326" s="66"/>
      <c r="R2326" s="66"/>
      <c r="S2326" s="66"/>
      <c r="T2326" s="69"/>
      <c r="U2326" s="66"/>
      <c r="V2326" s="66"/>
      <c r="W2326" s="75"/>
      <c r="X2326" s="66"/>
      <c r="Y2326" s="66"/>
    </row>
    <row hidden="true" r="2327">
      <c r="N2327" s="66"/>
      <c r="O2327" s="66"/>
      <c r="P2327" s="66"/>
      <c r="Q2327" s="66"/>
      <c r="R2327" s="66"/>
      <c r="S2327" s="66"/>
      <c r="T2327" s="69"/>
      <c r="U2327" s="66"/>
      <c r="V2327" s="66"/>
      <c r="W2327" s="75"/>
      <c r="X2327" s="66"/>
      <c r="Y2327" s="66"/>
    </row>
    <row hidden="true" r="2328">
      <c r="N2328" s="66"/>
      <c r="O2328" s="66"/>
      <c r="P2328" s="66"/>
      <c r="Q2328" s="66"/>
      <c r="R2328" s="66"/>
      <c r="S2328" s="66"/>
      <c r="T2328" s="69"/>
      <c r="U2328" s="66"/>
      <c r="V2328" s="66"/>
      <c r="W2328" s="75"/>
      <c r="X2328" s="66"/>
      <c r="Y2328" s="66"/>
    </row>
    <row hidden="true" r="2329">
      <c r="N2329" s="66"/>
      <c r="O2329" s="66"/>
      <c r="P2329" s="66"/>
      <c r="Q2329" s="66"/>
      <c r="R2329" s="66"/>
      <c r="S2329" s="66"/>
      <c r="T2329" s="69"/>
      <c r="U2329" s="66"/>
      <c r="V2329" s="66"/>
      <c r="W2329" s="75"/>
      <c r="X2329" s="66"/>
      <c r="Y2329" s="66"/>
    </row>
    <row hidden="true" r="2330">
      <c r="N2330" s="66"/>
      <c r="O2330" s="66"/>
      <c r="P2330" s="66"/>
      <c r="Q2330" s="66"/>
      <c r="R2330" s="66"/>
      <c r="S2330" s="66"/>
      <c r="T2330" s="69"/>
      <c r="U2330" s="66"/>
      <c r="V2330" s="66"/>
      <c r="W2330" s="75"/>
      <c r="X2330" s="66"/>
      <c r="Y2330" s="66"/>
    </row>
    <row hidden="true" r="2331">
      <c r="N2331" s="66"/>
      <c r="O2331" s="66"/>
      <c r="P2331" s="66"/>
      <c r="Q2331" s="66"/>
      <c r="R2331" s="66"/>
      <c r="S2331" s="66"/>
      <c r="T2331" s="69"/>
      <c r="U2331" s="66"/>
      <c r="V2331" s="66"/>
      <c r="W2331" s="75"/>
      <c r="X2331" s="66"/>
      <c r="Y2331" s="66"/>
    </row>
    <row hidden="true" r="2332">
      <c r="N2332" s="66"/>
      <c r="O2332" s="66"/>
      <c r="P2332" s="66"/>
      <c r="Q2332" s="66"/>
      <c r="R2332" s="66"/>
      <c r="S2332" s="66"/>
      <c r="T2332" s="69"/>
      <c r="U2332" s="66"/>
      <c r="V2332" s="66"/>
      <c r="W2332" s="75"/>
      <c r="X2332" s="66"/>
      <c r="Y2332" s="66"/>
    </row>
    <row hidden="true" r="2333">
      <c r="N2333" s="66"/>
      <c r="O2333" s="66"/>
      <c r="P2333" s="66"/>
      <c r="Q2333" s="66"/>
      <c r="R2333" s="66"/>
      <c r="S2333" s="66"/>
      <c r="T2333" s="69"/>
      <c r="U2333" s="66"/>
      <c r="V2333" s="66"/>
      <c r="W2333" s="75"/>
      <c r="X2333" s="66"/>
      <c r="Y2333" s="66"/>
    </row>
    <row hidden="true" r="2334">
      <c r="N2334" s="66"/>
      <c r="O2334" s="66"/>
      <c r="P2334" s="66"/>
      <c r="Q2334" s="66"/>
      <c r="R2334" s="66"/>
      <c r="S2334" s="66"/>
      <c r="T2334" s="69"/>
      <c r="U2334" s="66"/>
      <c r="V2334" s="66"/>
      <c r="W2334" s="75"/>
      <c r="X2334" s="66"/>
      <c r="Y2334" s="66"/>
    </row>
    <row hidden="true" r="2335">
      <c r="N2335" s="66"/>
      <c r="O2335" s="66"/>
      <c r="P2335" s="66"/>
      <c r="Q2335" s="66"/>
      <c r="R2335" s="66"/>
      <c r="S2335" s="66"/>
      <c r="T2335" s="69"/>
      <c r="U2335" s="66"/>
      <c r="V2335" s="66"/>
      <c r="W2335" s="75"/>
      <c r="X2335" s="66"/>
      <c r="Y2335" s="66"/>
    </row>
    <row hidden="true" r="2336">
      <c r="N2336" s="66"/>
      <c r="O2336" s="66"/>
      <c r="P2336" s="66"/>
      <c r="Q2336" s="66"/>
      <c r="R2336" s="66"/>
      <c r="S2336" s="66"/>
      <c r="T2336" s="69"/>
      <c r="U2336" s="66"/>
      <c r="V2336" s="66"/>
      <c r="W2336" s="75"/>
      <c r="X2336" s="66"/>
      <c r="Y2336" s="66"/>
    </row>
    <row hidden="true" r="2337">
      <c r="N2337" s="66"/>
      <c r="O2337" s="66"/>
      <c r="P2337" s="66"/>
      <c r="Q2337" s="66"/>
      <c r="R2337" s="66"/>
      <c r="S2337" s="66"/>
      <c r="T2337" s="69"/>
      <c r="U2337" s="66"/>
      <c r="V2337" s="66"/>
      <c r="W2337" s="75"/>
      <c r="X2337" s="66"/>
      <c r="Y2337" s="66"/>
    </row>
    <row hidden="true" r="2338">
      <c r="N2338" s="66"/>
      <c r="O2338" s="66"/>
      <c r="P2338" s="66"/>
      <c r="Q2338" s="66"/>
      <c r="R2338" s="66"/>
      <c r="S2338" s="66"/>
      <c r="T2338" s="69"/>
      <c r="U2338" s="66"/>
      <c r="V2338" s="66"/>
      <c r="W2338" s="75"/>
      <c r="X2338" s="66"/>
      <c r="Y2338" s="66"/>
    </row>
    <row hidden="true" r="2339">
      <c r="N2339" s="66"/>
      <c r="O2339" s="66"/>
      <c r="P2339" s="66"/>
      <c r="Q2339" s="66"/>
      <c r="R2339" s="66"/>
      <c r="S2339" s="66"/>
      <c r="T2339" s="69"/>
      <c r="U2339" s="66"/>
      <c r="V2339" s="66"/>
      <c r="W2339" s="75"/>
      <c r="X2339" s="66"/>
      <c r="Y2339" s="66"/>
    </row>
    <row hidden="true" r="2340">
      <c r="N2340" s="66"/>
      <c r="O2340" s="66"/>
      <c r="P2340" s="66"/>
      <c r="Q2340" s="66"/>
      <c r="R2340" s="66"/>
      <c r="S2340" s="66"/>
      <c r="T2340" s="69"/>
      <c r="U2340" s="66"/>
      <c r="V2340" s="66"/>
      <c r="W2340" s="75"/>
      <c r="X2340" s="66"/>
      <c r="Y2340" s="66"/>
    </row>
    <row hidden="true" r="2341">
      <c r="N2341" s="66"/>
      <c r="O2341" s="66"/>
      <c r="P2341" s="66"/>
      <c r="Q2341" s="66"/>
      <c r="R2341" s="66"/>
      <c r="S2341" s="66"/>
      <c r="T2341" s="69"/>
      <c r="U2341" s="66"/>
      <c r="V2341" s="66"/>
      <c r="W2341" s="75"/>
      <c r="X2341" s="66"/>
      <c r="Y2341" s="66"/>
    </row>
    <row hidden="true" r="2342">
      <c r="N2342" s="66"/>
      <c r="O2342" s="66"/>
      <c r="P2342" s="66"/>
      <c r="Q2342" s="66"/>
      <c r="R2342" s="66"/>
      <c r="S2342" s="66"/>
      <c r="T2342" s="69"/>
      <c r="U2342" s="66"/>
      <c r="V2342" s="66"/>
      <c r="W2342" s="75"/>
      <c r="X2342" s="66"/>
      <c r="Y2342" s="66"/>
    </row>
    <row hidden="true" r="2343">
      <c r="N2343" s="66"/>
      <c r="O2343" s="66"/>
      <c r="P2343" s="66"/>
      <c r="Q2343" s="66"/>
      <c r="R2343" s="66"/>
      <c r="S2343" s="66"/>
      <c r="T2343" s="69"/>
      <c r="U2343" s="66"/>
      <c r="V2343" s="66"/>
      <c r="W2343" s="75"/>
      <c r="X2343" s="66"/>
      <c r="Y2343" s="66"/>
    </row>
    <row hidden="true" r="2344">
      <c r="N2344" s="66"/>
      <c r="O2344" s="66"/>
      <c r="P2344" s="66"/>
      <c r="Q2344" s="66"/>
      <c r="R2344" s="66"/>
      <c r="S2344" s="66"/>
      <c r="T2344" s="69"/>
      <c r="U2344" s="66"/>
      <c r="V2344" s="66"/>
      <c r="W2344" s="75"/>
      <c r="X2344" s="66"/>
      <c r="Y2344" s="66"/>
    </row>
    <row hidden="true" r="2345">
      <c r="N2345" s="66"/>
      <c r="O2345" s="66"/>
      <c r="P2345" s="66"/>
      <c r="Q2345" s="66"/>
      <c r="R2345" s="66"/>
      <c r="S2345" s="66"/>
      <c r="T2345" s="69"/>
      <c r="U2345" s="66"/>
      <c r="V2345" s="66"/>
      <c r="W2345" s="75"/>
      <c r="X2345" s="66"/>
      <c r="Y2345" s="66"/>
    </row>
    <row hidden="true" r="2346">
      <c r="N2346" s="66"/>
      <c r="O2346" s="66"/>
      <c r="P2346" s="66"/>
      <c r="Q2346" s="66"/>
      <c r="R2346" s="66"/>
      <c r="S2346" s="66"/>
      <c r="T2346" s="69"/>
      <c r="U2346" s="66"/>
      <c r="V2346" s="66"/>
      <c r="W2346" s="75"/>
      <c r="X2346" s="66"/>
      <c r="Y2346" s="66"/>
    </row>
    <row hidden="true" r="2347">
      <c r="N2347" s="66"/>
      <c r="O2347" s="66"/>
      <c r="P2347" s="66"/>
      <c r="Q2347" s="66"/>
      <c r="R2347" s="66"/>
      <c r="S2347" s="66"/>
      <c r="T2347" s="69"/>
      <c r="U2347" s="66"/>
      <c r="V2347" s="66"/>
      <c r="W2347" s="75"/>
      <c r="X2347" s="66"/>
      <c r="Y2347" s="66"/>
    </row>
    <row hidden="true" r="2348">
      <c r="N2348" s="66"/>
      <c r="O2348" s="66"/>
      <c r="P2348" s="66"/>
      <c r="Q2348" s="66"/>
      <c r="R2348" s="66"/>
      <c r="S2348" s="66"/>
      <c r="T2348" s="69"/>
      <c r="U2348" s="66"/>
      <c r="V2348" s="66"/>
      <c r="W2348" s="75"/>
      <c r="X2348" s="66"/>
      <c r="Y2348" s="66"/>
    </row>
    <row hidden="true" r="2349">
      <c r="N2349" s="66"/>
      <c r="O2349" s="66"/>
      <c r="P2349" s="66"/>
      <c r="Q2349" s="66"/>
      <c r="R2349" s="66"/>
      <c r="S2349" s="66"/>
      <c r="T2349" s="69"/>
      <c r="U2349" s="66"/>
      <c r="V2349" s="66"/>
      <c r="W2349" s="75"/>
      <c r="X2349" s="66"/>
      <c r="Y2349" s="66"/>
    </row>
    <row hidden="true" r="2350">
      <c r="N2350" s="66"/>
      <c r="O2350" s="66"/>
      <c r="P2350" s="66"/>
      <c r="Q2350" s="66"/>
      <c r="R2350" s="66"/>
      <c r="S2350" s="66"/>
      <c r="T2350" s="69"/>
      <c r="U2350" s="66"/>
      <c r="V2350" s="66"/>
      <c r="W2350" s="75"/>
      <c r="X2350" s="66"/>
      <c r="Y2350" s="66"/>
    </row>
    <row hidden="true" r="2351">
      <c r="N2351" s="66"/>
      <c r="O2351" s="66"/>
      <c r="P2351" s="66"/>
      <c r="Q2351" s="66"/>
      <c r="R2351" s="66"/>
      <c r="S2351" s="66"/>
      <c r="T2351" s="69"/>
      <c r="U2351" s="66"/>
      <c r="V2351" s="66"/>
      <c r="W2351" s="75"/>
      <c r="X2351" s="66"/>
      <c r="Y2351" s="66"/>
    </row>
    <row hidden="true" r="2352">
      <c r="N2352" s="66"/>
      <c r="O2352" s="66"/>
      <c r="P2352" s="66"/>
      <c r="Q2352" s="66"/>
      <c r="R2352" s="66"/>
      <c r="S2352" s="66"/>
      <c r="T2352" s="69"/>
      <c r="U2352" s="66"/>
      <c r="V2352" s="66"/>
      <c r="W2352" s="75"/>
      <c r="X2352" s="66"/>
      <c r="Y2352" s="66"/>
    </row>
    <row hidden="true" r="2353">
      <c r="N2353" s="66"/>
      <c r="O2353" s="66"/>
      <c r="P2353" s="66"/>
      <c r="Q2353" s="66"/>
      <c r="R2353" s="66"/>
      <c r="S2353" s="66"/>
      <c r="T2353" s="69"/>
      <c r="U2353" s="66"/>
      <c r="V2353" s="66"/>
      <c r="W2353" s="75"/>
      <c r="X2353" s="66"/>
      <c r="Y2353" s="66"/>
    </row>
    <row hidden="true" r="2354">
      <c r="N2354" s="66"/>
      <c r="O2354" s="66"/>
      <c r="P2354" s="66"/>
      <c r="Q2354" s="66"/>
      <c r="R2354" s="66"/>
      <c r="S2354" s="66"/>
      <c r="T2354" s="69"/>
      <c r="U2354" s="66"/>
      <c r="V2354" s="66"/>
      <c r="W2354" s="75"/>
      <c r="X2354" s="66"/>
      <c r="Y2354" s="66"/>
    </row>
    <row hidden="true" r="2355">
      <c r="N2355" s="66"/>
      <c r="O2355" s="66"/>
      <c r="P2355" s="66"/>
      <c r="Q2355" s="66"/>
      <c r="R2355" s="66"/>
      <c r="S2355" s="66"/>
      <c r="T2355" s="69"/>
      <c r="U2355" s="66"/>
      <c r="V2355" s="66"/>
      <c r="W2355" s="75"/>
      <c r="X2355" s="66"/>
      <c r="Y2355" s="66"/>
    </row>
    <row hidden="true" r="2356">
      <c r="N2356" s="66"/>
      <c r="O2356" s="66"/>
      <c r="P2356" s="66"/>
      <c r="Q2356" s="66"/>
      <c r="R2356" s="66"/>
      <c r="S2356" s="66"/>
      <c r="T2356" s="69"/>
      <c r="U2356" s="66"/>
      <c r="V2356" s="66"/>
      <c r="W2356" s="75"/>
      <c r="X2356" s="66"/>
      <c r="Y2356" s="66"/>
    </row>
    <row hidden="true" r="2357">
      <c r="N2357" s="66"/>
      <c r="O2357" s="66"/>
      <c r="P2357" s="66"/>
      <c r="Q2357" s="66"/>
      <c r="R2357" s="66"/>
      <c r="S2357" s="66"/>
      <c r="T2357" s="69"/>
      <c r="U2357" s="66"/>
      <c r="V2357" s="66"/>
      <c r="W2357" s="75"/>
      <c r="X2357" s="66"/>
      <c r="Y2357" s="66"/>
    </row>
    <row hidden="true" r="2358">
      <c r="N2358" s="66"/>
      <c r="O2358" s="66"/>
      <c r="P2358" s="66"/>
      <c r="Q2358" s="66"/>
      <c r="R2358" s="66"/>
      <c r="S2358" s="66"/>
      <c r="T2358" s="69"/>
      <c r="U2358" s="66"/>
      <c r="V2358" s="66"/>
      <c r="W2358" s="75"/>
      <c r="X2358" s="66"/>
      <c r="Y2358" s="66"/>
    </row>
    <row hidden="true" r="2359">
      <c r="N2359" s="66"/>
      <c r="O2359" s="66"/>
      <c r="P2359" s="66"/>
      <c r="Q2359" s="66"/>
      <c r="R2359" s="66"/>
      <c r="S2359" s="66"/>
      <c r="T2359" s="69"/>
      <c r="U2359" s="66"/>
      <c r="V2359" s="66"/>
      <c r="W2359" s="75"/>
      <c r="X2359" s="66"/>
      <c r="Y2359" s="66"/>
    </row>
    <row hidden="true" r="2360">
      <c r="N2360" s="66"/>
      <c r="O2360" s="66"/>
      <c r="P2360" s="66"/>
      <c r="Q2360" s="66"/>
      <c r="R2360" s="66"/>
      <c r="S2360" s="66"/>
      <c r="T2360" s="69"/>
      <c r="U2360" s="66"/>
      <c r="V2360" s="66"/>
      <c r="W2360" s="75"/>
      <c r="X2360" s="66"/>
      <c r="Y2360" s="66"/>
    </row>
    <row hidden="true" r="2361">
      <c r="N2361" s="66"/>
      <c r="O2361" s="66"/>
      <c r="P2361" s="66"/>
      <c r="Q2361" s="66"/>
      <c r="R2361" s="66"/>
      <c r="S2361" s="66"/>
      <c r="T2361" s="69"/>
      <c r="U2361" s="66"/>
      <c r="V2361" s="66"/>
      <c r="W2361" s="75"/>
      <c r="X2361" s="66"/>
      <c r="Y2361" s="66"/>
    </row>
    <row hidden="true" r="2362">
      <c r="N2362" s="66"/>
      <c r="O2362" s="66"/>
      <c r="P2362" s="66"/>
      <c r="Q2362" s="66"/>
      <c r="R2362" s="66"/>
      <c r="S2362" s="66"/>
      <c r="T2362" s="69"/>
      <c r="U2362" s="66"/>
      <c r="V2362" s="66"/>
      <c r="W2362" s="75"/>
      <c r="X2362" s="66"/>
      <c r="Y2362" s="66"/>
    </row>
    <row hidden="true" r="2363">
      <c r="N2363" s="66"/>
      <c r="O2363" s="66"/>
      <c r="P2363" s="66"/>
      <c r="Q2363" s="66"/>
      <c r="R2363" s="66"/>
      <c r="S2363" s="66"/>
      <c r="T2363" s="69"/>
      <c r="U2363" s="66"/>
      <c r="V2363" s="66"/>
      <c r="W2363" s="75"/>
      <c r="X2363" s="66"/>
      <c r="Y2363" s="66"/>
    </row>
    <row hidden="true" r="2364">
      <c r="N2364" s="66"/>
      <c r="O2364" s="66"/>
      <c r="P2364" s="66"/>
      <c r="Q2364" s="66"/>
      <c r="R2364" s="66"/>
      <c r="S2364" s="66"/>
      <c r="T2364" s="69"/>
      <c r="U2364" s="66"/>
      <c r="V2364" s="66"/>
      <c r="W2364" s="75"/>
      <c r="X2364" s="66"/>
      <c r="Y2364" s="66"/>
    </row>
    <row hidden="true" r="2365">
      <c r="N2365" s="66"/>
      <c r="O2365" s="66"/>
      <c r="P2365" s="66"/>
      <c r="Q2365" s="66"/>
      <c r="R2365" s="66"/>
      <c r="S2365" s="66"/>
      <c r="T2365" s="69"/>
      <c r="U2365" s="66"/>
      <c r="V2365" s="66"/>
      <c r="W2365" s="75"/>
      <c r="X2365" s="66"/>
      <c r="Y2365" s="66"/>
    </row>
    <row hidden="true" r="2366">
      <c r="N2366" s="66"/>
      <c r="O2366" s="66"/>
      <c r="P2366" s="66"/>
      <c r="Q2366" s="66"/>
      <c r="R2366" s="66"/>
      <c r="S2366" s="66"/>
      <c r="T2366" s="69"/>
      <c r="U2366" s="66"/>
      <c r="V2366" s="66"/>
      <c r="W2366" s="75"/>
      <c r="X2366" s="66"/>
      <c r="Y2366" s="66"/>
    </row>
    <row hidden="true" r="2367">
      <c r="N2367" s="66"/>
      <c r="O2367" s="66"/>
      <c r="P2367" s="66"/>
      <c r="Q2367" s="66"/>
      <c r="R2367" s="66"/>
      <c r="S2367" s="66"/>
      <c r="T2367" s="69"/>
      <c r="U2367" s="66"/>
      <c r="V2367" s="66"/>
      <c r="W2367" s="75"/>
      <c r="X2367" s="66"/>
      <c r="Y2367" s="66"/>
    </row>
    <row hidden="true" r="2368">
      <c r="N2368" s="66"/>
      <c r="O2368" s="66"/>
      <c r="P2368" s="66"/>
      <c r="Q2368" s="66"/>
      <c r="R2368" s="66"/>
      <c r="S2368" s="66"/>
      <c r="T2368" s="69"/>
      <c r="U2368" s="66"/>
      <c r="V2368" s="66"/>
      <c r="W2368" s="75"/>
      <c r="X2368" s="66"/>
      <c r="Y2368" s="66"/>
    </row>
    <row hidden="true" r="2369">
      <c r="N2369" s="66"/>
      <c r="O2369" s="66"/>
      <c r="P2369" s="66"/>
      <c r="Q2369" s="66"/>
      <c r="R2369" s="66"/>
      <c r="S2369" s="66"/>
      <c r="T2369" s="69"/>
      <c r="U2369" s="66"/>
      <c r="V2369" s="66"/>
      <c r="W2369" s="75"/>
      <c r="X2369" s="66"/>
      <c r="Y2369" s="66"/>
    </row>
    <row hidden="true" r="2370">
      <c r="N2370" s="66"/>
      <c r="O2370" s="66"/>
      <c r="P2370" s="66"/>
      <c r="Q2370" s="66"/>
      <c r="R2370" s="66"/>
      <c r="S2370" s="66"/>
      <c r="T2370" s="69"/>
      <c r="U2370" s="66"/>
      <c r="V2370" s="66"/>
      <c r="W2370" s="75"/>
      <c r="X2370" s="66"/>
      <c r="Y2370" s="66"/>
    </row>
    <row hidden="true" r="2371">
      <c r="N2371" s="66"/>
      <c r="O2371" s="66"/>
      <c r="P2371" s="66"/>
      <c r="Q2371" s="66"/>
      <c r="R2371" s="66"/>
      <c r="S2371" s="66"/>
      <c r="T2371" s="69"/>
      <c r="U2371" s="66"/>
      <c r="V2371" s="66"/>
      <c r="W2371" s="75"/>
      <c r="X2371" s="66"/>
      <c r="Y2371" s="66"/>
    </row>
    <row hidden="true" r="2372">
      <c r="N2372" s="66"/>
      <c r="O2372" s="66"/>
      <c r="P2372" s="66"/>
      <c r="Q2372" s="66"/>
      <c r="R2372" s="66"/>
      <c r="S2372" s="66"/>
      <c r="T2372" s="69"/>
      <c r="U2372" s="66"/>
      <c r="V2372" s="66"/>
      <c r="W2372" s="75"/>
      <c r="X2372" s="66"/>
      <c r="Y2372" s="66"/>
    </row>
    <row hidden="true" r="2373">
      <c r="N2373" s="66"/>
      <c r="O2373" s="66"/>
      <c r="P2373" s="66"/>
      <c r="Q2373" s="66"/>
      <c r="R2373" s="66"/>
      <c r="S2373" s="66"/>
      <c r="T2373" s="69"/>
      <c r="U2373" s="66"/>
      <c r="V2373" s="66"/>
      <c r="W2373" s="75"/>
      <c r="X2373" s="66"/>
      <c r="Y2373" s="66"/>
    </row>
    <row hidden="true" r="2374">
      <c r="N2374" s="66"/>
      <c r="O2374" s="66"/>
      <c r="P2374" s="66"/>
      <c r="Q2374" s="66"/>
      <c r="R2374" s="66"/>
      <c r="S2374" s="66"/>
      <c r="T2374" s="69"/>
      <c r="U2374" s="66"/>
      <c r="V2374" s="66"/>
      <c r="W2374" s="75"/>
      <c r="X2374" s="66"/>
      <c r="Y2374" s="66"/>
    </row>
    <row hidden="true" r="2375">
      <c r="N2375" s="66"/>
      <c r="O2375" s="66"/>
      <c r="P2375" s="66"/>
      <c r="Q2375" s="66"/>
      <c r="R2375" s="66"/>
      <c r="S2375" s="66"/>
      <c r="T2375" s="69"/>
      <c r="U2375" s="66"/>
      <c r="V2375" s="66"/>
      <c r="W2375" s="75"/>
      <c r="X2375" s="66"/>
      <c r="Y2375" s="66"/>
    </row>
    <row hidden="true" r="2376">
      <c r="N2376" s="66"/>
      <c r="O2376" s="66"/>
      <c r="P2376" s="66"/>
      <c r="Q2376" s="66"/>
      <c r="R2376" s="66"/>
      <c r="S2376" s="66"/>
      <c r="T2376" s="69"/>
      <c r="U2376" s="66"/>
      <c r="V2376" s="66"/>
      <c r="W2376" s="75"/>
      <c r="X2376" s="66"/>
      <c r="Y2376" s="66"/>
    </row>
    <row hidden="true" r="2377">
      <c r="N2377" s="66"/>
      <c r="O2377" s="66"/>
      <c r="P2377" s="66"/>
      <c r="Q2377" s="66"/>
      <c r="R2377" s="66"/>
      <c r="S2377" s="66"/>
      <c r="T2377" s="69"/>
      <c r="U2377" s="66"/>
      <c r="V2377" s="66"/>
      <c r="W2377" s="75"/>
      <c r="X2377" s="66"/>
      <c r="Y2377" s="66"/>
    </row>
    <row hidden="true" r="2378">
      <c r="N2378" s="66"/>
      <c r="O2378" s="66"/>
      <c r="P2378" s="66"/>
      <c r="Q2378" s="66"/>
      <c r="R2378" s="66"/>
      <c r="S2378" s="66"/>
      <c r="T2378" s="69"/>
      <c r="U2378" s="66"/>
      <c r="V2378" s="66"/>
      <c r="W2378" s="75"/>
      <c r="X2378" s="66"/>
      <c r="Y2378" s="66"/>
    </row>
    <row hidden="true" r="2379">
      <c r="N2379" s="66"/>
      <c r="O2379" s="66"/>
      <c r="P2379" s="66"/>
      <c r="Q2379" s="66"/>
      <c r="R2379" s="66"/>
      <c r="S2379" s="66"/>
      <c r="T2379" s="69"/>
      <c r="U2379" s="66"/>
      <c r="V2379" s="66"/>
      <c r="W2379" s="75"/>
      <c r="X2379" s="66"/>
      <c r="Y2379" s="66"/>
    </row>
    <row hidden="true" r="2380">
      <c r="N2380" s="66"/>
      <c r="O2380" s="66"/>
      <c r="P2380" s="66"/>
      <c r="Q2380" s="66"/>
      <c r="R2380" s="66"/>
      <c r="S2380" s="66"/>
      <c r="T2380" s="69"/>
      <c r="U2380" s="66"/>
      <c r="V2380" s="66"/>
      <c r="W2380" s="75"/>
      <c r="X2380" s="66"/>
      <c r="Y2380" s="66"/>
    </row>
    <row hidden="true" r="2381">
      <c r="N2381" s="66"/>
      <c r="O2381" s="66"/>
      <c r="P2381" s="66"/>
      <c r="Q2381" s="66"/>
      <c r="R2381" s="66"/>
      <c r="S2381" s="66"/>
      <c r="T2381" s="69"/>
      <c r="U2381" s="66"/>
      <c r="V2381" s="66"/>
      <c r="W2381" s="75"/>
      <c r="X2381" s="66"/>
      <c r="Y2381" s="66"/>
    </row>
    <row hidden="true" r="2382">
      <c r="N2382" s="66"/>
      <c r="O2382" s="66"/>
      <c r="P2382" s="66"/>
      <c r="Q2382" s="66"/>
      <c r="R2382" s="66"/>
      <c r="S2382" s="66"/>
      <c r="T2382" s="69"/>
      <c r="U2382" s="66"/>
      <c r="V2382" s="66"/>
      <c r="W2382" s="75"/>
      <c r="X2382" s="66"/>
      <c r="Y2382" s="66"/>
    </row>
    <row hidden="true" r="2383">
      <c r="N2383" s="66"/>
      <c r="O2383" s="66"/>
      <c r="P2383" s="66"/>
      <c r="Q2383" s="66"/>
      <c r="R2383" s="66"/>
      <c r="S2383" s="66"/>
      <c r="T2383" s="69"/>
      <c r="U2383" s="66"/>
      <c r="V2383" s="66"/>
      <c r="W2383" s="75"/>
      <c r="X2383" s="66"/>
      <c r="Y2383" s="66"/>
    </row>
    <row hidden="true" r="2384">
      <c r="N2384" s="66"/>
      <c r="O2384" s="66"/>
      <c r="P2384" s="66"/>
      <c r="Q2384" s="66"/>
      <c r="R2384" s="66"/>
      <c r="S2384" s="66"/>
      <c r="T2384" s="69"/>
      <c r="U2384" s="66"/>
      <c r="V2384" s="66"/>
      <c r="W2384" s="75"/>
      <c r="X2384" s="66"/>
      <c r="Y2384" s="66"/>
    </row>
    <row hidden="true" r="2385">
      <c r="N2385" s="66"/>
      <c r="O2385" s="66"/>
      <c r="P2385" s="66"/>
      <c r="Q2385" s="66"/>
      <c r="R2385" s="66"/>
      <c r="S2385" s="66"/>
      <c r="T2385" s="69"/>
      <c r="U2385" s="66"/>
      <c r="V2385" s="66"/>
      <c r="W2385" s="75"/>
      <c r="X2385" s="66"/>
      <c r="Y2385" s="66"/>
    </row>
    <row hidden="true" r="2386">
      <c r="N2386" s="66"/>
      <c r="O2386" s="66"/>
      <c r="P2386" s="66"/>
      <c r="Q2386" s="66"/>
      <c r="R2386" s="66"/>
      <c r="S2386" s="66"/>
      <c r="T2386" s="69"/>
      <c r="U2386" s="66"/>
      <c r="V2386" s="66"/>
      <c r="W2386" s="75"/>
      <c r="X2386" s="66"/>
      <c r="Y2386" s="66"/>
    </row>
    <row hidden="true" r="2387">
      <c r="N2387" s="66"/>
      <c r="O2387" s="66"/>
      <c r="P2387" s="66"/>
      <c r="Q2387" s="66"/>
      <c r="R2387" s="66"/>
      <c r="S2387" s="66"/>
      <c r="T2387" s="69"/>
      <c r="U2387" s="66"/>
      <c r="V2387" s="66"/>
      <c r="W2387" s="75"/>
      <c r="X2387" s="66"/>
      <c r="Y2387" s="66"/>
    </row>
    <row hidden="true" r="2388">
      <c r="N2388" s="66"/>
      <c r="O2388" s="66"/>
      <c r="P2388" s="66"/>
      <c r="Q2388" s="66"/>
      <c r="R2388" s="66"/>
      <c r="S2388" s="66"/>
      <c r="T2388" s="69"/>
      <c r="U2388" s="66"/>
      <c r="V2388" s="66"/>
      <c r="W2388" s="75"/>
      <c r="X2388" s="66"/>
      <c r="Y2388" s="66"/>
    </row>
    <row hidden="true" r="2389">
      <c r="N2389" s="66"/>
      <c r="O2389" s="66"/>
      <c r="P2389" s="66"/>
      <c r="Q2389" s="66"/>
      <c r="R2389" s="66"/>
      <c r="S2389" s="66"/>
      <c r="T2389" s="69"/>
      <c r="U2389" s="66"/>
      <c r="V2389" s="66"/>
      <c r="W2389" s="75"/>
      <c r="X2389" s="66"/>
      <c r="Y2389" s="66"/>
    </row>
    <row hidden="true" r="2390">
      <c r="N2390" s="66"/>
      <c r="O2390" s="66"/>
      <c r="P2390" s="66"/>
      <c r="Q2390" s="66"/>
      <c r="R2390" s="66"/>
      <c r="S2390" s="66"/>
      <c r="T2390" s="69"/>
      <c r="U2390" s="66"/>
      <c r="V2390" s="66"/>
      <c r="W2390" s="75"/>
      <c r="X2390" s="66"/>
      <c r="Y2390" s="66"/>
    </row>
    <row hidden="true" r="2391">
      <c r="N2391" s="66"/>
      <c r="O2391" s="66"/>
      <c r="P2391" s="66"/>
      <c r="Q2391" s="66"/>
      <c r="R2391" s="66"/>
      <c r="S2391" s="66"/>
      <c r="T2391" s="69"/>
      <c r="U2391" s="66"/>
      <c r="V2391" s="66"/>
      <c r="W2391" s="75"/>
      <c r="X2391" s="66"/>
      <c r="Y2391" s="66"/>
    </row>
    <row hidden="true" r="2392">
      <c r="N2392" s="66"/>
      <c r="O2392" s="66"/>
      <c r="P2392" s="66"/>
      <c r="Q2392" s="66"/>
      <c r="R2392" s="66"/>
      <c r="S2392" s="66"/>
      <c r="T2392" s="69"/>
      <c r="U2392" s="66"/>
      <c r="V2392" s="66"/>
      <c r="W2392" s="75"/>
      <c r="X2392" s="66"/>
      <c r="Y2392" s="66"/>
    </row>
    <row hidden="true" r="2393">
      <c r="N2393" s="66"/>
      <c r="O2393" s="66"/>
      <c r="P2393" s="66"/>
      <c r="Q2393" s="66"/>
      <c r="R2393" s="66"/>
      <c r="S2393" s="66"/>
      <c r="T2393" s="69"/>
      <c r="U2393" s="66"/>
      <c r="V2393" s="66"/>
      <c r="W2393" s="75"/>
      <c r="X2393" s="66"/>
      <c r="Y2393" s="66"/>
    </row>
    <row hidden="true" r="2394">
      <c r="N2394" s="66"/>
      <c r="O2394" s="66"/>
      <c r="P2394" s="66"/>
      <c r="Q2394" s="66"/>
      <c r="R2394" s="66"/>
      <c r="S2394" s="66"/>
      <c r="T2394" s="69"/>
      <c r="U2394" s="66"/>
      <c r="V2394" s="66"/>
      <c r="W2394" s="75"/>
      <c r="X2394" s="66"/>
      <c r="Y2394" s="66"/>
    </row>
    <row hidden="true" r="2395">
      <c r="N2395" s="66"/>
      <c r="O2395" s="66"/>
      <c r="P2395" s="66"/>
      <c r="Q2395" s="66"/>
      <c r="R2395" s="66"/>
      <c r="S2395" s="66"/>
      <c r="T2395" s="69"/>
      <c r="U2395" s="66"/>
      <c r="V2395" s="66"/>
      <c r="W2395" s="75"/>
      <c r="X2395" s="66"/>
      <c r="Y2395" s="66"/>
    </row>
    <row hidden="true" r="2396">
      <c r="N2396" s="66"/>
      <c r="O2396" s="66"/>
      <c r="P2396" s="66"/>
      <c r="Q2396" s="66"/>
      <c r="R2396" s="66"/>
      <c r="S2396" s="66"/>
      <c r="T2396" s="69"/>
      <c r="U2396" s="66"/>
      <c r="V2396" s="66"/>
      <c r="W2396" s="75"/>
      <c r="X2396" s="66"/>
      <c r="Y2396" s="66"/>
    </row>
    <row hidden="true" r="2397">
      <c r="N2397" s="66"/>
      <c r="O2397" s="66"/>
      <c r="P2397" s="66"/>
      <c r="Q2397" s="66"/>
      <c r="R2397" s="66"/>
      <c r="S2397" s="66"/>
      <c r="T2397" s="69"/>
      <c r="U2397" s="66"/>
      <c r="V2397" s="66"/>
      <c r="W2397" s="75"/>
      <c r="X2397" s="66"/>
      <c r="Y2397" s="66"/>
    </row>
    <row hidden="true" r="2398">
      <c r="N2398" s="66"/>
      <c r="O2398" s="66"/>
      <c r="P2398" s="66"/>
      <c r="Q2398" s="66"/>
      <c r="R2398" s="66"/>
      <c r="S2398" s="66"/>
      <c r="T2398" s="69"/>
      <c r="U2398" s="66"/>
      <c r="V2398" s="66"/>
      <c r="W2398" s="75"/>
      <c r="X2398" s="66"/>
      <c r="Y2398" s="66"/>
    </row>
    <row hidden="true" r="2399">
      <c r="N2399" s="66"/>
      <c r="O2399" s="66"/>
      <c r="P2399" s="66"/>
      <c r="Q2399" s="66"/>
      <c r="R2399" s="66"/>
      <c r="S2399" s="66"/>
      <c r="T2399" s="69"/>
      <c r="U2399" s="66"/>
      <c r="V2399" s="66"/>
      <c r="W2399" s="75"/>
      <c r="X2399" s="66"/>
      <c r="Y2399" s="66"/>
    </row>
    <row hidden="true" r="2400">
      <c r="N2400" s="66"/>
      <c r="O2400" s="66"/>
      <c r="P2400" s="66"/>
      <c r="Q2400" s="66"/>
      <c r="R2400" s="66"/>
      <c r="S2400" s="66"/>
      <c r="T2400" s="69"/>
      <c r="U2400" s="66"/>
      <c r="V2400" s="66"/>
      <c r="W2400" s="75"/>
      <c r="X2400" s="66"/>
      <c r="Y2400" s="66"/>
    </row>
    <row hidden="true" r="2401">
      <c r="N2401" s="66"/>
      <c r="O2401" s="66"/>
      <c r="P2401" s="66"/>
      <c r="Q2401" s="66"/>
      <c r="R2401" s="66"/>
      <c r="S2401" s="66"/>
      <c r="T2401" s="69"/>
      <c r="U2401" s="66"/>
      <c r="V2401" s="66"/>
      <c r="W2401" s="75"/>
      <c r="X2401" s="66"/>
      <c r="Y2401" s="66"/>
    </row>
    <row hidden="true" r="2402">
      <c r="N2402" s="66"/>
      <c r="O2402" s="66"/>
      <c r="P2402" s="66"/>
      <c r="Q2402" s="66"/>
      <c r="R2402" s="66"/>
      <c r="S2402" s="66"/>
      <c r="T2402" s="69"/>
      <c r="U2402" s="66"/>
      <c r="V2402" s="66"/>
      <c r="W2402" s="75"/>
      <c r="X2402" s="66"/>
      <c r="Y2402" s="66"/>
    </row>
    <row hidden="true" r="2403">
      <c r="N2403" s="66"/>
      <c r="O2403" s="66"/>
      <c r="P2403" s="66"/>
      <c r="Q2403" s="66"/>
      <c r="R2403" s="66"/>
      <c r="S2403" s="66"/>
      <c r="T2403" s="69"/>
      <c r="U2403" s="66"/>
      <c r="V2403" s="66"/>
      <c r="W2403" s="75"/>
      <c r="X2403" s="66"/>
      <c r="Y2403" s="66"/>
    </row>
    <row hidden="true" r="2404">
      <c r="N2404" s="66"/>
      <c r="O2404" s="66"/>
      <c r="P2404" s="66"/>
      <c r="Q2404" s="66"/>
      <c r="R2404" s="66"/>
      <c r="S2404" s="66"/>
      <c r="T2404" s="69"/>
      <c r="U2404" s="66"/>
      <c r="V2404" s="66"/>
      <c r="W2404" s="75"/>
      <c r="X2404" s="66"/>
      <c r="Y2404" s="66"/>
    </row>
    <row hidden="true" r="2405">
      <c r="N2405" s="66"/>
      <c r="O2405" s="66"/>
      <c r="P2405" s="66"/>
      <c r="Q2405" s="66"/>
      <c r="R2405" s="66"/>
      <c r="S2405" s="66"/>
      <c r="T2405" s="69"/>
      <c r="U2405" s="66"/>
      <c r="V2405" s="66"/>
      <c r="W2405" s="75"/>
      <c r="X2405" s="66"/>
      <c r="Y2405" s="66"/>
    </row>
    <row hidden="true" r="2406">
      <c r="N2406" s="66"/>
      <c r="O2406" s="66"/>
      <c r="P2406" s="66"/>
      <c r="Q2406" s="66"/>
      <c r="R2406" s="66"/>
      <c r="S2406" s="66"/>
      <c r="T2406" s="69"/>
      <c r="U2406" s="66"/>
      <c r="V2406" s="66"/>
      <c r="W2406" s="75"/>
      <c r="X2406" s="66"/>
      <c r="Y2406" s="66"/>
    </row>
    <row hidden="true" r="2407">
      <c r="N2407" s="66"/>
      <c r="O2407" s="66"/>
      <c r="P2407" s="66"/>
      <c r="Q2407" s="66"/>
      <c r="R2407" s="66"/>
      <c r="S2407" s="66"/>
      <c r="T2407" s="69"/>
      <c r="U2407" s="66"/>
      <c r="V2407" s="66"/>
      <c r="W2407" s="75"/>
      <c r="X2407" s="66"/>
      <c r="Y2407" s="66"/>
    </row>
    <row hidden="true" r="2408">
      <c r="N2408" s="66"/>
      <c r="O2408" s="66"/>
      <c r="P2408" s="66"/>
      <c r="Q2408" s="66"/>
      <c r="R2408" s="66"/>
      <c r="S2408" s="66"/>
      <c r="T2408" s="69"/>
      <c r="U2408" s="66"/>
      <c r="V2408" s="66"/>
      <c r="W2408" s="75"/>
      <c r="X2408" s="66"/>
      <c r="Y2408" s="66"/>
    </row>
    <row hidden="true" r="2409">
      <c r="N2409" s="66"/>
      <c r="O2409" s="66"/>
      <c r="P2409" s="66"/>
      <c r="Q2409" s="66"/>
      <c r="R2409" s="66"/>
      <c r="S2409" s="66"/>
      <c r="T2409" s="69"/>
      <c r="U2409" s="66"/>
      <c r="V2409" s="66"/>
      <c r="W2409" s="75"/>
      <c r="X2409" s="66"/>
      <c r="Y2409" s="66"/>
    </row>
    <row hidden="true" r="2410">
      <c r="N2410" s="66"/>
      <c r="O2410" s="66"/>
      <c r="P2410" s="66"/>
      <c r="Q2410" s="66"/>
      <c r="R2410" s="66"/>
      <c r="S2410" s="66"/>
      <c r="T2410" s="69"/>
      <c r="U2410" s="66"/>
      <c r="V2410" s="66"/>
      <c r="W2410" s="75"/>
      <c r="X2410" s="66"/>
      <c r="Y2410" s="66"/>
    </row>
    <row hidden="true" r="2411">
      <c r="N2411" s="66"/>
      <c r="O2411" s="66"/>
      <c r="P2411" s="66"/>
      <c r="Q2411" s="66"/>
      <c r="R2411" s="66"/>
      <c r="S2411" s="66"/>
      <c r="T2411" s="69"/>
      <c r="U2411" s="66"/>
      <c r="V2411" s="66"/>
      <c r="W2411" s="75"/>
      <c r="X2411" s="66"/>
      <c r="Y2411" s="66"/>
    </row>
    <row hidden="true" r="2412">
      <c r="N2412" s="66"/>
      <c r="O2412" s="66"/>
      <c r="P2412" s="66"/>
      <c r="Q2412" s="66"/>
      <c r="R2412" s="66"/>
      <c r="S2412" s="66"/>
      <c r="T2412" s="69"/>
      <c r="U2412" s="66"/>
      <c r="V2412" s="66"/>
      <c r="W2412" s="75"/>
      <c r="X2412" s="66"/>
      <c r="Y2412" s="66"/>
    </row>
    <row hidden="true" r="2413">
      <c r="N2413" s="66"/>
      <c r="O2413" s="66"/>
      <c r="P2413" s="66"/>
      <c r="Q2413" s="66"/>
      <c r="R2413" s="66"/>
      <c r="S2413" s="66"/>
      <c r="T2413" s="69"/>
      <c r="U2413" s="66"/>
      <c r="V2413" s="66"/>
      <c r="W2413" s="75"/>
      <c r="X2413" s="66"/>
      <c r="Y2413" s="66"/>
    </row>
    <row hidden="true" r="2414">
      <c r="N2414" s="66"/>
      <c r="O2414" s="66"/>
      <c r="P2414" s="66"/>
      <c r="Q2414" s="66"/>
      <c r="R2414" s="66"/>
      <c r="S2414" s="66"/>
      <c r="T2414" s="69"/>
      <c r="U2414" s="66"/>
      <c r="V2414" s="66"/>
      <c r="W2414" s="75"/>
      <c r="X2414" s="66"/>
      <c r="Y2414" s="66"/>
    </row>
    <row hidden="true" r="2415">
      <c r="N2415" s="66"/>
      <c r="O2415" s="66"/>
      <c r="P2415" s="66"/>
      <c r="Q2415" s="66"/>
      <c r="R2415" s="66"/>
      <c r="S2415" s="66"/>
      <c r="T2415" s="69"/>
      <c r="U2415" s="66"/>
      <c r="V2415" s="66"/>
      <c r="W2415" s="75"/>
      <c r="X2415" s="66"/>
      <c r="Y2415" s="66"/>
    </row>
    <row hidden="true" r="2416">
      <c r="N2416" s="66"/>
      <c r="O2416" s="66"/>
      <c r="P2416" s="66"/>
      <c r="Q2416" s="66"/>
      <c r="R2416" s="66"/>
      <c r="S2416" s="66"/>
      <c r="T2416" s="69"/>
      <c r="U2416" s="66"/>
      <c r="V2416" s="66"/>
      <c r="W2416" s="75"/>
      <c r="X2416" s="66"/>
      <c r="Y2416" s="66"/>
    </row>
    <row hidden="true" r="2417">
      <c r="N2417" s="66"/>
      <c r="O2417" s="66"/>
      <c r="P2417" s="66"/>
      <c r="Q2417" s="66"/>
      <c r="R2417" s="66"/>
      <c r="S2417" s="66"/>
      <c r="T2417" s="69"/>
      <c r="U2417" s="66"/>
      <c r="V2417" s="66"/>
      <c r="W2417" s="75"/>
      <c r="X2417" s="66"/>
      <c r="Y2417" s="66"/>
    </row>
    <row hidden="true" r="2418">
      <c r="N2418" s="66"/>
      <c r="O2418" s="66"/>
      <c r="P2418" s="66"/>
      <c r="Q2418" s="66"/>
      <c r="R2418" s="66"/>
      <c r="S2418" s="66"/>
      <c r="T2418" s="69"/>
      <c r="U2418" s="66"/>
      <c r="V2418" s="66"/>
      <c r="W2418" s="75"/>
      <c r="X2418" s="66"/>
      <c r="Y2418" s="66"/>
    </row>
    <row hidden="true" r="2419">
      <c r="N2419" s="66"/>
      <c r="O2419" s="66"/>
      <c r="P2419" s="66"/>
      <c r="Q2419" s="66"/>
      <c r="R2419" s="66"/>
      <c r="S2419" s="66"/>
      <c r="T2419" s="69"/>
      <c r="U2419" s="66"/>
      <c r="V2419" s="66"/>
      <c r="W2419" s="75"/>
      <c r="X2419" s="66"/>
      <c r="Y2419" s="66"/>
    </row>
    <row hidden="true" r="2420">
      <c r="N2420" s="66"/>
      <c r="O2420" s="66"/>
      <c r="P2420" s="66"/>
      <c r="Q2420" s="66"/>
      <c r="R2420" s="66"/>
      <c r="S2420" s="66"/>
      <c r="T2420" s="69"/>
      <c r="U2420" s="66"/>
      <c r="V2420" s="66"/>
      <c r="W2420" s="75"/>
      <c r="X2420" s="66"/>
      <c r="Y2420" s="66"/>
    </row>
    <row hidden="true" r="2421">
      <c r="N2421" s="66"/>
      <c r="O2421" s="66"/>
      <c r="P2421" s="66"/>
      <c r="Q2421" s="66"/>
      <c r="R2421" s="66"/>
      <c r="S2421" s="66"/>
      <c r="T2421" s="69"/>
      <c r="U2421" s="66"/>
      <c r="V2421" s="66"/>
      <c r="W2421" s="75"/>
      <c r="X2421" s="66"/>
      <c r="Y2421" s="66"/>
    </row>
    <row hidden="true" r="2422">
      <c r="N2422" s="66"/>
      <c r="O2422" s="66"/>
      <c r="P2422" s="66"/>
      <c r="Q2422" s="66"/>
      <c r="R2422" s="66"/>
      <c r="S2422" s="66"/>
      <c r="T2422" s="69"/>
      <c r="U2422" s="66"/>
      <c r="V2422" s="66"/>
      <c r="W2422" s="75"/>
      <c r="X2422" s="66"/>
      <c r="Y2422" s="66"/>
    </row>
    <row hidden="true" r="2423">
      <c r="N2423" s="66"/>
      <c r="O2423" s="66"/>
      <c r="P2423" s="66"/>
      <c r="Q2423" s="66"/>
      <c r="R2423" s="66"/>
      <c r="S2423" s="66"/>
      <c r="T2423" s="69"/>
      <c r="U2423" s="66"/>
      <c r="V2423" s="66"/>
      <c r="W2423" s="75"/>
      <c r="X2423" s="66"/>
      <c r="Y2423" s="66"/>
    </row>
    <row hidden="true" r="2424">
      <c r="N2424" s="66"/>
      <c r="O2424" s="66"/>
      <c r="P2424" s="66"/>
      <c r="Q2424" s="66"/>
      <c r="R2424" s="66"/>
      <c r="S2424" s="66"/>
      <c r="T2424" s="69"/>
      <c r="U2424" s="66"/>
      <c r="V2424" s="66"/>
      <c r="W2424" s="75"/>
      <c r="X2424" s="66"/>
      <c r="Y2424" s="66"/>
    </row>
    <row hidden="true" r="2425">
      <c r="N2425" s="66"/>
      <c r="O2425" s="66"/>
      <c r="P2425" s="66"/>
      <c r="Q2425" s="66"/>
      <c r="R2425" s="66"/>
      <c r="S2425" s="66"/>
      <c r="T2425" s="69"/>
      <c r="U2425" s="66"/>
      <c r="V2425" s="66"/>
      <c r="W2425" s="75"/>
      <c r="X2425" s="66"/>
      <c r="Y2425" s="66"/>
    </row>
    <row hidden="true" r="2426">
      <c r="N2426" s="66"/>
      <c r="O2426" s="66"/>
      <c r="P2426" s="66"/>
      <c r="Q2426" s="66"/>
      <c r="R2426" s="66"/>
      <c r="S2426" s="66"/>
      <c r="T2426" s="69"/>
      <c r="U2426" s="66"/>
      <c r="V2426" s="66"/>
      <c r="W2426" s="75"/>
      <c r="X2426" s="66"/>
      <c r="Y2426" s="66"/>
    </row>
    <row hidden="true" r="2427">
      <c r="N2427" s="66"/>
      <c r="O2427" s="66"/>
      <c r="P2427" s="66"/>
      <c r="Q2427" s="66"/>
      <c r="R2427" s="66"/>
      <c r="S2427" s="66"/>
      <c r="T2427" s="69"/>
      <c r="U2427" s="66"/>
      <c r="V2427" s="66"/>
      <c r="W2427" s="75"/>
      <c r="X2427" s="66"/>
      <c r="Y2427" s="66"/>
    </row>
    <row hidden="true" r="2428">
      <c r="N2428" s="66"/>
      <c r="O2428" s="66"/>
      <c r="P2428" s="66"/>
      <c r="Q2428" s="66"/>
      <c r="R2428" s="66"/>
      <c r="S2428" s="66"/>
      <c r="T2428" s="69"/>
      <c r="U2428" s="66"/>
      <c r="V2428" s="66"/>
      <c r="W2428" s="75"/>
      <c r="X2428" s="66"/>
      <c r="Y2428" s="66"/>
    </row>
    <row hidden="true" r="2429">
      <c r="N2429" s="66"/>
      <c r="O2429" s="66"/>
      <c r="P2429" s="66"/>
      <c r="Q2429" s="66"/>
      <c r="R2429" s="66"/>
      <c r="S2429" s="66"/>
      <c r="T2429" s="69"/>
      <c r="U2429" s="66"/>
      <c r="V2429" s="66"/>
      <c r="W2429" s="75"/>
      <c r="X2429" s="66"/>
      <c r="Y2429" s="66"/>
    </row>
    <row hidden="true" r="2430">
      <c r="N2430" s="66"/>
      <c r="O2430" s="66"/>
      <c r="P2430" s="66"/>
      <c r="Q2430" s="66"/>
      <c r="R2430" s="66"/>
      <c r="S2430" s="66"/>
      <c r="T2430" s="69"/>
      <c r="U2430" s="66"/>
      <c r="V2430" s="66"/>
      <c r="W2430" s="75"/>
      <c r="X2430" s="66"/>
      <c r="Y2430" s="66"/>
    </row>
    <row hidden="true" r="2431">
      <c r="N2431" s="66"/>
      <c r="O2431" s="66"/>
      <c r="P2431" s="66"/>
      <c r="Q2431" s="66"/>
      <c r="R2431" s="66"/>
      <c r="S2431" s="66"/>
      <c r="T2431" s="69"/>
      <c r="U2431" s="66"/>
      <c r="V2431" s="66"/>
      <c r="W2431" s="75"/>
      <c r="X2431" s="66"/>
      <c r="Y2431" s="66"/>
    </row>
    <row hidden="true" r="2432">
      <c r="N2432" s="66"/>
      <c r="O2432" s="66"/>
      <c r="P2432" s="66"/>
      <c r="Q2432" s="66"/>
      <c r="R2432" s="66"/>
      <c r="S2432" s="66"/>
      <c r="T2432" s="69"/>
      <c r="U2432" s="66"/>
      <c r="V2432" s="66"/>
      <c r="W2432" s="75"/>
      <c r="X2432" s="66"/>
      <c r="Y2432" s="66"/>
    </row>
    <row hidden="true" r="2433">
      <c r="N2433" s="66"/>
      <c r="O2433" s="66"/>
      <c r="P2433" s="66"/>
      <c r="Q2433" s="66"/>
      <c r="R2433" s="66"/>
      <c r="S2433" s="66"/>
      <c r="T2433" s="69"/>
      <c r="U2433" s="66"/>
      <c r="V2433" s="66"/>
      <c r="W2433" s="75"/>
      <c r="X2433" s="66"/>
      <c r="Y2433" s="66"/>
    </row>
    <row hidden="true" r="2434">
      <c r="N2434" s="66"/>
      <c r="O2434" s="66"/>
      <c r="P2434" s="66"/>
      <c r="Q2434" s="66"/>
      <c r="R2434" s="66"/>
      <c r="S2434" s="66"/>
      <c r="T2434" s="69"/>
      <c r="U2434" s="66"/>
      <c r="V2434" s="66"/>
      <c r="W2434" s="75"/>
      <c r="X2434" s="66"/>
      <c r="Y2434" s="66"/>
    </row>
    <row hidden="true" r="2435">
      <c r="N2435" s="66"/>
      <c r="O2435" s="66"/>
      <c r="P2435" s="66"/>
      <c r="Q2435" s="66"/>
      <c r="R2435" s="66"/>
      <c r="S2435" s="66"/>
      <c r="T2435" s="69"/>
      <c r="U2435" s="66"/>
      <c r="V2435" s="66"/>
      <c r="W2435" s="75"/>
      <c r="X2435" s="66"/>
      <c r="Y2435" s="66"/>
    </row>
    <row hidden="true" r="2436">
      <c r="N2436" s="66"/>
      <c r="O2436" s="66"/>
      <c r="P2436" s="66"/>
      <c r="Q2436" s="66"/>
      <c r="R2436" s="66"/>
      <c r="S2436" s="66"/>
      <c r="T2436" s="69"/>
      <c r="U2436" s="66"/>
      <c r="V2436" s="66"/>
      <c r="W2436" s="75"/>
      <c r="X2436" s="66"/>
      <c r="Y2436" s="66"/>
    </row>
    <row hidden="true" r="2437">
      <c r="N2437" s="66"/>
      <c r="O2437" s="66"/>
      <c r="P2437" s="66"/>
      <c r="Q2437" s="66"/>
      <c r="R2437" s="66"/>
      <c r="S2437" s="66"/>
      <c r="T2437" s="69"/>
      <c r="U2437" s="66"/>
      <c r="V2437" s="66"/>
      <c r="W2437" s="75"/>
      <c r="X2437" s="66"/>
      <c r="Y2437" s="66"/>
    </row>
    <row hidden="true" r="2438">
      <c r="N2438" s="66"/>
      <c r="O2438" s="66"/>
      <c r="P2438" s="66"/>
      <c r="Q2438" s="66"/>
      <c r="R2438" s="66"/>
      <c r="S2438" s="66"/>
      <c r="T2438" s="69"/>
      <c r="U2438" s="66"/>
      <c r="V2438" s="66"/>
      <c r="W2438" s="75"/>
      <c r="X2438" s="66"/>
      <c r="Y2438" s="66"/>
    </row>
    <row hidden="true" r="2439">
      <c r="N2439" s="66"/>
      <c r="O2439" s="66"/>
      <c r="P2439" s="66"/>
      <c r="Q2439" s="66"/>
      <c r="R2439" s="66"/>
      <c r="S2439" s="66"/>
      <c r="T2439" s="69"/>
      <c r="U2439" s="66"/>
      <c r="V2439" s="66"/>
      <c r="W2439" s="75"/>
      <c r="X2439" s="66"/>
      <c r="Y2439" s="66"/>
    </row>
    <row hidden="true" r="2440">
      <c r="N2440" s="66"/>
      <c r="O2440" s="66"/>
      <c r="P2440" s="66"/>
      <c r="Q2440" s="66"/>
      <c r="R2440" s="66"/>
      <c r="S2440" s="66"/>
      <c r="T2440" s="69"/>
      <c r="U2440" s="66"/>
      <c r="V2440" s="66"/>
      <c r="W2440" s="75"/>
      <c r="X2440" s="66"/>
      <c r="Y2440" s="66"/>
    </row>
    <row hidden="true" r="2441">
      <c r="N2441" s="66"/>
      <c r="O2441" s="66"/>
      <c r="P2441" s="66"/>
      <c r="Q2441" s="66"/>
      <c r="R2441" s="66"/>
      <c r="S2441" s="66"/>
      <c r="T2441" s="69"/>
      <c r="U2441" s="66"/>
      <c r="V2441" s="66"/>
      <c r="W2441" s="75"/>
      <c r="X2441" s="66"/>
      <c r="Y2441" s="66"/>
    </row>
    <row hidden="true" r="2442">
      <c r="N2442" s="66"/>
      <c r="O2442" s="66"/>
      <c r="P2442" s="66"/>
      <c r="Q2442" s="66"/>
      <c r="R2442" s="66"/>
      <c r="S2442" s="66"/>
      <c r="T2442" s="69"/>
      <c r="U2442" s="66"/>
      <c r="V2442" s="66"/>
      <c r="W2442" s="75"/>
      <c r="X2442" s="66"/>
      <c r="Y2442" s="66"/>
    </row>
    <row hidden="true" r="2443">
      <c r="N2443" s="66"/>
      <c r="O2443" s="66"/>
      <c r="P2443" s="66"/>
      <c r="Q2443" s="66"/>
      <c r="R2443" s="66"/>
      <c r="S2443" s="66"/>
      <c r="T2443" s="69"/>
      <c r="U2443" s="66"/>
      <c r="V2443" s="66"/>
      <c r="W2443" s="75"/>
      <c r="X2443" s="66"/>
      <c r="Y2443" s="66"/>
    </row>
    <row hidden="true" r="2444">
      <c r="N2444" s="66"/>
      <c r="O2444" s="66"/>
      <c r="P2444" s="66"/>
      <c r="Q2444" s="66"/>
      <c r="R2444" s="66"/>
      <c r="S2444" s="66"/>
      <c r="T2444" s="69"/>
      <c r="U2444" s="66"/>
      <c r="V2444" s="66"/>
      <c r="W2444" s="75"/>
      <c r="X2444" s="66"/>
      <c r="Y2444" s="66"/>
    </row>
    <row hidden="true" r="2445">
      <c r="N2445" s="66"/>
      <c r="O2445" s="66"/>
      <c r="P2445" s="66"/>
      <c r="Q2445" s="66"/>
      <c r="R2445" s="66"/>
      <c r="S2445" s="66"/>
      <c r="T2445" s="69"/>
      <c r="U2445" s="66"/>
      <c r="V2445" s="66"/>
      <c r="W2445" s="75"/>
      <c r="X2445" s="66"/>
      <c r="Y2445" s="66"/>
    </row>
    <row hidden="true" r="2446">
      <c r="N2446" s="66"/>
      <c r="O2446" s="66"/>
      <c r="P2446" s="66"/>
      <c r="Q2446" s="66"/>
      <c r="R2446" s="66"/>
      <c r="S2446" s="66"/>
      <c r="T2446" s="69"/>
      <c r="U2446" s="66"/>
      <c r="V2446" s="66"/>
      <c r="W2446" s="75"/>
      <c r="X2446" s="66"/>
      <c r="Y2446" s="66"/>
    </row>
    <row hidden="true" r="2447">
      <c r="N2447" s="66"/>
      <c r="O2447" s="66"/>
      <c r="P2447" s="66"/>
      <c r="Q2447" s="66"/>
      <c r="R2447" s="66"/>
      <c r="S2447" s="66"/>
      <c r="T2447" s="69"/>
      <c r="U2447" s="66"/>
      <c r="V2447" s="66"/>
      <c r="W2447" s="75"/>
      <c r="X2447" s="66"/>
      <c r="Y2447" s="66"/>
    </row>
    <row hidden="true" r="2448">
      <c r="N2448" s="66"/>
      <c r="O2448" s="66"/>
      <c r="P2448" s="66"/>
      <c r="Q2448" s="66"/>
      <c r="R2448" s="66"/>
      <c r="S2448" s="66"/>
      <c r="T2448" s="69"/>
      <c r="U2448" s="66"/>
      <c r="V2448" s="66"/>
      <c r="W2448" s="75"/>
      <c r="X2448" s="66"/>
      <c r="Y2448" s="66"/>
    </row>
    <row hidden="true" r="2449">
      <c r="N2449" s="66"/>
      <c r="O2449" s="66"/>
      <c r="P2449" s="66"/>
      <c r="Q2449" s="66"/>
      <c r="R2449" s="66"/>
      <c r="S2449" s="66"/>
      <c r="T2449" s="69"/>
      <c r="U2449" s="66"/>
      <c r="V2449" s="66"/>
      <c r="W2449" s="75"/>
      <c r="X2449" s="66"/>
      <c r="Y2449" s="66"/>
    </row>
    <row hidden="true" r="2450">
      <c r="N2450" s="66"/>
      <c r="O2450" s="66"/>
      <c r="P2450" s="66"/>
      <c r="Q2450" s="66"/>
      <c r="R2450" s="66"/>
      <c r="S2450" s="66"/>
      <c r="T2450" s="69"/>
      <c r="U2450" s="66"/>
      <c r="V2450" s="66"/>
      <c r="W2450" s="75"/>
      <c r="X2450" s="66"/>
      <c r="Y2450" s="66"/>
    </row>
    <row hidden="true" r="2451">
      <c r="N2451" s="66"/>
      <c r="O2451" s="66"/>
      <c r="P2451" s="66"/>
      <c r="Q2451" s="66"/>
      <c r="R2451" s="66"/>
      <c r="S2451" s="66"/>
      <c r="T2451" s="69"/>
      <c r="U2451" s="66"/>
      <c r="V2451" s="66"/>
      <c r="W2451" s="75"/>
      <c r="X2451" s="66"/>
      <c r="Y2451" s="66"/>
    </row>
    <row hidden="true" r="2452">
      <c r="N2452" s="66"/>
      <c r="O2452" s="66"/>
      <c r="P2452" s="66"/>
      <c r="Q2452" s="66"/>
      <c r="R2452" s="66"/>
      <c r="S2452" s="66"/>
      <c r="T2452" s="69"/>
      <c r="U2452" s="66"/>
      <c r="V2452" s="66"/>
      <c r="W2452" s="75"/>
      <c r="X2452" s="66"/>
      <c r="Y2452" s="66"/>
    </row>
    <row hidden="true" r="2453">
      <c r="N2453" s="66"/>
      <c r="O2453" s="66"/>
      <c r="P2453" s="66"/>
      <c r="Q2453" s="66"/>
      <c r="R2453" s="66"/>
      <c r="S2453" s="66"/>
      <c r="T2453" s="69"/>
      <c r="U2453" s="66"/>
      <c r="V2453" s="66"/>
      <c r="W2453" s="75"/>
      <c r="X2453" s="66"/>
      <c r="Y2453" s="66"/>
    </row>
    <row hidden="true" r="2454">
      <c r="N2454" s="66"/>
      <c r="O2454" s="66"/>
      <c r="P2454" s="66"/>
      <c r="Q2454" s="66"/>
      <c r="R2454" s="66"/>
      <c r="S2454" s="66"/>
      <c r="T2454" s="69"/>
      <c r="U2454" s="66"/>
      <c r="V2454" s="66"/>
      <c r="W2454" s="75"/>
      <c r="X2454" s="66"/>
      <c r="Y2454" s="66"/>
    </row>
    <row hidden="true" r="2455">
      <c r="N2455" s="66"/>
      <c r="O2455" s="66"/>
      <c r="P2455" s="66"/>
      <c r="Q2455" s="66"/>
      <c r="R2455" s="66"/>
      <c r="S2455" s="66"/>
      <c r="T2455" s="69"/>
      <c r="U2455" s="66"/>
      <c r="V2455" s="66"/>
      <c r="W2455" s="75"/>
      <c r="X2455" s="66"/>
      <c r="Y2455" s="66"/>
    </row>
    <row hidden="true" r="2456">
      <c r="N2456" s="66"/>
      <c r="O2456" s="66"/>
      <c r="P2456" s="66"/>
      <c r="Q2456" s="66"/>
      <c r="R2456" s="66"/>
      <c r="S2456" s="66"/>
      <c r="T2456" s="69"/>
      <c r="U2456" s="66"/>
      <c r="V2456" s="66"/>
      <c r="W2456" s="75"/>
      <c r="X2456" s="66"/>
      <c r="Y2456" s="66"/>
    </row>
    <row hidden="true" r="2457">
      <c r="N2457" s="66"/>
      <c r="O2457" s="66"/>
      <c r="P2457" s="66"/>
      <c r="Q2457" s="66"/>
      <c r="R2457" s="66"/>
      <c r="S2457" s="66"/>
      <c r="T2457" s="69"/>
      <c r="U2457" s="66"/>
      <c r="V2457" s="66"/>
      <c r="W2457" s="75"/>
      <c r="X2457" s="66"/>
      <c r="Y2457" s="66"/>
    </row>
    <row hidden="true" r="2458">
      <c r="N2458" s="66"/>
      <c r="O2458" s="66"/>
      <c r="P2458" s="66"/>
      <c r="Q2458" s="66"/>
      <c r="R2458" s="66"/>
      <c r="S2458" s="66"/>
      <c r="T2458" s="69"/>
      <c r="U2458" s="66"/>
      <c r="V2458" s="66"/>
      <c r="W2458" s="75"/>
      <c r="X2458" s="66"/>
      <c r="Y2458" s="66"/>
    </row>
    <row hidden="true" r="2459">
      <c r="N2459" s="66"/>
      <c r="O2459" s="66"/>
      <c r="P2459" s="66"/>
      <c r="Q2459" s="66"/>
      <c r="R2459" s="66"/>
      <c r="S2459" s="66"/>
      <c r="T2459" s="69"/>
      <c r="U2459" s="66"/>
      <c r="V2459" s="66"/>
      <c r="W2459" s="75"/>
      <c r="X2459" s="66"/>
      <c r="Y2459" s="66"/>
    </row>
    <row hidden="true" r="2460">
      <c r="N2460" s="66"/>
      <c r="O2460" s="66"/>
      <c r="P2460" s="66"/>
      <c r="Q2460" s="66"/>
      <c r="R2460" s="66"/>
      <c r="S2460" s="66"/>
      <c r="T2460" s="69"/>
      <c r="U2460" s="66"/>
      <c r="V2460" s="66"/>
      <c r="W2460" s="75"/>
      <c r="X2460" s="66"/>
      <c r="Y2460" s="66"/>
    </row>
    <row hidden="true" r="2461">
      <c r="N2461" s="66"/>
      <c r="O2461" s="66"/>
      <c r="P2461" s="66"/>
      <c r="Q2461" s="66"/>
      <c r="R2461" s="66"/>
      <c r="S2461" s="66"/>
      <c r="T2461" s="69"/>
      <c r="U2461" s="66"/>
      <c r="V2461" s="66"/>
      <c r="W2461" s="75"/>
      <c r="X2461" s="66"/>
      <c r="Y2461" s="66"/>
    </row>
    <row hidden="true" r="2462">
      <c r="N2462" s="66"/>
      <c r="O2462" s="66"/>
      <c r="P2462" s="66"/>
      <c r="Q2462" s="66"/>
      <c r="R2462" s="66"/>
      <c r="S2462" s="66"/>
      <c r="T2462" s="69"/>
      <c r="U2462" s="66"/>
      <c r="V2462" s="66"/>
      <c r="W2462" s="75"/>
      <c r="X2462" s="66"/>
      <c r="Y2462" s="66"/>
    </row>
    <row hidden="true" r="2463">
      <c r="N2463" s="66"/>
      <c r="O2463" s="66"/>
      <c r="P2463" s="66"/>
      <c r="Q2463" s="66"/>
      <c r="R2463" s="66"/>
      <c r="S2463" s="66"/>
      <c r="T2463" s="69"/>
      <c r="U2463" s="66"/>
      <c r="V2463" s="66"/>
      <c r="W2463" s="75"/>
      <c r="X2463" s="66"/>
      <c r="Y2463" s="66"/>
    </row>
    <row hidden="true" r="2464">
      <c r="N2464" s="66"/>
      <c r="O2464" s="66"/>
      <c r="P2464" s="66"/>
      <c r="Q2464" s="66"/>
      <c r="R2464" s="66"/>
      <c r="S2464" s="66"/>
      <c r="T2464" s="69"/>
      <c r="U2464" s="66"/>
      <c r="V2464" s="66"/>
      <c r="W2464" s="75"/>
      <c r="X2464" s="66"/>
      <c r="Y2464" s="66"/>
    </row>
    <row hidden="true" r="2465">
      <c r="N2465" s="66"/>
      <c r="O2465" s="66"/>
      <c r="P2465" s="66"/>
      <c r="Q2465" s="66"/>
      <c r="R2465" s="66"/>
      <c r="S2465" s="66"/>
      <c r="T2465" s="69"/>
      <c r="U2465" s="66"/>
      <c r="V2465" s="66"/>
      <c r="W2465" s="75"/>
      <c r="X2465" s="66"/>
      <c r="Y2465" s="66"/>
    </row>
    <row hidden="true" r="2466">
      <c r="N2466" s="66"/>
      <c r="O2466" s="66"/>
      <c r="P2466" s="66"/>
      <c r="Q2466" s="66"/>
      <c r="R2466" s="66"/>
      <c r="S2466" s="66"/>
      <c r="T2466" s="69"/>
      <c r="U2466" s="66"/>
      <c r="V2466" s="66"/>
      <c r="W2466" s="75"/>
      <c r="X2466" s="66"/>
      <c r="Y2466" s="66"/>
    </row>
    <row hidden="true" r="2467">
      <c r="N2467" s="66"/>
      <c r="O2467" s="66"/>
      <c r="P2467" s="66"/>
      <c r="Q2467" s="66"/>
      <c r="R2467" s="66"/>
      <c r="S2467" s="66"/>
      <c r="T2467" s="69"/>
      <c r="U2467" s="66"/>
      <c r="V2467" s="66"/>
      <c r="W2467" s="75"/>
      <c r="X2467" s="66"/>
      <c r="Y2467" s="66"/>
    </row>
    <row hidden="true" r="2468">
      <c r="N2468" s="66"/>
      <c r="O2468" s="66"/>
      <c r="P2468" s="66"/>
      <c r="Q2468" s="66"/>
      <c r="R2468" s="66"/>
      <c r="S2468" s="66"/>
      <c r="T2468" s="69"/>
      <c r="U2468" s="66"/>
      <c r="V2468" s="66"/>
      <c r="W2468" s="75"/>
      <c r="X2468" s="66"/>
      <c r="Y2468" s="66"/>
    </row>
    <row hidden="true" r="2469">
      <c r="N2469" s="66"/>
      <c r="O2469" s="66"/>
      <c r="P2469" s="66"/>
      <c r="Q2469" s="66"/>
      <c r="R2469" s="66"/>
      <c r="S2469" s="66"/>
      <c r="T2469" s="69"/>
      <c r="U2469" s="66"/>
      <c r="V2469" s="66"/>
      <c r="W2469" s="75"/>
      <c r="X2469" s="66"/>
      <c r="Y2469" s="66"/>
    </row>
    <row hidden="true" r="2470">
      <c r="N2470" s="66"/>
      <c r="O2470" s="66"/>
      <c r="P2470" s="66"/>
      <c r="Q2470" s="66"/>
      <c r="R2470" s="66"/>
      <c r="S2470" s="66"/>
      <c r="T2470" s="69"/>
      <c r="U2470" s="66"/>
      <c r="V2470" s="66"/>
      <c r="W2470" s="75"/>
      <c r="X2470" s="66"/>
      <c r="Y2470" s="66"/>
    </row>
    <row hidden="true" r="2471">
      <c r="N2471" s="66"/>
      <c r="O2471" s="66"/>
      <c r="P2471" s="66"/>
      <c r="Q2471" s="66"/>
      <c r="R2471" s="66"/>
      <c r="S2471" s="66"/>
      <c r="T2471" s="69"/>
      <c r="U2471" s="66"/>
      <c r="V2471" s="66"/>
      <c r="W2471" s="75"/>
      <c r="X2471" s="66"/>
      <c r="Y2471" s="66"/>
    </row>
    <row hidden="true" r="2472">
      <c r="N2472" s="66"/>
      <c r="O2472" s="66"/>
      <c r="P2472" s="66"/>
      <c r="Q2472" s="66"/>
      <c r="R2472" s="66"/>
      <c r="S2472" s="66"/>
      <c r="T2472" s="69"/>
      <c r="U2472" s="66"/>
      <c r="V2472" s="66"/>
      <c r="W2472" s="75"/>
      <c r="X2472" s="66"/>
      <c r="Y2472" s="66"/>
    </row>
    <row hidden="true" r="2473">
      <c r="N2473" s="66"/>
      <c r="O2473" s="66"/>
      <c r="P2473" s="66"/>
      <c r="Q2473" s="66"/>
      <c r="R2473" s="66"/>
      <c r="S2473" s="66"/>
      <c r="T2473" s="69"/>
      <c r="U2473" s="66"/>
      <c r="V2473" s="66"/>
      <c r="W2473" s="75"/>
      <c r="X2473" s="66"/>
      <c r="Y2473" s="66"/>
    </row>
    <row hidden="true" r="2474">
      <c r="N2474" s="66"/>
      <c r="O2474" s="66"/>
      <c r="P2474" s="66"/>
      <c r="Q2474" s="66"/>
      <c r="R2474" s="66"/>
      <c r="S2474" s="66"/>
      <c r="T2474" s="69"/>
      <c r="U2474" s="66"/>
      <c r="V2474" s="66"/>
      <c r="W2474" s="75"/>
      <c r="X2474" s="66"/>
      <c r="Y2474" s="66"/>
    </row>
    <row hidden="true" r="2475">
      <c r="N2475" s="66"/>
      <c r="O2475" s="66"/>
      <c r="P2475" s="66"/>
      <c r="Q2475" s="66"/>
      <c r="R2475" s="66"/>
      <c r="S2475" s="66"/>
      <c r="T2475" s="69"/>
      <c r="U2475" s="66"/>
      <c r="V2475" s="66"/>
      <c r="W2475" s="75"/>
      <c r="X2475" s="66"/>
      <c r="Y2475" s="66"/>
    </row>
    <row hidden="true" r="2476">
      <c r="N2476" s="66"/>
      <c r="O2476" s="66"/>
      <c r="P2476" s="66"/>
      <c r="Q2476" s="66"/>
      <c r="R2476" s="66"/>
      <c r="S2476" s="66"/>
      <c r="T2476" s="69"/>
      <c r="U2476" s="66"/>
      <c r="V2476" s="66"/>
      <c r="W2476" s="75"/>
      <c r="X2476" s="66"/>
      <c r="Y2476" s="66"/>
    </row>
    <row hidden="true" r="2477">
      <c r="N2477" s="66"/>
      <c r="O2477" s="66"/>
      <c r="P2477" s="66"/>
      <c r="Q2477" s="66"/>
      <c r="R2477" s="66"/>
      <c r="S2477" s="66"/>
      <c r="T2477" s="69"/>
      <c r="U2477" s="66"/>
      <c r="V2477" s="66"/>
      <c r="W2477" s="75"/>
      <c r="X2477" s="66"/>
      <c r="Y2477" s="66"/>
    </row>
    <row hidden="true" r="2478">
      <c r="N2478" s="66"/>
      <c r="O2478" s="66"/>
      <c r="P2478" s="66"/>
      <c r="Q2478" s="66"/>
      <c r="R2478" s="66"/>
      <c r="S2478" s="66"/>
      <c r="T2478" s="69"/>
      <c r="U2478" s="66"/>
      <c r="V2478" s="66"/>
      <c r="W2478" s="75"/>
      <c r="X2478" s="66"/>
      <c r="Y2478" s="66"/>
    </row>
    <row hidden="true" r="2479">
      <c r="N2479" s="66"/>
      <c r="O2479" s="66"/>
      <c r="P2479" s="66"/>
      <c r="Q2479" s="66"/>
      <c r="R2479" s="66"/>
      <c r="S2479" s="66"/>
      <c r="T2479" s="69"/>
      <c r="U2479" s="66"/>
      <c r="V2479" s="66"/>
      <c r="W2479" s="75"/>
      <c r="X2479" s="66"/>
      <c r="Y2479" s="66"/>
    </row>
    <row hidden="true" r="2480">
      <c r="N2480" s="66"/>
      <c r="O2480" s="66"/>
      <c r="P2480" s="66"/>
      <c r="Q2480" s="66"/>
      <c r="R2480" s="66"/>
      <c r="S2480" s="66"/>
      <c r="T2480" s="69"/>
      <c r="U2480" s="66"/>
      <c r="V2480" s="66"/>
      <c r="W2480" s="75"/>
      <c r="X2480" s="66"/>
      <c r="Y2480" s="66"/>
    </row>
    <row hidden="true" r="2481">
      <c r="N2481" s="66"/>
      <c r="O2481" s="66"/>
      <c r="P2481" s="66"/>
      <c r="Q2481" s="66"/>
      <c r="R2481" s="66"/>
      <c r="S2481" s="66"/>
      <c r="T2481" s="69"/>
      <c r="U2481" s="66"/>
      <c r="V2481" s="66"/>
      <c r="W2481" s="75"/>
      <c r="X2481" s="66"/>
      <c r="Y2481" s="66"/>
    </row>
    <row hidden="true" r="2482">
      <c r="N2482" s="66"/>
      <c r="O2482" s="66"/>
      <c r="P2482" s="66"/>
      <c r="Q2482" s="66"/>
      <c r="R2482" s="66"/>
      <c r="S2482" s="66"/>
      <c r="T2482" s="69"/>
      <c r="U2482" s="66"/>
      <c r="V2482" s="66"/>
      <c r="W2482" s="75"/>
      <c r="X2482" s="66"/>
      <c r="Y2482" s="66"/>
    </row>
    <row hidden="true" r="2483">
      <c r="N2483" s="66"/>
      <c r="O2483" s="66"/>
      <c r="P2483" s="66"/>
      <c r="Q2483" s="66"/>
      <c r="R2483" s="66"/>
      <c r="S2483" s="66"/>
      <c r="T2483" s="69"/>
      <c r="U2483" s="66"/>
      <c r="V2483" s="66"/>
      <c r="W2483" s="75"/>
      <c r="X2483" s="66"/>
      <c r="Y2483" s="66"/>
    </row>
    <row hidden="true" r="2484">
      <c r="N2484" s="66"/>
      <c r="O2484" s="66"/>
      <c r="P2484" s="66"/>
      <c r="Q2484" s="66"/>
      <c r="R2484" s="66"/>
      <c r="S2484" s="66"/>
      <c r="T2484" s="69"/>
      <c r="U2484" s="66"/>
      <c r="V2484" s="66"/>
      <c r="W2484" s="75"/>
      <c r="X2484" s="66"/>
      <c r="Y2484" s="66"/>
    </row>
    <row hidden="true" r="2485">
      <c r="N2485" s="66"/>
      <c r="O2485" s="66"/>
      <c r="P2485" s="66"/>
      <c r="Q2485" s="66"/>
      <c r="R2485" s="66"/>
      <c r="S2485" s="66"/>
      <c r="T2485" s="69"/>
      <c r="U2485" s="66"/>
      <c r="V2485" s="66"/>
      <c r="W2485" s="75"/>
      <c r="X2485" s="66"/>
      <c r="Y2485" s="66"/>
    </row>
    <row hidden="true" r="2486">
      <c r="N2486" s="66"/>
      <c r="O2486" s="66"/>
      <c r="P2486" s="66"/>
      <c r="Q2486" s="66"/>
      <c r="R2486" s="66"/>
      <c r="S2486" s="66"/>
      <c r="T2486" s="69"/>
      <c r="U2486" s="66"/>
      <c r="V2486" s="66"/>
      <c r="W2486" s="75"/>
      <c r="X2486" s="66"/>
      <c r="Y2486" s="66"/>
    </row>
    <row hidden="true" r="2487">
      <c r="N2487" s="66"/>
      <c r="O2487" s="66"/>
      <c r="P2487" s="66"/>
      <c r="Q2487" s="66"/>
      <c r="R2487" s="66"/>
      <c r="S2487" s="66"/>
      <c r="T2487" s="69"/>
      <c r="U2487" s="66"/>
      <c r="V2487" s="66"/>
      <c r="W2487" s="75"/>
      <c r="X2487" s="66"/>
      <c r="Y2487" s="66"/>
    </row>
    <row hidden="true" r="2488">
      <c r="N2488" s="66"/>
      <c r="O2488" s="66"/>
      <c r="P2488" s="66"/>
      <c r="Q2488" s="66"/>
      <c r="R2488" s="66"/>
      <c r="S2488" s="66"/>
      <c r="T2488" s="69"/>
      <c r="U2488" s="66"/>
      <c r="V2488" s="66"/>
      <c r="W2488" s="75"/>
      <c r="X2488" s="66"/>
      <c r="Y2488" s="66"/>
    </row>
    <row hidden="true" r="2489">
      <c r="N2489" s="66"/>
      <c r="O2489" s="66"/>
      <c r="P2489" s="66"/>
      <c r="Q2489" s="66"/>
      <c r="R2489" s="66"/>
      <c r="S2489" s="66"/>
      <c r="T2489" s="69"/>
      <c r="U2489" s="66"/>
      <c r="V2489" s="66"/>
      <c r="W2489" s="75"/>
      <c r="X2489" s="66"/>
      <c r="Y2489" s="66"/>
    </row>
    <row hidden="true" r="2490">
      <c r="N2490" s="66"/>
      <c r="O2490" s="66"/>
      <c r="P2490" s="66"/>
      <c r="Q2490" s="66"/>
      <c r="R2490" s="66"/>
      <c r="S2490" s="66"/>
      <c r="T2490" s="69"/>
      <c r="U2490" s="66"/>
      <c r="V2490" s="66"/>
      <c r="W2490" s="75"/>
      <c r="X2490" s="66"/>
      <c r="Y2490" s="66"/>
    </row>
    <row hidden="true" r="2491">
      <c r="N2491" s="66"/>
      <c r="O2491" s="66"/>
      <c r="P2491" s="66"/>
      <c r="Q2491" s="66"/>
      <c r="R2491" s="66"/>
      <c r="S2491" s="66"/>
      <c r="T2491" s="69"/>
      <c r="U2491" s="66"/>
      <c r="V2491" s="66"/>
      <c r="W2491" s="75"/>
      <c r="X2491" s="66"/>
      <c r="Y2491" s="66"/>
    </row>
    <row hidden="true" r="2492">
      <c r="N2492" s="66"/>
      <c r="O2492" s="66"/>
      <c r="P2492" s="66"/>
      <c r="Q2492" s="66"/>
      <c r="R2492" s="66"/>
      <c r="S2492" s="66"/>
      <c r="T2492" s="69"/>
      <c r="U2492" s="66"/>
      <c r="V2492" s="66"/>
      <c r="W2492" s="75"/>
      <c r="X2492" s="66"/>
      <c r="Y2492" s="66"/>
    </row>
    <row hidden="true" r="2493">
      <c r="N2493" s="66"/>
      <c r="O2493" s="66"/>
      <c r="P2493" s="66"/>
      <c r="Q2493" s="66"/>
      <c r="R2493" s="66"/>
      <c r="S2493" s="66"/>
      <c r="T2493" s="69"/>
      <c r="U2493" s="66"/>
      <c r="V2493" s="66"/>
      <c r="W2493" s="75"/>
      <c r="X2493" s="66"/>
      <c r="Y2493" s="66"/>
    </row>
    <row hidden="true" r="2494">
      <c r="N2494" s="66"/>
      <c r="O2494" s="66"/>
      <c r="P2494" s="66"/>
      <c r="Q2494" s="66"/>
      <c r="R2494" s="66"/>
      <c r="S2494" s="66"/>
      <c r="T2494" s="69"/>
      <c r="U2494" s="66"/>
      <c r="V2494" s="66"/>
      <c r="W2494" s="75"/>
      <c r="X2494" s="66"/>
      <c r="Y2494" s="66"/>
    </row>
    <row hidden="true" r="2495">
      <c r="N2495" s="66"/>
      <c r="O2495" s="66"/>
      <c r="P2495" s="66"/>
      <c r="Q2495" s="66"/>
      <c r="R2495" s="66"/>
      <c r="S2495" s="66"/>
      <c r="T2495" s="69"/>
      <c r="U2495" s="66"/>
      <c r="V2495" s="66"/>
      <c r="W2495" s="75"/>
      <c r="X2495" s="66"/>
      <c r="Y2495" s="66"/>
    </row>
    <row hidden="true" r="2496">
      <c r="N2496" s="66"/>
      <c r="O2496" s="66"/>
      <c r="P2496" s="66"/>
      <c r="Q2496" s="66"/>
      <c r="R2496" s="66"/>
      <c r="S2496" s="66"/>
      <c r="T2496" s="69"/>
      <c r="U2496" s="66"/>
      <c r="V2496" s="66"/>
      <c r="W2496" s="75"/>
      <c r="X2496" s="66"/>
      <c r="Y2496" s="66"/>
    </row>
    <row hidden="true" r="2497">
      <c r="N2497" s="66"/>
      <c r="O2497" s="66"/>
      <c r="P2497" s="66"/>
      <c r="Q2497" s="66"/>
      <c r="R2497" s="66"/>
      <c r="S2497" s="66"/>
      <c r="T2497" s="69"/>
      <c r="U2497" s="66"/>
      <c r="V2497" s="66"/>
      <c r="W2497" s="75"/>
      <c r="X2497" s="66"/>
      <c r="Y2497" s="66"/>
    </row>
    <row hidden="true" r="2498">
      <c r="N2498" s="66"/>
      <c r="O2498" s="66"/>
      <c r="P2498" s="66"/>
      <c r="Q2498" s="66"/>
      <c r="R2498" s="66"/>
      <c r="S2498" s="66"/>
      <c r="T2498" s="69"/>
      <c r="U2498" s="66"/>
      <c r="V2498" s="66"/>
      <c r="W2498" s="75"/>
      <c r="X2498" s="66"/>
      <c r="Y2498" s="66"/>
    </row>
    <row hidden="true" r="2499">
      <c r="N2499" s="66"/>
      <c r="O2499" s="66"/>
      <c r="P2499" s="66"/>
      <c r="Q2499" s="66"/>
      <c r="R2499" s="66"/>
      <c r="S2499" s="66"/>
      <c r="T2499" s="69"/>
      <c r="U2499" s="66"/>
      <c r="V2499" s="66"/>
      <c r="W2499" s="75"/>
      <c r="X2499" s="66"/>
      <c r="Y2499" s="66"/>
    </row>
    <row hidden="true" r="2500">
      <c r="N2500" s="66"/>
      <c r="O2500" s="66"/>
      <c r="P2500" s="66"/>
      <c r="Q2500" s="66"/>
      <c r="R2500" s="66"/>
      <c r="S2500" s="66"/>
      <c r="T2500" s="69"/>
      <c r="U2500" s="66"/>
      <c r="V2500" s="66"/>
      <c r="W2500" s="75"/>
      <c r="X2500" s="66"/>
      <c r="Y2500" s="66"/>
    </row>
    <row hidden="true" r="2501">
      <c r="N2501" s="66"/>
      <c r="O2501" s="66"/>
      <c r="P2501" s="66"/>
      <c r="Q2501" s="66"/>
      <c r="R2501" s="66"/>
      <c r="S2501" s="66"/>
      <c r="T2501" s="69"/>
      <c r="U2501" s="66"/>
      <c r="V2501" s="66"/>
      <c r="W2501" s="75"/>
      <c r="X2501" s="66"/>
      <c r="Y2501" s="66"/>
    </row>
    <row hidden="true" r="2502">
      <c r="N2502" s="66"/>
      <c r="O2502" s="66"/>
      <c r="P2502" s="66"/>
      <c r="Q2502" s="66"/>
      <c r="R2502" s="66"/>
      <c r="S2502" s="66"/>
      <c r="T2502" s="69"/>
      <c r="U2502" s="66"/>
      <c r="V2502" s="66"/>
      <c r="W2502" s="75"/>
      <c r="X2502" s="66"/>
      <c r="Y2502" s="66"/>
    </row>
    <row hidden="true" r="2503">
      <c r="N2503" s="66"/>
      <c r="O2503" s="66"/>
      <c r="P2503" s="66"/>
      <c r="Q2503" s="66"/>
      <c r="R2503" s="66"/>
      <c r="S2503" s="66"/>
      <c r="T2503" s="69"/>
      <c r="U2503" s="66"/>
      <c r="V2503" s="66"/>
      <c r="W2503" s="75"/>
      <c r="X2503" s="66"/>
      <c r="Y2503" s="66"/>
    </row>
    <row hidden="true" r="2504">
      <c r="N2504" s="66"/>
      <c r="O2504" s="66"/>
      <c r="P2504" s="66"/>
      <c r="Q2504" s="66"/>
      <c r="R2504" s="66"/>
      <c r="S2504" s="66"/>
      <c r="T2504" s="69"/>
      <c r="U2504" s="66"/>
      <c r="V2504" s="66"/>
      <c r="W2504" s="75"/>
      <c r="X2504" s="66"/>
      <c r="Y2504" s="66"/>
    </row>
    <row hidden="true" r="2505">
      <c r="N2505" s="66"/>
      <c r="O2505" s="66"/>
      <c r="P2505" s="66"/>
      <c r="Q2505" s="66"/>
      <c r="R2505" s="66"/>
      <c r="S2505" s="66"/>
      <c r="T2505" s="69"/>
      <c r="U2505" s="66"/>
      <c r="V2505" s="66"/>
      <c r="W2505" s="75"/>
      <c r="X2505" s="66"/>
      <c r="Y2505" s="66"/>
    </row>
    <row hidden="true" r="2506">
      <c r="N2506" s="66"/>
      <c r="O2506" s="66"/>
      <c r="P2506" s="66"/>
      <c r="Q2506" s="66"/>
      <c r="R2506" s="66"/>
      <c r="S2506" s="66"/>
      <c r="T2506" s="69"/>
      <c r="U2506" s="66"/>
      <c r="V2506" s="66"/>
      <c r="W2506" s="75"/>
      <c r="X2506" s="66"/>
      <c r="Y2506" s="66"/>
    </row>
    <row hidden="true" r="2507">
      <c r="N2507" s="66"/>
      <c r="O2507" s="66"/>
      <c r="P2507" s="66"/>
      <c r="Q2507" s="66"/>
      <c r="R2507" s="66"/>
      <c r="S2507" s="66"/>
      <c r="T2507" s="69"/>
      <c r="U2507" s="66"/>
      <c r="V2507" s="66"/>
      <c r="W2507" s="75"/>
      <c r="X2507" s="66"/>
      <c r="Y2507" s="66"/>
    </row>
    <row hidden="true" r="2508">
      <c r="N2508" s="66"/>
      <c r="O2508" s="66"/>
      <c r="P2508" s="66"/>
      <c r="Q2508" s="66"/>
      <c r="R2508" s="66"/>
      <c r="S2508" s="66"/>
      <c r="T2508" s="69"/>
      <c r="U2508" s="66"/>
      <c r="V2508" s="66"/>
      <c r="W2508" s="75"/>
      <c r="X2508" s="66"/>
      <c r="Y2508" s="66"/>
    </row>
    <row hidden="true" r="2509">
      <c r="N2509" s="66"/>
      <c r="O2509" s="66"/>
      <c r="P2509" s="66"/>
      <c r="Q2509" s="66"/>
      <c r="R2509" s="66"/>
      <c r="S2509" s="66"/>
      <c r="T2509" s="69"/>
      <c r="U2509" s="66"/>
      <c r="V2509" s="66"/>
      <c r="W2509" s="75"/>
      <c r="X2509" s="66"/>
      <c r="Y2509" s="66"/>
    </row>
    <row hidden="true" r="2510">
      <c r="N2510" s="66"/>
      <c r="O2510" s="66"/>
      <c r="P2510" s="66"/>
      <c r="Q2510" s="66"/>
      <c r="R2510" s="66"/>
      <c r="S2510" s="66"/>
      <c r="T2510" s="69"/>
      <c r="U2510" s="66"/>
      <c r="V2510" s="66"/>
      <c r="W2510" s="75"/>
      <c r="X2510" s="66"/>
      <c r="Y2510" s="66"/>
    </row>
    <row hidden="true" r="2511">
      <c r="N2511" s="66"/>
      <c r="O2511" s="66"/>
      <c r="P2511" s="66"/>
      <c r="Q2511" s="66"/>
      <c r="R2511" s="66"/>
      <c r="S2511" s="66"/>
      <c r="T2511" s="69"/>
      <c r="U2511" s="66"/>
      <c r="V2511" s="66"/>
      <c r="W2511" s="75"/>
      <c r="X2511" s="66"/>
      <c r="Y2511" s="66"/>
    </row>
    <row hidden="true" r="2512">
      <c r="N2512" s="66"/>
      <c r="O2512" s="66"/>
      <c r="P2512" s="66"/>
      <c r="Q2512" s="66"/>
      <c r="R2512" s="66"/>
      <c r="S2512" s="66"/>
      <c r="T2512" s="69"/>
      <c r="U2512" s="66"/>
      <c r="V2512" s="66"/>
      <c r="W2512" s="75"/>
      <c r="X2512" s="66"/>
      <c r="Y2512" s="66"/>
    </row>
    <row hidden="true" r="2513">
      <c r="N2513" s="66"/>
      <c r="O2513" s="66"/>
      <c r="P2513" s="66"/>
      <c r="Q2513" s="66"/>
      <c r="R2513" s="66"/>
      <c r="S2513" s="66"/>
      <c r="T2513" s="69"/>
      <c r="U2513" s="66"/>
      <c r="V2513" s="66"/>
      <c r="W2513" s="75"/>
      <c r="X2513" s="66"/>
      <c r="Y2513" s="66"/>
    </row>
    <row hidden="true" r="2514">
      <c r="N2514" s="66"/>
      <c r="O2514" s="66"/>
      <c r="P2514" s="66"/>
      <c r="Q2514" s="66"/>
      <c r="R2514" s="66"/>
      <c r="S2514" s="66"/>
      <c r="T2514" s="69"/>
      <c r="U2514" s="66"/>
      <c r="V2514" s="66"/>
      <c r="W2514" s="75"/>
      <c r="X2514" s="66"/>
      <c r="Y2514" s="66"/>
    </row>
    <row hidden="true" r="2515">
      <c r="N2515" s="66"/>
      <c r="O2515" s="66"/>
      <c r="P2515" s="66"/>
      <c r="Q2515" s="66"/>
      <c r="R2515" s="66"/>
      <c r="S2515" s="66"/>
      <c r="T2515" s="69"/>
      <c r="U2515" s="66"/>
      <c r="V2515" s="66"/>
      <c r="W2515" s="75"/>
      <c r="X2515" s="66"/>
      <c r="Y2515" s="66"/>
    </row>
    <row hidden="true" r="2516">
      <c r="N2516" s="66"/>
      <c r="O2516" s="66"/>
      <c r="P2516" s="66"/>
      <c r="Q2516" s="66"/>
      <c r="R2516" s="66"/>
      <c r="S2516" s="66"/>
      <c r="T2516" s="69"/>
      <c r="U2516" s="66"/>
      <c r="V2516" s="66"/>
      <c r="W2516" s="75"/>
      <c r="X2516" s="66"/>
      <c r="Y2516" s="66"/>
    </row>
    <row hidden="true" r="2517">
      <c r="N2517" s="66"/>
      <c r="O2517" s="66"/>
      <c r="P2517" s="66"/>
      <c r="Q2517" s="66"/>
      <c r="R2517" s="66"/>
      <c r="S2517" s="66"/>
      <c r="T2517" s="69"/>
      <c r="U2517" s="66"/>
      <c r="V2517" s="66"/>
      <c r="W2517" s="75"/>
      <c r="X2517" s="66"/>
      <c r="Y2517" s="66"/>
    </row>
    <row hidden="true" r="2518">
      <c r="N2518" s="66"/>
      <c r="O2518" s="66"/>
      <c r="P2518" s="66"/>
      <c r="Q2518" s="66"/>
      <c r="R2518" s="66"/>
      <c r="S2518" s="66"/>
      <c r="T2518" s="69"/>
      <c r="U2518" s="66"/>
      <c r="V2518" s="66"/>
      <c r="W2518" s="75"/>
      <c r="X2518" s="66"/>
      <c r="Y2518" s="66"/>
    </row>
    <row hidden="true" r="2519">
      <c r="N2519" s="66"/>
      <c r="O2519" s="66"/>
      <c r="P2519" s="66"/>
      <c r="Q2519" s="66"/>
      <c r="R2519" s="66"/>
      <c r="S2519" s="66"/>
      <c r="T2519" s="69"/>
      <c r="U2519" s="66"/>
      <c r="V2519" s="66"/>
      <c r="W2519" s="75"/>
      <c r="X2519" s="66"/>
      <c r="Y2519" s="66"/>
    </row>
    <row hidden="true" r="2520">
      <c r="N2520" s="66"/>
      <c r="O2520" s="66"/>
      <c r="P2520" s="66"/>
      <c r="Q2520" s="66"/>
      <c r="R2520" s="66"/>
      <c r="S2520" s="66"/>
      <c r="T2520" s="69"/>
      <c r="U2520" s="66"/>
      <c r="V2520" s="66"/>
      <c r="W2520" s="75"/>
      <c r="X2520" s="66"/>
      <c r="Y2520" s="66"/>
    </row>
    <row hidden="true" r="2521">
      <c r="N2521" s="66"/>
      <c r="O2521" s="66"/>
      <c r="P2521" s="66"/>
      <c r="Q2521" s="66"/>
      <c r="R2521" s="66"/>
      <c r="S2521" s="66"/>
      <c r="T2521" s="69"/>
      <c r="U2521" s="66"/>
      <c r="V2521" s="66"/>
      <c r="W2521" s="75"/>
      <c r="X2521" s="66"/>
      <c r="Y2521" s="66"/>
    </row>
    <row hidden="true" r="2522">
      <c r="N2522" s="66"/>
      <c r="O2522" s="66"/>
      <c r="P2522" s="66"/>
      <c r="Q2522" s="66"/>
      <c r="R2522" s="66"/>
      <c r="S2522" s="66"/>
      <c r="T2522" s="69"/>
      <c r="U2522" s="66"/>
      <c r="V2522" s="66"/>
      <c r="W2522" s="75"/>
      <c r="X2522" s="66"/>
      <c r="Y2522" s="66"/>
    </row>
    <row hidden="true" r="2523">
      <c r="N2523" s="66"/>
      <c r="O2523" s="66"/>
      <c r="P2523" s="66"/>
      <c r="Q2523" s="66"/>
      <c r="R2523" s="66"/>
      <c r="S2523" s="66"/>
      <c r="T2523" s="69"/>
      <c r="U2523" s="66"/>
      <c r="V2523" s="66"/>
      <c r="W2523" s="75"/>
      <c r="X2523" s="66"/>
      <c r="Y2523" s="66"/>
    </row>
    <row hidden="true" r="2524">
      <c r="N2524" s="66"/>
      <c r="O2524" s="66"/>
      <c r="P2524" s="66"/>
      <c r="Q2524" s="66"/>
      <c r="R2524" s="66"/>
      <c r="S2524" s="66"/>
      <c r="T2524" s="69"/>
      <c r="U2524" s="66"/>
      <c r="V2524" s="66"/>
      <c r="W2524" s="75"/>
      <c r="X2524" s="66"/>
      <c r="Y2524" s="66"/>
    </row>
    <row hidden="true" r="2525">
      <c r="N2525" s="66"/>
      <c r="O2525" s="66"/>
      <c r="P2525" s="66"/>
      <c r="Q2525" s="66"/>
      <c r="R2525" s="66"/>
      <c r="S2525" s="66"/>
      <c r="T2525" s="69"/>
      <c r="U2525" s="66"/>
      <c r="V2525" s="66"/>
      <c r="W2525" s="75"/>
      <c r="X2525" s="66"/>
      <c r="Y2525" s="66"/>
    </row>
    <row hidden="true" r="2526">
      <c r="N2526" s="66"/>
      <c r="O2526" s="66"/>
      <c r="P2526" s="66"/>
      <c r="Q2526" s="66"/>
      <c r="R2526" s="66"/>
      <c r="S2526" s="66"/>
      <c r="T2526" s="69"/>
      <c r="U2526" s="66"/>
      <c r="V2526" s="66"/>
      <c r="W2526" s="75"/>
      <c r="X2526" s="66"/>
      <c r="Y2526" s="66"/>
    </row>
    <row hidden="true" r="2527">
      <c r="N2527" s="66"/>
      <c r="O2527" s="66"/>
      <c r="P2527" s="66"/>
      <c r="Q2527" s="66"/>
      <c r="R2527" s="66"/>
      <c r="S2527" s="66"/>
      <c r="T2527" s="69"/>
      <c r="U2527" s="66"/>
      <c r="V2527" s="66"/>
      <c r="W2527" s="75"/>
      <c r="X2527" s="66"/>
      <c r="Y2527" s="66"/>
    </row>
    <row hidden="true" r="2528">
      <c r="N2528" s="66"/>
      <c r="O2528" s="66"/>
      <c r="P2528" s="66"/>
      <c r="Q2528" s="66"/>
      <c r="R2528" s="66"/>
      <c r="S2528" s="66"/>
      <c r="T2528" s="69"/>
      <c r="U2528" s="66"/>
      <c r="V2528" s="66"/>
      <c r="W2528" s="75"/>
      <c r="X2528" s="66"/>
      <c r="Y2528" s="66"/>
    </row>
    <row hidden="true" r="2529">
      <c r="N2529" s="66"/>
      <c r="O2529" s="66"/>
      <c r="P2529" s="66"/>
      <c r="Q2529" s="66"/>
      <c r="R2529" s="66"/>
      <c r="S2529" s="66"/>
      <c r="T2529" s="69"/>
      <c r="U2529" s="66"/>
      <c r="V2529" s="66"/>
      <c r="W2529" s="75"/>
      <c r="X2529" s="66"/>
      <c r="Y2529" s="66"/>
    </row>
    <row hidden="true" r="2530">
      <c r="N2530" s="66"/>
      <c r="O2530" s="66"/>
      <c r="P2530" s="66"/>
      <c r="Q2530" s="66"/>
      <c r="R2530" s="66"/>
      <c r="S2530" s="66"/>
      <c r="T2530" s="69"/>
      <c r="U2530" s="66"/>
      <c r="V2530" s="66"/>
      <c r="W2530" s="75"/>
      <c r="X2530" s="66"/>
      <c r="Y2530" s="66"/>
    </row>
    <row hidden="true" r="2531">
      <c r="N2531" s="66"/>
      <c r="O2531" s="66"/>
      <c r="P2531" s="66"/>
      <c r="Q2531" s="66"/>
      <c r="R2531" s="66"/>
      <c r="S2531" s="66"/>
      <c r="T2531" s="69"/>
      <c r="U2531" s="66"/>
      <c r="V2531" s="66"/>
      <c r="W2531" s="75"/>
      <c r="X2531" s="66"/>
      <c r="Y2531" s="66"/>
    </row>
    <row hidden="true" r="2532">
      <c r="N2532" s="66"/>
      <c r="O2532" s="66"/>
      <c r="P2532" s="66"/>
      <c r="Q2532" s="66"/>
      <c r="R2532" s="66"/>
      <c r="S2532" s="66"/>
      <c r="T2532" s="69"/>
      <c r="U2532" s="66"/>
      <c r="V2532" s="66"/>
      <c r="W2532" s="75"/>
      <c r="X2532" s="66"/>
      <c r="Y2532" s="66"/>
    </row>
    <row hidden="true" r="2533">
      <c r="N2533" s="66"/>
      <c r="O2533" s="66"/>
      <c r="P2533" s="66"/>
      <c r="Q2533" s="66"/>
      <c r="R2533" s="66"/>
      <c r="S2533" s="66"/>
      <c r="T2533" s="69"/>
      <c r="U2533" s="66"/>
      <c r="V2533" s="66"/>
      <c r="W2533" s="75"/>
      <c r="X2533" s="66"/>
      <c r="Y2533" s="66"/>
    </row>
    <row hidden="true" r="2534">
      <c r="N2534" s="66"/>
      <c r="O2534" s="66"/>
      <c r="P2534" s="66"/>
      <c r="Q2534" s="66"/>
      <c r="R2534" s="66"/>
      <c r="S2534" s="66"/>
      <c r="T2534" s="69"/>
      <c r="U2534" s="66"/>
      <c r="V2534" s="66"/>
      <c r="W2534" s="75"/>
      <c r="X2534" s="66"/>
      <c r="Y2534" s="66"/>
    </row>
    <row hidden="true" r="2535">
      <c r="N2535" s="66"/>
      <c r="O2535" s="66"/>
      <c r="P2535" s="66"/>
      <c r="Q2535" s="66"/>
      <c r="R2535" s="66"/>
      <c r="S2535" s="66"/>
      <c r="T2535" s="69"/>
      <c r="U2535" s="66"/>
      <c r="V2535" s="66"/>
      <c r="W2535" s="75"/>
      <c r="X2535" s="66"/>
      <c r="Y2535" s="66"/>
    </row>
    <row hidden="true" r="2536">
      <c r="N2536" s="66"/>
      <c r="O2536" s="66"/>
      <c r="P2536" s="66"/>
      <c r="Q2536" s="66"/>
      <c r="R2536" s="66"/>
      <c r="S2536" s="66"/>
      <c r="T2536" s="69"/>
      <c r="U2536" s="66"/>
      <c r="V2536" s="66"/>
      <c r="W2536" s="75"/>
      <c r="X2536" s="66"/>
      <c r="Y2536" s="66"/>
    </row>
    <row hidden="true" r="2537">
      <c r="N2537" s="66"/>
      <c r="O2537" s="66"/>
      <c r="P2537" s="66"/>
      <c r="Q2537" s="66"/>
      <c r="R2537" s="66"/>
      <c r="S2537" s="66"/>
      <c r="T2537" s="69"/>
      <c r="U2537" s="66"/>
      <c r="V2537" s="66"/>
      <c r="W2537" s="75"/>
      <c r="X2537" s="66"/>
      <c r="Y2537" s="66"/>
    </row>
    <row hidden="true" r="2538">
      <c r="N2538" s="66"/>
      <c r="O2538" s="66"/>
      <c r="P2538" s="66"/>
      <c r="Q2538" s="66"/>
      <c r="R2538" s="66"/>
      <c r="S2538" s="66"/>
      <c r="T2538" s="69"/>
      <c r="U2538" s="66"/>
      <c r="V2538" s="66"/>
      <c r="W2538" s="75"/>
      <c r="X2538" s="66"/>
      <c r="Y2538" s="66"/>
    </row>
    <row hidden="true" r="2539">
      <c r="N2539" s="66"/>
      <c r="O2539" s="66"/>
      <c r="P2539" s="66"/>
      <c r="Q2539" s="66"/>
      <c r="R2539" s="66"/>
      <c r="S2539" s="66"/>
      <c r="T2539" s="69"/>
      <c r="U2539" s="66"/>
      <c r="V2539" s="66"/>
      <c r="W2539" s="75"/>
      <c r="X2539" s="66"/>
      <c r="Y2539" s="66"/>
    </row>
    <row hidden="true" r="2540">
      <c r="N2540" s="66"/>
      <c r="O2540" s="66"/>
      <c r="P2540" s="66"/>
      <c r="Q2540" s="66"/>
      <c r="R2540" s="66"/>
      <c r="S2540" s="66"/>
      <c r="T2540" s="69"/>
      <c r="U2540" s="66"/>
      <c r="V2540" s="66"/>
      <c r="W2540" s="75"/>
      <c r="X2540" s="66"/>
      <c r="Y2540" s="66"/>
    </row>
    <row hidden="true" r="2541">
      <c r="N2541" s="66"/>
      <c r="O2541" s="66"/>
      <c r="P2541" s="66"/>
      <c r="Q2541" s="66"/>
      <c r="R2541" s="66"/>
      <c r="S2541" s="66"/>
      <c r="T2541" s="69"/>
      <c r="U2541" s="66"/>
      <c r="V2541" s="66"/>
      <c r="W2541" s="75"/>
      <c r="X2541" s="66"/>
      <c r="Y2541" s="66"/>
    </row>
    <row hidden="true" r="2542">
      <c r="N2542" s="66"/>
      <c r="O2542" s="66"/>
      <c r="P2542" s="66"/>
      <c r="Q2542" s="66"/>
      <c r="R2542" s="66"/>
      <c r="S2542" s="66"/>
      <c r="T2542" s="69"/>
      <c r="U2542" s="66"/>
      <c r="V2542" s="66"/>
      <c r="W2542" s="75"/>
      <c r="X2542" s="66"/>
      <c r="Y2542" s="66"/>
    </row>
    <row hidden="true" r="2543">
      <c r="N2543" s="66"/>
      <c r="O2543" s="66"/>
      <c r="P2543" s="66"/>
      <c r="Q2543" s="66"/>
      <c r="R2543" s="66"/>
      <c r="S2543" s="66"/>
      <c r="T2543" s="69"/>
      <c r="U2543" s="66"/>
      <c r="V2543" s="66"/>
      <c r="W2543" s="75"/>
      <c r="X2543" s="66"/>
      <c r="Y2543" s="66"/>
    </row>
    <row hidden="true" r="2544">
      <c r="N2544" s="66"/>
      <c r="O2544" s="66"/>
      <c r="P2544" s="66"/>
      <c r="Q2544" s="66"/>
      <c r="R2544" s="66"/>
      <c r="S2544" s="66"/>
      <c r="T2544" s="69"/>
      <c r="U2544" s="66"/>
      <c r="V2544" s="66"/>
      <c r="W2544" s="75"/>
      <c r="X2544" s="66"/>
      <c r="Y2544" s="66"/>
    </row>
    <row hidden="true" r="2545">
      <c r="N2545" s="66"/>
      <c r="O2545" s="66"/>
      <c r="P2545" s="66"/>
      <c r="Q2545" s="66"/>
      <c r="R2545" s="66"/>
      <c r="S2545" s="66"/>
      <c r="T2545" s="69"/>
      <c r="U2545" s="66"/>
      <c r="V2545" s="66"/>
      <c r="W2545" s="75"/>
      <c r="X2545" s="66"/>
      <c r="Y2545" s="66"/>
    </row>
    <row hidden="true" r="2546">
      <c r="N2546" s="66"/>
      <c r="O2546" s="66"/>
      <c r="P2546" s="66"/>
      <c r="Q2546" s="66"/>
      <c r="R2546" s="66"/>
      <c r="S2546" s="66"/>
      <c r="T2546" s="69"/>
      <c r="U2546" s="66"/>
      <c r="V2546" s="66"/>
      <c r="W2546" s="75"/>
      <c r="X2546" s="66"/>
      <c r="Y2546" s="66"/>
    </row>
    <row hidden="true" r="2547">
      <c r="N2547" s="66"/>
      <c r="O2547" s="66"/>
      <c r="P2547" s="66"/>
      <c r="Q2547" s="66"/>
      <c r="R2547" s="66"/>
      <c r="S2547" s="66"/>
      <c r="T2547" s="69"/>
      <c r="U2547" s="66"/>
      <c r="V2547" s="66"/>
      <c r="W2547" s="75"/>
      <c r="X2547" s="66"/>
      <c r="Y2547" s="66"/>
    </row>
    <row hidden="true" r="2548">
      <c r="N2548" s="66"/>
      <c r="O2548" s="66"/>
      <c r="P2548" s="66"/>
      <c r="Q2548" s="66"/>
      <c r="R2548" s="66"/>
      <c r="S2548" s="66"/>
      <c r="T2548" s="69"/>
      <c r="U2548" s="66"/>
      <c r="V2548" s="66"/>
      <c r="W2548" s="75"/>
      <c r="X2548" s="66"/>
      <c r="Y2548" s="66"/>
    </row>
    <row hidden="true" r="2549">
      <c r="N2549" s="66"/>
      <c r="O2549" s="66"/>
      <c r="P2549" s="66"/>
      <c r="Q2549" s="66"/>
      <c r="R2549" s="66"/>
      <c r="S2549" s="66"/>
      <c r="T2549" s="69"/>
      <c r="U2549" s="66"/>
      <c r="V2549" s="66"/>
      <c r="W2549" s="75"/>
      <c r="X2549" s="66"/>
      <c r="Y2549" s="66"/>
    </row>
    <row hidden="true" r="2550">
      <c r="N2550" s="66"/>
      <c r="O2550" s="66"/>
      <c r="P2550" s="66"/>
      <c r="Q2550" s="66"/>
      <c r="R2550" s="66"/>
      <c r="S2550" s="66"/>
      <c r="T2550" s="69"/>
      <c r="U2550" s="66"/>
      <c r="V2550" s="66"/>
      <c r="W2550" s="75"/>
      <c r="X2550" s="66"/>
      <c r="Y2550" s="66"/>
    </row>
    <row hidden="true" r="2551">
      <c r="N2551" s="66"/>
      <c r="O2551" s="66"/>
      <c r="P2551" s="66"/>
      <c r="Q2551" s="66"/>
      <c r="R2551" s="66"/>
      <c r="S2551" s="66"/>
      <c r="T2551" s="69"/>
      <c r="U2551" s="66"/>
      <c r="V2551" s="66"/>
      <c r="W2551" s="75"/>
      <c r="X2551" s="66"/>
      <c r="Y2551" s="66"/>
    </row>
    <row hidden="true" r="2552">
      <c r="N2552" s="66"/>
      <c r="O2552" s="66"/>
      <c r="P2552" s="66"/>
      <c r="Q2552" s="66"/>
      <c r="R2552" s="66"/>
      <c r="S2552" s="66"/>
      <c r="T2552" s="69"/>
      <c r="U2552" s="66"/>
      <c r="V2552" s="66"/>
      <c r="W2552" s="75"/>
      <c r="X2552" s="66"/>
      <c r="Y2552" s="66"/>
    </row>
    <row hidden="true" r="2553">
      <c r="N2553" s="66"/>
      <c r="O2553" s="66"/>
      <c r="P2553" s="66"/>
      <c r="Q2553" s="66"/>
      <c r="R2553" s="66"/>
      <c r="S2553" s="66"/>
      <c r="T2553" s="69"/>
      <c r="U2553" s="66"/>
      <c r="V2553" s="66"/>
      <c r="W2553" s="75"/>
      <c r="X2553" s="66"/>
      <c r="Y2553" s="66"/>
    </row>
    <row hidden="true" r="2554">
      <c r="N2554" s="66"/>
      <c r="O2554" s="66"/>
      <c r="P2554" s="66"/>
      <c r="Q2554" s="66"/>
      <c r="R2554" s="66"/>
      <c r="S2554" s="66"/>
      <c r="T2554" s="69"/>
      <c r="U2554" s="66"/>
      <c r="V2554" s="66"/>
      <c r="W2554" s="75"/>
      <c r="X2554" s="66"/>
      <c r="Y2554" s="66"/>
    </row>
    <row hidden="true" r="2555">
      <c r="N2555" s="66"/>
      <c r="O2555" s="66"/>
      <c r="P2555" s="66"/>
      <c r="Q2555" s="66"/>
      <c r="R2555" s="66"/>
      <c r="S2555" s="66"/>
      <c r="T2555" s="69"/>
      <c r="U2555" s="66"/>
      <c r="V2555" s="66"/>
      <c r="W2555" s="75"/>
      <c r="X2555" s="66"/>
      <c r="Y2555" s="66"/>
    </row>
    <row hidden="true" r="2556">
      <c r="N2556" s="66"/>
      <c r="O2556" s="66"/>
      <c r="P2556" s="66"/>
      <c r="Q2556" s="66"/>
      <c r="R2556" s="66"/>
      <c r="S2556" s="66"/>
      <c r="T2556" s="69"/>
      <c r="U2556" s="66"/>
      <c r="V2556" s="66"/>
      <c r="W2556" s="75"/>
      <c r="X2556" s="66"/>
      <c r="Y2556" s="66"/>
    </row>
    <row hidden="true" r="2557">
      <c r="N2557" s="66"/>
      <c r="O2557" s="66"/>
      <c r="P2557" s="66"/>
      <c r="Q2557" s="66"/>
      <c r="R2557" s="66"/>
      <c r="S2557" s="66"/>
      <c r="T2557" s="69"/>
      <c r="U2557" s="66"/>
      <c r="V2557" s="66"/>
      <c r="W2557" s="75"/>
      <c r="X2557" s="66"/>
      <c r="Y2557" s="66"/>
    </row>
    <row hidden="true" r="2558">
      <c r="N2558" s="66"/>
      <c r="O2558" s="66"/>
      <c r="P2558" s="66"/>
      <c r="Q2558" s="66"/>
      <c r="R2558" s="66"/>
      <c r="S2558" s="66"/>
      <c r="T2558" s="69"/>
      <c r="U2558" s="66"/>
      <c r="V2558" s="66"/>
      <c r="W2558" s="75"/>
      <c r="X2558" s="66"/>
      <c r="Y2558" s="66"/>
    </row>
    <row hidden="true" r="2559">
      <c r="N2559" s="66"/>
      <c r="O2559" s="66"/>
      <c r="P2559" s="66"/>
      <c r="Q2559" s="66"/>
      <c r="R2559" s="66"/>
      <c r="S2559" s="66"/>
      <c r="T2559" s="69"/>
      <c r="U2559" s="66"/>
      <c r="V2559" s="66"/>
      <c r="W2559" s="75"/>
      <c r="X2559" s="66"/>
      <c r="Y2559" s="66"/>
    </row>
    <row hidden="true" r="2560">
      <c r="N2560" s="66"/>
      <c r="O2560" s="66"/>
      <c r="P2560" s="66"/>
      <c r="Q2560" s="66"/>
      <c r="R2560" s="66"/>
      <c r="S2560" s="66"/>
      <c r="T2560" s="69"/>
      <c r="U2560" s="66"/>
      <c r="V2560" s="66"/>
      <c r="W2560" s="75"/>
      <c r="X2560" s="66"/>
      <c r="Y2560" s="66"/>
    </row>
    <row hidden="true" r="2561">
      <c r="N2561" s="66"/>
      <c r="O2561" s="66"/>
      <c r="P2561" s="66"/>
      <c r="Q2561" s="66"/>
      <c r="R2561" s="66"/>
      <c r="S2561" s="66"/>
      <c r="T2561" s="69"/>
      <c r="U2561" s="66"/>
      <c r="V2561" s="66"/>
      <c r="W2561" s="75"/>
      <c r="X2561" s="66"/>
      <c r="Y2561" s="66"/>
    </row>
    <row hidden="true" r="2562">
      <c r="N2562" s="66"/>
      <c r="O2562" s="66"/>
      <c r="P2562" s="66"/>
      <c r="Q2562" s="66"/>
      <c r="R2562" s="66"/>
      <c r="S2562" s="66"/>
      <c r="T2562" s="69"/>
      <c r="U2562" s="66"/>
      <c r="V2562" s="66"/>
      <c r="W2562" s="75"/>
      <c r="X2562" s="66"/>
      <c r="Y2562" s="66"/>
    </row>
    <row hidden="true" r="2563">
      <c r="N2563" s="66"/>
      <c r="O2563" s="66"/>
      <c r="P2563" s="66"/>
      <c r="Q2563" s="66"/>
      <c r="R2563" s="66"/>
      <c r="S2563" s="66"/>
      <c r="T2563" s="69"/>
      <c r="U2563" s="66"/>
      <c r="V2563" s="66"/>
      <c r="W2563" s="75"/>
      <c r="X2563" s="66"/>
      <c r="Y2563" s="66"/>
    </row>
    <row hidden="true" r="2564">
      <c r="N2564" s="66"/>
      <c r="O2564" s="66"/>
      <c r="P2564" s="66"/>
      <c r="Q2564" s="66"/>
      <c r="R2564" s="66"/>
      <c r="S2564" s="66"/>
      <c r="T2564" s="69"/>
      <c r="U2564" s="66"/>
      <c r="V2564" s="66"/>
      <c r="W2564" s="75"/>
      <c r="X2564" s="66"/>
      <c r="Y2564" s="66"/>
    </row>
    <row hidden="true" r="2565">
      <c r="N2565" s="66"/>
      <c r="O2565" s="66"/>
      <c r="P2565" s="66"/>
      <c r="Q2565" s="66"/>
      <c r="R2565" s="66"/>
      <c r="S2565" s="66"/>
      <c r="T2565" s="69"/>
      <c r="U2565" s="66"/>
      <c r="V2565" s="66"/>
      <c r="W2565" s="75"/>
      <c r="X2565" s="66"/>
      <c r="Y2565" s="66"/>
    </row>
    <row hidden="true" r="2566">
      <c r="N2566" s="66"/>
      <c r="O2566" s="66"/>
      <c r="P2566" s="66"/>
      <c r="Q2566" s="66"/>
      <c r="R2566" s="66"/>
      <c r="S2566" s="66"/>
      <c r="T2566" s="69"/>
      <c r="U2566" s="66"/>
      <c r="V2566" s="66"/>
      <c r="W2566" s="75"/>
      <c r="X2566" s="66"/>
      <c r="Y2566" s="66"/>
    </row>
    <row hidden="true" r="2567">
      <c r="N2567" s="66"/>
      <c r="O2567" s="66"/>
      <c r="P2567" s="66"/>
      <c r="Q2567" s="66"/>
      <c r="R2567" s="66"/>
      <c r="S2567" s="66"/>
      <c r="T2567" s="69"/>
      <c r="U2567" s="66"/>
      <c r="V2567" s="66"/>
      <c r="W2567" s="75"/>
      <c r="X2567" s="66"/>
      <c r="Y2567" s="66"/>
    </row>
    <row hidden="true" r="2568">
      <c r="N2568" s="66"/>
      <c r="O2568" s="66"/>
      <c r="P2568" s="66"/>
      <c r="Q2568" s="66"/>
      <c r="R2568" s="66"/>
      <c r="S2568" s="66"/>
      <c r="T2568" s="69"/>
      <c r="U2568" s="66"/>
      <c r="V2568" s="66"/>
      <c r="W2568" s="75"/>
      <c r="X2568" s="66"/>
      <c r="Y2568" s="66"/>
    </row>
    <row hidden="true" r="2569">
      <c r="N2569" s="66"/>
      <c r="O2569" s="66"/>
      <c r="P2569" s="66"/>
      <c r="Q2569" s="66"/>
      <c r="R2569" s="66"/>
      <c r="S2569" s="66"/>
      <c r="T2569" s="69"/>
      <c r="U2569" s="66"/>
      <c r="V2569" s="66"/>
      <c r="W2569" s="75"/>
      <c r="X2569" s="66"/>
      <c r="Y2569" s="66"/>
    </row>
    <row hidden="true" r="2570">
      <c r="N2570" s="66"/>
      <c r="O2570" s="66"/>
      <c r="P2570" s="66"/>
      <c r="Q2570" s="66"/>
      <c r="R2570" s="66"/>
      <c r="S2570" s="66"/>
      <c r="T2570" s="69"/>
      <c r="U2570" s="66"/>
      <c r="V2570" s="66"/>
      <c r="W2570" s="75"/>
      <c r="X2570" s="66"/>
      <c r="Y2570" s="66"/>
    </row>
    <row hidden="true" r="2571">
      <c r="N2571" s="66"/>
      <c r="O2571" s="66"/>
      <c r="P2571" s="66"/>
      <c r="Q2571" s="66"/>
      <c r="R2571" s="66"/>
      <c r="S2571" s="66"/>
      <c r="T2571" s="69"/>
      <c r="U2571" s="66"/>
      <c r="V2571" s="66"/>
      <c r="W2571" s="75"/>
      <c r="X2571" s="66"/>
      <c r="Y2571" s="66"/>
    </row>
    <row hidden="true" r="2572">
      <c r="N2572" s="66"/>
      <c r="O2572" s="66"/>
      <c r="P2572" s="66"/>
      <c r="Q2572" s="66"/>
      <c r="R2572" s="66"/>
      <c r="S2572" s="66"/>
      <c r="T2572" s="69"/>
      <c r="U2572" s="66"/>
      <c r="V2572" s="66"/>
      <c r="W2572" s="75"/>
      <c r="X2572" s="66"/>
      <c r="Y2572" s="66"/>
    </row>
    <row hidden="true" r="2573">
      <c r="N2573" s="66"/>
      <c r="O2573" s="66"/>
      <c r="P2573" s="66"/>
      <c r="Q2573" s="66"/>
      <c r="R2573" s="66"/>
      <c r="S2573" s="66"/>
      <c r="T2573" s="69"/>
      <c r="U2573" s="66"/>
      <c r="V2573" s="66"/>
      <c r="W2573" s="75"/>
      <c r="X2573" s="66"/>
      <c r="Y2573" s="66"/>
    </row>
    <row hidden="true" r="2574">
      <c r="N2574" s="66"/>
      <c r="O2574" s="66"/>
      <c r="P2574" s="66"/>
      <c r="Q2574" s="66"/>
      <c r="R2574" s="66"/>
      <c r="S2574" s="66"/>
      <c r="T2574" s="69"/>
      <c r="U2574" s="66"/>
      <c r="V2574" s="66"/>
      <c r="W2574" s="75"/>
      <c r="X2574" s="66"/>
      <c r="Y2574" s="66"/>
    </row>
    <row hidden="true" r="2575">
      <c r="N2575" s="66"/>
      <c r="O2575" s="66"/>
      <c r="P2575" s="66"/>
      <c r="Q2575" s="66"/>
      <c r="R2575" s="66"/>
      <c r="S2575" s="66"/>
      <c r="T2575" s="69"/>
      <c r="U2575" s="66"/>
      <c r="V2575" s="66"/>
      <c r="W2575" s="75"/>
      <c r="X2575" s="66"/>
      <c r="Y2575" s="66"/>
    </row>
    <row hidden="true" r="2576">
      <c r="N2576" s="66"/>
      <c r="O2576" s="66"/>
      <c r="P2576" s="66"/>
      <c r="Q2576" s="66"/>
      <c r="R2576" s="66"/>
      <c r="S2576" s="66"/>
      <c r="T2576" s="69"/>
      <c r="U2576" s="66"/>
      <c r="V2576" s="66"/>
      <c r="W2576" s="75"/>
      <c r="X2576" s="66"/>
      <c r="Y2576" s="66"/>
    </row>
    <row hidden="true" r="2577">
      <c r="N2577" s="66"/>
      <c r="O2577" s="66"/>
      <c r="P2577" s="66"/>
      <c r="Q2577" s="66"/>
      <c r="R2577" s="66"/>
      <c r="S2577" s="66"/>
      <c r="T2577" s="69"/>
      <c r="U2577" s="66"/>
      <c r="V2577" s="66"/>
      <c r="W2577" s="75"/>
      <c r="X2577" s="66"/>
      <c r="Y2577" s="66"/>
    </row>
    <row hidden="true" r="2578">
      <c r="N2578" s="66"/>
      <c r="O2578" s="66"/>
      <c r="P2578" s="66"/>
      <c r="Q2578" s="66"/>
      <c r="R2578" s="66"/>
      <c r="S2578" s="66"/>
      <c r="T2578" s="69"/>
      <c r="U2578" s="66"/>
      <c r="V2578" s="66"/>
      <c r="W2578" s="75"/>
      <c r="X2578" s="66"/>
      <c r="Y2578" s="66"/>
    </row>
    <row hidden="true" r="2579">
      <c r="N2579" s="66"/>
      <c r="O2579" s="66"/>
      <c r="P2579" s="66"/>
      <c r="Q2579" s="66"/>
      <c r="R2579" s="66"/>
      <c r="S2579" s="66"/>
      <c r="T2579" s="69"/>
      <c r="U2579" s="66"/>
      <c r="V2579" s="66"/>
      <c r="W2579" s="75"/>
      <c r="X2579" s="66"/>
      <c r="Y2579" s="66"/>
    </row>
    <row hidden="true" r="2580">
      <c r="N2580" s="66"/>
      <c r="O2580" s="66"/>
      <c r="P2580" s="66"/>
      <c r="Q2580" s="66"/>
      <c r="R2580" s="66"/>
      <c r="S2580" s="66"/>
      <c r="T2580" s="69"/>
      <c r="U2580" s="66"/>
      <c r="V2580" s="66"/>
      <c r="W2580" s="75"/>
      <c r="X2580" s="66"/>
      <c r="Y2580" s="66"/>
    </row>
    <row hidden="true" r="2581">
      <c r="N2581" s="66"/>
      <c r="O2581" s="66"/>
      <c r="P2581" s="66"/>
      <c r="Q2581" s="66"/>
      <c r="R2581" s="66"/>
      <c r="S2581" s="66"/>
      <c r="T2581" s="69"/>
      <c r="U2581" s="66"/>
      <c r="V2581" s="66"/>
      <c r="W2581" s="75"/>
      <c r="X2581" s="66"/>
      <c r="Y2581" s="66"/>
    </row>
    <row hidden="true" r="2582">
      <c r="N2582" s="66"/>
      <c r="O2582" s="66"/>
      <c r="P2582" s="66"/>
      <c r="Q2582" s="66"/>
      <c r="R2582" s="66"/>
      <c r="S2582" s="66"/>
      <c r="T2582" s="69"/>
      <c r="U2582" s="66"/>
      <c r="V2582" s="66"/>
      <c r="W2582" s="75"/>
      <c r="X2582" s="66"/>
      <c r="Y2582" s="66"/>
    </row>
    <row hidden="true" r="2583">
      <c r="N2583" s="66"/>
      <c r="O2583" s="66"/>
      <c r="P2583" s="66"/>
      <c r="Q2583" s="66"/>
      <c r="R2583" s="66"/>
      <c r="S2583" s="66"/>
      <c r="T2583" s="69"/>
      <c r="U2583" s="66"/>
      <c r="V2583" s="66"/>
      <c r="W2583" s="75"/>
      <c r="X2583" s="66"/>
      <c r="Y2583" s="66"/>
    </row>
    <row hidden="true" r="2584">
      <c r="N2584" s="66"/>
      <c r="O2584" s="66"/>
      <c r="P2584" s="66"/>
      <c r="Q2584" s="66"/>
      <c r="R2584" s="66"/>
      <c r="S2584" s="66"/>
      <c r="T2584" s="69"/>
      <c r="U2584" s="66"/>
      <c r="V2584" s="66"/>
      <c r="W2584" s="75"/>
      <c r="X2584" s="66"/>
      <c r="Y2584" s="66"/>
    </row>
    <row hidden="true" r="2585">
      <c r="N2585" s="66"/>
      <c r="O2585" s="66"/>
      <c r="P2585" s="66"/>
      <c r="Q2585" s="66"/>
      <c r="R2585" s="66"/>
      <c r="S2585" s="66"/>
      <c r="T2585" s="69"/>
      <c r="U2585" s="66"/>
      <c r="V2585" s="66"/>
      <c r="W2585" s="75"/>
      <c r="X2585" s="66"/>
      <c r="Y2585" s="66"/>
    </row>
    <row hidden="true" r="2586">
      <c r="N2586" s="66"/>
      <c r="O2586" s="66"/>
      <c r="P2586" s="66"/>
      <c r="Q2586" s="66"/>
      <c r="R2586" s="66"/>
      <c r="S2586" s="66"/>
      <c r="T2586" s="69"/>
      <c r="U2586" s="66"/>
      <c r="V2586" s="66"/>
      <c r="W2586" s="75"/>
      <c r="X2586" s="66"/>
      <c r="Y2586" s="66"/>
    </row>
    <row hidden="true" r="2587">
      <c r="N2587" s="66"/>
      <c r="O2587" s="66"/>
      <c r="P2587" s="66"/>
      <c r="Q2587" s="66"/>
      <c r="R2587" s="66"/>
      <c r="S2587" s="66"/>
      <c r="T2587" s="69"/>
      <c r="U2587" s="66"/>
      <c r="V2587" s="66"/>
      <c r="W2587" s="75"/>
      <c r="X2587" s="66"/>
      <c r="Y2587" s="66"/>
    </row>
    <row hidden="true" r="2588">
      <c r="N2588" s="66"/>
      <c r="O2588" s="66"/>
      <c r="P2588" s="66"/>
      <c r="Q2588" s="66"/>
      <c r="R2588" s="66"/>
      <c r="S2588" s="66"/>
      <c r="T2588" s="69"/>
      <c r="U2588" s="66"/>
      <c r="V2588" s="66"/>
      <c r="W2588" s="75"/>
      <c r="X2588" s="66"/>
      <c r="Y2588" s="66"/>
    </row>
    <row hidden="true" r="2589">
      <c r="N2589" s="66"/>
      <c r="O2589" s="66"/>
      <c r="P2589" s="66"/>
      <c r="Q2589" s="66"/>
      <c r="R2589" s="66"/>
      <c r="S2589" s="66"/>
      <c r="T2589" s="69"/>
      <c r="U2589" s="66"/>
      <c r="V2589" s="66"/>
      <c r="W2589" s="75"/>
      <c r="X2589" s="66"/>
      <c r="Y2589" s="66"/>
    </row>
    <row hidden="true" r="2590">
      <c r="N2590" s="66"/>
      <c r="O2590" s="66"/>
      <c r="P2590" s="66"/>
      <c r="Q2590" s="66"/>
      <c r="R2590" s="66"/>
      <c r="S2590" s="66"/>
      <c r="T2590" s="69"/>
      <c r="U2590" s="66"/>
      <c r="V2590" s="66"/>
      <c r="W2590" s="75"/>
      <c r="X2590" s="66"/>
      <c r="Y2590" s="66"/>
    </row>
    <row hidden="true" r="2591">
      <c r="N2591" s="66"/>
      <c r="O2591" s="66"/>
      <c r="P2591" s="66"/>
      <c r="Q2591" s="66"/>
      <c r="R2591" s="66"/>
      <c r="S2591" s="66"/>
      <c r="T2591" s="69"/>
      <c r="U2591" s="66"/>
      <c r="V2591" s="66"/>
      <c r="W2591" s="75"/>
      <c r="X2591" s="66"/>
      <c r="Y2591" s="66"/>
    </row>
    <row hidden="true" r="2592">
      <c r="N2592" s="66"/>
      <c r="O2592" s="66"/>
      <c r="P2592" s="66"/>
      <c r="Q2592" s="66"/>
      <c r="R2592" s="66"/>
      <c r="S2592" s="66"/>
      <c r="T2592" s="69"/>
      <c r="U2592" s="66"/>
      <c r="V2592" s="66"/>
      <c r="W2592" s="75"/>
      <c r="X2592" s="66"/>
      <c r="Y2592" s="66"/>
    </row>
    <row hidden="true" r="2593">
      <c r="N2593" s="66"/>
      <c r="O2593" s="66"/>
      <c r="P2593" s="66"/>
      <c r="Q2593" s="66"/>
      <c r="R2593" s="66"/>
      <c r="S2593" s="66"/>
      <c r="T2593" s="69"/>
      <c r="U2593" s="66"/>
      <c r="V2593" s="66"/>
      <c r="W2593" s="75"/>
      <c r="X2593" s="66"/>
      <c r="Y2593" s="66"/>
    </row>
    <row hidden="true" r="2594">
      <c r="N2594" s="66"/>
      <c r="O2594" s="66"/>
      <c r="P2594" s="66"/>
      <c r="Q2594" s="66"/>
      <c r="R2594" s="66"/>
      <c r="S2594" s="66"/>
      <c r="T2594" s="69"/>
      <c r="U2594" s="66"/>
      <c r="V2594" s="66"/>
      <c r="W2594" s="75"/>
      <c r="X2594" s="66"/>
      <c r="Y2594" s="66"/>
    </row>
    <row hidden="true" r="2595">
      <c r="N2595" s="66"/>
      <c r="O2595" s="66"/>
      <c r="P2595" s="66"/>
      <c r="Q2595" s="66"/>
      <c r="R2595" s="66"/>
      <c r="S2595" s="66"/>
      <c r="T2595" s="69"/>
      <c r="U2595" s="66"/>
      <c r="V2595" s="66"/>
      <c r="W2595" s="75"/>
      <c r="X2595" s="66"/>
      <c r="Y2595" s="66"/>
    </row>
    <row hidden="true" r="2596">
      <c r="N2596" s="66"/>
      <c r="O2596" s="66"/>
      <c r="P2596" s="66"/>
      <c r="Q2596" s="66"/>
      <c r="R2596" s="66"/>
      <c r="S2596" s="66"/>
      <c r="T2596" s="69"/>
      <c r="U2596" s="66"/>
      <c r="V2596" s="66"/>
      <c r="W2596" s="75"/>
      <c r="X2596" s="66"/>
      <c r="Y2596" s="66"/>
    </row>
    <row hidden="true" r="2597">
      <c r="N2597" s="66"/>
      <c r="O2597" s="66"/>
      <c r="P2597" s="66"/>
      <c r="Q2597" s="66"/>
      <c r="R2597" s="66"/>
      <c r="S2597" s="66"/>
      <c r="T2597" s="69"/>
      <c r="U2597" s="66"/>
      <c r="V2597" s="66"/>
      <c r="W2597" s="75"/>
      <c r="X2597" s="66"/>
      <c r="Y2597" s="66"/>
    </row>
    <row hidden="true" r="2598">
      <c r="N2598" s="66"/>
      <c r="O2598" s="66"/>
      <c r="P2598" s="66"/>
      <c r="Q2598" s="66"/>
      <c r="R2598" s="66"/>
      <c r="S2598" s="66"/>
      <c r="T2598" s="69"/>
      <c r="U2598" s="66"/>
      <c r="V2598" s="66"/>
      <c r="W2598" s="75"/>
      <c r="X2598" s="66"/>
      <c r="Y2598" s="66"/>
    </row>
    <row hidden="true" r="2599">
      <c r="N2599" s="66"/>
      <c r="O2599" s="66"/>
      <c r="P2599" s="66"/>
      <c r="Q2599" s="66"/>
      <c r="R2599" s="66"/>
      <c r="S2599" s="66"/>
      <c r="T2599" s="69"/>
      <c r="U2599" s="66"/>
      <c r="V2599" s="66"/>
      <c r="W2599" s="75"/>
      <c r="X2599" s="66"/>
      <c r="Y2599" s="66"/>
    </row>
    <row hidden="true" r="2600">
      <c r="N2600" s="66"/>
      <c r="O2600" s="66"/>
      <c r="P2600" s="66"/>
      <c r="Q2600" s="66"/>
      <c r="R2600" s="66"/>
      <c r="S2600" s="66"/>
      <c r="T2600" s="69"/>
      <c r="U2600" s="66"/>
      <c r="V2600" s="66"/>
      <c r="W2600" s="75"/>
      <c r="X2600" s="66"/>
      <c r="Y2600" s="66"/>
    </row>
    <row hidden="true" r="2601">
      <c r="N2601" s="66"/>
      <c r="O2601" s="66"/>
      <c r="P2601" s="66"/>
      <c r="Q2601" s="66"/>
      <c r="R2601" s="66"/>
      <c r="S2601" s="66"/>
      <c r="T2601" s="69"/>
      <c r="U2601" s="66"/>
      <c r="V2601" s="66"/>
      <c r="W2601" s="75"/>
      <c r="X2601" s="66"/>
      <c r="Y2601" s="66"/>
    </row>
    <row hidden="true" r="2602">
      <c r="N2602" s="66"/>
      <c r="O2602" s="66"/>
      <c r="P2602" s="66"/>
      <c r="Q2602" s="66"/>
      <c r="R2602" s="66"/>
      <c r="S2602" s="66"/>
      <c r="T2602" s="69"/>
      <c r="U2602" s="66"/>
      <c r="V2602" s="66"/>
      <c r="W2602" s="75"/>
      <c r="X2602" s="66"/>
      <c r="Y2602" s="66"/>
    </row>
    <row hidden="true" r="2603">
      <c r="N2603" s="66"/>
      <c r="O2603" s="66"/>
      <c r="P2603" s="66"/>
      <c r="Q2603" s="66"/>
      <c r="R2603" s="66"/>
      <c r="S2603" s="66"/>
      <c r="T2603" s="69"/>
      <c r="U2603" s="66"/>
      <c r="V2603" s="66"/>
      <c r="W2603" s="75"/>
      <c r="X2603" s="66"/>
      <c r="Y2603" s="66"/>
    </row>
    <row hidden="true" r="2604">
      <c r="N2604" s="66"/>
      <c r="O2604" s="66"/>
      <c r="P2604" s="66"/>
      <c r="Q2604" s="66"/>
      <c r="R2604" s="66"/>
      <c r="S2604" s="66"/>
      <c r="T2604" s="69"/>
      <c r="U2604" s="66"/>
      <c r="V2604" s="66"/>
      <c r="W2604" s="75"/>
      <c r="X2604" s="66"/>
      <c r="Y2604" s="66"/>
    </row>
    <row hidden="true" r="2605">
      <c r="N2605" s="66"/>
      <c r="O2605" s="66"/>
      <c r="P2605" s="66"/>
      <c r="Q2605" s="66"/>
      <c r="R2605" s="66"/>
      <c r="S2605" s="66"/>
      <c r="T2605" s="69"/>
      <c r="U2605" s="66"/>
      <c r="V2605" s="66"/>
      <c r="W2605" s="75"/>
      <c r="X2605" s="66"/>
      <c r="Y2605" s="66"/>
    </row>
    <row hidden="true" r="2606">
      <c r="N2606" s="66"/>
      <c r="O2606" s="66"/>
      <c r="P2606" s="66"/>
      <c r="Q2606" s="66"/>
      <c r="R2606" s="66"/>
      <c r="S2606" s="66"/>
      <c r="T2606" s="69"/>
      <c r="U2606" s="66"/>
      <c r="V2606" s="66"/>
      <c r="W2606" s="75"/>
      <c r="X2606" s="66"/>
      <c r="Y2606" s="66"/>
    </row>
    <row hidden="true" r="2607">
      <c r="N2607" s="66"/>
      <c r="O2607" s="66"/>
      <c r="P2607" s="66"/>
      <c r="Q2607" s="66"/>
      <c r="R2607" s="66"/>
      <c r="S2607" s="66"/>
      <c r="T2607" s="69"/>
      <c r="U2607" s="66"/>
      <c r="V2607" s="66"/>
      <c r="W2607" s="75"/>
      <c r="X2607" s="66"/>
      <c r="Y2607" s="66"/>
    </row>
    <row hidden="true" r="2608">
      <c r="N2608" s="66"/>
      <c r="O2608" s="66"/>
      <c r="P2608" s="66"/>
      <c r="Q2608" s="66"/>
      <c r="R2608" s="66"/>
      <c r="S2608" s="66"/>
      <c r="T2608" s="69"/>
      <c r="U2608" s="66"/>
      <c r="V2608" s="66"/>
      <c r="W2608" s="75"/>
      <c r="X2608" s="66"/>
      <c r="Y2608" s="66"/>
    </row>
    <row hidden="true" r="2609">
      <c r="N2609" s="66"/>
      <c r="O2609" s="66"/>
      <c r="P2609" s="66"/>
      <c r="Q2609" s="66"/>
      <c r="R2609" s="66"/>
      <c r="S2609" s="66"/>
      <c r="T2609" s="69"/>
      <c r="U2609" s="66"/>
      <c r="V2609" s="66"/>
      <c r="W2609" s="75"/>
      <c r="X2609" s="66"/>
      <c r="Y2609" s="66"/>
    </row>
    <row hidden="true" r="2610">
      <c r="N2610" s="66"/>
      <c r="O2610" s="66"/>
      <c r="P2610" s="66"/>
      <c r="Q2610" s="66"/>
      <c r="R2610" s="66"/>
      <c r="S2610" s="66"/>
      <c r="T2610" s="69"/>
      <c r="U2610" s="66"/>
      <c r="V2610" s="66"/>
      <c r="W2610" s="75"/>
      <c r="X2610" s="66"/>
      <c r="Y2610" s="66"/>
    </row>
    <row hidden="true" r="2611">
      <c r="N2611" s="66"/>
      <c r="O2611" s="66"/>
      <c r="P2611" s="66"/>
      <c r="Q2611" s="66"/>
      <c r="R2611" s="66"/>
      <c r="S2611" s="66"/>
      <c r="T2611" s="69"/>
      <c r="U2611" s="66"/>
      <c r="V2611" s="66"/>
      <c r="W2611" s="75"/>
      <c r="X2611" s="66"/>
      <c r="Y2611" s="66"/>
    </row>
    <row hidden="true" r="2612">
      <c r="N2612" s="66"/>
      <c r="O2612" s="66"/>
      <c r="P2612" s="66"/>
      <c r="Q2612" s="66"/>
      <c r="R2612" s="66"/>
      <c r="S2612" s="66"/>
      <c r="T2612" s="69"/>
      <c r="U2612" s="66"/>
      <c r="V2612" s="66"/>
      <c r="W2612" s="75"/>
      <c r="X2612" s="66"/>
      <c r="Y2612" s="66"/>
    </row>
    <row hidden="true" r="2613">
      <c r="N2613" s="66"/>
      <c r="O2613" s="66"/>
      <c r="P2613" s="66"/>
      <c r="Q2613" s="66"/>
      <c r="R2613" s="66"/>
      <c r="S2613" s="66"/>
      <c r="T2613" s="69"/>
      <c r="U2613" s="66"/>
      <c r="V2613" s="66"/>
      <c r="W2613" s="75"/>
      <c r="X2613" s="66"/>
      <c r="Y2613" s="66"/>
    </row>
    <row hidden="true" r="2614">
      <c r="N2614" s="66"/>
      <c r="O2614" s="66"/>
      <c r="P2614" s="66"/>
      <c r="Q2614" s="66"/>
      <c r="R2614" s="66"/>
      <c r="S2614" s="66"/>
      <c r="T2614" s="69"/>
      <c r="U2614" s="66"/>
      <c r="V2614" s="66"/>
      <c r="W2614" s="75"/>
      <c r="X2614" s="66"/>
      <c r="Y2614" s="66"/>
    </row>
    <row hidden="true" r="2615">
      <c r="N2615" s="66"/>
      <c r="O2615" s="66"/>
      <c r="P2615" s="66"/>
      <c r="Q2615" s="66"/>
      <c r="R2615" s="66"/>
      <c r="S2615" s="66"/>
      <c r="T2615" s="69"/>
      <c r="U2615" s="66"/>
      <c r="V2615" s="66"/>
      <c r="W2615" s="75"/>
      <c r="X2615" s="66"/>
      <c r="Y2615" s="66"/>
    </row>
    <row hidden="true" r="2616">
      <c r="N2616" s="66"/>
      <c r="O2616" s="66"/>
      <c r="P2616" s="66"/>
      <c r="Q2616" s="66"/>
      <c r="R2616" s="66"/>
      <c r="S2616" s="66"/>
      <c r="T2616" s="69"/>
      <c r="U2616" s="66"/>
      <c r="V2616" s="66"/>
      <c r="W2616" s="75"/>
      <c r="X2616" s="66"/>
      <c r="Y2616" s="66"/>
    </row>
    <row hidden="true" r="2617">
      <c r="N2617" s="66"/>
      <c r="O2617" s="66"/>
      <c r="P2617" s="66"/>
      <c r="Q2617" s="66"/>
      <c r="R2617" s="66"/>
      <c r="S2617" s="66"/>
      <c r="T2617" s="69"/>
      <c r="U2617" s="66"/>
      <c r="V2617" s="66"/>
      <c r="W2617" s="75"/>
      <c r="X2617" s="66"/>
      <c r="Y2617" s="66"/>
    </row>
    <row hidden="true" r="2618">
      <c r="N2618" s="66"/>
      <c r="O2618" s="66"/>
      <c r="P2618" s="66"/>
      <c r="Q2618" s="66"/>
      <c r="R2618" s="66"/>
      <c r="S2618" s="66"/>
      <c r="T2618" s="69"/>
      <c r="U2618" s="66"/>
      <c r="V2618" s="66"/>
      <c r="W2618" s="75"/>
      <c r="X2618" s="66"/>
      <c r="Y2618" s="66"/>
    </row>
    <row hidden="true" r="2619">
      <c r="N2619" s="66"/>
      <c r="O2619" s="66"/>
      <c r="P2619" s="66"/>
      <c r="Q2619" s="66"/>
      <c r="R2619" s="66"/>
      <c r="S2619" s="66"/>
      <c r="T2619" s="69"/>
      <c r="U2619" s="66"/>
      <c r="V2619" s="66"/>
      <c r="W2619" s="75"/>
      <c r="X2619" s="66"/>
      <c r="Y2619" s="66"/>
    </row>
    <row hidden="true" r="2620">
      <c r="N2620" s="66"/>
      <c r="O2620" s="66"/>
      <c r="P2620" s="66"/>
      <c r="Q2620" s="66"/>
      <c r="R2620" s="66"/>
      <c r="S2620" s="66"/>
      <c r="T2620" s="69"/>
      <c r="U2620" s="66"/>
      <c r="V2620" s="66"/>
      <c r="W2620" s="75"/>
      <c r="X2620" s="66"/>
      <c r="Y2620" s="66"/>
    </row>
    <row hidden="true" r="2621">
      <c r="N2621" s="66"/>
      <c r="O2621" s="66"/>
      <c r="P2621" s="66"/>
      <c r="Q2621" s="66"/>
      <c r="R2621" s="66"/>
      <c r="S2621" s="66"/>
      <c r="T2621" s="69"/>
      <c r="U2621" s="66"/>
      <c r="V2621" s="66"/>
      <c r="W2621" s="75"/>
      <c r="X2621" s="66"/>
      <c r="Y2621" s="66"/>
    </row>
    <row hidden="true" r="2622">
      <c r="N2622" s="66"/>
      <c r="O2622" s="66"/>
      <c r="P2622" s="66"/>
      <c r="Q2622" s="66"/>
      <c r="R2622" s="66"/>
      <c r="S2622" s="66"/>
      <c r="T2622" s="69"/>
      <c r="U2622" s="66"/>
      <c r="V2622" s="66"/>
      <c r="W2622" s="75"/>
      <c r="X2622" s="66"/>
      <c r="Y2622" s="66"/>
    </row>
    <row hidden="true" r="2623">
      <c r="N2623" s="66"/>
      <c r="O2623" s="66"/>
      <c r="P2623" s="66"/>
      <c r="Q2623" s="66"/>
      <c r="R2623" s="66"/>
      <c r="S2623" s="66"/>
      <c r="T2623" s="69"/>
      <c r="U2623" s="66"/>
      <c r="V2623" s="66"/>
      <c r="W2623" s="75"/>
      <c r="X2623" s="66"/>
      <c r="Y2623" s="66"/>
    </row>
    <row hidden="true" r="2624">
      <c r="N2624" s="66"/>
      <c r="O2624" s="66"/>
      <c r="P2624" s="66"/>
      <c r="Q2624" s="66"/>
      <c r="R2624" s="66"/>
      <c r="S2624" s="66"/>
      <c r="T2624" s="69"/>
      <c r="U2624" s="66"/>
      <c r="V2624" s="66"/>
      <c r="W2624" s="75"/>
      <c r="X2624" s="66"/>
      <c r="Y2624" s="66"/>
    </row>
    <row hidden="true" r="2625">
      <c r="N2625" s="66"/>
      <c r="O2625" s="66"/>
      <c r="P2625" s="66"/>
      <c r="Q2625" s="66"/>
      <c r="R2625" s="66"/>
      <c r="S2625" s="66"/>
      <c r="T2625" s="69"/>
      <c r="U2625" s="66"/>
      <c r="V2625" s="66"/>
      <c r="W2625" s="75"/>
      <c r="X2625" s="66"/>
      <c r="Y2625" s="66"/>
    </row>
    <row hidden="true" r="2626">
      <c r="N2626" s="66"/>
      <c r="O2626" s="66"/>
      <c r="P2626" s="66"/>
      <c r="Q2626" s="66"/>
      <c r="R2626" s="66"/>
      <c r="S2626" s="66"/>
      <c r="T2626" s="69"/>
      <c r="U2626" s="66"/>
      <c r="V2626" s="66"/>
      <c r="W2626" s="75"/>
      <c r="X2626" s="66"/>
      <c r="Y2626" s="66"/>
    </row>
    <row hidden="true" r="2627">
      <c r="N2627" s="66"/>
      <c r="O2627" s="66"/>
      <c r="P2627" s="66"/>
      <c r="Q2627" s="66"/>
      <c r="R2627" s="66"/>
      <c r="S2627" s="66"/>
      <c r="T2627" s="69"/>
      <c r="U2627" s="66"/>
      <c r="V2627" s="66"/>
      <c r="W2627" s="75"/>
      <c r="X2627" s="66"/>
      <c r="Y2627" s="66"/>
    </row>
    <row hidden="true" r="2628">
      <c r="N2628" s="66"/>
      <c r="O2628" s="66"/>
      <c r="P2628" s="66"/>
      <c r="Q2628" s="66"/>
      <c r="R2628" s="66"/>
      <c r="S2628" s="66"/>
      <c r="T2628" s="69"/>
      <c r="U2628" s="66"/>
      <c r="V2628" s="66"/>
      <c r="W2628" s="75"/>
      <c r="X2628" s="66"/>
      <c r="Y2628" s="66"/>
    </row>
    <row hidden="true" r="2629">
      <c r="N2629" s="66"/>
      <c r="O2629" s="66"/>
      <c r="P2629" s="66"/>
      <c r="Q2629" s="66"/>
      <c r="R2629" s="66"/>
      <c r="S2629" s="66"/>
      <c r="T2629" s="69"/>
      <c r="U2629" s="66"/>
      <c r="V2629" s="66"/>
      <c r="W2629" s="75"/>
      <c r="X2629" s="66"/>
      <c r="Y2629" s="66"/>
    </row>
    <row hidden="true" r="2630">
      <c r="N2630" s="66"/>
      <c r="O2630" s="66"/>
      <c r="P2630" s="66"/>
      <c r="Q2630" s="66"/>
      <c r="R2630" s="66"/>
      <c r="S2630" s="66"/>
      <c r="T2630" s="69"/>
      <c r="U2630" s="66"/>
      <c r="V2630" s="66"/>
      <c r="W2630" s="75"/>
      <c r="X2630" s="66"/>
      <c r="Y2630" s="66"/>
    </row>
    <row hidden="true" r="2631">
      <c r="N2631" s="66"/>
      <c r="O2631" s="66"/>
      <c r="P2631" s="66"/>
      <c r="Q2631" s="66"/>
      <c r="R2631" s="66"/>
      <c r="S2631" s="66"/>
      <c r="T2631" s="69"/>
      <c r="U2631" s="66"/>
      <c r="V2631" s="66"/>
      <c r="W2631" s="75"/>
      <c r="X2631" s="66"/>
      <c r="Y2631" s="66"/>
    </row>
    <row hidden="true" r="2632">
      <c r="N2632" s="66"/>
      <c r="O2632" s="66"/>
      <c r="P2632" s="66"/>
      <c r="Q2632" s="66"/>
      <c r="R2632" s="66"/>
      <c r="S2632" s="66"/>
      <c r="T2632" s="69"/>
      <c r="U2632" s="66"/>
      <c r="V2632" s="66"/>
      <c r="W2632" s="75"/>
      <c r="X2632" s="66"/>
      <c r="Y2632" s="66"/>
    </row>
    <row hidden="true" r="2633">
      <c r="N2633" s="66"/>
      <c r="O2633" s="66"/>
      <c r="P2633" s="66"/>
      <c r="Q2633" s="66"/>
      <c r="R2633" s="66"/>
      <c r="S2633" s="66"/>
      <c r="T2633" s="69"/>
      <c r="U2633" s="66"/>
      <c r="V2633" s="66"/>
      <c r="W2633" s="75"/>
      <c r="X2633" s="66"/>
      <c r="Y2633" s="66"/>
    </row>
    <row hidden="true" r="2634">
      <c r="N2634" s="66"/>
      <c r="O2634" s="66"/>
      <c r="P2634" s="66"/>
      <c r="Q2634" s="66"/>
      <c r="R2634" s="66"/>
      <c r="S2634" s="66"/>
      <c r="T2634" s="69"/>
      <c r="U2634" s="66"/>
      <c r="V2634" s="66"/>
      <c r="W2634" s="75"/>
      <c r="X2634" s="66"/>
      <c r="Y2634" s="66"/>
    </row>
    <row hidden="true" r="2635">
      <c r="N2635" s="66"/>
      <c r="O2635" s="66"/>
      <c r="P2635" s="66"/>
      <c r="Q2635" s="66"/>
      <c r="R2635" s="66"/>
      <c r="S2635" s="66"/>
      <c r="T2635" s="69"/>
      <c r="U2635" s="66"/>
      <c r="V2635" s="66"/>
      <c r="W2635" s="75"/>
      <c r="X2635" s="66"/>
      <c r="Y2635" s="66"/>
    </row>
    <row hidden="true" r="2636">
      <c r="N2636" s="66"/>
      <c r="O2636" s="66"/>
      <c r="P2636" s="66"/>
      <c r="Q2636" s="66"/>
      <c r="R2636" s="66"/>
      <c r="S2636" s="66"/>
      <c r="T2636" s="69"/>
      <c r="U2636" s="66"/>
      <c r="V2636" s="66"/>
      <c r="W2636" s="75"/>
      <c r="X2636" s="66"/>
      <c r="Y2636" s="66"/>
    </row>
    <row hidden="true" r="2637">
      <c r="N2637" s="66"/>
      <c r="O2637" s="66"/>
      <c r="P2637" s="66"/>
      <c r="Q2637" s="66"/>
      <c r="R2637" s="66"/>
      <c r="S2637" s="66"/>
      <c r="T2637" s="69"/>
      <c r="U2637" s="66"/>
      <c r="V2637" s="66"/>
      <c r="W2637" s="75"/>
      <c r="X2637" s="66"/>
      <c r="Y2637" s="66"/>
    </row>
    <row hidden="true" r="2638">
      <c r="N2638" s="66"/>
      <c r="O2638" s="66"/>
      <c r="P2638" s="66"/>
      <c r="Q2638" s="66"/>
      <c r="R2638" s="66"/>
      <c r="S2638" s="66"/>
      <c r="T2638" s="69"/>
      <c r="U2638" s="66"/>
      <c r="V2638" s="66"/>
      <c r="W2638" s="75"/>
      <c r="X2638" s="66"/>
      <c r="Y2638" s="66"/>
    </row>
    <row hidden="true" r="2639">
      <c r="N2639" s="66"/>
      <c r="O2639" s="66"/>
      <c r="P2639" s="66"/>
      <c r="Q2639" s="66"/>
      <c r="R2639" s="66"/>
      <c r="S2639" s="66"/>
      <c r="T2639" s="69"/>
      <c r="U2639" s="66"/>
      <c r="V2639" s="66"/>
      <c r="W2639" s="75"/>
      <c r="X2639" s="66"/>
      <c r="Y2639" s="66"/>
    </row>
    <row hidden="true" r="2640">
      <c r="N2640" s="66"/>
      <c r="O2640" s="66"/>
      <c r="P2640" s="66"/>
      <c r="Q2640" s="66"/>
      <c r="R2640" s="66"/>
      <c r="S2640" s="66"/>
      <c r="T2640" s="69"/>
      <c r="U2640" s="66"/>
      <c r="V2640" s="66"/>
      <c r="W2640" s="75"/>
      <c r="X2640" s="66"/>
      <c r="Y2640" s="66"/>
    </row>
    <row hidden="true" r="2641">
      <c r="N2641" s="66"/>
      <c r="O2641" s="66"/>
      <c r="P2641" s="66"/>
      <c r="Q2641" s="66"/>
      <c r="R2641" s="66"/>
      <c r="S2641" s="66"/>
      <c r="T2641" s="69"/>
      <c r="U2641" s="66"/>
      <c r="V2641" s="66"/>
      <c r="W2641" s="75"/>
      <c r="X2641" s="66"/>
      <c r="Y2641" s="66"/>
    </row>
    <row hidden="true" r="2642">
      <c r="N2642" s="66"/>
      <c r="O2642" s="66"/>
      <c r="P2642" s="66"/>
      <c r="Q2642" s="66"/>
      <c r="R2642" s="66"/>
      <c r="S2642" s="66"/>
      <c r="T2642" s="69"/>
      <c r="U2642" s="66"/>
      <c r="V2642" s="66"/>
      <c r="W2642" s="75"/>
      <c r="X2642" s="66"/>
      <c r="Y2642" s="66"/>
    </row>
    <row hidden="true" r="2643">
      <c r="N2643" s="66"/>
      <c r="O2643" s="66"/>
      <c r="P2643" s="66"/>
      <c r="Q2643" s="66"/>
      <c r="R2643" s="66"/>
      <c r="S2643" s="66"/>
      <c r="T2643" s="69"/>
      <c r="U2643" s="66"/>
      <c r="V2643" s="66"/>
      <c r="W2643" s="75"/>
      <c r="X2643" s="66"/>
      <c r="Y2643" s="66"/>
    </row>
    <row hidden="true" r="2644">
      <c r="N2644" s="66"/>
      <c r="O2644" s="66"/>
      <c r="P2644" s="66"/>
      <c r="Q2644" s="66"/>
      <c r="R2644" s="66"/>
      <c r="S2644" s="66"/>
      <c r="T2644" s="69"/>
      <c r="U2644" s="66"/>
      <c r="V2644" s="66"/>
      <c r="W2644" s="75"/>
      <c r="X2644" s="66"/>
      <c r="Y2644" s="66"/>
    </row>
    <row hidden="true" r="2645">
      <c r="N2645" s="66"/>
      <c r="O2645" s="66"/>
      <c r="P2645" s="66"/>
      <c r="Q2645" s="66"/>
      <c r="R2645" s="66"/>
      <c r="S2645" s="66"/>
      <c r="T2645" s="69"/>
      <c r="U2645" s="66"/>
      <c r="V2645" s="66"/>
      <c r="W2645" s="75"/>
      <c r="X2645" s="66"/>
      <c r="Y2645" s="66"/>
    </row>
    <row hidden="true" r="2646">
      <c r="N2646" s="66"/>
      <c r="O2646" s="66"/>
      <c r="P2646" s="66"/>
      <c r="Q2646" s="66"/>
      <c r="R2646" s="66"/>
      <c r="S2646" s="66"/>
      <c r="T2646" s="69"/>
      <c r="U2646" s="66"/>
      <c r="V2646" s="66"/>
      <c r="W2646" s="75"/>
      <c r="X2646" s="66"/>
      <c r="Y2646" s="66"/>
    </row>
    <row hidden="true" r="2647">
      <c r="N2647" s="66"/>
      <c r="O2647" s="66"/>
      <c r="P2647" s="66"/>
      <c r="Q2647" s="66"/>
      <c r="R2647" s="66"/>
      <c r="S2647" s="66"/>
      <c r="T2647" s="69"/>
      <c r="U2647" s="66"/>
      <c r="V2647" s="66"/>
      <c r="W2647" s="75"/>
      <c r="X2647" s="66"/>
      <c r="Y2647" s="66"/>
    </row>
    <row hidden="true" r="2648">
      <c r="N2648" s="66"/>
      <c r="O2648" s="66"/>
      <c r="P2648" s="66"/>
      <c r="Q2648" s="66"/>
      <c r="R2648" s="66"/>
      <c r="S2648" s="66"/>
      <c r="T2648" s="69"/>
      <c r="U2648" s="66"/>
      <c r="V2648" s="66"/>
      <c r="W2648" s="75"/>
      <c r="X2648" s="66"/>
      <c r="Y2648" s="66"/>
    </row>
    <row hidden="true" r="2649">
      <c r="N2649" s="66"/>
      <c r="O2649" s="66"/>
      <c r="P2649" s="66"/>
      <c r="Q2649" s="66"/>
      <c r="R2649" s="66"/>
      <c r="S2649" s="66"/>
      <c r="T2649" s="69"/>
      <c r="U2649" s="66"/>
      <c r="V2649" s="66"/>
      <c r="W2649" s="75"/>
      <c r="X2649" s="66"/>
      <c r="Y2649" s="66"/>
    </row>
    <row hidden="true" r="2650">
      <c r="N2650" s="66"/>
      <c r="O2650" s="66"/>
      <c r="P2650" s="66"/>
      <c r="Q2650" s="66"/>
      <c r="R2650" s="66"/>
      <c r="S2650" s="66"/>
      <c r="T2650" s="69"/>
      <c r="U2650" s="66"/>
      <c r="V2650" s="66"/>
      <c r="W2650" s="75"/>
      <c r="X2650" s="66"/>
      <c r="Y2650" s="66"/>
    </row>
    <row hidden="true" r="2651">
      <c r="N2651" s="66"/>
      <c r="O2651" s="66"/>
      <c r="P2651" s="66"/>
      <c r="Q2651" s="66"/>
      <c r="R2651" s="66"/>
      <c r="S2651" s="66"/>
      <c r="T2651" s="69"/>
      <c r="U2651" s="66"/>
      <c r="V2651" s="66"/>
      <c r="W2651" s="75"/>
      <c r="X2651" s="66"/>
      <c r="Y2651" s="66"/>
    </row>
    <row hidden="true" r="2652">
      <c r="N2652" s="66"/>
      <c r="O2652" s="66"/>
      <c r="P2652" s="66"/>
      <c r="Q2652" s="66"/>
      <c r="R2652" s="66"/>
      <c r="S2652" s="66"/>
      <c r="T2652" s="69"/>
      <c r="U2652" s="66"/>
      <c r="V2652" s="66"/>
      <c r="W2652" s="75"/>
      <c r="X2652" s="66"/>
      <c r="Y2652" s="66"/>
    </row>
    <row hidden="true" r="2653">
      <c r="N2653" s="66"/>
      <c r="O2653" s="66"/>
      <c r="P2653" s="66"/>
      <c r="Q2653" s="66"/>
      <c r="R2653" s="66"/>
      <c r="S2653" s="66"/>
      <c r="T2653" s="69"/>
      <c r="U2653" s="66"/>
      <c r="V2653" s="66"/>
      <c r="W2653" s="75"/>
      <c r="X2653" s="66"/>
      <c r="Y2653" s="66"/>
    </row>
    <row hidden="true" r="2654">
      <c r="N2654" s="66"/>
      <c r="O2654" s="66"/>
      <c r="P2654" s="66"/>
      <c r="Q2654" s="66"/>
      <c r="R2654" s="66"/>
      <c r="S2654" s="66"/>
      <c r="T2654" s="69"/>
      <c r="U2654" s="66"/>
      <c r="V2654" s="66"/>
      <c r="W2654" s="75"/>
      <c r="X2654" s="66"/>
      <c r="Y2654" s="66"/>
    </row>
    <row hidden="true" r="2655">
      <c r="N2655" s="66"/>
      <c r="O2655" s="66"/>
      <c r="P2655" s="66"/>
      <c r="Q2655" s="66"/>
      <c r="R2655" s="66"/>
      <c r="S2655" s="66"/>
      <c r="T2655" s="69"/>
      <c r="U2655" s="66"/>
      <c r="V2655" s="66"/>
      <c r="W2655" s="75"/>
      <c r="X2655" s="66"/>
      <c r="Y2655" s="66"/>
    </row>
    <row hidden="true" r="2656">
      <c r="N2656" s="66"/>
      <c r="O2656" s="66"/>
      <c r="P2656" s="66"/>
      <c r="Q2656" s="66"/>
      <c r="R2656" s="66"/>
      <c r="S2656" s="66"/>
      <c r="T2656" s="69"/>
      <c r="U2656" s="66"/>
      <c r="V2656" s="66"/>
      <c r="W2656" s="75"/>
      <c r="X2656" s="66"/>
      <c r="Y2656" s="66"/>
    </row>
    <row hidden="true" r="2657">
      <c r="N2657" s="66"/>
      <c r="O2657" s="66"/>
      <c r="P2657" s="66"/>
      <c r="Q2657" s="66"/>
      <c r="R2657" s="66"/>
      <c r="S2657" s="66"/>
      <c r="T2657" s="69"/>
      <c r="U2657" s="66"/>
      <c r="V2657" s="66"/>
      <c r="W2657" s="75"/>
      <c r="X2657" s="66"/>
      <c r="Y2657" s="66"/>
    </row>
    <row hidden="true" r="2658">
      <c r="N2658" s="66"/>
      <c r="O2658" s="66"/>
      <c r="P2658" s="66"/>
      <c r="Q2658" s="66"/>
      <c r="R2658" s="66"/>
      <c r="S2658" s="66"/>
      <c r="T2658" s="69"/>
      <c r="U2658" s="66"/>
      <c r="V2658" s="66"/>
      <c r="W2658" s="75"/>
      <c r="X2658" s="66"/>
      <c r="Y2658" s="66"/>
    </row>
    <row hidden="true" r="2659">
      <c r="N2659" s="66"/>
      <c r="O2659" s="66"/>
      <c r="P2659" s="66"/>
      <c r="Q2659" s="66"/>
      <c r="R2659" s="66"/>
      <c r="S2659" s="66"/>
      <c r="T2659" s="69"/>
      <c r="U2659" s="66"/>
      <c r="V2659" s="66"/>
      <c r="W2659" s="75"/>
      <c r="X2659" s="66"/>
      <c r="Y2659" s="66"/>
    </row>
    <row hidden="true" r="2660">
      <c r="N2660" s="66"/>
      <c r="O2660" s="66"/>
      <c r="P2660" s="66"/>
      <c r="Q2660" s="66"/>
      <c r="R2660" s="66"/>
      <c r="S2660" s="66"/>
      <c r="T2660" s="69"/>
      <c r="U2660" s="66"/>
      <c r="V2660" s="66"/>
      <c r="W2660" s="75"/>
      <c r="X2660" s="66"/>
      <c r="Y2660" s="66"/>
    </row>
    <row hidden="true" r="2661">
      <c r="N2661" s="66"/>
      <c r="O2661" s="66"/>
      <c r="P2661" s="66"/>
      <c r="Q2661" s="66"/>
      <c r="R2661" s="66"/>
      <c r="S2661" s="66"/>
      <c r="T2661" s="69"/>
      <c r="U2661" s="66"/>
      <c r="V2661" s="66"/>
      <c r="W2661" s="75"/>
      <c r="X2661" s="66"/>
      <c r="Y2661" s="66"/>
    </row>
    <row hidden="true" r="2662">
      <c r="N2662" s="66"/>
      <c r="O2662" s="66"/>
      <c r="P2662" s="66"/>
      <c r="Q2662" s="66"/>
      <c r="R2662" s="66"/>
      <c r="S2662" s="66"/>
      <c r="T2662" s="69"/>
      <c r="U2662" s="66"/>
      <c r="V2662" s="66"/>
      <c r="W2662" s="75"/>
      <c r="X2662" s="66"/>
      <c r="Y2662" s="66"/>
    </row>
    <row hidden="true" r="2663">
      <c r="N2663" s="66"/>
      <c r="O2663" s="66"/>
      <c r="P2663" s="66"/>
      <c r="Q2663" s="66"/>
      <c r="R2663" s="66"/>
      <c r="S2663" s="66"/>
      <c r="T2663" s="69"/>
      <c r="U2663" s="66"/>
      <c r="V2663" s="66"/>
      <c r="W2663" s="75"/>
      <c r="X2663" s="66"/>
      <c r="Y2663" s="66"/>
    </row>
    <row hidden="true" r="2664">
      <c r="N2664" s="66"/>
      <c r="O2664" s="66"/>
      <c r="P2664" s="66"/>
      <c r="Q2664" s="66"/>
      <c r="R2664" s="66"/>
      <c r="S2664" s="66"/>
      <c r="T2664" s="69"/>
      <c r="U2664" s="66"/>
      <c r="V2664" s="66"/>
      <c r="W2664" s="75"/>
      <c r="X2664" s="66"/>
      <c r="Y2664" s="66"/>
    </row>
    <row hidden="true" r="2665">
      <c r="N2665" s="66"/>
      <c r="O2665" s="66"/>
      <c r="P2665" s="66"/>
      <c r="Q2665" s="66"/>
      <c r="R2665" s="66"/>
      <c r="S2665" s="66"/>
      <c r="T2665" s="69"/>
      <c r="U2665" s="66"/>
      <c r="V2665" s="66"/>
      <c r="W2665" s="75"/>
      <c r="X2665" s="66"/>
      <c r="Y2665" s="66"/>
    </row>
    <row hidden="true" r="2666">
      <c r="N2666" s="66"/>
      <c r="O2666" s="66"/>
      <c r="P2666" s="66"/>
      <c r="Q2666" s="66"/>
      <c r="R2666" s="66"/>
      <c r="S2666" s="66"/>
      <c r="T2666" s="69"/>
      <c r="U2666" s="66"/>
      <c r="V2666" s="66"/>
      <c r="W2666" s="75"/>
      <c r="X2666" s="66"/>
      <c r="Y2666" s="66"/>
    </row>
    <row hidden="true" r="2667">
      <c r="N2667" s="66"/>
      <c r="O2667" s="66"/>
      <c r="P2667" s="66"/>
      <c r="Q2667" s="66"/>
      <c r="R2667" s="66"/>
      <c r="S2667" s="66"/>
      <c r="T2667" s="69"/>
      <c r="U2667" s="66"/>
      <c r="V2667" s="66"/>
      <c r="W2667" s="75"/>
      <c r="X2667" s="66"/>
      <c r="Y2667" s="66"/>
    </row>
    <row hidden="true" r="2668">
      <c r="N2668" s="66"/>
      <c r="O2668" s="66"/>
      <c r="P2668" s="66"/>
      <c r="Q2668" s="66"/>
      <c r="R2668" s="66"/>
      <c r="S2668" s="66"/>
      <c r="T2668" s="69"/>
      <c r="U2668" s="66"/>
      <c r="V2668" s="66"/>
      <c r="W2668" s="75"/>
      <c r="X2668" s="66"/>
      <c r="Y2668" s="66"/>
    </row>
    <row hidden="true" r="2669">
      <c r="N2669" s="66"/>
      <c r="O2669" s="66"/>
      <c r="P2669" s="66"/>
      <c r="Q2669" s="66"/>
      <c r="R2669" s="66"/>
      <c r="S2669" s="66"/>
      <c r="T2669" s="69"/>
      <c r="U2669" s="66"/>
      <c r="V2669" s="66"/>
      <c r="W2669" s="75"/>
      <c r="X2669" s="66"/>
      <c r="Y2669" s="66"/>
    </row>
    <row hidden="true" r="2670">
      <c r="N2670" s="66"/>
      <c r="O2670" s="66"/>
      <c r="P2670" s="66"/>
      <c r="Q2670" s="66"/>
      <c r="R2670" s="66"/>
      <c r="S2670" s="66"/>
      <c r="T2670" s="69"/>
      <c r="U2670" s="66"/>
      <c r="V2670" s="66"/>
      <c r="W2670" s="75"/>
      <c r="X2670" s="66"/>
      <c r="Y2670" s="66"/>
    </row>
    <row hidden="true" r="2671">
      <c r="N2671" s="66"/>
      <c r="O2671" s="66"/>
      <c r="P2671" s="66"/>
      <c r="Q2671" s="66"/>
      <c r="R2671" s="66"/>
      <c r="S2671" s="66"/>
      <c r="T2671" s="69"/>
      <c r="U2671" s="66"/>
      <c r="V2671" s="66"/>
      <c r="W2671" s="75"/>
      <c r="X2671" s="66"/>
      <c r="Y2671" s="66"/>
    </row>
    <row hidden="true" r="2672">
      <c r="N2672" s="66"/>
      <c r="O2672" s="66"/>
      <c r="P2672" s="66"/>
      <c r="Q2672" s="66"/>
      <c r="R2672" s="66"/>
      <c r="S2672" s="66"/>
      <c r="T2672" s="69"/>
      <c r="U2672" s="66"/>
      <c r="V2672" s="66"/>
      <c r="W2672" s="75"/>
      <c r="X2672" s="66"/>
      <c r="Y2672" s="66"/>
    </row>
    <row hidden="true" r="2673">
      <c r="N2673" s="66"/>
      <c r="O2673" s="66"/>
      <c r="P2673" s="66"/>
      <c r="Q2673" s="66"/>
      <c r="R2673" s="66"/>
      <c r="S2673" s="66"/>
      <c r="T2673" s="69"/>
      <c r="U2673" s="66"/>
      <c r="V2673" s="66"/>
      <c r="W2673" s="75"/>
      <c r="X2673" s="66"/>
      <c r="Y2673" s="66"/>
    </row>
    <row hidden="true" r="2674">
      <c r="N2674" s="66"/>
      <c r="O2674" s="66"/>
      <c r="P2674" s="66"/>
      <c r="Q2674" s="66"/>
      <c r="R2674" s="66"/>
      <c r="S2674" s="66"/>
      <c r="T2674" s="69"/>
      <c r="U2674" s="66"/>
      <c r="V2674" s="66"/>
      <c r="W2674" s="75"/>
      <c r="X2674" s="66"/>
      <c r="Y2674" s="66"/>
    </row>
    <row hidden="true" r="2675">
      <c r="N2675" s="66"/>
      <c r="O2675" s="66"/>
      <c r="P2675" s="66"/>
      <c r="Q2675" s="66"/>
      <c r="R2675" s="66"/>
      <c r="S2675" s="66"/>
      <c r="T2675" s="69"/>
      <c r="U2675" s="66"/>
      <c r="V2675" s="66"/>
      <c r="W2675" s="75"/>
      <c r="X2675" s="66"/>
      <c r="Y2675" s="66"/>
    </row>
    <row hidden="true" r="2676">
      <c r="N2676" s="66"/>
      <c r="O2676" s="66"/>
      <c r="P2676" s="66"/>
      <c r="Q2676" s="66"/>
      <c r="R2676" s="66"/>
      <c r="S2676" s="66"/>
      <c r="T2676" s="69"/>
      <c r="U2676" s="66"/>
      <c r="V2676" s="66"/>
      <c r="W2676" s="75"/>
      <c r="X2676" s="66"/>
      <c r="Y2676" s="66"/>
    </row>
    <row hidden="true" r="2677">
      <c r="N2677" s="66"/>
      <c r="O2677" s="66"/>
      <c r="P2677" s="66"/>
      <c r="Q2677" s="66"/>
      <c r="R2677" s="66"/>
      <c r="S2677" s="66"/>
      <c r="T2677" s="69"/>
      <c r="U2677" s="66"/>
      <c r="V2677" s="66"/>
      <c r="W2677" s="75"/>
      <c r="X2677" s="66"/>
      <c r="Y2677" s="66"/>
    </row>
    <row hidden="true" r="2678">
      <c r="N2678" s="66"/>
      <c r="O2678" s="66"/>
      <c r="P2678" s="66"/>
      <c r="Q2678" s="66"/>
      <c r="R2678" s="66"/>
      <c r="S2678" s="66"/>
      <c r="T2678" s="69"/>
      <c r="U2678" s="66"/>
      <c r="V2678" s="66"/>
      <c r="W2678" s="75"/>
      <c r="X2678" s="66"/>
      <c r="Y2678" s="66"/>
    </row>
    <row hidden="true" r="2679">
      <c r="N2679" s="66"/>
      <c r="O2679" s="66"/>
      <c r="P2679" s="66"/>
      <c r="Q2679" s="66"/>
      <c r="R2679" s="66"/>
      <c r="S2679" s="66"/>
      <c r="T2679" s="69"/>
      <c r="U2679" s="66"/>
      <c r="V2679" s="66"/>
      <c r="W2679" s="75"/>
      <c r="X2679" s="66"/>
      <c r="Y2679" s="66"/>
    </row>
    <row hidden="true" r="2680">
      <c r="N2680" s="66"/>
      <c r="O2680" s="66"/>
      <c r="P2680" s="66"/>
      <c r="Q2680" s="66"/>
      <c r="R2680" s="66"/>
      <c r="S2680" s="66"/>
      <c r="T2680" s="69"/>
      <c r="U2680" s="66"/>
      <c r="V2680" s="66"/>
      <c r="W2680" s="75"/>
      <c r="X2680" s="66"/>
      <c r="Y2680" s="66"/>
    </row>
    <row hidden="true" r="2681">
      <c r="N2681" s="66"/>
      <c r="O2681" s="66"/>
      <c r="P2681" s="66"/>
      <c r="Q2681" s="66"/>
      <c r="R2681" s="66"/>
      <c r="S2681" s="66"/>
      <c r="T2681" s="69"/>
      <c r="U2681" s="66"/>
      <c r="V2681" s="66"/>
      <c r="W2681" s="75"/>
      <c r="X2681" s="66"/>
      <c r="Y2681" s="66"/>
    </row>
    <row hidden="true" r="2682">
      <c r="N2682" s="66"/>
      <c r="O2682" s="66"/>
      <c r="P2682" s="66"/>
      <c r="Q2682" s="66"/>
      <c r="R2682" s="66"/>
      <c r="S2682" s="66"/>
      <c r="T2682" s="69"/>
      <c r="U2682" s="66"/>
      <c r="V2682" s="66"/>
      <c r="W2682" s="75"/>
      <c r="X2682" s="66"/>
      <c r="Y2682" s="66"/>
    </row>
    <row hidden="true" r="2683">
      <c r="N2683" s="66"/>
      <c r="O2683" s="66"/>
      <c r="P2683" s="66"/>
      <c r="Q2683" s="66"/>
      <c r="R2683" s="66"/>
      <c r="S2683" s="66"/>
      <c r="T2683" s="69"/>
      <c r="U2683" s="66"/>
      <c r="V2683" s="66"/>
      <c r="W2683" s="75"/>
      <c r="X2683" s="66"/>
      <c r="Y2683" s="66"/>
    </row>
    <row hidden="true" r="2684">
      <c r="N2684" s="66"/>
      <c r="O2684" s="66"/>
      <c r="P2684" s="66"/>
      <c r="Q2684" s="66"/>
      <c r="R2684" s="66"/>
      <c r="S2684" s="66"/>
      <c r="T2684" s="69"/>
      <c r="U2684" s="66"/>
      <c r="V2684" s="66"/>
      <c r="W2684" s="75"/>
      <c r="X2684" s="66"/>
      <c r="Y2684" s="66"/>
    </row>
    <row hidden="true" r="2685">
      <c r="N2685" s="66"/>
      <c r="O2685" s="66"/>
      <c r="P2685" s="66"/>
      <c r="Q2685" s="66"/>
      <c r="R2685" s="66"/>
      <c r="S2685" s="66"/>
      <c r="T2685" s="69"/>
      <c r="U2685" s="66"/>
      <c r="V2685" s="66"/>
      <c r="W2685" s="75"/>
      <c r="X2685" s="66"/>
      <c r="Y2685" s="66"/>
    </row>
    <row hidden="true" r="2686">
      <c r="N2686" s="66"/>
      <c r="O2686" s="66"/>
      <c r="P2686" s="66"/>
      <c r="Q2686" s="66"/>
      <c r="R2686" s="66"/>
      <c r="S2686" s="66"/>
      <c r="T2686" s="69"/>
      <c r="U2686" s="66"/>
      <c r="V2686" s="66"/>
      <c r="W2686" s="75"/>
      <c r="X2686" s="66"/>
      <c r="Y2686" s="66"/>
    </row>
    <row hidden="true" r="2687">
      <c r="N2687" s="66"/>
      <c r="O2687" s="66"/>
      <c r="P2687" s="66"/>
      <c r="Q2687" s="66"/>
      <c r="R2687" s="66"/>
      <c r="S2687" s="66"/>
      <c r="T2687" s="69"/>
      <c r="U2687" s="66"/>
      <c r="V2687" s="66"/>
      <c r="W2687" s="75"/>
      <c r="X2687" s="66"/>
      <c r="Y2687" s="66"/>
    </row>
    <row hidden="true" r="2688">
      <c r="N2688" s="66"/>
      <c r="O2688" s="66"/>
      <c r="P2688" s="66"/>
      <c r="Q2688" s="66"/>
      <c r="R2688" s="66"/>
      <c r="S2688" s="66"/>
      <c r="T2688" s="69"/>
      <c r="U2688" s="66"/>
      <c r="V2688" s="66"/>
      <c r="W2688" s="75"/>
      <c r="X2688" s="66"/>
      <c r="Y2688" s="66"/>
    </row>
    <row hidden="true" r="2689">
      <c r="N2689" s="66"/>
      <c r="O2689" s="66"/>
      <c r="P2689" s="66"/>
      <c r="Q2689" s="66"/>
      <c r="R2689" s="66"/>
      <c r="S2689" s="66"/>
      <c r="T2689" s="69"/>
      <c r="U2689" s="66"/>
      <c r="V2689" s="66"/>
      <c r="W2689" s="75"/>
      <c r="X2689" s="66"/>
      <c r="Y2689" s="66"/>
    </row>
    <row hidden="true" r="2690">
      <c r="N2690" s="66"/>
      <c r="O2690" s="66"/>
      <c r="P2690" s="66"/>
      <c r="Q2690" s="66"/>
      <c r="R2690" s="66"/>
      <c r="S2690" s="66"/>
      <c r="T2690" s="69"/>
      <c r="U2690" s="66"/>
      <c r="V2690" s="66"/>
      <c r="W2690" s="75"/>
      <c r="X2690" s="66"/>
      <c r="Y2690" s="66"/>
    </row>
    <row hidden="true" r="2691">
      <c r="N2691" s="66"/>
      <c r="O2691" s="66"/>
      <c r="P2691" s="66"/>
      <c r="Q2691" s="66"/>
      <c r="R2691" s="66"/>
      <c r="S2691" s="66"/>
      <c r="T2691" s="69"/>
      <c r="U2691" s="66"/>
      <c r="V2691" s="66"/>
      <c r="W2691" s="75"/>
      <c r="X2691" s="66"/>
      <c r="Y2691" s="66"/>
    </row>
    <row hidden="true" r="2692">
      <c r="N2692" s="66"/>
      <c r="O2692" s="66"/>
      <c r="P2692" s="66"/>
      <c r="Q2692" s="66"/>
      <c r="R2692" s="66"/>
      <c r="S2692" s="66"/>
      <c r="T2692" s="69"/>
      <c r="U2692" s="66"/>
      <c r="V2692" s="66"/>
      <c r="W2692" s="75"/>
      <c r="X2692" s="66"/>
      <c r="Y2692" s="66"/>
    </row>
    <row hidden="true" r="2693">
      <c r="N2693" s="66"/>
      <c r="O2693" s="66"/>
      <c r="P2693" s="66"/>
      <c r="Q2693" s="66"/>
      <c r="R2693" s="66"/>
      <c r="S2693" s="66"/>
      <c r="T2693" s="69"/>
      <c r="U2693" s="66"/>
      <c r="V2693" s="66"/>
      <c r="W2693" s="75"/>
      <c r="X2693" s="66"/>
      <c r="Y2693" s="66"/>
    </row>
    <row hidden="true" r="2694">
      <c r="N2694" s="66"/>
      <c r="O2694" s="66"/>
      <c r="P2694" s="66"/>
      <c r="Q2694" s="66"/>
      <c r="R2694" s="66"/>
      <c r="S2694" s="66"/>
      <c r="T2694" s="69"/>
      <c r="U2694" s="66"/>
      <c r="V2694" s="66"/>
      <c r="W2694" s="75"/>
      <c r="X2694" s="66"/>
      <c r="Y2694" s="66"/>
    </row>
    <row hidden="true" r="2695">
      <c r="N2695" s="66"/>
      <c r="O2695" s="66"/>
      <c r="P2695" s="66"/>
      <c r="Q2695" s="66"/>
      <c r="R2695" s="66"/>
      <c r="S2695" s="66"/>
      <c r="T2695" s="69"/>
      <c r="U2695" s="66"/>
      <c r="V2695" s="66"/>
      <c r="W2695" s="75"/>
      <c r="X2695" s="66"/>
      <c r="Y2695" s="66"/>
    </row>
    <row hidden="true" r="2696">
      <c r="N2696" s="66"/>
      <c r="O2696" s="66"/>
      <c r="P2696" s="66"/>
      <c r="Q2696" s="66"/>
      <c r="R2696" s="66"/>
      <c r="S2696" s="66"/>
      <c r="T2696" s="69"/>
      <c r="U2696" s="66"/>
      <c r="V2696" s="66"/>
      <c r="W2696" s="75"/>
      <c r="X2696" s="66"/>
      <c r="Y2696" s="66"/>
    </row>
    <row hidden="true" r="2697">
      <c r="N2697" s="66"/>
      <c r="O2697" s="66"/>
      <c r="P2697" s="66"/>
      <c r="Q2697" s="66"/>
      <c r="R2697" s="66"/>
      <c r="S2697" s="66"/>
      <c r="T2697" s="69"/>
      <c r="U2697" s="66"/>
      <c r="V2697" s="66"/>
      <c r="W2697" s="75"/>
      <c r="X2697" s="66"/>
      <c r="Y2697" s="66"/>
    </row>
    <row hidden="true" r="2698">
      <c r="N2698" s="66"/>
      <c r="O2698" s="66"/>
      <c r="P2698" s="66"/>
      <c r="Q2698" s="66"/>
      <c r="R2698" s="66"/>
      <c r="S2698" s="66"/>
      <c r="T2698" s="69"/>
      <c r="U2698" s="66"/>
      <c r="V2698" s="66"/>
      <c r="W2698" s="75"/>
      <c r="X2698" s="66"/>
      <c r="Y2698" s="66"/>
    </row>
    <row hidden="true" r="2699">
      <c r="N2699" s="66"/>
      <c r="O2699" s="66"/>
      <c r="P2699" s="66"/>
      <c r="Q2699" s="66"/>
      <c r="R2699" s="66"/>
      <c r="S2699" s="66"/>
      <c r="T2699" s="69"/>
      <c r="U2699" s="66"/>
      <c r="V2699" s="66"/>
      <c r="W2699" s="75"/>
      <c r="X2699" s="66"/>
      <c r="Y2699" s="66"/>
    </row>
    <row hidden="true" r="2700">
      <c r="N2700" s="66"/>
      <c r="O2700" s="66"/>
      <c r="P2700" s="66"/>
      <c r="Q2700" s="66"/>
      <c r="R2700" s="66"/>
      <c r="S2700" s="66"/>
      <c r="T2700" s="69"/>
      <c r="U2700" s="66"/>
      <c r="V2700" s="66"/>
      <c r="W2700" s="75"/>
      <c r="X2700" s="66"/>
      <c r="Y2700" s="66"/>
    </row>
    <row hidden="true" r="2701">
      <c r="N2701" s="66"/>
      <c r="O2701" s="66"/>
      <c r="P2701" s="66"/>
      <c r="Q2701" s="66"/>
      <c r="R2701" s="66"/>
      <c r="S2701" s="66"/>
      <c r="T2701" s="69"/>
      <c r="U2701" s="66"/>
      <c r="V2701" s="66"/>
      <c r="W2701" s="75"/>
      <c r="X2701" s="66"/>
      <c r="Y2701" s="66"/>
    </row>
    <row hidden="true" r="2702">
      <c r="N2702" s="66"/>
      <c r="O2702" s="66"/>
      <c r="P2702" s="66"/>
      <c r="Q2702" s="66"/>
      <c r="R2702" s="66"/>
      <c r="S2702" s="66"/>
      <c r="T2702" s="69"/>
      <c r="U2702" s="66"/>
      <c r="V2702" s="66"/>
      <c r="W2702" s="75"/>
      <c r="X2702" s="66"/>
      <c r="Y2702" s="66"/>
    </row>
    <row hidden="true" r="2703">
      <c r="N2703" s="66"/>
      <c r="O2703" s="66"/>
      <c r="P2703" s="66"/>
      <c r="Q2703" s="66"/>
      <c r="R2703" s="66"/>
      <c r="S2703" s="66"/>
      <c r="T2703" s="69"/>
      <c r="U2703" s="66"/>
      <c r="V2703" s="66"/>
      <c r="W2703" s="75"/>
      <c r="X2703" s="66"/>
      <c r="Y2703" s="66"/>
    </row>
    <row hidden="true" r="2704">
      <c r="N2704" s="66"/>
      <c r="O2704" s="66"/>
      <c r="P2704" s="66"/>
      <c r="Q2704" s="66"/>
      <c r="R2704" s="66"/>
      <c r="S2704" s="66"/>
      <c r="T2704" s="69"/>
      <c r="U2704" s="66"/>
      <c r="V2704" s="66"/>
      <c r="W2704" s="75"/>
      <c r="X2704" s="66"/>
      <c r="Y2704" s="66"/>
    </row>
    <row hidden="true" r="2705">
      <c r="N2705" s="66"/>
      <c r="O2705" s="66"/>
      <c r="P2705" s="66"/>
      <c r="Q2705" s="66"/>
      <c r="R2705" s="66"/>
      <c r="S2705" s="66"/>
      <c r="T2705" s="69"/>
      <c r="U2705" s="66"/>
      <c r="V2705" s="66"/>
      <c r="W2705" s="75"/>
      <c r="X2705" s="66"/>
      <c r="Y2705" s="66"/>
    </row>
    <row hidden="true" r="2706">
      <c r="N2706" s="66"/>
      <c r="O2706" s="66"/>
      <c r="P2706" s="66"/>
      <c r="Q2706" s="66"/>
      <c r="R2706" s="66"/>
      <c r="S2706" s="66"/>
      <c r="T2706" s="69"/>
      <c r="U2706" s="66"/>
      <c r="V2706" s="66"/>
      <c r="W2706" s="75"/>
      <c r="X2706" s="66"/>
      <c r="Y2706" s="66"/>
    </row>
    <row hidden="true" r="2707">
      <c r="N2707" s="66"/>
      <c r="O2707" s="66"/>
      <c r="P2707" s="66"/>
      <c r="Q2707" s="66"/>
      <c r="R2707" s="66"/>
      <c r="S2707" s="66"/>
      <c r="T2707" s="69"/>
      <c r="U2707" s="66"/>
      <c r="V2707" s="66"/>
      <c r="W2707" s="75"/>
      <c r="X2707" s="66"/>
      <c r="Y2707" s="66"/>
    </row>
    <row hidden="true" r="2708">
      <c r="N2708" s="66"/>
      <c r="O2708" s="66"/>
      <c r="P2708" s="66"/>
      <c r="Q2708" s="66"/>
      <c r="R2708" s="66"/>
      <c r="S2708" s="66"/>
      <c r="T2708" s="69"/>
      <c r="U2708" s="66"/>
      <c r="V2708" s="66"/>
      <c r="W2708" s="75"/>
      <c r="X2708" s="66"/>
      <c r="Y2708" s="66"/>
    </row>
    <row hidden="true" r="2709">
      <c r="N2709" s="66"/>
      <c r="O2709" s="66"/>
      <c r="P2709" s="66"/>
      <c r="Q2709" s="66"/>
      <c r="R2709" s="66"/>
      <c r="S2709" s="66"/>
      <c r="T2709" s="69"/>
      <c r="U2709" s="66"/>
      <c r="V2709" s="66"/>
      <c r="W2709" s="75"/>
      <c r="X2709" s="66"/>
      <c r="Y2709" s="66"/>
    </row>
    <row hidden="true" r="2710">
      <c r="N2710" s="66"/>
      <c r="O2710" s="66"/>
      <c r="P2710" s="66"/>
      <c r="Q2710" s="66"/>
      <c r="R2710" s="66"/>
      <c r="S2710" s="66"/>
      <c r="T2710" s="69"/>
      <c r="U2710" s="66"/>
      <c r="V2710" s="66"/>
      <c r="W2710" s="75"/>
      <c r="X2710" s="66"/>
      <c r="Y2710" s="66"/>
    </row>
    <row hidden="true" r="2711">
      <c r="N2711" s="66"/>
      <c r="O2711" s="66"/>
      <c r="P2711" s="66"/>
      <c r="Q2711" s="66"/>
      <c r="R2711" s="66"/>
      <c r="S2711" s="66"/>
      <c r="T2711" s="69"/>
      <c r="U2711" s="66"/>
      <c r="V2711" s="66"/>
      <c r="W2711" s="75"/>
      <c r="X2711" s="66"/>
      <c r="Y2711" s="66"/>
    </row>
    <row hidden="true" r="2712">
      <c r="N2712" s="66"/>
      <c r="O2712" s="66"/>
      <c r="P2712" s="66"/>
      <c r="Q2712" s="66"/>
      <c r="R2712" s="66"/>
      <c r="S2712" s="66"/>
      <c r="T2712" s="69"/>
      <c r="U2712" s="66"/>
      <c r="V2712" s="66"/>
      <c r="W2712" s="75"/>
      <c r="X2712" s="66"/>
      <c r="Y2712" s="66"/>
    </row>
    <row hidden="true" r="2713">
      <c r="N2713" s="66"/>
      <c r="O2713" s="66"/>
      <c r="P2713" s="66"/>
      <c r="Q2713" s="66"/>
      <c r="R2713" s="66"/>
      <c r="S2713" s="66"/>
      <c r="T2713" s="69"/>
      <c r="U2713" s="66"/>
      <c r="V2713" s="66"/>
      <c r="W2713" s="75"/>
      <c r="X2713" s="66"/>
      <c r="Y2713" s="66"/>
    </row>
    <row hidden="true" r="2714">
      <c r="N2714" s="66"/>
      <c r="O2714" s="66"/>
      <c r="P2714" s="66"/>
      <c r="Q2714" s="66"/>
      <c r="R2714" s="66"/>
      <c r="S2714" s="66"/>
      <c r="T2714" s="69"/>
      <c r="U2714" s="66"/>
      <c r="V2714" s="66"/>
      <c r="W2714" s="75"/>
      <c r="X2714" s="66"/>
      <c r="Y2714" s="66"/>
    </row>
    <row hidden="true" r="2715">
      <c r="N2715" s="66"/>
      <c r="O2715" s="66"/>
      <c r="P2715" s="66"/>
      <c r="Q2715" s="66"/>
      <c r="R2715" s="66"/>
      <c r="S2715" s="66"/>
      <c r="T2715" s="69"/>
      <c r="U2715" s="66"/>
      <c r="V2715" s="66"/>
      <c r="W2715" s="75"/>
      <c r="X2715" s="66"/>
      <c r="Y2715" s="66"/>
    </row>
    <row hidden="true" r="2716">
      <c r="N2716" s="66"/>
      <c r="O2716" s="66"/>
      <c r="P2716" s="66"/>
      <c r="Q2716" s="66"/>
      <c r="R2716" s="66"/>
      <c r="S2716" s="66"/>
      <c r="T2716" s="69"/>
      <c r="U2716" s="66"/>
      <c r="V2716" s="66"/>
      <c r="W2716" s="75"/>
      <c r="X2716" s="66"/>
      <c r="Y2716" s="66"/>
    </row>
    <row hidden="true" r="2717">
      <c r="N2717" s="66"/>
      <c r="O2717" s="66"/>
      <c r="P2717" s="66"/>
      <c r="Q2717" s="66"/>
      <c r="R2717" s="66"/>
      <c r="S2717" s="66"/>
      <c r="T2717" s="69"/>
      <c r="U2717" s="66"/>
      <c r="V2717" s="66"/>
      <c r="W2717" s="75"/>
      <c r="X2717" s="66"/>
      <c r="Y2717" s="66"/>
    </row>
    <row hidden="true" r="2718">
      <c r="N2718" s="66"/>
      <c r="O2718" s="66"/>
      <c r="P2718" s="66"/>
      <c r="Q2718" s="66"/>
      <c r="R2718" s="66"/>
      <c r="S2718" s="66"/>
      <c r="T2718" s="69"/>
      <c r="U2718" s="66"/>
      <c r="V2718" s="66"/>
      <c r="W2718" s="75"/>
      <c r="X2718" s="66"/>
      <c r="Y2718" s="66"/>
    </row>
    <row hidden="true" r="2719">
      <c r="N2719" s="66"/>
      <c r="O2719" s="66"/>
      <c r="P2719" s="66"/>
      <c r="Q2719" s="66"/>
      <c r="R2719" s="66"/>
      <c r="S2719" s="66"/>
      <c r="T2719" s="69"/>
      <c r="U2719" s="66"/>
      <c r="V2719" s="66"/>
      <c r="W2719" s="75"/>
      <c r="X2719" s="66"/>
      <c r="Y2719" s="66"/>
    </row>
    <row hidden="true" r="2720">
      <c r="N2720" s="66"/>
      <c r="O2720" s="66"/>
      <c r="P2720" s="66"/>
      <c r="Q2720" s="66"/>
      <c r="R2720" s="66"/>
      <c r="S2720" s="66"/>
      <c r="T2720" s="69"/>
      <c r="U2720" s="66"/>
      <c r="V2720" s="66"/>
      <c r="W2720" s="75"/>
      <c r="X2720" s="66"/>
      <c r="Y2720" s="66"/>
    </row>
    <row hidden="true" r="2721">
      <c r="N2721" s="66"/>
      <c r="O2721" s="66"/>
      <c r="P2721" s="66"/>
      <c r="Q2721" s="66"/>
      <c r="R2721" s="66"/>
      <c r="S2721" s="66"/>
      <c r="T2721" s="69"/>
      <c r="U2721" s="66"/>
      <c r="V2721" s="66"/>
      <c r="W2721" s="75"/>
      <c r="X2721" s="66"/>
      <c r="Y2721" s="66"/>
    </row>
    <row hidden="true" r="2722">
      <c r="N2722" s="66"/>
      <c r="O2722" s="66"/>
      <c r="P2722" s="66"/>
      <c r="Q2722" s="66"/>
      <c r="R2722" s="66"/>
      <c r="S2722" s="66"/>
      <c r="T2722" s="69"/>
      <c r="U2722" s="66"/>
      <c r="V2722" s="66"/>
      <c r="W2722" s="75"/>
      <c r="X2722" s="66"/>
      <c r="Y2722" s="66"/>
    </row>
    <row hidden="true" r="2723">
      <c r="N2723" s="66"/>
      <c r="O2723" s="66"/>
      <c r="P2723" s="66"/>
      <c r="Q2723" s="66"/>
      <c r="R2723" s="66"/>
      <c r="S2723" s="66"/>
      <c r="T2723" s="69"/>
      <c r="U2723" s="66"/>
      <c r="V2723" s="66"/>
      <c r="W2723" s="75"/>
      <c r="X2723" s="66"/>
      <c r="Y2723" s="66"/>
    </row>
    <row hidden="true" r="2724">
      <c r="N2724" s="66"/>
      <c r="O2724" s="66"/>
      <c r="P2724" s="66"/>
      <c r="Q2724" s="66"/>
      <c r="R2724" s="66"/>
      <c r="S2724" s="66"/>
      <c r="T2724" s="69"/>
      <c r="U2724" s="66"/>
      <c r="V2724" s="66"/>
      <c r="W2724" s="75"/>
      <c r="X2724" s="66"/>
      <c r="Y2724" s="66"/>
    </row>
    <row hidden="true" r="2725">
      <c r="N2725" s="66"/>
      <c r="O2725" s="66"/>
      <c r="P2725" s="66"/>
      <c r="Q2725" s="66"/>
      <c r="R2725" s="66"/>
      <c r="S2725" s="66"/>
      <c r="T2725" s="69"/>
      <c r="U2725" s="66"/>
      <c r="V2725" s="66"/>
      <c r="W2725" s="75"/>
      <c r="X2725" s="66"/>
      <c r="Y2725" s="66"/>
    </row>
    <row hidden="true" r="2726">
      <c r="N2726" s="66"/>
      <c r="O2726" s="66"/>
      <c r="P2726" s="66"/>
      <c r="Q2726" s="66"/>
      <c r="R2726" s="66"/>
      <c r="S2726" s="66"/>
      <c r="T2726" s="69"/>
      <c r="U2726" s="66"/>
      <c r="V2726" s="66"/>
      <c r="W2726" s="75"/>
      <c r="X2726" s="66"/>
      <c r="Y2726" s="66"/>
    </row>
    <row hidden="true" r="2727">
      <c r="N2727" s="66"/>
      <c r="O2727" s="66"/>
      <c r="P2727" s="66"/>
      <c r="Q2727" s="66"/>
      <c r="R2727" s="66"/>
      <c r="S2727" s="66"/>
      <c r="T2727" s="69"/>
      <c r="U2727" s="66"/>
      <c r="V2727" s="66"/>
      <c r="W2727" s="75"/>
      <c r="X2727" s="66"/>
      <c r="Y2727" s="66"/>
    </row>
    <row hidden="true" r="2728">
      <c r="N2728" s="66"/>
      <c r="O2728" s="66"/>
      <c r="P2728" s="66"/>
      <c r="Q2728" s="66"/>
      <c r="R2728" s="66"/>
      <c r="S2728" s="66"/>
      <c r="T2728" s="69"/>
      <c r="U2728" s="66"/>
      <c r="V2728" s="66"/>
      <c r="W2728" s="75"/>
      <c r="X2728" s="66"/>
      <c r="Y2728" s="66"/>
    </row>
    <row hidden="true" r="2729">
      <c r="N2729" s="66"/>
      <c r="O2729" s="66"/>
      <c r="P2729" s="66"/>
      <c r="Q2729" s="66"/>
      <c r="R2729" s="66"/>
      <c r="S2729" s="66"/>
      <c r="T2729" s="69"/>
      <c r="U2729" s="66"/>
      <c r="V2729" s="66"/>
      <c r="W2729" s="75"/>
      <c r="X2729" s="66"/>
      <c r="Y2729" s="66"/>
    </row>
    <row hidden="true" r="2730">
      <c r="N2730" s="66"/>
      <c r="O2730" s="66"/>
      <c r="P2730" s="66"/>
      <c r="Q2730" s="66"/>
      <c r="R2730" s="66"/>
      <c r="S2730" s="66"/>
      <c r="T2730" s="69"/>
      <c r="U2730" s="66"/>
      <c r="V2730" s="66"/>
      <c r="W2730" s="75"/>
      <c r="X2730" s="66"/>
      <c r="Y2730" s="66"/>
    </row>
    <row hidden="true" r="2731">
      <c r="N2731" s="66"/>
      <c r="O2731" s="66"/>
      <c r="P2731" s="66"/>
      <c r="Q2731" s="66"/>
      <c r="R2731" s="66"/>
      <c r="S2731" s="66"/>
      <c r="T2731" s="69"/>
      <c r="U2731" s="66"/>
      <c r="V2731" s="66"/>
      <c r="W2731" s="75"/>
      <c r="X2731" s="66"/>
      <c r="Y2731" s="66"/>
    </row>
    <row hidden="true" r="2732">
      <c r="N2732" s="66"/>
      <c r="O2732" s="66"/>
      <c r="P2732" s="66"/>
      <c r="Q2732" s="66"/>
      <c r="R2732" s="66"/>
      <c r="S2732" s="66"/>
      <c r="T2732" s="69"/>
      <c r="U2732" s="66"/>
      <c r="V2732" s="66"/>
      <c r="W2732" s="75"/>
      <c r="X2732" s="66"/>
      <c r="Y2732" s="66"/>
    </row>
    <row hidden="true" r="2733">
      <c r="N2733" s="66"/>
      <c r="O2733" s="66"/>
      <c r="P2733" s="66"/>
      <c r="Q2733" s="66"/>
      <c r="R2733" s="66"/>
      <c r="S2733" s="66"/>
      <c r="T2733" s="69"/>
      <c r="U2733" s="66"/>
      <c r="V2733" s="66"/>
      <c r="W2733" s="75"/>
      <c r="X2733" s="66"/>
      <c r="Y2733" s="66"/>
    </row>
    <row hidden="true" r="2734">
      <c r="N2734" s="66"/>
      <c r="O2734" s="66"/>
      <c r="P2734" s="66"/>
      <c r="Q2734" s="66"/>
      <c r="R2734" s="66"/>
      <c r="S2734" s="66"/>
      <c r="T2734" s="69"/>
      <c r="U2734" s="66"/>
      <c r="V2734" s="66"/>
      <c r="W2734" s="75"/>
      <c r="X2734" s="66"/>
      <c r="Y2734" s="66"/>
    </row>
    <row hidden="true" r="2735">
      <c r="N2735" s="66"/>
      <c r="O2735" s="66"/>
      <c r="P2735" s="66"/>
      <c r="Q2735" s="66"/>
      <c r="R2735" s="66"/>
      <c r="S2735" s="66"/>
      <c r="T2735" s="69"/>
      <c r="U2735" s="66"/>
      <c r="V2735" s="66"/>
      <c r="W2735" s="75"/>
      <c r="X2735" s="66"/>
      <c r="Y2735" s="66"/>
    </row>
    <row hidden="true" r="2736">
      <c r="N2736" s="66"/>
      <c r="O2736" s="66"/>
      <c r="P2736" s="66"/>
      <c r="Q2736" s="66"/>
      <c r="R2736" s="66"/>
      <c r="S2736" s="66"/>
      <c r="T2736" s="69"/>
      <c r="U2736" s="66"/>
      <c r="V2736" s="66"/>
      <c r="W2736" s="75"/>
      <c r="X2736" s="66"/>
      <c r="Y2736" s="66"/>
    </row>
    <row hidden="true" r="2737">
      <c r="N2737" s="66"/>
      <c r="O2737" s="66"/>
      <c r="P2737" s="66"/>
      <c r="Q2737" s="66"/>
      <c r="R2737" s="66"/>
      <c r="S2737" s="66"/>
      <c r="T2737" s="69"/>
      <c r="U2737" s="66"/>
      <c r="V2737" s="66"/>
      <c r="W2737" s="75"/>
      <c r="X2737" s="66"/>
      <c r="Y2737" s="66"/>
    </row>
    <row hidden="true" r="2738">
      <c r="N2738" s="66"/>
      <c r="O2738" s="66"/>
      <c r="P2738" s="66"/>
      <c r="Q2738" s="66"/>
      <c r="R2738" s="66"/>
      <c r="S2738" s="66"/>
      <c r="T2738" s="69"/>
      <c r="U2738" s="66"/>
      <c r="V2738" s="66"/>
      <c r="W2738" s="75"/>
      <c r="X2738" s="66"/>
      <c r="Y2738" s="66"/>
    </row>
    <row hidden="true" r="2739">
      <c r="N2739" s="66"/>
      <c r="O2739" s="66"/>
      <c r="P2739" s="66"/>
      <c r="Q2739" s="66"/>
      <c r="R2739" s="66"/>
      <c r="S2739" s="66"/>
      <c r="T2739" s="69"/>
      <c r="U2739" s="66"/>
      <c r="V2739" s="66"/>
      <c r="W2739" s="75"/>
      <c r="X2739" s="66"/>
      <c r="Y2739" s="66"/>
    </row>
    <row hidden="true" r="2740">
      <c r="N2740" s="66"/>
      <c r="O2740" s="66"/>
      <c r="P2740" s="66"/>
      <c r="Q2740" s="66"/>
      <c r="R2740" s="66"/>
      <c r="S2740" s="66"/>
      <c r="T2740" s="69"/>
      <c r="U2740" s="66"/>
      <c r="V2740" s="66"/>
      <c r="W2740" s="75"/>
      <c r="X2740" s="66"/>
      <c r="Y2740" s="66"/>
    </row>
    <row hidden="true" r="2741">
      <c r="N2741" s="66"/>
      <c r="O2741" s="66"/>
      <c r="P2741" s="66"/>
      <c r="Q2741" s="66"/>
      <c r="R2741" s="66"/>
      <c r="S2741" s="66"/>
      <c r="T2741" s="69"/>
      <c r="U2741" s="66"/>
      <c r="V2741" s="66"/>
      <c r="W2741" s="75"/>
      <c r="X2741" s="66"/>
      <c r="Y2741" s="66"/>
    </row>
    <row hidden="true" r="2742">
      <c r="N2742" s="66"/>
      <c r="O2742" s="66"/>
      <c r="P2742" s="66"/>
      <c r="Q2742" s="66"/>
      <c r="R2742" s="66"/>
      <c r="S2742" s="66"/>
      <c r="T2742" s="69"/>
      <c r="U2742" s="66"/>
      <c r="V2742" s="66"/>
      <c r="W2742" s="75"/>
      <c r="X2742" s="66"/>
      <c r="Y2742" s="66"/>
    </row>
    <row hidden="true" r="2743">
      <c r="N2743" s="66"/>
      <c r="O2743" s="66"/>
      <c r="P2743" s="66"/>
      <c r="Q2743" s="66"/>
      <c r="R2743" s="66"/>
      <c r="S2743" s="66"/>
      <c r="T2743" s="69"/>
      <c r="U2743" s="66"/>
      <c r="V2743" s="66"/>
      <c r="W2743" s="75"/>
      <c r="X2743" s="66"/>
      <c r="Y2743" s="66"/>
    </row>
    <row hidden="true" r="2744">
      <c r="N2744" s="66"/>
      <c r="O2744" s="66"/>
      <c r="P2744" s="66"/>
      <c r="Q2744" s="66"/>
      <c r="R2744" s="66"/>
      <c r="S2744" s="66"/>
      <c r="T2744" s="69"/>
      <c r="U2744" s="66"/>
      <c r="V2744" s="66"/>
      <c r="W2744" s="75"/>
      <c r="X2744" s="66"/>
      <c r="Y2744" s="66"/>
    </row>
    <row hidden="true" r="2745">
      <c r="N2745" s="66"/>
      <c r="O2745" s="66"/>
      <c r="P2745" s="66"/>
      <c r="Q2745" s="66"/>
      <c r="R2745" s="66"/>
      <c r="S2745" s="66"/>
      <c r="T2745" s="69"/>
      <c r="U2745" s="66"/>
      <c r="V2745" s="66"/>
      <c r="W2745" s="75"/>
      <c r="X2745" s="66"/>
      <c r="Y2745" s="66"/>
    </row>
    <row hidden="true" r="2746">
      <c r="N2746" s="66"/>
      <c r="O2746" s="66"/>
      <c r="P2746" s="66"/>
      <c r="Q2746" s="66"/>
      <c r="R2746" s="66"/>
      <c r="S2746" s="66"/>
      <c r="T2746" s="69"/>
      <c r="U2746" s="66"/>
      <c r="V2746" s="66"/>
      <c r="W2746" s="75"/>
      <c r="X2746" s="66"/>
      <c r="Y2746" s="66"/>
    </row>
    <row hidden="true" r="2747">
      <c r="N2747" s="66"/>
      <c r="O2747" s="66"/>
      <c r="P2747" s="66"/>
      <c r="Q2747" s="66"/>
      <c r="R2747" s="66"/>
      <c r="S2747" s="66"/>
      <c r="T2747" s="69"/>
      <c r="U2747" s="66"/>
      <c r="V2747" s="66"/>
      <c r="W2747" s="75"/>
      <c r="X2747" s="66"/>
      <c r="Y2747" s="66"/>
    </row>
    <row hidden="true" r="2748">
      <c r="N2748" s="66"/>
      <c r="O2748" s="66"/>
      <c r="P2748" s="66"/>
      <c r="Q2748" s="66"/>
      <c r="R2748" s="66"/>
      <c r="S2748" s="66"/>
      <c r="T2748" s="69"/>
      <c r="U2748" s="66"/>
      <c r="V2748" s="66"/>
      <c r="W2748" s="75"/>
      <c r="X2748" s="66"/>
      <c r="Y2748" s="66"/>
    </row>
    <row hidden="true" r="2749">
      <c r="N2749" s="66"/>
      <c r="O2749" s="66"/>
      <c r="P2749" s="66"/>
      <c r="Q2749" s="66"/>
      <c r="R2749" s="66"/>
      <c r="S2749" s="66"/>
      <c r="T2749" s="69"/>
      <c r="U2749" s="66"/>
      <c r="V2749" s="66"/>
      <c r="W2749" s="75"/>
      <c r="X2749" s="66"/>
      <c r="Y2749" s="66"/>
    </row>
    <row hidden="true" r="2750">
      <c r="N2750" s="66"/>
      <c r="O2750" s="66"/>
      <c r="P2750" s="66"/>
      <c r="Q2750" s="66"/>
      <c r="R2750" s="66"/>
      <c r="S2750" s="66"/>
      <c r="T2750" s="69"/>
      <c r="U2750" s="66"/>
      <c r="V2750" s="66"/>
      <c r="W2750" s="75"/>
      <c r="X2750" s="66"/>
      <c r="Y2750" s="66"/>
    </row>
    <row hidden="true" r="2751">
      <c r="N2751" s="66"/>
      <c r="O2751" s="66"/>
      <c r="P2751" s="66"/>
      <c r="Q2751" s="66"/>
      <c r="R2751" s="66"/>
      <c r="S2751" s="66"/>
      <c r="T2751" s="69"/>
      <c r="U2751" s="66"/>
      <c r="V2751" s="66"/>
      <c r="W2751" s="75"/>
      <c r="X2751" s="66"/>
      <c r="Y2751" s="66"/>
    </row>
    <row hidden="true" r="2752">
      <c r="N2752" s="66"/>
      <c r="O2752" s="66"/>
      <c r="P2752" s="66"/>
      <c r="Q2752" s="66"/>
      <c r="R2752" s="66"/>
      <c r="S2752" s="66"/>
      <c r="T2752" s="69"/>
      <c r="U2752" s="66"/>
      <c r="V2752" s="66"/>
      <c r="W2752" s="75"/>
      <c r="X2752" s="66"/>
      <c r="Y2752" s="66"/>
    </row>
    <row hidden="true" r="2753">
      <c r="N2753" s="66"/>
      <c r="O2753" s="66"/>
      <c r="P2753" s="66"/>
      <c r="Q2753" s="66"/>
      <c r="R2753" s="66"/>
      <c r="S2753" s="66"/>
      <c r="T2753" s="69"/>
      <c r="U2753" s="66"/>
      <c r="V2753" s="66"/>
      <c r="W2753" s="75"/>
      <c r="X2753" s="66"/>
      <c r="Y2753" s="66"/>
    </row>
    <row hidden="true" r="2754">
      <c r="N2754" s="66"/>
      <c r="O2754" s="66"/>
      <c r="P2754" s="66"/>
      <c r="Q2754" s="66"/>
      <c r="R2754" s="66"/>
      <c r="S2754" s="66"/>
      <c r="T2754" s="69"/>
      <c r="U2754" s="66"/>
      <c r="V2754" s="66"/>
      <c r="W2754" s="75"/>
      <c r="X2754" s="66"/>
      <c r="Y2754" s="66"/>
    </row>
    <row hidden="true" r="2755">
      <c r="N2755" s="66"/>
      <c r="O2755" s="66"/>
      <c r="P2755" s="66"/>
      <c r="Q2755" s="66"/>
      <c r="R2755" s="66"/>
      <c r="S2755" s="66"/>
      <c r="T2755" s="69"/>
      <c r="U2755" s="66"/>
      <c r="V2755" s="66"/>
      <c r="W2755" s="75"/>
      <c r="X2755" s="66"/>
      <c r="Y2755" s="66"/>
    </row>
    <row hidden="true" r="2756">
      <c r="N2756" s="66"/>
      <c r="O2756" s="66"/>
      <c r="P2756" s="66"/>
      <c r="Q2756" s="66"/>
      <c r="R2756" s="66"/>
      <c r="S2756" s="66"/>
      <c r="T2756" s="69"/>
      <c r="U2756" s="66"/>
      <c r="V2756" s="66"/>
      <c r="W2756" s="75"/>
      <c r="X2756" s="66"/>
      <c r="Y2756" s="66"/>
    </row>
    <row hidden="true" r="2757">
      <c r="N2757" s="66"/>
      <c r="O2757" s="66"/>
      <c r="P2757" s="66"/>
      <c r="Q2757" s="66"/>
      <c r="R2757" s="66"/>
      <c r="S2757" s="66"/>
      <c r="T2757" s="69"/>
      <c r="U2757" s="66"/>
      <c r="V2757" s="66"/>
      <c r="W2757" s="75"/>
      <c r="X2757" s="66"/>
      <c r="Y2757" s="66"/>
    </row>
    <row hidden="true" r="2758">
      <c r="N2758" s="66"/>
      <c r="O2758" s="66"/>
      <c r="P2758" s="66"/>
      <c r="Q2758" s="66"/>
      <c r="R2758" s="66"/>
      <c r="S2758" s="66"/>
      <c r="T2758" s="69"/>
      <c r="U2758" s="66"/>
      <c r="V2758" s="66"/>
      <c r="W2758" s="75"/>
      <c r="X2758" s="66"/>
      <c r="Y2758" s="66"/>
    </row>
    <row hidden="true" r="2759">
      <c r="N2759" s="66"/>
      <c r="O2759" s="66"/>
      <c r="P2759" s="66"/>
      <c r="Q2759" s="66"/>
      <c r="R2759" s="66"/>
      <c r="S2759" s="66"/>
      <c r="T2759" s="69"/>
      <c r="U2759" s="66"/>
      <c r="V2759" s="66"/>
      <c r="W2759" s="75"/>
      <c r="X2759" s="66"/>
      <c r="Y2759" s="66"/>
    </row>
    <row hidden="true" r="2760">
      <c r="N2760" s="66"/>
      <c r="O2760" s="66"/>
      <c r="P2760" s="66"/>
      <c r="Q2760" s="66"/>
      <c r="R2760" s="66"/>
      <c r="S2760" s="66"/>
      <c r="T2760" s="69"/>
      <c r="U2760" s="66"/>
      <c r="V2760" s="66"/>
      <c r="W2760" s="75"/>
      <c r="X2760" s="66"/>
      <c r="Y2760" s="66"/>
    </row>
    <row hidden="true" r="2761">
      <c r="N2761" s="66"/>
      <c r="O2761" s="66"/>
      <c r="P2761" s="66"/>
      <c r="Q2761" s="66"/>
      <c r="R2761" s="66"/>
      <c r="S2761" s="66"/>
      <c r="T2761" s="69"/>
      <c r="U2761" s="66"/>
      <c r="V2761" s="66"/>
      <c r="W2761" s="75"/>
      <c r="X2761" s="66"/>
      <c r="Y2761" s="66"/>
    </row>
    <row hidden="true" r="2762">
      <c r="N2762" s="66"/>
      <c r="O2762" s="66"/>
      <c r="P2762" s="66"/>
      <c r="Q2762" s="66"/>
      <c r="R2762" s="66"/>
      <c r="S2762" s="66"/>
      <c r="T2762" s="69"/>
      <c r="U2762" s="66"/>
      <c r="V2762" s="66"/>
      <c r="W2762" s="75"/>
      <c r="X2762" s="66"/>
      <c r="Y2762" s="66"/>
    </row>
    <row hidden="true" r="2763">
      <c r="N2763" s="66"/>
      <c r="O2763" s="66"/>
      <c r="P2763" s="66"/>
      <c r="Q2763" s="66"/>
      <c r="R2763" s="66"/>
      <c r="S2763" s="66"/>
      <c r="T2763" s="69"/>
      <c r="U2763" s="66"/>
      <c r="V2763" s="66"/>
      <c r="W2763" s="75"/>
      <c r="X2763" s="66"/>
      <c r="Y2763" s="66"/>
    </row>
    <row hidden="true" r="2764">
      <c r="N2764" s="66"/>
      <c r="O2764" s="66"/>
      <c r="P2764" s="66"/>
      <c r="Q2764" s="66"/>
      <c r="R2764" s="66"/>
      <c r="S2764" s="66"/>
      <c r="T2764" s="69"/>
      <c r="U2764" s="66"/>
      <c r="V2764" s="66"/>
      <c r="W2764" s="75"/>
      <c r="X2764" s="66"/>
      <c r="Y2764" s="66"/>
    </row>
    <row hidden="true" r="2765">
      <c r="N2765" s="66"/>
      <c r="O2765" s="66"/>
      <c r="P2765" s="66"/>
      <c r="Q2765" s="66"/>
      <c r="R2765" s="66"/>
      <c r="S2765" s="66"/>
      <c r="T2765" s="69"/>
      <c r="U2765" s="66"/>
      <c r="V2765" s="66"/>
      <c r="W2765" s="75"/>
      <c r="X2765" s="66"/>
      <c r="Y2765" s="66"/>
    </row>
    <row hidden="true" r="2766">
      <c r="N2766" s="66"/>
      <c r="O2766" s="66"/>
      <c r="P2766" s="66"/>
      <c r="Q2766" s="66"/>
      <c r="R2766" s="66"/>
      <c r="S2766" s="66"/>
      <c r="T2766" s="69"/>
      <c r="U2766" s="66"/>
      <c r="V2766" s="66"/>
      <c r="W2766" s="75"/>
      <c r="X2766" s="66"/>
      <c r="Y2766" s="66"/>
    </row>
    <row hidden="true" r="2767">
      <c r="N2767" s="66"/>
      <c r="O2767" s="66"/>
      <c r="P2767" s="66"/>
      <c r="Q2767" s="66"/>
      <c r="R2767" s="66"/>
      <c r="S2767" s="66"/>
      <c r="T2767" s="69"/>
      <c r="U2767" s="66"/>
      <c r="V2767" s="66"/>
      <c r="W2767" s="75"/>
      <c r="X2767" s="66"/>
      <c r="Y2767" s="66"/>
    </row>
    <row hidden="true" r="2768">
      <c r="N2768" s="66"/>
      <c r="O2768" s="66"/>
      <c r="P2768" s="66"/>
      <c r="Q2768" s="66"/>
      <c r="R2768" s="66"/>
      <c r="S2768" s="66"/>
      <c r="T2768" s="69"/>
      <c r="U2768" s="66"/>
      <c r="V2768" s="66"/>
      <c r="W2768" s="75"/>
      <c r="X2768" s="66"/>
      <c r="Y2768" s="66"/>
    </row>
    <row hidden="true" r="2769">
      <c r="N2769" s="66"/>
      <c r="O2769" s="66"/>
      <c r="P2769" s="66"/>
      <c r="Q2769" s="66"/>
      <c r="R2769" s="66"/>
      <c r="S2769" s="66"/>
      <c r="T2769" s="69"/>
      <c r="U2769" s="66"/>
      <c r="V2769" s="66"/>
      <c r="W2769" s="75"/>
      <c r="X2769" s="66"/>
      <c r="Y2769" s="66"/>
    </row>
    <row hidden="true" r="2770">
      <c r="N2770" s="66"/>
      <c r="O2770" s="66"/>
      <c r="P2770" s="66"/>
      <c r="Q2770" s="66"/>
      <c r="R2770" s="66"/>
      <c r="S2770" s="66"/>
      <c r="T2770" s="69"/>
      <c r="U2770" s="66"/>
      <c r="V2770" s="66"/>
      <c r="W2770" s="75"/>
      <c r="X2770" s="66"/>
      <c r="Y2770" s="66"/>
    </row>
    <row hidden="true" r="2771">
      <c r="N2771" s="66"/>
      <c r="O2771" s="66"/>
      <c r="P2771" s="66"/>
      <c r="Q2771" s="66"/>
      <c r="R2771" s="66"/>
      <c r="S2771" s="66"/>
      <c r="T2771" s="69"/>
      <c r="U2771" s="66"/>
      <c r="V2771" s="66"/>
      <c r="W2771" s="75"/>
      <c r="X2771" s="66"/>
      <c r="Y2771" s="66"/>
    </row>
    <row hidden="true" r="2772">
      <c r="N2772" s="66"/>
      <c r="O2772" s="66"/>
      <c r="P2772" s="66"/>
      <c r="Q2772" s="66"/>
      <c r="R2772" s="66"/>
      <c r="S2772" s="66"/>
      <c r="T2772" s="69"/>
      <c r="U2772" s="66"/>
      <c r="V2772" s="66"/>
      <c r="W2772" s="75"/>
      <c r="X2772" s="66"/>
      <c r="Y2772" s="66"/>
    </row>
    <row hidden="true" r="2773">
      <c r="N2773" s="66"/>
      <c r="O2773" s="66"/>
      <c r="P2773" s="66"/>
      <c r="Q2773" s="66"/>
      <c r="R2773" s="66"/>
      <c r="S2773" s="66"/>
      <c r="T2773" s="69"/>
      <c r="U2773" s="66"/>
      <c r="V2773" s="66"/>
      <c r="W2773" s="75"/>
      <c r="X2773" s="66"/>
      <c r="Y2773" s="66"/>
    </row>
    <row hidden="true" r="2774">
      <c r="N2774" s="66"/>
      <c r="O2774" s="66"/>
      <c r="P2774" s="66"/>
      <c r="Q2774" s="66"/>
      <c r="R2774" s="66"/>
      <c r="S2774" s="66"/>
      <c r="T2774" s="69"/>
      <c r="U2774" s="66"/>
      <c r="V2774" s="66"/>
      <c r="W2774" s="75"/>
      <c r="X2774" s="66"/>
      <c r="Y2774" s="66"/>
    </row>
    <row hidden="true" r="2775">
      <c r="N2775" s="66"/>
      <c r="O2775" s="66"/>
      <c r="P2775" s="66"/>
      <c r="Q2775" s="66"/>
      <c r="R2775" s="66"/>
      <c r="S2775" s="66"/>
      <c r="T2775" s="69"/>
      <c r="U2775" s="66"/>
      <c r="V2775" s="66"/>
      <c r="W2775" s="75"/>
      <c r="X2775" s="66"/>
      <c r="Y2775" s="66"/>
    </row>
    <row hidden="true" r="2776">
      <c r="N2776" s="66"/>
      <c r="O2776" s="66"/>
      <c r="P2776" s="66"/>
      <c r="Q2776" s="66"/>
      <c r="R2776" s="66"/>
      <c r="S2776" s="66"/>
      <c r="T2776" s="69"/>
      <c r="U2776" s="66"/>
      <c r="V2776" s="66"/>
      <c r="W2776" s="75"/>
      <c r="X2776" s="66"/>
      <c r="Y2776" s="66"/>
    </row>
    <row hidden="true" r="2777">
      <c r="N2777" s="66"/>
      <c r="O2777" s="66"/>
      <c r="P2777" s="66"/>
      <c r="Q2777" s="66"/>
      <c r="R2777" s="66"/>
      <c r="S2777" s="66"/>
      <c r="T2777" s="69"/>
      <c r="U2777" s="66"/>
      <c r="V2777" s="66"/>
      <c r="W2777" s="75"/>
      <c r="X2777" s="66"/>
      <c r="Y2777" s="66"/>
    </row>
    <row hidden="true" r="2778">
      <c r="N2778" s="66"/>
      <c r="O2778" s="66"/>
      <c r="P2778" s="66"/>
      <c r="Q2778" s="66"/>
      <c r="R2778" s="66"/>
      <c r="S2778" s="66"/>
      <c r="T2778" s="69"/>
      <c r="U2778" s="66"/>
      <c r="V2778" s="66"/>
      <c r="W2778" s="75"/>
      <c r="X2778" s="66"/>
      <c r="Y2778" s="66"/>
    </row>
    <row hidden="true" r="2779">
      <c r="N2779" s="66"/>
      <c r="O2779" s="66"/>
      <c r="P2779" s="66"/>
      <c r="Q2779" s="66"/>
      <c r="R2779" s="66"/>
      <c r="S2779" s="66"/>
      <c r="T2779" s="69"/>
      <c r="U2779" s="66"/>
      <c r="V2779" s="66"/>
      <c r="W2779" s="75"/>
      <c r="X2779" s="66"/>
      <c r="Y2779" s="66"/>
    </row>
    <row hidden="true" r="2780">
      <c r="N2780" s="66"/>
      <c r="O2780" s="66"/>
      <c r="P2780" s="66"/>
      <c r="Q2780" s="66"/>
      <c r="R2780" s="66"/>
      <c r="S2780" s="66"/>
      <c r="T2780" s="69"/>
      <c r="U2780" s="66"/>
      <c r="V2780" s="66"/>
      <c r="W2780" s="75"/>
      <c r="X2780" s="66"/>
      <c r="Y2780" s="66"/>
    </row>
    <row hidden="true" r="2781">
      <c r="N2781" s="66"/>
      <c r="O2781" s="66"/>
      <c r="P2781" s="66"/>
      <c r="Q2781" s="66"/>
      <c r="R2781" s="66"/>
      <c r="S2781" s="66"/>
      <c r="T2781" s="69"/>
      <c r="U2781" s="66"/>
      <c r="V2781" s="66"/>
      <c r="W2781" s="75"/>
      <c r="X2781" s="66"/>
      <c r="Y2781" s="66"/>
    </row>
    <row hidden="true" r="2782">
      <c r="N2782" s="66"/>
      <c r="O2782" s="66"/>
      <c r="P2782" s="66"/>
      <c r="Q2782" s="66"/>
      <c r="R2782" s="66"/>
      <c r="S2782" s="66"/>
      <c r="T2782" s="69"/>
      <c r="U2782" s="66"/>
      <c r="V2782" s="66"/>
      <c r="W2782" s="75"/>
      <c r="X2782" s="66"/>
      <c r="Y2782" s="66"/>
    </row>
    <row hidden="true" r="2783">
      <c r="N2783" s="66"/>
      <c r="O2783" s="66"/>
      <c r="P2783" s="66"/>
      <c r="Q2783" s="66"/>
      <c r="R2783" s="66"/>
      <c r="S2783" s="66"/>
      <c r="T2783" s="69"/>
      <c r="U2783" s="66"/>
      <c r="V2783" s="66"/>
      <c r="W2783" s="75"/>
      <c r="X2783" s="66"/>
      <c r="Y2783" s="66"/>
    </row>
    <row hidden="true" r="2784">
      <c r="N2784" s="66"/>
      <c r="O2784" s="66"/>
      <c r="P2784" s="66"/>
      <c r="Q2784" s="66"/>
      <c r="R2784" s="66"/>
      <c r="S2784" s="66"/>
      <c r="T2784" s="69"/>
      <c r="U2784" s="66"/>
      <c r="V2784" s="66"/>
      <c r="W2784" s="75"/>
      <c r="X2784" s="66"/>
      <c r="Y2784" s="66"/>
    </row>
  </sheetData>
  <autoFilter ref="A1:Y2784">
    <filterColumn colId="6">
      <filters>
        <filter val="AIBP"/>
        <filter val="AI创意编导"/>
        <filter val="HR经理"/>
        <filter val="KA商务经理"/>
        <filter val="wteam COO"/>
        <filter val="采购高级经理"/>
        <filter val="采购经理"/>
        <filter val="测试实习生"/>
        <filter val="电商高级经理"/>
        <filter val="订单交付员"/>
        <filter val="高级主播"/>
        <filter val="公共事务经理"/>
        <filter val="供应链经理"/>
        <filter val="管培生"/>
        <filter val="合规工程师"/>
        <filter val="护肤顾问"/>
        <filter val="开发高级经理"/>
        <filter val="课程助教"/>
        <filter val="客服经理"/>
        <filter val="客服专员"/>
        <filter val="客户助理"/>
        <filter val="科学传播经理"/>
        <filter val="零售高级经理"/>
        <filter val="培训讲师"/>
        <filter val="培训师"/>
        <filter val="品牌高级经理"/>
        <filter val="品牌公关经理"/>
        <filter val="商务PR"/>
        <filter val="商务经理"/>
        <filter val="商务助理"/>
        <filter val="设计高级经理"/>
        <filter val="摄影师"/>
        <filter val="市场高级经理"/>
        <filter val="视频编导"/>
        <filter val="视频编辑"/>
        <filter val="首席平面设计师"/>
        <filter val="数据分析师"/>
        <filter val="数据助理"/>
        <filter val="物流高级经理"/>
        <filter val="寻源高级经理"/>
        <filter val="研发高级经理"/>
        <filter val="研发工程师"/>
        <filter val="营销策划"/>
        <filter val="营销策划实习生"/>
        <filter val="营销高级经理"/>
        <filter val="营销经理"/>
        <filter val="舆情数据经理"/>
        <filter val="招聘经理"/>
        <filter val="直播高级经理"/>
        <filter val="直播助理"/>
        <filter val="中级直播助理"/>
        <filter val="中级主播"/>
        <filter val="主播"/>
        <filter val="主播教练"/>
        <filter val="资深平面设计师"/>
      </filters>
    </filterColumn>
    <filterColumn colId="18">
      <filters>
        <filter val="FALSE"/>
      </filters>
    </filterColumn>
  </autoFilter>
  <conditionalFormatting sqref="O2:O837">
    <cfRule dxfId="3" operator="notEqual" priority="1" stopIfTrue="true" type="cellIs">
      <formula>1</formula>
    </cfRule>
  </conditionalFormatting>
  <conditionalFormatting sqref="L2:L1000">
    <cfRule dxfId="4" operator="equal" priority="2" stopIfTrue="true" type="cellIs">
      <formula>0</formula>
    </cfRule>
  </conditionalFormatting>
  <conditionalFormatting sqref="I2:I1000">
    <cfRule dxfId="5" operator="lessThanOrEqual" priority="3" stopIfTrue="true" type="cellIs">
      <formula>0</formula>
    </cfRule>
  </conditionalFormatting>
  <conditionalFormatting sqref="J2:J1000">
    <cfRule dxfId="6" operator="lessThanOrEqual" priority="4" stopIfTrue="true" type="cellIs">
      <formula>0</formula>
    </cfRule>
  </conditionalFormatting>
  <conditionalFormatting sqref="J2:K1000">
    <cfRule dxfId="7" operator="greaterThan" priority="5" stopIfTrue="true" type="cellIs">
      <formula>10</formula>
    </cfRule>
  </conditionalFormatting>
  <conditionalFormatting sqref="M2:M1000">
    <cfRule dxfId="8" operator="equal" priority="6" stopIfTrue="true" type="cellIs">
      <formula>"0"</formula>
    </cfRule>
  </conditionalFormatting>
  <conditionalFormatting sqref="M2:M1000">
    <cfRule dxfId="9" priority="7" stopIfTrue="true" type="expression">
      <formula>MOD(M2,1)&gt;0</formula>
    </cfRule>
  </conditionalFormatting>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18" r="1">
      <c r="A1" s="76" t="s">
        <v>14637</v>
      </c>
      <c r="B1" s="76" t="s">
        <v>14638</v>
      </c>
      <c r="C1" s="76" t="s">
        <v>14639</v>
      </c>
      <c r="D1" s="76" t="s">
        <v>14640</v>
      </c>
      <c r="E1" s="76" t="s">
        <v>14641</v>
      </c>
      <c r="F1" s="76" t="s">
        <v>14642</v>
      </c>
      <c r="G1" s="76" t="s">
        <v>14643</v>
      </c>
      <c r="H1" s="76" t="s">
        <v>14644</v>
      </c>
      <c r="I1" s="77"/>
    </row>
    <row r="2">
      <c r="A2" s="78" t="s">
        <v>14645</v>
      </c>
      <c r="B2" s="78" t="s">
        <v>14646</v>
      </c>
      <c r="C2" s="78" t="s">
        <v>14647</v>
      </c>
      <c r="D2" s="78" t="s">
        <v>14648</v>
      </c>
      <c r="E2" s="78" t="s">
        <v>14649</v>
      </c>
      <c r="F2" s="78" t="s">
        <v>14650</v>
      </c>
      <c r="G2" s="78" t="s">
        <v>14651</v>
      </c>
      <c r="H2" s="78">
        <v>800</v>
      </c>
      <c r="I2" s="77"/>
    </row>
    <row r="3">
      <c r="A3" s="78" t="s">
        <v>14652</v>
      </c>
      <c r="B3" s="78" t="s">
        <v>14653</v>
      </c>
      <c r="C3" s="78" t="s">
        <v>14654</v>
      </c>
      <c r="D3" s="78" t="s">
        <v>14648</v>
      </c>
      <c r="E3" s="78" t="s">
        <v>14655</v>
      </c>
      <c r="F3" s="78" t="s">
        <v>14650</v>
      </c>
      <c r="G3" s="78" t="s">
        <v>14651</v>
      </c>
      <c r="H3" s="78">
        <v>800</v>
      </c>
      <c r="I3" s="77"/>
    </row>
    <row r="4">
      <c r="A4" s="78" t="s">
        <v>14656</v>
      </c>
      <c r="B4" s="78" t="s">
        <v>14657</v>
      </c>
      <c r="C4" s="78" t="s">
        <v>14658</v>
      </c>
      <c r="D4" s="78" t="s">
        <v>14648</v>
      </c>
      <c r="E4" s="78" t="s">
        <v>14659</v>
      </c>
      <c r="F4" s="78" t="s">
        <v>14650</v>
      </c>
      <c r="G4" s="78" t="s">
        <v>14651</v>
      </c>
      <c r="H4" s="78" t="s">
        <v>14660</v>
      </c>
      <c r="I4" s="77"/>
    </row>
    <row r="5">
      <c r="A5" s="78" t="s">
        <v>14661</v>
      </c>
      <c r="B5" s="78" t="s">
        <v>14662</v>
      </c>
      <c r="C5" s="78" t="s">
        <v>14663</v>
      </c>
      <c r="D5" s="78" t="s">
        <v>14648</v>
      </c>
      <c r="E5" s="78" t="s">
        <v>14659</v>
      </c>
      <c r="F5" s="78" t="s">
        <v>14650</v>
      </c>
      <c r="G5" s="78" t="s">
        <v>14651</v>
      </c>
      <c r="H5" s="78" t="s">
        <v>14660</v>
      </c>
      <c r="I5" s="77"/>
    </row>
    <row r="6">
      <c r="A6" s="78" t="s">
        <v>14664</v>
      </c>
      <c r="B6" s="78" t="s">
        <v>14665</v>
      </c>
      <c r="C6" s="78" t="s">
        <v>14666</v>
      </c>
      <c r="D6" s="78" t="s">
        <v>14648</v>
      </c>
      <c r="E6" s="78" t="s">
        <v>14659</v>
      </c>
      <c r="F6" s="78" t="s">
        <v>14650</v>
      </c>
      <c r="G6" s="78" t="s">
        <v>14651</v>
      </c>
      <c r="H6" s="78" t="s">
        <v>14660</v>
      </c>
      <c r="I6" s="77"/>
    </row>
    <row r="7">
      <c r="A7" s="78" t="s">
        <v>14667</v>
      </c>
      <c r="B7" s="78" t="s">
        <v>14668</v>
      </c>
      <c r="C7" s="78" t="s">
        <v>14669</v>
      </c>
      <c r="D7" s="78" t="s">
        <v>14648</v>
      </c>
      <c r="E7" s="78" t="s">
        <v>14659</v>
      </c>
      <c r="F7" s="78" t="s">
        <v>14650</v>
      </c>
      <c r="G7" s="78" t="s">
        <v>14651</v>
      </c>
      <c r="H7" s="78" t="s">
        <v>14660</v>
      </c>
      <c r="I7" s="77"/>
    </row>
    <row r="8">
      <c r="A8" s="78" t="s">
        <v>14670</v>
      </c>
      <c r="B8" s="78" t="s">
        <v>14671</v>
      </c>
      <c r="C8" s="78" t="s">
        <v>14672</v>
      </c>
      <c r="D8" s="78" t="s">
        <v>14648</v>
      </c>
      <c r="E8" s="78" t="s">
        <v>14659</v>
      </c>
      <c r="F8" s="78" t="s">
        <v>14650</v>
      </c>
      <c r="G8" s="78" t="s">
        <v>14651</v>
      </c>
      <c r="H8" s="78" t="s">
        <v>14660</v>
      </c>
      <c r="I8" s="77"/>
    </row>
    <row r="9">
      <c r="A9" s="78" t="s">
        <v>14673</v>
      </c>
      <c r="B9" s="78" t="s">
        <v>14674</v>
      </c>
      <c r="C9" s="78" t="s">
        <v>14675</v>
      </c>
      <c r="D9" s="78" t="s">
        <v>14648</v>
      </c>
      <c r="E9" s="78" t="s">
        <v>14659</v>
      </c>
      <c r="F9" s="78" t="s">
        <v>14650</v>
      </c>
      <c r="G9" s="78" t="s">
        <v>14651</v>
      </c>
      <c r="H9" s="78" t="s">
        <v>14660</v>
      </c>
      <c r="I9" s="77"/>
    </row>
    <row r="10">
      <c r="A10" s="78" t="s">
        <v>14676</v>
      </c>
      <c r="B10" s="78" t="s">
        <v>14677</v>
      </c>
      <c r="C10" s="78" t="s">
        <v>14678</v>
      </c>
      <c r="D10" s="78" t="s">
        <v>14648</v>
      </c>
      <c r="E10" s="78" t="s">
        <v>14659</v>
      </c>
      <c r="F10" s="78" t="s">
        <v>14650</v>
      </c>
      <c r="G10" s="78" t="s">
        <v>14651</v>
      </c>
      <c r="H10" s="78" t="s">
        <v>14660</v>
      </c>
      <c r="I10" s="77"/>
    </row>
    <row r="11">
      <c r="A11" s="78" t="s">
        <v>14679</v>
      </c>
      <c r="B11" s="78" t="s">
        <v>14680</v>
      </c>
      <c r="C11" s="78" t="s">
        <v>14681</v>
      </c>
      <c r="D11" s="78" t="s">
        <v>14648</v>
      </c>
      <c r="E11" s="78" t="s">
        <v>14659</v>
      </c>
      <c r="F11" s="78" t="s">
        <v>14650</v>
      </c>
      <c r="G11" s="78" t="s">
        <v>14651</v>
      </c>
      <c r="H11" s="78" t="s">
        <v>14660</v>
      </c>
      <c r="I11" s="77"/>
    </row>
    <row r="12">
      <c r="A12" s="78" t="s">
        <v>14682</v>
      </c>
      <c r="B12" s="78" t="s">
        <v>14683</v>
      </c>
      <c r="C12" s="78" t="s">
        <v>14684</v>
      </c>
      <c r="D12" s="78" t="s">
        <v>14648</v>
      </c>
      <c r="E12" s="78" t="s">
        <v>14685</v>
      </c>
      <c r="F12" s="78" t="s">
        <v>14650</v>
      </c>
      <c r="G12" s="78" t="s">
        <v>14651</v>
      </c>
      <c r="H12" s="78">
        <v>800</v>
      </c>
      <c r="I12" s="77"/>
    </row>
    <row r="13">
      <c r="A13" s="78" t="s">
        <v>14686</v>
      </c>
      <c r="B13" s="78" t="s">
        <v>14687</v>
      </c>
      <c r="C13" s="78" t="s">
        <v>14688</v>
      </c>
      <c r="D13" s="78" t="s">
        <v>14648</v>
      </c>
      <c r="E13" s="78" t="s">
        <v>14659</v>
      </c>
      <c r="F13" s="78" t="s">
        <v>14650</v>
      </c>
      <c r="G13" s="78" t="s">
        <v>14651</v>
      </c>
      <c r="H13" s="78" t="s">
        <v>14660</v>
      </c>
      <c r="I13" s="77"/>
    </row>
    <row r="14">
      <c r="A14" s="78" t="s">
        <v>14689</v>
      </c>
      <c r="B14" s="78" t="s">
        <v>14690</v>
      </c>
      <c r="C14" s="78" t="s">
        <v>14691</v>
      </c>
      <c r="D14" s="78" t="s">
        <v>14648</v>
      </c>
      <c r="E14" s="78" t="s">
        <v>14692</v>
      </c>
      <c r="F14" s="78" t="s">
        <v>14693</v>
      </c>
      <c r="G14" s="78" t="s">
        <v>14694</v>
      </c>
      <c r="H14" s="78">
        <v>3000</v>
      </c>
      <c r="I14" s="77"/>
    </row>
    <row r="15">
      <c r="A15" s="78" t="s">
        <v>14695</v>
      </c>
      <c r="B15" s="78" t="s">
        <v>14696</v>
      </c>
      <c r="C15" s="78" t="s">
        <v>14697</v>
      </c>
      <c r="D15" s="78" t="s">
        <v>14648</v>
      </c>
      <c r="E15" s="78" t="s">
        <v>14692</v>
      </c>
      <c r="F15" s="78" t="s">
        <v>14693</v>
      </c>
      <c r="G15" s="78" t="s">
        <v>14694</v>
      </c>
      <c r="H15" s="78">
        <v>3000</v>
      </c>
      <c r="I15" s="77"/>
    </row>
    <row r="16">
      <c r="A16" s="78" t="s">
        <v>14698</v>
      </c>
      <c r="B16" s="78" t="s">
        <v>14699</v>
      </c>
      <c r="C16" s="78" t="s">
        <v>14700</v>
      </c>
      <c r="D16" s="78" t="s">
        <v>14648</v>
      </c>
      <c r="E16" s="78" t="s">
        <v>14701</v>
      </c>
      <c r="F16" s="78" t="s">
        <v>14702</v>
      </c>
      <c r="G16" s="78" t="s">
        <v>14703</v>
      </c>
      <c r="H16" s="78">
        <v>0</v>
      </c>
      <c r="I16" s="77"/>
    </row>
    <row r="17">
      <c r="A17" s="78" t="s">
        <v>14704</v>
      </c>
      <c r="B17" s="78" t="s">
        <v>14705</v>
      </c>
      <c r="C17" s="78" t="s">
        <v>14706</v>
      </c>
      <c r="D17" s="78" t="s">
        <v>14648</v>
      </c>
      <c r="E17" s="78" t="s">
        <v>14707</v>
      </c>
      <c r="F17" s="78" t="s">
        <v>14702</v>
      </c>
      <c r="G17" s="78" t="s">
        <v>14703</v>
      </c>
      <c r="H17" s="78">
        <v>1500</v>
      </c>
      <c r="I17" s="77"/>
    </row>
    <row r="18">
      <c r="A18" s="78" t="s">
        <v>14708</v>
      </c>
      <c r="B18" s="78" t="s">
        <v>14709</v>
      </c>
      <c r="C18" s="78" t="s">
        <v>14710</v>
      </c>
      <c r="D18" s="78" t="s">
        <v>14648</v>
      </c>
      <c r="E18" s="78" t="s">
        <v>14711</v>
      </c>
      <c r="F18" s="78" t="s">
        <v>14712</v>
      </c>
      <c r="G18" s="78" t="s">
        <v>14713</v>
      </c>
      <c r="H18" s="78">
        <v>2000</v>
      </c>
      <c r="I18" s="77"/>
    </row>
    <row r="19">
      <c r="A19" s="78" t="s">
        <v>14714</v>
      </c>
      <c r="B19" s="78" t="s">
        <v>14715</v>
      </c>
      <c r="C19" s="78" t="s">
        <v>14716</v>
      </c>
      <c r="D19" s="78" t="s">
        <v>14648</v>
      </c>
      <c r="E19" s="78" t="s">
        <v>14717</v>
      </c>
      <c r="F19" s="78" t="s">
        <v>14718</v>
      </c>
      <c r="G19" s="78" t="s">
        <v>14703</v>
      </c>
      <c r="H19" s="78">
        <v>3000</v>
      </c>
      <c r="I19" s="77"/>
    </row>
    <row r="20">
      <c r="A20" s="78" t="s">
        <v>14719</v>
      </c>
      <c r="B20" s="78" t="s">
        <v>14720</v>
      </c>
      <c r="C20" s="78" t="s">
        <v>14721</v>
      </c>
      <c r="D20" s="78" t="s">
        <v>14648</v>
      </c>
      <c r="E20" s="78" t="s">
        <v>14722</v>
      </c>
      <c r="F20" s="78" t="s">
        <v>14723</v>
      </c>
      <c r="G20" s="78" t="s">
        <v>14703</v>
      </c>
      <c r="H20" s="78">
        <v>0</v>
      </c>
      <c r="I20" s="77"/>
    </row>
    <row r="21">
      <c r="A21" s="78" t="s">
        <v>14724</v>
      </c>
      <c r="B21" s="78" t="s">
        <v>14725</v>
      </c>
      <c r="C21" s="78" t="s">
        <v>14726</v>
      </c>
      <c r="D21" s="78" t="s">
        <v>14648</v>
      </c>
      <c r="E21" s="78" t="s">
        <v>14727</v>
      </c>
      <c r="F21" s="78" t="s">
        <v>14728</v>
      </c>
      <c r="G21" s="78" t="s">
        <v>14703</v>
      </c>
      <c r="H21" s="78">
        <v>0</v>
      </c>
      <c r="I21" s="77"/>
    </row>
    <row r="22">
      <c r="A22" s="78" t="s">
        <v>14729</v>
      </c>
      <c r="B22" s="78" t="s">
        <v>14730</v>
      </c>
      <c r="C22" s="78" t="s">
        <v>14731</v>
      </c>
      <c r="D22" s="78" t="s">
        <v>14648</v>
      </c>
      <c r="E22" s="78" t="s">
        <v>14732</v>
      </c>
      <c r="F22" s="78" t="s">
        <v>14733</v>
      </c>
      <c r="G22" s="78" t="s">
        <v>14734</v>
      </c>
      <c r="H22" s="78">
        <v>5000</v>
      </c>
      <c r="I22" s="77"/>
    </row>
    <row r="23">
      <c r="A23" s="78" t="s">
        <v>14735</v>
      </c>
      <c r="B23" s="78" t="s">
        <v>14736</v>
      </c>
      <c r="C23" s="78" t="s">
        <v>14737</v>
      </c>
      <c r="D23" s="78" t="s">
        <v>14648</v>
      </c>
      <c r="E23" s="78" t="s">
        <v>14738</v>
      </c>
      <c r="F23" s="78" t="s">
        <v>14728</v>
      </c>
      <c r="G23" s="78" t="s">
        <v>14703</v>
      </c>
      <c r="H23" s="78">
        <v>5000</v>
      </c>
      <c r="I23" s="77"/>
    </row>
    <row r="24">
      <c r="A24" s="78" t="s">
        <v>14739</v>
      </c>
      <c r="B24" s="78" t="s">
        <v>14740</v>
      </c>
      <c r="C24" s="78" t="s">
        <v>14741</v>
      </c>
      <c r="D24" s="78" t="s">
        <v>14648</v>
      </c>
      <c r="E24" s="78" t="s">
        <v>14742</v>
      </c>
      <c r="F24" s="78" t="s">
        <v>14743</v>
      </c>
      <c r="G24" s="78" t="s">
        <v>14744</v>
      </c>
      <c r="H24" s="78">
        <v>3000</v>
      </c>
      <c r="I24" s="77"/>
    </row>
    <row r="25">
      <c r="A25" s="78" t="s">
        <v>14745</v>
      </c>
      <c r="B25" s="78" t="s">
        <v>14746</v>
      </c>
      <c r="C25" s="78" t="s">
        <v>14747</v>
      </c>
      <c r="D25" s="78" t="s">
        <v>14648</v>
      </c>
      <c r="E25" s="78" t="s">
        <v>14748</v>
      </c>
      <c r="F25" s="78" t="s">
        <v>14743</v>
      </c>
      <c r="G25" s="78" t="s">
        <v>14744</v>
      </c>
      <c r="H25" s="78">
        <v>3000</v>
      </c>
      <c r="I25" s="77"/>
    </row>
    <row r="26">
      <c r="A26" s="78" t="s">
        <v>14749</v>
      </c>
      <c r="B26" s="78" t="s">
        <v>14750</v>
      </c>
      <c r="C26" s="78" t="s">
        <v>14751</v>
      </c>
      <c r="D26" s="78" t="s">
        <v>14648</v>
      </c>
      <c r="E26" s="78" t="s">
        <v>14752</v>
      </c>
      <c r="F26" s="78" t="s">
        <v>14743</v>
      </c>
      <c r="G26" s="78" t="s">
        <v>14744</v>
      </c>
      <c r="H26" s="78">
        <v>2100</v>
      </c>
      <c r="I26" s="77"/>
    </row>
    <row r="27">
      <c r="A27" s="78" t="s">
        <v>14753</v>
      </c>
      <c r="B27" s="78" t="s">
        <v>14754</v>
      </c>
      <c r="C27" s="78" t="s">
        <v>14755</v>
      </c>
      <c r="D27" s="78" t="s">
        <v>14648</v>
      </c>
      <c r="E27" s="78" t="s">
        <v>14742</v>
      </c>
      <c r="F27" s="78" t="s">
        <v>14756</v>
      </c>
      <c r="G27" s="78" t="s">
        <v>14744</v>
      </c>
      <c r="H27" s="78">
        <v>5000</v>
      </c>
      <c r="I27" s="77"/>
    </row>
    <row r="28">
      <c r="A28" s="78" t="s">
        <v>14757</v>
      </c>
      <c r="B28" s="78" t="s">
        <v>14758</v>
      </c>
      <c r="C28" s="78" t="s">
        <v>14759</v>
      </c>
      <c r="D28" s="78" t="s">
        <v>14648</v>
      </c>
      <c r="E28" s="78" t="s">
        <v>14760</v>
      </c>
      <c r="F28" s="78" t="s">
        <v>14756</v>
      </c>
      <c r="G28" s="78" t="s">
        <v>14744</v>
      </c>
      <c r="H28" s="78">
        <v>3000</v>
      </c>
      <c r="I28" s="77"/>
    </row>
    <row r="29">
      <c r="A29" s="78" t="s">
        <v>14761</v>
      </c>
      <c r="B29" s="78" t="s">
        <v>14762</v>
      </c>
      <c r="C29" s="78" t="s">
        <v>14763</v>
      </c>
      <c r="D29" s="78" t="s">
        <v>14648</v>
      </c>
      <c r="E29" s="78" t="s">
        <v>14760</v>
      </c>
      <c r="F29" s="78" t="s">
        <v>14756</v>
      </c>
      <c r="G29" s="78" t="s">
        <v>14744</v>
      </c>
      <c r="H29" s="78">
        <v>3000</v>
      </c>
      <c r="I29" s="77"/>
    </row>
    <row r="30">
      <c r="A30" s="78" t="s">
        <v>14764</v>
      </c>
      <c r="B30" s="78" t="s">
        <v>14765</v>
      </c>
      <c r="C30" s="78" t="s">
        <v>14766</v>
      </c>
      <c r="D30" s="78" t="s">
        <v>14648</v>
      </c>
      <c r="E30" s="78" t="s">
        <v>14760</v>
      </c>
      <c r="F30" s="78" t="s">
        <v>14756</v>
      </c>
      <c r="G30" s="78" t="s">
        <v>14744</v>
      </c>
      <c r="H30" s="78">
        <v>3000</v>
      </c>
      <c r="I30" s="77"/>
    </row>
    <row r="31">
      <c r="A31" s="78" t="s">
        <v>14767</v>
      </c>
      <c r="B31" s="78" t="s">
        <v>14768</v>
      </c>
      <c r="C31" s="78" t="s">
        <v>14769</v>
      </c>
      <c r="D31" s="78" t="s">
        <v>14648</v>
      </c>
      <c r="E31" s="78" t="s">
        <v>14770</v>
      </c>
      <c r="F31" s="78" t="s">
        <v>14771</v>
      </c>
      <c r="G31" s="78" t="s">
        <v>14772</v>
      </c>
      <c r="H31" s="78">
        <v>300</v>
      </c>
      <c r="I31" s="77"/>
    </row>
    <row r="32">
      <c r="A32" s="78" t="s">
        <v>14773</v>
      </c>
      <c r="B32" s="78" t="s">
        <v>14774</v>
      </c>
      <c r="C32" s="78" t="s">
        <v>14775</v>
      </c>
      <c r="D32" s="78" t="s">
        <v>14648</v>
      </c>
      <c r="E32" s="78" t="s">
        <v>14776</v>
      </c>
      <c r="F32" s="78" t="s">
        <v>14771</v>
      </c>
      <c r="G32" s="78" t="s">
        <v>14772</v>
      </c>
      <c r="H32" s="78">
        <v>300</v>
      </c>
      <c r="I32" s="77"/>
    </row>
    <row r="33">
      <c r="A33" s="78" t="s">
        <v>14777</v>
      </c>
      <c r="B33" s="78" t="s">
        <v>14778</v>
      </c>
      <c r="C33" s="78" t="s">
        <v>14779</v>
      </c>
      <c r="D33" s="78" t="s">
        <v>14648</v>
      </c>
      <c r="E33" s="78" t="s">
        <v>14780</v>
      </c>
      <c r="F33" s="78" t="s">
        <v>14781</v>
      </c>
      <c r="G33" s="78" t="s">
        <v>14782</v>
      </c>
      <c r="H33" s="78">
        <v>1200</v>
      </c>
      <c r="I33" s="77"/>
    </row>
    <row r="34">
      <c r="A34" s="78" t="s">
        <v>14783</v>
      </c>
      <c r="B34" s="78" t="s">
        <v>14784</v>
      </c>
      <c r="C34" s="78" t="s">
        <v>14785</v>
      </c>
      <c r="D34" s="78" t="s">
        <v>14648</v>
      </c>
      <c r="E34" s="78" t="s">
        <v>14786</v>
      </c>
      <c r="F34" s="78" t="s">
        <v>14771</v>
      </c>
      <c r="G34" s="78" t="s">
        <v>14772</v>
      </c>
      <c r="H34" s="78">
        <v>200</v>
      </c>
      <c r="I34" s="77"/>
    </row>
    <row r="35">
      <c r="A35" s="78" t="s">
        <v>14787</v>
      </c>
      <c r="B35" s="78" t="s">
        <v>14788</v>
      </c>
      <c r="C35" s="78" t="s">
        <v>14789</v>
      </c>
      <c r="D35" s="78" t="s">
        <v>14648</v>
      </c>
      <c r="E35" s="78" t="s">
        <v>14790</v>
      </c>
      <c r="F35" s="78" t="s">
        <v>14791</v>
      </c>
      <c r="G35" s="78" t="s">
        <v>14734</v>
      </c>
      <c r="H35" s="78">
        <v>10000</v>
      </c>
      <c r="I35" s="77"/>
    </row>
    <row r="36">
      <c r="A36" s="78" t="s">
        <v>14792</v>
      </c>
      <c r="B36" s="78" t="s">
        <v>14793</v>
      </c>
      <c r="C36" s="78" t="s">
        <v>14794</v>
      </c>
      <c r="D36" s="78" t="s">
        <v>14648</v>
      </c>
      <c r="E36" s="78" t="s">
        <v>14795</v>
      </c>
      <c r="F36" s="78" t="s">
        <v>14712</v>
      </c>
      <c r="G36" s="78" t="s">
        <v>14796</v>
      </c>
      <c r="H36" s="78">
        <v>5000</v>
      </c>
      <c r="I36" s="77"/>
    </row>
    <row r="37">
      <c r="A37" s="78" t="s">
        <v>14797</v>
      </c>
      <c r="B37" s="78" t="s">
        <v>14798</v>
      </c>
      <c r="C37" s="78" t="s">
        <v>14799</v>
      </c>
      <c r="D37" s="78" t="s">
        <v>14648</v>
      </c>
      <c r="E37" s="78" t="s">
        <v>14707</v>
      </c>
      <c r="F37" s="78" t="s">
        <v>14702</v>
      </c>
      <c r="G37" s="78" t="s">
        <v>14703</v>
      </c>
      <c r="H37" s="78">
        <v>5000</v>
      </c>
      <c r="I37" s="77"/>
    </row>
    <row r="38">
      <c r="A38" s="78" t="s">
        <v>14800</v>
      </c>
      <c r="B38" s="78" t="s">
        <v>14801</v>
      </c>
      <c r="C38" s="78" t="s">
        <v>14802</v>
      </c>
      <c r="D38" s="78" t="s">
        <v>14648</v>
      </c>
      <c r="E38" s="78" t="s">
        <v>14803</v>
      </c>
      <c r="F38" s="78" t="s">
        <v>14804</v>
      </c>
      <c r="G38" s="78" t="s">
        <v>14772</v>
      </c>
      <c r="H38" s="78">
        <v>3000</v>
      </c>
      <c r="I38" s="77"/>
    </row>
    <row r="39">
      <c r="A39" s="78" t="s">
        <v>14805</v>
      </c>
      <c r="B39" s="78" t="s">
        <v>14806</v>
      </c>
      <c r="C39" s="78" t="s">
        <v>14807</v>
      </c>
      <c r="D39" s="78" t="s">
        <v>14648</v>
      </c>
      <c r="E39" s="78" t="s">
        <v>14808</v>
      </c>
      <c r="F39" s="78" t="s">
        <v>14809</v>
      </c>
      <c r="G39" s="78" t="s">
        <v>14772</v>
      </c>
      <c r="H39" s="78">
        <v>5000</v>
      </c>
      <c r="I39" s="77"/>
    </row>
    <row r="40">
      <c r="A40" s="78" t="s">
        <v>14810</v>
      </c>
      <c r="B40" s="78" t="s">
        <v>14811</v>
      </c>
      <c r="C40" s="78" t="s">
        <v>14812</v>
      </c>
      <c r="D40" s="78" t="s">
        <v>14648</v>
      </c>
      <c r="E40" s="78" t="s">
        <v>14803</v>
      </c>
      <c r="F40" s="78" t="s">
        <v>14804</v>
      </c>
      <c r="G40" s="78" t="s">
        <v>14772</v>
      </c>
      <c r="H40" s="78">
        <v>3000</v>
      </c>
      <c r="I40" s="77"/>
    </row>
    <row r="41">
      <c r="A41" s="78" t="s">
        <v>14813</v>
      </c>
      <c r="B41" s="78" t="s">
        <v>14814</v>
      </c>
      <c r="C41" s="78" t="s">
        <v>14815</v>
      </c>
      <c r="D41" s="78" t="s">
        <v>14648</v>
      </c>
      <c r="E41" s="78" t="s">
        <v>14816</v>
      </c>
      <c r="F41" s="78" t="s">
        <v>14809</v>
      </c>
      <c r="G41" s="78" t="s">
        <v>14772</v>
      </c>
      <c r="H41" s="78">
        <v>3000</v>
      </c>
      <c r="I41" s="77"/>
    </row>
    <row r="42">
      <c r="A42" s="78" t="s">
        <v>14817</v>
      </c>
      <c r="B42" s="78" t="s">
        <v>14818</v>
      </c>
      <c r="C42" s="78" t="s">
        <v>14819</v>
      </c>
      <c r="D42" s="78" t="s">
        <v>14648</v>
      </c>
      <c r="E42" s="78" t="s">
        <v>14820</v>
      </c>
      <c r="F42" s="78" t="s">
        <v>14821</v>
      </c>
      <c r="G42" s="78" t="s">
        <v>14772</v>
      </c>
      <c r="H42" s="78">
        <v>4000</v>
      </c>
      <c r="I42" s="77"/>
    </row>
    <row r="43">
      <c r="A43" s="78" t="s">
        <v>14822</v>
      </c>
      <c r="B43" s="78" t="s">
        <v>14823</v>
      </c>
      <c r="C43" s="78" t="s">
        <v>14824</v>
      </c>
      <c r="D43" s="78" t="s">
        <v>14648</v>
      </c>
      <c r="E43" s="78" t="s">
        <v>14825</v>
      </c>
      <c r="F43" s="78" t="s">
        <v>14821</v>
      </c>
      <c r="G43" s="78" t="s">
        <v>14772</v>
      </c>
      <c r="H43" s="78">
        <v>3000</v>
      </c>
      <c r="I43" s="77"/>
    </row>
    <row r="44">
      <c r="A44" s="78" t="s">
        <v>14826</v>
      </c>
      <c r="B44" s="78" t="s">
        <v>14827</v>
      </c>
      <c r="C44" s="78" t="s">
        <v>14828</v>
      </c>
      <c r="D44" s="78" t="s">
        <v>14648</v>
      </c>
      <c r="E44" s="78" t="s">
        <v>14825</v>
      </c>
      <c r="F44" s="78" t="s">
        <v>14821</v>
      </c>
      <c r="G44" s="78" t="s">
        <v>14772</v>
      </c>
      <c r="H44" s="78">
        <v>3000</v>
      </c>
      <c r="I44" s="77"/>
    </row>
    <row r="45">
      <c r="A45" s="78" t="s">
        <v>14829</v>
      </c>
      <c r="B45" s="78" t="s">
        <v>14830</v>
      </c>
      <c r="C45" s="78" t="s">
        <v>14831</v>
      </c>
      <c r="D45" s="78" t="s">
        <v>14648</v>
      </c>
      <c r="E45" s="78" t="s">
        <v>14832</v>
      </c>
      <c r="F45" s="78" t="s">
        <v>14833</v>
      </c>
      <c r="G45" s="78" t="s">
        <v>14834</v>
      </c>
      <c r="H45" s="78">
        <v>3800</v>
      </c>
      <c r="I45" s="77"/>
    </row>
    <row r="46">
      <c r="A46" s="78" t="s">
        <v>14835</v>
      </c>
      <c r="B46" s="78" t="s">
        <v>14836</v>
      </c>
      <c r="C46" s="78" t="s">
        <v>14837</v>
      </c>
      <c r="D46" s="78" t="s">
        <v>14648</v>
      </c>
      <c r="E46" s="78" t="s">
        <v>14838</v>
      </c>
      <c r="F46" s="78" t="s">
        <v>14839</v>
      </c>
      <c r="G46" s="78" t="s">
        <v>14834</v>
      </c>
      <c r="H46" s="78">
        <v>4500</v>
      </c>
      <c r="I46" s="77"/>
    </row>
    <row r="47">
      <c r="A47" s="78" t="s">
        <v>14840</v>
      </c>
      <c r="B47" s="78" t="s">
        <v>14841</v>
      </c>
      <c r="C47" s="78" t="s">
        <v>14842</v>
      </c>
      <c r="D47" s="78" t="s">
        <v>14648</v>
      </c>
      <c r="E47" s="78" t="s">
        <v>14843</v>
      </c>
      <c r="F47" s="78" t="s">
        <v>14839</v>
      </c>
      <c r="G47" s="78" t="s">
        <v>14834</v>
      </c>
      <c r="H47" s="78">
        <v>3400</v>
      </c>
      <c r="I47" s="77"/>
      <c r="J47" s="77"/>
    </row>
    <row r="48">
      <c r="A48" s="78" t="s">
        <v>14844</v>
      </c>
      <c r="B48" s="78" t="s">
        <v>14845</v>
      </c>
      <c r="C48" s="78" t="s">
        <v>14846</v>
      </c>
      <c r="D48" s="78" t="s">
        <v>14648</v>
      </c>
      <c r="E48" s="78" t="s">
        <v>14847</v>
      </c>
      <c r="F48" s="78" t="s">
        <v>14848</v>
      </c>
      <c r="G48" s="78" t="s">
        <v>14834</v>
      </c>
      <c r="H48" s="78">
        <v>2000</v>
      </c>
      <c r="I48" s="77"/>
    </row>
    <row r="49">
      <c r="A49" s="78" t="s">
        <v>14849</v>
      </c>
      <c r="B49" s="78" t="s">
        <v>14850</v>
      </c>
      <c r="C49" s="78" t="s">
        <v>14851</v>
      </c>
      <c r="D49" s="78" t="s">
        <v>14648</v>
      </c>
      <c r="E49" s="78" t="s">
        <v>14847</v>
      </c>
      <c r="F49" s="78" t="s">
        <v>14839</v>
      </c>
      <c r="G49" s="78" t="s">
        <v>14834</v>
      </c>
      <c r="H49" s="78">
        <v>3500</v>
      </c>
      <c r="I49" s="77"/>
    </row>
    <row r="50">
      <c r="A50" s="78" t="s">
        <v>14852</v>
      </c>
      <c r="B50" s="78" t="s">
        <v>14853</v>
      </c>
      <c r="C50" s="78" t="s">
        <v>14854</v>
      </c>
      <c r="D50" s="78" t="s">
        <v>14648</v>
      </c>
      <c r="E50" s="78" t="s">
        <v>14847</v>
      </c>
      <c r="F50" s="78" t="s">
        <v>14855</v>
      </c>
      <c r="G50" s="78" t="s">
        <v>14834</v>
      </c>
      <c r="H50" s="78">
        <v>2700</v>
      </c>
      <c r="I50" s="77"/>
    </row>
    <row r="51">
      <c r="A51" s="78" t="s">
        <v>14856</v>
      </c>
      <c r="B51" s="78" t="s">
        <v>14857</v>
      </c>
      <c r="C51" s="78" t="s">
        <v>14858</v>
      </c>
      <c r="D51" s="78" t="s">
        <v>14648</v>
      </c>
      <c r="E51" s="78" t="s">
        <v>14832</v>
      </c>
      <c r="F51" s="78" t="s">
        <v>14859</v>
      </c>
      <c r="G51" s="78" t="s">
        <v>14834</v>
      </c>
      <c r="H51" s="78">
        <v>4000</v>
      </c>
      <c r="I51" s="77"/>
    </row>
    <row r="52">
      <c r="A52" s="78" t="s">
        <v>14860</v>
      </c>
      <c r="B52" s="78" t="s">
        <v>14861</v>
      </c>
      <c r="C52" s="78" t="s">
        <v>14862</v>
      </c>
      <c r="D52" s="78" t="s">
        <v>14648</v>
      </c>
      <c r="E52" s="78" t="s">
        <v>14832</v>
      </c>
      <c r="F52" s="78" t="s">
        <v>14855</v>
      </c>
      <c r="G52" s="78" t="s">
        <v>14834</v>
      </c>
      <c r="H52" s="78">
        <v>2000</v>
      </c>
      <c r="I52" s="77"/>
    </row>
    <row r="53">
      <c r="A53" s="78" t="s">
        <v>14863</v>
      </c>
      <c r="B53" s="78" t="s">
        <v>14864</v>
      </c>
      <c r="C53" s="78" t="s">
        <v>14865</v>
      </c>
      <c r="D53" s="78" t="s">
        <v>14648</v>
      </c>
      <c r="E53" s="78" t="s">
        <v>14866</v>
      </c>
      <c r="F53" s="78" t="s">
        <v>14867</v>
      </c>
      <c r="G53" s="78" t="s">
        <v>14734</v>
      </c>
      <c r="H53" s="78">
        <v>2200</v>
      </c>
      <c r="I53" s="77"/>
    </row>
    <row r="54">
      <c r="A54" s="78" t="s">
        <v>14868</v>
      </c>
      <c r="B54" s="78" t="s">
        <v>14869</v>
      </c>
      <c r="C54" s="78" t="s">
        <v>14870</v>
      </c>
      <c r="D54" s="78" t="s">
        <v>14648</v>
      </c>
      <c r="E54" s="78" t="s">
        <v>14871</v>
      </c>
      <c r="F54" s="78" t="s">
        <v>14872</v>
      </c>
      <c r="G54" s="78" t="s">
        <v>14734</v>
      </c>
      <c r="H54" s="78">
        <v>2000</v>
      </c>
      <c r="I54" s="77"/>
    </row>
    <row r="55">
      <c r="A55" s="78" t="s">
        <v>14873</v>
      </c>
      <c r="B55" s="78" t="s">
        <v>14874</v>
      </c>
      <c r="C55" s="78" t="s">
        <v>14875</v>
      </c>
      <c r="D55" s="78" t="s">
        <v>14648</v>
      </c>
      <c r="E55" s="78" t="s">
        <v>14876</v>
      </c>
      <c r="F55" s="78" t="s">
        <v>14877</v>
      </c>
      <c r="G55" s="78" t="s">
        <v>14782</v>
      </c>
      <c r="H55" s="78">
        <v>3000</v>
      </c>
      <c r="I55" s="77"/>
    </row>
    <row r="56">
      <c r="A56" s="78" t="s">
        <v>14878</v>
      </c>
      <c r="B56" s="78" t="s">
        <v>14879</v>
      </c>
      <c r="C56" s="78" t="s">
        <v>14880</v>
      </c>
      <c r="D56" s="78" t="s">
        <v>14648</v>
      </c>
      <c r="E56" s="78" t="s">
        <v>14876</v>
      </c>
      <c r="F56" s="78" t="s">
        <v>14877</v>
      </c>
      <c r="G56" s="78" t="s">
        <v>14782</v>
      </c>
      <c r="H56" s="78">
        <v>3000</v>
      </c>
      <c r="I56" s="77"/>
    </row>
    <row r="57">
      <c r="A57" s="78" t="s">
        <v>14881</v>
      </c>
      <c r="B57" s="78" t="s">
        <v>14882</v>
      </c>
      <c r="C57" s="78" t="s">
        <v>14883</v>
      </c>
      <c r="D57" s="78" t="s">
        <v>14648</v>
      </c>
      <c r="E57" s="78" t="s">
        <v>14884</v>
      </c>
      <c r="F57" s="78" t="s">
        <v>14885</v>
      </c>
      <c r="G57" s="78" t="s">
        <v>14734</v>
      </c>
      <c r="H57" s="78">
        <v>5000</v>
      </c>
      <c r="I57" s="77"/>
    </row>
    <row r="58">
      <c r="A58" s="78" t="s">
        <v>14886</v>
      </c>
      <c r="B58" s="78" t="s">
        <v>14887</v>
      </c>
      <c r="C58" s="78" t="s">
        <v>14888</v>
      </c>
      <c r="D58" s="78" t="s">
        <v>14648</v>
      </c>
      <c r="E58" s="78" t="s">
        <v>14732</v>
      </c>
      <c r="F58" s="78" t="s">
        <v>14889</v>
      </c>
      <c r="G58" s="78" t="s">
        <v>14890</v>
      </c>
      <c r="H58" s="78">
        <v>5000</v>
      </c>
      <c r="I58" s="77"/>
    </row>
    <row r="59">
      <c r="A59" s="78" t="s">
        <v>14891</v>
      </c>
      <c r="B59" s="78" t="s">
        <v>14892</v>
      </c>
      <c r="C59" s="78" t="s">
        <v>14893</v>
      </c>
      <c r="D59" s="78" t="s">
        <v>14648</v>
      </c>
      <c r="E59" s="78" t="s">
        <v>14884</v>
      </c>
      <c r="F59" s="78" t="s">
        <v>14894</v>
      </c>
      <c r="G59" s="78" t="s">
        <v>14734</v>
      </c>
      <c r="H59" s="78">
        <v>5000</v>
      </c>
      <c r="I59" s="77"/>
    </row>
    <row r="60">
      <c r="A60" s="78" t="s">
        <v>14895</v>
      </c>
      <c r="B60" s="78" t="s">
        <v>14896</v>
      </c>
      <c r="C60" s="78" t="s">
        <v>14897</v>
      </c>
      <c r="D60" s="78" t="s">
        <v>14648</v>
      </c>
      <c r="E60" s="78" t="s">
        <v>14898</v>
      </c>
      <c r="F60" s="78" t="s">
        <v>14867</v>
      </c>
      <c r="G60" s="78" t="s">
        <v>14734</v>
      </c>
      <c r="H60" s="78">
        <v>1000</v>
      </c>
      <c r="I60" s="77"/>
    </row>
    <row r="61">
      <c r="A61" s="78" t="s">
        <v>14899</v>
      </c>
      <c r="B61" s="78" t="s">
        <v>14900</v>
      </c>
      <c r="C61" s="78" t="s">
        <v>14901</v>
      </c>
      <c r="D61" s="78" t="s">
        <v>14648</v>
      </c>
      <c r="E61" s="78" t="s">
        <v>14902</v>
      </c>
      <c r="F61" s="78" t="s">
        <v>14903</v>
      </c>
      <c r="G61" s="78" t="s">
        <v>14734</v>
      </c>
      <c r="H61" s="78">
        <v>10000</v>
      </c>
      <c r="I61" s="77"/>
    </row>
    <row r="62">
      <c r="A62" s="78" t="s">
        <v>14904</v>
      </c>
      <c r="B62" s="78" t="s">
        <v>14905</v>
      </c>
      <c r="C62" s="78" t="s">
        <v>14906</v>
      </c>
      <c r="D62" s="78" t="s">
        <v>14648</v>
      </c>
      <c r="E62" s="78" t="s">
        <v>14898</v>
      </c>
      <c r="F62" s="78" t="s">
        <v>14867</v>
      </c>
      <c r="G62" s="78" t="s">
        <v>14734</v>
      </c>
      <c r="H62" s="78">
        <v>1000</v>
      </c>
      <c r="I62" s="77"/>
    </row>
    <row r="63">
      <c r="A63" s="78" t="s">
        <v>14907</v>
      </c>
      <c r="B63" s="78" t="s">
        <v>14908</v>
      </c>
      <c r="C63" s="78" t="s">
        <v>14909</v>
      </c>
      <c r="D63" s="78" t="s">
        <v>14648</v>
      </c>
      <c r="E63" s="78" t="s">
        <v>14910</v>
      </c>
      <c r="F63" s="78" t="s">
        <v>14867</v>
      </c>
      <c r="G63" s="78" t="s">
        <v>14734</v>
      </c>
      <c r="H63" s="78">
        <v>2000</v>
      </c>
      <c r="I63" s="77"/>
    </row>
    <row r="64">
      <c r="A64" s="78" t="s">
        <v>14911</v>
      </c>
      <c r="B64" s="78" t="s">
        <v>14912</v>
      </c>
      <c r="C64" s="78" t="s">
        <v>14913</v>
      </c>
      <c r="D64" s="78" t="s">
        <v>14648</v>
      </c>
      <c r="E64" s="78" t="s">
        <v>14914</v>
      </c>
      <c r="F64" s="78" t="s">
        <v>14877</v>
      </c>
      <c r="G64" s="78" t="s">
        <v>14782</v>
      </c>
      <c r="H64" s="78">
        <v>5000</v>
      </c>
      <c r="I64" s="77"/>
    </row>
    <row r="65">
      <c r="A65" s="78" t="s">
        <v>14915</v>
      </c>
      <c r="B65" s="78" t="s">
        <v>14916</v>
      </c>
      <c r="C65" s="78" t="s">
        <v>14917</v>
      </c>
      <c r="D65" s="78" t="s">
        <v>14648</v>
      </c>
      <c r="E65" s="78" t="s">
        <v>14918</v>
      </c>
      <c r="F65" s="78" t="s">
        <v>14877</v>
      </c>
      <c r="G65" s="78" t="s">
        <v>14782</v>
      </c>
      <c r="H65" s="78">
        <v>5000</v>
      </c>
      <c r="I65" s="77"/>
    </row>
    <row r="66">
      <c r="A66" s="78" t="s">
        <v>14919</v>
      </c>
      <c r="B66" s="78" t="s">
        <v>14920</v>
      </c>
      <c r="C66" s="78" t="s">
        <v>14921</v>
      </c>
      <c r="D66" s="78" t="s">
        <v>14648</v>
      </c>
      <c r="E66" s="78" t="s">
        <v>14898</v>
      </c>
      <c r="F66" s="78" t="s">
        <v>14922</v>
      </c>
      <c r="G66" s="78" t="s">
        <v>14923</v>
      </c>
      <c r="H66" s="78">
        <v>1000</v>
      </c>
      <c r="I66" s="77"/>
    </row>
    <row r="67">
      <c r="A67" s="78" t="s">
        <v>14924</v>
      </c>
      <c r="B67" s="78" t="s">
        <v>14925</v>
      </c>
      <c r="C67" s="78" t="s">
        <v>14926</v>
      </c>
      <c r="D67" s="78" t="s">
        <v>14648</v>
      </c>
      <c r="E67" s="78" t="s">
        <v>14910</v>
      </c>
      <c r="F67" s="78" t="s">
        <v>14922</v>
      </c>
      <c r="G67" s="78" t="s">
        <v>14923</v>
      </c>
      <c r="H67" s="78">
        <v>2000</v>
      </c>
      <c r="I67" s="77"/>
    </row>
    <row r="68">
      <c r="A68" s="78" t="s">
        <v>14927</v>
      </c>
      <c r="B68" s="78" t="s">
        <v>14928</v>
      </c>
      <c r="C68" s="78" t="s">
        <v>14929</v>
      </c>
      <c r="D68" s="78" t="s">
        <v>14648</v>
      </c>
      <c r="E68" s="78" t="s">
        <v>14930</v>
      </c>
      <c r="F68" s="78" t="s">
        <v>14867</v>
      </c>
      <c r="G68" s="78" t="s">
        <v>14931</v>
      </c>
      <c r="H68" s="78">
        <v>55000</v>
      </c>
      <c r="I68" s="77"/>
    </row>
    <row r="69">
      <c r="A69" s="78" t="s">
        <v>14932</v>
      </c>
      <c r="B69" s="78" t="s">
        <v>14933</v>
      </c>
      <c r="C69" s="78" t="s">
        <v>14934</v>
      </c>
      <c r="D69" s="78" t="s">
        <v>14648</v>
      </c>
      <c r="E69" s="78" t="s">
        <v>14902</v>
      </c>
      <c r="F69" s="78" t="s">
        <v>14922</v>
      </c>
      <c r="G69" s="78" t="s">
        <v>14923</v>
      </c>
      <c r="H69" s="78">
        <v>10000</v>
      </c>
      <c r="I69" s="77"/>
    </row>
    <row r="70">
      <c r="A70" s="78" t="s">
        <v>14935</v>
      </c>
      <c r="B70" s="78" t="s">
        <v>14936</v>
      </c>
      <c r="C70" s="78" t="s">
        <v>14937</v>
      </c>
      <c r="D70" s="78" t="s">
        <v>14648</v>
      </c>
      <c r="E70" s="78" t="s">
        <v>14884</v>
      </c>
      <c r="F70" s="78" t="s">
        <v>14938</v>
      </c>
      <c r="G70" s="78" t="s">
        <v>14923</v>
      </c>
      <c r="H70" s="78">
        <v>5000</v>
      </c>
      <c r="I70" s="77"/>
    </row>
    <row r="71">
      <c r="A71" s="78" t="s">
        <v>14939</v>
      </c>
      <c r="B71" s="78" t="s">
        <v>14940</v>
      </c>
      <c r="C71" s="78" t="s">
        <v>14941</v>
      </c>
      <c r="D71" s="78" t="s">
        <v>14648</v>
      </c>
      <c r="E71" s="78" t="s">
        <v>14942</v>
      </c>
      <c r="F71" s="78" t="s">
        <v>14943</v>
      </c>
      <c r="G71" s="78" t="s">
        <v>14923</v>
      </c>
      <c r="H71" s="78">
        <v>3000</v>
      </c>
      <c r="I71" s="77"/>
    </row>
    <row r="72">
      <c r="A72" s="78" t="s">
        <v>14944</v>
      </c>
      <c r="B72" s="78" t="s">
        <v>14945</v>
      </c>
      <c r="C72" s="78" t="s">
        <v>14946</v>
      </c>
      <c r="D72" s="78" t="s">
        <v>14648</v>
      </c>
      <c r="E72" s="78" t="s">
        <v>14871</v>
      </c>
      <c r="F72" s="78" t="s">
        <v>14894</v>
      </c>
      <c r="G72" s="78" t="s">
        <v>14734</v>
      </c>
      <c r="H72" s="78">
        <v>2000</v>
      </c>
      <c r="I72" s="77"/>
    </row>
    <row r="73">
      <c r="A73" s="78" t="s">
        <v>14947</v>
      </c>
      <c r="B73" s="78" t="s">
        <v>14948</v>
      </c>
      <c r="C73" s="78" t="s">
        <v>14949</v>
      </c>
      <c r="D73" s="78" t="s">
        <v>14648</v>
      </c>
      <c r="E73" s="78" t="s">
        <v>14914</v>
      </c>
      <c r="F73" s="78" t="s">
        <v>14950</v>
      </c>
      <c r="G73" s="78" t="s">
        <v>14782</v>
      </c>
      <c r="H73" s="78">
        <v>5000</v>
      </c>
      <c r="I73" s="77"/>
    </row>
    <row r="74">
      <c r="A74" s="78" t="s">
        <v>14951</v>
      </c>
      <c r="B74" s="78" t="s">
        <v>14952</v>
      </c>
      <c r="C74" s="78" t="s">
        <v>14953</v>
      </c>
      <c r="D74" s="78" t="s">
        <v>14648</v>
      </c>
      <c r="E74" s="78" t="s">
        <v>14884</v>
      </c>
      <c r="F74" s="78" t="s">
        <v>14938</v>
      </c>
      <c r="G74" s="78" t="s">
        <v>14923</v>
      </c>
      <c r="H74" s="78">
        <v>5000</v>
      </c>
      <c r="I74" s="77"/>
    </row>
    <row r="75">
      <c r="A75" s="78" t="s">
        <v>14954</v>
      </c>
      <c r="B75" s="78" t="s">
        <v>14955</v>
      </c>
      <c r="C75" s="78" t="s">
        <v>14956</v>
      </c>
      <c r="D75" s="78" t="s">
        <v>14648</v>
      </c>
      <c r="E75" s="78" t="s">
        <v>14918</v>
      </c>
      <c r="F75" s="78" t="s">
        <v>14957</v>
      </c>
      <c r="G75" s="78" t="s">
        <v>14782</v>
      </c>
      <c r="H75" s="78">
        <v>5000</v>
      </c>
      <c r="I75" s="77"/>
      <c r="J75" s="77"/>
    </row>
    <row r="76">
      <c r="A76" s="78" t="s">
        <v>14958</v>
      </c>
      <c r="B76" s="78" t="s">
        <v>14959</v>
      </c>
      <c r="C76" s="78" t="s">
        <v>14960</v>
      </c>
      <c r="D76" s="78" t="s">
        <v>14648</v>
      </c>
      <c r="E76" s="78" t="s">
        <v>14961</v>
      </c>
      <c r="F76" s="78" t="s">
        <v>14962</v>
      </c>
      <c r="G76" s="78" t="s">
        <v>14963</v>
      </c>
      <c r="H76" s="78">
        <v>5000</v>
      </c>
      <c r="I76" s="77"/>
    </row>
    <row r="77">
      <c r="A77" s="78" t="s">
        <v>14964</v>
      </c>
      <c r="B77" s="78" t="s">
        <v>14965</v>
      </c>
      <c r="C77" s="78" t="s">
        <v>14966</v>
      </c>
      <c r="D77" s="78" t="s">
        <v>14648</v>
      </c>
      <c r="E77" s="78" t="s">
        <v>14967</v>
      </c>
      <c r="F77" s="78" t="s">
        <v>14743</v>
      </c>
      <c r="G77" s="78" t="s">
        <v>14744</v>
      </c>
      <c r="H77" s="78">
        <v>2100</v>
      </c>
      <c r="I77" s="77"/>
    </row>
    <row r="78">
      <c r="A78" s="78" t="s">
        <v>14968</v>
      </c>
      <c r="B78" s="78" t="s">
        <v>14969</v>
      </c>
      <c r="C78" s="78" t="s">
        <v>14970</v>
      </c>
      <c r="D78" s="78" t="s">
        <v>14648</v>
      </c>
      <c r="E78" s="78" t="s">
        <v>14971</v>
      </c>
      <c r="F78" s="78" t="s">
        <v>14972</v>
      </c>
      <c r="G78" s="78" t="s">
        <v>14963</v>
      </c>
      <c r="H78" s="78">
        <v>1200</v>
      </c>
      <c r="I78" s="77"/>
    </row>
    <row r="79">
      <c r="A79" s="78" t="s">
        <v>14973</v>
      </c>
      <c r="B79" s="78" t="s">
        <v>14974</v>
      </c>
      <c r="C79" s="78" t="s">
        <v>14975</v>
      </c>
      <c r="D79" s="78" t="s">
        <v>14648</v>
      </c>
      <c r="E79" s="78" t="s">
        <v>14976</v>
      </c>
      <c r="F79" s="78" t="s">
        <v>14977</v>
      </c>
      <c r="G79" s="78" t="s">
        <v>14963</v>
      </c>
      <c r="H79" s="78">
        <v>5000</v>
      </c>
      <c r="I79" s="77"/>
    </row>
    <row r="80">
      <c r="A80" s="78" t="s">
        <v>14978</v>
      </c>
      <c r="B80" s="78" t="s">
        <v>14979</v>
      </c>
      <c r="C80" s="78" t="s">
        <v>14980</v>
      </c>
      <c r="D80" s="78" t="s">
        <v>14648</v>
      </c>
      <c r="E80" s="78" t="s">
        <v>14961</v>
      </c>
      <c r="F80" s="78" t="s">
        <v>14972</v>
      </c>
      <c r="G80" s="78" t="s">
        <v>14963</v>
      </c>
      <c r="H80" s="78">
        <v>3000</v>
      </c>
      <c r="I80" s="77"/>
    </row>
    <row r="81">
      <c r="A81" s="78" t="s">
        <v>14981</v>
      </c>
      <c r="B81" s="78" t="s">
        <v>14982</v>
      </c>
      <c r="C81" s="78" t="s">
        <v>14983</v>
      </c>
      <c r="D81" s="78" t="s">
        <v>14648</v>
      </c>
      <c r="E81" s="78" t="s">
        <v>14984</v>
      </c>
      <c r="F81" s="78" t="s">
        <v>14712</v>
      </c>
      <c r="G81" s="78" t="s">
        <v>14796</v>
      </c>
      <c r="H81" s="78">
        <v>2000</v>
      </c>
      <c r="I81" s="77"/>
    </row>
    <row r="82">
      <c r="A82" s="78" t="s">
        <v>14985</v>
      </c>
      <c r="B82" s="78" t="s">
        <v>14986</v>
      </c>
      <c r="C82" s="78" t="s">
        <v>14987</v>
      </c>
      <c r="D82" s="78" t="s">
        <v>14648</v>
      </c>
      <c r="E82" s="78" t="s">
        <v>14988</v>
      </c>
      <c r="F82" s="78" t="s">
        <v>14989</v>
      </c>
      <c r="G82" s="78" t="s">
        <v>14990</v>
      </c>
      <c r="H82" s="78">
        <v>3000</v>
      </c>
      <c r="I82" s="77"/>
    </row>
    <row r="83">
      <c r="A83" s="78" t="s">
        <v>14991</v>
      </c>
      <c r="B83" s="78" t="s">
        <v>14992</v>
      </c>
      <c r="C83" s="78" t="s">
        <v>14993</v>
      </c>
      <c r="D83" s="78" t="s">
        <v>14648</v>
      </c>
      <c r="E83" s="78" t="s">
        <v>14994</v>
      </c>
      <c r="F83" s="78" t="s">
        <v>14712</v>
      </c>
      <c r="G83" s="78" t="s">
        <v>14990</v>
      </c>
      <c r="H83" s="78">
        <v>3000</v>
      </c>
      <c r="I83" s="77"/>
    </row>
    <row r="84">
      <c r="A84" s="78" t="s">
        <v>14995</v>
      </c>
      <c r="B84" s="78" t="s">
        <v>14996</v>
      </c>
      <c r="C84" s="78" t="s">
        <v>14997</v>
      </c>
      <c r="D84" s="78" t="s">
        <v>14648</v>
      </c>
      <c r="E84" s="78" t="s">
        <v>14998</v>
      </c>
      <c r="F84" s="78" t="s">
        <v>14989</v>
      </c>
      <c r="G84" s="78" t="s">
        <v>14990</v>
      </c>
      <c r="H84" s="78">
        <v>5000</v>
      </c>
      <c r="I84" s="77"/>
    </row>
    <row r="85">
      <c r="A85" s="78" t="s">
        <v>14999</v>
      </c>
      <c r="B85" s="78" t="s">
        <v>15000</v>
      </c>
      <c r="C85" s="78" t="s">
        <v>15001</v>
      </c>
      <c r="D85" s="78" t="s">
        <v>14648</v>
      </c>
      <c r="E85" s="78" t="s">
        <v>14988</v>
      </c>
      <c r="F85" s="78" t="s">
        <v>15002</v>
      </c>
      <c r="G85" s="78" t="s">
        <v>14990</v>
      </c>
      <c r="H85" s="78">
        <v>5000</v>
      </c>
      <c r="I85" s="77"/>
    </row>
    <row r="86">
      <c r="A86" s="78" t="s">
        <v>15003</v>
      </c>
      <c r="B86" s="78" t="s">
        <v>15004</v>
      </c>
      <c r="C86" s="78" t="s">
        <v>15005</v>
      </c>
      <c r="D86" s="78" t="s">
        <v>14648</v>
      </c>
      <c r="E86" s="78" t="s">
        <v>15006</v>
      </c>
      <c r="F86" s="78" t="s">
        <v>14989</v>
      </c>
      <c r="G86" s="78" t="s">
        <v>14990</v>
      </c>
      <c r="H86" s="78">
        <v>3000</v>
      </c>
      <c r="I86" s="77"/>
    </row>
    <row r="87">
      <c r="A87" s="78" t="s">
        <v>15007</v>
      </c>
      <c r="B87" s="78" t="s">
        <v>15008</v>
      </c>
      <c r="C87" s="78" t="s">
        <v>15009</v>
      </c>
      <c r="D87" s="78" t="s">
        <v>14648</v>
      </c>
      <c r="E87" s="78" t="s">
        <v>15006</v>
      </c>
      <c r="F87" s="78" t="s">
        <v>14989</v>
      </c>
      <c r="G87" s="78" t="s">
        <v>14990</v>
      </c>
      <c r="H87" s="78">
        <v>3400</v>
      </c>
      <c r="I87" s="77"/>
    </row>
    <row r="88">
      <c r="A88" s="78" t="s">
        <v>15010</v>
      </c>
      <c r="B88" s="78" t="s">
        <v>15011</v>
      </c>
      <c r="C88" s="78" t="s">
        <v>15012</v>
      </c>
      <c r="D88" s="78" t="s">
        <v>14648</v>
      </c>
      <c r="E88" s="78" t="s">
        <v>14994</v>
      </c>
      <c r="F88" s="78" t="s">
        <v>14712</v>
      </c>
      <c r="G88" s="78" t="s">
        <v>14651</v>
      </c>
      <c r="H88" s="78">
        <v>2500</v>
      </c>
      <c r="I88" s="77"/>
    </row>
    <row r="89">
      <c r="A89" s="78" t="s">
        <v>15013</v>
      </c>
      <c r="B89" s="78" t="s">
        <v>15014</v>
      </c>
      <c r="C89" s="78" t="s">
        <v>15015</v>
      </c>
      <c r="D89" s="78" t="s">
        <v>14648</v>
      </c>
      <c r="E89" s="78" t="s">
        <v>15016</v>
      </c>
      <c r="F89" s="78" t="s">
        <v>15017</v>
      </c>
      <c r="G89" s="78" t="s">
        <v>14651</v>
      </c>
      <c r="H89" s="78">
        <v>3000</v>
      </c>
      <c r="I89" s="77"/>
    </row>
    <row r="90">
      <c r="A90" s="78" t="s">
        <v>15018</v>
      </c>
      <c r="B90" s="78" t="s">
        <v>15019</v>
      </c>
      <c r="C90" s="78" t="s">
        <v>15020</v>
      </c>
      <c r="D90" s="78" t="s">
        <v>14648</v>
      </c>
      <c r="E90" s="78" t="s">
        <v>15016</v>
      </c>
      <c r="F90" s="78" t="s">
        <v>15017</v>
      </c>
      <c r="G90" s="78" t="s">
        <v>14651</v>
      </c>
      <c r="H90" s="78">
        <v>3000</v>
      </c>
      <c r="I90" s="77"/>
    </row>
    <row r="91">
      <c r="A91" s="78" t="s">
        <v>15021</v>
      </c>
      <c r="B91" s="78" t="s">
        <v>15022</v>
      </c>
      <c r="C91" s="78" t="s">
        <v>15023</v>
      </c>
      <c r="D91" s="78" t="s">
        <v>14648</v>
      </c>
      <c r="E91" s="78" t="s">
        <v>15024</v>
      </c>
      <c r="F91" s="78" t="s">
        <v>15025</v>
      </c>
      <c r="G91" s="78" t="s">
        <v>14651</v>
      </c>
      <c r="H91" s="78">
        <v>3100</v>
      </c>
      <c r="I91" s="77"/>
    </row>
    <row r="92">
      <c r="A92" s="78" t="s">
        <v>15026</v>
      </c>
      <c r="B92" s="78" t="s">
        <v>15027</v>
      </c>
      <c r="C92" s="78" t="s">
        <v>15028</v>
      </c>
      <c r="D92" s="78" t="s">
        <v>14648</v>
      </c>
      <c r="E92" s="78" t="s">
        <v>15016</v>
      </c>
      <c r="F92" s="78" t="s">
        <v>15017</v>
      </c>
      <c r="G92" s="78" t="s">
        <v>14651</v>
      </c>
      <c r="H92" s="78">
        <v>3000</v>
      </c>
      <c r="I92" s="77"/>
    </row>
    <row r="93">
      <c r="A93" s="78" t="s">
        <v>15029</v>
      </c>
      <c r="B93" s="78" t="s">
        <v>15030</v>
      </c>
      <c r="C93" s="78" t="s">
        <v>15031</v>
      </c>
      <c r="D93" s="78" t="s">
        <v>14648</v>
      </c>
      <c r="E93" s="78" t="s">
        <v>14994</v>
      </c>
      <c r="F93" s="78" t="s">
        <v>14712</v>
      </c>
      <c r="G93" s="78" t="s">
        <v>14651</v>
      </c>
      <c r="H93" s="78">
        <v>3000</v>
      </c>
      <c r="I93" s="77"/>
    </row>
    <row r="94">
      <c r="A94" s="78" t="s">
        <v>15032</v>
      </c>
      <c r="B94" s="78" t="s">
        <v>15033</v>
      </c>
      <c r="C94" s="78" t="s">
        <v>15034</v>
      </c>
      <c r="D94" s="78" t="s">
        <v>14648</v>
      </c>
      <c r="E94" s="78" t="s">
        <v>15016</v>
      </c>
      <c r="F94" s="78" t="s">
        <v>15017</v>
      </c>
      <c r="G94" s="78" t="s">
        <v>14651</v>
      </c>
      <c r="H94" s="78">
        <v>3000</v>
      </c>
      <c r="I94" s="77"/>
    </row>
    <row r="95">
      <c r="A95" s="78" t="s">
        <v>15035</v>
      </c>
      <c r="B95" s="78" t="s">
        <v>15036</v>
      </c>
      <c r="C95" s="78" t="s">
        <v>15037</v>
      </c>
      <c r="D95" s="78" t="s">
        <v>14648</v>
      </c>
      <c r="E95" s="78" t="s">
        <v>15038</v>
      </c>
      <c r="F95" s="78" t="s">
        <v>15039</v>
      </c>
      <c r="G95" s="78" t="s">
        <v>14651</v>
      </c>
      <c r="H95" s="78">
        <v>3000</v>
      </c>
      <c r="I95" s="77"/>
    </row>
    <row r="96">
      <c r="A96" s="78" t="s">
        <v>15040</v>
      </c>
      <c r="B96" s="78" t="s">
        <v>15041</v>
      </c>
      <c r="C96" s="78" t="s">
        <v>15042</v>
      </c>
      <c r="D96" s="78" t="s">
        <v>14648</v>
      </c>
      <c r="E96" s="78" t="s">
        <v>15038</v>
      </c>
      <c r="F96" s="78" t="s">
        <v>15039</v>
      </c>
      <c r="G96" s="78" t="s">
        <v>14651</v>
      </c>
      <c r="H96" s="78">
        <v>1400</v>
      </c>
      <c r="I96" s="77"/>
    </row>
    <row r="97">
      <c r="A97" s="78" t="s">
        <v>15043</v>
      </c>
      <c r="B97" s="78" t="s">
        <v>15044</v>
      </c>
      <c r="C97" s="78" t="s">
        <v>15045</v>
      </c>
      <c r="D97" s="78" t="s">
        <v>14648</v>
      </c>
      <c r="E97" s="78" t="s">
        <v>15046</v>
      </c>
      <c r="F97" s="78" t="s">
        <v>14728</v>
      </c>
      <c r="G97" s="78" t="s">
        <v>14703</v>
      </c>
      <c r="H97" s="78">
        <v>5000</v>
      </c>
      <c r="I97" s="77"/>
    </row>
    <row r="98">
      <c r="A98" s="78" t="s">
        <v>15047</v>
      </c>
      <c r="B98" s="78" t="s">
        <v>15048</v>
      </c>
      <c r="C98" s="78" t="s">
        <v>15049</v>
      </c>
      <c r="D98" s="78" t="s">
        <v>14648</v>
      </c>
      <c r="E98" s="78" t="s">
        <v>15050</v>
      </c>
      <c r="F98" s="78" t="s">
        <v>15017</v>
      </c>
      <c r="G98" s="78" t="s">
        <v>14651</v>
      </c>
      <c r="H98" s="78">
        <v>5000</v>
      </c>
      <c r="I98" s="77"/>
    </row>
    <row r="99">
      <c r="A99" s="78" t="s">
        <v>15051</v>
      </c>
      <c r="B99" s="78" t="s">
        <v>15052</v>
      </c>
      <c r="C99" s="78" t="s">
        <v>15053</v>
      </c>
      <c r="D99" s="78" t="s">
        <v>14648</v>
      </c>
      <c r="E99" s="78" t="s">
        <v>15024</v>
      </c>
      <c r="F99" s="78" t="s">
        <v>15025</v>
      </c>
      <c r="G99" s="78" t="s">
        <v>14651</v>
      </c>
      <c r="H99" s="78">
        <v>3000</v>
      </c>
      <c r="I99" s="77"/>
    </row>
    <row r="100">
      <c r="A100" s="78" t="s">
        <v>15054</v>
      </c>
      <c r="B100" s="78" t="s">
        <v>15055</v>
      </c>
      <c r="C100" s="78" t="s">
        <v>15056</v>
      </c>
      <c r="D100" s="78" t="s">
        <v>14648</v>
      </c>
      <c r="E100" s="78" t="s">
        <v>15024</v>
      </c>
      <c r="F100" s="78" t="s">
        <v>15025</v>
      </c>
      <c r="G100" s="78" t="s">
        <v>14651</v>
      </c>
      <c r="H100" s="78">
        <v>3000</v>
      </c>
      <c r="I100" s="77"/>
    </row>
    <row r="101">
      <c r="A101" s="78" t="s">
        <v>15057</v>
      </c>
      <c r="B101" s="78" t="s">
        <v>15058</v>
      </c>
      <c r="C101" s="78" t="s">
        <v>15059</v>
      </c>
      <c r="D101" s="78" t="s">
        <v>14648</v>
      </c>
      <c r="E101" s="78" t="s">
        <v>15060</v>
      </c>
      <c r="F101" s="78" t="s">
        <v>15061</v>
      </c>
      <c r="G101" s="78" t="s">
        <v>14651</v>
      </c>
      <c r="H101" s="78">
        <v>3000</v>
      </c>
      <c r="I101" s="77"/>
    </row>
    <row r="102">
      <c r="A102" s="78" t="s">
        <v>15062</v>
      </c>
      <c r="B102" s="78" t="s">
        <v>15063</v>
      </c>
      <c r="C102" s="78" t="s">
        <v>15064</v>
      </c>
      <c r="D102" s="78" t="s">
        <v>14648</v>
      </c>
      <c r="E102" s="78" t="s">
        <v>15065</v>
      </c>
      <c r="F102" s="78" t="s">
        <v>15061</v>
      </c>
      <c r="G102" s="78" t="s">
        <v>14651</v>
      </c>
      <c r="H102" s="78">
        <v>2000</v>
      </c>
      <c r="I102" s="77"/>
    </row>
    <row r="103">
      <c r="A103" s="78" t="s">
        <v>15066</v>
      </c>
      <c r="B103" s="78" t="s">
        <v>15067</v>
      </c>
      <c r="C103" s="78" t="s">
        <v>15068</v>
      </c>
      <c r="D103" s="78" t="s">
        <v>14648</v>
      </c>
      <c r="E103" s="78" t="s">
        <v>15060</v>
      </c>
      <c r="F103" s="78" t="s">
        <v>15061</v>
      </c>
      <c r="G103" s="78" t="s">
        <v>14651</v>
      </c>
      <c r="H103" s="78">
        <v>3000</v>
      </c>
      <c r="I103" s="77"/>
    </row>
    <row r="104">
      <c r="A104" s="78" t="s">
        <v>15069</v>
      </c>
      <c r="B104" s="78" t="s">
        <v>15070</v>
      </c>
      <c r="C104" s="78" t="s">
        <v>15071</v>
      </c>
      <c r="D104" s="78" t="s">
        <v>14648</v>
      </c>
      <c r="E104" s="78" t="s">
        <v>15060</v>
      </c>
      <c r="F104" s="78" t="s">
        <v>15061</v>
      </c>
      <c r="G104" s="78" t="s">
        <v>14651</v>
      </c>
      <c r="H104" s="78">
        <v>3000</v>
      </c>
      <c r="I104" s="77"/>
    </row>
    <row r="105">
      <c r="A105" s="78" t="s">
        <v>15072</v>
      </c>
      <c r="B105" s="78" t="s">
        <v>15073</v>
      </c>
      <c r="C105" s="78" t="s">
        <v>15074</v>
      </c>
      <c r="D105" s="78" t="s">
        <v>14648</v>
      </c>
      <c r="E105" s="78" t="s">
        <v>15075</v>
      </c>
      <c r="F105" s="78" t="s">
        <v>15076</v>
      </c>
      <c r="G105" s="78" t="s">
        <v>14651</v>
      </c>
      <c r="H105" s="78">
        <v>2500</v>
      </c>
      <c r="I105" s="77"/>
    </row>
    <row r="106">
      <c r="A106" s="78" t="s">
        <v>15077</v>
      </c>
      <c r="B106" s="78" t="s">
        <v>15078</v>
      </c>
      <c r="C106" s="78" t="s">
        <v>15079</v>
      </c>
      <c r="D106" s="78" t="s">
        <v>14648</v>
      </c>
      <c r="E106" s="78" t="s">
        <v>15080</v>
      </c>
      <c r="F106" s="78" t="s">
        <v>15081</v>
      </c>
      <c r="G106" s="78" t="s">
        <v>14651</v>
      </c>
      <c r="H106" s="78">
        <v>5000</v>
      </c>
      <c r="I106" s="77"/>
    </row>
    <row r="107">
      <c r="A107" s="78" t="s">
        <v>15082</v>
      </c>
      <c r="B107" s="78" t="s">
        <v>15083</v>
      </c>
      <c r="C107" s="78" t="s">
        <v>15084</v>
      </c>
      <c r="D107" s="78" t="s">
        <v>14648</v>
      </c>
      <c r="E107" s="78" t="s">
        <v>15085</v>
      </c>
      <c r="F107" s="78" t="s">
        <v>15076</v>
      </c>
      <c r="G107" s="78" t="s">
        <v>14651</v>
      </c>
      <c r="H107" s="78">
        <v>1000</v>
      </c>
      <c r="I107" s="77"/>
    </row>
    <row r="108">
      <c r="A108" s="78" t="s">
        <v>15086</v>
      </c>
      <c r="B108" s="78" t="s">
        <v>15087</v>
      </c>
      <c r="C108" s="78" t="s">
        <v>15088</v>
      </c>
      <c r="D108" s="78" t="s">
        <v>14648</v>
      </c>
      <c r="E108" s="78" t="s">
        <v>15089</v>
      </c>
      <c r="F108" s="78" t="s">
        <v>15090</v>
      </c>
      <c r="G108" s="78" t="s">
        <v>14782</v>
      </c>
      <c r="H108" s="78">
        <v>4000</v>
      </c>
      <c r="I108" s="77"/>
    </row>
    <row r="109">
      <c r="A109" s="78" t="s">
        <v>15091</v>
      </c>
      <c r="B109" s="78" t="s">
        <v>15092</v>
      </c>
      <c r="C109" s="78" t="s">
        <v>15093</v>
      </c>
      <c r="D109" s="78" t="s">
        <v>14648</v>
      </c>
      <c r="E109" s="78" t="s">
        <v>15089</v>
      </c>
      <c r="F109" s="78" t="s">
        <v>15090</v>
      </c>
      <c r="G109" s="78" t="s">
        <v>14782</v>
      </c>
      <c r="H109" s="78">
        <v>2000</v>
      </c>
      <c r="I109" s="77"/>
    </row>
    <row r="110">
      <c r="A110" s="78" t="s">
        <v>15094</v>
      </c>
      <c r="B110" s="78" t="s">
        <v>15095</v>
      </c>
      <c r="C110" s="78" t="s">
        <v>15096</v>
      </c>
      <c r="D110" s="78" t="s">
        <v>14648</v>
      </c>
      <c r="E110" s="78" t="s">
        <v>15089</v>
      </c>
      <c r="F110" s="78" t="s">
        <v>15090</v>
      </c>
      <c r="G110" s="78" t="s">
        <v>14782</v>
      </c>
      <c r="H110" s="78">
        <v>3000</v>
      </c>
      <c r="I110" s="77"/>
    </row>
    <row r="111">
      <c r="A111" s="78" t="s">
        <v>15097</v>
      </c>
      <c r="B111" s="78" t="s">
        <v>15098</v>
      </c>
      <c r="C111" s="78" t="s">
        <v>15099</v>
      </c>
      <c r="D111" s="78" t="s">
        <v>14648</v>
      </c>
      <c r="E111" s="78" t="s">
        <v>14976</v>
      </c>
      <c r="F111" s="78" t="s">
        <v>15100</v>
      </c>
      <c r="G111" s="78" t="s">
        <v>14963</v>
      </c>
      <c r="H111" s="78">
        <v>5000</v>
      </c>
      <c r="I111" s="77"/>
    </row>
    <row r="112">
      <c r="A112" s="78" t="s">
        <v>15101</v>
      </c>
      <c r="B112" s="78" t="s">
        <v>15102</v>
      </c>
      <c r="C112" s="78" t="s">
        <v>15103</v>
      </c>
      <c r="D112" s="78" t="s">
        <v>14648</v>
      </c>
      <c r="E112" s="78" t="s">
        <v>15104</v>
      </c>
      <c r="F112" s="78" t="s">
        <v>15105</v>
      </c>
      <c r="G112" s="78" t="s">
        <v>15106</v>
      </c>
      <c r="H112" s="78">
        <v>5000</v>
      </c>
      <c r="I112" s="77"/>
    </row>
    <row r="113">
      <c r="A113" s="78" t="s">
        <v>15107</v>
      </c>
      <c r="B113" s="78" t="s">
        <v>15108</v>
      </c>
      <c r="C113" s="78" t="s">
        <v>15109</v>
      </c>
      <c r="D113" s="78" t="s">
        <v>14648</v>
      </c>
      <c r="E113" s="78" t="s">
        <v>14961</v>
      </c>
      <c r="F113" s="78" t="s">
        <v>15110</v>
      </c>
      <c r="G113" s="78" t="s">
        <v>14782</v>
      </c>
      <c r="H113" s="78">
        <v>5000</v>
      </c>
      <c r="I113" s="77"/>
    </row>
    <row r="114">
      <c r="A114" s="78" t="s">
        <v>15111</v>
      </c>
      <c r="B114" s="78" t="s">
        <v>15112</v>
      </c>
      <c r="C114" s="78" t="s">
        <v>15113</v>
      </c>
      <c r="D114" s="78" t="s">
        <v>14648</v>
      </c>
      <c r="E114" s="78" t="s">
        <v>15114</v>
      </c>
      <c r="F114" s="78" t="s">
        <v>14693</v>
      </c>
      <c r="G114" s="78" t="s">
        <v>14694</v>
      </c>
      <c r="H114" s="78">
        <v>3000</v>
      </c>
      <c r="I114" s="77"/>
    </row>
    <row r="115">
      <c r="A115" s="78" t="s">
        <v>15115</v>
      </c>
      <c r="B115" s="78" t="s">
        <v>15116</v>
      </c>
      <c r="C115" s="78" t="s">
        <v>15117</v>
      </c>
      <c r="D115" s="78" t="s">
        <v>14648</v>
      </c>
      <c r="E115" s="78" t="s">
        <v>15118</v>
      </c>
      <c r="F115" s="78" t="s">
        <v>14712</v>
      </c>
      <c r="G115" s="78" t="s">
        <v>14694</v>
      </c>
      <c r="H115" s="78">
        <v>1000</v>
      </c>
      <c r="I115" s="77"/>
    </row>
    <row r="116">
      <c r="A116" s="78" t="s">
        <v>15119</v>
      </c>
      <c r="B116" s="78" t="s">
        <v>15120</v>
      </c>
      <c r="C116" s="78" t="s">
        <v>15121</v>
      </c>
      <c r="D116" s="78" t="s">
        <v>14648</v>
      </c>
      <c r="E116" s="78" t="s">
        <v>15024</v>
      </c>
      <c r="F116" s="78" t="s">
        <v>15025</v>
      </c>
      <c r="G116" s="78" t="s">
        <v>14651</v>
      </c>
      <c r="H116" s="78">
        <v>3000</v>
      </c>
      <c r="I116" s="77"/>
    </row>
    <row r="117">
      <c r="A117" s="78" t="s">
        <v>15122</v>
      </c>
      <c r="B117" s="78" t="s">
        <v>15123</v>
      </c>
      <c r="C117" s="78" t="s">
        <v>15124</v>
      </c>
      <c r="D117" s="78" t="s">
        <v>14648</v>
      </c>
      <c r="E117" s="78" t="s">
        <v>15038</v>
      </c>
      <c r="F117" s="78" t="s">
        <v>15039</v>
      </c>
      <c r="G117" s="78" t="s">
        <v>14651</v>
      </c>
      <c r="H117" s="78">
        <v>3000</v>
      </c>
      <c r="I117" s="77"/>
    </row>
    <row r="118">
      <c r="A118" s="78" t="s">
        <v>15125</v>
      </c>
      <c r="B118" s="78" t="s">
        <v>15126</v>
      </c>
      <c r="C118" s="78" t="s">
        <v>15127</v>
      </c>
      <c r="D118" s="78" t="s">
        <v>14648</v>
      </c>
      <c r="E118" s="78" t="s">
        <v>15128</v>
      </c>
      <c r="F118" s="78" t="s">
        <v>15090</v>
      </c>
      <c r="G118" s="78" t="s">
        <v>15129</v>
      </c>
      <c r="H118" s="78">
        <v>5000</v>
      </c>
      <c r="I118" s="77"/>
    </row>
    <row r="119">
      <c r="A119" s="78" t="s">
        <v>15130</v>
      </c>
      <c r="B119" s="78" t="s">
        <v>15131</v>
      </c>
      <c r="C119" s="78" t="s">
        <v>15132</v>
      </c>
      <c r="D119" s="78" t="s">
        <v>14648</v>
      </c>
      <c r="E119" s="78" t="s">
        <v>15089</v>
      </c>
      <c r="F119" s="78" t="s">
        <v>15090</v>
      </c>
      <c r="G119" s="78" t="s">
        <v>15129</v>
      </c>
      <c r="H119" s="78">
        <v>3000</v>
      </c>
      <c r="I119" s="77"/>
    </row>
    <row r="120">
      <c r="A120" s="78" t="s">
        <v>15133</v>
      </c>
      <c r="B120" s="78" t="s">
        <v>15134</v>
      </c>
      <c r="C120" s="78" t="s">
        <v>15135</v>
      </c>
      <c r="D120" s="78" t="s">
        <v>14648</v>
      </c>
      <c r="E120" s="78" t="s">
        <v>15089</v>
      </c>
      <c r="F120" s="78" t="s">
        <v>15090</v>
      </c>
      <c r="G120" s="78" t="s">
        <v>15129</v>
      </c>
      <c r="H120" s="78">
        <v>3000</v>
      </c>
      <c r="I120" s="77"/>
    </row>
    <row r="121">
      <c r="A121" s="78" t="s">
        <v>15136</v>
      </c>
      <c r="B121" s="78" t="s">
        <v>15137</v>
      </c>
      <c r="C121" s="78" t="s">
        <v>15138</v>
      </c>
      <c r="D121" s="78" t="s">
        <v>14648</v>
      </c>
      <c r="E121" s="78" t="s">
        <v>15139</v>
      </c>
      <c r="F121" s="78" t="s">
        <v>15140</v>
      </c>
      <c r="G121" s="78" t="s">
        <v>15129</v>
      </c>
      <c r="H121" s="78">
        <v>3000</v>
      </c>
      <c r="I121" s="77"/>
    </row>
    <row r="122">
      <c r="A122" s="78" t="s">
        <v>15141</v>
      </c>
      <c r="B122" s="78" t="s">
        <v>15142</v>
      </c>
      <c r="C122" s="78" t="s">
        <v>15143</v>
      </c>
      <c r="D122" s="78" t="s">
        <v>14648</v>
      </c>
      <c r="E122" s="78" t="s">
        <v>15144</v>
      </c>
      <c r="F122" s="78" t="s">
        <v>15090</v>
      </c>
      <c r="G122" s="78" t="s">
        <v>14782</v>
      </c>
      <c r="H122" s="78">
        <v>5000</v>
      </c>
      <c r="I122" s="77"/>
    </row>
    <row r="123">
      <c r="A123" s="78" t="s">
        <v>15145</v>
      </c>
      <c r="B123" s="78" t="s">
        <v>15146</v>
      </c>
      <c r="C123" s="78" t="s">
        <v>15147</v>
      </c>
      <c r="D123" s="78" t="s">
        <v>14648</v>
      </c>
      <c r="E123" s="78" t="s">
        <v>15128</v>
      </c>
      <c r="F123" s="78" t="s">
        <v>15090</v>
      </c>
      <c r="G123" s="78" t="s">
        <v>14782</v>
      </c>
      <c r="H123" s="78">
        <v>4000</v>
      </c>
      <c r="I123" s="77"/>
    </row>
    <row r="124">
      <c r="A124" s="78" t="s">
        <v>15148</v>
      </c>
      <c r="B124" s="78" t="s">
        <v>15149</v>
      </c>
      <c r="C124" s="78" t="s">
        <v>15150</v>
      </c>
      <c r="D124" s="78" t="s">
        <v>14648</v>
      </c>
      <c r="E124" s="78" t="s">
        <v>15151</v>
      </c>
      <c r="F124" s="78" t="s">
        <v>15090</v>
      </c>
      <c r="G124" s="78" t="s">
        <v>14782</v>
      </c>
      <c r="H124" s="78">
        <v>2000</v>
      </c>
      <c r="I124" s="77"/>
    </row>
    <row r="125">
      <c r="A125" s="78" t="s">
        <v>15152</v>
      </c>
      <c r="B125" s="78" t="s">
        <v>15153</v>
      </c>
      <c r="C125" s="78" t="s">
        <v>15154</v>
      </c>
      <c r="D125" s="78" t="s">
        <v>14648</v>
      </c>
      <c r="E125" s="78" t="s">
        <v>15089</v>
      </c>
      <c r="F125" s="78" t="s">
        <v>15090</v>
      </c>
      <c r="G125" s="78" t="s">
        <v>14782</v>
      </c>
      <c r="H125" s="78">
        <v>3000</v>
      </c>
      <c r="I125" s="77"/>
    </row>
    <row r="126">
      <c r="A126" s="78" t="s">
        <v>15155</v>
      </c>
      <c r="B126" s="78" t="s">
        <v>15156</v>
      </c>
      <c r="C126" s="78" t="s">
        <v>15157</v>
      </c>
      <c r="D126" s="78" t="s">
        <v>14648</v>
      </c>
      <c r="E126" s="78" t="s">
        <v>14780</v>
      </c>
      <c r="F126" s="78" t="s">
        <v>14781</v>
      </c>
      <c r="G126" s="78" t="s">
        <v>14782</v>
      </c>
      <c r="H126" s="78">
        <v>1000</v>
      </c>
      <c r="I126" s="77"/>
    </row>
    <row r="127">
      <c r="A127" s="78" t="s">
        <v>15158</v>
      </c>
      <c r="B127" s="78" t="s">
        <v>15159</v>
      </c>
      <c r="C127" s="78" t="s">
        <v>15160</v>
      </c>
      <c r="D127" s="78" t="s">
        <v>14648</v>
      </c>
      <c r="E127" s="78" t="s">
        <v>14884</v>
      </c>
      <c r="F127" s="78" t="s">
        <v>15161</v>
      </c>
      <c r="G127" s="78" t="s">
        <v>14923</v>
      </c>
      <c r="H127" s="78">
        <v>5000</v>
      </c>
      <c r="I127" s="77"/>
    </row>
    <row r="128">
      <c r="A128" s="78" t="s">
        <v>15162</v>
      </c>
      <c r="B128" s="78" t="s">
        <v>15163</v>
      </c>
      <c r="C128" s="78" t="s">
        <v>15164</v>
      </c>
      <c r="D128" s="78" t="s">
        <v>14648</v>
      </c>
      <c r="E128" s="78" t="s">
        <v>15165</v>
      </c>
      <c r="F128" s="78" t="s">
        <v>14889</v>
      </c>
      <c r="G128" s="78" t="s">
        <v>14890</v>
      </c>
      <c r="H128" s="78">
        <v>5000</v>
      </c>
      <c r="I128" s="77"/>
    </row>
    <row r="129">
      <c r="A129" s="78" t="s">
        <v>15166</v>
      </c>
      <c r="B129" s="78" t="s">
        <v>15167</v>
      </c>
      <c r="C129" s="78" t="s">
        <v>15168</v>
      </c>
      <c r="D129" s="78" t="s">
        <v>14648</v>
      </c>
      <c r="E129" s="78" t="s">
        <v>14732</v>
      </c>
      <c r="F129" s="78" t="s">
        <v>15169</v>
      </c>
      <c r="G129" s="78" t="s">
        <v>14890</v>
      </c>
      <c r="H129" s="78">
        <v>4300</v>
      </c>
      <c r="I129" s="77"/>
    </row>
    <row r="130">
      <c r="A130" s="78" t="s">
        <v>15170</v>
      </c>
      <c r="B130" s="78" t="s">
        <v>15171</v>
      </c>
      <c r="C130" s="78" t="s">
        <v>15172</v>
      </c>
      <c r="D130" s="78" t="s">
        <v>14648</v>
      </c>
      <c r="E130" s="78" t="s">
        <v>14898</v>
      </c>
      <c r="F130" s="78" t="s">
        <v>14867</v>
      </c>
      <c r="G130" s="78" t="s">
        <v>14931</v>
      </c>
      <c r="H130" s="78">
        <v>1000</v>
      </c>
      <c r="I130" s="77"/>
    </row>
    <row r="131">
      <c r="A131" s="78" t="s">
        <v>15173</v>
      </c>
      <c r="B131" s="78" t="s">
        <v>15174</v>
      </c>
      <c r="C131" s="78" t="s">
        <v>15175</v>
      </c>
      <c r="D131" s="78" t="s">
        <v>14648</v>
      </c>
      <c r="E131" s="78" t="s">
        <v>14898</v>
      </c>
      <c r="F131" s="78" t="s">
        <v>14867</v>
      </c>
      <c r="G131" s="78" t="s">
        <v>14931</v>
      </c>
      <c r="H131" s="78">
        <v>1000</v>
      </c>
      <c r="I131" s="77"/>
    </row>
    <row r="132">
      <c r="A132" s="78" t="s">
        <v>15176</v>
      </c>
      <c r="B132" s="78" t="s">
        <v>15177</v>
      </c>
      <c r="C132" s="78" t="s">
        <v>15178</v>
      </c>
      <c r="D132" s="78" t="s">
        <v>14648</v>
      </c>
      <c r="E132" s="78" t="s">
        <v>14930</v>
      </c>
      <c r="F132" s="78" t="s">
        <v>14867</v>
      </c>
      <c r="G132" s="78" t="s">
        <v>14931</v>
      </c>
      <c r="H132" s="78">
        <v>55000</v>
      </c>
      <c r="I132" s="77"/>
    </row>
    <row r="133">
      <c r="A133" s="78" t="s">
        <v>15179</v>
      </c>
      <c r="B133" s="78" t="s">
        <v>15180</v>
      </c>
      <c r="C133" s="78" t="s">
        <v>15181</v>
      </c>
      <c r="D133" s="78" t="s">
        <v>14648</v>
      </c>
      <c r="E133" s="78" t="s">
        <v>14790</v>
      </c>
      <c r="F133" s="78" t="s">
        <v>15182</v>
      </c>
      <c r="G133" s="78" t="s">
        <v>14734</v>
      </c>
      <c r="H133" s="78">
        <v>10000</v>
      </c>
      <c r="I133" s="77"/>
    </row>
    <row r="134">
      <c r="A134" s="78" t="s">
        <v>15183</v>
      </c>
      <c r="B134" s="78" t="s">
        <v>15184</v>
      </c>
      <c r="C134" s="78" t="s">
        <v>15185</v>
      </c>
      <c r="D134" s="78" t="s">
        <v>14648</v>
      </c>
      <c r="E134" s="78" t="s">
        <v>15186</v>
      </c>
      <c r="F134" s="78" t="s">
        <v>14712</v>
      </c>
      <c r="G134" s="78" t="s">
        <v>14694</v>
      </c>
      <c r="H134" s="78">
        <v>2000</v>
      </c>
      <c r="I134" s="77"/>
    </row>
    <row r="135">
      <c r="A135" s="78" t="s">
        <v>15187</v>
      </c>
      <c r="B135" s="78" t="s">
        <v>15188</v>
      </c>
      <c r="C135" s="78" t="s">
        <v>15189</v>
      </c>
      <c r="D135" s="78" t="s">
        <v>14648</v>
      </c>
      <c r="E135" s="78" t="s">
        <v>15190</v>
      </c>
      <c r="F135" s="78" t="s">
        <v>15191</v>
      </c>
      <c r="G135" s="78" t="s">
        <v>15192</v>
      </c>
      <c r="H135" s="78">
        <v>5000</v>
      </c>
      <c r="I135" s="77"/>
    </row>
    <row r="136">
      <c r="A136" s="78" t="s">
        <v>15193</v>
      </c>
      <c r="B136" s="78" t="s">
        <v>15194</v>
      </c>
      <c r="C136" s="78" t="s">
        <v>15195</v>
      </c>
      <c r="D136" s="78" t="s">
        <v>14648</v>
      </c>
      <c r="E136" s="78" t="s">
        <v>15196</v>
      </c>
      <c r="F136" s="78" t="s">
        <v>15197</v>
      </c>
      <c r="G136" s="78" t="s">
        <v>15198</v>
      </c>
      <c r="H136" s="78">
        <v>5000</v>
      </c>
      <c r="I136" s="77"/>
    </row>
    <row r="137">
      <c r="A137" s="78" t="s">
        <v>15199</v>
      </c>
      <c r="B137" s="78" t="s">
        <v>15200</v>
      </c>
      <c r="C137" s="78" t="s">
        <v>15201</v>
      </c>
      <c r="D137" s="78" t="s">
        <v>14648</v>
      </c>
      <c r="E137" s="78" t="s">
        <v>15202</v>
      </c>
      <c r="F137" s="78" t="s">
        <v>15197</v>
      </c>
      <c r="G137" s="78" t="s">
        <v>15198</v>
      </c>
      <c r="H137" s="78">
        <v>6000</v>
      </c>
      <c r="I137" s="77"/>
    </row>
    <row r="138">
      <c r="A138" s="78" t="s">
        <v>15203</v>
      </c>
      <c r="B138" s="78" t="s">
        <v>15204</v>
      </c>
      <c r="C138" s="78" t="s">
        <v>15205</v>
      </c>
      <c r="D138" s="78" t="s">
        <v>14648</v>
      </c>
      <c r="E138" s="78" t="s">
        <v>15206</v>
      </c>
      <c r="F138" s="78" t="s">
        <v>15191</v>
      </c>
      <c r="G138" s="78" t="s">
        <v>15192</v>
      </c>
      <c r="H138" s="78">
        <v>6000</v>
      </c>
      <c r="I138" s="77"/>
    </row>
    <row r="139">
      <c r="A139" s="78" t="s">
        <v>15207</v>
      </c>
      <c r="B139" s="78" t="s">
        <v>15208</v>
      </c>
      <c r="C139" s="78" t="s">
        <v>15209</v>
      </c>
      <c r="D139" s="78" t="s">
        <v>14648</v>
      </c>
      <c r="E139" s="78" t="s">
        <v>15202</v>
      </c>
      <c r="F139" s="78" t="s">
        <v>15210</v>
      </c>
      <c r="G139" s="78" t="s">
        <v>15198</v>
      </c>
      <c r="H139" s="78">
        <v>6000</v>
      </c>
      <c r="I139" s="77"/>
    </row>
    <row r="140">
      <c r="A140" s="78" t="s">
        <v>15211</v>
      </c>
      <c r="B140" s="78" t="s">
        <v>15212</v>
      </c>
      <c r="C140" s="78" t="s">
        <v>15213</v>
      </c>
      <c r="D140" s="78" t="s">
        <v>14648</v>
      </c>
      <c r="E140" s="78" t="s">
        <v>15202</v>
      </c>
      <c r="F140" s="78" t="s">
        <v>15214</v>
      </c>
      <c r="G140" s="78" t="s">
        <v>15198</v>
      </c>
      <c r="H140" s="78">
        <v>6000</v>
      </c>
      <c r="I140" s="77"/>
    </row>
    <row r="141">
      <c r="A141" s="78" t="s">
        <v>15215</v>
      </c>
      <c r="B141" s="78" t="s">
        <v>15216</v>
      </c>
      <c r="C141" s="78" t="s">
        <v>15217</v>
      </c>
      <c r="D141" s="78" t="s">
        <v>14648</v>
      </c>
      <c r="E141" s="78" t="s">
        <v>15196</v>
      </c>
      <c r="F141" s="78" t="s">
        <v>15218</v>
      </c>
      <c r="G141" s="78" t="s">
        <v>15198</v>
      </c>
      <c r="H141" s="78">
        <v>5000</v>
      </c>
      <c r="I141" s="77"/>
    </row>
    <row r="142">
      <c r="A142" s="78" t="s">
        <v>15219</v>
      </c>
      <c r="B142" s="78" t="s">
        <v>15220</v>
      </c>
      <c r="C142" s="78" t="s">
        <v>15221</v>
      </c>
      <c r="D142" s="78" t="s">
        <v>14648</v>
      </c>
      <c r="E142" s="78" t="s">
        <v>15222</v>
      </c>
      <c r="F142" s="78" t="s">
        <v>15223</v>
      </c>
      <c r="G142" s="78" t="s">
        <v>15106</v>
      </c>
      <c r="H142" s="78">
        <v>5000</v>
      </c>
      <c r="I142" s="77"/>
    </row>
    <row r="143">
      <c r="A143" s="78" t="s">
        <v>15224</v>
      </c>
      <c r="B143" s="78" t="s">
        <v>15225</v>
      </c>
      <c r="C143" s="78" t="s">
        <v>15226</v>
      </c>
      <c r="D143" s="78" t="s">
        <v>14648</v>
      </c>
      <c r="E143" s="78" t="s">
        <v>15227</v>
      </c>
      <c r="F143" s="78" t="s">
        <v>14712</v>
      </c>
      <c r="G143" s="78" t="s">
        <v>14796</v>
      </c>
      <c r="H143" s="78">
        <v>3000</v>
      </c>
      <c r="I143" s="77"/>
    </row>
    <row r="144">
      <c r="A144" s="78" t="s">
        <v>15228</v>
      </c>
      <c r="B144" s="78" t="s">
        <v>15229</v>
      </c>
      <c r="C144" s="78" t="s">
        <v>15230</v>
      </c>
      <c r="D144" s="78" t="s">
        <v>14648</v>
      </c>
      <c r="E144" s="78" t="s">
        <v>15202</v>
      </c>
      <c r="F144" s="78" t="s">
        <v>15197</v>
      </c>
      <c r="G144" s="78" t="s">
        <v>15198</v>
      </c>
      <c r="H144" s="78">
        <v>6000</v>
      </c>
      <c r="I144" s="77"/>
    </row>
    <row r="145">
      <c r="A145" s="78" t="s">
        <v>15231</v>
      </c>
      <c r="B145" s="78" t="s">
        <v>15232</v>
      </c>
      <c r="C145" s="78" t="s">
        <v>15233</v>
      </c>
      <c r="D145" s="78" t="s">
        <v>14648</v>
      </c>
      <c r="E145" s="78" t="s">
        <v>15114</v>
      </c>
      <c r="F145" s="78" t="s">
        <v>14693</v>
      </c>
      <c r="G145" s="78" t="s">
        <v>14694</v>
      </c>
      <c r="H145" s="78">
        <v>3000</v>
      </c>
      <c r="I145" s="77"/>
    </row>
    <row r="146">
      <c r="A146" s="78" t="s">
        <v>15234</v>
      </c>
      <c r="B146" s="78" t="s">
        <v>15235</v>
      </c>
      <c r="C146" s="78" t="s">
        <v>15236</v>
      </c>
      <c r="D146" s="78" t="s">
        <v>14648</v>
      </c>
      <c r="E146" s="78" t="s">
        <v>14692</v>
      </c>
      <c r="F146" s="78" t="s">
        <v>14693</v>
      </c>
      <c r="G146" s="78" t="s">
        <v>14694</v>
      </c>
      <c r="H146" s="78">
        <v>3000</v>
      </c>
      <c r="I146" s="77"/>
    </row>
    <row r="147">
      <c r="A147" s="78" t="s">
        <v>15237</v>
      </c>
      <c r="B147" s="78" t="s">
        <v>15238</v>
      </c>
      <c r="C147" s="78" t="s">
        <v>15239</v>
      </c>
      <c r="D147" s="78" t="s">
        <v>14648</v>
      </c>
      <c r="E147" s="78" t="s">
        <v>14692</v>
      </c>
      <c r="F147" s="78" t="s">
        <v>14693</v>
      </c>
      <c r="G147" s="78" t="s">
        <v>14694</v>
      </c>
      <c r="H147" s="78">
        <v>3000</v>
      </c>
      <c r="I147" s="77"/>
    </row>
    <row r="148">
      <c r="A148" s="78" t="s">
        <v>15240</v>
      </c>
      <c r="B148" s="78" t="s">
        <v>15241</v>
      </c>
      <c r="C148" s="78" t="s">
        <v>15242</v>
      </c>
      <c r="D148" s="78" t="s">
        <v>14648</v>
      </c>
      <c r="E148" s="78" t="s">
        <v>15243</v>
      </c>
      <c r="F148" s="78" t="s">
        <v>15244</v>
      </c>
      <c r="G148" s="78" t="s">
        <v>15198</v>
      </c>
      <c r="H148" s="78">
        <v>6000</v>
      </c>
      <c r="I148" s="77"/>
    </row>
    <row r="149">
      <c r="A149" s="78" t="s">
        <v>15245</v>
      </c>
      <c r="B149" s="78" t="s">
        <v>15246</v>
      </c>
      <c r="C149" s="78" t="s">
        <v>15247</v>
      </c>
      <c r="D149" s="78" t="s">
        <v>14648</v>
      </c>
      <c r="E149" s="78" t="s">
        <v>15196</v>
      </c>
      <c r="F149" s="78" t="s">
        <v>15248</v>
      </c>
      <c r="G149" s="78" t="s">
        <v>15249</v>
      </c>
      <c r="H149" s="78">
        <v>5000</v>
      </c>
      <c r="I149" s="77"/>
    </row>
    <row r="150">
      <c r="A150" s="78" t="s">
        <v>15250</v>
      </c>
      <c r="B150" s="78" t="s">
        <v>15251</v>
      </c>
      <c r="C150" s="78" t="s">
        <v>15252</v>
      </c>
      <c r="D150" s="78" t="s">
        <v>14648</v>
      </c>
      <c r="E150" s="78" t="s">
        <v>15253</v>
      </c>
      <c r="F150" s="78" t="s">
        <v>14693</v>
      </c>
      <c r="G150" s="78" t="s">
        <v>14694</v>
      </c>
      <c r="H150" s="78">
        <v>3000</v>
      </c>
      <c r="I150" s="77"/>
    </row>
    <row r="151">
      <c r="A151" s="78" t="s">
        <v>15254</v>
      </c>
      <c r="B151" s="78" t="s">
        <v>15255</v>
      </c>
      <c r="C151" s="78" t="s">
        <v>15256</v>
      </c>
      <c r="D151" s="78" t="s">
        <v>14648</v>
      </c>
      <c r="E151" s="78" t="s">
        <v>15253</v>
      </c>
      <c r="F151" s="78" t="s">
        <v>14693</v>
      </c>
      <c r="G151" s="78" t="s">
        <v>14694</v>
      </c>
      <c r="H151" s="78">
        <v>3000</v>
      </c>
      <c r="I151" s="77"/>
    </row>
    <row r="152">
      <c r="A152" s="78" t="s">
        <v>15257</v>
      </c>
      <c r="B152" s="78" t="s">
        <v>15258</v>
      </c>
      <c r="C152" s="78" t="s">
        <v>15259</v>
      </c>
      <c r="D152" s="78" t="s">
        <v>14648</v>
      </c>
      <c r="E152" s="78" t="s">
        <v>15243</v>
      </c>
      <c r="F152" s="78" t="s">
        <v>15248</v>
      </c>
      <c r="G152" s="78" t="s">
        <v>15249</v>
      </c>
      <c r="H152" s="78">
        <v>6000</v>
      </c>
      <c r="I152" s="77"/>
    </row>
    <row r="153">
      <c r="A153" s="78" t="s">
        <v>15260</v>
      </c>
      <c r="B153" s="78" t="s">
        <v>15261</v>
      </c>
      <c r="C153" s="78" t="s">
        <v>15262</v>
      </c>
      <c r="D153" s="78" t="s">
        <v>14648</v>
      </c>
      <c r="E153" s="78" t="s">
        <v>15196</v>
      </c>
      <c r="F153" s="78" t="s">
        <v>15263</v>
      </c>
      <c r="G153" s="78" t="s">
        <v>15249</v>
      </c>
      <c r="H153" s="78">
        <v>5000</v>
      </c>
      <c r="I153" s="77"/>
    </row>
    <row r="154">
      <c r="A154" s="78" t="s">
        <v>15264</v>
      </c>
      <c r="B154" s="78" t="s">
        <v>15265</v>
      </c>
      <c r="C154" s="78" t="s">
        <v>15266</v>
      </c>
      <c r="D154" s="78" t="s">
        <v>14648</v>
      </c>
      <c r="E154" s="78" t="s">
        <v>15267</v>
      </c>
      <c r="F154" s="78" t="s">
        <v>14650</v>
      </c>
      <c r="G154" s="78" t="s">
        <v>14651</v>
      </c>
      <c r="H154" s="78">
        <v>800</v>
      </c>
      <c r="I154" s="77"/>
    </row>
    <row r="155">
      <c r="A155" s="78" t="s">
        <v>15268</v>
      </c>
      <c r="B155" s="78" t="s">
        <v>15269</v>
      </c>
      <c r="C155" s="78" t="s">
        <v>15270</v>
      </c>
      <c r="D155" s="78" t="s">
        <v>14648</v>
      </c>
      <c r="E155" s="78" t="s">
        <v>15267</v>
      </c>
      <c r="F155" s="78" t="s">
        <v>14650</v>
      </c>
      <c r="G155" s="78" t="s">
        <v>14651</v>
      </c>
      <c r="H155" s="78">
        <v>800</v>
      </c>
      <c r="I155" s="77"/>
    </row>
    <row r="156">
      <c r="A156" s="78" t="s">
        <v>15271</v>
      </c>
      <c r="B156" s="78" t="s">
        <v>15272</v>
      </c>
      <c r="C156" s="78" t="s">
        <v>15273</v>
      </c>
      <c r="D156" s="78" t="s">
        <v>14648</v>
      </c>
      <c r="E156" s="78" t="s">
        <v>15274</v>
      </c>
      <c r="F156" s="78" t="s">
        <v>14650</v>
      </c>
      <c r="G156" s="78" t="s">
        <v>14651</v>
      </c>
      <c r="H156" s="78" t="s">
        <v>14660</v>
      </c>
      <c r="I156" s="77"/>
    </row>
    <row r="157">
      <c r="A157" s="78" t="s">
        <v>15275</v>
      </c>
      <c r="B157" s="78" t="s">
        <v>15276</v>
      </c>
      <c r="C157" s="78" t="s">
        <v>15277</v>
      </c>
      <c r="D157" s="78" t="s">
        <v>14648</v>
      </c>
      <c r="E157" s="78" t="s">
        <v>14655</v>
      </c>
      <c r="F157" s="78" t="s">
        <v>14650</v>
      </c>
      <c r="G157" s="78" t="s">
        <v>14651</v>
      </c>
      <c r="H157" s="78">
        <v>800</v>
      </c>
      <c r="I157" s="77"/>
    </row>
    <row r="158">
      <c r="A158" s="78" t="s">
        <v>15278</v>
      </c>
      <c r="B158" s="78" t="s">
        <v>15279</v>
      </c>
      <c r="C158" s="78" t="s">
        <v>15280</v>
      </c>
      <c r="D158" s="78" t="s">
        <v>14648</v>
      </c>
      <c r="E158" s="78" t="s">
        <v>15281</v>
      </c>
      <c r="F158" s="78" t="s">
        <v>14650</v>
      </c>
      <c r="G158" s="78" t="s">
        <v>14651</v>
      </c>
      <c r="H158" s="78">
        <v>900</v>
      </c>
      <c r="I158" s="77"/>
    </row>
    <row r="159">
      <c r="A159" s="78" t="s">
        <v>15282</v>
      </c>
      <c r="B159" s="78" t="s">
        <v>15283</v>
      </c>
      <c r="C159" s="78" t="s">
        <v>15284</v>
      </c>
      <c r="D159" s="78" t="s">
        <v>14648</v>
      </c>
      <c r="E159" s="78" t="s">
        <v>15281</v>
      </c>
      <c r="F159" s="78" t="s">
        <v>14650</v>
      </c>
      <c r="G159" s="78" t="s">
        <v>14651</v>
      </c>
      <c r="H159" s="78">
        <v>900</v>
      </c>
      <c r="I159" s="77"/>
    </row>
    <row r="160">
      <c r="A160" s="78" t="s">
        <v>15285</v>
      </c>
      <c r="B160" s="78" t="s">
        <v>15286</v>
      </c>
      <c r="C160" s="78" t="s">
        <v>15287</v>
      </c>
      <c r="D160" s="78" t="s">
        <v>14648</v>
      </c>
      <c r="E160" s="78" t="s">
        <v>15288</v>
      </c>
      <c r="F160" s="78" t="s">
        <v>14650</v>
      </c>
      <c r="G160" s="78" t="s">
        <v>14651</v>
      </c>
      <c r="H160" s="78">
        <v>1000</v>
      </c>
      <c r="I160" s="77"/>
    </row>
    <row r="161">
      <c r="A161" s="78" t="s">
        <v>15289</v>
      </c>
      <c r="B161" s="78" t="s">
        <v>15290</v>
      </c>
      <c r="C161" s="78" t="s">
        <v>15291</v>
      </c>
      <c r="D161" s="78" t="s">
        <v>14648</v>
      </c>
      <c r="E161" s="78" t="s">
        <v>15288</v>
      </c>
      <c r="F161" s="78" t="s">
        <v>14650</v>
      </c>
      <c r="G161" s="78" t="s">
        <v>14651</v>
      </c>
      <c r="H161" s="78">
        <v>1000</v>
      </c>
      <c r="I161" s="77"/>
    </row>
    <row r="162">
      <c r="A162" s="78" t="s">
        <v>15292</v>
      </c>
      <c r="B162" s="78" t="s">
        <v>15293</v>
      </c>
      <c r="C162" s="78" t="s">
        <v>15294</v>
      </c>
      <c r="D162" s="78" t="s">
        <v>14648</v>
      </c>
      <c r="E162" s="78" t="s">
        <v>15288</v>
      </c>
      <c r="F162" s="78" t="s">
        <v>14650</v>
      </c>
      <c r="G162" s="78" t="s">
        <v>14651</v>
      </c>
      <c r="H162" s="78">
        <v>1000</v>
      </c>
      <c r="I162" s="77"/>
    </row>
    <row r="163">
      <c r="A163" s="78" t="s">
        <v>15295</v>
      </c>
      <c r="B163" s="78" t="s">
        <v>15296</v>
      </c>
      <c r="C163" s="78" t="s">
        <v>15297</v>
      </c>
      <c r="D163" s="78" t="s">
        <v>14648</v>
      </c>
      <c r="E163" s="78" t="s">
        <v>15298</v>
      </c>
      <c r="F163" s="78" t="s">
        <v>14650</v>
      </c>
      <c r="G163" s="78" t="s">
        <v>14651</v>
      </c>
      <c r="H163" s="78">
        <v>2000</v>
      </c>
      <c r="I163" s="77"/>
    </row>
    <row r="164">
      <c r="A164" s="78" t="s">
        <v>15299</v>
      </c>
      <c r="B164" s="78" t="s">
        <v>15300</v>
      </c>
      <c r="C164" s="78" t="s">
        <v>15301</v>
      </c>
      <c r="D164" s="78" t="s">
        <v>14648</v>
      </c>
      <c r="E164" s="78" t="s">
        <v>15298</v>
      </c>
      <c r="F164" s="78" t="s">
        <v>14650</v>
      </c>
      <c r="G164" s="78" t="s">
        <v>14651</v>
      </c>
      <c r="H164" s="78">
        <v>1100</v>
      </c>
      <c r="I164" s="77"/>
    </row>
    <row r="165">
      <c r="A165" s="78" t="s">
        <v>15302</v>
      </c>
      <c r="B165" s="78" t="s">
        <v>15303</v>
      </c>
      <c r="C165" s="78" t="s">
        <v>15304</v>
      </c>
      <c r="D165" s="78" t="s">
        <v>14648</v>
      </c>
      <c r="E165" s="78" t="s">
        <v>15298</v>
      </c>
      <c r="F165" s="78" t="s">
        <v>14650</v>
      </c>
      <c r="G165" s="78" t="s">
        <v>14651</v>
      </c>
      <c r="H165" s="78">
        <v>1100</v>
      </c>
      <c r="I165" s="77"/>
    </row>
    <row r="166">
      <c r="A166" s="78" t="s">
        <v>15305</v>
      </c>
      <c r="B166" s="78" t="s">
        <v>15306</v>
      </c>
      <c r="C166" s="78" t="s">
        <v>15307</v>
      </c>
      <c r="D166" s="78" t="s">
        <v>14648</v>
      </c>
      <c r="E166" s="78" t="s">
        <v>15298</v>
      </c>
      <c r="F166" s="78" t="s">
        <v>14650</v>
      </c>
      <c r="G166" s="78" t="s">
        <v>14651</v>
      </c>
      <c r="H166" s="78">
        <v>1100</v>
      </c>
      <c r="I166" s="77"/>
    </row>
    <row r="167">
      <c r="A167" s="78" t="s">
        <v>15308</v>
      </c>
      <c r="B167" s="78" t="s">
        <v>15309</v>
      </c>
      <c r="C167" s="78" t="s">
        <v>15310</v>
      </c>
      <c r="D167" s="78" t="s">
        <v>14648</v>
      </c>
      <c r="E167" s="78" t="s">
        <v>15298</v>
      </c>
      <c r="F167" s="78" t="s">
        <v>14650</v>
      </c>
      <c r="G167" s="78" t="s">
        <v>14651</v>
      </c>
      <c r="H167" s="78">
        <v>1100</v>
      </c>
      <c r="I167" s="77"/>
    </row>
    <row r="168">
      <c r="A168" s="78" t="s">
        <v>15311</v>
      </c>
      <c r="B168" s="78" t="s">
        <v>15312</v>
      </c>
      <c r="C168" s="78" t="s">
        <v>15313</v>
      </c>
      <c r="D168" s="78" t="s">
        <v>14648</v>
      </c>
      <c r="E168" s="78" t="s">
        <v>15314</v>
      </c>
      <c r="F168" s="78" t="s">
        <v>14650</v>
      </c>
      <c r="G168" s="78" t="s">
        <v>14651</v>
      </c>
      <c r="H168" s="78">
        <v>2000</v>
      </c>
      <c r="I168" s="77"/>
    </row>
    <row r="169">
      <c r="A169" s="78" t="s">
        <v>15315</v>
      </c>
      <c r="B169" s="78" t="s">
        <v>15316</v>
      </c>
      <c r="C169" s="78" t="s">
        <v>15317</v>
      </c>
      <c r="D169" s="78" t="s">
        <v>14648</v>
      </c>
      <c r="E169" s="78" t="s">
        <v>15318</v>
      </c>
      <c r="F169" s="78" t="s">
        <v>15319</v>
      </c>
      <c r="G169" s="78" t="s">
        <v>14772</v>
      </c>
      <c r="H169" s="78">
        <v>800</v>
      </c>
      <c r="I169" s="77"/>
    </row>
    <row r="170">
      <c r="A170" s="78" t="s">
        <v>15320</v>
      </c>
      <c r="B170" s="78" t="s">
        <v>15321</v>
      </c>
      <c r="C170" s="78" t="s">
        <v>15322</v>
      </c>
      <c r="D170" s="78" t="s">
        <v>14648</v>
      </c>
      <c r="E170" s="78" t="s">
        <v>15318</v>
      </c>
      <c r="F170" s="78" t="s">
        <v>15319</v>
      </c>
      <c r="G170" s="78" t="s">
        <v>14772</v>
      </c>
      <c r="H170" s="78">
        <v>800</v>
      </c>
      <c r="I170" s="77"/>
    </row>
    <row r="171">
      <c r="A171" s="78" t="s">
        <v>15323</v>
      </c>
      <c r="B171" s="78" t="s">
        <v>15324</v>
      </c>
      <c r="C171" s="78" t="s">
        <v>15325</v>
      </c>
      <c r="D171" s="78" t="s">
        <v>14648</v>
      </c>
      <c r="E171" s="78" t="s">
        <v>14659</v>
      </c>
      <c r="F171" s="78" t="s">
        <v>14650</v>
      </c>
      <c r="G171" s="78" t="s">
        <v>14651</v>
      </c>
      <c r="H171" s="78" t="s">
        <v>14660</v>
      </c>
      <c r="I171" s="77"/>
    </row>
    <row r="172">
      <c r="A172" s="78" t="s">
        <v>15326</v>
      </c>
      <c r="B172" s="78" t="s">
        <v>15327</v>
      </c>
      <c r="C172" s="78" t="s">
        <v>15328</v>
      </c>
      <c r="D172" s="78" t="s">
        <v>14648</v>
      </c>
      <c r="E172" s="78" t="s">
        <v>14659</v>
      </c>
      <c r="F172" s="78" t="s">
        <v>14650</v>
      </c>
      <c r="G172" s="78" t="s">
        <v>14651</v>
      </c>
      <c r="H172" s="78" t="s">
        <v>14660</v>
      </c>
      <c r="I172" s="77"/>
    </row>
    <row r="173">
      <c r="A173" s="78" t="s">
        <v>15329</v>
      </c>
      <c r="B173" s="78" t="s">
        <v>15330</v>
      </c>
      <c r="C173" s="78" t="s">
        <v>15331</v>
      </c>
      <c r="D173" s="78" t="s">
        <v>14648</v>
      </c>
      <c r="E173" s="78" t="s">
        <v>15332</v>
      </c>
      <c r="F173" s="78" t="s">
        <v>14650</v>
      </c>
      <c r="G173" s="78" t="s">
        <v>14651</v>
      </c>
      <c r="H173" s="78">
        <v>1100</v>
      </c>
      <c r="I173" s="77"/>
    </row>
    <row r="174">
      <c r="A174" s="78" t="s">
        <v>15333</v>
      </c>
      <c r="B174" s="78" t="s">
        <v>15334</v>
      </c>
      <c r="C174" s="78" t="s">
        <v>15335</v>
      </c>
      <c r="D174" s="78" t="s">
        <v>14648</v>
      </c>
      <c r="E174" s="78" t="s">
        <v>15298</v>
      </c>
      <c r="F174" s="78" t="s">
        <v>14650</v>
      </c>
      <c r="G174" s="78" t="s">
        <v>14651</v>
      </c>
      <c r="H174" s="78">
        <v>1100</v>
      </c>
      <c r="I174" s="77"/>
    </row>
    <row r="175">
      <c r="A175" s="78" t="s">
        <v>15336</v>
      </c>
      <c r="B175" s="78" t="s">
        <v>15337</v>
      </c>
      <c r="C175" s="78" t="s">
        <v>15338</v>
      </c>
      <c r="D175" s="78" t="s">
        <v>14648</v>
      </c>
      <c r="E175" s="78" t="s">
        <v>15298</v>
      </c>
      <c r="F175" s="78" t="s">
        <v>14650</v>
      </c>
      <c r="G175" s="78" t="s">
        <v>14651</v>
      </c>
      <c r="H175" s="78">
        <v>1100</v>
      </c>
      <c r="I175" s="77"/>
    </row>
    <row r="176">
      <c r="A176" s="78" t="s">
        <v>15339</v>
      </c>
      <c r="B176" s="78" t="s">
        <v>15340</v>
      </c>
      <c r="C176" s="78" t="s">
        <v>15341</v>
      </c>
      <c r="D176" s="78" t="s">
        <v>14648</v>
      </c>
      <c r="E176" s="78" t="s">
        <v>15298</v>
      </c>
      <c r="F176" s="78" t="s">
        <v>14650</v>
      </c>
      <c r="G176" s="78" t="s">
        <v>14651</v>
      </c>
      <c r="H176" s="78">
        <v>1100</v>
      </c>
      <c r="I176" s="77"/>
    </row>
    <row r="177">
      <c r="A177" s="78" t="s">
        <v>15342</v>
      </c>
      <c r="B177" s="78" t="s">
        <v>15343</v>
      </c>
      <c r="C177" s="78" t="s">
        <v>15344</v>
      </c>
      <c r="D177" s="78" t="s">
        <v>14648</v>
      </c>
      <c r="E177" s="78" t="s">
        <v>15298</v>
      </c>
      <c r="F177" s="78" t="s">
        <v>14650</v>
      </c>
      <c r="G177" s="78" t="s">
        <v>14651</v>
      </c>
      <c r="H177" s="78">
        <v>1100</v>
      </c>
      <c r="I177" s="77"/>
    </row>
    <row r="178">
      <c r="A178" s="78" t="s">
        <v>15345</v>
      </c>
      <c r="B178" s="78" t="s">
        <v>15346</v>
      </c>
      <c r="C178" s="78" t="s">
        <v>15347</v>
      </c>
      <c r="D178" s="78" t="s">
        <v>14648</v>
      </c>
      <c r="E178" s="78" t="s">
        <v>15348</v>
      </c>
      <c r="F178" s="78" t="s">
        <v>15076</v>
      </c>
      <c r="G178" s="78" t="s">
        <v>14651</v>
      </c>
      <c r="H178" s="78">
        <v>2500</v>
      </c>
      <c r="I178" s="77"/>
    </row>
    <row r="179">
      <c r="A179" s="78" t="s">
        <v>15349</v>
      </c>
      <c r="B179" s="78" t="s">
        <v>15350</v>
      </c>
      <c r="C179" s="78" t="s">
        <v>15351</v>
      </c>
      <c r="D179" s="78" t="s">
        <v>14648</v>
      </c>
      <c r="E179" s="78" t="s">
        <v>15085</v>
      </c>
      <c r="F179" s="78" t="s">
        <v>15076</v>
      </c>
      <c r="G179" s="78" t="s">
        <v>14651</v>
      </c>
      <c r="H179" s="78">
        <v>1000</v>
      </c>
      <c r="I179" s="77"/>
    </row>
    <row r="180">
      <c r="A180" s="78" t="s">
        <v>15352</v>
      </c>
      <c r="B180" s="78" t="s">
        <v>15353</v>
      </c>
      <c r="C180" s="78" t="s">
        <v>15354</v>
      </c>
      <c r="D180" s="78" t="s">
        <v>14648</v>
      </c>
      <c r="E180" s="78" t="s">
        <v>15355</v>
      </c>
      <c r="F180" s="78" t="s">
        <v>15076</v>
      </c>
      <c r="G180" s="78" t="s">
        <v>14651</v>
      </c>
      <c r="H180" s="78">
        <v>1000</v>
      </c>
      <c r="I180" s="77"/>
    </row>
    <row r="181">
      <c r="A181" s="78" t="s">
        <v>15356</v>
      </c>
      <c r="B181" s="78" t="s">
        <v>15357</v>
      </c>
      <c r="C181" s="78" t="s">
        <v>15358</v>
      </c>
      <c r="D181" s="78" t="s">
        <v>14648</v>
      </c>
      <c r="E181" s="78" t="s">
        <v>15359</v>
      </c>
      <c r="F181" s="78" t="s">
        <v>15076</v>
      </c>
      <c r="G181" s="78" t="s">
        <v>14651</v>
      </c>
      <c r="H181" s="78">
        <v>1000</v>
      </c>
      <c r="I181" s="77"/>
    </row>
    <row r="182">
      <c r="A182" s="78" t="s">
        <v>15360</v>
      </c>
      <c r="B182" s="78" t="s">
        <v>15361</v>
      </c>
      <c r="C182" s="78" t="s">
        <v>15362</v>
      </c>
      <c r="D182" s="78" t="s">
        <v>14648</v>
      </c>
      <c r="E182" s="78" t="s">
        <v>15359</v>
      </c>
      <c r="F182" s="78" t="s">
        <v>15076</v>
      </c>
      <c r="G182" s="78" t="s">
        <v>14651</v>
      </c>
      <c r="H182" s="78">
        <v>1000</v>
      </c>
      <c r="I182" s="77"/>
    </row>
    <row r="183">
      <c r="A183" s="78" t="s">
        <v>15363</v>
      </c>
      <c r="B183" s="78" t="s">
        <v>15364</v>
      </c>
      <c r="C183" s="78" t="s">
        <v>15365</v>
      </c>
      <c r="D183" s="78" t="s">
        <v>14648</v>
      </c>
      <c r="E183" s="78" t="s">
        <v>15359</v>
      </c>
      <c r="F183" s="78" t="s">
        <v>15076</v>
      </c>
      <c r="G183" s="78" t="s">
        <v>14651</v>
      </c>
      <c r="H183" s="78">
        <v>1000</v>
      </c>
      <c r="I183" s="77"/>
    </row>
    <row r="184">
      <c r="A184" s="78" t="s">
        <v>15366</v>
      </c>
      <c r="B184" s="78" t="s">
        <v>15367</v>
      </c>
      <c r="C184" s="78" t="s">
        <v>15368</v>
      </c>
      <c r="D184" s="78" t="s">
        <v>14648</v>
      </c>
      <c r="E184" s="78" t="s">
        <v>15298</v>
      </c>
      <c r="F184" s="78" t="s">
        <v>15076</v>
      </c>
      <c r="G184" s="78" t="s">
        <v>14651</v>
      </c>
      <c r="H184" s="78">
        <v>1000</v>
      </c>
      <c r="I184" s="77"/>
    </row>
    <row r="185">
      <c r="A185" s="78" t="s">
        <v>15369</v>
      </c>
      <c r="B185" s="78" t="s">
        <v>15370</v>
      </c>
      <c r="C185" s="78" t="s">
        <v>15371</v>
      </c>
      <c r="D185" s="78" t="s">
        <v>14648</v>
      </c>
      <c r="E185" s="78" t="s">
        <v>14655</v>
      </c>
      <c r="F185" s="78" t="s">
        <v>15076</v>
      </c>
      <c r="G185" s="78" t="s">
        <v>14651</v>
      </c>
      <c r="H185" s="78">
        <v>1000</v>
      </c>
      <c r="I185" s="77"/>
    </row>
    <row r="186">
      <c r="A186" s="78" t="s">
        <v>15372</v>
      </c>
      <c r="B186" s="78" t="s">
        <v>15373</v>
      </c>
      <c r="C186" s="78" t="s">
        <v>15374</v>
      </c>
      <c r="D186" s="78" t="s">
        <v>14648</v>
      </c>
      <c r="E186" s="78" t="s">
        <v>14655</v>
      </c>
      <c r="F186" s="78" t="s">
        <v>15076</v>
      </c>
      <c r="G186" s="78" t="s">
        <v>14651</v>
      </c>
      <c r="H186" s="78">
        <v>1000</v>
      </c>
      <c r="I186" s="77"/>
    </row>
    <row r="187">
      <c r="A187" s="78" t="s">
        <v>15375</v>
      </c>
      <c r="B187" s="78" t="s">
        <v>15376</v>
      </c>
      <c r="C187" s="78" t="s">
        <v>15377</v>
      </c>
      <c r="D187" s="78" t="s">
        <v>14648</v>
      </c>
      <c r="E187" s="78" t="s">
        <v>14655</v>
      </c>
      <c r="F187" s="78" t="s">
        <v>15076</v>
      </c>
      <c r="G187" s="78" t="s">
        <v>14651</v>
      </c>
      <c r="H187" s="78">
        <v>1000</v>
      </c>
      <c r="I187" s="77"/>
    </row>
    <row r="188">
      <c r="A188" s="78" t="s">
        <v>15378</v>
      </c>
      <c r="B188" s="78" t="s">
        <v>15379</v>
      </c>
      <c r="C188" s="78" t="s">
        <v>15380</v>
      </c>
      <c r="D188" s="78" t="s">
        <v>14648</v>
      </c>
      <c r="E188" s="78" t="s">
        <v>15381</v>
      </c>
      <c r="F188" s="78" t="s">
        <v>15076</v>
      </c>
      <c r="G188" s="78" t="s">
        <v>14651</v>
      </c>
      <c r="H188" s="78">
        <v>1000</v>
      </c>
      <c r="I188" s="77"/>
    </row>
    <row r="189">
      <c r="A189" s="78" t="s">
        <v>15382</v>
      </c>
      <c r="B189" s="78" t="s">
        <v>15383</v>
      </c>
      <c r="C189" s="78" t="s">
        <v>15384</v>
      </c>
      <c r="D189" s="78" t="s">
        <v>14648</v>
      </c>
      <c r="E189" s="78" t="s">
        <v>15385</v>
      </c>
      <c r="F189" s="78" t="s">
        <v>15076</v>
      </c>
      <c r="G189" s="78" t="s">
        <v>14651</v>
      </c>
      <c r="H189" s="78">
        <v>1000</v>
      </c>
      <c r="I189" s="77"/>
    </row>
    <row r="190">
      <c r="A190" s="78" t="s">
        <v>15386</v>
      </c>
      <c r="B190" s="78" t="s">
        <v>15387</v>
      </c>
      <c r="C190" s="78" t="s">
        <v>15388</v>
      </c>
      <c r="D190" s="78" t="s">
        <v>14648</v>
      </c>
      <c r="E190" s="78" t="s">
        <v>15359</v>
      </c>
      <c r="F190" s="78" t="s">
        <v>15076</v>
      </c>
      <c r="G190" s="78" t="s">
        <v>14651</v>
      </c>
      <c r="H190" s="78">
        <v>1000</v>
      </c>
      <c r="I190" s="77"/>
    </row>
    <row r="191">
      <c r="A191" s="78" t="s">
        <v>15389</v>
      </c>
      <c r="B191" s="78" t="s">
        <v>15390</v>
      </c>
      <c r="C191" s="78" t="s">
        <v>15391</v>
      </c>
      <c r="D191" s="78" t="s">
        <v>14648</v>
      </c>
      <c r="E191" s="78" t="s">
        <v>15385</v>
      </c>
      <c r="F191" s="78" t="s">
        <v>15076</v>
      </c>
      <c r="G191" s="78" t="s">
        <v>14651</v>
      </c>
      <c r="H191" s="78">
        <v>1000</v>
      </c>
      <c r="I191" s="77"/>
    </row>
    <row r="192">
      <c r="A192" s="78" t="s">
        <v>15392</v>
      </c>
      <c r="B192" s="78" t="s">
        <v>15393</v>
      </c>
      <c r="C192" s="78" t="s">
        <v>15394</v>
      </c>
      <c r="D192" s="78" t="s">
        <v>14648</v>
      </c>
      <c r="E192" s="78" t="s">
        <v>15395</v>
      </c>
      <c r="F192" s="78" t="s">
        <v>15076</v>
      </c>
      <c r="G192" s="78" t="s">
        <v>14651</v>
      </c>
      <c r="H192" s="78">
        <v>1000</v>
      </c>
      <c r="I192" s="77"/>
    </row>
    <row r="193">
      <c r="A193" s="78" t="s">
        <v>15396</v>
      </c>
      <c r="B193" s="78" t="s">
        <v>15397</v>
      </c>
      <c r="C193" s="78" t="s">
        <v>15398</v>
      </c>
      <c r="D193" s="78" t="s">
        <v>14648</v>
      </c>
      <c r="E193" s="78" t="s">
        <v>15385</v>
      </c>
      <c r="F193" s="78" t="s">
        <v>15076</v>
      </c>
      <c r="G193" s="78" t="s">
        <v>14651</v>
      </c>
      <c r="H193" s="78">
        <v>1000</v>
      </c>
      <c r="I193" s="77"/>
    </row>
    <row r="194">
      <c r="A194" s="78" t="s">
        <v>15399</v>
      </c>
      <c r="B194" s="78" t="s">
        <v>15400</v>
      </c>
      <c r="C194" s="78" t="s">
        <v>15401</v>
      </c>
      <c r="D194" s="78" t="s">
        <v>14648</v>
      </c>
      <c r="E194" s="78" t="s">
        <v>15385</v>
      </c>
      <c r="F194" s="78" t="s">
        <v>15076</v>
      </c>
      <c r="G194" s="78" t="s">
        <v>14651</v>
      </c>
      <c r="H194" s="78">
        <v>1000</v>
      </c>
      <c r="I194" s="77"/>
    </row>
    <row r="195">
      <c r="A195" s="78" t="s">
        <v>15402</v>
      </c>
      <c r="B195" s="78" t="s">
        <v>15403</v>
      </c>
      <c r="C195" s="78" t="s">
        <v>15404</v>
      </c>
      <c r="D195" s="78" t="s">
        <v>14648</v>
      </c>
      <c r="E195" s="78" t="s">
        <v>15385</v>
      </c>
      <c r="F195" s="78" t="s">
        <v>15076</v>
      </c>
      <c r="G195" s="78" t="s">
        <v>14651</v>
      </c>
      <c r="H195" s="78">
        <v>1000</v>
      </c>
      <c r="I195" s="77"/>
    </row>
    <row r="196">
      <c r="A196" s="78" t="s">
        <v>15405</v>
      </c>
      <c r="B196" s="78" t="s">
        <v>15406</v>
      </c>
      <c r="C196" s="78" t="s">
        <v>15407</v>
      </c>
      <c r="D196" s="78" t="s">
        <v>14648</v>
      </c>
      <c r="E196" s="78" t="s">
        <v>15385</v>
      </c>
      <c r="F196" s="78" t="s">
        <v>15076</v>
      </c>
      <c r="G196" s="78" t="s">
        <v>14651</v>
      </c>
      <c r="H196" s="78">
        <v>1000</v>
      </c>
      <c r="I196" s="77"/>
    </row>
    <row r="197">
      <c r="A197" s="78" t="s">
        <v>15408</v>
      </c>
      <c r="B197" s="78" t="s">
        <v>15409</v>
      </c>
      <c r="C197" s="78" t="s">
        <v>15410</v>
      </c>
      <c r="D197" s="78" t="s">
        <v>14648</v>
      </c>
      <c r="E197" s="78" t="s">
        <v>15385</v>
      </c>
      <c r="F197" s="78" t="s">
        <v>15076</v>
      </c>
      <c r="G197" s="78" t="s">
        <v>14651</v>
      </c>
      <c r="H197" s="78">
        <v>1000</v>
      </c>
      <c r="I197" s="77"/>
    </row>
    <row r="198">
      <c r="A198" s="78" t="s">
        <v>15411</v>
      </c>
      <c r="B198" s="78" t="s">
        <v>15412</v>
      </c>
      <c r="C198" s="78" t="s">
        <v>15413</v>
      </c>
      <c r="D198" s="78" t="s">
        <v>14648</v>
      </c>
      <c r="E198" s="78" t="s">
        <v>14655</v>
      </c>
      <c r="F198" s="78" t="s">
        <v>15076</v>
      </c>
      <c r="G198" s="78" t="s">
        <v>14651</v>
      </c>
      <c r="H198" s="78">
        <v>1000</v>
      </c>
      <c r="I198" s="77"/>
    </row>
    <row r="199">
      <c r="A199" s="78" t="s">
        <v>15414</v>
      </c>
      <c r="B199" s="78" t="s">
        <v>15415</v>
      </c>
      <c r="C199" s="78" t="s">
        <v>15416</v>
      </c>
      <c r="D199" s="78" t="s">
        <v>14648</v>
      </c>
      <c r="E199" s="78" t="s">
        <v>15385</v>
      </c>
      <c r="F199" s="78" t="s">
        <v>15076</v>
      </c>
      <c r="G199" s="78" t="s">
        <v>14651</v>
      </c>
      <c r="H199" s="78">
        <v>1000</v>
      </c>
      <c r="I199" s="77"/>
    </row>
    <row r="200">
      <c r="A200" s="78" t="s">
        <v>15417</v>
      </c>
      <c r="B200" s="78" t="s">
        <v>15418</v>
      </c>
      <c r="C200" s="78" t="s">
        <v>15419</v>
      </c>
      <c r="D200" s="78" t="s">
        <v>14648</v>
      </c>
      <c r="E200" s="78" t="s">
        <v>15385</v>
      </c>
      <c r="F200" s="78" t="s">
        <v>15076</v>
      </c>
      <c r="G200" s="78" t="s">
        <v>14651</v>
      </c>
      <c r="H200" s="78">
        <v>1000</v>
      </c>
      <c r="I200" s="77"/>
    </row>
    <row r="201">
      <c r="A201" s="78" t="s">
        <v>15420</v>
      </c>
      <c r="B201" s="78" t="s">
        <v>15421</v>
      </c>
      <c r="C201" s="78" t="s">
        <v>15422</v>
      </c>
      <c r="D201" s="78" t="s">
        <v>14648</v>
      </c>
      <c r="E201" s="78" t="s">
        <v>15385</v>
      </c>
      <c r="F201" s="78" t="s">
        <v>15076</v>
      </c>
      <c r="G201" s="78" t="s">
        <v>14651</v>
      </c>
      <c r="H201" s="78">
        <v>1000</v>
      </c>
      <c r="I201" s="77"/>
    </row>
    <row r="202">
      <c r="A202" s="78" t="s">
        <v>15423</v>
      </c>
      <c r="B202" s="78" t="s">
        <v>15424</v>
      </c>
      <c r="C202" s="78" t="s">
        <v>15425</v>
      </c>
      <c r="D202" s="78" t="s">
        <v>14648</v>
      </c>
      <c r="E202" s="78" t="s">
        <v>15385</v>
      </c>
      <c r="F202" s="78" t="s">
        <v>15076</v>
      </c>
      <c r="G202" s="78" t="s">
        <v>14651</v>
      </c>
      <c r="H202" s="78">
        <v>1000</v>
      </c>
      <c r="I202" s="77"/>
    </row>
    <row r="203">
      <c r="A203" s="78" t="s">
        <v>15426</v>
      </c>
      <c r="B203" s="78" t="s">
        <v>15427</v>
      </c>
      <c r="C203" s="78" t="s">
        <v>15428</v>
      </c>
      <c r="D203" s="78" t="s">
        <v>14648</v>
      </c>
      <c r="E203" s="78" t="s">
        <v>15385</v>
      </c>
      <c r="F203" s="78" t="s">
        <v>15076</v>
      </c>
      <c r="G203" s="78" t="s">
        <v>14651</v>
      </c>
      <c r="H203" s="78">
        <v>1000</v>
      </c>
      <c r="I203" s="77"/>
    </row>
    <row r="204">
      <c r="A204" s="78" t="s">
        <v>15429</v>
      </c>
      <c r="B204" s="78" t="s">
        <v>15430</v>
      </c>
      <c r="C204" s="78" t="s">
        <v>15431</v>
      </c>
      <c r="D204" s="78" t="s">
        <v>14648</v>
      </c>
      <c r="E204" s="78" t="s">
        <v>15385</v>
      </c>
      <c r="F204" s="78" t="s">
        <v>15076</v>
      </c>
      <c r="G204" s="78" t="s">
        <v>14651</v>
      </c>
      <c r="H204" s="78">
        <v>1000</v>
      </c>
      <c r="I204" s="77"/>
    </row>
    <row r="205">
      <c r="A205" s="78" t="s">
        <v>15432</v>
      </c>
      <c r="B205" s="78" t="s">
        <v>15433</v>
      </c>
      <c r="C205" s="78" t="s">
        <v>15434</v>
      </c>
      <c r="D205" s="78" t="s">
        <v>14648</v>
      </c>
      <c r="E205" s="78" t="s">
        <v>15385</v>
      </c>
      <c r="F205" s="78" t="s">
        <v>15076</v>
      </c>
      <c r="G205" s="78" t="s">
        <v>14651</v>
      </c>
      <c r="H205" s="78">
        <v>1000</v>
      </c>
      <c r="I205" s="77"/>
    </row>
    <row r="206">
      <c r="A206" s="78" t="s">
        <v>15435</v>
      </c>
      <c r="B206" s="78" t="s">
        <v>15436</v>
      </c>
      <c r="C206" s="78" t="s">
        <v>15437</v>
      </c>
      <c r="D206" s="78" t="s">
        <v>14648</v>
      </c>
      <c r="E206" s="78" t="s">
        <v>15385</v>
      </c>
      <c r="F206" s="78" t="s">
        <v>15076</v>
      </c>
      <c r="G206" s="78" t="s">
        <v>14651</v>
      </c>
      <c r="H206" s="78">
        <v>1000</v>
      </c>
      <c r="I206" s="77"/>
    </row>
    <row r="207">
      <c r="A207" s="78" t="s">
        <v>15438</v>
      </c>
      <c r="B207" s="78" t="s">
        <v>15439</v>
      </c>
      <c r="C207" s="78" t="s">
        <v>15440</v>
      </c>
      <c r="D207" s="78" t="s">
        <v>14648</v>
      </c>
      <c r="E207" s="78" t="s">
        <v>15385</v>
      </c>
      <c r="F207" s="78" t="s">
        <v>15076</v>
      </c>
      <c r="G207" s="78" t="s">
        <v>14651</v>
      </c>
      <c r="H207" s="78">
        <v>1000</v>
      </c>
      <c r="I207" s="77"/>
    </row>
    <row r="208">
      <c r="A208" s="78" t="s">
        <v>15441</v>
      </c>
      <c r="B208" s="78" t="s">
        <v>15442</v>
      </c>
      <c r="C208" s="78" t="s">
        <v>15443</v>
      </c>
      <c r="D208" s="78" t="s">
        <v>14648</v>
      </c>
      <c r="E208" s="78" t="s">
        <v>15385</v>
      </c>
      <c r="F208" s="78" t="s">
        <v>15076</v>
      </c>
      <c r="G208" s="78" t="s">
        <v>14651</v>
      </c>
      <c r="H208" s="78">
        <v>1000</v>
      </c>
      <c r="I208" s="77"/>
    </row>
    <row r="209">
      <c r="A209" s="78" t="s">
        <v>15444</v>
      </c>
      <c r="B209" s="78" t="s">
        <v>15445</v>
      </c>
      <c r="C209" s="78" t="s">
        <v>15446</v>
      </c>
      <c r="D209" s="78" t="s">
        <v>14648</v>
      </c>
      <c r="E209" s="78" t="s">
        <v>15385</v>
      </c>
      <c r="F209" s="78" t="s">
        <v>15076</v>
      </c>
      <c r="G209" s="78" t="s">
        <v>14651</v>
      </c>
      <c r="H209" s="78">
        <v>1000</v>
      </c>
      <c r="I209" s="77"/>
    </row>
    <row r="210">
      <c r="A210" s="78" t="s">
        <v>15447</v>
      </c>
      <c r="B210" s="78" t="s">
        <v>15448</v>
      </c>
      <c r="C210" s="78" t="s">
        <v>15449</v>
      </c>
      <c r="D210" s="78" t="s">
        <v>14648</v>
      </c>
      <c r="E210" s="78" t="s">
        <v>15450</v>
      </c>
      <c r="F210" s="78" t="s">
        <v>15076</v>
      </c>
      <c r="G210" s="78" t="s">
        <v>14651</v>
      </c>
      <c r="H210" s="78">
        <v>1000</v>
      </c>
      <c r="I210" s="77"/>
    </row>
    <row r="211">
      <c r="A211" s="78" t="s">
        <v>15451</v>
      </c>
      <c r="B211" s="78" t="s">
        <v>15452</v>
      </c>
      <c r="C211" s="78" t="s">
        <v>15453</v>
      </c>
      <c r="D211" s="78" t="s">
        <v>14648</v>
      </c>
      <c r="E211" s="78" t="s">
        <v>15381</v>
      </c>
      <c r="F211" s="78" t="s">
        <v>15076</v>
      </c>
      <c r="G211" s="78" t="s">
        <v>14651</v>
      </c>
      <c r="H211" s="78">
        <v>1000</v>
      </c>
      <c r="I211" s="77"/>
    </row>
    <row r="212">
      <c r="A212" s="78" t="s">
        <v>15454</v>
      </c>
      <c r="B212" s="78" t="s">
        <v>15455</v>
      </c>
      <c r="C212" s="78" t="s">
        <v>15456</v>
      </c>
      <c r="D212" s="78" t="s">
        <v>14648</v>
      </c>
      <c r="E212" s="78" t="s">
        <v>15381</v>
      </c>
      <c r="F212" s="78" t="s">
        <v>15076</v>
      </c>
      <c r="G212" s="78" t="s">
        <v>14651</v>
      </c>
      <c r="H212" s="78">
        <v>1000</v>
      </c>
      <c r="I212" s="77"/>
    </row>
    <row r="213">
      <c r="A213" s="78" t="s">
        <v>15457</v>
      </c>
      <c r="B213" s="78" t="s">
        <v>15458</v>
      </c>
      <c r="C213" s="78" t="s">
        <v>15459</v>
      </c>
      <c r="D213" s="78" t="s">
        <v>14648</v>
      </c>
      <c r="E213" s="78" t="s">
        <v>15381</v>
      </c>
      <c r="F213" s="78" t="s">
        <v>15076</v>
      </c>
      <c r="G213" s="78" t="s">
        <v>14651</v>
      </c>
      <c r="H213" s="78">
        <v>1000</v>
      </c>
      <c r="I213" s="77"/>
    </row>
    <row r="214">
      <c r="A214" s="78" t="s">
        <v>15460</v>
      </c>
      <c r="B214" s="78" t="s">
        <v>15461</v>
      </c>
      <c r="C214" s="78" t="s">
        <v>15462</v>
      </c>
      <c r="D214" s="78" t="s">
        <v>14648</v>
      </c>
      <c r="E214" s="78" t="s">
        <v>15463</v>
      </c>
      <c r="F214" s="78" t="s">
        <v>15076</v>
      </c>
      <c r="G214" s="78" t="s">
        <v>14651</v>
      </c>
      <c r="H214" s="78">
        <v>1000</v>
      </c>
      <c r="I214" s="77"/>
    </row>
    <row r="215">
      <c r="A215" s="78" t="s">
        <v>15464</v>
      </c>
      <c r="B215" s="78" t="s">
        <v>15465</v>
      </c>
      <c r="C215" s="78" t="s">
        <v>15466</v>
      </c>
      <c r="D215" s="78" t="s">
        <v>14648</v>
      </c>
      <c r="E215" s="78" t="s">
        <v>15463</v>
      </c>
      <c r="F215" s="78" t="s">
        <v>15076</v>
      </c>
      <c r="G215" s="78" t="s">
        <v>14651</v>
      </c>
      <c r="H215" s="78">
        <v>1000</v>
      </c>
      <c r="I215" s="77"/>
    </row>
    <row r="216">
      <c r="A216" s="78" t="s">
        <v>15467</v>
      </c>
      <c r="B216" s="78" t="s">
        <v>15468</v>
      </c>
      <c r="C216" s="78" t="s">
        <v>15469</v>
      </c>
      <c r="D216" s="78" t="s">
        <v>14648</v>
      </c>
      <c r="E216" s="78" t="s">
        <v>15463</v>
      </c>
      <c r="F216" s="78" t="s">
        <v>15076</v>
      </c>
      <c r="G216" s="78" t="s">
        <v>14651</v>
      </c>
      <c r="H216" s="78">
        <v>1000</v>
      </c>
      <c r="I216" s="77"/>
    </row>
    <row r="217">
      <c r="A217" s="78" t="s">
        <v>15470</v>
      </c>
      <c r="B217" s="78" t="s">
        <v>15471</v>
      </c>
      <c r="C217" s="78" t="s">
        <v>15472</v>
      </c>
      <c r="D217" s="78" t="s">
        <v>14648</v>
      </c>
      <c r="E217" s="78" t="s">
        <v>15463</v>
      </c>
      <c r="F217" s="78" t="s">
        <v>15076</v>
      </c>
      <c r="G217" s="78" t="s">
        <v>14651</v>
      </c>
      <c r="H217" s="78">
        <v>1000</v>
      </c>
      <c r="I217" s="77"/>
    </row>
    <row r="218">
      <c r="A218" s="78" t="s">
        <v>15473</v>
      </c>
      <c r="B218" s="78" t="s">
        <v>15474</v>
      </c>
      <c r="C218" s="78" t="s">
        <v>15475</v>
      </c>
      <c r="D218" s="78" t="s">
        <v>14648</v>
      </c>
      <c r="E218" s="78" t="s">
        <v>15463</v>
      </c>
      <c r="F218" s="78" t="s">
        <v>15076</v>
      </c>
      <c r="G218" s="78" t="s">
        <v>14651</v>
      </c>
      <c r="H218" s="78">
        <v>1000</v>
      </c>
      <c r="I218" s="77"/>
    </row>
    <row r="219">
      <c r="A219" s="78" t="s">
        <v>15476</v>
      </c>
      <c r="B219" s="78" t="s">
        <v>15477</v>
      </c>
      <c r="C219" s="78" t="s">
        <v>15478</v>
      </c>
      <c r="D219" s="78" t="s">
        <v>14648</v>
      </c>
      <c r="E219" s="78" t="s">
        <v>15463</v>
      </c>
      <c r="F219" s="78" t="s">
        <v>15076</v>
      </c>
      <c r="G219" s="78" t="s">
        <v>14651</v>
      </c>
      <c r="H219" s="78">
        <v>1000</v>
      </c>
      <c r="I219" s="77"/>
    </row>
    <row r="220">
      <c r="A220" s="78" t="s">
        <v>15479</v>
      </c>
      <c r="B220" s="78" t="s">
        <v>15480</v>
      </c>
      <c r="C220" s="78" t="s">
        <v>15481</v>
      </c>
      <c r="D220" s="78" t="s">
        <v>14648</v>
      </c>
      <c r="E220" s="78" t="s">
        <v>15463</v>
      </c>
      <c r="F220" s="78" t="s">
        <v>15076</v>
      </c>
      <c r="G220" s="78" t="s">
        <v>14651</v>
      </c>
      <c r="H220" s="78">
        <v>1000</v>
      </c>
      <c r="I220" s="77"/>
    </row>
    <row r="221">
      <c r="A221" s="78" t="s">
        <v>15482</v>
      </c>
      <c r="B221" s="78" t="s">
        <v>15483</v>
      </c>
      <c r="C221" s="78" t="s">
        <v>15484</v>
      </c>
      <c r="D221" s="78" t="s">
        <v>14648</v>
      </c>
      <c r="E221" s="78" t="s">
        <v>15463</v>
      </c>
      <c r="F221" s="78" t="s">
        <v>15076</v>
      </c>
      <c r="G221" s="78" t="s">
        <v>14651</v>
      </c>
      <c r="H221" s="78">
        <v>1000</v>
      </c>
      <c r="I221" s="77"/>
    </row>
    <row r="222">
      <c r="A222" s="78" t="s">
        <v>15485</v>
      </c>
      <c r="B222" s="78" t="s">
        <v>15486</v>
      </c>
      <c r="C222" s="78" t="s">
        <v>15487</v>
      </c>
      <c r="D222" s="78" t="s">
        <v>14648</v>
      </c>
      <c r="E222" s="78" t="s">
        <v>15463</v>
      </c>
      <c r="F222" s="78" t="s">
        <v>15076</v>
      </c>
      <c r="G222" s="78" t="s">
        <v>14651</v>
      </c>
      <c r="H222" s="78">
        <v>1000</v>
      </c>
      <c r="I222" s="77"/>
    </row>
    <row r="223">
      <c r="A223" s="78" t="s">
        <v>15488</v>
      </c>
      <c r="B223" s="78" t="s">
        <v>15489</v>
      </c>
      <c r="C223" s="78" t="s">
        <v>15490</v>
      </c>
      <c r="D223" s="78" t="s">
        <v>14648</v>
      </c>
      <c r="E223" s="78" t="s">
        <v>15463</v>
      </c>
      <c r="F223" s="78" t="s">
        <v>15076</v>
      </c>
      <c r="G223" s="78" t="s">
        <v>14651</v>
      </c>
      <c r="H223" s="78">
        <v>1000</v>
      </c>
      <c r="I223" s="77"/>
    </row>
    <row r="224">
      <c r="A224" s="78" t="s">
        <v>15491</v>
      </c>
      <c r="B224" s="78" t="s">
        <v>15492</v>
      </c>
      <c r="C224" s="78" t="s">
        <v>15493</v>
      </c>
      <c r="D224" s="78" t="s">
        <v>14648</v>
      </c>
      <c r="E224" s="78" t="s">
        <v>15494</v>
      </c>
      <c r="F224" s="78" t="s">
        <v>15076</v>
      </c>
      <c r="G224" s="78" t="s">
        <v>14651</v>
      </c>
      <c r="H224" s="78">
        <v>1200</v>
      </c>
      <c r="I224" s="77"/>
    </row>
    <row r="225">
      <c r="A225" s="78" t="s">
        <v>15495</v>
      </c>
      <c r="B225" s="78" t="s">
        <v>15496</v>
      </c>
      <c r="C225" s="78" t="s">
        <v>15497</v>
      </c>
      <c r="D225" s="78" t="s">
        <v>14648</v>
      </c>
      <c r="E225" s="78" t="s">
        <v>15498</v>
      </c>
      <c r="F225" s="78" t="s">
        <v>15076</v>
      </c>
      <c r="G225" s="78" t="s">
        <v>14651</v>
      </c>
      <c r="H225" s="78">
        <v>1000</v>
      </c>
      <c r="I225" s="77"/>
    </row>
    <row r="226">
      <c r="A226" s="78" t="s">
        <v>15499</v>
      </c>
      <c r="B226" s="78" t="s">
        <v>15500</v>
      </c>
      <c r="C226" s="78" t="s">
        <v>15501</v>
      </c>
      <c r="D226" s="78" t="s">
        <v>14648</v>
      </c>
      <c r="E226" s="78" t="s">
        <v>15450</v>
      </c>
      <c r="F226" s="78" t="s">
        <v>15076</v>
      </c>
      <c r="G226" s="78" t="s">
        <v>14651</v>
      </c>
      <c r="H226" s="78">
        <v>1000</v>
      </c>
      <c r="I226" s="77"/>
    </row>
    <row r="227">
      <c r="A227" s="78" t="s">
        <v>15502</v>
      </c>
      <c r="B227" s="78" t="s">
        <v>15503</v>
      </c>
      <c r="C227" s="78" t="s">
        <v>15504</v>
      </c>
      <c r="D227" s="78" t="s">
        <v>14648</v>
      </c>
      <c r="E227" s="78" t="s">
        <v>15498</v>
      </c>
      <c r="F227" s="78" t="s">
        <v>15076</v>
      </c>
      <c r="G227" s="78" t="s">
        <v>14651</v>
      </c>
      <c r="H227" s="78">
        <v>1000</v>
      </c>
      <c r="I227" s="77"/>
    </row>
    <row r="228">
      <c r="A228" s="78" t="s">
        <v>15505</v>
      </c>
      <c r="B228" s="78" t="s">
        <v>15506</v>
      </c>
      <c r="C228" s="78" t="s">
        <v>15507</v>
      </c>
      <c r="D228" s="78" t="s">
        <v>14648</v>
      </c>
      <c r="E228" s="78" t="s">
        <v>15498</v>
      </c>
      <c r="F228" s="78" t="s">
        <v>15076</v>
      </c>
      <c r="G228" s="78" t="s">
        <v>14651</v>
      </c>
      <c r="H228" s="78">
        <v>1000</v>
      </c>
      <c r="I228" s="77"/>
    </row>
    <row r="229">
      <c r="A229" s="78" t="s">
        <v>15508</v>
      </c>
      <c r="B229" s="78" t="s">
        <v>15509</v>
      </c>
      <c r="C229" s="78" t="s">
        <v>15510</v>
      </c>
      <c r="D229" s="78" t="s">
        <v>14648</v>
      </c>
      <c r="E229" s="78" t="s">
        <v>15395</v>
      </c>
      <c r="F229" s="78" t="s">
        <v>15076</v>
      </c>
      <c r="G229" s="78" t="s">
        <v>14651</v>
      </c>
      <c r="H229" s="78">
        <v>1000</v>
      </c>
      <c r="I229" s="77"/>
    </row>
    <row r="230">
      <c r="A230" s="78" t="s">
        <v>15511</v>
      </c>
      <c r="B230" s="78" t="s">
        <v>15512</v>
      </c>
      <c r="C230" s="78" t="s">
        <v>15513</v>
      </c>
      <c r="D230" s="78" t="s">
        <v>14648</v>
      </c>
      <c r="E230" s="78" t="s">
        <v>15514</v>
      </c>
      <c r="F230" s="78" t="s">
        <v>15076</v>
      </c>
      <c r="G230" s="78" t="s">
        <v>14651</v>
      </c>
      <c r="H230" s="78">
        <v>1200</v>
      </c>
      <c r="I230" s="77"/>
    </row>
    <row r="231">
      <c r="A231" s="78" t="s">
        <v>15515</v>
      </c>
      <c r="B231" s="78" t="s">
        <v>15516</v>
      </c>
      <c r="C231" s="78" t="s">
        <v>15517</v>
      </c>
      <c r="D231" s="78" t="s">
        <v>14648</v>
      </c>
      <c r="E231" s="78" t="s">
        <v>15518</v>
      </c>
      <c r="F231" s="78" t="s">
        <v>15076</v>
      </c>
      <c r="G231" s="78" t="s">
        <v>14651</v>
      </c>
      <c r="H231" s="78">
        <v>1000</v>
      </c>
      <c r="I231" s="77"/>
    </row>
    <row r="232">
      <c r="A232" s="78" t="s">
        <v>15519</v>
      </c>
      <c r="B232" s="78" t="s">
        <v>15520</v>
      </c>
      <c r="C232" s="78" t="s">
        <v>15521</v>
      </c>
      <c r="D232" s="78" t="s">
        <v>14648</v>
      </c>
      <c r="E232" s="78" t="s">
        <v>15518</v>
      </c>
      <c r="F232" s="78" t="s">
        <v>15076</v>
      </c>
      <c r="G232" s="78" t="s">
        <v>14651</v>
      </c>
      <c r="H232" s="78">
        <v>1000</v>
      </c>
      <c r="I232" s="77"/>
    </row>
    <row r="233">
      <c r="A233" s="78" t="s">
        <v>15522</v>
      </c>
      <c r="B233" s="78" t="s">
        <v>15523</v>
      </c>
      <c r="C233" s="78" t="s">
        <v>15524</v>
      </c>
      <c r="D233" s="78" t="s">
        <v>14648</v>
      </c>
      <c r="E233" s="78" t="s">
        <v>15518</v>
      </c>
      <c r="F233" s="78" t="s">
        <v>15076</v>
      </c>
      <c r="G233" s="78" t="s">
        <v>14651</v>
      </c>
      <c r="H233" s="78">
        <v>1000</v>
      </c>
      <c r="I233" s="77"/>
    </row>
    <row r="234">
      <c r="A234" s="78" t="s">
        <v>15525</v>
      </c>
      <c r="B234" s="78" t="s">
        <v>15526</v>
      </c>
      <c r="C234" s="78" t="s">
        <v>15527</v>
      </c>
      <c r="D234" s="78" t="s">
        <v>14648</v>
      </c>
      <c r="E234" s="78" t="s">
        <v>15518</v>
      </c>
      <c r="F234" s="78" t="s">
        <v>15076</v>
      </c>
      <c r="G234" s="78" t="s">
        <v>14651</v>
      </c>
      <c r="H234" s="78">
        <v>1000</v>
      </c>
      <c r="I234" s="77"/>
      <c r="J234" s="77"/>
    </row>
    <row r="235">
      <c r="A235" s="78" t="s">
        <v>15528</v>
      </c>
      <c r="B235" s="78" t="s">
        <v>15529</v>
      </c>
      <c r="C235" s="78" t="s">
        <v>15530</v>
      </c>
      <c r="D235" s="78" t="s">
        <v>14648</v>
      </c>
      <c r="E235" s="78" t="s">
        <v>15531</v>
      </c>
      <c r="F235" s="78" t="s">
        <v>15076</v>
      </c>
      <c r="G235" s="78" t="s">
        <v>14651</v>
      </c>
      <c r="H235" s="78">
        <v>1000</v>
      </c>
      <c r="I235" s="77"/>
    </row>
    <row r="236">
      <c r="A236" s="78" t="s">
        <v>15532</v>
      </c>
      <c r="B236" s="78" t="s">
        <v>15533</v>
      </c>
      <c r="C236" s="78" t="s">
        <v>15534</v>
      </c>
      <c r="D236" s="78" t="s">
        <v>14648</v>
      </c>
      <c r="E236" s="78" t="s">
        <v>15531</v>
      </c>
      <c r="F236" s="78" t="s">
        <v>15076</v>
      </c>
      <c r="G236" s="78" t="s">
        <v>14651</v>
      </c>
      <c r="H236" s="78">
        <v>1000</v>
      </c>
      <c r="I236" s="77"/>
    </row>
    <row r="237">
      <c r="A237" s="78" t="s">
        <v>15535</v>
      </c>
      <c r="B237" s="78" t="s">
        <v>15536</v>
      </c>
      <c r="C237" s="78" t="s">
        <v>15537</v>
      </c>
      <c r="D237" s="78" t="s">
        <v>14648</v>
      </c>
      <c r="E237" s="78" t="s">
        <v>15531</v>
      </c>
      <c r="F237" s="78" t="s">
        <v>15076</v>
      </c>
      <c r="G237" s="78" t="s">
        <v>14651</v>
      </c>
      <c r="H237" s="78">
        <v>1000</v>
      </c>
      <c r="I237" s="77"/>
    </row>
    <row r="238">
      <c r="A238" s="78" t="s">
        <v>15538</v>
      </c>
      <c r="B238" s="78" t="s">
        <v>15539</v>
      </c>
      <c r="C238" s="78" t="s">
        <v>15540</v>
      </c>
      <c r="D238" s="78" t="s">
        <v>14648</v>
      </c>
      <c r="E238" s="78" t="s">
        <v>15531</v>
      </c>
      <c r="F238" s="78" t="s">
        <v>15076</v>
      </c>
      <c r="G238" s="78" t="s">
        <v>14651</v>
      </c>
      <c r="H238" s="78">
        <v>1000</v>
      </c>
      <c r="I238" s="77"/>
    </row>
    <row r="239">
      <c r="A239" s="78" t="s">
        <v>15541</v>
      </c>
      <c r="B239" s="78" t="s">
        <v>15542</v>
      </c>
      <c r="C239" s="78" t="s">
        <v>15543</v>
      </c>
      <c r="D239" s="78" t="s">
        <v>14648</v>
      </c>
      <c r="E239" s="78" t="s">
        <v>15531</v>
      </c>
      <c r="F239" s="78" t="s">
        <v>15076</v>
      </c>
      <c r="G239" s="78" t="s">
        <v>14651</v>
      </c>
      <c r="H239" s="78">
        <v>1000</v>
      </c>
      <c r="I239" s="77"/>
    </row>
    <row r="240">
      <c r="A240" s="78" t="s">
        <v>15544</v>
      </c>
      <c r="B240" s="78" t="s">
        <v>15545</v>
      </c>
      <c r="C240" s="78" t="s">
        <v>15546</v>
      </c>
      <c r="D240" s="78" t="s">
        <v>14648</v>
      </c>
      <c r="E240" s="78" t="s">
        <v>15531</v>
      </c>
      <c r="F240" s="78" t="s">
        <v>15076</v>
      </c>
      <c r="G240" s="78" t="s">
        <v>14651</v>
      </c>
      <c r="H240" s="78">
        <v>1000</v>
      </c>
      <c r="I240" s="77"/>
    </row>
    <row r="241">
      <c r="A241" s="78" t="s">
        <v>15547</v>
      </c>
      <c r="B241" s="78" t="s">
        <v>15548</v>
      </c>
      <c r="C241" s="78" t="s">
        <v>15549</v>
      </c>
      <c r="D241" s="78" t="s">
        <v>14648</v>
      </c>
      <c r="E241" s="78" t="s">
        <v>15550</v>
      </c>
      <c r="F241" s="78" t="s">
        <v>15551</v>
      </c>
      <c r="G241" s="78" t="s">
        <v>14651</v>
      </c>
      <c r="H241" s="78">
        <v>2000</v>
      </c>
      <c r="I241" s="77"/>
    </row>
    <row r="242">
      <c r="A242" s="78" t="s">
        <v>15552</v>
      </c>
      <c r="B242" s="78" t="s">
        <v>15553</v>
      </c>
      <c r="C242" s="78" t="s">
        <v>15554</v>
      </c>
      <c r="D242" s="78" t="s">
        <v>14648</v>
      </c>
      <c r="E242" s="78" t="s">
        <v>15555</v>
      </c>
      <c r="F242" s="78" t="s">
        <v>15551</v>
      </c>
      <c r="G242" s="78" t="s">
        <v>14651</v>
      </c>
      <c r="H242" s="78">
        <v>1500</v>
      </c>
      <c r="I242" s="77"/>
    </row>
    <row r="243">
      <c r="A243" s="78" t="s">
        <v>15556</v>
      </c>
      <c r="B243" s="78" t="s">
        <v>15557</v>
      </c>
      <c r="C243" s="78" t="s">
        <v>15558</v>
      </c>
      <c r="D243" s="78" t="s">
        <v>14648</v>
      </c>
      <c r="E243" s="78" t="s">
        <v>15555</v>
      </c>
      <c r="F243" s="78" t="s">
        <v>15551</v>
      </c>
      <c r="G243" s="78" t="s">
        <v>14651</v>
      </c>
      <c r="H243" s="78">
        <v>1500</v>
      </c>
      <c r="I243" s="77"/>
    </row>
    <row r="244">
      <c r="A244" s="78" t="s">
        <v>15559</v>
      </c>
      <c r="B244" s="78" t="s">
        <v>15559</v>
      </c>
      <c r="C244" s="78" t="s">
        <v>15560</v>
      </c>
      <c r="D244" s="78" t="s">
        <v>15561</v>
      </c>
      <c r="E244" s="78" t="s">
        <v>15562</v>
      </c>
      <c r="F244" s="78" t="s">
        <v>14743</v>
      </c>
      <c r="G244" s="78" t="s">
        <v>14744</v>
      </c>
      <c r="H244" s="78">
        <v>0</v>
      </c>
    </row>
    <row r="245">
      <c r="A245" s="78" t="s">
        <v>15563</v>
      </c>
      <c r="B245" s="78" t="s">
        <v>15564</v>
      </c>
      <c r="C245" s="78" t="s">
        <v>15565</v>
      </c>
      <c r="D245" s="78" t="s">
        <v>14648</v>
      </c>
      <c r="E245" s="78" t="s">
        <v>15555</v>
      </c>
      <c r="F245" s="78" t="s">
        <v>15551</v>
      </c>
      <c r="G245" s="78" t="s">
        <v>14651</v>
      </c>
      <c r="H245" s="78">
        <v>2500</v>
      </c>
      <c r="I245" s="77"/>
    </row>
    <row r="246">
      <c r="A246" s="78" t="s">
        <v>15566</v>
      </c>
      <c r="B246" s="78" t="s">
        <v>15567</v>
      </c>
      <c r="C246" s="78" t="s">
        <v>15568</v>
      </c>
      <c r="D246" s="78" t="s">
        <v>14648</v>
      </c>
      <c r="E246" s="78" t="s">
        <v>15555</v>
      </c>
      <c r="F246" s="78" t="s">
        <v>15551</v>
      </c>
      <c r="G246" s="78" t="s">
        <v>14651</v>
      </c>
      <c r="H246" s="78">
        <v>1500</v>
      </c>
      <c r="I246" s="77"/>
    </row>
    <row r="247">
      <c r="A247" s="78" t="s">
        <v>15569</v>
      </c>
      <c r="B247" s="78" t="s">
        <v>15570</v>
      </c>
      <c r="C247" s="78" t="s">
        <v>15571</v>
      </c>
      <c r="D247" s="78" t="s">
        <v>14648</v>
      </c>
      <c r="E247" s="78" t="s">
        <v>15555</v>
      </c>
      <c r="F247" s="78" t="s">
        <v>15551</v>
      </c>
      <c r="G247" s="78" t="s">
        <v>14651</v>
      </c>
      <c r="H247" s="78">
        <v>1500</v>
      </c>
      <c r="I247" s="77"/>
    </row>
    <row r="248">
      <c r="A248" s="78" t="s">
        <v>15572</v>
      </c>
      <c r="B248" s="78" t="s">
        <v>15573</v>
      </c>
      <c r="C248" s="78" t="s">
        <v>15574</v>
      </c>
      <c r="D248" s="78" t="s">
        <v>14648</v>
      </c>
      <c r="E248" s="78" t="s">
        <v>15555</v>
      </c>
      <c r="F248" s="78" t="s">
        <v>15551</v>
      </c>
      <c r="G248" s="78" t="s">
        <v>14651</v>
      </c>
      <c r="H248" s="78">
        <v>1500</v>
      </c>
      <c r="I248" s="77"/>
    </row>
    <row r="249">
      <c r="A249" s="78" t="s">
        <v>15575</v>
      </c>
      <c r="B249" s="78" t="s">
        <v>15576</v>
      </c>
      <c r="C249" s="78" t="s">
        <v>15577</v>
      </c>
      <c r="D249" s="78" t="s">
        <v>14648</v>
      </c>
      <c r="E249" s="78" t="s">
        <v>15555</v>
      </c>
      <c r="F249" s="78" t="s">
        <v>15551</v>
      </c>
      <c r="G249" s="78" t="s">
        <v>14651</v>
      </c>
      <c r="H249" s="78">
        <v>2000</v>
      </c>
      <c r="I249" s="77"/>
    </row>
    <row r="250">
      <c r="A250" s="78" t="s">
        <v>15578</v>
      </c>
      <c r="B250" s="78" t="s">
        <v>15579</v>
      </c>
      <c r="C250" s="78" t="s">
        <v>15580</v>
      </c>
      <c r="D250" s="78" t="s">
        <v>14648</v>
      </c>
      <c r="E250" s="78" t="s">
        <v>15555</v>
      </c>
      <c r="F250" s="78" t="s">
        <v>15551</v>
      </c>
      <c r="G250" s="78" t="s">
        <v>14651</v>
      </c>
      <c r="H250" s="78">
        <v>1500</v>
      </c>
      <c r="I250" s="77"/>
    </row>
    <row r="251">
      <c r="A251" s="78" t="s">
        <v>15581</v>
      </c>
      <c r="B251" s="78" t="s">
        <v>15582</v>
      </c>
      <c r="C251" s="78" t="s">
        <v>15583</v>
      </c>
      <c r="D251" s="78" t="s">
        <v>14648</v>
      </c>
      <c r="E251" s="78" t="s">
        <v>15555</v>
      </c>
      <c r="F251" s="78" t="s">
        <v>15551</v>
      </c>
      <c r="G251" s="78" t="s">
        <v>14651</v>
      </c>
      <c r="H251" s="78">
        <v>1500</v>
      </c>
      <c r="I251" s="77"/>
    </row>
    <row r="252">
      <c r="A252" s="78" t="s">
        <v>15584</v>
      </c>
      <c r="B252" s="78" t="s">
        <v>15585</v>
      </c>
      <c r="C252" s="78" t="s">
        <v>15586</v>
      </c>
      <c r="D252" s="78" t="s">
        <v>14648</v>
      </c>
      <c r="E252" s="78" t="s">
        <v>15555</v>
      </c>
      <c r="F252" s="78" t="s">
        <v>15551</v>
      </c>
      <c r="G252" s="78" t="s">
        <v>14651</v>
      </c>
      <c r="H252" s="78">
        <v>1500</v>
      </c>
      <c r="I252" s="77"/>
    </row>
    <row r="253">
      <c r="A253" s="78" t="s">
        <v>15587</v>
      </c>
      <c r="B253" s="78" t="s">
        <v>15588</v>
      </c>
      <c r="C253" s="78" t="s">
        <v>15589</v>
      </c>
      <c r="D253" s="78" t="s">
        <v>14648</v>
      </c>
      <c r="E253" s="78" t="s">
        <v>15555</v>
      </c>
      <c r="F253" s="78" t="s">
        <v>15551</v>
      </c>
      <c r="G253" s="78" t="s">
        <v>14651</v>
      </c>
      <c r="H253" s="78">
        <v>2000</v>
      </c>
      <c r="I253" s="77"/>
    </row>
    <row r="254">
      <c r="A254" s="78" t="s">
        <v>15590</v>
      </c>
      <c r="B254" s="78" t="s">
        <v>15591</v>
      </c>
      <c r="C254" s="78" t="s">
        <v>15592</v>
      </c>
      <c r="D254" s="78" t="s">
        <v>14648</v>
      </c>
      <c r="E254" s="78" t="s">
        <v>15555</v>
      </c>
      <c r="F254" s="78" t="s">
        <v>15551</v>
      </c>
      <c r="G254" s="78" t="s">
        <v>14651</v>
      </c>
      <c r="H254" s="78">
        <v>1500</v>
      </c>
      <c r="I254" s="77"/>
    </row>
    <row r="255">
      <c r="A255" s="78" t="s">
        <v>15593</v>
      </c>
      <c r="B255" s="78" t="s">
        <v>15594</v>
      </c>
      <c r="C255" s="78" t="s">
        <v>15595</v>
      </c>
      <c r="D255" s="78" t="s">
        <v>14648</v>
      </c>
      <c r="E255" s="78" t="s">
        <v>15596</v>
      </c>
      <c r="F255" s="78" t="s">
        <v>15551</v>
      </c>
      <c r="G255" s="78" t="s">
        <v>14651</v>
      </c>
      <c r="H255" s="78">
        <v>2000</v>
      </c>
      <c r="I255" s="77"/>
    </row>
    <row r="256">
      <c r="A256" s="78" t="s">
        <v>15597</v>
      </c>
      <c r="B256" s="78" t="s">
        <v>15598</v>
      </c>
      <c r="C256" s="78" t="s">
        <v>15599</v>
      </c>
      <c r="D256" s="78" t="s">
        <v>14648</v>
      </c>
      <c r="E256" s="78" t="s">
        <v>15555</v>
      </c>
      <c r="F256" s="78" t="s">
        <v>15551</v>
      </c>
      <c r="G256" s="78" t="s">
        <v>14651</v>
      </c>
      <c r="H256" s="78">
        <v>1200</v>
      </c>
      <c r="I256" s="77"/>
    </row>
    <row r="257">
      <c r="A257" s="78" t="s">
        <v>15600</v>
      </c>
      <c r="B257" s="78" t="s">
        <v>15601</v>
      </c>
      <c r="C257" s="78" t="s">
        <v>15602</v>
      </c>
      <c r="D257" s="78" t="s">
        <v>14648</v>
      </c>
      <c r="E257" s="78" t="s">
        <v>14918</v>
      </c>
      <c r="F257" s="78" t="s">
        <v>15603</v>
      </c>
      <c r="G257" s="78" t="s">
        <v>14782</v>
      </c>
      <c r="H257" s="78">
        <v>5000</v>
      </c>
      <c r="I257" s="77"/>
    </row>
    <row r="258">
      <c r="A258" s="78" t="s">
        <v>15604</v>
      </c>
      <c r="B258" s="78" t="s">
        <v>15605</v>
      </c>
      <c r="C258" s="78" t="s">
        <v>15606</v>
      </c>
      <c r="D258" s="78" t="s">
        <v>14648</v>
      </c>
      <c r="E258" s="78" t="s">
        <v>15607</v>
      </c>
      <c r="F258" s="78" t="s">
        <v>15608</v>
      </c>
      <c r="G258" s="78" t="s">
        <v>14990</v>
      </c>
      <c r="H258" s="78">
        <v>3000</v>
      </c>
      <c r="I258" s="77"/>
    </row>
    <row r="259">
      <c r="A259" s="78" t="s">
        <v>15609</v>
      </c>
      <c r="B259" s="78" t="s">
        <v>15610</v>
      </c>
      <c r="C259" s="78" t="s">
        <v>15611</v>
      </c>
      <c r="D259" s="78" t="s">
        <v>14648</v>
      </c>
      <c r="E259" s="78" t="s">
        <v>15612</v>
      </c>
      <c r="F259" s="78" t="s">
        <v>14723</v>
      </c>
      <c r="G259" s="78" t="s">
        <v>14703</v>
      </c>
      <c r="H259" s="78">
        <v>15000</v>
      </c>
      <c r="I259" s="77"/>
    </row>
    <row r="260">
      <c r="A260" s="78" t="s">
        <v>15613</v>
      </c>
      <c r="B260" s="78" t="s">
        <v>15614</v>
      </c>
      <c r="C260" s="78" t="s">
        <v>15615</v>
      </c>
      <c r="D260" s="78" t="s">
        <v>14648</v>
      </c>
      <c r="E260" s="78" t="s">
        <v>14752</v>
      </c>
      <c r="F260" s="78" t="s">
        <v>14743</v>
      </c>
      <c r="G260" s="78" t="s">
        <v>14744</v>
      </c>
      <c r="H260" s="78">
        <v>2000</v>
      </c>
      <c r="I260" s="77"/>
    </row>
    <row r="261">
      <c r="A261" s="78" t="s">
        <v>15616</v>
      </c>
      <c r="B261" s="78" t="s">
        <v>15617</v>
      </c>
      <c r="C261" s="78" t="s">
        <v>15618</v>
      </c>
      <c r="D261" s="78" t="s">
        <v>14648</v>
      </c>
      <c r="E261" s="78" t="s">
        <v>14732</v>
      </c>
      <c r="F261" s="78" t="s">
        <v>15619</v>
      </c>
      <c r="G261" s="78" t="s">
        <v>14931</v>
      </c>
      <c r="H261" s="78">
        <v>5000</v>
      </c>
      <c r="I261" s="77"/>
    </row>
    <row r="262">
      <c r="A262" s="78" t="s">
        <v>15620</v>
      </c>
      <c r="B262" s="78" t="s">
        <v>15621</v>
      </c>
      <c r="C262" s="78" t="s">
        <v>15622</v>
      </c>
      <c r="D262" s="78" t="s">
        <v>14648</v>
      </c>
      <c r="E262" s="78" t="s">
        <v>15623</v>
      </c>
      <c r="F262" s="78" t="s">
        <v>15624</v>
      </c>
      <c r="G262" s="78" t="s">
        <v>14772</v>
      </c>
      <c r="H262" s="78">
        <v>3000</v>
      </c>
      <c r="I262" s="77"/>
    </row>
    <row r="263">
      <c r="A263" s="78" t="s">
        <v>15625</v>
      </c>
      <c r="B263" s="78" t="s">
        <v>15626</v>
      </c>
      <c r="C263" s="78" t="s">
        <v>15627</v>
      </c>
      <c r="D263" s="78" t="s">
        <v>14648</v>
      </c>
      <c r="E263" s="78" t="s">
        <v>14732</v>
      </c>
      <c r="F263" s="78" t="s">
        <v>15628</v>
      </c>
      <c r="G263" s="78" t="s">
        <v>14923</v>
      </c>
      <c r="H263" s="78">
        <v>5000</v>
      </c>
      <c r="I263" s="77"/>
    </row>
    <row r="264">
      <c r="A264" s="78" t="s">
        <v>15629</v>
      </c>
      <c r="B264" s="78" t="s">
        <v>15630</v>
      </c>
      <c r="C264" s="78" t="s">
        <v>15631</v>
      </c>
      <c r="D264" s="78" t="s">
        <v>14648</v>
      </c>
      <c r="E264" s="78" t="s">
        <v>15632</v>
      </c>
      <c r="F264" s="78" t="s">
        <v>15169</v>
      </c>
      <c r="G264" s="78" t="s">
        <v>14890</v>
      </c>
      <c r="H264" s="78">
        <v>5000</v>
      </c>
      <c r="I264" s="77"/>
      <c r="J264" s="77"/>
    </row>
    <row r="265">
      <c r="A265" s="78" t="s">
        <v>15633</v>
      </c>
      <c r="B265" s="78" t="s">
        <v>15634</v>
      </c>
      <c r="C265" s="78" t="s">
        <v>15635</v>
      </c>
      <c r="D265" s="78" t="s">
        <v>14648</v>
      </c>
      <c r="E265" s="78" t="s">
        <v>15555</v>
      </c>
      <c r="F265" s="78" t="s">
        <v>15551</v>
      </c>
      <c r="G265" s="78" t="s">
        <v>14651</v>
      </c>
      <c r="H265" s="78">
        <v>1200</v>
      </c>
      <c r="I265" s="77"/>
    </row>
    <row r="266">
      <c r="A266" s="78" t="s">
        <v>15636</v>
      </c>
      <c r="B266" s="78" t="s">
        <v>15637</v>
      </c>
      <c r="C266" s="78" t="s">
        <v>15638</v>
      </c>
      <c r="D266" s="78" t="s">
        <v>14648</v>
      </c>
      <c r="E266" s="78" t="s">
        <v>15555</v>
      </c>
      <c r="F266" s="78" t="s">
        <v>15551</v>
      </c>
      <c r="G266" s="78" t="s">
        <v>14651</v>
      </c>
      <c r="H266" s="78">
        <v>1200</v>
      </c>
      <c r="I266" s="77"/>
    </row>
    <row r="267">
      <c r="A267" s="78" t="s">
        <v>15639</v>
      </c>
      <c r="B267" s="78" t="s">
        <v>15640</v>
      </c>
      <c r="C267" s="78" t="s">
        <v>15641</v>
      </c>
      <c r="D267" s="78" t="s">
        <v>14648</v>
      </c>
      <c r="E267" s="78" t="s">
        <v>14738</v>
      </c>
      <c r="F267" s="78" t="s">
        <v>14728</v>
      </c>
      <c r="G267" s="78" t="s">
        <v>14703</v>
      </c>
      <c r="H267" s="78">
        <v>5000</v>
      </c>
      <c r="I267" s="77"/>
    </row>
    <row r="268">
      <c r="A268" s="78" t="s">
        <v>15642</v>
      </c>
      <c r="B268" s="78" t="s">
        <v>15643</v>
      </c>
      <c r="C268" s="78" t="s">
        <v>15644</v>
      </c>
      <c r="D268" s="78" t="s">
        <v>14648</v>
      </c>
      <c r="E268" s="78" t="s">
        <v>15555</v>
      </c>
      <c r="F268" s="78" t="s">
        <v>15551</v>
      </c>
      <c r="G268" s="78" t="s">
        <v>14651</v>
      </c>
      <c r="H268" s="78">
        <v>1200</v>
      </c>
      <c r="I268" s="77"/>
    </row>
    <row r="269">
      <c r="A269" s="78" t="s">
        <v>15645</v>
      </c>
      <c r="B269" s="78" t="s">
        <v>15646</v>
      </c>
      <c r="C269" s="78" t="s">
        <v>15647</v>
      </c>
      <c r="D269" s="78" t="s">
        <v>14648</v>
      </c>
      <c r="E269" s="78" t="s">
        <v>15648</v>
      </c>
      <c r="F269" s="78" t="s">
        <v>14693</v>
      </c>
      <c r="G269" s="78" t="s">
        <v>14694</v>
      </c>
      <c r="H269" s="78">
        <v>5000</v>
      </c>
      <c r="I269" s="77"/>
    </row>
    <row r="270">
      <c r="A270" s="78" t="s">
        <v>15649</v>
      </c>
      <c r="B270" s="78" t="s">
        <v>15650</v>
      </c>
      <c r="C270" s="78" t="s">
        <v>15651</v>
      </c>
      <c r="D270" s="78" t="s">
        <v>14648</v>
      </c>
      <c r="E270" s="78" t="s">
        <v>15652</v>
      </c>
      <c r="F270" s="78" t="s">
        <v>14650</v>
      </c>
      <c r="G270" s="78" t="s">
        <v>14651</v>
      </c>
      <c r="H270" s="78">
        <v>5000</v>
      </c>
      <c r="I270" s="77"/>
    </row>
    <row r="271">
      <c r="A271" s="78" t="s">
        <v>15653</v>
      </c>
      <c r="B271" s="78" t="s">
        <v>15654</v>
      </c>
      <c r="C271" s="78" t="s">
        <v>15655</v>
      </c>
      <c r="D271" s="78" t="s">
        <v>14648</v>
      </c>
      <c r="E271" s="78" t="s">
        <v>15206</v>
      </c>
      <c r="F271" s="78" t="s">
        <v>15191</v>
      </c>
      <c r="G271" s="78" t="s">
        <v>15192</v>
      </c>
      <c r="H271" s="78">
        <v>6000</v>
      </c>
      <c r="I271" s="77"/>
    </row>
    <row r="272">
      <c r="A272" s="78" t="s">
        <v>15656</v>
      </c>
      <c r="B272" s="78" t="s">
        <v>15657</v>
      </c>
      <c r="C272" s="78" t="s">
        <v>15658</v>
      </c>
      <c r="D272" s="78" t="s">
        <v>14648</v>
      </c>
      <c r="E272" s="78" t="s">
        <v>15555</v>
      </c>
      <c r="F272" s="78" t="s">
        <v>15551</v>
      </c>
      <c r="G272" s="78" t="s">
        <v>14651</v>
      </c>
      <c r="H272" s="78">
        <v>1200</v>
      </c>
      <c r="I272" s="77"/>
    </row>
    <row r="273">
      <c r="A273" s="78" t="s">
        <v>15659</v>
      </c>
      <c r="B273" s="78" t="s">
        <v>15660</v>
      </c>
      <c r="C273" s="78" t="s">
        <v>15661</v>
      </c>
      <c r="D273" s="78" t="s">
        <v>14648</v>
      </c>
      <c r="E273" s="78" t="s">
        <v>14816</v>
      </c>
      <c r="F273" s="78" t="s">
        <v>14809</v>
      </c>
      <c r="G273" s="78" t="s">
        <v>14772</v>
      </c>
      <c r="H273" s="78">
        <v>3000</v>
      </c>
      <c r="I273" s="77"/>
    </row>
    <row r="274">
      <c r="A274" s="78" t="s">
        <v>15662</v>
      </c>
      <c r="B274" s="78" t="s">
        <v>15663</v>
      </c>
      <c r="C274" s="78" t="s">
        <v>15664</v>
      </c>
      <c r="D274" s="78" t="s">
        <v>14648</v>
      </c>
      <c r="E274" s="78" t="s">
        <v>15665</v>
      </c>
      <c r="F274" s="78" t="s">
        <v>14728</v>
      </c>
      <c r="G274" s="78" t="s">
        <v>14703</v>
      </c>
      <c r="H274" s="78">
        <v>11000</v>
      </c>
      <c r="I274" s="77"/>
    </row>
    <row r="275">
      <c r="A275" s="78" t="s">
        <v>15666</v>
      </c>
      <c r="B275" s="78" t="s">
        <v>15667</v>
      </c>
      <c r="C275" s="78" t="s">
        <v>15668</v>
      </c>
      <c r="D275" s="78" t="s">
        <v>14648</v>
      </c>
      <c r="E275" s="78" t="s">
        <v>14918</v>
      </c>
      <c r="F275" s="78" t="s">
        <v>15669</v>
      </c>
      <c r="G275" s="78" t="s">
        <v>14782</v>
      </c>
      <c r="H275" s="78">
        <v>5000</v>
      </c>
      <c r="I275" s="77"/>
    </row>
    <row r="276">
      <c r="A276" s="78" t="s">
        <v>15670</v>
      </c>
      <c r="B276" s="78" t="s">
        <v>15671</v>
      </c>
      <c r="C276" s="78" t="s">
        <v>15672</v>
      </c>
      <c r="D276" s="78" t="s">
        <v>14648</v>
      </c>
      <c r="E276" s="78" t="s">
        <v>15144</v>
      </c>
      <c r="F276" s="78" t="s">
        <v>15090</v>
      </c>
      <c r="G276" s="78" t="s">
        <v>15129</v>
      </c>
      <c r="H276" s="78">
        <v>5000</v>
      </c>
      <c r="I276" s="77"/>
    </row>
    <row r="277">
      <c r="A277" s="78" t="s">
        <v>15673</v>
      </c>
      <c r="B277" s="78" t="s">
        <v>15674</v>
      </c>
      <c r="C277" s="78" t="s">
        <v>15675</v>
      </c>
      <c r="D277" s="78" t="s">
        <v>14648</v>
      </c>
      <c r="E277" s="78" t="s">
        <v>15555</v>
      </c>
      <c r="F277" s="78" t="s">
        <v>15551</v>
      </c>
      <c r="G277" s="78" t="s">
        <v>14651</v>
      </c>
      <c r="H277" s="78">
        <v>1200</v>
      </c>
      <c r="I277" s="77"/>
    </row>
    <row r="278">
      <c r="A278" s="78" t="s">
        <v>15676</v>
      </c>
      <c r="B278" s="78" t="s">
        <v>15677</v>
      </c>
      <c r="C278" s="78" t="s">
        <v>15678</v>
      </c>
      <c r="D278" s="78" t="s">
        <v>14648</v>
      </c>
      <c r="E278" s="78" t="s">
        <v>15679</v>
      </c>
      <c r="F278" s="78" t="s">
        <v>15017</v>
      </c>
      <c r="G278" s="78" t="s">
        <v>14651</v>
      </c>
      <c r="H278" s="78">
        <v>5000</v>
      </c>
      <c r="I278" s="77"/>
    </row>
    <row r="279">
      <c r="A279" s="78" t="s">
        <v>15680</v>
      </c>
      <c r="B279" s="78" t="s">
        <v>15681</v>
      </c>
      <c r="C279" s="78" t="s">
        <v>15682</v>
      </c>
      <c r="D279" s="78" t="s">
        <v>14648</v>
      </c>
      <c r="E279" s="78" t="s">
        <v>15683</v>
      </c>
      <c r="F279" s="78" t="s">
        <v>14922</v>
      </c>
      <c r="G279" s="78" t="s">
        <v>14923</v>
      </c>
      <c r="H279" s="78">
        <v>1000</v>
      </c>
      <c r="I279" s="77"/>
    </row>
    <row r="280">
      <c r="A280" s="78" t="s">
        <v>15684</v>
      </c>
      <c r="B280" s="78" t="s">
        <v>15685</v>
      </c>
      <c r="C280" s="78" t="s">
        <v>15686</v>
      </c>
      <c r="D280" s="78" t="s">
        <v>14648</v>
      </c>
      <c r="E280" s="78" t="s">
        <v>15196</v>
      </c>
      <c r="F280" s="78" t="s">
        <v>15687</v>
      </c>
      <c r="G280" s="78" t="s">
        <v>15249</v>
      </c>
      <c r="H280" s="78">
        <v>5000</v>
      </c>
      <c r="I280" s="77"/>
    </row>
    <row r="281">
      <c r="A281" s="78" t="s">
        <v>15688</v>
      </c>
      <c r="B281" s="78" t="s">
        <v>15689</v>
      </c>
      <c r="C281" s="78" t="s">
        <v>15690</v>
      </c>
      <c r="D281" s="78" t="s">
        <v>14648</v>
      </c>
      <c r="E281" s="78" t="s">
        <v>14732</v>
      </c>
      <c r="F281" s="78" t="s">
        <v>15691</v>
      </c>
      <c r="G281" s="78" t="s">
        <v>14931</v>
      </c>
      <c r="H281" s="78">
        <v>5000</v>
      </c>
      <c r="I281" s="77"/>
    </row>
    <row r="282">
      <c r="A282" s="78" t="s">
        <v>15692</v>
      </c>
      <c r="B282" s="78" t="s">
        <v>15693</v>
      </c>
      <c r="C282" s="78" t="s">
        <v>15694</v>
      </c>
      <c r="D282" s="78" t="s">
        <v>14648</v>
      </c>
      <c r="E282" s="78" t="s">
        <v>14930</v>
      </c>
      <c r="F282" s="78" t="s">
        <v>14867</v>
      </c>
      <c r="G282" s="78" t="s">
        <v>14931</v>
      </c>
      <c r="H282" s="78">
        <v>55000</v>
      </c>
      <c r="I282" s="77"/>
    </row>
    <row r="283">
      <c r="A283" s="78" t="s">
        <v>15695</v>
      </c>
      <c r="B283" s="78" t="s">
        <v>15696</v>
      </c>
      <c r="C283" s="78" t="s">
        <v>15697</v>
      </c>
      <c r="D283" s="78" t="s">
        <v>14648</v>
      </c>
      <c r="E283" s="78" t="s">
        <v>14914</v>
      </c>
      <c r="F283" s="78" t="s">
        <v>14877</v>
      </c>
      <c r="G283" s="78" t="s">
        <v>14782</v>
      </c>
      <c r="H283" s="78">
        <v>5000</v>
      </c>
      <c r="I283" s="77"/>
    </row>
    <row r="284">
      <c r="A284" s="78" t="s">
        <v>15698</v>
      </c>
      <c r="B284" s="78" t="s">
        <v>15699</v>
      </c>
      <c r="C284" s="78" t="s">
        <v>15700</v>
      </c>
      <c r="D284" s="78" t="s">
        <v>14648</v>
      </c>
      <c r="E284" s="78" t="s">
        <v>15555</v>
      </c>
      <c r="F284" s="78" t="s">
        <v>15551</v>
      </c>
      <c r="G284" s="78" t="s">
        <v>14651</v>
      </c>
      <c r="H284" s="78">
        <v>1200</v>
      </c>
      <c r="I284" s="77"/>
    </row>
    <row r="285">
      <c r="A285" s="78" t="s">
        <v>15701</v>
      </c>
      <c r="B285" s="78" t="s">
        <v>15702</v>
      </c>
      <c r="C285" s="78" t="s">
        <v>15703</v>
      </c>
      <c r="D285" s="78" t="s">
        <v>14648</v>
      </c>
      <c r="E285" s="78" t="s">
        <v>14732</v>
      </c>
      <c r="F285" s="78" t="s">
        <v>15704</v>
      </c>
      <c r="G285" s="78" t="s">
        <v>14923</v>
      </c>
      <c r="H285" s="78">
        <v>5000</v>
      </c>
      <c r="I285" s="77"/>
    </row>
    <row r="286">
      <c r="A286" s="78" t="s">
        <v>15705</v>
      </c>
      <c r="B286" s="78" t="s">
        <v>15706</v>
      </c>
      <c r="C286" s="78" t="s">
        <v>15707</v>
      </c>
      <c r="D286" s="78" t="s">
        <v>14648</v>
      </c>
      <c r="E286" s="78" t="s">
        <v>14732</v>
      </c>
      <c r="F286" s="78" t="s">
        <v>15708</v>
      </c>
      <c r="G286" s="78" t="s">
        <v>14734</v>
      </c>
      <c r="H286" s="78">
        <v>5000</v>
      </c>
      <c r="I286" s="77"/>
    </row>
    <row r="287">
      <c r="A287" s="78" t="s">
        <v>15709</v>
      </c>
      <c r="B287" s="78" t="s">
        <v>15710</v>
      </c>
      <c r="C287" s="78" t="s">
        <v>15711</v>
      </c>
      <c r="D287" s="78" t="s">
        <v>14648</v>
      </c>
      <c r="E287" s="78" t="s">
        <v>15712</v>
      </c>
      <c r="F287" s="78" t="s">
        <v>14889</v>
      </c>
      <c r="G287" s="78" t="s">
        <v>14890</v>
      </c>
      <c r="H287" s="78">
        <v>5000</v>
      </c>
      <c r="I287" s="77"/>
    </row>
    <row r="288">
      <c r="A288" s="78" t="s">
        <v>15713</v>
      </c>
      <c r="B288" s="78" t="s">
        <v>15714</v>
      </c>
      <c r="C288" s="78" t="s">
        <v>15715</v>
      </c>
      <c r="D288" s="78" t="s">
        <v>14648</v>
      </c>
      <c r="E288" s="78" t="s">
        <v>15716</v>
      </c>
      <c r="F288" s="78" t="s">
        <v>15717</v>
      </c>
      <c r="G288" s="78" t="s">
        <v>14651</v>
      </c>
      <c r="H288" s="78">
        <v>3000</v>
      </c>
      <c r="I288" s="77"/>
    </row>
    <row r="289">
      <c r="A289" s="78" t="s">
        <v>15718</v>
      </c>
      <c r="B289" s="78" t="s">
        <v>15719</v>
      </c>
      <c r="C289" s="78" t="s">
        <v>15720</v>
      </c>
      <c r="D289" s="78" t="s">
        <v>14648</v>
      </c>
      <c r="E289" s="78" t="s">
        <v>14732</v>
      </c>
      <c r="F289" s="78" t="s">
        <v>15721</v>
      </c>
      <c r="G289" s="78" t="s">
        <v>14890</v>
      </c>
      <c r="H289" s="78">
        <v>5000</v>
      </c>
      <c r="I289" s="77"/>
    </row>
    <row r="290">
      <c r="A290" s="78" t="s">
        <v>15722</v>
      </c>
      <c r="B290" s="78" t="s">
        <v>15723</v>
      </c>
      <c r="C290" s="78" t="s">
        <v>15724</v>
      </c>
      <c r="D290" s="78" t="s">
        <v>14648</v>
      </c>
      <c r="E290" s="78" t="s">
        <v>15725</v>
      </c>
      <c r="F290" s="78" t="s">
        <v>15619</v>
      </c>
      <c r="G290" s="78" t="s">
        <v>14931</v>
      </c>
      <c r="H290" s="78">
        <v>2000</v>
      </c>
      <c r="I290" s="77"/>
    </row>
    <row r="291">
      <c r="A291" s="78" t="s">
        <v>15726</v>
      </c>
      <c r="B291" s="78" t="s">
        <v>15727</v>
      </c>
      <c r="C291" s="78" t="s">
        <v>15728</v>
      </c>
      <c r="D291" s="78" t="s">
        <v>14648</v>
      </c>
      <c r="E291" s="78" t="s">
        <v>15729</v>
      </c>
      <c r="F291" s="78" t="s">
        <v>15076</v>
      </c>
      <c r="G291" s="78" t="s">
        <v>14651</v>
      </c>
      <c r="H291" s="78">
        <v>1000</v>
      </c>
      <c r="I291" s="77"/>
    </row>
    <row r="292">
      <c r="A292" s="78" t="s">
        <v>15730</v>
      </c>
      <c r="B292" s="78" t="s">
        <v>15731</v>
      </c>
      <c r="C292" s="78" t="s">
        <v>15732</v>
      </c>
      <c r="D292" s="78" t="s">
        <v>14648</v>
      </c>
      <c r="E292" s="78" t="s">
        <v>15498</v>
      </c>
      <c r="F292" s="78" t="s">
        <v>15076</v>
      </c>
      <c r="G292" s="78" t="s">
        <v>14651</v>
      </c>
      <c r="H292" s="78">
        <v>1200</v>
      </c>
      <c r="I292" s="77"/>
    </row>
    <row r="293">
      <c r="A293" s="78" t="s">
        <v>15733</v>
      </c>
      <c r="B293" s="78" t="s">
        <v>15734</v>
      </c>
      <c r="C293" s="78" t="s">
        <v>15735</v>
      </c>
      <c r="D293" s="78" t="s">
        <v>14648</v>
      </c>
      <c r="E293" s="78" t="s">
        <v>14732</v>
      </c>
      <c r="F293" s="78" t="s">
        <v>14872</v>
      </c>
      <c r="G293" s="78" t="s">
        <v>14734</v>
      </c>
      <c r="H293" s="78">
        <v>5000</v>
      </c>
      <c r="I293" s="77"/>
    </row>
    <row r="294">
      <c r="A294" s="78" t="s">
        <v>15736</v>
      </c>
      <c r="B294" s="78" t="s">
        <v>15737</v>
      </c>
      <c r="C294" s="78" t="s">
        <v>15738</v>
      </c>
      <c r="D294" s="78" t="s">
        <v>14648</v>
      </c>
      <c r="E294" s="78" t="s">
        <v>15632</v>
      </c>
      <c r="F294" s="78" t="s">
        <v>15739</v>
      </c>
      <c r="G294" s="78" t="s">
        <v>15129</v>
      </c>
      <c r="H294" s="78">
        <v>5000</v>
      </c>
      <c r="I294" s="77"/>
    </row>
    <row r="295">
      <c r="A295" s="78" t="s">
        <v>15740</v>
      </c>
      <c r="B295" s="78" t="s">
        <v>15741</v>
      </c>
      <c r="C295" s="78" t="s">
        <v>15742</v>
      </c>
      <c r="D295" s="78" t="s">
        <v>14648</v>
      </c>
      <c r="E295" s="78" t="s">
        <v>14884</v>
      </c>
      <c r="F295" s="78" t="s">
        <v>15691</v>
      </c>
      <c r="G295" s="78" t="s">
        <v>14931</v>
      </c>
      <c r="H295" s="78">
        <v>5000</v>
      </c>
      <c r="I295" s="77"/>
    </row>
    <row r="296">
      <c r="A296" s="78" t="s">
        <v>15743</v>
      </c>
      <c r="B296" s="78" t="s">
        <v>15744</v>
      </c>
      <c r="C296" s="78" t="s">
        <v>15745</v>
      </c>
      <c r="D296" s="78" t="s">
        <v>14648</v>
      </c>
      <c r="E296" s="78" t="s">
        <v>15746</v>
      </c>
      <c r="F296" s="78" t="s">
        <v>14804</v>
      </c>
      <c r="G296" s="78" t="s">
        <v>14772</v>
      </c>
      <c r="H296" s="78">
        <v>3000</v>
      </c>
      <c r="I296" s="77"/>
    </row>
    <row r="297">
      <c r="A297" s="78" t="s">
        <v>15747</v>
      </c>
      <c r="B297" s="78" t="s">
        <v>15748</v>
      </c>
      <c r="C297" s="78" t="s">
        <v>15749</v>
      </c>
      <c r="D297" s="78" t="s">
        <v>14648</v>
      </c>
      <c r="E297" s="78" t="s">
        <v>14732</v>
      </c>
      <c r="F297" s="78" t="s">
        <v>15750</v>
      </c>
      <c r="G297" s="78" t="s">
        <v>14734</v>
      </c>
      <c r="H297" s="78">
        <v>5000</v>
      </c>
      <c r="I297" s="77"/>
    </row>
    <row r="298">
      <c r="A298" s="78" t="s">
        <v>15751</v>
      </c>
      <c r="B298" s="78" t="s">
        <v>15752</v>
      </c>
      <c r="C298" s="78" t="s">
        <v>15753</v>
      </c>
      <c r="D298" s="78" t="s">
        <v>14648</v>
      </c>
      <c r="E298" s="78" t="s">
        <v>15046</v>
      </c>
      <c r="F298" s="78" t="s">
        <v>14728</v>
      </c>
      <c r="G298" s="78" t="s">
        <v>14703</v>
      </c>
      <c r="H298" s="78">
        <v>5000</v>
      </c>
      <c r="I298" s="77"/>
    </row>
    <row r="299">
      <c r="A299" s="78" t="s">
        <v>15754</v>
      </c>
      <c r="B299" s="78" t="s">
        <v>15755</v>
      </c>
      <c r="C299" s="78" t="s">
        <v>15756</v>
      </c>
      <c r="D299" s="78" t="s">
        <v>14648</v>
      </c>
      <c r="E299" s="78" t="s">
        <v>15144</v>
      </c>
      <c r="F299" s="78" t="s">
        <v>15608</v>
      </c>
      <c r="G299" s="78" t="s">
        <v>14990</v>
      </c>
      <c r="H299" s="78">
        <v>5000</v>
      </c>
      <c r="I299" s="77"/>
    </row>
    <row r="300">
      <c r="A300" s="78" t="s">
        <v>15757</v>
      </c>
      <c r="B300" s="78" t="s">
        <v>15758</v>
      </c>
      <c r="C300" s="78" t="s">
        <v>15759</v>
      </c>
      <c r="D300" s="78" t="s">
        <v>14648</v>
      </c>
      <c r="E300" s="78" t="s">
        <v>14967</v>
      </c>
      <c r="F300" s="78" t="s">
        <v>14743</v>
      </c>
      <c r="G300" s="78" t="s">
        <v>14744</v>
      </c>
      <c r="H300" s="78">
        <v>2100</v>
      </c>
      <c r="I300" s="77"/>
    </row>
    <row r="301">
      <c r="A301" s="78" t="s">
        <v>15760</v>
      </c>
      <c r="B301" s="78" t="s">
        <v>15761</v>
      </c>
      <c r="C301" s="78" t="s">
        <v>15762</v>
      </c>
      <c r="D301" s="78" t="s">
        <v>14648</v>
      </c>
      <c r="E301" s="78" t="s">
        <v>15202</v>
      </c>
      <c r="F301" s="78" t="s">
        <v>15763</v>
      </c>
      <c r="G301" s="78" t="s">
        <v>15198</v>
      </c>
      <c r="H301" s="78">
        <v>6000</v>
      </c>
      <c r="I301" s="77"/>
    </row>
    <row r="302">
      <c r="A302" s="78" t="s">
        <v>15764</v>
      </c>
      <c r="B302" s="78" t="s">
        <v>15765</v>
      </c>
      <c r="C302" s="78" t="s">
        <v>15766</v>
      </c>
      <c r="D302" s="78" t="s">
        <v>14648</v>
      </c>
      <c r="E302" s="78" t="s">
        <v>14780</v>
      </c>
      <c r="F302" s="78" t="s">
        <v>14781</v>
      </c>
      <c r="G302" s="78" t="s">
        <v>14782</v>
      </c>
      <c r="H302" s="78">
        <v>1300</v>
      </c>
      <c r="I302" s="77"/>
    </row>
    <row r="303">
      <c r="A303" s="78" t="s">
        <v>15767</v>
      </c>
      <c r="B303" s="78" t="s">
        <v>15768</v>
      </c>
      <c r="C303" s="78" t="s">
        <v>15769</v>
      </c>
      <c r="D303" s="78" t="s">
        <v>14648</v>
      </c>
      <c r="E303" s="78" t="s">
        <v>14790</v>
      </c>
      <c r="F303" s="78" t="s">
        <v>14922</v>
      </c>
      <c r="G303" s="78" t="s">
        <v>14923</v>
      </c>
      <c r="H303" s="78">
        <v>10000</v>
      </c>
      <c r="I303" s="77"/>
      <c r="J303" s="77"/>
    </row>
    <row r="304">
      <c r="A304" s="78" t="s">
        <v>15770</v>
      </c>
      <c r="B304" s="78" t="s">
        <v>15771</v>
      </c>
      <c r="C304" s="78" t="s">
        <v>15772</v>
      </c>
      <c r="D304" s="78" t="s">
        <v>14648</v>
      </c>
      <c r="E304" s="78" t="s">
        <v>15773</v>
      </c>
      <c r="F304" s="78" t="s">
        <v>14804</v>
      </c>
      <c r="G304" s="78" t="s">
        <v>14772</v>
      </c>
      <c r="H304" s="78">
        <v>5000</v>
      </c>
      <c r="I304" s="77"/>
    </row>
    <row r="305">
      <c r="A305" s="78" t="s">
        <v>15774</v>
      </c>
      <c r="B305" s="78" t="s">
        <v>15775</v>
      </c>
      <c r="C305" s="78" t="s">
        <v>15776</v>
      </c>
      <c r="D305" s="78" t="s">
        <v>14648</v>
      </c>
      <c r="E305" s="78" t="s">
        <v>14961</v>
      </c>
      <c r="F305" s="78" t="s">
        <v>15110</v>
      </c>
      <c r="G305" s="78" t="s">
        <v>14782</v>
      </c>
      <c r="H305" s="78">
        <v>5000</v>
      </c>
      <c r="I305" s="77"/>
    </row>
    <row r="306">
      <c r="A306" s="78" t="s">
        <v>15777</v>
      </c>
      <c r="B306" s="78" t="s">
        <v>15778</v>
      </c>
      <c r="C306" s="78" t="s">
        <v>15779</v>
      </c>
      <c r="D306" s="78" t="s">
        <v>14648</v>
      </c>
      <c r="E306" s="78" t="s">
        <v>15780</v>
      </c>
      <c r="F306" s="78" t="s">
        <v>14821</v>
      </c>
      <c r="G306" s="78" t="s">
        <v>14772</v>
      </c>
      <c r="H306" s="78">
        <v>2200</v>
      </c>
      <c r="I306" s="77"/>
    </row>
    <row r="307">
      <c r="A307" s="78" t="s">
        <v>15781</v>
      </c>
      <c r="B307" s="78" t="s">
        <v>15782</v>
      </c>
      <c r="C307" s="78" t="s">
        <v>15783</v>
      </c>
      <c r="D307" s="78" t="s">
        <v>14648</v>
      </c>
      <c r="E307" s="78" t="s">
        <v>15784</v>
      </c>
      <c r="F307" s="78" t="s">
        <v>14771</v>
      </c>
      <c r="G307" s="78" t="s">
        <v>14772</v>
      </c>
      <c r="H307" s="78">
        <v>4500</v>
      </c>
      <c r="I307" s="77"/>
    </row>
    <row r="308">
      <c r="A308" s="78" t="s">
        <v>15785</v>
      </c>
      <c r="B308" s="78" t="s">
        <v>15786</v>
      </c>
      <c r="C308" s="78" t="s">
        <v>15787</v>
      </c>
      <c r="D308" s="78" t="s">
        <v>14648</v>
      </c>
      <c r="E308" s="78" t="s">
        <v>14930</v>
      </c>
      <c r="F308" s="78" t="s">
        <v>15788</v>
      </c>
      <c r="G308" s="78" t="s">
        <v>14734</v>
      </c>
      <c r="H308" s="78">
        <v>55000</v>
      </c>
      <c r="I308" s="77"/>
    </row>
    <row r="309">
      <c r="A309" s="78" t="s">
        <v>15789</v>
      </c>
      <c r="B309" s="78" t="s">
        <v>15790</v>
      </c>
      <c r="C309" s="78" t="s">
        <v>15791</v>
      </c>
      <c r="D309" s="78" t="s">
        <v>14648</v>
      </c>
      <c r="E309" s="78" t="s">
        <v>14930</v>
      </c>
      <c r="F309" s="78" t="s">
        <v>14791</v>
      </c>
      <c r="G309" s="78" t="s">
        <v>14734</v>
      </c>
      <c r="H309" s="78">
        <v>55000</v>
      </c>
      <c r="I309" s="77"/>
    </row>
    <row r="310">
      <c r="A310" s="78" t="s">
        <v>15792</v>
      </c>
      <c r="B310" s="78" t="s">
        <v>15793</v>
      </c>
      <c r="C310" s="78" t="s">
        <v>15794</v>
      </c>
      <c r="D310" s="78" t="s">
        <v>14648</v>
      </c>
      <c r="E310" s="78" t="s">
        <v>15206</v>
      </c>
      <c r="F310" s="78" t="s">
        <v>15191</v>
      </c>
      <c r="G310" s="78" t="s">
        <v>15192</v>
      </c>
      <c r="H310" s="78">
        <v>6000</v>
      </c>
      <c r="I310" s="77"/>
    </row>
    <row r="311">
      <c r="A311" s="78" t="s">
        <v>15795</v>
      </c>
      <c r="B311" s="78" t="s">
        <v>15796</v>
      </c>
      <c r="C311" s="78" t="s">
        <v>15797</v>
      </c>
      <c r="D311" s="78" t="s">
        <v>14648</v>
      </c>
      <c r="E311" s="78" t="s">
        <v>14884</v>
      </c>
      <c r="F311" s="78" t="s">
        <v>14885</v>
      </c>
      <c r="G311" s="78" t="s">
        <v>14734</v>
      </c>
      <c r="H311" s="78">
        <v>5000</v>
      </c>
      <c r="I311" s="77"/>
    </row>
    <row r="312">
      <c r="A312" s="78" t="s">
        <v>15798</v>
      </c>
      <c r="B312" s="78" t="s">
        <v>15799</v>
      </c>
      <c r="C312" s="78" t="s">
        <v>15800</v>
      </c>
      <c r="D312" s="78" t="s">
        <v>14648</v>
      </c>
      <c r="E312" s="78" t="s">
        <v>15463</v>
      </c>
      <c r="F312" s="78" t="s">
        <v>15076</v>
      </c>
      <c r="G312" s="78" t="s">
        <v>14651</v>
      </c>
      <c r="H312" s="78">
        <v>1000</v>
      </c>
      <c r="I312" s="77"/>
    </row>
    <row r="313">
      <c r="A313" s="78" t="s">
        <v>15801</v>
      </c>
      <c r="B313" s="78" t="s">
        <v>15802</v>
      </c>
      <c r="C313" s="78" t="s">
        <v>15803</v>
      </c>
      <c r="D313" s="78" t="s">
        <v>14648</v>
      </c>
      <c r="E313" s="78" t="s">
        <v>15683</v>
      </c>
      <c r="F313" s="78" t="s">
        <v>14922</v>
      </c>
      <c r="G313" s="78" t="s">
        <v>14923</v>
      </c>
      <c r="H313" s="78">
        <v>1000</v>
      </c>
      <c r="I313" s="77"/>
    </row>
    <row r="314">
      <c r="A314" s="78" t="s">
        <v>15804</v>
      </c>
      <c r="B314" s="78" t="s">
        <v>15805</v>
      </c>
      <c r="C314" s="78" t="s">
        <v>15806</v>
      </c>
      <c r="D314" s="78" t="s">
        <v>14648</v>
      </c>
      <c r="E314" s="78" t="s">
        <v>15716</v>
      </c>
      <c r="F314" s="78" t="s">
        <v>15717</v>
      </c>
      <c r="G314" s="78" t="s">
        <v>14651</v>
      </c>
      <c r="H314" s="78">
        <v>3000</v>
      </c>
      <c r="I314" s="77"/>
    </row>
    <row r="315">
      <c r="A315" s="78" t="s">
        <v>15807</v>
      </c>
      <c r="B315" s="78" t="s">
        <v>15808</v>
      </c>
      <c r="C315" s="78" t="s">
        <v>15809</v>
      </c>
      <c r="D315" s="78" t="s">
        <v>14648</v>
      </c>
      <c r="E315" s="78" t="s">
        <v>15607</v>
      </c>
      <c r="F315" s="78" t="s">
        <v>15608</v>
      </c>
      <c r="G315" s="78" t="s">
        <v>14990</v>
      </c>
      <c r="H315" s="78">
        <v>4000</v>
      </c>
      <c r="I315" s="77"/>
    </row>
    <row r="316">
      <c r="A316" s="78" t="s">
        <v>15810</v>
      </c>
      <c r="B316" s="78" t="s">
        <v>15811</v>
      </c>
      <c r="C316" s="78" t="s">
        <v>15812</v>
      </c>
      <c r="D316" s="78" t="s">
        <v>14648</v>
      </c>
      <c r="E316" s="78" t="s">
        <v>15243</v>
      </c>
      <c r="F316" s="78" t="s">
        <v>15687</v>
      </c>
      <c r="G316" s="78" t="s">
        <v>15249</v>
      </c>
      <c r="H316" s="78">
        <v>6000</v>
      </c>
      <c r="I316" s="77"/>
    </row>
    <row r="317">
      <c r="A317" s="78" t="s">
        <v>15813</v>
      </c>
      <c r="B317" s="78" t="s">
        <v>15814</v>
      </c>
      <c r="C317" s="78" t="s">
        <v>15815</v>
      </c>
      <c r="D317" s="78" t="s">
        <v>14648</v>
      </c>
      <c r="E317" s="78" t="s">
        <v>15243</v>
      </c>
      <c r="F317" s="78" t="s">
        <v>15816</v>
      </c>
      <c r="G317" s="78" t="s">
        <v>15249</v>
      </c>
      <c r="H317" s="78">
        <v>6000</v>
      </c>
      <c r="I317" s="77"/>
    </row>
    <row r="318">
      <c r="A318" s="78" t="s">
        <v>15817</v>
      </c>
      <c r="B318" s="78" t="s">
        <v>15818</v>
      </c>
      <c r="C318" s="78" t="s">
        <v>15819</v>
      </c>
      <c r="D318" s="78" t="s">
        <v>14648</v>
      </c>
      <c r="E318" s="78" t="s">
        <v>15820</v>
      </c>
      <c r="F318" s="78" t="s">
        <v>15076</v>
      </c>
      <c r="G318" s="78" t="s">
        <v>14651</v>
      </c>
      <c r="H318" s="78">
        <v>1200</v>
      </c>
      <c r="I318" s="77"/>
    </row>
    <row r="319">
      <c r="A319" s="78" t="s">
        <v>15821</v>
      </c>
      <c r="B319" s="78" t="s">
        <v>15822</v>
      </c>
      <c r="C319" s="78" t="s">
        <v>15823</v>
      </c>
      <c r="D319" s="78" t="s">
        <v>14648</v>
      </c>
      <c r="E319" s="78" t="s">
        <v>15463</v>
      </c>
      <c r="F319" s="78" t="s">
        <v>15076</v>
      </c>
      <c r="G319" s="78" t="s">
        <v>14651</v>
      </c>
      <c r="H319" s="78">
        <v>1000</v>
      </c>
      <c r="I319" s="77"/>
    </row>
    <row r="320">
      <c r="A320" s="78" t="s">
        <v>15824</v>
      </c>
      <c r="B320" s="78" t="s">
        <v>15825</v>
      </c>
      <c r="C320" s="78" t="s">
        <v>15826</v>
      </c>
      <c r="D320" s="78" t="s">
        <v>14648</v>
      </c>
      <c r="E320" s="78" t="s">
        <v>14930</v>
      </c>
      <c r="F320" s="78" t="s">
        <v>14903</v>
      </c>
      <c r="G320" s="78" t="s">
        <v>14734</v>
      </c>
      <c r="H320" s="78">
        <v>55000</v>
      </c>
      <c r="I320" s="77"/>
      <c r="J320" s="77"/>
    </row>
    <row r="321">
      <c r="A321" s="78" t="s">
        <v>15827</v>
      </c>
      <c r="B321" s="78" t="s">
        <v>15828</v>
      </c>
      <c r="C321" s="78" t="s">
        <v>15829</v>
      </c>
      <c r="D321" s="78" t="s">
        <v>14648</v>
      </c>
      <c r="E321" s="78" t="s">
        <v>15518</v>
      </c>
      <c r="F321" s="78" t="s">
        <v>15076</v>
      </c>
      <c r="G321" s="78" t="s">
        <v>14651</v>
      </c>
      <c r="H321" s="78">
        <v>1000</v>
      </c>
      <c r="I321" s="77"/>
    </row>
    <row r="322">
      <c r="A322" s="78" t="s">
        <v>15830</v>
      </c>
      <c r="B322" s="78" t="s">
        <v>15831</v>
      </c>
      <c r="C322" s="78" t="s">
        <v>15832</v>
      </c>
      <c r="D322" s="78" t="s">
        <v>14648</v>
      </c>
      <c r="E322" s="78" t="s">
        <v>15089</v>
      </c>
      <c r="F322" s="78" t="s">
        <v>15090</v>
      </c>
      <c r="G322" s="78" t="s">
        <v>14782</v>
      </c>
      <c r="H322" s="78">
        <v>4000</v>
      </c>
      <c r="I322" s="77"/>
    </row>
    <row r="323">
      <c r="A323" s="78" t="s">
        <v>15833</v>
      </c>
      <c r="B323" s="78" t="s">
        <v>15834</v>
      </c>
      <c r="C323" s="78" t="s">
        <v>15835</v>
      </c>
      <c r="D323" s="78" t="s">
        <v>14648</v>
      </c>
      <c r="E323" s="78" t="s">
        <v>15531</v>
      </c>
      <c r="F323" s="78" t="s">
        <v>15076</v>
      </c>
      <c r="G323" s="78" t="s">
        <v>14651</v>
      </c>
      <c r="H323" s="78">
        <v>1000</v>
      </c>
      <c r="I323" s="77"/>
    </row>
    <row r="324">
      <c r="A324" s="78" t="s">
        <v>15836</v>
      </c>
      <c r="B324" s="78" t="s">
        <v>15837</v>
      </c>
      <c r="C324" s="78" t="s">
        <v>15838</v>
      </c>
      <c r="D324" s="78" t="s">
        <v>14648</v>
      </c>
      <c r="E324" s="78" t="s">
        <v>15683</v>
      </c>
      <c r="F324" s="78" t="s">
        <v>15839</v>
      </c>
      <c r="G324" s="78" t="s">
        <v>14734</v>
      </c>
      <c r="H324" s="78">
        <v>1000</v>
      </c>
      <c r="I324" s="77"/>
    </row>
    <row r="325">
      <c r="A325" s="78" t="s">
        <v>15840</v>
      </c>
      <c r="B325" s="78" t="s">
        <v>15841</v>
      </c>
      <c r="C325" s="78" t="s">
        <v>15842</v>
      </c>
      <c r="D325" s="78" t="s">
        <v>14648</v>
      </c>
      <c r="E325" s="78" t="s">
        <v>15843</v>
      </c>
      <c r="F325" s="78" t="s">
        <v>14723</v>
      </c>
      <c r="G325" s="78" t="s">
        <v>14703</v>
      </c>
      <c r="H325" s="78">
        <v>3300</v>
      </c>
      <c r="I325" s="77"/>
    </row>
    <row r="326">
      <c r="A326" s="78" t="s">
        <v>15844</v>
      </c>
      <c r="B326" s="78" t="s">
        <v>15845</v>
      </c>
      <c r="C326" s="78" t="s">
        <v>15846</v>
      </c>
      <c r="D326" s="78" t="s">
        <v>14648</v>
      </c>
      <c r="E326" s="78" t="s">
        <v>15206</v>
      </c>
      <c r="F326" s="78" t="s">
        <v>15191</v>
      </c>
      <c r="G326" s="78" t="s">
        <v>15192</v>
      </c>
      <c r="H326" s="78">
        <v>6000</v>
      </c>
      <c r="I326" s="77"/>
    </row>
    <row r="327">
      <c r="A327" s="78" t="s">
        <v>15847</v>
      </c>
      <c r="B327" s="78" t="s">
        <v>15848</v>
      </c>
      <c r="C327" s="78" t="s">
        <v>15849</v>
      </c>
      <c r="D327" s="78" t="s">
        <v>14648</v>
      </c>
      <c r="E327" s="78" t="s">
        <v>14655</v>
      </c>
      <c r="F327" s="78" t="s">
        <v>15076</v>
      </c>
      <c r="G327" s="78" t="s">
        <v>14651</v>
      </c>
      <c r="H327" s="78">
        <v>800</v>
      </c>
      <c r="I327" s="77"/>
    </row>
    <row r="328">
      <c r="A328" s="78" t="s">
        <v>15850</v>
      </c>
      <c r="B328" s="78" t="s">
        <v>15851</v>
      </c>
      <c r="C328" s="78" t="s">
        <v>15852</v>
      </c>
      <c r="D328" s="78" t="s">
        <v>14648</v>
      </c>
      <c r="E328" s="78" t="s">
        <v>15853</v>
      </c>
      <c r="F328" s="78" t="s">
        <v>15100</v>
      </c>
      <c r="G328" s="78" t="s">
        <v>14963</v>
      </c>
      <c r="H328" s="78">
        <v>2000</v>
      </c>
      <c r="I328" s="77"/>
    </row>
    <row r="329">
      <c r="A329" s="78" t="s">
        <v>15854</v>
      </c>
      <c r="B329" s="78" t="s">
        <v>15855</v>
      </c>
      <c r="C329" s="78" t="s">
        <v>15856</v>
      </c>
      <c r="D329" s="78" t="s">
        <v>14648</v>
      </c>
      <c r="E329" s="78" t="s">
        <v>14994</v>
      </c>
      <c r="F329" s="78" t="s">
        <v>14712</v>
      </c>
      <c r="G329" s="78" t="s">
        <v>14782</v>
      </c>
      <c r="H329" s="78">
        <v>3000</v>
      </c>
      <c r="I329" s="77"/>
    </row>
    <row r="330">
      <c r="A330" s="78" t="s">
        <v>15857</v>
      </c>
      <c r="B330" s="78" t="s">
        <v>15858</v>
      </c>
      <c r="C330" s="78" t="s">
        <v>15859</v>
      </c>
      <c r="D330" s="78" t="s">
        <v>14648</v>
      </c>
      <c r="E330" s="78" t="s">
        <v>15853</v>
      </c>
      <c r="F330" s="78" t="s">
        <v>15110</v>
      </c>
      <c r="G330" s="78" t="s">
        <v>14782</v>
      </c>
      <c r="H330" s="78">
        <v>2000</v>
      </c>
      <c r="I330" s="77"/>
    </row>
    <row r="331">
      <c r="A331" s="78" t="s">
        <v>15860</v>
      </c>
      <c r="B331" s="78" t="s">
        <v>15861</v>
      </c>
      <c r="C331" s="78" t="s">
        <v>15862</v>
      </c>
      <c r="D331" s="78" t="s">
        <v>14648</v>
      </c>
      <c r="E331" s="78" t="s">
        <v>14685</v>
      </c>
      <c r="F331" s="78" t="s">
        <v>14650</v>
      </c>
      <c r="G331" s="78" t="s">
        <v>14651</v>
      </c>
      <c r="H331" s="78">
        <v>800</v>
      </c>
      <c r="I331" s="77"/>
    </row>
    <row r="332">
      <c r="A332" s="78" t="s">
        <v>15863</v>
      </c>
      <c r="B332" s="78" t="s">
        <v>15864</v>
      </c>
      <c r="C332" s="78" t="s">
        <v>15865</v>
      </c>
      <c r="D332" s="78" t="s">
        <v>14648</v>
      </c>
      <c r="E332" s="78" t="s">
        <v>14732</v>
      </c>
      <c r="F332" s="78" t="s">
        <v>15866</v>
      </c>
      <c r="G332" s="78" t="s">
        <v>14931</v>
      </c>
      <c r="H332" s="78">
        <v>5000</v>
      </c>
      <c r="I332" s="77"/>
      <c r="J332" s="77"/>
    </row>
    <row r="333">
      <c r="A333" s="78" t="s">
        <v>15867</v>
      </c>
      <c r="B333" s="78" t="s">
        <v>15868</v>
      </c>
      <c r="C333" s="78" t="s">
        <v>15869</v>
      </c>
      <c r="D333" s="78" t="s">
        <v>14648</v>
      </c>
      <c r="E333" s="78" t="s">
        <v>14914</v>
      </c>
      <c r="F333" s="78" t="s">
        <v>15669</v>
      </c>
      <c r="G333" s="78" t="s">
        <v>14782</v>
      </c>
      <c r="H333" s="78">
        <v>5000</v>
      </c>
      <c r="I333" s="77"/>
    </row>
    <row r="334">
      <c r="A334" s="78" t="s">
        <v>15870</v>
      </c>
      <c r="B334" s="78" t="s">
        <v>15871</v>
      </c>
      <c r="C334" s="78" t="s">
        <v>15872</v>
      </c>
      <c r="D334" s="78" t="s">
        <v>14648</v>
      </c>
      <c r="E334" s="78" t="s">
        <v>14898</v>
      </c>
      <c r="F334" s="78" t="s">
        <v>14867</v>
      </c>
      <c r="G334" s="78" t="s">
        <v>14734</v>
      </c>
      <c r="H334" s="78">
        <v>2300</v>
      </c>
      <c r="I334" s="77"/>
    </row>
    <row r="335">
      <c r="A335" s="78" t="s">
        <v>15873</v>
      </c>
      <c r="B335" s="78" t="s">
        <v>15874</v>
      </c>
      <c r="C335" s="78" t="s">
        <v>15875</v>
      </c>
      <c r="D335" s="78" t="s">
        <v>14648</v>
      </c>
      <c r="E335" s="78" t="s">
        <v>14884</v>
      </c>
      <c r="F335" s="78" t="s">
        <v>14872</v>
      </c>
      <c r="G335" s="78" t="s">
        <v>14734</v>
      </c>
      <c r="H335" s="78">
        <v>5000</v>
      </c>
      <c r="I335" s="77"/>
    </row>
    <row r="336">
      <c r="A336" s="78" t="s">
        <v>15876</v>
      </c>
      <c r="B336" s="78" t="s">
        <v>15877</v>
      </c>
      <c r="C336" s="78" t="s">
        <v>15878</v>
      </c>
      <c r="D336" s="78" t="s">
        <v>14648</v>
      </c>
      <c r="E336" s="78" t="s">
        <v>14655</v>
      </c>
      <c r="F336" s="78" t="s">
        <v>15076</v>
      </c>
      <c r="G336" s="78" t="s">
        <v>14651</v>
      </c>
      <c r="H336" s="78">
        <v>800</v>
      </c>
      <c r="I336" s="77"/>
    </row>
    <row r="337">
      <c r="A337" s="78" t="s">
        <v>15879</v>
      </c>
      <c r="B337" s="78" t="s">
        <v>15880</v>
      </c>
      <c r="C337" s="78" t="s">
        <v>15881</v>
      </c>
      <c r="D337" s="78" t="s">
        <v>14648</v>
      </c>
      <c r="E337" s="78" t="s">
        <v>15882</v>
      </c>
      <c r="F337" s="78" t="s">
        <v>15319</v>
      </c>
      <c r="G337" s="78" t="s">
        <v>14772</v>
      </c>
      <c r="H337" s="78">
        <v>5000</v>
      </c>
      <c r="I337" s="77"/>
    </row>
    <row r="338">
      <c r="A338" s="78" t="s">
        <v>15883</v>
      </c>
      <c r="B338" s="78" t="s">
        <v>15884</v>
      </c>
      <c r="C338" s="78" t="s">
        <v>15885</v>
      </c>
      <c r="D338" s="78" t="s">
        <v>14648</v>
      </c>
      <c r="E338" s="78" t="s">
        <v>15683</v>
      </c>
      <c r="F338" s="78" t="s">
        <v>15886</v>
      </c>
      <c r="G338" s="78" t="s">
        <v>14734</v>
      </c>
      <c r="H338" s="78">
        <v>1000</v>
      </c>
      <c r="I338" s="77"/>
    </row>
    <row r="339">
      <c r="A339" s="78" t="s">
        <v>15887</v>
      </c>
      <c r="B339" s="78" t="s">
        <v>15888</v>
      </c>
      <c r="C339" s="78" t="s">
        <v>15889</v>
      </c>
      <c r="D339" s="78" t="s">
        <v>14648</v>
      </c>
      <c r="E339" s="78" t="s">
        <v>15632</v>
      </c>
      <c r="F339" s="78" t="s">
        <v>14889</v>
      </c>
      <c r="G339" s="78" t="s">
        <v>14890</v>
      </c>
      <c r="H339" s="78">
        <v>5000</v>
      </c>
      <c r="I339" s="77"/>
    </row>
    <row r="340">
      <c r="A340" s="78" t="s">
        <v>15890</v>
      </c>
      <c r="B340" s="78" t="s">
        <v>15891</v>
      </c>
      <c r="C340" s="78" t="s">
        <v>15892</v>
      </c>
      <c r="D340" s="78" t="s">
        <v>14648</v>
      </c>
      <c r="E340" s="78" t="s">
        <v>15716</v>
      </c>
      <c r="F340" s="78" t="s">
        <v>15717</v>
      </c>
      <c r="G340" s="78" t="s">
        <v>14651</v>
      </c>
      <c r="H340" s="78">
        <v>3000</v>
      </c>
      <c r="I340" s="77"/>
    </row>
    <row r="341">
      <c r="A341" s="78" t="s">
        <v>15893</v>
      </c>
      <c r="B341" s="78" t="s">
        <v>15894</v>
      </c>
      <c r="C341" s="78" t="s">
        <v>15895</v>
      </c>
      <c r="D341" s="78" t="s">
        <v>14648</v>
      </c>
      <c r="E341" s="78" t="s">
        <v>14930</v>
      </c>
      <c r="F341" s="78" t="s">
        <v>14791</v>
      </c>
      <c r="G341" s="78" t="s">
        <v>14734</v>
      </c>
      <c r="H341" s="78">
        <v>55000</v>
      </c>
      <c r="I341" s="77"/>
    </row>
    <row r="342">
      <c r="A342" s="78" t="s">
        <v>15896</v>
      </c>
      <c r="B342" s="78" t="s">
        <v>15897</v>
      </c>
      <c r="C342" s="78" t="s">
        <v>15898</v>
      </c>
      <c r="D342" s="78" t="s">
        <v>14648</v>
      </c>
      <c r="E342" s="78" t="s">
        <v>15024</v>
      </c>
      <c r="F342" s="78" t="s">
        <v>15025</v>
      </c>
      <c r="G342" s="78" t="s">
        <v>14651</v>
      </c>
      <c r="H342" s="78">
        <v>3000</v>
      </c>
      <c r="I342" s="77"/>
    </row>
    <row r="343">
      <c r="A343" s="78" t="s">
        <v>15899</v>
      </c>
      <c r="B343" s="78" t="s">
        <v>15900</v>
      </c>
      <c r="C343" s="78" t="s">
        <v>15901</v>
      </c>
      <c r="D343" s="78" t="s">
        <v>14648</v>
      </c>
      <c r="E343" s="78" t="s">
        <v>15038</v>
      </c>
      <c r="F343" s="78" t="s">
        <v>15039</v>
      </c>
      <c r="G343" s="78" t="s">
        <v>14651</v>
      </c>
      <c r="H343" s="78">
        <v>3000</v>
      </c>
      <c r="I343" s="77"/>
    </row>
    <row r="344">
      <c r="A344" s="78" t="s">
        <v>15902</v>
      </c>
      <c r="B344" s="78" t="s">
        <v>15903</v>
      </c>
      <c r="C344" s="78" t="s">
        <v>15904</v>
      </c>
      <c r="D344" s="78" t="s">
        <v>14648</v>
      </c>
      <c r="E344" s="78" t="s">
        <v>15202</v>
      </c>
      <c r="F344" s="78" t="s">
        <v>15905</v>
      </c>
      <c r="G344" s="78" t="s">
        <v>15198</v>
      </c>
      <c r="H344" s="78">
        <v>6000</v>
      </c>
      <c r="I344" s="77"/>
    </row>
    <row r="345">
      <c r="A345" s="78" t="s">
        <v>15906</v>
      </c>
      <c r="B345" s="78" t="s">
        <v>15907</v>
      </c>
      <c r="C345" s="78" t="s">
        <v>15908</v>
      </c>
      <c r="D345" s="78" t="s">
        <v>14648</v>
      </c>
      <c r="E345" s="78" t="s">
        <v>14832</v>
      </c>
      <c r="F345" s="78" t="s">
        <v>14839</v>
      </c>
      <c r="G345" s="78" t="s">
        <v>14834</v>
      </c>
      <c r="H345" s="78">
        <v>5000</v>
      </c>
      <c r="I345" s="77"/>
    </row>
    <row r="346">
      <c r="A346" s="78" t="s">
        <v>15909</v>
      </c>
      <c r="B346" s="78" t="s">
        <v>15910</v>
      </c>
      <c r="C346" s="78" t="s">
        <v>15911</v>
      </c>
      <c r="D346" s="78" t="s">
        <v>14648</v>
      </c>
      <c r="E346" s="78" t="s">
        <v>15912</v>
      </c>
      <c r="F346" s="78" t="s">
        <v>14771</v>
      </c>
      <c r="G346" s="78" t="s">
        <v>14772</v>
      </c>
      <c r="H346" s="78">
        <v>1300</v>
      </c>
      <c r="I346" s="77"/>
    </row>
    <row r="347">
      <c r="A347" s="78" t="s">
        <v>15913</v>
      </c>
      <c r="B347" s="78" t="s">
        <v>15914</v>
      </c>
      <c r="C347" s="78" t="s">
        <v>15915</v>
      </c>
      <c r="D347" s="78" t="s">
        <v>14648</v>
      </c>
      <c r="E347" s="78" t="s">
        <v>15916</v>
      </c>
      <c r="F347" s="78" t="s">
        <v>15917</v>
      </c>
      <c r="G347" s="78" t="s">
        <v>14651</v>
      </c>
      <c r="H347" s="78">
        <v>3000</v>
      </c>
      <c r="I347" s="77"/>
    </row>
    <row r="348">
      <c r="A348" s="78" t="s">
        <v>15918</v>
      </c>
      <c r="B348" s="78" t="s">
        <v>15919</v>
      </c>
      <c r="C348" s="78" t="s">
        <v>15920</v>
      </c>
      <c r="D348" s="78" t="s">
        <v>14648</v>
      </c>
      <c r="E348" s="78" t="s">
        <v>15196</v>
      </c>
      <c r="F348" s="78" t="s">
        <v>15921</v>
      </c>
      <c r="G348" s="78" t="s">
        <v>15198</v>
      </c>
      <c r="H348" s="78">
        <v>5000</v>
      </c>
      <c r="I348" s="77"/>
    </row>
    <row r="349">
      <c r="A349" s="78" t="s">
        <v>15922</v>
      </c>
      <c r="B349" s="78" t="s">
        <v>15923</v>
      </c>
      <c r="C349" s="78" t="s">
        <v>15924</v>
      </c>
      <c r="D349" s="78" t="s">
        <v>14648</v>
      </c>
      <c r="E349" s="78" t="s">
        <v>14898</v>
      </c>
      <c r="F349" s="78" t="s">
        <v>14922</v>
      </c>
      <c r="G349" s="78" t="s">
        <v>14923</v>
      </c>
      <c r="H349" s="78">
        <v>2300</v>
      </c>
      <c r="I349" s="77"/>
    </row>
    <row r="350">
      <c r="A350" s="78" t="s">
        <v>15925</v>
      </c>
      <c r="B350" s="78" t="s">
        <v>15926</v>
      </c>
      <c r="C350" s="78" t="s">
        <v>15927</v>
      </c>
      <c r="D350" s="78" t="s">
        <v>14648</v>
      </c>
      <c r="E350" s="78" t="s">
        <v>15928</v>
      </c>
      <c r="F350" s="78" t="s">
        <v>15624</v>
      </c>
      <c r="G350" s="78" t="s">
        <v>14772</v>
      </c>
      <c r="H350" s="78">
        <v>5000</v>
      </c>
      <c r="I350" s="77"/>
    </row>
    <row r="351">
      <c r="A351" s="78" t="s">
        <v>15929</v>
      </c>
      <c r="B351" s="78" t="s">
        <v>15930</v>
      </c>
      <c r="C351" s="78" t="s">
        <v>15931</v>
      </c>
      <c r="D351" s="78" t="s">
        <v>14648</v>
      </c>
      <c r="E351" s="78" t="s">
        <v>14838</v>
      </c>
      <c r="F351" s="78" t="s">
        <v>15932</v>
      </c>
      <c r="G351" s="78" t="s">
        <v>14834</v>
      </c>
      <c r="H351" s="78">
        <v>5000</v>
      </c>
      <c r="I351" s="77"/>
    </row>
    <row r="352">
      <c r="A352" s="78" t="s">
        <v>15933</v>
      </c>
      <c r="B352" s="78" t="s">
        <v>15934</v>
      </c>
      <c r="C352" s="78" t="s">
        <v>15935</v>
      </c>
      <c r="D352" s="78" t="s">
        <v>14648</v>
      </c>
      <c r="E352" s="78" t="s">
        <v>15165</v>
      </c>
      <c r="F352" s="78" t="s">
        <v>15739</v>
      </c>
      <c r="G352" s="78" t="s">
        <v>15129</v>
      </c>
      <c r="H352" s="78">
        <v>5000</v>
      </c>
      <c r="I352" s="77"/>
    </row>
    <row r="353">
      <c r="A353" s="78" t="s">
        <v>15936</v>
      </c>
      <c r="B353" s="78" t="s">
        <v>15937</v>
      </c>
      <c r="C353" s="78" t="s">
        <v>15938</v>
      </c>
      <c r="D353" s="78" t="s">
        <v>14648</v>
      </c>
      <c r="E353" s="78" t="s">
        <v>15939</v>
      </c>
      <c r="F353" s="78" t="s">
        <v>15917</v>
      </c>
      <c r="G353" s="78" t="s">
        <v>14651</v>
      </c>
      <c r="H353" s="78">
        <v>5000</v>
      </c>
      <c r="I353" s="77"/>
    </row>
    <row r="354">
      <c r="A354" s="78" t="s">
        <v>15940</v>
      </c>
      <c r="B354" s="78" t="s">
        <v>15941</v>
      </c>
      <c r="C354" s="78" t="s">
        <v>15942</v>
      </c>
      <c r="D354" s="78" t="s">
        <v>14648</v>
      </c>
      <c r="E354" s="78" t="s">
        <v>14732</v>
      </c>
      <c r="F354" s="78" t="s">
        <v>14733</v>
      </c>
      <c r="G354" s="78" t="s">
        <v>14734</v>
      </c>
      <c r="H354" s="78">
        <v>5000</v>
      </c>
      <c r="I354" s="77"/>
    </row>
    <row r="355">
      <c r="A355" s="78" t="s">
        <v>15943</v>
      </c>
      <c r="B355" s="78" t="s">
        <v>15944</v>
      </c>
      <c r="C355" s="78" t="s">
        <v>15945</v>
      </c>
      <c r="D355" s="78" t="s">
        <v>14648</v>
      </c>
      <c r="E355" s="78" t="s">
        <v>15946</v>
      </c>
      <c r="F355" s="78" t="s">
        <v>15263</v>
      </c>
      <c r="G355" s="78" t="s">
        <v>15249</v>
      </c>
      <c r="H355" s="78">
        <v>5000</v>
      </c>
      <c r="I355" s="77"/>
    </row>
    <row r="356">
      <c r="A356" s="78" t="s">
        <v>15947</v>
      </c>
      <c r="B356" s="78" t="s">
        <v>15948</v>
      </c>
      <c r="C356" s="78" t="s">
        <v>15949</v>
      </c>
      <c r="D356" s="78" t="s">
        <v>14648</v>
      </c>
      <c r="E356" s="78" t="s">
        <v>14760</v>
      </c>
      <c r="F356" s="78" t="s">
        <v>14756</v>
      </c>
      <c r="G356" s="78" t="s">
        <v>14744</v>
      </c>
      <c r="H356" s="78">
        <v>3000</v>
      </c>
      <c r="I356" s="77"/>
    </row>
    <row r="357">
      <c r="A357" s="78" t="s">
        <v>15950</v>
      </c>
      <c r="B357" s="78" t="s">
        <v>15951</v>
      </c>
      <c r="C357" s="78" t="s">
        <v>15952</v>
      </c>
      <c r="D357" s="78" t="s">
        <v>14648</v>
      </c>
      <c r="E357" s="78" t="s">
        <v>15202</v>
      </c>
      <c r="F357" s="78" t="s">
        <v>15218</v>
      </c>
      <c r="G357" s="78" t="s">
        <v>15198</v>
      </c>
      <c r="H357" s="78">
        <v>6000</v>
      </c>
      <c r="I357" s="77"/>
      <c r="J357" s="77"/>
    </row>
    <row r="358">
      <c r="A358" s="78" t="s">
        <v>15953</v>
      </c>
      <c r="B358" s="78" t="s">
        <v>15954</v>
      </c>
      <c r="C358" s="78" t="s">
        <v>15955</v>
      </c>
      <c r="D358" s="78" t="s">
        <v>14648</v>
      </c>
      <c r="E358" s="78" t="s">
        <v>14732</v>
      </c>
      <c r="F358" s="78" t="s">
        <v>15956</v>
      </c>
      <c r="G358" s="78" t="s">
        <v>14923</v>
      </c>
      <c r="H358" s="78">
        <v>5000</v>
      </c>
      <c r="I358" s="77"/>
    </row>
    <row r="359">
      <c r="A359" s="78" t="s">
        <v>15957</v>
      </c>
      <c r="B359" s="78" t="s">
        <v>15958</v>
      </c>
      <c r="C359" s="78" t="s">
        <v>15959</v>
      </c>
      <c r="D359" s="78" t="s">
        <v>14648</v>
      </c>
      <c r="E359" s="78" t="s">
        <v>14918</v>
      </c>
      <c r="F359" s="78" t="s">
        <v>14950</v>
      </c>
      <c r="G359" s="78" t="s">
        <v>14782</v>
      </c>
      <c r="H359" s="78">
        <v>5000</v>
      </c>
      <c r="I359" s="77"/>
    </row>
    <row r="360">
      <c r="A360" s="78" t="s">
        <v>15960</v>
      </c>
      <c r="B360" s="78" t="s">
        <v>15961</v>
      </c>
      <c r="C360" s="78" t="s">
        <v>15962</v>
      </c>
      <c r="D360" s="78" t="s">
        <v>14648</v>
      </c>
      <c r="E360" s="78" t="s">
        <v>14732</v>
      </c>
      <c r="F360" s="78" t="s">
        <v>14938</v>
      </c>
      <c r="G360" s="78" t="s">
        <v>14923</v>
      </c>
      <c r="H360" s="78">
        <v>5000</v>
      </c>
      <c r="I360" s="77"/>
    </row>
    <row r="361">
      <c r="A361" s="78" t="s">
        <v>15963</v>
      </c>
      <c r="B361" s="78" t="s">
        <v>15964</v>
      </c>
      <c r="C361" s="78" t="s">
        <v>15965</v>
      </c>
      <c r="D361" s="78" t="s">
        <v>14648</v>
      </c>
      <c r="E361" s="78" t="s">
        <v>15966</v>
      </c>
      <c r="F361" s="78" t="s">
        <v>14712</v>
      </c>
      <c r="G361" s="78" t="s">
        <v>14713</v>
      </c>
      <c r="H361" s="78">
        <v>5000</v>
      </c>
      <c r="I361" s="77"/>
    </row>
    <row r="362">
      <c r="A362" s="78" t="s">
        <v>15967</v>
      </c>
      <c r="B362" s="78" t="s">
        <v>15968</v>
      </c>
      <c r="C362" s="78" t="s">
        <v>15969</v>
      </c>
      <c r="D362" s="78" t="s">
        <v>14648</v>
      </c>
      <c r="E362" s="78" t="s">
        <v>15946</v>
      </c>
      <c r="F362" s="78" t="s">
        <v>15263</v>
      </c>
      <c r="G362" s="78" t="s">
        <v>15249</v>
      </c>
      <c r="H362" s="78">
        <v>5000</v>
      </c>
      <c r="I362" s="77"/>
    </row>
    <row r="363">
      <c r="A363" s="78" t="s">
        <v>15970</v>
      </c>
      <c r="B363" s="78" t="s">
        <v>15971</v>
      </c>
      <c r="C363" s="78" t="s">
        <v>15972</v>
      </c>
      <c r="D363" s="78" t="s">
        <v>14648</v>
      </c>
      <c r="E363" s="78" t="s">
        <v>15973</v>
      </c>
      <c r="F363" s="78" t="s">
        <v>15921</v>
      </c>
      <c r="G363" s="78" t="s">
        <v>15198</v>
      </c>
      <c r="H363" s="78">
        <v>5000</v>
      </c>
      <c r="I363" s="77"/>
    </row>
    <row r="364">
      <c r="A364" s="78" t="s">
        <v>15974</v>
      </c>
      <c r="B364" s="78" t="s">
        <v>15975</v>
      </c>
      <c r="C364" s="78" t="s">
        <v>15976</v>
      </c>
      <c r="D364" s="78" t="s">
        <v>14648</v>
      </c>
      <c r="E364" s="78" t="s">
        <v>14816</v>
      </c>
      <c r="F364" s="78" t="s">
        <v>14809</v>
      </c>
      <c r="G364" s="78" t="s">
        <v>14772</v>
      </c>
      <c r="H364" s="78">
        <v>3000</v>
      </c>
      <c r="I364" s="77"/>
    </row>
    <row r="365">
      <c r="A365" s="78" t="s">
        <v>15977</v>
      </c>
      <c r="B365" s="78" t="s">
        <v>15978</v>
      </c>
      <c r="C365" s="78" t="s">
        <v>15979</v>
      </c>
      <c r="D365" s="78" t="s">
        <v>14648</v>
      </c>
      <c r="E365" s="78" t="s">
        <v>14752</v>
      </c>
      <c r="F365" s="78" t="s">
        <v>14743</v>
      </c>
      <c r="G365" s="78" t="s">
        <v>14744</v>
      </c>
      <c r="H365" s="78">
        <v>2500</v>
      </c>
      <c r="I365" s="77"/>
    </row>
    <row r="366">
      <c r="A366" s="78" t="s">
        <v>15980</v>
      </c>
      <c r="B366" s="78" t="s">
        <v>15981</v>
      </c>
      <c r="C366" s="78" t="s">
        <v>15982</v>
      </c>
      <c r="D366" s="78" t="s">
        <v>14648</v>
      </c>
      <c r="E366" s="78" t="s">
        <v>14976</v>
      </c>
      <c r="F366" s="78" t="s">
        <v>14972</v>
      </c>
      <c r="G366" s="78" t="s">
        <v>14963</v>
      </c>
      <c r="H366" s="78">
        <v>5000</v>
      </c>
      <c r="I366" s="77"/>
    </row>
    <row r="367">
      <c r="A367" s="78" t="s">
        <v>15983</v>
      </c>
      <c r="B367" s="78" t="s">
        <v>15984</v>
      </c>
      <c r="C367" s="78" t="s">
        <v>15985</v>
      </c>
      <c r="D367" s="78" t="s">
        <v>14648</v>
      </c>
      <c r="E367" s="78" t="s">
        <v>15946</v>
      </c>
      <c r="F367" s="78" t="s">
        <v>15017</v>
      </c>
      <c r="G367" s="78" t="s">
        <v>14651</v>
      </c>
      <c r="H367" s="78">
        <v>5000</v>
      </c>
      <c r="I367" s="77"/>
    </row>
    <row r="368">
      <c r="A368" s="78" t="s">
        <v>15986</v>
      </c>
      <c r="B368" s="78" t="s">
        <v>15987</v>
      </c>
      <c r="C368" s="78" t="s">
        <v>15988</v>
      </c>
      <c r="D368" s="78" t="s">
        <v>14648</v>
      </c>
      <c r="E368" s="78" t="s">
        <v>14760</v>
      </c>
      <c r="F368" s="78" t="s">
        <v>14756</v>
      </c>
      <c r="G368" s="78" t="s">
        <v>14744</v>
      </c>
      <c r="H368" s="78">
        <v>3000</v>
      </c>
      <c r="I368" s="77"/>
    </row>
    <row r="369">
      <c r="A369" s="78" t="s">
        <v>15989</v>
      </c>
      <c r="B369" s="78" t="s">
        <v>15990</v>
      </c>
      <c r="C369" s="78" t="s">
        <v>15991</v>
      </c>
      <c r="D369" s="78" t="s">
        <v>14648</v>
      </c>
      <c r="E369" s="78" t="s">
        <v>15243</v>
      </c>
      <c r="F369" s="78" t="s">
        <v>15687</v>
      </c>
      <c r="G369" s="78" t="s">
        <v>15249</v>
      </c>
      <c r="H369" s="78">
        <v>6000</v>
      </c>
      <c r="I369" s="77"/>
    </row>
    <row r="370">
      <c r="A370" s="78" t="s">
        <v>15992</v>
      </c>
      <c r="B370" s="78" t="s">
        <v>15993</v>
      </c>
      <c r="C370" s="78" t="s">
        <v>15994</v>
      </c>
      <c r="D370" s="78" t="s">
        <v>14648</v>
      </c>
      <c r="E370" s="78" t="s">
        <v>14884</v>
      </c>
      <c r="F370" s="78" t="s">
        <v>15995</v>
      </c>
      <c r="G370" s="78" t="s">
        <v>14931</v>
      </c>
      <c r="H370" s="78">
        <v>5000</v>
      </c>
      <c r="I370" s="77"/>
      <c r="J370" s="77"/>
    </row>
    <row r="371">
      <c r="A371" s="78" t="s">
        <v>15996</v>
      </c>
      <c r="B371" s="78" t="s">
        <v>15997</v>
      </c>
      <c r="C371" s="78" t="s">
        <v>15998</v>
      </c>
      <c r="D371" s="78" t="s">
        <v>14648</v>
      </c>
      <c r="E371" s="78" t="s">
        <v>14942</v>
      </c>
      <c r="F371" s="78" t="s">
        <v>15999</v>
      </c>
      <c r="G371" s="78" t="s">
        <v>14734</v>
      </c>
      <c r="H371" s="78">
        <v>3000</v>
      </c>
      <c r="I371" s="77"/>
    </row>
    <row r="372">
      <c r="A372" s="78" t="s">
        <v>16000</v>
      </c>
      <c r="B372" s="78" t="s">
        <v>16001</v>
      </c>
      <c r="C372" s="78" t="s">
        <v>16002</v>
      </c>
      <c r="D372" s="78" t="s">
        <v>14648</v>
      </c>
      <c r="E372" s="78" t="s">
        <v>16003</v>
      </c>
      <c r="F372" s="78" t="s">
        <v>15717</v>
      </c>
      <c r="G372" s="78" t="s">
        <v>14651</v>
      </c>
      <c r="H372" s="78">
        <v>5000</v>
      </c>
      <c r="I372" s="77"/>
    </row>
    <row r="373">
      <c r="A373" s="78" t="s">
        <v>16004</v>
      </c>
      <c r="B373" s="78" t="s">
        <v>16005</v>
      </c>
      <c r="C373" s="78" t="s">
        <v>16006</v>
      </c>
      <c r="D373" s="78" t="s">
        <v>14648</v>
      </c>
      <c r="E373" s="78" t="s">
        <v>16007</v>
      </c>
      <c r="F373" s="78" t="s">
        <v>14712</v>
      </c>
      <c r="G373" s="78" t="s">
        <v>14694</v>
      </c>
      <c r="H373" s="78">
        <v>5000</v>
      </c>
      <c r="I373" s="77"/>
    </row>
    <row r="374">
      <c r="A374" s="78" t="s">
        <v>16008</v>
      </c>
      <c r="B374" s="78" t="s">
        <v>16009</v>
      </c>
      <c r="C374" s="78" t="s">
        <v>16010</v>
      </c>
      <c r="D374" s="78" t="s">
        <v>14648</v>
      </c>
      <c r="E374" s="78" t="s">
        <v>15024</v>
      </c>
      <c r="F374" s="78" t="s">
        <v>15025</v>
      </c>
      <c r="G374" s="78" t="s">
        <v>14651</v>
      </c>
      <c r="H374" s="78">
        <v>3000</v>
      </c>
      <c r="I374" s="77"/>
    </row>
    <row r="375">
      <c r="A375" s="78" t="s">
        <v>16011</v>
      </c>
      <c r="B375" s="78" t="s">
        <v>16012</v>
      </c>
      <c r="C375" s="78" t="s">
        <v>16013</v>
      </c>
      <c r="D375" s="78" t="s">
        <v>14648</v>
      </c>
      <c r="E375" s="78" t="s">
        <v>14655</v>
      </c>
      <c r="F375" s="78" t="s">
        <v>15076</v>
      </c>
      <c r="G375" s="78" t="s">
        <v>14651</v>
      </c>
      <c r="H375" s="78">
        <v>800</v>
      </c>
      <c r="I375" s="77"/>
    </row>
    <row r="376">
      <c r="A376" s="78" t="s">
        <v>16014</v>
      </c>
      <c r="B376" s="78" t="s">
        <v>16015</v>
      </c>
      <c r="C376" s="78" t="s">
        <v>16016</v>
      </c>
      <c r="D376" s="78" t="s">
        <v>14648</v>
      </c>
      <c r="E376" s="78" t="s">
        <v>15463</v>
      </c>
      <c r="F376" s="78" t="s">
        <v>15076</v>
      </c>
      <c r="G376" s="78" t="s">
        <v>14651</v>
      </c>
      <c r="H376" s="78">
        <v>1000</v>
      </c>
      <c r="I376" s="77"/>
    </row>
    <row r="377">
      <c r="A377" s="78" t="s">
        <v>16017</v>
      </c>
      <c r="B377" s="78" t="s">
        <v>16018</v>
      </c>
      <c r="C377" s="78" t="s">
        <v>16019</v>
      </c>
      <c r="D377" s="78" t="s">
        <v>14648</v>
      </c>
      <c r="E377" s="78" t="s">
        <v>15946</v>
      </c>
      <c r="F377" s="78" t="s">
        <v>15090</v>
      </c>
      <c r="G377" s="78" t="s">
        <v>14782</v>
      </c>
      <c r="H377" s="78">
        <v>5000</v>
      </c>
      <c r="I377" s="77"/>
    </row>
    <row r="378">
      <c r="A378" s="78" t="s">
        <v>16020</v>
      </c>
      <c r="B378" s="78" t="s">
        <v>16021</v>
      </c>
      <c r="C378" s="78" t="s">
        <v>16022</v>
      </c>
      <c r="D378" s="78" t="s">
        <v>14648</v>
      </c>
      <c r="E378" s="78" t="s">
        <v>15089</v>
      </c>
      <c r="F378" s="78" t="s">
        <v>15090</v>
      </c>
      <c r="G378" s="78" t="s">
        <v>14782</v>
      </c>
      <c r="H378" s="78">
        <v>4000</v>
      </c>
      <c r="I378" s="77"/>
    </row>
    <row r="379">
      <c r="A379" s="78" t="s">
        <v>16023</v>
      </c>
      <c r="B379" s="78" t="s">
        <v>16024</v>
      </c>
      <c r="C379" s="78" t="s">
        <v>16025</v>
      </c>
      <c r="D379" s="78" t="s">
        <v>14648</v>
      </c>
      <c r="E379" s="78" t="s">
        <v>14655</v>
      </c>
      <c r="F379" s="78" t="s">
        <v>15076</v>
      </c>
      <c r="G379" s="78" t="s">
        <v>14651</v>
      </c>
      <c r="H379" s="78">
        <v>800</v>
      </c>
      <c r="I379" s="77"/>
    </row>
    <row r="380">
      <c r="A380" s="78" t="s">
        <v>16026</v>
      </c>
      <c r="B380" s="78" t="s">
        <v>16027</v>
      </c>
      <c r="C380" s="78" t="s">
        <v>16028</v>
      </c>
      <c r="D380" s="78" t="s">
        <v>14648</v>
      </c>
      <c r="E380" s="78" t="s">
        <v>15463</v>
      </c>
      <c r="F380" s="78" t="s">
        <v>15076</v>
      </c>
      <c r="G380" s="78" t="s">
        <v>14651</v>
      </c>
      <c r="H380" s="78">
        <v>1000</v>
      </c>
      <c r="I380" s="77"/>
    </row>
    <row r="381">
      <c r="A381" s="78" t="s">
        <v>16029</v>
      </c>
      <c r="B381" s="78" t="s">
        <v>16030</v>
      </c>
      <c r="C381" s="78" t="s">
        <v>16031</v>
      </c>
      <c r="D381" s="78" t="s">
        <v>14648</v>
      </c>
      <c r="E381" s="78" t="s">
        <v>15463</v>
      </c>
      <c r="F381" s="78" t="s">
        <v>15076</v>
      </c>
      <c r="G381" s="78" t="s">
        <v>14651</v>
      </c>
      <c r="H381" s="78">
        <v>1000</v>
      </c>
      <c r="I381" s="77"/>
    </row>
    <row r="382">
      <c r="A382" s="78" t="s">
        <v>16032</v>
      </c>
      <c r="B382" s="78" t="s">
        <v>16033</v>
      </c>
      <c r="C382" s="78" t="s">
        <v>16034</v>
      </c>
      <c r="D382" s="78" t="s">
        <v>14648</v>
      </c>
      <c r="E382" s="78" t="s">
        <v>14832</v>
      </c>
      <c r="F382" s="78" t="s">
        <v>16035</v>
      </c>
      <c r="G382" s="78" t="s">
        <v>14834</v>
      </c>
      <c r="H382" s="78">
        <v>4000</v>
      </c>
      <c r="I382" s="77"/>
    </row>
    <row r="383">
      <c r="A383" s="78" t="s">
        <v>16036</v>
      </c>
      <c r="B383" s="78" t="s">
        <v>16037</v>
      </c>
      <c r="C383" s="78" t="s">
        <v>16038</v>
      </c>
      <c r="D383" s="78" t="s">
        <v>14648</v>
      </c>
      <c r="E383" s="78" t="s">
        <v>15946</v>
      </c>
      <c r="F383" s="78" t="s">
        <v>15061</v>
      </c>
      <c r="G383" s="78" t="s">
        <v>14651</v>
      </c>
      <c r="H383" s="78">
        <v>5000</v>
      </c>
      <c r="I383" s="77"/>
    </row>
    <row r="384">
      <c r="A384" s="78" t="s">
        <v>16039</v>
      </c>
      <c r="B384" s="78" t="s">
        <v>16040</v>
      </c>
      <c r="C384" s="78" t="s">
        <v>16041</v>
      </c>
      <c r="D384" s="78" t="s">
        <v>14648</v>
      </c>
      <c r="E384" s="78" t="s">
        <v>14994</v>
      </c>
      <c r="F384" s="78" t="s">
        <v>14712</v>
      </c>
      <c r="G384" s="78" t="s">
        <v>14772</v>
      </c>
      <c r="H384" s="78">
        <v>3000</v>
      </c>
      <c r="I384" s="77"/>
    </row>
    <row r="385">
      <c r="A385" s="78" t="s">
        <v>16042</v>
      </c>
      <c r="B385" s="78" t="s">
        <v>16043</v>
      </c>
      <c r="C385" s="78" t="s">
        <v>16044</v>
      </c>
      <c r="D385" s="78" t="s">
        <v>14648</v>
      </c>
      <c r="E385" s="78" t="s">
        <v>14884</v>
      </c>
      <c r="F385" s="78" t="s">
        <v>15995</v>
      </c>
      <c r="G385" s="78" t="s">
        <v>14931</v>
      </c>
      <c r="H385" s="78">
        <v>5000</v>
      </c>
      <c r="I385" s="77"/>
      <c r="J385" s="77"/>
    </row>
    <row r="386">
      <c r="A386" s="78" t="s">
        <v>16045</v>
      </c>
      <c r="B386" s="78" t="s">
        <v>16046</v>
      </c>
      <c r="C386" s="78" t="s">
        <v>16047</v>
      </c>
      <c r="D386" s="78" t="s">
        <v>14648</v>
      </c>
      <c r="E386" s="78" t="s">
        <v>16048</v>
      </c>
      <c r="F386" s="78" t="s">
        <v>15608</v>
      </c>
      <c r="G386" s="78" t="s">
        <v>14990</v>
      </c>
      <c r="H386" s="78">
        <v>2800</v>
      </c>
      <c r="I386" s="77"/>
      <c r="J386" s="77"/>
    </row>
    <row r="387">
      <c r="A387" s="78" t="s">
        <v>16049</v>
      </c>
      <c r="B387" s="78" t="s">
        <v>16050</v>
      </c>
      <c r="C387" s="78" t="s">
        <v>16051</v>
      </c>
      <c r="D387" s="78" t="s">
        <v>14648</v>
      </c>
      <c r="E387" s="78" t="s">
        <v>14816</v>
      </c>
      <c r="F387" s="78" t="s">
        <v>14809</v>
      </c>
      <c r="G387" s="78" t="s">
        <v>14772</v>
      </c>
      <c r="H387" s="78">
        <v>3000</v>
      </c>
      <c r="I387" s="77"/>
    </row>
    <row r="388">
      <c r="A388" s="78" t="s">
        <v>16052</v>
      </c>
      <c r="B388" s="78" t="s">
        <v>16053</v>
      </c>
      <c r="C388" s="78" t="s">
        <v>16054</v>
      </c>
      <c r="D388" s="78" t="s">
        <v>14648</v>
      </c>
      <c r="E388" s="78" t="s">
        <v>16055</v>
      </c>
      <c r="F388" s="78" t="s">
        <v>16056</v>
      </c>
      <c r="G388" s="78" t="s">
        <v>14772</v>
      </c>
      <c r="H388" s="78">
        <v>5000</v>
      </c>
      <c r="I388" s="77"/>
    </row>
    <row r="389">
      <c r="A389" s="78" t="s">
        <v>16057</v>
      </c>
      <c r="B389" s="78" t="s">
        <v>16058</v>
      </c>
      <c r="C389" s="78" t="s">
        <v>16059</v>
      </c>
      <c r="D389" s="78" t="s">
        <v>14648</v>
      </c>
      <c r="E389" s="78" t="s">
        <v>15946</v>
      </c>
      <c r="F389" s="78" t="s">
        <v>15717</v>
      </c>
      <c r="G389" s="78" t="s">
        <v>14651</v>
      </c>
      <c r="H389" s="78">
        <v>5000</v>
      </c>
      <c r="I389" s="77"/>
    </row>
    <row r="390">
      <c r="A390" s="78" t="s">
        <v>16060</v>
      </c>
      <c r="B390" s="78" t="s">
        <v>16061</v>
      </c>
      <c r="C390" s="78" t="s">
        <v>16062</v>
      </c>
      <c r="D390" s="78" t="s">
        <v>14648</v>
      </c>
      <c r="E390" s="78" t="s">
        <v>15946</v>
      </c>
      <c r="F390" s="78" t="s">
        <v>15816</v>
      </c>
      <c r="G390" s="78" t="s">
        <v>15249</v>
      </c>
      <c r="H390" s="78">
        <v>5000</v>
      </c>
      <c r="I390" s="77"/>
    </row>
    <row r="391">
      <c r="A391" s="78" t="s">
        <v>16063</v>
      </c>
      <c r="B391" s="78" t="s">
        <v>16064</v>
      </c>
      <c r="C391" s="78" t="s">
        <v>16065</v>
      </c>
      <c r="D391" s="78" t="s">
        <v>14648</v>
      </c>
      <c r="E391" s="78" t="s">
        <v>14884</v>
      </c>
      <c r="F391" s="78" t="s">
        <v>16066</v>
      </c>
      <c r="G391" s="78" t="s">
        <v>14931</v>
      </c>
      <c r="H391" s="78">
        <v>5000</v>
      </c>
      <c r="I391" s="77"/>
      <c r="J391" s="77"/>
    </row>
    <row r="392">
      <c r="A392" s="78" t="s">
        <v>16067</v>
      </c>
      <c r="B392" s="78" t="s">
        <v>16068</v>
      </c>
      <c r="C392" s="78" t="s">
        <v>16069</v>
      </c>
      <c r="D392" s="78" t="s">
        <v>14648</v>
      </c>
      <c r="E392" s="78" t="s">
        <v>15946</v>
      </c>
      <c r="F392" s="78" t="s">
        <v>15100</v>
      </c>
      <c r="G392" s="78" t="s">
        <v>14963</v>
      </c>
      <c r="H392" s="78">
        <v>5000</v>
      </c>
      <c r="I392" s="77"/>
    </row>
    <row r="393">
      <c r="A393" s="78" t="s">
        <v>16070</v>
      </c>
      <c r="B393" s="78" t="s">
        <v>16071</v>
      </c>
      <c r="C393" s="78" t="s">
        <v>16072</v>
      </c>
      <c r="D393" s="78" t="s">
        <v>14648</v>
      </c>
      <c r="E393" s="78" t="s">
        <v>15946</v>
      </c>
      <c r="F393" s="78" t="s">
        <v>14877</v>
      </c>
      <c r="G393" s="78" t="s">
        <v>14782</v>
      </c>
      <c r="H393" s="78">
        <v>5000</v>
      </c>
      <c r="I393" s="77"/>
    </row>
    <row r="394">
      <c r="A394" s="78" t="s">
        <v>16073</v>
      </c>
      <c r="B394" s="78" t="s">
        <v>16074</v>
      </c>
      <c r="C394" s="78" t="s">
        <v>16075</v>
      </c>
      <c r="D394" s="78" t="s">
        <v>14648</v>
      </c>
      <c r="E394" s="78" t="s">
        <v>16076</v>
      </c>
      <c r="F394" s="78" t="s">
        <v>14867</v>
      </c>
      <c r="G394" s="78" t="s">
        <v>14734</v>
      </c>
      <c r="H394" s="78">
        <v>5000</v>
      </c>
      <c r="I394" s="77"/>
    </row>
    <row r="395">
      <c r="A395" s="78" t="s">
        <v>16077</v>
      </c>
      <c r="B395" s="78" t="s">
        <v>16078</v>
      </c>
      <c r="C395" s="78" t="s">
        <v>16079</v>
      </c>
      <c r="D395" s="78" t="s">
        <v>14648</v>
      </c>
      <c r="E395" s="78" t="s">
        <v>15946</v>
      </c>
      <c r="F395" s="78" t="s">
        <v>15100</v>
      </c>
      <c r="G395" s="78" t="s">
        <v>14963</v>
      </c>
      <c r="H395" s="78">
        <v>5000</v>
      </c>
      <c r="I395" s="77"/>
    </row>
    <row r="396">
      <c r="A396" s="78" t="s">
        <v>16080</v>
      </c>
      <c r="B396" s="78" t="s">
        <v>16081</v>
      </c>
      <c r="C396" s="78" t="s">
        <v>16082</v>
      </c>
      <c r="D396" s="78" t="s">
        <v>14648</v>
      </c>
      <c r="E396" s="78" t="s">
        <v>15853</v>
      </c>
      <c r="F396" s="78" t="s">
        <v>15100</v>
      </c>
      <c r="G396" s="78" t="s">
        <v>14963</v>
      </c>
      <c r="H396" s="78">
        <v>3000</v>
      </c>
      <c r="I396" s="77"/>
    </row>
    <row r="397">
      <c r="A397" s="78" t="s">
        <v>16083</v>
      </c>
      <c r="B397" s="78" t="s">
        <v>16084</v>
      </c>
      <c r="C397" s="78" t="s">
        <v>16085</v>
      </c>
      <c r="D397" s="78" t="s">
        <v>14648</v>
      </c>
      <c r="E397" s="78" t="s">
        <v>14707</v>
      </c>
      <c r="F397" s="78" t="s">
        <v>14702</v>
      </c>
      <c r="G397" s="78" t="s">
        <v>14703</v>
      </c>
      <c r="H397" s="78">
        <v>5000</v>
      </c>
      <c r="I397" s="77"/>
    </row>
    <row r="398">
      <c r="A398" s="78" t="s">
        <v>16086</v>
      </c>
      <c r="B398" s="78" t="s">
        <v>16087</v>
      </c>
      <c r="C398" s="78" t="s">
        <v>16088</v>
      </c>
      <c r="D398" s="78" t="s">
        <v>14648</v>
      </c>
      <c r="E398" s="78" t="s">
        <v>16089</v>
      </c>
      <c r="F398" s="78" t="s">
        <v>14867</v>
      </c>
      <c r="G398" s="78" t="s">
        <v>14931</v>
      </c>
      <c r="H398" s="78">
        <v>2000</v>
      </c>
      <c r="I398" s="77"/>
    </row>
    <row r="399">
      <c r="A399" s="78" t="s">
        <v>16090</v>
      </c>
      <c r="B399" s="78" t="s">
        <v>16091</v>
      </c>
      <c r="C399" s="78" t="s">
        <v>16092</v>
      </c>
      <c r="D399" s="78" t="s">
        <v>14648</v>
      </c>
      <c r="E399" s="78" t="s">
        <v>15946</v>
      </c>
      <c r="F399" s="78" t="s">
        <v>15025</v>
      </c>
      <c r="G399" s="78" t="s">
        <v>14651</v>
      </c>
      <c r="H399" s="78">
        <v>5000</v>
      </c>
      <c r="I399" s="77"/>
    </row>
    <row r="400">
      <c r="A400" s="78" t="s">
        <v>16093</v>
      </c>
      <c r="B400" s="78" t="s">
        <v>16094</v>
      </c>
      <c r="C400" s="78" t="s">
        <v>16095</v>
      </c>
      <c r="D400" s="78" t="s">
        <v>14648</v>
      </c>
      <c r="E400" s="78" t="s">
        <v>14961</v>
      </c>
      <c r="F400" s="78" t="s">
        <v>14977</v>
      </c>
      <c r="G400" s="78" t="s">
        <v>14963</v>
      </c>
      <c r="H400" s="78">
        <v>5000</v>
      </c>
      <c r="I400" s="77"/>
    </row>
    <row r="401">
      <c r="A401" s="78" t="s">
        <v>16096</v>
      </c>
      <c r="B401" s="78" t="s">
        <v>16097</v>
      </c>
      <c r="C401" s="78" t="s">
        <v>16098</v>
      </c>
      <c r="D401" s="78" t="s">
        <v>14648</v>
      </c>
      <c r="E401" s="78" t="s">
        <v>16099</v>
      </c>
      <c r="F401" s="78" t="s">
        <v>14867</v>
      </c>
      <c r="G401" s="78" t="s">
        <v>14734</v>
      </c>
      <c r="H401" s="78">
        <v>3000</v>
      </c>
      <c r="I401" s="77"/>
    </row>
    <row r="402">
      <c r="A402" s="78" t="s">
        <v>16100</v>
      </c>
      <c r="B402" s="78" t="s">
        <v>16101</v>
      </c>
      <c r="C402" s="78" t="s">
        <v>16102</v>
      </c>
      <c r="D402" s="78" t="s">
        <v>14648</v>
      </c>
      <c r="E402" s="78" t="s">
        <v>15853</v>
      </c>
      <c r="F402" s="78" t="s">
        <v>14977</v>
      </c>
      <c r="G402" s="78" t="s">
        <v>14963</v>
      </c>
      <c r="H402" s="78">
        <v>3000</v>
      </c>
      <c r="I402" s="77"/>
    </row>
    <row r="403">
      <c r="A403" s="78" t="s">
        <v>16103</v>
      </c>
      <c r="B403" s="78" t="s">
        <v>16104</v>
      </c>
      <c r="C403" s="78" t="s">
        <v>16105</v>
      </c>
      <c r="D403" s="78" t="s">
        <v>14648</v>
      </c>
      <c r="E403" s="78" t="s">
        <v>14832</v>
      </c>
      <c r="F403" s="78" t="s">
        <v>15932</v>
      </c>
      <c r="G403" s="78" t="s">
        <v>14834</v>
      </c>
      <c r="H403" s="78">
        <v>4000</v>
      </c>
      <c r="I403" s="77"/>
    </row>
    <row r="404">
      <c r="A404" s="78" t="s">
        <v>16106</v>
      </c>
      <c r="B404" s="78" t="s">
        <v>16107</v>
      </c>
      <c r="C404" s="78" t="s">
        <v>16108</v>
      </c>
      <c r="D404" s="78" t="s">
        <v>14648</v>
      </c>
      <c r="E404" s="78" t="s">
        <v>15853</v>
      </c>
      <c r="F404" s="78" t="s">
        <v>14977</v>
      </c>
      <c r="G404" s="78" t="s">
        <v>14963</v>
      </c>
      <c r="H404" s="78">
        <v>2000</v>
      </c>
      <c r="I404" s="77"/>
    </row>
    <row r="405">
      <c r="A405" s="78" t="s">
        <v>16109</v>
      </c>
      <c r="B405" s="78" t="s">
        <v>16110</v>
      </c>
      <c r="C405" s="78" t="s">
        <v>16111</v>
      </c>
      <c r="D405" s="78" t="s">
        <v>14648</v>
      </c>
      <c r="E405" s="78" t="s">
        <v>14898</v>
      </c>
      <c r="F405" s="78" t="s">
        <v>14922</v>
      </c>
      <c r="G405" s="78" t="s">
        <v>14923</v>
      </c>
      <c r="H405" s="78">
        <v>2300</v>
      </c>
      <c r="I405" s="77"/>
    </row>
    <row r="406">
      <c r="A406" s="78" t="s">
        <v>16112</v>
      </c>
      <c r="B406" s="78" t="s">
        <v>16113</v>
      </c>
      <c r="C406" s="78" t="s">
        <v>16114</v>
      </c>
      <c r="D406" s="78" t="s">
        <v>14648</v>
      </c>
      <c r="E406" s="78" t="s">
        <v>15853</v>
      </c>
      <c r="F406" s="78" t="s">
        <v>14977</v>
      </c>
      <c r="G406" s="78" t="s">
        <v>14963</v>
      </c>
      <c r="H406" s="78">
        <v>2000</v>
      </c>
      <c r="I406" s="77"/>
      <c r="J406" s="77"/>
    </row>
    <row r="407">
      <c r="A407" s="78" t="s">
        <v>16115</v>
      </c>
      <c r="B407" s="78" t="s">
        <v>16116</v>
      </c>
      <c r="C407" s="78" t="s">
        <v>16117</v>
      </c>
      <c r="D407" s="78" t="s">
        <v>14648</v>
      </c>
      <c r="E407" s="78" t="s">
        <v>14752</v>
      </c>
      <c r="F407" s="78" t="s">
        <v>14743</v>
      </c>
      <c r="G407" s="78" t="s">
        <v>14744</v>
      </c>
      <c r="H407" s="78">
        <v>2500</v>
      </c>
      <c r="I407" s="77"/>
    </row>
    <row r="408">
      <c r="A408" s="78" t="s">
        <v>16118</v>
      </c>
      <c r="B408" s="78" t="s">
        <v>16119</v>
      </c>
      <c r="C408" s="78" t="s">
        <v>16120</v>
      </c>
      <c r="D408" s="78" t="s">
        <v>14648</v>
      </c>
      <c r="E408" s="78" t="s">
        <v>15853</v>
      </c>
      <c r="F408" s="78" t="s">
        <v>15100</v>
      </c>
      <c r="G408" s="78" t="s">
        <v>14963</v>
      </c>
      <c r="H408" s="78">
        <v>2000</v>
      </c>
      <c r="I408" s="77"/>
      <c r="J408" s="77"/>
    </row>
    <row r="409">
      <c r="A409" s="78" t="s">
        <v>16121</v>
      </c>
      <c r="B409" s="78" t="s">
        <v>16122</v>
      </c>
      <c r="C409" s="78" t="s">
        <v>16123</v>
      </c>
      <c r="D409" s="78" t="s">
        <v>14648</v>
      </c>
      <c r="E409" s="78" t="s">
        <v>14884</v>
      </c>
      <c r="F409" s="78" t="s">
        <v>16124</v>
      </c>
      <c r="G409" s="78" t="s">
        <v>14734</v>
      </c>
      <c r="H409" s="78">
        <v>5000</v>
      </c>
      <c r="I409" s="77"/>
      <c r="J409" s="77"/>
    </row>
    <row r="410">
      <c r="A410" s="78" t="s">
        <v>16125</v>
      </c>
      <c r="B410" s="78" t="s">
        <v>16126</v>
      </c>
      <c r="C410" s="78" t="s">
        <v>16127</v>
      </c>
      <c r="D410" s="78" t="s">
        <v>14648</v>
      </c>
      <c r="E410" s="78" t="s">
        <v>15946</v>
      </c>
      <c r="F410" s="78" t="s">
        <v>14712</v>
      </c>
      <c r="G410" s="78" t="s">
        <v>14713</v>
      </c>
      <c r="H410" s="78">
        <v>5000</v>
      </c>
      <c r="I410" s="77"/>
    </row>
    <row r="411">
      <c r="A411" s="78" t="s">
        <v>16128</v>
      </c>
      <c r="B411" s="78" t="s">
        <v>16129</v>
      </c>
      <c r="C411" s="78" t="s">
        <v>16130</v>
      </c>
      <c r="D411" s="78" t="s">
        <v>14648</v>
      </c>
      <c r="E411" s="78" t="s">
        <v>16076</v>
      </c>
      <c r="F411" s="78" t="s">
        <v>14867</v>
      </c>
      <c r="G411" s="78" t="s">
        <v>14931</v>
      </c>
      <c r="H411" s="78">
        <v>5000</v>
      </c>
      <c r="I411" s="77"/>
    </row>
    <row r="412">
      <c r="A412" s="78" t="s">
        <v>16131</v>
      </c>
      <c r="B412" s="78" t="s">
        <v>16132</v>
      </c>
      <c r="C412" s="78" t="s">
        <v>16133</v>
      </c>
      <c r="D412" s="78" t="s">
        <v>14648</v>
      </c>
      <c r="E412" s="78" t="s">
        <v>14967</v>
      </c>
      <c r="F412" s="78" t="s">
        <v>14743</v>
      </c>
      <c r="G412" s="78" t="s">
        <v>14744</v>
      </c>
      <c r="H412" s="78">
        <v>2100</v>
      </c>
      <c r="I412" s="77"/>
    </row>
    <row r="413">
      <c r="A413" s="78" t="s">
        <v>16134</v>
      </c>
      <c r="B413" s="78" t="s">
        <v>16135</v>
      </c>
      <c r="C413" s="78" t="s">
        <v>16136</v>
      </c>
      <c r="D413" s="78" t="s">
        <v>14648</v>
      </c>
      <c r="E413" s="78" t="s">
        <v>15946</v>
      </c>
      <c r="F413" s="78" t="s">
        <v>15110</v>
      </c>
      <c r="G413" s="78" t="s">
        <v>14782</v>
      </c>
      <c r="H413" s="78">
        <v>5000</v>
      </c>
      <c r="I413" s="77"/>
    </row>
    <row r="414">
      <c r="A414" s="78" t="s">
        <v>16137</v>
      </c>
      <c r="B414" s="78" t="s">
        <v>16138</v>
      </c>
      <c r="C414" s="78" t="s">
        <v>16139</v>
      </c>
      <c r="D414" s="78" t="s">
        <v>14648</v>
      </c>
      <c r="E414" s="78" t="s">
        <v>14760</v>
      </c>
      <c r="F414" s="78" t="s">
        <v>14756</v>
      </c>
      <c r="G414" s="78" t="s">
        <v>14744</v>
      </c>
      <c r="H414" s="78">
        <v>3000</v>
      </c>
      <c r="I414" s="77"/>
    </row>
    <row r="415">
      <c r="A415" s="78" t="s">
        <v>16140</v>
      </c>
      <c r="B415" s="78" t="s">
        <v>16141</v>
      </c>
      <c r="C415" s="78" t="s">
        <v>16142</v>
      </c>
      <c r="D415" s="78" t="s">
        <v>14648</v>
      </c>
      <c r="E415" s="78" t="s">
        <v>14914</v>
      </c>
      <c r="F415" s="78" t="s">
        <v>14877</v>
      </c>
      <c r="G415" s="78" t="s">
        <v>14782</v>
      </c>
      <c r="H415" s="78">
        <v>5000</v>
      </c>
      <c r="I415" s="77"/>
    </row>
    <row r="416">
      <c r="A416" s="78" t="s">
        <v>16143</v>
      </c>
      <c r="B416" s="78" t="s">
        <v>16144</v>
      </c>
      <c r="C416" s="78" t="s">
        <v>16145</v>
      </c>
      <c r="D416" s="78" t="s">
        <v>14648</v>
      </c>
      <c r="E416" s="78" t="s">
        <v>15916</v>
      </c>
      <c r="F416" s="78" t="s">
        <v>15917</v>
      </c>
      <c r="G416" s="78" t="s">
        <v>14651</v>
      </c>
      <c r="H416" s="78">
        <v>3000</v>
      </c>
      <c r="I416" s="77"/>
    </row>
    <row r="417">
      <c r="A417" s="78" t="s">
        <v>16146</v>
      </c>
      <c r="B417" s="78" t="s">
        <v>16147</v>
      </c>
      <c r="C417" s="78" t="s">
        <v>16148</v>
      </c>
      <c r="D417" s="78" t="s">
        <v>14648</v>
      </c>
      <c r="E417" s="78" t="s">
        <v>15946</v>
      </c>
      <c r="F417" s="78" t="s">
        <v>15704</v>
      </c>
      <c r="G417" s="78" t="s">
        <v>14923</v>
      </c>
      <c r="H417" s="78">
        <v>6000</v>
      </c>
      <c r="I417" s="77"/>
    </row>
    <row r="418">
      <c r="A418" s="78" t="s">
        <v>16149</v>
      </c>
      <c r="B418" s="78" t="s">
        <v>16150</v>
      </c>
      <c r="C418" s="78" t="s">
        <v>16151</v>
      </c>
      <c r="D418" s="78" t="s">
        <v>14648</v>
      </c>
      <c r="E418" s="78" t="s">
        <v>15946</v>
      </c>
      <c r="F418" s="78" t="s">
        <v>14885</v>
      </c>
      <c r="G418" s="78" t="s">
        <v>14734</v>
      </c>
      <c r="H418" s="78">
        <v>6000</v>
      </c>
      <c r="I418" s="77"/>
      <c r="J418" s="77"/>
    </row>
    <row r="419">
      <c r="A419" s="78" t="s">
        <v>16152</v>
      </c>
      <c r="B419" s="78" t="s">
        <v>16153</v>
      </c>
      <c r="C419" s="78" t="s">
        <v>16154</v>
      </c>
      <c r="D419" s="78" t="s">
        <v>14648</v>
      </c>
      <c r="E419" s="78" t="s">
        <v>14914</v>
      </c>
      <c r="F419" s="78" t="s">
        <v>14781</v>
      </c>
      <c r="G419" s="78" t="s">
        <v>14782</v>
      </c>
      <c r="H419" s="78">
        <v>5000</v>
      </c>
      <c r="I419" s="77"/>
    </row>
    <row r="420">
      <c r="A420" s="78" t="s">
        <v>16155</v>
      </c>
      <c r="B420" s="78" t="s">
        <v>16156</v>
      </c>
      <c r="C420" s="78" t="s">
        <v>16157</v>
      </c>
      <c r="D420" s="78" t="s">
        <v>14648</v>
      </c>
      <c r="E420" s="78" t="s">
        <v>15946</v>
      </c>
      <c r="F420" s="78" t="s">
        <v>15603</v>
      </c>
      <c r="G420" s="78" t="s">
        <v>14782</v>
      </c>
      <c r="H420" s="78">
        <v>5000</v>
      </c>
      <c r="I420" s="77"/>
    </row>
    <row r="421">
      <c r="A421" s="78" t="s">
        <v>16158</v>
      </c>
      <c r="B421" s="78" t="s">
        <v>16159</v>
      </c>
      <c r="C421" s="78" t="s">
        <v>16160</v>
      </c>
      <c r="D421" s="78" t="s">
        <v>14648</v>
      </c>
      <c r="E421" s="78" t="s">
        <v>14707</v>
      </c>
      <c r="F421" s="78" t="s">
        <v>14702</v>
      </c>
      <c r="G421" s="78" t="s">
        <v>14703</v>
      </c>
      <c r="H421" s="78">
        <v>5000</v>
      </c>
      <c r="I421" s="77"/>
    </row>
    <row r="422">
      <c r="A422" s="78" t="s">
        <v>16161</v>
      </c>
      <c r="B422" s="78" t="s">
        <v>16162</v>
      </c>
      <c r="C422" s="78" t="s">
        <v>16163</v>
      </c>
      <c r="D422" s="78" t="s">
        <v>14648</v>
      </c>
      <c r="E422" s="78" t="s">
        <v>14790</v>
      </c>
      <c r="F422" s="78" t="s">
        <v>15839</v>
      </c>
      <c r="G422" s="78" t="s">
        <v>14734</v>
      </c>
      <c r="H422" s="78">
        <v>10000</v>
      </c>
      <c r="I422" s="77"/>
      <c r="J422" s="77"/>
    </row>
    <row r="423">
      <c r="A423" s="78" t="s">
        <v>16164</v>
      </c>
      <c r="B423" s="78" t="s">
        <v>16165</v>
      </c>
      <c r="C423" s="78" t="s">
        <v>16166</v>
      </c>
      <c r="D423" s="78" t="s">
        <v>14648</v>
      </c>
      <c r="E423" s="78" t="s">
        <v>14711</v>
      </c>
      <c r="F423" s="78" t="s">
        <v>14712</v>
      </c>
      <c r="G423" s="78" t="s">
        <v>14713</v>
      </c>
      <c r="H423" s="78">
        <v>3000</v>
      </c>
      <c r="I423" s="77"/>
    </row>
    <row r="424">
      <c r="A424" s="78" t="s">
        <v>16167</v>
      </c>
      <c r="B424" s="78" t="s">
        <v>16168</v>
      </c>
      <c r="C424" s="78" t="s">
        <v>16169</v>
      </c>
      <c r="D424" s="78" t="s">
        <v>14648</v>
      </c>
      <c r="E424" s="78" t="s">
        <v>14976</v>
      </c>
      <c r="F424" s="78" t="s">
        <v>15110</v>
      </c>
      <c r="G424" s="78" t="s">
        <v>14782</v>
      </c>
      <c r="H424" s="78">
        <v>5000</v>
      </c>
      <c r="I424" s="77"/>
    </row>
    <row r="425">
      <c r="A425" s="78" t="s">
        <v>16170</v>
      </c>
      <c r="B425" s="78" t="s">
        <v>16171</v>
      </c>
      <c r="C425" s="78" t="s">
        <v>16172</v>
      </c>
      <c r="D425" s="78" t="s">
        <v>14648</v>
      </c>
      <c r="E425" s="78" t="s">
        <v>15683</v>
      </c>
      <c r="F425" s="78" t="s">
        <v>14922</v>
      </c>
      <c r="G425" s="78" t="s">
        <v>14923</v>
      </c>
      <c r="H425" s="78">
        <v>1000</v>
      </c>
      <c r="I425" s="77"/>
    </row>
    <row r="426">
      <c r="A426" s="78" t="s">
        <v>16173</v>
      </c>
      <c r="B426" s="78" t="s">
        <v>16174</v>
      </c>
      <c r="C426" s="78" t="s">
        <v>16175</v>
      </c>
      <c r="D426" s="78" t="s">
        <v>14648</v>
      </c>
      <c r="E426" s="78" t="s">
        <v>14760</v>
      </c>
      <c r="F426" s="78" t="s">
        <v>14756</v>
      </c>
      <c r="G426" s="78" t="s">
        <v>14744</v>
      </c>
      <c r="H426" s="78">
        <v>3000</v>
      </c>
      <c r="I426" s="77"/>
    </row>
    <row r="427">
      <c r="A427" s="78" t="s">
        <v>16176</v>
      </c>
      <c r="B427" s="78" t="s">
        <v>16177</v>
      </c>
      <c r="C427" s="78" t="s">
        <v>16178</v>
      </c>
      <c r="D427" s="78" t="s">
        <v>14648</v>
      </c>
      <c r="E427" s="78" t="s">
        <v>14752</v>
      </c>
      <c r="F427" s="78" t="s">
        <v>14743</v>
      </c>
      <c r="G427" s="78" t="s">
        <v>14744</v>
      </c>
      <c r="H427" s="78">
        <v>2500</v>
      </c>
      <c r="I427" s="77"/>
    </row>
    <row r="428">
      <c r="A428" s="78" t="s">
        <v>16179</v>
      </c>
      <c r="B428" s="78" t="s">
        <v>16180</v>
      </c>
      <c r="C428" s="78" t="s">
        <v>16181</v>
      </c>
      <c r="D428" s="78" t="s">
        <v>14648</v>
      </c>
      <c r="E428" s="78" t="s">
        <v>15946</v>
      </c>
      <c r="F428" s="78" t="s">
        <v>15603</v>
      </c>
      <c r="G428" s="78" t="s">
        <v>14782</v>
      </c>
      <c r="H428" s="78">
        <v>5000</v>
      </c>
      <c r="I428" s="77"/>
    </row>
    <row r="429">
      <c r="A429" s="78" t="s">
        <v>16182</v>
      </c>
      <c r="B429" s="78" t="s">
        <v>16183</v>
      </c>
      <c r="C429" s="78" t="s">
        <v>16184</v>
      </c>
      <c r="D429" s="78" t="s">
        <v>14648</v>
      </c>
      <c r="E429" s="78" t="s">
        <v>14838</v>
      </c>
      <c r="F429" s="78" t="s">
        <v>14848</v>
      </c>
      <c r="G429" s="78" t="s">
        <v>14834</v>
      </c>
      <c r="H429" s="78">
        <v>5000</v>
      </c>
      <c r="I429" s="77"/>
      <c r="J429" s="77"/>
    </row>
    <row r="430">
      <c r="A430" s="78" t="s">
        <v>16185</v>
      </c>
      <c r="B430" s="78" t="s">
        <v>16186</v>
      </c>
      <c r="C430" s="78" t="s">
        <v>16187</v>
      </c>
      <c r="D430" s="78" t="s">
        <v>14648</v>
      </c>
      <c r="E430" s="78" t="s">
        <v>16188</v>
      </c>
      <c r="F430" s="78" t="s">
        <v>15002</v>
      </c>
      <c r="G430" s="78" t="s">
        <v>14990</v>
      </c>
      <c r="H430" s="78">
        <v>3500</v>
      </c>
      <c r="I430" s="77"/>
    </row>
    <row r="431">
      <c r="A431" s="78" t="s">
        <v>16189</v>
      </c>
      <c r="B431" s="78" t="s">
        <v>16190</v>
      </c>
      <c r="C431" s="78" t="s">
        <v>16191</v>
      </c>
      <c r="D431" s="78" t="s">
        <v>14648</v>
      </c>
      <c r="E431" s="78" t="s">
        <v>16192</v>
      </c>
      <c r="F431" s="78" t="s">
        <v>14728</v>
      </c>
      <c r="G431" s="78" t="s">
        <v>14703</v>
      </c>
      <c r="H431" s="78">
        <v>5000</v>
      </c>
      <c r="I431" s="77"/>
    </row>
    <row r="432">
      <c r="A432" s="78" t="s">
        <v>16193</v>
      </c>
      <c r="B432" s="78" t="s">
        <v>16194</v>
      </c>
      <c r="C432" s="78" t="s">
        <v>16195</v>
      </c>
      <c r="D432" s="78" t="s">
        <v>14648</v>
      </c>
      <c r="E432" s="78" t="s">
        <v>16196</v>
      </c>
      <c r="F432" s="78" t="s">
        <v>15105</v>
      </c>
      <c r="G432" s="78" t="s">
        <v>15106</v>
      </c>
      <c r="H432" s="78">
        <v>5000</v>
      </c>
      <c r="I432" s="77"/>
    </row>
    <row r="433">
      <c r="A433" s="78" t="s">
        <v>16197</v>
      </c>
      <c r="B433" s="78" t="s">
        <v>16198</v>
      </c>
      <c r="C433" s="78" t="s">
        <v>16199</v>
      </c>
      <c r="D433" s="78" t="s">
        <v>14648</v>
      </c>
      <c r="E433" s="78" t="s">
        <v>16200</v>
      </c>
      <c r="F433" s="78" t="s">
        <v>15161</v>
      </c>
      <c r="G433" s="78" t="s">
        <v>14923</v>
      </c>
      <c r="H433" s="78">
        <v>2000</v>
      </c>
      <c r="I433" s="77"/>
      <c r="J433" s="77"/>
    </row>
    <row r="434">
      <c r="A434" s="78" t="s">
        <v>16201</v>
      </c>
      <c r="B434" s="78" t="s">
        <v>16202</v>
      </c>
      <c r="C434" s="78" t="s">
        <v>16203</v>
      </c>
      <c r="D434" s="78" t="s">
        <v>14648</v>
      </c>
      <c r="E434" s="78" t="s">
        <v>15946</v>
      </c>
      <c r="F434" s="78" t="s">
        <v>15721</v>
      </c>
      <c r="G434" s="78" t="s">
        <v>14890</v>
      </c>
      <c r="H434" s="78">
        <v>6000</v>
      </c>
      <c r="I434" s="77"/>
    </row>
    <row r="435">
      <c r="A435" s="78" t="s">
        <v>16204</v>
      </c>
      <c r="B435" s="78" t="s">
        <v>16205</v>
      </c>
      <c r="C435" s="78" t="s">
        <v>16206</v>
      </c>
      <c r="D435" s="78" t="s">
        <v>14648</v>
      </c>
      <c r="E435" s="78" t="s">
        <v>14976</v>
      </c>
      <c r="F435" s="78" t="s">
        <v>15100</v>
      </c>
      <c r="G435" s="78" t="s">
        <v>14963</v>
      </c>
      <c r="H435" s="78">
        <v>5000</v>
      </c>
      <c r="I435" s="77"/>
    </row>
    <row r="436">
      <c r="A436" s="78" t="s">
        <v>16207</v>
      </c>
      <c r="B436" s="78" t="s">
        <v>16208</v>
      </c>
      <c r="C436" s="78" t="s">
        <v>16209</v>
      </c>
      <c r="D436" s="78" t="s">
        <v>14648</v>
      </c>
      <c r="E436" s="78" t="s">
        <v>16188</v>
      </c>
      <c r="F436" s="78" t="s">
        <v>15002</v>
      </c>
      <c r="G436" s="78" t="s">
        <v>14990</v>
      </c>
      <c r="H436" s="78">
        <v>3500</v>
      </c>
      <c r="I436" s="77"/>
    </row>
    <row r="437">
      <c r="A437" s="78" t="s">
        <v>16210</v>
      </c>
      <c r="B437" s="78" t="s">
        <v>16211</v>
      </c>
      <c r="C437" s="78" t="s">
        <v>16212</v>
      </c>
      <c r="D437" s="78" t="s">
        <v>14648</v>
      </c>
      <c r="E437" s="78" t="s">
        <v>15946</v>
      </c>
      <c r="F437" s="78" t="s">
        <v>15110</v>
      </c>
      <c r="G437" s="78" t="s">
        <v>14782</v>
      </c>
      <c r="H437" s="78">
        <v>5000</v>
      </c>
      <c r="I437" s="77"/>
    </row>
    <row r="438">
      <c r="A438" s="78" t="s">
        <v>16213</v>
      </c>
      <c r="B438" s="78" t="s">
        <v>16214</v>
      </c>
      <c r="C438" s="78" t="s">
        <v>16215</v>
      </c>
      <c r="D438" s="78" t="s">
        <v>14648</v>
      </c>
      <c r="E438" s="78" t="s">
        <v>15946</v>
      </c>
      <c r="F438" s="78" t="s">
        <v>14889</v>
      </c>
      <c r="G438" s="78" t="s">
        <v>14890</v>
      </c>
      <c r="H438" s="78">
        <v>6000</v>
      </c>
      <c r="I438" s="77"/>
    </row>
    <row r="439">
      <c r="A439" s="78" t="s">
        <v>16216</v>
      </c>
      <c r="B439" s="78" t="s">
        <v>16217</v>
      </c>
      <c r="C439" s="78" t="s">
        <v>16218</v>
      </c>
      <c r="D439" s="78" t="s">
        <v>14648</v>
      </c>
      <c r="E439" s="78" t="s">
        <v>16048</v>
      </c>
      <c r="F439" s="78" t="s">
        <v>15608</v>
      </c>
      <c r="G439" s="78" t="s">
        <v>14990</v>
      </c>
      <c r="H439" s="78">
        <v>2800</v>
      </c>
      <c r="I439" s="77"/>
    </row>
    <row r="440">
      <c r="A440" s="78" t="s">
        <v>16219</v>
      </c>
      <c r="B440" s="78" t="s">
        <v>16220</v>
      </c>
      <c r="C440" s="78" t="s">
        <v>16221</v>
      </c>
      <c r="D440" s="78" t="s">
        <v>14648</v>
      </c>
      <c r="E440" s="78" t="s">
        <v>15946</v>
      </c>
      <c r="F440" s="78" t="s">
        <v>15248</v>
      </c>
      <c r="G440" s="78" t="s">
        <v>15249</v>
      </c>
      <c r="H440" s="78">
        <v>5000</v>
      </c>
      <c r="I440" s="77"/>
    </row>
    <row r="441">
      <c r="A441" s="78" t="s">
        <v>16222</v>
      </c>
      <c r="B441" s="78" t="s">
        <v>16223</v>
      </c>
      <c r="C441" s="78" t="s">
        <v>16224</v>
      </c>
      <c r="D441" s="78" t="s">
        <v>14648</v>
      </c>
      <c r="E441" s="78" t="s">
        <v>15006</v>
      </c>
      <c r="F441" s="78" t="s">
        <v>14989</v>
      </c>
      <c r="G441" s="78" t="s">
        <v>14990</v>
      </c>
      <c r="H441" s="78">
        <v>3400</v>
      </c>
      <c r="I441" s="77"/>
    </row>
    <row r="442">
      <c r="A442" s="78" t="s">
        <v>16225</v>
      </c>
      <c r="B442" s="78" t="s">
        <v>16226</v>
      </c>
      <c r="C442" s="78" t="s">
        <v>16227</v>
      </c>
      <c r="D442" s="78" t="s">
        <v>14648</v>
      </c>
      <c r="E442" s="78" t="s">
        <v>16228</v>
      </c>
      <c r="F442" s="78" t="s">
        <v>14712</v>
      </c>
      <c r="G442" s="78" t="s">
        <v>14990</v>
      </c>
      <c r="H442" s="78">
        <v>3000</v>
      </c>
      <c r="I442" s="77"/>
    </row>
    <row r="443">
      <c r="A443" s="78" t="s">
        <v>16229</v>
      </c>
      <c r="B443" s="78" t="s">
        <v>16230</v>
      </c>
      <c r="C443" s="78" t="s">
        <v>16231</v>
      </c>
      <c r="D443" s="78" t="s">
        <v>14648</v>
      </c>
      <c r="E443" s="78" t="s">
        <v>16099</v>
      </c>
      <c r="F443" s="78" t="s">
        <v>14867</v>
      </c>
      <c r="G443" s="78" t="s">
        <v>14734</v>
      </c>
      <c r="H443" s="78">
        <v>3000</v>
      </c>
      <c r="I443" s="77"/>
    </row>
    <row r="444">
      <c r="A444" s="78" t="s">
        <v>16232</v>
      </c>
      <c r="B444" s="78" t="s">
        <v>16233</v>
      </c>
      <c r="C444" s="78" t="s">
        <v>16234</v>
      </c>
      <c r="D444" s="78" t="s">
        <v>14648</v>
      </c>
      <c r="E444" s="78" t="s">
        <v>15946</v>
      </c>
      <c r="F444" s="78" t="s">
        <v>14809</v>
      </c>
      <c r="G444" s="78" t="s">
        <v>14772</v>
      </c>
      <c r="H444" s="78">
        <v>5000</v>
      </c>
      <c r="I444" s="77"/>
    </row>
    <row r="445">
      <c r="A445" s="78" t="s">
        <v>16235</v>
      </c>
      <c r="B445" s="78" t="s">
        <v>16236</v>
      </c>
      <c r="C445" s="78" t="s">
        <v>16237</v>
      </c>
      <c r="D445" s="78" t="s">
        <v>14648</v>
      </c>
      <c r="E445" s="78" t="s">
        <v>16238</v>
      </c>
      <c r="F445" s="78" t="s">
        <v>15025</v>
      </c>
      <c r="G445" s="78" t="s">
        <v>14651</v>
      </c>
      <c r="H445" s="78">
        <v>5000</v>
      </c>
      <c r="I445" s="77"/>
    </row>
    <row r="446">
      <c r="A446" s="78" t="s">
        <v>16239</v>
      </c>
      <c r="B446" s="78" t="s">
        <v>16240</v>
      </c>
      <c r="C446" s="78" t="s">
        <v>16241</v>
      </c>
      <c r="D446" s="78" t="s">
        <v>14648</v>
      </c>
      <c r="E446" s="78" t="s">
        <v>15946</v>
      </c>
      <c r="F446" s="78" t="s">
        <v>15628</v>
      </c>
      <c r="G446" s="78" t="s">
        <v>14923</v>
      </c>
      <c r="H446" s="78">
        <v>6000</v>
      </c>
      <c r="I446" s="77"/>
    </row>
    <row r="447">
      <c r="A447" s="78" t="s">
        <v>16242</v>
      </c>
      <c r="B447" s="78" t="s">
        <v>16243</v>
      </c>
      <c r="C447" s="78" t="s">
        <v>16244</v>
      </c>
      <c r="D447" s="78" t="s">
        <v>14648</v>
      </c>
      <c r="E447" s="78" t="s">
        <v>15946</v>
      </c>
      <c r="F447" s="78" t="s">
        <v>14950</v>
      </c>
      <c r="G447" s="78" t="s">
        <v>14782</v>
      </c>
      <c r="H447" s="78">
        <v>5000</v>
      </c>
      <c r="I447" s="77"/>
    </row>
    <row r="448">
      <c r="A448" s="78" t="s">
        <v>16245</v>
      </c>
      <c r="B448" s="78" t="s">
        <v>16246</v>
      </c>
      <c r="C448" s="78" t="s">
        <v>16247</v>
      </c>
      <c r="D448" s="78" t="s">
        <v>14648</v>
      </c>
      <c r="E448" s="78" t="s">
        <v>14914</v>
      </c>
      <c r="F448" s="78" t="s">
        <v>14781</v>
      </c>
      <c r="G448" s="78" t="s">
        <v>14782</v>
      </c>
      <c r="H448" s="78">
        <v>5000</v>
      </c>
      <c r="I448" s="77"/>
    </row>
    <row r="449">
      <c r="A449" s="78" t="s">
        <v>16248</v>
      </c>
      <c r="B449" s="78" t="s">
        <v>16249</v>
      </c>
      <c r="C449" s="78" t="s">
        <v>16250</v>
      </c>
      <c r="D449" s="78" t="s">
        <v>14648</v>
      </c>
      <c r="E449" s="78" t="s">
        <v>15683</v>
      </c>
      <c r="F449" s="78" t="s">
        <v>14903</v>
      </c>
      <c r="G449" s="78" t="s">
        <v>14734</v>
      </c>
      <c r="H449" s="78">
        <v>1000</v>
      </c>
      <c r="I449" s="77"/>
    </row>
    <row r="450">
      <c r="A450" s="78" t="s">
        <v>16251</v>
      </c>
      <c r="B450" s="78" t="s">
        <v>16252</v>
      </c>
      <c r="C450" s="78" t="s">
        <v>16253</v>
      </c>
      <c r="D450" s="78" t="s">
        <v>14648</v>
      </c>
      <c r="E450" s="78" t="s">
        <v>14884</v>
      </c>
      <c r="F450" s="78" t="s">
        <v>15995</v>
      </c>
      <c r="G450" s="78" t="s">
        <v>14931</v>
      </c>
      <c r="H450" s="78">
        <v>5000</v>
      </c>
      <c r="I450" s="77"/>
    </row>
    <row r="451">
      <c r="A451" s="78" t="s">
        <v>16254</v>
      </c>
      <c r="B451" s="78" t="s">
        <v>16255</v>
      </c>
      <c r="C451" s="78" t="s">
        <v>16256</v>
      </c>
      <c r="D451" s="78" t="s">
        <v>14648</v>
      </c>
      <c r="E451" s="78" t="s">
        <v>14752</v>
      </c>
      <c r="F451" s="78" t="s">
        <v>14743</v>
      </c>
      <c r="G451" s="78" t="s">
        <v>14744</v>
      </c>
      <c r="H451" s="78">
        <v>2500</v>
      </c>
      <c r="I451" s="77"/>
    </row>
    <row r="452">
      <c r="A452" s="78" t="s">
        <v>16257</v>
      </c>
      <c r="B452" s="78" t="s">
        <v>16258</v>
      </c>
      <c r="C452" s="78" t="s">
        <v>16259</v>
      </c>
      <c r="D452" s="78" t="s">
        <v>14648</v>
      </c>
      <c r="E452" s="78" t="s">
        <v>15006</v>
      </c>
      <c r="F452" s="78" t="s">
        <v>14989</v>
      </c>
      <c r="G452" s="78" t="s">
        <v>14990</v>
      </c>
      <c r="H452" s="78">
        <v>3400</v>
      </c>
      <c r="I452" s="77"/>
    </row>
    <row r="453">
      <c r="A453" s="78" t="s">
        <v>16260</v>
      </c>
      <c r="B453" s="78" t="s">
        <v>16261</v>
      </c>
      <c r="C453" s="78" t="s">
        <v>16262</v>
      </c>
      <c r="D453" s="78" t="s">
        <v>14648</v>
      </c>
      <c r="E453" s="78" t="s">
        <v>15946</v>
      </c>
      <c r="F453" s="78" t="s">
        <v>15717</v>
      </c>
      <c r="G453" s="78" t="s">
        <v>14651</v>
      </c>
      <c r="H453" s="78">
        <v>5000</v>
      </c>
      <c r="I453" s="77"/>
    </row>
    <row r="454">
      <c r="A454" s="78" t="s">
        <v>16263</v>
      </c>
      <c r="B454" s="78" t="s">
        <v>16264</v>
      </c>
      <c r="C454" s="78" t="s">
        <v>16265</v>
      </c>
      <c r="D454" s="78" t="s">
        <v>14648</v>
      </c>
      <c r="E454" s="78" t="s">
        <v>16266</v>
      </c>
      <c r="F454" s="78" t="s">
        <v>14771</v>
      </c>
      <c r="G454" s="78" t="s">
        <v>14772</v>
      </c>
      <c r="H454" s="78">
        <v>2000</v>
      </c>
      <c r="I454" s="77"/>
    </row>
    <row r="455">
      <c r="A455" s="78" t="s">
        <v>16267</v>
      </c>
      <c r="B455" s="78" t="s">
        <v>16268</v>
      </c>
      <c r="C455" s="78" t="s">
        <v>16269</v>
      </c>
      <c r="D455" s="78" t="s">
        <v>14648</v>
      </c>
      <c r="E455" s="78" t="s">
        <v>14760</v>
      </c>
      <c r="F455" s="78" t="s">
        <v>14756</v>
      </c>
      <c r="G455" s="78" t="s">
        <v>14744</v>
      </c>
      <c r="H455" s="78">
        <v>3000</v>
      </c>
      <c r="I455" s="77"/>
    </row>
    <row r="456">
      <c r="A456" s="78" t="s">
        <v>16270</v>
      </c>
      <c r="B456" s="78" t="s">
        <v>16271</v>
      </c>
      <c r="C456" s="78" t="s">
        <v>16272</v>
      </c>
      <c r="D456" s="78" t="s">
        <v>14648</v>
      </c>
      <c r="E456" s="78" t="s">
        <v>16273</v>
      </c>
      <c r="F456" s="78" t="s">
        <v>15039</v>
      </c>
      <c r="G456" s="78" t="s">
        <v>14651</v>
      </c>
      <c r="H456" s="78">
        <v>5000</v>
      </c>
      <c r="I456" s="77"/>
    </row>
    <row r="457">
      <c r="A457" s="78" t="s">
        <v>16274</v>
      </c>
      <c r="B457" s="78" t="s">
        <v>16275</v>
      </c>
      <c r="C457" s="78" t="s">
        <v>16276</v>
      </c>
      <c r="D457" s="78" t="s">
        <v>14648</v>
      </c>
      <c r="E457" s="78" t="s">
        <v>14760</v>
      </c>
      <c r="F457" s="78" t="s">
        <v>14756</v>
      </c>
      <c r="G457" s="78" t="s">
        <v>14744</v>
      </c>
      <c r="H457" s="78">
        <v>3000</v>
      </c>
      <c r="I457" s="77"/>
    </row>
    <row r="458">
      <c r="A458" s="78" t="s">
        <v>16277</v>
      </c>
      <c r="B458" s="78" t="s">
        <v>16278</v>
      </c>
      <c r="C458" s="78" t="s">
        <v>16279</v>
      </c>
      <c r="D458" s="78" t="s">
        <v>14648</v>
      </c>
      <c r="E458" s="78" t="s">
        <v>16280</v>
      </c>
      <c r="F458" s="78" t="s">
        <v>16281</v>
      </c>
      <c r="G458" s="78" t="s">
        <v>15106</v>
      </c>
      <c r="H458" s="78">
        <v>3000</v>
      </c>
      <c r="I458" s="77"/>
    </row>
    <row r="459">
      <c r="A459" s="78" t="s">
        <v>16282</v>
      </c>
      <c r="B459" s="78" t="s">
        <v>16283</v>
      </c>
      <c r="C459" s="78" t="s">
        <v>16284</v>
      </c>
      <c r="D459" s="78" t="s">
        <v>14648</v>
      </c>
      <c r="E459" s="78" t="s">
        <v>14838</v>
      </c>
      <c r="F459" s="78" t="s">
        <v>14855</v>
      </c>
      <c r="G459" s="78" t="s">
        <v>14834</v>
      </c>
      <c r="H459" s="78">
        <v>5000</v>
      </c>
      <c r="I459" s="77"/>
    </row>
    <row r="460">
      <c r="A460" s="78" t="s">
        <v>16285</v>
      </c>
      <c r="B460" s="78" t="s">
        <v>16286</v>
      </c>
      <c r="C460" s="78" t="s">
        <v>16287</v>
      </c>
      <c r="D460" s="78" t="s">
        <v>14648</v>
      </c>
      <c r="E460" s="78" t="s">
        <v>14838</v>
      </c>
      <c r="F460" s="78" t="s">
        <v>14859</v>
      </c>
      <c r="G460" s="78" t="s">
        <v>14834</v>
      </c>
      <c r="H460" s="78">
        <v>5000</v>
      </c>
      <c r="I460" s="77"/>
    </row>
    <row r="461">
      <c r="A461" s="78" t="s">
        <v>16288</v>
      </c>
      <c r="B461" s="78" t="s">
        <v>16289</v>
      </c>
      <c r="C461" s="78" t="s">
        <v>16290</v>
      </c>
      <c r="D461" s="78" t="s">
        <v>14648</v>
      </c>
      <c r="E461" s="78" t="s">
        <v>14967</v>
      </c>
      <c r="F461" s="78" t="s">
        <v>14743</v>
      </c>
      <c r="G461" s="78" t="s">
        <v>14744</v>
      </c>
      <c r="H461" s="78">
        <v>2100</v>
      </c>
      <c r="I461" s="77"/>
    </row>
    <row r="462">
      <c r="A462" s="78" t="s">
        <v>16291</v>
      </c>
      <c r="B462" s="78" t="s">
        <v>16292</v>
      </c>
      <c r="C462" s="78" t="s">
        <v>16293</v>
      </c>
      <c r="D462" s="78" t="s">
        <v>14648</v>
      </c>
      <c r="E462" s="78" t="s">
        <v>15946</v>
      </c>
      <c r="F462" s="78" t="s">
        <v>15090</v>
      </c>
      <c r="G462" s="78" t="s">
        <v>14782</v>
      </c>
      <c r="H462" s="78">
        <v>5000</v>
      </c>
      <c r="I462" s="77"/>
    </row>
    <row r="463">
      <c r="A463" s="78" t="s">
        <v>16294</v>
      </c>
      <c r="B463" s="78" t="s">
        <v>16295</v>
      </c>
      <c r="C463" s="78" t="s">
        <v>16296</v>
      </c>
      <c r="D463" s="78" t="s">
        <v>14648</v>
      </c>
      <c r="E463" s="78" t="s">
        <v>14967</v>
      </c>
      <c r="F463" s="78" t="s">
        <v>14743</v>
      </c>
      <c r="G463" s="78" t="s">
        <v>14744</v>
      </c>
      <c r="H463" s="78">
        <v>2100</v>
      </c>
      <c r="I463" s="77"/>
    </row>
    <row r="464">
      <c r="A464" s="78" t="s">
        <v>16297</v>
      </c>
      <c r="B464" s="78" t="s">
        <v>16298</v>
      </c>
      <c r="C464" s="78" t="s">
        <v>16299</v>
      </c>
      <c r="D464" s="78" t="s">
        <v>14648</v>
      </c>
      <c r="E464" s="78" t="s">
        <v>15946</v>
      </c>
      <c r="F464" s="78" t="s">
        <v>15603</v>
      </c>
      <c r="G464" s="78" t="s">
        <v>14782</v>
      </c>
      <c r="H464" s="78">
        <v>5000</v>
      </c>
      <c r="I464" s="77"/>
    </row>
    <row r="465">
      <c r="A465" s="78" t="s">
        <v>16300</v>
      </c>
      <c r="B465" s="78" t="s">
        <v>16301</v>
      </c>
      <c r="C465" s="78" t="s">
        <v>16302</v>
      </c>
      <c r="D465" s="78" t="s">
        <v>14648</v>
      </c>
      <c r="E465" s="78" t="s">
        <v>15946</v>
      </c>
      <c r="F465" s="78" t="s">
        <v>14804</v>
      </c>
      <c r="G465" s="78" t="s">
        <v>14772</v>
      </c>
      <c r="H465" s="78">
        <v>5000</v>
      </c>
      <c r="I465" s="77"/>
    </row>
    <row r="466">
      <c r="A466" s="78" t="s">
        <v>16303</v>
      </c>
      <c r="B466" s="78" t="s">
        <v>16304</v>
      </c>
      <c r="C466" s="78" t="s">
        <v>16305</v>
      </c>
      <c r="D466" s="78" t="s">
        <v>14648</v>
      </c>
      <c r="E466" s="78" t="s">
        <v>16099</v>
      </c>
      <c r="F466" s="78" t="s">
        <v>14867</v>
      </c>
      <c r="G466" s="78" t="s">
        <v>14931</v>
      </c>
      <c r="H466" s="78">
        <v>3000</v>
      </c>
      <c r="I466" s="77"/>
    </row>
    <row r="467">
      <c r="A467" s="78" t="s">
        <v>16306</v>
      </c>
      <c r="B467" s="78" t="s">
        <v>16307</v>
      </c>
      <c r="C467" s="78" t="s">
        <v>16308</v>
      </c>
      <c r="D467" s="78" t="s">
        <v>14648</v>
      </c>
      <c r="E467" s="78" t="s">
        <v>14760</v>
      </c>
      <c r="F467" s="78" t="s">
        <v>14756</v>
      </c>
      <c r="G467" s="78" t="s">
        <v>14744</v>
      </c>
      <c r="H467" s="78">
        <v>3000</v>
      </c>
      <c r="I467" s="77"/>
    </row>
    <row r="468">
      <c r="A468" s="78" t="s">
        <v>16309</v>
      </c>
      <c r="B468" s="78" t="s">
        <v>16310</v>
      </c>
      <c r="C468" s="78" t="s">
        <v>16311</v>
      </c>
      <c r="D468" s="78" t="s">
        <v>14648</v>
      </c>
      <c r="E468" s="78" t="s">
        <v>14884</v>
      </c>
      <c r="F468" s="78" t="s">
        <v>15619</v>
      </c>
      <c r="G468" s="78" t="s">
        <v>14931</v>
      </c>
      <c r="H468" s="78">
        <v>5000</v>
      </c>
      <c r="I468" s="77"/>
    </row>
    <row r="469">
      <c r="A469" s="78" t="s">
        <v>16312</v>
      </c>
      <c r="B469" s="78" t="s">
        <v>16313</v>
      </c>
      <c r="C469" s="78" t="s">
        <v>16314</v>
      </c>
      <c r="D469" s="78" t="s">
        <v>14648</v>
      </c>
      <c r="E469" s="78" t="s">
        <v>15946</v>
      </c>
      <c r="F469" s="78" t="s">
        <v>15750</v>
      </c>
      <c r="G469" s="78" t="s">
        <v>14734</v>
      </c>
      <c r="H469" s="78">
        <v>6000</v>
      </c>
      <c r="I469" s="77"/>
    </row>
    <row r="470">
      <c r="A470" s="78" t="s">
        <v>16315</v>
      </c>
      <c r="B470" s="78" t="s">
        <v>16316</v>
      </c>
      <c r="C470" s="78" t="s">
        <v>16317</v>
      </c>
      <c r="D470" s="78" t="s">
        <v>14648</v>
      </c>
      <c r="E470" s="78" t="s">
        <v>14803</v>
      </c>
      <c r="F470" s="78" t="s">
        <v>14804</v>
      </c>
      <c r="G470" s="78" t="s">
        <v>14772</v>
      </c>
      <c r="H470" s="78">
        <v>3000</v>
      </c>
      <c r="I470" s="77"/>
      <c r="J470" s="77"/>
    </row>
    <row r="471">
      <c r="A471" s="78" t="s">
        <v>16318</v>
      </c>
      <c r="B471" s="78" t="s">
        <v>16319</v>
      </c>
      <c r="C471" s="78" t="s">
        <v>16320</v>
      </c>
      <c r="D471" s="78" t="s">
        <v>14648</v>
      </c>
      <c r="E471" s="78" t="s">
        <v>14816</v>
      </c>
      <c r="F471" s="78" t="s">
        <v>14809</v>
      </c>
      <c r="G471" s="78" t="s">
        <v>14772</v>
      </c>
      <c r="H471" s="78">
        <v>3000</v>
      </c>
      <c r="I471" s="77"/>
    </row>
    <row r="472">
      <c r="A472" s="78" t="s">
        <v>16321</v>
      </c>
      <c r="B472" s="78" t="s">
        <v>16322</v>
      </c>
      <c r="C472" s="78" t="s">
        <v>16323</v>
      </c>
      <c r="D472" s="78" t="s">
        <v>14648</v>
      </c>
      <c r="E472" s="78" t="s">
        <v>14942</v>
      </c>
      <c r="F472" s="78" t="s">
        <v>15999</v>
      </c>
      <c r="G472" s="78" t="s">
        <v>14734</v>
      </c>
      <c r="H472" s="78">
        <v>3000</v>
      </c>
      <c r="I472" s="77"/>
    </row>
    <row r="473">
      <c r="A473" s="78" t="s">
        <v>16324</v>
      </c>
      <c r="B473" s="78" t="s">
        <v>16325</v>
      </c>
      <c r="C473" s="78" t="s">
        <v>16326</v>
      </c>
      <c r="D473" s="78" t="s">
        <v>14648</v>
      </c>
      <c r="E473" s="78" t="s">
        <v>14914</v>
      </c>
      <c r="F473" s="78" t="s">
        <v>15669</v>
      </c>
      <c r="G473" s="78" t="s">
        <v>14782</v>
      </c>
      <c r="H473" s="78">
        <v>5000</v>
      </c>
      <c r="I473" s="77"/>
    </row>
    <row r="474">
      <c r="A474" s="78" t="s">
        <v>16327</v>
      </c>
      <c r="B474" s="78" t="s">
        <v>16328</v>
      </c>
      <c r="C474" s="78" t="s">
        <v>16329</v>
      </c>
      <c r="D474" s="78" t="s">
        <v>14648</v>
      </c>
      <c r="E474" s="78" t="s">
        <v>14832</v>
      </c>
      <c r="F474" s="78" t="s">
        <v>15932</v>
      </c>
      <c r="G474" s="78" t="s">
        <v>14834</v>
      </c>
      <c r="H474" s="78">
        <v>4000</v>
      </c>
      <c r="I474" s="77"/>
    </row>
    <row r="475">
      <c r="A475" s="78" t="s">
        <v>16330</v>
      </c>
      <c r="B475" s="78" t="s">
        <v>16331</v>
      </c>
      <c r="C475" s="78" t="s">
        <v>16332</v>
      </c>
      <c r="D475" s="78" t="s">
        <v>14648</v>
      </c>
      <c r="E475" s="78" t="s">
        <v>14884</v>
      </c>
      <c r="F475" s="78" t="s">
        <v>15691</v>
      </c>
      <c r="G475" s="78" t="s">
        <v>14931</v>
      </c>
      <c r="H475" s="78">
        <v>5000</v>
      </c>
      <c r="I475" s="77"/>
    </row>
    <row r="476">
      <c r="A476" s="78" t="s">
        <v>16333</v>
      </c>
      <c r="B476" s="78" t="s">
        <v>16334</v>
      </c>
      <c r="C476" s="78" t="s">
        <v>16335</v>
      </c>
      <c r="D476" s="78" t="s">
        <v>14648</v>
      </c>
      <c r="E476" s="78" t="s">
        <v>15946</v>
      </c>
      <c r="F476" s="78" t="s">
        <v>14877</v>
      </c>
      <c r="G476" s="78" t="s">
        <v>14782</v>
      </c>
      <c r="H476" s="78">
        <v>5000</v>
      </c>
      <c r="I476" s="77"/>
      <c r="J476" s="77"/>
    </row>
    <row r="477">
      <c r="A477" s="78" t="s">
        <v>16336</v>
      </c>
      <c r="B477" s="78" t="s">
        <v>16337</v>
      </c>
      <c r="C477" s="78" t="s">
        <v>16338</v>
      </c>
      <c r="D477" s="78" t="s">
        <v>14648</v>
      </c>
      <c r="E477" s="78" t="s">
        <v>15006</v>
      </c>
      <c r="F477" s="78" t="s">
        <v>14989</v>
      </c>
      <c r="G477" s="78" t="s">
        <v>14990</v>
      </c>
      <c r="H477" s="78">
        <v>3400</v>
      </c>
      <c r="I477" s="77"/>
    </row>
    <row r="478">
      <c r="A478" s="78" t="s">
        <v>16339</v>
      </c>
      <c r="B478" s="78" t="s">
        <v>16340</v>
      </c>
      <c r="C478" s="78" t="s">
        <v>16341</v>
      </c>
      <c r="D478" s="78" t="s">
        <v>14648</v>
      </c>
      <c r="E478" s="78" t="s">
        <v>15946</v>
      </c>
      <c r="F478" s="78" t="s">
        <v>14943</v>
      </c>
      <c r="G478" s="78" t="s">
        <v>14923</v>
      </c>
      <c r="H478" s="78">
        <v>6000</v>
      </c>
      <c r="I478" s="77"/>
    </row>
    <row r="479">
      <c r="A479" s="78" t="s">
        <v>16342</v>
      </c>
      <c r="B479" s="78" t="s">
        <v>16343</v>
      </c>
      <c r="C479" s="78" t="s">
        <v>16344</v>
      </c>
      <c r="D479" s="78" t="s">
        <v>14648</v>
      </c>
      <c r="E479" s="78" t="s">
        <v>15946</v>
      </c>
      <c r="F479" s="78" t="s">
        <v>16345</v>
      </c>
      <c r="G479" s="78" t="s">
        <v>15129</v>
      </c>
      <c r="H479" s="78">
        <v>5000</v>
      </c>
      <c r="I479" s="77"/>
    </row>
    <row r="480">
      <c r="A480" s="78" t="s">
        <v>16346</v>
      </c>
      <c r="B480" s="78" t="s">
        <v>16347</v>
      </c>
      <c r="C480" s="78" t="s">
        <v>16348</v>
      </c>
      <c r="D480" s="78" t="s">
        <v>14648</v>
      </c>
      <c r="E480" s="78" t="s">
        <v>15946</v>
      </c>
      <c r="F480" s="78" t="s">
        <v>16066</v>
      </c>
      <c r="G480" s="78" t="s">
        <v>14931</v>
      </c>
      <c r="H480" s="78">
        <v>6000</v>
      </c>
      <c r="I480" s="77"/>
    </row>
    <row r="481">
      <c r="A481" s="78" t="s">
        <v>16349</v>
      </c>
      <c r="B481" s="78" t="s">
        <v>16350</v>
      </c>
      <c r="C481" s="78" t="s">
        <v>16351</v>
      </c>
      <c r="D481" s="78" t="s">
        <v>14648</v>
      </c>
      <c r="E481" s="78" t="s">
        <v>15946</v>
      </c>
      <c r="F481" s="78" t="s">
        <v>14821</v>
      </c>
      <c r="G481" s="78" t="s">
        <v>14772</v>
      </c>
      <c r="H481" s="78">
        <v>5000</v>
      </c>
      <c r="I481" s="77"/>
    </row>
    <row r="482">
      <c r="A482" s="78" t="s">
        <v>16352</v>
      </c>
      <c r="B482" s="78" t="s">
        <v>16353</v>
      </c>
      <c r="C482" s="78" t="s">
        <v>16354</v>
      </c>
      <c r="D482" s="78" t="s">
        <v>14648</v>
      </c>
      <c r="E482" s="78" t="s">
        <v>16048</v>
      </c>
      <c r="F482" s="78" t="s">
        <v>15090</v>
      </c>
      <c r="G482" s="78" t="s">
        <v>15129</v>
      </c>
      <c r="H482" s="78">
        <v>2800</v>
      </c>
      <c r="I482" s="77"/>
    </row>
    <row r="483">
      <c r="A483" s="78" t="s">
        <v>16355</v>
      </c>
      <c r="B483" s="78" t="s">
        <v>16356</v>
      </c>
      <c r="C483" s="78" t="s">
        <v>16357</v>
      </c>
      <c r="D483" s="78" t="s">
        <v>14648</v>
      </c>
      <c r="E483" s="78" t="s">
        <v>14976</v>
      </c>
      <c r="F483" s="78" t="s">
        <v>14962</v>
      </c>
      <c r="G483" s="78" t="s">
        <v>14963</v>
      </c>
      <c r="H483" s="78">
        <v>5000</v>
      </c>
      <c r="I483" s="77"/>
    </row>
    <row r="484">
      <c r="A484" s="78" t="s">
        <v>16358</v>
      </c>
      <c r="B484" s="78" t="s">
        <v>16359</v>
      </c>
      <c r="C484" s="78" t="s">
        <v>16360</v>
      </c>
      <c r="D484" s="78" t="s">
        <v>14648</v>
      </c>
      <c r="E484" s="78" t="s">
        <v>16099</v>
      </c>
      <c r="F484" s="78" t="s">
        <v>14867</v>
      </c>
      <c r="G484" s="78" t="s">
        <v>14734</v>
      </c>
      <c r="H484" s="78">
        <v>3000</v>
      </c>
      <c r="I484" s="77"/>
    </row>
    <row r="485">
      <c r="A485" s="78" t="s">
        <v>16361</v>
      </c>
      <c r="B485" s="78" t="s">
        <v>16362</v>
      </c>
      <c r="C485" s="78" t="s">
        <v>16363</v>
      </c>
      <c r="D485" s="78" t="s">
        <v>14648</v>
      </c>
      <c r="E485" s="78" t="s">
        <v>16364</v>
      </c>
      <c r="F485" s="78" t="s">
        <v>14712</v>
      </c>
      <c r="G485" s="78" t="s">
        <v>14990</v>
      </c>
      <c r="H485" s="78">
        <v>3000</v>
      </c>
      <c r="I485" s="77"/>
    </row>
    <row r="486">
      <c r="A486" s="78" t="s">
        <v>16365</v>
      </c>
      <c r="B486" s="78" t="s">
        <v>16366</v>
      </c>
      <c r="C486" s="78" t="s">
        <v>16367</v>
      </c>
      <c r="D486" s="78" t="s">
        <v>14648</v>
      </c>
      <c r="E486" s="78" t="s">
        <v>16188</v>
      </c>
      <c r="F486" s="78" t="s">
        <v>15002</v>
      </c>
      <c r="G486" s="78" t="s">
        <v>14990</v>
      </c>
      <c r="H486" s="78">
        <v>3500</v>
      </c>
      <c r="I486" s="77"/>
    </row>
    <row r="487">
      <c r="A487" s="78" t="s">
        <v>16368</v>
      </c>
      <c r="B487" s="78" t="s">
        <v>16369</v>
      </c>
      <c r="C487" s="78" t="s">
        <v>16370</v>
      </c>
      <c r="D487" s="78" t="s">
        <v>14648</v>
      </c>
      <c r="E487" s="78" t="s">
        <v>15946</v>
      </c>
      <c r="F487" s="78" t="s">
        <v>14938</v>
      </c>
      <c r="G487" s="78" t="s">
        <v>14923</v>
      </c>
      <c r="H487" s="78">
        <v>6000</v>
      </c>
      <c r="I487" s="77"/>
    </row>
    <row r="488">
      <c r="A488" s="78" t="s">
        <v>16371</v>
      </c>
      <c r="B488" s="78" t="s">
        <v>16372</v>
      </c>
      <c r="C488" s="78" t="s">
        <v>16373</v>
      </c>
      <c r="D488" s="78" t="s">
        <v>14648</v>
      </c>
      <c r="E488" s="78" t="s">
        <v>15946</v>
      </c>
      <c r="F488" s="78" t="s">
        <v>14943</v>
      </c>
      <c r="G488" s="78" t="s">
        <v>14923</v>
      </c>
      <c r="H488" s="78">
        <v>6000</v>
      </c>
      <c r="I488" s="77"/>
      <c r="J488" s="77"/>
    </row>
    <row r="489">
      <c r="A489" s="78" t="s">
        <v>16374</v>
      </c>
      <c r="B489" s="78" t="s">
        <v>16375</v>
      </c>
      <c r="C489" s="78" t="s">
        <v>16376</v>
      </c>
      <c r="D489" s="78" t="s">
        <v>14648</v>
      </c>
      <c r="E489" s="78" t="s">
        <v>16048</v>
      </c>
      <c r="F489" s="78" t="s">
        <v>15608</v>
      </c>
      <c r="G489" s="78" t="s">
        <v>14990</v>
      </c>
      <c r="H489" s="78">
        <v>2800</v>
      </c>
      <c r="I489" s="77"/>
    </row>
    <row r="490">
      <c r="A490" s="78" t="s">
        <v>16377</v>
      </c>
      <c r="B490" s="78" t="s">
        <v>16378</v>
      </c>
      <c r="C490" s="78" t="s">
        <v>16379</v>
      </c>
      <c r="D490" s="78" t="s">
        <v>14648</v>
      </c>
      <c r="E490" s="78" t="s">
        <v>15946</v>
      </c>
      <c r="F490" s="78" t="s">
        <v>15921</v>
      </c>
      <c r="G490" s="78" t="s">
        <v>15198</v>
      </c>
      <c r="H490" s="78">
        <v>5000</v>
      </c>
      <c r="I490" s="77"/>
      <c r="J490" s="77"/>
    </row>
    <row r="491">
      <c r="A491" s="78" t="s">
        <v>16380</v>
      </c>
      <c r="B491" s="78" t="s">
        <v>16381</v>
      </c>
      <c r="C491" s="78" t="s">
        <v>16382</v>
      </c>
      <c r="D491" s="78" t="s">
        <v>14648</v>
      </c>
      <c r="E491" s="78" t="s">
        <v>15946</v>
      </c>
      <c r="F491" s="78" t="s">
        <v>14771</v>
      </c>
      <c r="G491" s="78" t="s">
        <v>14772</v>
      </c>
      <c r="H491" s="78">
        <v>5000</v>
      </c>
      <c r="I491" s="77"/>
    </row>
    <row r="492">
      <c r="A492" s="78" t="s">
        <v>16383</v>
      </c>
      <c r="B492" s="78" t="s">
        <v>16384</v>
      </c>
      <c r="C492" s="78" t="s">
        <v>16385</v>
      </c>
      <c r="D492" s="78" t="s">
        <v>14648</v>
      </c>
      <c r="E492" s="78" t="s">
        <v>14884</v>
      </c>
      <c r="F492" s="78" t="s">
        <v>14894</v>
      </c>
      <c r="G492" s="78" t="s">
        <v>14734</v>
      </c>
      <c r="H492" s="78">
        <v>5000</v>
      </c>
      <c r="I492" s="77"/>
      <c r="J492" s="77"/>
    </row>
    <row r="493">
      <c r="A493" s="78" t="s">
        <v>16386</v>
      </c>
      <c r="B493" s="78" t="s">
        <v>16387</v>
      </c>
      <c r="C493" s="78" t="s">
        <v>16388</v>
      </c>
      <c r="D493" s="78" t="s">
        <v>14648</v>
      </c>
      <c r="E493" s="78" t="s">
        <v>14790</v>
      </c>
      <c r="F493" s="78" t="s">
        <v>14867</v>
      </c>
      <c r="G493" s="78" t="s">
        <v>14931</v>
      </c>
      <c r="H493" s="78">
        <v>10000</v>
      </c>
      <c r="I493" s="77"/>
    </row>
    <row r="494">
      <c r="A494" s="78" t="s">
        <v>16389</v>
      </c>
      <c r="B494" s="78" t="s">
        <v>16390</v>
      </c>
      <c r="C494" s="78" t="s">
        <v>16391</v>
      </c>
      <c r="D494" s="78" t="s">
        <v>14648</v>
      </c>
      <c r="E494" s="78" t="s">
        <v>15946</v>
      </c>
      <c r="F494" s="78" t="s">
        <v>15081</v>
      </c>
      <c r="G494" s="78" t="s">
        <v>14651</v>
      </c>
      <c r="H494" s="78">
        <v>5000</v>
      </c>
      <c r="I494" s="77"/>
    </row>
    <row r="495">
      <c r="A495" s="78" t="s">
        <v>16392</v>
      </c>
      <c r="B495" s="78" t="s">
        <v>16393</v>
      </c>
      <c r="C495" s="78" t="s">
        <v>16394</v>
      </c>
      <c r="D495" s="78" t="s">
        <v>14648</v>
      </c>
      <c r="E495" s="78" t="s">
        <v>14884</v>
      </c>
      <c r="F495" s="78" t="s">
        <v>14872</v>
      </c>
      <c r="G495" s="78" t="s">
        <v>14734</v>
      </c>
      <c r="H495" s="78">
        <v>5000</v>
      </c>
      <c r="I495" s="77"/>
    </row>
    <row r="496">
      <c r="A496" s="78" t="s">
        <v>16395</v>
      </c>
      <c r="B496" s="78" t="s">
        <v>16396</v>
      </c>
      <c r="C496" s="78" t="s">
        <v>16397</v>
      </c>
      <c r="D496" s="78" t="s">
        <v>14648</v>
      </c>
      <c r="E496" s="78" t="s">
        <v>14790</v>
      </c>
      <c r="F496" s="78" t="s">
        <v>14867</v>
      </c>
      <c r="G496" s="78" t="s">
        <v>14931</v>
      </c>
      <c r="H496" s="78">
        <v>10000</v>
      </c>
      <c r="I496" s="77"/>
    </row>
    <row r="497">
      <c r="A497" s="78" t="s">
        <v>16398</v>
      </c>
      <c r="B497" s="78" t="s">
        <v>16399</v>
      </c>
      <c r="C497" s="78" t="s">
        <v>16400</v>
      </c>
      <c r="D497" s="78" t="s">
        <v>14648</v>
      </c>
      <c r="E497" s="78" t="s">
        <v>15946</v>
      </c>
      <c r="F497" s="78" t="s">
        <v>14833</v>
      </c>
      <c r="G497" s="78" t="s">
        <v>14834</v>
      </c>
      <c r="H497" s="78">
        <v>5000</v>
      </c>
      <c r="I497" s="77"/>
    </row>
    <row r="498">
      <c r="A498" s="78" t="s">
        <v>16401</v>
      </c>
      <c r="B498" s="78" t="s">
        <v>16402</v>
      </c>
      <c r="C498" s="78" t="s">
        <v>16403</v>
      </c>
      <c r="D498" s="78" t="s">
        <v>14648</v>
      </c>
      <c r="E498" s="78" t="s">
        <v>15946</v>
      </c>
      <c r="F498" s="78" t="s">
        <v>15721</v>
      </c>
      <c r="G498" s="78" t="s">
        <v>14890</v>
      </c>
      <c r="H498" s="78">
        <v>6000</v>
      </c>
      <c r="I498" s="77"/>
    </row>
    <row r="499">
      <c r="A499" s="78" t="s">
        <v>16404</v>
      </c>
      <c r="B499" s="78" t="s">
        <v>16405</v>
      </c>
      <c r="C499" s="78" t="s">
        <v>16406</v>
      </c>
      <c r="D499" s="78" t="s">
        <v>14648</v>
      </c>
      <c r="E499" s="78" t="s">
        <v>15946</v>
      </c>
      <c r="F499" s="78" t="s">
        <v>15995</v>
      </c>
      <c r="G499" s="78" t="s">
        <v>14931</v>
      </c>
      <c r="H499" s="78">
        <v>6000</v>
      </c>
      <c r="I499" s="77"/>
      <c r="J499" s="77"/>
    </row>
    <row r="500">
      <c r="A500" s="78" t="s">
        <v>16407</v>
      </c>
      <c r="B500" s="78" t="s">
        <v>16408</v>
      </c>
      <c r="C500" s="78" t="s">
        <v>16409</v>
      </c>
      <c r="D500" s="78" t="s">
        <v>14648</v>
      </c>
      <c r="E500" s="78" t="s">
        <v>15946</v>
      </c>
      <c r="F500" s="78" t="s">
        <v>15218</v>
      </c>
      <c r="G500" s="78" t="s">
        <v>15198</v>
      </c>
      <c r="H500" s="78">
        <v>5000</v>
      </c>
      <c r="I500" s="77"/>
    </row>
    <row r="501">
      <c r="A501" s="78" t="s">
        <v>16410</v>
      </c>
      <c r="B501" s="78" t="s">
        <v>16411</v>
      </c>
      <c r="C501" s="78" t="s">
        <v>16412</v>
      </c>
      <c r="D501" s="78" t="s">
        <v>14648</v>
      </c>
      <c r="E501" s="78" t="s">
        <v>15683</v>
      </c>
      <c r="F501" s="78" t="s">
        <v>15886</v>
      </c>
      <c r="G501" s="78" t="s">
        <v>14734</v>
      </c>
      <c r="H501" s="78">
        <v>1000</v>
      </c>
      <c r="I501" s="77"/>
    </row>
    <row r="502">
      <c r="A502" s="78" t="s">
        <v>16413</v>
      </c>
      <c r="B502" s="78" t="s">
        <v>16414</v>
      </c>
      <c r="C502" s="78" t="s">
        <v>16415</v>
      </c>
      <c r="D502" s="78" t="s">
        <v>14648</v>
      </c>
      <c r="E502" s="78" t="s">
        <v>15665</v>
      </c>
      <c r="F502" s="78" t="s">
        <v>14728</v>
      </c>
      <c r="G502" s="78" t="s">
        <v>14703</v>
      </c>
      <c r="H502" s="78">
        <v>20000</v>
      </c>
      <c r="I502" s="77"/>
    </row>
    <row r="503">
      <c r="A503" s="78" t="s">
        <v>16416</v>
      </c>
      <c r="B503" s="78" t="s">
        <v>16417</v>
      </c>
      <c r="C503" s="78" t="s">
        <v>16418</v>
      </c>
      <c r="D503" s="78" t="s">
        <v>14648</v>
      </c>
      <c r="E503" s="78" t="s">
        <v>15946</v>
      </c>
      <c r="F503" s="78" t="s">
        <v>14977</v>
      </c>
      <c r="G503" s="78" t="s">
        <v>14963</v>
      </c>
      <c r="H503" s="78">
        <v>5000</v>
      </c>
      <c r="I503" s="77"/>
    </row>
    <row r="504">
      <c r="A504" s="78" t="s">
        <v>16419</v>
      </c>
      <c r="B504" s="78" t="s">
        <v>16420</v>
      </c>
      <c r="C504" s="78" t="s">
        <v>16421</v>
      </c>
      <c r="D504" s="78" t="s">
        <v>14648</v>
      </c>
      <c r="E504" s="78" t="s">
        <v>15946</v>
      </c>
      <c r="F504" s="78" t="s">
        <v>14972</v>
      </c>
      <c r="G504" s="78" t="s">
        <v>14963</v>
      </c>
      <c r="H504" s="78">
        <v>5000</v>
      </c>
      <c r="I504" s="77"/>
    </row>
    <row r="505">
      <c r="A505" s="78" t="s">
        <v>16422</v>
      </c>
      <c r="B505" s="78" t="s">
        <v>16423</v>
      </c>
      <c r="C505" s="78" t="s">
        <v>16424</v>
      </c>
      <c r="D505" s="78" t="s">
        <v>14648</v>
      </c>
      <c r="E505" s="78" t="s">
        <v>14760</v>
      </c>
      <c r="F505" s="78" t="s">
        <v>14756</v>
      </c>
      <c r="G505" s="78" t="s">
        <v>14744</v>
      </c>
      <c r="H505" s="78">
        <v>3000</v>
      </c>
      <c r="I505" s="77"/>
    </row>
    <row r="506">
      <c r="A506" s="78" t="s">
        <v>16425</v>
      </c>
      <c r="B506" s="78" t="s">
        <v>16426</v>
      </c>
      <c r="C506" s="78" t="s">
        <v>16427</v>
      </c>
      <c r="D506" s="78" t="s">
        <v>14648</v>
      </c>
      <c r="E506" s="78" t="s">
        <v>15946</v>
      </c>
      <c r="F506" s="78" t="s">
        <v>15110</v>
      </c>
      <c r="G506" s="78" t="s">
        <v>14782</v>
      </c>
      <c r="H506" s="78">
        <v>5000</v>
      </c>
      <c r="I506" s="77"/>
    </row>
    <row r="507">
      <c r="A507" s="78" t="s">
        <v>16428</v>
      </c>
      <c r="B507" s="78" t="s">
        <v>16429</v>
      </c>
      <c r="C507" s="78" t="s">
        <v>16430</v>
      </c>
      <c r="D507" s="78" t="s">
        <v>14648</v>
      </c>
      <c r="E507" s="78" t="s">
        <v>14760</v>
      </c>
      <c r="F507" s="78" t="s">
        <v>14756</v>
      </c>
      <c r="G507" s="78" t="s">
        <v>14744</v>
      </c>
      <c r="H507" s="78">
        <v>3000</v>
      </c>
      <c r="I507" s="77"/>
      <c r="J507" s="77"/>
    </row>
    <row r="508">
      <c r="A508" s="78" t="s">
        <v>16431</v>
      </c>
      <c r="B508" s="78" t="s">
        <v>16432</v>
      </c>
      <c r="C508" s="78" t="s">
        <v>16433</v>
      </c>
      <c r="D508" s="78" t="s">
        <v>14648</v>
      </c>
      <c r="E508" s="78" t="s">
        <v>15946</v>
      </c>
      <c r="F508" s="78" t="s">
        <v>15110</v>
      </c>
      <c r="G508" s="78" t="s">
        <v>14782</v>
      </c>
      <c r="H508" s="78">
        <v>5000</v>
      </c>
      <c r="I508" s="77"/>
    </row>
    <row r="509">
      <c r="A509" s="78" t="s">
        <v>16434</v>
      </c>
      <c r="B509" s="78" t="s">
        <v>16435</v>
      </c>
      <c r="C509" s="78" t="s">
        <v>16436</v>
      </c>
      <c r="D509" s="78" t="s">
        <v>14648</v>
      </c>
      <c r="E509" s="78" t="s">
        <v>15946</v>
      </c>
      <c r="F509" s="78" t="s">
        <v>15691</v>
      </c>
      <c r="G509" s="78" t="s">
        <v>14931</v>
      </c>
      <c r="H509" s="78">
        <v>6000</v>
      </c>
      <c r="I509" s="77"/>
    </row>
    <row r="510">
      <c r="A510" s="78" t="s">
        <v>16437</v>
      </c>
      <c r="B510" s="78" t="s">
        <v>16438</v>
      </c>
      <c r="C510" s="78" t="s">
        <v>16439</v>
      </c>
      <c r="D510" s="78" t="s">
        <v>14648</v>
      </c>
      <c r="E510" s="78" t="s">
        <v>15853</v>
      </c>
      <c r="F510" s="78" t="s">
        <v>15110</v>
      </c>
      <c r="G510" s="78" t="s">
        <v>14782</v>
      </c>
      <c r="H510" s="78">
        <v>2000</v>
      </c>
      <c r="I510" s="77"/>
    </row>
    <row r="511">
      <c r="A511" s="78" t="s">
        <v>16440</v>
      </c>
      <c r="B511" s="78" t="s">
        <v>16441</v>
      </c>
      <c r="C511" s="78" t="s">
        <v>16442</v>
      </c>
      <c r="D511" s="78" t="s">
        <v>14648</v>
      </c>
      <c r="E511" s="78" t="s">
        <v>16048</v>
      </c>
      <c r="F511" s="78" t="s">
        <v>15090</v>
      </c>
      <c r="G511" s="78" t="s">
        <v>15129</v>
      </c>
      <c r="H511" s="78">
        <v>2800</v>
      </c>
      <c r="I511" s="77"/>
    </row>
    <row r="512">
      <c r="A512" s="78" t="s">
        <v>16443</v>
      </c>
      <c r="B512" s="78" t="s">
        <v>16444</v>
      </c>
      <c r="C512" s="78" t="s">
        <v>16445</v>
      </c>
      <c r="D512" s="78" t="s">
        <v>14648</v>
      </c>
      <c r="E512" s="78" t="s">
        <v>15853</v>
      </c>
      <c r="F512" s="78" t="s">
        <v>15100</v>
      </c>
      <c r="G512" s="78" t="s">
        <v>14963</v>
      </c>
      <c r="H512" s="78">
        <v>2000</v>
      </c>
      <c r="I512" s="77"/>
      <c r="J512" s="77"/>
    </row>
    <row r="513">
      <c r="A513" s="78" t="s">
        <v>16446</v>
      </c>
      <c r="B513" s="78" t="s">
        <v>16447</v>
      </c>
      <c r="C513" s="78" t="s">
        <v>16448</v>
      </c>
      <c r="D513" s="78" t="s">
        <v>14648</v>
      </c>
      <c r="E513" s="78" t="s">
        <v>14914</v>
      </c>
      <c r="F513" s="78" t="s">
        <v>14950</v>
      </c>
      <c r="G513" s="78" t="s">
        <v>14782</v>
      </c>
      <c r="H513" s="78">
        <v>5000</v>
      </c>
      <c r="I513" s="77"/>
    </row>
    <row r="514">
      <c r="A514" s="78" t="s">
        <v>16449</v>
      </c>
      <c r="B514" s="78" t="s">
        <v>16450</v>
      </c>
      <c r="C514" s="78" t="s">
        <v>16451</v>
      </c>
      <c r="D514" s="78" t="s">
        <v>14648</v>
      </c>
      <c r="E514" s="78" t="s">
        <v>16452</v>
      </c>
      <c r="F514" s="78" t="s">
        <v>14723</v>
      </c>
      <c r="G514" s="78" t="s">
        <v>14703</v>
      </c>
      <c r="H514" s="78">
        <v>5000</v>
      </c>
      <c r="I514" s="77"/>
    </row>
    <row r="515">
      <c r="A515" s="78" t="s">
        <v>16453</v>
      </c>
      <c r="B515" s="78" t="s">
        <v>16454</v>
      </c>
      <c r="C515" s="78" t="s">
        <v>16455</v>
      </c>
      <c r="D515" s="78" t="s">
        <v>14648</v>
      </c>
      <c r="E515" s="78" t="s">
        <v>16456</v>
      </c>
      <c r="F515" s="78" t="s">
        <v>14771</v>
      </c>
      <c r="G515" s="78" t="s">
        <v>14772</v>
      </c>
      <c r="H515" s="78">
        <v>3000</v>
      </c>
      <c r="I515" s="77"/>
    </row>
    <row r="516">
      <c r="A516" s="78" t="s">
        <v>16457</v>
      </c>
      <c r="B516" s="78" t="s">
        <v>16458</v>
      </c>
      <c r="C516" s="78" t="s">
        <v>16459</v>
      </c>
      <c r="D516" s="78" t="s">
        <v>14648</v>
      </c>
      <c r="E516" s="78" t="s">
        <v>15853</v>
      </c>
      <c r="F516" s="78" t="s">
        <v>14977</v>
      </c>
      <c r="G516" s="78" t="s">
        <v>14963</v>
      </c>
      <c r="H516" s="78">
        <v>2000</v>
      </c>
      <c r="I516" s="77"/>
      <c r="J516" s="77"/>
    </row>
    <row r="517">
      <c r="A517" s="78" t="s">
        <v>16460</v>
      </c>
      <c r="B517" s="78" t="s">
        <v>16461</v>
      </c>
      <c r="C517" s="78" t="s">
        <v>16462</v>
      </c>
      <c r="D517" s="78" t="s">
        <v>14648</v>
      </c>
      <c r="E517" s="78" t="s">
        <v>15381</v>
      </c>
      <c r="F517" s="78" t="s">
        <v>15076</v>
      </c>
      <c r="G517" s="78" t="s">
        <v>14651</v>
      </c>
      <c r="H517" s="78">
        <v>1000</v>
      </c>
      <c r="I517" s="77"/>
    </row>
    <row r="518">
      <c r="A518" s="78" t="s">
        <v>16463</v>
      </c>
      <c r="B518" s="78" t="s">
        <v>16464</v>
      </c>
      <c r="C518" s="78" t="s">
        <v>16465</v>
      </c>
      <c r="D518" s="78" t="s">
        <v>14648</v>
      </c>
      <c r="E518" s="78" t="s">
        <v>15946</v>
      </c>
      <c r="F518" s="78" t="s">
        <v>15687</v>
      </c>
      <c r="G518" s="78" t="s">
        <v>15249</v>
      </c>
      <c r="H518" s="78">
        <v>5000</v>
      </c>
      <c r="I518" s="77"/>
    </row>
    <row r="519">
      <c r="A519" s="78" t="s">
        <v>16466</v>
      </c>
      <c r="B519" s="78" t="s">
        <v>16467</v>
      </c>
      <c r="C519" s="78" t="s">
        <v>16468</v>
      </c>
      <c r="D519" s="78" t="s">
        <v>14648</v>
      </c>
      <c r="E519" s="78" t="s">
        <v>16469</v>
      </c>
      <c r="F519" s="78" t="s">
        <v>15081</v>
      </c>
      <c r="G519" s="78" t="s">
        <v>14651</v>
      </c>
      <c r="H519" s="78">
        <v>3000</v>
      </c>
      <c r="I519" s="77"/>
    </row>
    <row r="520">
      <c r="A520" s="78" t="s">
        <v>16470</v>
      </c>
      <c r="B520" s="78" t="s">
        <v>16471</v>
      </c>
      <c r="C520" s="78" t="s">
        <v>16472</v>
      </c>
      <c r="D520" s="78" t="s">
        <v>14648</v>
      </c>
      <c r="E520" s="78" t="s">
        <v>15946</v>
      </c>
      <c r="F520" s="78" t="s">
        <v>15739</v>
      </c>
      <c r="G520" s="78" t="s">
        <v>15129</v>
      </c>
      <c r="H520" s="78">
        <v>5000</v>
      </c>
      <c r="I520" s="77"/>
    </row>
    <row r="521">
      <c r="A521" s="78" t="s">
        <v>16473</v>
      </c>
      <c r="B521" s="78" t="s">
        <v>16474</v>
      </c>
      <c r="C521" s="78" t="s">
        <v>15791</v>
      </c>
      <c r="D521" s="78" t="s">
        <v>14648</v>
      </c>
      <c r="E521" s="78" t="s">
        <v>14803</v>
      </c>
      <c r="F521" s="78" t="s">
        <v>16056</v>
      </c>
      <c r="G521" s="78" t="s">
        <v>14772</v>
      </c>
      <c r="H521" s="78">
        <v>3000</v>
      </c>
      <c r="I521" s="77"/>
      <c r="J521" s="77"/>
    </row>
    <row r="522">
      <c r="A522" s="78" t="s">
        <v>16475</v>
      </c>
      <c r="B522" s="78" t="s">
        <v>16476</v>
      </c>
      <c r="C522" s="78" t="s">
        <v>16477</v>
      </c>
      <c r="D522" s="78" t="s">
        <v>14648</v>
      </c>
      <c r="E522" s="78" t="s">
        <v>14790</v>
      </c>
      <c r="F522" s="78" t="s">
        <v>14922</v>
      </c>
      <c r="G522" s="78" t="s">
        <v>14923</v>
      </c>
      <c r="H522" s="78">
        <v>10000</v>
      </c>
      <c r="I522" s="77"/>
    </row>
    <row r="523">
      <c r="A523" s="78" t="s">
        <v>16478</v>
      </c>
      <c r="B523" s="78" t="s">
        <v>16479</v>
      </c>
      <c r="C523" s="78" t="s">
        <v>16480</v>
      </c>
      <c r="D523" s="78" t="s">
        <v>14648</v>
      </c>
      <c r="E523" s="78" t="s">
        <v>15683</v>
      </c>
      <c r="F523" s="78" t="s">
        <v>14922</v>
      </c>
      <c r="G523" s="78" t="s">
        <v>14923</v>
      </c>
      <c r="H523" s="78">
        <v>1000</v>
      </c>
      <c r="I523" s="77"/>
    </row>
    <row r="524">
      <c r="A524" s="78" t="s">
        <v>16481</v>
      </c>
      <c r="B524" s="78" t="s">
        <v>16482</v>
      </c>
      <c r="C524" s="78" t="s">
        <v>16483</v>
      </c>
      <c r="D524" s="78" t="s">
        <v>14648</v>
      </c>
      <c r="E524" s="78" t="s">
        <v>14790</v>
      </c>
      <c r="F524" s="78" t="s">
        <v>14922</v>
      </c>
      <c r="G524" s="78" t="s">
        <v>14923</v>
      </c>
      <c r="H524" s="78">
        <v>10000</v>
      </c>
      <c r="I524" s="77"/>
      <c r="J524" s="77"/>
    </row>
    <row r="525">
      <c r="A525" s="78" t="s">
        <v>16484</v>
      </c>
      <c r="B525" s="78" t="s">
        <v>16485</v>
      </c>
      <c r="C525" s="78" t="s">
        <v>16486</v>
      </c>
      <c r="D525" s="78" t="s">
        <v>14648</v>
      </c>
      <c r="E525" s="78" t="s">
        <v>16487</v>
      </c>
      <c r="F525" s="78" t="s">
        <v>15319</v>
      </c>
      <c r="G525" s="78" t="s">
        <v>14772</v>
      </c>
      <c r="H525" s="78">
        <v>1200</v>
      </c>
      <c r="I525" s="77"/>
    </row>
    <row r="526">
      <c r="A526" s="78" t="s">
        <v>16488</v>
      </c>
      <c r="B526" s="78" t="s">
        <v>16489</v>
      </c>
      <c r="C526" s="78" t="s">
        <v>16490</v>
      </c>
      <c r="D526" s="78" t="s">
        <v>14648</v>
      </c>
      <c r="E526" s="78" t="s">
        <v>14994</v>
      </c>
      <c r="F526" s="78" t="s">
        <v>15721</v>
      </c>
      <c r="G526" s="78" t="s">
        <v>14890</v>
      </c>
      <c r="H526" s="78">
        <v>3000</v>
      </c>
      <c r="I526" s="77"/>
    </row>
    <row r="527">
      <c r="A527" s="78" t="s">
        <v>16491</v>
      </c>
      <c r="B527" s="78" t="s">
        <v>16492</v>
      </c>
      <c r="C527" s="78" t="s">
        <v>16493</v>
      </c>
      <c r="D527" s="78" t="s">
        <v>14648</v>
      </c>
      <c r="E527" s="78" t="s">
        <v>14816</v>
      </c>
      <c r="F527" s="78" t="s">
        <v>14809</v>
      </c>
      <c r="G527" s="78" t="s">
        <v>14772</v>
      </c>
      <c r="H527" s="78">
        <v>1000</v>
      </c>
      <c r="I527" s="77"/>
      <c r="J527" s="77"/>
    </row>
    <row r="528">
      <c r="A528" s="78" t="s">
        <v>16494</v>
      </c>
      <c r="B528" s="78" t="s">
        <v>16495</v>
      </c>
      <c r="C528" s="78" t="s">
        <v>16496</v>
      </c>
      <c r="D528" s="78" t="s">
        <v>14648</v>
      </c>
      <c r="E528" s="78" t="s">
        <v>15853</v>
      </c>
      <c r="F528" s="78" t="s">
        <v>15100</v>
      </c>
      <c r="G528" s="78" t="s">
        <v>14963</v>
      </c>
      <c r="H528" s="78">
        <v>2000</v>
      </c>
      <c r="I528" s="77"/>
    </row>
    <row r="529">
      <c r="A529" s="78" t="s">
        <v>16497</v>
      </c>
      <c r="B529" s="78" t="s">
        <v>16498</v>
      </c>
      <c r="C529" s="78" t="s">
        <v>16499</v>
      </c>
      <c r="D529" s="78" t="s">
        <v>14648</v>
      </c>
      <c r="E529" s="78" t="s">
        <v>14803</v>
      </c>
      <c r="F529" s="78" t="s">
        <v>14804</v>
      </c>
      <c r="G529" s="78" t="s">
        <v>14772</v>
      </c>
      <c r="H529" s="78">
        <v>3000</v>
      </c>
      <c r="I529" s="77"/>
    </row>
    <row r="530">
      <c r="A530" s="78" t="s">
        <v>16500</v>
      </c>
      <c r="B530" s="78" t="s">
        <v>16501</v>
      </c>
      <c r="C530" s="78" t="s">
        <v>16502</v>
      </c>
      <c r="D530" s="78" t="s">
        <v>14648</v>
      </c>
      <c r="E530" s="78" t="s">
        <v>14910</v>
      </c>
      <c r="F530" s="78" t="s">
        <v>14867</v>
      </c>
      <c r="G530" s="78" t="s">
        <v>14734</v>
      </c>
      <c r="H530" s="78">
        <v>2000</v>
      </c>
      <c r="I530" s="77"/>
    </row>
    <row r="531">
      <c r="A531" s="78" t="s">
        <v>16503</v>
      </c>
      <c r="B531" s="78" t="s">
        <v>16504</v>
      </c>
      <c r="C531" s="78" t="s">
        <v>16505</v>
      </c>
      <c r="D531" s="78" t="s">
        <v>14648</v>
      </c>
      <c r="E531" s="78" t="s">
        <v>14803</v>
      </c>
      <c r="F531" s="78" t="s">
        <v>15624</v>
      </c>
      <c r="G531" s="78" t="s">
        <v>14772</v>
      </c>
      <c r="H531" s="78">
        <v>3000</v>
      </c>
      <c r="I531" s="77"/>
    </row>
    <row r="532">
      <c r="A532" s="78" t="s">
        <v>16506</v>
      </c>
      <c r="B532" s="78" t="s">
        <v>16507</v>
      </c>
      <c r="C532" s="78" t="s">
        <v>16508</v>
      </c>
      <c r="D532" s="78" t="s">
        <v>14648</v>
      </c>
      <c r="E532" s="78" t="s">
        <v>14790</v>
      </c>
      <c r="F532" s="78" t="s">
        <v>14867</v>
      </c>
      <c r="G532" s="78" t="s">
        <v>14931</v>
      </c>
      <c r="H532" s="78">
        <v>10000</v>
      </c>
      <c r="I532" s="77"/>
    </row>
    <row r="533">
      <c r="A533" s="78" t="s">
        <v>16509</v>
      </c>
      <c r="B533" s="78" t="s">
        <v>16510</v>
      </c>
      <c r="C533" s="78" t="s">
        <v>16511</v>
      </c>
      <c r="D533" s="78" t="s">
        <v>14648</v>
      </c>
      <c r="E533" s="78" t="s">
        <v>16512</v>
      </c>
      <c r="F533" s="78" t="s">
        <v>14809</v>
      </c>
      <c r="G533" s="78" t="s">
        <v>14772</v>
      </c>
      <c r="H533" s="78">
        <v>3000</v>
      </c>
      <c r="I533" s="77"/>
    </row>
    <row r="534">
      <c r="A534" s="78" t="s">
        <v>16513</v>
      </c>
      <c r="B534" s="78" t="s">
        <v>16514</v>
      </c>
      <c r="C534" s="78" t="s">
        <v>16515</v>
      </c>
      <c r="D534" s="78" t="s">
        <v>14648</v>
      </c>
      <c r="E534" s="78" t="s">
        <v>16516</v>
      </c>
      <c r="F534" s="78" t="s">
        <v>15932</v>
      </c>
      <c r="G534" s="78" t="s">
        <v>14834</v>
      </c>
      <c r="H534" s="78">
        <v>3400</v>
      </c>
      <c r="I534" s="77"/>
    </row>
    <row r="535">
      <c r="A535" s="78" t="s">
        <v>16517</v>
      </c>
      <c r="B535" s="78" t="s">
        <v>16518</v>
      </c>
      <c r="C535" s="78" t="s">
        <v>16519</v>
      </c>
      <c r="D535" s="78" t="s">
        <v>14648</v>
      </c>
      <c r="E535" s="78" t="s">
        <v>14994</v>
      </c>
      <c r="F535" s="78" t="s">
        <v>14712</v>
      </c>
      <c r="G535" s="78" t="s">
        <v>14963</v>
      </c>
      <c r="H535" s="78">
        <v>3000</v>
      </c>
      <c r="I535" s="77"/>
    </row>
    <row r="536">
      <c r="A536" s="78" t="s">
        <v>16520</v>
      </c>
      <c r="B536" s="78" t="s">
        <v>16521</v>
      </c>
      <c r="C536" s="78" t="s">
        <v>16522</v>
      </c>
      <c r="D536" s="78" t="s">
        <v>14648</v>
      </c>
      <c r="E536" s="78" t="s">
        <v>15683</v>
      </c>
      <c r="F536" s="78" t="s">
        <v>15839</v>
      </c>
      <c r="G536" s="78" t="s">
        <v>14734</v>
      </c>
      <c r="H536" s="78">
        <v>1000</v>
      </c>
      <c r="I536" s="77"/>
    </row>
    <row r="537">
      <c r="A537" s="78" t="s">
        <v>16523</v>
      </c>
      <c r="B537" s="78" t="s">
        <v>16524</v>
      </c>
      <c r="C537" s="78" t="s">
        <v>14897</v>
      </c>
      <c r="D537" s="78" t="s">
        <v>14648</v>
      </c>
      <c r="E537" s="78" t="s">
        <v>15683</v>
      </c>
      <c r="F537" s="78" t="s">
        <v>15788</v>
      </c>
      <c r="G537" s="78" t="s">
        <v>14734</v>
      </c>
      <c r="H537" s="78">
        <v>1000</v>
      </c>
      <c r="I537" s="77"/>
    </row>
    <row r="538">
      <c r="A538" s="78" t="s">
        <v>16525</v>
      </c>
      <c r="B538" s="78" t="s">
        <v>16526</v>
      </c>
      <c r="C538" s="78" t="s">
        <v>16527</v>
      </c>
      <c r="D538" s="78" t="s">
        <v>14648</v>
      </c>
      <c r="E538" s="78" t="s">
        <v>14914</v>
      </c>
      <c r="F538" s="78" t="s">
        <v>15603</v>
      </c>
      <c r="G538" s="78" t="s">
        <v>14782</v>
      </c>
      <c r="H538" s="78">
        <v>5000</v>
      </c>
      <c r="I538" s="77"/>
    </row>
    <row r="539">
      <c r="A539" s="78" t="s">
        <v>16528</v>
      </c>
      <c r="B539" s="78" t="s">
        <v>16529</v>
      </c>
      <c r="C539" s="78" t="s">
        <v>16530</v>
      </c>
      <c r="D539" s="78" t="s">
        <v>14648</v>
      </c>
      <c r="E539" s="78" t="s">
        <v>15683</v>
      </c>
      <c r="F539" s="78" t="s">
        <v>14922</v>
      </c>
      <c r="G539" s="78" t="s">
        <v>14923</v>
      </c>
      <c r="H539" s="78">
        <v>1000</v>
      </c>
      <c r="I539" s="77"/>
    </row>
    <row r="540">
      <c r="A540" s="78" t="s">
        <v>16531</v>
      </c>
      <c r="B540" s="78" t="s">
        <v>16532</v>
      </c>
      <c r="C540" s="78" t="s">
        <v>16533</v>
      </c>
      <c r="D540" s="78" t="s">
        <v>14648</v>
      </c>
      <c r="E540" s="78" t="s">
        <v>16534</v>
      </c>
      <c r="F540" s="78" t="s">
        <v>14712</v>
      </c>
      <c r="G540" s="78" t="s">
        <v>14796</v>
      </c>
      <c r="H540" s="78">
        <v>5000</v>
      </c>
      <c r="I540" s="77"/>
    </row>
    <row r="541">
      <c r="A541" s="78" t="s">
        <v>16535</v>
      </c>
      <c r="B541" s="78" t="s">
        <v>16536</v>
      </c>
      <c r="C541" s="78" t="s">
        <v>16537</v>
      </c>
      <c r="D541" s="78" t="s">
        <v>14648</v>
      </c>
      <c r="E541" s="78" t="s">
        <v>14994</v>
      </c>
      <c r="F541" s="78" t="s">
        <v>14712</v>
      </c>
      <c r="G541" s="78" t="s">
        <v>14694</v>
      </c>
      <c r="H541" s="78">
        <v>3000</v>
      </c>
      <c r="I541" s="77"/>
    </row>
    <row r="542">
      <c r="A542" s="78" t="s">
        <v>16538</v>
      </c>
      <c r="B542" s="78" t="s">
        <v>16539</v>
      </c>
      <c r="C542" s="78" t="s">
        <v>16540</v>
      </c>
      <c r="D542" s="78" t="s">
        <v>14648</v>
      </c>
      <c r="E542" s="78" t="s">
        <v>15683</v>
      </c>
      <c r="F542" s="78" t="s">
        <v>14903</v>
      </c>
      <c r="G542" s="78" t="s">
        <v>14734</v>
      </c>
      <c r="H542" s="78">
        <v>1000</v>
      </c>
      <c r="I542" s="77"/>
    </row>
    <row r="543">
      <c r="A543" s="78" t="s">
        <v>16541</v>
      </c>
      <c r="B543" s="78" t="s">
        <v>16542</v>
      </c>
      <c r="C543" s="78" t="s">
        <v>16543</v>
      </c>
      <c r="D543" s="78" t="s">
        <v>14648</v>
      </c>
      <c r="E543" s="78" t="s">
        <v>14832</v>
      </c>
      <c r="F543" s="78" t="s">
        <v>14859</v>
      </c>
      <c r="G543" s="78" t="s">
        <v>14834</v>
      </c>
      <c r="H543" s="78">
        <v>5000</v>
      </c>
      <c r="I543" s="77"/>
    </row>
    <row r="544">
      <c r="A544" s="78" t="s">
        <v>16544</v>
      </c>
      <c r="B544" s="78" t="s">
        <v>16545</v>
      </c>
      <c r="C544" s="78" t="s">
        <v>16546</v>
      </c>
      <c r="D544" s="78" t="s">
        <v>14648</v>
      </c>
      <c r="E544" s="78" t="s">
        <v>16547</v>
      </c>
      <c r="F544" s="78" t="s">
        <v>14989</v>
      </c>
      <c r="G544" s="78" t="s">
        <v>14990</v>
      </c>
      <c r="H544" s="78">
        <v>8000</v>
      </c>
      <c r="I544" s="77"/>
    </row>
    <row r="545">
      <c r="A545" s="78" t="s">
        <v>16548</v>
      </c>
      <c r="B545" s="78" t="s">
        <v>16549</v>
      </c>
      <c r="C545" s="78" t="s">
        <v>16550</v>
      </c>
      <c r="D545" s="78" t="s">
        <v>14648</v>
      </c>
      <c r="E545" s="78" t="s">
        <v>15623</v>
      </c>
      <c r="F545" s="78" t="s">
        <v>15624</v>
      </c>
      <c r="G545" s="78" t="s">
        <v>14772</v>
      </c>
      <c r="H545" s="78">
        <v>3000</v>
      </c>
      <c r="I545" s="77"/>
    </row>
    <row r="546">
      <c r="A546" s="78" t="s">
        <v>16551</v>
      </c>
      <c r="B546" s="78" t="s">
        <v>16552</v>
      </c>
      <c r="C546" s="78" t="s">
        <v>16553</v>
      </c>
      <c r="D546" s="78" t="s">
        <v>14648</v>
      </c>
      <c r="E546" s="78" t="s">
        <v>15060</v>
      </c>
      <c r="F546" s="78" t="s">
        <v>15061</v>
      </c>
      <c r="G546" s="78" t="s">
        <v>14651</v>
      </c>
      <c r="H546" s="78">
        <v>2000</v>
      </c>
      <c r="I546" s="77"/>
    </row>
    <row r="547">
      <c r="A547" s="78" t="s">
        <v>16554</v>
      </c>
      <c r="B547" s="78" t="s">
        <v>16555</v>
      </c>
      <c r="C547" s="78" t="s">
        <v>16556</v>
      </c>
      <c r="D547" s="78" t="s">
        <v>14648</v>
      </c>
      <c r="E547" s="78" t="s">
        <v>15946</v>
      </c>
      <c r="F547" s="78" t="s">
        <v>14938</v>
      </c>
      <c r="G547" s="78" t="s">
        <v>14923</v>
      </c>
      <c r="H547" s="78">
        <v>6000</v>
      </c>
      <c r="I547" s="77"/>
    </row>
    <row r="548">
      <c r="A548" s="78" t="s">
        <v>16557</v>
      </c>
      <c r="B548" s="78" t="s">
        <v>16558</v>
      </c>
      <c r="C548" s="78" t="s">
        <v>16559</v>
      </c>
      <c r="D548" s="78" t="s">
        <v>14648</v>
      </c>
      <c r="E548" s="78" t="s">
        <v>14884</v>
      </c>
      <c r="F548" s="78" t="s">
        <v>15691</v>
      </c>
      <c r="G548" s="78" t="s">
        <v>14931</v>
      </c>
      <c r="H548" s="78">
        <v>5000</v>
      </c>
      <c r="I548" s="77"/>
    </row>
    <row r="549">
      <c r="A549" s="78" t="s">
        <v>16560</v>
      </c>
      <c r="B549" s="78" t="s">
        <v>16561</v>
      </c>
      <c r="C549" s="78" t="s">
        <v>16562</v>
      </c>
      <c r="D549" s="78" t="s">
        <v>14648</v>
      </c>
      <c r="E549" s="78" t="s">
        <v>14790</v>
      </c>
      <c r="F549" s="78" t="s">
        <v>14903</v>
      </c>
      <c r="G549" s="78" t="s">
        <v>14734</v>
      </c>
      <c r="H549" s="78">
        <v>10000</v>
      </c>
      <c r="I549" s="77"/>
    </row>
    <row r="550">
      <c r="A550" s="78" t="s">
        <v>16563</v>
      </c>
      <c r="B550" s="78" t="s">
        <v>16564</v>
      </c>
      <c r="C550" s="78" t="s">
        <v>16565</v>
      </c>
      <c r="D550" s="78" t="s">
        <v>14648</v>
      </c>
      <c r="E550" s="78" t="s">
        <v>16099</v>
      </c>
      <c r="F550" s="78" t="s">
        <v>14922</v>
      </c>
      <c r="G550" s="78" t="s">
        <v>14923</v>
      </c>
      <c r="H550" s="78">
        <v>3000</v>
      </c>
      <c r="I550" s="77"/>
    </row>
    <row r="551">
      <c r="A551" s="78" t="s">
        <v>16566</v>
      </c>
      <c r="B551" s="78" t="s">
        <v>16567</v>
      </c>
      <c r="C551" s="78" t="s">
        <v>16568</v>
      </c>
      <c r="D551" s="78" t="s">
        <v>14648</v>
      </c>
      <c r="E551" s="78" t="s">
        <v>15202</v>
      </c>
      <c r="F551" s="78" t="s">
        <v>15218</v>
      </c>
      <c r="G551" s="78" t="s">
        <v>15198</v>
      </c>
      <c r="H551" s="78">
        <v>6000</v>
      </c>
      <c r="I551" s="77"/>
    </row>
    <row r="552">
      <c r="A552" s="78" t="s">
        <v>16569</v>
      </c>
      <c r="B552" s="78" t="s">
        <v>16570</v>
      </c>
      <c r="C552" s="78" t="s">
        <v>16571</v>
      </c>
      <c r="D552" s="78" t="s">
        <v>14648</v>
      </c>
      <c r="E552" s="78" t="s">
        <v>16516</v>
      </c>
      <c r="F552" s="78" t="s">
        <v>16035</v>
      </c>
      <c r="G552" s="78" t="s">
        <v>14834</v>
      </c>
      <c r="H552" s="78">
        <v>3400</v>
      </c>
      <c r="I552" s="77"/>
    </row>
    <row r="553">
      <c r="A553" s="78" t="s">
        <v>16572</v>
      </c>
      <c r="B553" s="78" t="s">
        <v>16573</v>
      </c>
      <c r="C553" s="78" t="s">
        <v>16574</v>
      </c>
      <c r="D553" s="78" t="s">
        <v>14648</v>
      </c>
      <c r="E553" s="78" t="s">
        <v>14790</v>
      </c>
      <c r="F553" s="78" t="s">
        <v>14867</v>
      </c>
      <c r="G553" s="78" t="s">
        <v>14931</v>
      </c>
      <c r="H553" s="78">
        <v>10000</v>
      </c>
      <c r="I553" s="77"/>
    </row>
    <row r="554">
      <c r="A554" s="78" t="s">
        <v>16575</v>
      </c>
      <c r="B554" s="78" t="s">
        <v>16576</v>
      </c>
      <c r="C554" s="78" t="s">
        <v>16577</v>
      </c>
      <c r="D554" s="78" t="s">
        <v>14648</v>
      </c>
      <c r="E554" s="78" t="s">
        <v>15089</v>
      </c>
      <c r="F554" s="78" t="s">
        <v>15090</v>
      </c>
      <c r="G554" s="78" t="s">
        <v>14782</v>
      </c>
      <c r="H554" s="78">
        <v>4000</v>
      </c>
      <c r="I554" s="77"/>
    </row>
    <row r="555">
      <c r="A555" s="78" t="s">
        <v>16578</v>
      </c>
      <c r="B555" s="78" t="s">
        <v>16579</v>
      </c>
      <c r="C555" s="78" t="s">
        <v>16580</v>
      </c>
      <c r="D555" s="78" t="s">
        <v>14648</v>
      </c>
      <c r="E555" s="78" t="s">
        <v>15946</v>
      </c>
      <c r="F555" s="78" t="s">
        <v>15917</v>
      </c>
      <c r="G555" s="78" t="s">
        <v>14651</v>
      </c>
      <c r="H555" s="78">
        <v>5000</v>
      </c>
      <c r="I555" s="77"/>
    </row>
    <row r="556">
      <c r="A556" s="78" t="s">
        <v>16581</v>
      </c>
      <c r="B556" s="78" t="s">
        <v>16582</v>
      </c>
      <c r="C556" s="78" t="s">
        <v>16583</v>
      </c>
      <c r="D556" s="78" t="s">
        <v>14648</v>
      </c>
      <c r="E556" s="78" t="s">
        <v>15038</v>
      </c>
      <c r="F556" s="78" t="s">
        <v>15039</v>
      </c>
      <c r="G556" s="78" t="s">
        <v>14651</v>
      </c>
      <c r="H556" s="78">
        <v>3000</v>
      </c>
      <c r="I556" s="77"/>
    </row>
    <row r="557">
      <c r="A557" s="78" t="s">
        <v>16584</v>
      </c>
      <c r="B557" s="78" t="s">
        <v>16585</v>
      </c>
      <c r="C557" s="78" t="s">
        <v>16586</v>
      </c>
      <c r="D557" s="78" t="s">
        <v>14648</v>
      </c>
      <c r="E557" s="78" t="s">
        <v>15683</v>
      </c>
      <c r="F557" s="78" t="s">
        <v>14791</v>
      </c>
      <c r="G557" s="78" t="s">
        <v>14734</v>
      </c>
      <c r="H557" s="78">
        <v>1000</v>
      </c>
      <c r="I557" s="77"/>
      <c r="J557" s="77"/>
    </row>
    <row r="558">
      <c r="A558" s="78" t="s">
        <v>16587</v>
      </c>
      <c r="B558" s="78" t="s">
        <v>16588</v>
      </c>
      <c r="C558" s="78" t="s">
        <v>16589</v>
      </c>
      <c r="D558" s="78" t="s">
        <v>14648</v>
      </c>
      <c r="E558" s="78" t="s">
        <v>16590</v>
      </c>
      <c r="F558" s="78" t="s">
        <v>14771</v>
      </c>
      <c r="G558" s="78" t="s">
        <v>14772</v>
      </c>
      <c r="H558" s="78">
        <v>2000</v>
      </c>
      <c r="I558" s="77"/>
    </row>
    <row r="559">
      <c r="A559" s="78" t="s">
        <v>16591</v>
      </c>
      <c r="B559" s="78" t="s">
        <v>16592</v>
      </c>
      <c r="C559" s="78" t="s">
        <v>16593</v>
      </c>
      <c r="D559" s="78" t="s">
        <v>14648</v>
      </c>
      <c r="E559" s="78" t="s">
        <v>14914</v>
      </c>
      <c r="F559" s="78" t="s">
        <v>16345</v>
      </c>
      <c r="G559" s="78" t="s">
        <v>15129</v>
      </c>
      <c r="H559" s="78">
        <v>5000</v>
      </c>
      <c r="I559" s="77"/>
    </row>
    <row r="560">
      <c r="A560" s="78" t="s">
        <v>16594</v>
      </c>
      <c r="B560" s="78" t="s">
        <v>16595</v>
      </c>
      <c r="C560" s="78" t="s">
        <v>16596</v>
      </c>
      <c r="D560" s="78" t="s">
        <v>14648</v>
      </c>
      <c r="E560" s="78" t="s">
        <v>16469</v>
      </c>
      <c r="F560" s="78" t="s">
        <v>15081</v>
      </c>
      <c r="G560" s="78" t="s">
        <v>14651</v>
      </c>
      <c r="H560" s="78">
        <v>3000</v>
      </c>
      <c r="I560" s="77"/>
    </row>
    <row r="561">
      <c r="A561" s="78" t="s">
        <v>16597</v>
      </c>
      <c r="B561" s="78" t="s">
        <v>16598</v>
      </c>
      <c r="C561" s="78" t="s">
        <v>16599</v>
      </c>
      <c r="D561" s="78" t="s">
        <v>14648</v>
      </c>
      <c r="E561" s="78" t="s">
        <v>15555</v>
      </c>
      <c r="F561" s="78" t="s">
        <v>15551</v>
      </c>
      <c r="G561" s="78" t="s">
        <v>14651</v>
      </c>
      <c r="H561" s="78">
        <v>1200</v>
      </c>
      <c r="I561" s="77"/>
    </row>
    <row r="562">
      <c r="A562" s="78" t="s">
        <v>16600</v>
      </c>
      <c r="B562" s="78" t="s">
        <v>16601</v>
      </c>
      <c r="C562" s="78" t="s">
        <v>16602</v>
      </c>
      <c r="D562" s="78" t="s">
        <v>14648</v>
      </c>
      <c r="E562" s="78" t="s">
        <v>14832</v>
      </c>
      <c r="F562" s="78" t="s">
        <v>14833</v>
      </c>
      <c r="G562" s="78" t="s">
        <v>14834</v>
      </c>
      <c r="H562" s="78">
        <v>5000</v>
      </c>
      <c r="I562" s="77"/>
    </row>
    <row r="563">
      <c r="A563" s="78" t="s">
        <v>16603</v>
      </c>
      <c r="B563" s="78" t="s">
        <v>16604</v>
      </c>
      <c r="C563" s="78" t="s">
        <v>16605</v>
      </c>
      <c r="D563" s="78" t="s">
        <v>14648</v>
      </c>
      <c r="E563" s="78" t="s">
        <v>15853</v>
      </c>
      <c r="F563" s="78" t="s">
        <v>14962</v>
      </c>
      <c r="G563" s="78" t="s">
        <v>14963</v>
      </c>
      <c r="H563" s="78">
        <v>2000</v>
      </c>
      <c r="I563" s="77"/>
    </row>
    <row r="564">
      <c r="A564" s="78" t="s">
        <v>16606</v>
      </c>
      <c r="B564" s="78" t="s">
        <v>16607</v>
      </c>
      <c r="C564" s="78" t="s">
        <v>16608</v>
      </c>
      <c r="D564" s="78" t="s">
        <v>14648</v>
      </c>
      <c r="E564" s="78" t="s">
        <v>15016</v>
      </c>
      <c r="F564" s="78" t="s">
        <v>15017</v>
      </c>
      <c r="G564" s="78" t="s">
        <v>14651</v>
      </c>
      <c r="H564" s="78">
        <v>3000</v>
      </c>
      <c r="I564" s="77"/>
    </row>
    <row r="565">
      <c r="A565" s="78" t="s">
        <v>16609</v>
      </c>
      <c r="B565" s="78" t="s">
        <v>16610</v>
      </c>
      <c r="C565" s="78" t="s">
        <v>16611</v>
      </c>
      <c r="D565" s="78" t="s">
        <v>14648</v>
      </c>
      <c r="E565" s="78" t="s">
        <v>14803</v>
      </c>
      <c r="F565" s="78" t="s">
        <v>16056</v>
      </c>
      <c r="G565" s="78" t="s">
        <v>14772</v>
      </c>
      <c r="H565" s="78">
        <v>3000</v>
      </c>
      <c r="I565" s="77"/>
      <c r="J565" s="77"/>
    </row>
    <row r="566">
      <c r="A566" s="78" t="s">
        <v>16612</v>
      </c>
      <c r="B566" s="78" t="s">
        <v>16613</v>
      </c>
      <c r="C566" s="78" t="s">
        <v>16614</v>
      </c>
      <c r="D566" s="78" t="s">
        <v>14648</v>
      </c>
      <c r="E566" s="78" t="s">
        <v>14843</v>
      </c>
      <c r="F566" s="78" t="s">
        <v>14859</v>
      </c>
      <c r="G566" s="78" t="s">
        <v>14834</v>
      </c>
      <c r="H566" s="78">
        <v>3400</v>
      </c>
      <c r="I566" s="77"/>
      <c r="J566" s="77"/>
    </row>
    <row r="567">
      <c r="A567" s="78" t="s">
        <v>16615</v>
      </c>
      <c r="B567" s="78" t="s">
        <v>16616</v>
      </c>
      <c r="C567" s="78" t="s">
        <v>16617</v>
      </c>
      <c r="D567" s="78" t="s">
        <v>14648</v>
      </c>
      <c r="E567" s="78" t="s">
        <v>15253</v>
      </c>
      <c r="F567" s="78" t="s">
        <v>14693</v>
      </c>
      <c r="G567" s="78" t="s">
        <v>14694</v>
      </c>
      <c r="H567" s="78">
        <v>3000</v>
      </c>
      <c r="I567" s="77"/>
    </row>
    <row r="568">
      <c r="A568" s="78" t="s">
        <v>16618</v>
      </c>
      <c r="B568" s="78" t="s">
        <v>16619</v>
      </c>
      <c r="C568" s="78" t="s">
        <v>16620</v>
      </c>
      <c r="D568" s="78" t="s">
        <v>14648</v>
      </c>
      <c r="E568" s="78" t="s">
        <v>16469</v>
      </c>
      <c r="F568" s="78" t="s">
        <v>15081</v>
      </c>
      <c r="G568" s="78" t="s">
        <v>14651</v>
      </c>
      <c r="H568" s="78">
        <v>3000</v>
      </c>
      <c r="I568" s="77"/>
    </row>
    <row r="569">
      <c r="A569" s="78" t="s">
        <v>16621</v>
      </c>
      <c r="B569" s="78" t="s">
        <v>16622</v>
      </c>
      <c r="C569" s="78" t="s">
        <v>16623</v>
      </c>
      <c r="D569" s="78" t="s">
        <v>14648</v>
      </c>
      <c r="E569" s="78" t="s">
        <v>14790</v>
      </c>
      <c r="F569" s="78" t="s">
        <v>14867</v>
      </c>
      <c r="G569" s="78" t="s">
        <v>14931</v>
      </c>
      <c r="H569" s="78">
        <v>10000</v>
      </c>
      <c r="I569" s="77"/>
    </row>
    <row r="570">
      <c r="A570" s="78" t="s">
        <v>16624</v>
      </c>
      <c r="B570" s="78" t="s">
        <v>16625</v>
      </c>
      <c r="C570" s="78" t="s">
        <v>16626</v>
      </c>
      <c r="D570" s="78" t="s">
        <v>14648</v>
      </c>
      <c r="E570" s="78" t="s">
        <v>15555</v>
      </c>
      <c r="F570" s="78" t="s">
        <v>15551</v>
      </c>
      <c r="G570" s="78" t="s">
        <v>14651</v>
      </c>
      <c r="H570" s="78">
        <v>1200</v>
      </c>
      <c r="I570" s="77"/>
    </row>
    <row r="571">
      <c r="A571" s="78" t="s">
        <v>16627</v>
      </c>
      <c r="B571" s="78" t="s">
        <v>16628</v>
      </c>
      <c r="C571" s="78" t="s">
        <v>16629</v>
      </c>
      <c r="D571" s="78" t="s">
        <v>14648</v>
      </c>
      <c r="E571" s="78" t="s">
        <v>14884</v>
      </c>
      <c r="F571" s="78" t="s">
        <v>15995</v>
      </c>
      <c r="G571" s="78" t="s">
        <v>14931</v>
      </c>
      <c r="H571" s="78">
        <v>5000</v>
      </c>
      <c r="I571" s="77"/>
    </row>
    <row r="572">
      <c r="A572" s="78" t="s">
        <v>16630</v>
      </c>
      <c r="B572" s="78" t="s">
        <v>16631</v>
      </c>
      <c r="C572" s="78" t="s">
        <v>16632</v>
      </c>
      <c r="D572" s="78" t="s">
        <v>14648</v>
      </c>
      <c r="E572" s="78" t="s">
        <v>14884</v>
      </c>
      <c r="F572" s="78" t="s">
        <v>15619</v>
      </c>
      <c r="G572" s="78" t="s">
        <v>14931</v>
      </c>
      <c r="H572" s="78">
        <v>5000</v>
      </c>
      <c r="I572" s="77"/>
    </row>
    <row r="573">
      <c r="A573" s="78" t="s">
        <v>16633</v>
      </c>
      <c r="B573" s="78" t="s">
        <v>16634</v>
      </c>
      <c r="C573" s="78" t="s">
        <v>16635</v>
      </c>
      <c r="D573" s="78" t="s">
        <v>14648</v>
      </c>
      <c r="E573" s="78" t="s">
        <v>15683</v>
      </c>
      <c r="F573" s="78" t="s">
        <v>15839</v>
      </c>
      <c r="G573" s="78" t="s">
        <v>14734</v>
      </c>
      <c r="H573" s="78">
        <v>1000</v>
      </c>
      <c r="I573" s="77"/>
    </row>
    <row r="574">
      <c r="A574" s="78" t="s">
        <v>16636</v>
      </c>
      <c r="B574" s="78" t="s">
        <v>16637</v>
      </c>
      <c r="C574" s="78" t="s">
        <v>16638</v>
      </c>
      <c r="D574" s="78" t="s">
        <v>14648</v>
      </c>
      <c r="E574" s="78" t="s">
        <v>16228</v>
      </c>
      <c r="F574" s="78" t="s">
        <v>14712</v>
      </c>
      <c r="G574" s="78" t="s">
        <v>14990</v>
      </c>
      <c r="H574" s="78">
        <v>3000</v>
      </c>
      <c r="I574" s="77"/>
    </row>
    <row r="575">
      <c r="A575" s="78" t="s">
        <v>16639</v>
      </c>
      <c r="B575" s="78" t="s">
        <v>16640</v>
      </c>
      <c r="C575" s="78" t="s">
        <v>16641</v>
      </c>
      <c r="D575" s="78" t="s">
        <v>14648</v>
      </c>
      <c r="E575" s="78" t="s">
        <v>15555</v>
      </c>
      <c r="F575" s="78" t="s">
        <v>15551</v>
      </c>
      <c r="G575" s="78" t="s">
        <v>14651</v>
      </c>
      <c r="H575" s="78">
        <v>1200</v>
      </c>
      <c r="I575" s="77"/>
    </row>
    <row r="576">
      <c r="A576" s="78" t="s">
        <v>16642</v>
      </c>
      <c r="B576" s="78" t="s">
        <v>16643</v>
      </c>
      <c r="C576" s="78" t="s">
        <v>16644</v>
      </c>
      <c r="D576" s="78" t="s">
        <v>14648</v>
      </c>
      <c r="E576" s="78" t="s">
        <v>15555</v>
      </c>
      <c r="F576" s="78" t="s">
        <v>15551</v>
      </c>
      <c r="G576" s="78" t="s">
        <v>14651</v>
      </c>
      <c r="H576" s="78">
        <v>1200</v>
      </c>
      <c r="I576" s="77"/>
    </row>
    <row r="577">
      <c r="A577" s="78" t="s">
        <v>16645</v>
      </c>
      <c r="B577" s="78" t="s">
        <v>16646</v>
      </c>
      <c r="C577" s="78" t="s">
        <v>16647</v>
      </c>
      <c r="D577" s="78" t="s">
        <v>14648</v>
      </c>
      <c r="E577" s="78" t="s">
        <v>15038</v>
      </c>
      <c r="F577" s="78" t="s">
        <v>15039</v>
      </c>
      <c r="G577" s="78" t="s">
        <v>14651</v>
      </c>
      <c r="H577" s="78">
        <v>3000</v>
      </c>
      <c r="I577" s="77"/>
    </row>
    <row r="578">
      <c r="A578" s="78" t="s">
        <v>16648</v>
      </c>
      <c r="B578" s="78" t="s">
        <v>16649</v>
      </c>
      <c r="C578" s="78" t="s">
        <v>16650</v>
      </c>
      <c r="D578" s="78" t="s">
        <v>16651</v>
      </c>
      <c r="E578" s="78" t="s">
        <v>15946</v>
      </c>
      <c r="F578" s="78" t="s">
        <v>16345</v>
      </c>
      <c r="G578" s="78" t="s">
        <v>15129</v>
      </c>
      <c r="H578" s="78">
        <v>5000</v>
      </c>
      <c r="I578" s="77"/>
      <c r="J578" s="77"/>
    </row>
    <row r="579">
      <c r="A579" s="78" t="s">
        <v>16652</v>
      </c>
      <c r="B579" s="78" t="s">
        <v>16653</v>
      </c>
      <c r="C579" s="78" t="s">
        <v>16654</v>
      </c>
      <c r="D579" s="78" t="s">
        <v>14648</v>
      </c>
      <c r="E579" s="78" t="s">
        <v>15853</v>
      </c>
      <c r="F579" s="78" t="s">
        <v>14977</v>
      </c>
      <c r="G579" s="78" t="s">
        <v>14963</v>
      </c>
      <c r="H579" s="78">
        <v>2000</v>
      </c>
      <c r="I579" s="77"/>
    </row>
    <row r="580">
      <c r="A580" s="78" t="s">
        <v>16655</v>
      </c>
      <c r="B580" s="78" t="s">
        <v>16656</v>
      </c>
      <c r="C580" s="78" t="s">
        <v>16657</v>
      </c>
      <c r="D580" s="78" t="s">
        <v>14648</v>
      </c>
      <c r="E580" s="78" t="s">
        <v>14884</v>
      </c>
      <c r="F580" s="78" t="s">
        <v>14894</v>
      </c>
      <c r="G580" s="78" t="s">
        <v>14734</v>
      </c>
      <c r="H580" s="78">
        <v>5000</v>
      </c>
      <c r="I580" s="77"/>
    </row>
    <row r="581">
      <c r="A581" s="78" t="s">
        <v>16658</v>
      </c>
      <c r="B581" s="78" t="s">
        <v>16659</v>
      </c>
      <c r="C581" s="78" t="s">
        <v>16660</v>
      </c>
      <c r="D581" s="78" t="s">
        <v>14648</v>
      </c>
      <c r="E581" s="78" t="s">
        <v>15853</v>
      </c>
      <c r="F581" s="78" t="s">
        <v>15100</v>
      </c>
      <c r="G581" s="78" t="s">
        <v>14963</v>
      </c>
      <c r="H581" s="78">
        <v>4000</v>
      </c>
      <c r="I581" s="77"/>
    </row>
    <row r="582">
      <c r="A582" s="78" t="s">
        <v>16661</v>
      </c>
      <c r="B582" s="78" t="s">
        <v>16662</v>
      </c>
      <c r="C582" s="78" t="s">
        <v>16663</v>
      </c>
      <c r="D582" s="78" t="s">
        <v>14648</v>
      </c>
      <c r="E582" s="78" t="s">
        <v>15683</v>
      </c>
      <c r="F582" s="78" t="s">
        <v>14867</v>
      </c>
      <c r="G582" s="78" t="s">
        <v>14931</v>
      </c>
      <c r="H582" s="78">
        <v>1000</v>
      </c>
      <c r="I582" s="77"/>
    </row>
    <row r="583">
      <c r="A583" s="78" t="s">
        <v>16664</v>
      </c>
      <c r="B583" s="78" t="s">
        <v>16665</v>
      </c>
      <c r="C583" s="78" t="s">
        <v>16666</v>
      </c>
      <c r="D583" s="78" t="s">
        <v>14648</v>
      </c>
      <c r="E583" s="78" t="s">
        <v>16099</v>
      </c>
      <c r="F583" s="78" t="s">
        <v>14922</v>
      </c>
      <c r="G583" s="78" t="s">
        <v>14923</v>
      </c>
      <c r="H583" s="78">
        <v>3000</v>
      </c>
      <c r="I583" s="77"/>
    </row>
    <row r="584">
      <c r="A584" s="78" t="s">
        <v>16667</v>
      </c>
      <c r="B584" s="78" t="s">
        <v>16668</v>
      </c>
      <c r="C584" s="78" t="s">
        <v>16669</v>
      </c>
      <c r="D584" s="78" t="s">
        <v>14648</v>
      </c>
      <c r="E584" s="78" t="s">
        <v>15853</v>
      </c>
      <c r="F584" s="78" t="s">
        <v>14977</v>
      </c>
      <c r="G584" s="78" t="s">
        <v>14963</v>
      </c>
      <c r="H584" s="78">
        <v>2000</v>
      </c>
      <c r="I584" s="77"/>
    </row>
    <row r="585">
      <c r="A585" s="78" t="s">
        <v>16670</v>
      </c>
      <c r="B585" s="78" t="s">
        <v>16671</v>
      </c>
      <c r="C585" s="78" t="s">
        <v>16672</v>
      </c>
      <c r="D585" s="78" t="s">
        <v>14648</v>
      </c>
      <c r="E585" s="78" t="s">
        <v>14832</v>
      </c>
      <c r="F585" s="78" t="s">
        <v>16035</v>
      </c>
      <c r="G585" s="78" t="s">
        <v>14834</v>
      </c>
      <c r="H585" s="78">
        <v>5000</v>
      </c>
      <c r="I585" s="77"/>
    </row>
    <row r="586">
      <c r="A586" s="78" t="s">
        <v>16673</v>
      </c>
      <c r="B586" s="78" t="s">
        <v>16674</v>
      </c>
      <c r="C586" s="78" t="s">
        <v>16675</v>
      </c>
      <c r="D586" s="78" t="s">
        <v>14648</v>
      </c>
      <c r="E586" s="78" t="s">
        <v>15683</v>
      </c>
      <c r="F586" s="78" t="s">
        <v>14867</v>
      </c>
      <c r="G586" s="78" t="s">
        <v>14931</v>
      </c>
      <c r="H586" s="78">
        <v>1000</v>
      </c>
      <c r="I586" s="77"/>
    </row>
    <row r="587">
      <c r="A587" s="78" t="s">
        <v>16676</v>
      </c>
      <c r="B587" s="78" t="s">
        <v>16677</v>
      </c>
      <c r="C587" s="78" t="s">
        <v>16678</v>
      </c>
      <c r="D587" s="78" t="s">
        <v>14648</v>
      </c>
      <c r="E587" s="78" t="s">
        <v>15946</v>
      </c>
      <c r="F587" s="78" t="s">
        <v>14962</v>
      </c>
      <c r="G587" s="78" t="s">
        <v>14963</v>
      </c>
      <c r="H587" s="78">
        <v>5000</v>
      </c>
      <c r="I587" s="77"/>
    </row>
    <row r="588">
      <c r="A588" s="78" t="s">
        <v>16679</v>
      </c>
      <c r="B588" s="78" t="s">
        <v>16680</v>
      </c>
      <c r="C588" s="78" t="s">
        <v>16681</v>
      </c>
      <c r="D588" s="78" t="s">
        <v>14648</v>
      </c>
      <c r="E588" s="78" t="s">
        <v>14832</v>
      </c>
      <c r="F588" s="78" t="s">
        <v>14833</v>
      </c>
      <c r="G588" s="78" t="s">
        <v>14834</v>
      </c>
      <c r="H588" s="78">
        <v>5000</v>
      </c>
      <c r="I588" s="77"/>
    </row>
    <row r="589">
      <c r="A589" s="78" t="s">
        <v>16682</v>
      </c>
      <c r="B589" s="78" t="s">
        <v>16683</v>
      </c>
      <c r="C589" s="78" t="s">
        <v>16684</v>
      </c>
      <c r="D589" s="78" t="s">
        <v>14648</v>
      </c>
      <c r="E589" s="78" t="s">
        <v>16048</v>
      </c>
      <c r="F589" s="78" t="s">
        <v>15608</v>
      </c>
      <c r="G589" s="78" t="s">
        <v>14990</v>
      </c>
      <c r="H589" s="78">
        <v>2800</v>
      </c>
      <c r="I589" s="77"/>
    </row>
    <row r="590">
      <c r="A590" s="78" t="s">
        <v>16685</v>
      </c>
      <c r="B590" s="78" t="s">
        <v>16686</v>
      </c>
      <c r="C590" s="78" t="s">
        <v>16687</v>
      </c>
      <c r="D590" s="78" t="s">
        <v>14648</v>
      </c>
      <c r="E590" s="78" t="s">
        <v>15946</v>
      </c>
      <c r="F590" s="78" t="s">
        <v>15081</v>
      </c>
      <c r="G590" s="78" t="s">
        <v>14651</v>
      </c>
      <c r="H590" s="78">
        <v>5000</v>
      </c>
      <c r="I590" s="77"/>
    </row>
    <row r="591">
      <c r="A591" s="78" t="s">
        <v>16688</v>
      </c>
      <c r="B591" s="78" t="s">
        <v>16689</v>
      </c>
      <c r="C591" s="78" t="s">
        <v>16690</v>
      </c>
      <c r="D591" s="78" t="s">
        <v>14648</v>
      </c>
      <c r="E591" s="78" t="s">
        <v>16691</v>
      </c>
      <c r="F591" s="78" t="s">
        <v>14771</v>
      </c>
      <c r="G591" s="78" t="s">
        <v>14772</v>
      </c>
      <c r="H591" s="78">
        <v>2000</v>
      </c>
      <c r="I591" s="77"/>
    </row>
    <row r="592">
      <c r="A592" s="78" t="s">
        <v>16692</v>
      </c>
      <c r="B592" s="78" t="s">
        <v>16693</v>
      </c>
      <c r="C592" s="78" t="s">
        <v>16694</v>
      </c>
      <c r="D592" s="78" t="s">
        <v>14648</v>
      </c>
      <c r="E592" s="78" t="s">
        <v>16534</v>
      </c>
      <c r="F592" s="78" t="s">
        <v>14712</v>
      </c>
      <c r="G592" s="78" t="s">
        <v>14796</v>
      </c>
      <c r="H592" s="78">
        <v>5000</v>
      </c>
      <c r="I592" s="77"/>
    </row>
    <row r="593">
      <c r="A593" s="78" t="s">
        <v>16695</v>
      </c>
      <c r="B593" s="78" t="s">
        <v>16696</v>
      </c>
      <c r="C593" s="78" t="s">
        <v>16697</v>
      </c>
      <c r="D593" s="78" t="s">
        <v>14648</v>
      </c>
      <c r="E593" s="78" t="s">
        <v>15038</v>
      </c>
      <c r="F593" s="78" t="s">
        <v>15739</v>
      </c>
      <c r="G593" s="78" t="s">
        <v>15129</v>
      </c>
      <c r="H593" s="78">
        <v>3000</v>
      </c>
      <c r="I593" s="77"/>
    </row>
    <row r="594">
      <c r="A594" s="78" t="s">
        <v>16698</v>
      </c>
      <c r="B594" s="78" t="s">
        <v>16699</v>
      </c>
      <c r="C594" s="78" t="s">
        <v>16700</v>
      </c>
      <c r="D594" s="78" t="s">
        <v>14648</v>
      </c>
      <c r="E594" s="78" t="s">
        <v>15946</v>
      </c>
      <c r="F594" s="78" t="s">
        <v>15169</v>
      </c>
      <c r="G594" s="78" t="s">
        <v>14890</v>
      </c>
      <c r="H594" s="78">
        <v>6000</v>
      </c>
      <c r="I594" s="77"/>
    </row>
    <row r="595">
      <c r="A595" s="78" t="s">
        <v>16701</v>
      </c>
      <c r="B595" s="78" t="s">
        <v>16702</v>
      </c>
      <c r="C595" s="78" t="s">
        <v>16703</v>
      </c>
      <c r="D595" s="78" t="s">
        <v>14648</v>
      </c>
      <c r="E595" s="78" t="s">
        <v>15946</v>
      </c>
      <c r="F595" s="78" t="s">
        <v>15669</v>
      </c>
      <c r="G595" s="78" t="s">
        <v>14782</v>
      </c>
      <c r="H595" s="78">
        <v>5000</v>
      </c>
      <c r="I595" s="77"/>
    </row>
    <row r="596">
      <c r="A596" s="78" t="s">
        <v>16704</v>
      </c>
      <c r="B596" s="78" t="s">
        <v>16705</v>
      </c>
      <c r="C596" s="78" t="s">
        <v>16706</v>
      </c>
      <c r="D596" s="78" t="s">
        <v>14648</v>
      </c>
      <c r="E596" s="78" t="s">
        <v>14994</v>
      </c>
      <c r="F596" s="78" t="s">
        <v>15169</v>
      </c>
      <c r="G596" s="78" t="s">
        <v>14890</v>
      </c>
      <c r="H596" s="78">
        <v>3000</v>
      </c>
      <c r="I596" s="77"/>
    </row>
    <row r="597">
      <c r="A597" s="78" t="s">
        <v>16707</v>
      </c>
      <c r="B597" s="78" t="s">
        <v>16708</v>
      </c>
      <c r="C597" s="78" t="s">
        <v>16709</v>
      </c>
      <c r="D597" s="78" t="s">
        <v>14648</v>
      </c>
      <c r="E597" s="78" t="s">
        <v>15946</v>
      </c>
      <c r="F597" s="78" t="s">
        <v>14957</v>
      </c>
      <c r="G597" s="78" t="s">
        <v>14782</v>
      </c>
      <c r="H597" s="78">
        <v>5000</v>
      </c>
      <c r="I597" s="77"/>
    </row>
    <row r="598">
      <c r="A598" s="78" t="s">
        <v>16710</v>
      </c>
      <c r="B598" s="78" t="s">
        <v>16711</v>
      </c>
      <c r="C598" s="78" t="s">
        <v>16712</v>
      </c>
      <c r="D598" s="78" t="s">
        <v>14648</v>
      </c>
      <c r="E598" s="78" t="s">
        <v>14832</v>
      </c>
      <c r="F598" s="78" t="s">
        <v>16035</v>
      </c>
      <c r="G598" s="78" t="s">
        <v>14834</v>
      </c>
      <c r="H598" s="78">
        <v>5000</v>
      </c>
      <c r="I598" s="77"/>
    </row>
    <row r="599">
      <c r="A599" s="78" t="s">
        <v>16713</v>
      </c>
      <c r="B599" s="78" t="s">
        <v>16714</v>
      </c>
      <c r="C599" s="78" t="s">
        <v>16715</v>
      </c>
      <c r="D599" s="78" t="s">
        <v>14648</v>
      </c>
      <c r="E599" s="78" t="s">
        <v>16716</v>
      </c>
      <c r="F599" s="78" t="s">
        <v>15708</v>
      </c>
      <c r="G599" s="78" t="s">
        <v>14734</v>
      </c>
      <c r="H599" s="78">
        <v>5000</v>
      </c>
      <c r="I599" s="77"/>
    </row>
    <row r="600">
      <c r="A600" s="78" t="s">
        <v>16717</v>
      </c>
      <c r="B600" s="78" t="s">
        <v>16718</v>
      </c>
      <c r="C600" s="78" t="s">
        <v>16719</v>
      </c>
      <c r="D600" s="78" t="s">
        <v>14648</v>
      </c>
      <c r="E600" s="78" t="s">
        <v>15973</v>
      </c>
      <c r="F600" s="78" t="s">
        <v>15263</v>
      </c>
      <c r="G600" s="78" t="s">
        <v>15249</v>
      </c>
      <c r="H600" s="78">
        <v>5000</v>
      </c>
      <c r="I600" s="77"/>
    </row>
    <row r="601">
      <c r="A601" s="78" t="s">
        <v>16720</v>
      </c>
      <c r="B601" s="78" t="s">
        <v>16721</v>
      </c>
      <c r="C601" s="78" t="s">
        <v>16722</v>
      </c>
      <c r="D601" s="78" t="s">
        <v>16723</v>
      </c>
      <c r="E601" s="78" t="s">
        <v>14790</v>
      </c>
      <c r="F601" s="78" t="s">
        <v>15886</v>
      </c>
      <c r="G601" s="78" t="s">
        <v>14734</v>
      </c>
      <c r="H601" s="78">
        <v>10000</v>
      </c>
      <c r="I601" s="77"/>
    </row>
    <row r="602">
      <c r="A602" s="78" t="s">
        <v>16724</v>
      </c>
      <c r="B602" s="78" t="s">
        <v>16725</v>
      </c>
      <c r="C602" s="78" t="s">
        <v>16726</v>
      </c>
      <c r="D602" s="78" t="s">
        <v>14648</v>
      </c>
      <c r="E602" s="78" t="s">
        <v>16727</v>
      </c>
      <c r="F602" s="78" t="s">
        <v>14804</v>
      </c>
      <c r="G602" s="78" t="s">
        <v>14772</v>
      </c>
      <c r="H602" s="78">
        <v>3000</v>
      </c>
      <c r="I602" s="77"/>
    </row>
    <row r="603">
      <c r="A603" s="78" t="s">
        <v>16728</v>
      </c>
      <c r="B603" s="78" t="s">
        <v>16729</v>
      </c>
      <c r="C603" s="78" t="s">
        <v>16730</v>
      </c>
      <c r="D603" s="78" t="s">
        <v>14648</v>
      </c>
      <c r="E603" s="78" t="s">
        <v>15683</v>
      </c>
      <c r="F603" s="78" t="s">
        <v>14922</v>
      </c>
      <c r="G603" s="78" t="s">
        <v>14923</v>
      </c>
      <c r="H603" s="78">
        <v>1000</v>
      </c>
      <c r="I603" s="77"/>
    </row>
    <row r="604">
      <c r="A604" s="78" t="s">
        <v>16731</v>
      </c>
      <c r="B604" s="78" t="s">
        <v>16732</v>
      </c>
      <c r="C604" s="78" t="s">
        <v>16733</v>
      </c>
      <c r="D604" s="78" t="s">
        <v>14648</v>
      </c>
      <c r="E604" s="78" t="s">
        <v>14898</v>
      </c>
      <c r="F604" s="78" t="s">
        <v>14867</v>
      </c>
      <c r="G604" s="78" t="s">
        <v>14931</v>
      </c>
      <c r="H604" s="78">
        <v>2500</v>
      </c>
      <c r="I604" s="77"/>
    </row>
    <row r="605">
      <c r="A605" s="78" t="s">
        <v>16734</v>
      </c>
      <c r="B605" s="78" t="s">
        <v>16735</v>
      </c>
      <c r="C605" s="78" t="s">
        <v>16736</v>
      </c>
      <c r="D605" s="78" t="s">
        <v>16723</v>
      </c>
      <c r="E605" s="78" t="s">
        <v>14790</v>
      </c>
      <c r="F605" s="78" t="s">
        <v>15886</v>
      </c>
      <c r="G605" s="78" t="s">
        <v>14734</v>
      </c>
      <c r="H605" s="78">
        <v>10000</v>
      </c>
      <c r="I605" s="77"/>
    </row>
    <row r="606">
      <c r="A606" s="78" t="s">
        <v>16737</v>
      </c>
      <c r="B606" s="78" t="s">
        <v>16738</v>
      </c>
      <c r="C606" s="78" t="s">
        <v>16739</v>
      </c>
      <c r="D606" s="78" t="s">
        <v>14648</v>
      </c>
      <c r="E606" s="78" t="s">
        <v>14832</v>
      </c>
      <c r="F606" s="78" t="s">
        <v>15932</v>
      </c>
      <c r="G606" s="78" t="s">
        <v>14834</v>
      </c>
      <c r="H606" s="78">
        <v>5000</v>
      </c>
      <c r="I606" s="77"/>
    </row>
    <row r="607">
      <c r="A607" s="78" t="s">
        <v>16740</v>
      </c>
      <c r="B607" s="78" t="s">
        <v>16741</v>
      </c>
      <c r="C607" s="78" t="s">
        <v>16742</v>
      </c>
      <c r="D607" s="78" t="s">
        <v>14648</v>
      </c>
      <c r="E607" s="78" t="s">
        <v>15946</v>
      </c>
      <c r="F607" s="78" t="s">
        <v>14833</v>
      </c>
      <c r="G607" s="78" t="s">
        <v>14834</v>
      </c>
      <c r="H607" s="78">
        <v>5000</v>
      </c>
      <c r="I607" s="77"/>
    </row>
    <row r="608">
      <c r="A608" s="78" t="s">
        <v>16743</v>
      </c>
      <c r="B608" s="78" t="s">
        <v>16744</v>
      </c>
      <c r="C608" s="78" t="s">
        <v>16745</v>
      </c>
      <c r="D608" s="78" t="s">
        <v>14648</v>
      </c>
      <c r="E608" s="78" t="s">
        <v>15683</v>
      </c>
      <c r="F608" s="78" t="s">
        <v>14922</v>
      </c>
      <c r="G608" s="78" t="s">
        <v>14923</v>
      </c>
      <c r="H608" s="78">
        <v>1000</v>
      </c>
      <c r="I608" s="77"/>
    </row>
    <row r="609">
      <c r="A609" s="78" t="s">
        <v>16746</v>
      </c>
      <c r="B609" s="78" t="s">
        <v>16747</v>
      </c>
      <c r="C609" s="78" t="s">
        <v>16748</v>
      </c>
      <c r="D609" s="78" t="s">
        <v>14648</v>
      </c>
      <c r="E609" s="78" t="s">
        <v>15946</v>
      </c>
      <c r="F609" s="78" t="s">
        <v>15995</v>
      </c>
      <c r="G609" s="78" t="s">
        <v>14931</v>
      </c>
      <c r="H609" s="78">
        <v>6000</v>
      </c>
      <c r="I609" s="77"/>
    </row>
    <row r="610">
      <c r="A610" s="78" t="s">
        <v>16749</v>
      </c>
      <c r="B610" s="78" t="s">
        <v>16750</v>
      </c>
      <c r="C610" s="78" t="s">
        <v>16751</v>
      </c>
      <c r="D610" s="78" t="s">
        <v>14648</v>
      </c>
      <c r="E610" s="78" t="s">
        <v>15038</v>
      </c>
      <c r="F610" s="78" t="s">
        <v>15739</v>
      </c>
      <c r="G610" s="78" t="s">
        <v>15129</v>
      </c>
      <c r="H610" s="78">
        <v>3000</v>
      </c>
      <c r="I610" s="77"/>
    </row>
    <row r="611">
      <c r="A611" s="78" t="s">
        <v>16752</v>
      </c>
      <c r="B611" s="78" t="s">
        <v>16753</v>
      </c>
      <c r="C611" s="78" t="s">
        <v>16754</v>
      </c>
      <c r="D611" s="78" t="s">
        <v>14648</v>
      </c>
      <c r="E611" s="78" t="s">
        <v>14884</v>
      </c>
      <c r="F611" s="78" t="s">
        <v>15691</v>
      </c>
      <c r="G611" s="78" t="s">
        <v>14931</v>
      </c>
      <c r="H611" s="78">
        <v>5000</v>
      </c>
      <c r="I611" s="77"/>
      <c r="J611" s="77"/>
    </row>
    <row r="612">
      <c r="A612" s="78" t="s">
        <v>16755</v>
      </c>
      <c r="B612" s="78" t="s">
        <v>16756</v>
      </c>
      <c r="C612" s="78" t="s">
        <v>16757</v>
      </c>
      <c r="D612" s="78" t="s">
        <v>14648</v>
      </c>
      <c r="E612" s="78" t="s">
        <v>15089</v>
      </c>
      <c r="F612" s="78" t="s">
        <v>15090</v>
      </c>
      <c r="G612" s="78" t="s">
        <v>14782</v>
      </c>
      <c r="H612" s="78">
        <v>4000</v>
      </c>
      <c r="I612" s="77"/>
    </row>
    <row r="613">
      <c r="A613" s="78" t="s">
        <v>16758</v>
      </c>
      <c r="B613" s="78" t="s">
        <v>16759</v>
      </c>
      <c r="C613" s="78" t="s">
        <v>16760</v>
      </c>
      <c r="D613" s="78" t="s">
        <v>16723</v>
      </c>
      <c r="E613" s="78" t="s">
        <v>14790</v>
      </c>
      <c r="F613" s="78" t="s">
        <v>15839</v>
      </c>
      <c r="G613" s="78" t="s">
        <v>14734</v>
      </c>
      <c r="H613" s="78">
        <v>10000</v>
      </c>
      <c r="I613" s="77"/>
    </row>
    <row r="614">
      <c r="A614" s="78" t="s">
        <v>16761</v>
      </c>
      <c r="B614" s="78" t="s">
        <v>16762</v>
      </c>
      <c r="C614" s="78" t="s">
        <v>16763</v>
      </c>
      <c r="D614" s="78" t="s">
        <v>14648</v>
      </c>
      <c r="E614" s="78" t="s">
        <v>14961</v>
      </c>
      <c r="F614" s="78" t="s">
        <v>15110</v>
      </c>
      <c r="G614" s="78" t="s">
        <v>14782</v>
      </c>
      <c r="H614" s="78">
        <v>5000</v>
      </c>
      <c r="I614" s="77"/>
    </row>
    <row r="615">
      <c r="A615" s="78" t="s">
        <v>16764</v>
      </c>
      <c r="B615" s="78" t="s">
        <v>16765</v>
      </c>
      <c r="C615" s="78" t="s">
        <v>16766</v>
      </c>
      <c r="D615" s="78" t="s">
        <v>14648</v>
      </c>
      <c r="E615" s="78" t="s">
        <v>16516</v>
      </c>
      <c r="F615" s="78" t="s">
        <v>14855</v>
      </c>
      <c r="G615" s="78" t="s">
        <v>14834</v>
      </c>
      <c r="H615" s="78">
        <v>3400</v>
      </c>
      <c r="I615" s="77"/>
    </row>
    <row r="616">
      <c r="A616" s="78" t="s">
        <v>16767</v>
      </c>
      <c r="B616" s="78" t="s">
        <v>16768</v>
      </c>
      <c r="C616" s="78" t="s">
        <v>16769</v>
      </c>
      <c r="D616" s="78" t="s">
        <v>14648</v>
      </c>
      <c r="E616" s="78" t="s">
        <v>14832</v>
      </c>
      <c r="F616" s="78" t="s">
        <v>14833</v>
      </c>
      <c r="G616" s="78" t="s">
        <v>14834</v>
      </c>
      <c r="H616" s="78">
        <v>5000</v>
      </c>
      <c r="I616" s="77"/>
    </row>
    <row r="617">
      <c r="A617" s="78" t="s">
        <v>16770</v>
      </c>
      <c r="B617" s="78" t="s">
        <v>16771</v>
      </c>
      <c r="C617" s="78" t="s">
        <v>16772</v>
      </c>
      <c r="D617" s="78" t="s">
        <v>14648</v>
      </c>
      <c r="E617" s="78" t="s">
        <v>15683</v>
      </c>
      <c r="F617" s="78" t="s">
        <v>14867</v>
      </c>
      <c r="G617" s="78" t="s">
        <v>14931</v>
      </c>
      <c r="H617" s="78">
        <v>1000</v>
      </c>
      <c r="I617" s="77"/>
    </row>
    <row r="618">
      <c r="A618" s="78" t="s">
        <v>16773</v>
      </c>
      <c r="B618" s="78" t="s">
        <v>16774</v>
      </c>
      <c r="C618" s="78" t="s">
        <v>16775</v>
      </c>
      <c r="D618" s="78" t="s">
        <v>16651</v>
      </c>
      <c r="E618" s="78" t="s">
        <v>14790</v>
      </c>
      <c r="F618" s="78" t="s">
        <v>14867</v>
      </c>
      <c r="G618" s="78" t="s">
        <v>14931</v>
      </c>
      <c r="H618" s="78">
        <v>10000</v>
      </c>
      <c r="I618" s="77"/>
    </row>
    <row r="619">
      <c r="A619" s="78" t="s">
        <v>16776</v>
      </c>
      <c r="B619" s="78" t="s">
        <v>16777</v>
      </c>
      <c r="C619" s="78" t="s">
        <v>16778</v>
      </c>
      <c r="D619" s="78" t="s">
        <v>14648</v>
      </c>
      <c r="E619" s="78" t="s">
        <v>15006</v>
      </c>
      <c r="F619" s="78" t="s">
        <v>14989</v>
      </c>
      <c r="G619" s="78" t="s">
        <v>14990</v>
      </c>
      <c r="H619" s="78">
        <v>3400</v>
      </c>
      <c r="I619" s="77"/>
    </row>
    <row r="620">
      <c r="A620" s="78" t="s">
        <v>16779</v>
      </c>
      <c r="B620" s="78" t="s">
        <v>16780</v>
      </c>
      <c r="C620" s="78" t="s">
        <v>16781</v>
      </c>
      <c r="D620" s="78" t="s">
        <v>16651</v>
      </c>
      <c r="E620" s="78" t="s">
        <v>14790</v>
      </c>
      <c r="F620" s="78" t="s">
        <v>15788</v>
      </c>
      <c r="G620" s="78" t="s">
        <v>14734</v>
      </c>
      <c r="H620" s="78">
        <v>10000</v>
      </c>
      <c r="I620" s="77"/>
    </row>
    <row r="621">
      <c r="A621" s="78" t="s">
        <v>16782</v>
      </c>
      <c r="B621" s="78" t="s">
        <v>16783</v>
      </c>
      <c r="C621" s="78" t="s">
        <v>16784</v>
      </c>
      <c r="D621" s="78" t="s">
        <v>14648</v>
      </c>
      <c r="E621" s="78" t="s">
        <v>15038</v>
      </c>
      <c r="F621" s="78" t="s">
        <v>15739</v>
      </c>
      <c r="G621" s="78" t="s">
        <v>15129</v>
      </c>
      <c r="H621" s="78">
        <v>3000</v>
      </c>
      <c r="I621" s="77"/>
    </row>
    <row r="622">
      <c r="A622" s="78" t="s">
        <v>16785</v>
      </c>
      <c r="B622" s="78" t="s">
        <v>16786</v>
      </c>
      <c r="C622" s="78" t="s">
        <v>16787</v>
      </c>
      <c r="D622" s="78" t="s">
        <v>14648</v>
      </c>
      <c r="E622" s="78" t="s">
        <v>14884</v>
      </c>
      <c r="F622" s="78" t="s">
        <v>16066</v>
      </c>
      <c r="G622" s="78" t="s">
        <v>14931</v>
      </c>
      <c r="H622" s="78">
        <v>5000</v>
      </c>
      <c r="I622" s="77"/>
    </row>
    <row r="623">
      <c r="A623" s="78" t="s">
        <v>16788</v>
      </c>
      <c r="B623" s="78" t="s">
        <v>16789</v>
      </c>
      <c r="C623" s="78" t="s">
        <v>16790</v>
      </c>
      <c r="D623" s="78" t="s">
        <v>14648</v>
      </c>
      <c r="E623" s="78" t="s">
        <v>14942</v>
      </c>
      <c r="F623" s="78" t="s">
        <v>16124</v>
      </c>
      <c r="G623" s="78" t="s">
        <v>14734</v>
      </c>
      <c r="H623" s="78">
        <v>5000</v>
      </c>
      <c r="I623" s="77"/>
    </row>
    <row r="624">
      <c r="A624" s="78" t="s">
        <v>16791</v>
      </c>
      <c r="B624" s="78" t="s">
        <v>16792</v>
      </c>
      <c r="C624" s="78" t="s">
        <v>16793</v>
      </c>
      <c r="D624" s="78" t="s">
        <v>14648</v>
      </c>
      <c r="E624" s="78" t="s">
        <v>15202</v>
      </c>
      <c r="F624" s="78" t="s">
        <v>16794</v>
      </c>
      <c r="G624" s="78" t="s">
        <v>15198</v>
      </c>
      <c r="H624" s="78">
        <v>6000</v>
      </c>
      <c r="I624" s="77"/>
    </row>
    <row r="625">
      <c r="A625" s="78" t="s">
        <v>16795</v>
      </c>
      <c r="B625" s="78" t="s">
        <v>16796</v>
      </c>
      <c r="C625" s="78" t="s">
        <v>16797</v>
      </c>
      <c r="D625" s="78" t="s">
        <v>14648</v>
      </c>
      <c r="E625" s="78" t="s">
        <v>15946</v>
      </c>
      <c r="F625" s="78" t="s">
        <v>14867</v>
      </c>
      <c r="G625" s="78" t="s">
        <v>14734</v>
      </c>
      <c r="H625" s="78">
        <v>6000</v>
      </c>
      <c r="I625" s="77"/>
    </row>
    <row r="626">
      <c r="A626" s="78" t="s">
        <v>16798</v>
      </c>
      <c r="B626" s="78" t="s">
        <v>16799</v>
      </c>
      <c r="C626" s="78" t="s">
        <v>16800</v>
      </c>
      <c r="D626" s="78" t="s">
        <v>14648</v>
      </c>
      <c r="E626" s="78" t="s">
        <v>16801</v>
      </c>
      <c r="F626" s="78" t="s">
        <v>14718</v>
      </c>
      <c r="G626" s="78" t="s">
        <v>14703</v>
      </c>
      <c r="H626" s="78">
        <v>15000</v>
      </c>
      <c r="I626" s="77"/>
    </row>
    <row r="627">
      <c r="A627" s="78" t="s">
        <v>16802</v>
      </c>
      <c r="B627" s="78" t="s">
        <v>16803</v>
      </c>
      <c r="C627" s="78" t="s">
        <v>16804</v>
      </c>
      <c r="D627" s="78" t="s">
        <v>14648</v>
      </c>
      <c r="E627" s="78" t="s">
        <v>16516</v>
      </c>
      <c r="F627" s="78" t="s">
        <v>14848</v>
      </c>
      <c r="G627" s="78" t="s">
        <v>14834</v>
      </c>
      <c r="H627" s="78">
        <v>3400</v>
      </c>
      <c r="I627" s="77"/>
    </row>
    <row r="628">
      <c r="A628" s="78" t="s">
        <v>16805</v>
      </c>
      <c r="B628" s="78" t="s">
        <v>16806</v>
      </c>
      <c r="C628" s="78" t="s">
        <v>16807</v>
      </c>
      <c r="D628" s="78" t="s">
        <v>16651</v>
      </c>
      <c r="E628" s="78" t="s">
        <v>15946</v>
      </c>
      <c r="F628" s="78" t="s">
        <v>14889</v>
      </c>
      <c r="G628" s="78" t="s">
        <v>14890</v>
      </c>
      <c r="H628" s="78">
        <v>6000</v>
      </c>
      <c r="I628" s="77"/>
      <c r="J628" s="77"/>
    </row>
    <row r="629">
      <c r="A629" s="78" t="s">
        <v>16808</v>
      </c>
      <c r="B629" s="78" t="s">
        <v>16809</v>
      </c>
      <c r="C629" s="78" t="s">
        <v>16810</v>
      </c>
      <c r="D629" s="78" t="s">
        <v>16651</v>
      </c>
      <c r="E629" s="78" t="s">
        <v>15683</v>
      </c>
      <c r="F629" s="78" t="s">
        <v>14922</v>
      </c>
      <c r="G629" s="78" t="s">
        <v>14923</v>
      </c>
      <c r="H629" s="78">
        <v>1000</v>
      </c>
      <c r="I629" s="77"/>
      <c r="J629" s="77"/>
    </row>
    <row r="630">
      <c r="A630" s="78" t="s">
        <v>16811</v>
      </c>
      <c r="B630" s="78" t="s">
        <v>16812</v>
      </c>
      <c r="C630" s="78" t="s">
        <v>16813</v>
      </c>
      <c r="D630" s="78" t="s">
        <v>14648</v>
      </c>
      <c r="E630" s="78" t="s">
        <v>16099</v>
      </c>
      <c r="F630" s="78" t="s">
        <v>14922</v>
      </c>
      <c r="G630" s="78" t="s">
        <v>14923</v>
      </c>
      <c r="H630" s="78">
        <v>3000</v>
      </c>
      <c r="I630" s="77"/>
    </row>
    <row r="631">
      <c r="A631" s="78" t="s">
        <v>16814</v>
      </c>
      <c r="B631" s="78" t="s">
        <v>16815</v>
      </c>
      <c r="C631" s="78" t="s">
        <v>16816</v>
      </c>
      <c r="D631" s="78" t="s">
        <v>14648</v>
      </c>
      <c r="E631" s="78" t="s">
        <v>15946</v>
      </c>
      <c r="F631" s="78" t="s">
        <v>15628</v>
      </c>
      <c r="G631" s="78" t="s">
        <v>14923</v>
      </c>
      <c r="H631" s="78">
        <v>6000</v>
      </c>
      <c r="I631" s="77"/>
    </row>
    <row r="632">
      <c r="A632" s="78" t="s">
        <v>16817</v>
      </c>
      <c r="B632" s="78" t="s">
        <v>16818</v>
      </c>
      <c r="C632" s="78" t="s">
        <v>16819</v>
      </c>
      <c r="D632" s="78" t="s">
        <v>16820</v>
      </c>
      <c r="E632" s="78" t="s">
        <v>16821</v>
      </c>
      <c r="F632" s="78" t="s">
        <v>14723</v>
      </c>
      <c r="G632" s="78" t="s">
        <v>14703</v>
      </c>
      <c r="H632" s="78">
        <v>0</v>
      </c>
      <c r="I632" s="77"/>
      <c r="J632" s="77"/>
    </row>
    <row r="633">
      <c r="A633" s="78" t="s">
        <v>16822</v>
      </c>
      <c r="B633" s="78" t="s">
        <v>16823</v>
      </c>
      <c r="C633" s="78" t="s">
        <v>16824</v>
      </c>
      <c r="D633" s="78" t="s">
        <v>14648</v>
      </c>
      <c r="E633" s="78" t="s">
        <v>15518</v>
      </c>
      <c r="F633" s="78" t="s">
        <v>15076</v>
      </c>
      <c r="G633" s="78" t="s">
        <v>14651</v>
      </c>
      <c r="H633" s="78">
        <v>1000</v>
      </c>
      <c r="I633" s="77"/>
    </row>
    <row r="634">
      <c r="A634" s="78" t="s">
        <v>16825</v>
      </c>
      <c r="B634" s="78" t="s">
        <v>16826</v>
      </c>
      <c r="C634" s="78" t="s">
        <v>16827</v>
      </c>
      <c r="D634" s="78" t="s">
        <v>14648</v>
      </c>
      <c r="E634" s="78" t="s">
        <v>15683</v>
      </c>
      <c r="F634" s="78" t="s">
        <v>15788</v>
      </c>
      <c r="G634" s="78" t="s">
        <v>14734</v>
      </c>
      <c r="H634" s="78">
        <v>1000</v>
      </c>
      <c r="I634" s="77"/>
    </row>
    <row r="635">
      <c r="A635" s="78" t="s">
        <v>16828</v>
      </c>
      <c r="B635" s="78" t="s">
        <v>16829</v>
      </c>
      <c r="C635" s="78" t="s">
        <v>16830</v>
      </c>
      <c r="D635" s="78" t="s">
        <v>14648</v>
      </c>
      <c r="E635" s="78" t="s">
        <v>15683</v>
      </c>
      <c r="F635" s="78" t="s">
        <v>14903</v>
      </c>
      <c r="G635" s="78" t="s">
        <v>14734</v>
      </c>
      <c r="H635" s="78">
        <v>1000</v>
      </c>
      <c r="I635" s="77"/>
    </row>
    <row r="636">
      <c r="A636" s="78" t="s">
        <v>16831</v>
      </c>
      <c r="B636" s="78" t="s">
        <v>16832</v>
      </c>
      <c r="C636" s="78" t="s">
        <v>16833</v>
      </c>
      <c r="D636" s="78" t="s">
        <v>14648</v>
      </c>
      <c r="E636" s="78" t="s">
        <v>15683</v>
      </c>
      <c r="F636" s="78" t="s">
        <v>14867</v>
      </c>
      <c r="G636" s="78" t="s">
        <v>14931</v>
      </c>
      <c r="H636" s="78">
        <v>1000</v>
      </c>
      <c r="I636" s="77"/>
    </row>
    <row r="637">
      <c r="A637" s="78" t="s">
        <v>16834</v>
      </c>
      <c r="B637" s="78" t="s">
        <v>16835</v>
      </c>
      <c r="C637" s="78" t="s">
        <v>16836</v>
      </c>
      <c r="D637" s="78" t="s">
        <v>14648</v>
      </c>
      <c r="E637" s="78" t="s">
        <v>15683</v>
      </c>
      <c r="F637" s="78" t="s">
        <v>14867</v>
      </c>
      <c r="G637" s="78" t="s">
        <v>14931</v>
      </c>
      <c r="H637" s="78">
        <v>1000</v>
      </c>
      <c r="I637" s="77"/>
    </row>
    <row r="638">
      <c r="A638" s="78" t="s">
        <v>16837</v>
      </c>
      <c r="B638" s="78" t="s">
        <v>16838</v>
      </c>
      <c r="C638" s="78" t="s">
        <v>16839</v>
      </c>
      <c r="D638" s="78" t="s">
        <v>14648</v>
      </c>
      <c r="E638" s="78" t="s">
        <v>15853</v>
      </c>
      <c r="F638" s="78" t="s">
        <v>14977</v>
      </c>
      <c r="G638" s="78" t="s">
        <v>14963</v>
      </c>
      <c r="H638" s="78">
        <v>2000</v>
      </c>
      <c r="I638" s="77"/>
    </row>
    <row r="639">
      <c r="A639" s="78" t="s">
        <v>16840</v>
      </c>
      <c r="B639" s="78" t="s">
        <v>16841</v>
      </c>
      <c r="C639" s="78" t="s">
        <v>16842</v>
      </c>
      <c r="D639" s="78" t="s">
        <v>14648</v>
      </c>
      <c r="E639" s="78" t="s">
        <v>15946</v>
      </c>
      <c r="F639" s="78" t="s">
        <v>14872</v>
      </c>
      <c r="G639" s="78" t="s">
        <v>14734</v>
      </c>
      <c r="H639" s="78">
        <v>6000</v>
      </c>
      <c r="I639" s="77"/>
    </row>
    <row r="640">
      <c r="A640" s="78" t="s">
        <v>16843</v>
      </c>
      <c r="B640" s="78" t="s">
        <v>16844</v>
      </c>
      <c r="C640" s="78" t="s">
        <v>16845</v>
      </c>
      <c r="D640" s="78" t="s">
        <v>14648</v>
      </c>
      <c r="E640" s="78" t="s">
        <v>15946</v>
      </c>
      <c r="F640" s="78" t="s">
        <v>14712</v>
      </c>
      <c r="G640" s="78" t="s">
        <v>14713</v>
      </c>
      <c r="H640" s="78">
        <v>5000</v>
      </c>
      <c r="I640" s="77"/>
    </row>
    <row r="641">
      <c r="A641" s="78" t="s">
        <v>16846</v>
      </c>
      <c r="B641" s="78" t="s">
        <v>16847</v>
      </c>
      <c r="C641" s="78" t="s">
        <v>16848</v>
      </c>
      <c r="D641" s="78" t="s">
        <v>14648</v>
      </c>
      <c r="E641" s="78" t="s">
        <v>14790</v>
      </c>
      <c r="F641" s="78" t="s">
        <v>14922</v>
      </c>
      <c r="G641" s="78" t="s">
        <v>14923</v>
      </c>
      <c r="H641" s="78">
        <v>10000</v>
      </c>
      <c r="I641" s="77"/>
      <c r="J641" s="77"/>
    </row>
    <row r="642">
      <c r="A642" s="78" t="s">
        <v>16849</v>
      </c>
      <c r="B642" s="78" t="s">
        <v>16850</v>
      </c>
      <c r="C642" s="78" t="s">
        <v>16851</v>
      </c>
      <c r="D642" s="78" t="s">
        <v>14648</v>
      </c>
      <c r="E642" s="78" t="s">
        <v>15946</v>
      </c>
      <c r="F642" s="78" t="s">
        <v>15105</v>
      </c>
      <c r="G642" s="78" t="s">
        <v>15106</v>
      </c>
      <c r="H642" s="78">
        <v>5000</v>
      </c>
      <c r="I642" s="77"/>
    </row>
    <row r="643">
      <c r="A643" s="78" t="s">
        <v>16852</v>
      </c>
      <c r="B643" s="78" t="s">
        <v>16853</v>
      </c>
      <c r="C643" s="78" t="s">
        <v>16854</v>
      </c>
      <c r="D643" s="78" t="s">
        <v>16723</v>
      </c>
      <c r="E643" s="78" t="s">
        <v>15946</v>
      </c>
      <c r="F643" s="78" t="s">
        <v>15917</v>
      </c>
      <c r="G643" s="78" t="s">
        <v>14651</v>
      </c>
      <c r="H643" s="78">
        <v>5000</v>
      </c>
      <c r="I643" s="77"/>
      <c r="J643" s="77"/>
    </row>
    <row r="644">
      <c r="A644" s="78" t="s">
        <v>16855</v>
      </c>
      <c r="B644" s="78" t="s">
        <v>16856</v>
      </c>
      <c r="C644" s="78" t="s">
        <v>16857</v>
      </c>
      <c r="D644" s="78" t="s">
        <v>14648</v>
      </c>
      <c r="E644" s="78" t="s">
        <v>15683</v>
      </c>
      <c r="F644" s="78" t="s">
        <v>14922</v>
      </c>
      <c r="G644" s="78" t="s">
        <v>14923</v>
      </c>
      <c r="H644" s="78">
        <v>1000</v>
      </c>
      <c r="I644" s="77"/>
    </row>
    <row r="645">
      <c r="A645" s="78" t="s">
        <v>16858</v>
      </c>
      <c r="B645" s="78" t="s">
        <v>16859</v>
      </c>
      <c r="C645" s="78" t="s">
        <v>16860</v>
      </c>
      <c r="D645" s="78" t="s">
        <v>14648</v>
      </c>
      <c r="E645" s="78" t="s">
        <v>15683</v>
      </c>
      <c r="F645" s="78" t="s">
        <v>14903</v>
      </c>
      <c r="G645" s="78" t="s">
        <v>14734</v>
      </c>
      <c r="H645" s="78">
        <v>1000</v>
      </c>
      <c r="I645" s="77"/>
    </row>
    <row r="646">
      <c r="A646" s="78" t="s">
        <v>16861</v>
      </c>
      <c r="B646" s="78" t="s">
        <v>16862</v>
      </c>
      <c r="C646" s="78" t="s">
        <v>16863</v>
      </c>
      <c r="D646" s="78" t="s">
        <v>14648</v>
      </c>
      <c r="E646" s="78" t="s">
        <v>16487</v>
      </c>
      <c r="F646" s="78" t="s">
        <v>15319</v>
      </c>
      <c r="G646" s="78" t="s">
        <v>14772</v>
      </c>
      <c r="H646" s="78">
        <v>1200</v>
      </c>
      <c r="I646" s="77"/>
      <c r="J646" s="77"/>
    </row>
    <row r="647">
      <c r="A647" s="78" t="s">
        <v>16864</v>
      </c>
      <c r="B647" s="78" t="s">
        <v>16865</v>
      </c>
      <c r="C647" s="78" t="s">
        <v>16866</v>
      </c>
      <c r="D647" s="78" t="s">
        <v>14648</v>
      </c>
      <c r="E647" s="78" t="s">
        <v>15946</v>
      </c>
      <c r="F647" s="78" t="s">
        <v>16035</v>
      </c>
      <c r="G647" s="78" t="s">
        <v>14834</v>
      </c>
      <c r="H647" s="78">
        <v>5000</v>
      </c>
      <c r="I647" s="77"/>
    </row>
    <row r="648">
      <c r="A648" s="78" t="s">
        <v>16867</v>
      </c>
      <c r="B648" s="78" t="s">
        <v>16868</v>
      </c>
      <c r="C648" s="78" t="s">
        <v>16869</v>
      </c>
      <c r="D648" s="78" t="s">
        <v>16651</v>
      </c>
      <c r="E648" s="78" t="s">
        <v>15946</v>
      </c>
      <c r="F648" s="78" t="s">
        <v>15081</v>
      </c>
      <c r="G648" s="78" t="s">
        <v>14651</v>
      </c>
      <c r="H648" s="78">
        <v>5000</v>
      </c>
      <c r="I648" s="77"/>
    </row>
    <row r="649">
      <c r="A649" s="78" t="s">
        <v>16870</v>
      </c>
      <c r="B649" s="78" t="s">
        <v>16871</v>
      </c>
      <c r="C649" s="78" t="s">
        <v>16872</v>
      </c>
      <c r="D649" s="78" t="s">
        <v>16820</v>
      </c>
      <c r="E649" s="78" t="s">
        <v>16873</v>
      </c>
      <c r="F649" s="78" t="s">
        <v>15081</v>
      </c>
      <c r="G649" s="78" t="s">
        <v>14651</v>
      </c>
      <c r="H649" s="78">
        <v>0</v>
      </c>
      <c r="I649" s="77"/>
      <c r="J649" s="77"/>
    </row>
    <row r="650">
      <c r="A650" s="78" t="s">
        <v>16874</v>
      </c>
      <c r="B650" s="78" t="s">
        <v>16875</v>
      </c>
      <c r="C650" s="78" t="s">
        <v>16876</v>
      </c>
      <c r="D650" s="78" t="s">
        <v>14648</v>
      </c>
      <c r="E650" s="78" t="s">
        <v>15683</v>
      </c>
      <c r="F650" s="78" t="s">
        <v>15788</v>
      </c>
      <c r="G650" s="78" t="s">
        <v>14734</v>
      </c>
      <c r="H650" s="78">
        <v>1000</v>
      </c>
      <c r="I650" s="77"/>
    </row>
    <row r="651">
      <c r="A651" s="78" t="s">
        <v>16877</v>
      </c>
      <c r="B651" s="78" t="s">
        <v>16878</v>
      </c>
      <c r="C651" s="78" t="s">
        <v>16879</v>
      </c>
      <c r="D651" s="78" t="s">
        <v>16820</v>
      </c>
      <c r="E651" s="78" t="s">
        <v>16880</v>
      </c>
      <c r="F651" s="78" t="s">
        <v>14781</v>
      </c>
      <c r="G651" s="78" t="s">
        <v>14782</v>
      </c>
      <c r="H651" s="78">
        <v>0</v>
      </c>
      <c r="I651" s="77"/>
      <c r="J651" s="77"/>
    </row>
    <row r="652">
      <c r="A652" s="78" t="s">
        <v>16881</v>
      </c>
      <c r="B652" s="78" t="s">
        <v>16882</v>
      </c>
      <c r="C652" s="78" t="s">
        <v>16883</v>
      </c>
      <c r="D652" s="78" t="s">
        <v>14648</v>
      </c>
      <c r="E652" s="78" t="s">
        <v>15683</v>
      </c>
      <c r="F652" s="78" t="s">
        <v>14922</v>
      </c>
      <c r="G652" s="78" t="s">
        <v>14923</v>
      </c>
      <c r="H652" s="78">
        <v>1000</v>
      </c>
      <c r="I652" s="77"/>
    </row>
    <row r="653">
      <c r="A653" s="78" t="s">
        <v>16884</v>
      </c>
      <c r="B653" s="78" t="s">
        <v>16885</v>
      </c>
      <c r="C653" s="78" t="s">
        <v>16886</v>
      </c>
      <c r="D653" s="78" t="s">
        <v>14648</v>
      </c>
      <c r="E653" s="78" t="s">
        <v>14790</v>
      </c>
      <c r="F653" s="78" t="s">
        <v>14867</v>
      </c>
      <c r="G653" s="78" t="s">
        <v>14931</v>
      </c>
      <c r="H653" s="78">
        <v>10000</v>
      </c>
      <c r="I653" s="77"/>
    </row>
    <row r="654">
      <c r="A654" s="78" t="s">
        <v>16887</v>
      </c>
      <c r="B654" s="78" t="s">
        <v>16888</v>
      </c>
      <c r="C654" s="78" t="s">
        <v>16889</v>
      </c>
      <c r="D654" s="78" t="s">
        <v>14648</v>
      </c>
      <c r="E654" s="78" t="s">
        <v>15683</v>
      </c>
      <c r="F654" s="78" t="s">
        <v>15886</v>
      </c>
      <c r="G654" s="78" t="s">
        <v>14734</v>
      </c>
      <c r="H654" s="78">
        <v>1000</v>
      </c>
      <c r="I654" s="77"/>
    </row>
    <row r="655">
      <c r="A655" s="78" t="s">
        <v>16890</v>
      </c>
      <c r="B655" s="78" t="s">
        <v>16891</v>
      </c>
      <c r="C655" s="78" t="s">
        <v>16892</v>
      </c>
      <c r="D655" s="78" t="s">
        <v>14648</v>
      </c>
      <c r="E655" s="78" t="s">
        <v>15683</v>
      </c>
      <c r="F655" s="78" t="s">
        <v>15839</v>
      </c>
      <c r="G655" s="78" t="s">
        <v>14734</v>
      </c>
      <c r="H655" s="78">
        <v>1000</v>
      </c>
      <c r="I655" s="77"/>
    </row>
    <row r="656">
      <c r="A656" s="78" t="s">
        <v>16893</v>
      </c>
      <c r="B656" s="78" t="s">
        <v>16894</v>
      </c>
      <c r="C656" s="78" t="s">
        <v>16895</v>
      </c>
      <c r="D656" s="78" t="s">
        <v>14648</v>
      </c>
      <c r="E656" s="78" t="s">
        <v>15683</v>
      </c>
      <c r="F656" s="78" t="s">
        <v>14867</v>
      </c>
      <c r="G656" s="78" t="s">
        <v>14931</v>
      </c>
      <c r="H656" s="78">
        <v>1000</v>
      </c>
      <c r="I656" s="77"/>
    </row>
    <row r="657">
      <c r="A657" s="78" t="s">
        <v>16896</v>
      </c>
      <c r="B657" s="78" t="s">
        <v>16897</v>
      </c>
      <c r="C657" s="78" t="s">
        <v>16898</v>
      </c>
      <c r="D657" s="78" t="s">
        <v>14648</v>
      </c>
      <c r="E657" s="78" t="s">
        <v>14994</v>
      </c>
      <c r="F657" s="78" t="s">
        <v>14712</v>
      </c>
      <c r="G657" s="78" t="s">
        <v>14734</v>
      </c>
      <c r="H657" s="78">
        <v>3000</v>
      </c>
      <c r="I657" s="77"/>
    </row>
    <row r="658">
      <c r="A658" s="78" t="s">
        <v>16899</v>
      </c>
      <c r="B658" s="78" t="s">
        <v>16900</v>
      </c>
      <c r="C658" s="78" t="s">
        <v>16901</v>
      </c>
      <c r="D658" s="78" t="s">
        <v>14648</v>
      </c>
      <c r="E658" s="78" t="s">
        <v>15946</v>
      </c>
      <c r="F658" s="78" t="s">
        <v>14867</v>
      </c>
      <c r="G658" s="78" t="s">
        <v>14931</v>
      </c>
      <c r="H658" s="78">
        <v>6000</v>
      </c>
      <c r="I658" s="77"/>
    </row>
    <row r="659">
      <c r="A659" s="78" t="s">
        <v>16902</v>
      </c>
      <c r="B659" s="78" t="s">
        <v>16903</v>
      </c>
      <c r="C659" s="78" t="s">
        <v>16904</v>
      </c>
      <c r="D659" s="78" t="s">
        <v>16723</v>
      </c>
      <c r="E659" s="78" t="s">
        <v>15683</v>
      </c>
      <c r="F659" s="78" t="s">
        <v>15788</v>
      </c>
      <c r="G659" s="78" t="s">
        <v>14734</v>
      </c>
      <c r="H659" s="78">
        <v>1000</v>
      </c>
      <c r="I659" s="77"/>
    </row>
    <row r="660">
      <c r="A660" s="78" t="s">
        <v>16905</v>
      </c>
      <c r="B660" s="78" t="s">
        <v>16906</v>
      </c>
      <c r="C660" s="78" t="s">
        <v>16907</v>
      </c>
      <c r="D660" s="78" t="s">
        <v>16723</v>
      </c>
      <c r="E660" s="78" t="s">
        <v>14790</v>
      </c>
      <c r="F660" s="78" t="s">
        <v>14903</v>
      </c>
      <c r="G660" s="78" t="s">
        <v>14734</v>
      </c>
      <c r="H660" s="78">
        <v>10000</v>
      </c>
      <c r="I660" s="77"/>
    </row>
    <row r="661">
      <c r="A661" s="78" t="s">
        <v>16908</v>
      </c>
      <c r="B661" s="78" t="s">
        <v>16909</v>
      </c>
      <c r="C661" s="78" t="s">
        <v>16910</v>
      </c>
      <c r="D661" s="78" t="s">
        <v>14648</v>
      </c>
      <c r="E661" s="78" t="s">
        <v>15946</v>
      </c>
      <c r="F661" s="78" t="s">
        <v>15619</v>
      </c>
      <c r="G661" s="78" t="s">
        <v>14931</v>
      </c>
      <c r="H661" s="78">
        <v>6000</v>
      </c>
      <c r="I661" s="77"/>
    </row>
    <row r="662">
      <c r="A662" s="78" t="s">
        <v>16911</v>
      </c>
      <c r="B662" s="78" t="s">
        <v>16912</v>
      </c>
      <c r="C662" s="78" t="s">
        <v>16913</v>
      </c>
      <c r="D662" s="78" t="s">
        <v>14648</v>
      </c>
      <c r="E662" s="78" t="s">
        <v>15683</v>
      </c>
      <c r="F662" s="78" t="s">
        <v>15886</v>
      </c>
      <c r="G662" s="78" t="s">
        <v>14734</v>
      </c>
      <c r="H662" s="78">
        <v>1000</v>
      </c>
      <c r="I662" s="77"/>
    </row>
    <row r="663">
      <c r="A663" s="78" t="s">
        <v>16914</v>
      </c>
      <c r="B663" s="78" t="s">
        <v>16915</v>
      </c>
      <c r="C663" s="78" t="s">
        <v>16916</v>
      </c>
      <c r="D663" s="78" t="s">
        <v>14648</v>
      </c>
      <c r="E663" s="78" t="s">
        <v>15683</v>
      </c>
      <c r="F663" s="78" t="s">
        <v>15886</v>
      </c>
      <c r="G663" s="78" t="s">
        <v>14734</v>
      </c>
      <c r="H663" s="78">
        <v>1000</v>
      </c>
      <c r="I663" s="77"/>
    </row>
    <row r="664">
      <c r="A664" s="78" t="s">
        <v>16917</v>
      </c>
      <c r="B664" s="78" t="s">
        <v>16918</v>
      </c>
      <c r="C664" s="78" t="s">
        <v>16919</v>
      </c>
      <c r="D664" s="78" t="s">
        <v>16723</v>
      </c>
      <c r="E664" s="78" t="s">
        <v>15683</v>
      </c>
      <c r="F664" s="78" t="s">
        <v>15839</v>
      </c>
      <c r="G664" s="78" t="s">
        <v>14734</v>
      </c>
      <c r="H664" s="78">
        <v>1000</v>
      </c>
      <c r="I664" s="77"/>
    </row>
    <row r="665">
      <c r="A665" s="78" t="s">
        <v>16920</v>
      </c>
      <c r="B665" s="78" t="s">
        <v>16921</v>
      </c>
      <c r="C665" s="78" t="s">
        <v>16922</v>
      </c>
      <c r="D665" s="78" t="s">
        <v>14648</v>
      </c>
      <c r="E665" s="78" t="s">
        <v>15683</v>
      </c>
      <c r="F665" s="78" t="s">
        <v>14791</v>
      </c>
      <c r="G665" s="78" t="s">
        <v>14734</v>
      </c>
      <c r="H665" s="78">
        <v>1000</v>
      </c>
      <c r="I665" s="77"/>
    </row>
    <row r="666">
      <c r="A666" s="78" t="s">
        <v>16923</v>
      </c>
      <c r="B666" s="78" t="s">
        <v>16924</v>
      </c>
      <c r="C666" s="78" t="s">
        <v>16925</v>
      </c>
      <c r="D666" s="78" t="s">
        <v>16651</v>
      </c>
      <c r="E666" s="78" t="s">
        <v>15946</v>
      </c>
      <c r="F666" s="78" t="s">
        <v>15687</v>
      </c>
      <c r="G666" s="78" t="s">
        <v>15249</v>
      </c>
      <c r="H666" s="78">
        <v>5000</v>
      </c>
      <c r="I666" s="77"/>
    </row>
    <row r="667">
      <c r="A667" s="78" t="s">
        <v>16926</v>
      </c>
      <c r="B667" s="78" t="s">
        <v>16927</v>
      </c>
      <c r="C667" s="78" t="s">
        <v>16928</v>
      </c>
      <c r="D667" s="78" t="s">
        <v>14648</v>
      </c>
      <c r="E667" s="78" t="s">
        <v>16516</v>
      </c>
      <c r="F667" s="78" t="s">
        <v>15932</v>
      </c>
      <c r="G667" s="78" t="s">
        <v>14834</v>
      </c>
      <c r="H667" s="78">
        <v>3400</v>
      </c>
      <c r="I667" s="77"/>
    </row>
    <row r="668">
      <c r="A668" s="78" t="s">
        <v>16929</v>
      </c>
      <c r="B668" s="78" t="s">
        <v>16930</v>
      </c>
      <c r="C668" s="78" t="s">
        <v>16931</v>
      </c>
      <c r="D668" s="78" t="s">
        <v>16651</v>
      </c>
      <c r="E668" s="78" t="s">
        <v>15946</v>
      </c>
      <c r="F668" s="78" t="s">
        <v>14957</v>
      </c>
      <c r="G668" s="78" t="s">
        <v>14782</v>
      </c>
      <c r="H668" s="78">
        <v>5000</v>
      </c>
      <c r="I668" s="77"/>
      <c r="J668" s="77"/>
    </row>
    <row r="669">
      <c r="A669" s="78" t="s">
        <v>16932</v>
      </c>
      <c r="B669" s="78" t="s">
        <v>16933</v>
      </c>
      <c r="C669" s="78" t="s">
        <v>16934</v>
      </c>
      <c r="D669" s="78" t="s">
        <v>14648</v>
      </c>
      <c r="E669" s="78" t="s">
        <v>15683</v>
      </c>
      <c r="F669" s="78" t="s">
        <v>14922</v>
      </c>
      <c r="G669" s="78" t="s">
        <v>14923</v>
      </c>
      <c r="H669" s="78">
        <v>1000</v>
      </c>
      <c r="I669" s="77"/>
    </row>
    <row r="670">
      <c r="A670" s="78" t="s">
        <v>16935</v>
      </c>
      <c r="B670" s="78" t="s">
        <v>16936</v>
      </c>
      <c r="C670" s="78" t="s">
        <v>16937</v>
      </c>
      <c r="D670" s="78" t="s">
        <v>14648</v>
      </c>
      <c r="E670" s="78" t="s">
        <v>16516</v>
      </c>
      <c r="F670" s="78" t="s">
        <v>14839</v>
      </c>
      <c r="G670" s="78" t="s">
        <v>14834</v>
      </c>
      <c r="H670" s="78">
        <v>3400</v>
      </c>
      <c r="I670" s="77"/>
    </row>
    <row r="671">
      <c r="A671" s="78" t="s">
        <v>16938</v>
      </c>
      <c r="B671" s="78" t="s">
        <v>16939</v>
      </c>
      <c r="C671" s="78" t="s">
        <v>16940</v>
      </c>
      <c r="D671" s="78" t="s">
        <v>16651</v>
      </c>
      <c r="E671" s="78" t="s">
        <v>14790</v>
      </c>
      <c r="F671" s="78" t="s">
        <v>15886</v>
      </c>
      <c r="G671" s="78" t="s">
        <v>14734</v>
      </c>
      <c r="H671" s="78">
        <v>10000</v>
      </c>
      <c r="I671" s="77"/>
      <c r="J671" s="77"/>
    </row>
    <row r="672">
      <c r="A672" s="78" t="s">
        <v>16941</v>
      </c>
      <c r="B672" s="78" t="s">
        <v>16942</v>
      </c>
      <c r="C672" s="78" t="s">
        <v>16943</v>
      </c>
      <c r="D672" s="78" t="s">
        <v>14648</v>
      </c>
      <c r="E672" s="78" t="s">
        <v>14843</v>
      </c>
      <c r="F672" s="78" t="s">
        <v>14855</v>
      </c>
      <c r="G672" s="78" t="s">
        <v>14834</v>
      </c>
      <c r="H672" s="78">
        <v>3400</v>
      </c>
      <c r="I672" s="77"/>
    </row>
    <row r="673">
      <c r="A673" s="78" t="s">
        <v>16944</v>
      </c>
      <c r="B673" s="78" t="s">
        <v>16945</v>
      </c>
      <c r="C673" s="78" t="s">
        <v>16946</v>
      </c>
      <c r="D673" s="78" t="s">
        <v>16723</v>
      </c>
      <c r="E673" s="78" t="s">
        <v>15853</v>
      </c>
      <c r="F673" s="78" t="s">
        <v>15100</v>
      </c>
      <c r="G673" s="78" t="s">
        <v>14963</v>
      </c>
      <c r="H673" s="78">
        <v>2000</v>
      </c>
      <c r="I673" s="77"/>
      <c r="J673" s="77"/>
    </row>
    <row r="674">
      <c r="A674" s="78" t="s">
        <v>16947</v>
      </c>
      <c r="B674" s="78" t="s">
        <v>16948</v>
      </c>
      <c r="C674" s="78" t="s">
        <v>16949</v>
      </c>
      <c r="D674" s="78" t="s">
        <v>14648</v>
      </c>
      <c r="E674" s="78" t="s">
        <v>15243</v>
      </c>
      <c r="F674" s="78" t="s">
        <v>16950</v>
      </c>
      <c r="G674" s="78" t="s">
        <v>15249</v>
      </c>
      <c r="H674" s="78">
        <v>6000</v>
      </c>
      <c r="I674" s="77"/>
    </row>
    <row r="675">
      <c r="A675" s="78" t="s">
        <v>16951</v>
      </c>
      <c r="B675" s="78" t="s">
        <v>16952</v>
      </c>
      <c r="C675" s="78" t="s">
        <v>16953</v>
      </c>
      <c r="D675" s="78" t="s">
        <v>14648</v>
      </c>
      <c r="E675" s="78" t="s">
        <v>15683</v>
      </c>
      <c r="F675" s="78" t="s">
        <v>14867</v>
      </c>
      <c r="G675" s="78" t="s">
        <v>14931</v>
      </c>
      <c r="H675" s="78">
        <v>1000</v>
      </c>
      <c r="I675" s="77"/>
    </row>
    <row r="676">
      <c r="A676" s="78" t="s">
        <v>16954</v>
      </c>
      <c r="B676" s="78" t="s">
        <v>16955</v>
      </c>
      <c r="C676" s="78" t="s">
        <v>16956</v>
      </c>
      <c r="D676" s="78" t="s">
        <v>16723</v>
      </c>
      <c r="E676" s="78" t="s">
        <v>14790</v>
      </c>
      <c r="F676" s="78" t="s">
        <v>14922</v>
      </c>
      <c r="G676" s="78" t="s">
        <v>14923</v>
      </c>
      <c r="H676" s="78">
        <v>10000</v>
      </c>
      <c r="I676" s="77"/>
    </row>
    <row r="677">
      <c r="A677" s="78" t="s">
        <v>16957</v>
      </c>
      <c r="B677" s="78" t="s">
        <v>16958</v>
      </c>
      <c r="C677" s="78" t="s">
        <v>16959</v>
      </c>
      <c r="D677" s="78" t="s">
        <v>16723</v>
      </c>
      <c r="E677" s="78" t="s">
        <v>16280</v>
      </c>
      <c r="F677" s="78" t="s">
        <v>16281</v>
      </c>
      <c r="G677" s="78" t="s">
        <v>15106</v>
      </c>
      <c r="H677" s="78">
        <v>4000</v>
      </c>
      <c r="I677" s="77"/>
    </row>
    <row r="678">
      <c r="A678" s="78" t="s">
        <v>16960</v>
      </c>
      <c r="B678" s="78" t="s">
        <v>16961</v>
      </c>
      <c r="C678" s="78" t="s">
        <v>16962</v>
      </c>
      <c r="D678" s="78" t="s">
        <v>16820</v>
      </c>
      <c r="E678" s="78" t="s">
        <v>16963</v>
      </c>
      <c r="F678" s="78" t="s">
        <v>14718</v>
      </c>
      <c r="G678" s="78" t="s">
        <v>14703</v>
      </c>
      <c r="H678" s="78">
        <v>0</v>
      </c>
      <c r="I678" s="77"/>
      <c r="J678" s="77"/>
    </row>
    <row r="679">
      <c r="A679" s="78" t="s">
        <v>16964</v>
      </c>
      <c r="B679" s="78" t="s">
        <v>16965</v>
      </c>
      <c r="C679" s="78" t="s">
        <v>16966</v>
      </c>
      <c r="D679" s="78" t="s">
        <v>16723</v>
      </c>
      <c r="E679" s="78" t="s">
        <v>14790</v>
      </c>
      <c r="F679" s="78" t="s">
        <v>15788</v>
      </c>
      <c r="G679" s="78" t="s">
        <v>14734</v>
      </c>
      <c r="H679" s="78">
        <v>10000</v>
      </c>
      <c r="I679" s="77"/>
    </row>
    <row r="680">
      <c r="A680" s="78" t="s">
        <v>16967</v>
      </c>
      <c r="B680" s="78" t="s">
        <v>16968</v>
      </c>
      <c r="C680" s="78" t="s">
        <v>16969</v>
      </c>
      <c r="D680" s="78" t="s">
        <v>16723</v>
      </c>
      <c r="E680" s="78" t="s">
        <v>14790</v>
      </c>
      <c r="F680" s="78" t="s">
        <v>14922</v>
      </c>
      <c r="G680" s="78" t="s">
        <v>14923</v>
      </c>
      <c r="H680" s="78">
        <v>10000</v>
      </c>
      <c r="I680" s="77"/>
    </row>
    <row r="681">
      <c r="A681" s="78" t="s">
        <v>16970</v>
      </c>
      <c r="B681" s="78" t="s">
        <v>16971</v>
      </c>
      <c r="C681" s="78" t="s">
        <v>16972</v>
      </c>
      <c r="D681" s="78" t="s">
        <v>14648</v>
      </c>
      <c r="E681" s="78" t="s">
        <v>15946</v>
      </c>
      <c r="F681" s="78" t="s">
        <v>15039</v>
      </c>
      <c r="G681" s="78" t="s">
        <v>14651</v>
      </c>
      <c r="H681" s="78">
        <v>5000</v>
      </c>
      <c r="I681" s="77"/>
    </row>
    <row r="682">
      <c r="A682" s="78" t="s">
        <v>16973</v>
      </c>
      <c r="B682" s="78" t="s">
        <v>16974</v>
      </c>
      <c r="C682" s="78" t="s">
        <v>16975</v>
      </c>
      <c r="D682" s="78" t="s">
        <v>14648</v>
      </c>
      <c r="E682" s="78" t="s">
        <v>16976</v>
      </c>
      <c r="F682" s="78" t="s">
        <v>14723</v>
      </c>
      <c r="G682" s="78" t="s">
        <v>14703</v>
      </c>
      <c r="H682" s="78">
        <v>3000</v>
      </c>
      <c r="I682" s="77"/>
    </row>
    <row r="683">
      <c r="A683" s="78" t="s">
        <v>16977</v>
      </c>
      <c r="B683" s="78" t="s">
        <v>16978</v>
      </c>
      <c r="C683" s="78" t="s">
        <v>16979</v>
      </c>
      <c r="D683" s="78" t="s">
        <v>14648</v>
      </c>
      <c r="E683" s="78" t="s">
        <v>14884</v>
      </c>
      <c r="F683" s="78" t="s">
        <v>15704</v>
      </c>
      <c r="G683" s="78" t="s">
        <v>14923</v>
      </c>
      <c r="H683" s="78">
        <v>5000</v>
      </c>
      <c r="I683" s="77"/>
    </row>
    <row r="684">
      <c r="A684" s="78" t="s">
        <v>16980</v>
      </c>
      <c r="B684" s="78" t="s">
        <v>16981</v>
      </c>
      <c r="C684" s="78" t="s">
        <v>15217</v>
      </c>
      <c r="D684" s="78" t="s">
        <v>14648</v>
      </c>
      <c r="E684" s="78" t="s">
        <v>14884</v>
      </c>
      <c r="F684" s="78" t="s">
        <v>15161</v>
      </c>
      <c r="G684" s="78" t="s">
        <v>14923</v>
      </c>
      <c r="H684" s="78">
        <v>5000</v>
      </c>
      <c r="I684" s="77"/>
    </row>
    <row r="685">
      <c r="A685" s="78" t="s">
        <v>16982</v>
      </c>
      <c r="B685" s="78" t="s">
        <v>16983</v>
      </c>
      <c r="C685" s="78" t="s">
        <v>16984</v>
      </c>
      <c r="D685" s="78" t="s">
        <v>14648</v>
      </c>
      <c r="E685" s="78" t="s">
        <v>16516</v>
      </c>
      <c r="F685" s="78" t="s">
        <v>15932</v>
      </c>
      <c r="G685" s="78" t="s">
        <v>14834</v>
      </c>
      <c r="H685" s="78">
        <v>3400</v>
      </c>
      <c r="I685" s="77"/>
    </row>
    <row r="686">
      <c r="A686" s="78" t="s">
        <v>16985</v>
      </c>
      <c r="B686" s="78" t="s">
        <v>16986</v>
      </c>
      <c r="C686" s="78" t="s">
        <v>16987</v>
      </c>
      <c r="D686" s="78" t="s">
        <v>16651</v>
      </c>
      <c r="E686" s="78" t="s">
        <v>14832</v>
      </c>
      <c r="F686" s="78" t="s">
        <v>14859</v>
      </c>
      <c r="G686" s="78" t="s">
        <v>14834</v>
      </c>
      <c r="H686" s="78">
        <v>5000</v>
      </c>
      <c r="I686" s="77"/>
      <c r="J686" s="77"/>
    </row>
    <row r="687">
      <c r="A687" s="78" t="s">
        <v>16988</v>
      </c>
      <c r="B687" s="78" t="s">
        <v>16989</v>
      </c>
      <c r="C687" s="78" t="s">
        <v>16990</v>
      </c>
      <c r="D687" s="78" t="s">
        <v>16651</v>
      </c>
      <c r="E687" s="78" t="s">
        <v>14832</v>
      </c>
      <c r="F687" s="78" t="s">
        <v>14848</v>
      </c>
      <c r="G687" s="78" t="s">
        <v>14834</v>
      </c>
      <c r="H687" s="78">
        <v>5000</v>
      </c>
      <c r="I687" s="77"/>
      <c r="J687" s="77"/>
    </row>
    <row r="688">
      <c r="A688" s="78" t="s">
        <v>16991</v>
      </c>
      <c r="B688" s="78" t="s">
        <v>16992</v>
      </c>
      <c r="C688" s="78" t="s">
        <v>16993</v>
      </c>
      <c r="D688" s="78" t="s">
        <v>16651</v>
      </c>
      <c r="E688" s="78" t="s">
        <v>15946</v>
      </c>
      <c r="F688" s="78" t="s">
        <v>16345</v>
      </c>
      <c r="G688" s="78" t="s">
        <v>15129</v>
      </c>
      <c r="H688" s="78">
        <v>5000</v>
      </c>
      <c r="I688" s="77"/>
      <c r="J688" s="77"/>
    </row>
    <row r="689">
      <c r="A689" s="78" t="s">
        <v>16994</v>
      </c>
      <c r="B689" s="78" t="s">
        <v>16995</v>
      </c>
      <c r="C689" s="78" t="s">
        <v>16996</v>
      </c>
      <c r="D689" s="78" t="s">
        <v>14648</v>
      </c>
      <c r="E689" s="78" t="s">
        <v>14832</v>
      </c>
      <c r="F689" s="78" t="s">
        <v>14855</v>
      </c>
      <c r="G689" s="78" t="s">
        <v>14834</v>
      </c>
      <c r="H689" s="78">
        <v>5000</v>
      </c>
      <c r="I689" s="77"/>
    </row>
    <row r="690">
      <c r="A690" s="78" t="s">
        <v>16997</v>
      </c>
      <c r="B690" s="78" t="s">
        <v>16998</v>
      </c>
      <c r="C690" s="78" t="s">
        <v>16999</v>
      </c>
      <c r="D690" s="78" t="s">
        <v>16651</v>
      </c>
      <c r="E690" s="78" t="s">
        <v>15946</v>
      </c>
      <c r="F690" s="78" t="s">
        <v>14771</v>
      </c>
      <c r="G690" s="78" t="s">
        <v>14772</v>
      </c>
      <c r="H690" s="78">
        <v>5000</v>
      </c>
      <c r="I690" s="77"/>
      <c r="J690" s="77"/>
    </row>
    <row r="691">
      <c r="A691" s="78" t="s">
        <v>17000</v>
      </c>
      <c r="B691" s="78" t="s">
        <v>17001</v>
      </c>
      <c r="C691" s="78" t="s">
        <v>17002</v>
      </c>
      <c r="D691" s="78" t="s">
        <v>16820</v>
      </c>
      <c r="E691" s="78" t="s">
        <v>16873</v>
      </c>
      <c r="F691" s="78" t="s">
        <v>15081</v>
      </c>
      <c r="G691" s="78" t="s">
        <v>14651</v>
      </c>
      <c r="H691" s="78">
        <v>0</v>
      </c>
      <c r="I691" s="77"/>
    </row>
    <row r="692">
      <c r="A692" s="78" t="s">
        <v>17003</v>
      </c>
      <c r="B692" s="78" t="s">
        <v>17004</v>
      </c>
      <c r="C692" s="78" t="s">
        <v>17005</v>
      </c>
      <c r="D692" s="78" t="s">
        <v>16651</v>
      </c>
      <c r="E692" s="78" t="s">
        <v>14803</v>
      </c>
      <c r="F692" s="78" t="s">
        <v>15624</v>
      </c>
      <c r="G692" s="78" t="s">
        <v>14772</v>
      </c>
      <c r="H692" s="78">
        <v>3000</v>
      </c>
      <c r="I692" s="77"/>
      <c r="J692" s="77"/>
    </row>
    <row r="693">
      <c r="A693" s="78" t="s">
        <v>17006</v>
      </c>
      <c r="B693" s="78" t="s">
        <v>17007</v>
      </c>
      <c r="C693" s="78" t="s">
        <v>17008</v>
      </c>
      <c r="D693" s="78" t="s">
        <v>14648</v>
      </c>
      <c r="E693" s="78" t="s">
        <v>16099</v>
      </c>
      <c r="F693" s="78" t="s">
        <v>14867</v>
      </c>
      <c r="G693" s="78" t="s">
        <v>14734</v>
      </c>
      <c r="H693" s="78">
        <v>3000</v>
      </c>
      <c r="I693" s="77"/>
    </row>
    <row r="694">
      <c r="A694" s="78" t="s">
        <v>17009</v>
      </c>
      <c r="B694" s="78" t="s">
        <v>17010</v>
      </c>
      <c r="C694" s="78" t="s">
        <v>17011</v>
      </c>
      <c r="D694" s="78" t="s">
        <v>16651</v>
      </c>
      <c r="E694" s="78" t="s">
        <v>14843</v>
      </c>
      <c r="F694" s="78" t="s">
        <v>14859</v>
      </c>
      <c r="G694" s="78" t="s">
        <v>14834</v>
      </c>
      <c r="H694" s="78">
        <v>3400</v>
      </c>
      <c r="I694" s="77"/>
      <c r="J694" s="77"/>
    </row>
    <row r="695">
      <c r="A695" s="78" t="s">
        <v>17012</v>
      </c>
      <c r="B695" s="78" t="s">
        <v>17013</v>
      </c>
      <c r="C695" s="78" t="s">
        <v>17014</v>
      </c>
      <c r="D695" s="78" t="s">
        <v>16723</v>
      </c>
      <c r="E695" s="78" t="s">
        <v>17015</v>
      </c>
      <c r="F695" s="78" t="s">
        <v>16345</v>
      </c>
      <c r="G695" s="78" t="s">
        <v>15129</v>
      </c>
      <c r="H695" s="78">
        <v>2500</v>
      </c>
      <c r="I695" s="77"/>
      <c r="J695" s="77"/>
    </row>
    <row r="696">
      <c r="A696" s="78" t="s">
        <v>17016</v>
      </c>
      <c r="B696" s="78" t="s">
        <v>17017</v>
      </c>
      <c r="C696" s="78" t="s">
        <v>17018</v>
      </c>
      <c r="D696" s="78" t="s">
        <v>14648</v>
      </c>
      <c r="E696" s="78" t="s">
        <v>15946</v>
      </c>
      <c r="F696" s="78" t="s">
        <v>14894</v>
      </c>
      <c r="G696" s="78" t="s">
        <v>14734</v>
      </c>
      <c r="H696" s="78">
        <v>6000</v>
      </c>
      <c r="I696" s="77"/>
    </row>
    <row r="697">
      <c r="A697" s="78" t="s">
        <v>17019</v>
      </c>
      <c r="B697" s="78" t="s">
        <v>17020</v>
      </c>
      <c r="C697" s="78" t="s">
        <v>17021</v>
      </c>
      <c r="D697" s="78" t="s">
        <v>14648</v>
      </c>
      <c r="E697" s="78" t="s">
        <v>15946</v>
      </c>
      <c r="F697" s="78" t="s">
        <v>15061</v>
      </c>
      <c r="G697" s="78" t="s">
        <v>14651</v>
      </c>
      <c r="H697" s="78">
        <v>5000</v>
      </c>
      <c r="I697" s="77"/>
    </row>
    <row r="698">
      <c r="A698" s="78" t="s">
        <v>17022</v>
      </c>
      <c r="B698" s="78" t="s">
        <v>17023</v>
      </c>
      <c r="C698" s="78" t="s">
        <v>17024</v>
      </c>
      <c r="D698" s="78" t="s">
        <v>14648</v>
      </c>
      <c r="E698" s="78" t="s">
        <v>15683</v>
      </c>
      <c r="F698" s="78" t="s">
        <v>14922</v>
      </c>
      <c r="G698" s="78" t="s">
        <v>14923</v>
      </c>
      <c r="H698" s="78">
        <v>1000</v>
      </c>
      <c r="I698" s="77"/>
    </row>
    <row r="699">
      <c r="A699" s="78" t="s">
        <v>17025</v>
      </c>
      <c r="B699" s="78" t="s">
        <v>17026</v>
      </c>
      <c r="C699" s="78" t="s">
        <v>17027</v>
      </c>
      <c r="D699" s="78" t="s">
        <v>14648</v>
      </c>
      <c r="E699" s="78" t="s">
        <v>15683</v>
      </c>
      <c r="F699" s="78" t="s">
        <v>14922</v>
      </c>
      <c r="G699" s="78" t="s">
        <v>14923</v>
      </c>
      <c r="H699" s="78">
        <v>1000</v>
      </c>
      <c r="I699" s="77"/>
    </row>
    <row r="700">
      <c r="A700" s="78" t="s">
        <v>17028</v>
      </c>
      <c r="B700" s="78" t="s">
        <v>17029</v>
      </c>
      <c r="C700" s="78" t="s">
        <v>17030</v>
      </c>
      <c r="D700" s="78" t="s">
        <v>16651</v>
      </c>
      <c r="E700" s="78" t="s">
        <v>15683</v>
      </c>
      <c r="F700" s="78" t="s">
        <v>14922</v>
      </c>
      <c r="G700" s="78" t="s">
        <v>14923</v>
      </c>
      <c r="H700" s="78">
        <v>1000</v>
      </c>
      <c r="I700" s="77"/>
      <c r="J700" s="77"/>
    </row>
    <row r="701">
      <c r="A701" s="78" t="s">
        <v>17031</v>
      </c>
      <c r="B701" s="78" t="s">
        <v>17032</v>
      </c>
      <c r="C701" s="78" t="s">
        <v>17033</v>
      </c>
      <c r="D701" s="78" t="s">
        <v>14648</v>
      </c>
      <c r="E701" s="78" t="s">
        <v>14790</v>
      </c>
      <c r="F701" s="78" t="s">
        <v>14922</v>
      </c>
      <c r="G701" s="78" t="s">
        <v>14923</v>
      </c>
      <c r="H701" s="78">
        <v>10000</v>
      </c>
      <c r="I701" s="77"/>
    </row>
    <row r="702">
      <c r="A702" s="78" t="s">
        <v>17034</v>
      </c>
      <c r="B702" s="78" t="s">
        <v>17035</v>
      </c>
      <c r="C702" s="78" t="s">
        <v>17036</v>
      </c>
      <c r="D702" s="78" t="s">
        <v>14648</v>
      </c>
      <c r="E702" s="78" t="s">
        <v>15683</v>
      </c>
      <c r="F702" s="78" t="s">
        <v>14867</v>
      </c>
      <c r="G702" s="78" t="s">
        <v>14931</v>
      </c>
      <c r="H702" s="78">
        <v>1000</v>
      </c>
      <c r="I702" s="77"/>
    </row>
    <row r="703">
      <c r="A703" s="78" t="s">
        <v>17037</v>
      </c>
      <c r="B703" s="78" t="s">
        <v>17038</v>
      </c>
      <c r="C703" s="78" t="s">
        <v>17039</v>
      </c>
      <c r="D703" s="78" t="s">
        <v>14648</v>
      </c>
      <c r="E703" s="78" t="s">
        <v>15946</v>
      </c>
      <c r="F703" s="78" t="s">
        <v>15669</v>
      </c>
      <c r="G703" s="78" t="s">
        <v>14782</v>
      </c>
      <c r="H703" s="78">
        <v>5000</v>
      </c>
      <c r="I703" s="77"/>
    </row>
    <row r="704">
      <c r="A704" s="78" t="s">
        <v>17040</v>
      </c>
      <c r="B704" s="78" t="s">
        <v>17041</v>
      </c>
      <c r="C704" s="78" t="s">
        <v>17042</v>
      </c>
      <c r="D704" s="78" t="s">
        <v>14648</v>
      </c>
      <c r="E704" s="78" t="s">
        <v>14884</v>
      </c>
      <c r="F704" s="78" t="s">
        <v>14872</v>
      </c>
      <c r="G704" s="78" t="s">
        <v>14734</v>
      </c>
      <c r="H704" s="78">
        <v>5000</v>
      </c>
      <c r="I704" s="77"/>
    </row>
    <row r="705">
      <c r="A705" s="78" t="s">
        <v>17043</v>
      </c>
      <c r="B705" s="78" t="s">
        <v>17044</v>
      </c>
      <c r="C705" s="78" t="s">
        <v>17045</v>
      </c>
      <c r="D705" s="78" t="s">
        <v>14648</v>
      </c>
      <c r="E705" s="78" t="s">
        <v>14884</v>
      </c>
      <c r="F705" s="78" t="s">
        <v>15619</v>
      </c>
      <c r="G705" s="78" t="s">
        <v>14931</v>
      </c>
      <c r="H705" s="78">
        <v>5000</v>
      </c>
      <c r="I705" s="77"/>
    </row>
    <row r="706">
      <c r="A706" s="78" t="s">
        <v>17046</v>
      </c>
      <c r="B706" s="78" t="s">
        <v>17047</v>
      </c>
      <c r="C706" s="78" t="s">
        <v>17048</v>
      </c>
      <c r="D706" s="78" t="s">
        <v>16651</v>
      </c>
      <c r="E706" s="78" t="s">
        <v>15683</v>
      </c>
      <c r="F706" s="78" t="s">
        <v>14791</v>
      </c>
      <c r="G706" s="78" t="s">
        <v>14734</v>
      </c>
      <c r="H706" s="78">
        <v>1000</v>
      </c>
      <c r="I706" s="77"/>
    </row>
    <row r="707">
      <c r="A707" s="78" t="s">
        <v>17049</v>
      </c>
      <c r="B707" s="78" t="s">
        <v>17050</v>
      </c>
      <c r="C707" s="78" t="s">
        <v>17051</v>
      </c>
      <c r="D707" s="78" t="s">
        <v>14648</v>
      </c>
      <c r="E707" s="78" t="s">
        <v>15946</v>
      </c>
      <c r="F707" s="78" t="s">
        <v>14809</v>
      </c>
      <c r="G707" s="78" t="s">
        <v>14772</v>
      </c>
      <c r="H707" s="78">
        <v>5000</v>
      </c>
      <c r="I707" s="77"/>
    </row>
    <row r="708">
      <c r="A708" s="78" t="s">
        <v>17052</v>
      </c>
      <c r="B708" s="78" t="s">
        <v>17053</v>
      </c>
      <c r="C708" s="78" t="s">
        <v>17054</v>
      </c>
      <c r="D708" s="78" t="s">
        <v>14648</v>
      </c>
      <c r="E708" s="78" t="s">
        <v>15946</v>
      </c>
      <c r="F708" s="78" t="s">
        <v>14867</v>
      </c>
      <c r="G708" s="78" t="s">
        <v>14931</v>
      </c>
      <c r="H708" s="78">
        <v>6000</v>
      </c>
      <c r="I708" s="77"/>
    </row>
    <row r="709">
      <c r="A709" s="78" t="s">
        <v>17055</v>
      </c>
      <c r="B709" s="78" t="s">
        <v>17056</v>
      </c>
      <c r="C709" s="78" t="s">
        <v>17057</v>
      </c>
      <c r="D709" s="78" t="s">
        <v>14648</v>
      </c>
      <c r="E709" s="78" t="s">
        <v>15359</v>
      </c>
      <c r="F709" s="78" t="s">
        <v>15076</v>
      </c>
      <c r="G709" s="78" t="s">
        <v>14651</v>
      </c>
      <c r="H709" s="78">
        <v>1000</v>
      </c>
      <c r="I709" s="77"/>
    </row>
    <row r="710">
      <c r="A710" s="78" t="s">
        <v>17058</v>
      </c>
      <c r="B710" s="78" t="s">
        <v>17059</v>
      </c>
      <c r="C710" s="78" t="s">
        <v>17060</v>
      </c>
      <c r="D710" s="78" t="s">
        <v>16723</v>
      </c>
      <c r="E710" s="78" t="s">
        <v>15555</v>
      </c>
      <c r="F710" s="78" t="s">
        <v>15551</v>
      </c>
      <c r="G710" s="78" t="s">
        <v>14651</v>
      </c>
      <c r="H710" s="78">
        <v>1200</v>
      </c>
      <c r="I710" s="77"/>
    </row>
    <row r="711">
      <c r="A711" s="78" t="s">
        <v>17061</v>
      </c>
      <c r="B711" s="78" t="s">
        <v>17062</v>
      </c>
      <c r="C711" s="78" t="s">
        <v>17063</v>
      </c>
      <c r="D711" s="78" t="s">
        <v>16723</v>
      </c>
      <c r="E711" s="78" t="s">
        <v>15038</v>
      </c>
      <c r="F711" s="78" t="s">
        <v>15039</v>
      </c>
      <c r="G711" s="78" t="s">
        <v>14651</v>
      </c>
      <c r="H711" s="78">
        <v>3000</v>
      </c>
      <c r="I711" s="77"/>
    </row>
    <row r="712">
      <c r="A712" s="78" t="s">
        <v>17064</v>
      </c>
      <c r="B712" s="78" t="s">
        <v>17065</v>
      </c>
      <c r="C712" s="78" t="s">
        <v>17066</v>
      </c>
      <c r="D712" s="78" t="s">
        <v>16723</v>
      </c>
      <c r="E712" s="78" t="s">
        <v>14930</v>
      </c>
      <c r="F712" s="78" t="s">
        <v>14867</v>
      </c>
      <c r="G712" s="78" t="s">
        <v>14931</v>
      </c>
      <c r="H712" s="78">
        <v>100000</v>
      </c>
      <c r="I712" s="77"/>
    </row>
    <row r="713">
      <c r="A713" s="78" t="s">
        <v>17067</v>
      </c>
      <c r="B713" s="78" t="s">
        <v>17068</v>
      </c>
      <c r="C713" s="78" t="s">
        <v>17069</v>
      </c>
      <c r="D713" s="78" t="s">
        <v>16723</v>
      </c>
      <c r="E713" s="78" t="s">
        <v>16048</v>
      </c>
      <c r="F713" s="78" t="s">
        <v>15090</v>
      </c>
      <c r="G713" s="78" t="s">
        <v>15129</v>
      </c>
      <c r="H713" s="78">
        <v>2800</v>
      </c>
      <c r="I713" s="77"/>
    </row>
    <row r="714">
      <c r="A714" s="78" t="s">
        <v>17070</v>
      </c>
      <c r="B714" s="78" t="s">
        <v>17071</v>
      </c>
      <c r="C714" s="78" t="s">
        <v>17072</v>
      </c>
      <c r="D714" s="78" t="s">
        <v>16820</v>
      </c>
      <c r="E714" s="78" t="s">
        <v>17073</v>
      </c>
      <c r="F714" s="78" t="s">
        <v>15704</v>
      </c>
      <c r="G714" s="78" t="s">
        <v>14923</v>
      </c>
      <c r="H714" s="78">
        <v>0</v>
      </c>
      <c r="I714" s="77"/>
      <c r="J714" s="77"/>
    </row>
    <row r="715">
      <c r="A715" s="78" t="s">
        <v>17074</v>
      </c>
      <c r="B715" s="78" t="s">
        <v>17075</v>
      </c>
      <c r="C715" s="78" t="s">
        <v>17076</v>
      </c>
      <c r="D715" s="78" t="s">
        <v>16651</v>
      </c>
      <c r="E715" s="78" t="s">
        <v>16534</v>
      </c>
      <c r="F715" s="78" t="s">
        <v>14712</v>
      </c>
      <c r="G715" s="78" t="s">
        <v>14796</v>
      </c>
      <c r="H715" s="78">
        <v>3000</v>
      </c>
      <c r="I715" s="77"/>
    </row>
    <row r="716">
      <c r="A716" s="78" t="s">
        <v>17077</v>
      </c>
      <c r="B716" s="78" t="s">
        <v>17078</v>
      </c>
      <c r="C716" s="78" t="s">
        <v>17079</v>
      </c>
      <c r="D716" s="78" t="s">
        <v>16723</v>
      </c>
      <c r="E716" s="78" t="s">
        <v>14790</v>
      </c>
      <c r="F716" s="78" t="s">
        <v>14867</v>
      </c>
      <c r="G716" s="78" t="s">
        <v>14931</v>
      </c>
      <c r="H716" s="78">
        <v>10000</v>
      </c>
      <c r="I716" s="77"/>
    </row>
    <row r="717">
      <c r="A717" s="78" t="s">
        <v>17080</v>
      </c>
      <c r="B717" s="78" t="s">
        <v>17081</v>
      </c>
      <c r="C717" s="78" t="s">
        <v>17082</v>
      </c>
      <c r="D717" s="78" t="s">
        <v>16723</v>
      </c>
      <c r="E717" s="78" t="s">
        <v>15946</v>
      </c>
      <c r="F717" s="78" t="s">
        <v>14839</v>
      </c>
      <c r="G717" s="78" t="s">
        <v>14834</v>
      </c>
      <c r="H717" s="78">
        <v>5000</v>
      </c>
      <c r="I717" s="77"/>
    </row>
    <row r="718">
      <c r="A718" s="78" t="s">
        <v>17083</v>
      </c>
      <c r="B718" s="78" t="s">
        <v>17084</v>
      </c>
      <c r="C718" s="78" t="s">
        <v>17085</v>
      </c>
      <c r="D718" s="78" t="s">
        <v>16651</v>
      </c>
      <c r="E718" s="78" t="s">
        <v>16516</v>
      </c>
      <c r="F718" s="78" t="s">
        <v>14848</v>
      </c>
      <c r="G718" s="78" t="s">
        <v>14834</v>
      </c>
      <c r="H718" s="78">
        <v>3400</v>
      </c>
      <c r="I718" s="77"/>
    </row>
    <row r="719">
      <c r="A719" s="78" t="s">
        <v>17086</v>
      </c>
      <c r="B719" s="78" t="s">
        <v>17087</v>
      </c>
      <c r="C719" s="78" t="s">
        <v>17088</v>
      </c>
      <c r="D719" s="78" t="s">
        <v>16651</v>
      </c>
      <c r="E719" s="78" t="s">
        <v>17089</v>
      </c>
      <c r="F719" s="78" t="s">
        <v>14885</v>
      </c>
      <c r="G719" s="78" t="s">
        <v>14734</v>
      </c>
      <c r="H719" s="78">
        <v>8000</v>
      </c>
      <c r="I719" s="77"/>
      <c r="J719" s="77"/>
    </row>
    <row r="720">
      <c r="A720" s="78" t="s">
        <v>17090</v>
      </c>
      <c r="B720" s="78" t="s">
        <v>17091</v>
      </c>
      <c r="C720" s="78" t="s">
        <v>17092</v>
      </c>
      <c r="D720" s="78" t="s">
        <v>16651</v>
      </c>
      <c r="E720" s="78" t="s">
        <v>15946</v>
      </c>
      <c r="F720" s="78" t="s">
        <v>15161</v>
      </c>
      <c r="G720" s="78" t="s">
        <v>14923</v>
      </c>
      <c r="H720" s="78">
        <v>6000</v>
      </c>
      <c r="I720" s="77"/>
      <c r="J720" s="77"/>
    </row>
    <row r="721">
      <c r="A721" s="78" t="s">
        <v>17093</v>
      </c>
      <c r="B721" s="78" t="s">
        <v>17094</v>
      </c>
      <c r="C721" s="78" t="s">
        <v>17095</v>
      </c>
      <c r="D721" s="78" t="s">
        <v>16723</v>
      </c>
      <c r="E721" s="78" t="s">
        <v>17096</v>
      </c>
      <c r="F721" s="78" t="s">
        <v>16035</v>
      </c>
      <c r="G721" s="78" t="s">
        <v>14834</v>
      </c>
      <c r="H721" s="78">
        <v>2000</v>
      </c>
      <c r="I721" s="77"/>
    </row>
    <row r="722">
      <c r="A722" s="78" t="s">
        <v>17097</v>
      </c>
      <c r="B722" s="78" t="s">
        <v>17098</v>
      </c>
      <c r="C722" s="78" t="s">
        <v>17099</v>
      </c>
      <c r="D722" s="78" t="s">
        <v>16723</v>
      </c>
      <c r="E722" s="78" t="s">
        <v>15555</v>
      </c>
      <c r="F722" s="78" t="s">
        <v>15551</v>
      </c>
      <c r="G722" s="78" t="s">
        <v>14651</v>
      </c>
      <c r="H722" s="78">
        <v>1200</v>
      </c>
      <c r="I722" s="77"/>
    </row>
    <row r="723">
      <c r="A723" s="78" t="s">
        <v>17100</v>
      </c>
      <c r="B723" s="78" t="s">
        <v>17101</v>
      </c>
      <c r="C723" s="78" t="s">
        <v>17102</v>
      </c>
      <c r="D723" s="78" t="s">
        <v>16820</v>
      </c>
      <c r="E723" s="78" t="s">
        <v>17103</v>
      </c>
      <c r="F723" s="78" t="s">
        <v>15319</v>
      </c>
      <c r="G723" s="78" t="s">
        <v>14772</v>
      </c>
      <c r="H723" s="78">
        <v>0</v>
      </c>
      <c r="I723" s="77"/>
      <c r="J723" s="77"/>
    </row>
    <row r="724">
      <c r="A724" s="78" t="s">
        <v>17104</v>
      </c>
      <c r="B724" s="78" t="s">
        <v>17105</v>
      </c>
      <c r="C724" s="78" t="s">
        <v>17106</v>
      </c>
      <c r="D724" s="78" t="s">
        <v>16723</v>
      </c>
      <c r="E724" s="78" t="s">
        <v>14790</v>
      </c>
      <c r="F724" s="78" t="s">
        <v>14867</v>
      </c>
      <c r="G724" s="78" t="s">
        <v>14734</v>
      </c>
      <c r="H724" s="78">
        <v>10000</v>
      </c>
      <c r="I724" s="77"/>
      <c r="J724" s="77"/>
    </row>
    <row r="725">
      <c r="A725" s="78" t="s">
        <v>17107</v>
      </c>
      <c r="B725" s="78" t="s">
        <v>17108</v>
      </c>
      <c r="C725" s="78" t="s">
        <v>17109</v>
      </c>
      <c r="D725" s="78" t="s">
        <v>16723</v>
      </c>
      <c r="E725" s="78" t="s">
        <v>14790</v>
      </c>
      <c r="F725" s="78" t="s">
        <v>14922</v>
      </c>
      <c r="G725" s="78" t="s">
        <v>14923</v>
      </c>
      <c r="H725" s="78">
        <v>10000</v>
      </c>
      <c r="I725" s="77"/>
    </row>
    <row r="726">
      <c r="A726" s="78" t="s">
        <v>17110</v>
      </c>
      <c r="B726" s="78" t="s">
        <v>17111</v>
      </c>
      <c r="C726" s="78" t="s">
        <v>17112</v>
      </c>
      <c r="D726" s="78" t="s">
        <v>14648</v>
      </c>
      <c r="E726" s="78" t="s">
        <v>14871</v>
      </c>
      <c r="F726" s="78" t="s">
        <v>14885</v>
      </c>
      <c r="G726" s="78" t="s">
        <v>14734</v>
      </c>
      <c r="H726" s="78">
        <v>2000</v>
      </c>
      <c r="I726" s="77"/>
    </row>
    <row r="727">
      <c r="A727" s="78" t="s">
        <v>17113</v>
      </c>
      <c r="B727" s="78" t="s">
        <v>17114</v>
      </c>
      <c r="C727" s="78" t="s">
        <v>17115</v>
      </c>
      <c r="D727" s="78" t="s">
        <v>16723</v>
      </c>
      <c r="E727" s="78" t="s">
        <v>17116</v>
      </c>
      <c r="F727" s="78" t="s">
        <v>15739</v>
      </c>
      <c r="G727" s="78" t="s">
        <v>14734</v>
      </c>
      <c r="H727" s="78">
        <v>5000</v>
      </c>
      <c r="I727" s="77"/>
      <c r="J727" s="77"/>
    </row>
    <row r="728">
      <c r="A728" s="78" t="s">
        <v>17117</v>
      </c>
      <c r="B728" s="78" t="s">
        <v>17118</v>
      </c>
      <c r="C728" s="78" t="s">
        <v>17119</v>
      </c>
      <c r="D728" s="78" t="s">
        <v>16723</v>
      </c>
      <c r="E728" s="78" t="s">
        <v>16076</v>
      </c>
      <c r="F728" s="78" t="s">
        <v>14922</v>
      </c>
      <c r="G728" s="78" t="s">
        <v>14923</v>
      </c>
      <c r="H728" s="78">
        <v>5000</v>
      </c>
      <c r="I728" s="77"/>
    </row>
    <row r="729">
      <c r="A729" s="78" t="s">
        <v>17120</v>
      </c>
      <c r="B729" s="78" t="s">
        <v>17121</v>
      </c>
      <c r="C729" s="78" t="s">
        <v>17122</v>
      </c>
      <c r="D729" s="78" t="s">
        <v>16651</v>
      </c>
      <c r="E729" s="78" t="s">
        <v>15683</v>
      </c>
      <c r="F729" s="78" t="s">
        <v>14867</v>
      </c>
      <c r="G729" s="78" t="s">
        <v>14734</v>
      </c>
      <c r="H729" s="78">
        <v>1000</v>
      </c>
      <c r="I729" s="77"/>
    </row>
    <row r="730">
      <c r="A730" s="78" t="s">
        <v>17123</v>
      </c>
      <c r="B730" s="78" t="s">
        <v>17124</v>
      </c>
      <c r="C730" s="78" t="s">
        <v>17125</v>
      </c>
      <c r="D730" s="78" t="s">
        <v>16723</v>
      </c>
      <c r="E730" s="78" t="s">
        <v>17126</v>
      </c>
      <c r="F730" s="78" t="s">
        <v>15076</v>
      </c>
      <c r="G730" s="78" t="s">
        <v>14651</v>
      </c>
      <c r="H730" s="78">
        <v>2000</v>
      </c>
      <c r="I730" s="77"/>
    </row>
    <row r="731">
      <c r="A731" s="78" t="s">
        <v>17127</v>
      </c>
      <c r="B731" s="78" t="s">
        <v>17128</v>
      </c>
      <c r="C731" s="78" t="s">
        <v>17129</v>
      </c>
      <c r="D731" s="78" t="s">
        <v>14648</v>
      </c>
      <c r="E731" s="78" t="s">
        <v>17130</v>
      </c>
      <c r="F731" s="78" t="s">
        <v>14771</v>
      </c>
      <c r="G731" s="78" t="s">
        <v>14772</v>
      </c>
      <c r="H731" s="78">
        <v>1000</v>
      </c>
      <c r="I731" s="77"/>
      <c r="J731" s="77"/>
    </row>
    <row r="732">
      <c r="A732" s="78" t="s">
        <v>17131</v>
      </c>
      <c r="B732" s="78" t="s">
        <v>17132</v>
      </c>
      <c r="C732" s="78" t="s">
        <v>17133</v>
      </c>
      <c r="D732" s="78" t="s">
        <v>16820</v>
      </c>
      <c r="E732" s="78" t="s">
        <v>16880</v>
      </c>
      <c r="F732" s="78" t="s">
        <v>14781</v>
      </c>
      <c r="G732" s="78" t="s">
        <v>14782</v>
      </c>
      <c r="H732" s="78">
        <v>0</v>
      </c>
      <c r="I732" s="77"/>
      <c r="J732" s="77"/>
    </row>
    <row r="733">
      <c r="A733" s="78" t="s">
        <v>17134</v>
      </c>
      <c r="B733" s="78" t="s">
        <v>17135</v>
      </c>
      <c r="C733" s="78" t="s">
        <v>17136</v>
      </c>
      <c r="D733" s="78" t="s">
        <v>16820</v>
      </c>
      <c r="E733" s="78" t="s">
        <v>16873</v>
      </c>
      <c r="F733" s="78" t="s">
        <v>15039</v>
      </c>
      <c r="G733" s="78" t="s">
        <v>14651</v>
      </c>
      <c r="H733" s="78">
        <v>0</v>
      </c>
      <c r="I733" s="77"/>
    </row>
    <row r="734">
      <c r="A734" s="78" t="s">
        <v>17137</v>
      </c>
      <c r="B734" s="78" t="s">
        <v>17138</v>
      </c>
      <c r="C734" s="78" t="s">
        <v>17139</v>
      </c>
      <c r="D734" s="78" t="s">
        <v>16820</v>
      </c>
      <c r="E734" s="78" t="s">
        <v>17140</v>
      </c>
      <c r="F734" s="78" t="s">
        <v>14723</v>
      </c>
      <c r="G734" s="78" t="s">
        <v>14703</v>
      </c>
      <c r="H734" s="78">
        <v>0</v>
      </c>
      <c r="I734" s="77"/>
    </row>
    <row r="735">
      <c r="A735" s="78" t="s">
        <v>17141</v>
      </c>
      <c r="B735" s="78" t="s">
        <v>17142</v>
      </c>
      <c r="C735" s="78" t="s">
        <v>17143</v>
      </c>
      <c r="D735" s="78" t="s">
        <v>16651</v>
      </c>
      <c r="E735" s="78" t="s">
        <v>15683</v>
      </c>
      <c r="F735" s="78" t="s">
        <v>14867</v>
      </c>
      <c r="G735" s="78" t="s">
        <v>14931</v>
      </c>
      <c r="H735" s="78">
        <v>1000</v>
      </c>
      <c r="I735" s="77"/>
    </row>
    <row r="736">
      <c r="A736" s="78" t="s">
        <v>17144</v>
      </c>
      <c r="B736" s="78" t="s">
        <v>17145</v>
      </c>
      <c r="C736" s="78" t="s">
        <v>17146</v>
      </c>
      <c r="D736" s="78" t="s">
        <v>16820</v>
      </c>
      <c r="E736" s="78" t="s">
        <v>16873</v>
      </c>
      <c r="F736" s="78" t="s">
        <v>15081</v>
      </c>
      <c r="G736" s="78" t="s">
        <v>14651</v>
      </c>
      <c r="H736" s="78">
        <v>0</v>
      </c>
      <c r="I736" s="77"/>
      <c r="J736" s="77"/>
    </row>
    <row r="737">
      <c r="A737" s="78" t="s">
        <v>17147</v>
      </c>
      <c r="B737" s="78" t="s">
        <v>17148</v>
      </c>
      <c r="C737" s="78" t="s">
        <v>17149</v>
      </c>
      <c r="D737" s="78" t="s">
        <v>16723</v>
      </c>
      <c r="E737" s="78" t="s">
        <v>14884</v>
      </c>
      <c r="F737" s="78" t="s">
        <v>14943</v>
      </c>
      <c r="G737" s="78" t="s">
        <v>14923</v>
      </c>
      <c r="H737" s="78">
        <v>5000</v>
      </c>
      <c r="I737" s="77"/>
    </row>
    <row r="738">
      <c r="A738" s="78" t="s">
        <v>17150</v>
      </c>
      <c r="B738" s="78" t="s">
        <v>17151</v>
      </c>
      <c r="C738" s="78" t="s">
        <v>17152</v>
      </c>
      <c r="D738" s="78" t="s">
        <v>16651</v>
      </c>
      <c r="E738" s="78" t="s">
        <v>14790</v>
      </c>
      <c r="F738" s="78" t="s">
        <v>14922</v>
      </c>
      <c r="G738" s="78" t="s">
        <v>14923</v>
      </c>
      <c r="H738" s="78">
        <v>10000</v>
      </c>
      <c r="I738" s="77"/>
    </row>
    <row r="739">
      <c r="A739" s="78" t="s">
        <v>17153</v>
      </c>
      <c r="B739" s="78" t="s">
        <v>17154</v>
      </c>
      <c r="C739" s="78" t="s">
        <v>17155</v>
      </c>
      <c r="D739" s="78" t="s">
        <v>16651</v>
      </c>
      <c r="E739" s="78" t="s">
        <v>14994</v>
      </c>
      <c r="F739" s="78" t="s">
        <v>14712</v>
      </c>
      <c r="G739" s="78" t="s">
        <v>14931</v>
      </c>
      <c r="H739" s="78">
        <v>3000</v>
      </c>
      <c r="I739" s="77"/>
    </row>
    <row r="740">
      <c r="A740" s="78" t="s">
        <v>17156</v>
      </c>
      <c r="B740" s="78" t="s">
        <v>17157</v>
      </c>
      <c r="C740" s="78" t="s">
        <v>17158</v>
      </c>
      <c r="D740" s="78" t="s">
        <v>16820</v>
      </c>
      <c r="E740" s="78" t="s">
        <v>17159</v>
      </c>
      <c r="F740" s="78" t="s">
        <v>15039</v>
      </c>
      <c r="G740" s="78" t="s">
        <v>14651</v>
      </c>
      <c r="H740" s="78">
        <v>0</v>
      </c>
      <c r="I740" s="77"/>
    </row>
    <row r="741">
      <c r="A741" s="78" t="s">
        <v>17160</v>
      </c>
      <c r="B741" s="78" t="s">
        <v>17161</v>
      </c>
      <c r="C741" s="78" t="s">
        <v>17162</v>
      </c>
      <c r="D741" s="78" t="s">
        <v>16651</v>
      </c>
      <c r="E741" s="78" t="s">
        <v>15683</v>
      </c>
      <c r="F741" s="78" t="s">
        <v>14791</v>
      </c>
      <c r="G741" s="78" t="s">
        <v>14734</v>
      </c>
      <c r="H741" s="78">
        <v>1000</v>
      </c>
      <c r="I741" s="77"/>
    </row>
    <row r="742">
      <c r="A742" s="78" t="s">
        <v>17163</v>
      </c>
      <c r="B742" s="78" t="s">
        <v>17164</v>
      </c>
      <c r="C742" s="78" t="s">
        <v>17165</v>
      </c>
      <c r="D742" s="78" t="s">
        <v>16820</v>
      </c>
      <c r="E742" s="78" t="s">
        <v>17103</v>
      </c>
      <c r="F742" s="78" t="s">
        <v>14821</v>
      </c>
      <c r="G742" s="78" t="s">
        <v>14772</v>
      </c>
      <c r="H742" s="78">
        <v>0</v>
      </c>
      <c r="I742" s="77"/>
    </row>
    <row r="743">
      <c r="A743" s="78" t="s">
        <v>17166</v>
      </c>
      <c r="B743" s="78" t="s">
        <v>17167</v>
      </c>
      <c r="C743" s="78" t="s">
        <v>17168</v>
      </c>
      <c r="D743" s="78" t="s">
        <v>16723</v>
      </c>
      <c r="E743" s="78" t="s">
        <v>14790</v>
      </c>
      <c r="F743" s="78" t="s">
        <v>14922</v>
      </c>
      <c r="G743" s="78" t="s">
        <v>14923</v>
      </c>
      <c r="H743" s="78">
        <v>10000</v>
      </c>
      <c r="I743" s="77"/>
    </row>
    <row r="744">
      <c r="A744" s="78" t="s">
        <v>17169</v>
      </c>
      <c r="B744" s="78" t="s">
        <v>17170</v>
      </c>
      <c r="C744" s="78" t="s">
        <v>17171</v>
      </c>
      <c r="D744" s="78" t="s">
        <v>16651</v>
      </c>
      <c r="E744" s="78" t="s">
        <v>14790</v>
      </c>
      <c r="F744" s="78" t="s">
        <v>14867</v>
      </c>
      <c r="G744" s="78" t="s">
        <v>14734</v>
      </c>
      <c r="H744" s="78">
        <v>10000</v>
      </c>
      <c r="I744" s="77"/>
    </row>
    <row r="745">
      <c r="A745" s="78" t="s">
        <v>17172</v>
      </c>
      <c r="B745" s="78" t="s">
        <v>17173</v>
      </c>
      <c r="C745" s="78" t="s">
        <v>17174</v>
      </c>
      <c r="D745" s="78" t="s">
        <v>16651</v>
      </c>
      <c r="E745" s="78" t="s">
        <v>15683</v>
      </c>
      <c r="F745" s="78" t="s">
        <v>14867</v>
      </c>
      <c r="G745" s="78" t="s">
        <v>14931</v>
      </c>
      <c r="H745" s="78">
        <v>1000</v>
      </c>
      <c r="I745" s="77"/>
    </row>
    <row r="746">
      <c r="A746" s="78" t="s">
        <v>17175</v>
      </c>
      <c r="B746" s="78" t="s">
        <v>17176</v>
      </c>
      <c r="C746" s="78" t="s">
        <v>17177</v>
      </c>
      <c r="D746" s="78" t="s">
        <v>16651</v>
      </c>
      <c r="E746" s="78" t="s">
        <v>15946</v>
      </c>
      <c r="F746" s="78" t="s">
        <v>15624</v>
      </c>
      <c r="G746" s="78" t="s">
        <v>14772</v>
      </c>
      <c r="H746" s="78">
        <v>5000</v>
      </c>
      <c r="I746" s="77"/>
    </row>
    <row r="747">
      <c r="A747" s="78" t="s">
        <v>17178</v>
      </c>
      <c r="B747" s="78" t="s">
        <v>17179</v>
      </c>
      <c r="C747" s="78" t="s">
        <v>17180</v>
      </c>
      <c r="D747" s="78" t="s">
        <v>16820</v>
      </c>
      <c r="E747" s="78" t="s">
        <v>17181</v>
      </c>
      <c r="F747" s="78" t="s">
        <v>15100</v>
      </c>
      <c r="G747" s="78" t="s">
        <v>14963</v>
      </c>
      <c r="H747" s="78">
        <v>0</v>
      </c>
      <c r="I747" s="77"/>
      <c r="J747" s="77"/>
    </row>
    <row r="748">
      <c r="A748" s="78" t="s">
        <v>17182</v>
      </c>
      <c r="B748" s="78" t="s">
        <v>17183</v>
      </c>
      <c r="C748" s="78" t="s">
        <v>17184</v>
      </c>
      <c r="D748" s="78" t="s">
        <v>16651</v>
      </c>
      <c r="E748" s="78" t="s">
        <v>15946</v>
      </c>
      <c r="F748" s="78" t="s">
        <v>14922</v>
      </c>
      <c r="G748" s="78" t="s">
        <v>14923</v>
      </c>
      <c r="H748" s="78">
        <v>5000</v>
      </c>
      <c r="I748" s="77"/>
    </row>
    <row r="749">
      <c r="A749" s="78" t="s">
        <v>17185</v>
      </c>
      <c r="B749" s="78" t="s">
        <v>17186</v>
      </c>
      <c r="C749" s="78" t="s">
        <v>17187</v>
      </c>
      <c r="D749" s="78" t="s">
        <v>16723</v>
      </c>
      <c r="E749" s="78" t="s">
        <v>14871</v>
      </c>
      <c r="F749" s="78" t="s">
        <v>15999</v>
      </c>
      <c r="G749" s="78" t="s">
        <v>14734</v>
      </c>
      <c r="H749" s="78">
        <v>2000</v>
      </c>
      <c r="I749" s="77"/>
    </row>
    <row r="750">
      <c r="A750" s="78" t="s">
        <v>17188</v>
      </c>
      <c r="B750" s="78" t="s">
        <v>17189</v>
      </c>
      <c r="C750" s="78" t="s">
        <v>17190</v>
      </c>
      <c r="D750" s="78" t="s">
        <v>16820</v>
      </c>
      <c r="E750" s="78" t="s">
        <v>17191</v>
      </c>
      <c r="F750" s="78" t="s">
        <v>14712</v>
      </c>
      <c r="G750" s="78" t="s">
        <v>14990</v>
      </c>
      <c r="H750" s="78">
        <v>0</v>
      </c>
      <c r="I750" s="77"/>
    </row>
    <row r="751">
      <c r="A751" s="78" t="s">
        <v>17192</v>
      </c>
      <c r="B751" s="78" t="s">
        <v>17193</v>
      </c>
      <c r="C751" s="78" t="s">
        <v>17194</v>
      </c>
      <c r="D751" s="78" t="s">
        <v>16820</v>
      </c>
      <c r="E751" s="78" t="s">
        <v>17195</v>
      </c>
      <c r="F751" s="78" t="s">
        <v>16345</v>
      </c>
      <c r="G751" s="78" t="s">
        <v>15129</v>
      </c>
      <c r="H751" s="78">
        <v>0</v>
      </c>
      <c r="I751" s="77"/>
      <c r="J751" s="77"/>
    </row>
    <row r="752">
      <c r="A752" s="78" t="s">
        <v>17196</v>
      </c>
      <c r="B752" s="78" t="s">
        <v>17197</v>
      </c>
      <c r="C752" s="78" t="s">
        <v>17198</v>
      </c>
      <c r="D752" s="78" t="s">
        <v>16723</v>
      </c>
      <c r="E752" s="78" t="s">
        <v>14884</v>
      </c>
      <c r="F752" s="78" t="s">
        <v>14894</v>
      </c>
      <c r="G752" s="78" t="s">
        <v>14734</v>
      </c>
      <c r="H752" s="78">
        <v>5000</v>
      </c>
      <c r="I752" s="77"/>
    </row>
    <row r="753">
      <c r="A753" s="78" t="s">
        <v>17199</v>
      </c>
      <c r="B753" s="78" t="s">
        <v>17200</v>
      </c>
      <c r="C753" s="78" t="s">
        <v>17201</v>
      </c>
      <c r="D753" s="78" t="s">
        <v>14648</v>
      </c>
      <c r="E753" s="78" t="s">
        <v>14884</v>
      </c>
      <c r="F753" s="78" t="s">
        <v>15704</v>
      </c>
      <c r="G753" s="78" t="s">
        <v>14923</v>
      </c>
      <c r="H753" s="78">
        <v>5000</v>
      </c>
      <c r="I753" s="77"/>
    </row>
    <row r="754">
      <c r="A754" s="78" t="s">
        <v>17202</v>
      </c>
      <c r="B754" s="78" t="s">
        <v>17203</v>
      </c>
      <c r="C754" s="78" t="s">
        <v>17204</v>
      </c>
      <c r="D754" s="78" t="s">
        <v>16651</v>
      </c>
      <c r="E754" s="78" t="s">
        <v>15683</v>
      </c>
      <c r="F754" s="78" t="s">
        <v>14922</v>
      </c>
      <c r="G754" s="78" t="s">
        <v>14923</v>
      </c>
      <c r="H754" s="78">
        <v>1000</v>
      </c>
      <c r="I754" s="77"/>
    </row>
    <row r="755">
      <c r="A755" s="78" t="s">
        <v>17205</v>
      </c>
      <c r="B755" s="78" t="s">
        <v>17206</v>
      </c>
      <c r="C755" s="78" t="s">
        <v>17207</v>
      </c>
      <c r="D755" s="78" t="s">
        <v>16723</v>
      </c>
      <c r="E755" s="78" t="s">
        <v>16716</v>
      </c>
      <c r="F755" s="78" t="s">
        <v>15708</v>
      </c>
      <c r="G755" s="78" t="s">
        <v>14734</v>
      </c>
      <c r="H755" s="78">
        <v>5000</v>
      </c>
      <c r="I755" s="77"/>
    </row>
    <row r="756">
      <c r="A756" s="78" t="s">
        <v>17208</v>
      </c>
      <c r="B756" s="78" t="s">
        <v>17209</v>
      </c>
      <c r="C756" s="78" t="s">
        <v>17210</v>
      </c>
      <c r="D756" s="78" t="s">
        <v>16651</v>
      </c>
      <c r="E756" s="78" t="s">
        <v>14790</v>
      </c>
      <c r="F756" s="78" t="s">
        <v>14867</v>
      </c>
      <c r="G756" s="78" t="s">
        <v>14734</v>
      </c>
      <c r="H756" s="78">
        <v>10000</v>
      </c>
      <c r="I756" s="77"/>
      <c r="J756" s="77"/>
    </row>
    <row r="757">
      <c r="A757" s="78" t="s">
        <v>17211</v>
      </c>
      <c r="B757" s="78" t="s">
        <v>17212</v>
      </c>
      <c r="C757" s="78" t="s">
        <v>17213</v>
      </c>
      <c r="D757" s="78" t="s">
        <v>16651</v>
      </c>
      <c r="E757" s="78" t="s">
        <v>15946</v>
      </c>
      <c r="F757" s="78" t="s">
        <v>15995</v>
      </c>
      <c r="G757" s="78" t="s">
        <v>14931</v>
      </c>
      <c r="H757" s="78">
        <v>6000</v>
      </c>
      <c r="I757" s="77"/>
    </row>
    <row r="758">
      <c r="A758" s="78" t="s">
        <v>17214</v>
      </c>
      <c r="B758" s="78" t="s">
        <v>17215</v>
      </c>
      <c r="C758" s="78" t="s">
        <v>17216</v>
      </c>
      <c r="D758" s="78" t="s">
        <v>16723</v>
      </c>
      <c r="E758" s="78" t="s">
        <v>14790</v>
      </c>
      <c r="F758" s="78" t="s">
        <v>14867</v>
      </c>
      <c r="G758" s="78" t="s">
        <v>14734</v>
      </c>
      <c r="H758" s="78">
        <v>10000</v>
      </c>
      <c r="I758" s="77"/>
    </row>
    <row r="759">
      <c r="A759" s="78" t="s">
        <v>17217</v>
      </c>
      <c r="B759" s="78" t="s">
        <v>17218</v>
      </c>
      <c r="C759" s="78" t="s">
        <v>17219</v>
      </c>
      <c r="D759" s="78" t="s">
        <v>16723</v>
      </c>
      <c r="E759" s="78" t="s">
        <v>14942</v>
      </c>
      <c r="F759" s="78" t="s">
        <v>15999</v>
      </c>
      <c r="G759" s="78" t="s">
        <v>14734</v>
      </c>
      <c r="H759" s="78">
        <v>3000</v>
      </c>
      <c r="I759" s="77"/>
    </row>
    <row r="760">
      <c r="A760" s="78" t="s">
        <v>17220</v>
      </c>
      <c r="B760" s="78" t="s">
        <v>17221</v>
      </c>
      <c r="C760" s="78" t="s">
        <v>17222</v>
      </c>
      <c r="D760" s="78" t="s">
        <v>16723</v>
      </c>
      <c r="E760" s="78" t="s">
        <v>14832</v>
      </c>
      <c r="F760" s="78" t="s">
        <v>14855</v>
      </c>
      <c r="G760" s="78" t="s">
        <v>14834</v>
      </c>
      <c r="H760" s="78">
        <v>5000</v>
      </c>
      <c r="I760" s="77"/>
    </row>
    <row r="761">
      <c r="A761" s="78" t="s">
        <v>17223</v>
      </c>
      <c r="B761" s="78" t="s">
        <v>17224</v>
      </c>
      <c r="C761" s="78" t="s">
        <v>17225</v>
      </c>
      <c r="D761" s="78" t="s">
        <v>16723</v>
      </c>
      <c r="E761" s="78" t="s">
        <v>14942</v>
      </c>
      <c r="F761" s="78" t="s">
        <v>15999</v>
      </c>
      <c r="G761" s="78" t="s">
        <v>14734</v>
      </c>
      <c r="H761" s="78">
        <v>3000</v>
      </c>
      <c r="I761" s="77"/>
    </row>
    <row r="762">
      <c r="A762" s="78" t="s">
        <v>17226</v>
      </c>
      <c r="B762" s="78" t="s">
        <v>17227</v>
      </c>
      <c r="C762" s="78" t="s">
        <v>17228</v>
      </c>
      <c r="D762" s="78" t="s">
        <v>16723</v>
      </c>
      <c r="E762" s="78" t="s">
        <v>15281</v>
      </c>
      <c r="F762" s="78" t="s">
        <v>14650</v>
      </c>
      <c r="G762" s="78" t="s">
        <v>14651</v>
      </c>
      <c r="H762" s="78">
        <v>800</v>
      </c>
      <c r="I762" s="77"/>
    </row>
    <row r="763">
      <c r="A763" s="78" t="s">
        <v>17229</v>
      </c>
      <c r="B763" s="78" t="s">
        <v>17230</v>
      </c>
      <c r="C763" s="78" t="s">
        <v>17231</v>
      </c>
      <c r="D763" s="78" t="s">
        <v>16820</v>
      </c>
      <c r="E763" s="78" t="s">
        <v>16873</v>
      </c>
      <c r="F763" s="78" t="s">
        <v>15739</v>
      </c>
      <c r="G763" s="78" t="s">
        <v>15129</v>
      </c>
      <c r="H763" s="78">
        <v>0</v>
      </c>
      <c r="I763" s="77"/>
    </row>
    <row r="764">
      <c r="A764" s="78" t="s">
        <v>17232</v>
      </c>
      <c r="B764" s="78" t="s">
        <v>17233</v>
      </c>
      <c r="C764" s="78" t="s">
        <v>17234</v>
      </c>
      <c r="D764" s="78" t="s">
        <v>16723</v>
      </c>
      <c r="E764" s="78" t="s">
        <v>14942</v>
      </c>
      <c r="F764" s="78" t="s">
        <v>16124</v>
      </c>
      <c r="G764" s="78" t="s">
        <v>14734</v>
      </c>
      <c r="H764" s="78">
        <v>5000</v>
      </c>
      <c r="I764" s="77"/>
    </row>
    <row r="765">
      <c r="A765" s="78" t="s">
        <v>17235</v>
      </c>
      <c r="B765" s="78" t="s">
        <v>17236</v>
      </c>
      <c r="C765" s="78" t="s">
        <v>17237</v>
      </c>
      <c r="D765" s="78" t="s">
        <v>16820</v>
      </c>
      <c r="E765" s="78" t="s">
        <v>16963</v>
      </c>
      <c r="F765" s="78" t="s">
        <v>14718</v>
      </c>
      <c r="G765" s="78" t="s">
        <v>14703</v>
      </c>
      <c r="H765" s="78">
        <v>0</v>
      </c>
      <c r="I765" s="77"/>
    </row>
    <row r="766">
      <c r="A766" s="78" t="s">
        <v>17238</v>
      </c>
      <c r="B766" s="78" t="s">
        <v>17239</v>
      </c>
      <c r="C766" s="78" t="s">
        <v>17240</v>
      </c>
      <c r="D766" s="78" t="s">
        <v>16820</v>
      </c>
      <c r="E766" s="78" t="s">
        <v>17181</v>
      </c>
      <c r="F766" s="78" t="s">
        <v>15100</v>
      </c>
      <c r="G766" s="78" t="s">
        <v>14963</v>
      </c>
      <c r="H766" s="78" t="s">
        <v>17241</v>
      </c>
      <c r="I766" s="77"/>
      <c r="J766" s="77"/>
    </row>
    <row r="767">
      <c r="A767" s="78" t="s">
        <v>17242</v>
      </c>
      <c r="B767" s="78" t="s">
        <v>17243</v>
      </c>
      <c r="C767" s="78" t="s">
        <v>17244</v>
      </c>
      <c r="D767" s="78" t="s">
        <v>16820</v>
      </c>
      <c r="E767" s="78" t="s">
        <v>17245</v>
      </c>
      <c r="F767" s="78" t="s">
        <v>14743</v>
      </c>
      <c r="G767" s="78" t="s">
        <v>14744</v>
      </c>
      <c r="H767" s="78">
        <v>0</v>
      </c>
      <c r="I767" s="77"/>
    </row>
    <row r="768">
      <c r="A768" s="78" t="s">
        <v>17246</v>
      </c>
      <c r="B768" s="78" t="s">
        <v>17247</v>
      </c>
      <c r="C768" s="78" t="s">
        <v>17248</v>
      </c>
      <c r="D768" s="78" t="s">
        <v>16723</v>
      </c>
      <c r="E768" s="78" t="s">
        <v>14790</v>
      </c>
      <c r="F768" s="78" t="s">
        <v>14922</v>
      </c>
      <c r="G768" s="78" t="s">
        <v>14923</v>
      </c>
      <c r="H768" s="78">
        <v>10000</v>
      </c>
      <c r="I768" s="77"/>
    </row>
    <row r="769">
      <c r="A769" s="78" t="s">
        <v>17249</v>
      </c>
      <c r="B769" s="78" t="s">
        <v>17250</v>
      </c>
      <c r="C769" s="78" t="s">
        <v>17251</v>
      </c>
      <c r="D769" s="78" t="s">
        <v>16651</v>
      </c>
      <c r="E769" s="78" t="s">
        <v>15683</v>
      </c>
      <c r="F769" s="78" t="s">
        <v>14867</v>
      </c>
      <c r="G769" s="78" t="s">
        <v>14931</v>
      </c>
      <c r="H769" s="78">
        <v>1000</v>
      </c>
      <c r="I769" s="77"/>
    </row>
    <row r="770">
      <c r="A770" s="78" t="s">
        <v>17252</v>
      </c>
      <c r="B770" s="78" t="s">
        <v>17253</v>
      </c>
      <c r="C770" s="78" t="s">
        <v>17254</v>
      </c>
      <c r="D770" s="78" t="s">
        <v>16651</v>
      </c>
      <c r="E770" s="78" t="s">
        <v>14994</v>
      </c>
      <c r="F770" s="78" t="s">
        <v>14712</v>
      </c>
      <c r="G770" s="78" t="s">
        <v>14834</v>
      </c>
      <c r="H770" s="78">
        <v>3000</v>
      </c>
      <c r="I770" s="77"/>
    </row>
    <row r="771">
      <c r="A771" s="78" t="s">
        <v>17255</v>
      </c>
      <c r="B771" s="78" t="s">
        <v>17256</v>
      </c>
      <c r="C771" s="78" t="s">
        <v>17257</v>
      </c>
      <c r="D771" s="78" t="s">
        <v>16651</v>
      </c>
      <c r="E771" s="78" t="s">
        <v>15946</v>
      </c>
      <c r="F771" s="78" t="s">
        <v>15025</v>
      </c>
      <c r="G771" s="78" t="s">
        <v>14651</v>
      </c>
      <c r="H771" s="78">
        <v>5000</v>
      </c>
      <c r="I771" s="77"/>
    </row>
    <row r="772">
      <c r="A772" s="78" t="s">
        <v>17258</v>
      </c>
      <c r="B772" s="78" t="s">
        <v>17259</v>
      </c>
      <c r="C772" s="78" t="s">
        <v>17260</v>
      </c>
      <c r="D772" s="78" t="s">
        <v>16651</v>
      </c>
      <c r="E772" s="78" t="s">
        <v>15946</v>
      </c>
      <c r="F772" s="78" t="s">
        <v>14972</v>
      </c>
      <c r="G772" s="78" t="s">
        <v>14963</v>
      </c>
      <c r="H772" s="78">
        <v>5000</v>
      </c>
      <c r="I772" s="77"/>
    </row>
    <row r="773">
      <c r="A773" s="78" t="s">
        <v>17261</v>
      </c>
      <c r="B773" s="78" t="s">
        <v>17262</v>
      </c>
      <c r="C773" s="78" t="s">
        <v>17263</v>
      </c>
      <c r="D773" s="78" t="s">
        <v>16651</v>
      </c>
      <c r="E773" s="78" t="s">
        <v>15946</v>
      </c>
      <c r="F773" s="78" t="s">
        <v>14804</v>
      </c>
      <c r="G773" s="78" t="s">
        <v>14772</v>
      </c>
      <c r="H773" s="78">
        <v>5000</v>
      </c>
      <c r="I773" s="77"/>
    </row>
    <row r="774">
      <c r="A774" s="78" t="s">
        <v>17264</v>
      </c>
      <c r="B774" s="78" t="s">
        <v>17265</v>
      </c>
      <c r="C774" s="78" t="s">
        <v>17266</v>
      </c>
      <c r="D774" s="78" t="s">
        <v>16651</v>
      </c>
      <c r="E774" s="78" t="s">
        <v>16516</v>
      </c>
      <c r="F774" s="78" t="s">
        <v>16035</v>
      </c>
      <c r="G774" s="78" t="s">
        <v>14834</v>
      </c>
      <c r="H774" s="78">
        <v>3400</v>
      </c>
      <c r="I774" s="77"/>
    </row>
    <row r="775">
      <c r="A775" s="78" t="s">
        <v>17267</v>
      </c>
      <c r="B775" s="78" t="s">
        <v>17268</v>
      </c>
      <c r="C775" s="78" t="s">
        <v>17269</v>
      </c>
      <c r="D775" s="78" t="s">
        <v>16820</v>
      </c>
      <c r="E775" s="78" t="s">
        <v>17270</v>
      </c>
      <c r="F775" s="78" t="s">
        <v>15061</v>
      </c>
      <c r="G775" s="78" t="s">
        <v>14651</v>
      </c>
      <c r="H775" s="78">
        <v>0</v>
      </c>
      <c r="I775" s="77"/>
    </row>
    <row r="776">
      <c r="A776" s="78" t="s">
        <v>17271</v>
      </c>
      <c r="B776" s="78" t="s">
        <v>17272</v>
      </c>
      <c r="C776" s="78" t="s">
        <v>17273</v>
      </c>
      <c r="D776" s="78" t="s">
        <v>16820</v>
      </c>
      <c r="E776" s="78" t="s">
        <v>17270</v>
      </c>
      <c r="F776" s="78" t="s">
        <v>15061</v>
      </c>
      <c r="G776" s="78" t="s">
        <v>14651</v>
      </c>
      <c r="H776" s="78">
        <v>0</v>
      </c>
      <c r="I776" s="77"/>
    </row>
    <row r="777">
      <c r="A777" s="78" t="s">
        <v>17274</v>
      </c>
      <c r="B777" s="78" t="s">
        <v>17275</v>
      </c>
      <c r="C777" s="78" t="s">
        <v>17276</v>
      </c>
      <c r="D777" s="78" t="s">
        <v>16651</v>
      </c>
      <c r="E777" s="78" t="s">
        <v>15060</v>
      </c>
      <c r="F777" s="78" t="s">
        <v>15061</v>
      </c>
      <c r="G777" s="78" t="s">
        <v>14651</v>
      </c>
      <c r="H777" s="78">
        <v>2000</v>
      </c>
      <c r="I777" s="77"/>
    </row>
    <row r="778">
      <c r="A778" s="78" t="s">
        <v>17277</v>
      </c>
      <c r="B778" s="78" t="s">
        <v>17278</v>
      </c>
      <c r="C778" s="78" t="s">
        <v>17279</v>
      </c>
      <c r="D778" s="78" t="s">
        <v>16820</v>
      </c>
      <c r="E778" s="78" t="s">
        <v>17181</v>
      </c>
      <c r="F778" s="78" t="s">
        <v>15100</v>
      </c>
      <c r="G778" s="78" t="s">
        <v>14963</v>
      </c>
      <c r="H778" s="78" t="s">
        <v>17241</v>
      </c>
      <c r="I778" s="77"/>
      <c r="J778" s="77"/>
    </row>
    <row r="779">
      <c r="A779" s="78" t="s">
        <v>17280</v>
      </c>
      <c r="B779" s="78" t="s">
        <v>17281</v>
      </c>
      <c r="C779" s="78" t="s">
        <v>17282</v>
      </c>
      <c r="D779" s="78" t="s">
        <v>16723</v>
      </c>
      <c r="E779" s="78" t="s">
        <v>14871</v>
      </c>
      <c r="F779" s="78" t="s">
        <v>14938</v>
      </c>
      <c r="G779" s="78" t="s">
        <v>14923</v>
      </c>
      <c r="H779" s="78">
        <v>2000</v>
      </c>
      <c r="I779" s="77"/>
    </row>
    <row r="780">
      <c r="A780" s="78" t="s">
        <v>17283</v>
      </c>
      <c r="B780" s="78" t="s">
        <v>17284</v>
      </c>
      <c r="C780" s="78" t="s">
        <v>17285</v>
      </c>
      <c r="D780" s="78" t="s">
        <v>16651</v>
      </c>
      <c r="E780" s="78" t="s">
        <v>14832</v>
      </c>
      <c r="F780" s="78" t="s">
        <v>14848</v>
      </c>
      <c r="G780" s="78" t="s">
        <v>14834</v>
      </c>
      <c r="H780" s="78">
        <v>5000</v>
      </c>
      <c r="I780" s="77"/>
    </row>
    <row r="781">
      <c r="A781" s="78" t="s">
        <v>17286</v>
      </c>
      <c r="B781" s="78" t="s">
        <v>17287</v>
      </c>
      <c r="C781" s="78" t="s">
        <v>17288</v>
      </c>
      <c r="D781" s="78" t="s">
        <v>16651</v>
      </c>
      <c r="E781" s="78" t="s">
        <v>14871</v>
      </c>
      <c r="F781" s="78" t="s">
        <v>15999</v>
      </c>
      <c r="G781" s="78" t="s">
        <v>14734</v>
      </c>
      <c r="H781" s="78">
        <v>2000</v>
      </c>
      <c r="I781" s="77"/>
    </row>
    <row r="782">
      <c r="A782" s="78" t="s">
        <v>17289</v>
      </c>
      <c r="B782" s="78" t="s">
        <v>17290</v>
      </c>
      <c r="C782" s="78" t="s">
        <v>17291</v>
      </c>
      <c r="D782" s="78" t="s">
        <v>16723</v>
      </c>
      <c r="E782" s="78" t="s">
        <v>15683</v>
      </c>
      <c r="F782" s="78" t="s">
        <v>14867</v>
      </c>
      <c r="G782" s="78" t="s">
        <v>14931</v>
      </c>
      <c r="H782" s="78">
        <v>1000</v>
      </c>
      <c r="I782" s="77"/>
    </row>
    <row r="783">
      <c r="A783" s="78" t="s">
        <v>17292</v>
      </c>
      <c r="B783" s="78" t="s">
        <v>17293</v>
      </c>
      <c r="C783" s="78" t="s">
        <v>17294</v>
      </c>
      <c r="D783" s="78" t="s">
        <v>16723</v>
      </c>
      <c r="E783" s="78" t="s">
        <v>17295</v>
      </c>
      <c r="F783" s="78" t="s">
        <v>15739</v>
      </c>
      <c r="G783" s="78" t="s">
        <v>14734</v>
      </c>
      <c r="H783" s="78">
        <v>5000</v>
      </c>
      <c r="I783" s="77"/>
    </row>
    <row r="784">
      <c r="A784" s="78" t="s">
        <v>17296</v>
      </c>
      <c r="B784" s="78" t="s">
        <v>17297</v>
      </c>
      <c r="C784" s="78" t="s">
        <v>17298</v>
      </c>
      <c r="D784" s="78" t="s">
        <v>16723</v>
      </c>
      <c r="E784" s="78" t="s">
        <v>15946</v>
      </c>
      <c r="F784" s="78" t="s">
        <v>14743</v>
      </c>
      <c r="G784" s="78" t="s">
        <v>14744</v>
      </c>
      <c r="H784" s="78">
        <v>5000</v>
      </c>
      <c r="I784" s="77"/>
    </row>
    <row r="785">
      <c r="A785" s="78" t="s">
        <v>17299</v>
      </c>
      <c r="B785" s="78" t="s">
        <v>17300</v>
      </c>
      <c r="C785" s="78" t="s">
        <v>17301</v>
      </c>
      <c r="D785" s="78" t="s">
        <v>16723</v>
      </c>
      <c r="E785" s="78" t="s">
        <v>15946</v>
      </c>
      <c r="F785" s="78" t="s">
        <v>15669</v>
      </c>
      <c r="G785" s="78" t="s">
        <v>14782</v>
      </c>
      <c r="H785" s="78">
        <v>5000</v>
      </c>
      <c r="I785" s="77"/>
      <c r="J785" s="77"/>
    </row>
    <row r="786">
      <c r="A786" s="78" t="s">
        <v>17302</v>
      </c>
      <c r="B786" s="78" t="s">
        <v>17303</v>
      </c>
      <c r="C786" s="78" t="s">
        <v>17304</v>
      </c>
      <c r="D786" s="78" t="s">
        <v>16651</v>
      </c>
      <c r="E786" s="78" t="s">
        <v>15946</v>
      </c>
      <c r="F786" s="78" t="s">
        <v>14957</v>
      </c>
      <c r="G786" s="78" t="s">
        <v>14782</v>
      </c>
      <c r="H786" s="78">
        <v>5000</v>
      </c>
      <c r="I786" s="77"/>
    </row>
    <row r="787">
      <c r="A787" s="78" t="s">
        <v>17305</v>
      </c>
      <c r="B787" s="78" t="s">
        <v>17306</v>
      </c>
      <c r="C787" s="78" t="s">
        <v>17307</v>
      </c>
      <c r="D787" s="78" t="s">
        <v>16651</v>
      </c>
      <c r="E787" s="78" t="s">
        <v>14884</v>
      </c>
      <c r="F787" s="78" t="s">
        <v>15619</v>
      </c>
      <c r="G787" s="78" t="s">
        <v>14931</v>
      </c>
      <c r="H787" s="78">
        <v>5000</v>
      </c>
      <c r="I787" s="77"/>
      <c r="J787" s="77"/>
    </row>
    <row r="788">
      <c r="A788" s="78" t="s">
        <v>17308</v>
      </c>
      <c r="B788" s="78" t="s">
        <v>17309</v>
      </c>
      <c r="C788" s="78" t="s">
        <v>17310</v>
      </c>
      <c r="D788" s="78" t="s">
        <v>16651</v>
      </c>
      <c r="E788" s="78" t="s">
        <v>14884</v>
      </c>
      <c r="F788" s="78" t="s">
        <v>14872</v>
      </c>
      <c r="G788" s="78" t="s">
        <v>14734</v>
      </c>
      <c r="H788" s="78">
        <v>5000</v>
      </c>
      <c r="I788" s="77"/>
    </row>
    <row r="789">
      <c r="A789" s="78" t="s">
        <v>17311</v>
      </c>
      <c r="B789" s="78" t="s">
        <v>17312</v>
      </c>
      <c r="C789" s="78" t="s">
        <v>17313</v>
      </c>
      <c r="D789" s="78" t="s">
        <v>16651</v>
      </c>
      <c r="E789" s="78" t="s">
        <v>15946</v>
      </c>
      <c r="F789" s="78" t="s">
        <v>15110</v>
      </c>
      <c r="G789" s="78" t="s">
        <v>14782</v>
      </c>
      <c r="H789" s="78">
        <v>5000</v>
      </c>
      <c r="I789" s="77"/>
      <c r="J789" s="77"/>
    </row>
    <row r="790">
      <c r="A790" s="78" t="s">
        <v>17314</v>
      </c>
      <c r="B790" s="78" t="s">
        <v>17315</v>
      </c>
      <c r="C790" s="78" t="s">
        <v>17316</v>
      </c>
      <c r="D790" s="78" t="s">
        <v>16651</v>
      </c>
      <c r="E790" s="78" t="s">
        <v>15946</v>
      </c>
      <c r="F790" s="78" t="s">
        <v>15110</v>
      </c>
      <c r="G790" s="78" t="s">
        <v>14782</v>
      </c>
      <c r="H790" s="78">
        <v>5000</v>
      </c>
      <c r="I790" s="77"/>
    </row>
    <row r="791">
      <c r="A791" s="78" t="s">
        <v>17317</v>
      </c>
      <c r="B791" s="78" t="s">
        <v>17318</v>
      </c>
      <c r="C791" s="78" t="s">
        <v>17319</v>
      </c>
      <c r="D791" s="78" t="s">
        <v>16723</v>
      </c>
      <c r="E791" s="78" t="s">
        <v>14914</v>
      </c>
      <c r="F791" s="78" t="s">
        <v>14877</v>
      </c>
      <c r="G791" s="78" t="s">
        <v>14782</v>
      </c>
      <c r="H791" s="78">
        <v>5000</v>
      </c>
      <c r="I791" s="77"/>
    </row>
    <row r="792">
      <c r="A792" s="78" t="s">
        <v>17320</v>
      </c>
      <c r="B792" s="78" t="s">
        <v>17321</v>
      </c>
      <c r="C792" s="78" t="s">
        <v>17322</v>
      </c>
      <c r="D792" s="78" t="s">
        <v>16651</v>
      </c>
      <c r="E792" s="78" t="s">
        <v>15946</v>
      </c>
      <c r="F792" s="78" t="s">
        <v>15628</v>
      </c>
      <c r="G792" s="78" t="s">
        <v>14923</v>
      </c>
      <c r="H792" s="78">
        <v>6000</v>
      </c>
      <c r="I792" s="77"/>
    </row>
    <row r="793">
      <c r="A793" s="78" t="s">
        <v>17323</v>
      </c>
      <c r="B793" s="78" t="s">
        <v>17324</v>
      </c>
      <c r="C793" s="78" t="s">
        <v>17325</v>
      </c>
      <c r="D793" s="78" t="s">
        <v>16723</v>
      </c>
      <c r="E793" s="78" t="s">
        <v>14717</v>
      </c>
      <c r="F793" s="78" t="s">
        <v>14718</v>
      </c>
      <c r="G793" s="78" t="s">
        <v>14703</v>
      </c>
      <c r="H793" s="78">
        <v>6700</v>
      </c>
      <c r="I793" s="77"/>
    </row>
    <row r="794">
      <c r="A794" s="78" t="s">
        <v>17326</v>
      </c>
      <c r="B794" s="78" t="s">
        <v>17327</v>
      </c>
      <c r="C794" s="78" t="s">
        <v>17328</v>
      </c>
      <c r="D794" s="78" t="s">
        <v>16820</v>
      </c>
      <c r="E794" s="78" t="s">
        <v>17329</v>
      </c>
      <c r="F794" s="78" t="s">
        <v>14702</v>
      </c>
      <c r="G794" s="78" t="s">
        <v>14703</v>
      </c>
      <c r="H794" s="78">
        <v>0</v>
      </c>
      <c r="I794" s="77"/>
      <c r="J794" s="77"/>
    </row>
    <row r="795">
      <c r="A795" s="78" t="s">
        <v>17330</v>
      </c>
      <c r="B795" s="78" t="s">
        <v>17331</v>
      </c>
      <c r="C795" s="78" t="s">
        <v>17332</v>
      </c>
      <c r="D795" s="78" t="s">
        <v>16651</v>
      </c>
      <c r="E795" s="78" t="s">
        <v>15683</v>
      </c>
      <c r="F795" s="78" t="s">
        <v>14867</v>
      </c>
      <c r="G795" s="78" t="s">
        <v>14734</v>
      </c>
      <c r="H795" s="78">
        <v>1000</v>
      </c>
      <c r="I795" s="77"/>
    </row>
    <row r="796">
      <c r="A796" s="78" t="s">
        <v>17333</v>
      </c>
      <c r="B796" s="78" t="s">
        <v>17334</v>
      </c>
      <c r="C796" s="78" t="s">
        <v>17335</v>
      </c>
      <c r="D796" s="78" t="s">
        <v>16723</v>
      </c>
      <c r="E796" s="78" t="s">
        <v>16516</v>
      </c>
      <c r="F796" s="78" t="s">
        <v>14833</v>
      </c>
      <c r="G796" s="78" t="s">
        <v>14834</v>
      </c>
      <c r="H796" s="78">
        <v>3400</v>
      </c>
      <c r="I796" s="77"/>
    </row>
    <row r="797">
      <c r="A797" s="78" t="s">
        <v>17336</v>
      </c>
      <c r="B797" s="78" t="s">
        <v>17337</v>
      </c>
      <c r="C797" s="78" t="s">
        <v>17338</v>
      </c>
      <c r="D797" s="78" t="s">
        <v>16723</v>
      </c>
      <c r="E797" s="78" t="s">
        <v>14790</v>
      </c>
      <c r="F797" s="78" t="s">
        <v>14867</v>
      </c>
      <c r="G797" s="78" t="s">
        <v>14734</v>
      </c>
      <c r="H797" s="78">
        <v>10000</v>
      </c>
      <c r="I797" s="77"/>
      <c r="J797" s="77"/>
    </row>
    <row r="798">
      <c r="A798" s="78" t="s">
        <v>17339</v>
      </c>
      <c r="B798" s="78" t="s">
        <v>17340</v>
      </c>
      <c r="C798" s="78" t="s">
        <v>17341</v>
      </c>
      <c r="D798" s="78" t="s">
        <v>16723</v>
      </c>
      <c r="E798" s="78" t="s">
        <v>15973</v>
      </c>
      <c r="F798" s="78" t="s">
        <v>15921</v>
      </c>
      <c r="G798" s="78" t="s">
        <v>15198</v>
      </c>
      <c r="H798" s="78">
        <v>5000</v>
      </c>
      <c r="I798" s="77"/>
      <c r="J798" s="77"/>
    </row>
    <row r="799">
      <c r="A799" s="78" t="s">
        <v>17342</v>
      </c>
      <c r="B799" s="78" t="s">
        <v>17343</v>
      </c>
      <c r="C799" s="78" t="s">
        <v>17344</v>
      </c>
      <c r="D799" s="78" t="s">
        <v>16820</v>
      </c>
      <c r="E799" s="78" t="s">
        <v>17181</v>
      </c>
      <c r="F799" s="78" t="s">
        <v>14962</v>
      </c>
      <c r="G799" s="78" t="s">
        <v>14963</v>
      </c>
      <c r="H799" s="78" t="s">
        <v>17241</v>
      </c>
      <c r="I799" s="77"/>
    </row>
    <row r="800">
      <c r="A800" s="78" t="s">
        <v>17345</v>
      </c>
      <c r="B800" s="78" t="s">
        <v>17346</v>
      </c>
      <c r="C800" s="78" t="s">
        <v>17347</v>
      </c>
      <c r="D800" s="78" t="s">
        <v>16723</v>
      </c>
      <c r="E800" s="78" t="s">
        <v>17348</v>
      </c>
      <c r="F800" s="78" t="s">
        <v>14938</v>
      </c>
      <c r="G800" s="78" t="s">
        <v>14923</v>
      </c>
      <c r="H800" s="78">
        <v>3000</v>
      </c>
      <c r="I800" s="77"/>
    </row>
    <row r="801">
      <c r="A801" s="78" t="s">
        <v>17349</v>
      </c>
      <c r="B801" s="78" t="s">
        <v>17350</v>
      </c>
      <c r="C801" s="78" t="s">
        <v>17351</v>
      </c>
      <c r="D801" s="78" t="s">
        <v>16723</v>
      </c>
      <c r="E801" s="78" t="s">
        <v>15555</v>
      </c>
      <c r="F801" s="78" t="s">
        <v>15551</v>
      </c>
      <c r="G801" s="78" t="s">
        <v>14651</v>
      </c>
      <c r="H801" s="78">
        <v>1200</v>
      </c>
      <c r="I801" s="77"/>
    </row>
    <row r="802">
      <c r="A802" s="78" t="s">
        <v>17352</v>
      </c>
      <c r="B802" s="78" t="s">
        <v>17353</v>
      </c>
      <c r="C802" s="78" t="s">
        <v>17354</v>
      </c>
      <c r="D802" s="78" t="s">
        <v>16723</v>
      </c>
      <c r="E802" s="78" t="s">
        <v>14884</v>
      </c>
      <c r="F802" s="78" t="s">
        <v>15691</v>
      </c>
      <c r="G802" s="78" t="s">
        <v>14931</v>
      </c>
      <c r="H802" s="78">
        <v>5000</v>
      </c>
      <c r="I802" s="77"/>
    </row>
    <row r="803">
      <c r="A803" s="78" t="s">
        <v>17355</v>
      </c>
      <c r="B803" s="78" t="s">
        <v>17356</v>
      </c>
      <c r="C803" s="78" t="s">
        <v>17357</v>
      </c>
      <c r="D803" s="78" t="s">
        <v>16723</v>
      </c>
      <c r="E803" s="78" t="s">
        <v>15853</v>
      </c>
      <c r="F803" s="78" t="s">
        <v>15100</v>
      </c>
      <c r="G803" s="78" t="s">
        <v>14963</v>
      </c>
      <c r="H803" s="78">
        <v>2000</v>
      </c>
      <c r="I803" s="77"/>
      <c r="J803" s="77"/>
    </row>
    <row r="804">
      <c r="A804" s="78" t="s">
        <v>17358</v>
      </c>
      <c r="B804" s="78" t="s">
        <v>17359</v>
      </c>
      <c r="C804" s="78" t="s">
        <v>17360</v>
      </c>
      <c r="D804" s="78" t="s">
        <v>16820</v>
      </c>
      <c r="E804" s="78" t="s">
        <v>17181</v>
      </c>
      <c r="F804" s="78" t="s">
        <v>15100</v>
      </c>
      <c r="G804" s="78" t="s">
        <v>14963</v>
      </c>
      <c r="H804" s="78" t="s">
        <v>17241</v>
      </c>
      <c r="I804" s="77"/>
    </row>
    <row r="805">
      <c r="A805" s="78" t="s">
        <v>17361</v>
      </c>
      <c r="B805" s="78" t="s">
        <v>17362</v>
      </c>
      <c r="C805" s="78" t="s">
        <v>16979</v>
      </c>
      <c r="D805" s="78" t="s">
        <v>16820</v>
      </c>
      <c r="E805" s="78" t="s">
        <v>17363</v>
      </c>
      <c r="F805" s="78" t="s">
        <v>14957</v>
      </c>
      <c r="G805" s="78" t="s">
        <v>14782</v>
      </c>
      <c r="H805" s="78">
        <v>0</v>
      </c>
      <c r="I805" s="77"/>
    </row>
    <row r="806">
      <c r="A806" s="78" t="s">
        <v>17364</v>
      </c>
      <c r="B806" s="78" t="s">
        <v>17365</v>
      </c>
      <c r="C806" s="78" t="s">
        <v>17366</v>
      </c>
      <c r="D806" s="78" t="s">
        <v>16723</v>
      </c>
      <c r="E806" s="78" t="s">
        <v>15973</v>
      </c>
      <c r="F806" s="78" t="s">
        <v>15921</v>
      </c>
      <c r="G806" s="78" t="s">
        <v>15198</v>
      </c>
      <c r="H806" s="78">
        <v>5000</v>
      </c>
      <c r="I806" s="77"/>
    </row>
    <row r="807">
      <c r="A807" s="78" t="s">
        <v>17367</v>
      </c>
      <c r="B807" s="78" t="s">
        <v>17368</v>
      </c>
      <c r="C807" s="78" t="s">
        <v>17369</v>
      </c>
      <c r="D807" s="78" t="s">
        <v>16723</v>
      </c>
      <c r="E807" s="78" t="s">
        <v>15853</v>
      </c>
      <c r="F807" s="78" t="s">
        <v>15110</v>
      </c>
      <c r="G807" s="78" t="s">
        <v>14782</v>
      </c>
      <c r="H807" s="78">
        <v>2000</v>
      </c>
      <c r="I807" s="77"/>
    </row>
    <row r="808">
      <c r="A808" s="78" t="s">
        <v>17370</v>
      </c>
      <c r="B808" s="78" t="s">
        <v>17371</v>
      </c>
      <c r="C808" s="78" t="s">
        <v>17372</v>
      </c>
      <c r="D808" s="78" t="s">
        <v>16651</v>
      </c>
      <c r="E808" s="78" t="s">
        <v>14961</v>
      </c>
      <c r="F808" s="78" t="s">
        <v>14712</v>
      </c>
      <c r="G808" s="78" t="s">
        <v>14694</v>
      </c>
      <c r="H808" s="78">
        <v>6000</v>
      </c>
      <c r="I808" s="77"/>
    </row>
    <row r="809">
      <c r="A809" s="78" t="s">
        <v>17373</v>
      </c>
      <c r="B809" s="78" t="s">
        <v>17374</v>
      </c>
      <c r="C809" s="78" t="s">
        <v>17375</v>
      </c>
      <c r="D809" s="78" t="s">
        <v>16820</v>
      </c>
      <c r="E809" s="78" t="s">
        <v>17376</v>
      </c>
      <c r="F809" s="78" t="s">
        <v>14821</v>
      </c>
      <c r="G809" s="78" t="s">
        <v>14772</v>
      </c>
      <c r="H809" s="78">
        <v>0</v>
      </c>
      <c r="I809" s="77"/>
    </row>
    <row r="810">
      <c r="A810" s="78" t="s">
        <v>17377</v>
      </c>
      <c r="B810" s="78" t="s">
        <v>17378</v>
      </c>
      <c r="C810" s="78" t="s">
        <v>17379</v>
      </c>
      <c r="D810" s="78" t="s">
        <v>16820</v>
      </c>
      <c r="E810" s="78" t="s">
        <v>17380</v>
      </c>
      <c r="F810" s="78" t="s">
        <v>14723</v>
      </c>
      <c r="G810" s="78" t="s">
        <v>14703</v>
      </c>
      <c r="H810" s="78">
        <v>0</v>
      </c>
      <c r="I810" s="77"/>
    </row>
    <row r="811">
      <c r="A811" s="78" t="s">
        <v>17381</v>
      </c>
      <c r="B811" s="78" t="s">
        <v>17382</v>
      </c>
      <c r="C811" s="78" t="s">
        <v>17383</v>
      </c>
      <c r="D811" s="78" t="s">
        <v>16820</v>
      </c>
      <c r="E811" s="78" t="s">
        <v>17384</v>
      </c>
      <c r="F811" s="78" t="s">
        <v>14712</v>
      </c>
      <c r="G811" s="78" t="s">
        <v>14990</v>
      </c>
      <c r="H811" s="78">
        <v>0</v>
      </c>
      <c r="I811" s="77"/>
    </row>
    <row r="812">
      <c r="A812" s="78" t="s">
        <v>17385</v>
      </c>
      <c r="B812" s="78" t="s">
        <v>17386</v>
      </c>
      <c r="C812" s="78" t="s">
        <v>17387</v>
      </c>
      <c r="D812" s="78" t="s">
        <v>16651</v>
      </c>
      <c r="E812" s="78" t="s">
        <v>15683</v>
      </c>
      <c r="F812" s="78" t="s">
        <v>14867</v>
      </c>
      <c r="G812" s="78" t="s">
        <v>14931</v>
      </c>
      <c r="H812" s="78">
        <v>1000</v>
      </c>
      <c r="I812" s="77"/>
    </row>
    <row r="813">
      <c r="A813" s="78" t="s">
        <v>17388</v>
      </c>
      <c r="B813" s="78" t="s">
        <v>17389</v>
      </c>
      <c r="C813" s="78" t="s">
        <v>17390</v>
      </c>
      <c r="D813" s="78" t="s">
        <v>16651</v>
      </c>
      <c r="E813" s="78" t="s">
        <v>14790</v>
      </c>
      <c r="F813" s="78" t="s">
        <v>14867</v>
      </c>
      <c r="G813" s="78" t="s">
        <v>14734</v>
      </c>
      <c r="H813" s="78">
        <v>10000</v>
      </c>
      <c r="I813" s="77"/>
    </row>
    <row r="814">
      <c r="A814" s="78" t="s">
        <v>17391</v>
      </c>
      <c r="B814" s="78" t="s">
        <v>17392</v>
      </c>
      <c r="C814" s="78" t="s">
        <v>17393</v>
      </c>
      <c r="D814" s="78" t="s">
        <v>16651</v>
      </c>
      <c r="E814" s="78" t="s">
        <v>15683</v>
      </c>
      <c r="F814" s="78" t="s">
        <v>14922</v>
      </c>
      <c r="G814" s="78" t="s">
        <v>14923</v>
      </c>
      <c r="H814" s="78">
        <v>1000</v>
      </c>
      <c r="I814" s="77"/>
      <c r="J814" s="77"/>
    </row>
    <row r="815">
      <c r="A815" s="78" t="s">
        <v>17394</v>
      </c>
      <c r="B815" s="78" t="s">
        <v>17395</v>
      </c>
      <c r="C815" s="78" t="s">
        <v>17396</v>
      </c>
      <c r="D815" s="78" t="s">
        <v>16723</v>
      </c>
      <c r="E815" s="78" t="s">
        <v>14914</v>
      </c>
      <c r="F815" s="78" t="s">
        <v>14957</v>
      </c>
      <c r="G815" s="78" t="s">
        <v>14782</v>
      </c>
      <c r="H815" s="78">
        <v>5000</v>
      </c>
      <c r="I815" s="77"/>
    </row>
    <row r="816">
      <c r="A816" s="78" t="s">
        <v>17397</v>
      </c>
      <c r="B816" s="78" t="s">
        <v>17398</v>
      </c>
      <c r="C816" s="78" t="s">
        <v>17399</v>
      </c>
      <c r="D816" s="78" t="s">
        <v>16820</v>
      </c>
      <c r="E816" s="78" t="s">
        <v>17181</v>
      </c>
      <c r="F816" s="78" t="s">
        <v>15100</v>
      </c>
      <c r="G816" s="78" t="s">
        <v>14963</v>
      </c>
      <c r="H816" s="78" t="s">
        <v>17241</v>
      </c>
      <c r="I816" s="77"/>
      <c r="J816" s="77"/>
    </row>
    <row r="817">
      <c r="A817" s="78" t="s">
        <v>17400</v>
      </c>
      <c r="B817" s="78" t="s">
        <v>17401</v>
      </c>
      <c r="C817" s="78" t="s">
        <v>17402</v>
      </c>
      <c r="D817" s="78" t="s">
        <v>16723</v>
      </c>
      <c r="E817" s="78" t="s">
        <v>14884</v>
      </c>
      <c r="F817" s="78" t="s">
        <v>15628</v>
      </c>
      <c r="G817" s="78" t="s">
        <v>14923</v>
      </c>
      <c r="H817" s="78">
        <v>5000</v>
      </c>
      <c r="I817" s="77"/>
    </row>
    <row r="818">
      <c r="A818" s="78" t="s">
        <v>17403</v>
      </c>
      <c r="B818" s="78" t="s">
        <v>17404</v>
      </c>
      <c r="C818" s="78" t="s">
        <v>17405</v>
      </c>
      <c r="D818" s="78" t="s">
        <v>16723</v>
      </c>
      <c r="E818" s="78" t="s">
        <v>15712</v>
      </c>
      <c r="F818" s="78" t="s">
        <v>15721</v>
      </c>
      <c r="G818" s="78" t="s">
        <v>14890</v>
      </c>
      <c r="H818" s="78">
        <v>5000</v>
      </c>
      <c r="I818" s="77"/>
    </row>
    <row r="819">
      <c r="A819" s="78" t="s">
        <v>17406</v>
      </c>
      <c r="B819" s="78" t="s">
        <v>17407</v>
      </c>
      <c r="C819" s="78" t="s">
        <v>17408</v>
      </c>
      <c r="D819" s="78" t="s">
        <v>16820</v>
      </c>
      <c r="E819" s="78" t="s">
        <v>17409</v>
      </c>
      <c r="F819" s="78" t="s">
        <v>14771</v>
      </c>
      <c r="G819" s="78" t="s">
        <v>14772</v>
      </c>
      <c r="H819" s="78">
        <v>0</v>
      </c>
      <c r="I819" s="77"/>
      <c r="J819" s="77"/>
    </row>
    <row r="820">
      <c r="A820" s="78" t="s">
        <v>17410</v>
      </c>
      <c r="B820" s="78" t="s">
        <v>17411</v>
      </c>
      <c r="C820" s="78" t="s">
        <v>17412</v>
      </c>
      <c r="D820" s="78" t="s">
        <v>16651</v>
      </c>
      <c r="E820" s="78" t="s">
        <v>15683</v>
      </c>
      <c r="F820" s="78" t="s">
        <v>14903</v>
      </c>
      <c r="G820" s="78" t="s">
        <v>14734</v>
      </c>
      <c r="H820" s="78">
        <v>1000</v>
      </c>
      <c r="I820" s="77"/>
    </row>
    <row r="821">
      <c r="A821" s="78" t="s">
        <v>17413</v>
      </c>
      <c r="B821" s="78" t="s">
        <v>17414</v>
      </c>
      <c r="C821" s="78" t="s">
        <v>17415</v>
      </c>
      <c r="D821" s="78" t="s">
        <v>16820</v>
      </c>
      <c r="E821" s="78" t="s">
        <v>16880</v>
      </c>
      <c r="F821" s="78" t="s">
        <v>14781</v>
      </c>
      <c r="G821" s="78" t="s">
        <v>14782</v>
      </c>
      <c r="H821" s="78">
        <v>0</v>
      </c>
      <c r="I821" s="77"/>
    </row>
    <row r="822">
      <c r="A822" s="78" t="s">
        <v>17416</v>
      </c>
      <c r="B822" s="78" t="s">
        <v>17417</v>
      </c>
      <c r="C822" s="78" t="s">
        <v>17418</v>
      </c>
      <c r="D822" s="78" t="s">
        <v>16723</v>
      </c>
      <c r="E822" s="78" t="s">
        <v>15946</v>
      </c>
      <c r="F822" s="78" t="s">
        <v>14943</v>
      </c>
      <c r="G822" s="78" t="s">
        <v>14923</v>
      </c>
      <c r="H822" s="78">
        <v>6000</v>
      </c>
      <c r="I822" s="77"/>
    </row>
    <row r="823">
      <c r="A823" s="78" t="s">
        <v>17419</v>
      </c>
      <c r="B823" s="78" t="s">
        <v>17420</v>
      </c>
      <c r="C823" s="78" t="s">
        <v>17421</v>
      </c>
      <c r="D823" s="78" t="s">
        <v>16723</v>
      </c>
      <c r="E823" s="78" t="s">
        <v>15946</v>
      </c>
      <c r="F823" s="78" t="s">
        <v>14833</v>
      </c>
      <c r="G823" s="78" t="s">
        <v>14834</v>
      </c>
      <c r="H823" s="78">
        <v>5000</v>
      </c>
      <c r="I823" s="77"/>
    </row>
    <row r="824">
      <c r="A824" s="78" t="s">
        <v>17422</v>
      </c>
      <c r="B824" s="78" t="s">
        <v>17423</v>
      </c>
      <c r="C824" s="78" t="s">
        <v>17424</v>
      </c>
      <c r="D824" s="78" t="s">
        <v>16723</v>
      </c>
      <c r="E824" s="78" t="s">
        <v>14790</v>
      </c>
      <c r="F824" s="78" t="s">
        <v>14922</v>
      </c>
      <c r="G824" s="78" t="s">
        <v>14923</v>
      </c>
      <c r="H824" s="78">
        <v>10000</v>
      </c>
      <c r="I824" s="77"/>
      <c r="J824" s="77"/>
    </row>
    <row r="825">
      <c r="A825" s="78" t="s">
        <v>17425</v>
      </c>
      <c r="B825" s="78" t="s">
        <v>17426</v>
      </c>
      <c r="C825" s="78" t="s">
        <v>17427</v>
      </c>
      <c r="D825" s="78" t="s">
        <v>16820</v>
      </c>
      <c r="E825" s="78" t="s">
        <v>17409</v>
      </c>
      <c r="F825" s="78" t="s">
        <v>14771</v>
      </c>
      <c r="G825" s="78" t="s">
        <v>14772</v>
      </c>
      <c r="H825" s="78">
        <v>0</v>
      </c>
      <c r="I825" s="77"/>
    </row>
    <row r="826">
      <c r="A826" s="78" t="s">
        <v>17428</v>
      </c>
      <c r="B826" s="78" t="s">
        <v>17429</v>
      </c>
      <c r="C826" s="78" t="s">
        <v>17430</v>
      </c>
      <c r="D826" s="78" t="s">
        <v>16820</v>
      </c>
      <c r="E826" s="78" t="s">
        <v>17329</v>
      </c>
      <c r="F826" s="78" t="s">
        <v>14702</v>
      </c>
      <c r="G826" s="78" t="s">
        <v>14703</v>
      </c>
      <c r="H826" s="78">
        <v>0</v>
      </c>
      <c r="I826" s="77"/>
    </row>
    <row r="827">
      <c r="A827" s="78" t="s">
        <v>17431</v>
      </c>
      <c r="B827" s="78" t="s">
        <v>17432</v>
      </c>
      <c r="C827" s="78" t="s">
        <v>17433</v>
      </c>
      <c r="D827" s="78" t="s">
        <v>16820</v>
      </c>
      <c r="E827" s="78" t="s">
        <v>17434</v>
      </c>
      <c r="F827" s="78" t="s">
        <v>14804</v>
      </c>
      <c r="G827" s="78" t="s">
        <v>14772</v>
      </c>
      <c r="H827" s="78">
        <v>0</v>
      </c>
      <c r="I827" s="77"/>
    </row>
    <row r="828">
      <c r="A828" s="78" t="s">
        <v>17435</v>
      </c>
      <c r="B828" s="78" t="s">
        <v>17436</v>
      </c>
      <c r="C828" s="78" t="s">
        <v>17437</v>
      </c>
      <c r="D828" s="78" t="s">
        <v>16820</v>
      </c>
      <c r="E828" s="78" t="s">
        <v>17181</v>
      </c>
      <c r="F828" s="78" t="s">
        <v>15100</v>
      </c>
      <c r="G828" s="78" t="s">
        <v>14963</v>
      </c>
      <c r="H828" s="78" t="s">
        <v>17241</v>
      </c>
      <c r="I828" s="77"/>
    </row>
    <row r="829">
      <c r="A829" s="78" t="s">
        <v>17438</v>
      </c>
      <c r="B829" s="78" t="s">
        <v>17439</v>
      </c>
      <c r="C829" s="78" t="s">
        <v>17440</v>
      </c>
      <c r="D829" s="78" t="s">
        <v>16723</v>
      </c>
      <c r="E829" s="78" t="s">
        <v>14790</v>
      </c>
      <c r="F829" s="78" t="s">
        <v>14922</v>
      </c>
      <c r="G829" s="78" t="s">
        <v>14923</v>
      </c>
      <c r="H829" s="78">
        <v>10000</v>
      </c>
      <c r="I829" s="77"/>
    </row>
    <row r="830">
      <c r="A830" s="78" t="s">
        <v>17441</v>
      </c>
      <c r="B830" s="78" t="s">
        <v>17442</v>
      </c>
      <c r="C830" s="78" t="s">
        <v>17443</v>
      </c>
      <c r="D830" s="78" t="s">
        <v>16723</v>
      </c>
      <c r="E830" s="78" t="s">
        <v>14884</v>
      </c>
      <c r="F830" s="78" t="s">
        <v>14943</v>
      </c>
      <c r="G830" s="78" t="s">
        <v>14923</v>
      </c>
      <c r="H830" s="78">
        <v>5000</v>
      </c>
      <c r="I830" s="77"/>
    </row>
    <row r="831">
      <c r="A831" s="78" t="s">
        <v>17444</v>
      </c>
      <c r="B831" s="78" t="s">
        <v>17445</v>
      </c>
      <c r="C831" s="78" t="s">
        <v>17446</v>
      </c>
      <c r="D831" s="78" t="s">
        <v>16723</v>
      </c>
      <c r="E831" s="78" t="s">
        <v>14717</v>
      </c>
      <c r="F831" s="78" t="s">
        <v>14718</v>
      </c>
      <c r="G831" s="78" t="s">
        <v>14703</v>
      </c>
      <c r="H831" s="78">
        <v>6700</v>
      </c>
      <c r="I831" s="77"/>
    </row>
    <row r="832">
      <c r="A832" s="78" t="s">
        <v>17447</v>
      </c>
      <c r="B832" s="78" t="s">
        <v>17448</v>
      </c>
      <c r="C832" s="78" t="s">
        <v>17449</v>
      </c>
      <c r="D832" s="78" t="s">
        <v>16820</v>
      </c>
      <c r="E832" s="78" t="s">
        <v>17450</v>
      </c>
      <c r="F832" s="78" t="s">
        <v>14712</v>
      </c>
      <c r="G832" s="78" t="s">
        <v>14713</v>
      </c>
      <c r="H832" s="78">
        <v>0</v>
      </c>
      <c r="I832" s="77"/>
    </row>
    <row r="833">
      <c r="A833" s="78" t="s">
        <v>17451</v>
      </c>
      <c r="B833" s="78" t="s">
        <v>17452</v>
      </c>
      <c r="C833" s="78" t="s">
        <v>17453</v>
      </c>
      <c r="D833" s="78" t="s">
        <v>16820</v>
      </c>
      <c r="E833" s="78" t="s">
        <v>17454</v>
      </c>
      <c r="F833" s="78" t="s">
        <v>15624</v>
      </c>
      <c r="G833" s="78" t="s">
        <v>14772</v>
      </c>
      <c r="H833" s="78">
        <v>0</v>
      </c>
      <c r="I833" s="77"/>
    </row>
    <row r="834">
      <c r="A834" s="78" t="s">
        <v>17455</v>
      </c>
      <c r="B834" s="78" t="s">
        <v>17456</v>
      </c>
      <c r="C834" s="78" t="s">
        <v>17457</v>
      </c>
      <c r="D834" s="78" t="s">
        <v>16820</v>
      </c>
      <c r="E834" s="78" t="s">
        <v>17363</v>
      </c>
      <c r="F834" s="78" t="s">
        <v>14950</v>
      </c>
      <c r="G834" s="78" t="s">
        <v>14782</v>
      </c>
      <c r="H834" s="78">
        <v>0</v>
      </c>
      <c r="I834" s="77"/>
    </row>
    <row r="835">
      <c r="A835" s="78" t="s">
        <v>17458</v>
      </c>
      <c r="B835" s="78" t="s">
        <v>17459</v>
      </c>
      <c r="C835" s="78" t="s">
        <v>17460</v>
      </c>
      <c r="D835" s="78" t="s">
        <v>16820</v>
      </c>
      <c r="E835" s="78" t="s">
        <v>17461</v>
      </c>
      <c r="F835" s="78" t="s">
        <v>14712</v>
      </c>
      <c r="G835" s="78" t="s">
        <v>14963</v>
      </c>
      <c r="H835" s="78">
        <v>0</v>
      </c>
      <c r="I835" s="77"/>
    </row>
    <row r="836">
      <c r="A836" s="78" t="s">
        <v>17462</v>
      </c>
      <c r="B836" s="78" t="s">
        <v>17463</v>
      </c>
      <c r="C836" s="78" t="s">
        <v>17464</v>
      </c>
      <c r="D836" s="78" t="s">
        <v>16820</v>
      </c>
      <c r="E836" s="78" t="s">
        <v>17465</v>
      </c>
      <c r="F836" s="78" t="s">
        <v>14723</v>
      </c>
      <c r="G836" s="78" t="s">
        <v>14703</v>
      </c>
      <c r="H836" s="78">
        <v>0</v>
      </c>
      <c r="I836" s="77"/>
    </row>
    <row r="837">
      <c r="A837" s="78" t="s">
        <v>17466</v>
      </c>
      <c r="B837" s="78" t="s">
        <v>17467</v>
      </c>
      <c r="C837" s="78" t="s">
        <v>17468</v>
      </c>
      <c r="D837" s="78" t="s">
        <v>16723</v>
      </c>
      <c r="E837" s="78" t="s">
        <v>15946</v>
      </c>
      <c r="F837" s="78" t="s">
        <v>15628</v>
      </c>
      <c r="G837" s="78" t="s">
        <v>14923</v>
      </c>
      <c r="H837" s="78">
        <v>6000</v>
      </c>
      <c r="I837" s="77"/>
    </row>
    <row r="838">
      <c r="A838" s="78" t="s">
        <v>17469</v>
      </c>
      <c r="B838" s="78" t="s">
        <v>17470</v>
      </c>
      <c r="C838" s="78" t="s">
        <v>17471</v>
      </c>
      <c r="D838" s="78" t="s">
        <v>16723</v>
      </c>
      <c r="E838" s="78" t="s">
        <v>14790</v>
      </c>
      <c r="F838" s="78" t="s">
        <v>14867</v>
      </c>
      <c r="G838" s="78" t="s">
        <v>14734</v>
      </c>
      <c r="H838" s="78">
        <v>10000</v>
      </c>
      <c r="I838" s="77"/>
    </row>
    <row r="839">
      <c r="A839" s="78" t="s">
        <v>17472</v>
      </c>
      <c r="B839" s="78" t="s">
        <v>17473</v>
      </c>
      <c r="C839" s="78" t="s">
        <v>17474</v>
      </c>
      <c r="D839" s="78" t="s">
        <v>16723</v>
      </c>
      <c r="E839" s="78" t="s">
        <v>15946</v>
      </c>
      <c r="F839" s="78" t="s">
        <v>14989</v>
      </c>
      <c r="G839" s="78" t="s">
        <v>14990</v>
      </c>
      <c r="H839" s="78">
        <v>5000</v>
      </c>
      <c r="I839" s="77"/>
    </row>
    <row r="840">
      <c r="A840" s="78" t="s">
        <v>17475</v>
      </c>
      <c r="B840" s="78" t="s">
        <v>17476</v>
      </c>
      <c r="C840" s="78" t="s">
        <v>17477</v>
      </c>
      <c r="D840" s="78" t="s">
        <v>16651</v>
      </c>
      <c r="E840" s="78" t="s">
        <v>14994</v>
      </c>
      <c r="F840" s="78" t="s">
        <v>14889</v>
      </c>
      <c r="G840" s="78" t="s">
        <v>14890</v>
      </c>
      <c r="H840" s="78">
        <v>3000</v>
      </c>
      <c r="I840" s="77"/>
    </row>
    <row r="841">
      <c r="A841" s="78" t="s">
        <v>17478</v>
      </c>
      <c r="B841" s="78" t="s">
        <v>17479</v>
      </c>
      <c r="C841" s="78" t="s">
        <v>17480</v>
      </c>
      <c r="D841" s="78" t="s">
        <v>16723</v>
      </c>
      <c r="E841" s="78" t="s">
        <v>15946</v>
      </c>
      <c r="F841" s="78" t="s">
        <v>15739</v>
      </c>
      <c r="G841" s="78" t="s">
        <v>15129</v>
      </c>
      <c r="H841" s="78">
        <v>5000</v>
      </c>
      <c r="I841" s="77"/>
    </row>
    <row r="842">
      <c r="A842" s="78" t="s">
        <v>17481</v>
      </c>
      <c r="B842" s="78" t="s">
        <v>17482</v>
      </c>
      <c r="C842" s="78" t="s">
        <v>17483</v>
      </c>
      <c r="D842" s="78" t="s">
        <v>16723</v>
      </c>
      <c r="E842" s="78" t="s">
        <v>15946</v>
      </c>
      <c r="F842" s="78" t="s">
        <v>14950</v>
      </c>
      <c r="G842" s="78" t="s">
        <v>14782</v>
      </c>
      <c r="H842" s="78">
        <v>5000</v>
      </c>
      <c r="I842" s="77"/>
    </row>
    <row r="843">
      <c r="A843" s="78" t="s">
        <v>17484</v>
      </c>
      <c r="B843" s="78" t="s">
        <v>17485</v>
      </c>
      <c r="C843" s="78" t="s">
        <v>17486</v>
      </c>
      <c r="D843" s="78" t="s">
        <v>16820</v>
      </c>
      <c r="E843" s="78" t="s">
        <v>17487</v>
      </c>
      <c r="F843" s="78" t="s">
        <v>14889</v>
      </c>
      <c r="G843" s="78" t="s">
        <v>14890</v>
      </c>
      <c r="H843" s="78">
        <v>0</v>
      </c>
      <c r="I843" s="77"/>
    </row>
    <row r="844">
      <c r="A844" s="78" t="s">
        <v>17488</v>
      </c>
      <c r="B844" s="78" t="s">
        <v>17489</v>
      </c>
      <c r="C844" s="78" t="s">
        <v>17490</v>
      </c>
      <c r="D844" s="78" t="s">
        <v>16820</v>
      </c>
      <c r="E844" s="78" t="s">
        <v>17181</v>
      </c>
      <c r="F844" s="78" t="s">
        <v>15100</v>
      </c>
      <c r="G844" s="78" t="s">
        <v>14963</v>
      </c>
      <c r="H844" s="78" t="s">
        <v>17241</v>
      </c>
      <c r="I844" s="77"/>
    </row>
    <row r="845">
      <c r="A845" s="78" t="s">
        <v>17491</v>
      </c>
      <c r="B845" s="78" t="s">
        <v>17492</v>
      </c>
      <c r="C845" s="78" t="s">
        <v>17493</v>
      </c>
      <c r="D845" s="78" t="s">
        <v>16723</v>
      </c>
      <c r="E845" s="78" t="s">
        <v>14790</v>
      </c>
      <c r="F845" s="78" t="s">
        <v>14867</v>
      </c>
      <c r="G845" s="78" t="s">
        <v>14734</v>
      </c>
      <c r="H845" s="78">
        <v>10000</v>
      </c>
      <c r="I845" s="77"/>
    </row>
    <row r="846">
      <c r="A846" s="78" t="s">
        <v>17494</v>
      </c>
      <c r="B846" s="78" t="s">
        <v>17495</v>
      </c>
      <c r="C846" s="78" t="s">
        <v>17496</v>
      </c>
      <c r="D846" s="78" t="s">
        <v>16820</v>
      </c>
      <c r="E846" s="78" t="s">
        <v>17497</v>
      </c>
      <c r="F846" s="78" t="s">
        <v>15995</v>
      </c>
      <c r="G846" s="78" t="s">
        <v>14931</v>
      </c>
      <c r="H846" s="78">
        <v>0</v>
      </c>
      <c r="I846" s="77"/>
    </row>
    <row r="847">
      <c r="A847" s="78" t="s">
        <v>17498</v>
      </c>
      <c r="B847" s="78" t="s">
        <v>17499</v>
      </c>
      <c r="C847" s="78" t="s">
        <v>17500</v>
      </c>
      <c r="D847" s="78" t="s">
        <v>16723</v>
      </c>
      <c r="E847" s="78" t="s">
        <v>14884</v>
      </c>
      <c r="F847" s="78" t="s">
        <v>15691</v>
      </c>
      <c r="G847" s="78" t="s">
        <v>14931</v>
      </c>
      <c r="H847" s="78">
        <v>5000</v>
      </c>
      <c r="I847" s="77"/>
    </row>
    <row r="848">
      <c r="A848" s="78" t="s">
        <v>17501</v>
      </c>
      <c r="B848" s="78" t="s">
        <v>17502</v>
      </c>
      <c r="C848" s="78" t="s">
        <v>17503</v>
      </c>
      <c r="D848" s="78" t="s">
        <v>16723</v>
      </c>
      <c r="E848" s="78" t="s">
        <v>15946</v>
      </c>
      <c r="F848" s="78" t="s">
        <v>15608</v>
      </c>
      <c r="G848" s="78" t="s">
        <v>14990</v>
      </c>
      <c r="H848" s="78">
        <v>5000</v>
      </c>
      <c r="I848" s="77"/>
    </row>
    <row r="849">
      <c r="A849" s="78" t="s">
        <v>17504</v>
      </c>
      <c r="B849" s="78" t="s">
        <v>17505</v>
      </c>
      <c r="C849" s="78" t="s">
        <v>17506</v>
      </c>
      <c r="D849" s="78" t="s">
        <v>16723</v>
      </c>
      <c r="E849" s="78" t="s">
        <v>15946</v>
      </c>
      <c r="F849" s="78" t="s">
        <v>15917</v>
      </c>
      <c r="G849" s="78" t="s">
        <v>14651</v>
      </c>
      <c r="H849" s="78">
        <v>5000</v>
      </c>
      <c r="I849" s="77"/>
    </row>
    <row r="850">
      <c r="A850" s="78" t="s">
        <v>17507</v>
      </c>
      <c r="B850" s="78" t="s">
        <v>17508</v>
      </c>
      <c r="C850" s="78" t="s">
        <v>17509</v>
      </c>
      <c r="D850" s="78" t="s">
        <v>16723</v>
      </c>
      <c r="E850" s="78" t="s">
        <v>14790</v>
      </c>
      <c r="F850" s="78" t="s">
        <v>14867</v>
      </c>
      <c r="G850" s="78" t="s">
        <v>14734</v>
      </c>
      <c r="H850" s="78">
        <v>10000</v>
      </c>
      <c r="I850" s="77"/>
    </row>
    <row r="851">
      <c r="A851" s="78" t="s">
        <v>17510</v>
      </c>
      <c r="B851" s="78" t="s">
        <v>17511</v>
      </c>
      <c r="C851" s="78" t="s">
        <v>17512</v>
      </c>
      <c r="D851" s="78" t="s">
        <v>16820</v>
      </c>
      <c r="E851" s="78" t="s">
        <v>17270</v>
      </c>
      <c r="F851" s="78" t="s">
        <v>15061</v>
      </c>
      <c r="G851" s="78" t="s">
        <v>14651</v>
      </c>
      <c r="H851" s="78">
        <v>0</v>
      </c>
      <c r="I851" s="77"/>
    </row>
    <row r="852">
      <c r="A852" s="78" t="s">
        <v>17513</v>
      </c>
      <c r="B852" s="78" t="s">
        <v>17514</v>
      </c>
      <c r="C852" s="78" t="s">
        <v>17515</v>
      </c>
      <c r="D852" s="78" t="s">
        <v>16820</v>
      </c>
      <c r="E852" s="78" t="s">
        <v>17434</v>
      </c>
      <c r="F852" s="78" t="s">
        <v>14809</v>
      </c>
      <c r="G852" s="78" t="s">
        <v>14772</v>
      </c>
      <c r="H852" s="78" t="s">
        <v>17241</v>
      </c>
      <c r="I852" s="77"/>
    </row>
    <row r="853">
      <c r="A853" s="78" t="s">
        <v>17516</v>
      </c>
      <c r="B853" s="78" t="s">
        <v>17517</v>
      </c>
      <c r="C853" s="78" t="s">
        <v>17518</v>
      </c>
      <c r="D853" s="78" t="s">
        <v>16820</v>
      </c>
      <c r="E853" s="78" t="s">
        <v>17363</v>
      </c>
      <c r="F853" s="78" t="s">
        <v>15603</v>
      </c>
      <c r="G853" s="78" t="s">
        <v>14782</v>
      </c>
      <c r="H853" s="78">
        <v>0</v>
      </c>
      <c r="I853" s="77"/>
    </row>
    <row r="854">
      <c r="A854" s="78" t="s">
        <v>17519</v>
      </c>
      <c r="B854" s="78" t="s">
        <v>17520</v>
      </c>
      <c r="C854" s="78" t="s">
        <v>17521</v>
      </c>
      <c r="D854" s="78" t="s">
        <v>16820</v>
      </c>
      <c r="E854" s="78" t="s">
        <v>17434</v>
      </c>
      <c r="F854" s="78" t="s">
        <v>14809</v>
      </c>
      <c r="G854" s="78" t="s">
        <v>14772</v>
      </c>
      <c r="H854" s="78" t="s">
        <v>17241</v>
      </c>
      <c r="I854" s="77"/>
    </row>
    <row r="855">
      <c r="A855" s="78" t="s">
        <v>17522</v>
      </c>
      <c r="B855" s="78" t="s">
        <v>17523</v>
      </c>
      <c r="C855" s="78" t="s">
        <v>17524</v>
      </c>
      <c r="D855" s="78" t="s">
        <v>16820</v>
      </c>
      <c r="E855" s="78" t="s">
        <v>17434</v>
      </c>
      <c r="F855" s="78" t="s">
        <v>14804</v>
      </c>
      <c r="G855" s="78" t="s">
        <v>14772</v>
      </c>
      <c r="H855" s="78" t="s">
        <v>17241</v>
      </c>
      <c r="I855" s="77"/>
    </row>
    <row r="856">
      <c r="A856" s="78" t="s">
        <v>17525</v>
      </c>
      <c r="B856" s="78" t="s">
        <v>17526</v>
      </c>
      <c r="C856" s="78" t="s">
        <v>17527</v>
      </c>
      <c r="D856" s="78" t="s">
        <v>16723</v>
      </c>
      <c r="E856" s="78" t="s">
        <v>17528</v>
      </c>
      <c r="F856" s="78" t="s">
        <v>14723</v>
      </c>
      <c r="G856" s="78" t="s">
        <v>14703</v>
      </c>
      <c r="H856" s="78">
        <v>3000</v>
      </c>
      <c r="I856" s="77"/>
    </row>
    <row r="857">
      <c r="A857" s="78" t="s">
        <v>17529</v>
      </c>
      <c r="B857" s="78" t="s">
        <v>17530</v>
      </c>
      <c r="C857" s="78" t="s">
        <v>17531</v>
      </c>
      <c r="D857" s="78" t="s">
        <v>16820</v>
      </c>
      <c r="E857" s="78" t="s">
        <v>17497</v>
      </c>
      <c r="F857" s="78" t="s">
        <v>14943</v>
      </c>
      <c r="G857" s="78" t="s">
        <v>14923</v>
      </c>
      <c r="H857" s="78">
        <v>0</v>
      </c>
      <c r="I857" s="77"/>
    </row>
    <row r="858">
      <c r="A858" s="78" t="s">
        <v>17532</v>
      </c>
      <c r="B858" s="78" t="s">
        <v>17533</v>
      </c>
      <c r="C858" s="78" t="s">
        <v>17534</v>
      </c>
      <c r="D858" s="78" t="s">
        <v>16820</v>
      </c>
      <c r="E858" s="78" t="s">
        <v>17434</v>
      </c>
      <c r="F858" s="78" t="s">
        <v>14804</v>
      </c>
      <c r="G858" s="78" t="s">
        <v>14772</v>
      </c>
      <c r="H858" s="78" t="s">
        <v>17241</v>
      </c>
      <c r="I858" s="77"/>
    </row>
    <row r="859">
      <c r="A859" s="78" t="s">
        <v>17535</v>
      </c>
      <c r="B859" s="78" t="s">
        <v>17536</v>
      </c>
      <c r="C859" s="78" t="s">
        <v>17537</v>
      </c>
      <c r="D859" s="78" t="s">
        <v>16820</v>
      </c>
      <c r="E859" s="78" t="s">
        <v>17461</v>
      </c>
      <c r="F859" s="78" t="s">
        <v>14972</v>
      </c>
      <c r="G859" s="78" t="s">
        <v>14963</v>
      </c>
      <c r="H859" s="78">
        <v>0</v>
      </c>
      <c r="I859" s="77"/>
    </row>
    <row r="860">
      <c r="A860" s="78" t="s">
        <v>17538</v>
      </c>
      <c r="B860" s="78" t="s">
        <v>17539</v>
      </c>
      <c r="C860" s="78" t="s">
        <v>17540</v>
      </c>
      <c r="D860" s="78" t="s">
        <v>16820</v>
      </c>
      <c r="E860" s="78" t="s">
        <v>17497</v>
      </c>
      <c r="F860" s="78" t="s">
        <v>14894</v>
      </c>
      <c r="G860" s="78" t="s">
        <v>14734</v>
      </c>
      <c r="H860" s="78">
        <v>0</v>
      </c>
      <c r="I860" s="77"/>
    </row>
    <row r="861">
      <c r="A861" s="78" t="s">
        <v>17541</v>
      </c>
      <c r="B861" s="78" t="s">
        <v>17542</v>
      </c>
      <c r="C861" s="78" t="s">
        <v>17543</v>
      </c>
      <c r="D861" s="78" t="s">
        <v>16820</v>
      </c>
      <c r="E861" s="78" t="s">
        <v>17544</v>
      </c>
      <c r="F861" s="78" t="s">
        <v>14712</v>
      </c>
      <c r="G861" s="78" t="s">
        <v>14713</v>
      </c>
      <c r="H861" s="78" t="s">
        <v>17241</v>
      </c>
      <c r="I861" s="77"/>
    </row>
    <row r="862">
      <c r="A862" s="78" t="s">
        <v>17545</v>
      </c>
      <c r="B862" s="78" t="s">
        <v>17546</v>
      </c>
      <c r="C862" s="78" t="s">
        <v>17547</v>
      </c>
      <c r="D862" s="78" t="s">
        <v>16820</v>
      </c>
      <c r="E862" s="78" t="s">
        <v>17548</v>
      </c>
      <c r="F862" s="78" t="s">
        <v>15017</v>
      </c>
      <c r="G862" s="78" t="s">
        <v>14651</v>
      </c>
      <c r="H862" s="78">
        <v>0</v>
      </c>
      <c r="I862" s="77"/>
    </row>
    <row r="863">
      <c r="A863" s="78" t="s">
        <v>17549</v>
      </c>
      <c r="B863" s="78" t="s">
        <v>17550</v>
      </c>
      <c r="C863" s="78" t="s">
        <v>17285</v>
      </c>
      <c r="D863" s="78" t="s">
        <v>16723</v>
      </c>
      <c r="E863" s="78" t="s">
        <v>15946</v>
      </c>
      <c r="F863" s="78" t="s">
        <v>15081</v>
      </c>
      <c r="G863" s="78" t="s">
        <v>14651</v>
      </c>
      <c r="H863" s="78">
        <v>5000</v>
      </c>
      <c r="I863" s="77"/>
    </row>
    <row r="864">
      <c r="A864" s="78" t="s">
        <v>17551</v>
      </c>
      <c r="B864" s="78" t="s">
        <v>17552</v>
      </c>
      <c r="C864" s="78" t="s">
        <v>17553</v>
      </c>
      <c r="D864" s="78" t="s">
        <v>16723</v>
      </c>
      <c r="E864" s="78" t="s">
        <v>15632</v>
      </c>
      <c r="F864" s="78" t="s">
        <v>15721</v>
      </c>
      <c r="G864" s="78" t="s">
        <v>14890</v>
      </c>
      <c r="H864" s="78">
        <v>5000</v>
      </c>
      <c r="I864" s="77"/>
    </row>
    <row r="865">
      <c r="A865" s="78" t="s">
        <v>17554</v>
      </c>
      <c r="B865" s="78" t="s">
        <v>17555</v>
      </c>
      <c r="C865" s="78" t="s">
        <v>17556</v>
      </c>
      <c r="D865" s="78" t="s">
        <v>16820</v>
      </c>
      <c r="E865" s="78" t="s">
        <v>17191</v>
      </c>
      <c r="F865" s="78" t="s">
        <v>15739</v>
      </c>
      <c r="G865" s="78" t="s">
        <v>15129</v>
      </c>
      <c r="H865" s="78">
        <v>0</v>
      </c>
      <c r="I865" s="77"/>
    </row>
    <row r="866">
      <c r="A866" s="78" t="s">
        <v>17557</v>
      </c>
      <c r="B866" s="78" t="s">
        <v>17558</v>
      </c>
      <c r="C866" s="78" t="s">
        <v>17559</v>
      </c>
      <c r="D866" s="78" t="s">
        <v>16820</v>
      </c>
      <c r="E866" s="78" t="s">
        <v>17487</v>
      </c>
      <c r="F866" s="78" t="s">
        <v>14889</v>
      </c>
      <c r="G866" s="78" t="s">
        <v>14890</v>
      </c>
      <c r="H866" s="78">
        <v>0</v>
      </c>
      <c r="I866" s="77"/>
    </row>
    <row r="867">
      <c r="A867" s="78" t="s">
        <v>17560</v>
      </c>
      <c r="B867" s="78" t="s">
        <v>17561</v>
      </c>
      <c r="C867" s="78" t="s">
        <v>17562</v>
      </c>
      <c r="D867" s="78" t="s">
        <v>16723</v>
      </c>
      <c r="E867" s="78" t="s">
        <v>15683</v>
      </c>
      <c r="F867" s="78" t="s">
        <v>14867</v>
      </c>
      <c r="G867" s="78" t="s">
        <v>14734</v>
      </c>
      <c r="H867" s="78">
        <v>1000</v>
      </c>
      <c r="I867" s="77"/>
    </row>
    <row r="868">
      <c r="A868" s="78" t="s">
        <v>17563</v>
      </c>
      <c r="B868" s="78" t="s">
        <v>17564</v>
      </c>
      <c r="C868" s="78" t="s">
        <v>17565</v>
      </c>
      <c r="D868" s="78" t="s">
        <v>16820</v>
      </c>
      <c r="E868" s="78" t="s">
        <v>17434</v>
      </c>
      <c r="F868" s="78" t="s">
        <v>14809</v>
      </c>
      <c r="G868" s="78" t="s">
        <v>14772</v>
      </c>
      <c r="H868" s="78" t="s">
        <v>17241</v>
      </c>
      <c r="I868" s="77"/>
    </row>
    <row r="869">
      <c r="A869" s="78" t="s">
        <v>17566</v>
      </c>
      <c r="B869" s="78" t="s">
        <v>17567</v>
      </c>
      <c r="C869" s="78" t="s">
        <v>17568</v>
      </c>
      <c r="D869" s="78" t="s">
        <v>16820</v>
      </c>
      <c r="E869" s="78" t="s">
        <v>16880</v>
      </c>
      <c r="F869" s="78" t="s">
        <v>14781</v>
      </c>
      <c r="G869" s="78" t="s">
        <v>14782</v>
      </c>
      <c r="H869" s="78">
        <v>0</v>
      </c>
      <c r="I869" s="77"/>
    </row>
    <row r="870">
      <c r="A870" s="78" t="s">
        <v>17569</v>
      </c>
      <c r="B870" s="78" t="s">
        <v>17570</v>
      </c>
      <c r="C870" s="78" t="s">
        <v>17571</v>
      </c>
      <c r="D870" s="78" t="s">
        <v>16723</v>
      </c>
      <c r="E870" s="78" t="s">
        <v>14707</v>
      </c>
      <c r="F870" s="78" t="s">
        <v>14702</v>
      </c>
      <c r="G870" s="78" t="s">
        <v>14703</v>
      </c>
      <c r="H870" s="78">
        <v>5000</v>
      </c>
      <c r="I870" s="77"/>
    </row>
    <row r="871">
      <c r="A871" s="78" t="s">
        <v>17572</v>
      </c>
      <c r="B871" s="78" t="s">
        <v>17573</v>
      </c>
      <c r="C871" s="78" t="s">
        <v>17574</v>
      </c>
      <c r="D871" s="78" t="s">
        <v>16820</v>
      </c>
      <c r="E871" s="78" t="s">
        <v>17575</v>
      </c>
      <c r="F871" s="78" t="s">
        <v>14723</v>
      </c>
      <c r="G871" s="78" t="s">
        <v>14703</v>
      </c>
      <c r="H871" s="78">
        <v>0</v>
      </c>
      <c r="I871" s="77"/>
    </row>
    <row r="872">
      <c r="A872" s="78" t="s">
        <v>17576</v>
      </c>
      <c r="B872" s="78" t="s">
        <v>17577</v>
      </c>
      <c r="C872" s="78" t="s">
        <v>17578</v>
      </c>
      <c r="D872" s="78" t="s">
        <v>16723</v>
      </c>
      <c r="E872" s="78" t="s">
        <v>17579</v>
      </c>
      <c r="F872" s="78" t="s">
        <v>14771</v>
      </c>
      <c r="G872" s="78" t="s">
        <v>14772</v>
      </c>
      <c r="H872" s="78">
        <v>2000</v>
      </c>
      <c r="I872" s="77"/>
    </row>
    <row r="873">
      <c r="A873" s="78" t="s">
        <v>17580</v>
      </c>
      <c r="B873" s="78" t="s">
        <v>17581</v>
      </c>
      <c r="C873" s="78" t="s">
        <v>17582</v>
      </c>
      <c r="D873" s="78" t="s">
        <v>16820</v>
      </c>
      <c r="E873" s="78" t="s">
        <v>17583</v>
      </c>
      <c r="F873" s="78" t="s">
        <v>14728</v>
      </c>
      <c r="G873" s="78" t="s">
        <v>14703</v>
      </c>
      <c r="H873" s="78">
        <v>0</v>
      </c>
      <c r="I873" s="77"/>
    </row>
    <row r="874">
      <c r="A874" s="78" t="s">
        <v>17584</v>
      </c>
      <c r="B874" s="78" t="s">
        <v>17585</v>
      </c>
      <c r="C874" s="78" t="s">
        <v>17586</v>
      </c>
      <c r="D874" s="78" t="s">
        <v>16723</v>
      </c>
      <c r="E874" s="78" t="s">
        <v>14914</v>
      </c>
      <c r="F874" s="78" t="s">
        <v>14877</v>
      </c>
      <c r="G874" s="78" t="s">
        <v>14782</v>
      </c>
      <c r="H874" s="78">
        <v>5000</v>
      </c>
      <c r="I874" s="77"/>
    </row>
    <row r="875">
      <c r="A875" s="78" t="s">
        <v>17587</v>
      </c>
      <c r="B875" s="78" t="s">
        <v>17588</v>
      </c>
      <c r="C875" s="78" t="s">
        <v>17589</v>
      </c>
      <c r="D875" s="78" t="s">
        <v>16820</v>
      </c>
      <c r="E875" s="78" t="s">
        <v>17590</v>
      </c>
      <c r="F875" s="78" t="s">
        <v>14723</v>
      </c>
      <c r="G875" s="78" t="s">
        <v>14703</v>
      </c>
      <c r="H875" s="78">
        <v>0</v>
      </c>
      <c r="I875" s="77"/>
    </row>
    <row r="876">
      <c r="A876" s="78" t="s">
        <v>17591</v>
      </c>
      <c r="B876" s="78" t="s">
        <v>17592</v>
      </c>
      <c r="C876" s="78" t="s">
        <v>17593</v>
      </c>
      <c r="D876" s="78" t="s">
        <v>16723</v>
      </c>
      <c r="E876" s="78" t="s">
        <v>14914</v>
      </c>
      <c r="F876" s="78" t="s">
        <v>15669</v>
      </c>
      <c r="G876" s="78" t="s">
        <v>14782</v>
      </c>
      <c r="H876" s="78">
        <v>5000</v>
      </c>
      <c r="I876" s="77"/>
      <c r="J876" s="77"/>
    </row>
    <row r="877">
      <c r="A877" s="78" t="s">
        <v>17594</v>
      </c>
      <c r="B877" s="78" t="s">
        <v>17595</v>
      </c>
      <c r="C877" s="78" t="s">
        <v>17596</v>
      </c>
      <c r="D877" s="78" t="s">
        <v>16723</v>
      </c>
      <c r="E877" s="78" t="s">
        <v>14790</v>
      </c>
      <c r="F877" s="78" t="s">
        <v>14867</v>
      </c>
      <c r="G877" s="78" t="s">
        <v>14734</v>
      </c>
      <c r="H877" s="78">
        <v>10000</v>
      </c>
      <c r="I877" s="77"/>
    </row>
    <row r="878">
      <c r="A878" s="78" t="s">
        <v>17597</v>
      </c>
      <c r="B878" s="78" t="s">
        <v>17598</v>
      </c>
      <c r="C878" s="78" t="s">
        <v>17599</v>
      </c>
      <c r="D878" s="78" t="s">
        <v>16723</v>
      </c>
      <c r="E878" s="78" t="s">
        <v>14790</v>
      </c>
      <c r="F878" s="78" t="s">
        <v>14867</v>
      </c>
      <c r="G878" s="78" t="s">
        <v>14931</v>
      </c>
      <c r="H878" s="78">
        <v>10000</v>
      </c>
      <c r="I878" s="77"/>
    </row>
    <row r="879">
      <c r="A879" s="78" t="s">
        <v>17600</v>
      </c>
      <c r="B879" s="78" t="s">
        <v>17601</v>
      </c>
      <c r="C879" s="78" t="s">
        <v>17602</v>
      </c>
      <c r="D879" s="78" t="s">
        <v>16723</v>
      </c>
      <c r="E879" s="78" t="s">
        <v>14790</v>
      </c>
      <c r="F879" s="78" t="s">
        <v>14867</v>
      </c>
      <c r="G879" s="78" t="s">
        <v>14734</v>
      </c>
      <c r="H879" s="78">
        <v>10000</v>
      </c>
      <c r="I879" s="77"/>
    </row>
    <row r="880">
      <c r="A880" s="78" t="s">
        <v>17603</v>
      </c>
      <c r="B880" s="78" t="s">
        <v>17604</v>
      </c>
      <c r="C880" s="78" t="s">
        <v>17605</v>
      </c>
      <c r="D880" s="78" t="s">
        <v>16820</v>
      </c>
      <c r="E880" s="78" t="s">
        <v>17497</v>
      </c>
      <c r="F880" s="78" t="s">
        <v>15995</v>
      </c>
      <c r="G880" s="78" t="s">
        <v>14931</v>
      </c>
      <c r="H880" s="78">
        <v>0</v>
      </c>
      <c r="I880" s="77"/>
    </row>
    <row r="881">
      <c r="A881" s="78" t="s">
        <v>17606</v>
      </c>
      <c r="B881" s="78" t="s">
        <v>17607</v>
      </c>
      <c r="C881" s="78" t="s">
        <v>17608</v>
      </c>
      <c r="D881" s="78" t="s">
        <v>16820</v>
      </c>
      <c r="E881" s="78" t="s">
        <v>17497</v>
      </c>
      <c r="F881" s="78" t="s">
        <v>15750</v>
      </c>
      <c r="G881" s="78" t="s">
        <v>14734</v>
      </c>
      <c r="H881" s="78">
        <v>0</v>
      </c>
      <c r="I881" s="77"/>
    </row>
    <row r="882">
      <c r="A882" s="78" t="s">
        <v>17609</v>
      </c>
      <c r="B882" s="78" t="s">
        <v>17610</v>
      </c>
      <c r="C882" s="78" t="s">
        <v>17611</v>
      </c>
      <c r="D882" s="78" t="s">
        <v>16723</v>
      </c>
      <c r="E882" s="78" t="s">
        <v>15683</v>
      </c>
      <c r="F882" s="78" t="s">
        <v>14903</v>
      </c>
      <c r="G882" s="78" t="s">
        <v>14734</v>
      </c>
      <c r="H882" s="78">
        <v>1000</v>
      </c>
      <c r="I882" s="77"/>
    </row>
    <row r="883">
      <c r="A883" s="78" t="s">
        <v>17612</v>
      </c>
      <c r="B883" s="78" t="s">
        <v>17613</v>
      </c>
      <c r="C883" s="78" t="s">
        <v>17614</v>
      </c>
      <c r="D883" s="78" t="s">
        <v>16820</v>
      </c>
      <c r="E883" s="78" t="s">
        <v>17615</v>
      </c>
      <c r="F883" s="78" t="s">
        <v>14712</v>
      </c>
      <c r="G883" s="78" t="s">
        <v>14963</v>
      </c>
      <c r="H883" s="78">
        <v>0</v>
      </c>
      <c r="I883" s="77"/>
    </row>
    <row r="884">
      <c r="A884" s="78" t="s">
        <v>17616</v>
      </c>
      <c r="B884" s="78" t="s">
        <v>17617</v>
      </c>
      <c r="C884" s="78" t="s">
        <v>17618</v>
      </c>
      <c r="D884" s="78" t="s">
        <v>16820</v>
      </c>
      <c r="E884" s="78" t="s">
        <v>16873</v>
      </c>
      <c r="F884" s="78" t="s">
        <v>15081</v>
      </c>
      <c r="G884" s="78" t="s">
        <v>14651</v>
      </c>
      <c r="H884" s="78">
        <v>0</v>
      </c>
      <c r="I884" s="77"/>
    </row>
    <row r="885">
      <c r="A885" s="78" t="s">
        <v>17619</v>
      </c>
      <c r="B885" s="78" t="s">
        <v>17620</v>
      </c>
      <c r="C885" s="78" t="s">
        <v>17621</v>
      </c>
      <c r="D885" s="78" t="s">
        <v>16651</v>
      </c>
      <c r="E885" s="78" t="s">
        <v>15946</v>
      </c>
      <c r="F885" s="78" t="s">
        <v>15100</v>
      </c>
      <c r="G885" s="78" t="s">
        <v>14963</v>
      </c>
      <c r="H885" s="78">
        <v>5000</v>
      </c>
      <c r="I885" s="77"/>
    </row>
    <row r="886">
      <c r="A886" s="78" t="s">
        <v>17622</v>
      </c>
      <c r="B886" s="78" t="s">
        <v>17623</v>
      </c>
      <c r="C886" s="78" t="s">
        <v>17624</v>
      </c>
      <c r="D886" s="78" t="s">
        <v>16723</v>
      </c>
      <c r="E886" s="78" t="s">
        <v>14790</v>
      </c>
      <c r="F886" s="78" t="s">
        <v>14922</v>
      </c>
      <c r="G886" s="78" t="s">
        <v>14923</v>
      </c>
      <c r="H886" s="78">
        <v>10000</v>
      </c>
      <c r="I886" s="77"/>
    </row>
    <row r="887">
      <c r="A887" s="78" t="s">
        <v>17625</v>
      </c>
      <c r="B887" s="78" t="s">
        <v>17626</v>
      </c>
      <c r="C887" s="78" t="s">
        <v>17627</v>
      </c>
      <c r="D887" s="78" t="s">
        <v>16723</v>
      </c>
      <c r="E887" s="78" t="s">
        <v>14790</v>
      </c>
      <c r="F887" s="78" t="s">
        <v>14867</v>
      </c>
      <c r="G887" s="78" t="s">
        <v>14734</v>
      </c>
      <c r="H887" s="78">
        <v>10000</v>
      </c>
      <c r="I887" s="77"/>
      <c r="J887" s="77"/>
    </row>
    <row r="888">
      <c r="A888" s="78" t="s">
        <v>17628</v>
      </c>
      <c r="B888" s="78" t="s">
        <v>17629</v>
      </c>
      <c r="C888" s="78" t="s">
        <v>17630</v>
      </c>
      <c r="D888" s="78" t="s">
        <v>16820</v>
      </c>
      <c r="E888" s="78" t="s">
        <v>17631</v>
      </c>
      <c r="F888" s="78" t="s">
        <v>15717</v>
      </c>
      <c r="G888" s="78" t="s">
        <v>14651</v>
      </c>
      <c r="H888" s="78">
        <v>0</v>
      </c>
      <c r="I888" s="77"/>
    </row>
    <row r="889">
      <c r="A889" s="78" t="s">
        <v>17632</v>
      </c>
      <c r="B889" s="78" t="s">
        <v>17633</v>
      </c>
      <c r="C889" s="78" t="s">
        <v>17634</v>
      </c>
      <c r="D889" s="78" t="s">
        <v>16723</v>
      </c>
      <c r="E889" s="78" t="s">
        <v>15683</v>
      </c>
      <c r="F889" s="78" t="s">
        <v>14791</v>
      </c>
      <c r="G889" s="78" t="s">
        <v>14734</v>
      </c>
      <c r="H889" s="78">
        <v>1000</v>
      </c>
      <c r="I889" s="77"/>
      <c r="J889" s="77"/>
    </row>
    <row r="890">
      <c r="A890" s="78" t="s">
        <v>17635</v>
      </c>
      <c r="B890" s="78" t="s">
        <v>17636</v>
      </c>
      <c r="C890" s="78" t="s">
        <v>17637</v>
      </c>
      <c r="D890" s="78" t="s">
        <v>16820</v>
      </c>
      <c r="E890" s="78" t="s">
        <v>17270</v>
      </c>
      <c r="F890" s="78" t="s">
        <v>15061</v>
      </c>
      <c r="G890" s="78" t="s">
        <v>14651</v>
      </c>
      <c r="H890" s="78">
        <v>0</v>
      </c>
      <c r="I890" s="77"/>
    </row>
    <row r="891">
      <c r="A891" s="78" t="s">
        <v>17638</v>
      </c>
      <c r="B891" s="78" t="s">
        <v>17639</v>
      </c>
      <c r="C891" s="78" t="s">
        <v>17640</v>
      </c>
      <c r="D891" s="78" t="s">
        <v>16651</v>
      </c>
      <c r="E891" s="78" t="s">
        <v>15946</v>
      </c>
      <c r="F891" s="78" t="s">
        <v>15603</v>
      </c>
      <c r="G891" s="78" t="s">
        <v>14782</v>
      </c>
      <c r="H891" s="78">
        <v>5000</v>
      </c>
      <c r="I891" s="77"/>
    </row>
    <row r="892">
      <c r="A892" s="78" t="s">
        <v>17641</v>
      </c>
      <c r="B892" s="78" t="s">
        <v>17642</v>
      </c>
      <c r="C892" s="78" t="s">
        <v>17643</v>
      </c>
      <c r="D892" s="78" t="s">
        <v>16820</v>
      </c>
      <c r="E892" s="78" t="s">
        <v>17434</v>
      </c>
      <c r="F892" s="78" t="s">
        <v>14804</v>
      </c>
      <c r="G892" s="78" t="s">
        <v>14772</v>
      </c>
      <c r="H892" s="78" t="s">
        <v>17241</v>
      </c>
      <c r="I892" s="77"/>
    </row>
    <row r="893">
      <c r="A893" s="78" t="s">
        <v>17644</v>
      </c>
      <c r="B893" s="78" t="s">
        <v>17645</v>
      </c>
      <c r="C893" s="78" t="s">
        <v>17646</v>
      </c>
      <c r="D893" s="78" t="s">
        <v>16651</v>
      </c>
      <c r="E893" s="78" t="s">
        <v>14790</v>
      </c>
      <c r="F893" s="78" t="s">
        <v>14867</v>
      </c>
      <c r="G893" s="78" t="s">
        <v>14734</v>
      </c>
      <c r="H893" s="78">
        <v>10000</v>
      </c>
      <c r="I893" s="77"/>
      <c r="J893" s="77"/>
    </row>
    <row r="894">
      <c r="A894" s="78" t="s">
        <v>17647</v>
      </c>
      <c r="B894" s="78" t="s">
        <v>17648</v>
      </c>
      <c r="C894" s="78" t="s">
        <v>17649</v>
      </c>
      <c r="D894" s="78" t="s">
        <v>16651</v>
      </c>
      <c r="E894" s="78" t="s">
        <v>15853</v>
      </c>
      <c r="F894" s="78" t="s">
        <v>15100</v>
      </c>
      <c r="G894" s="78" t="s">
        <v>14963</v>
      </c>
      <c r="H894" s="78">
        <v>2000</v>
      </c>
      <c r="I894" s="77"/>
    </row>
    <row r="895">
      <c r="A895" s="78" t="s">
        <v>17650</v>
      </c>
      <c r="B895" s="78" t="s">
        <v>17651</v>
      </c>
      <c r="C895" s="78" t="s">
        <v>17652</v>
      </c>
      <c r="D895" s="78" t="s">
        <v>14648</v>
      </c>
      <c r="E895" s="78" t="s">
        <v>15853</v>
      </c>
      <c r="F895" s="78" t="s">
        <v>14977</v>
      </c>
      <c r="G895" s="78" t="s">
        <v>14963</v>
      </c>
      <c r="H895" s="78">
        <v>2000</v>
      </c>
      <c r="I895" s="77"/>
    </row>
    <row r="896">
      <c r="A896" s="78" t="s">
        <v>17653</v>
      </c>
      <c r="B896" s="78" t="s">
        <v>17654</v>
      </c>
      <c r="C896" s="78" t="s">
        <v>17655</v>
      </c>
      <c r="D896" s="78" t="s">
        <v>16723</v>
      </c>
      <c r="E896" s="78" t="s">
        <v>17656</v>
      </c>
      <c r="F896" s="78" t="s">
        <v>14723</v>
      </c>
      <c r="G896" s="78" t="s">
        <v>14703</v>
      </c>
      <c r="H896" s="78">
        <v>3000</v>
      </c>
      <c r="I896" s="77"/>
      <c r="J896" s="77"/>
    </row>
    <row r="897">
      <c r="A897" s="78" t="s">
        <v>17657</v>
      </c>
      <c r="B897" s="78" t="s">
        <v>17658</v>
      </c>
      <c r="C897" s="78" t="s">
        <v>17659</v>
      </c>
      <c r="D897" s="78" t="s">
        <v>16820</v>
      </c>
      <c r="E897" s="78" t="s">
        <v>17544</v>
      </c>
      <c r="F897" s="78" t="s">
        <v>14712</v>
      </c>
      <c r="G897" s="78" t="s">
        <v>14713</v>
      </c>
      <c r="H897" s="78" t="s">
        <v>17241</v>
      </c>
      <c r="I897" s="77"/>
    </row>
    <row r="898">
      <c r="A898" s="78" t="s">
        <v>17660</v>
      </c>
      <c r="B898" s="78" t="s">
        <v>17661</v>
      </c>
      <c r="C898" s="78" t="s">
        <v>17662</v>
      </c>
      <c r="D898" s="78" t="s">
        <v>16723</v>
      </c>
      <c r="E898" s="78" t="s">
        <v>14884</v>
      </c>
      <c r="F898" s="78" t="s">
        <v>14943</v>
      </c>
      <c r="G898" s="78" t="s">
        <v>14923</v>
      </c>
      <c r="H898" s="78">
        <v>5000</v>
      </c>
      <c r="I898" s="77"/>
    </row>
    <row r="899">
      <c r="A899" s="78" t="s">
        <v>17663</v>
      </c>
      <c r="B899" s="78" t="s">
        <v>17664</v>
      </c>
      <c r="C899" s="78" t="s">
        <v>17665</v>
      </c>
      <c r="D899" s="78" t="s">
        <v>16820</v>
      </c>
      <c r="E899" s="78" t="s">
        <v>17270</v>
      </c>
      <c r="F899" s="78" t="s">
        <v>15061</v>
      </c>
      <c r="G899" s="78" t="s">
        <v>14651</v>
      </c>
      <c r="H899" s="78">
        <v>0</v>
      </c>
      <c r="I899" s="77"/>
    </row>
    <row r="900">
      <c r="A900" s="78" t="s">
        <v>17666</v>
      </c>
      <c r="B900" s="78" t="s">
        <v>17667</v>
      </c>
      <c r="C900" s="78" t="s">
        <v>17668</v>
      </c>
      <c r="D900" s="78" t="s">
        <v>16723</v>
      </c>
      <c r="E900" s="78" t="s">
        <v>14790</v>
      </c>
      <c r="F900" s="78" t="s">
        <v>14867</v>
      </c>
      <c r="G900" s="78" t="s">
        <v>14734</v>
      </c>
      <c r="H900" s="78">
        <v>10000</v>
      </c>
      <c r="I900" s="77"/>
      <c r="J900" s="77"/>
    </row>
    <row r="901">
      <c r="A901" s="78" t="s">
        <v>17669</v>
      </c>
      <c r="B901" s="78" t="s">
        <v>17670</v>
      </c>
      <c r="C901" s="78" t="s">
        <v>17671</v>
      </c>
      <c r="D901" s="78" t="s">
        <v>16820</v>
      </c>
      <c r="E901" s="78" t="s">
        <v>17434</v>
      </c>
      <c r="F901" s="78" t="s">
        <v>14804</v>
      </c>
      <c r="G901" s="78" t="s">
        <v>14772</v>
      </c>
      <c r="H901" s="78" t="s">
        <v>17241</v>
      </c>
      <c r="I901" s="77"/>
    </row>
    <row r="902">
      <c r="A902" s="78" t="s">
        <v>17672</v>
      </c>
      <c r="B902" s="78" t="s">
        <v>17673</v>
      </c>
      <c r="C902" s="78" t="s">
        <v>17674</v>
      </c>
      <c r="D902" s="78" t="s">
        <v>16723</v>
      </c>
      <c r="E902" s="78" t="s">
        <v>14790</v>
      </c>
      <c r="F902" s="78" t="s">
        <v>14922</v>
      </c>
      <c r="G902" s="78" t="s">
        <v>14923</v>
      </c>
      <c r="H902" s="78">
        <v>10000</v>
      </c>
      <c r="I902" s="77"/>
    </row>
    <row r="903">
      <c r="A903" s="78" t="s">
        <v>17675</v>
      </c>
      <c r="B903" s="78" t="s">
        <v>17676</v>
      </c>
      <c r="C903" s="78" t="s">
        <v>17677</v>
      </c>
      <c r="D903" s="78" t="s">
        <v>16651</v>
      </c>
      <c r="E903" s="78" t="s">
        <v>14790</v>
      </c>
      <c r="F903" s="78" t="s">
        <v>14922</v>
      </c>
      <c r="G903" s="78" t="s">
        <v>14923</v>
      </c>
      <c r="H903" s="78">
        <v>10000</v>
      </c>
      <c r="I903" s="77"/>
    </row>
    <row r="904">
      <c r="A904" s="78" t="s">
        <v>17678</v>
      </c>
      <c r="B904" s="78" t="s">
        <v>17679</v>
      </c>
      <c r="C904" s="78" t="s">
        <v>17680</v>
      </c>
      <c r="D904" s="78" t="s">
        <v>16820</v>
      </c>
      <c r="E904" s="78" t="s">
        <v>17544</v>
      </c>
      <c r="F904" s="78" t="s">
        <v>14712</v>
      </c>
      <c r="G904" s="78" t="s">
        <v>14713</v>
      </c>
      <c r="H904" s="78" t="s">
        <v>17241</v>
      </c>
      <c r="I904" s="77"/>
    </row>
    <row r="905">
      <c r="A905" s="78" t="s">
        <v>17681</v>
      </c>
      <c r="B905" s="78" t="s">
        <v>17682</v>
      </c>
      <c r="C905" s="78" t="s">
        <v>17683</v>
      </c>
      <c r="D905" s="78" t="s">
        <v>16651</v>
      </c>
      <c r="E905" s="78" t="s">
        <v>15683</v>
      </c>
      <c r="F905" s="78" t="s">
        <v>14867</v>
      </c>
      <c r="G905" s="78" t="s">
        <v>14734</v>
      </c>
      <c r="H905" s="78">
        <v>1000</v>
      </c>
      <c r="I905" s="77"/>
    </row>
    <row r="906">
      <c r="A906" s="78" t="s">
        <v>17684</v>
      </c>
      <c r="B906" s="78" t="s">
        <v>17685</v>
      </c>
      <c r="C906" s="78" t="s">
        <v>17686</v>
      </c>
      <c r="D906" s="78" t="s">
        <v>16651</v>
      </c>
      <c r="E906" s="78" t="s">
        <v>15946</v>
      </c>
      <c r="F906" s="78" t="s">
        <v>14867</v>
      </c>
      <c r="G906" s="78" t="s">
        <v>14931</v>
      </c>
      <c r="H906" s="78">
        <v>6000</v>
      </c>
      <c r="I906" s="77"/>
    </row>
    <row r="907">
      <c r="A907" s="78" t="s">
        <v>17687</v>
      </c>
      <c r="B907" s="78" t="s">
        <v>17688</v>
      </c>
      <c r="C907" s="78" t="s">
        <v>17689</v>
      </c>
      <c r="D907" s="78" t="s">
        <v>16651</v>
      </c>
      <c r="E907" s="78" t="s">
        <v>15853</v>
      </c>
      <c r="F907" s="78" t="s">
        <v>15110</v>
      </c>
      <c r="G907" s="78" t="s">
        <v>14782</v>
      </c>
      <c r="H907" s="78">
        <v>2000</v>
      </c>
      <c r="I907" s="77"/>
    </row>
    <row r="908">
      <c r="A908" s="78" t="s">
        <v>17690</v>
      </c>
      <c r="B908" s="78" t="s">
        <v>17691</v>
      </c>
      <c r="C908" s="78" t="s">
        <v>17692</v>
      </c>
      <c r="D908" s="78" t="s">
        <v>14648</v>
      </c>
      <c r="E908" s="78" t="s">
        <v>14871</v>
      </c>
      <c r="F908" s="78" t="s">
        <v>15619</v>
      </c>
      <c r="G908" s="78" t="s">
        <v>14931</v>
      </c>
      <c r="H908" s="78">
        <v>2000</v>
      </c>
      <c r="I908" s="77"/>
    </row>
    <row r="909">
      <c r="A909" s="78" t="s">
        <v>17693</v>
      </c>
      <c r="B909" s="78" t="s">
        <v>17694</v>
      </c>
      <c r="C909" s="78" t="s">
        <v>17695</v>
      </c>
      <c r="D909" s="78" t="s">
        <v>16820</v>
      </c>
      <c r="E909" s="78" t="s">
        <v>17497</v>
      </c>
      <c r="F909" s="78" t="s">
        <v>15750</v>
      </c>
      <c r="G909" s="78" t="s">
        <v>14734</v>
      </c>
      <c r="H909" s="78" t="s">
        <v>17241</v>
      </c>
      <c r="I909" s="77"/>
    </row>
    <row r="910">
      <c r="A910" s="78" t="s">
        <v>17696</v>
      </c>
      <c r="B910" s="78" t="s">
        <v>17697</v>
      </c>
      <c r="C910" s="78" t="s">
        <v>17698</v>
      </c>
      <c r="D910" s="78" t="s">
        <v>16820</v>
      </c>
      <c r="E910" s="78" t="s">
        <v>17699</v>
      </c>
      <c r="F910" s="78" t="s">
        <v>15739</v>
      </c>
      <c r="G910" s="78" t="s">
        <v>14734</v>
      </c>
      <c r="H910" s="78" t="s">
        <v>17241</v>
      </c>
      <c r="I910" s="77"/>
    </row>
    <row r="911">
      <c r="A911" s="78" t="s">
        <v>17700</v>
      </c>
      <c r="B911" s="78" t="s">
        <v>17701</v>
      </c>
      <c r="C911" s="78" t="s">
        <v>17702</v>
      </c>
      <c r="D911" s="78" t="s">
        <v>16820</v>
      </c>
      <c r="E911" s="78" t="s">
        <v>17699</v>
      </c>
      <c r="F911" s="78" t="s">
        <v>15739</v>
      </c>
      <c r="G911" s="78" t="s">
        <v>14734</v>
      </c>
      <c r="H911" s="78">
        <v>0</v>
      </c>
      <c r="I911" s="77"/>
    </row>
    <row r="912">
      <c r="A912" s="78" t="s">
        <v>17703</v>
      </c>
      <c r="B912" s="78" t="s">
        <v>17704</v>
      </c>
      <c r="C912" s="78" t="s">
        <v>17705</v>
      </c>
      <c r="D912" s="78" t="s">
        <v>16723</v>
      </c>
      <c r="E912" s="78" t="s">
        <v>15853</v>
      </c>
      <c r="F912" s="78" t="s">
        <v>15100</v>
      </c>
      <c r="G912" s="78" t="s">
        <v>14963</v>
      </c>
      <c r="H912" s="78">
        <v>2000</v>
      </c>
      <c r="I912" s="77"/>
    </row>
    <row r="913">
      <c r="A913" s="78" t="s">
        <v>17706</v>
      </c>
      <c r="B913" s="78" t="s">
        <v>17707</v>
      </c>
      <c r="C913" s="78" t="s">
        <v>17708</v>
      </c>
      <c r="D913" s="78" t="s">
        <v>16651</v>
      </c>
      <c r="E913" s="78" t="s">
        <v>14790</v>
      </c>
      <c r="F913" s="78" t="s">
        <v>14922</v>
      </c>
      <c r="G913" s="78" t="s">
        <v>14923</v>
      </c>
      <c r="H913" s="78">
        <v>10000</v>
      </c>
      <c r="I913" s="77"/>
    </row>
    <row r="914">
      <c r="A914" s="78" t="s">
        <v>17709</v>
      </c>
      <c r="B914" s="78" t="s">
        <v>17710</v>
      </c>
      <c r="C914" s="78" t="s">
        <v>17711</v>
      </c>
      <c r="D914" s="78" t="s">
        <v>16723</v>
      </c>
      <c r="E914" s="78" t="s">
        <v>14790</v>
      </c>
      <c r="F914" s="78" t="s">
        <v>14867</v>
      </c>
      <c r="G914" s="78" t="s">
        <v>14931</v>
      </c>
      <c r="H914" s="78">
        <v>10000</v>
      </c>
      <c r="I914" s="77"/>
    </row>
    <row r="915">
      <c r="A915" s="78" t="s">
        <v>17712</v>
      </c>
      <c r="B915" s="78" t="s">
        <v>17713</v>
      </c>
      <c r="C915" s="78" t="s">
        <v>17714</v>
      </c>
      <c r="D915" s="78" t="s">
        <v>16820</v>
      </c>
      <c r="E915" s="78" t="s">
        <v>17497</v>
      </c>
      <c r="F915" s="78" t="s">
        <v>15619</v>
      </c>
      <c r="G915" s="78" t="s">
        <v>14931</v>
      </c>
      <c r="H915" s="78">
        <v>0</v>
      </c>
      <c r="I915" s="77"/>
    </row>
    <row r="916">
      <c r="A916" s="78" t="s">
        <v>17715</v>
      </c>
      <c r="B916" s="78" t="s">
        <v>17716</v>
      </c>
      <c r="C916" s="78" t="s">
        <v>17717</v>
      </c>
      <c r="D916" s="78" t="s">
        <v>16723</v>
      </c>
      <c r="E916" s="78" t="s">
        <v>14994</v>
      </c>
      <c r="F916" s="78" t="s">
        <v>14712</v>
      </c>
      <c r="G916" s="78" t="s">
        <v>14923</v>
      </c>
      <c r="H916" s="78">
        <v>3000</v>
      </c>
      <c r="I916" s="77"/>
    </row>
    <row r="917">
      <c r="A917" s="78" t="s">
        <v>17718</v>
      </c>
      <c r="B917" s="78" t="s">
        <v>17719</v>
      </c>
      <c r="C917" s="78" t="s">
        <v>17720</v>
      </c>
      <c r="D917" s="78" t="s">
        <v>16820</v>
      </c>
      <c r="E917" s="78" t="s">
        <v>17434</v>
      </c>
      <c r="F917" s="78" t="s">
        <v>14804</v>
      </c>
      <c r="G917" s="78" t="s">
        <v>14772</v>
      </c>
      <c r="H917" s="78">
        <v>0</v>
      </c>
      <c r="I917" s="77"/>
    </row>
    <row r="918">
      <c r="A918" s="78" t="s">
        <v>17721</v>
      </c>
      <c r="B918" s="78" t="s">
        <v>17722</v>
      </c>
      <c r="C918" s="78" t="s">
        <v>17723</v>
      </c>
      <c r="D918" s="78" t="s">
        <v>16723</v>
      </c>
      <c r="E918" s="78" t="s">
        <v>15946</v>
      </c>
      <c r="F918" s="78" t="s">
        <v>14712</v>
      </c>
      <c r="G918" s="78" t="s">
        <v>14694</v>
      </c>
      <c r="H918" s="78">
        <v>5000</v>
      </c>
      <c r="I918" s="77"/>
    </row>
    <row r="919">
      <c r="A919" s="78" t="s">
        <v>17724</v>
      </c>
      <c r="B919" s="78" t="s">
        <v>17725</v>
      </c>
      <c r="C919" s="78" t="s">
        <v>17726</v>
      </c>
      <c r="D919" s="78" t="s">
        <v>16723</v>
      </c>
      <c r="E919" s="78" t="s">
        <v>15946</v>
      </c>
      <c r="F919" s="78" t="s">
        <v>14977</v>
      </c>
      <c r="G919" s="78" t="s">
        <v>14963</v>
      </c>
      <c r="H919" s="78">
        <v>5000</v>
      </c>
      <c r="I919" s="77"/>
    </row>
    <row r="920">
      <c r="A920" s="78" t="s">
        <v>17727</v>
      </c>
      <c r="B920" s="78" t="s">
        <v>17728</v>
      </c>
      <c r="C920" s="78" t="s">
        <v>17729</v>
      </c>
      <c r="D920" s="78" t="s">
        <v>16723</v>
      </c>
      <c r="E920" s="78" t="s">
        <v>15946</v>
      </c>
      <c r="F920" s="78" t="s">
        <v>15624</v>
      </c>
      <c r="G920" s="78" t="s">
        <v>14772</v>
      </c>
      <c r="H920" s="78">
        <v>5000</v>
      </c>
      <c r="I920" s="77"/>
    </row>
    <row r="921">
      <c r="A921" s="78" t="s">
        <v>17730</v>
      </c>
      <c r="B921" s="78" t="s">
        <v>17731</v>
      </c>
      <c r="C921" s="78" t="s">
        <v>17732</v>
      </c>
      <c r="D921" s="78" t="s">
        <v>16723</v>
      </c>
      <c r="E921" s="78" t="s">
        <v>15946</v>
      </c>
      <c r="F921" s="78" t="s">
        <v>14771</v>
      </c>
      <c r="G921" s="78" t="s">
        <v>14772</v>
      </c>
      <c r="H921" s="78">
        <v>5000</v>
      </c>
      <c r="I921" s="77"/>
    </row>
    <row r="922">
      <c r="A922" s="78" t="s">
        <v>17733</v>
      </c>
      <c r="B922" s="78" t="s">
        <v>17734</v>
      </c>
      <c r="C922" s="78" t="s">
        <v>17735</v>
      </c>
      <c r="D922" s="78" t="s">
        <v>16723</v>
      </c>
      <c r="E922" s="78" t="s">
        <v>14790</v>
      </c>
      <c r="F922" s="78" t="s">
        <v>14867</v>
      </c>
      <c r="G922" s="78" t="s">
        <v>14931</v>
      </c>
      <c r="H922" s="78">
        <v>10000</v>
      </c>
      <c r="I922" s="77"/>
    </row>
    <row r="923">
      <c r="A923" s="78" t="s">
        <v>17736</v>
      </c>
      <c r="B923" s="78" t="s">
        <v>17737</v>
      </c>
      <c r="C923" s="78" t="s">
        <v>17738</v>
      </c>
      <c r="D923" s="78" t="s">
        <v>16723</v>
      </c>
      <c r="E923" s="78" t="s">
        <v>14732</v>
      </c>
      <c r="F923" s="78" t="s">
        <v>14943</v>
      </c>
      <c r="G923" s="78" t="s">
        <v>14923</v>
      </c>
      <c r="H923" s="78">
        <v>5000</v>
      </c>
      <c r="I923" s="77"/>
    </row>
    <row r="924">
      <c r="A924" s="78" t="s">
        <v>17739</v>
      </c>
      <c r="B924" s="78" t="s">
        <v>17740</v>
      </c>
      <c r="C924" s="78" t="s">
        <v>17741</v>
      </c>
      <c r="D924" s="78" t="s">
        <v>16820</v>
      </c>
      <c r="E924" s="78" t="s">
        <v>17497</v>
      </c>
      <c r="F924" s="78" t="s">
        <v>14943</v>
      </c>
      <c r="G924" s="78" t="s">
        <v>14923</v>
      </c>
      <c r="H924" s="78">
        <v>0</v>
      </c>
      <c r="I924" s="77"/>
    </row>
    <row r="925">
      <c r="A925" s="78" t="s">
        <v>17742</v>
      </c>
      <c r="B925" s="78" t="s">
        <v>17743</v>
      </c>
      <c r="C925" s="78" t="s">
        <v>17744</v>
      </c>
      <c r="D925" s="78" t="s">
        <v>16820</v>
      </c>
      <c r="E925" s="78" t="s">
        <v>17181</v>
      </c>
      <c r="F925" s="78" t="s">
        <v>15100</v>
      </c>
      <c r="G925" s="78" t="s">
        <v>14963</v>
      </c>
      <c r="H925" s="78" t="s">
        <v>17241</v>
      </c>
      <c r="I925" s="77"/>
    </row>
    <row r="926">
      <c r="A926" s="78" t="s">
        <v>17745</v>
      </c>
      <c r="B926" s="78" t="s">
        <v>17746</v>
      </c>
      <c r="C926" s="78" t="s">
        <v>17747</v>
      </c>
      <c r="D926" s="78" t="s">
        <v>16820</v>
      </c>
      <c r="E926" s="78" t="s">
        <v>17748</v>
      </c>
      <c r="F926" s="78" t="s">
        <v>15608</v>
      </c>
      <c r="G926" s="78" t="s">
        <v>14990</v>
      </c>
      <c r="H926" s="78">
        <v>0</v>
      </c>
      <c r="I926" s="77"/>
    </row>
    <row r="927">
      <c r="A927" s="78" t="s">
        <v>17749</v>
      </c>
      <c r="B927" s="78" t="s">
        <v>17750</v>
      </c>
      <c r="C927" s="78" t="s">
        <v>17751</v>
      </c>
      <c r="D927" s="78" t="s">
        <v>16820</v>
      </c>
      <c r="E927" s="78" t="s">
        <v>17699</v>
      </c>
      <c r="F927" s="78" t="s">
        <v>15739</v>
      </c>
      <c r="G927" s="78" t="s">
        <v>14734</v>
      </c>
      <c r="H927" s="78" t="s">
        <v>17241</v>
      </c>
      <c r="I927" s="77"/>
    </row>
    <row r="928">
      <c r="A928" s="78" t="s">
        <v>17752</v>
      </c>
      <c r="B928" s="78" t="s">
        <v>17753</v>
      </c>
      <c r="C928" s="78" t="s">
        <v>17754</v>
      </c>
      <c r="D928" s="78" t="s">
        <v>16820</v>
      </c>
      <c r="E928" s="78" t="s">
        <v>17450</v>
      </c>
      <c r="F928" s="78" t="s">
        <v>14712</v>
      </c>
      <c r="G928" s="78" t="s">
        <v>14713</v>
      </c>
      <c r="H928" s="78">
        <v>0</v>
      </c>
      <c r="I928" s="77"/>
    </row>
    <row r="929">
      <c r="A929" s="78" t="s">
        <v>17755</v>
      </c>
      <c r="B929" s="78" t="s">
        <v>17756</v>
      </c>
      <c r="C929" s="78" t="s">
        <v>17757</v>
      </c>
      <c r="D929" s="78" t="s">
        <v>16820</v>
      </c>
      <c r="E929" s="78" t="s">
        <v>17497</v>
      </c>
      <c r="F929" s="78" t="s">
        <v>16066</v>
      </c>
      <c r="G929" s="78" t="s">
        <v>14931</v>
      </c>
      <c r="H929" s="78">
        <v>0</v>
      </c>
      <c r="I929" s="77"/>
    </row>
    <row r="930">
      <c r="A930" s="78" t="s">
        <v>17758</v>
      </c>
      <c r="B930" s="78" t="s">
        <v>17759</v>
      </c>
      <c r="C930" s="78" t="s">
        <v>17760</v>
      </c>
      <c r="D930" s="78" t="s">
        <v>16723</v>
      </c>
      <c r="E930" s="78" t="s">
        <v>14884</v>
      </c>
      <c r="F930" s="78" t="s">
        <v>14943</v>
      </c>
      <c r="G930" s="78" t="s">
        <v>14923</v>
      </c>
      <c r="H930" s="78">
        <v>5000</v>
      </c>
      <c r="I930" s="77"/>
    </row>
    <row r="931">
      <c r="A931" s="78" t="s">
        <v>17761</v>
      </c>
      <c r="B931" s="78" t="s">
        <v>17762</v>
      </c>
      <c r="C931" s="78" t="s">
        <v>17763</v>
      </c>
      <c r="D931" s="78" t="s">
        <v>16820</v>
      </c>
      <c r="E931" s="78" t="s">
        <v>17363</v>
      </c>
      <c r="F931" s="78" t="s">
        <v>14950</v>
      </c>
      <c r="G931" s="78" t="s">
        <v>14782</v>
      </c>
      <c r="H931" s="78">
        <v>0</v>
      </c>
      <c r="I931" s="77"/>
    </row>
    <row r="932">
      <c r="A932" s="78" t="s">
        <v>17764</v>
      </c>
      <c r="B932" s="78" t="s">
        <v>17765</v>
      </c>
      <c r="C932" s="78" t="s">
        <v>17766</v>
      </c>
      <c r="D932" s="78" t="s">
        <v>16723</v>
      </c>
      <c r="E932" s="78" t="s">
        <v>14760</v>
      </c>
      <c r="F932" s="78" t="s">
        <v>14756</v>
      </c>
      <c r="G932" s="78" t="s">
        <v>14744</v>
      </c>
      <c r="H932" s="78">
        <v>3000</v>
      </c>
      <c r="I932" s="77"/>
    </row>
    <row r="933">
      <c r="A933" s="78" t="s">
        <v>17767</v>
      </c>
      <c r="B933" s="78" t="s">
        <v>17768</v>
      </c>
      <c r="C933" s="78" t="s">
        <v>17769</v>
      </c>
      <c r="D933" s="78" t="s">
        <v>16820</v>
      </c>
      <c r="E933" s="78" t="s">
        <v>17615</v>
      </c>
      <c r="F933" s="78" t="s">
        <v>14728</v>
      </c>
      <c r="G933" s="78" t="s">
        <v>14703</v>
      </c>
      <c r="H933" s="78">
        <v>0</v>
      </c>
      <c r="I933" s="77"/>
    </row>
    <row r="934">
      <c r="A934" s="78" t="s">
        <v>17770</v>
      </c>
      <c r="B934" s="78" t="s">
        <v>17771</v>
      </c>
      <c r="C934" s="78" t="s">
        <v>17772</v>
      </c>
      <c r="D934" s="78" t="s">
        <v>16723</v>
      </c>
      <c r="E934" s="78" t="s">
        <v>17089</v>
      </c>
      <c r="F934" s="78" t="s">
        <v>15017</v>
      </c>
      <c r="G934" s="78" t="s">
        <v>14651</v>
      </c>
      <c r="H934" s="78">
        <v>8000</v>
      </c>
      <c r="I934" s="77"/>
    </row>
    <row r="935">
      <c r="A935" s="78" t="s">
        <v>17773</v>
      </c>
      <c r="B935" s="78" t="s">
        <v>17774</v>
      </c>
      <c r="C935" s="78" t="s">
        <v>17775</v>
      </c>
      <c r="D935" s="78" t="s">
        <v>16723</v>
      </c>
      <c r="E935" s="78" t="s">
        <v>15946</v>
      </c>
      <c r="F935" s="78" t="s">
        <v>15669</v>
      </c>
      <c r="G935" s="78" t="s">
        <v>14782</v>
      </c>
      <c r="H935" s="78">
        <v>5000</v>
      </c>
      <c r="I935" s="77"/>
    </row>
    <row r="936">
      <c r="A936" s="78" t="s">
        <v>17776</v>
      </c>
      <c r="B936" s="78" t="s">
        <v>17777</v>
      </c>
      <c r="C936" s="78" t="s">
        <v>17778</v>
      </c>
      <c r="D936" s="78" t="s">
        <v>16723</v>
      </c>
      <c r="E936" s="78" t="s">
        <v>15632</v>
      </c>
      <c r="F936" s="78" t="s">
        <v>15169</v>
      </c>
      <c r="G936" s="78" t="s">
        <v>14890</v>
      </c>
      <c r="H936" s="78">
        <v>5000</v>
      </c>
      <c r="I936" s="77"/>
    </row>
    <row r="937">
      <c r="A937" s="78" t="s">
        <v>17779</v>
      </c>
      <c r="B937" s="78" t="s">
        <v>17780</v>
      </c>
      <c r="C937" s="78" t="s">
        <v>17781</v>
      </c>
      <c r="D937" s="78" t="s">
        <v>16723</v>
      </c>
      <c r="E937" s="78" t="s">
        <v>15946</v>
      </c>
      <c r="F937" s="78" t="s">
        <v>15100</v>
      </c>
      <c r="G937" s="78" t="s">
        <v>14963</v>
      </c>
      <c r="H937" s="78">
        <v>5000</v>
      </c>
      <c r="I937" s="77"/>
    </row>
    <row r="938">
      <c r="A938" s="78" t="s">
        <v>17782</v>
      </c>
      <c r="B938" s="78" t="s">
        <v>17783</v>
      </c>
      <c r="C938" s="78" t="s">
        <v>17784</v>
      </c>
      <c r="D938" s="78" t="s">
        <v>16723</v>
      </c>
      <c r="E938" s="78" t="s">
        <v>15946</v>
      </c>
      <c r="F938" s="78" t="s">
        <v>15603</v>
      </c>
      <c r="G938" s="78" t="s">
        <v>14782</v>
      </c>
      <c r="H938" s="78">
        <v>5000</v>
      </c>
      <c r="I938" s="77"/>
    </row>
    <row r="939">
      <c r="A939" s="78" t="s">
        <v>17785</v>
      </c>
      <c r="B939" s="78" t="s">
        <v>17786</v>
      </c>
      <c r="C939" s="78" t="s">
        <v>17787</v>
      </c>
      <c r="D939" s="78" t="s">
        <v>16723</v>
      </c>
      <c r="E939" s="78" t="s">
        <v>14884</v>
      </c>
      <c r="F939" s="78" t="s">
        <v>14894</v>
      </c>
      <c r="G939" s="78" t="s">
        <v>14734</v>
      </c>
      <c r="H939" s="78">
        <v>5000</v>
      </c>
      <c r="I939" s="77"/>
    </row>
    <row r="940">
      <c r="A940" s="78" t="s">
        <v>17788</v>
      </c>
      <c r="B940" s="78" t="s">
        <v>17789</v>
      </c>
      <c r="C940" s="78" t="s">
        <v>17790</v>
      </c>
      <c r="D940" s="78" t="s">
        <v>16723</v>
      </c>
      <c r="E940" s="78" t="s">
        <v>15946</v>
      </c>
      <c r="F940" s="78" t="s">
        <v>15161</v>
      </c>
      <c r="G940" s="78" t="s">
        <v>14923</v>
      </c>
      <c r="H940" s="78">
        <v>6000</v>
      </c>
      <c r="I940" s="77"/>
    </row>
    <row r="941">
      <c r="A941" s="78" t="s">
        <v>17791</v>
      </c>
      <c r="B941" s="78" t="s">
        <v>17792</v>
      </c>
      <c r="C941" s="78" t="s">
        <v>17793</v>
      </c>
      <c r="D941" s="78" t="s">
        <v>16723</v>
      </c>
      <c r="E941" s="78" t="s">
        <v>15946</v>
      </c>
      <c r="F941" s="78" t="s">
        <v>14855</v>
      </c>
      <c r="G941" s="78" t="s">
        <v>14834</v>
      </c>
      <c r="H941" s="78">
        <v>5000</v>
      </c>
      <c r="I941" s="77"/>
    </row>
    <row r="942">
      <c r="A942" s="78" t="s">
        <v>17794</v>
      </c>
      <c r="B942" s="78" t="s">
        <v>17795</v>
      </c>
      <c r="C942" s="78" t="s">
        <v>17796</v>
      </c>
      <c r="D942" s="78" t="s">
        <v>16723</v>
      </c>
      <c r="E942" s="78" t="s">
        <v>15946</v>
      </c>
      <c r="F942" s="78" t="s">
        <v>14859</v>
      </c>
      <c r="G942" s="78" t="s">
        <v>14834</v>
      </c>
      <c r="H942" s="78">
        <v>5000</v>
      </c>
      <c r="I942" s="77"/>
    </row>
    <row r="943">
      <c r="A943" s="78" t="s">
        <v>17797</v>
      </c>
      <c r="B943" s="78" t="s">
        <v>17798</v>
      </c>
      <c r="C943" s="78" t="s">
        <v>17799</v>
      </c>
      <c r="D943" s="78" t="s">
        <v>16723</v>
      </c>
      <c r="E943" s="78" t="s">
        <v>15946</v>
      </c>
      <c r="F943" s="78" t="s">
        <v>15061</v>
      </c>
      <c r="G943" s="78" t="s">
        <v>14651</v>
      </c>
      <c r="H943" s="78">
        <v>5000</v>
      </c>
      <c r="I943" s="77"/>
    </row>
    <row r="944">
      <c r="A944" s="78" t="s">
        <v>17800</v>
      </c>
      <c r="B944" s="78" t="s">
        <v>17801</v>
      </c>
      <c r="C944" s="78" t="s">
        <v>17802</v>
      </c>
      <c r="D944" s="78" t="s">
        <v>16723</v>
      </c>
      <c r="E944" s="78" t="s">
        <v>15946</v>
      </c>
      <c r="F944" s="78" t="s">
        <v>14989</v>
      </c>
      <c r="G944" s="78" t="s">
        <v>14990</v>
      </c>
      <c r="H944" s="78">
        <v>5000</v>
      </c>
      <c r="I944" s="77"/>
    </row>
    <row r="945">
      <c r="A945" s="78" t="s">
        <v>17803</v>
      </c>
      <c r="B945" s="78" t="s">
        <v>17804</v>
      </c>
      <c r="C945" s="78" t="s">
        <v>17805</v>
      </c>
      <c r="D945" s="78" t="s">
        <v>16723</v>
      </c>
      <c r="E945" s="78" t="s">
        <v>16099</v>
      </c>
      <c r="F945" s="78" t="s">
        <v>14867</v>
      </c>
      <c r="G945" s="78" t="s">
        <v>14931</v>
      </c>
      <c r="H945" s="78">
        <v>3000</v>
      </c>
      <c r="I945" s="77"/>
    </row>
    <row r="946">
      <c r="A946" s="78" t="s">
        <v>17806</v>
      </c>
      <c r="B946" s="78" t="s">
        <v>17807</v>
      </c>
      <c r="C946" s="78" t="s">
        <v>17808</v>
      </c>
      <c r="D946" s="78" t="s">
        <v>16723</v>
      </c>
      <c r="E946" s="78" t="s">
        <v>14884</v>
      </c>
      <c r="F946" s="78" t="s">
        <v>14885</v>
      </c>
      <c r="G946" s="78" t="s">
        <v>14734</v>
      </c>
      <c r="H946" s="78">
        <v>5000</v>
      </c>
      <c r="I946" s="77"/>
    </row>
    <row r="947">
      <c r="A947" s="78" t="s">
        <v>17809</v>
      </c>
      <c r="B947" s="78" t="s">
        <v>17810</v>
      </c>
      <c r="C947" s="78" t="s">
        <v>17811</v>
      </c>
      <c r="D947" s="78" t="s">
        <v>16723</v>
      </c>
      <c r="E947" s="78" t="s">
        <v>15946</v>
      </c>
      <c r="F947" s="78" t="s">
        <v>14809</v>
      </c>
      <c r="G947" s="78" t="s">
        <v>14772</v>
      </c>
      <c r="H947" s="78">
        <v>5000</v>
      </c>
      <c r="I947" s="77"/>
    </row>
    <row r="948">
      <c r="A948" s="78" t="s">
        <v>17812</v>
      </c>
      <c r="B948" s="78" t="s">
        <v>17813</v>
      </c>
      <c r="C948" s="78" t="s">
        <v>17814</v>
      </c>
      <c r="D948" s="78" t="s">
        <v>16723</v>
      </c>
      <c r="E948" s="78" t="s">
        <v>14707</v>
      </c>
      <c r="F948" s="78" t="s">
        <v>14702</v>
      </c>
      <c r="G948" s="78" t="s">
        <v>14703</v>
      </c>
      <c r="H948" s="78">
        <v>5000</v>
      </c>
      <c r="I948" s="77"/>
    </row>
    <row r="949">
      <c r="A949" s="78" t="s">
        <v>17815</v>
      </c>
      <c r="B949" s="78" t="s">
        <v>17816</v>
      </c>
      <c r="C949" s="78" t="s">
        <v>17817</v>
      </c>
      <c r="D949" s="78" t="s">
        <v>16651</v>
      </c>
      <c r="E949" s="78" t="s">
        <v>14790</v>
      </c>
      <c r="F949" s="78" t="s">
        <v>14867</v>
      </c>
      <c r="G949" s="78" t="s">
        <v>14931</v>
      </c>
      <c r="H949" s="78">
        <v>10000</v>
      </c>
      <c r="I949" s="77"/>
    </row>
    <row r="950">
      <c r="A950" s="78" t="s">
        <v>17818</v>
      </c>
      <c r="B950" s="78" t="s">
        <v>17819</v>
      </c>
      <c r="C950" s="78" t="s">
        <v>17820</v>
      </c>
      <c r="D950" s="78" t="s">
        <v>16723</v>
      </c>
      <c r="E950" s="78" t="s">
        <v>15683</v>
      </c>
      <c r="F950" s="78" t="s">
        <v>14922</v>
      </c>
      <c r="G950" s="78" t="s">
        <v>14923</v>
      </c>
      <c r="H950" s="78">
        <v>1000</v>
      </c>
      <c r="I950" s="77"/>
    </row>
    <row r="951">
      <c r="A951" s="78" t="s">
        <v>17821</v>
      </c>
      <c r="B951" s="78" t="s">
        <v>17822</v>
      </c>
      <c r="C951" s="78" t="s">
        <v>17823</v>
      </c>
      <c r="D951" s="78" t="s">
        <v>16723</v>
      </c>
      <c r="E951" s="78" t="s">
        <v>14790</v>
      </c>
      <c r="F951" s="78" t="s">
        <v>14867</v>
      </c>
      <c r="G951" s="78" t="s">
        <v>14734</v>
      </c>
      <c r="H951" s="78">
        <v>10000</v>
      </c>
      <c r="I951" s="77"/>
    </row>
    <row r="952">
      <c r="A952" s="78" t="s">
        <v>17824</v>
      </c>
      <c r="B952" s="78" t="s">
        <v>17825</v>
      </c>
      <c r="C952" s="78" t="s">
        <v>14842</v>
      </c>
      <c r="D952" s="78" t="s">
        <v>16820</v>
      </c>
      <c r="E952" s="78" t="s">
        <v>17615</v>
      </c>
      <c r="F952" s="78" t="s">
        <v>14728</v>
      </c>
      <c r="G952" s="78" t="s">
        <v>14703</v>
      </c>
      <c r="H952" s="78">
        <v>0</v>
      </c>
      <c r="I952" s="77"/>
    </row>
    <row r="953">
      <c r="A953" s="78" t="s">
        <v>17826</v>
      </c>
      <c r="B953" s="78" t="s">
        <v>17827</v>
      </c>
      <c r="C953" s="78" t="s">
        <v>17828</v>
      </c>
      <c r="D953" s="78" t="s">
        <v>16820</v>
      </c>
      <c r="E953" s="78" t="s">
        <v>17363</v>
      </c>
      <c r="F953" s="78" t="s">
        <v>14877</v>
      </c>
      <c r="G953" s="78" t="s">
        <v>14782</v>
      </c>
      <c r="H953" s="78">
        <v>0</v>
      </c>
      <c r="I953" s="77"/>
    </row>
    <row r="954">
      <c r="A954" s="78" t="s">
        <v>17829</v>
      </c>
      <c r="B954" s="78" t="s">
        <v>17830</v>
      </c>
      <c r="C954" s="78" t="s">
        <v>17831</v>
      </c>
      <c r="D954" s="78" t="s">
        <v>16651</v>
      </c>
      <c r="E954" s="78" t="s">
        <v>14790</v>
      </c>
      <c r="F954" s="78" t="s">
        <v>14922</v>
      </c>
      <c r="G954" s="78" t="s">
        <v>14923</v>
      </c>
      <c r="H954" s="78">
        <v>10000</v>
      </c>
      <c r="I954" s="77"/>
    </row>
    <row r="955">
      <c r="A955" s="78" t="s">
        <v>17832</v>
      </c>
      <c r="B955" s="78" t="s">
        <v>17833</v>
      </c>
      <c r="C955" s="78" t="s">
        <v>17834</v>
      </c>
      <c r="D955" s="78" t="s">
        <v>16723</v>
      </c>
      <c r="E955" s="78" t="s">
        <v>14790</v>
      </c>
      <c r="F955" s="78" t="s">
        <v>14922</v>
      </c>
      <c r="G955" s="78" t="s">
        <v>14923</v>
      </c>
      <c r="H955" s="78">
        <v>10000</v>
      </c>
      <c r="I955" s="77"/>
    </row>
    <row r="956">
      <c r="A956" s="78" t="s">
        <v>17835</v>
      </c>
      <c r="B956" s="78" t="s">
        <v>17836</v>
      </c>
      <c r="C956" s="78" t="s">
        <v>17837</v>
      </c>
      <c r="D956" s="78" t="s">
        <v>16723</v>
      </c>
      <c r="E956" s="78" t="s">
        <v>17295</v>
      </c>
      <c r="F956" s="78" t="s">
        <v>15739</v>
      </c>
      <c r="G956" s="78" t="s">
        <v>14734</v>
      </c>
      <c r="H956" s="78">
        <v>5000</v>
      </c>
      <c r="I956" s="77"/>
    </row>
    <row r="957">
      <c r="A957" s="78" t="s">
        <v>17838</v>
      </c>
      <c r="B957" s="78" t="s">
        <v>17839</v>
      </c>
      <c r="C957" s="78" t="s">
        <v>17840</v>
      </c>
      <c r="D957" s="78" t="s">
        <v>16723</v>
      </c>
      <c r="E957" s="78" t="s">
        <v>15853</v>
      </c>
      <c r="F957" s="78" t="s">
        <v>15100</v>
      </c>
      <c r="G957" s="78" t="s">
        <v>14963</v>
      </c>
      <c r="H957" s="78">
        <v>2000</v>
      </c>
      <c r="I957" s="77"/>
    </row>
    <row r="958">
      <c r="A958" s="78" t="s">
        <v>17841</v>
      </c>
      <c r="B958" s="78" t="s">
        <v>17842</v>
      </c>
      <c r="C958" s="78" t="s">
        <v>17843</v>
      </c>
      <c r="D958" s="78" t="s">
        <v>16723</v>
      </c>
      <c r="E958" s="78" t="s">
        <v>17295</v>
      </c>
      <c r="F958" s="78" t="s">
        <v>15739</v>
      </c>
      <c r="G958" s="78" t="s">
        <v>14734</v>
      </c>
      <c r="H958" s="78">
        <v>5000</v>
      </c>
      <c r="I958" s="77"/>
    </row>
    <row r="959">
      <c r="A959" s="78" t="s">
        <v>17844</v>
      </c>
      <c r="B959" s="78" t="s">
        <v>17845</v>
      </c>
      <c r="C959" s="78" t="s">
        <v>17846</v>
      </c>
      <c r="D959" s="78" t="s">
        <v>16723</v>
      </c>
      <c r="E959" s="78" t="s">
        <v>14790</v>
      </c>
      <c r="F959" s="78" t="s">
        <v>14867</v>
      </c>
      <c r="G959" s="78" t="s">
        <v>14931</v>
      </c>
      <c r="H959" s="78">
        <v>10000</v>
      </c>
      <c r="I959" s="77"/>
    </row>
    <row r="960">
      <c r="A960" s="78" t="s">
        <v>17847</v>
      </c>
      <c r="B960" s="78" t="s">
        <v>17848</v>
      </c>
      <c r="C960" s="78" t="s">
        <v>17849</v>
      </c>
      <c r="D960" s="78" t="s">
        <v>16723</v>
      </c>
      <c r="E960" s="78" t="s">
        <v>17850</v>
      </c>
      <c r="F960" s="78" t="s">
        <v>14771</v>
      </c>
      <c r="G960" s="78" t="s">
        <v>14772</v>
      </c>
      <c r="H960" s="78">
        <v>3000</v>
      </c>
      <c r="I960" s="77"/>
    </row>
    <row r="961">
      <c r="A961" s="78" t="s">
        <v>17851</v>
      </c>
      <c r="B961" s="78" t="s">
        <v>17852</v>
      </c>
      <c r="C961" s="78" t="s">
        <v>17853</v>
      </c>
      <c r="D961" s="78" t="s">
        <v>16723</v>
      </c>
      <c r="E961" s="78" t="s">
        <v>14871</v>
      </c>
      <c r="F961" s="78" t="s">
        <v>15999</v>
      </c>
      <c r="G961" s="78" t="s">
        <v>14734</v>
      </c>
      <c r="H961" s="78">
        <v>2000</v>
      </c>
      <c r="I961" s="77"/>
    </row>
    <row r="962">
      <c r="A962" s="78" t="s">
        <v>17854</v>
      </c>
      <c r="B962" s="78" t="s">
        <v>17855</v>
      </c>
      <c r="C962" s="78" t="s">
        <v>17856</v>
      </c>
      <c r="D962" s="78" t="s">
        <v>16820</v>
      </c>
      <c r="E962" s="78" t="s">
        <v>17329</v>
      </c>
      <c r="F962" s="78" t="s">
        <v>14702</v>
      </c>
      <c r="G962" s="78" t="s">
        <v>14703</v>
      </c>
      <c r="H962" s="78">
        <v>0</v>
      </c>
      <c r="I962" s="77"/>
    </row>
    <row r="963">
      <c r="A963" s="78" t="s">
        <v>17857</v>
      </c>
      <c r="B963" s="78" t="s">
        <v>17858</v>
      </c>
      <c r="C963" s="78" t="s">
        <v>17859</v>
      </c>
      <c r="D963" s="78" t="s">
        <v>16723</v>
      </c>
      <c r="E963" s="78" t="s">
        <v>15946</v>
      </c>
      <c r="F963" s="78" t="s">
        <v>15691</v>
      </c>
      <c r="G963" s="78" t="s">
        <v>14931</v>
      </c>
      <c r="H963" s="78">
        <v>6000</v>
      </c>
      <c r="I963" s="77"/>
    </row>
    <row r="964">
      <c r="A964" s="78" t="s">
        <v>17860</v>
      </c>
      <c r="B964" s="78" t="s">
        <v>17861</v>
      </c>
      <c r="C964" s="78" t="s">
        <v>17862</v>
      </c>
      <c r="D964" s="78" t="s">
        <v>16723</v>
      </c>
      <c r="E964" s="78" t="s">
        <v>14884</v>
      </c>
      <c r="F964" s="78" t="s">
        <v>15750</v>
      </c>
      <c r="G964" s="78" t="s">
        <v>14734</v>
      </c>
      <c r="H964" s="78">
        <v>5000</v>
      </c>
      <c r="I964" s="77"/>
    </row>
    <row r="965">
      <c r="A965" s="78" t="s">
        <v>17863</v>
      </c>
      <c r="B965" s="78" t="s">
        <v>17864</v>
      </c>
      <c r="C965" s="78" t="s">
        <v>17865</v>
      </c>
      <c r="D965" s="78" t="s">
        <v>16723</v>
      </c>
      <c r="E965" s="78" t="s">
        <v>14994</v>
      </c>
      <c r="F965" s="78" t="s">
        <v>14728</v>
      </c>
      <c r="G965" s="78" t="s">
        <v>14703</v>
      </c>
      <c r="H965" s="78">
        <v>3000</v>
      </c>
      <c r="I965" s="77"/>
    </row>
    <row r="966">
      <c r="A966" s="78" t="s">
        <v>17866</v>
      </c>
      <c r="B966" s="78" t="s">
        <v>17867</v>
      </c>
      <c r="C966" s="78" t="s">
        <v>17868</v>
      </c>
      <c r="D966" s="78" t="s">
        <v>16723</v>
      </c>
      <c r="E966" s="78" t="s">
        <v>15946</v>
      </c>
      <c r="F966" s="78" t="s">
        <v>15608</v>
      </c>
      <c r="G966" s="78" t="s">
        <v>14990</v>
      </c>
      <c r="H966" s="78">
        <v>5000</v>
      </c>
      <c r="I966" s="77"/>
    </row>
    <row r="967">
      <c r="A967" s="78" t="s">
        <v>17869</v>
      </c>
      <c r="B967" s="78" t="s">
        <v>17870</v>
      </c>
      <c r="C967" s="78" t="s">
        <v>17871</v>
      </c>
      <c r="D967" s="78" t="s">
        <v>16723</v>
      </c>
      <c r="E967" s="78" t="s">
        <v>15946</v>
      </c>
      <c r="F967" s="78" t="s">
        <v>15110</v>
      </c>
      <c r="G967" s="78" t="s">
        <v>14782</v>
      </c>
      <c r="H967" s="78">
        <v>5000</v>
      </c>
      <c r="I967" s="77"/>
    </row>
    <row r="968">
      <c r="A968" s="78" t="s">
        <v>17872</v>
      </c>
      <c r="B968" s="78" t="s">
        <v>17873</v>
      </c>
      <c r="C968" s="78" t="s">
        <v>17874</v>
      </c>
      <c r="D968" s="78" t="s">
        <v>16723</v>
      </c>
      <c r="E968" s="78" t="s">
        <v>15946</v>
      </c>
      <c r="F968" s="78" t="s">
        <v>15110</v>
      </c>
      <c r="G968" s="78" t="s">
        <v>14782</v>
      </c>
      <c r="H968" s="78">
        <v>5000</v>
      </c>
      <c r="I968" s="77"/>
    </row>
    <row r="969">
      <c r="A969" s="78" t="s">
        <v>17875</v>
      </c>
      <c r="B969" s="78" t="s">
        <v>17876</v>
      </c>
      <c r="C969" s="78" t="s">
        <v>17877</v>
      </c>
      <c r="D969" s="78" t="s">
        <v>16723</v>
      </c>
      <c r="E969" s="78" t="s">
        <v>15946</v>
      </c>
      <c r="F969" s="78" t="s">
        <v>15110</v>
      </c>
      <c r="G969" s="78" t="s">
        <v>14782</v>
      </c>
      <c r="H969" s="78">
        <v>5000</v>
      </c>
      <c r="I969" s="77"/>
    </row>
    <row r="970">
      <c r="A970" s="78" t="s">
        <v>17878</v>
      </c>
      <c r="B970" s="78" t="s">
        <v>17879</v>
      </c>
      <c r="C970" s="78" t="s">
        <v>17880</v>
      </c>
      <c r="D970" s="78" t="s">
        <v>16723</v>
      </c>
      <c r="E970" s="78" t="s">
        <v>15946</v>
      </c>
      <c r="F970" s="78" t="s">
        <v>14809</v>
      </c>
      <c r="G970" s="78" t="s">
        <v>14772</v>
      </c>
      <c r="H970" s="78">
        <v>5000</v>
      </c>
      <c r="I970" s="77"/>
    </row>
    <row r="971">
      <c r="A971" s="78" t="s">
        <v>17881</v>
      </c>
      <c r="B971" s="78" t="s">
        <v>17882</v>
      </c>
      <c r="C971" s="78" t="s">
        <v>17883</v>
      </c>
      <c r="D971" s="78" t="s">
        <v>16723</v>
      </c>
      <c r="E971" s="78" t="s">
        <v>14884</v>
      </c>
      <c r="F971" s="78" t="s">
        <v>16066</v>
      </c>
      <c r="G971" s="78" t="s">
        <v>14931</v>
      </c>
      <c r="H971" s="78">
        <v>5000</v>
      </c>
      <c r="I971" s="77"/>
    </row>
    <row r="972">
      <c r="A972" s="78" t="s">
        <v>17884</v>
      </c>
      <c r="B972" s="78" t="s">
        <v>17885</v>
      </c>
      <c r="C972" s="78" t="s">
        <v>17886</v>
      </c>
      <c r="D972" s="78" t="s">
        <v>16723</v>
      </c>
      <c r="E972" s="78" t="s">
        <v>14884</v>
      </c>
      <c r="F972" s="78" t="s">
        <v>15995</v>
      </c>
      <c r="G972" s="78" t="s">
        <v>14931</v>
      </c>
      <c r="H972" s="78">
        <v>5000</v>
      </c>
      <c r="I972" s="77"/>
    </row>
    <row r="973">
      <c r="A973" s="78" t="s">
        <v>17887</v>
      </c>
      <c r="B973" s="78" t="s">
        <v>17888</v>
      </c>
      <c r="C973" s="78" t="s">
        <v>17889</v>
      </c>
      <c r="D973" s="78" t="s">
        <v>16820</v>
      </c>
      <c r="E973" s="78" t="s">
        <v>17409</v>
      </c>
      <c r="F973" s="78" t="s">
        <v>14771</v>
      </c>
      <c r="G973" s="78" t="s">
        <v>14772</v>
      </c>
      <c r="H973" s="78">
        <v>0</v>
      </c>
      <c r="I973" s="77"/>
    </row>
    <row r="974">
      <c r="A974" s="78" t="s">
        <v>17890</v>
      </c>
      <c r="B974" s="78" t="s">
        <v>17891</v>
      </c>
      <c r="C974" s="78" t="s">
        <v>17892</v>
      </c>
      <c r="D974" s="78" t="s">
        <v>16820</v>
      </c>
      <c r="E974" s="78" t="s">
        <v>16963</v>
      </c>
      <c r="F974" s="78" t="s">
        <v>14718</v>
      </c>
      <c r="G974" s="78" t="s">
        <v>14703</v>
      </c>
      <c r="H974" s="78">
        <v>0</v>
      </c>
      <c r="I974" s="77"/>
    </row>
    <row r="975">
      <c r="A975" s="78" t="s">
        <v>17893</v>
      </c>
      <c r="B975" s="78" t="s">
        <v>17894</v>
      </c>
      <c r="C975" s="78" t="s">
        <v>17895</v>
      </c>
      <c r="D975" s="78" t="s">
        <v>16820</v>
      </c>
      <c r="E975" s="78" t="s">
        <v>17497</v>
      </c>
      <c r="F975" s="78" t="s">
        <v>14885</v>
      </c>
      <c r="G975" s="78" t="s">
        <v>14734</v>
      </c>
      <c r="H975" s="78" t="s">
        <v>17241</v>
      </c>
      <c r="I975" s="77"/>
    </row>
    <row r="976">
      <c r="A976" s="78" t="s">
        <v>17896</v>
      </c>
      <c r="B976" s="78" t="s">
        <v>17897</v>
      </c>
      <c r="C976" s="78" t="s">
        <v>17898</v>
      </c>
      <c r="D976" s="78" t="s">
        <v>16651</v>
      </c>
      <c r="E976" s="78" t="s">
        <v>15683</v>
      </c>
      <c r="F976" s="78" t="s">
        <v>14922</v>
      </c>
      <c r="G976" s="78" t="s">
        <v>14923</v>
      </c>
      <c r="H976" s="78">
        <v>1000</v>
      </c>
      <c r="I976" s="77"/>
    </row>
    <row r="977">
      <c r="A977" s="78" t="s">
        <v>17899</v>
      </c>
      <c r="B977" s="78" t="s">
        <v>17900</v>
      </c>
      <c r="C977" s="78" t="s">
        <v>17901</v>
      </c>
      <c r="D977" s="78" t="s">
        <v>16651</v>
      </c>
      <c r="E977" s="78" t="s">
        <v>14790</v>
      </c>
      <c r="F977" s="78" t="s">
        <v>14867</v>
      </c>
      <c r="G977" s="78" t="s">
        <v>14931</v>
      </c>
      <c r="H977" s="78">
        <v>10000</v>
      </c>
      <c r="I977" s="77"/>
    </row>
    <row r="978">
      <c r="A978" s="78" t="s">
        <v>17902</v>
      </c>
      <c r="B978" s="78" t="s">
        <v>17903</v>
      </c>
      <c r="C978" s="78" t="s">
        <v>17904</v>
      </c>
      <c r="D978" s="78" t="s">
        <v>16723</v>
      </c>
      <c r="E978" s="78" t="s">
        <v>15946</v>
      </c>
      <c r="F978" s="78" t="s">
        <v>14943</v>
      </c>
      <c r="G978" s="78" t="s">
        <v>14923</v>
      </c>
      <c r="H978" s="78">
        <v>6000</v>
      </c>
      <c r="I978" s="77"/>
    </row>
    <row r="979">
      <c r="A979" s="78" t="s">
        <v>17905</v>
      </c>
      <c r="B979" s="78" t="s">
        <v>17906</v>
      </c>
      <c r="C979" s="78" t="s">
        <v>17907</v>
      </c>
      <c r="D979" s="78" t="s">
        <v>16651</v>
      </c>
      <c r="E979" s="78" t="s">
        <v>15946</v>
      </c>
      <c r="F979" s="78" t="s">
        <v>15717</v>
      </c>
      <c r="G979" s="78" t="s">
        <v>14651</v>
      </c>
      <c r="H979" s="78">
        <v>5000</v>
      </c>
      <c r="I979" s="77"/>
    </row>
    <row r="980">
      <c r="A980" s="78" t="s">
        <v>17908</v>
      </c>
      <c r="B980" s="78" t="s">
        <v>17909</v>
      </c>
      <c r="C980" s="78" t="s">
        <v>17910</v>
      </c>
      <c r="D980" s="78" t="s">
        <v>16723</v>
      </c>
      <c r="E980" s="78" t="s">
        <v>15946</v>
      </c>
      <c r="F980" s="78" t="s">
        <v>14809</v>
      </c>
      <c r="G980" s="78" t="s">
        <v>14772</v>
      </c>
      <c r="H980" s="78">
        <v>5000</v>
      </c>
      <c r="I980" s="77"/>
    </row>
    <row r="981">
      <c r="A981" s="78" t="s">
        <v>17911</v>
      </c>
      <c r="B981" s="78" t="s">
        <v>17912</v>
      </c>
      <c r="C981" s="78" t="s">
        <v>17913</v>
      </c>
      <c r="D981" s="78" t="s">
        <v>16723</v>
      </c>
      <c r="E981" s="78" t="s">
        <v>14914</v>
      </c>
      <c r="F981" s="78" t="s">
        <v>14950</v>
      </c>
      <c r="G981" s="78" t="s">
        <v>14782</v>
      </c>
      <c r="H981" s="78">
        <v>5000</v>
      </c>
      <c r="I981" s="77"/>
    </row>
    <row r="982">
      <c r="A982" s="78" t="s">
        <v>17914</v>
      </c>
      <c r="B982" s="78" t="s">
        <v>17915</v>
      </c>
      <c r="C982" s="78" t="s">
        <v>17916</v>
      </c>
      <c r="D982" s="78" t="s">
        <v>16820</v>
      </c>
      <c r="E982" s="78" t="s">
        <v>17245</v>
      </c>
      <c r="F982" s="78" t="s">
        <v>14756</v>
      </c>
      <c r="G982" s="78" t="s">
        <v>14744</v>
      </c>
      <c r="H982" s="78">
        <v>0</v>
      </c>
      <c r="I982" s="77"/>
    </row>
    <row r="983">
      <c r="A983" s="78" t="s">
        <v>17917</v>
      </c>
      <c r="B983" s="78" t="s">
        <v>17918</v>
      </c>
      <c r="C983" s="78" t="s">
        <v>17919</v>
      </c>
      <c r="D983" s="78" t="s">
        <v>16820</v>
      </c>
      <c r="E983" s="78" t="s">
        <v>17497</v>
      </c>
      <c r="F983" s="78" t="s">
        <v>14943</v>
      </c>
      <c r="G983" s="78" t="s">
        <v>14923</v>
      </c>
      <c r="H983" s="78">
        <v>0</v>
      </c>
      <c r="I983" s="77"/>
    </row>
    <row r="984">
      <c r="A984" s="78" t="s">
        <v>17920</v>
      </c>
      <c r="B984" s="78" t="s">
        <v>17921</v>
      </c>
      <c r="C984" s="78" t="s">
        <v>17922</v>
      </c>
      <c r="D984" s="78" t="s">
        <v>16723</v>
      </c>
      <c r="E984" s="78" t="s">
        <v>15973</v>
      </c>
      <c r="F984" s="78" t="s">
        <v>15921</v>
      </c>
      <c r="G984" s="78" t="s">
        <v>15198</v>
      </c>
      <c r="H984" s="78">
        <v>4000</v>
      </c>
      <c r="I984" s="77"/>
    </row>
    <row r="985">
      <c r="A985" s="78" t="s">
        <v>17923</v>
      </c>
      <c r="B985" s="78" t="s">
        <v>17924</v>
      </c>
      <c r="C985" s="78" t="s">
        <v>17925</v>
      </c>
      <c r="D985" s="78" t="s">
        <v>16820</v>
      </c>
      <c r="E985" s="78" t="s">
        <v>17926</v>
      </c>
      <c r="F985" s="78" t="s">
        <v>14833</v>
      </c>
      <c r="G985" s="78" t="s">
        <v>14834</v>
      </c>
      <c r="H985" s="78">
        <v>0</v>
      </c>
      <c r="I985" s="77"/>
    </row>
    <row r="986">
      <c r="A986" s="78" t="s">
        <v>17927</v>
      </c>
      <c r="B986" s="78" t="s">
        <v>17928</v>
      </c>
      <c r="C986" s="78" t="s">
        <v>17929</v>
      </c>
      <c r="D986" s="78" t="s">
        <v>16820</v>
      </c>
      <c r="E986" s="78" t="s">
        <v>17329</v>
      </c>
      <c r="F986" s="78" t="s">
        <v>14702</v>
      </c>
      <c r="G986" s="78" t="s">
        <v>14703</v>
      </c>
      <c r="H986" s="78">
        <v>0</v>
      </c>
      <c r="I986" s="77"/>
    </row>
    <row r="987">
      <c r="A987" s="78" t="s">
        <v>17930</v>
      </c>
      <c r="B987" s="78" t="s">
        <v>17931</v>
      </c>
      <c r="C987" s="78" t="s">
        <v>17932</v>
      </c>
      <c r="D987" s="78" t="s">
        <v>16651</v>
      </c>
      <c r="E987" s="78" t="s">
        <v>14790</v>
      </c>
      <c r="F987" s="78" t="s">
        <v>14922</v>
      </c>
      <c r="G987" s="78" t="s">
        <v>14923</v>
      </c>
      <c r="H987" s="78">
        <v>10000</v>
      </c>
      <c r="I987" s="77"/>
    </row>
    <row r="988">
      <c r="A988" s="78" t="s">
        <v>17933</v>
      </c>
      <c r="B988" s="78" t="s">
        <v>17934</v>
      </c>
      <c r="C988" s="78" t="s">
        <v>17935</v>
      </c>
      <c r="D988" s="78" t="s">
        <v>16723</v>
      </c>
      <c r="E988" s="78" t="s">
        <v>14790</v>
      </c>
      <c r="F988" s="78" t="s">
        <v>14867</v>
      </c>
      <c r="G988" s="78" t="s">
        <v>14931</v>
      </c>
      <c r="H988" s="78">
        <v>10000</v>
      </c>
      <c r="I988" s="77"/>
    </row>
    <row r="989">
      <c r="A989" s="78" t="s">
        <v>17936</v>
      </c>
      <c r="B989" s="78" t="s">
        <v>17937</v>
      </c>
      <c r="C989" s="78" t="s">
        <v>17938</v>
      </c>
      <c r="D989" s="78" t="s">
        <v>16820</v>
      </c>
      <c r="E989" s="78" t="s">
        <v>17103</v>
      </c>
      <c r="F989" s="78" t="s">
        <v>15319</v>
      </c>
      <c r="G989" s="78" t="s">
        <v>14772</v>
      </c>
      <c r="H989" s="78">
        <v>0</v>
      </c>
      <c r="I989" s="77"/>
    </row>
    <row r="990">
      <c r="A990" s="78" t="s">
        <v>17939</v>
      </c>
      <c r="B990" s="78" t="s">
        <v>17940</v>
      </c>
      <c r="C990" s="78" t="s">
        <v>17941</v>
      </c>
      <c r="D990" s="78" t="s">
        <v>16723</v>
      </c>
      <c r="E990" s="78" t="s">
        <v>17015</v>
      </c>
      <c r="F990" s="78" t="s">
        <v>14950</v>
      </c>
      <c r="G990" s="78" t="s">
        <v>14782</v>
      </c>
      <c r="H990" s="78">
        <v>2500</v>
      </c>
      <c r="I990" s="77"/>
    </row>
    <row r="991">
      <c r="A991" s="78" t="s">
        <v>17942</v>
      </c>
      <c r="B991" s="78" t="s">
        <v>17943</v>
      </c>
      <c r="C991" s="78" t="s">
        <v>17944</v>
      </c>
      <c r="D991" s="78" t="s">
        <v>16723</v>
      </c>
      <c r="E991" s="78" t="s">
        <v>16487</v>
      </c>
      <c r="F991" s="78" t="s">
        <v>15319</v>
      </c>
      <c r="G991" s="78" t="s">
        <v>14772</v>
      </c>
      <c r="H991" s="78">
        <v>1200</v>
      </c>
      <c r="I991" s="77"/>
    </row>
    <row r="992">
      <c r="A992" s="78" t="s">
        <v>17945</v>
      </c>
      <c r="B992" s="78" t="s">
        <v>17946</v>
      </c>
      <c r="C992" s="78" t="s">
        <v>17947</v>
      </c>
      <c r="D992" s="78" t="s">
        <v>16820</v>
      </c>
      <c r="E992" s="78" t="s">
        <v>17181</v>
      </c>
      <c r="F992" s="78" t="s">
        <v>15100</v>
      </c>
      <c r="G992" s="78" t="s">
        <v>14963</v>
      </c>
      <c r="H992" s="78" t="s">
        <v>17241</v>
      </c>
      <c r="I992" s="77"/>
    </row>
    <row r="993">
      <c r="A993" s="78" t="s">
        <v>17948</v>
      </c>
      <c r="B993" s="78" t="s">
        <v>17949</v>
      </c>
      <c r="C993" s="78" t="s">
        <v>17950</v>
      </c>
      <c r="D993" s="78" t="s">
        <v>16820</v>
      </c>
      <c r="E993" s="78" t="s">
        <v>17245</v>
      </c>
      <c r="F993" s="78" t="s">
        <v>14743</v>
      </c>
      <c r="G993" s="78" t="s">
        <v>14744</v>
      </c>
      <c r="H993" s="78">
        <v>0</v>
      </c>
      <c r="I993" s="77"/>
    </row>
    <row r="994">
      <c r="A994" s="78" t="s">
        <v>17951</v>
      </c>
      <c r="B994" s="78" t="s">
        <v>17952</v>
      </c>
      <c r="C994" s="78" t="s">
        <v>17953</v>
      </c>
      <c r="D994" s="78" t="s">
        <v>16820</v>
      </c>
      <c r="E994" s="78" t="s">
        <v>16880</v>
      </c>
      <c r="F994" s="78" t="s">
        <v>14781</v>
      </c>
      <c r="G994" s="78" t="s">
        <v>14782</v>
      </c>
      <c r="H994" s="78">
        <v>0</v>
      </c>
      <c r="I994" s="77"/>
    </row>
    <row r="995">
      <c r="A995" s="78" t="s">
        <v>17954</v>
      </c>
      <c r="B995" s="78" t="s">
        <v>17955</v>
      </c>
      <c r="C995" s="78" t="s">
        <v>17956</v>
      </c>
      <c r="D995" s="78" t="s">
        <v>16723</v>
      </c>
      <c r="E995" s="78" t="s">
        <v>14790</v>
      </c>
      <c r="F995" s="78" t="s">
        <v>14922</v>
      </c>
      <c r="G995" s="78" t="s">
        <v>14923</v>
      </c>
      <c r="H995" s="78">
        <v>10000</v>
      </c>
      <c r="I995" s="77"/>
    </row>
    <row r="996">
      <c r="A996" s="78" t="s">
        <v>17957</v>
      </c>
      <c r="B996" s="78" t="s">
        <v>17958</v>
      </c>
      <c r="C996" s="78" t="s">
        <v>17959</v>
      </c>
      <c r="D996" s="78" t="s">
        <v>16723</v>
      </c>
      <c r="E996" s="78" t="s">
        <v>14866</v>
      </c>
      <c r="F996" s="78" t="s">
        <v>14922</v>
      </c>
      <c r="G996" s="78" t="s">
        <v>14923</v>
      </c>
      <c r="H996" s="78">
        <v>2700</v>
      </c>
      <c r="I996" s="77"/>
    </row>
    <row r="997">
      <c r="A997" s="78" t="s">
        <v>17960</v>
      </c>
      <c r="B997" s="78" t="s">
        <v>17961</v>
      </c>
      <c r="C997" s="78" t="s">
        <v>17962</v>
      </c>
      <c r="D997" s="78" t="s">
        <v>16723</v>
      </c>
      <c r="E997" s="78" t="s">
        <v>15946</v>
      </c>
      <c r="F997" s="78" t="s">
        <v>15161</v>
      </c>
      <c r="G997" s="78" t="s">
        <v>14923</v>
      </c>
      <c r="H997" s="78">
        <v>6000</v>
      </c>
      <c r="I997" s="77"/>
    </row>
    <row r="998">
      <c r="A998" s="78" t="s">
        <v>17963</v>
      </c>
      <c r="B998" s="78" t="s">
        <v>17964</v>
      </c>
      <c r="C998" s="78" t="s">
        <v>17965</v>
      </c>
      <c r="D998" s="78" t="s">
        <v>16723</v>
      </c>
      <c r="E998" s="78" t="s">
        <v>14832</v>
      </c>
      <c r="F998" s="78" t="s">
        <v>14839</v>
      </c>
      <c r="G998" s="78" t="s">
        <v>14834</v>
      </c>
      <c r="H998" s="78">
        <v>5000</v>
      </c>
      <c r="I998" s="77"/>
    </row>
    <row r="999">
      <c r="A999" s="78" t="s">
        <v>17966</v>
      </c>
      <c r="B999" s="78" t="s">
        <v>17967</v>
      </c>
      <c r="C999" s="78" t="s">
        <v>17968</v>
      </c>
      <c r="D999" s="78" t="s">
        <v>16723</v>
      </c>
      <c r="E999" s="78" t="s">
        <v>17656</v>
      </c>
      <c r="F999" s="78" t="s">
        <v>14723</v>
      </c>
      <c r="G999" s="78" t="s">
        <v>14703</v>
      </c>
      <c r="H999" s="78">
        <v>3000</v>
      </c>
      <c r="I999" s="77"/>
    </row>
    <row r="1000">
      <c r="A1000" s="78" t="s">
        <v>17969</v>
      </c>
      <c r="B1000" s="78" t="s">
        <v>17970</v>
      </c>
      <c r="C1000" s="78" t="s">
        <v>17971</v>
      </c>
      <c r="D1000" s="78" t="s">
        <v>16723</v>
      </c>
      <c r="E1000" s="78" t="s">
        <v>15853</v>
      </c>
      <c r="F1000" s="78" t="s">
        <v>15100</v>
      </c>
      <c r="G1000" s="78" t="s">
        <v>14963</v>
      </c>
      <c r="H1000" s="78">
        <v>2000</v>
      </c>
      <c r="I1000" s="77"/>
    </row>
    <row r="1001">
      <c r="A1001" s="78" t="s">
        <v>17972</v>
      </c>
      <c r="B1001" s="78" t="s">
        <v>17973</v>
      </c>
      <c r="C1001" s="78" t="s">
        <v>17974</v>
      </c>
      <c r="D1001" s="78" t="s">
        <v>16820</v>
      </c>
      <c r="E1001" s="78" t="s">
        <v>17181</v>
      </c>
      <c r="F1001" s="78" t="s">
        <v>15100</v>
      </c>
      <c r="G1001" s="78" t="s">
        <v>14963</v>
      </c>
      <c r="H1001" s="78" t="s">
        <v>17241</v>
      </c>
      <c r="I1001" s="77"/>
    </row>
    <row r="1002">
      <c r="A1002" s="78" t="s">
        <v>17975</v>
      </c>
      <c r="B1002" s="78" t="s">
        <v>17976</v>
      </c>
      <c r="C1002" s="78" t="s">
        <v>17977</v>
      </c>
      <c r="D1002" s="78" t="s">
        <v>16723</v>
      </c>
      <c r="E1002" s="78" t="s">
        <v>14961</v>
      </c>
      <c r="F1002" s="78" t="s">
        <v>15110</v>
      </c>
      <c r="G1002" s="78" t="s">
        <v>14782</v>
      </c>
      <c r="H1002" s="78">
        <v>5000</v>
      </c>
      <c r="I1002" s="77"/>
    </row>
    <row r="1003">
      <c r="A1003" s="78" t="s">
        <v>17978</v>
      </c>
      <c r="B1003" s="78" t="s">
        <v>17979</v>
      </c>
      <c r="C1003" s="78" t="s">
        <v>17980</v>
      </c>
      <c r="D1003" s="78" t="s">
        <v>16723</v>
      </c>
      <c r="E1003" s="78" t="s">
        <v>16364</v>
      </c>
      <c r="F1003" s="78" t="s">
        <v>14712</v>
      </c>
      <c r="G1003" s="78" t="s">
        <v>14990</v>
      </c>
      <c r="H1003" s="78">
        <v>3000</v>
      </c>
      <c r="I1003" s="77"/>
    </row>
    <row r="1004">
      <c r="A1004" s="78" t="s">
        <v>17981</v>
      </c>
      <c r="B1004" s="78" t="s">
        <v>17982</v>
      </c>
      <c r="C1004" s="78" t="s">
        <v>17983</v>
      </c>
      <c r="D1004" s="78" t="s">
        <v>16723</v>
      </c>
      <c r="E1004" s="78" t="s">
        <v>14884</v>
      </c>
      <c r="F1004" s="78" t="s">
        <v>14885</v>
      </c>
      <c r="G1004" s="78" t="s">
        <v>14734</v>
      </c>
      <c r="H1004" s="78">
        <v>5000</v>
      </c>
      <c r="I1004" s="77"/>
    </row>
    <row r="1005">
      <c r="A1005" s="78" t="s">
        <v>17984</v>
      </c>
      <c r="B1005" s="78" t="s">
        <v>17985</v>
      </c>
      <c r="C1005" s="78" t="s">
        <v>17986</v>
      </c>
      <c r="D1005" s="78" t="s">
        <v>16651</v>
      </c>
      <c r="E1005" s="78" t="s">
        <v>15946</v>
      </c>
      <c r="F1005" s="78" t="s">
        <v>14894</v>
      </c>
      <c r="G1005" s="78" t="s">
        <v>14734</v>
      </c>
      <c r="H1005" s="78">
        <v>6000</v>
      </c>
      <c r="I1005" s="77"/>
    </row>
    <row r="1006">
      <c r="A1006" s="78" t="s">
        <v>17987</v>
      </c>
      <c r="B1006" s="78" t="s">
        <v>17988</v>
      </c>
      <c r="C1006" s="78" t="s">
        <v>17989</v>
      </c>
      <c r="D1006" s="78" t="s">
        <v>16723</v>
      </c>
      <c r="E1006" s="78" t="s">
        <v>15946</v>
      </c>
      <c r="F1006" s="78" t="s">
        <v>14712</v>
      </c>
      <c r="G1006" s="78" t="s">
        <v>14694</v>
      </c>
      <c r="H1006" s="78">
        <v>5000</v>
      </c>
      <c r="I1006" s="77"/>
    </row>
    <row r="1007">
      <c r="A1007" s="78" t="s">
        <v>17990</v>
      </c>
      <c r="B1007" s="78" t="s">
        <v>17991</v>
      </c>
      <c r="C1007" s="78" t="s">
        <v>17992</v>
      </c>
      <c r="D1007" s="78" t="s">
        <v>16723</v>
      </c>
      <c r="E1007" s="78" t="s">
        <v>15946</v>
      </c>
      <c r="F1007" s="78" t="s">
        <v>14712</v>
      </c>
      <c r="G1007" s="78" t="s">
        <v>14694</v>
      </c>
      <c r="H1007" s="78">
        <v>5000</v>
      </c>
      <c r="I1007" s="77"/>
    </row>
    <row r="1008">
      <c r="A1008" s="78" t="s">
        <v>17993</v>
      </c>
      <c r="B1008" s="78" t="s">
        <v>17994</v>
      </c>
      <c r="C1008" s="78" t="s">
        <v>17995</v>
      </c>
      <c r="D1008" s="78" t="s">
        <v>16723</v>
      </c>
      <c r="E1008" s="78" t="s">
        <v>17089</v>
      </c>
      <c r="F1008" s="78" t="s">
        <v>14712</v>
      </c>
      <c r="G1008" s="78" t="s">
        <v>14703</v>
      </c>
      <c r="H1008" s="78">
        <v>8000</v>
      </c>
      <c r="I1008" s="77"/>
    </row>
    <row r="1009">
      <c r="A1009" s="78" t="s">
        <v>17996</v>
      </c>
      <c r="B1009" s="78" t="s">
        <v>17997</v>
      </c>
      <c r="C1009" s="78" t="s">
        <v>17998</v>
      </c>
      <c r="D1009" s="78" t="s">
        <v>16723</v>
      </c>
      <c r="E1009" s="78" t="s">
        <v>14918</v>
      </c>
      <c r="F1009" s="78" t="s">
        <v>14712</v>
      </c>
      <c r="G1009" s="78" t="s">
        <v>14782</v>
      </c>
      <c r="H1009" s="78">
        <v>5000</v>
      </c>
      <c r="I1009" s="77"/>
    </row>
    <row r="1010">
      <c r="A1010" s="78" t="s">
        <v>17999</v>
      </c>
      <c r="B1010" s="78" t="s">
        <v>18000</v>
      </c>
      <c r="C1010" s="78" t="s">
        <v>18001</v>
      </c>
      <c r="D1010" s="78" t="s">
        <v>16723</v>
      </c>
      <c r="E1010" s="78" t="s">
        <v>15946</v>
      </c>
      <c r="F1010" s="78" t="s">
        <v>14712</v>
      </c>
      <c r="G1010" s="78" t="s">
        <v>14694</v>
      </c>
      <c r="H1010" s="78">
        <v>5000</v>
      </c>
      <c r="I1010" s="77"/>
    </row>
    <row r="1011">
      <c r="A1011" s="78" t="s">
        <v>18002</v>
      </c>
      <c r="B1011" s="78" t="s">
        <v>18003</v>
      </c>
      <c r="C1011" s="78" t="s">
        <v>18004</v>
      </c>
      <c r="D1011" s="78" t="s">
        <v>16651</v>
      </c>
      <c r="E1011" s="78" t="s">
        <v>15683</v>
      </c>
      <c r="F1011" s="78" t="s">
        <v>14922</v>
      </c>
      <c r="G1011" s="78" t="s">
        <v>14923</v>
      </c>
      <c r="H1011" s="78">
        <v>1000</v>
      </c>
      <c r="I1011" s="77"/>
    </row>
    <row r="1012">
      <c r="A1012" s="78" t="s">
        <v>18005</v>
      </c>
      <c r="B1012" s="78" t="s">
        <v>18006</v>
      </c>
      <c r="C1012" s="78" t="s">
        <v>16872</v>
      </c>
      <c r="D1012" s="78" t="s">
        <v>16723</v>
      </c>
      <c r="E1012" s="78" t="s">
        <v>16469</v>
      </c>
      <c r="F1012" s="78" t="s">
        <v>15081</v>
      </c>
      <c r="G1012" s="78" t="s">
        <v>14651</v>
      </c>
      <c r="H1012" s="78">
        <v>3000</v>
      </c>
      <c r="I1012" s="77"/>
    </row>
    <row r="1013">
      <c r="A1013" s="78" t="s">
        <v>18007</v>
      </c>
      <c r="B1013" s="78" t="s">
        <v>18008</v>
      </c>
      <c r="C1013" s="78" t="s">
        <v>18009</v>
      </c>
      <c r="D1013" s="78" t="s">
        <v>16723</v>
      </c>
      <c r="E1013" s="78" t="s">
        <v>16516</v>
      </c>
      <c r="F1013" s="78" t="s">
        <v>14859</v>
      </c>
      <c r="G1013" s="78" t="s">
        <v>14834</v>
      </c>
      <c r="H1013" s="78">
        <v>3400</v>
      </c>
      <c r="I1013" s="77"/>
    </row>
    <row r="1014">
      <c r="A1014" s="78" t="s">
        <v>18010</v>
      </c>
      <c r="B1014" s="78" t="s">
        <v>18011</v>
      </c>
      <c r="C1014" s="78" t="s">
        <v>18012</v>
      </c>
      <c r="D1014" s="78" t="s">
        <v>16820</v>
      </c>
      <c r="E1014" s="78" t="s">
        <v>17181</v>
      </c>
      <c r="F1014" s="78" t="s">
        <v>14962</v>
      </c>
      <c r="G1014" s="78" t="s">
        <v>14963</v>
      </c>
      <c r="H1014" s="78" t="s">
        <v>17241</v>
      </c>
      <c r="I1014" s="77"/>
    </row>
    <row r="1015">
      <c r="A1015" s="78" t="s">
        <v>18013</v>
      </c>
      <c r="B1015" s="78" t="s">
        <v>18014</v>
      </c>
      <c r="C1015" s="78" t="s">
        <v>18015</v>
      </c>
      <c r="D1015" s="78" t="s">
        <v>16820</v>
      </c>
      <c r="E1015" s="78" t="s">
        <v>17497</v>
      </c>
      <c r="F1015" s="78" t="s">
        <v>14885</v>
      </c>
      <c r="G1015" s="78" t="s">
        <v>14734</v>
      </c>
      <c r="H1015" s="78" t="s">
        <v>17241</v>
      </c>
      <c r="I1015" s="77"/>
      <c r="J1015" s="77"/>
    </row>
    <row r="1016">
      <c r="A1016" s="78" t="s">
        <v>18016</v>
      </c>
      <c r="B1016" s="78" t="s">
        <v>18017</v>
      </c>
      <c r="C1016" s="78" t="s">
        <v>18018</v>
      </c>
      <c r="D1016" s="78" t="s">
        <v>16820</v>
      </c>
      <c r="E1016" s="78" t="s">
        <v>17497</v>
      </c>
      <c r="F1016" s="78" t="s">
        <v>15750</v>
      </c>
      <c r="G1016" s="78" t="s">
        <v>14734</v>
      </c>
      <c r="H1016" s="78" t="s">
        <v>17241</v>
      </c>
      <c r="I1016" s="77"/>
      <c r="J1016" s="77"/>
    </row>
    <row r="1017">
      <c r="A1017" s="78" t="s">
        <v>18019</v>
      </c>
      <c r="B1017" s="78" t="s">
        <v>18020</v>
      </c>
      <c r="C1017" s="78" t="s">
        <v>18021</v>
      </c>
      <c r="D1017" s="78" t="s">
        <v>16651</v>
      </c>
      <c r="E1017" s="78" t="s">
        <v>15683</v>
      </c>
      <c r="F1017" s="78" t="s">
        <v>14867</v>
      </c>
      <c r="G1017" s="78" t="s">
        <v>14931</v>
      </c>
      <c r="H1017" s="78">
        <v>1000</v>
      </c>
      <c r="I1017" s="77"/>
      <c r="J1017" s="77"/>
    </row>
    <row r="1018">
      <c r="A1018" s="78" t="s">
        <v>18022</v>
      </c>
      <c r="B1018" s="78" t="s">
        <v>18023</v>
      </c>
      <c r="C1018" s="78" t="s">
        <v>18024</v>
      </c>
      <c r="D1018" s="78" t="s">
        <v>16651</v>
      </c>
      <c r="E1018" s="78" t="s">
        <v>15683</v>
      </c>
      <c r="F1018" s="78" t="s">
        <v>14867</v>
      </c>
      <c r="G1018" s="78" t="s">
        <v>14931</v>
      </c>
      <c r="H1018" s="78">
        <v>1000</v>
      </c>
      <c r="I1018" s="77"/>
      <c r="J1018" s="77"/>
    </row>
    <row r="1019">
      <c r="A1019" s="78" t="s">
        <v>18025</v>
      </c>
      <c r="B1019" s="78" t="s">
        <v>18026</v>
      </c>
      <c r="C1019" s="78" t="s">
        <v>18027</v>
      </c>
      <c r="D1019" s="78" t="s">
        <v>16651</v>
      </c>
      <c r="E1019" s="78" t="s">
        <v>14790</v>
      </c>
      <c r="F1019" s="78" t="s">
        <v>14867</v>
      </c>
      <c r="G1019" s="78" t="s">
        <v>14931</v>
      </c>
      <c r="H1019" s="78">
        <v>10000</v>
      </c>
      <c r="I1019" s="77"/>
      <c r="J1019" s="77"/>
    </row>
    <row r="1020">
      <c r="A1020" s="78" t="s">
        <v>18028</v>
      </c>
      <c r="B1020" s="78" t="s">
        <v>18029</v>
      </c>
      <c r="C1020" s="78" t="s">
        <v>18030</v>
      </c>
      <c r="D1020" s="78" t="s">
        <v>16651</v>
      </c>
      <c r="E1020" s="78" t="s">
        <v>15683</v>
      </c>
      <c r="F1020" s="78" t="s">
        <v>14867</v>
      </c>
      <c r="G1020" s="78" t="s">
        <v>14931</v>
      </c>
      <c r="H1020" s="78">
        <v>1000</v>
      </c>
      <c r="I1020" s="77"/>
      <c r="J1020" s="77"/>
    </row>
    <row r="1021">
      <c r="A1021" s="78" t="s">
        <v>18031</v>
      </c>
      <c r="B1021" s="78" t="s">
        <v>18032</v>
      </c>
      <c r="C1021" s="78" t="s">
        <v>18033</v>
      </c>
      <c r="D1021" s="78" t="s">
        <v>16723</v>
      </c>
      <c r="E1021" s="78" t="s">
        <v>14790</v>
      </c>
      <c r="F1021" s="78" t="s">
        <v>14867</v>
      </c>
      <c r="G1021" s="78" t="s">
        <v>14931</v>
      </c>
      <c r="H1021" s="78">
        <v>10000</v>
      </c>
      <c r="I1021" s="77"/>
      <c r="J1021" s="77"/>
    </row>
    <row r="1022">
      <c r="A1022" s="78" t="s">
        <v>18034</v>
      </c>
      <c r="B1022" s="78" t="s">
        <v>18035</v>
      </c>
      <c r="C1022" s="78" t="s">
        <v>18036</v>
      </c>
      <c r="D1022" s="78" t="s">
        <v>16820</v>
      </c>
      <c r="E1022" s="78" t="s">
        <v>16880</v>
      </c>
      <c r="F1022" s="78" t="s">
        <v>14781</v>
      </c>
      <c r="G1022" s="78" t="s">
        <v>14782</v>
      </c>
      <c r="H1022" s="78">
        <v>0</v>
      </c>
      <c r="I1022" s="77"/>
      <c r="J1022" s="77"/>
    </row>
    <row r="1023">
      <c r="A1023" s="78" t="s">
        <v>18037</v>
      </c>
      <c r="B1023" s="78" t="s">
        <v>18038</v>
      </c>
      <c r="C1023" s="78" t="s">
        <v>18039</v>
      </c>
      <c r="D1023" s="78" t="s">
        <v>16820</v>
      </c>
      <c r="E1023" s="78" t="s">
        <v>17497</v>
      </c>
      <c r="F1023" s="78" t="s">
        <v>14885</v>
      </c>
      <c r="G1023" s="78" t="s">
        <v>14734</v>
      </c>
      <c r="H1023" s="78" t="s">
        <v>17241</v>
      </c>
      <c r="I1023" s="77"/>
      <c r="J1023" s="77"/>
    </row>
    <row r="1024">
      <c r="A1024" s="78" t="s">
        <v>18040</v>
      </c>
      <c r="B1024" s="78" t="s">
        <v>18041</v>
      </c>
      <c r="C1024" s="78" t="s">
        <v>18042</v>
      </c>
      <c r="D1024" s="78" t="s">
        <v>16820</v>
      </c>
      <c r="E1024" s="78" t="s">
        <v>17181</v>
      </c>
      <c r="F1024" s="78" t="s">
        <v>14977</v>
      </c>
      <c r="G1024" s="78" t="s">
        <v>14963</v>
      </c>
      <c r="H1024" s="78" t="s">
        <v>17241</v>
      </c>
      <c r="I1024" s="77"/>
      <c r="J1024" s="77"/>
    </row>
    <row r="1025">
      <c r="A1025" s="78" t="s">
        <v>18043</v>
      </c>
      <c r="B1025" s="78" t="s">
        <v>18044</v>
      </c>
      <c r="C1025" s="78" t="s">
        <v>18045</v>
      </c>
      <c r="D1025" s="78" t="s">
        <v>16820</v>
      </c>
      <c r="E1025" s="78" t="s">
        <v>17409</v>
      </c>
      <c r="F1025" s="78" t="s">
        <v>14771</v>
      </c>
      <c r="G1025" s="78" t="s">
        <v>14772</v>
      </c>
      <c r="H1025" s="78">
        <v>0</v>
      </c>
      <c r="I1025" s="77"/>
      <c r="J1025" s="77"/>
    </row>
    <row r="1026">
      <c r="A1026" s="78" t="s">
        <v>18046</v>
      </c>
      <c r="B1026" s="78" t="s">
        <v>18047</v>
      </c>
      <c r="C1026" s="78" t="s">
        <v>18048</v>
      </c>
      <c r="D1026" s="78" t="s">
        <v>16723</v>
      </c>
      <c r="E1026" s="78" t="s">
        <v>15853</v>
      </c>
      <c r="F1026" s="78" t="s">
        <v>15100</v>
      </c>
      <c r="G1026" s="78" t="s">
        <v>14963</v>
      </c>
      <c r="H1026" s="78">
        <v>2000</v>
      </c>
      <c r="I1026" s="77"/>
      <c r="J1026" s="77"/>
    </row>
    <row r="1027">
      <c r="A1027" s="78" t="s">
        <v>18049</v>
      </c>
      <c r="B1027" s="78" t="s">
        <v>18050</v>
      </c>
      <c r="C1027" s="78" t="s">
        <v>18051</v>
      </c>
      <c r="D1027" s="78" t="s">
        <v>16723</v>
      </c>
      <c r="E1027" s="78" t="s">
        <v>14790</v>
      </c>
      <c r="F1027" s="78" t="s">
        <v>14922</v>
      </c>
      <c r="G1027" s="78" t="s">
        <v>14923</v>
      </c>
      <c r="H1027" s="78">
        <v>10000</v>
      </c>
      <c r="I1027" s="77"/>
      <c r="J1027" s="77"/>
    </row>
    <row r="1028">
      <c r="A1028" s="78" t="s">
        <v>18052</v>
      </c>
      <c r="B1028" s="78" t="s">
        <v>18053</v>
      </c>
      <c r="C1028" s="78" t="s">
        <v>18054</v>
      </c>
      <c r="D1028" s="78" t="s">
        <v>16820</v>
      </c>
      <c r="E1028" s="78" t="s">
        <v>17181</v>
      </c>
      <c r="F1028" s="78" t="s">
        <v>14972</v>
      </c>
      <c r="G1028" s="78" t="s">
        <v>14963</v>
      </c>
      <c r="H1028" s="78" t="s">
        <v>17241</v>
      </c>
    </row>
    <row r="1029">
      <c r="A1029" s="78" t="s">
        <v>18055</v>
      </c>
      <c r="B1029" s="78" t="s">
        <v>18056</v>
      </c>
      <c r="C1029" s="78" t="s">
        <v>18057</v>
      </c>
      <c r="D1029" s="78" t="s">
        <v>14648</v>
      </c>
      <c r="E1029" s="78" t="s">
        <v>14780</v>
      </c>
      <c r="F1029" s="78" t="s">
        <v>14781</v>
      </c>
      <c r="G1029" s="78" t="s">
        <v>14782</v>
      </c>
      <c r="H1029" s="78">
        <v>1200</v>
      </c>
      <c r="I1029" s="77"/>
    </row>
    <row r="1030">
      <c r="A1030" s="78" t="s">
        <v>18058</v>
      </c>
      <c r="B1030" s="78" t="s">
        <v>18059</v>
      </c>
      <c r="C1030" s="78" t="s">
        <v>18060</v>
      </c>
      <c r="D1030" s="78" t="s">
        <v>14648</v>
      </c>
      <c r="E1030" s="78" t="s">
        <v>18061</v>
      </c>
      <c r="F1030" s="78" t="s">
        <v>14821</v>
      </c>
      <c r="G1030" s="78" t="s">
        <v>14772</v>
      </c>
      <c r="H1030" s="78">
        <v>1500</v>
      </c>
      <c r="I1030" s="77"/>
    </row>
    <row r="1031">
      <c r="A1031" s="78" t="s">
        <v>18062</v>
      </c>
      <c r="B1031" s="78" t="s">
        <v>18063</v>
      </c>
      <c r="C1031" s="78" t="s">
        <v>18064</v>
      </c>
      <c r="D1031" s="78" t="s">
        <v>14648</v>
      </c>
      <c r="E1031" s="78" t="s">
        <v>14786</v>
      </c>
      <c r="F1031" s="78" t="s">
        <v>14771</v>
      </c>
      <c r="G1031" s="78" t="s">
        <v>14772</v>
      </c>
      <c r="H1031" s="78">
        <v>300</v>
      </c>
      <c r="I1031" s="77"/>
    </row>
    <row r="1032">
      <c r="A1032" s="78" t="s">
        <v>18065</v>
      </c>
      <c r="B1032" s="78" t="s">
        <v>18066</v>
      </c>
      <c r="C1032" s="78" t="s">
        <v>18067</v>
      </c>
      <c r="D1032" s="78" t="s">
        <v>14648</v>
      </c>
      <c r="E1032" s="78" t="s">
        <v>14847</v>
      </c>
      <c r="F1032" s="78" t="s">
        <v>14839</v>
      </c>
      <c r="G1032" s="78" t="s">
        <v>14834</v>
      </c>
      <c r="H1032" s="78">
        <v>3000</v>
      </c>
      <c r="I1032" s="77"/>
      <c r="J1032" s="77"/>
    </row>
    <row r="1033">
      <c r="A1033" s="78" t="s">
        <v>18068</v>
      </c>
      <c r="B1033" s="78" t="s">
        <v>18069</v>
      </c>
      <c r="C1033" s="78" t="s">
        <v>14697</v>
      </c>
      <c r="D1033" s="78" t="s">
        <v>14648</v>
      </c>
      <c r="E1033" s="78" t="s">
        <v>18070</v>
      </c>
      <c r="F1033" s="78" t="s">
        <v>15025</v>
      </c>
      <c r="G1033" s="78" t="s">
        <v>14651</v>
      </c>
      <c r="H1033" s="78">
        <v>1200</v>
      </c>
      <c r="I1033" s="77"/>
    </row>
    <row r="1034">
      <c r="A1034" s="78" t="s">
        <v>18071</v>
      </c>
      <c r="B1034" s="78" t="s">
        <v>18072</v>
      </c>
      <c r="C1034" s="78" t="s">
        <v>18073</v>
      </c>
      <c r="D1034" s="78" t="s">
        <v>14648</v>
      </c>
      <c r="E1034" s="78" t="s">
        <v>14786</v>
      </c>
      <c r="F1034" s="78" t="s">
        <v>14771</v>
      </c>
      <c r="G1034" s="78" t="s">
        <v>14772</v>
      </c>
      <c r="H1034" s="78">
        <v>300</v>
      </c>
      <c r="I1034" s="77"/>
    </row>
    <row r="1035">
      <c r="A1035" s="78" t="s">
        <v>18074</v>
      </c>
      <c r="B1035" s="78" t="s">
        <v>18075</v>
      </c>
      <c r="C1035" s="78" t="s">
        <v>18076</v>
      </c>
      <c r="D1035" s="78" t="s">
        <v>14648</v>
      </c>
      <c r="E1035" s="78" t="s">
        <v>18077</v>
      </c>
      <c r="F1035" s="78" t="s">
        <v>15061</v>
      </c>
      <c r="G1035" s="78" t="s">
        <v>14651</v>
      </c>
      <c r="H1035" s="78">
        <v>1200</v>
      </c>
      <c r="I1035" s="77"/>
    </row>
    <row r="1036">
      <c r="A1036" s="78" t="s">
        <v>18078</v>
      </c>
      <c r="B1036" s="78" t="s">
        <v>18079</v>
      </c>
      <c r="C1036" s="78" t="s">
        <v>18080</v>
      </c>
      <c r="D1036" s="78" t="s">
        <v>14648</v>
      </c>
      <c r="E1036" s="78" t="s">
        <v>14786</v>
      </c>
      <c r="F1036" s="78" t="s">
        <v>14771</v>
      </c>
      <c r="G1036" s="78" t="s">
        <v>14772</v>
      </c>
      <c r="H1036" s="78">
        <v>300</v>
      </c>
      <c r="I1036" s="77"/>
    </row>
    <row r="1037">
      <c r="A1037" s="78" t="s">
        <v>18081</v>
      </c>
      <c r="B1037" s="78" t="s">
        <v>18082</v>
      </c>
      <c r="C1037" s="78" t="s">
        <v>18083</v>
      </c>
      <c r="D1037" s="78" t="s">
        <v>14648</v>
      </c>
      <c r="E1037" s="78" t="s">
        <v>18084</v>
      </c>
      <c r="F1037" s="78" t="s">
        <v>14771</v>
      </c>
      <c r="G1037" s="78" t="s">
        <v>14772</v>
      </c>
      <c r="H1037" s="78">
        <v>1300</v>
      </c>
      <c r="I1037" s="77"/>
    </row>
    <row r="1038">
      <c r="A1038" s="78" t="s">
        <v>18085</v>
      </c>
      <c r="B1038" s="78" t="s">
        <v>18086</v>
      </c>
      <c r="C1038" s="78" t="s">
        <v>18087</v>
      </c>
      <c r="D1038" s="78" t="s">
        <v>14648</v>
      </c>
      <c r="E1038" s="78" t="s">
        <v>18088</v>
      </c>
      <c r="F1038" s="78" t="s">
        <v>14804</v>
      </c>
      <c r="G1038" s="78" t="s">
        <v>14772</v>
      </c>
      <c r="H1038" s="78">
        <v>3000</v>
      </c>
      <c r="I1038" s="77"/>
    </row>
    <row r="1039">
      <c r="A1039" s="78" t="s">
        <v>18089</v>
      </c>
      <c r="B1039" s="78" t="s">
        <v>18090</v>
      </c>
      <c r="C1039" s="78" t="s">
        <v>18091</v>
      </c>
      <c r="D1039" s="78" t="s">
        <v>14648</v>
      </c>
      <c r="E1039" s="78" t="s">
        <v>18092</v>
      </c>
      <c r="F1039" s="78" t="s">
        <v>14712</v>
      </c>
      <c r="G1039" s="78" t="s">
        <v>14713</v>
      </c>
      <c r="H1039" s="78">
        <v>2000</v>
      </c>
      <c r="I1039" s="77"/>
    </row>
    <row r="1040">
      <c r="A1040" s="78" t="s">
        <v>18093</v>
      </c>
      <c r="B1040" s="78" t="s">
        <v>18094</v>
      </c>
      <c r="C1040" s="78" t="s">
        <v>18095</v>
      </c>
      <c r="D1040" s="78" t="s">
        <v>14648</v>
      </c>
      <c r="E1040" s="78" t="s">
        <v>14971</v>
      </c>
      <c r="F1040" s="78" t="s">
        <v>14712</v>
      </c>
      <c r="G1040" s="78" t="s">
        <v>14963</v>
      </c>
      <c r="H1040" s="78">
        <v>1000</v>
      </c>
      <c r="I1040" s="77"/>
    </row>
    <row r="1041">
      <c r="A1041" s="78" t="s">
        <v>18096</v>
      </c>
      <c r="B1041" s="78" t="s">
        <v>18097</v>
      </c>
      <c r="C1041" s="78" t="s">
        <v>18098</v>
      </c>
      <c r="D1041" s="78" t="s">
        <v>14648</v>
      </c>
      <c r="E1041" s="78" t="s">
        <v>18099</v>
      </c>
      <c r="F1041" s="78" t="s">
        <v>14977</v>
      </c>
      <c r="G1041" s="78" t="s">
        <v>14963</v>
      </c>
      <c r="H1041" s="78">
        <v>2000</v>
      </c>
      <c r="I1041" s="77"/>
    </row>
    <row r="1042">
      <c r="A1042" s="78" t="s">
        <v>18100</v>
      </c>
      <c r="B1042" s="78" t="s">
        <v>18101</v>
      </c>
      <c r="C1042" s="78" t="s">
        <v>18102</v>
      </c>
      <c r="D1042" s="78" t="s">
        <v>14648</v>
      </c>
      <c r="E1042" s="78" t="s">
        <v>18103</v>
      </c>
      <c r="F1042" s="78" t="s">
        <v>14771</v>
      </c>
      <c r="G1042" s="78" t="s">
        <v>14772</v>
      </c>
      <c r="H1042" s="78">
        <v>1300</v>
      </c>
      <c r="I1042" s="77"/>
    </row>
    <row r="1043">
      <c r="A1043" s="78" t="s">
        <v>18104</v>
      </c>
      <c r="B1043" s="78" t="s">
        <v>18105</v>
      </c>
      <c r="C1043" s="78" t="s">
        <v>18106</v>
      </c>
      <c r="D1043" s="78" t="s">
        <v>14648</v>
      </c>
      <c r="E1043" s="78" t="s">
        <v>18088</v>
      </c>
      <c r="F1043" s="78" t="s">
        <v>14804</v>
      </c>
      <c r="G1043" s="78" t="s">
        <v>14772</v>
      </c>
      <c r="H1043" s="78">
        <v>3000</v>
      </c>
      <c r="I1043" s="77"/>
    </row>
    <row r="1044">
      <c r="A1044" s="78" t="s">
        <v>18107</v>
      </c>
      <c r="B1044" s="78" t="s">
        <v>18108</v>
      </c>
      <c r="C1044" s="78" t="s">
        <v>18109</v>
      </c>
      <c r="D1044" s="78" t="s">
        <v>14648</v>
      </c>
      <c r="E1044" s="78" t="s">
        <v>18110</v>
      </c>
      <c r="F1044" s="78" t="s">
        <v>15608</v>
      </c>
      <c r="G1044" s="78" t="s">
        <v>14990</v>
      </c>
      <c r="H1044" s="78">
        <v>1200</v>
      </c>
      <c r="I1044" s="77"/>
    </row>
    <row r="1045">
      <c r="A1045" s="78" t="s">
        <v>18111</v>
      </c>
      <c r="B1045" s="78" t="s">
        <v>18112</v>
      </c>
      <c r="C1045" s="78" t="s">
        <v>18113</v>
      </c>
      <c r="D1045" s="78" t="s">
        <v>14648</v>
      </c>
      <c r="E1045" s="78" t="s">
        <v>14871</v>
      </c>
      <c r="F1045" s="78" t="s">
        <v>14950</v>
      </c>
      <c r="G1045" s="78" t="s">
        <v>14782</v>
      </c>
      <c r="H1045" s="78">
        <v>1500</v>
      </c>
      <c r="I1045" s="77"/>
    </row>
    <row r="1046">
      <c r="A1046" s="78" t="s">
        <v>18114</v>
      </c>
      <c r="B1046" s="78" t="s">
        <v>18115</v>
      </c>
      <c r="C1046" s="78" t="s">
        <v>18116</v>
      </c>
      <c r="D1046" s="78" t="s">
        <v>14648</v>
      </c>
      <c r="E1046" s="78" t="s">
        <v>18061</v>
      </c>
      <c r="F1046" s="78" t="s">
        <v>14821</v>
      </c>
      <c r="G1046" s="78" t="s">
        <v>14772</v>
      </c>
      <c r="H1046" s="78">
        <v>2000</v>
      </c>
      <c r="I1046" s="77"/>
    </row>
    <row r="1047">
      <c r="A1047" s="78" t="s">
        <v>18117</v>
      </c>
      <c r="B1047" s="78" t="s">
        <v>18118</v>
      </c>
      <c r="C1047" s="78" t="s">
        <v>18119</v>
      </c>
      <c r="D1047" s="78" t="s">
        <v>14648</v>
      </c>
      <c r="E1047" s="78" t="s">
        <v>14780</v>
      </c>
      <c r="F1047" s="78" t="s">
        <v>14781</v>
      </c>
      <c r="G1047" s="78" t="s">
        <v>14782</v>
      </c>
      <c r="H1047" s="78">
        <v>1200</v>
      </c>
      <c r="I1047" s="77"/>
    </row>
    <row r="1048">
      <c r="A1048" s="78" t="s">
        <v>18120</v>
      </c>
      <c r="B1048" s="78" t="s">
        <v>18121</v>
      </c>
      <c r="C1048" s="78" t="s">
        <v>18122</v>
      </c>
      <c r="D1048" s="78" t="s">
        <v>14648</v>
      </c>
      <c r="E1048" s="78" t="s">
        <v>14780</v>
      </c>
      <c r="F1048" s="78" t="s">
        <v>14781</v>
      </c>
      <c r="G1048" s="78" t="s">
        <v>14782</v>
      </c>
      <c r="H1048" s="78">
        <v>1200</v>
      </c>
      <c r="I1048" s="77"/>
    </row>
    <row r="1049">
      <c r="A1049" s="78" t="s">
        <v>18123</v>
      </c>
      <c r="B1049" s="78" t="s">
        <v>18124</v>
      </c>
      <c r="C1049" s="78" t="s">
        <v>18125</v>
      </c>
      <c r="D1049" s="78" t="s">
        <v>14648</v>
      </c>
      <c r="E1049" s="78" t="s">
        <v>18126</v>
      </c>
      <c r="F1049" s="78" t="s">
        <v>15017</v>
      </c>
      <c r="G1049" s="78" t="s">
        <v>14651</v>
      </c>
      <c r="H1049" s="78">
        <v>1200</v>
      </c>
      <c r="I1049" s="77"/>
    </row>
    <row r="1050">
      <c r="A1050" s="78" t="s">
        <v>18127</v>
      </c>
      <c r="B1050" s="78" t="s">
        <v>18128</v>
      </c>
      <c r="C1050" s="78" t="s">
        <v>18129</v>
      </c>
      <c r="D1050" s="78" t="s">
        <v>14648</v>
      </c>
      <c r="E1050" s="78" t="s">
        <v>18130</v>
      </c>
      <c r="F1050" s="78" t="s">
        <v>14943</v>
      </c>
      <c r="G1050" s="78" t="s">
        <v>14923</v>
      </c>
      <c r="H1050" s="78">
        <v>2500</v>
      </c>
      <c r="I1050" s="77"/>
    </row>
    <row r="1051">
      <c r="A1051" s="78" t="s">
        <v>18131</v>
      </c>
      <c r="B1051" s="78" t="s">
        <v>18132</v>
      </c>
      <c r="C1051" s="78" t="s">
        <v>18133</v>
      </c>
      <c r="D1051" s="78" t="s">
        <v>14648</v>
      </c>
      <c r="E1051" s="78" t="s">
        <v>18088</v>
      </c>
      <c r="F1051" s="78" t="s">
        <v>16056</v>
      </c>
      <c r="G1051" s="78" t="s">
        <v>14772</v>
      </c>
      <c r="H1051" s="78">
        <v>2000</v>
      </c>
      <c r="I1051" s="77"/>
      <c r="J1051" s="77"/>
    </row>
    <row r="1052">
      <c r="A1052" s="78" t="s">
        <v>18134</v>
      </c>
      <c r="B1052" s="78" t="s">
        <v>18135</v>
      </c>
      <c r="C1052" s="78" t="s">
        <v>18136</v>
      </c>
      <c r="D1052" s="78" t="s">
        <v>14648</v>
      </c>
      <c r="E1052" s="78" t="s">
        <v>14780</v>
      </c>
      <c r="F1052" s="78" t="s">
        <v>14781</v>
      </c>
      <c r="G1052" s="78" t="s">
        <v>14782</v>
      </c>
      <c r="H1052" s="78">
        <v>1200</v>
      </c>
      <c r="I1052" s="77"/>
    </row>
    <row r="1053">
      <c r="A1053" s="78" t="s">
        <v>18137</v>
      </c>
      <c r="B1053" s="78" t="s">
        <v>18138</v>
      </c>
      <c r="C1053" s="78" t="s">
        <v>18139</v>
      </c>
      <c r="D1053" s="78" t="s">
        <v>14648</v>
      </c>
      <c r="E1053" s="78" t="s">
        <v>18140</v>
      </c>
      <c r="F1053" s="78" t="s">
        <v>15081</v>
      </c>
      <c r="G1053" s="78" t="s">
        <v>14651</v>
      </c>
      <c r="H1053" s="78">
        <v>1200</v>
      </c>
      <c r="I1053" s="77"/>
    </row>
    <row r="1054">
      <c r="A1054" s="78" t="s">
        <v>18141</v>
      </c>
      <c r="B1054" s="78" t="s">
        <v>18142</v>
      </c>
      <c r="C1054" s="78" t="s">
        <v>18143</v>
      </c>
      <c r="D1054" s="78" t="s">
        <v>14648</v>
      </c>
      <c r="E1054" s="78" t="s">
        <v>18144</v>
      </c>
      <c r="F1054" s="78" t="s">
        <v>15090</v>
      </c>
      <c r="G1054" s="78" t="s">
        <v>14782</v>
      </c>
      <c r="H1054" s="78">
        <v>1000</v>
      </c>
      <c r="I1054" s="77"/>
    </row>
    <row r="1055">
      <c r="A1055" s="78" t="s">
        <v>18145</v>
      </c>
      <c r="B1055" s="78" t="s">
        <v>18146</v>
      </c>
      <c r="C1055" s="78" t="s">
        <v>18147</v>
      </c>
      <c r="D1055" s="78" t="s">
        <v>14648</v>
      </c>
      <c r="E1055" s="78" t="s">
        <v>14780</v>
      </c>
      <c r="F1055" s="78" t="s">
        <v>14781</v>
      </c>
      <c r="G1055" s="78" t="s">
        <v>14782</v>
      </c>
      <c r="H1055" s="78">
        <v>1200</v>
      </c>
      <c r="I1055" s="77"/>
    </row>
    <row r="1056">
      <c r="A1056" s="78" t="s">
        <v>18148</v>
      </c>
      <c r="B1056" s="78" t="s">
        <v>18149</v>
      </c>
      <c r="C1056" s="78" t="s">
        <v>18150</v>
      </c>
      <c r="D1056" s="78" t="s">
        <v>14648</v>
      </c>
      <c r="E1056" s="78" t="s">
        <v>18140</v>
      </c>
      <c r="F1056" s="78" t="s">
        <v>15081</v>
      </c>
      <c r="G1056" s="78" t="s">
        <v>14651</v>
      </c>
      <c r="H1056" s="78">
        <v>1200</v>
      </c>
      <c r="I1056" s="77"/>
    </row>
    <row r="1057">
      <c r="A1057" s="78" t="s">
        <v>18151</v>
      </c>
      <c r="B1057" s="78" t="s">
        <v>18152</v>
      </c>
      <c r="C1057" s="78" t="s">
        <v>18153</v>
      </c>
      <c r="D1057" s="78" t="s">
        <v>14648</v>
      </c>
      <c r="E1057" s="78" t="s">
        <v>18088</v>
      </c>
      <c r="F1057" s="78" t="s">
        <v>16056</v>
      </c>
      <c r="G1057" s="78" t="s">
        <v>14772</v>
      </c>
      <c r="H1057" s="78">
        <v>3000</v>
      </c>
      <c r="I1057" s="77"/>
      <c r="J1057" s="77"/>
    </row>
    <row r="1058">
      <c r="A1058" s="78" t="s">
        <v>18154</v>
      </c>
      <c r="B1058" s="78" t="s">
        <v>18155</v>
      </c>
      <c r="C1058" s="78" t="s">
        <v>18156</v>
      </c>
      <c r="D1058" s="78" t="s">
        <v>14648</v>
      </c>
      <c r="E1058" s="78" t="s">
        <v>18157</v>
      </c>
      <c r="F1058" s="78" t="s">
        <v>15039</v>
      </c>
      <c r="G1058" s="78" t="s">
        <v>14651</v>
      </c>
      <c r="H1058" s="78">
        <v>1200</v>
      </c>
      <c r="I1058" s="77"/>
    </row>
    <row r="1059">
      <c r="A1059" s="78" t="s">
        <v>18158</v>
      </c>
      <c r="B1059" s="78" t="s">
        <v>18159</v>
      </c>
      <c r="C1059" s="78" t="s">
        <v>18160</v>
      </c>
      <c r="D1059" s="78" t="s">
        <v>14648</v>
      </c>
      <c r="E1059" s="78" t="s">
        <v>18161</v>
      </c>
      <c r="F1059" s="78" t="s">
        <v>15739</v>
      </c>
      <c r="G1059" s="78" t="s">
        <v>15129</v>
      </c>
      <c r="H1059" s="78">
        <v>1200</v>
      </c>
      <c r="I1059" s="77"/>
    </row>
    <row r="1060">
      <c r="A1060" s="78" t="s">
        <v>18162</v>
      </c>
      <c r="B1060" s="78" t="s">
        <v>18163</v>
      </c>
      <c r="C1060" s="78" t="s">
        <v>18164</v>
      </c>
      <c r="D1060" s="78" t="s">
        <v>14648</v>
      </c>
      <c r="E1060" s="78" t="s">
        <v>14780</v>
      </c>
      <c r="F1060" s="78" t="s">
        <v>14781</v>
      </c>
      <c r="G1060" s="78" t="s">
        <v>14782</v>
      </c>
      <c r="H1060" s="78">
        <v>1200</v>
      </c>
      <c r="I1060" s="77"/>
    </row>
    <row r="1061">
      <c r="A1061" s="78" t="s">
        <v>18165</v>
      </c>
      <c r="B1061" s="78" t="s">
        <v>18166</v>
      </c>
      <c r="C1061" s="78" t="s">
        <v>18167</v>
      </c>
      <c r="D1061" s="78" t="s">
        <v>14648</v>
      </c>
      <c r="E1061" s="78" t="s">
        <v>14780</v>
      </c>
      <c r="F1061" s="78" t="s">
        <v>14781</v>
      </c>
      <c r="G1061" s="78" t="s">
        <v>14782</v>
      </c>
      <c r="H1061" s="78">
        <v>1200</v>
      </c>
      <c r="I1061" s="77"/>
    </row>
    <row r="1062">
      <c r="A1062" s="78" t="s">
        <v>18168</v>
      </c>
      <c r="B1062" s="78" t="s">
        <v>18169</v>
      </c>
      <c r="C1062" s="78" t="s">
        <v>18170</v>
      </c>
      <c r="D1062" s="78" t="s">
        <v>14648</v>
      </c>
      <c r="E1062" s="78" t="s">
        <v>18171</v>
      </c>
      <c r="F1062" s="78" t="s">
        <v>15691</v>
      </c>
      <c r="G1062" s="78" t="s">
        <v>14931</v>
      </c>
      <c r="H1062" s="78">
        <v>1200</v>
      </c>
      <c r="I1062" s="77"/>
    </row>
    <row r="1063">
      <c r="A1063" s="78" t="s">
        <v>18172</v>
      </c>
      <c r="B1063" s="78" t="s">
        <v>18173</v>
      </c>
      <c r="C1063" s="78" t="s">
        <v>18174</v>
      </c>
      <c r="D1063" s="78" t="s">
        <v>14648</v>
      </c>
      <c r="E1063" s="78" t="s">
        <v>14780</v>
      </c>
      <c r="F1063" s="78" t="s">
        <v>14781</v>
      </c>
      <c r="G1063" s="78" t="s">
        <v>14782</v>
      </c>
      <c r="H1063" s="78">
        <v>1200</v>
      </c>
      <c r="I1063" s="77"/>
    </row>
    <row r="1064">
      <c r="A1064" s="78" t="s">
        <v>18175</v>
      </c>
      <c r="B1064" s="78" t="s">
        <v>18176</v>
      </c>
      <c r="C1064" s="78" t="s">
        <v>18177</v>
      </c>
      <c r="D1064" s="78" t="s">
        <v>14648</v>
      </c>
      <c r="E1064" s="78" t="s">
        <v>18178</v>
      </c>
      <c r="F1064" s="78" t="s">
        <v>14943</v>
      </c>
      <c r="G1064" s="78" t="s">
        <v>14923</v>
      </c>
      <c r="H1064" s="78">
        <v>2000</v>
      </c>
      <c r="I1064" s="77"/>
      <c r="J1064" s="77"/>
    </row>
    <row r="1065">
      <c r="A1065" s="78" t="s">
        <v>18179</v>
      </c>
      <c r="B1065" s="78" t="s">
        <v>18180</v>
      </c>
      <c r="C1065" s="78" t="s">
        <v>18181</v>
      </c>
      <c r="D1065" s="78" t="s">
        <v>14648</v>
      </c>
      <c r="E1065" s="78" t="s">
        <v>18171</v>
      </c>
      <c r="F1065" s="78" t="s">
        <v>15691</v>
      </c>
      <c r="G1065" s="78" t="s">
        <v>14931</v>
      </c>
      <c r="H1065" s="78">
        <v>1200</v>
      </c>
      <c r="I1065" s="77"/>
    </row>
    <row r="1066">
      <c r="A1066" s="78" t="s">
        <v>18182</v>
      </c>
      <c r="B1066" s="78" t="s">
        <v>18183</v>
      </c>
      <c r="C1066" s="78" t="s">
        <v>18184</v>
      </c>
      <c r="D1066" s="78" t="s">
        <v>14648</v>
      </c>
      <c r="E1066" s="78" t="s">
        <v>18088</v>
      </c>
      <c r="F1066" s="78" t="s">
        <v>14809</v>
      </c>
      <c r="G1066" s="78" t="s">
        <v>14772</v>
      </c>
      <c r="H1066" s="78">
        <v>2000</v>
      </c>
      <c r="I1066" s="77"/>
    </row>
    <row r="1067">
      <c r="A1067" s="78" t="s">
        <v>18185</v>
      </c>
      <c r="B1067" s="78" t="s">
        <v>18186</v>
      </c>
      <c r="C1067" s="78" t="s">
        <v>18187</v>
      </c>
      <c r="D1067" s="78" t="s">
        <v>14648</v>
      </c>
      <c r="E1067" s="78" t="s">
        <v>16200</v>
      </c>
      <c r="F1067" s="78" t="s">
        <v>15956</v>
      </c>
      <c r="G1067" s="78" t="s">
        <v>14923</v>
      </c>
      <c r="H1067" s="78">
        <v>1200</v>
      </c>
      <c r="I1067" s="77"/>
    </row>
    <row r="1068">
      <c r="A1068" s="78" t="s">
        <v>18188</v>
      </c>
      <c r="B1068" s="78" t="s">
        <v>18189</v>
      </c>
      <c r="C1068" s="78" t="s">
        <v>18190</v>
      </c>
      <c r="D1068" s="78" t="s">
        <v>14648</v>
      </c>
      <c r="E1068" s="78" t="s">
        <v>14780</v>
      </c>
      <c r="F1068" s="78" t="s">
        <v>16345</v>
      </c>
      <c r="G1068" s="78" t="s">
        <v>15129</v>
      </c>
      <c r="H1068" s="78">
        <v>1200</v>
      </c>
      <c r="I1068" s="77"/>
    </row>
    <row r="1069">
      <c r="A1069" s="78" t="s">
        <v>18191</v>
      </c>
      <c r="B1069" s="78" t="s">
        <v>18192</v>
      </c>
      <c r="C1069" s="78" t="s">
        <v>18193</v>
      </c>
      <c r="D1069" s="78" t="s">
        <v>14648</v>
      </c>
      <c r="E1069" s="78" t="s">
        <v>14898</v>
      </c>
      <c r="F1069" s="78" t="s">
        <v>14922</v>
      </c>
      <c r="G1069" s="78" t="s">
        <v>14923</v>
      </c>
      <c r="H1069" s="78">
        <v>2300</v>
      </c>
      <c r="I1069" s="77"/>
      <c r="J1069" s="77"/>
    </row>
    <row r="1070">
      <c r="A1070" s="78" t="s">
        <v>18194</v>
      </c>
      <c r="B1070" s="78" t="s">
        <v>18195</v>
      </c>
      <c r="C1070" s="78" t="s">
        <v>18196</v>
      </c>
      <c r="D1070" s="78" t="s">
        <v>14648</v>
      </c>
      <c r="E1070" s="78" t="s">
        <v>18088</v>
      </c>
      <c r="F1070" s="78" t="s">
        <v>14804</v>
      </c>
      <c r="G1070" s="78" t="s">
        <v>14772</v>
      </c>
      <c r="H1070" s="78">
        <v>2000</v>
      </c>
      <c r="I1070" s="77"/>
    </row>
    <row r="1071">
      <c r="A1071" s="78" t="s">
        <v>18197</v>
      </c>
      <c r="B1071" s="78" t="s">
        <v>18198</v>
      </c>
      <c r="C1071" s="78" t="s">
        <v>18199</v>
      </c>
      <c r="D1071" s="78" t="s">
        <v>14648</v>
      </c>
      <c r="E1071" s="78" t="s">
        <v>18088</v>
      </c>
      <c r="F1071" s="78" t="s">
        <v>14804</v>
      </c>
      <c r="G1071" s="78" t="s">
        <v>14772</v>
      </c>
      <c r="H1071" s="78">
        <v>3000</v>
      </c>
      <c r="I1071" s="77"/>
    </row>
    <row r="1072">
      <c r="A1072" s="78" t="s">
        <v>18200</v>
      </c>
      <c r="B1072" s="78" t="s">
        <v>18201</v>
      </c>
      <c r="C1072" s="78" t="s">
        <v>18202</v>
      </c>
      <c r="D1072" s="78" t="s">
        <v>14648</v>
      </c>
      <c r="E1072" s="78" t="s">
        <v>18110</v>
      </c>
      <c r="F1072" s="78" t="s">
        <v>15608</v>
      </c>
      <c r="G1072" s="78" t="s">
        <v>14990</v>
      </c>
      <c r="H1072" s="78">
        <v>1200</v>
      </c>
      <c r="I1072" s="77"/>
    </row>
    <row r="1073">
      <c r="A1073" s="78" t="s">
        <v>18203</v>
      </c>
      <c r="B1073" s="78" t="s">
        <v>18204</v>
      </c>
      <c r="C1073" s="78" t="s">
        <v>18205</v>
      </c>
      <c r="D1073" s="78" t="s">
        <v>14648</v>
      </c>
      <c r="E1073" s="78" t="s">
        <v>16200</v>
      </c>
      <c r="F1073" s="78" t="s">
        <v>15628</v>
      </c>
      <c r="G1073" s="78" t="s">
        <v>14923</v>
      </c>
      <c r="H1073" s="78">
        <v>1200</v>
      </c>
      <c r="I1073" s="77"/>
    </row>
    <row r="1074">
      <c r="A1074" s="78" t="s">
        <v>18206</v>
      </c>
      <c r="B1074" s="78" t="s">
        <v>18207</v>
      </c>
      <c r="C1074" s="78" t="s">
        <v>18208</v>
      </c>
      <c r="D1074" s="78" t="s">
        <v>14648</v>
      </c>
      <c r="E1074" s="78" t="s">
        <v>14780</v>
      </c>
      <c r="F1074" s="78" t="s">
        <v>14781</v>
      </c>
      <c r="G1074" s="78" t="s">
        <v>14782</v>
      </c>
      <c r="H1074" s="78">
        <v>1200</v>
      </c>
      <c r="I1074" s="77"/>
    </row>
    <row r="1075">
      <c r="A1075" s="78" t="s">
        <v>18209</v>
      </c>
      <c r="B1075" s="78" t="s">
        <v>18210</v>
      </c>
      <c r="C1075" s="78" t="s">
        <v>18211</v>
      </c>
      <c r="D1075" s="78" t="s">
        <v>14648</v>
      </c>
      <c r="E1075" s="78" t="s">
        <v>16200</v>
      </c>
      <c r="F1075" s="78" t="s">
        <v>15704</v>
      </c>
      <c r="G1075" s="78" t="s">
        <v>14923</v>
      </c>
      <c r="H1075" s="78">
        <v>3000</v>
      </c>
      <c r="I1075" s="77"/>
    </row>
    <row r="1076">
      <c r="A1076" s="78" t="s">
        <v>18212</v>
      </c>
      <c r="B1076" s="78" t="s">
        <v>18213</v>
      </c>
      <c r="C1076" s="78" t="s">
        <v>18214</v>
      </c>
      <c r="D1076" s="78" t="s">
        <v>14648</v>
      </c>
      <c r="E1076" s="78" t="s">
        <v>14780</v>
      </c>
      <c r="F1076" s="78" t="s">
        <v>14781</v>
      </c>
      <c r="G1076" s="78" t="s">
        <v>14782</v>
      </c>
      <c r="H1076" s="78">
        <v>1200</v>
      </c>
      <c r="I1076" s="77"/>
    </row>
    <row r="1077">
      <c r="A1077" s="78" t="s">
        <v>18215</v>
      </c>
      <c r="B1077" s="78" t="s">
        <v>18216</v>
      </c>
      <c r="C1077" s="78" t="s">
        <v>18217</v>
      </c>
      <c r="D1077" s="78" t="s">
        <v>14648</v>
      </c>
      <c r="E1077" s="78" t="s">
        <v>16200</v>
      </c>
      <c r="F1077" s="78" t="s">
        <v>14938</v>
      </c>
      <c r="G1077" s="78" t="s">
        <v>14923</v>
      </c>
      <c r="H1077" s="78">
        <v>3000</v>
      </c>
      <c r="I1077" s="77"/>
    </row>
    <row r="1078">
      <c r="A1078" s="78" t="s">
        <v>18218</v>
      </c>
      <c r="B1078" s="78" t="s">
        <v>18219</v>
      </c>
      <c r="C1078" s="78" t="s">
        <v>18220</v>
      </c>
      <c r="D1078" s="78" t="s">
        <v>14648</v>
      </c>
      <c r="E1078" s="78" t="s">
        <v>16200</v>
      </c>
      <c r="F1078" s="78" t="s">
        <v>15704</v>
      </c>
      <c r="G1078" s="78" t="s">
        <v>14923</v>
      </c>
      <c r="H1078" s="78">
        <v>2500</v>
      </c>
      <c r="I1078" s="77"/>
    </row>
    <row r="1079">
      <c r="A1079" s="78" t="s">
        <v>18221</v>
      </c>
      <c r="B1079" s="78" t="s">
        <v>18222</v>
      </c>
      <c r="C1079" s="78" t="s">
        <v>18223</v>
      </c>
      <c r="D1079" s="78" t="s">
        <v>14648</v>
      </c>
      <c r="E1079" s="78" t="s">
        <v>16200</v>
      </c>
      <c r="F1079" s="78" t="s">
        <v>14872</v>
      </c>
      <c r="G1079" s="78" t="s">
        <v>14734</v>
      </c>
      <c r="H1079" s="78">
        <v>2500</v>
      </c>
      <c r="I1079" s="77"/>
    </row>
    <row r="1080">
      <c r="A1080" s="78" t="s">
        <v>18224</v>
      </c>
      <c r="B1080" s="78" t="s">
        <v>18225</v>
      </c>
      <c r="C1080" s="78" t="s">
        <v>18226</v>
      </c>
      <c r="D1080" s="78" t="s">
        <v>14648</v>
      </c>
      <c r="E1080" s="78" t="s">
        <v>18140</v>
      </c>
      <c r="F1080" s="78" t="s">
        <v>15081</v>
      </c>
      <c r="G1080" s="78" t="s">
        <v>14651</v>
      </c>
      <c r="H1080" s="78">
        <v>1200</v>
      </c>
      <c r="I1080" s="77"/>
    </row>
    <row r="1081">
      <c r="A1081" s="78" t="s">
        <v>18227</v>
      </c>
      <c r="B1081" s="78" t="s">
        <v>18228</v>
      </c>
      <c r="C1081" s="78" t="s">
        <v>18229</v>
      </c>
      <c r="D1081" s="78" t="s">
        <v>14648</v>
      </c>
      <c r="E1081" s="78" t="s">
        <v>18144</v>
      </c>
      <c r="F1081" s="78" t="s">
        <v>15090</v>
      </c>
      <c r="G1081" s="78" t="s">
        <v>14782</v>
      </c>
      <c r="H1081" s="78">
        <v>1000</v>
      </c>
      <c r="I1081" s="77"/>
    </row>
    <row r="1082">
      <c r="A1082" s="78" t="s">
        <v>18230</v>
      </c>
      <c r="B1082" s="78" t="s">
        <v>18231</v>
      </c>
      <c r="C1082" s="78" t="s">
        <v>18232</v>
      </c>
      <c r="D1082" s="78" t="s">
        <v>14648</v>
      </c>
      <c r="E1082" s="78" t="s">
        <v>18161</v>
      </c>
      <c r="F1082" s="78" t="s">
        <v>15739</v>
      </c>
      <c r="G1082" s="78" t="s">
        <v>15129</v>
      </c>
      <c r="H1082" s="78">
        <v>1500</v>
      </c>
      <c r="I1082" s="77"/>
    </row>
    <row r="1083">
      <c r="A1083" s="78" t="s">
        <v>18233</v>
      </c>
      <c r="B1083" s="78" t="s">
        <v>18234</v>
      </c>
      <c r="C1083" s="78" t="s">
        <v>18235</v>
      </c>
      <c r="D1083" s="78" t="s">
        <v>14648</v>
      </c>
      <c r="E1083" s="78" t="s">
        <v>14871</v>
      </c>
      <c r="F1083" s="78" t="s">
        <v>14872</v>
      </c>
      <c r="G1083" s="78" t="s">
        <v>14734</v>
      </c>
      <c r="H1083" s="78">
        <v>1500</v>
      </c>
      <c r="I1083" s="77"/>
    </row>
    <row r="1084">
      <c r="A1084" s="78" t="s">
        <v>18236</v>
      </c>
      <c r="B1084" s="78" t="s">
        <v>18237</v>
      </c>
      <c r="C1084" s="78" t="s">
        <v>18238</v>
      </c>
      <c r="D1084" s="78" t="s">
        <v>14648</v>
      </c>
      <c r="E1084" s="78" t="s">
        <v>18239</v>
      </c>
      <c r="F1084" s="78" t="s">
        <v>14723</v>
      </c>
      <c r="G1084" s="78" t="s">
        <v>14703</v>
      </c>
      <c r="H1084" s="78">
        <v>3000</v>
      </c>
      <c r="I1084" s="77"/>
    </row>
    <row r="1085">
      <c r="A1085" s="78" t="s">
        <v>18240</v>
      </c>
      <c r="B1085" s="78" t="s">
        <v>18241</v>
      </c>
      <c r="C1085" s="78" t="s">
        <v>18242</v>
      </c>
      <c r="D1085" s="78" t="s">
        <v>14648</v>
      </c>
      <c r="E1085" s="78" t="s">
        <v>18061</v>
      </c>
      <c r="F1085" s="78" t="s">
        <v>14821</v>
      </c>
      <c r="G1085" s="78" t="s">
        <v>14772</v>
      </c>
      <c r="H1085" s="78">
        <v>1500</v>
      </c>
      <c r="I1085" s="77"/>
    </row>
    <row r="1086">
      <c r="A1086" s="78" t="s">
        <v>18243</v>
      </c>
      <c r="B1086" s="78" t="s">
        <v>18244</v>
      </c>
      <c r="C1086" s="78" t="s">
        <v>18245</v>
      </c>
      <c r="D1086" s="78" t="s">
        <v>14648</v>
      </c>
      <c r="E1086" s="78" t="s">
        <v>18246</v>
      </c>
      <c r="F1086" s="78" t="s">
        <v>14712</v>
      </c>
      <c r="G1086" s="78" t="s">
        <v>14694</v>
      </c>
      <c r="H1086" s="78">
        <v>1000</v>
      </c>
      <c r="I1086" s="77"/>
    </row>
    <row r="1087">
      <c r="A1087" s="78" t="s">
        <v>18247</v>
      </c>
      <c r="B1087" s="78" t="s">
        <v>18248</v>
      </c>
      <c r="C1087" s="78" t="s">
        <v>18249</v>
      </c>
      <c r="D1087" s="78" t="s">
        <v>14648</v>
      </c>
      <c r="E1087" s="78" t="s">
        <v>14780</v>
      </c>
      <c r="F1087" s="78" t="s">
        <v>14781</v>
      </c>
      <c r="G1087" s="78" t="s">
        <v>14782</v>
      </c>
      <c r="H1087" s="78">
        <v>1200</v>
      </c>
      <c r="I1087" s="77"/>
    </row>
    <row r="1088">
      <c r="A1088" s="78" t="s">
        <v>18250</v>
      </c>
      <c r="B1088" s="78" t="s">
        <v>18251</v>
      </c>
      <c r="C1088" s="78" t="s">
        <v>18252</v>
      </c>
      <c r="D1088" s="78" t="s">
        <v>14648</v>
      </c>
      <c r="E1088" s="78" t="s">
        <v>18178</v>
      </c>
      <c r="F1088" s="78" t="s">
        <v>15999</v>
      </c>
      <c r="G1088" s="78" t="s">
        <v>14734</v>
      </c>
      <c r="H1088" s="78">
        <v>2000</v>
      </c>
      <c r="I1088" s="77"/>
      <c r="J1088" s="77"/>
    </row>
    <row r="1089">
      <c r="A1089" s="78" t="s">
        <v>18253</v>
      </c>
      <c r="B1089" s="78" t="s">
        <v>18254</v>
      </c>
      <c r="C1089" s="78" t="s">
        <v>18255</v>
      </c>
      <c r="D1089" s="78" t="s">
        <v>14648</v>
      </c>
      <c r="E1089" s="78" t="s">
        <v>16200</v>
      </c>
      <c r="F1089" s="78" t="s">
        <v>15704</v>
      </c>
      <c r="G1089" s="78" t="s">
        <v>14923</v>
      </c>
      <c r="H1089" s="78">
        <v>1500</v>
      </c>
      <c r="I1089" s="77"/>
    </row>
    <row r="1090">
      <c r="A1090" s="78" t="s">
        <v>18256</v>
      </c>
      <c r="B1090" s="78" t="s">
        <v>18257</v>
      </c>
      <c r="C1090" s="78" t="s">
        <v>18258</v>
      </c>
      <c r="D1090" s="78" t="s">
        <v>14648</v>
      </c>
      <c r="E1090" s="78" t="s">
        <v>16200</v>
      </c>
      <c r="F1090" s="78" t="s">
        <v>15956</v>
      </c>
      <c r="G1090" s="78" t="s">
        <v>14923</v>
      </c>
      <c r="H1090" s="78">
        <v>1500</v>
      </c>
      <c r="I1090" s="77"/>
    </row>
    <row r="1091">
      <c r="A1091" s="78" t="s">
        <v>18259</v>
      </c>
      <c r="B1091" s="78" t="s">
        <v>18260</v>
      </c>
      <c r="C1091" s="78" t="s">
        <v>18261</v>
      </c>
      <c r="D1091" s="78" t="s">
        <v>14648</v>
      </c>
      <c r="E1091" s="78" t="s">
        <v>16200</v>
      </c>
      <c r="F1091" s="78" t="s">
        <v>14943</v>
      </c>
      <c r="G1091" s="78" t="s">
        <v>14923</v>
      </c>
      <c r="H1091" s="78">
        <v>1500</v>
      </c>
      <c r="I1091" s="77"/>
    </row>
    <row r="1092">
      <c r="A1092" s="78" t="s">
        <v>18262</v>
      </c>
      <c r="B1092" s="78" t="s">
        <v>18263</v>
      </c>
      <c r="C1092" s="78" t="s">
        <v>18264</v>
      </c>
      <c r="D1092" s="78" t="s">
        <v>14648</v>
      </c>
      <c r="E1092" s="78" t="s">
        <v>16200</v>
      </c>
      <c r="F1092" s="78" t="s">
        <v>15956</v>
      </c>
      <c r="G1092" s="78" t="s">
        <v>14923</v>
      </c>
      <c r="H1092" s="78">
        <v>1500</v>
      </c>
      <c r="I1092" s="77"/>
    </row>
    <row r="1093">
      <c r="A1093" s="78" t="s">
        <v>18265</v>
      </c>
      <c r="B1093" s="78" t="s">
        <v>18266</v>
      </c>
      <c r="C1093" s="78" t="s">
        <v>18267</v>
      </c>
      <c r="D1093" s="78" t="s">
        <v>14648</v>
      </c>
      <c r="E1093" s="78" t="s">
        <v>16200</v>
      </c>
      <c r="F1093" s="78" t="s">
        <v>15704</v>
      </c>
      <c r="G1093" s="78" t="s">
        <v>14923</v>
      </c>
      <c r="H1093" s="78">
        <v>1500</v>
      </c>
      <c r="I1093" s="77"/>
    </row>
    <row r="1094">
      <c r="A1094" s="78" t="s">
        <v>18268</v>
      </c>
      <c r="B1094" s="78" t="s">
        <v>18269</v>
      </c>
      <c r="C1094" s="78" t="s">
        <v>18270</v>
      </c>
      <c r="D1094" s="78" t="s">
        <v>14648</v>
      </c>
      <c r="E1094" s="78" t="s">
        <v>16200</v>
      </c>
      <c r="F1094" s="78" t="s">
        <v>15161</v>
      </c>
      <c r="G1094" s="78" t="s">
        <v>14923</v>
      </c>
      <c r="H1094" s="78">
        <v>1500</v>
      </c>
      <c r="I1094" s="77"/>
    </row>
    <row r="1095">
      <c r="A1095" s="78" t="s">
        <v>18271</v>
      </c>
      <c r="B1095" s="78" t="s">
        <v>18272</v>
      </c>
      <c r="C1095" s="78" t="s">
        <v>18273</v>
      </c>
      <c r="D1095" s="78" t="s">
        <v>14648</v>
      </c>
      <c r="E1095" s="78" t="s">
        <v>16200</v>
      </c>
      <c r="F1095" s="78" t="s">
        <v>15956</v>
      </c>
      <c r="G1095" s="78" t="s">
        <v>14923</v>
      </c>
      <c r="H1095" s="78">
        <v>1500</v>
      </c>
      <c r="I1095" s="77"/>
      <c r="J1095" s="77"/>
    </row>
    <row r="1096">
      <c r="A1096" s="78" t="s">
        <v>18274</v>
      </c>
      <c r="B1096" s="78" t="s">
        <v>18275</v>
      </c>
      <c r="C1096" s="78" t="s">
        <v>18276</v>
      </c>
      <c r="D1096" s="78" t="s">
        <v>16651</v>
      </c>
      <c r="E1096" s="78" t="s">
        <v>16200</v>
      </c>
      <c r="F1096" s="78" t="s">
        <v>15628</v>
      </c>
      <c r="G1096" s="78" t="s">
        <v>14923</v>
      </c>
      <c r="H1096" s="78">
        <v>1500</v>
      </c>
      <c r="I1096" s="77"/>
    </row>
    <row r="1097">
      <c r="A1097" s="78" t="s">
        <v>18277</v>
      </c>
      <c r="B1097" s="78" t="s">
        <v>18278</v>
      </c>
      <c r="C1097" s="78" t="s">
        <v>18279</v>
      </c>
      <c r="D1097" s="78" t="s">
        <v>14648</v>
      </c>
      <c r="E1097" s="78" t="s">
        <v>16200</v>
      </c>
      <c r="F1097" s="78" t="s">
        <v>15628</v>
      </c>
      <c r="G1097" s="78" t="s">
        <v>14923</v>
      </c>
      <c r="H1097" s="78">
        <v>1500</v>
      </c>
      <c r="I1097" s="77"/>
    </row>
    <row r="1098">
      <c r="A1098" s="78" t="s">
        <v>18280</v>
      </c>
      <c r="B1098" s="78" t="s">
        <v>18281</v>
      </c>
      <c r="C1098" s="78" t="s">
        <v>18282</v>
      </c>
      <c r="D1098" s="78" t="s">
        <v>16651</v>
      </c>
      <c r="E1098" s="78" t="s">
        <v>16200</v>
      </c>
      <c r="F1098" s="78" t="s">
        <v>15628</v>
      </c>
      <c r="G1098" s="78" t="s">
        <v>14923</v>
      </c>
      <c r="H1098" s="78">
        <v>1500</v>
      </c>
      <c r="I1098" s="77"/>
      <c r="J1098" s="77"/>
    </row>
    <row r="1099">
      <c r="A1099" s="78" t="s">
        <v>18283</v>
      </c>
      <c r="B1099" s="78" t="s">
        <v>18284</v>
      </c>
      <c r="C1099" s="78" t="s">
        <v>18285</v>
      </c>
      <c r="D1099" s="78" t="s">
        <v>14648</v>
      </c>
      <c r="E1099" s="78" t="s">
        <v>16200</v>
      </c>
      <c r="F1099" s="78" t="s">
        <v>14894</v>
      </c>
      <c r="G1099" s="78" t="s">
        <v>14734</v>
      </c>
      <c r="H1099" s="78">
        <v>1500</v>
      </c>
      <c r="I1099" s="77"/>
      <c r="J1099" s="77"/>
    </row>
    <row r="1100">
      <c r="A1100" s="78" t="s">
        <v>18286</v>
      </c>
      <c r="B1100" s="78" t="s">
        <v>18287</v>
      </c>
      <c r="C1100" s="78" t="s">
        <v>18288</v>
      </c>
      <c r="D1100" s="78" t="s">
        <v>14648</v>
      </c>
      <c r="E1100" s="78" t="s">
        <v>16200</v>
      </c>
      <c r="F1100" s="78" t="s">
        <v>14733</v>
      </c>
      <c r="G1100" s="78" t="s">
        <v>14734</v>
      </c>
      <c r="H1100" s="78">
        <v>1500</v>
      </c>
      <c r="I1100" s="77"/>
    </row>
    <row r="1101">
      <c r="A1101" s="78" t="s">
        <v>18289</v>
      </c>
      <c r="B1101" s="78" t="s">
        <v>18290</v>
      </c>
      <c r="C1101" s="78" t="s">
        <v>18291</v>
      </c>
      <c r="D1101" s="78" t="s">
        <v>14648</v>
      </c>
      <c r="E1101" s="78" t="s">
        <v>16200</v>
      </c>
      <c r="F1101" s="78" t="s">
        <v>15628</v>
      </c>
      <c r="G1101" s="78" t="s">
        <v>14923</v>
      </c>
      <c r="H1101" s="78">
        <v>1500</v>
      </c>
      <c r="I1101" s="77"/>
    </row>
    <row r="1102">
      <c r="A1102" s="78" t="s">
        <v>18292</v>
      </c>
      <c r="B1102" s="78" t="s">
        <v>18293</v>
      </c>
      <c r="C1102" s="78" t="s">
        <v>18294</v>
      </c>
      <c r="D1102" s="78" t="s">
        <v>14648</v>
      </c>
      <c r="E1102" s="78" t="s">
        <v>16200</v>
      </c>
      <c r="F1102" s="78" t="s">
        <v>15161</v>
      </c>
      <c r="G1102" s="78" t="s">
        <v>14923</v>
      </c>
      <c r="H1102" s="78">
        <v>1500</v>
      </c>
      <c r="I1102" s="77"/>
    </row>
    <row r="1103">
      <c r="A1103" s="78" t="s">
        <v>18295</v>
      </c>
      <c r="B1103" s="78" t="s">
        <v>18296</v>
      </c>
      <c r="C1103" s="78" t="s">
        <v>18297</v>
      </c>
      <c r="D1103" s="78" t="s">
        <v>14648</v>
      </c>
      <c r="E1103" s="78" t="s">
        <v>16200</v>
      </c>
      <c r="F1103" s="78" t="s">
        <v>15691</v>
      </c>
      <c r="G1103" s="78" t="s">
        <v>14931</v>
      </c>
      <c r="H1103" s="78">
        <v>1500</v>
      </c>
      <c r="I1103" s="77"/>
    </row>
    <row r="1104">
      <c r="A1104" s="78" t="s">
        <v>18298</v>
      </c>
      <c r="B1104" s="78" t="s">
        <v>18299</v>
      </c>
      <c r="C1104" s="78" t="s">
        <v>18300</v>
      </c>
      <c r="D1104" s="78" t="s">
        <v>14648</v>
      </c>
      <c r="E1104" s="78" t="s">
        <v>16200</v>
      </c>
      <c r="F1104" s="78" t="s">
        <v>15619</v>
      </c>
      <c r="G1104" s="78" t="s">
        <v>14931</v>
      </c>
      <c r="H1104" s="78">
        <v>1500</v>
      </c>
      <c r="I1104" s="77"/>
    </row>
    <row r="1105">
      <c r="A1105" s="78" t="s">
        <v>18301</v>
      </c>
      <c r="B1105" s="78" t="s">
        <v>18302</v>
      </c>
      <c r="C1105" s="78" t="s">
        <v>18303</v>
      </c>
      <c r="D1105" s="78" t="s">
        <v>16723</v>
      </c>
      <c r="E1105" s="78" t="s">
        <v>18144</v>
      </c>
      <c r="F1105" s="78" t="s">
        <v>15090</v>
      </c>
      <c r="G1105" s="78" t="s">
        <v>14782</v>
      </c>
      <c r="H1105" s="78">
        <v>1000</v>
      </c>
      <c r="I1105" s="77"/>
      <c r="J1105" s="77"/>
    </row>
    <row r="1106">
      <c r="A1106" s="78" t="s">
        <v>18304</v>
      </c>
      <c r="B1106" s="78" t="s">
        <v>18305</v>
      </c>
      <c r="C1106" s="78" t="s">
        <v>18306</v>
      </c>
      <c r="D1106" s="78" t="s">
        <v>14648</v>
      </c>
      <c r="E1106" s="78" t="s">
        <v>16200</v>
      </c>
      <c r="F1106" s="78" t="s">
        <v>14885</v>
      </c>
      <c r="G1106" s="78" t="s">
        <v>14734</v>
      </c>
      <c r="H1106" s="78">
        <v>1500</v>
      </c>
      <c r="I1106" s="77"/>
    </row>
    <row r="1107">
      <c r="A1107" s="78" t="s">
        <v>18307</v>
      </c>
      <c r="B1107" s="78" t="s">
        <v>18308</v>
      </c>
      <c r="C1107" s="78" t="s">
        <v>18309</v>
      </c>
      <c r="D1107" s="78" t="s">
        <v>14648</v>
      </c>
      <c r="E1107" s="78" t="s">
        <v>16200</v>
      </c>
      <c r="F1107" s="78" t="s">
        <v>14894</v>
      </c>
      <c r="G1107" s="78" t="s">
        <v>14734</v>
      </c>
      <c r="H1107" s="78">
        <v>1500</v>
      </c>
      <c r="I1107" s="77"/>
    </row>
    <row r="1108">
      <c r="A1108" s="78" t="s">
        <v>18310</v>
      </c>
      <c r="B1108" s="78" t="s">
        <v>18311</v>
      </c>
      <c r="C1108" s="78" t="s">
        <v>18312</v>
      </c>
      <c r="D1108" s="78" t="s">
        <v>14648</v>
      </c>
      <c r="E1108" s="78" t="s">
        <v>16200</v>
      </c>
      <c r="F1108" s="78" t="s">
        <v>15750</v>
      </c>
      <c r="G1108" s="78" t="s">
        <v>14734</v>
      </c>
      <c r="H1108" s="78">
        <v>1500</v>
      </c>
      <c r="I1108" s="77"/>
    </row>
    <row r="1109">
      <c r="A1109" s="78" t="s">
        <v>18313</v>
      </c>
      <c r="B1109" s="78" t="s">
        <v>18314</v>
      </c>
      <c r="C1109" s="78" t="s">
        <v>18315</v>
      </c>
      <c r="D1109" s="78" t="s">
        <v>14648</v>
      </c>
      <c r="E1109" s="78" t="s">
        <v>16200</v>
      </c>
      <c r="F1109" s="78" t="s">
        <v>15704</v>
      </c>
      <c r="G1109" s="78" t="s">
        <v>14923</v>
      </c>
      <c r="H1109" s="78">
        <v>1500</v>
      </c>
      <c r="I1109" s="77"/>
    </row>
    <row r="1110">
      <c r="A1110" s="78" t="s">
        <v>18316</v>
      </c>
      <c r="B1110" s="78" t="s">
        <v>18317</v>
      </c>
      <c r="C1110" s="78" t="s">
        <v>18318</v>
      </c>
      <c r="D1110" s="78" t="s">
        <v>14648</v>
      </c>
      <c r="E1110" s="78" t="s">
        <v>16200</v>
      </c>
      <c r="F1110" s="78" t="s">
        <v>14957</v>
      </c>
      <c r="G1110" s="78" t="s">
        <v>14782</v>
      </c>
      <c r="H1110" s="78">
        <v>1500</v>
      </c>
      <c r="I1110" s="77"/>
    </row>
    <row r="1111">
      <c r="A1111" s="78" t="s">
        <v>18319</v>
      </c>
      <c r="B1111" s="78" t="s">
        <v>18320</v>
      </c>
      <c r="C1111" s="78" t="s">
        <v>18321</v>
      </c>
      <c r="D1111" s="78" t="s">
        <v>16723</v>
      </c>
      <c r="E1111" s="78" t="s">
        <v>16200</v>
      </c>
      <c r="F1111" s="78" t="s">
        <v>14938</v>
      </c>
      <c r="G1111" s="78" t="s">
        <v>14923</v>
      </c>
      <c r="H1111" s="78">
        <v>1500</v>
      </c>
      <c r="I1111" s="77"/>
      <c r="J1111" s="77"/>
    </row>
    <row r="1112">
      <c r="A1112" s="78" t="s">
        <v>18322</v>
      </c>
      <c r="B1112" s="78" t="s">
        <v>18323</v>
      </c>
      <c r="C1112" s="78" t="s">
        <v>18324</v>
      </c>
      <c r="D1112" s="78" t="s">
        <v>16723</v>
      </c>
      <c r="E1112" s="78" t="s">
        <v>16200</v>
      </c>
      <c r="F1112" s="78" t="s">
        <v>15691</v>
      </c>
      <c r="G1112" s="78" t="s">
        <v>14931</v>
      </c>
      <c r="H1112" s="78">
        <v>1500</v>
      </c>
      <c r="I1112" s="77"/>
      <c r="J1112" s="77"/>
    </row>
    <row r="1113">
      <c r="A1113" s="78" t="s">
        <v>18325</v>
      </c>
      <c r="B1113" s="78" t="s">
        <v>18326</v>
      </c>
      <c r="C1113" s="78" t="s">
        <v>18327</v>
      </c>
      <c r="D1113" s="78" t="s">
        <v>14648</v>
      </c>
      <c r="E1113" s="78" t="s">
        <v>16200</v>
      </c>
      <c r="F1113" s="78" t="s">
        <v>15691</v>
      </c>
      <c r="G1113" s="78" t="s">
        <v>14931</v>
      </c>
      <c r="H1113" s="78">
        <v>1500</v>
      </c>
      <c r="I1113" s="77"/>
    </row>
    <row r="1114">
      <c r="A1114" s="78" t="s">
        <v>18328</v>
      </c>
      <c r="B1114" s="78" t="s">
        <v>18329</v>
      </c>
      <c r="C1114" s="78" t="s">
        <v>18330</v>
      </c>
      <c r="D1114" s="78" t="s">
        <v>16651</v>
      </c>
      <c r="E1114" s="78" t="s">
        <v>16200</v>
      </c>
      <c r="F1114" s="78" t="s">
        <v>15619</v>
      </c>
      <c r="G1114" s="78" t="s">
        <v>14931</v>
      </c>
      <c r="H1114" s="78">
        <v>1500</v>
      </c>
      <c r="I1114" s="77"/>
      <c r="J1114" s="77"/>
    </row>
    <row r="1115">
      <c r="A1115" s="78" t="s">
        <v>18331</v>
      </c>
      <c r="B1115" s="78" t="s">
        <v>18332</v>
      </c>
      <c r="C1115" s="78" t="s">
        <v>18333</v>
      </c>
      <c r="D1115" s="78" t="s">
        <v>14648</v>
      </c>
      <c r="E1115" s="78" t="s">
        <v>18144</v>
      </c>
      <c r="F1115" s="78" t="s">
        <v>15090</v>
      </c>
      <c r="G1115" s="78" t="s">
        <v>14782</v>
      </c>
      <c r="H1115" s="78">
        <v>1000</v>
      </c>
      <c r="I1115" s="77"/>
    </row>
    <row r="1116">
      <c r="A1116" s="78" t="s">
        <v>18334</v>
      </c>
      <c r="B1116" s="78" t="s">
        <v>18335</v>
      </c>
      <c r="C1116" s="78" t="s">
        <v>18336</v>
      </c>
      <c r="D1116" s="78" t="s">
        <v>16723</v>
      </c>
      <c r="E1116" s="78" t="s">
        <v>16200</v>
      </c>
      <c r="F1116" s="78" t="s">
        <v>14938</v>
      </c>
      <c r="G1116" s="78" t="s">
        <v>14923</v>
      </c>
      <c r="H1116" s="78">
        <v>1500</v>
      </c>
      <c r="I1116" s="77"/>
      <c r="J1116" s="77"/>
    </row>
    <row r="1117">
      <c r="A1117" s="78" t="s">
        <v>18337</v>
      </c>
      <c r="B1117" s="78" t="s">
        <v>18338</v>
      </c>
      <c r="C1117" s="78" t="s">
        <v>18339</v>
      </c>
      <c r="D1117" s="78" t="s">
        <v>14648</v>
      </c>
      <c r="E1117" s="78" t="s">
        <v>14780</v>
      </c>
      <c r="F1117" s="78" t="s">
        <v>14781</v>
      </c>
      <c r="G1117" s="78" t="s">
        <v>14782</v>
      </c>
      <c r="H1117" s="78">
        <v>1200</v>
      </c>
      <c r="I1117" s="77"/>
    </row>
    <row r="1118">
      <c r="A1118" s="78" t="s">
        <v>18340</v>
      </c>
      <c r="B1118" s="78" t="s">
        <v>18341</v>
      </c>
      <c r="C1118" s="78" t="s">
        <v>18342</v>
      </c>
      <c r="D1118" s="78" t="s">
        <v>16723</v>
      </c>
      <c r="E1118" s="78" t="s">
        <v>14780</v>
      </c>
      <c r="F1118" s="78" t="s">
        <v>14781</v>
      </c>
      <c r="G1118" s="78" t="s">
        <v>14782</v>
      </c>
      <c r="H1118" s="78">
        <v>1200</v>
      </c>
      <c r="I1118" s="77"/>
    </row>
    <row r="1119">
      <c r="A1119" s="78" t="s">
        <v>18343</v>
      </c>
      <c r="B1119" s="78" t="s">
        <v>18344</v>
      </c>
      <c r="C1119" s="78" t="s">
        <v>18345</v>
      </c>
      <c r="D1119" s="78" t="s">
        <v>16723</v>
      </c>
      <c r="E1119" s="78" t="s">
        <v>16200</v>
      </c>
      <c r="F1119" s="78" t="s">
        <v>14885</v>
      </c>
      <c r="G1119" s="78" t="s">
        <v>14734</v>
      </c>
      <c r="H1119" s="78">
        <v>1500</v>
      </c>
      <c r="I1119" s="77"/>
    </row>
    <row r="1120">
      <c r="A1120" s="78" t="s">
        <v>18346</v>
      </c>
      <c r="B1120" s="78" t="s">
        <v>18347</v>
      </c>
      <c r="C1120" s="78" t="s">
        <v>18348</v>
      </c>
      <c r="D1120" s="78" t="s">
        <v>16723</v>
      </c>
      <c r="E1120" s="78" t="s">
        <v>16200</v>
      </c>
      <c r="F1120" s="78" t="s">
        <v>15956</v>
      </c>
      <c r="G1120" s="78" t="s">
        <v>14923</v>
      </c>
      <c r="H1120" s="78">
        <v>1500</v>
      </c>
      <c r="I1120" s="77"/>
    </row>
    <row r="1121">
      <c r="A1121" s="78" t="s">
        <v>18349</v>
      </c>
      <c r="B1121" s="78" t="s">
        <v>18350</v>
      </c>
      <c r="C1121" s="78" t="s">
        <v>18351</v>
      </c>
      <c r="D1121" s="78" t="s">
        <v>16723</v>
      </c>
      <c r="E1121" s="78" t="s">
        <v>14786</v>
      </c>
      <c r="F1121" s="78" t="s">
        <v>14771</v>
      </c>
      <c r="G1121" s="78" t="s">
        <v>14772</v>
      </c>
      <c r="H1121" s="78">
        <v>300</v>
      </c>
      <c r="I1121" s="77"/>
    </row>
    <row r="1122">
      <c r="A1122" s="78" t="s">
        <v>18352</v>
      </c>
      <c r="B1122" s="78" t="s">
        <v>18353</v>
      </c>
      <c r="C1122" s="78" t="s">
        <v>18354</v>
      </c>
      <c r="D1122" s="78" t="s">
        <v>16723</v>
      </c>
      <c r="E1122" s="78" t="s">
        <v>14786</v>
      </c>
      <c r="F1122" s="78" t="s">
        <v>14771</v>
      </c>
      <c r="G1122" s="78" t="s">
        <v>14772</v>
      </c>
      <c r="H1122" s="78">
        <v>300</v>
      </c>
      <c r="I1122" s="77"/>
    </row>
    <row r="1123">
      <c r="A1123" s="78" t="s">
        <v>18355</v>
      </c>
      <c r="B1123" s="78" t="s">
        <v>18356</v>
      </c>
      <c r="C1123" s="78" t="s">
        <v>18357</v>
      </c>
      <c r="D1123" s="78" t="s">
        <v>16723</v>
      </c>
      <c r="E1123" s="78" t="s">
        <v>16200</v>
      </c>
      <c r="F1123" s="78" t="s">
        <v>15704</v>
      </c>
      <c r="G1123" s="78" t="s">
        <v>14923</v>
      </c>
      <c r="H1123" s="78">
        <v>1500</v>
      </c>
      <c r="I1123" s="77"/>
    </row>
    <row r="1124">
      <c r="A1124" s="78" t="s">
        <v>18358</v>
      </c>
      <c r="B1124" s="78" t="s">
        <v>18359</v>
      </c>
      <c r="C1124" s="78" t="s">
        <v>18360</v>
      </c>
      <c r="D1124" s="78" t="s">
        <v>16723</v>
      </c>
      <c r="E1124" s="78" t="s">
        <v>16200</v>
      </c>
      <c r="F1124" s="78" t="s">
        <v>15619</v>
      </c>
      <c r="G1124" s="78" t="s">
        <v>14931</v>
      </c>
      <c r="H1124" s="78">
        <v>1500</v>
      </c>
      <c r="I1124" s="77"/>
      <c r="J1124" s="77"/>
    </row>
    <row r="1125">
      <c r="A1125" s="78" t="s">
        <v>18361</v>
      </c>
      <c r="B1125" s="78" t="s">
        <v>18362</v>
      </c>
      <c r="C1125" s="78" t="s">
        <v>18363</v>
      </c>
      <c r="D1125" s="78" t="s">
        <v>16723</v>
      </c>
      <c r="E1125" s="78" t="s">
        <v>16200</v>
      </c>
      <c r="F1125" s="78" t="s">
        <v>15995</v>
      </c>
      <c r="G1125" s="78" t="s">
        <v>14931</v>
      </c>
      <c r="H1125" s="78">
        <v>1500</v>
      </c>
      <c r="I1125" s="77"/>
    </row>
    <row r="1126">
      <c r="A1126" s="78" t="s">
        <v>18364</v>
      </c>
      <c r="B1126" s="78" t="s">
        <v>18365</v>
      </c>
      <c r="C1126" s="78" t="s">
        <v>18366</v>
      </c>
      <c r="D1126" s="78" t="s">
        <v>16723</v>
      </c>
      <c r="E1126" s="78" t="s">
        <v>16200</v>
      </c>
      <c r="F1126" s="78" t="s">
        <v>14894</v>
      </c>
      <c r="G1126" s="78" t="s">
        <v>14734</v>
      </c>
      <c r="H1126" s="78">
        <v>1500</v>
      </c>
      <c r="I1126" s="77"/>
    </row>
    <row r="1127">
      <c r="A1127" s="78" t="s">
        <v>18367</v>
      </c>
      <c r="B1127" s="78" t="s">
        <v>18368</v>
      </c>
      <c r="C1127" s="78" t="s">
        <v>18369</v>
      </c>
      <c r="D1127" s="78" t="s">
        <v>16723</v>
      </c>
      <c r="E1127" s="78" t="s">
        <v>16200</v>
      </c>
      <c r="F1127" s="78" t="s">
        <v>14894</v>
      </c>
      <c r="G1127" s="78" t="s">
        <v>14734</v>
      </c>
      <c r="H1127" s="78">
        <v>1500</v>
      </c>
      <c r="I1127" s="77"/>
    </row>
    <row r="1128">
      <c r="A1128" s="78" t="s">
        <v>18370</v>
      </c>
      <c r="B1128" s="78" t="s">
        <v>18371</v>
      </c>
      <c r="C1128" s="78" t="s">
        <v>18372</v>
      </c>
      <c r="D1128" s="78" t="s">
        <v>16651</v>
      </c>
      <c r="E1128" s="78" t="s">
        <v>16200</v>
      </c>
      <c r="F1128" s="78" t="s">
        <v>15161</v>
      </c>
      <c r="G1128" s="78" t="s">
        <v>14923</v>
      </c>
      <c r="H1128" s="78">
        <v>1500</v>
      </c>
      <c r="I1128" s="77"/>
    </row>
    <row r="1129">
      <c r="A1129" s="78" t="s">
        <v>18373</v>
      </c>
      <c r="B1129" s="78" t="s">
        <v>18374</v>
      </c>
      <c r="C1129" s="78" t="s">
        <v>18375</v>
      </c>
      <c r="D1129" s="78" t="s">
        <v>16723</v>
      </c>
      <c r="E1129" s="78" t="s">
        <v>16200</v>
      </c>
      <c r="F1129" s="78" t="s">
        <v>14872</v>
      </c>
      <c r="G1129" s="78" t="s">
        <v>14734</v>
      </c>
      <c r="H1129" s="78">
        <v>1500</v>
      </c>
      <c r="I1129" s="77"/>
    </row>
    <row r="1130">
      <c r="A1130" s="78" t="s">
        <v>18376</v>
      </c>
      <c r="B1130" s="78" t="s">
        <v>18377</v>
      </c>
      <c r="C1130" s="78" t="s">
        <v>18378</v>
      </c>
      <c r="D1130" s="78" t="s">
        <v>16723</v>
      </c>
      <c r="E1130" s="78" t="s">
        <v>18379</v>
      </c>
      <c r="F1130" s="78" t="s">
        <v>14972</v>
      </c>
      <c r="G1130" s="78" t="s">
        <v>14963</v>
      </c>
      <c r="H1130" s="78">
        <v>1200</v>
      </c>
      <c r="I1130" s="77"/>
      <c r="J1130" s="77"/>
    </row>
    <row r="1131">
      <c r="A1131" s="78" t="s">
        <v>18380</v>
      </c>
      <c r="B1131" s="78" t="s">
        <v>18381</v>
      </c>
      <c r="C1131" s="78" t="s">
        <v>18382</v>
      </c>
      <c r="D1131" s="78" t="s">
        <v>16723</v>
      </c>
      <c r="E1131" s="78" t="s">
        <v>16200</v>
      </c>
      <c r="F1131" s="78" t="s">
        <v>15691</v>
      </c>
      <c r="G1131" s="78" t="s">
        <v>14931</v>
      </c>
      <c r="H1131" s="78">
        <v>1500</v>
      </c>
      <c r="I1131" s="77"/>
    </row>
    <row r="1132">
      <c r="A1132" s="78" t="s">
        <v>18383</v>
      </c>
      <c r="B1132" s="78" t="s">
        <v>18384</v>
      </c>
      <c r="C1132" s="78" t="s">
        <v>18385</v>
      </c>
      <c r="D1132" s="78" t="s">
        <v>16651</v>
      </c>
      <c r="E1132" s="78" t="s">
        <v>16200</v>
      </c>
      <c r="F1132" s="78" t="s">
        <v>15750</v>
      </c>
      <c r="G1132" s="78" t="s">
        <v>14734</v>
      </c>
      <c r="H1132" s="78">
        <v>1500</v>
      </c>
      <c r="I1132" s="77"/>
    </row>
    <row r="1133">
      <c r="A1133" s="78" t="s">
        <v>18386</v>
      </c>
      <c r="B1133" s="78" t="s">
        <v>18387</v>
      </c>
      <c r="C1133" s="78" t="s">
        <v>18388</v>
      </c>
      <c r="D1133" s="78" t="s">
        <v>16651</v>
      </c>
      <c r="E1133" s="78" t="s">
        <v>16200</v>
      </c>
      <c r="F1133" s="78" t="s">
        <v>14894</v>
      </c>
      <c r="G1133" s="78" t="s">
        <v>14734</v>
      </c>
      <c r="H1133" s="78">
        <v>1500</v>
      </c>
      <c r="I1133" s="77"/>
    </row>
    <row r="1134">
      <c r="A1134" s="78" t="s">
        <v>18389</v>
      </c>
      <c r="B1134" s="78" t="s">
        <v>18390</v>
      </c>
      <c r="C1134" s="78" t="s">
        <v>18391</v>
      </c>
      <c r="D1134" s="78" t="s">
        <v>16723</v>
      </c>
      <c r="E1134" s="78" t="s">
        <v>18144</v>
      </c>
      <c r="F1134" s="78" t="s">
        <v>15090</v>
      </c>
      <c r="G1134" s="78" t="s">
        <v>14782</v>
      </c>
      <c r="H1134" s="78">
        <v>1000</v>
      </c>
      <c r="I1134" s="77"/>
    </row>
    <row r="1135">
      <c r="A1135" s="78" t="s">
        <v>18392</v>
      </c>
      <c r="B1135" s="78" t="s">
        <v>18393</v>
      </c>
      <c r="C1135" s="78" t="s">
        <v>18394</v>
      </c>
      <c r="D1135" s="78" t="s">
        <v>16651</v>
      </c>
      <c r="E1135" s="78" t="s">
        <v>16200</v>
      </c>
      <c r="F1135" s="78" t="s">
        <v>14733</v>
      </c>
      <c r="G1135" s="78" t="s">
        <v>14734</v>
      </c>
      <c r="H1135" s="78">
        <v>1500</v>
      </c>
      <c r="I1135" s="77"/>
    </row>
    <row r="1136">
      <c r="A1136" s="78" t="s">
        <v>18395</v>
      </c>
      <c r="B1136" s="78" t="s">
        <v>18396</v>
      </c>
      <c r="C1136" s="78" t="s">
        <v>18397</v>
      </c>
      <c r="D1136" s="78" t="s">
        <v>16651</v>
      </c>
      <c r="E1136" s="78" t="s">
        <v>16200</v>
      </c>
      <c r="F1136" s="78" t="s">
        <v>16124</v>
      </c>
      <c r="G1136" s="78" t="s">
        <v>14734</v>
      </c>
      <c r="H1136" s="78">
        <v>1500</v>
      </c>
      <c r="I1136" s="77"/>
    </row>
    <row r="1137">
      <c r="A1137" s="78" t="s">
        <v>18398</v>
      </c>
      <c r="B1137" s="78" t="s">
        <v>18399</v>
      </c>
      <c r="C1137" s="78" t="s">
        <v>18400</v>
      </c>
      <c r="D1137" s="78" t="s">
        <v>16723</v>
      </c>
      <c r="E1137" s="78" t="s">
        <v>16200</v>
      </c>
      <c r="F1137" s="78" t="s">
        <v>14872</v>
      </c>
      <c r="G1137" s="78" t="s">
        <v>14734</v>
      </c>
      <c r="H1137" s="78">
        <v>1500</v>
      </c>
      <c r="I1137" s="77"/>
      <c r="J1137" s="77"/>
    </row>
    <row r="1138">
      <c r="A1138" s="78" t="s">
        <v>18401</v>
      </c>
      <c r="B1138" s="78" t="s">
        <v>18402</v>
      </c>
      <c r="C1138" s="78" t="s">
        <v>18403</v>
      </c>
      <c r="D1138" s="78" t="s">
        <v>16723</v>
      </c>
      <c r="E1138" s="78" t="s">
        <v>18144</v>
      </c>
      <c r="F1138" s="78" t="s">
        <v>15090</v>
      </c>
      <c r="G1138" s="78" t="s">
        <v>14782</v>
      </c>
      <c r="H1138" s="78">
        <v>1000</v>
      </c>
      <c r="I1138" s="77"/>
    </row>
    <row r="1139">
      <c r="A1139" s="78" t="s">
        <v>18404</v>
      </c>
      <c r="B1139" s="78" t="s">
        <v>18405</v>
      </c>
      <c r="C1139" s="78" t="s">
        <v>18406</v>
      </c>
      <c r="D1139" s="78" t="s">
        <v>16651</v>
      </c>
      <c r="E1139" s="78" t="s">
        <v>16200</v>
      </c>
      <c r="F1139" s="78" t="s">
        <v>16066</v>
      </c>
      <c r="G1139" s="78" t="s">
        <v>14931</v>
      </c>
      <c r="H1139" s="78">
        <v>1500</v>
      </c>
      <c r="I1139" s="77"/>
    </row>
    <row r="1140">
      <c r="A1140" s="78" t="s">
        <v>18407</v>
      </c>
      <c r="B1140" s="78" t="s">
        <v>18408</v>
      </c>
      <c r="C1140" s="78" t="s">
        <v>18409</v>
      </c>
      <c r="D1140" s="78" t="s">
        <v>16723</v>
      </c>
      <c r="E1140" s="78" t="s">
        <v>16200</v>
      </c>
      <c r="F1140" s="78" t="s">
        <v>15691</v>
      </c>
      <c r="G1140" s="78" t="s">
        <v>14931</v>
      </c>
      <c r="H1140" s="78">
        <v>1500</v>
      </c>
      <c r="I1140" s="77"/>
    </row>
    <row r="1141">
      <c r="A1141" s="78" t="s">
        <v>18410</v>
      </c>
      <c r="B1141" s="78" t="s">
        <v>18411</v>
      </c>
      <c r="C1141" s="78" t="s">
        <v>18412</v>
      </c>
      <c r="D1141" s="78" t="s">
        <v>16651</v>
      </c>
      <c r="E1141" s="78" t="s">
        <v>16200</v>
      </c>
      <c r="F1141" s="78" t="s">
        <v>15161</v>
      </c>
      <c r="G1141" s="78" t="s">
        <v>14923</v>
      </c>
      <c r="H1141" s="78">
        <v>1500</v>
      </c>
      <c r="I1141" s="77"/>
    </row>
    <row r="1142">
      <c r="A1142" s="78" t="s">
        <v>18413</v>
      </c>
      <c r="B1142" s="78" t="s">
        <v>18414</v>
      </c>
      <c r="C1142" s="78" t="s">
        <v>18415</v>
      </c>
      <c r="D1142" s="78" t="s">
        <v>16651</v>
      </c>
      <c r="E1142" s="78" t="s">
        <v>16200</v>
      </c>
      <c r="F1142" s="78" t="s">
        <v>15704</v>
      </c>
      <c r="G1142" s="78" t="s">
        <v>14923</v>
      </c>
      <c r="H1142" s="78">
        <v>1500</v>
      </c>
      <c r="I1142" s="77"/>
    </row>
    <row r="1143">
      <c r="A1143" s="78" t="s">
        <v>18416</v>
      </c>
      <c r="B1143" s="78" t="s">
        <v>18417</v>
      </c>
      <c r="C1143" s="78" t="s">
        <v>18418</v>
      </c>
      <c r="D1143" s="78" t="s">
        <v>16723</v>
      </c>
      <c r="E1143" s="78" t="s">
        <v>16200</v>
      </c>
      <c r="F1143" s="78" t="s">
        <v>14872</v>
      </c>
      <c r="G1143" s="78" t="s">
        <v>14734</v>
      </c>
      <c r="H1143" s="78">
        <v>1500</v>
      </c>
      <c r="I1143" s="77"/>
    </row>
    <row r="1144">
      <c r="A1144" s="78" t="s">
        <v>18419</v>
      </c>
      <c r="B1144" s="78" t="s">
        <v>18420</v>
      </c>
      <c r="C1144" s="78" t="s">
        <v>18421</v>
      </c>
      <c r="D1144" s="78" t="s">
        <v>16723</v>
      </c>
      <c r="E1144" s="78" t="s">
        <v>18144</v>
      </c>
      <c r="F1144" s="78" t="s">
        <v>15090</v>
      </c>
      <c r="G1144" s="78" t="s">
        <v>14782</v>
      </c>
      <c r="H1144" s="78">
        <v>1000</v>
      </c>
      <c r="I1144" s="77"/>
    </row>
    <row r="1145">
      <c r="A1145" s="78" t="s">
        <v>18422</v>
      </c>
      <c r="B1145" s="78" t="s">
        <v>18423</v>
      </c>
      <c r="C1145" s="78" t="s">
        <v>18424</v>
      </c>
      <c r="D1145" s="78" t="s">
        <v>16651</v>
      </c>
      <c r="E1145" s="78" t="s">
        <v>16200</v>
      </c>
      <c r="F1145" s="78" t="s">
        <v>15995</v>
      </c>
      <c r="G1145" s="78" t="s">
        <v>14931</v>
      </c>
      <c r="H1145" s="78">
        <v>1500</v>
      </c>
      <c r="I1145" s="77"/>
    </row>
    <row r="1146">
      <c r="A1146" s="78" t="s">
        <v>18425</v>
      </c>
      <c r="B1146" s="78" t="s">
        <v>18426</v>
      </c>
      <c r="C1146" s="78" t="s">
        <v>18427</v>
      </c>
      <c r="D1146" s="78" t="s">
        <v>16723</v>
      </c>
      <c r="E1146" s="78" t="s">
        <v>16200</v>
      </c>
      <c r="F1146" s="78" t="s">
        <v>15750</v>
      </c>
      <c r="G1146" s="78" t="s">
        <v>14734</v>
      </c>
      <c r="H1146" s="78">
        <v>1500</v>
      </c>
      <c r="I1146" s="77"/>
    </row>
    <row r="1147">
      <c r="A1147" s="78" t="s">
        <v>18428</v>
      </c>
      <c r="B1147" s="78" t="s">
        <v>18429</v>
      </c>
      <c r="C1147" s="78" t="s">
        <v>18430</v>
      </c>
      <c r="D1147" s="78" t="s">
        <v>16723</v>
      </c>
      <c r="E1147" s="78" t="s">
        <v>14780</v>
      </c>
      <c r="F1147" s="78" t="s">
        <v>14781</v>
      </c>
      <c r="G1147" s="78" t="s">
        <v>14782</v>
      </c>
      <c r="H1147" s="78">
        <v>1200</v>
      </c>
      <c r="I1147" s="77"/>
      <c r="J1147" s="77"/>
    </row>
    <row r="1148">
      <c r="A1148" s="78" t="s">
        <v>18431</v>
      </c>
      <c r="B1148" s="78" t="s">
        <v>18432</v>
      </c>
      <c r="C1148" s="78" t="s">
        <v>18433</v>
      </c>
      <c r="D1148" s="78" t="s">
        <v>16651</v>
      </c>
      <c r="E1148" s="78" t="s">
        <v>18434</v>
      </c>
      <c r="F1148" s="78" t="s">
        <v>15739</v>
      </c>
      <c r="G1148" s="78" t="s">
        <v>14734</v>
      </c>
      <c r="H1148" s="78">
        <v>1500</v>
      </c>
      <c r="I1148" s="77"/>
    </row>
    <row r="1149">
      <c r="A1149" s="78" t="s">
        <v>18435</v>
      </c>
      <c r="B1149" s="78" t="s">
        <v>18436</v>
      </c>
      <c r="C1149" s="78" t="s">
        <v>18437</v>
      </c>
      <c r="D1149" s="78" t="s">
        <v>16723</v>
      </c>
      <c r="E1149" s="78" t="s">
        <v>18178</v>
      </c>
      <c r="F1149" s="78" t="s">
        <v>15999</v>
      </c>
      <c r="G1149" s="78" t="s">
        <v>14734</v>
      </c>
      <c r="H1149" s="78">
        <v>2000</v>
      </c>
      <c r="I1149" s="77"/>
    </row>
    <row r="1150">
      <c r="A1150" s="78" t="s">
        <v>18438</v>
      </c>
      <c r="B1150" s="78" t="s">
        <v>18439</v>
      </c>
      <c r="C1150" s="78" t="s">
        <v>18440</v>
      </c>
      <c r="D1150" s="78" t="s">
        <v>16651</v>
      </c>
      <c r="E1150" s="78" t="s">
        <v>16200</v>
      </c>
      <c r="F1150" s="78" t="s">
        <v>14733</v>
      </c>
      <c r="G1150" s="78" t="s">
        <v>14734</v>
      </c>
      <c r="H1150" s="78">
        <v>1500</v>
      </c>
      <c r="I1150" s="77"/>
    </row>
    <row r="1151">
      <c r="A1151" s="78" t="s">
        <v>18441</v>
      </c>
      <c r="B1151" s="78" t="s">
        <v>18442</v>
      </c>
      <c r="C1151" s="78" t="s">
        <v>18443</v>
      </c>
      <c r="D1151" s="78" t="s">
        <v>16651</v>
      </c>
      <c r="E1151" s="78" t="s">
        <v>16200</v>
      </c>
      <c r="F1151" s="78" t="s">
        <v>15750</v>
      </c>
      <c r="G1151" s="78" t="s">
        <v>14734</v>
      </c>
      <c r="H1151" s="78">
        <v>1500</v>
      </c>
      <c r="I1151" s="77"/>
    </row>
    <row r="1152">
      <c r="A1152" s="78" t="s">
        <v>18444</v>
      </c>
      <c r="B1152" s="78" t="s">
        <v>18445</v>
      </c>
      <c r="C1152" s="78" t="s">
        <v>18446</v>
      </c>
      <c r="D1152" s="78" t="s">
        <v>16651</v>
      </c>
      <c r="E1152" s="78" t="s">
        <v>16200</v>
      </c>
      <c r="F1152" s="78" t="s">
        <v>15750</v>
      </c>
      <c r="G1152" s="78" t="s">
        <v>14734</v>
      </c>
      <c r="H1152" s="78">
        <v>1500</v>
      </c>
      <c r="I1152" s="77"/>
      <c r="J1152" s="77"/>
    </row>
    <row r="1153">
      <c r="A1153" s="78" t="s">
        <v>18447</v>
      </c>
      <c r="B1153" s="78" t="s">
        <v>18448</v>
      </c>
      <c r="C1153" s="78" t="s">
        <v>18449</v>
      </c>
      <c r="D1153" s="78" t="s">
        <v>16723</v>
      </c>
      <c r="E1153" s="78" t="s">
        <v>16200</v>
      </c>
      <c r="F1153" s="78" t="s">
        <v>15691</v>
      </c>
      <c r="G1153" s="78" t="s">
        <v>14931</v>
      </c>
      <c r="H1153" s="78">
        <v>1500</v>
      </c>
      <c r="I1153" s="77"/>
    </row>
    <row r="1154">
      <c r="A1154" s="78" t="s">
        <v>18450</v>
      </c>
      <c r="B1154" s="78" t="s">
        <v>18451</v>
      </c>
      <c r="C1154" s="78" t="s">
        <v>18452</v>
      </c>
      <c r="D1154" s="78" t="s">
        <v>16723</v>
      </c>
      <c r="E1154" s="78" t="s">
        <v>16200</v>
      </c>
      <c r="F1154" s="78" t="s">
        <v>15691</v>
      </c>
      <c r="G1154" s="78" t="s">
        <v>14931</v>
      </c>
      <c r="H1154" s="78">
        <v>1500</v>
      </c>
      <c r="I1154" s="77"/>
    </row>
    <row r="1155">
      <c r="A1155" s="78" t="s">
        <v>18453</v>
      </c>
      <c r="B1155" s="78" t="s">
        <v>18454</v>
      </c>
      <c r="C1155" s="78" t="s">
        <v>18455</v>
      </c>
      <c r="D1155" s="78" t="s">
        <v>16723</v>
      </c>
      <c r="E1155" s="78" t="s">
        <v>18434</v>
      </c>
      <c r="F1155" s="78" t="s">
        <v>15739</v>
      </c>
      <c r="G1155" s="78" t="s">
        <v>14734</v>
      </c>
      <c r="H1155" s="78">
        <v>1500</v>
      </c>
      <c r="I1155" s="77"/>
    </row>
    <row r="1156">
      <c r="A1156" s="78" t="s">
        <v>18456</v>
      </c>
      <c r="B1156" s="78" t="s">
        <v>18457</v>
      </c>
      <c r="C1156" s="78" t="s">
        <v>18458</v>
      </c>
      <c r="D1156" s="78" t="s">
        <v>16723</v>
      </c>
      <c r="E1156" s="78" t="s">
        <v>14780</v>
      </c>
      <c r="F1156" s="78" t="s">
        <v>14781</v>
      </c>
      <c r="G1156" s="78" t="s">
        <v>14782</v>
      </c>
      <c r="H1156" s="78">
        <v>1200</v>
      </c>
      <c r="I1156" s="77"/>
      <c r="J1156" s="77"/>
    </row>
    <row r="1157">
      <c r="A1157" s="78" t="s">
        <v>18459</v>
      </c>
      <c r="B1157" s="78" t="s">
        <v>18460</v>
      </c>
      <c r="C1157" s="78" t="s">
        <v>18461</v>
      </c>
      <c r="D1157" s="78" t="s">
        <v>16651</v>
      </c>
      <c r="E1157" s="78" t="s">
        <v>16200</v>
      </c>
      <c r="F1157" s="78" t="s">
        <v>16066</v>
      </c>
      <c r="G1157" s="78" t="s">
        <v>14931</v>
      </c>
      <c r="H1157" s="78">
        <v>1500</v>
      </c>
      <c r="I1157" s="77"/>
    </row>
    <row r="1158">
      <c r="A1158" s="78" t="s">
        <v>18462</v>
      </c>
      <c r="B1158" s="78" t="s">
        <v>18463</v>
      </c>
      <c r="C1158" s="78" t="s">
        <v>18464</v>
      </c>
      <c r="D1158" s="78" t="s">
        <v>16723</v>
      </c>
      <c r="E1158" s="78" t="s">
        <v>18144</v>
      </c>
      <c r="F1158" s="78" t="s">
        <v>15090</v>
      </c>
      <c r="G1158" s="78" t="s">
        <v>14782</v>
      </c>
      <c r="H1158" s="78">
        <v>1000</v>
      </c>
      <c r="I1158" s="77"/>
      <c r="J1158" s="77"/>
    </row>
    <row r="1159">
      <c r="A1159" s="78" t="s">
        <v>18465</v>
      </c>
      <c r="B1159" s="78" t="s">
        <v>18466</v>
      </c>
      <c r="C1159" s="78" t="s">
        <v>18467</v>
      </c>
      <c r="D1159" s="78" t="s">
        <v>14648</v>
      </c>
      <c r="E1159" s="78" t="s">
        <v>14780</v>
      </c>
      <c r="F1159" s="78" t="s">
        <v>14781</v>
      </c>
      <c r="G1159" s="78" t="s">
        <v>14782</v>
      </c>
      <c r="H1159" s="78">
        <v>1000</v>
      </c>
      <c r="I1159" s="77"/>
    </row>
    <row r="1160">
      <c r="A1160" s="78" t="s">
        <v>18468</v>
      </c>
      <c r="B1160" s="78" t="s">
        <v>18469</v>
      </c>
      <c r="C1160" s="78" t="s">
        <v>18470</v>
      </c>
      <c r="D1160" s="78" t="s">
        <v>16723</v>
      </c>
      <c r="E1160" s="78" t="s">
        <v>16200</v>
      </c>
      <c r="F1160" s="78" t="s">
        <v>15750</v>
      </c>
      <c r="G1160" s="78" t="s">
        <v>14734</v>
      </c>
      <c r="H1160" s="78">
        <v>1500</v>
      </c>
      <c r="I1160" s="77"/>
    </row>
    <row r="1161">
      <c r="A1161" s="78" t="s">
        <v>18471</v>
      </c>
      <c r="B1161" s="78" t="s">
        <v>18472</v>
      </c>
      <c r="C1161" s="78" t="s">
        <v>18473</v>
      </c>
      <c r="D1161" s="78" t="s">
        <v>16723</v>
      </c>
      <c r="E1161" s="78" t="s">
        <v>16200</v>
      </c>
      <c r="F1161" s="78" t="s">
        <v>14894</v>
      </c>
      <c r="G1161" s="78" t="s">
        <v>14734</v>
      </c>
      <c r="H1161" s="78">
        <v>1500</v>
      </c>
      <c r="I1161" s="77"/>
    </row>
    <row r="1162">
      <c r="A1162" s="78" t="s">
        <v>18474</v>
      </c>
      <c r="B1162" s="78" t="s">
        <v>18475</v>
      </c>
      <c r="C1162" s="78" t="s">
        <v>18476</v>
      </c>
      <c r="D1162" s="78" t="s">
        <v>16723</v>
      </c>
      <c r="E1162" s="78" t="s">
        <v>14780</v>
      </c>
      <c r="F1162" s="78" t="s">
        <v>14781</v>
      </c>
      <c r="G1162" s="78" t="s">
        <v>14782</v>
      </c>
      <c r="H1162" s="78">
        <v>1200</v>
      </c>
      <c r="I1162" s="77"/>
    </row>
    <row r="1163">
      <c r="A1163" s="78" t="s">
        <v>18477</v>
      </c>
      <c r="B1163" s="78" t="s">
        <v>18478</v>
      </c>
      <c r="C1163" s="78" t="s">
        <v>18479</v>
      </c>
      <c r="D1163" s="78" t="s">
        <v>16723</v>
      </c>
      <c r="E1163" s="78" t="s">
        <v>16200</v>
      </c>
      <c r="F1163" s="78" t="s">
        <v>15750</v>
      </c>
      <c r="G1163" s="78" t="s">
        <v>14734</v>
      </c>
      <c r="H1163" s="78">
        <v>1500</v>
      </c>
      <c r="I1163" s="77"/>
    </row>
    <row r="1164">
      <c r="A1164" s="78" t="s">
        <v>18480</v>
      </c>
      <c r="B1164" s="78" t="s">
        <v>18481</v>
      </c>
      <c r="C1164" s="78" t="s">
        <v>18482</v>
      </c>
      <c r="D1164" s="78" t="s">
        <v>16723</v>
      </c>
      <c r="E1164" s="78" t="s">
        <v>16200</v>
      </c>
      <c r="F1164" s="78" t="s">
        <v>15691</v>
      </c>
      <c r="G1164" s="78" t="s">
        <v>14931</v>
      </c>
      <c r="H1164" s="78">
        <v>1500</v>
      </c>
      <c r="I1164" s="77"/>
    </row>
    <row r="1165">
      <c r="A1165" s="78" t="s">
        <v>18483</v>
      </c>
      <c r="B1165" s="78" t="s">
        <v>18484</v>
      </c>
      <c r="C1165" s="78" t="s">
        <v>18485</v>
      </c>
      <c r="D1165" s="78" t="s">
        <v>16723</v>
      </c>
      <c r="E1165" s="78" t="s">
        <v>14780</v>
      </c>
      <c r="F1165" s="78" t="s">
        <v>16345</v>
      </c>
      <c r="G1165" s="78" t="s">
        <v>15129</v>
      </c>
      <c r="H1165" s="78">
        <v>1200</v>
      </c>
      <c r="I1165" s="77"/>
    </row>
    <row r="1166">
      <c r="A1166" s="78" t="s">
        <v>18486</v>
      </c>
      <c r="B1166" s="78" t="s">
        <v>18487</v>
      </c>
      <c r="C1166" s="78" t="s">
        <v>18488</v>
      </c>
      <c r="D1166" s="78" t="s">
        <v>16723</v>
      </c>
      <c r="E1166" s="78" t="s">
        <v>16200</v>
      </c>
      <c r="F1166" s="78" t="s">
        <v>15619</v>
      </c>
      <c r="G1166" s="78" t="s">
        <v>14931</v>
      </c>
      <c r="H1166" s="78">
        <v>1500</v>
      </c>
      <c r="I1166" s="77"/>
      <c r="J1166" s="77"/>
    </row>
    <row r="1167">
      <c r="A1167" s="78" t="s">
        <v>18489</v>
      </c>
      <c r="B1167" s="78" t="s">
        <v>18490</v>
      </c>
      <c r="C1167" s="78" t="s">
        <v>18491</v>
      </c>
      <c r="D1167" s="78" t="s">
        <v>16723</v>
      </c>
      <c r="E1167" s="78" t="s">
        <v>16200</v>
      </c>
      <c r="F1167" s="78" t="s">
        <v>14938</v>
      </c>
      <c r="G1167" s="78" t="s">
        <v>14923</v>
      </c>
      <c r="H1167" s="78">
        <v>1500</v>
      </c>
      <c r="I1167" s="77"/>
    </row>
    <row r="1168">
      <c r="A1168" s="78" t="s">
        <v>18492</v>
      </c>
      <c r="B1168" s="78" t="s">
        <v>18493</v>
      </c>
      <c r="C1168" s="78" t="s">
        <v>18494</v>
      </c>
      <c r="D1168" s="78" t="s">
        <v>16651</v>
      </c>
      <c r="E1168" s="78" t="s">
        <v>16200</v>
      </c>
      <c r="F1168" s="78" t="s">
        <v>14894</v>
      </c>
      <c r="G1168" s="78" t="s">
        <v>14734</v>
      </c>
      <c r="H1168" s="78">
        <v>1500</v>
      </c>
      <c r="I1168" s="77"/>
      <c r="J1168" s="77"/>
    </row>
    <row r="1169">
      <c r="A1169" s="78" t="s">
        <v>18495</v>
      </c>
      <c r="B1169" s="78" t="s">
        <v>18496</v>
      </c>
      <c r="C1169" s="78" t="s">
        <v>18497</v>
      </c>
      <c r="D1169" s="78" t="s">
        <v>16723</v>
      </c>
      <c r="E1169" s="78" t="s">
        <v>16200</v>
      </c>
      <c r="F1169" s="78" t="s">
        <v>15956</v>
      </c>
      <c r="G1169" s="78" t="s">
        <v>14923</v>
      </c>
      <c r="H1169" s="78">
        <v>1500</v>
      </c>
      <c r="I1169" s="77"/>
    </row>
    <row r="1170">
      <c r="A1170" s="78" t="s">
        <v>18498</v>
      </c>
      <c r="B1170" s="78" t="s">
        <v>18499</v>
      </c>
      <c r="C1170" s="78" t="s">
        <v>18500</v>
      </c>
      <c r="D1170" s="78" t="s">
        <v>16651</v>
      </c>
      <c r="E1170" s="78" t="s">
        <v>16200</v>
      </c>
      <c r="F1170" s="78" t="s">
        <v>15995</v>
      </c>
      <c r="G1170" s="78" t="s">
        <v>14931</v>
      </c>
      <c r="H1170" s="78">
        <v>1500</v>
      </c>
      <c r="I1170" s="77"/>
      <c r="J1170" s="77"/>
    </row>
    <row r="1171">
      <c r="A1171" s="78" t="s">
        <v>18501</v>
      </c>
      <c r="B1171" s="78" t="s">
        <v>18502</v>
      </c>
      <c r="C1171" s="78" t="s">
        <v>18503</v>
      </c>
      <c r="D1171" s="78" t="s">
        <v>16723</v>
      </c>
      <c r="E1171" s="78" t="s">
        <v>16200</v>
      </c>
      <c r="F1171" s="78" t="s">
        <v>14938</v>
      </c>
      <c r="G1171" s="78" t="s">
        <v>14923</v>
      </c>
      <c r="H1171" s="78">
        <v>1500</v>
      </c>
      <c r="I1171" s="77"/>
      <c r="J1171" s="77"/>
    </row>
    <row r="1172">
      <c r="A1172" s="78" t="s">
        <v>18504</v>
      </c>
      <c r="B1172" s="78" t="s">
        <v>18505</v>
      </c>
      <c r="C1172" s="78" t="s">
        <v>18506</v>
      </c>
      <c r="D1172" s="78" t="s">
        <v>16723</v>
      </c>
      <c r="E1172" s="78" t="s">
        <v>16200</v>
      </c>
      <c r="F1172" s="78" t="s">
        <v>15956</v>
      </c>
      <c r="G1172" s="78" t="s">
        <v>14923</v>
      </c>
      <c r="H1172" s="78">
        <v>1500</v>
      </c>
      <c r="I1172" s="77"/>
      <c r="J1172" s="77"/>
    </row>
    <row r="1173">
      <c r="A1173" s="78" t="s">
        <v>18507</v>
      </c>
      <c r="B1173" s="78" t="s">
        <v>18508</v>
      </c>
      <c r="C1173" s="78" t="s">
        <v>18509</v>
      </c>
      <c r="D1173" s="78" t="s">
        <v>16723</v>
      </c>
      <c r="E1173" s="78" t="s">
        <v>16200</v>
      </c>
      <c r="F1173" s="78" t="s">
        <v>14957</v>
      </c>
      <c r="G1173" s="78" t="s">
        <v>14782</v>
      </c>
      <c r="H1173" s="78">
        <v>1500</v>
      </c>
      <c r="I1173" s="77"/>
    </row>
    <row r="1174">
      <c r="A1174" s="78" t="s">
        <v>18510</v>
      </c>
      <c r="B1174" s="78" t="s">
        <v>18511</v>
      </c>
      <c r="C1174" s="78" t="s">
        <v>18512</v>
      </c>
      <c r="D1174" s="78" t="s">
        <v>16723</v>
      </c>
      <c r="E1174" s="78" t="s">
        <v>16200</v>
      </c>
      <c r="F1174" s="78" t="s">
        <v>15956</v>
      </c>
      <c r="G1174" s="78" t="s">
        <v>14923</v>
      </c>
      <c r="H1174" s="78">
        <v>1500</v>
      </c>
      <c r="I1174" s="77"/>
    </row>
    <row r="1175">
      <c r="A1175" s="78" t="s">
        <v>18513</v>
      </c>
      <c r="B1175" s="78" t="s">
        <v>18514</v>
      </c>
      <c r="C1175" s="78" t="s">
        <v>18515</v>
      </c>
      <c r="D1175" s="78" t="s">
        <v>16651</v>
      </c>
      <c r="E1175" s="78" t="s">
        <v>16200</v>
      </c>
      <c r="F1175" s="78" t="s">
        <v>15750</v>
      </c>
      <c r="G1175" s="78" t="s">
        <v>14734</v>
      </c>
      <c r="H1175" s="78">
        <v>1500</v>
      </c>
      <c r="I1175" s="77"/>
      <c r="J1175" s="77"/>
    </row>
    <row r="1176">
      <c r="A1176" s="78" t="s">
        <v>18516</v>
      </c>
      <c r="B1176" s="78" t="s">
        <v>18517</v>
      </c>
      <c r="C1176" s="78" t="s">
        <v>18518</v>
      </c>
      <c r="D1176" s="78" t="s">
        <v>16723</v>
      </c>
      <c r="E1176" s="78" t="s">
        <v>16200</v>
      </c>
      <c r="F1176" s="78" t="s">
        <v>15995</v>
      </c>
      <c r="G1176" s="78" t="s">
        <v>14931</v>
      </c>
      <c r="H1176" s="78">
        <v>1500</v>
      </c>
      <c r="I1176" s="77"/>
    </row>
    <row r="1177">
      <c r="A1177" s="78" t="s">
        <v>18519</v>
      </c>
      <c r="B1177" s="78" t="s">
        <v>18520</v>
      </c>
      <c r="C1177" s="78" t="s">
        <v>18521</v>
      </c>
      <c r="D1177" s="78" t="s">
        <v>16723</v>
      </c>
      <c r="E1177" s="78" t="s">
        <v>16200</v>
      </c>
      <c r="F1177" s="78" t="s">
        <v>15691</v>
      </c>
      <c r="G1177" s="78" t="s">
        <v>14931</v>
      </c>
      <c r="H1177" s="78">
        <v>1500</v>
      </c>
      <c r="I1177" s="77"/>
    </row>
    <row r="1178">
      <c r="A1178" s="78" t="s">
        <v>18522</v>
      </c>
      <c r="B1178" s="78" t="s">
        <v>18523</v>
      </c>
      <c r="C1178" s="78" t="s">
        <v>18524</v>
      </c>
      <c r="D1178" s="78" t="s">
        <v>16651</v>
      </c>
      <c r="E1178" s="78" t="s">
        <v>16200</v>
      </c>
      <c r="F1178" s="78" t="s">
        <v>15691</v>
      </c>
      <c r="G1178" s="78" t="s">
        <v>14931</v>
      </c>
      <c r="H1178" s="78">
        <v>1500</v>
      </c>
      <c r="I1178" s="77"/>
    </row>
    <row r="1179">
      <c r="A1179" s="78" t="s">
        <v>18525</v>
      </c>
      <c r="B1179" s="78" t="s">
        <v>18526</v>
      </c>
      <c r="C1179" s="78" t="s">
        <v>18527</v>
      </c>
      <c r="D1179" s="78" t="s">
        <v>16723</v>
      </c>
      <c r="E1179" s="78" t="s">
        <v>16200</v>
      </c>
      <c r="F1179" s="78" t="s">
        <v>14733</v>
      </c>
      <c r="G1179" s="78" t="s">
        <v>14734</v>
      </c>
      <c r="H1179" s="78">
        <v>1500</v>
      </c>
      <c r="I1179" s="77"/>
    </row>
    <row r="1180">
      <c r="A1180" s="78" t="s">
        <v>18528</v>
      </c>
      <c r="B1180" s="78" t="s">
        <v>18529</v>
      </c>
      <c r="C1180" s="78" t="s">
        <v>18530</v>
      </c>
      <c r="D1180" s="78" t="s">
        <v>16723</v>
      </c>
      <c r="E1180" s="78" t="s">
        <v>16200</v>
      </c>
      <c r="F1180" s="78" t="s">
        <v>14950</v>
      </c>
      <c r="G1180" s="78" t="s">
        <v>14782</v>
      </c>
      <c r="H1180" s="78">
        <v>1500</v>
      </c>
      <c r="I1180" s="77"/>
      <c r="J1180" s="77"/>
    </row>
    <row r="1181">
      <c r="A1181" s="78" t="s">
        <v>18531</v>
      </c>
      <c r="B1181" s="78" t="s">
        <v>18532</v>
      </c>
      <c r="C1181" s="78" t="s">
        <v>18533</v>
      </c>
      <c r="D1181" s="78" t="s">
        <v>16651</v>
      </c>
      <c r="E1181" s="78" t="s">
        <v>16200</v>
      </c>
      <c r="F1181" s="78" t="s">
        <v>15750</v>
      </c>
      <c r="G1181" s="78" t="s">
        <v>14734</v>
      </c>
      <c r="H1181" s="78">
        <v>1500</v>
      </c>
      <c r="I1181" s="77"/>
      <c r="J1181" s="77"/>
    </row>
    <row r="1182">
      <c r="A1182" s="78" t="s">
        <v>18534</v>
      </c>
      <c r="B1182" s="78" t="s">
        <v>18535</v>
      </c>
      <c r="C1182" s="78" t="s">
        <v>18536</v>
      </c>
      <c r="D1182" s="78" t="s">
        <v>16651</v>
      </c>
      <c r="E1182" s="78" t="s">
        <v>16200</v>
      </c>
      <c r="F1182" s="78" t="s">
        <v>14950</v>
      </c>
      <c r="G1182" s="78" t="s">
        <v>14782</v>
      </c>
      <c r="H1182" s="78">
        <v>1500</v>
      </c>
      <c r="I1182" s="77"/>
    </row>
    <row r="1183">
      <c r="A1183" s="78" t="s">
        <v>18537</v>
      </c>
      <c r="B1183" s="78" t="s">
        <v>18538</v>
      </c>
      <c r="C1183" s="78" t="s">
        <v>18539</v>
      </c>
      <c r="D1183" s="78" t="s">
        <v>16723</v>
      </c>
      <c r="E1183" s="78" t="s">
        <v>16200</v>
      </c>
      <c r="F1183" s="78" t="s">
        <v>15750</v>
      </c>
      <c r="G1183" s="78" t="s">
        <v>14734</v>
      </c>
      <c r="H1183" s="78">
        <v>1500</v>
      </c>
      <c r="I1183" s="77"/>
    </row>
    <row r="1184">
      <c r="A1184" s="78" t="s">
        <v>18540</v>
      </c>
      <c r="B1184" s="78" t="s">
        <v>18541</v>
      </c>
      <c r="C1184" s="78" t="s">
        <v>18542</v>
      </c>
      <c r="D1184" s="78" t="s">
        <v>16651</v>
      </c>
      <c r="E1184" s="78" t="s">
        <v>18092</v>
      </c>
      <c r="F1184" s="78" t="s">
        <v>14712</v>
      </c>
      <c r="G1184" s="78" t="s">
        <v>14713</v>
      </c>
      <c r="H1184" s="78">
        <v>2000</v>
      </c>
      <c r="I1184" s="77"/>
    </row>
    <row r="1185">
      <c r="A1185" s="78" t="s">
        <v>18543</v>
      </c>
      <c r="B1185" s="78" t="s">
        <v>18544</v>
      </c>
      <c r="C1185" s="78" t="s">
        <v>18545</v>
      </c>
      <c r="D1185" s="78" t="s">
        <v>16723</v>
      </c>
      <c r="E1185" s="78" t="s">
        <v>16200</v>
      </c>
      <c r="F1185" s="78" t="s">
        <v>16345</v>
      </c>
      <c r="G1185" s="78" t="s">
        <v>15129</v>
      </c>
      <c r="H1185" s="78">
        <v>1500</v>
      </c>
      <c r="I1185" s="77"/>
    </row>
    <row r="1186">
      <c r="A1186" s="78" t="s">
        <v>18546</v>
      </c>
      <c r="B1186" s="78" t="s">
        <v>18547</v>
      </c>
      <c r="C1186" s="78" t="s">
        <v>18548</v>
      </c>
      <c r="D1186" s="78" t="s">
        <v>15561</v>
      </c>
      <c r="E1186" s="78" t="s">
        <v>14776</v>
      </c>
      <c r="F1186" s="78" t="s">
        <v>14771</v>
      </c>
      <c r="G1186" s="78" t="s">
        <v>14772</v>
      </c>
      <c r="H1186" s="78">
        <v>0</v>
      </c>
      <c r="I1186" s="77"/>
    </row>
    <row r="1187">
      <c r="A1187" s="78" t="s">
        <v>18549</v>
      </c>
      <c r="B1187" s="78" t="s">
        <v>18550</v>
      </c>
      <c r="C1187" s="78" t="s">
        <v>18551</v>
      </c>
      <c r="D1187" s="78" t="s">
        <v>16723</v>
      </c>
      <c r="E1187" s="78" t="s">
        <v>16200</v>
      </c>
      <c r="F1187" s="78" t="s">
        <v>15704</v>
      </c>
      <c r="G1187" s="78" t="s">
        <v>14923</v>
      </c>
      <c r="H1187" s="78">
        <v>1500</v>
      </c>
      <c r="I1187" s="77"/>
    </row>
    <row r="1188">
      <c r="A1188" s="78" t="s">
        <v>18552</v>
      </c>
      <c r="B1188" s="78" t="s">
        <v>18553</v>
      </c>
      <c r="C1188" s="78" t="s">
        <v>18554</v>
      </c>
      <c r="D1188" s="78" t="s">
        <v>16723</v>
      </c>
      <c r="E1188" s="78" t="s">
        <v>16200</v>
      </c>
      <c r="F1188" s="78" t="s">
        <v>15628</v>
      </c>
      <c r="G1188" s="78" t="s">
        <v>14923</v>
      </c>
      <c r="H1188" s="78">
        <v>1500</v>
      </c>
      <c r="I1188" s="77"/>
    </row>
    <row r="1189">
      <c r="A1189" s="78" t="s">
        <v>18555</v>
      </c>
      <c r="B1189" s="78" t="s">
        <v>18556</v>
      </c>
      <c r="C1189" s="78" t="s">
        <v>18557</v>
      </c>
      <c r="D1189" s="78" t="s">
        <v>16651</v>
      </c>
      <c r="E1189" s="78" t="s">
        <v>16200</v>
      </c>
      <c r="F1189" s="78" t="s">
        <v>15704</v>
      </c>
      <c r="G1189" s="78" t="s">
        <v>14923</v>
      </c>
      <c r="H1189" s="78">
        <v>1500</v>
      </c>
      <c r="I1189" s="77"/>
    </row>
    <row r="1190">
      <c r="A1190" s="78" t="s">
        <v>18558</v>
      </c>
      <c r="B1190" s="78" t="s">
        <v>18559</v>
      </c>
      <c r="C1190" s="78" t="s">
        <v>18560</v>
      </c>
      <c r="D1190" s="78" t="s">
        <v>16651</v>
      </c>
      <c r="E1190" s="78" t="s">
        <v>18561</v>
      </c>
      <c r="F1190" s="78" t="s">
        <v>14723</v>
      </c>
      <c r="G1190" s="78" t="s">
        <v>14703</v>
      </c>
      <c r="H1190" s="78">
        <v>1500</v>
      </c>
      <c r="I1190" s="77"/>
    </row>
    <row r="1191">
      <c r="A1191" s="78" t="s">
        <v>18562</v>
      </c>
      <c r="B1191" s="78" t="s">
        <v>18563</v>
      </c>
      <c r="C1191" s="78" t="s">
        <v>18564</v>
      </c>
      <c r="D1191" s="78" t="s">
        <v>16651</v>
      </c>
      <c r="E1191" s="78" t="s">
        <v>18434</v>
      </c>
      <c r="F1191" s="78" t="s">
        <v>15739</v>
      </c>
      <c r="G1191" s="78" t="s">
        <v>14734</v>
      </c>
      <c r="H1191" s="78">
        <v>1500</v>
      </c>
      <c r="I1191" s="77"/>
    </row>
    <row r="1192">
      <c r="A1192" s="78" t="s">
        <v>18565</v>
      </c>
      <c r="B1192" s="78" t="s">
        <v>18566</v>
      </c>
      <c r="C1192" s="78" t="s">
        <v>18567</v>
      </c>
      <c r="D1192" s="78" t="s">
        <v>16651</v>
      </c>
      <c r="E1192" s="78" t="s">
        <v>18144</v>
      </c>
      <c r="F1192" s="78" t="s">
        <v>15090</v>
      </c>
      <c r="G1192" s="78" t="s">
        <v>14782</v>
      </c>
      <c r="H1192" s="78">
        <v>1000</v>
      </c>
      <c r="I1192" s="77"/>
    </row>
    <row r="1193">
      <c r="A1193" s="78" t="s">
        <v>18568</v>
      </c>
      <c r="B1193" s="78" t="s">
        <v>18569</v>
      </c>
      <c r="C1193" s="78" t="s">
        <v>18570</v>
      </c>
      <c r="D1193" s="78" t="s">
        <v>16723</v>
      </c>
      <c r="E1193" s="78" t="s">
        <v>16200</v>
      </c>
      <c r="F1193" s="78" t="s">
        <v>15161</v>
      </c>
      <c r="G1193" s="78" t="s">
        <v>14923</v>
      </c>
      <c r="H1193" s="78">
        <v>1500</v>
      </c>
      <c r="I1193" s="77"/>
    </row>
    <row r="1194">
      <c r="A1194" s="78" t="s">
        <v>18571</v>
      </c>
      <c r="B1194" s="78" t="s">
        <v>18572</v>
      </c>
      <c r="C1194" s="78" t="s">
        <v>18573</v>
      </c>
      <c r="D1194" s="78" t="s">
        <v>16651</v>
      </c>
      <c r="E1194" s="78" t="s">
        <v>14847</v>
      </c>
      <c r="F1194" s="78" t="s">
        <v>16035</v>
      </c>
      <c r="G1194" s="78" t="s">
        <v>14834</v>
      </c>
      <c r="H1194" s="78">
        <v>1000</v>
      </c>
      <c r="I1194" s="77"/>
      <c r="J1194" s="77"/>
    </row>
    <row r="1195">
      <c r="A1195" s="78" t="s">
        <v>18574</v>
      </c>
      <c r="B1195" s="78" t="s">
        <v>18575</v>
      </c>
      <c r="C1195" s="78" t="s">
        <v>18576</v>
      </c>
      <c r="D1195" s="78" t="s">
        <v>16723</v>
      </c>
      <c r="E1195" s="78" t="s">
        <v>18140</v>
      </c>
      <c r="F1195" s="78" t="s">
        <v>15081</v>
      </c>
      <c r="G1195" s="78" t="s">
        <v>14651</v>
      </c>
      <c r="H1195" s="78">
        <v>1200</v>
      </c>
      <c r="I1195" s="77"/>
    </row>
    <row r="1196">
      <c r="A1196" s="78" t="s">
        <v>18577</v>
      </c>
      <c r="B1196" s="78" t="s">
        <v>18578</v>
      </c>
      <c r="C1196" s="78" t="s">
        <v>18579</v>
      </c>
      <c r="D1196" s="78" t="s">
        <v>16723</v>
      </c>
      <c r="E1196" s="78" t="s">
        <v>16200</v>
      </c>
      <c r="F1196" s="78" t="s">
        <v>14733</v>
      </c>
      <c r="G1196" s="78" t="s">
        <v>14734</v>
      </c>
      <c r="H1196" s="78">
        <v>1500</v>
      </c>
      <c r="I1196" s="77"/>
    </row>
    <row r="1197">
      <c r="A1197" s="78" t="s">
        <v>18580</v>
      </c>
      <c r="B1197" s="78" t="s">
        <v>18581</v>
      </c>
      <c r="C1197" s="78" t="s">
        <v>18582</v>
      </c>
      <c r="D1197" s="78" t="s">
        <v>16723</v>
      </c>
      <c r="E1197" s="78" t="s">
        <v>16200</v>
      </c>
      <c r="F1197" s="78" t="s">
        <v>15691</v>
      </c>
      <c r="G1197" s="78" t="s">
        <v>14931</v>
      </c>
      <c r="H1197" s="78">
        <v>1500</v>
      </c>
      <c r="I1197" s="77"/>
    </row>
    <row r="1198">
      <c r="A1198" s="78" t="s">
        <v>18583</v>
      </c>
      <c r="B1198" s="78" t="s">
        <v>18584</v>
      </c>
      <c r="C1198" s="78" t="s">
        <v>18585</v>
      </c>
      <c r="D1198" s="78" t="s">
        <v>16651</v>
      </c>
      <c r="E1198" s="78" t="s">
        <v>16200</v>
      </c>
      <c r="F1198" s="78" t="s">
        <v>15161</v>
      </c>
      <c r="G1198" s="78" t="s">
        <v>14923</v>
      </c>
      <c r="H1198" s="78">
        <v>1500</v>
      </c>
      <c r="I1198" s="77"/>
    </row>
    <row r="1199">
      <c r="A1199" s="78" t="s">
        <v>18586</v>
      </c>
      <c r="B1199" s="78" t="s">
        <v>18587</v>
      </c>
      <c r="C1199" s="78" t="s">
        <v>18588</v>
      </c>
      <c r="D1199" s="78" t="s">
        <v>16651</v>
      </c>
      <c r="E1199" s="78" t="s">
        <v>16200</v>
      </c>
      <c r="F1199" s="78" t="s">
        <v>14938</v>
      </c>
      <c r="G1199" s="78" t="s">
        <v>14923</v>
      </c>
      <c r="H1199" s="78">
        <v>1500</v>
      </c>
      <c r="I1199" s="77"/>
    </row>
    <row r="1200">
      <c r="A1200" s="78" t="s">
        <v>18589</v>
      </c>
      <c r="B1200" s="78" t="s">
        <v>18590</v>
      </c>
      <c r="C1200" s="78" t="s">
        <v>18591</v>
      </c>
      <c r="D1200" s="78" t="s">
        <v>16723</v>
      </c>
      <c r="E1200" s="78" t="s">
        <v>16200</v>
      </c>
      <c r="F1200" s="78" t="s">
        <v>15691</v>
      </c>
      <c r="G1200" s="78" t="s">
        <v>14931</v>
      </c>
      <c r="H1200" s="78">
        <v>1500</v>
      </c>
      <c r="I1200" s="77"/>
    </row>
    <row r="1201">
      <c r="A1201" s="78" t="s">
        <v>18592</v>
      </c>
      <c r="B1201" s="78" t="s">
        <v>18593</v>
      </c>
      <c r="C1201" s="78" t="s">
        <v>18594</v>
      </c>
      <c r="D1201" s="78" t="s">
        <v>16651</v>
      </c>
      <c r="E1201" s="78" t="s">
        <v>16200</v>
      </c>
      <c r="F1201" s="78" t="s">
        <v>15995</v>
      </c>
      <c r="G1201" s="78" t="s">
        <v>14931</v>
      </c>
      <c r="H1201" s="78">
        <v>1500</v>
      </c>
      <c r="I1201" s="77"/>
    </row>
    <row r="1202">
      <c r="A1202" s="78" t="s">
        <v>18595</v>
      </c>
      <c r="B1202" s="78" t="s">
        <v>18596</v>
      </c>
      <c r="C1202" s="78" t="s">
        <v>18597</v>
      </c>
      <c r="D1202" s="78" t="s">
        <v>16723</v>
      </c>
      <c r="E1202" s="78" t="s">
        <v>18379</v>
      </c>
      <c r="F1202" s="78" t="s">
        <v>14972</v>
      </c>
      <c r="G1202" s="78" t="s">
        <v>14963</v>
      </c>
      <c r="H1202" s="78">
        <v>1200</v>
      </c>
      <c r="I1202" s="77"/>
    </row>
    <row r="1203">
      <c r="A1203" s="78" t="s">
        <v>18598</v>
      </c>
      <c r="B1203" s="78" t="s">
        <v>18599</v>
      </c>
      <c r="C1203" s="78" t="s">
        <v>18600</v>
      </c>
      <c r="D1203" s="78" t="s">
        <v>16723</v>
      </c>
      <c r="E1203" s="78" t="s">
        <v>16200</v>
      </c>
      <c r="F1203" s="78" t="s">
        <v>15691</v>
      </c>
      <c r="G1203" s="78" t="s">
        <v>14931</v>
      </c>
      <c r="H1203" s="78">
        <v>1500</v>
      </c>
      <c r="I1203" s="77"/>
    </row>
    <row r="1204">
      <c r="A1204" s="78" t="s">
        <v>18601</v>
      </c>
      <c r="B1204" s="78" t="s">
        <v>18602</v>
      </c>
      <c r="C1204" s="78" t="s">
        <v>18603</v>
      </c>
      <c r="D1204" s="78" t="s">
        <v>16723</v>
      </c>
      <c r="E1204" s="78" t="s">
        <v>16200</v>
      </c>
      <c r="F1204" s="78" t="s">
        <v>15628</v>
      </c>
      <c r="G1204" s="78" t="s">
        <v>14923</v>
      </c>
      <c r="H1204" s="78">
        <v>1500</v>
      </c>
      <c r="I1204" s="77"/>
    </row>
    <row r="1205">
      <c r="A1205" s="78" t="s">
        <v>18604</v>
      </c>
      <c r="B1205" s="78" t="s">
        <v>18605</v>
      </c>
      <c r="C1205" s="78" t="s">
        <v>18606</v>
      </c>
      <c r="D1205" s="78" t="s">
        <v>16723</v>
      </c>
      <c r="E1205" s="78" t="s">
        <v>16200</v>
      </c>
      <c r="F1205" s="78" t="s">
        <v>15691</v>
      </c>
      <c r="G1205" s="78" t="s">
        <v>14931</v>
      </c>
      <c r="H1205" s="78">
        <v>1500</v>
      </c>
      <c r="I1205" s="77"/>
    </row>
    <row r="1206">
      <c r="A1206" s="78" t="s">
        <v>18607</v>
      </c>
      <c r="B1206" s="78" t="s">
        <v>18608</v>
      </c>
      <c r="C1206" s="78" t="s">
        <v>18609</v>
      </c>
      <c r="D1206" s="78" t="s">
        <v>16723</v>
      </c>
      <c r="E1206" s="78" t="s">
        <v>16200</v>
      </c>
      <c r="F1206" s="78" t="s">
        <v>15619</v>
      </c>
      <c r="G1206" s="78" t="s">
        <v>14931</v>
      </c>
      <c r="H1206" s="78">
        <v>1500</v>
      </c>
      <c r="I1206" s="77"/>
    </row>
    <row r="1207">
      <c r="A1207" s="78" t="s">
        <v>18610</v>
      </c>
      <c r="B1207" s="78" t="s">
        <v>18611</v>
      </c>
      <c r="C1207" s="78" t="s">
        <v>18612</v>
      </c>
      <c r="D1207" s="78" t="s">
        <v>16723</v>
      </c>
      <c r="E1207" s="78" t="s">
        <v>16200</v>
      </c>
      <c r="F1207" s="78" t="s">
        <v>14733</v>
      </c>
      <c r="G1207" s="78" t="s">
        <v>14734</v>
      </c>
      <c r="H1207" s="78">
        <v>1500</v>
      </c>
      <c r="I1207" s="77"/>
    </row>
    <row r="1208">
      <c r="A1208" s="78" t="s">
        <v>18613</v>
      </c>
      <c r="B1208" s="78" t="s">
        <v>18614</v>
      </c>
      <c r="C1208" s="78" t="s">
        <v>18615</v>
      </c>
      <c r="D1208" s="78" t="s">
        <v>16723</v>
      </c>
      <c r="E1208" s="78" t="s">
        <v>16200</v>
      </c>
      <c r="F1208" s="78" t="s">
        <v>15619</v>
      </c>
      <c r="G1208" s="78" t="s">
        <v>14931</v>
      </c>
      <c r="H1208" s="78">
        <v>1500</v>
      </c>
      <c r="I1208" s="77"/>
    </row>
    <row r="1209">
      <c r="A1209" s="78" t="s">
        <v>18616</v>
      </c>
      <c r="B1209" s="78" t="s">
        <v>18617</v>
      </c>
      <c r="C1209" s="78" t="s">
        <v>18618</v>
      </c>
      <c r="D1209" s="78" t="s">
        <v>16723</v>
      </c>
      <c r="E1209" s="78" t="s">
        <v>16200</v>
      </c>
      <c r="F1209" s="78" t="s">
        <v>15628</v>
      </c>
      <c r="G1209" s="78" t="s">
        <v>14923</v>
      </c>
      <c r="H1209" s="78">
        <v>1500</v>
      </c>
      <c r="I1209" s="77"/>
    </row>
    <row r="1210">
      <c r="A1210" s="78" t="s">
        <v>18619</v>
      </c>
      <c r="B1210" s="78" t="s">
        <v>18620</v>
      </c>
      <c r="C1210" s="78" t="s">
        <v>18621</v>
      </c>
      <c r="D1210" s="78" t="s">
        <v>16723</v>
      </c>
      <c r="E1210" s="78" t="s">
        <v>16200</v>
      </c>
      <c r="F1210" s="78" t="s">
        <v>15628</v>
      </c>
      <c r="G1210" s="78" t="s">
        <v>14923</v>
      </c>
      <c r="H1210" s="78">
        <v>1500</v>
      </c>
      <c r="I1210" s="77"/>
    </row>
    <row r="1211">
      <c r="A1211" s="78" t="s">
        <v>18622</v>
      </c>
      <c r="B1211" s="78" t="s">
        <v>18623</v>
      </c>
      <c r="C1211" s="78" t="s">
        <v>18624</v>
      </c>
      <c r="D1211" s="78" t="s">
        <v>16723</v>
      </c>
      <c r="E1211" s="78" t="s">
        <v>16200</v>
      </c>
      <c r="F1211" s="78" t="s">
        <v>15619</v>
      </c>
      <c r="G1211" s="78" t="s">
        <v>14931</v>
      </c>
      <c r="H1211" s="78">
        <v>1500</v>
      </c>
      <c r="I1211" s="77"/>
    </row>
    <row r="1212">
      <c r="A1212" s="78" t="s">
        <v>18625</v>
      </c>
      <c r="B1212" s="78" t="s">
        <v>18626</v>
      </c>
      <c r="C1212" s="78" t="s">
        <v>18627</v>
      </c>
      <c r="D1212" s="78" t="s">
        <v>16723</v>
      </c>
      <c r="E1212" s="78" t="s">
        <v>16200</v>
      </c>
      <c r="F1212" s="78" t="s">
        <v>14872</v>
      </c>
      <c r="G1212" s="78" t="s">
        <v>14734</v>
      </c>
      <c r="H1212" s="78">
        <v>1500</v>
      </c>
      <c r="I1212" s="77"/>
    </row>
    <row r="1213">
      <c r="A1213" s="78" t="s">
        <v>18628</v>
      </c>
      <c r="B1213" s="78" t="s">
        <v>18629</v>
      </c>
      <c r="C1213" s="78" t="s">
        <v>18630</v>
      </c>
      <c r="D1213" s="78" t="s">
        <v>16723</v>
      </c>
      <c r="E1213" s="78" t="s">
        <v>16200</v>
      </c>
      <c r="F1213" s="78" t="s">
        <v>16066</v>
      </c>
      <c r="G1213" s="78" t="s">
        <v>14931</v>
      </c>
      <c r="H1213" s="78">
        <v>1500</v>
      </c>
      <c r="I1213" s="77"/>
    </row>
    <row r="1214">
      <c r="A1214" s="78" t="s">
        <v>18631</v>
      </c>
      <c r="B1214" s="78" t="s">
        <v>18632</v>
      </c>
      <c r="C1214" s="78" t="s">
        <v>18633</v>
      </c>
      <c r="D1214" s="78" t="s">
        <v>16723</v>
      </c>
      <c r="E1214" s="78" t="s">
        <v>16200</v>
      </c>
      <c r="F1214" s="78" t="s">
        <v>15995</v>
      </c>
      <c r="G1214" s="78" t="s">
        <v>14931</v>
      </c>
      <c r="H1214" s="78">
        <v>1500</v>
      </c>
      <c r="I1214" s="77"/>
    </row>
    <row r="1215">
      <c r="A1215" s="78" t="s">
        <v>18634</v>
      </c>
      <c r="B1215" s="78" t="s">
        <v>18635</v>
      </c>
      <c r="C1215" s="78" t="s">
        <v>18636</v>
      </c>
      <c r="D1215" s="78" t="s">
        <v>16723</v>
      </c>
      <c r="E1215" s="78" t="s">
        <v>16200</v>
      </c>
      <c r="F1215" s="78" t="s">
        <v>15750</v>
      </c>
      <c r="G1215" s="78" t="s">
        <v>14734</v>
      </c>
      <c r="H1215" s="78">
        <v>1500</v>
      </c>
      <c r="I1215" s="77"/>
    </row>
    <row r="1216">
      <c r="A1216" s="78" t="s">
        <v>18637</v>
      </c>
      <c r="B1216" s="78" t="s">
        <v>18638</v>
      </c>
      <c r="C1216" s="78" t="s">
        <v>18639</v>
      </c>
      <c r="D1216" s="78" t="s">
        <v>16723</v>
      </c>
      <c r="E1216" s="78" t="s">
        <v>14780</v>
      </c>
      <c r="F1216" s="78" t="s">
        <v>14781</v>
      </c>
      <c r="G1216" s="78" t="s">
        <v>14782</v>
      </c>
      <c r="H1216" s="78">
        <v>1200</v>
      </c>
      <c r="I1216" s="77"/>
    </row>
    <row r="1217">
      <c r="A1217" s="78" t="s">
        <v>18640</v>
      </c>
      <c r="B1217" s="78" t="s">
        <v>18641</v>
      </c>
      <c r="C1217" s="78" t="s">
        <v>18642</v>
      </c>
      <c r="D1217" s="78" t="s">
        <v>16723</v>
      </c>
      <c r="E1217" s="78" t="s">
        <v>14780</v>
      </c>
      <c r="F1217" s="78" t="s">
        <v>14781</v>
      </c>
      <c r="G1217" s="78" t="s">
        <v>14782</v>
      </c>
      <c r="H1217" s="78">
        <v>1200</v>
      </c>
      <c r="I1217" s="77"/>
    </row>
    <row r="1218">
      <c r="A1218" s="78" t="s">
        <v>18643</v>
      </c>
      <c r="B1218" s="78" t="s">
        <v>18644</v>
      </c>
      <c r="C1218" s="78" t="s">
        <v>18645</v>
      </c>
      <c r="D1218" s="78" t="s">
        <v>16723</v>
      </c>
      <c r="E1218" s="78" t="s">
        <v>18646</v>
      </c>
      <c r="F1218" s="78" t="s">
        <v>14712</v>
      </c>
      <c r="G1218" s="78" t="s">
        <v>14990</v>
      </c>
      <c r="H1218" s="78">
        <v>2000</v>
      </c>
      <c r="I1218" s="77"/>
    </row>
    <row r="1219">
      <c r="A1219" s="78" t="s">
        <v>18647</v>
      </c>
      <c r="B1219" s="78" t="s">
        <v>18648</v>
      </c>
      <c r="C1219" s="78" t="s">
        <v>18649</v>
      </c>
      <c r="D1219" s="78" t="s">
        <v>16723</v>
      </c>
      <c r="E1219" s="78" t="s">
        <v>16200</v>
      </c>
      <c r="F1219" s="78" t="s">
        <v>15619</v>
      </c>
      <c r="G1219" s="78" t="s">
        <v>14931</v>
      </c>
      <c r="H1219" s="78">
        <v>1500</v>
      </c>
      <c r="I1219" s="77"/>
    </row>
    <row r="1220">
      <c r="A1220" s="78" t="s">
        <v>18650</v>
      </c>
      <c r="B1220" s="78" t="s">
        <v>18651</v>
      </c>
      <c r="C1220" s="78" t="s">
        <v>16586</v>
      </c>
      <c r="D1220" s="78" t="s">
        <v>16723</v>
      </c>
      <c r="E1220" s="78" t="s">
        <v>18434</v>
      </c>
      <c r="F1220" s="78" t="s">
        <v>15739</v>
      </c>
      <c r="G1220" s="78" t="s">
        <v>14734</v>
      </c>
      <c r="H1220" s="78">
        <v>1500</v>
      </c>
      <c r="I1220" s="77"/>
    </row>
    <row r="1221">
      <c r="A1221" s="78" t="s">
        <v>18652</v>
      </c>
      <c r="B1221" s="78" t="s">
        <v>18653</v>
      </c>
      <c r="C1221" s="78" t="s">
        <v>18654</v>
      </c>
      <c r="D1221" s="78" t="s">
        <v>16723</v>
      </c>
      <c r="E1221" s="78" t="s">
        <v>16200</v>
      </c>
      <c r="F1221" s="78" t="s">
        <v>14885</v>
      </c>
      <c r="G1221" s="78" t="s">
        <v>14734</v>
      </c>
      <c r="H1221" s="78">
        <v>1500</v>
      </c>
      <c r="I1221" s="77"/>
    </row>
    <row r="1222">
      <c r="A1222" s="78" t="s">
        <v>18655</v>
      </c>
      <c r="B1222" s="78" t="s">
        <v>18656</v>
      </c>
      <c r="C1222" s="78" t="s">
        <v>18657</v>
      </c>
      <c r="D1222" s="78" t="s">
        <v>16723</v>
      </c>
      <c r="E1222" s="78" t="s">
        <v>16200</v>
      </c>
      <c r="F1222" s="78" t="s">
        <v>14885</v>
      </c>
      <c r="G1222" s="78" t="s">
        <v>14734</v>
      </c>
      <c r="H1222" s="78">
        <v>1500</v>
      </c>
      <c r="I1222" s="77"/>
    </row>
    <row r="1223">
      <c r="A1223" s="78" t="s">
        <v>18658</v>
      </c>
      <c r="B1223" s="78" t="s">
        <v>18659</v>
      </c>
      <c r="C1223" s="78" t="s">
        <v>18660</v>
      </c>
      <c r="D1223" s="78" t="s">
        <v>16723</v>
      </c>
      <c r="E1223" s="78" t="s">
        <v>16200</v>
      </c>
      <c r="F1223" s="78" t="s">
        <v>14938</v>
      </c>
      <c r="G1223" s="78" t="s">
        <v>14923</v>
      </c>
      <c r="H1223" s="78">
        <v>1500</v>
      </c>
      <c r="I1223" s="77"/>
    </row>
    <row r="1224">
      <c r="A1224" s="78" t="s">
        <v>18661</v>
      </c>
      <c r="B1224" s="78" t="s">
        <v>18662</v>
      </c>
      <c r="C1224" s="78" t="s">
        <v>18663</v>
      </c>
      <c r="D1224" s="78" t="s">
        <v>16723</v>
      </c>
      <c r="E1224" s="78" t="s">
        <v>16200</v>
      </c>
      <c r="F1224" s="78" t="s">
        <v>15603</v>
      </c>
      <c r="G1224" s="78" t="s">
        <v>14782</v>
      </c>
      <c r="H1224" s="78">
        <v>1500</v>
      </c>
      <c r="I1224" s="77"/>
    </row>
    <row r="1225">
      <c r="A1225" s="78" t="s">
        <v>18664</v>
      </c>
      <c r="B1225" s="78" t="s">
        <v>18665</v>
      </c>
      <c r="C1225" s="78" t="s">
        <v>18666</v>
      </c>
      <c r="D1225" s="78" t="s">
        <v>16723</v>
      </c>
      <c r="E1225" s="78" t="s">
        <v>16200</v>
      </c>
      <c r="F1225" s="78" t="s">
        <v>15704</v>
      </c>
      <c r="G1225" s="78" t="s">
        <v>14923</v>
      </c>
      <c r="H1225" s="78">
        <v>1500</v>
      </c>
      <c r="I1225" s="77"/>
    </row>
    <row r="1226">
      <c r="A1226" s="78" t="s">
        <v>18667</v>
      </c>
      <c r="B1226" s="78" t="s">
        <v>18668</v>
      </c>
      <c r="C1226" s="78" t="s">
        <v>18669</v>
      </c>
      <c r="D1226" s="78" t="s">
        <v>16723</v>
      </c>
      <c r="E1226" s="78" t="s">
        <v>18646</v>
      </c>
      <c r="F1226" s="78" t="s">
        <v>14712</v>
      </c>
      <c r="G1226" s="78" t="s">
        <v>14990</v>
      </c>
      <c r="H1226" s="78">
        <v>2000</v>
      </c>
      <c r="I1226" s="77"/>
      <c r="J1226" s="77"/>
    </row>
    <row r="1227">
      <c r="A1227" s="78" t="s">
        <v>18670</v>
      </c>
      <c r="B1227" s="78" t="s">
        <v>18671</v>
      </c>
      <c r="C1227" s="78" t="s">
        <v>18672</v>
      </c>
      <c r="D1227" s="78" t="s">
        <v>16723</v>
      </c>
      <c r="E1227" s="78" t="s">
        <v>16200</v>
      </c>
      <c r="F1227" s="78" t="s">
        <v>15750</v>
      </c>
      <c r="G1227" s="78" t="s">
        <v>14734</v>
      </c>
      <c r="H1227" s="78">
        <v>1500</v>
      </c>
      <c r="I1227" s="77"/>
      <c r="J1227" s="77"/>
    </row>
    <row r="1228">
      <c r="A1228" s="78" t="s">
        <v>18673</v>
      </c>
      <c r="B1228" s="78" t="s">
        <v>18674</v>
      </c>
      <c r="C1228" s="78" t="s">
        <v>18675</v>
      </c>
      <c r="D1228" s="78" t="s">
        <v>16723</v>
      </c>
      <c r="E1228" s="78" t="s">
        <v>16200</v>
      </c>
      <c r="F1228" s="78" t="s">
        <v>14733</v>
      </c>
      <c r="G1228" s="78" t="s">
        <v>14734</v>
      </c>
      <c r="H1228" s="78">
        <v>1500</v>
      </c>
      <c r="I1228" s="77"/>
      <c r="J1228" s="77"/>
    </row>
    <row r="1229">
      <c r="A1229" s="78" t="s">
        <v>18676</v>
      </c>
      <c r="B1229" s="78" t="s">
        <v>18677</v>
      </c>
      <c r="C1229" s="78" t="s">
        <v>18678</v>
      </c>
      <c r="D1229" s="78" t="s">
        <v>16723</v>
      </c>
      <c r="E1229" s="78" t="s">
        <v>16200</v>
      </c>
      <c r="F1229" s="78" t="s">
        <v>14938</v>
      </c>
      <c r="G1229" s="78" t="s">
        <v>14923</v>
      </c>
      <c r="H1229" s="78">
        <v>1500</v>
      </c>
      <c r="I1229" s="77"/>
      <c r="J1229" s="77"/>
    </row>
    <row r="1230">
      <c r="A1230" s="78" t="s">
        <v>18679</v>
      </c>
      <c r="B1230" s="78" t="s">
        <v>18680</v>
      </c>
      <c r="C1230" s="78" t="s">
        <v>18681</v>
      </c>
      <c r="D1230" s="78" t="s">
        <v>16723</v>
      </c>
      <c r="E1230" s="78" t="s">
        <v>16200</v>
      </c>
      <c r="F1230" s="78" t="s">
        <v>14950</v>
      </c>
      <c r="G1230" s="78" t="s">
        <v>14782</v>
      </c>
      <c r="H1230" s="78">
        <v>1500</v>
      </c>
      <c r="I1230" s="77"/>
      <c r="J1230" s="77"/>
    </row>
    <row r="1231">
      <c r="A1231" s="78" t="s">
        <v>18682</v>
      </c>
      <c r="B1231" s="78" t="s">
        <v>18683</v>
      </c>
      <c r="C1231" s="78" t="s">
        <v>18684</v>
      </c>
      <c r="D1231" s="78" t="s">
        <v>16723</v>
      </c>
      <c r="E1231" s="78" t="s">
        <v>16200</v>
      </c>
      <c r="F1231" s="78" t="s">
        <v>15619</v>
      </c>
      <c r="G1231" s="78" t="s">
        <v>14931</v>
      </c>
      <c r="H1231" s="78">
        <v>1500</v>
      </c>
      <c r="I1231" s="77"/>
      <c r="J1231" s="77"/>
    </row>
    <row r="1232">
      <c r="A1232" s="78" t="s">
        <v>18685</v>
      </c>
      <c r="B1232" s="78" t="s">
        <v>18686</v>
      </c>
      <c r="C1232" s="78" t="s">
        <v>18687</v>
      </c>
      <c r="D1232" s="78" t="s">
        <v>16723</v>
      </c>
      <c r="E1232" s="78" t="s">
        <v>18434</v>
      </c>
      <c r="F1232" s="78" t="s">
        <v>15739</v>
      </c>
      <c r="G1232" s="78" t="s">
        <v>14734</v>
      </c>
      <c r="H1232" s="78">
        <v>1500</v>
      </c>
      <c r="I1232" s="77"/>
      <c r="J1232" s="77"/>
    </row>
    <row r="1233">
      <c r="A1233" s="78" t="s">
        <v>18688</v>
      </c>
      <c r="B1233" s="78" t="s">
        <v>18689</v>
      </c>
      <c r="C1233" s="78" t="s">
        <v>18690</v>
      </c>
      <c r="D1233" s="78" t="s">
        <v>16723</v>
      </c>
      <c r="E1233" s="78" t="s">
        <v>16200</v>
      </c>
      <c r="F1233" s="78" t="s">
        <v>15691</v>
      </c>
      <c r="G1233" s="78" t="s">
        <v>14931</v>
      </c>
      <c r="H1233" s="78">
        <v>1500</v>
      </c>
      <c r="I1233" s="77"/>
      <c r="J1233" s="77"/>
    </row>
    <row r="1234">
      <c r="A1234" s="78" t="s">
        <v>18691</v>
      </c>
      <c r="B1234" s="78" t="s">
        <v>18692</v>
      </c>
      <c r="C1234" s="78" t="s">
        <v>18693</v>
      </c>
      <c r="D1234" s="78" t="s">
        <v>16723</v>
      </c>
      <c r="E1234" s="78" t="s">
        <v>16200</v>
      </c>
      <c r="F1234" s="78" t="s">
        <v>14733</v>
      </c>
      <c r="G1234" s="78" t="s">
        <v>14734</v>
      </c>
      <c r="H1234" s="78">
        <v>1500</v>
      </c>
      <c r="I1234" s="77"/>
      <c r="J1234" s="77"/>
    </row>
    <row r="1235">
      <c r="A1235" s="78" t="s">
        <v>18694</v>
      </c>
      <c r="B1235" s="78" t="s">
        <v>18695</v>
      </c>
      <c r="C1235" s="78" t="s">
        <v>18696</v>
      </c>
      <c r="D1235" s="78" t="s">
        <v>16723</v>
      </c>
      <c r="E1235" s="78" t="s">
        <v>16200</v>
      </c>
      <c r="F1235" s="78" t="s">
        <v>15995</v>
      </c>
      <c r="G1235" s="78" t="s">
        <v>14931</v>
      </c>
      <c r="H1235" s="78">
        <v>1500</v>
      </c>
      <c r="I1235" s="77"/>
      <c r="J1235" s="77"/>
    </row>
    <row r="1236">
      <c r="A1236" s="78" t="s">
        <v>18697</v>
      </c>
      <c r="B1236" s="78" t="s">
        <v>18698</v>
      </c>
      <c r="C1236" s="78" t="s">
        <v>18699</v>
      </c>
      <c r="D1236" s="78" t="s">
        <v>16723</v>
      </c>
      <c r="E1236" s="78" t="s">
        <v>16200</v>
      </c>
      <c r="F1236" s="78" t="s">
        <v>15691</v>
      </c>
      <c r="G1236" s="78" t="s">
        <v>14931</v>
      </c>
      <c r="H1236" s="78">
        <v>1500</v>
      </c>
      <c r="I1236" s="77"/>
      <c r="J1236" s="7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